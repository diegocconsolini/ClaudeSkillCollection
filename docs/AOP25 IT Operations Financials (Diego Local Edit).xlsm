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trlProps/ctrlProp2.xml" ContentType="application/vnd.ms-excel.controlpropertie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drawings/drawing3.xml" ContentType="application/vnd.openxmlformats-officedocument.drawing+xml"/>
  <Override PartName="/xl/ctrlProps/ctrlProp3.xml" ContentType="application/vnd.ms-excel.controlproperties+xml"/>
  <Override PartName="/xl/customProperty21.bin" ContentType="application/vnd.openxmlformats-officedocument.spreadsheetml.customProperty"/>
  <Override PartName="/xl/customProperty22.bin" ContentType="application/vnd.openxmlformats-officedocument.spreadsheetml.customProperty"/>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drawings/drawing5.xml" ContentType="application/vnd.openxmlformats-officedocument.drawing+xml"/>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https://coffeeandtea-my.sharepoint.com/personal/diego_cavalariconsolini_jdecoffee_com/Documents/Finance/"/>
    </mc:Choice>
  </mc:AlternateContent>
  <xr:revisionPtr revIDLastSave="139" documentId="8_{D8628D00-3C94-4320-BAD9-5448A897A85E}" xr6:coauthVersionLast="47" xr6:coauthVersionMax="47" xr10:uidLastSave="{9910C5BE-AD9F-4ABE-ADC5-86D80ACB25D5}"/>
  <bookViews>
    <workbookView xWindow="19095" yWindow="0" windowWidth="38610" windowHeight="20985" firstSheet="2" activeTab="5" xr2:uid="{00000000-000D-0000-FFFF-FFFF00000000}"/>
  </bookViews>
  <sheets>
    <sheet name="_com.sap.ip.bi.xl.hiddensheet" sheetId="4" state="veryHidden" r:id="rId1"/>
    <sheet name="Summary" sheetId="10" r:id="rId2"/>
    <sheet name="LE" sheetId="16" r:id="rId3"/>
    <sheet name="BW Summary" sheetId="18" r:id="rId4"/>
    <sheet name="Change log" sheetId="11" r:id="rId5"/>
    <sheet name="AOP25" sheetId="1" r:id="rId6"/>
    <sheet name="ListBoxValues" sheetId="2" state="hidden" r:id="rId7"/>
    <sheet name="BIdetails" sheetId="5" r:id="rId8"/>
    <sheet name="POs not in AOP" sheetId="7" r:id="rId9"/>
    <sheet name="AOP 2025 Summary" sheetId="14" r:id="rId10"/>
    <sheet name="Cross charge Agreements 2023" sheetId="23" state="hidden" r:id="rId11"/>
    <sheet name="Documentation" sheetId="8" r:id="rId12"/>
    <sheet name="New File Creation" sheetId="19" r:id="rId13"/>
    <sheet name="Improvements 2023" sheetId="20" state="hidden" r:id="rId14"/>
    <sheet name="Infra Cost Non Sap 2024" sheetId="24" r:id="rId15"/>
    <sheet name="Cross charge agreements" sheetId="25" r:id="rId16"/>
  </sheets>
  <functionGroups builtInGroupCount="19"/>
  <definedNames>
    <definedName name="_xlnm._FilterDatabase" localSheetId="9" hidden="1">'AOP 2025 Summary'!$B$2:$B$64</definedName>
    <definedName name="_xlnm._FilterDatabase" localSheetId="5" hidden="1">'AOP25'!$A$1:$XFB$403</definedName>
    <definedName name="_xlnm._FilterDatabase" localSheetId="7" hidden="1">BIdetails!$A$3:$R$1191</definedName>
    <definedName name="_xlnm._FilterDatabase" localSheetId="4" hidden="1">'Change log'!$A$1217:$AA$1438</definedName>
    <definedName name="_xlnm._FilterDatabase" localSheetId="14" hidden="1">'Infra Cost Non Sap 2024'!$A$6:$R$87</definedName>
    <definedName name="_xlnm._FilterDatabase" localSheetId="6" hidden="1">ListBoxValues!$L$1:$L$30</definedName>
    <definedName name="_xlnm._FilterDatabase" localSheetId="8" hidden="1">'POs not in AOP'!$A$1:$P$1000</definedName>
    <definedName name="_FiltroDatabase" localSheetId="5" hidden="1">'AOP25'!$A$1:$XFB$343</definedName>
    <definedName name="EPMWorkbookOptions_1" hidden="1">"P0cAAB+LCAAAAAAABADtnF1vokwUgO832f9gvFdmBFEa64Z3xC2JAhHc7aZpDMjYklXwHbC2/35H1AqKXW3dRpAbY2bOmTk8no+ZEWh8e56MC0+Y+I7nXhdhGRQL2B16tuM+XBdnwagE+eK35tcvjZ8e+W153m91GlBRv0D1XP/q2Xeui49BML1imPl8Xp6zZY88MBUAIHPb7ejDRzwxS47rB6Y7xMVXLfvvWkU6a6HQQJ7r4uFiTsNDM0Kw"</definedName>
    <definedName name="EPMWorkbookOptions_2" hidden="1">"G/xw8DzsjHW3zMBctdJ2xZzg5WyvMwV4Mp0RJ5yq72OiETzCdLwhLlODis1BW+sO/tOQ8hOCwd1KyTenz/PprOzOH8ruuOybxBxjXLJxeehNruqQhwsRxpoOmfvBHdWmn21ZERUk0W8jc+zj+wazsGZjmzidjp2hGeF4sI3rMeKjRJpXl95c2bA19RLZhmKB2dt149g2dlvOBLt+aOh+0Y2RfkyGSumP3vx1DOSNPdIMyAw3mISOt1TDq0jQ"</definedName>
    <definedName name="EPMWorkbookOptions_3" hidden="1">"3Lm6lSJ1iwA/B23zySNOQO0Kf4ml8k7fAfpth/hBxIDk/q2BXq3cD+hQqahc33X+n+HwykWE1L5iNJikzrfGWBKnwV0FkK3DyABJv0WoqxIbkyZoMMsviaP707H5ohFviknw0oRVvjrC1qhU5W2uxFVGQqlepcEDTFzhbKvG1Sx2MXNcK2HgjukHOh7TOMd2F08smq4SxOJOmShARZb6EUx3K4j35TtN7EmKcQPpVxHAQR0IgkCjd0dlz9A3"</definedName>
    <definedName name="EPMWorkbookOptions_4" hidden="1">"DiYmGT6+bEQLNEFeuc74urjwneJWEL396x6m22D+dtEnpMINFFXRkJ5DiUBBoibd5kSiwSMAIMAcyVY+4YQM5JMGc0g2jhSUf1b8WqIh6mq/t1jlvLf+AcDVATi8/MHslb8NxrjHGqohdpCqXGyy3wdGVrS+kUOJQ2nJqCsa6EZWvudo4mg6KhI7mXCaM8r9kiHKnXfnfZatVjmOOzzvVzKY90OEW1GMOmranfSkPNpijiOa5BUt7TzOJ4dR"</definedName>
    <definedName name="EPMWorkbookOptions_5" hidden="1">"qrLx6905jK9BUK/XDs9hbPZy2BJh3EmlcOGadjc9KRG+xl7sbjwRCACgkgOJAoG1ag4kGjJ1LvUecj6l7ntP7Wv6R45peJ5ljzin4bJX65YM4276fZHIOijtjnpKJKqGLnYLs8dFINRzF4kjqQB0sedUiUhYHmQAyflUPBlpn/ivfDV75Y4C3Dp2v+h93S4ORVWktNM4n3jVemqrjz7zTho+ezG7ghh3VO2i4zYZSR67p4zdnmagfo/SRe8/"</definedName>
    <definedName name="EPMWorkbookOptions_6" hidden="1">"TT0+fmvZi98IyK3jkH4v7e56cibp33afTwTrSFLEnqx+YvjWjwhfEwuWIHBCybYstsRVYb1kjWpmyeRt1hLYaqUyss8gfNcUt+48Q0b7FvKp99aTU+lf7qrkLSapP/b+F1C0G1GXWjmZGBk1vxkg2cz3VEBNQnJbRqIhq8oH/ik5ug4K2VvGxlnGnVa/6N3om2TyTekpA9qQux+4L/3oMIbHPJiVkvXsAmHcRysA8mUAQdrd9ORELnbRtpfI"</definedName>
    <definedName name="EPMWorkbookOptions_7" hidden="1">"xd7wtI8IqOdEtojkD2Mlm/mOcteVRL3fkz5z5QqPeRgrJSVvjZH66MJjJbrpaslo0O0oaXfV0xLJaSxo/DIu9khiB0QWYuSE6fwAoZg1yUINJuktI7HWtTgdbfdVLNHG3de3NHp4RLD/qLrqFLvrV3TEG0M5NMYmWQyqurr5hNeS282h7Po9NTSHByHGtfRuRygv+z9M4pjWGHcxediI77R//bIZY/USnOYf5RTQWj9HAAA="</definedName>
    <definedName name="_xlnm.Extract" localSheetId="9">'AOP 2025 Summary'!$C$55</definedName>
    <definedName name="_xlnm.Extract" localSheetId="6">ListBoxValues!$N$1</definedName>
    <definedName name="SAPCrosstab1">#REF!</definedName>
    <definedName name="SAPCrosstab2">BIdetails!$A$1</definedName>
    <definedName name="SAPCrosstab3">'BW Summary'!$B$1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359" i="1" l="1"/>
  <c r="B398" i="1" l="1"/>
  <c r="W398" i="1" s="1"/>
  <c r="B397" i="1"/>
  <c r="B396" i="1"/>
  <c r="W396" i="1" s="1"/>
  <c r="B395" i="1"/>
  <c r="W395" i="1" s="1"/>
  <c r="B394" i="1"/>
  <c r="W394" i="1" s="1"/>
  <c r="B393" i="1"/>
  <c r="W393" i="1" s="1"/>
  <c r="B392" i="1"/>
  <c r="W392" i="1" s="1"/>
  <c r="B391" i="1"/>
  <c r="W391" i="1" s="1"/>
  <c r="B390" i="1"/>
  <c r="W390" i="1" s="1"/>
  <c r="B389" i="1"/>
  <c r="W389" i="1" s="1"/>
  <c r="B388" i="1"/>
  <c r="W388" i="1" s="1"/>
  <c r="B387" i="1"/>
  <c r="W387" i="1" s="1"/>
  <c r="B386" i="1"/>
  <c r="W386" i="1" s="1"/>
  <c r="B385" i="1"/>
  <c r="W385" i="1" s="1"/>
  <c r="B384" i="1"/>
  <c r="W384" i="1" s="1"/>
  <c r="B383" i="1"/>
  <c r="W383" i="1" s="1"/>
  <c r="B382" i="1"/>
  <c r="W382" i="1" s="1"/>
  <c r="B381" i="1"/>
  <c r="W381" i="1" s="1"/>
  <c r="B380" i="1"/>
  <c r="W380" i="1" s="1"/>
  <c r="B379" i="1"/>
  <c r="W379" i="1" s="1"/>
  <c r="B378" i="1"/>
  <c r="W378" i="1" s="1"/>
  <c r="B377" i="1"/>
  <c r="W377" i="1" s="1"/>
  <c r="B376" i="1"/>
  <c r="W376" i="1" s="1"/>
  <c r="B375" i="1"/>
  <c r="W375" i="1" s="1"/>
  <c r="B374" i="1"/>
  <c r="W374" i="1" s="1"/>
  <c r="B373" i="1"/>
  <c r="W373" i="1" s="1"/>
  <c r="B372" i="1"/>
  <c r="W372" i="1" s="1"/>
  <c r="B371" i="1"/>
  <c r="W371" i="1" s="1"/>
  <c r="B370" i="1"/>
  <c r="W370" i="1" s="1"/>
  <c r="B369" i="1"/>
  <c r="W369" i="1" s="1"/>
  <c r="B368" i="1"/>
  <c r="W368" i="1" s="1"/>
  <c r="B367" i="1"/>
  <c r="W367" i="1" s="1"/>
  <c r="B366" i="1"/>
  <c r="W366" i="1" s="1"/>
  <c r="B365" i="1"/>
  <c r="W365" i="1" s="1"/>
  <c r="B364" i="1"/>
  <c r="W364" i="1" s="1"/>
  <c r="B363" i="1"/>
  <c r="W363" i="1" s="1"/>
  <c r="B362" i="1"/>
  <c r="B361" i="1"/>
  <c r="B360" i="1"/>
  <c r="B359" i="1"/>
  <c r="B358" i="1"/>
  <c r="B357" i="1"/>
  <c r="B356" i="1"/>
  <c r="B355" i="1"/>
  <c r="B354" i="1"/>
  <c r="B353" i="1"/>
  <c r="W353" i="1" s="1"/>
  <c r="B352" i="1"/>
  <c r="W352" i="1" s="1"/>
  <c r="B351" i="1"/>
  <c r="B350" i="1"/>
  <c r="B349" i="1"/>
  <c r="W349" i="1" s="1"/>
  <c r="B348" i="1"/>
  <c r="W348" i="1" s="1"/>
  <c r="B347" i="1"/>
  <c r="W347" i="1" s="1"/>
  <c r="B346" i="1"/>
  <c r="B345" i="1"/>
  <c r="B344" i="1"/>
  <c r="W344" i="1" s="1"/>
  <c r="V402" i="1"/>
  <c r="W402" i="1" s="1"/>
  <c r="V401" i="1"/>
  <c r="W401" i="1" s="1"/>
  <c r="V400" i="1"/>
  <c r="W400" i="1" s="1"/>
  <c r="V399" i="1"/>
  <c r="W399" i="1" s="1"/>
  <c r="V398" i="1"/>
  <c r="V397" i="1"/>
  <c r="V396" i="1"/>
  <c r="V395" i="1"/>
  <c r="V394" i="1"/>
  <c r="V393" i="1"/>
  <c r="V392" i="1"/>
  <c r="V391" i="1"/>
  <c r="V390" i="1"/>
  <c r="V389" i="1"/>
  <c r="V388" i="1"/>
  <c r="V387" i="1"/>
  <c r="V386" i="1"/>
  <c r="V385" i="1"/>
  <c r="V384" i="1"/>
  <c r="V383" i="1"/>
  <c r="V382" i="1"/>
  <c r="V381" i="1"/>
  <c r="V380" i="1"/>
  <c r="V379" i="1"/>
  <c r="V378" i="1"/>
  <c r="V377" i="1"/>
  <c r="V376" i="1"/>
  <c r="V375" i="1"/>
  <c r="V374" i="1"/>
  <c r="V373" i="1"/>
  <c r="V372" i="1"/>
  <c r="V345" i="1"/>
  <c r="V371" i="1"/>
  <c r="V370" i="1"/>
  <c r="V369" i="1"/>
  <c r="V368" i="1"/>
  <c r="V367" i="1"/>
  <c r="V366" i="1"/>
  <c r="V365" i="1"/>
  <c r="V364" i="1"/>
  <c r="V363" i="1"/>
  <c r="V362" i="1"/>
  <c r="V361" i="1"/>
  <c r="V360" i="1"/>
  <c r="V358" i="1"/>
  <c r="V357" i="1"/>
  <c r="V356" i="1"/>
  <c r="V355" i="1"/>
  <c r="V354" i="1"/>
  <c r="V353" i="1"/>
  <c r="V352" i="1"/>
  <c r="V351" i="1"/>
  <c r="V350" i="1"/>
  <c r="V349" i="1"/>
  <c r="V348" i="1"/>
  <c r="V347" i="1"/>
  <c r="V346" i="1"/>
  <c r="V344" i="1"/>
  <c r="B3" i="1"/>
  <c r="B138" i="1"/>
  <c r="V252" i="1"/>
  <c r="F52" i="14" a="1"/>
  <c r="F52" i="14" s="1"/>
  <c r="T403" i="1"/>
  <c r="D26" i="14" s="1" a="1"/>
  <c r="D26" i="14" s="1"/>
  <c r="S403" i="1"/>
  <c r="E13" i="10" s="1"/>
  <c r="F807" i="11"/>
  <c r="Y3" i="1"/>
  <c r="Y4" i="1"/>
  <c r="Z4" i="1" s="1"/>
  <c r="Y5" i="1"/>
  <c r="Z5" i="1" s="1"/>
  <c r="Y6" i="1"/>
  <c r="Z6" i="1" s="1"/>
  <c r="Y7" i="1"/>
  <c r="Z7" i="1" s="1"/>
  <c r="Y8" i="1"/>
  <c r="Z8" i="1" s="1"/>
  <c r="Y9" i="1"/>
  <c r="Z9" i="1" s="1"/>
  <c r="Y10" i="1"/>
  <c r="Z10" i="1" s="1"/>
  <c r="Y11" i="1"/>
  <c r="Y12" i="1"/>
  <c r="Z12" i="1" s="1"/>
  <c r="Y13" i="1"/>
  <c r="Z13" i="1" s="1"/>
  <c r="Y14" i="1"/>
  <c r="Z14" i="1" s="1"/>
  <c r="Y15" i="1"/>
  <c r="Z15" i="1" s="1"/>
  <c r="Y16" i="1"/>
  <c r="Z16" i="1" s="1"/>
  <c r="Y17" i="1"/>
  <c r="Z17" i="1" s="1"/>
  <c r="Y18" i="1"/>
  <c r="Z18" i="1" s="1"/>
  <c r="Y19" i="1"/>
  <c r="Z19" i="1" s="1"/>
  <c r="Y20" i="1"/>
  <c r="Z20" i="1" s="1"/>
  <c r="Y21" i="1"/>
  <c r="Z21" i="1" s="1"/>
  <c r="Y22" i="1"/>
  <c r="Z22" i="1"/>
  <c r="Y23" i="1"/>
  <c r="Z23" i="1"/>
  <c r="Y24" i="1"/>
  <c r="Z24" i="1" s="1"/>
  <c r="Y25" i="1"/>
  <c r="Z25" i="1"/>
  <c r="Y26" i="1"/>
  <c r="Z26" i="1" s="1"/>
  <c r="Y27" i="1"/>
  <c r="Z27" i="1" s="1"/>
  <c r="Y28" i="1"/>
  <c r="Z28" i="1" s="1"/>
  <c r="Y29" i="1"/>
  <c r="Z29" i="1" s="1"/>
  <c r="Y30" i="1"/>
  <c r="Z30" i="1" s="1"/>
  <c r="Y31" i="1"/>
  <c r="Z31" i="1" s="1"/>
  <c r="Y32" i="1"/>
  <c r="Z32" i="1" s="1"/>
  <c r="Y33" i="1"/>
  <c r="Z33" i="1" s="1"/>
  <c r="Y34" i="1"/>
  <c r="Z34" i="1" s="1"/>
  <c r="Y35" i="1"/>
  <c r="Z35" i="1"/>
  <c r="Y36" i="1"/>
  <c r="Z36" i="1" s="1"/>
  <c r="Y37" i="1"/>
  <c r="Z37" i="1" s="1"/>
  <c r="Y38" i="1"/>
  <c r="Z38" i="1" s="1"/>
  <c r="Y39" i="1"/>
  <c r="Y40" i="1"/>
  <c r="Z40" i="1" s="1"/>
  <c r="Y41" i="1"/>
  <c r="Z41" i="1" s="1"/>
  <c r="Y42" i="1"/>
  <c r="Z42" i="1" s="1"/>
  <c r="Y43" i="1"/>
  <c r="Z43" i="1" s="1"/>
  <c r="Y44" i="1"/>
  <c r="Z44" i="1" s="1"/>
  <c r="Y45" i="1"/>
  <c r="Z45" i="1" s="1"/>
  <c r="Y46" i="1"/>
  <c r="Z46" i="1" s="1"/>
  <c r="Y47" i="1"/>
  <c r="Z47" i="1" s="1"/>
  <c r="Y48" i="1"/>
  <c r="Z48" i="1" s="1"/>
  <c r="Y49" i="1"/>
  <c r="Z49" i="1" s="1"/>
  <c r="Y50" i="1"/>
  <c r="Z50" i="1" s="1"/>
  <c r="Y51" i="1"/>
  <c r="Z51" i="1" s="1"/>
  <c r="Y52" i="1"/>
  <c r="Y53" i="1"/>
  <c r="Z53" i="1" s="1"/>
  <c r="Y54" i="1"/>
  <c r="Z54" i="1" s="1"/>
  <c r="Y55" i="1"/>
  <c r="Z55" i="1" s="1"/>
  <c r="Y56" i="1"/>
  <c r="Z56" i="1" s="1"/>
  <c r="Y57" i="1"/>
  <c r="Z57" i="1" s="1"/>
  <c r="Y58" i="1"/>
  <c r="Z58" i="1" s="1"/>
  <c r="Y59" i="1"/>
  <c r="Z59" i="1" s="1"/>
  <c r="Y60" i="1"/>
  <c r="Z60" i="1" s="1"/>
  <c r="Y61" i="1"/>
  <c r="Z61" i="1" s="1"/>
  <c r="Y62" i="1"/>
  <c r="Z62" i="1" s="1"/>
  <c r="Y63" i="1"/>
  <c r="Z63" i="1" s="1"/>
  <c r="Y64" i="1"/>
  <c r="Z64" i="1"/>
  <c r="Y65" i="1"/>
  <c r="Z65" i="1" s="1"/>
  <c r="Y66" i="1"/>
  <c r="Z66" i="1"/>
  <c r="Y67" i="1"/>
  <c r="Z67" i="1"/>
  <c r="Y68" i="1"/>
  <c r="Z68" i="1" s="1"/>
  <c r="Y69" i="1"/>
  <c r="Z69" i="1" s="1"/>
  <c r="Y70" i="1"/>
  <c r="Z70" i="1" s="1"/>
  <c r="Y71" i="1"/>
  <c r="Z71" i="1" s="1"/>
  <c r="Y72" i="1"/>
  <c r="Z72" i="1" s="1"/>
  <c r="Y73" i="1"/>
  <c r="Z73" i="1"/>
  <c r="Y74" i="1"/>
  <c r="Z74" i="1"/>
  <c r="Y75" i="1"/>
  <c r="Z75" i="1" s="1"/>
  <c r="Y76" i="1"/>
  <c r="Z76" i="1" s="1"/>
  <c r="Y77" i="1"/>
  <c r="Z77" i="1"/>
  <c r="Y78" i="1"/>
  <c r="Z78" i="1" s="1"/>
  <c r="Y79" i="1"/>
  <c r="Z79" i="1" s="1"/>
  <c r="Y80" i="1"/>
  <c r="Z80" i="1" s="1"/>
  <c r="Y81" i="1"/>
  <c r="Z81" i="1"/>
  <c r="Y82" i="1"/>
  <c r="Z82" i="1" s="1"/>
  <c r="Y83" i="1"/>
  <c r="Z83" i="1" s="1"/>
  <c r="Y84" i="1"/>
  <c r="Z84" i="1" s="1"/>
  <c r="Y85" i="1"/>
  <c r="Z85" i="1" s="1"/>
  <c r="Y86" i="1"/>
  <c r="Z86" i="1" s="1"/>
  <c r="Y87" i="1"/>
  <c r="Z87" i="1" s="1"/>
  <c r="Y88" i="1"/>
  <c r="Z88" i="1" s="1"/>
  <c r="Y89" i="1"/>
  <c r="Z89" i="1" s="1"/>
  <c r="Y90" i="1"/>
  <c r="Z90" i="1" s="1"/>
  <c r="Y91" i="1"/>
  <c r="Z91" i="1" s="1"/>
  <c r="Y92" i="1"/>
  <c r="Z92" i="1" s="1"/>
  <c r="Y93" i="1"/>
  <c r="Z93" i="1"/>
  <c r="Y94" i="1"/>
  <c r="Z94" i="1" s="1"/>
  <c r="Y95" i="1"/>
  <c r="Z95" i="1" s="1"/>
  <c r="Y96" i="1"/>
  <c r="Z96" i="1" s="1"/>
  <c r="Y97" i="1"/>
  <c r="Z97" i="1" s="1"/>
  <c r="Y98" i="1"/>
  <c r="Z98" i="1" s="1"/>
  <c r="Y99" i="1"/>
  <c r="Z99" i="1" s="1"/>
  <c r="Y100" i="1"/>
  <c r="Z100" i="1" s="1"/>
  <c r="Y101" i="1"/>
  <c r="Z101" i="1" s="1"/>
  <c r="Y102" i="1"/>
  <c r="Z102" i="1" s="1"/>
  <c r="Y103" i="1"/>
  <c r="Z103" i="1" s="1"/>
  <c r="Y104" i="1"/>
  <c r="Z104" i="1" s="1"/>
  <c r="Y105" i="1"/>
  <c r="Z105" i="1" s="1"/>
  <c r="Y106" i="1"/>
  <c r="Z106" i="1" s="1"/>
  <c r="Y107" i="1"/>
  <c r="Z107" i="1" s="1"/>
  <c r="Y108" i="1"/>
  <c r="Z108" i="1" s="1"/>
  <c r="Y109" i="1"/>
  <c r="Z109" i="1" s="1"/>
  <c r="Y110" i="1"/>
  <c r="Z110" i="1" s="1"/>
  <c r="Y111" i="1"/>
  <c r="Z111" i="1" s="1"/>
  <c r="Y112" i="1"/>
  <c r="Z112" i="1" s="1"/>
  <c r="Y113" i="1"/>
  <c r="Z113" i="1" s="1"/>
  <c r="Y114" i="1"/>
  <c r="Z114" i="1" s="1"/>
  <c r="Y115" i="1"/>
  <c r="Z115" i="1"/>
  <c r="Y116" i="1"/>
  <c r="Z116" i="1" s="1"/>
  <c r="Y117" i="1"/>
  <c r="Z117" i="1"/>
  <c r="Y118" i="1"/>
  <c r="Z118" i="1" s="1"/>
  <c r="Y119" i="1"/>
  <c r="Z119" i="1"/>
  <c r="Y120" i="1"/>
  <c r="Z120" i="1" s="1"/>
  <c r="Y121" i="1"/>
  <c r="Z121" i="1" s="1"/>
  <c r="Y122" i="1"/>
  <c r="Z122" i="1" s="1"/>
  <c r="Y123" i="1"/>
  <c r="Z123" i="1" s="1"/>
  <c r="Y124" i="1"/>
  <c r="Z124" i="1" s="1"/>
  <c r="Y125" i="1"/>
  <c r="Z125" i="1" s="1"/>
  <c r="Y126" i="1"/>
  <c r="Z126" i="1"/>
  <c r="Y127" i="1"/>
  <c r="Z127" i="1" s="1"/>
  <c r="Y128" i="1"/>
  <c r="Z128" i="1" s="1"/>
  <c r="Y129" i="1"/>
  <c r="Z129" i="1" s="1"/>
  <c r="Y130" i="1"/>
  <c r="Z130" i="1" s="1"/>
  <c r="Y131" i="1"/>
  <c r="Z131" i="1" s="1"/>
  <c r="Y132" i="1"/>
  <c r="Z132" i="1" s="1"/>
  <c r="Y133" i="1"/>
  <c r="Z133" i="1" s="1"/>
  <c r="Y134" i="1"/>
  <c r="Z134" i="1" s="1"/>
  <c r="Y135" i="1"/>
  <c r="Z135" i="1" s="1"/>
  <c r="Y136" i="1"/>
  <c r="Z136" i="1" s="1"/>
  <c r="Y137" i="1"/>
  <c r="Z137" i="1" s="1"/>
  <c r="Y138" i="1"/>
  <c r="Z138" i="1" s="1"/>
  <c r="Y139" i="1"/>
  <c r="Z139" i="1"/>
  <c r="Y140" i="1"/>
  <c r="Z140" i="1" s="1"/>
  <c r="Y141" i="1"/>
  <c r="Z141" i="1"/>
  <c r="Y142" i="1"/>
  <c r="Z142" i="1" s="1"/>
  <c r="Y143" i="1"/>
  <c r="Z143" i="1" s="1"/>
  <c r="Y144" i="1"/>
  <c r="Z144" i="1" s="1"/>
  <c r="Y145" i="1"/>
  <c r="Z145" i="1"/>
  <c r="Y146" i="1"/>
  <c r="Z146" i="1"/>
  <c r="Y147" i="1"/>
  <c r="Z147" i="1"/>
  <c r="Y148" i="1"/>
  <c r="Z148" i="1"/>
  <c r="Y149" i="1"/>
  <c r="Z149" i="1"/>
  <c r="Y150" i="1"/>
  <c r="Z150" i="1" s="1"/>
  <c r="Y151" i="1"/>
  <c r="Z151" i="1" s="1"/>
  <c r="Y152" i="1"/>
  <c r="Z152" i="1" s="1"/>
  <c r="Y153" i="1"/>
  <c r="Z153" i="1"/>
  <c r="Y154" i="1"/>
  <c r="Z154" i="1"/>
  <c r="Y155" i="1"/>
  <c r="Z155" i="1"/>
  <c r="Y156" i="1"/>
  <c r="Z156" i="1" s="1"/>
  <c r="Y157" i="1"/>
  <c r="Z157" i="1" s="1"/>
  <c r="Y158" i="1"/>
  <c r="Z158" i="1" s="1"/>
  <c r="Y159" i="1"/>
  <c r="Z159" i="1"/>
  <c r="Y160" i="1"/>
  <c r="Z160" i="1"/>
  <c r="Y161" i="1"/>
  <c r="Z161" i="1" s="1"/>
  <c r="Y162" i="1"/>
  <c r="Z162" i="1" s="1"/>
  <c r="Y163" i="1"/>
  <c r="Z163" i="1" s="1"/>
  <c r="Y164" i="1"/>
  <c r="Z164" i="1" s="1"/>
  <c r="Y165" i="1"/>
  <c r="Z165" i="1" s="1"/>
  <c r="Y166" i="1"/>
  <c r="Z166" i="1" s="1"/>
  <c r="Y167" i="1"/>
  <c r="Z167" i="1" s="1"/>
  <c r="Y168" i="1"/>
  <c r="Z168" i="1" s="1"/>
  <c r="Y169" i="1"/>
  <c r="Z169" i="1" s="1"/>
  <c r="Y170" i="1"/>
  <c r="Z170" i="1" s="1"/>
  <c r="Y171" i="1"/>
  <c r="Z171" i="1"/>
  <c r="Y172" i="1"/>
  <c r="Z172" i="1" s="1"/>
  <c r="Y173" i="1"/>
  <c r="Z173" i="1" s="1"/>
  <c r="Y174" i="1"/>
  <c r="Z174" i="1" s="1"/>
  <c r="Y175" i="1"/>
  <c r="Z175" i="1" s="1"/>
  <c r="Y176" i="1"/>
  <c r="Z176" i="1" s="1"/>
  <c r="Y177" i="1"/>
  <c r="Z177" i="1"/>
  <c r="Y178" i="1"/>
  <c r="Z178" i="1" s="1"/>
  <c r="Y179" i="1"/>
  <c r="Z179" i="1" s="1"/>
  <c r="Y180" i="1"/>
  <c r="Z180" i="1" s="1"/>
  <c r="Y181" i="1"/>
  <c r="Z181" i="1" s="1"/>
  <c r="Y182" i="1"/>
  <c r="Z182" i="1" s="1"/>
  <c r="Y183" i="1"/>
  <c r="Z183" i="1" s="1"/>
  <c r="Y184" i="1"/>
  <c r="Z184" i="1" s="1"/>
  <c r="Y185" i="1"/>
  <c r="Z185" i="1" s="1"/>
  <c r="Y186" i="1"/>
  <c r="Z186" i="1" s="1"/>
  <c r="Y187" i="1"/>
  <c r="Z187" i="1" s="1"/>
  <c r="Y188" i="1"/>
  <c r="Z188" i="1" s="1"/>
  <c r="Y189" i="1"/>
  <c r="Z189" i="1" s="1"/>
  <c r="Y190" i="1"/>
  <c r="Z190" i="1"/>
  <c r="Y191" i="1"/>
  <c r="Z191" i="1"/>
  <c r="Y192" i="1"/>
  <c r="Z192" i="1" s="1"/>
  <c r="Y193" i="1"/>
  <c r="Z193" i="1" s="1"/>
  <c r="Y194" i="1"/>
  <c r="Z194" i="1" s="1"/>
  <c r="Y195" i="1"/>
  <c r="Z195" i="1" s="1"/>
  <c r="Y196" i="1"/>
  <c r="Z196" i="1"/>
  <c r="Y197" i="1"/>
  <c r="Z197" i="1" s="1"/>
  <c r="Y198" i="1"/>
  <c r="Z198" i="1" s="1"/>
  <c r="Y199" i="1"/>
  <c r="Z199" i="1" s="1"/>
  <c r="Y200" i="1"/>
  <c r="Z200" i="1" s="1"/>
  <c r="Y201" i="1"/>
  <c r="Z201" i="1" s="1"/>
  <c r="Y202" i="1"/>
  <c r="Z202" i="1" s="1"/>
  <c r="Y203" i="1"/>
  <c r="Z203" i="1" s="1"/>
  <c r="Y204" i="1"/>
  <c r="Z204" i="1" s="1"/>
  <c r="Y205" i="1"/>
  <c r="Z205" i="1" s="1"/>
  <c r="Y206" i="1"/>
  <c r="Z206" i="1" s="1"/>
  <c r="Y207" i="1"/>
  <c r="Z207" i="1" s="1"/>
  <c r="Y208" i="1"/>
  <c r="Z208" i="1" s="1"/>
  <c r="Y209" i="1"/>
  <c r="Z209" i="1" s="1"/>
  <c r="Y210" i="1"/>
  <c r="Z210" i="1" s="1"/>
  <c r="Y211" i="1"/>
  <c r="Z211" i="1" s="1"/>
  <c r="Y212" i="1"/>
  <c r="Z212" i="1" s="1"/>
  <c r="Y213" i="1"/>
  <c r="Z213" i="1"/>
  <c r="Y214" i="1"/>
  <c r="Z214" i="1"/>
  <c r="Y215" i="1"/>
  <c r="Z215" i="1" s="1"/>
  <c r="Y216" i="1"/>
  <c r="Z216" i="1" s="1"/>
  <c r="Y217" i="1"/>
  <c r="Z217" i="1" s="1"/>
  <c r="Y218" i="1"/>
  <c r="Z218" i="1" s="1"/>
  <c r="Y219" i="1"/>
  <c r="Z219" i="1" s="1"/>
  <c r="Y220" i="1"/>
  <c r="Z220" i="1" s="1"/>
  <c r="Y221" i="1"/>
  <c r="Z221" i="1" s="1"/>
  <c r="Y222" i="1"/>
  <c r="Z222" i="1" s="1"/>
  <c r="Y223" i="1"/>
  <c r="Z223" i="1" s="1"/>
  <c r="Y224" i="1"/>
  <c r="Z224" i="1" s="1"/>
  <c r="Y225" i="1"/>
  <c r="Z225" i="1"/>
  <c r="Y226" i="1"/>
  <c r="Z226" i="1"/>
  <c r="Y227" i="1"/>
  <c r="Y228" i="1"/>
  <c r="Z228" i="1" s="1"/>
  <c r="Y229" i="1"/>
  <c r="Z229" i="1" s="1"/>
  <c r="Y230" i="1"/>
  <c r="Z230" i="1" s="1"/>
  <c r="Y231" i="1"/>
  <c r="Z231" i="1" s="1"/>
  <c r="Y232" i="1"/>
  <c r="Z232" i="1" s="1"/>
  <c r="Y233" i="1"/>
  <c r="Z233" i="1" s="1"/>
  <c r="Y234" i="1"/>
  <c r="Z234" i="1" s="1"/>
  <c r="Y235" i="1"/>
  <c r="Z235" i="1" s="1"/>
  <c r="Y236" i="1"/>
  <c r="Z236" i="1"/>
  <c r="Y237" i="1"/>
  <c r="Z237" i="1" s="1"/>
  <c r="Y238" i="1"/>
  <c r="Z238" i="1" s="1"/>
  <c r="Y239" i="1"/>
  <c r="Z239" i="1" s="1"/>
  <c r="Y240" i="1"/>
  <c r="Z240" i="1" s="1"/>
  <c r="Y241" i="1"/>
  <c r="Z241" i="1"/>
  <c r="Y242" i="1"/>
  <c r="Z242" i="1" s="1"/>
  <c r="Y243" i="1"/>
  <c r="Z243" i="1" s="1"/>
  <c r="Y244" i="1"/>
  <c r="Z244" i="1" s="1"/>
  <c r="Y245" i="1"/>
  <c r="Z245" i="1" s="1"/>
  <c r="Y246" i="1"/>
  <c r="Z246" i="1" s="1"/>
  <c r="Y247" i="1"/>
  <c r="Z247" i="1" s="1"/>
  <c r="Y248" i="1"/>
  <c r="Z248" i="1"/>
  <c r="Y249" i="1"/>
  <c r="Z249" i="1" s="1"/>
  <c r="Y250" i="1"/>
  <c r="Z250" i="1" s="1"/>
  <c r="Y251" i="1"/>
  <c r="Z251" i="1" s="1"/>
  <c r="Y252" i="1"/>
  <c r="Z252" i="1" s="1"/>
  <c r="Y253" i="1"/>
  <c r="Z253" i="1" s="1"/>
  <c r="Y254" i="1"/>
  <c r="Z254" i="1" s="1"/>
  <c r="Y255" i="1"/>
  <c r="Z255" i="1" s="1"/>
  <c r="Y256" i="1"/>
  <c r="Z256" i="1" s="1"/>
  <c r="Y257" i="1"/>
  <c r="Z257" i="1" s="1"/>
  <c r="Y258" i="1"/>
  <c r="Z258" i="1" s="1"/>
  <c r="Y259" i="1"/>
  <c r="Z259" i="1" s="1"/>
  <c r="Y260" i="1"/>
  <c r="Z260" i="1" s="1"/>
  <c r="Y261" i="1"/>
  <c r="Z261" i="1" s="1"/>
  <c r="Y262" i="1"/>
  <c r="Z262" i="1" s="1"/>
  <c r="Y263" i="1"/>
  <c r="Z263" i="1" s="1"/>
  <c r="Y264" i="1"/>
  <c r="Z264" i="1" s="1"/>
  <c r="Y265" i="1"/>
  <c r="Z265" i="1" s="1"/>
  <c r="Y266" i="1"/>
  <c r="Z266" i="1" s="1"/>
  <c r="Y267" i="1"/>
  <c r="Z267" i="1" s="1"/>
  <c r="Y268" i="1"/>
  <c r="Z268" i="1" s="1"/>
  <c r="Y269" i="1"/>
  <c r="Z269" i="1" s="1"/>
  <c r="Y270" i="1"/>
  <c r="Z270" i="1" s="1"/>
  <c r="Y271" i="1"/>
  <c r="Z271" i="1" s="1"/>
  <c r="Y272" i="1"/>
  <c r="Z272" i="1" s="1"/>
  <c r="Y273" i="1"/>
  <c r="Z273" i="1" s="1"/>
  <c r="Y274" i="1"/>
  <c r="Z274" i="1" s="1"/>
  <c r="Y275" i="1"/>
  <c r="Z275" i="1"/>
  <c r="Y276" i="1"/>
  <c r="Z276" i="1" s="1"/>
  <c r="Y277" i="1"/>
  <c r="Z277" i="1" s="1"/>
  <c r="Y278" i="1"/>
  <c r="Z278" i="1" s="1"/>
  <c r="Y279" i="1"/>
  <c r="Z279" i="1" s="1"/>
  <c r="Y280" i="1"/>
  <c r="Z280" i="1" s="1"/>
  <c r="Y281" i="1"/>
  <c r="Z281" i="1" s="1"/>
  <c r="Y282" i="1"/>
  <c r="Z282" i="1" s="1"/>
  <c r="Y283" i="1"/>
  <c r="Z283" i="1"/>
  <c r="Y284" i="1"/>
  <c r="Z284" i="1" s="1"/>
  <c r="Y285" i="1"/>
  <c r="Z285" i="1" s="1"/>
  <c r="Y286" i="1"/>
  <c r="Z286" i="1" s="1"/>
  <c r="Y287" i="1"/>
  <c r="Z287" i="1" s="1"/>
  <c r="Y288" i="1"/>
  <c r="Z288" i="1" s="1"/>
  <c r="Y289" i="1"/>
  <c r="Z289" i="1"/>
  <c r="Y290" i="1"/>
  <c r="Z290" i="1" s="1"/>
  <c r="Y291" i="1"/>
  <c r="Z291" i="1" s="1"/>
  <c r="Y292" i="1"/>
  <c r="Z292" i="1" s="1"/>
  <c r="Y293" i="1"/>
  <c r="Z293" i="1" s="1"/>
  <c r="Y294" i="1"/>
  <c r="Z294" i="1" s="1"/>
  <c r="Y295" i="1"/>
  <c r="Z295" i="1" s="1"/>
  <c r="Y296" i="1"/>
  <c r="Z296" i="1" s="1"/>
  <c r="Y297" i="1"/>
  <c r="Z297" i="1" s="1"/>
  <c r="Y298" i="1"/>
  <c r="Z298" i="1" s="1"/>
  <c r="Y299" i="1"/>
  <c r="Z299" i="1"/>
  <c r="Y300" i="1"/>
  <c r="Z300" i="1" s="1"/>
  <c r="Y301" i="1"/>
  <c r="Z301" i="1" s="1"/>
  <c r="Y302" i="1"/>
  <c r="Z302" i="1" s="1"/>
  <c r="Y303" i="1"/>
  <c r="Z303" i="1" s="1"/>
  <c r="Y304" i="1"/>
  <c r="Z304" i="1" s="1"/>
  <c r="Y305" i="1"/>
  <c r="Z305" i="1" s="1"/>
  <c r="Y306" i="1"/>
  <c r="Z306" i="1" s="1"/>
  <c r="Y307" i="1"/>
  <c r="Z307" i="1" s="1"/>
  <c r="Y308" i="1"/>
  <c r="Z308" i="1" s="1"/>
  <c r="Y309" i="1"/>
  <c r="Z309" i="1" s="1"/>
  <c r="Y310" i="1"/>
  <c r="Z310" i="1" s="1"/>
  <c r="Y311" i="1"/>
  <c r="Z311" i="1"/>
  <c r="Y312" i="1"/>
  <c r="Z312" i="1" s="1"/>
  <c r="Y313" i="1"/>
  <c r="Z313" i="1" s="1"/>
  <c r="Y314" i="1"/>
  <c r="Z314" i="1" s="1"/>
  <c r="Y315" i="1"/>
  <c r="Z315" i="1" s="1"/>
  <c r="Y316" i="1"/>
  <c r="Z316" i="1" s="1"/>
  <c r="Y317" i="1"/>
  <c r="Z317" i="1"/>
  <c r="Y318" i="1"/>
  <c r="Z318" i="1" s="1"/>
  <c r="Y319" i="1"/>
  <c r="Z319" i="1"/>
  <c r="Y320" i="1"/>
  <c r="Z320" i="1" s="1"/>
  <c r="Y321" i="1"/>
  <c r="Z321" i="1" s="1"/>
  <c r="Y322" i="1"/>
  <c r="Z322" i="1" s="1"/>
  <c r="Y323" i="1"/>
  <c r="Z323" i="1" s="1"/>
  <c r="Y324" i="1"/>
  <c r="Z324" i="1" s="1"/>
  <c r="Y325" i="1"/>
  <c r="Z325" i="1" s="1"/>
  <c r="Y326" i="1"/>
  <c r="Z326" i="1" s="1"/>
  <c r="Y327" i="1"/>
  <c r="Z327" i="1" s="1"/>
  <c r="Y328" i="1"/>
  <c r="Z328" i="1" s="1"/>
  <c r="Y329" i="1"/>
  <c r="Z329" i="1" s="1"/>
  <c r="Y330" i="1"/>
  <c r="Z330" i="1" s="1"/>
  <c r="Y331" i="1"/>
  <c r="Z331" i="1" s="1"/>
  <c r="Y332" i="1"/>
  <c r="Z332" i="1" s="1"/>
  <c r="Y333" i="1"/>
  <c r="Z333" i="1" s="1"/>
  <c r="Y334" i="1"/>
  <c r="Z334" i="1"/>
  <c r="Y335" i="1"/>
  <c r="Z335" i="1" s="1"/>
  <c r="Y336" i="1"/>
  <c r="Z336" i="1" s="1"/>
  <c r="Y337" i="1"/>
  <c r="Z337" i="1" s="1"/>
  <c r="Y338" i="1"/>
  <c r="Z338" i="1" s="1"/>
  <c r="Y339" i="1"/>
  <c r="Z339" i="1" s="1"/>
  <c r="Y340" i="1"/>
  <c r="Z340" i="1" s="1"/>
  <c r="Y341" i="1"/>
  <c r="Z341" i="1" s="1"/>
  <c r="Y342" i="1"/>
  <c r="Z342" i="1" s="1"/>
  <c r="Y343" i="1"/>
  <c r="Z343" i="1" s="1"/>
  <c r="Y399" i="1"/>
  <c r="Z399" i="1"/>
  <c r="Y400" i="1"/>
  <c r="Z400" i="1"/>
  <c r="Y401" i="1"/>
  <c r="Z401" i="1"/>
  <c r="Y402" i="1"/>
  <c r="Z402" i="1"/>
  <c r="F1284" i="11"/>
  <c r="N86" i="24" a="1"/>
  <c r="N86" i="24" s="1"/>
  <c r="O86" i="24" s="1"/>
  <c r="N85" i="24" a="1"/>
  <c r="N85" i="24" s="1"/>
  <c r="O85" i="24" s="1"/>
  <c r="N84" i="24" a="1"/>
  <c r="N84" i="24" s="1"/>
  <c r="O84" i="24" s="1"/>
  <c r="N83" i="24" a="1"/>
  <c r="N83" i="24" s="1"/>
  <c r="O83" i="24" s="1"/>
  <c r="N82" i="24" a="1"/>
  <c r="N82" i="24" s="1"/>
  <c r="O82" i="24" s="1"/>
  <c r="N81" i="24" a="1"/>
  <c r="N81" i="24" s="1"/>
  <c r="O81" i="24" s="1"/>
  <c r="N80" i="24" a="1"/>
  <c r="N80" i="24" s="1"/>
  <c r="O80" i="24" s="1"/>
  <c r="N79" i="24" a="1"/>
  <c r="N79" i="24" s="1"/>
  <c r="O79" i="24" s="1"/>
  <c r="N78" i="24" a="1"/>
  <c r="N78" i="24" s="1"/>
  <c r="O78" i="24" s="1"/>
  <c r="N77" i="24" a="1"/>
  <c r="N77" i="24" s="1"/>
  <c r="O77" i="24" s="1"/>
  <c r="N76" i="24" a="1"/>
  <c r="N76" i="24" s="1"/>
  <c r="O76" i="24" s="1"/>
  <c r="N75" i="24" a="1"/>
  <c r="N75" i="24" s="1"/>
  <c r="O75" i="24" s="1"/>
  <c r="N74" i="24" a="1"/>
  <c r="N74" i="24" s="1"/>
  <c r="O74" i="24" s="1"/>
  <c r="N73" i="24" a="1"/>
  <c r="N73" i="24" s="1"/>
  <c r="O73" i="24" s="1"/>
  <c r="N72" i="24" a="1"/>
  <c r="N72" i="24" s="1"/>
  <c r="O72" i="24" s="1"/>
  <c r="N71" i="24" a="1"/>
  <c r="N71" i="24" s="1"/>
  <c r="O71" i="24" s="1"/>
  <c r="N70" i="24" a="1"/>
  <c r="N70" i="24" s="1"/>
  <c r="O70" i="24" s="1"/>
  <c r="N69" i="24" a="1"/>
  <c r="N69" i="24" s="1"/>
  <c r="O69" i="24" s="1"/>
  <c r="N68" i="24" a="1"/>
  <c r="N68" i="24" s="1"/>
  <c r="O68" i="24" s="1"/>
  <c r="N67" i="24" a="1"/>
  <c r="N67" i="24" s="1"/>
  <c r="O67" i="24" s="1"/>
  <c r="N66" i="24" a="1"/>
  <c r="N66" i="24" s="1"/>
  <c r="O66" i="24" s="1"/>
  <c r="N65" i="24" a="1"/>
  <c r="N65" i="24" s="1"/>
  <c r="O65" i="24" s="1"/>
  <c r="N64" i="24" a="1"/>
  <c r="N64" i="24" s="1"/>
  <c r="O64" i="24" s="1"/>
  <c r="N63" i="24" a="1"/>
  <c r="N63" i="24" s="1"/>
  <c r="O63" i="24" s="1"/>
  <c r="N62" i="24" a="1"/>
  <c r="N62" i="24" s="1"/>
  <c r="O62" i="24" s="1"/>
  <c r="N61" i="24" a="1"/>
  <c r="N61" i="24" s="1"/>
  <c r="O61" i="24" s="1"/>
  <c r="N60" i="24" a="1"/>
  <c r="N60" i="24" s="1"/>
  <c r="O60" i="24" s="1"/>
  <c r="N59" i="24" a="1"/>
  <c r="N59" i="24" s="1"/>
  <c r="O59" i="24" s="1"/>
  <c r="N58" i="24" a="1"/>
  <c r="N58" i="24" s="1"/>
  <c r="O58" i="24" s="1"/>
  <c r="N57" i="24" a="1"/>
  <c r="N57" i="24" s="1"/>
  <c r="O57" i="24" s="1"/>
  <c r="N56" i="24" a="1"/>
  <c r="N56" i="24" s="1"/>
  <c r="O56" i="24" s="1"/>
  <c r="N55" i="24" a="1"/>
  <c r="N55" i="24" s="1"/>
  <c r="O55" i="24" s="1"/>
  <c r="N54" i="24" a="1"/>
  <c r="N54" i="24" s="1"/>
  <c r="O54" i="24" s="1"/>
  <c r="N53" i="24" a="1"/>
  <c r="N53" i="24" s="1"/>
  <c r="O53" i="24" s="1"/>
  <c r="N52" i="24" a="1"/>
  <c r="N52" i="24" s="1"/>
  <c r="O52" i="24" s="1"/>
  <c r="N51" i="24" a="1"/>
  <c r="N51" i="24" s="1"/>
  <c r="O51" i="24" s="1"/>
  <c r="N50" i="24" a="1"/>
  <c r="N50" i="24" s="1"/>
  <c r="O50" i="24" s="1"/>
  <c r="N49" i="24" a="1"/>
  <c r="N49" i="24" s="1"/>
  <c r="O49" i="24" s="1"/>
  <c r="N48" i="24" a="1"/>
  <c r="N48" i="24" s="1"/>
  <c r="O48" i="24" s="1"/>
  <c r="N47" i="24" a="1"/>
  <c r="N47" i="24" s="1"/>
  <c r="O47" i="24" s="1"/>
  <c r="N46" i="24" a="1"/>
  <c r="N46" i="24" s="1"/>
  <c r="O46" i="24" s="1"/>
  <c r="N45" i="24" a="1"/>
  <c r="N45" i="24" s="1"/>
  <c r="O45" i="24" s="1"/>
  <c r="N44" i="24" a="1"/>
  <c r="N44" i="24" s="1"/>
  <c r="O44" i="24" s="1"/>
  <c r="N43" i="24" a="1"/>
  <c r="N43" i="24" s="1"/>
  <c r="O43" i="24" s="1"/>
  <c r="N42" i="24" a="1"/>
  <c r="N42" i="24" s="1"/>
  <c r="O42" i="24" s="1"/>
  <c r="N41" i="24" a="1"/>
  <c r="N41" i="24" s="1"/>
  <c r="O41" i="24" s="1"/>
  <c r="N40" i="24" a="1"/>
  <c r="N40" i="24" s="1"/>
  <c r="O40" i="24" s="1"/>
  <c r="N39" i="24" a="1"/>
  <c r="N39" i="24" s="1"/>
  <c r="O39" i="24" s="1"/>
  <c r="N38" i="24" a="1"/>
  <c r="N38" i="24" s="1"/>
  <c r="O38" i="24" s="1"/>
  <c r="N37" i="24" a="1"/>
  <c r="N37" i="24" s="1"/>
  <c r="O37" i="24" s="1"/>
  <c r="N36" i="24" a="1"/>
  <c r="N36" i="24" s="1"/>
  <c r="O36" i="24" s="1"/>
  <c r="N35" i="24" a="1"/>
  <c r="N35" i="24" s="1"/>
  <c r="O35" i="24" s="1"/>
  <c r="N34" i="24" a="1"/>
  <c r="N34" i="24" s="1"/>
  <c r="O34" i="24" s="1"/>
  <c r="N33" i="24" a="1"/>
  <c r="N33" i="24" s="1"/>
  <c r="O33" i="24" s="1"/>
  <c r="N32" i="24" a="1"/>
  <c r="N32" i="24" s="1"/>
  <c r="O32" i="24" s="1"/>
  <c r="N31" i="24" a="1"/>
  <c r="N31" i="24" s="1"/>
  <c r="O31" i="24" s="1"/>
  <c r="N30" i="24" a="1"/>
  <c r="N30" i="24" s="1"/>
  <c r="O30" i="24" s="1"/>
  <c r="N29" i="24" a="1"/>
  <c r="N29" i="24" s="1"/>
  <c r="O29" i="24" s="1"/>
  <c r="N28" i="24" a="1"/>
  <c r="N28" i="24" s="1"/>
  <c r="O28" i="24" s="1"/>
  <c r="N27" i="24" a="1"/>
  <c r="N27" i="24" s="1"/>
  <c r="O27" i="24" s="1"/>
  <c r="N26" i="24" a="1"/>
  <c r="N26" i="24" s="1"/>
  <c r="O26" i="24" s="1"/>
  <c r="N25" i="24" a="1"/>
  <c r="N25" i="24" s="1"/>
  <c r="O25" i="24" s="1"/>
  <c r="N24" i="24" a="1"/>
  <c r="N24" i="24" s="1"/>
  <c r="O24" i="24" s="1"/>
  <c r="N23" i="24" a="1"/>
  <c r="N23" i="24" s="1"/>
  <c r="O23" i="24" s="1"/>
  <c r="N22" i="24" a="1"/>
  <c r="N22" i="24" s="1"/>
  <c r="O22" i="24" s="1"/>
  <c r="N21" i="24" a="1"/>
  <c r="N21" i="24" s="1"/>
  <c r="O21" i="24" s="1"/>
  <c r="N20" i="24" a="1"/>
  <c r="N20" i="24" s="1"/>
  <c r="O20" i="24" s="1"/>
  <c r="N19" i="24" a="1"/>
  <c r="N19" i="24" s="1"/>
  <c r="O19" i="24" s="1"/>
  <c r="N18" i="24" a="1"/>
  <c r="N18" i="24" s="1"/>
  <c r="O18" i="24" s="1"/>
  <c r="N17" i="24" a="1"/>
  <c r="N17" i="24" s="1"/>
  <c r="O17" i="24" s="1"/>
  <c r="N16" i="24" a="1"/>
  <c r="N16" i="24" s="1"/>
  <c r="O16" i="24" s="1"/>
  <c r="N15" i="24" a="1"/>
  <c r="N15" i="24" s="1"/>
  <c r="O15" i="24" s="1"/>
  <c r="N14" i="24" a="1"/>
  <c r="N14" i="24" s="1"/>
  <c r="O14" i="24" s="1"/>
  <c r="N13" i="24" a="1"/>
  <c r="N13" i="24" s="1"/>
  <c r="O13" i="24" s="1"/>
  <c r="N12" i="24" a="1"/>
  <c r="N12" i="24" s="1"/>
  <c r="O12" i="24" s="1"/>
  <c r="N11" i="24" a="1"/>
  <c r="N11" i="24" s="1"/>
  <c r="O11" i="24" s="1"/>
  <c r="N10" i="24" a="1"/>
  <c r="N10" i="24" s="1"/>
  <c r="O10" i="24" s="1"/>
  <c r="N9" i="24" a="1"/>
  <c r="N9" i="24" s="1"/>
  <c r="O9" i="24" s="1"/>
  <c r="N8" i="24" a="1"/>
  <c r="N8" i="24" s="1"/>
  <c r="O8" i="24" s="1"/>
  <c r="N7" i="24" a="1"/>
  <c r="N7" i="24" s="1"/>
  <c r="O7" i="24" s="1"/>
  <c r="V183" i="1"/>
  <c r="V57" i="1"/>
  <c r="I13" i="10"/>
  <c r="V343" i="1"/>
  <c r="V342" i="1"/>
  <c r="V341" i="1"/>
  <c r="B343" i="1"/>
  <c r="B342" i="1"/>
  <c r="B341" i="1"/>
  <c r="V335" i="1"/>
  <c r="V336" i="1"/>
  <c r="V337" i="1"/>
  <c r="V338" i="1"/>
  <c r="V339" i="1"/>
  <c r="V340" i="1"/>
  <c r="B335" i="1"/>
  <c r="B336" i="1"/>
  <c r="B337" i="1"/>
  <c r="B338" i="1"/>
  <c r="B339" i="1"/>
  <c r="B340" i="1"/>
  <c r="W340" i="1" s="1"/>
  <c r="V334" i="1"/>
  <c r="B334" i="1"/>
  <c r="V332" i="1"/>
  <c r="B332" i="1"/>
  <c r="V324" i="1"/>
  <c r="V325" i="1"/>
  <c r="V326" i="1"/>
  <c r="V327" i="1"/>
  <c r="V328" i="1"/>
  <c r="V329" i="1"/>
  <c r="V330" i="1"/>
  <c r="V331" i="1"/>
  <c r="B331" i="1"/>
  <c r="B330" i="1"/>
  <c r="B328" i="1"/>
  <c r="B329" i="1"/>
  <c r="B327" i="1"/>
  <c r="B324" i="1"/>
  <c r="B325" i="1"/>
  <c r="B326" i="1"/>
  <c r="V323" i="1"/>
  <c r="B323" i="1"/>
  <c r="V322" i="1"/>
  <c r="B322" i="1"/>
  <c r="V321" i="1"/>
  <c r="B321" i="1"/>
  <c r="V320" i="1"/>
  <c r="B320" i="1"/>
  <c r="B319" i="1"/>
  <c r="V319" i="1"/>
  <c r="V318" i="1"/>
  <c r="B318" i="1"/>
  <c r="B317" i="1"/>
  <c r="V314" i="1"/>
  <c r="V315" i="1"/>
  <c r="V316" i="1"/>
  <c r="V317" i="1"/>
  <c r="B314" i="1"/>
  <c r="B315" i="1"/>
  <c r="B316" i="1"/>
  <c r="K113" i="24"/>
  <c r="K110" i="24" a="1"/>
  <c r="K110" i="24"/>
  <c r="K109" i="24" a="1"/>
  <c r="K109" i="24"/>
  <c r="K108" i="24" a="1"/>
  <c r="K108" i="24"/>
  <c r="K107" i="24" a="1"/>
  <c r="K107" i="24"/>
  <c r="K112" i="24"/>
  <c r="M86" i="24"/>
  <c r="L86" i="24"/>
  <c r="M83" i="24"/>
  <c r="M81" i="24"/>
  <c r="L81" i="24"/>
  <c r="M78" i="24"/>
  <c r="M75" i="24"/>
  <c r="L75" i="24"/>
  <c r="M73" i="24"/>
  <c r="M69" i="24"/>
  <c r="M67" i="24"/>
  <c r="L67" i="24"/>
  <c r="M65" i="24"/>
  <c r="M64" i="24"/>
  <c r="M62" i="24"/>
  <c r="M60" i="24"/>
  <c r="L60" i="24"/>
  <c r="M59" i="24"/>
  <c r="L59" i="24"/>
  <c r="M58" i="24"/>
  <c r="L58" i="24"/>
  <c r="M53" i="24"/>
  <c r="L53" i="24"/>
  <c r="M51" i="24"/>
  <c r="M48" i="24"/>
  <c r="M44" i="24"/>
  <c r="M43" i="24"/>
  <c r="M41" i="24"/>
  <c r="M37" i="24"/>
  <c r="M31" i="24"/>
  <c r="M28" i="24"/>
  <c r="M26" i="24"/>
  <c r="L26" i="24"/>
  <c r="M16" i="24"/>
  <c r="L16" i="24"/>
  <c r="M15" i="24"/>
  <c r="L15" i="24"/>
  <c r="M14" i="24"/>
  <c r="L14" i="24"/>
  <c r="M13" i="24"/>
  <c r="L13" i="24"/>
  <c r="M12" i="24"/>
  <c r="L12" i="24"/>
  <c r="M11" i="24"/>
  <c r="L11" i="24"/>
  <c r="M10" i="24"/>
  <c r="L10" i="24"/>
  <c r="M9" i="24"/>
  <c r="L9" i="24"/>
  <c r="M8" i="24"/>
  <c r="L8" i="24"/>
  <c r="M7" i="24"/>
  <c r="L7" i="24"/>
  <c r="C3" i="24" a="1"/>
  <c r="C3" i="24"/>
  <c r="C4" i="24"/>
  <c r="D2" i="23"/>
  <c r="U28" i="16" a="1"/>
  <c r="U28" i="16"/>
  <c r="T28" i="16" a="1"/>
  <c r="T28" i="16"/>
  <c r="S28" i="16" a="1"/>
  <c r="S28" i="16"/>
  <c r="R28" i="16" a="1"/>
  <c r="R28" i="16"/>
  <c r="R11" i="16" a="1"/>
  <c r="R11" i="16"/>
  <c r="R12" i="16" a="1"/>
  <c r="R12" i="16"/>
  <c r="R13" i="16" a="1"/>
  <c r="R13" i="16"/>
  <c r="R14" i="16" a="1"/>
  <c r="R14" i="16"/>
  <c r="R15" i="16" a="1"/>
  <c r="R15" i="16"/>
  <c r="R16" i="16" a="1"/>
  <c r="R16" i="16"/>
  <c r="R17" i="16" a="1"/>
  <c r="R17" i="16"/>
  <c r="R18" i="16" a="1"/>
  <c r="R19" i="16" a="1"/>
  <c r="R19" i="16"/>
  <c r="R20" i="16" a="1"/>
  <c r="R20" i="16"/>
  <c r="R21" i="16" a="1"/>
  <c r="R21" i="16"/>
  <c r="R22" i="16" a="1"/>
  <c r="R22" i="16"/>
  <c r="R23" i="16" a="1"/>
  <c r="R23" i="16"/>
  <c r="R24" i="16" a="1"/>
  <c r="R24" i="16"/>
  <c r="R25" i="16" a="1"/>
  <c r="R25" i="16"/>
  <c r="R26" i="16" a="1"/>
  <c r="R26" i="16"/>
  <c r="R27" i="16" a="1"/>
  <c r="R27" i="16"/>
  <c r="R18" i="16"/>
  <c r="Q28" i="16" a="1"/>
  <c r="Q28" i="16"/>
  <c r="P28" i="16" a="1"/>
  <c r="P28" i="16"/>
  <c r="U27" i="16" a="1"/>
  <c r="U27" i="16"/>
  <c r="T27" i="16" a="1"/>
  <c r="T27" i="16"/>
  <c r="T11" i="16" a="1"/>
  <c r="T11" i="16"/>
  <c r="T12" i="16" a="1"/>
  <c r="T12" i="16"/>
  <c r="T13" i="16" a="1"/>
  <c r="T13" i="16"/>
  <c r="T14" i="16" a="1"/>
  <c r="T14" i="16"/>
  <c r="T15" i="16" a="1"/>
  <c r="T15" i="16"/>
  <c r="T16" i="16" a="1"/>
  <c r="T16" i="16"/>
  <c r="T17" i="16" a="1"/>
  <c r="T17" i="16"/>
  <c r="T18" i="16" a="1"/>
  <c r="T18" i="16"/>
  <c r="T19" i="16" a="1"/>
  <c r="T19" i="16"/>
  <c r="T20" i="16" a="1"/>
  <c r="T20" i="16"/>
  <c r="T21" i="16" a="1"/>
  <c r="T21" i="16"/>
  <c r="T22" i="16" a="1"/>
  <c r="T22" i="16"/>
  <c r="T23" i="16" a="1"/>
  <c r="T23" i="16"/>
  <c r="T24" i="16" a="1"/>
  <c r="T25" i="16" a="1"/>
  <c r="T25" i="16"/>
  <c r="T26" i="16" a="1"/>
  <c r="T26" i="16"/>
  <c r="T24" i="16"/>
  <c r="S27" i="16" a="1"/>
  <c r="S27" i="16"/>
  <c r="Q27" i="16" a="1"/>
  <c r="Q27" i="16"/>
  <c r="P27" i="16" a="1"/>
  <c r="P27" i="16"/>
  <c r="U26" i="16" a="1"/>
  <c r="U26" i="16"/>
  <c r="S26" i="16" a="1"/>
  <c r="S26" i="16"/>
  <c r="Q26" i="16" a="1"/>
  <c r="Q26" i="16"/>
  <c r="P26" i="16" a="1"/>
  <c r="P26" i="16"/>
  <c r="U25" i="16" a="1"/>
  <c r="U25" i="16"/>
  <c r="S25" i="16" a="1"/>
  <c r="S25" i="16"/>
  <c r="Q25" i="16" a="1"/>
  <c r="Q25" i="16"/>
  <c r="P25" i="16" a="1"/>
  <c r="P25" i="16"/>
  <c r="U24" i="16" a="1"/>
  <c r="U24" i="16"/>
  <c r="S24" i="16" a="1"/>
  <c r="S24" i="16"/>
  <c r="Q24" i="16" a="1"/>
  <c r="Q24" i="16"/>
  <c r="P24" i="16" a="1"/>
  <c r="P24" i="16"/>
  <c r="U23" i="16" a="1"/>
  <c r="U23" i="16"/>
  <c r="S23" i="16" a="1"/>
  <c r="S23" i="16"/>
  <c r="Q23" i="16" a="1"/>
  <c r="Q23" i="16"/>
  <c r="P23" i="16" a="1"/>
  <c r="P23" i="16"/>
  <c r="U22" i="16" a="1"/>
  <c r="U22" i="16"/>
  <c r="S22" i="16" a="1"/>
  <c r="S22" i="16"/>
  <c r="Q22" i="16" a="1"/>
  <c r="Q22" i="16"/>
  <c r="P22" i="16" a="1"/>
  <c r="P22" i="16"/>
  <c r="U21" i="16" a="1"/>
  <c r="U21" i="16"/>
  <c r="S21" i="16" a="1"/>
  <c r="S21" i="16"/>
  <c r="Q21" i="16" a="1"/>
  <c r="Q21" i="16"/>
  <c r="P21" i="16" a="1"/>
  <c r="P21" i="16"/>
  <c r="U20" i="16" a="1"/>
  <c r="U20" i="16"/>
  <c r="S20" i="16" a="1"/>
  <c r="S20" i="16"/>
  <c r="Q20" i="16" a="1"/>
  <c r="Q20" i="16"/>
  <c r="P20" i="16" a="1"/>
  <c r="P20" i="16"/>
  <c r="U19" i="16" a="1"/>
  <c r="U19" i="16"/>
  <c r="S19" i="16" a="1"/>
  <c r="S19" i="16"/>
  <c r="Q19" i="16" a="1"/>
  <c r="Q19" i="16"/>
  <c r="P19" i="16" a="1"/>
  <c r="P19" i="16"/>
  <c r="U18" i="16" a="1"/>
  <c r="U18" i="16"/>
  <c r="S18" i="16" a="1"/>
  <c r="S18" i="16"/>
  <c r="Q18" i="16" a="1"/>
  <c r="Q18" i="16"/>
  <c r="P18" i="16" a="1"/>
  <c r="P18" i="16"/>
  <c r="U17" i="16" a="1"/>
  <c r="U17" i="16"/>
  <c r="S17" i="16" a="1"/>
  <c r="S17" i="16"/>
  <c r="Q17" i="16" a="1"/>
  <c r="Q17" i="16"/>
  <c r="P17" i="16" a="1"/>
  <c r="P17" i="16"/>
  <c r="U16" i="16" a="1"/>
  <c r="U16" i="16"/>
  <c r="S16" i="16" a="1"/>
  <c r="S16" i="16"/>
  <c r="Q16" i="16" a="1"/>
  <c r="Q16" i="16"/>
  <c r="P16" i="16" a="1"/>
  <c r="P16" i="16"/>
  <c r="U15" i="16" a="1"/>
  <c r="U15" i="16"/>
  <c r="S15" i="16" a="1"/>
  <c r="S15" i="16"/>
  <c r="Q15" i="16" a="1"/>
  <c r="Q15" i="16"/>
  <c r="P15" i="16" a="1"/>
  <c r="P15" i="16"/>
  <c r="U14" i="16" a="1"/>
  <c r="U14" i="16"/>
  <c r="S14" i="16" a="1"/>
  <c r="S14" i="16"/>
  <c r="Q14" i="16" a="1"/>
  <c r="Q14" i="16"/>
  <c r="P14" i="16" a="1"/>
  <c r="P14" i="16"/>
  <c r="U13" i="16" a="1"/>
  <c r="U13" i="16"/>
  <c r="S13" i="16" a="1"/>
  <c r="S13" i="16"/>
  <c r="Q13" i="16" a="1"/>
  <c r="Q13" i="16"/>
  <c r="P13" i="16" a="1"/>
  <c r="P13" i="16"/>
  <c r="P11" i="16" a="1"/>
  <c r="P11" i="16"/>
  <c r="P12" i="16" a="1"/>
  <c r="P12" i="16"/>
  <c r="U12" i="16" a="1"/>
  <c r="U12" i="16"/>
  <c r="S12" i="16" a="1"/>
  <c r="S12" i="16"/>
  <c r="Q12" i="16" a="1"/>
  <c r="Q12" i="16"/>
  <c r="Q11" i="16" a="1"/>
  <c r="Q11" i="16"/>
  <c r="U11" i="16" a="1"/>
  <c r="U11" i="16"/>
  <c r="S11" i="16" a="1"/>
  <c r="S11" i="16"/>
  <c r="M28" i="14"/>
  <c r="M29" i="14"/>
  <c r="K27" i="14"/>
  <c r="K28" i="14"/>
  <c r="K29" i="14"/>
  <c r="V21" i="1"/>
  <c r="B21" i="1"/>
  <c r="V210" i="1"/>
  <c r="V226" i="1"/>
  <c r="B226" i="1"/>
  <c r="B210" i="1"/>
  <c r="V249" i="1"/>
  <c r="B249" i="1"/>
  <c r="B229" i="1"/>
  <c r="V229" i="1"/>
  <c r="V250" i="1"/>
  <c r="V293" i="1"/>
  <c r="B250" i="1"/>
  <c r="B293" i="1"/>
  <c r="V4" i="1"/>
  <c r="B4" i="1"/>
  <c r="V283" i="1"/>
  <c r="B283" i="1"/>
  <c r="E55" i="14" a="1"/>
  <c r="E55" i="14" s="1"/>
  <c r="E54" i="14" a="1"/>
  <c r="E54" i="14" s="1"/>
  <c r="E53" i="14" a="1"/>
  <c r="E53" i="14" s="1"/>
  <c r="E52" i="14" a="1"/>
  <c r="E52" i="14" s="1"/>
  <c r="E51" i="14" a="1"/>
  <c r="E51" i="14" s="1"/>
  <c r="E50" i="14" a="1"/>
  <c r="E50" i="14" s="1"/>
  <c r="E49" i="14" a="1"/>
  <c r="E49" i="14" s="1"/>
  <c r="F48" i="14" a="1"/>
  <c r="F48" i="14" s="1"/>
  <c r="E48" i="14" a="1"/>
  <c r="E48" i="14" s="1"/>
  <c r="E47" i="14" a="1"/>
  <c r="E47" i="14" s="1"/>
  <c r="E46" i="14" a="1"/>
  <c r="E46" i="14" s="1"/>
  <c r="E45" i="14" a="1"/>
  <c r="E45" i="14" s="1"/>
  <c r="E44" i="14" a="1"/>
  <c r="E44" i="14" s="1"/>
  <c r="E43" i="14" a="1"/>
  <c r="E43" i="14" s="1"/>
  <c r="E42" i="14" a="1"/>
  <c r="E42" i="14" s="1"/>
  <c r="E41" i="14" a="1"/>
  <c r="E41" i="14" s="1"/>
  <c r="F40" i="14" a="1"/>
  <c r="F40" i="14" s="1"/>
  <c r="E40" i="14" a="1"/>
  <c r="E40" i="14" s="1"/>
  <c r="E39" i="14" a="1"/>
  <c r="E39" i="14" s="1"/>
  <c r="E38" i="14" a="1"/>
  <c r="E38" i="14" s="1"/>
  <c r="E37" i="14" a="1"/>
  <c r="E37" i="14" s="1"/>
  <c r="E36" i="14" a="1"/>
  <c r="E36" i="14" s="1"/>
  <c r="V311" i="1"/>
  <c r="V303" i="1"/>
  <c r="B303" i="1"/>
  <c r="B311" i="1"/>
  <c r="V156" i="1"/>
  <c r="B156" i="1"/>
  <c r="B246" i="1"/>
  <c r="B176" i="1"/>
  <c r="B192" i="1"/>
  <c r="B53" i="1"/>
  <c r="B37" i="1"/>
  <c r="B287" i="1"/>
  <c r="B213" i="1"/>
  <c r="B69" i="1"/>
  <c r="B59" i="1"/>
  <c r="B291" i="1"/>
  <c r="B167"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V101" i="1"/>
  <c r="V99" i="1"/>
  <c r="V87" i="1"/>
  <c r="V79" i="1"/>
  <c r="V76" i="1"/>
  <c r="V71" i="1"/>
  <c r="V98" i="1"/>
  <c r="V93" i="1"/>
  <c r="V91" i="1"/>
  <c r="V85" i="1"/>
  <c r="V83" i="1"/>
  <c r="V81" i="1"/>
  <c r="V80" i="1"/>
  <c r="V74" i="1"/>
  <c r="V73" i="1"/>
  <c r="V105" i="1"/>
  <c r="V104" i="1"/>
  <c r="V97" i="1"/>
  <c r="V95" i="1"/>
  <c r="V92" i="1"/>
  <c r="V90" i="1"/>
  <c r="V82" i="1"/>
  <c r="B188" i="1"/>
  <c r="B140" i="1"/>
  <c r="B126" i="1"/>
  <c r="B184" i="1"/>
  <c r="B137" i="1"/>
  <c r="B211" i="1"/>
  <c r="B194" i="1"/>
  <c r="B132" i="1"/>
  <c r="W132" i="1" s="1"/>
  <c r="B125" i="1"/>
  <c r="B312" i="1"/>
  <c r="B310" i="1"/>
  <c r="B237" i="1"/>
  <c r="B164" i="1"/>
  <c r="B169" i="1"/>
  <c r="B139" i="1"/>
  <c r="B38" i="1"/>
  <c r="B307" i="1"/>
  <c r="B136" i="1"/>
  <c r="B63" i="1"/>
  <c r="B58" i="1"/>
  <c r="B240" i="1"/>
  <c r="B214" i="1"/>
  <c r="B243" i="1"/>
  <c r="B289" i="1"/>
  <c r="B62" i="1"/>
  <c r="W62" i="1" s="1"/>
  <c r="B157" i="1"/>
  <c r="B238" i="1"/>
  <c r="B242" i="1"/>
  <c r="B5" i="1"/>
  <c r="B144" i="1"/>
  <c r="B67" i="1"/>
  <c r="B153" i="1"/>
  <c r="B308" i="1"/>
  <c r="B163" i="1"/>
  <c r="B290" i="1"/>
  <c r="B147" i="1"/>
  <c r="B160" i="1"/>
  <c r="B70" i="1"/>
  <c r="B131" i="1"/>
  <c r="B189" i="1"/>
  <c r="B178" i="1"/>
  <c r="B304" i="1"/>
  <c r="B193" i="1"/>
  <c r="B168" i="1"/>
  <c r="B174" i="1"/>
  <c r="B173" i="1"/>
  <c r="B148" i="1"/>
  <c r="B149" i="1"/>
  <c r="B236" i="1"/>
  <c r="B141" i="1"/>
  <c r="B299" i="1"/>
  <c r="B294" i="1"/>
  <c r="B292" i="1"/>
  <c r="B152" i="1"/>
  <c r="B280" i="1"/>
  <c r="B295" i="1"/>
  <c r="B66" i="1"/>
  <c r="B224" i="1"/>
  <c r="B191" i="1"/>
  <c r="B190" i="1"/>
  <c r="B124" i="1"/>
  <c r="B282" i="1"/>
  <c r="B296" i="1"/>
  <c r="B239" i="1"/>
  <c r="B212" i="1"/>
  <c r="B27" i="1"/>
  <c r="B302" i="1"/>
  <c r="B245" i="1"/>
  <c r="B198" i="1"/>
  <c r="B127" i="1"/>
  <c r="B288" i="1"/>
  <c r="B65" i="1"/>
  <c r="B172" i="1"/>
  <c r="B185" i="1"/>
  <c r="B31" i="1"/>
  <c r="B128" i="1"/>
  <c r="B43" i="1"/>
  <c r="B244" i="1"/>
  <c r="B171" i="1"/>
  <c r="B235" i="1"/>
  <c r="B123" i="1"/>
  <c r="B271" i="1"/>
  <c r="B270" i="1"/>
  <c r="B223" i="1"/>
  <c r="B269" i="1"/>
  <c r="B279" i="1"/>
  <c r="B2" i="1"/>
  <c r="B222" i="1"/>
  <c r="B221" i="1"/>
  <c r="B225" i="1"/>
  <c r="B275" i="1"/>
  <c r="B278" i="1"/>
  <c r="B158" i="1"/>
  <c r="B151" i="1"/>
  <c r="B286" i="1"/>
  <c r="B285" i="1"/>
  <c r="B220" i="1"/>
  <c r="B268" i="1"/>
  <c r="B217" i="1"/>
  <c r="B267" i="1"/>
  <c r="B281" i="1"/>
  <c r="B274" i="1"/>
  <c r="B266" i="1"/>
  <c r="B265" i="1"/>
  <c r="B264" i="1"/>
  <c r="B263" i="1"/>
  <c r="B262" i="1"/>
  <c r="B261" i="1"/>
  <c r="B260" i="1"/>
  <c r="B259" i="1"/>
  <c r="B258" i="1"/>
  <c r="B257" i="1"/>
  <c r="B256" i="1"/>
  <c r="B255" i="1"/>
  <c r="B273" i="1"/>
  <c r="B272" i="1"/>
  <c r="B277" i="1"/>
  <c r="B276" i="1"/>
  <c r="B254" i="1"/>
  <c r="B216" i="1"/>
  <c r="B195" i="1"/>
  <c r="B300" i="1"/>
  <c r="B241" i="1"/>
  <c r="B179" i="1"/>
  <c r="B180" i="1"/>
  <c r="B298" i="1"/>
  <c r="B183" i="1"/>
  <c r="B145" i="1"/>
  <c r="B284" i="1"/>
  <c r="B177" i="1"/>
  <c r="B133" i="1"/>
  <c r="B218" i="1"/>
  <c r="B61" i="1"/>
  <c r="B60" i="1"/>
  <c r="B142" i="1"/>
  <c r="B215" i="1"/>
  <c r="B64" i="1"/>
  <c r="B305" i="1"/>
  <c r="B306" i="1"/>
  <c r="B159" i="1"/>
  <c r="B146" i="1"/>
  <c r="B297" i="1"/>
  <c r="B182" i="1"/>
  <c r="B181" i="1"/>
  <c r="B175" i="1"/>
  <c r="B251" i="1"/>
  <c r="B68" i="1"/>
  <c r="B116" i="1"/>
  <c r="B135" i="1"/>
  <c r="B162" i="1"/>
  <c r="B219" i="1"/>
  <c r="B301" i="1"/>
  <c r="B187" i="1"/>
  <c r="B186" i="1"/>
  <c r="B161" i="1"/>
  <c r="B20" i="1"/>
  <c r="B19" i="1"/>
  <c r="B26" i="1"/>
  <c r="B6" i="1"/>
  <c r="B18" i="1"/>
  <c r="B17" i="1"/>
  <c r="B57" i="1"/>
  <c r="B36" i="1"/>
  <c r="B54" i="1"/>
  <c r="B16" i="1"/>
  <c r="B30" i="1"/>
  <c r="B28" i="1"/>
  <c r="B34" i="1"/>
  <c r="B29" i="1"/>
  <c r="B35" i="1"/>
  <c r="B15" i="1"/>
  <c r="B14" i="1"/>
  <c r="B32" i="1"/>
  <c r="B25" i="1"/>
  <c r="B134" i="1"/>
  <c r="B33" i="1"/>
  <c r="B13" i="1"/>
  <c r="B12" i="1"/>
  <c r="B11" i="1"/>
  <c r="B24" i="1"/>
  <c r="B10" i="1"/>
  <c r="B23" i="1"/>
  <c r="B9" i="1"/>
  <c r="B22" i="1"/>
  <c r="B8" i="1"/>
  <c r="B7" i="1"/>
  <c r="B52" i="1"/>
  <c r="B253" i="1"/>
  <c r="W253" i="1" s="1"/>
  <c r="B309" i="1"/>
  <c r="B170" i="1"/>
  <c r="B247" i="1"/>
  <c r="B313" i="1"/>
  <c r="B51" i="1"/>
  <c r="B50" i="1"/>
  <c r="B166" i="1"/>
  <c r="B40" i="1"/>
  <c r="B49" i="1"/>
  <c r="B48" i="1"/>
  <c r="B119" i="1"/>
  <c r="B42" i="1"/>
  <c r="B47" i="1"/>
  <c r="B118" i="1"/>
  <c r="B117" i="1"/>
  <c r="B165" i="1"/>
  <c r="B41" i="1"/>
  <c r="B122" i="1"/>
  <c r="B120" i="1"/>
  <c r="B121" i="1"/>
  <c r="B56" i="1"/>
  <c r="B55" i="1"/>
  <c r="B248" i="1"/>
  <c r="B130" i="1"/>
  <c r="B129" i="1"/>
  <c r="B155" i="1"/>
  <c r="B154" i="1"/>
  <c r="B150" i="1"/>
  <c r="B143" i="1"/>
  <c r="B234" i="1"/>
  <c r="B233" i="1"/>
  <c r="B232" i="1"/>
  <c r="B231" i="1"/>
  <c r="B230" i="1"/>
  <c r="B227" i="1"/>
  <c r="B228" i="1"/>
  <c r="B209" i="1"/>
  <c r="B208" i="1"/>
  <c r="B207" i="1"/>
  <c r="B206" i="1"/>
  <c r="B205" i="1"/>
  <c r="B196" i="1"/>
  <c r="B197" i="1"/>
  <c r="B200" i="1"/>
  <c r="B199" i="1"/>
  <c r="B204" i="1"/>
  <c r="B203" i="1"/>
  <c r="B202" i="1"/>
  <c r="B201" i="1"/>
  <c r="B46" i="1"/>
  <c r="B45" i="1"/>
  <c r="B44" i="1"/>
  <c r="M30" i="14"/>
  <c r="M18" i="14"/>
  <c r="M19" i="14"/>
  <c r="K21" i="14"/>
  <c r="K22" i="14"/>
  <c r="K23" i="14"/>
  <c r="K24" i="14"/>
  <c r="K25" i="14"/>
  <c r="K26" i="14"/>
  <c r="K30" i="14"/>
  <c r="K18" i="14"/>
  <c r="K19" i="14"/>
  <c r="K20" i="14"/>
  <c r="Y2" i="1"/>
  <c r="Z2" i="1" s="1"/>
  <c r="D6" i="14"/>
  <c r="D16" i="14"/>
  <c r="F6" i="14"/>
  <c r="I6" i="14"/>
  <c r="D7" i="16"/>
  <c r="V188" i="1"/>
  <c r="V56" i="1"/>
  <c r="V55" i="1"/>
  <c r="V271" i="1"/>
  <c r="V270" i="1"/>
  <c r="V20" i="1"/>
  <c r="V140" i="1"/>
  <c r="V206" i="1"/>
  <c r="V207" i="1"/>
  <c r="V208" i="1"/>
  <c r="V209" i="1"/>
  <c r="V126" i="1"/>
  <c r="V184" i="1"/>
  <c r="V230" i="1"/>
  <c r="V228" i="1"/>
  <c r="V227" i="1"/>
  <c r="F722" i="11"/>
  <c r="V119" i="1"/>
  <c r="V50" i="1"/>
  <c r="V51" i="1"/>
  <c r="V313" i="1"/>
  <c r="V247" i="1"/>
  <c r="V170" i="1"/>
  <c r="W170" i="1" s="1"/>
  <c r="V309" i="1"/>
  <c r="V44" i="1"/>
  <c r="V45" i="1"/>
  <c r="V46" i="1"/>
  <c r="V201" i="1"/>
  <c r="V202" i="1"/>
  <c r="V203" i="1"/>
  <c r="V204" i="1"/>
  <c r="V199" i="1"/>
  <c r="V200" i="1"/>
  <c r="V197" i="1"/>
  <c r="V196" i="1"/>
  <c r="W196" i="1" s="1"/>
  <c r="V205" i="1"/>
  <c r="V232" i="1"/>
  <c r="V233" i="1"/>
  <c r="V234" i="1"/>
  <c r="V39" i="1"/>
  <c r="V154" i="1"/>
  <c r="V155" i="1"/>
  <c r="V130" i="1"/>
  <c r="V248" i="1"/>
  <c r="V121" i="1"/>
  <c r="V41" i="1"/>
  <c r="V165" i="1"/>
  <c r="V118" i="1"/>
  <c r="V47" i="1"/>
  <c r="V42" i="1"/>
  <c r="V48" i="1"/>
  <c r="V49" i="1"/>
  <c r="V120" i="1"/>
  <c r="V7" i="1"/>
  <c r="V8" i="1"/>
  <c r="V22" i="1"/>
  <c r="V9" i="1"/>
  <c r="V23" i="1"/>
  <c r="V10" i="1"/>
  <c r="V24" i="1"/>
  <c r="V11" i="1"/>
  <c r="V12" i="1"/>
  <c r="V13" i="1"/>
  <c r="V33" i="1"/>
  <c r="V134" i="1"/>
  <c r="V25" i="1"/>
  <c r="V32" i="1"/>
  <c r="V111" i="1"/>
  <c r="V14" i="1"/>
  <c r="V15" i="1"/>
  <c r="V35" i="1"/>
  <c r="V29" i="1"/>
  <c r="V34" i="1"/>
  <c r="V113" i="1"/>
  <c r="V16" i="1"/>
  <c r="V123" i="1"/>
  <c r="V54" i="1"/>
  <c r="V36" i="1"/>
  <c r="V17" i="1"/>
  <c r="V161" i="1"/>
  <c r="V186" i="1"/>
  <c r="V187" i="1"/>
  <c r="V301" i="1"/>
  <c r="V253" i="1"/>
  <c r="V115" i="1"/>
  <c r="V219" i="1"/>
  <c r="V162" i="1"/>
  <c r="V167" i="1"/>
  <c r="V135" i="1"/>
  <c r="V116" i="1"/>
  <c r="V68" i="1"/>
  <c r="V175" i="1"/>
  <c r="V181" i="1"/>
  <c r="V182" i="1"/>
  <c r="V297" i="1"/>
  <c r="V146" i="1"/>
  <c r="V291" i="1"/>
  <c r="V159" i="1"/>
  <c r="V306" i="1"/>
  <c r="V305" i="1"/>
  <c r="V64" i="1"/>
  <c r="V215" i="1"/>
  <c r="V142" i="1"/>
  <c r="V60" i="1"/>
  <c r="V61" i="1"/>
  <c r="V218" i="1"/>
  <c r="V133" i="1"/>
  <c r="V59" i="1"/>
  <c r="V177" i="1"/>
  <c r="V284" i="1"/>
  <c r="V145" i="1"/>
  <c r="V298" i="1"/>
  <c r="V180" i="1"/>
  <c r="V179" i="1"/>
  <c r="V216" i="1"/>
  <c r="V254" i="1"/>
  <c r="V276" i="1"/>
  <c r="V277" i="1"/>
  <c r="V272" i="1"/>
  <c r="V273" i="1"/>
  <c r="V255" i="1"/>
  <c r="V256" i="1"/>
  <c r="V257" i="1"/>
  <c r="V258" i="1"/>
  <c r="V259" i="1"/>
  <c r="V260" i="1"/>
  <c r="V261" i="1"/>
  <c r="V262" i="1"/>
  <c r="V263" i="1"/>
  <c r="V264" i="1"/>
  <c r="V265" i="1"/>
  <c r="V266" i="1"/>
  <c r="V274" i="1"/>
  <c r="V281" i="1"/>
  <c r="V267" i="1"/>
  <c r="V217" i="1"/>
  <c r="V268" i="1"/>
  <c r="V285" i="1"/>
  <c r="V151" i="1"/>
  <c r="W151" i="1" s="1"/>
  <c r="V69" i="1"/>
  <c r="V158" i="1"/>
  <c r="V278" i="1"/>
  <c r="V275" i="1"/>
  <c r="V225" i="1"/>
  <c r="V221" i="1"/>
  <c r="V222" i="1"/>
  <c r="V2" i="1"/>
  <c r="V279" i="1"/>
  <c r="V269" i="1"/>
  <c r="V235" i="1"/>
  <c r="V171" i="1"/>
  <c r="V244" i="1"/>
  <c r="V43" i="1"/>
  <c r="V128" i="1"/>
  <c r="V31" i="1"/>
  <c r="V185" i="1"/>
  <c r="V172" i="1"/>
  <c r="V65" i="1"/>
  <c r="V288" i="1"/>
  <c r="V127" i="1"/>
  <c r="V198" i="1"/>
  <c r="V245" i="1"/>
  <c r="V302" i="1"/>
  <c r="V213" i="1"/>
  <c r="V27" i="1"/>
  <c r="V212" i="1"/>
  <c r="V239" i="1"/>
  <c r="V296" i="1"/>
  <c r="V287" i="1"/>
  <c r="V282" i="1"/>
  <c r="V124" i="1"/>
  <c r="V190" i="1"/>
  <c r="V191" i="1"/>
  <c r="V224" i="1"/>
  <c r="V66" i="1"/>
  <c r="V295" i="1"/>
  <c r="V280" i="1"/>
  <c r="V152" i="1"/>
  <c r="V292" i="1"/>
  <c r="V294" i="1"/>
  <c r="V299" i="1"/>
  <c r="V138" i="1"/>
  <c r="W138" i="1" s="1"/>
  <c r="V141" i="1"/>
  <c r="V236" i="1"/>
  <c r="V149" i="1"/>
  <c r="V148" i="1"/>
  <c r="V173" i="1"/>
  <c r="V174" i="1"/>
  <c r="V168" i="1"/>
  <c r="V193" i="1"/>
  <c r="V304" i="1"/>
  <c r="V178" i="1"/>
  <c r="V189" i="1"/>
  <c r="V131" i="1"/>
  <c r="V70" i="1"/>
  <c r="W70" i="1" s="1"/>
  <c r="V160" i="1"/>
  <c r="V147" i="1"/>
  <c r="V290" i="1"/>
  <c r="V163" i="1"/>
  <c r="V37" i="1"/>
  <c r="V308" i="1"/>
  <c r="V53" i="1"/>
  <c r="V153" i="1"/>
  <c r="V67" i="1"/>
  <c r="V144" i="1"/>
  <c r="V5" i="1"/>
  <c r="V242" i="1"/>
  <c r="V192" i="1"/>
  <c r="V176" i="1"/>
  <c r="V246" i="1"/>
  <c r="V238" i="1"/>
  <c r="V157" i="1"/>
  <c r="V62" i="1"/>
  <c r="V289" i="1"/>
  <c r="V243" i="1"/>
  <c r="V214" i="1"/>
  <c r="V240" i="1"/>
  <c r="V58" i="1"/>
  <c r="V63" i="1"/>
  <c r="V136" i="1"/>
  <c r="V307" i="1"/>
  <c r="V38" i="1"/>
  <c r="V40" i="1"/>
  <c r="V150" i="1"/>
  <c r="V166" i="1"/>
  <c r="V241" i="1"/>
  <c r="V300" i="1"/>
  <c r="V52" i="1"/>
  <c r="V18" i="1"/>
  <c r="V6" i="1"/>
  <c r="V195" i="1"/>
  <c r="V139" i="1"/>
  <c r="V169" i="1"/>
  <c r="V164" i="1"/>
  <c r="V237" i="1"/>
  <c r="V26" i="1"/>
  <c r="V223" i="1"/>
  <c r="V310" i="1"/>
  <c r="V312" i="1"/>
  <c r="V125" i="1"/>
  <c r="V132" i="1"/>
  <c r="V194" i="1"/>
  <c r="V19" i="1"/>
  <c r="V122" i="1"/>
  <c r="V143" i="1"/>
  <c r="V211" i="1"/>
  <c r="V137" i="1"/>
  <c r="C392" i="7"/>
  <c r="G392" i="7"/>
  <c r="C613" i="7"/>
  <c r="F613" i="7"/>
  <c r="C303" i="7"/>
  <c r="G303" i="7"/>
  <c r="E7" i="10"/>
  <c r="G7" i="10"/>
  <c r="V117" i="1"/>
  <c r="V220" i="1"/>
  <c r="O28" i="16"/>
  <c r="N28" i="16"/>
  <c r="M28" i="16"/>
  <c r="L28" i="16"/>
  <c r="K28" i="16"/>
  <c r="O27" i="16"/>
  <c r="N27" i="16"/>
  <c r="M27" i="16"/>
  <c r="L27" i="16"/>
  <c r="K27" i="16"/>
  <c r="O26" i="16"/>
  <c r="N26" i="16"/>
  <c r="M26" i="16"/>
  <c r="L26" i="16"/>
  <c r="K26" i="16"/>
  <c r="O25" i="16"/>
  <c r="N25" i="16"/>
  <c r="M25" i="16"/>
  <c r="L25" i="16"/>
  <c r="L11" i="16"/>
  <c r="L12" i="16"/>
  <c r="L13" i="16"/>
  <c r="L14" i="16"/>
  <c r="L15" i="16"/>
  <c r="L16" i="16"/>
  <c r="L17" i="16"/>
  <c r="L18" i="16"/>
  <c r="L19" i="16"/>
  <c r="L20" i="16"/>
  <c r="L21" i="16"/>
  <c r="L22" i="16"/>
  <c r="L23" i="16"/>
  <c r="L24" i="16"/>
  <c r="L9" i="16"/>
  <c r="K25" i="16"/>
  <c r="O24" i="16"/>
  <c r="N24" i="16"/>
  <c r="M24" i="16"/>
  <c r="K24" i="16"/>
  <c r="O23" i="16"/>
  <c r="N23" i="16"/>
  <c r="M23" i="16"/>
  <c r="K23" i="16"/>
  <c r="O22" i="16"/>
  <c r="N22" i="16"/>
  <c r="M22" i="16"/>
  <c r="K22" i="16"/>
  <c r="O21" i="16"/>
  <c r="N21" i="16"/>
  <c r="M21" i="16"/>
  <c r="K21" i="16"/>
  <c r="O20" i="16"/>
  <c r="N20" i="16"/>
  <c r="N11" i="16"/>
  <c r="N12" i="16"/>
  <c r="N13" i="16"/>
  <c r="N14" i="16"/>
  <c r="N15" i="16"/>
  <c r="N16" i="16"/>
  <c r="N17" i="16"/>
  <c r="N18" i="16"/>
  <c r="N19" i="16"/>
  <c r="M20" i="16"/>
  <c r="K20" i="16"/>
  <c r="O19" i="16"/>
  <c r="M19" i="16"/>
  <c r="K19" i="16"/>
  <c r="O18" i="16"/>
  <c r="M18" i="16"/>
  <c r="K18" i="16"/>
  <c r="O17" i="16"/>
  <c r="O11" i="16"/>
  <c r="O12" i="16"/>
  <c r="O13" i="16"/>
  <c r="O14" i="16"/>
  <c r="O15" i="16"/>
  <c r="O16" i="16"/>
  <c r="M17" i="16"/>
  <c r="K17" i="16"/>
  <c r="M16" i="16"/>
  <c r="M11" i="16"/>
  <c r="M12" i="16"/>
  <c r="M13" i="16"/>
  <c r="M14" i="16"/>
  <c r="M15" i="16"/>
  <c r="M9" i="16"/>
  <c r="K16" i="16"/>
  <c r="K15" i="16"/>
  <c r="K14" i="16"/>
  <c r="K11" i="16"/>
  <c r="K12" i="16"/>
  <c r="K13" i="16"/>
  <c r="J28" i="16"/>
  <c r="J27" i="16"/>
  <c r="J26" i="16"/>
  <c r="J25" i="16"/>
  <c r="J24" i="16"/>
  <c r="J23" i="16"/>
  <c r="J22" i="16"/>
  <c r="J21" i="16"/>
  <c r="J20" i="16"/>
  <c r="J19" i="16"/>
  <c r="J18" i="16"/>
  <c r="J11" i="16"/>
  <c r="J12" i="16"/>
  <c r="J13" i="16"/>
  <c r="J14" i="16"/>
  <c r="J15" i="16"/>
  <c r="J16" i="16"/>
  <c r="J17" i="16"/>
  <c r="F28" i="16"/>
  <c r="F27" i="16"/>
  <c r="F26" i="16"/>
  <c r="F25" i="16"/>
  <c r="F24" i="16"/>
  <c r="F23" i="16"/>
  <c r="F22" i="16"/>
  <c r="F21" i="16"/>
  <c r="F20" i="16"/>
  <c r="F19" i="16"/>
  <c r="F18" i="16"/>
  <c r="F11" i="16"/>
  <c r="F12" i="16"/>
  <c r="F13" i="16"/>
  <c r="F14" i="16"/>
  <c r="F15" i="16"/>
  <c r="F16" i="16"/>
  <c r="F17" i="16"/>
  <c r="I28" i="10"/>
  <c r="I27" i="10"/>
  <c r="I26" i="10"/>
  <c r="I11" i="10"/>
  <c r="I12" i="10"/>
  <c r="I14" i="10"/>
  <c r="I15" i="10"/>
  <c r="I16" i="10"/>
  <c r="I17" i="10"/>
  <c r="I18" i="10"/>
  <c r="I19" i="10"/>
  <c r="I20" i="10"/>
  <c r="I21" i="10"/>
  <c r="I22" i="10"/>
  <c r="I23" i="10"/>
  <c r="I24" i="10"/>
  <c r="I25" i="10"/>
  <c r="F422" i="11"/>
  <c r="E3" i="7"/>
  <c r="E4" i="7"/>
  <c r="E5" i="7"/>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E690" i="7"/>
  <c r="E691" i="7"/>
  <c r="E692" i="7"/>
  <c r="E693" i="7"/>
  <c r="E694" i="7"/>
  <c r="E695" i="7"/>
  <c r="E696" i="7"/>
  <c r="E697" i="7"/>
  <c r="E698" i="7"/>
  <c r="E699" i="7"/>
  <c r="E700" i="7"/>
  <c r="E701" i="7"/>
  <c r="E702" i="7"/>
  <c r="E703" i="7"/>
  <c r="E704" i="7"/>
  <c r="E705" i="7"/>
  <c r="E706" i="7"/>
  <c r="E707" i="7"/>
  <c r="E708" i="7"/>
  <c r="E709" i="7"/>
  <c r="E710" i="7"/>
  <c r="E711" i="7"/>
  <c r="E712" i="7"/>
  <c r="E713" i="7"/>
  <c r="E714" i="7"/>
  <c r="E715" i="7"/>
  <c r="E716" i="7"/>
  <c r="E717" i="7"/>
  <c r="E718" i="7"/>
  <c r="E719" i="7"/>
  <c r="E720" i="7"/>
  <c r="E721" i="7"/>
  <c r="E722" i="7"/>
  <c r="E723" i="7"/>
  <c r="E724" i="7"/>
  <c r="E725" i="7"/>
  <c r="E726" i="7"/>
  <c r="E727" i="7"/>
  <c r="E728" i="7"/>
  <c r="E729" i="7"/>
  <c r="E730" i="7"/>
  <c r="E731" i="7"/>
  <c r="E732" i="7"/>
  <c r="E733" i="7"/>
  <c r="E734" i="7"/>
  <c r="E735" i="7"/>
  <c r="E736" i="7"/>
  <c r="E737" i="7"/>
  <c r="E738" i="7"/>
  <c r="E739" i="7"/>
  <c r="E740" i="7"/>
  <c r="E741" i="7"/>
  <c r="E742" i="7"/>
  <c r="E743" i="7"/>
  <c r="E744" i="7"/>
  <c r="E745" i="7"/>
  <c r="E746" i="7"/>
  <c r="E747" i="7"/>
  <c r="E748" i="7"/>
  <c r="E749" i="7"/>
  <c r="E750" i="7"/>
  <c r="E751" i="7"/>
  <c r="E752" i="7"/>
  <c r="E753" i="7"/>
  <c r="E754" i="7"/>
  <c r="E755" i="7"/>
  <c r="E756" i="7"/>
  <c r="E757" i="7"/>
  <c r="E758" i="7"/>
  <c r="E759" i="7"/>
  <c r="E760" i="7"/>
  <c r="E761" i="7"/>
  <c r="E762" i="7"/>
  <c r="E763" i="7"/>
  <c r="E764" i="7"/>
  <c r="E765" i="7"/>
  <c r="E766" i="7"/>
  <c r="E767" i="7"/>
  <c r="E768" i="7"/>
  <c r="E769" i="7"/>
  <c r="E770" i="7"/>
  <c r="E771" i="7"/>
  <c r="E772" i="7"/>
  <c r="E773" i="7"/>
  <c r="E774" i="7"/>
  <c r="E775" i="7"/>
  <c r="E776" i="7"/>
  <c r="E777" i="7"/>
  <c r="E778" i="7"/>
  <c r="E779" i="7"/>
  <c r="E780" i="7"/>
  <c r="E781" i="7"/>
  <c r="E782" i="7"/>
  <c r="E783" i="7"/>
  <c r="E784" i="7"/>
  <c r="E785" i="7"/>
  <c r="E786" i="7"/>
  <c r="E787" i="7"/>
  <c r="E788" i="7"/>
  <c r="E789" i="7"/>
  <c r="E790" i="7"/>
  <c r="E791" i="7"/>
  <c r="E792" i="7"/>
  <c r="E793" i="7"/>
  <c r="E794" i="7"/>
  <c r="E795" i="7"/>
  <c r="E796" i="7"/>
  <c r="E797" i="7"/>
  <c r="E798" i="7"/>
  <c r="E799" i="7"/>
  <c r="E800" i="7"/>
  <c r="E801" i="7"/>
  <c r="E802" i="7"/>
  <c r="E803" i="7"/>
  <c r="E804" i="7"/>
  <c r="E805" i="7"/>
  <c r="E806" i="7"/>
  <c r="E807" i="7"/>
  <c r="E808" i="7"/>
  <c r="E809" i="7"/>
  <c r="E810" i="7"/>
  <c r="E811" i="7"/>
  <c r="E812" i="7"/>
  <c r="E813" i="7"/>
  <c r="E814" i="7"/>
  <c r="E815" i="7"/>
  <c r="E816" i="7"/>
  <c r="E817" i="7"/>
  <c r="E818" i="7"/>
  <c r="E819" i="7"/>
  <c r="E820" i="7"/>
  <c r="E821" i="7"/>
  <c r="E822" i="7"/>
  <c r="E823" i="7"/>
  <c r="E824" i="7"/>
  <c r="E825" i="7"/>
  <c r="E826" i="7"/>
  <c r="E827" i="7"/>
  <c r="E828" i="7"/>
  <c r="E829" i="7"/>
  <c r="E830" i="7"/>
  <c r="E831" i="7"/>
  <c r="E832" i="7"/>
  <c r="E833" i="7"/>
  <c r="E834" i="7"/>
  <c r="E835" i="7"/>
  <c r="E836" i="7"/>
  <c r="E837" i="7"/>
  <c r="E838" i="7"/>
  <c r="E839" i="7"/>
  <c r="E840" i="7"/>
  <c r="E841" i="7"/>
  <c r="E842" i="7"/>
  <c r="E843" i="7"/>
  <c r="E844" i="7"/>
  <c r="E845" i="7"/>
  <c r="E846" i="7"/>
  <c r="E847" i="7"/>
  <c r="E848" i="7"/>
  <c r="E849" i="7"/>
  <c r="E850" i="7"/>
  <c r="E851" i="7"/>
  <c r="E852" i="7"/>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915" i="7"/>
  <c r="E916" i="7"/>
  <c r="E917" i="7"/>
  <c r="E918" i="7"/>
  <c r="E919" i="7"/>
  <c r="E920" i="7"/>
  <c r="E921" i="7"/>
  <c r="E922" i="7"/>
  <c r="E923" i="7"/>
  <c r="E924" i="7"/>
  <c r="E925" i="7"/>
  <c r="E926" i="7"/>
  <c r="E927" i="7"/>
  <c r="E928" i="7"/>
  <c r="E929" i="7"/>
  <c r="E930" i="7"/>
  <c r="E931" i="7"/>
  <c r="E932" i="7"/>
  <c r="E933" i="7"/>
  <c r="E934" i="7"/>
  <c r="E935" i="7"/>
  <c r="E936" i="7"/>
  <c r="E937" i="7"/>
  <c r="E938" i="7"/>
  <c r="E939" i="7"/>
  <c r="E940" i="7"/>
  <c r="E941" i="7"/>
  <c r="E942" i="7"/>
  <c r="E943" i="7"/>
  <c r="E944" i="7"/>
  <c r="E945" i="7"/>
  <c r="E946" i="7"/>
  <c r="E947" i="7"/>
  <c r="E948" i="7"/>
  <c r="E949" i="7"/>
  <c r="E950" i="7"/>
  <c r="E951" i="7"/>
  <c r="E952" i="7"/>
  <c r="E953" i="7"/>
  <c r="E954" i="7"/>
  <c r="E955" i="7"/>
  <c r="E956" i="7"/>
  <c r="E957" i="7"/>
  <c r="E958" i="7"/>
  <c r="E959" i="7"/>
  <c r="E960" i="7"/>
  <c r="E961" i="7"/>
  <c r="E962" i="7"/>
  <c r="E963" i="7"/>
  <c r="E964" i="7"/>
  <c r="E965" i="7"/>
  <c r="E966" i="7"/>
  <c r="E967" i="7"/>
  <c r="E968" i="7"/>
  <c r="E969" i="7"/>
  <c r="E970" i="7"/>
  <c r="E971" i="7"/>
  <c r="E972" i="7"/>
  <c r="E973" i="7"/>
  <c r="E974" i="7"/>
  <c r="E975" i="7"/>
  <c r="E976" i="7"/>
  <c r="E977" i="7"/>
  <c r="E978" i="7"/>
  <c r="E979" i="7"/>
  <c r="E980" i="7"/>
  <c r="E981" i="7"/>
  <c r="E982" i="7"/>
  <c r="E983" i="7"/>
  <c r="E984" i="7"/>
  <c r="E985" i="7"/>
  <c r="E986" i="7"/>
  <c r="E987" i="7"/>
  <c r="E988" i="7"/>
  <c r="E989" i="7"/>
  <c r="E990" i="7"/>
  <c r="E991" i="7"/>
  <c r="E992" i="7"/>
  <c r="E993" i="7"/>
  <c r="E994" i="7"/>
  <c r="E995" i="7"/>
  <c r="E996" i="7"/>
  <c r="E997" i="7"/>
  <c r="E998" i="7"/>
  <c r="E999" i="7"/>
  <c r="E1000" i="7"/>
  <c r="E2" i="7"/>
  <c r="A3" i="7"/>
  <c r="B3" i="7"/>
  <c r="C3" i="7"/>
  <c r="D3" i="7"/>
  <c r="A4" i="7"/>
  <c r="B4" i="7"/>
  <c r="C4" i="7"/>
  <c r="G4" i="7"/>
  <c r="D4" i="7"/>
  <c r="A5" i="7"/>
  <c r="B5" i="7"/>
  <c r="C5" i="7"/>
  <c r="F5" i="7"/>
  <c r="D5" i="7"/>
  <c r="A6" i="7"/>
  <c r="B6" i="7"/>
  <c r="C6" i="7"/>
  <c r="D6" i="7"/>
  <c r="A7" i="7"/>
  <c r="B7" i="7"/>
  <c r="C7" i="7"/>
  <c r="G7" i="7"/>
  <c r="D7" i="7"/>
  <c r="A8" i="7"/>
  <c r="B8" i="7"/>
  <c r="C8" i="7"/>
  <c r="D8" i="7"/>
  <c r="A9" i="7"/>
  <c r="B9" i="7"/>
  <c r="C9" i="7"/>
  <c r="G9" i="7"/>
  <c r="D9" i="7"/>
  <c r="A10" i="7"/>
  <c r="B10" i="7"/>
  <c r="C10" i="7"/>
  <c r="D10" i="7"/>
  <c r="A11" i="7"/>
  <c r="B11" i="7"/>
  <c r="C11" i="7"/>
  <c r="G11" i="7"/>
  <c r="D11" i="7"/>
  <c r="A12" i="7"/>
  <c r="B12" i="7"/>
  <c r="C12" i="7"/>
  <c r="G12" i="7"/>
  <c r="D12" i="7"/>
  <c r="A13" i="7"/>
  <c r="B13" i="7"/>
  <c r="C13" i="7"/>
  <c r="D13" i="7"/>
  <c r="A14" i="7"/>
  <c r="B14" i="7"/>
  <c r="C14" i="7"/>
  <c r="G14" i="7"/>
  <c r="D14" i="7"/>
  <c r="A15" i="7"/>
  <c r="B15" i="7"/>
  <c r="C15" i="7"/>
  <c r="G15" i="7"/>
  <c r="D15" i="7"/>
  <c r="A16" i="7"/>
  <c r="B16" i="7"/>
  <c r="C16" i="7"/>
  <c r="D16" i="7"/>
  <c r="A17" i="7"/>
  <c r="B17" i="7"/>
  <c r="C17" i="7"/>
  <c r="G17" i="7"/>
  <c r="D17" i="7"/>
  <c r="A18" i="7"/>
  <c r="B18" i="7"/>
  <c r="C18" i="7"/>
  <c r="G18" i="7"/>
  <c r="D18" i="7"/>
  <c r="A19" i="7"/>
  <c r="B19" i="7"/>
  <c r="C19" i="7"/>
  <c r="D19" i="7"/>
  <c r="A20" i="7"/>
  <c r="B20" i="7"/>
  <c r="C20" i="7"/>
  <c r="D20" i="7"/>
  <c r="A21" i="7"/>
  <c r="B21" i="7"/>
  <c r="C21" i="7"/>
  <c r="G21" i="7"/>
  <c r="D21" i="7"/>
  <c r="A22" i="7"/>
  <c r="B22" i="7"/>
  <c r="C22" i="7"/>
  <c r="G22" i="7"/>
  <c r="D22" i="7"/>
  <c r="A23" i="7"/>
  <c r="B23" i="7"/>
  <c r="C23" i="7"/>
  <c r="G23" i="7"/>
  <c r="D23" i="7"/>
  <c r="A24" i="7"/>
  <c r="B24" i="7"/>
  <c r="C24" i="7"/>
  <c r="G24" i="7"/>
  <c r="D24" i="7"/>
  <c r="A25" i="7"/>
  <c r="B25" i="7"/>
  <c r="C25" i="7"/>
  <c r="F25" i="7"/>
  <c r="D25" i="7"/>
  <c r="A26" i="7"/>
  <c r="B26" i="7"/>
  <c r="C26" i="7"/>
  <c r="G26" i="7"/>
  <c r="D26" i="7"/>
  <c r="A27" i="7"/>
  <c r="B27" i="7"/>
  <c r="C27" i="7"/>
  <c r="D27" i="7"/>
  <c r="A28" i="7"/>
  <c r="B28" i="7"/>
  <c r="C28" i="7"/>
  <c r="G28" i="7"/>
  <c r="D28" i="7"/>
  <c r="A29" i="7"/>
  <c r="B29" i="7"/>
  <c r="C29" i="7"/>
  <c r="G29" i="7"/>
  <c r="D29" i="7"/>
  <c r="A30" i="7"/>
  <c r="B30" i="7"/>
  <c r="C30" i="7"/>
  <c r="G30" i="7"/>
  <c r="D30" i="7"/>
  <c r="A31" i="7"/>
  <c r="B31" i="7"/>
  <c r="C31" i="7"/>
  <c r="G31" i="7"/>
  <c r="D31" i="7"/>
  <c r="A32" i="7"/>
  <c r="B32" i="7"/>
  <c r="C32" i="7"/>
  <c r="F32" i="7"/>
  <c r="D32" i="7"/>
  <c r="A33" i="7"/>
  <c r="B33" i="7"/>
  <c r="C33" i="7"/>
  <c r="D33" i="7"/>
  <c r="A34" i="7"/>
  <c r="B34" i="7"/>
  <c r="C34" i="7"/>
  <c r="D34" i="7"/>
  <c r="A35" i="7"/>
  <c r="B35" i="7"/>
  <c r="C35" i="7"/>
  <c r="D35" i="7"/>
  <c r="A36" i="7"/>
  <c r="B36" i="7"/>
  <c r="C36" i="7"/>
  <c r="G36" i="7"/>
  <c r="D36" i="7"/>
  <c r="A37" i="7"/>
  <c r="B37" i="7"/>
  <c r="C37" i="7"/>
  <c r="G37" i="7"/>
  <c r="D37" i="7"/>
  <c r="A38" i="7"/>
  <c r="B38" i="7"/>
  <c r="C38" i="7"/>
  <c r="F38" i="7"/>
  <c r="D38" i="7"/>
  <c r="A39" i="7"/>
  <c r="B39" i="7"/>
  <c r="C39" i="7"/>
  <c r="G39" i="7"/>
  <c r="D39" i="7"/>
  <c r="A40" i="7"/>
  <c r="B40" i="7"/>
  <c r="C40" i="7"/>
  <c r="G40" i="7"/>
  <c r="D40" i="7"/>
  <c r="A41" i="7"/>
  <c r="B41" i="7"/>
  <c r="C41" i="7"/>
  <c r="G41" i="7"/>
  <c r="D41" i="7"/>
  <c r="A42" i="7"/>
  <c r="B42" i="7"/>
  <c r="C42" i="7"/>
  <c r="G42" i="7"/>
  <c r="D42" i="7"/>
  <c r="A43" i="7"/>
  <c r="B43" i="7"/>
  <c r="C43" i="7"/>
  <c r="F43" i="7"/>
  <c r="D43" i="7"/>
  <c r="A44" i="7"/>
  <c r="B44" i="7"/>
  <c r="C44" i="7"/>
  <c r="D44" i="7"/>
  <c r="A45" i="7"/>
  <c r="B45" i="7"/>
  <c r="C45" i="7"/>
  <c r="G45" i="7"/>
  <c r="D45" i="7"/>
  <c r="A46" i="7"/>
  <c r="B46" i="7"/>
  <c r="C46" i="7"/>
  <c r="F46" i="7"/>
  <c r="D46" i="7"/>
  <c r="A47" i="7"/>
  <c r="B47" i="7"/>
  <c r="C47" i="7"/>
  <c r="G47" i="7"/>
  <c r="D47" i="7"/>
  <c r="A48" i="7"/>
  <c r="B48" i="7"/>
  <c r="C48" i="7"/>
  <c r="G48" i="7"/>
  <c r="D48" i="7"/>
  <c r="A49" i="7"/>
  <c r="B49" i="7"/>
  <c r="C49" i="7"/>
  <c r="G49" i="7"/>
  <c r="D49" i="7"/>
  <c r="A50" i="7"/>
  <c r="B50" i="7"/>
  <c r="C50" i="7"/>
  <c r="G50" i="7"/>
  <c r="D50" i="7"/>
  <c r="A51" i="7"/>
  <c r="B51" i="7"/>
  <c r="C51" i="7"/>
  <c r="F51" i="7"/>
  <c r="D51" i="7"/>
  <c r="A52" i="7"/>
  <c r="B52" i="7"/>
  <c r="C52" i="7"/>
  <c r="G52" i="7"/>
  <c r="D52" i="7"/>
  <c r="A53" i="7"/>
  <c r="B53" i="7"/>
  <c r="C53" i="7"/>
  <c r="G53" i="7"/>
  <c r="F53" i="7"/>
  <c r="D53" i="7"/>
  <c r="A54" i="7"/>
  <c r="B54" i="7"/>
  <c r="C54" i="7"/>
  <c r="G54" i="7"/>
  <c r="D54" i="7"/>
  <c r="A55" i="7"/>
  <c r="B55" i="7"/>
  <c r="C55" i="7"/>
  <c r="D55" i="7"/>
  <c r="A56" i="7"/>
  <c r="B56" i="7"/>
  <c r="C56" i="7"/>
  <c r="G56" i="7"/>
  <c r="D56" i="7"/>
  <c r="A57" i="7"/>
  <c r="B57" i="7"/>
  <c r="C57" i="7"/>
  <c r="G57" i="7"/>
  <c r="D57" i="7"/>
  <c r="A58" i="7"/>
  <c r="B58" i="7"/>
  <c r="C58" i="7"/>
  <c r="G58" i="7"/>
  <c r="D58" i="7"/>
  <c r="A59" i="7"/>
  <c r="B59" i="7"/>
  <c r="C59" i="7"/>
  <c r="G59" i="7"/>
  <c r="D59" i="7"/>
  <c r="A60" i="7"/>
  <c r="B60" i="7"/>
  <c r="C60" i="7"/>
  <c r="G60" i="7"/>
  <c r="D60" i="7"/>
  <c r="A61" i="7"/>
  <c r="B61" i="7"/>
  <c r="C61" i="7"/>
  <c r="G61" i="7"/>
  <c r="D61" i="7"/>
  <c r="A62" i="7"/>
  <c r="B62" i="7"/>
  <c r="C62" i="7"/>
  <c r="G62" i="7"/>
  <c r="D62" i="7"/>
  <c r="A63" i="7"/>
  <c r="B63" i="7"/>
  <c r="C63" i="7"/>
  <c r="G63" i="7"/>
  <c r="D63" i="7"/>
  <c r="A64" i="7"/>
  <c r="B64" i="7"/>
  <c r="C64" i="7"/>
  <c r="F64" i="7"/>
  <c r="D64" i="7"/>
  <c r="A65" i="7"/>
  <c r="B65" i="7"/>
  <c r="C65" i="7"/>
  <c r="G65" i="7"/>
  <c r="D65" i="7"/>
  <c r="A66" i="7"/>
  <c r="B66" i="7"/>
  <c r="C66" i="7"/>
  <c r="F66" i="7"/>
  <c r="D66" i="7"/>
  <c r="A67" i="7"/>
  <c r="B67" i="7"/>
  <c r="C67" i="7"/>
  <c r="G67" i="7"/>
  <c r="D67" i="7"/>
  <c r="A68" i="7"/>
  <c r="B68" i="7"/>
  <c r="C68" i="7"/>
  <c r="F68" i="7"/>
  <c r="D68" i="7"/>
  <c r="A69" i="7"/>
  <c r="B69" i="7"/>
  <c r="C69" i="7"/>
  <c r="G69" i="7"/>
  <c r="D69" i="7"/>
  <c r="A70" i="7"/>
  <c r="B70" i="7"/>
  <c r="C70" i="7"/>
  <c r="G70" i="7"/>
  <c r="D70" i="7"/>
  <c r="A71" i="7"/>
  <c r="B71" i="7"/>
  <c r="C71" i="7"/>
  <c r="G71" i="7"/>
  <c r="D71" i="7"/>
  <c r="A72" i="7"/>
  <c r="B72" i="7"/>
  <c r="C72" i="7"/>
  <c r="G72" i="7"/>
  <c r="D72" i="7"/>
  <c r="A73" i="7"/>
  <c r="B73" i="7"/>
  <c r="C73" i="7"/>
  <c r="G73" i="7"/>
  <c r="D73" i="7"/>
  <c r="A74" i="7"/>
  <c r="B74" i="7"/>
  <c r="C74" i="7"/>
  <c r="G74" i="7"/>
  <c r="D74" i="7"/>
  <c r="A75" i="7"/>
  <c r="B75" i="7"/>
  <c r="C75" i="7"/>
  <c r="F75" i="7"/>
  <c r="D75" i="7"/>
  <c r="A76" i="7"/>
  <c r="B76" i="7"/>
  <c r="C76" i="7"/>
  <c r="G76" i="7"/>
  <c r="D76" i="7"/>
  <c r="A77" i="7"/>
  <c r="B77" i="7"/>
  <c r="C77" i="7"/>
  <c r="G77" i="7"/>
  <c r="D77" i="7"/>
  <c r="A78" i="7"/>
  <c r="B78" i="7"/>
  <c r="C78" i="7"/>
  <c r="D78" i="7"/>
  <c r="A79" i="7"/>
  <c r="B79" i="7"/>
  <c r="C79" i="7"/>
  <c r="G79" i="7"/>
  <c r="D79" i="7"/>
  <c r="A80" i="7"/>
  <c r="B80" i="7"/>
  <c r="C80" i="7"/>
  <c r="G80" i="7"/>
  <c r="D80" i="7"/>
  <c r="A81" i="7"/>
  <c r="B81" i="7"/>
  <c r="C81" i="7"/>
  <c r="D81" i="7"/>
  <c r="A82" i="7"/>
  <c r="B82" i="7"/>
  <c r="C82" i="7"/>
  <c r="F82" i="7"/>
  <c r="D82" i="7"/>
  <c r="A83" i="7"/>
  <c r="B83" i="7"/>
  <c r="C83" i="7"/>
  <c r="D83" i="7"/>
  <c r="A84" i="7"/>
  <c r="B84" i="7"/>
  <c r="C84" i="7"/>
  <c r="G84" i="7"/>
  <c r="D84" i="7"/>
  <c r="A85" i="7"/>
  <c r="B85" i="7"/>
  <c r="C85" i="7"/>
  <c r="G85" i="7"/>
  <c r="D85" i="7"/>
  <c r="A86" i="7"/>
  <c r="B86" i="7"/>
  <c r="C86" i="7"/>
  <c r="G86" i="7"/>
  <c r="D86" i="7"/>
  <c r="A87" i="7"/>
  <c r="B87" i="7"/>
  <c r="C87" i="7"/>
  <c r="F87" i="7"/>
  <c r="G87" i="7"/>
  <c r="D87" i="7"/>
  <c r="A88" i="7"/>
  <c r="B88" i="7"/>
  <c r="C88" i="7"/>
  <c r="D88" i="7"/>
  <c r="A89" i="7"/>
  <c r="B89" i="7"/>
  <c r="C89" i="7"/>
  <c r="F89" i="7"/>
  <c r="D89" i="7"/>
  <c r="A90" i="7"/>
  <c r="B90" i="7"/>
  <c r="C90" i="7"/>
  <c r="G90" i="7"/>
  <c r="D90" i="7"/>
  <c r="A91" i="7"/>
  <c r="B91" i="7"/>
  <c r="C91" i="7"/>
  <c r="G91" i="7"/>
  <c r="D91" i="7"/>
  <c r="A92" i="7"/>
  <c r="B92" i="7"/>
  <c r="C92" i="7"/>
  <c r="G92" i="7"/>
  <c r="D92" i="7"/>
  <c r="A93" i="7"/>
  <c r="B93" i="7"/>
  <c r="C93" i="7"/>
  <c r="G93" i="7"/>
  <c r="D93" i="7"/>
  <c r="A94" i="7"/>
  <c r="B94" i="7"/>
  <c r="C94" i="7"/>
  <c r="D94" i="7"/>
  <c r="A95" i="7"/>
  <c r="B95" i="7"/>
  <c r="C95" i="7"/>
  <c r="G95" i="7"/>
  <c r="D95" i="7"/>
  <c r="A96" i="7"/>
  <c r="B96" i="7"/>
  <c r="C96" i="7"/>
  <c r="G96" i="7"/>
  <c r="D96" i="7"/>
  <c r="A97" i="7"/>
  <c r="B97" i="7"/>
  <c r="C97" i="7"/>
  <c r="F97" i="7"/>
  <c r="D97" i="7"/>
  <c r="A98" i="7"/>
  <c r="B98" i="7"/>
  <c r="C98" i="7"/>
  <c r="F98" i="7"/>
  <c r="D98" i="7"/>
  <c r="A99" i="7"/>
  <c r="B99" i="7"/>
  <c r="C99" i="7"/>
  <c r="F99" i="7"/>
  <c r="D99" i="7"/>
  <c r="A100" i="7"/>
  <c r="B100" i="7"/>
  <c r="C100" i="7"/>
  <c r="G100" i="7"/>
  <c r="D100" i="7"/>
  <c r="A101" i="7"/>
  <c r="B101" i="7"/>
  <c r="C101" i="7"/>
  <c r="G101" i="7"/>
  <c r="D101" i="7"/>
  <c r="A102" i="7"/>
  <c r="B102" i="7"/>
  <c r="C102" i="7"/>
  <c r="G102" i="7"/>
  <c r="F102" i="7"/>
  <c r="D102" i="7"/>
  <c r="A103" i="7"/>
  <c r="B103" i="7"/>
  <c r="C103" i="7"/>
  <c r="G103" i="7"/>
  <c r="D103" i="7"/>
  <c r="A104" i="7"/>
  <c r="B104" i="7"/>
  <c r="C104" i="7"/>
  <c r="G104" i="7"/>
  <c r="D104" i="7"/>
  <c r="A105" i="7"/>
  <c r="B105" i="7"/>
  <c r="C105" i="7"/>
  <c r="G105" i="7"/>
  <c r="D105" i="7"/>
  <c r="A106" i="7"/>
  <c r="B106" i="7"/>
  <c r="C106" i="7"/>
  <c r="D106" i="7"/>
  <c r="A107" i="7"/>
  <c r="B107" i="7"/>
  <c r="C107" i="7"/>
  <c r="F107" i="7"/>
  <c r="D107" i="7"/>
  <c r="A108" i="7"/>
  <c r="B108" i="7"/>
  <c r="C108" i="7"/>
  <c r="G108" i="7"/>
  <c r="D108" i="7"/>
  <c r="A109" i="7"/>
  <c r="B109" i="7"/>
  <c r="C109" i="7"/>
  <c r="G109" i="7"/>
  <c r="D109" i="7"/>
  <c r="A110" i="7"/>
  <c r="B110" i="7"/>
  <c r="C110" i="7"/>
  <c r="F110" i="7"/>
  <c r="D110" i="7"/>
  <c r="A111" i="7"/>
  <c r="B111" i="7"/>
  <c r="C111" i="7"/>
  <c r="G111" i="7"/>
  <c r="D111" i="7"/>
  <c r="A112" i="7"/>
  <c r="B112" i="7"/>
  <c r="C112" i="7"/>
  <c r="G112" i="7"/>
  <c r="D112" i="7"/>
  <c r="A113" i="7"/>
  <c r="B113" i="7"/>
  <c r="C113" i="7"/>
  <c r="F113" i="7"/>
  <c r="D113" i="7"/>
  <c r="A114" i="7"/>
  <c r="B114" i="7"/>
  <c r="C114" i="7"/>
  <c r="D114" i="7"/>
  <c r="A115" i="7"/>
  <c r="B115" i="7"/>
  <c r="C115" i="7"/>
  <c r="G115" i="7"/>
  <c r="D115" i="7"/>
  <c r="A116" i="7"/>
  <c r="B116" i="7"/>
  <c r="C116" i="7"/>
  <c r="F116" i="7"/>
  <c r="D116" i="7"/>
  <c r="A117" i="7"/>
  <c r="B117" i="7"/>
  <c r="C117" i="7"/>
  <c r="F117" i="7"/>
  <c r="D117" i="7"/>
  <c r="A118" i="7"/>
  <c r="B118" i="7"/>
  <c r="C118" i="7"/>
  <c r="G118" i="7"/>
  <c r="D118" i="7"/>
  <c r="A119" i="7"/>
  <c r="B119" i="7"/>
  <c r="C119" i="7"/>
  <c r="G119" i="7"/>
  <c r="D119" i="7"/>
  <c r="A120" i="7"/>
  <c r="B120" i="7"/>
  <c r="C120" i="7"/>
  <c r="G120" i="7"/>
  <c r="D120" i="7"/>
  <c r="A121" i="7"/>
  <c r="B121" i="7"/>
  <c r="C121" i="7"/>
  <c r="F121" i="7"/>
  <c r="D121" i="7"/>
  <c r="A122" i="7"/>
  <c r="B122" i="7"/>
  <c r="C122" i="7"/>
  <c r="F122" i="7"/>
  <c r="D122" i="7"/>
  <c r="A123" i="7"/>
  <c r="B123" i="7"/>
  <c r="C123" i="7"/>
  <c r="F123" i="7"/>
  <c r="D123" i="7"/>
  <c r="A124" i="7"/>
  <c r="B124" i="7"/>
  <c r="C124" i="7"/>
  <c r="G124" i="7"/>
  <c r="D124" i="7"/>
  <c r="A125" i="7"/>
  <c r="B125" i="7"/>
  <c r="C125" i="7"/>
  <c r="G125" i="7"/>
  <c r="D125" i="7"/>
  <c r="A126" i="7"/>
  <c r="B126" i="7"/>
  <c r="C126" i="7"/>
  <c r="F126" i="7"/>
  <c r="D126" i="7"/>
  <c r="A127" i="7"/>
  <c r="B127" i="7"/>
  <c r="C127" i="7"/>
  <c r="F127" i="7"/>
  <c r="D127" i="7"/>
  <c r="A128" i="7"/>
  <c r="B128" i="7"/>
  <c r="C128" i="7"/>
  <c r="G128" i="7"/>
  <c r="D128" i="7"/>
  <c r="A129" i="7"/>
  <c r="B129" i="7"/>
  <c r="C129" i="7"/>
  <c r="G129" i="7"/>
  <c r="D129" i="7"/>
  <c r="A130" i="7"/>
  <c r="B130" i="7"/>
  <c r="C130" i="7"/>
  <c r="G130" i="7"/>
  <c r="D130" i="7"/>
  <c r="A131" i="7"/>
  <c r="B131" i="7"/>
  <c r="C131" i="7"/>
  <c r="G131" i="7"/>
  <c r="D131" i="7"/>
  <c r="A132" i="7"/>
  <c r="B132" i="7"/>
  <c r="C132" i="7"/>
  <c r="G132" i="7"/>
  <c r="D132" i="7"/>
  <c r="A133" i="7"/>
  <c r="B133" i="7"/>
  <c r="C133" i="7"/>
  <c r="F133" i="7"/>
  <c r="D133" i="7"/>
  <c r="A134" i="7"/>
  <c r="B134" i="7"/>
  <c r="C134" i="7"/>
  <c r="G134" i="7"/>
  <c r="D134" i="7"/>
  <c r="A135" i="7"/>
  <c r="B135" i="7"/>
  <c r="C135" i="7"/>
  <c r="F135" i="7"/>
  <c r="D135" i="7"/>
  <c r="A136" i="7"/>
  <c r="B136" i="7"/>
  <c r="C136" i="7"/>
  <c r="D136" i="7"/>
  <c r="A137" i="7"/>
  <c r="B137" i="7"/>
  <c r="C137" i="7"/>
  <c r="F137" i="7"/>
  <c r="D137" i="7"/>
  <c r="A138" i="7"/>
  <c r="B138" i="7"/>
  <c r="C138" i="7"/>
  <c r="G138" i="7"/>
  <c r="D138" i="7"/>
  <c r="A139" i="7"/>
  <c r="B139" i="7"/>
  <c r="C139" i="7"/>
  <c r="G139" i="7"/>
  <c r="D139" i="7"/>
  <c r="A140" i="7"/>
  <c r="B140" i="7"/>
  <c r="C140" i="7"/>
  <c r="D140" i="7"/>
  <c r="A141" i="7"/>
  <c r="B141" i="7"/>
  <c r="C141" i="7"/>
  <c r="F141" i="7"/>
  <c r="D141" i="7"/>
  <c r="A142" i="7"/>
  <c r="B142" i="7"/>
  <c r="C142" i="7"/>
  <c r="G142" i="7"/>
  <c r="D142" i="7"/>
  <c r="A143" i="7"/>
  <c r="B143" i="7"/>
  <c r="C143" i="7"/>
  <c r="G143" i="7"/>
  <c r="D143" i="7"/>
  <c r="A144" i="7"/>
  <c r="B144" i="7"/>
  <c r="C144" i="7"/>
  <c r="G144" i="7"/>
  <c r="D144" i="7"/>
  <c r="A145" i="7"/>
  <c r="B145" i="7"/>
  <c r="C145" i="7"/>
  <c r="G145" i="7"/>
  <c r="D145" i="7"/>
  <c r="A146" i="7"/>
  <c r="B146" i="7"/>
  <c r="C146" i="7"/>
  <c r="G146" i="7"/>
  <c r="D146" i="7"/>
  <c r="A147" i="7"/>
  <c r="B147" i="7"/>
  <c r="C147" i="7"/>
  <c r="F147" i="7"/>
  <c r="D147" i="7"/>
  <c r="A148" i="7"/>
  <c r="B148" i="7"/>
  <c r="C148" i="7"/>
  <c r="F148" i="7"/>
  <c r="D148" i="7"/>
  <c r="A149" i="7"/>
  <c r="B149" i="7"/>
  <c r="C149" i="7"/>
  <c r="F149" i="7"/>
  <c r="D149" i="7"/>
  <c r="A150" i="7"/>
  <c r="B150" i="7"/>
  <c r="C150" i="7"/>
  <c r="G150" i="7"/>
  <c r="D150" i="7"/>
  <c r="A151" i="7"/>
  <c r="B151" i="7"/>
  <c r="C151" i="7"/>
  <c r="G151" i="7"/>
  <c r="D151" i="7"/>
  <c r="A152" i="7"/>
  <c r="B152" i="7"/>
  <c r="C152" i="7"/>
  <c r="G152" i="7"/>
  <c r="D152" i="7"/>
  <c r="A153" i="7"/>
  <c r="B153" i="7"/>
  <c r="C153" i="7"/>
  <c r="G153" i="7"/>
  <c r="D153" i="7"/>
  <c r="A154" i="7"/>
  <c r="B154" i="7"/>
  <c r="C154" i="7"/>
  <c r="F154" i="7"/>
  <c r="D154" i="7"/>
  <c r="A155" i="7"/>
  <c r="B155" i="7"/>
  <c r="C155" i="7"/>
  <c r="F155" i="7"/>
  <c r="D155" i="7"/>
  <c r="A156" i="7"/>
  <c r="B156" i="7"/>
  <c r="C156" i="7"/>
  <c r="G156" i="7"/>
  <c r="D156" i="7"/>
  <c r="A157" i="7"/>
  <c r="B157" i="7"/>
  <c r="C157" i="7"/>
  <c r="G157" i="7"/>
  <c r="D157" i="7"/>
  <c r="A158" i="7"/>
  <c r="B158" i="7"/>
  <c r="C158" i="7"/>
  <c r="G158" i="7"/>
  <c r="D158" i="7"/>
  <c r="A159" i="7"/>
  <c r="B159" i="7"/>
  <c r="C159" i="7"/>
  <c r="G159" i="7"/>
  <c r="D159" i="7"/>
  <c r="A160" i="7"/>
  <c r="B160" i="7"/>
  <c r="C160" i="7"/>
  <c r="D160" i="7"/>
  <c r="A161" i="7"/>
  <c r="B161" i="7"/>
  <c r="C161" i="7"/>
  <c r="G161" i="7"/>
  <c r="D161" i="7"/>
  <c r="A162" i="7"/>
  <c r="B162" i="7"/>
  <c r="C162" i="7"/>
  <c r="G162" i="7"/>
  <c r="D162" i="7"/>
  <c r="A163" i="7"/>
  <c r="B163" i="7"/>
  <c r="C163" i="7"/>
  <c r="F163" i="7"/>
  <c r="D163" i="7"/>
  <c r="A164" i="7"/>
  <c r="B164" i="7"/>
  <c r="C164" i="7"/>
  <c r="G164" i="7"/>
  <c r="D164" i="7"/>
  <c r="A165" i="7"/>
  <c r="B165" i="7"/>
  <c r="C165" i="7"/>
  <c r="G165" i="7"/>
  <c r="D165" i="7"/>
  <c r="A166" i="7"/>
  <c r="B166" i="7"/>
  <c r="C166" i="7"/>
  <c r="F166" i="7"/>
  <c r="D166" i="7"/>
  <c r="A167" i="7"/>
  <c r="B167" i="7"/>
  <c r="C167" i="7"/>
  <c r="F167" i="7"/>
  <c r="D167" i="7"/>
  <c r="A168" i="7"/>
  <c r="B168" i="7"/>
  <c r="C168" i="7"/>
  <c r="F168" i="7"/>
  <c r="D168" i="7"/>
  <c r="A169" i="7"/>
  <c r="B169" i="7"/>
  <c r="C169" i="7"/>
  <c r="D169" i="7"/>
  <c r="A170" i="7"/>
  <c r="B170" i="7"/>
  <c r="C170" i="7"/>
  <c r="G170" i="7"/>
  <c r="D170" i="7"/>
  <c r="A171" i="7"/>
  <c r="B171" i="7"/>
  <c r="C171" i="7"/>
  <c r="G171" i="7"/>
  <c r="D171" i="7"/>
  <c r="A172" i="7"/>
  <c r="B172" i="7"/>
  <c r="C172" i="7"/>
  <c r="G172" i="7"/>
  <c r="D172" i="7"/>
  <c r="A173" i="7"/>
  <c r="B173" i="7"/>
  <c r="C173" i="7"/>
  <c r="G173" i="7"/>
  <c r="D173" i="7"/>
  <c r="A174" i="7"/>
  <c r="B174" i="7"/>
  <c r="C174" i="7"/>
  <c r="G174" i="7"/>
  <c r="D174" i="7"/>
  <c r="A175" i="7"/>
  <c r="B175" i="7"/>
  <c r="C175" i="7"/>
  <c r="G175" i="7"/>
  <c r="D175" i="7"/>
  <c r="A176" i="7"/>
  <c r="B176" i="7"/>
  <c r="C176" i="7"/>
  <c r="G176" i="7"/>
  <c r="D176" i="7"/>
  <c r="A177" i="7"/>
  <c r="B177" i="7"/>
  <c r="C177" i="7"/>
  <c r="G177" i="7"/>
  <c r="D177" i="7"/>
  <c r="A178" i="7"/>
  <c r="B178" i="7"/>
  <c r="C178" i="7"/>
  <c r="G178" i="7"/>
  <c r="D178" i="7"/>
  <c r="A179" i="7"/>
  <c r="B179" i="7"/>
  <c r="C179" i="7"/>
  <c r="G179" i="7"/>
  <c r="D179" i="7"/>
  <c r="A180" i="7"/>
  <c r="B180" i="7"/>
  <c r="C180" i="7"/>
  <c r="G180" i="7"/>
  <c r="D180" i="7"/>
  <c r="A181" i="7"/>
  <c r="B181" i="7"/>
  <c r="C181" i="7"/>
  <c r="G181" i="7"/>
  <c r="D181" i="7"/>
  <c r="A182" i="7"/>
  <c r="B182" i="7"/>
  <c r="C182" i="7"/>
  <c r="G182" i="7"/>
  <c r="D182" i="7"/>
  <c r="A183" i="7"/>
  <c r="B183" i="7"/>
  <c r="C183" i="7"/>
  <c r="F183" i="7"/>
  <c r="G183" i="7"/>
  <c r="D183" i="7"/>
  <c r="A184" i="7"/>
  <c r="B184" i="7"/>
  <c r="C184" i="7"/>
  <c r="F184" i="7"/>
  <c r="D184" i="7"/>
  <c r="A185" i="7"/>
  <c r="B185" i="7"/>
  <c r="C185" i="7"/>
  <c r="G185" i="7"/>
  <c r="D185" i="7"/>
  <c r="A186" i="7"/>
  <c r="B186" i="7"/>
  <c r="C186" i="7"/>
  <c r="F186" i="7"/>
  <c r="G186" i="7"/>
  <c r="D186" i="7"/>
  <c r="A187" i="7"/>
  <c r="B187" i="7"/>
  <c r="C187" i="7"/>
  <c r="G187" i="7"/>
  <c r="D187" i="7"/>
  <c r="A188" i="7"/>
  <c r="B188" i="7"/>
  <c r="C188" i="7"/>
  <c r="G188" i="7"/>
  <c r="D188" i="7"/>
  <c r="A189" i="7"/>
  <c r="B189" i="7"/>
  <c r="C189" i="7"/>
  <c r="G189" i="7"/>
  <c r="D189" i="7"/>
  <c r="A190" i="7"/>
  <c r="B190" i="7"/>
  <c r="C190" i="7"/>
  <c r="G190" i="7"/>
  <c r="D190" i="7"/>
  <c r="A191" i="7"/>
  <c r="B191" i="7"/>
  <c r="C191" i="7"/>
  <c r="F191" i="7"/>
  <c r="D191" i="7"/>
  <c r="A192" i="7"/>
  <c r="B192" i="7"/>
  <c r="C192" i="7"/>
  <c r="G192" i="7"/>
  <c r="D192" i="7"/>
  <c r="A193" i="7"/>
  <c r="B193" i="7"/>
  <c r="C193" i="7"/>
  <c r="G193" i="7"/>
  <c r="D193" i="7"/>
  <c r="A194" i="7"/>
  <c r="B194" i="7"/>
  <c r="C194" i="7"/>
  <c r="G194" i="7"/>
  <c r="D194" i="7"/>
  <c r="A195" i="7"/>
  <c r="B195" i="7"/>
  <c r="C195" i="7"/>
  <c r="G195" i="7"/>
  <c r="D195" i="7"/>
  <c r="A196" i="7"/>
  <c r="B196" i="7"/>
  <c r="C196" i="7"/>
  <c r="D196" i="7"/>
  <c r="A197" i="7"/>
  <c r="B197" i="7"/>
  <c r="C197" i="7"/>
  <c r="D197" i="7"/>
  <c r="A198" i="7"/>
  <c r="B198" i="7"/>
  <c r="C198" i="7"/>
  <c r="G198" i="7"/>
  <c r="D198" i="7"/>
  <c r="A199" i="7"/>
  <c r="B199" i="7"/>
  <c r="C199" i="7"/>
  <c r="G199" i="7"/>
  <c r="D199" i="7"/>
  <c r="A200" i="7"/>
  <c r="B200" i="7"/>
  <c r="C200" i="7"/>
  <c r="D200" i="7"/>
  <c r="A201" i="7"/>
  <c r="B201" i="7"/>
  <c r="C201" i="7"/>
  <c r="F201" i="7"/>
  <c r="D201" i="7"/>
  <c r="A202" i="7"/>
  <c r="B202" i="7"/>
  <c r="C202" i="7"/>
  <c r="G202" i="7"/>
  <c r="D202" i="7"/>
  <c r="A203" i="7"/>
  <c r="B203" i="7"/>
  <c r="C203" i="7"/>
  <c r="G203" i="7"/>
  <c r="D203" i="7"/>
  <c r="A204" i="7"/>
  <c r="B204" i="7"/>
  <c r="C204" i="7"/>
  <c r="G204" i="7"/>
  <c r="D204" i="7"/>
  <c r="A205" i="7"/>
  <c r="B205" i="7"/>
  <c r="C205" i="7"/>
  <c r="G205" i="7"/>
  <c r="D205" i="7"/>
  <c r="A206" i="7"/>
  <c r="B206" i="7"/>
  <c r="C206" i="7"/>
  <c r="G206" i="7"/>
  <c r="D206" i="7"/>
  <c r="A207" i="7"/>
  <c r="B207" i="7"/>
  <c r="C207" i="7"/>
  <c r="G207" i="7"/>
  <c r="D207" i="7"/>
  <c r="A208" i="7"/>
  <c r="B208" i="7"/>
  <c r="C208" i="7"/>
  <c r="G208" i="7"/>
  <c r="D208" i="7"/>
  <c r="A209" i="7"/>
  <c r="B209" i="7"/>
  <c r="C209" i="7"/>
  <c r="G209" i="7"/>
  <c r="D209" i="7"/>
  <c r="A210" i="7"/>
  <c r="B210" i="7"/>
  <c r="C210" i="7"/>
  <c r="F210" i="7"/>
  <c r="D210" i="7"/>
  <c r="A211" i="7"/>
  <c r="B211" i="7"/>
  <c r="C211" i="7"/>
  <c r="F211" i="7"/>
  <c r="G211" i="7"/>
  <c r="D211" i="7"/>
  <c r="A212" i="7"/>
  <c r="B212" i="7"/>
  <c r="C212" i="7"/>
  <c r="G212" i="7"/>
  <c r="D212" i="7"/>
  <c r="A213" i="7"/>
  <c r="B213" i="7"/>
  <c r="C213" i="7"/>
  <c r="G213" i="7"/>
  <c r="D213" i="7"/>
  <c r="A214" i="7"/>
  <c r="B214" i="7"/>
  <c r="C214" i="7"/>
  <c r="G214" i="7"/>
  <c r="D214" i="7"/>
  <c r="A215" i="7"/>
  <c r="B215" i="7"/>
  <c r="C215" i="7"/>
  <c r="G215" i="7"/>
  <c r="D215" i="7"/>
  <c r="A216" i="7"/>
  <c r="B216" i="7"/>
  <c r="C216" i="7"/>
  <c r="F216" i="7"/>
  <c r="D216" i="7"/>
  <c r="A217" i="7"/>
  <c r="B217" i="7"/>
  <c r="C217" i="7"/>
  <c r="G217" i="7"/>
  <c r="D217" i="7"/>
  <c r="A218" i="7"/>
  <c r="B218" i="7"/>
  <c r="C218" i="7"/>
  <c r="D218" i="7"/>
  <c r="A219" i="7"/>
  <c r="B219" i="7"/>
  <c r="C219" i="7"/>
  <c r="F219" i="7"/>
  <c r="G219" i="7"/>
  <c r="D219" i="7"/>
  <c r="A220" i="7"/>
  <c r="B220" i="7"/>
  <c r="C220" i="7"/>
  <c r="F220" i="7"/>
  <c r="D220" i="7"/>
  <c r="A221" i="7"/>
  <c r="B221" i="7"/>
  <c r="C221" i="7"/>
  <c r="G221" i="7"/>
  <c r="D221" i="7"/>
  <c r="A222" i="7"/>
  <c r="B222" i="7"/>
  <c r="C222" i="7"/>
  <c r="G222" i="7"/>
  <c r="D222" i="7"/>
  <c r="A223" i="7"/>
  <c r="B223" i="7"/>
  <c r="C223" i="7"/>
  <c r="D223" i="7"/>
  <c r="A224" i="7"/>
  <c r="B224" i="7"/>
  <c r="C224" i="7"/>
  <c r="G224" i="7"/>
  <c r="D224" i="7"/>
  <c r="A225" i="7"/>
  <c r="B225" i="7"/>
  <c r="C225" i="7"/>
  <c r="G225" i="7"/>
  <c r="D225" i="7"/>
  <c r="A226" i="7"/>
  <c r="B226" i="7"/>
  <c r="C226" i="7"/>
  <c r="G226" i="7"/>
  <c r="D226" i="7"/>
  <c r="A227" i="7"/>
  <c r="B227" i="7"/>
  <c r="C227" i="7"/>
  <c r="F227" i="7"/>
  <c r="D227" i="7"/>
  <c r="A228" i="7"/>
  <c r="B228" i="7"/>
  <c r="C228" i="7"/>
  <c r="F228" i="7"/>
  <c r="D228" i="7"/>
  <c r="A229" i="7"/>
  <c r="B229" i="7"/>
  <c r="C229" i="7"/>
  <c r="G229" i="7"/>
  <c r="D229" i="7"/>
  <c r="A230" i="7"/>
  <c r="B230" i="7"/>
  <c r="C230" i="7"/>
  <c r="G230" i="7"/>
  <c r="D230" i="7"/>
  <c r="A231" i="7"/>
  <c r="B231" i="7"/>
  <c r="C231" i="7"/>
  <c r="F231" i="7"/>
  <c r="D231" i="7"/>
  <c r="A232" i="7"/>
  <c r="B232" i="7"/>
  <c r="C232" i="7"/>
  <c r="G232" i="7"/>
  <c r="D232" i="7"/>
  <c r="A233" i="7"/>
  <c r="B233" i="7"/>
  <c r="C233" i="7"/>
  <c r="G233" i="7"/>
  <c r="D233" i="7"/>
  <c r="A234" i="7"/>
  <c r="B234" i="7"/>
  <c r="C234" i="7"/>
  <c r="G234" i="7"/>
  <c r="D234" i="7"/>
  <c r="A235" i="7"/>
  <c r="B235" i="7"/>
  <c r="C235" i="7"/>
  <c r="G235" i="7"/>
  <c r="D235" i="7"/>
  <c r="A236" i="7"/>
  <c r="B236" i="7"/>
  <c r="C236" i="7"/>
  <c r="D236" i="7"/>
  <c r="A237" i="7"/>
  <c r="B237" i="7"/>
  <c r="C237" i="7"/>
  <c r="D237" i="7"/>
  <c r="A238" i="7"/>
  <c r="B238" i="7"/>
  <c r="C238" i="7"/>
  <c r="G238" i="7"/>
  <c r="D238" i="7"/>
  <c r="A239" i="7"/>
  <c r="B239" i="7"/>
  <c r="C239" i="7"/>
  <c r="F239" i="7"/>
  <c r="D239" i="7"/>
  <c r="A240" i="7"/>
  <c r="B240" i="7"/>
  <c r="C240" i="7"/>
  <c r="G240" i="7"/>
  <c r="D240" i="7"/>
  <c r="A241" i="7"/>
  <c r="B241" i="7"/>
  <c r="C241" i="7"/>
  <c r="G241" i="7"/>
  <c r="D241" i="7"/>
  <c r="A242" i="7"/>
  <c r="B242" i="7"/>
  <c r="C242" i="7"/>
  <c r="G242" i="7"/>
  <c r="D242" i="7"/>
  <c r="A243" i="7"/>
  <c r="B243" i="7"/>
  <c r="C243" i="7"/>
  <c r="G243" i="7"/>
  <c r="D243" i="7"/>
  <c r="A244" i="7"/>
  <c r="B244" i="7"/>
  <c r="C244" i="7"/>
  <c r="G244" i="7"/>
  <c r="D244" i="7"/>
  <c r="A245" i="7"/>
  <c r="B245" i="7"/>
  <c r="C245" i="7"/>
  <c r="G245" i="7"/>
  <c r="D245" i="7"/>
  <c r="A246" i="7"/>
  <c r="B246" i="7"/>
  <c r="C246" i="7"/>
  <c r="F246" i="7"/>
  <c r="D246" i="7"/>
  <c r="A247" i="7"/>
  <c r="B247" i="7"/>
  <c r="C247" i="7"/>
  <c r="G247" i="7"/>
  <c r="D247" i="7"/>
  <c r="A248" i="7"/>
  <c r="B248" i="7"/>
  <c r="C248" i="7"/>
  <c r="D248" i="7"/>
  <c r="A249" i="7"/>
  <c r="B249" i="7"/>
  <c r="C249" i="7"/>
  <c r="F249" i="7"/>
  <c r="G249" i="7"/>
  <c r="D249" i="7"/>
  <c r="A250" i="7"/>
  <c r="B250" i="7"/>
  <c r="C250" i="7"/>
  <c r="G250" i="7"/>
  <c r="D250" i="7"/>
  <c r="A251" i="7"/>
  <c r="B251" i="7"/>
  <c r="C251" i="7"/>
  <c r="D251" i="7"/>
  <c r="A252" i="7"/>
  <c r="B252" i="7"/>
  <c r="C252" i="7"/>
  <c r="G252" i="7"/>
  <c r="D252" i="7"/>
  <c r="A253" i="7"/>
  <c r="B253" i="7"/>
  <c r="C253" i="7"/>
  <c r="G253" i="7"/>
  <c r="D253" i="7"/>
  <c r="A254" i="7"/>
  <c r="B254" i="7"/>
  <c r="C254" i="7"/>
  <c r="G254" i="7"/>
  <c r="D254" i="7"/>
  <c r="A255" i="7"/>
  <c r="B255" i="7"/>
  <c r="C255" i="7"/>
  <c r="F255" i="7"/>
  <c r="D255" i="7"/>
  <c r="A256" i="7"/>
  <c r="B256" i="7"/>
  <c r="C256" i="7"/>
  <c r="G256" i="7"/>
  <c r="D256" i="7"/>
  <c r="A257" i="7"/>
  <c r="B257" i="7"/>
  <c r="C257" i="7"/>
  <c r="G257" i="7"/>
  <c r="D257" i="7"/>
  <c r="A258" i="7"/>
  <c r="B258" i="7"/>
  <c r="C258" i="7"/>
  <c r="G258" i="7"/>
  <c r="D258" i="7"/>
  <c r="A259" i="7"/>
  <c r="B259" i="7"/>
  <c r="C259" i="7"/>
  <c r="F259" i="7"/>
  <c r="D259" i="7"/>
  <c r="A260" i="7"/>
  <c r="B260" i="7"/>
  <c r="C260" i="7"/>
  <c r="F260" i="7"/>
  <c r="D260" i="7"/>
  <c r="A261" i="7"/>
  <c r="B261" i="7"/>
  <c r="C261" i="7"/>
  <c r="F261" i="7"/>
  <c r="D261" i="7"/>
  <c r="A262" i="7"/>
  <c r="B262" i="7"/>
  <c r="C262" i="7"/>
  <c r="G262" i="7"/>
  <c r="D262" i="7"/>
  <c r="A263" i="7"/>
  <c r="B263" i="7"/>
  <c r="C263" i="7"/>
  <c r="G263" i="7"/>
  <c r="D263" i="7"/>
  <c r="A264" i="7"/>
  <c r="B264" i="7"/>
  <c r="C264" i="7"/>
  <c r="F264" i="7"/>
  <c r="D264" i="7"/>
  <c r="A265" i="7"/>
  <c r="B265" i="7"/>
  <c r="C265" i="7"/>
  <c r="G265" i="7"/>
  <c r="D265" i="7"/>
  <c r="A266" i="7"/>
  <c r="B266" i="7"/>
  <c r="C266" i="7"/>
  <c r="G266" i="7"/>
  <c r="D266" i="7"/>
  <c r="A267" i="7"/>
  <c r="B267" i="7"/>
  <c r="C267" i="7"/>
  <c r="F267" i="7"/>
  <c r="D267" i="7"/>
  <c r="A268" i="7"/>
  <c r="B268" i="7"/>
  <c r="C268" i="7"/>
  <c r="G268" i="7"/>
  <c r="D268" i="7"/>
  <c r="A269" i="7"/>
  <c r="B269" i="7"/>
  <c r="C269" i="7"/>
  <c r="G269" i="7"/>
  <c r="D269" i="7"/>
  <c r="A270" i="7"/>
  <c r="B270" i="7"/>
  <c r="C270" i="7"/>
  <c r="G270" i="7"/>
  <c r="D270" i="7"/>
  <c r="A271" i="7"/>
  <c r="B271" i="7"/>
  <c r="C271" i="7"/>
  <c r="D271" i="7"/>
  <c r="A272" i="7"/>
  <c r="B272" i="7"/>
  <c r="C272" i="7"/>
  <c r="G272" i="7"/>
  <c r="D272" i="7"/>
  <c r="A273" i="7"/>
  <c r="B273" i="7"/>
  <c r="C273" i="7"/>
  <c r="G273" i="7"/>
  <c r="D273" i="7"/>
  <c r="A274" i="7"/>
  <c r="B274" i="7"/>
  <c r="C274" i="7"/>
  <c r="G274" i="7"/>
  <c r="D274" i="7"/>
  <c r="A275" i="7"/>
  <c r="B275" i="7"/>
  <c r="C275" i="7"/>
  <c r="G275" i="7"/>
  <c r="D275" i="7"/>
  <c r="A276" i="7"/>
  <c r="B276" i="7"/>
  <c r="C276" i="7"/>
  <c r="G276" i="7"/>
  <c r="D276" i="7"/>
  <c r="A277" i="7"/>
  <c r="B277" i="7"/>
  <c r="C277" i="7"/>
  <c r="G277" i="7"/>
  <c r="D277" i="7"/>
  <c r="A278" i="7"/>
  <c r="B278" i="7"/>
  <c r="C278" i="7"/>
  <c r="G278" i="7"/>
  <c r="D278" i="7"/>
  <c r="A279" i="7"/>
  <c r="B279" i="7"/>
  <c r="C279" i="7"/>
  <c r="D279" i="7"/>
  <c r="A280" i="7"/>
  <c r="B280" i="7"/>
  <c r="C280" i="7"/>
  <c r="G280" i="7"/>
  <c r="D280" i="7"/>
  <c r="A281" i="7"/>
  <c r="B281" i="7"/>
  <c r="C281" i="7"/>
  <c r="F281" i="7"/>
  <c r="D281" i="7"/>
  <c r="A282" i="7"/>
  <c r="B282" i="7"/>
  <c r="C282" i="7"/>
  <c r="G282" i="7"/>
  <c r="D282" i="7"/>
  <c r="A283" i="7"/>
  <c r="B283" i="7"/>
  <c r="C283" i="7"/>
  <c r="G283" i="7"/>
  <c r="D283" i="7"/>
  <c r="A284" i="7"/>
  <c r="B284" i="7"/>
  <c r="C284" i="7"/>
  <c r="G284" i="7"/>
  <c r="D284" i="7"/>
  <c r="A285" i="7"/>
  <c r="B285" i="7"/>
  <c r="C285" i="7"/>
  <c r="G285" i="7"/>
  <c r="D285" i="7"/>
  <c r="A286" i="7"/>
  <c r="B286" i="7"/>
  <c r="C286" i="7"/>
  <c r="G286" i="7"/>
  <c r="D286" i="7"/>
  <c r="A287" i="7"/>
  <c r="B287" i="7"/>
  <c r="C287" i="7"/>
  <c r="G287" i="7"/>
  <c r="D287" i="7"/>
  <c r="A288" i="7"/>
  <c r="B288" i="7"/>
  <c r="C288" i="7"/>
  <c r="D288" i="7"/>
  <c r="A289" i="7"/>
  <c r="B289" i="7"/>
  <c r="C289" i="7"/>
  <c r="F289" i="7"/>
  <c r="G289" i="7"/>
  <c r="D289" i="7"/>
  <c r="A290" i="7"/>
  <c r="B290" i="7"/>
  <c r="C290" i="7"/>
  <c r="D290" i="7"/>
  <c r="A291" i="7"/>
  <c r="B291" i="7"/>
  <c r="C291" i="7"/>
  <c r="G291" i="7"/>
  <c r="D291" i="7"/>
  <c r="A292" i="7"/>
  <c r="B292" i="7"/>
  <c r="C292" i="7"/>
  <c r="F292" i="7"/>
  <c r="G292" i="7"/>
  <c r="D292" i="7"/>
  <c r="A293" i="7"/>
  <c r="B293" i="7"/>
  <c r="C293" i="7"/>
  <c r="G293" i="7"/>
  <c r="D293" i="7"/>
  <c r="A294" i="7"/>
  <c r="B294" i="7"/>
  <c r="C294" i="7"/>
  <c r="D294" i="7"/>
  <c r="A295" i="7"/>
  <c r="B295" i="7"/>
  <c r="C295" i="7"/>
  <c r="D295" i="7"/>
  <c r="A296" i="7"/>
  <c r="B296" i="7"/>
  <c r="C296" i="7"/>
  <c r="G296" i="7"/>
  <c r="D296" i="7"/>
  <c r="A297" i="7"/>
  <c r="B297" i="7"/>
  <c r="C297" i="7"/>
  <c r="D297" i="7"/>
  <c r="A298" i="7"/>
  <c r="B298" i="7"/>
  <c r="C298" i="7"/>
  <c r="F298" i="7"/>
  <c r="D298" i="7"/>
  <c r="A299" i="7"/>
  <c r="B299" i="7"/>
  <c r="C299" i="7"/>
  <c r="G299" i="7"/>
  <c r="D299" i="7"/>
  <c r="A300" i="7"/>
  <c r="B300" i="7"/>
  <c r="C300" i="7"/>
  <c r="D300" i="7"/>
  <c r="A301" i="7"/>
  <c r="B301" i="7"/>
  <c r="C301" i="7"/>
  <c r="G301" i="7"/>
  <c r="D301" i="7"/>
  <c r="A302" i="7"/>
  <c r="B302" i="7"/>
  <c r="C302" i="7"/>
  <c r="G302" i="7"/>
  <c r="D302" i="7"/>
  <c r="A303" i="7"/>
  <c r="B303" i="7"/>
  <c r="D303" i="7"/>
  <c r="A304" i="7"/>
  <c r="B304" i="7"/>
  <c r="C304" i="7"/>
  <c r="F304" i="7"/>
  <c r="G304" i="7"/>
  <c r="D304" i="7"/>
  <c r="A305" i="7"/>
  <c r="B305" i="7"/>
  <c r="C305" i="7"/>
  <c r="G305" i="7"/>
  <c r="D305" i="7"/>
  <c r="A306" i="7"/>
  <c r="B306" i="7"/>
  <c r="C306" i="7"/>
  <c r="G306" i="7"/>
  <c r="D306" i="7"/>
  <c r="A307" i="7"/>
  <c r="B307" i="7"/>
  <c r="C307" i="7"/>
  <c r="G307" i="7"/>
  <c r="D307" i="7"/>
  <c r="A308" i="7"/>
  <c r="B308" i="7"/>
  <c r="C308" i="7"/>
  <c r="G308" i="7"/>
  <c r="D308" i="7"/>
  <c r="A309" i="7"/>
  <c r="B309" i="7"/>
  <c r="C309" i="7"/>
  <c r="G309" i="7"/>
  <c r="D309" i="7"/>
  <c r="A310" i="7"/>
  <c r="B310" i="7"/>
  <c r="C310" i="7"/>
  <c r="G310" i="7"/>
  <c r="D310" i="7"/>
  <c r="A311" i="7"/>
  <c r="B311" i="7"/>
  <c r="C311" i="7"/>
  <c r="F311" i="7"/>
  <c r="D311" i="7"/>
  <c r="A312" i="7"/>
  <c r="B312" i="7"/>
  <c r="C312" i="7"/>
  <c r="G312" i="7"/>
  <c r="D312" i="7"/>
  <c r="A313" i="7"/>
  <c r="B313" i="7"/>
  <c r="C313" i="7"/>
  <c r="F313" i="7"/>
  <c r="G313" i="7"/>
  <c r="D313" i="7"/>
  <c r="A314" i="7"/>
  <c r="B314" i="7"/>
  <c r="C314" i="7"/>
  <c r="G314" i="7"/>
  <c r="D314" i="7"/>
  <c r="A315" i="7"/>
  <c r="B315" i="7"/>
  <c r="C315" i="7"/>
  <c r="G315" i="7"/>
  <c r="D315" i="7"/>
  <c r="A316" i="7"/>
  <c r="B316" i="7"/>
  <c r="C316" i="7"/>
  <c r="G316" i="7"/>
  <c r="D316" i="7"/>
  <c r="A317" i="7"/>
  <c r="B317" i="7"/>
  <c r="C317" i="7"/>
  <c r="F317" i="7"/>
  <c r="G317" i="7"/>
  <c r="D317" i="7"/>
  <c r="A318" i="7"/>
  <c r="B318" i="7"/>
  <c r="C318" i="7"/>
  <c r="G318" i="7"/>
  <c r="D318" i="7"/>
  <c r="A319" i="7"/>
  <c r="B319" i="7"/>
  <c r="C319" i="7"/>
  <c r="D319" i="7"/>
  <c r="A320" i="7"/>
  <c r="B320" i="7"/>
  <c r="C320" i="7"/>
  <c r="G320" i="7"/>
  <c r="D320" i="7"/>
  <c r="A321" i="7"/>
  <c r="B321" i="7"/>
  <c r="C321" i="7"/>
  <c r="G321" i="7"/>
  <c r="D321" i="7"/>
  <c r="A322" i="7"/>
  <c r="B322" i="7"/>
  <c r="C322" i="7"/>
  <c r="D322" i="7"/>
  <c r="A323" i="7"/>
  <c r="B323" i="7"/>
  <c r="C323" i="7"/>
  <c r="F323" i="7"/>
  <c r="G323" i="7"/>
  <c r="D323" i="7"/>
  <c r="A324" i="7"/>
  <c r="B324" i="7"/>
  <c r="C324" i="7"/>
  <c r="D324" i="7"/>
  <c r="A325" i="7"/>
  <c r="B325" i="7"/>
  <c r="C325" i="7"/>
  <c r="D325" i="7"/>
  <c r="A326" i="7"/>
  <c r="B326" i="7"/>
  <c r="C326" i="7"/>
  <c r="G326" i="7"/>
  <c r="D326" i="7"/>
  <c r="A327" i="7"/>
  <c r="B327" i="7"/>
  <c r="C327" i="7"/>
  <c r="G327" i="7"/>
  <c r="D327" i="7"/>
  <c r="A328" i="7"/>
  <c r="B328" i="7"/>
  <c r="C328" i="7"/>
  <c r="G328" i="7"/>
  <c r="D328" i="7"/>
  <c r="A329" i="7"/>
  <c r="B329" i="7"/>
  <c r="C329" i="7"/>
  <c r="G329" i="7"/>
  <c r="D329" i="7"/>
  <c r="A330" i="7"/>
  <c r="B330" i="7"/>
  <c r="C330" i="7"/>
  <c r="G330" i="7"/>
  <c r="D330" i="7"/>
  <c r="A331" i="7"/>
  <c r="B331" i="7"/>
  <c r="C331" i="7"/>
  <c r="F331" i="7"/>
  <c r="D331" i="7"/>
  <c r="A332" i="7"/>
  <c r="B332" i="7"/>
  <c r="C332" i="7"/>
  <c r="G332" i="7"/>
  <c r="D332" i="7"/>
  <c r="A333" i="7"/>
  <c r="B333" i="7"/>
  <c r="C333" i="7"/>
  <c r="G333" i="7"/>
  <c r="D333" i="7"/>
  <c r="A334" i="7"/>
  <c r="B334" i="7"/>
  <c r="C334" i="7"/>
  <c r="G334" i="7"/>
  <c r="D334" i="7"/>
  <c r="A335" i="7"/>
  <c r="B335" i="7"/>
  <c r="C335" i="7"/>
  <c r="F335" i="7"/>
  <c r="D335" i="7"/>
  <c r="A336" i="7"/>
  <c r="B336" i="7"/>
  <c r="C336" i="7"/>
  <c r="G336" i="7"/>
  <c r="D336" i="7"/>
  <c r="A337" i="7"/>
  <c r="B337" i="7"/>
  <c r="C337" i="7"/>
  <c r="D337" i="7"/>
  <c r="A338" i="7"/>
  <c r="B338" i="7"/>
  <c r="C338" i="7"/>
  <c r="F338" i="7"/>
  <c r="G338" i="7"/>
  <c r="D338" i="7"/>
  <c r="A339" i="7"/>
  <c r="B339" i="7"/>
  <c r="C339" i="7"/>
  <c r="G339" i="7"/>
  <c r="D339" i="7"/>
  <c r="A340" i="7"/>
  <c r="B340" i="7"/>
  <c r="C340" i="7"/>
  <c r="G340" i="7"/>
  <c r="D340" i="7"/>
  <c r="A341" i="7"/>
  <c r="B341" i="7"/>
  <c r="C341" i="7"/>
  <c r="G341" i="7"/>
  <c r="D341" i="7"/>
  <c r="A342" i="7"/>
  <c r="B342" i="7"/>
  <c r="C342" i="7"/>
  <c r="G342" i="7"/>
  <c r="D342" i="7"/>
  <c r="A343" i="7"/>
  <c r="B343" i="7"/>
  <c r="C343" i="7"/>
  <c r="G343" i="7"/>
  <c r="D343" i="7"/>
  <c r="A344" i="7"/>
  <c r="B344" i="7"/>
  <c r="C344" i="7"/>
  <c r="G344" i="7"/>
  <c r="D344" i="7"/>
  <c r="A345" i="7"/>
  <c r="B345" i="7"/>
  <c r="C345" i="7"/>
  <c r="G345" i="7"/>
  <c r="D345" i="7"/>
  <c r="A346" i="7"/>
  <c r="B346" i="7"/>
  <c r="C346" i="7"/>
  <c r="G346" i="7"/>
  <c r="D346" i="7"/>
  <c r="A347" i="7"/>
  <c r="B347" i="7"/>
  <c r="C347" i="7"/>
  <c r="G347" i="7"/>
  <c r="D347" i="7"/>
  <c r="A348" i="7"/>
  <c r="B348" i="7"/>
  <c r="C348" i="7"/>
  <c r="G348" i="7"/>
  <c r="D348" i="7"/>
  <c r="A349" i="7"/>
  <c r="B349" i="7"/>
  <c r="C349" i="7"/>
  <c r="F349" i="7"/>
  <c r="G349" i="7"/>
  <c r="D349" i="7"/>
  <c r="A350" i="7"/>
  <c r="B350" i="7"/>
  <c r="C350" i="7"/>
  <c r="F350" i="7"/>
  <c r="D350" i="7"/>
  <c r="A351" i="7"/>
  <c r="B351" i="7"/>
  <c r="C351" i="7"/>
  <c r="G351" i="7"/>
  <c r="D351" i="7"/>
  <c r="A352" i="7"/>
  <c r="B352" i="7"/>
  <c r="C352" i="7"/>
  <c r="F352" i="7"/>
  <c r="D352" i="7"/>
  <c r="A353" i="7"/>
  <c r="B353" i="7"/>
  <c r="C353" i="7"/>
  <c r="G353" i="7"/>
  <c r="D353" i="7"/>
  <c r="A354" i="7"/>
  <c r="B354" i="7"/>
  <c r="C354" i="7"/>
  <c r="G354" i="7"/>
  <c r="D354" i="7"/>
  <c r="A355" i="7"/>
  <c r="B355" i="7"/>
  <c r="C355" i="7"/>
  <c r="D355" i="7"/>
  <c r="A356" i="7"/>
  <c r="B356" i="7"/>
  <c r="C356" i="7"/>
  <c r="G356" i="7"/>
  <c r="D356" i="7"/>
  <c r="A357" i="7"/>
  <c r="B357" i="7"/>
  <c r="C357" i="7"/>
  <c r="G357" i="7"/>
  <c r="D357" i="7"/>
  <c r="A358" i="7"/>
  <c r="B358" i="7"/>
  <c r="C358" i="7"/>
  <c r="G358" i="7"/>
  <c r="D358" i="7"/>
  <c r="A359" i="7"/>
  <c r="B359" i="7"/>
  <c r="C359" i="7"/>
  <c r="G359" i="7"/>
  <c r="D359" i="7"/>
  <c r="A360" i="7"/>
  <c r="B360" i="7"/>
  <c r="C360" i="7"/>
  <c r="G360" i="7"/>
  <c r="D360" i="7"/>
  <c r="A361" i="7"/>
  <c r="B361" i="7"/>
  <c r="C361" i="7"/>
  <c r="G361" i="7"/>
  <c r="D361" i="7"/>
  <c r="A362" i="7"/>
  <c r="B362" i="7"/>
  <c r="C362" i="7"/>
  <c r="D362" i="7"/>
  <c r="A363" i="7"/>
  <c r="B363" i="7"/>
  <c r="C363" i="7"/>
  <c r="G363" i="7"/>
  <c r="D363" i="7"/>
  <c r="A364" i="7"/>
  <c r="B364" i="7"/>
  <c r="C364" i="7"/>
  <c r="G364" i="7"/>
  <c r="D364" i="7"/>
  <c r="A365" i="7"/>
  <c r="B365" i="7"/>
  <c r="C365" i="7"/>
  <c r="D365" i="7"/>
  <c r="A366" i="7"/>
  <c r="B366" i="7"/>
  <c r="C366" i="7"/>
  <c r="G366" i="7"/>
  <c r="D366" i="7"/>
  <c r="A367" i="7"/>
  <c r="B367" i="7"/>
  <c r="C367" i="7"/>
  <c r="D367" i="7"/>
  <c r="A368" i="7"/>
  <c r="B368" i="7"/>
  <c r="C368" i="7"/>
  <c r="G368" i="7"/>
  <c r="D368" i="7"/>
  <c r="A369" i="7"/>
  <c r="B369" i="7"/>
  <c r="C369" i="7"/>
  <c r="F369" i="7"/>
  <c r="D369" i="7"/>
  <c r="A370" i="7"/>
  <c r="B370" i="7"/>
  <c r="C370" i="7"/>
  <c r="G370" i="7"/>
  <c r="D370" i="7"/>
  <c r="A371" i="7"/>
  <c r="B371" i="7"/>
  <c r="C371" i="7"/>
  <c r="G371" i="7"/>
  <c r="D371" i="7"/>
  <c r="A372" i="7"/>
  <c r="B372" i="7"/>
  <c r="C372" i="7"/>
  <c r="G372" i="7"/>
  <c r="D372" i="7"/>
  <c r="A373" i="7"/>
  <c r="B373" i="7"/>
  <c r="C373" i="7"/>
  <c r="G373" i="7"/>
  <c r="D373" i="7"/>
  <c r="A374" i="7"/>
  <c r="B374" i="7"/>
  <c r="C374" i="7"/>
  <c r="D374" i="7"/>
  <c r="A375" i="7"/>
  <c r="B375" i="7"/>
  <c r="C375" i="7"/>
  <c r="G375" i="7"/>
  <c r="D375" i="7"/>
  <c r="A376" i="7"/>
  <c r="B376" i="7"/>
  <c r="C376" i="7"/>
  <c r="G376" i="7"/>
  <c r="D376" i="7"/>
  <c r="A377" i="7"/>
  <c r="B377" i="7"/>
  <c r="C377" i="7"/>
  <c r="G377" i="7"/>
  <c r="D377" i="7"/>
  <c r="A378" i="7"/>
  <c r="B378" i="7"/>
  <c r="C378" i="7"/>
  <c r="F378" i="7"/>
  <c r="D378" i="7"/>
  <c r="A379" i="7"/>
  <c r="B379" i="7"/>
  <c r="C379" i="7"/>
  <c r="G379" i="7"/>
  <c r="D379" i="7"/>
  <c r="A380" i="7"/>
  <c r="B380" i="7"/>
  <c r="C380" i="7"/>
  <c r="G380" i="7"/>
  <c r="D380" i="7"/>
  <c r="A381" i="7"/>
  <c r="B381" i="7"/>
  <c r="C381" i="7"/>
  <c r="G381" i="7"/>
  <c r="D381" i="7"/>
  <c r="A382" i="7"/>
  <c r="B382" i="7"/>
  <c r="C382" i="7"/>
  <c r="G382" i="7"/>
  <c r="D382" i="7"/>
  <c r="A383" i="7"/>
  <c r="B383" i="7"/>
  <c r="C383" i="7"/>
  <c r="F383" i="7"/>
  <c r="D383" i="7"/>
  <c r="A384" i="7"/>
  <c r="B384" i="7"/>
  <c r="C384" i="7"/>
  <c r="G384" i="7"/>
  <c r="D384" i="7"/>
  <c r="A385" i="7"/>
  <c r="B385" i="7"/>
  <c r="C385" i="7"/>
  <c r="D385" i="7"/>
  <c r="A386" i="7"/>
  <c r="B386" i="7"/>
  <c r="C386" i="7"/>
  <c r="G386" i="7"/>
  <c r="D386" i="7"/>
  <c r="A387" i="7"/>
  <c r="B387" i="7"/>
  <c r="C387" i="7"/>
  <c r="G387" i="7"/>
  <c r="D387" i="7"/>
  <c r="A388" i="7"/>
  <c r="B388" i="7"/>
  <c r="C388" i="7"/>
  <c r="F388" i="7"/>
  <c r="G388" i="7"/>
  <c r="D388" i="7"/>
  <c r="A389" i="7"/>
  <c r="B389" i="7"/>
  <c r="C389" i="7"/>
  <c r="F389" i="7"/>
  <c r="D389" i="7"/>
  <c r="A390" i="7"/>
  <c r="B390" i="7"/>
  <c r="C390" i="7"/>
  <c r="G390" i="7"/>
  <c r="D390" i="7"/>
  <c r="A391" i="7"/>
  <c r="B391" i="7"/>
  <c r="C391" i="7"/>
  <c r="G391" i="7"/>
  <c r="D391" i="7"/>
  <c r="A392" i="7"/>
  <c r="B392" i="7"/>
  <c r="D392" i="7"/>
  <c r="A393" i="7"/>
  <c r="B393" i="7"/>
  <c r="C393" i="7"/>
  <c r="G393" i="7"/>
  <c r="D393" i="7"/>
  <c r="A394" i="7"/>
  <c r="B394" i="7"/>
  <c r="C394" i="7"/>
  <c r="D394" i="7"/>
  <c r="A395" i="7"/>
  <c r="B395" i="7"/>
  <c r="C395" i="7"/>
  <c r="G395" i="7"/>
  <c r="D395" i="7"/>
  <c r="A396" i="7"/>
  <c r="B396" i="7"/>
  <c r="C396" i="7"/>
  <c r="G396" i="7"/>
  <c r="D396" i="7"/>
  <c r="A397" i="7"/>
  <c r="B397" i="7"/>
  <c r="C397" i="7"/>
  <c r="G397" i="7"/>
  <c r="D397" i="7"/>
  <c r="A398" i="7"/>
  <c r="B398" i="7"/>
  <c r="C398" i="7"/>
  <c r="G398" i="7"/>
  <c r="D398" i="7"/>
  <c r="A399" i="7"/>
  <c r="B399" i="7"/>
  <c r="C399" i="7"/>
  <c r="G399" i="7"/>
  <c r="D399" i="7"/>
  <c r="A400" i="7"/>
  <c r="B400" i="7"/>
  <c r="C400" i="7"/>
  <c r="G400" i="7"/>
  <c r="D400" i="7"/>
  <c r="A401" i="7"/>
  <c r="B401" i="7"/>
  <c r="C401" i="7"/>
  <c r="F401" i="7"/>
  <c r="D401" i="7"/>
  <c r="A402" i="7"/>
  <c r="B402" i="7"/>
  <c r="C402" i="7"/>
  <c r="F402" i="7"/>
  <c r="D402" i="7"/>
  <c r="A403" i="7"/>
  <c r="B403" i="7"/>
  <c r="C403" i="7"/>
  <c r="G403" i="7"/>
  <c r="D403" i="7"/>
  <c r="A404" i="7"/>
  <c r="B404" i="7"/>
  <c r="C404" i="7"/>
  <c r="G404" i="7"/>
  <c r="D404" i="7"/>
  <c r="A405" i="7"/>
  <c r="B405" i="7"/>
  <c r="C405" i="7"/>
  <c r="G405" i="7"/>
  <c r="D405" i="7"/>
  <c r="A406" i="7"/>
  <c r="B406" i="7"/>
  <c r="C406" i="7"/>
  <c r="G406" i="7"/>
  <c r="D406" i="7"/>
  <c r="A407" i="7"/>
  <c r="B407" i="7"/>
  <c r="C407" i="7"/>
  <c r="G407" i="7"/>
  <c r="D407" i="7"/>
  <c r="A408" i="7"/>
  <c r="B408" i="7"/>
  <c r="C408" i="7"/>
  <c r="G408" i="7"/>
  <c r="D408" i="7"/>
  <c r="A409" i="7"/>
  <c r="B409" i="7"/>
  <c r="C409" i="7"/>
  <c r="F409" i="7"/>
  <c r="D409" i="7"/>
  <c r="A410" i="7"/>
  <c r="B410" i="7"/>
  <c r="C410" i="7"/>
  <c r="G410" i="7"/>
  <c r="D410" i="7"/>
  <c r="A411" i="7"/>
  <c r="B411" i="7"/>
  <c r="C411" i="7"/>
  <c r="G411" i="7"/>
  <c r="D411" i="7"/>
  <c r="A412" i="7"/>
  <c r="B412" i="7"/>
  <c r="C412" i="7"/>
  <c r="G412" i="7"/>
  <c r="D412" i="7"/>
  <c r="A413" i="7"/>
  <c r="B413" i="7"/>
  <c r="C413" i="7"/>
  <c r="G413" i="7"/>
  <c r="D413" i="7"/>
  <c r="A414" i="7"/>
  <c r="B414" i="7"/>
  <c r="C414" i="7"/>
  <c r="F414" i="7"/>
  <c r="D414" i="7"/>
  <c r="A415" i="7"/>
  <c r="B415" i="7"/>
  <c r="C415" i="7"/>
  <c r="G415" i="7"/>
  <c r="D415" i="7"/>
  <c r="A416" i="7"/>
  <c r="B416" i="7"/>
  <c r="C416" i="7"/>
  <c r="G416" i="7"/>
  <c r="D416" i="7"/>
  <c r="A417" i="7"/>
  <c r="B417" i="7"/>
  <c r="C417" i="7"/>
  <c r="F417" i="7"/>
  <c r="D417" i="7"/>
  <c r="A418" i="7"/>
  <c r="B418" i="7"/>
  <c r="C418" i="7"/>
  <c r="G418" i="7"/>
  <c r="D418" i="7"/>
  <c r="A419" i="7"/>
  <c r="B419" i="7"/>
  <c r="C419" i="7"/>
  <c r="F419" i="7"/>
  <c r="D419" i="7"/>
  <c r="A420" i="7"/>
  <c r="B420" i="7"/>
  <c r="C420" i="7"/>
  <c r="D420" i="7"/>
  <c r="A421" i="7"/>
  <c r="B421" i="7"/>
  <c r="C421" i="7"/>
  <c r="G421" i="7"/>
  <c r="D421" i="7"/>
  <c r="A422" i="7"/>
  <c r="B422" i="7"/>
  <c r="C422" i="7"/>
  <c r="G422" i="7"/>
  <c r="D422" i="7"/>
  <c r="A423" i="7"/>
  <c r="B423" i="7"/>
  <c r="C423" i="7"/>
  <c r="D423" i="7"/>
  <c r="A424" i="7"/>
  <c r="B424" i="7"/>
  <c r="C424" i="7"/>
  <c r="F424" i="7"/>
  <c r="G424" i="7"/>
  <c r="D424" i="7"/>
  <c r="A425" i="7"/>
  <c r="B425" i="7"/>
  <c r="C425" i="7"/>
  <c r="G425" i="7"/>
  <c r="D425" i="7"/>
  <c r="A426" i="7"/>
  <c r="B426" i="7"/>
  <c r="C426" i="7"/>
  <c r="F426" i="7"/>
  <c r="G426" i="7"/>
  <c r="D426" i="7"/>
  <c r="A427" i="7"/>
  <c r="B427" i="7"/>
  <c r="C427" i="7"/>
  <c r="F427" i="7"/>
  <c r="D427" i="7"/>
  <c r="A428" i="7"/>
  <c r="B428" i="7"/>
  <c r="C428" i="7"/>
  <c r="D428" i="7"/>
  <c r="A429" i="7"/>
  <c r="B429" i="7"/>
  <c r="C429" i="7"/>
  <c r="F429" i="7"/>
  <c r="D429" i="7"/>
  <c r="A430" i="7"/>
  <c r="B430" i="7"/>
  <c r="C430" i="7"/>
  <c r="G430" i="7"/>
  <c r="D430" i="7"/>
  <c r="A431" i="7"/>
  <c r="B431" i="7"/>
  <c r="C431" i="7"/>
  <c r="G431" i="7"/>
  <c r="D431" i="7"/>
  <c r="A432" i="7"/>
  <c r="B432" i="7"/>
  <c r="C432" i="7"/>
  <c r="F432" i="7"/>
  <c r="D432" i="7"/>
  <c r="A433" i="7"/>
  <c r="B433" i="7"/>
  <c r="C433" i="7"/>
  <c r="G433" i="7"/>
  <c r="D433" i="7"/>
  <c r="A434" i="7"/>
  <c r="B434" i="7"/>
  <c r="C434" i="7"/>
  <c r="G434" i="7"/>
  <c r="D434" i="7"/>
  <c r="A435" i="7"/>
  <c r="B435" i="7"/>
  <c r="C435" i="7"/>
  <c r="G435" i="7"/>
  <c r="D435" i="7"/>
  <c r="A436" i="7"/>
  <c r="B436" i="7"/>
  <c r="C436" i="7"/>
  <c r="G436" i="7"/>
  <c r="D436" i="7"/>
  <c r="A437" i="7"/>
  <c r="B437" i="7"/>
  <c r="C437" i="7"/>
  <c r="D437" i="7"/>
  <c r="A438" i="7"/>
  <c r="B438" i="7"/>
  <c r="C438" i="7"/>
  <c r="G438" i="7"/>
  <c r="D438" i="7"/>
  <c r="A439" i="7"/>
  <c r="B439" i="7"/>
  <c r="C439" i="7"/>
  <c r="G439" i="7"/>
  <c r="F439" i="7"/>
  <c r="D439" i="7"/>
  <c r="A440" i="7"/>
  <c r="B440" i="7"/>
  <c r="C440" i="7"/>
  <c r="F440" i="7"/>
  <c r="D440" i="7"/>
  <c r="A441" i="7"/>
  <c r="B441" i="7"/>
  <c r="C441" i="7"/>
  <c r="G441" i="7"/>
  <c r="D441" i="7"/>
  <c r="A442" i="7"/>
  <c r="B442" i="7"/>
  <c r="C442" i="7"/>
  <c r="F442" i="7"/>
  <c r="D442" i="7"/>
  <c r="A443" i="7"/>
  <c r="B443" i="7"/>
  <c r="C443" i="7"/>
  <c r="G443" i="7"/>
  <c r="D443" i="7"/>
  <c r="A444" i="7"/>
  <c r="B444" i="7"/>
  <c r="C444" i="7"/>
  <c r="G444" i="7"/>
  <c r="D444" i="7"/>
  <c r="A445" i="7"/>
  <c r="B445" i="7"/>
  <c r="C445" i="7"/>
  <c r="G445" i="7"/>
  <c r="D445" i="7"/>
  <c r="A446" i="7"/>
  <c r="B446" i="7"/>
  <c r="C446" i="7"/>
  <c r="G446" i="7"/>
  <c r="D446" i="7"/>
  <c r="A447" i="7"/>
  <c r="B447" i="7"/>
  <c r="C447" i="7"/>
  <c r="G447" i="7"/>
  <c r="D447" i="7"/>
  <c r="A448" i="7"/>
  <c r="B448" i="7"/>
  <c r="C448" i="7"/>
  <c r="G448" i="7"/>
  <c r="D448" i="7"/>
  <c r="A449" i="7"/>
  <c r="B449" i="7"/>
  <c r="C449" i="7"/>
  <c r="G449" i="7"/>
  <c r="D449" i="7"/>
  <c r="A450" i="7"/>
  <c r="B450" i="7"/>
  <c r="C450" i="7"/>
  <c r="G450" i="7"/>
  <c r="D450" i="7"/>
  <c r="A451" i="7"/>
  <c r="B451" i="7"/>
  <c r="C451" i="7"/>
  <c r="G451" i="7"/>
  <c r="D451" i="7"/>
  <c r="A452" i="7"/>
  <c r="B452" i="7"/>
  <c r="C452" i="7"/>
  <c r="F452" i="7"/>
  <c r="D452" i="7"/>
  <c r="A453" i="7"/>
  <c r="B453" i="7"/>
  <c r="C453" i="7"/>
  <c r="G453" i="7"/>
  <c r="D453" i="7"/>
  <c r="A454" i="7"/>
  <c r="B454" i="7"/>
  <c r="C454" i="7"/>
  <c r="G454" i="7"/>
  <c r="D454" i="7"/>
  <c r="A455" i="7"/>
  <c r="B455" i="7"/>
  <c r="C455" i="7"/>
  <c r="F455" i="7"/>
  <c r="D455" i="7"/>
  <c r="A456" i="7"/>
  <c r="B456" i="7"/>
  <c r="C456" i="7"/>
  <c r="G456" i="7"/>
  <c r="D456" i="7"/>
  <c r="A457" i="7"/>
  <c r="B457" i="7"/>
  <c r="C457" i="7"/>
  <c r="D457" i="7"/>
  <c r="A458" i="7"/>
  <c r="B458" i="7"/>
  <c r="C458" i="7"/>
  <c r="F458" i="7"/>
  <c r="G458" i="7"/>
  <c r="D458" i="7"/>
  <c r="A459" i="7"/>
  <c r="B459" i="7"/>
  <c r="C459" i="7"/>
  <c r="D459" i="7"/>
  <c r="A460" i="7"/>
  <c r="B460" i="7"/>
  <c r="C460" i="7"/>
  <c r="G460" i="7"/>
  <c r="D460" i="7"/>
  <c r="A461" i="7"/>
  <c r="B461" i="7"/>
  <c r="C461" i="7"/>
  <c r="G461" i="7"/>
  <c r="D461" i="7"/>
  <c r="A462" i="7"/>
  <c r="B462" i="7"/>
  <c r="C462" i="7"/>
  <c r="G462" i="7"/>
  <c r="D462" i="7"/>
  <c r="A463" i="7"/>
  <c r="B463" i="7"/>
  <c r="C463" i="7"/>
  <c r="D463" i="7"/>
  <c r="A464" i="7"/>
  <c r="B464" i="7"/>
  <c r="C464" i="7"/>
  <c r="D464" i="7"/>
  <c r="A465" i="7"/>
  <c r="B465" i="7"/>
  <c r="C465" i="7"/>
  <c r="G465" i="7"/>
  <c r="D465" i="7"/>
  <c r="A466" i="7"/>
  <c r="B466" i="7"/>
  <c r="C466" i="7"/>
  <c r="F466" i="7"/>
  <c r="D466" i="7"/>
  <c r="A467" i="7"/>
  <c r="B467" i="7"/>
  <c r="C467" i="7"/>
  <c r="D467" i="7"/>
  <c r="A468" i="7"/>
  <c r="B468" i="7"/>
  <c r="C468" i="7"/>
  <c r="D468" i="7"/>
  <c r="A469" i="7"/>
  <c r="B469" i="7"/>
  <c r="C469" i="7"/>
  <c r="G469" i="7"/>
  <c r="D469" i="7"/>
  <c r="A470" i="7"/>
  <c r="B470" i="7"/>
  <c r="C470" i="7"/>
  <c r="G470" i="7"/>
  <c r="D470" i="7"/>
  <c r="A471" i="7"/>
  <c r="B471" i="7"/>
  <c r="C471" i="7"/>
  <c r="G471" i="7"/>
  <c r="D471" i="7"/>
  <c r="A472" i="7"/>
  <c r="B472" i="7"/>
  <c r="C472" i="7"/>
  <c r="G472" i="7"/>
  <c r="D472" i="7"/>
  <c r="A473" i="7"/>
  <c r="B473" i="7"/>
  <c r="C473" i="7"/>
  <c r="G473" i="7"/>
  <c r="D473" i="7"/>
  <c r="A474" i="7"/>
  <c r="B474" i="7"/>
  <c r="C474" i="7"/>
  <c r="G474" i="7"/>
  <c r="D474" i="7"/>
  <c r="A475" i="7"/>
  <c r="B475" i="7"/>
  <c r="C475" i="7"/>
  <c r="F475" i="7"/>
  <c r="G475" i="7"/>
  <c r="D475" i="7"/>
  <c r="A476" i="7"/>
  <c r="B476" i="7"/>
  <c r="C476" i="7"/>
  <c r="G476" i="7"/>
  <c r="D476" i="7"/>
  <c r="A477" i="7"/>
  <c r="B477" i="7"/>
  <c r="C477" i="7"/>
  <c r="G477" i="7"/>
  <c r="D477" i="7"/>
  <c r="A478" i="7"/>
  <c r="B478" i="7"/>
  <c r="C478" i="7"/>
  <c r="D478" i="7"/>
  <c r="A479" i="7"/>
  <c r="B479" i="7"/>
  <c r="C479" i="7"/>
  <c r="G479" i="7"/>
  <c r="D479" i="7"/>
  <c r="A480" i="7"/>
  <c r="B480" i="7"/>
  <c r="C480" i="7"/>
  <c r="G480" i="7"/>
  <c r="D480" i="7"/>
  <c r="A481" i="7"/>
  <c r="B481" i="7"/>
  <c r="C481" i="7"/>
  <c r="G481" i="7"/>
  <c r="D481" i="7"/>
  <c r="A482" i="7"/>
  <c r="B482" i="7"/>
  <c r="C482" i="7"/>
  <c r="G482" i="7"/>
  <c r="D482" i="7"/>
  <c r="A483" i="7"/>
  <c r="B483" i="7"/>
  <c r="C483" i="7"/>
  <c r="D483" i="7"/>
  <c r="A484" i="7"/>
  <c r="B484" i="7"/>
  <c r="C484" i="7"/>
  <c r="G484" i="7"/>
  <c r="D484" i="7"/>
  <c r="A485" i="7"/>
  <c r="B485" i="7"/>
  <c r="C485" i="7"/>
  <c r="F485" i="7"/>
  <c r="D485" i="7"/>
  <c r="A486" i="7"/>
  <c r="B486" i="7"/>
  <c r="C486" i="7"/>
  <c r="F486" i="7"/>
  <c r="D486" i="7"/>
  <c r="A487" i="7"/>
  <c r="B487" i="7"/>
  <c r="C487" i="7"/>
  <c r="G487" i="7"/>
  <c r="D487" i="7"/>
  <c r="A488" i="7"/>
  <c r="B488" i="7"/>
  <c r="C488" i="7"/>
  <c r="D488" i="7"/>
  <c r="A489" i="7"/>
  <c r="B489" i="7"/>
  <c r="C489" i="7"/>
  <c r="F489" i="7"/>
  <c r="D489" i="7"/>
  <c r="A490" i="7"/>
  <c r="B490" i="7"/>
  <c r="C490" i="7"/>
  <c r="D490" i="7"/>
  <c r="A491" i="7"/>
  <c r="B491" i="7"/>
  <c r="C491" i="7"/>
  <c r="G491" i="7"/>
  <c r="D491" i="7"/>
  <c r="A492" i="7"/>
  <c r="B492" i="7"/>
  <c r="C492" i="7"/>
  <c r="D492" i="7"/>
  <c r="A493" i="7"/>
  <c r="B493" i="7"/>
  <c r="C493" i="7"/>
  <c r="G493" i="7"/>
  <c r="D493" i="7"/>
  <c r="A494" i="7"/>
  <c r="B494" i="7"/>
  <c r="C494" i="7"/>
  <c r="G494" i="7"/>
  <c r="D494" i="7"/>
  <c r="A495" i="7"/>
  <c r="B495" i="7"/>
  <c r="C495" i="7"/>
  <c r="G495" i="7"/>
  <c r="D495" i="7"/>
  <c r="A496" i="7"/>
  <c r="B496" i="7"/>
  <c r="C496" i="7"/>
  <c r="G496" i="7"/>
  <c r="D496" i="7"/>
  <c r="A497" i="7"/>
  <c r="B497" i="7"/>
  <c r="C497" i="7"/>
  <c r="D497" i="7"/>
  <c r="A498" i="7"/>
  <c r="B498" i="7"/>
  <c r="C498" i="7"/>
  <c r="G498" i="7"/>
  <c r="D498" i="7"/>
  <c r="A499" i="7"/>
  <c r="B499" i="7"/>
  <c r="C499" i="7"/>
  <c r="G499" i="7"/>
  <c r="D499" i="7"/>
  <c r="A500" i="7"/>
  <c r="B500" i="7"/>
  <c r="C500" i="7"/>
  <c r="F500" i="7"/>
  <c r="D500" i="7"/>
  <c r="A501" i="7"/>
  <c r="B501" i="7"/>
  <c r="C501" i="7"/>
  <c r="G501" i="7"/>
  <c r="D501" i="7"/>
  <c r="A502" i="7"/>
  <c r="B502" i="7"/>
  <c r="C502" i="7"/>
  <c r="G502" i="7"/>
  <c r="D502" i="7"/>
  <c r="A503" i="7"/>
  <c r="B503" i="7"/>
  <c r="C503" i="7"/>
  <c r="G503" i="7"/>
  <c r="D503" i="7"/>
  <c r="A504" i="7"/>
  <c r="B504" i="7"/>
  <c r="C504" i="7"/>
  <c r="G504" i="7"/>
  <c r="D504" i="7"/>
  <c r="A505" i="7"/>
  <c r="B505" i="7"/>
  <c r="C505" i="7"/>
  <c r="D505" i="7"/>
  <c r="A506" i="7"/>
  <c r="B506" i="7"/>
  <c r="C506" i="7"/>
  <c r="G506" i="7"/>
  <c r="D506" i="7"/>
  <c r="A507" i="7"/>
  <c r="B507" i="7"/>
  <c r="C507" i="7"/>
  <c r="F507" i="7"/>
  <c r="G507" i="7"/>
  <c r="D507" i="7"/>
  <c r="A508" i="7"/>
  <c r="B508" i="7"/>
  <c r="C508" i="7"/>
  <c r="G508" i="7"/>
  <c r="D508" i="7"/>
  <c r="A509" i="7"/>
  <c r="B509" i="7"/>
  <c r="C509" i="7"/>
  <c r="D509" i="7"/>
  <c r="A510" i="7"/>
  <c r="B510" i="7"/>
  <c r="C510" i="7"/>
  <c r="G510" i="7"/>
  <c r="D510" i="7"/>
  <c r="A511" i="7"/>
  <c r="B511" i="7"/>
  <c r="C511" i="7"/>
  <c r="G511" i="7"/>
  <c r="D511" i="7"/>
  <c r="A512" i="7"/>
  <c r="B512" i="7"/>
  <c r="C512" i="7"/>
  <c r="G512" i="7"/>
  <c r="D512" i="7"/>
  <c r="A513" i="7"/>
  <c r="B513" i="7"/>
  <c r="C513" i="7"/>
  <c r="G513" i="7"/>
  <c r="D513" i="7"/>
  <c r="A514" i="7"/>
  <c r="B514" i="7"/>
  <c r="C514" i="7"/>
  <c r="G514" i="7"/>
  <c r="D514" i="7"/>
  <c r="A515" i="7"/>
  <c r="B515" i="7"/>
  <c r="C515" i="7"/>
  <c r="F515" i="7"/>
  <c r="D515" i="7"/>
  <c r="A516" i="7"/>
  <c r="B516" i="7"/>
  <c r="C516" i="7"/>
  <c r="G516" i="7"/>
  <c r="D516" i="7"/>
  <c r="A517" i="7"/>
  <c r="B517" i="7"/>
  <c r="C517" i="7"/>
  <c r="G517" i="7"/>
  <c r="D517" i="7"/>
  <c r="A518" i="7"/>
  <c r="B518" i="7"/>
  <c r="C518" i="7"/>
  <c r="D518" i="7"/>
  <c r="A519" i="7"/>
  <c r="B519" i="7"/>
  <c r="C519" i="7"/>
  <c r="F519" i="7"/>
  <c r="G519" i="7"/>
  <c r="D519" i="7"/>
  <c r="A520" i="7"/>
  <c r="B520" i="7"/>
  <c r="C520" i="7"/>
  <c r="G520" i="7"/>
  <c r="D520" i="7"/>
  <c r="A521" i="7"/>
  <c r="B521" i="7"/>
  <c r="C521" i="7"/>
  <c r="G521" i="7"/>
  <c r="D521" i="7"/>
  <c r="A522" i="7"/>
  <c r="B522" i="7"/>
  <c r="C522" i="7"/>
  <c r="D522" i="7"/>
  <c r="A523" i="7"/>
  <c r="B523" i="7"/>
  <c r="C523" i="7"/>
  <c r="G523" i="7"/>
  <c r="D523" i="7"/>
  <c r="A524" i="7"/>
  <c r="B524" i="7"/>
  <c r="C524" i="7"/>
  <c r="F524" i="7"/>
  <c r="G524" i="7"/>
  <c r="D524" i="7"/>
  <c r="A525" i="7"/>
  <c r="B525" i="7"/>
  <c r="C525" i="7"/>
  <c r="G525" i="7"/>
  <c r="D525" i="7"/>
  <c r="A526" i="7"/>
  <c r="B526" i="7"/>
  <c r="C526" i="7"/>
  <c r="G526" i="7"/>
  <c r="D526" i="7"/>
  <c r="A527" i="7"/>
  <c r="B527" i="7"/>
  <c r="C527" i="7"/>
  <c r="G527" i="7"/>
  <c r="D527" i="7"/>
  <c r="A528" i="7"/>
  <c r="B528" i="7"/>
  <c r="C528" i="7"/>
  <c r="F528" i="7"/>
  <c r="D528" i="7"/>
  <c r="A529" i="7"/>
  <c r="B529" i="7"/>
  <c r="C529" i="7"/>
  <c r="F529" i="7"/>
  <c r="D529" i="7"/>
  <c r="A530" i="7"/>
  <c r="B530" i="7"/>
  <c r="C530" i="7"/>
  <c r="D530" i="7"/>
  <c r="A531" i="7"/>
  <c r="B531" i="7"/>
  <c r="C531" i="7"/>
  <c r="G531" i="7"/>
  <c r="D531" i="7"/>
  <c r="A532" i="7"/>
  <c r="B532" i="7"/>
  <c r="C532" i="7"/>
  <c r="G532" i="7"/>
  <c r="D532" i="7"/>
  <c r="A533" i="7"/>
  <c r="B533" i="7"/>
  <c r="C533" i="7"/>
  <c r="G533" i="7"/>
  <c r="D533" i="7"/>
  <c r="A534" i="7"/>
  <c r="B534" i="7"/>
  <c r="C534" i="7"/>
  <c r="F534" i="7"/>
  <c r="D534" i="7"/>
  <c r="A535" i="7"/>
  <c r="B535" i="7"/>
  <c r="C535" i="7"/>
  <c r="G535" i="7"/>
  <c r="D535" i="7"/>
  <c r="A536" i="7"/>
  <c r="B536" i="7"/>
  <c r="C536" i="7"/>
  <c r="G536" i="7"/>
  <c r="D536" i="7"/>
  <c r="A537" i="7"/>
  <c r="B537" i="7"/>
  <c r="C537" i="7"/>
  <c r="G537" i="7"/>
  <c r="D537" i="7"/>
  <c r="A538" i="7"/>
  <c r="B538" i="7"/>
  <c r="C538" i="7"/>
  <c r="G538" i="7"/>
  <c r="D538" i="7"/>
  <c r="A539" i="7"/>
  <c r="B539" i="7"/>
  <c r="C539" i="7"/>
  <c r="F539" i="7"/>
  <c r="D539" i="7"/>
  <c r="A540" i="7"/>
  <c r="B540" i="7"/>
  <c r="C540" i="7"/>
  <c r="G540" i="7"/>
  <c r="D540" i="7"/>
  <c r="A541" i="7"/>
  <c r="B541" i="7"/>
  <c r="C541" i="7"/>
  <c r="D541" i="7"/>
  <c r="A542" i="7"/>
  <c r="B542" i="7"/>
  <c r="C542" i="7"/>
  <c r="F542" i="7"/>
  <c r="G542" i="7"/>
  <c r="D542" i="7"/>
  <c r="A543" i="7"/>
  <c r="B543" i="7"/>
  <c r="C543" i="7"/>
  <c r="G543" i="7"/>
  <c r="D543" i="7"/>
  <c r="A544" i="7"/>
  <c r="B544" i="7"/>
  <c r="C544" i="7"/>
  <c r="G544" i="7"/>
  <c r="D544" i="7"/>
  <c r="A545" i="7"/>
  <c r="B545" i="7"/>
  <c r="C545" i="7"/>
  <c r="G545" i="7"/>
  <c r="D545" i="7"/>
  <c r="A546" i="7"/>
  <c r="B546" i="7"/>
  <c r="C546" i="7"/>
  <c r="F546" i="7"/>
  <c r="D546" i="7"/>
  <c r="A547" i="7"/>
  <c r="B547" i="7"/>
  <c r="C547" i="7"/>
  <c r="D547" i="7"/>
  <c r="A548" i="7"/>
  <c r="B548" i="7"/>
  <c r="C548" i="7"/>
  <c r="D548" i="7"/>
  <c r="A549" i="7"/>
  <c r="B549" i="7"/>
  <c r="C549" i="7"/>
  <c r="F549" i="7"/>
  <c r="D549" i="7"/>
  <c r="A550" i="7"/>
  <c r="B550" i="7"/>
  <c r="C550" i="7"/>
  <c r="G550" i="7"/>
  <c r="D550" i="7"/>
  <c r="A551" i="7"/>
  <c r="B551" i="7"/>
  <c r="C551" i="7"/>
  <c r="G551" i="7"/>
  <c r="D551" i="7"/>
  <c r="A552" i="7"/>
  <c r="B552" i="7"/>
  <c r="C552" i="7"/>
  <c r="D552" i="7"/>
  <c r="A553" i="7"/>
  <c r="B553" i="7"/>
  <c r="C553" i="7"/>
  <c r="G553" i="7"/>
  <c r="D553" i="7"/>
  <c r="A554" i="7"/>
  <c r="B554" i="7"/>
  <c r="C554" i="7"/>
  <c r="G554" i="7"/>
  <c r="D554" i="7"/>
  <c r="A555" i="7"/>
  <c r="B555" i="7"/>
  <c r="C555" i="7"/>
  <c r="G555" i="7"/>
  <c r="D555" i="7"/>
  <c r="A556" i="7"/>
  <c r="B556" i="7"/>
  <c r="C556" i="7"/>
  <c r="G556" i="7"/>
  <c r="D556" i="7"/>
  <c r="A557" i="7"/>
  <c r="B557" i="7"/>
  <c r="C557" i="7"/>
  <c r="G557" i="7"/>
  <c r="D557" i="7"/>
  <c r="A558" i="7"/>
  <c r="B558" i="7"/>
  <c r="C558" i="7"/>
  <c r="F558" i="7"/>
  <c r="D558" i="7"/>
  <c r="A559" i="7"/>
  <c r="B559" i="7"/>
  <c r="C559" i="7"/>
  <c r="G559" i="7"/>
  <c r="D559" i="7"/>
  <c r="A560" i="7"/>
  <c r="B560" i="7"/>
  <c r="C560" i="7"/>
  <c r="F560" i="7"/>
  <c r="G560" i="7"/>
  <c r="D560" i="7"/>
  <c r="A561" i="7"/>
  <c r="B561" i="7"/>
  <c r="C561" i="7"/>
  <c r="G561" i="7"/>
  <c r="D561" i="7"/>
  <c r="A562" i="7"/>
  <c r="B562" i="7"/>
  <c r="C562" i="7"/>
  <c r="G562" i="7"/>
  <c r="D562" i="7"/>
  <c r="A563" i="7"/>
  <c r="B563" i="7"/>
  <c r="C563" i="7"/>
  <c r="G563" i="7"/>
  <c r="D563" i="7"/>
  <c r="A564" i="7"/>
  <c r="B564" i="7"/>
  <c r="C564" i="7"/>
  <c r="G564" i="7"/>
  <c r="D564" i="7"/>
  <c r="A565" i="7"/>
  <c r="B565" i="7"/>
  <c r="C565" i="7"/>
  <c r="G565" i="7"/>
  <c r="D565" i="7"/>
  <c r="A566" i="7"/>
  <c r="B566" i="7"/>
  <c r="C566" i="7"/>
  <c r="G566" i="7"/>
  <c r="D566" i="7"/>
  <c r="A567" i="7"/>
  <c r="B567" i="7"/>
  <c r="C567" i="7"/>
  <c r="D567" i="7"/>
  <c r="A568" i="7"/>
  <c r="B568" i="7"/>
  <c r="C568" i="7"/>
  <c r="G568" i="7"/>
  <c r="D568" i="7"/>
  <c r="A569" i="7"/>
  <c r="B569" i="7"/>
  <c r="C569" i="7"/>
  <c r="G569" i="7"/>
  <c r="D569" i="7"/>
  <c r="A570" i="7"/>
  <c r="B570" i="7"/>
  <c r="C570" i="7"/>
  <c r="F570" i="7"/>
  <c r="G570" i="7"/>
  <c r="D570" i="7"/>
  <c r="A571" i="7"/>
  <c r="B571" i="7"/>
  <c r="C571" i="7"/>
  <c r="G571" i="7"/>
  <c r="D571" i="7"/>
  <c r="A572" i="7"/>
  <c r="B572" i="7"/>
  <c r="C572" i="7"/>
  <c r="F572" i="7"/>
  <c r="D572" i="7"/>
  <c r="A573" i="7"/>
  <c r="B573" i="7"/>
  <c r="C573" i="7"/>
  <c r="G573" i="7"/>
  <c r="D573" i="7"/>
  <c r="A574" i="7"/>
  <c r="B574" i="7"/>
  <c r="C574" i="7"/>
  <c r="D574" i="7"/>
  <c r="A575" i="7"/>
  <c r="B575" i="7"/>
  <c r="C575" i="7"/>
  <c r="G575" i="7"/>
  <c r="D575" i="7"/>
  <c r="A576" i="7"/>
  <c r="B576" i="7"/>
  <c r="C576" i="7"/>
  <c r="F576" i="7"/>
  <c r="D576" i="7"/>
  <c r="A577" i="7"/>
  <c r="B577" i="7"/>
  <c r="C577" i="7"/>
  <c r="G577" i="7"/>
  <c r="D577" i="7"/>
  <c r="A578" i="7"/>
  <c r="B578" i="7"/>
  <c r="C578" i="7"/>
  <c r="G578" i="7"/>
  <c r="D578" i="7"/>
  <c r="A579" i="7"/>
  <c r="B579" i="7"/>
  <c r="C579" i="7"/>
  <c r="F579" i="7"/>
  <c r="D579" i="7"/>
  <c r="A580" i="7"/>
  <c r="B580" i="7"/>
  <c r="C580" i="7"/>
  <c r="G580" i="7"/>
  <c r="D580" i="7"/>
  <c r="A581" i="7"/>
  <c r="B581" i="7"/>
  <c r="C581" i="7"/>
  <c r="G581" i="7"/>
  <c r="D581" i="7"/>
  <c r="A582" i="7"/>
  <c r="B582" i="7"/>
  <c r="C582" i="7"/>
  <c r="F582" i="7"/>
  <c r="G582" i="7"/>
  <c r="D582" i="7"/>
  <c r="A583" i="7"/>
  <c r="B583" i="7"/>
  <c r="C583" i="7"/>
  <c r="G583" i="7"/>
  <c r="D583" i="7"/>
  <c r="A584" i="7"/>
  <c r="B584" i="7"/>
  <c r="C584" i="7"/>
  <c r="F584" i="7"/>
  <c r="G584" i="7"/>
  <c r="D584" i="7"/>
  <c r="A585" i="7"/>
  <c r="B585" i="7"/>
  <c r="C585" i="7"/>
  <c r="D585" i="7"/>
  <c r="A586" i="7"/>
  <c r="B586" i="7"/>
  <c r="C586" i="7"/>
  <c r="G586" i="7"/>
  <c r="D586" i="7"/>
  <c r="A587" i="7"/>
  <c r="B587" i="7"/>
  <c r="C587" i="7"/>
  <c r="G587" i="7"/>
  <c r="D587" i="7"/>
  <c r="A588" i="7"/>
  <c r="B588" i="7"/>
  <c r="C588" i="7"/>
  <c r="G588" i="7"/>
  <c r="D588" i="7"/>
  <c r="A589" i="7"/>
  <c r="B589" i="7"/>
  <c r="C589" i="7"/>
  <c r="G589" i="7"/>
  <c r="D589" i="7"/>
  <c r="A590" i="7"/>
  <c r="B590" i="7"/>
  <c r="C590" i="7"/>
  <c r="F590" i="7"/>
  <c r="G590" i="7"/>
  <c r="D590" i="7"/>
  <c r="A591" i="7"/>
  <c r="B591" i="7"/>
  <c r="C591" i="7"/>
  <c r="G591" i="7"/>
  <c r="D591" i="7"/>
  <c r="A592" i="7"/>
  <c r="B592" i="7"/>
  <c r="C592" i="7"/>
  <c r="F592" i="7"/>
  <c r="G592" i="7"/>
  <c r="D592" i="7"/>
  <c r="A593" i="7"/>
  <c r="B593" i="7"/>
  <c r="C593" i="7"/>
  <c r="G593" i="7"/>
  <c r="D593" i="7"/>
  <c r="A594" i="7"/>
  <c r="B594" i="7"/>
  <c r="C594" i="7"/>
  <c r="F594" i="7"/>
  <c r="G594" i="7"/>
  <c r="D594" i="7"/>
  <c r="A595" i="7"/>
  <c r="B595" i="7"/>
  <c r="C595" i="7"/>
  <c r="D595" i="7"/>
  <c r="A596" i="7"/>
  <c r="B596" i="7"/>
  <c r="C596" i="7"/>
  <c r="F596" i="7"/>
  <c r="D596" i="7"/>
  <c r="A597" i="7"/>
  <c r="B597" i="7"/>
  <c r="C597" i="7"/>
  <c r="G597" i="7"/>
  <c r="D597" i="7"/>
  <c r="A598" i="7"/>
  <c r="B598" i="7"/>
  <c r="C598" i="7"/>
  <c r="G598" i="7"/>
  <c r="D598" i="7"/>
  <c r="A599" i="7"/>
  <c r="B599" i="7"/>
  <c r="C599" i="7"/>
  <c r="F599" i="7"/>
  <c r="G599" i="7"/>
  <c r="D599" i="7"/>
  <c r="A600" i="7"/>
  <c r="B600" i="7"/>
  <c r="C600" i="7"/>
  <c r="G600" i="7"/>
  <c r="D600" i="7"/>
  <c r="A601" i="7"/>
  <c r="B601" i="7"/>
  <c r="C601" i="7"/>
  <c r="G601" i="7"/>
  <c r="D601" i="7"/>
  <c r="A602" i="7"/>
  <c r="B602" i="7"/>
  <c r="C602" i="7"/>
  <c r="F602" i="7"/>
  <c r="D602" i="7"/>
  <c r="A603" i="7"/>
  <c r="B603" i="7"/>
  <c r="C603" i="7"/>
  <c r="F603" i="7"/>
  <c r="D603" i="7"/>
  <c r="A604" i="7"/>
  <c r="B604" i="7"/>
  <c r="C604" i="7"/>
  <c r="D604" i="7"/>
  <c r="A605" i="7"/>
  <c r="B605" i="7"/>
  <c r="C605" i="7"/>
  <c r="G605" i="7"/>
  <c r="D605" i="7"/>
  <c r="A606" i="7"/>
  <c r="B606" i="7"/>
  <c r="C606" i="7"/>
  <c r="D606" i="7"/>
  <c r="A607" i="7"/>
  <c r="B607" i="7"/>
  <c r="C607" i="7"/>
  <c r="G607" i="7"/>
  <c r="D607" i="7"/>
  <c r="A608" i="7"/>
  <c r="B608" i="7"/>
  <c r="C608" i="7"/>
  <c r="G608" i="7"/>
  <c r="D608" i="7"/>
  <c r="A609" i="7"/>
  <c r="B609" i="7"/>
  <c r="C609" i="7"/>
  <c r="D609" i="7"/>
  <c r="A610" i="7"/>
  <c r="B610" i="7"/>
  <c r="C610" i="7"/>
  <c r="F610" i="7"/>
  <c r="G610" i="7"/>
  <c r="D610" i="7"/>
  <c r="A611" i="7"/>
  <c r="B611" i="7"/>
  <c r="C611" i="7"/>
  <c r="G611" i="7"/>
  <c r="D611" i="7"/>
  <c r="A612" i="7"/>
  <c r="B612" i="7"/>
  <c r="C612" i="7"/>
  <c r="F612" i="7"/>
  <c r="G612" i="7"/>
  <c r="D612" i="7"/>
  <c r="A613" i="7"/>
  <c r="B613" i="7"/>
  <c r="D613" i="7"/>
  <c r="A614" i="7"/>
  <c r="B614" i="7"/>
  <c r="C614" i="7"/>
  <c r="G614" i="7"/>
  <c r="D614" i="7"/>
  <c r="A615" i="7"/>
  <c r="B615" i="7"/>
  <c r="C615" i="7"/>
  <c r="G615" i="7"/>
  <c r="D615" i="7"/>
  <c r="A616" i="7"/>
  <c r="B616" i="7"/>
  <c r="C616" i="7"/>
  <c r="G616" i="7"/>
  <c r="D616" i="7"/>
  <c r="A617" i="7"/>
  <c r="B617" i="7"/>
  <c r="C617" i="7"/>
  <c r="D617" i="7"/>
  <c r="A618" i="7"/>
  <c r="B618" i="7"/>
  <c r="C618" i="7"/>
  <c r="F618" i="7"/>
  <c r="D618" i="7"/>
  <c r="A619" i="7"/>
  <c r="B619" i="7"/>
  <c r="C619" i="7"/>
  <c r="D619" i="7"/>
  <c r="A620" i="7"/>
  <c r="B620" i="7"/>
  <c r="C620" i="7"/>
  <c r="G620" i="7"/>
  <c r="D620" i="7"/>
  <c r="A621" i="7"/>
  <c r="B621" i="7"/>
  <c r="C621" i="7"/>
  <c r="D621" i="7"/>
  <c r="A622" i="7"/>
  <c r="B622" i="7"/>
  <c r="C622" i="7"/>
  <c r="F622" i="7"/>
  <c r="G622" i="7"/>
  <c r="D622" i="7"/>
  <c r="A623" i="7"/>
  <c r="B623" i="7"/>
  <c r="C623" i="7"/>
  <c r="G623" i="7"/>
  <c r="D623" i="7"/>
  <c r="A624" i="7"/>
  <c r="B624" i="7"/>
  <c r="C624" i="7"/>
  <c r="G624" i="7"/>
  <c r="D624" i="7"/>
  <c r="A625" i="7"/>
  <c r="B625" i="7"/>
  <c r="C625" i="7"/>
  <c r="F625" i="7"/>
  <c r="D625" i="7"/>
  <c r="A626" i="7"/>
  <c r="B626" i="7"/>
  <c r="C626" i="7"/>
  <c r="G626" i="7"/>
  <c r="F626" i="7"/>
  <c r="D626" i="7"/>
  <c r="A627" i="7"/>
  <c r="B627" i="7"/>
  <c r="C627" i="7"/>
  <c r="F627" i="7"/>
  <c r="G627" i="7"/>
  <c r="D627" i="7"/>
  <c r="A628" i="7"/>
  <c r="B628" i="7"/>
  <c r="C628" i="7"/>
  <c r="G628" i="7"/>
  <c r="D628" i="7"/>
  <c r="A629" i="7"/>
  <c r="B629" i="7"/>
  <c r="C629" i="7"/>
  <c r="G629" i="7"/>
  <c r="D629" i="7"/>
  <c r="A630" i="7"/>
  <c r="B630" i="7"/>
  <c r="C630" i="7"/>
  <c r="F630" i="7"/>
  <c r="D630" i="7"/>
  <c r="A631" i="7"/>
  <c r="B631" i="7"/>
  <c r="C631" i="7"/>
  <c r="G631" i="7"/>
  <c r="D631" i="7"/>
  <c r="A632" i="7"/>
  <c r="B632" i="7"/>
  <c r="C632" i="7"/>
  <c r="G632" i="7"/>
  <c r="D632" i="7"/>
  <c r="A633" i="7"/>
  <c r="B633" i="7"/>
  <c r="C633" i="7"/>
  <c r="G633" i="7"/>
  <c r="D633" i="7"/>
  <c r="A634" i="7"/>
  <c r="B634" i="7"/>
  <c r="C634" i="7"/>
  <c r="F634" i="7"/>
  <c r="D634" i="7"/>
  <c r="A635" i="7"/>
  <c r="B635" i="7"/>
  <c r="C635" i="7"/>
  <c r="F635" i="7"/>
  <c r="D635" i="7"/>
  <c r="A636" i="7"/>
  <c r="B636" i="7"/>
  <c r="C636" i="7"/>
  <c r="F636" i="7"/>
  <c r="D636" i="7"/>
  <c r="A637" i="7"/>
  <c r="B637" i="7"/>
  <c r="C637" i="7"/>
  <c r="D637" i="7"/>
  <c r="A638" i="7"/>
  <c r="B638" i="7"/>
  <c r="C638" i="7"/>
  <c r="G638" i="7"/>
  <c r="D638" i="7"/>
  <c r="A639" i="7"/>
  <c r="B639" i="7"/>
  <c r="C639" i="7"/>
  <c r="G639" i="7"/>
  <c r="D639" i="7"/>
  <c r="A640" i="7"/>
  <c r="B640" i="7"/>
  <c r="C640" i="7"/>
  <c r="G640" i="7"/>
  <c r="D640" i="7"/>
  <c r="A641" i="7"/>
  <c r="B641" i="7"/>
  <c r="C641" i="7"/>
  <c r="F641" i="7"/>
  <c r="D641" i="7"/>
  <c r="A642" i="7"/>
  <c r="B642" i="7"/>
  <c r="C642" i="7"/>
  <c r="G642" i="7"/>
  <c r="D642" i="7"/>
  <c r="A643" i="7"/>
  <c r="B643" i="7"/>
  <c r="C643" i="7"/>
  <c r="F643" i="7"/>
  <c r="D643" i="7"/>
  <c r="A644" i="7"/>
  <c r="B644" i="7"/>
  <c r="C644" i="7"/>
  <c r="F644" i="7"/>
  <c r="D644" i="7"/>
  <c r="A645" i="7"/>
  <c r="B645" i="7"/>
  <c r="C645" i="7"/>
  <c r="G645" i="7"/>
  <c r="D645" i="7"/>
  <c r="A646" i="7"/>
  <c r="B646" i="7"/>
  <c r="C646" i="7"/>
  <c r="G646" i="7"/>
  <c r="D646" i="7"/>
  <c r="A647" i="7"/>
  <c r="B647" i="7"/>
  <c r="C647" i="7"/>
  <c r="G647" i="7"/>
  <c r="D647" i="7"/>
  <c r="A648" i="7"/>
  <c r="B648" i="7"/>
  <c r="C648" i="7"/>
  <c r="G648" i="7"/>
  <c r="D648" i="7"/>
  <c r="A649" i="7"/>
  <c r="B649" i="7"/>
  <c r="C649" i="7"/>
  <c r="F649" i="7"/>
  <c r="D649" i="7"/>
  <c r="A650" i="7"/>
  <c r="B650" i="7"/>
  <c r="C650" i="7"/>
  <c r="G650" i="7"/>
  <c r="D650" i="7"/>
  <c r="A651" i="7"/>
  <c r="B651" i="7"/>
  <c r="C651" i="7"/>
  <c r="G651" i="7"/>
  <c r="D651" i="7"/>
  <c r="A652" i="7"/>
  <c r="B652" i="7"/>
  <c r="C652" i="7"/>
  <c r="G652" i="7"/>
  <c r="D652" i="7"/>
  <c r="A653" i="7"/>
  <c r="B653" i="7"/>
  <c r="C653" i="7"/>
  <c r="G653" i="7"/>
  <c r="D653" i="7"/>
  <c r="A654" i="7"/>
  <c r="B654" i="7"/>
  <c r="C654" i="7"/>
  <c r="G654" i="7"/>
  <c r="D654" i="7"/>
  <c r="A655" i="7"/>
  <c r="B655" i="7"/>
  <c r="C655" i="7"/>
  <c r="G655" i="7"/>
  <c r="D655" i="7"/>
  <c r="A656" i="7"/>
  <c r="B656" i="7"/>
  <c r="C656" i="7"/>
  <c r="F656" i="7"/>
  <c r="D656" i="7"/>
  <c r="A657" i="7"/>
  <c r="B657" i="7"/>
  <c r="C657" i="7"/>
  <c r="G657" i="7"/>
  <c r="D657" i="7"/>
  <c r="A658" i="7"/>
  <c r="B658" i="7"/>
  <c r="C658" i="7"/>
  <c r="G658" i="7"/>
  <c r="D658" i="7"/>
  <c r="A659" i="7"/>
  <c r="B659" i="7"/>
  <c r="C659" i="7"/>
  <c r="G659" i="7"/>
  <c r="D659" i="7"/>
  <c r="A660" i="7"/>
  <c r="B660" i="7"/>
  <c r="C660" i="7"/>
  <c r="D660" i="7"/>
  <c r="A661" i="7"/>
  <c r="B661" i="7"/>
  <c r="C661" i="7"/>
  <c r="G661" i="7"/>
  <c r="D661" i="7"/>
  <c r="A662" i="7"/>
  <c r="B662" i="7"/>
  <c r="C662" i="7"/>
  <c r="G662" i="7"/>
  <c r="D662" i="7"/>
  <c r="A663" i="7"/>
  <c r="B663" i="7"/>
  <c r="C663" i="7"/>
  <c r="G663" i="7"/>
  <c r="D663" i="7"/>
  <c r="A664" i="7"/>
  <c r="B664" i="7"/>
  <c r="C664" i="7"/>
  <c r="F664" i="7"/>
  <c r="D664" i="7"/>
  <c r="A665" i="7"/>
  <c r="B665" i="7"/>
  <c r="C665" i="7"/>
  <c r="G665" i="7"/>
  <c r="D665" i="7"/>
  <c r="A666" i="7"/>
  <c r="B666" i="7"/>
  <c r="C666" i="7"/>
  <c r="F666" i="7"/>
  <c r="D666" i="7"/>
  <c r="A667" i="7"/>
  <c r="B667" i="7"/>
  <c r="C667" i="7"/>
  <c r="G667" i="7"/>
  <c r="D667" i="7"/>
  <c r="A668" i="7"/>
  <c r="B668" i="7"/>
  <c r="C668" i="7"/>
  <c r="F668" i="7"/>
  <c r="D668" i="7"/>
  <c r="A669" i="7"/>
  <c r="B669" i="7"/>
  <c r="C669" i="7"/>
  <c r="F669" i="7"/>
  <c r="D669" i="7"/>
  <c r="A670" i="7"/>
  <c r="B670" i="7"/>
  <c r="C670" i="7"/>
  <c r="G670" i="7"/>
  <c r="D670" i="7"/>
  <c r="A671" i="7"/>
  <c r="B671" i="7"/>
  <c r="C671" i="7"/>
  <c r="D671" i="7"/>
  <c r="A672" i="7"/>
  <c r="B672" i="7"/>
  <c r="C672" i="7"/>
  <c r="F672" i="7"/>
  <c r="D672" i="7"/>
  <c r="A673" i="7"/>
  <c r="B673" i="7"/>
  <c r="C673" i="7"/>
  <c r="G673" i="7"/>
  <c r="D673" i="7"/>
  <c r="A674" i="7"/>
  <c r="B674" i="7"/>
  <c r="C674" i="7"/>
  <c r="F674" i="7"/>
  <c r="G674" i="7"/>
  <c r="D674" i="7"/>
  <c r="A675" i="7"/>
  <c r="B675" i="7"/>
  <c r="C675" i="7"/>
  <c r="G675" i="7"/>
  <c r="D675" i="7"/>
  <c r="A676" i="7"/>
  <c r="B676" i="7"/>
  <c r="C676" i="7"/>
  <c r="G676" i="7"/>
  <c r="D676" i="7"/>
  <c r="A677" i="7"/>
  <c r="B677" i="7"/>
  <c r="C677" i="7"/>
  <c r="F677" i="7"/>
  <c r="D677" i="7"/>
  <c r="A678" i="7"/>
  <c r="B678" i="7"/>
  <c r="C678" i="7"/>
  <c r="G678" i="7"/>
  <c r="D678" i="7"/>
  <c r="A679" i="7"/>
  <c r="B679" i="7"/>
  <c r="C679" i="7"/>
  <c r="F679" i="7"/>
  <c r="D679" i="7"/>
  <c r="A680" i="7"/>
  <c r="B680" i="7"/>
  <c r="C680" i="7"/>
  <c r="D680" i="7"/>
  <c r="A681" i="7"/>
  <c r="B681" i="7"/>
  <c r="C681" i="7"/>
  <c r="F681" i="7"/>
  <c r="D681" i="7"/>
  <c r="A682" i="7"/>
  <c r="B682" i="7"/>
  <c r="C682" i="7"/>
  <c r="G682" i="7"/>
  <c r="D682" i="7"/>
  <c r="A683" i="7"/>
  <c r="B683" i="7"/>
  <c r="C683" i="7"/>
  <c r="F683" i="7"/>
  <c r="G683" i="7"/>
  <c r="D683" i="7"/>
  <c r="A684" i="7"/>
  <c r="B684" i="7"/>
  <c r="C684" i="7"/>
  <c r="G684" i="7"/>
  <c r="D684" i="7"/>
  <c r="A685" i="7"/>
  <c r="B685" i="7"/>
  <c r="C685" i="7"/>
  <c r="D685" i="7"/>
  <c r="A686" i="7"/>
  <c r="B686" i="7"/>
  <c r="C686" i="7"/>
  <c r="F686" i="7"/>
  <c r="D686" i="7"/>
  <c r="A687" i="7"/>
  <c r="B687" i="7"/>
  <c r="C687" i="7"/>
  <c r="D687" i="7"/>
  <c r="A688" i="7"/>
  <c r="B688" i="7"/>
  <c r="C688" i="7"/>
  <c r="G688" i="7"/>
  <c r="D688" i="7"/>
  <c r="A689" i="7"/>
  <c r="B689" i="7"/>
  <c r="C689" i="7"/>
  <c r="F689" i="7"/>
  <c r="D689" i="7"/>
  <c r="A690" i="7"/>
  <c r="B690" i="7"/>
  <c r="C690" i="7"/>
  <c r="G690" i="7"/>
  <c r="F690" i="7"/>
  <c r="D690" i="7"/>
  <c r="A691" i="7"/>
  <c r="B691" i="7"/>
  <c r="C691" i="7"/>
  <c r="G691" i="7"/>
  <c r="D691" i="7"/>
  <c r="A692" i="7"/>
  <c r="B692" i="7"/>
  <c r="C692" i="7"/>
  <c r="F692" i="7"/>
  <c r="D692" i="7"/>
  <c r="A693" i="7"/>
  <c r="B693" i="7"/>
  <c r="C693" i="7"/>
  <c r="G693" i="7"/>
  <c r="D693" i="7"/>
  <c r="A694" i="7"/>
  <c r="B694" i="7"/>
  <c r="C694" i="7"/>
  <c r="G694" i="7"/>
  <c r="D694" i="7"/>
  <c r="A695" i="7"/>
  <c r="B695" i="7"/>
  <c r="C695" i="7"/>
  <c r="F695" i="7"/>
  <c r="G695" i="7"/>
  <c r="D695" i="7"/>
  <c r="A696" i="7"/>
  <c r="B696" i="7"/>
  <c r="C696" i="7"/>
  <c r="F696" i="7"/>
  <c r="D696" i="7"/>
  <c r="A697" i="7"/>
  <c r="B697" i="7"/>
  <c r="C697" i="7"/>
  <c r="G697" i="7"/>
  <c r="D697" i="7"/>
  <c r="A698" i="7"/>
  <c r="B698" i="7"/>
  <c r="C698" i="7"/>
  <c r="G698" i="7"/>
  <c r="D698" i="7"/>
  <c r="A699" i="7"/>
  <c r="B699" i="7"/>
  <c r="C699" i="7"/>
  <c r="D699" i="7"/>
  <c r="A700" i="7"/>
  <c r="B700" i="7"/>
  <c r="C700" i="7"/>
  <c r="F700" i="7"/>
  <c r="G700" i="7"/>
  <c r="D700" i="7"/>
  <c r="A701" i="7"/>
  <c r="B701" i="7"/>
  <c r="C701" i="7"/>
  <c r="G701" i="7"/>
  <c r="D701" i="7"/>
  <c r="A702" i="7"/>
  <c r="B702" i="7"/>
  <c r="C702" i="7"/>
  <c r="G702" i="7"/>
  <c r="D702" i="7"/>
  <c r="A703" i="7"/>
  <c r="B703" i="7"/>
  <c r="C703" i="7"/>
  <c r="G703" i="7"/>
  <c r="D703" i="7"/>
  <c r="A704" i="7"/>
  <c r="B704" i="7"/>
  <c r="C704" i="7"/>
  <c r="G704" i="7"/>
  <c r="D704" i="7"/>
  <c r="A705" i="7"/>
  <c r="B705" i="7"/>
  <c r="C705" i="7"/>
  <c r="G705" i="7"/>
  <c r="D705" i="7"/>
  <c r="A706" i="7"/>
  <c r="B706" i="7"/>
  <c r="C706" i="7"/>
  <c r="G706" i="7"/>
  <c r="D706" i="7"/>
  <c r="A707" i="7"/>
  <c r="B707" i="7"/>
  <c r="C707" i="7"/>
  <c r="D707" i="7"/>
  <c r="A708" i="7"/>
  <c r="B708" i="7"/>
  <c r="C708" i="7"/>
  <c r="G708" i="7"/>
  <c r="D708" i="7"/>
  <c r="A709" i="7"/>
  <c r="B709" i="7"/>
  <c r="C709" i="7"/>
  <c r="F709" i="7"/>
  <c r="D709" i="7"/>
  <c r="A710" i="7"/>
  <c r="B710" i="7"/>
  <c r="C710" i="7"/>
  <c r="G710" i="7"/>
  <c r="D710" i="7"/>
  <c r="A711" i="7"/>
  <c r="B711" i="7"/>
  <c r="C711" i="7"/>
  <c r="F711" i="7"/>
  <c r="D711" i="7"/>
  <c r="A712" i="7"/>
  <c r="B712" i="7"/>
  <c r="C712" i="7"/>
  <c r="G712" i="7"/>
  <c r="D712" i="7"/>
  <c r="A713" i="7"/>
  <c r="B713" i="7"/>
  <c r="C713" i="7"/>
  <c r="D713" i="7"/>
  <c r="A714" i="7"/>
  <c r="B714" i="7"/>
  <c r="C714" i="7"/>
  <c r="G714" i="7"/>
  <c r="D714" i="7"/>
  <c r="A715" i="7"/>
  <c r="B715" i="7"/>
  <c r="C715" i="7"/>
  <c r="G715" i="7"/>
  <c r="D715" i="7"/>
  <c r="A716" i="7"/>
  <c r="B716" i="7"/>
  <c r="C716" i="7"/>
  <c r="D716" i="7"/>
  <c r="A717" i="7"/>
  <c r="B717" i="7"/>
  <c r="C717" i="7"/>
  <c r="F717" i="7"/>
  <c r="D717" i="7"/>
  <c r="A718" i="7"/>
  <c r="B718" i="7"/>
  <c r="C718" i="7"/>
  <c r="F718" i="7"/>
  <c r="G718" i="7"/>
  <c r="D718" i="7"/>
  <c r="A719" i="7"/>
  <c r="B719" i="7"/>
  <c r="C719" i="7"/>
  <c r="G719" i="7"/>
  <c r="D719" i="7"/>
  <c r="A720" i="7"/>
  <c r="B720" i="7"/>
  <c r="C720" i="7"/>
  <c r="F720" i="7"/>
  <c r="D720" i="7"/>
  <c r="A721" i="7"/>
  <c r="B721" i="7"/>
  <c r="C721" i="7"/>
  <c r="G721" i="7"/>
  <c r="D721" i="7"/>
  <c r="A722" i="7"/>
  <c r="B722" i="7"/>
  <c r="C722" i="7"/>
  <c r="F722" i="7"/>
  <c r="G722" i="7"/>
  <c r="D722" i="7"/>
  <c r="A723" i="7"/>
  <c r="B723" i="7"/>
  <c r="C723" i="7"/>
  <c r="G723" i="7"/>
  <c r="D723" i="7"/>
  <c r="A724" i="7"/>
  <c r="B724" i="7"/>
  <c r="C724" i="7"/>
  <c r="G724" i="7"/>
  <c r="D724" i="7"/>
  <c r="A725" i="7"/>
  <c r="B725" i="7"/>
  <c r="C725" i="7"/>
  <c r="G725" i="7"/>
  <c r="D725" i="7"/>
  <c r="A726" i="7"/>
  <c r="B726" i="7"/>
  <c r="C726" i="7"/>
  <c r="F726" i="7"/>
  <c r="D726" i="7"/>
  <c r="A727" i="7"/>
  <c r="B727" i="7"/>
  <c r="C727" i="7"/>
  <c r="G727" i="7"/>
  <c r="D727" i="7"/>
  <c r="A728" i="7"/>
  <c r="B728" i="7"/>
  <c r="C728" i="7"/>
  <c r="G728" i="7"/>
  <c r="D728" i="7"/>
  <c r="A729" i="7"/>
  <c r="B729" i="7"/>
  <c r="C729" i="7"/>
  <c r="D729" i="7"/>
  <c r="A730" i="7"/>
  <c r="B730" i="7"/>
  <c r="C730" i="7"/>
  <c r="G730" i="7"/>
  <c r="F730" i="7"/>
  <c r="D730" i="7"/>
  <c r="A731" i="7"/>
  <c r="B731" i="7"/>
  <c r="C731" i="7"/>
  <c r="D731" i="7"/>
  <c r="A732" i="7"/>
  <c r="B732" i="7"/>
  <c r="C732" i="7"/>
  <c r="F732" i="7"/>
  <c r="D732" i="7"/>
  <c r="A733" i="7"/>
  <c r="B733" i="7"/>
  <c r="C733" i="7"/>
  <c r="G733" i="7"/>
  <c r="D733" i="7"/>
  <c r="A734" i="7"/>
  <c r="B734" i="7"/>
  <c r="C734" i="7"/>
  <c r="G734" i="7"/>
  <c r="D734" i="7"/>
  <c r="A735" i="7"/>
  <c r="B735" i="7"/>
  <c r="C735" i="7"/>
  <c r="G735" i="7"/>
  <c r="D735" i="7"/>
  <c r="A736" i="7"/>
  <c r="B736" i="7"/>
  <c r="C736" i="7"/>
  <c r="D736" i="7"/>
  <c r="A737" i="7"/>
  <c r="B737" i="7"/>
  <c r="C737" i="7"/>
  <c r="D737" i="7"/>
  <c r="A738" i="7"/>
  <c r="B738" i="7"/>
  <c r="C738" i="7"/>
  <c r="G738" i="7"/>
  <c r="D738" i="7"/>
  <c r="A739" i="7"/>
  <c r="B739" i="7"/>
  <c r="C739" i="7"/>
  <c r="F739" i="7"/>
  <c r="D739" i="7"/>
  <c r="A740" i="7"/>
  <c r="B740" i="7"/>
  <c r="C740" i="7"/>
  <c r="G740" i="7"/>
  <c r="D740" i="7"/>
  <c r="A741" i="7"/>
  <c r="B741" i="7"/>
  <c r="C741" i="7"/>
  <c r="G741" i="7"/>
  <c r="D741" i="7"/>
  <c r="A742" i="7"/>
  <c r="B742" i="7"/>
  <c r="C742" i="7"/>
  <c r="F742" i="7"/>
  <c r="D742" i="7"/>
  <c r="A743" i="7"/>
  <c r="B743" i="7"/>
  <c r="C743" i="7"/>
  <c r="G743" i="7"/>
  <c r="F743" i="7"/>
  <c r="D743" i="7"/>
  <c r="A744" i="7"/>
  <c r="B744" i="7"/>
  <c r="C744" i="7"/>
  <c r="G744" i="7"/>
  <c r="D744" i="7"/>
  <c r="A745" i="7"/>
  <c r="B745" i="7"/>
  <c r="C745" i="7"/>
  <c r="G745" i="7"/>
  <c r="D745" i="7"/>
  <c r="A746" i="7"/>
  <c r="B746" i="7"/>
  <c r="C746" i="7"/>
  <c r="G746" i="7"/>
  <c r="D746" i="7"/>
  <c r="A747" i="7"/>
  <c r="B747" i="7"/>
  <c r="C747" i="7"/>
  <c r="G747" i="7"/>
  <c r="D747" i="7"/>
  <c r="A748" i="7"/>
  <c r="B748" i="7"/>
  <c r="C748" i="7"/>
  <c r="G748" i="7"/>
  <c r="D748" i="7"/>
  <c r="A749" i="7"/>
  <c r="B749" i="7"/>
  <c r="C749" i="7"/>
  <c r="G749" i="7"/>
  <c r="D749" i="7"/>
  <c r="A750" i="7"/>
  <c r="B750" i="7"/>
  <c r="C750" i="7"/>
  <c r="G750" i="7"/>
  <c r="D750" i="7"/>
  <c r="A751" i="7"/>
  <c r="B751" i="7"/>
  <c r="C751" i="7"/>
  <c r="G751" i="7"/>
  <c r="D751" i="7"/>
  <c r="A752" i="7"/>
  <c r="B752" i="7"/>
  <c r="C752" i="7"/>
  <c r="G752" i="7"/>
  <c r="D752" i="7"/>
  <c r="A753" i="7"/>
  <c r="B753" i="7"/>
  <c r="C753" i="7"/>
  <c r="G753" i="7"/>
  <c r="D753" i="7"/>
  <c r="A754" i="7"/>
  <c r="B754" i="7"/>
  <c r="C754" i="7"/>
  <c r="F754" i="7"/>
  <c r="D754" i="7"/>
  <c r="A755" i="7"/>
  <c r="B755" i="7"/>
  <c r="C755" i="7"/>
  <c r="G755" i="7"/>
  <c r="D755" i="7"/>
  <c r="A756" i="7"/>
  <c r="B756" i="7"/>
  <c r="C756" i="7"/>
  <c r="D756" i="7"/>
  <c r="A757" i="7"/>
  <c r="B757" i="7"/>
  <c r="C757" i="7"/>
  <c r="F757" i="7"/>
  <c r="D757" i="7"/>
  <c r="A758" i="7"/>
  <c r="B758" i="7"/>
  <c r="C758" i="7"/>
  <c r="G758" i="7"/>
  <c r="D758" i="7"/>
  <c r="A759" i="7"/>
  <c r="B759" i="7"/>
  <c r="C759" i="7"/>
  <c r="D759" i="7"/>
  <c r="A760" i="7"/>
  <c r="B760" i="7"/>
  <c r="C760" i="7"/>
  <c r="G760" i="7"/>
  <c r="D760" i="7"/>
  <c r="A761" i="7"/>
  <c r="B761" i="7"/>
  <c r="C761" i="7"/>
  <c r="D761" i="7"/>
  <c r="A762" i="7"/>
  <c r="B762" i="7"/>
  <c r="C762" i="7"/>
  <c r="G762" i="7"/>
  <c r="D762" i="7"/>
  <c r="A763" i="7"/>
  <c r="B763" i="7"/>
  <c r="C763" i="7"/>
  <c r="G763" i="7"/>
  <c r="D763" i="7"/>
  <c r="A764" i="7"/>
  <c r="B764" i="7"/>
  <c r="C764" i="7"/>
  <c r="G764" i="7"/>
  <c r="D764" i="7"/>
  <c r="A765" i="7"/>
  <c r="B765" i="7"/>
  <c r="C765" i="7"/>
  <c r="G765" i="7"/>
  <c r="D765" i="7"/>
  <c r="A766" i="7"/>
  <c r="B766" i="7"/>
  <c r="C766" i="7"/>
  <c r="G766" i="7"/>
  <c r="D766" i="7"/>
  <c r="A767" i="7"/>
  <c r="B767" i="7"/>
  <c r="C767" i="7"/>
  <c r="D767" i="7"/>
  <c r="A768" i="7"/>
  <c r="B768" i="7"/>
  <c r="C768" i="7"/>
  <c r="G768" i="7"/>
  <c r="D768" i="7"/>
  <c r="A769" i="7"/>
  <c r="B769" i="7"/>
  <c r="C769" i="7"/>
  <c r="F769" i="7"/>
  <c r="G769" i="7"/>
  <c r="D769" i="7"/>
  <c r="A770" i="7"/>
  <c r="B770" i="7"/>
  <c r="C770" i="7"/>
  <c r="G770" i="7"/>
  <c r="D770" i="7"/>
  <c r="A771" i="7"/>
  <c r="B771" i="7"/>
  <c r="C771" i="7"/>
  <c r="D771" i="7"/>
  <c r="A772" i="7"/>
  <c r="B772" i="7"/>
  <c r="C772" i="7"/>
  <c r="G772" i="7"/>
  <c r="D772" i="7"/>
  <c r="A773" i="7"/>
  <c r="B773" i="7"/>
  <c r="C773" i="7"/>
  <c r="F773" i="7"/>
  <c r="D773" i="7"/>
  <c r="A774" i="7"/>
  <c r="B774" i="7"/>
  <c r="C774" i="7"/>
  <c r="F774" i="7"/>
  <c r="D774" i="7"/>
  <c r="A775" i="7"/>
  <c r="B775" i="7"/>
  <c r="C775" i="7"/>
  <c r="F775" i="7"/>
  <c r="D775" i="7"/>
  <c r="A776" i="7"/>
  <c r="B776" i="7"/>
  <c r="C776" i="7"/>
  <c r="G776" i="7"/>
  <c r="D776" i="7"/>
  <c r="A777" i="7"/>
  <c r="B777" i="7"/>
  <c r="C777" i="7"/>
  <c r="G777" i="7"/>
  <c r="D777" i="7"/>
  <c r="A778" i="7"/>
  <c r="B778" i="7"/>
  <c r="C778" i="7"/>
  <c r="F778" i="7"/>
  <c r="G778" i="7"/>
  <c r="D778" i="7"/>
  <c r="A779" i="7"/>
  <c r="B779" i="7"/>
  <c r="C779" i="7"/>
  <c r="F779" i="7"/>
  <c r="D779" i="7"/>
  <c r="A780" i="7"/>
  <c r="B780" i="7"/>
  <c r="C780" i="7"/>
  <c r="F780" i="7"/>
  <c r="D780" i="7"/>
  <c r="A781" i="7"/>
  <c r="B781" i="7"/>
  <c r="C781" i="7"/>
  <c r="G781" i="7"/>
  <c r="D781" i="7"/>
  <c r="A782" i="7"/>
  <c r="B782" i="7"/>
  <c r="C782" i="7"/>
  <c r="G782" i="7"/>
  <c r="D782" i="7"/>
  <c r="A783" i="7"/>
  <c r="B783" i="7"/>
  <c r="C783" i="7"/>
  <c r="G783" i="7"/>
  <c r="D783" i="7"/>
  <c r="A784" i="7"/>
  <c r="B784" i="7"/>
  <c r="C784" i="7"/>
  <c r="G784" i="7"/>
  <c r="D784" i="7"/>
  <c r="A785" i="7"/>
  <c r="B785" i="7"/>
  <c r="C785" i="7"/>
  <c r="F785" i="7"/>
  <c r="D785" i="7"/>
  <c r="A786" i="7"/>
  <c r="B786" i="7"/>
  <c r="C786" i="7"/>
  <c r="G786" i="7"/>
  <c r="D786" i="7"/>
  <c r="A787" i="7"/>
  <c r="B787" i="7"/>
  <c r="C787" i="7"/>
  <c r="G787" i="7"/>
  <c r="D787" i="7"/>
  <c r="A788" i="7"/>
  <c r="B788" i="7"/>
  <c r="C788" i="7"/>
  <c r="G788" i="7"/>
  <c r="D788" i="7"/>
  <c r="A789" i="7"/>
  <c r="B789" i="7"/>
  <c r="C789" i="7"/>
  <c r="G789" i="7"/>
  <c r="D789" i="7"/>
  <c r="A790" i="7"/>
  <c r="B790" i="7"/>
  <c r="C790" i="7"/>
  <c r="D790" i="7"/>
  <c r="A791" i="7"/>
  <c r="B791" i="7"/>
  <c r="C791" i="7"/>
  <c r="D791" i="7"/>
  <c r="A792" i="7"/>
  <c r="B792" i="7"/>
  <c r="C792" i="7"/>
  <c r="F792" i="7"/>
  <c r="D792" i="7"/>
  <c r="A793" i="7"/>
  <c r="B793" i="7"/>
  <c r="C793" i="7"/>
  <c r="G793" i="7"/>
  <c r="D793" i="7"/>
  <c r="A794" i="7"/>
  <c r="B794" i="7"/>
  <c r="C794" i="7"/>
  <c r="G794" i="7"/>
  <c r="D794" i="7"/>
  <c r="A795" i="7"/>
  <c r="B795" i="7"/>
  <c r="C795" i="7"/>
  <c r="F795" i="7"/>
  <c r="G795" i="7"/>
  <c r="D795" i="7"/>
  <c r="A796" i="7"/>
  <c r="B796" i="7"/>
  <c r="C796" i="7"/>
  <c r="G796" i="7"/>
  <c r="D796" i="7"/>
  <c r="A797" i="7"/>
  <c r="B797" i="7"/>
  <c r="C797" i="7"/>
  <c r="G797" i="7"/>
  <c r="D797" i="7"/>
  <c r="A798" i="7"/>
  <c r="B798" i="7"/>
  <c r="C798" i="7"/>
  <c r="F798" i="7"/>
  <c r="D798" i="7"/>
  <c r="A799" i="7"/>
  <c r="B799" i="7"/>
  <c r="C799" i="7"/>
  <c r="F799" i="7"/>
  <c r="D799" i="7"/>
  <c r="A800" i="7"/>
  <c r="B800" i="7"/>
  <c r="C800" i="7"/>
  <c r="G800" i="7"/>
  <c r="D800" i="7"/>
  <c r="A801" i="7"/>
  <c r="B801" i="7"/>
  <c r="C801" i="7"/>
  <c r="G801" i="7"/>
  <c r="D801" i="7"/>
  <c r="A802" i="7"/>
  <c r="B802" i="7"/>
  <c r="C802" i="7"/>
  <c r="F802" i="7"/>
  <c r="G802" i="7"/>
  <c r="D802" i="7"/>
  <c r="A803" i="7"/>
  <c r="B803" i="7"/>
  <c r="C803" i="7"/>
  <c r="G803" i="7"/>
  <c r="D803" i="7"/>
  <c r="A804" i="7"/>
  <c r="B804" i="7"/>
  <c r="C804" i="7"/>
  <c r="G804" i="7"/>
  <c r="D804" i="7"/>
  <c r="A805" i="7"/>
  <c r="B805" i="7"/>
  <c r="C805" i="7"/>
  <c r="G805" i="7"/>
  <c r="D805" i="7"/>
  <c r="A806" i="7"/>
  <c r="B806" i="7"/>
  <c r="C806" i="7"/>
  <c r="G806" i="7"/>
  <c r="D806" i="7"/>
  <c r="A807" i="7"/>
  <c r="B807" i="7"/>
  <c r="C807" i="7"/>
  <c r="G807" i="7"/>
  <c r="D807" i="7"/>
  <c r="A808" i="7"/>
  <c r="B808" i="7"/>
  <c r="C808" i="7"/>
  <c r="F808" i="7"/>
  <c r="D808" i="7"/>
  <c r="A809" i="7"/>
  <c r="B809" i="7"/>
  <c r="C809" i="7"/>
  <c r="G809" i="7"/>
  <c r="D809" i="7"/>
  <c r="A810" i="7"/>
  <c r="B810" i="7"/>
  <c r="C810" i="7"/>
  <c r="G810" i="7"/>
  <c r="D810" i="7"/>
  <c r="A811" i="7"/>
  <c r="B811" i="7"/>
  <c r="C811" i="7"/>
  <c r="G811" i="7"/>
  <c r="D811" i="7"/>
  <c r="A812" i="7"/>
  <c r="B812" i="7"/>
  <c r="C812" i="7"/>
  <c r="D812" i="7"/>
  <c r="A813" i="7"/>
  <c r="B813" i="7"/>
  <c r="C813" i="7"/>
  <c r="G813" i="7"/>
  <c r="D813" i="7"/>
  <c r="A814" i="7"/>
  <c r="B814" i="7"/>
  <c r="C814" i="7"/>
  <c r="G814" i="7"/>
  <c r="D814" i="7"/>
  <c r="A815" i="7"/>
  <c r="B815" i="7"/>
  <c r="C815" i="7"/>
  <c r="G815" i="7"/>
  <c r="D815" i="7"/>
  <c r="A816" i="7"/>
  <c r="B816" i="7"/>
  <c r="C816" i="7"/>
  <c r="G816" i="7"/>
  <c r="D816" i="7"/>
  <c r="A817" i="7"/>
  <c r="B817" i="7"/>
  <c r="C817" i="7"/>
  <c r="G817" i="7"/>
  <c r="D817" i="7"/>
  <c r="A818" i="7"/>
  <c r="B818" i="7"/>
  <c r="C818" i="7"/>
  <c r="G818" i="7"/>
  <c r="D818" i="7"/>
  <c r="A819" i="7"/>
  <c r="B819" i="7"/>
  <c r="C819" i="7"/>
  <c r="D819" i="7"/>
  <c r="A820" i="7"/>
  <c r="B820" i="7"/>
  <c r="C820" i="7"/>
  <c r="F820" i="7"/>
  <c r="D820" i="7"/>
  <c r="A821" i="7"/>
  <c r="B821" i="7"/>
  <c r="C821" i="7"/>
  <c r="G821" i="7"/>
  <c r="D821" i="7"/>
  <c r="A822" i="7"/>
  <c r="B822" i="7"/>
  <c r="C822" i="7"/>
  <c r="F822" i="7"/>
  <c r="D822" i="7"/>
  <c r="A823" i="7"/>
  <c r="B823" i="7"/>
  <c r="C823" i="7"/>
  <c r="F823" i="7"/>
  <c r="D823" i="7"/>
  <c r="A824" i="7"/>
  <c r="B824" i="7"/>
  <c r="C824" i="7"/>
  <c r="F824" i="7"/>
  <c r="G824" i="7"/>
  <c r="D824" i="7"/>
  <c r="A825" i="7"/>
  <c r="B825" i="7"/>
  <c r="C825" i="7"/>
  <c r="G825" i="7"/>
  <c r="D825" i="7"/>
  <c r="A826" i="7"/>
  <c r="B826" i="7"/>
  <c r="C826" i="7"/>
  <c r="G826" i="7"/>
  <c r="D826" i="7"/>
  <c r="A827" i="7"/>
  <c r="B827" i="7"/>
  <c r="C827" i="7"/>
  <c r="F827" i="7"/>
  <c r="D827" i="7"/>
  <c r="A828" i="7"/>
  <c r="B828" i="7"/>
  <c r="C828" i="7"/>
  <c r="G828" i="7"/>
  <c r="D828" i="7"/>
  <c r="A829" i="7"/>
  <c r="B829" i="7"/>
  <c r="C829" i="7"/>
  <c r="G829" i="7"/>
  <c r="D829" i="7"/>
  <c r="A830" i="7"/>
  <c r="B830" i="7"/>
  <c r="C830" i="7"/>
  <c r="G830" i="7"/>
  <c r="D830" i="7"/>
  <c r="A831" i="7"/>
  <c r="B831" i="7"/>
  <c r="C831" i="7"/>
  <c r="D831" i="7"/>
  <c r="A832" i="7"/>
  <c r="B832" i="7"/>
  <c r="C832" i="7"/>
  <c r="G832" i="7"/>
  <c r="D832" i="7"/>
  <c r="A833" i="7"/>
  <c r="B833" i="7"/>
  <c r="C833" i="7"/>
  <c r="G833" i="7"/>
  <c r="D833" i="7"/>
  <c r="A834" i="7"/>
  <c r="B834" i="7"/>
  <c r="C834" i="7"/>
  <c r="G834" i="7"/>
  <c r="D834" i="7"/>
  <c r="A835" i="7"/>
  <c r="B835" i="7"/>
  <c r="C835" i="7"/>
  <c r="G835" i="7"/>
  <c r="D835" i="7"/>
  <c r="A836" i="7"/>
  <c r="B836" i="7"/>
  <c r="C836" i="7"/>
  <c r="F836" i="7"/>
  <c r="D836" i="7"/>
  <c r="A837" i="7"/>
  <c r="B837" i="7"/>
  <c r="C837" i="7"/>
  <c r="G837" i="7"/>
  <c r="D837" i="7"/>
  <c r="A838" i="7"/>
  <c r="B838" i="7"/>
  <c r="C838" i="7"/>
  <c r="D838" i="7"/>
  <c r="A839" i="7"/>
  <c r="B839" i="7"/>
  <c r="C839" i="7"/>
  <c r="G839" i="7"/>
  <c r="D839" i="7"/>
  <c r="A840" i="7"/>
  <c r="B840" i="7"/>
  <c r="C840" i="7"/>
  <c r="G840" i="7"/>
  <c r="D840" i="7"/>
  <c r="A841" i="7"/>
  <c r="B841" i="7"/>
  <c r="C841" i="7"/>
  <c r="F841" i="7"/>
  <c r="D841" i="7"/>
  <c r="A842" i="7"/>
  <c r="B842" i="7"/>
  <c r="C842" i="7"/>
  <c r="G842" i="7"/>
  <c r="D842" i="7"/>
  <c r="A843" i="7"/>
  <c r="B843" i="7"/>
  <c r="C843" i="7"/>
  <c r="G843" i="7"/>
  <c r="D843" i="7"/>
  <c r="A844" i="7"/>
  <c r="B844" i="7"/>
  <c r="C844" i="7"/>
  <c r="G844" i="7"/>
  <c r="D844" i="7"/>
  <c r="A845" i="7"/>
  <c r="B845" i="7"/>
  <c r="C845" i="7"/>
  <c r="G845" i="7"/>
  <c r="D845" i="7"/>
  <c r="A846" i="7"/>
  <c r="B846" i="7"/>
  <c r="C846" i="7"/>
  <c r="F846" i="7"/>
  <c r="D846" i="7"/>
  <c r="A847" i="7"/>
  <c r="B847" i="7"/>
  <c r="C847" i="7"/>
  <c r="F847" i="7"/>
  <c r="G847" i="7"/>
  <c r="D847" i="7"/>
  <c r="A848" i="7"/>
  <c r="B848" i="7"/>
  <c r="C848" i="7"/>
  <c r="G848" i="7"/>
  <c r="D848" i="7"/>
  <c r="A849" i="7"/>
  <c r="B849" i="7"/>
  <c r="C849" i="7"/>
  <c r="G849" i="7"/>
  <c r="D849" i="7"/>
  <c r="A850" i="7"/>
  <c r="B850" i="7"/>
  <c r="C850" i="7"/>
  <c r="G850" i="7"/>
  <c r="D850" i="7"/>
  <c r="A851" i="7"/>
  <c r="B851" i="7"/>
  <c r="C851" i="7"/>
  <c r="G851" i="7"/>
  <c r="D851" i="7"/>
  <c r="A852" i="7"/>
  <c r="B852" i="7"/>
  <c r="C852" i="7"/>
  <c r="G852" i="7"/>
  <c r="D852" i="7"/>
  <c r="A853" i="7"/>
  <c r="B853" i="7"/>
  <c r="C853" i="7"/>
  <c r="G853" i="7"/>
  <c r="D853" i="7"/>
  <c r="A854" i="7"/>
  <c r="B854" i="7"/>
  <c r="C854" i="7"/>
  <c r="G854" i="7"/>
  <c r="D854" i="7"/>
  <c r="A855" i="7"/>
  <c r="B855" i="7"/>
  <c r="C855" i="7"/>
  <c r="G855" i="7"/>
  <c r="D855" i="7"/>
  <c r="A856" i="7"/>
  <c r="B856" i="7"/>
  <c r="C856" i="7"/>
  <c r="G856" i="7"/>
  <c r="D856" i="7"/>
  <c r="A857" i="7"/>
  <c r="B857" i="7"/>
  <c r="C857" i="7"/>
  <c r="G857" i="7"/>
  <c r="F857" i="7"/>
  <c r="D857" i="7"/>
  <c r="A858" i="7"/>
  <c r="B858" i="7"/>
  <c r="C858" i="7"/>
  <c r="G858" i="7"/>
  <c r="D858" i="7"/>
  <c r="A859" i="7"/>
  <c r="B859" i="7"/>
  <c r="C859" i="7"/>
  <c r="G859" i="7"/>
  <c r="D859" i="7"/>
  <c r="A860" i="7"/>
  <c r="B860" i="7"/>
  <c r="C860" i="7"/>
  <c r="G860" i="7"/>
  <c r="D860" i="7"/>
  <c r="A861" i="7"/>
  <c r="B861" i="7"/>
  <c r="C861" i="7"/>
  <c r="G861" i="7"/>
  <c r="D861" i="7"/>
  <c r="A862" i="7"/>
  <c r="B862" i="7"/>
  <c r="C862" i="7"/>
  <c r="G862" i="7"/>
  <c r="D862" i="7"/>
  <c r="A863" i="7"/>
  <c r="B863" i="7"/>
  <c r="C863" i="7"/>
  <c r="D863" i="7"/>
  <c r="A864" i="7"/>
  <c r="B864" i="7"/>
  <c r="C864" i="7"/>
  <c r="G864" i="7"/>
  <c r="D864" i="7"/>
  <c r="A865" i="7"/>
  <c r="B865" i="7"/>
  <c r="C865" i="7"/>
  <c r="F865" i="7"/>
  <c r="D865" i="7"/>
  <c r="A866" i="7"/>
  <c r="B866" i="7"/>
  <c r="C866" i="7"/>
  <c r="G866" i="7"/>
  <c r="D866" i="7"/>
  <c r="A867" i="7"/>
  <c r="B867" i="7"/>
  <c r="C867" i="7"/>
  <c r="G867" i="7"/>
  <c r="D867" i="7"/>
  <c r="A868" i="7"/>
  <c r="B868" i="7"/>
  <c r="C868" i="7"/>
  <c r="F868" i="7"/>
  <c r="D868" i="7"/>
  <c r="A869" i="7"/>
  <c r="B869" i="7"/>
  <c r="C869" i="7"/>
  <c r="G869" i="7"/>
  <c r="D869" i="7"/>
  <c r="A870" i="7"/>
  <c r="B870" i="7"/>
  <c r="C870" i="7"/>
  <c r="G870" i="7"/>
  <c r="D870" i="7"/>
  <c r="A871" i="7"/>
  <c r="B871" i="7"/>
  <c r="C871" i="7"/>
  <c r="F871" i="7"/>
  <c r="G871" i="7"/>
  <c r="D871" i="7"/>
  <c r="A872" i="7"/>
  <c r="B872" i="7"/>
  <c r="C872" i="7"/>
  <c r="F872" i="7"/>
  <c r="G872" i="7"/>
  <c r="D872" i="7"/>
  <c r="A873" i="7"/>
  <c r="B873" i="7"/>
  <c r="C873" i="7"/>
  <c r="G873" i="7"/>
  <c r="D873" i="7"/>
  <c r="A874" i="7"/>
  <c r="B874" i="7"/>
  <c r="C874" i="7"/>
  <c r="G874" i="7"/>
  <c r="D874" i="7"/>
  <c r="A875" i="7"/>
  <c r="B875" i="7"/>
  <c r="C875" i="7"/>
  <c r="G875" i="7"/>
  <c r="D875" i="7"/>
  <c r="A876" i="7"/>
  <c r="B876" i="7"/>
  <c r="C876" i="7"/>
  <c r="G876" i="7"/>
  <c r="D876" i="7"/>
  <c r="A877" i="7"/>
  <c r="B877" i="7"/>
  <c r="C877" i="7"/>
  <c r="G877" i="7"/>
  <c r="D877" i="7"/>
  <c r="A878" i="7"/>
  <c r="B878" i="7"/>
  <c r="C878" i="7"/>
  <c r="F878" i="7"/>
  <c r="D878" i="7"/>
  <c r="A879" i="7"/>
  <c r="B879" i="7"/>
  <c r="C879" i="7"/>
  <c r="G879" i="7"/>
  <c r="D879" i="7"/>
  <c r="A880" i="7"/>
  <c r="B880" i="7"/>
  <c r="C880" i="7"/>
  <c r="G880" i="7"/>
  <c r="D880" i="7"/>
  <c r="A881" i="7"/>
  <c r="B881" i="7"/>
  <c r="C881" i="7"/>
  <c r="G881" i="7"/>
  <c r="D881" i="7"/>
  <c r="A882" i="7"/>
  <c r="B882" i="7"/>
  <c r="C882" i="7"/>
  <c r="G882" i="7"/>
  <c r="D882" i="7"/>
  <c r="A883" i="7"/>
  <c r="B883" i="7"/>
  <c r="C883" i="7"/>
  <c r="G883" i="7"/>
  <c r="D883" i="7"/>
  <c r="A884" i="7"/>
  <c r="B884" i="7"/>
  <c r="C884" i="7"/>
  <c r="G884" i="7"/>
  <c r="D884" i="7"/>
  <c r="A885" i="7"/>
  <c r="B885" i="7"/>
  <c r="C885" i="7"/>
  <c r="D885" i="7"/>
  <c r="A886" i="7"/>
  <c r="B886" i="7"/>
  <c r="C886" i="7"/>
  <c r="D886" i="7"/>
  <c r="A887" i="7"/>
  <c r="B887" i="7"/>
  <c r="C887" i="7"/>
  <c r="G887" i="7"/>
  <c r="D887" i="7"/>
  <c r="A888" i="7"/>
  <c r="B888" i="7"/>
  <c r="C888" i="7"/>
  <c r="G888" i="7"/>
  <c r="D888" i="7"/>
  <c r="A889" i="7"/>
  <c r="B889" i="7"/>
  <c r="C889" i="7"/>
  <c r="G889" i="7"/>
  <c r="D889" i="7"/>
  <c r="A890" i="7"/>
  <c r="B890" i="7"/>
  <c r="C890" i="7"/>
  <c r="F890" i="7"/>
  <c r="G890" i="7"/>
  <c r="D890" i="7"/>
  <c r="A891" i="7"/>
  <c r="B891" i="7"/>
  <c r="C891" i="7"/>
  <c r="G891" i="7"/>
  <c r="D891" i="7"/>
  <c r="A892" i="7"/>
  <c r="B892" i="7"/>
  <c r="C892" i="7"/>
  <c r="D892" i="7"/>
  <c r="A893" i="7"/>
  <c r="B893" i="7"/>
  <c r="C893" i="7"/>
  <c r="F893" i="7"/>
  <c r="D893" i="7"/>
  <c r="A894" i="7"/>
  <c r="B894" i="7"/>
  <c r="C894" i="7"/>
  <c r="F894" i="7"/>
  <c r="D894" i="7"/>
  <c r="A895" i="7"/>
  <c r="B895" i="7"/>
  <c r="C895" i="7"/>
  <c r="F895" i="7"/>
  <c r="G895" i="7"/>
  <c r="D895" i="7"/>
  <c r="A896" i="7"/>
  <c r="B896" i="7"/>
  <c r="C896" i="7"/>
  <c r="F896" i="7"/>
  <c r="G896" i="7"/>
  <c r="D896" i="7"/>
  <c r="A897" i="7"/>
  <c r="B897" i="7"/>
  <c r="C897" i="7"/>
  <c r="G897" i="7"/>
  <c r="D897" i="7"/>
  <c r="A898" i="7"/>
  <c r="B898" i="7"/>
  <c r="C898" i="7"/>
  <c r="F898" i="7"/>
  <c r="D898" i="7"/>
  <c r="A899" i="7"/>
  <c r="B899" i="7"/>
  <c r="C899" i="7"/>
  <c r="G899" i="7"/>
  <c r="D899" i="7"/>
  <c r="A900" i="7"/>
  <c r="B900" i="7"/>
  <c r="C900" i="7"/>
  <c r="G900" i="7"/>
  <c r="D900" i="7"/>
  <c r="A901" i="7"/>
  <c r="B901" i="7"/>
  <c r="C901" i="7"/>
  <c r="F901" i="7"/>
  <c r="D901" i="7"/>
  <c r="A902" i="7"/>
  <c r="B902" i="7"/>
  <c r="C902" i="7"/>
  <c r="F902" i="7"/>
  <c r="D902" i="7"/>
  <c r="A903" i="7"/>
  <c r="B903" i="7"/>
  <c r="C903" i="7"/>
  <c r="G903" i="7"/>
  <c r="F903" i="7"/>
  <c r="D903" i="7"/>
  <c r="A904" i="7"/>
  <c r="B904" i="7"/>
  <c r="C904" i="7"/>
  <c r="G904" i="7"/>
  <c r="D904" i="7"/>
  <c r="A905" i="7"/>
  <c r="B905" i="7"/>
  <c r="C905" i="7"/>
  <c r="G905" i="7"/>
  <c r="D905" i="7"/>
  <c r="A906" i="7"/>
  <c r="B906" i="7"/>
  <c r="C906" i="7"/>
  <c r="F906" i="7"/>
  <c r="D906" i="7"/>
  <c r="A907" i="7"/>
  <c r="B907" i="7"/>
  <c r="C907" i="7"/>
  <c r="G907" i="7"/>
  <c r="D907" i="7"/>
  <c r="A908" i="7"/>
  <c r="B908" i="7"/>
  <c r="C908" i="7"/>
  <c r="G908" i="7"/>
  <c r="D908" i="7"/>
  <c r="A909" i="7"/>
  <c r="B909" i="7"/>
  <c r="C909" i="7"/>
  <c r="D909" i="7"/>
  <c r="A910" i="7"/>
  <c r="B910" i="7"/>
  <c r="C910" i="7"/>
  <c r="G910" i="7"/>
  <c r="D910" i="7"/>
  <c r="A911" i="7"/>
  <c r="B911" i="7"/>
  <c r="C911" i="7"/>
  <c r="F911" i="7"/>
  <c r="D911" i="7"/>
  <c r="A912" i="7"/>
  <c r="B912" i="7"/>
  <c r="C912" i="7"/>
  <c r="D912" i="7"/>
  <c r="A913" i="7"/>
  <c r="B913" i="7"/>
  <c r="C913" i="7"/>
  <c r="G913" i="7"/>
  <c r="D913" i="7"/>
  <c r="A914" i="7"/>
  <c r="B914" i="7"/>
  <c r="C914" i="7"/>
  <c r="F914" i="7"/>
  <c r="D914" i="7"/>
  <c r="A915" i="7"/>
  <c r="B915" i="7"/>
  <c r="C915" i="7"/>
  <c r="F915" i="7"/>
  <c r="G915" i="7"/>
  <c r="D915" i="7"/>
  <c r="A916" i="7"/>
  <c r="B916" i="7"/>
  <c r="C916" i="7"/>
  <c r="G916" i="7"/>
  <c r="D916" i="7"/>
  <c r="A917" i="7"/>
  <c r="B917" i="7"/>
  <c r="C917" i="7"/>
  <c r="D917" i="7"/>
  <c r="A918" i="7"/>
  <c r="B918" i="7"/>
  <c r="C918" i="7"/>
  <c r="F918" i="7"/>
  <c r="D918" i="7"/>
  <c r="A919" i="7"/>
  <c r="B919" i="7"/>
  <c r="C919" i="7"/>
  <c r="F919" i="7"/>
  <c r="D919" i="7"/>
  <c r="A920" i="7"/>
  <c r="B920" i="7"/>
  <c r="C920" i="7"/>
  <c r="F920" i="7"/>
  <c r="D920" i="7"/>
  <c r="A921" i="7"/>
  <c r="B921" i="7"/>
  <c r="C921" i="7"/>
  <c r="F921" i="7"/>
  <c r="D921" i="7"/>
  <c r="A922" i="7"/>
  <c r="B922" i="7"/>
  <c r="C922" i="7"/>
  <c r="G922" i="7"/>
  <c r="D922" i="7"/>
  <c r="A923" i="7"/>
  <c r="B923" i="7"/>
  <c r="C923" i="7"/>
  <c r="F923" i="7"/>
  <c r="D923" i="7"/>
  <c r="A924" i="7"/>
  <c r="B924" i="7"/>
  <c r="C924" i="7"/>
  <c r="F924" i="7"/>
  <c r="D924" i="7"/>
  <c r="A925" i="7"/>
  <c r="B925" i="7"/>
  <c r="C925" i="7"/>
  <c r="G925" i="7"/>
  <c r="D925" i="7"/>
  <c r="A926" i="7"/>
  <c r="B926" i="7"/>
  <c r="C926" i="7"/>
  <c r="F926" i="7"/>
  <c r="D926" i="7"/>
  <c r="A927" i="7"/>
  <c r="B927" i="7"/>
  <c r="C927" i="7"/>
  <c r="G927" i="7"/>
  <c r="D927" i="7"/>
  <c r="A928" i="7"/>
  <c r="B928" i="7"/>
  <c r="C928" i="7"/>
  <c r="F928" i="7"/>
  <c r="D928" i="7"/>
  <c r="A929" i="7"/>
  <c r="B929" i="7"/>
  <c r="C929" i="7"/>
  <c r="D929" i="7"/>
  <c r="A930" i="7"/>
  <c r="B930" i="7"/>
  <c r="C930" i="7"/>
  <c r="G930" i="7"/>
  <c r="D930" i="7"/>
  <c r="A931" i="7"/>
  <c r="B931" i="7"/>
  <c r="C931" i="7"/>
  <c r="G931" i="7"/>
  <c r="D931" i="7"/>
  <c r="A932" i="7"/>
  <c r="B932" i="7"/>
  <c r="C932" i="7"/>
  <c r="G932" i="7"/>
  <c r="D932" i="7"/>
  <c r="A933" i="7"/>
  <c r="B933" i="7"/>
  <c r="C933" i="7"/>
  <c r="G933" i="7"/>
  <c r="D933" i="7"/>
  <c r="A934" i="7"/>
  <c r="B934" i="7"/>
  <c r="C934" i="7"/>
  <c r="G934" i="7"/>
  <c r="D934" i="7"/>
  <c r="A935" i="7"/>
  <c r="B935" i="7"/>
  <c r="C935" i="7"/>
  <c r="G935" i="7"/>
  <c r="D935" i="7"/>
  <c r="A936" i="7"/>
  <c r="B936" i="7"/>
  <c r="C936" i="7"/>
  <c r="G936" i="7"/>
  <c r="D936" i="7"/>
  <c r="A937" i="7"/>
  <c r="B937" i="7"/>
  <c r="C937" i="7"/>
  <c r="F937" i="7"/>
  <c r="D937" i="7"/>
  <c r="A938" i="7"/>
  <c r="B938" i="7"/>
  <c r="C938" i="7"/>
  <c r="D938" i="7"/>
  <c r="A939" i="7"/>
  <c r="B939" i="7"/>
  <c r="C939" i="7"/>
  <c r="G939" i="7"/>
  <c r="D939" i="7"/>
  <c r="A940" i="7"/>
  <c r="B940" i="7"/>
  <c r="C940" i="7"/>
  <c r="F940" i="7"/>
  <c r="G940" i="7"/>
  <c r="D940" i="7"/>
  <c r="A941" i="7"/>
  <c r="B941" i="7"/>
  <c r="C941" i="7"/>
  <c r="G941" i="7"/>
  <c r="D941" i="7"/>
  <c r="A942" i="7"/>
  <c r="B942" i="7"/>
  <c r="C942" i="7"/>
  <c r="G942" i="7"/>
  <c r="D942" i="7"/>
  <c r="A943" i="7"/>
  <c r="B943" i="7"/>
  <c r="C943" i="7"/>
  <c r="D943" i="7"/>
  <c r="A944" i="7"/>
  <c r="B944" i="7"/>
  <c r="C944" i="7"/>
  <c r="G944" i="7"/>
  <c r="D944" i="7"/>
  <c r="A945" i="7"/>
  <c r="B945" i="7"/>
  <c r="C945" i="7"/>
  <c r="F945" i="7"/>
  <c r="G945" i="7"/>
  <c r="D945" i="7"/>
  <c r="A946" i="7"/>
  <c r="B946" i="7"/>
  <c r="C946" i="7"/>
  <c r="G946" i="7"/>
  <c r="D946" i="7"/>
  <c r="A947" i="7"/>
  <c r="B947" i="7"/>
  <c r="C947" i="7"/>
  <c r="G947" i="7"/>
  <c r="D947" i="7"/>
  <c r="A948" i="7"/>
  <c r="B948" i="7"/>
  <c r="C948" i="7"/>
  <c r="G948" i="7"/>
  <c r="D948" i="7"/>
  <c r="A949" i="7"/>
  <c r="B949" i="7"/>
  <c r="C949" i="7"/>
  <c r="G949" i="7"/>
  <c r="D949" i="7"/>
  <c r="A950" i="7"/>
  <c r="B950" i="7"/>
  <c r="C950" i="7"/>
  <c r="G950" i="7"/>
  <c r="D950" i="7"/>
  <c r="A951" i="7"/>
  <c r="B951" i="7"/>
  <c r="C951" i="7"/>
  <c r="F951" i="7"/>
  <c r="D951" i="7"/>
  <c r="A952" i="7"/>
  <c r="B952" i="7"/>
  <c r="C952" i="7"/>
  <c r="G952" i="7"/>
  <c r="D952" i="7"/>
  <c r="A953" i="7"/>
  <c r="B953" i="7"/>
  <c r="C953" i="7"/>
  <c r="F953" i="7"/>
  <c r="D953" i="7"/>
  <c r="A954" i="7"/>
  <c r="B954" i="7"/>
  <c r="C954" i="7"/>
  <c r="D954" i="7"/>
  <c r="A955" i="7"/>
  <c r="B955" i="7"/>
  <c r="C955" i="7"/>
  <c r="G955" i="7"/>
  <c r="D955" i="7"/>
  <c r="A956" i="7"/>
  <c r="B956" i="7"/>
  <c r="C956" i="7"/>
  <c r="D956" i="7"/>
  <c r="A957" i="7"/>
  <c r="B957" i="7"/>
  <c r="C957" i="7"/>
  <c r="G957" i="7"/>
  <c r="D957" i="7"/>
  <c r="A958" i="7"/>
  <c r="B958" i="7"/>
  <c r="C958" i="7"/>
  <c r="G958" i="7"/>
  <c r="D958" i="7"/>
  <c r="A959" i="7"/>
  <c r="B959" i="7"/>
  <c r="C959" i="7"/>
  <c r="F959" i="7"/>
  <c r="D959" i="7"/>
  <c r="A960" i="7"/>
  <c r="B960" i="7"/>
  <c r="C960" i="7"/>
  <c r="D960" i="7"/>
  <c r="A961" i="7"/>
  <c r="B961" i="7"/>
  <c r="C961" i="7"/>
  <c r="G961" i="7"/>
  <c r="D961" i="7"/>
  <c r="A962" i="7"/>
  <c r="B962" i="7"/>
  <c r="C962" i="7"/>
  <c r="F962" i="7"/>
  <c r="D962" i="7"/>
  <c r="A963" i="7"/>
  <c r="B963" i="7"/>
  <c r="C963" i="7"/>
  <c r="G963" i="7"/>
  <c r="D963" i="7"/>
  <c r="A964" i="7"/>
  <c r="B964" i="7"/>
  <c r="C964" i="7"/>
  <c r="G964" i="7"/>
  <c r="D964" i="7"/>
  <c r="A965" i="7"/>
  <c r="B965" i="7"/>
  <c r="C965" i="7"/>
  <c r="G965" i="7"/>
  <c r="D965" i="7"/>
  <c r="A966" i="7"/>
  <c r="B966" i="7"/>
  <c r="C966" i="7"/>
  <c r="G966" i="7"/>
  <c r="D966" i="7"/>
  <c r="A967" i="7"/>
  <c r="B967" i="7"/>
  <c r="C967" i="7"/>
  <c r="G967" i="7"/>
  <c r="D967" i="7"/>
  <c r="A968" i="7"/>
  <c r="B968" i="7"/>
  <c r="C968" i="7"/>
  <c r="G968" i="7"/>
  <c r="D968" i="7"/>
  <c r="A969" i="7"/>
  <c r="B969" i="7"/>
  <c r="C969" i="7"/>
  <c r="D969" i="7"/>
  <c r="A970" i="7"/>
  <c r="B970" i="7"/>
  <c r="C970" i="7"/>
  <c r="D970" i="7"/>
  <c r="A971" i="7"/>
  <c r="B971" i="7"/>
  <c r="C971" i="7"/>
  <c r="G971" i="7"/>
  <c r="D971" i="7"/>
  <c r="A972" i="7"/>
  <c r="B972" i="7"/>
  <c r="C972" i="7"/>
  <c r="G972" i="7"/>
  <c r="D972" i="7"/>
  <c r="A973" i="7"/>
  <c r="B973" i="7"/>
  <c r="C973" i="7"/>
  <c r="G973" i="7"/>
  <c r="D973" i="7"/>
  <c r="A974" i="7"/>
  <c r="B974" i="7"/>
  <c r="C974" i="7"/>
  <c r="G974" i="7"/>
  <c r="D974" i="7"/>
  <c r="A975" i="7"/>
  <c r="B975" i="7"/>
  <c r="C975" i="7"/>
  <c r="F975" i="7"/>
  <c r="G975" i="7"/>
  <c r="D975" i="7"/>
  <c r="A976" i="7"/>
  <c r="B976" i="7"/>
  <c r="C976" i="7"/>
  <c r="F976" i="7"/>
  <c r="D976" i="7"/>
  <c r="A977" i="7"/>
  <c r="B977" i="7"/>
  <c r="C977" i="7"/>
  <c r="G977" i="7"/>
  <c r="D977" i="7"/>
  <c r="A978" i="7"/>
  <c r="B978" i="7"/>
  <c r="C978" i="7"/>
  <c r="G978" i="7"/>
  <c r="D978" i="7"/>
  <c r="A979" i="7"/>
  <c r="B979" i="7"/>
  <c r="C979" i="7"/>
  <c r="G979" i="7"/>
  <c r="D979" i="7"/>
  <c r="A980" i="7"/>
  <c r="B980" i="7"/>
  <c r="C980" i="7"/>
  <c r="D980" i="7"/>
  <c r="A981" i="7"/>
  <c r="B981" i="7"/>
  <c r="C981" i="7"/>
  <c r="G981" i="7"/>
  <c r="D981" i="7"/>
  <c r="A982" i="7"/>
  <c r="B982" i="7"/>
  <c r="C982" i="7"/>
  <c r="F982" i="7"/>
  <c r="D982" i="7"/>
  <c r="A983" i="7"/>
  <c r="B983" i="7"/>
  <c r="C983" i="7"/>
  <c r="F983" i="7"/>
  <c r="G983" i="7"/>
  <c r="D983" i="7"/>
  <c r="A984" i="7"/>
  <c r="B984" i="7"/>
  <c r="C984" i="7"/>
  <c r="F984" i="7"/>
  <c r="G984" i="7"/>
  <c r="D984" i="7"/>
  <c r="A985" i="7"/>
  <c r="B985" i="7"/>
  <c r="C985" i="7"/>
  <c r="G985" i="7"/>
  <c r="D985" i="7"/>
  <c r="A986" i="7"/>
  <c r="B986" i="7"/>
  <c r="C986" i="7"/>
  <c r="F986" i="7"/>
  <c r="D986" i="7"/>
  <c r="A987" i="7"/>
  <c r="B987" i="7"/>
  <c r="C987" i="7"/>
  <c r="G987" i="7"/>
  <c r="D987" i="7"/>
  <c r="A988" i="7"/>
  <c r="B988" i="7"/>
  <c r="C988" i="7"/>
  <c r="F988" i="7"/>
  <c r="D988" i="7"/>
  <c r="A989" i="7"/>
  <c r="B989" i="7"/>
  <c r="C989" i="7"/>
  <c r="D989" i="7"/>
  <c r="A990" i="7"/>
  <c r="B990" i="7"/>
  <c r="C990" i="7"/>
  <c r="G990" i="7"/>
  <c r="D990" i="7"/>
  <c r="A991" i="7"/>
  <c r="B991" i="7"/>
  <c r="C991" i="7"/>
  <c r="F991" i="7"/>
  <c r="D991" i="7"/>
  <c r="A992" i="7"/>
  <c r="B992" i="7"/>
  <c r="C992" i="7"/>
  <c r="G992" i="7"/>
  <c r="D992" i="7"/>
  <c r="A993" i="7"/>
  <c r="B993" i="7"/>
  <c r="C993" i="7"/>
  <c r="F993" i="7"/>
  <c r="D993" i="7"/>
  <c r="A994" i="7"/>
  <c r="B994" i="7"/>
  <c r="C994" i="7"/>
  <c r="F994" i="7"/>
  <c r="D994" i="7"/>
  <c r="A995" i="7"/>
  <c r="B995" i="7"/>
  <c r="C995" i="7"/>
  <c r="G995" i="7"/>
  <c r="D995" i="7"/>
  <c r="A996" i="7"/>
  <c r="B996" i="7"/>
  <c r="C996" i="7"/>
  <c r="F996" i="7"/>
  <c r="D996" i="7"/>
  <c r="A997" i="7"/>
  <c r="B997" i="7"/>
  <c r="C997" i="7"/>
  <c r="F997" i="7"/>
  <c r="D997" i="7"/>
  <c r="A998" i="7"/>
  <c r="B998" i="7"/>
  <c r="C998" i="7"/>
  <c r="G998" i="7"/>
  <c r="D998" i="7"/>
  <c r="A999" i="7"/>
  <c r="B999" i="7"/>
  <c r="C999" i="7"/>
  <c r="D999" i="7"/>
  <c r="A1000" i="7"/>
  <c r="B1000" i="7"/>
  <c r="C1000" i="7"/>
  <c r="F1000" i="7"/>
  <c r="D1000" i="7"/>
  <c r="D2" i="7"/>
  <c r="C2" i="7"/>
  <c r="G2" i="7"/>
  <c r="B2" i="7"/>
  <c r="A2" i="7"/>
  <c r="F313" i="11"/>
  <c r="F344" i="11"/>
  <c r="F349" i="11"/>
  <c r="F225" i="11"/>
  <c r="F274" i="11"/>
  <c r="D3" i="16"/>
  <c r="D2" i="16"/>
  <c r="F206" i="11"/>
  <c r="F129" i="11"/>
  <c r="F188" i="11"/>
  <c r="D2" i="10"/>
  <c r="V30" i="1"/>
  <c r="V286" i="1"/>
  <c r="W286" i="1" s="1"/>
  <c r="V231" i="1"/>
  <c r="V129" i="1"/>
  <c r="V251" i="1"/>
  <c r="V28" i="1"/>
  <c r="V84" i="1"/>
  <c r="V107" i="1"/>
  <c r="V100" i="1"/>
  <c r="W100" i="1" s="1"/>
  <c r="V108" i="1"/>
  <c r="V77" i="1"/>
  <c r="V110" i="1"/>
  <c r="V114" i="1"/>
  <c r="V96" i="1"/>
  <c r="V72" i="1"/>
  <c r="V88" i="1"/>
  <c r="V112" i="1"/>
  <c r="V89" i="1"/>
  <c r="V103" i="1"/>
  <c r="V75" i="1"/>
  <c r="V106" i="1"/>
  <c r="V78" i="1"/>
  <c r="V86" i="1"/>
  <c r="W86" i="1" s="1"/>
  <c r="V109" i="1"/>
  <c r="V94" i="1"/>
  <c r="V102" i="1"/>
  <c r="K6" i="14"/>
  <c r="G16" i="14"/>
  <c r="M6" i="14"/>
  <c r="F34" i="14"/>
  <c r="E34" i="14"/>
  <c r="G6" i="14"/>
  <c r="F301" i="7"/>
  <c r="F250" i="7"/>
  <c r="F77" i="7"/>
  <c r="F356" i="7"/>
  <c r="F11" i="7"/>
  <c r="F605" i="7"/>
  <c r="G149" i="7"/>
  <c r="F50" i="7"/>
  <c r="F481" i="7"/>
  <c r="F326" i="7"/>
  <c r="F577" i="7"/>
  <c r="F262" i="7"/>
  <c r="F496" i="7"/>
  <c r="F849" i="7"/>
  <c r="F719" i="7"/>
  <c r="F438" i="7"/>
  <c r="F511" i="7"/>
  <c r="F408" i="7"/>
  <c r="F222" i="7"/>
  <c r="F71" i="7"/>
  <c r="F532" i="7"/>
  <c r="F499" i="7"/>
  <c r="F18" i="7"/>
  <c r="F517" i="7"/>
  <c r="F884" i="7"/>
  <c r="F339" i="7"/>
  <c r="F520" i="7"/>
  <c r="F134" i="7"/>
  <c r="F648" i="7"/>
  <c r="F782" i="7"/>
  <c r="F514" i="7"/>
  <c r="F461" i="7"/>
  <c r="F115" i="7"/>
  <c r="F185" i="7"/>
  <c r="F56" i="7"/>
  <c r="F47" i="7"/>
  <c r="F74" i="7"/>
  <c r="G383" i="7"/>
  <c r="F254" i="7"/>
  <c r="F360" i="7"/>
  <c r="F225" i="7"/>
  <c r="G335" i="7"/>
  <c r="F241" i="7"/>
  <c r="F571" i="7"/>
  <c r="F207" i="7"/>
  <c r="F79" i="7"/>
  <c r="F14" i="7"/>
  <c r="F23" i="7"/>
  <c r="F193" i="7"/>
  <c r="L46" i="24"/>
  <c r="L52" i="24"/>
  <c r="M52" i="24"/>
  <c r="L84" i="24"/>
  <c r="M84" i="24"/>
  <c r="L73" i="24"/>
  <c r="L28" i="24"/>
  <c r="L71" i="24"/>
  <c r="M71" i="24"/>
  <c r="L36" i="24"/>
  <c r="M36" i="24"/>
  <c r="L69" i="24"/>
  <c r="L35" i="24"/>
  <c r="M35" i="24"/>
  <c r="L45" i="24"/>
  <c r="M45" i="24"/>
  <c r="L68" i="24"/>
  <c r="M68" i="24"/>
  <c r="L65" i="24"/>
  <c r="L21" i="24"/>
  <c r="M21" i="24"/>
  <c r="L25" i="24"/>
  <c r="M25" i="24"/>
  <c r="L44" i="24"/>
  <c r="L55" i="24"/>
  <c r="M55" i="24"/>
  <c r="L62" i="24"/>
  <c r="L50" i="24"/>
  <c r="M50" i="24"/>
  <c r="L38" i="24"/>
  <c r="M38" i="24"/>
  <c r="L20" i="24"/>
  <c r="M20" i="24"/>
  <c r="L22" i="24"/>
  <c r="M22" i="24"/>
  <c r="L85" i="24"/>
  <c r="L27" i="24"/>
  <c r="M27" i="24"/>
  <c r="L31" i="24"/>
  <c r="L54" i="24"/>
  <c r="M54" i="24"/>
  <c r="L76" i="24"/>
  <c r="M76" i="24"/>
  <c r="L18" i="24"/>
  <c r="M18" i="24"/>
  <c r="L34" i="24"/>
  <c r="M34" i="24"/>
  <c r="L24" i="24"/>
  <c r="M24" i="24"/>
  <c r="L72" i="24"/>
  <c r="M72" i="24"/>
  <c r="L23" i="24"/>
  <c r="M23" i="24"/>
  <c r="L29" i="24"/>
  <c r="L42" i="24"/>
  <c r="M42" i="24"/>
  <c r="L64" i="24"/>
  <c r="L56" i="24"/>
  <c r="M56" i="24"/>
  <c r="L37" i="24"/>
  <c r="L63" i="24"/>
  <c r="M63" i="24"/>
  <c r="L17" i="24"/>
  <c r="M17" i="24"/>
  <c r="L78" i="24"/>
  <c r="L80" i="24"/>
  <c r="M80" i="24"/>
  <c r="L19" i="24"/>
  <c r="M19" i="24"/>
  <c r="L61" i="24"/>
  <c r="M61" i="24"/>
  <c r="L40" i="24"/>
  <c r="M40" i="24"/>
  <c r="L49" i="24"/>
  <c r="M49" i="24"/>
  <c r="L39" i="24"/>
  <c r="M39" i="24"/>
  <c r="L48" i="24"/>
  <c r="L43" i="24"/>
  <c r="L47" i="24"/>
  <c r="M47" i="24"/>
  <c r="L74" i="24"/>
  <c r="M74" i="24"/>
  <c r="L70" i="24"/>
  <c r="M70" i="24"/>
  <c r="L66" i="24"/>
  <c r="M66" i="24"/>
  <c r="L41" i="24"/>
  <c r="L33" i="24"/>
  <c r="M33" i="24"/>
  <c r="L83" i="24"/>
  <c r="L77" i="24"/>
  <c r="M77" i="24"/>
  <c r="L32" i="24"/>
  <c r="M32" i="24"/>
  <c r="L30" i="24"/>
  <c r="M30" i="24"/>
  <c r="L57" i="24"/>
  <c r="M57" i="24"/>
  <c r="L51" i="24"/>
  <c r="L79" i="24"/>
  <c r="M79" i="24"/>
  <c r="L82" i="24"/>
  <c r="M82" i="24"/>
  <c r="M4" i="24"/>
  <c r="F240" i="7"/>
  <c r="F314" i="7"/>
  <c r="G500" i="7"/>
  <c r="G107" i="7"/>
  <c r="F702" i="7"/>
  <c r="F368" i="7"/>
  <c r="F256" i="7"/>
  <c r="F305" i="7"/>
  <c r="F416" i="7"/>
  <c r="F482" i="7"/>
  <c r="F580" i="7"/>
  <c r="F512" i="7"/>
  <c r="G259" i="7"/>
  <c r="F359" i="7"/>
  <c r="F484" i="7"/>
  <c r="F243" i="7"/>
  <c r="G894" i="7"/>
  <c r="G402" i="7"/>
  <c r="F418" i="7"/>
  <c r="F813" i="7"/>
  <c r="F22" i="7"/>
  <c r="F495" i="7"/>
  <c r="F70" i="7"/>
  <c r="F30" i="7"/>
  <c r="F318" i="7"/>
  <c r="G630" i="7"/>
  <c r="F786" i="7"/>
  <c r="F451" i="7"/>
  <c r="F124" i="7"/>
  <c r="F9" i="7"/>
  <c r="F889" i="7"/>
  <c r="F192" i="7"/>
  <c r="F103" i="7"/>
  <c r="F327" i="7"/>
  <c r="F710" i="7"/>
  <c r="F213" i="7"/>
  <c r="F399" i="7"/>
  <c r="F384" i="7"/>
  <c r="F15" i="7"/>
  <c r="G534" i="7"/>
  <c r="G216" i="7"/>
  <c r="F421" i="7"/>
  <c r="F139" i="7"/>
  <c r="G25" i="7"/>
  <c r="F433" i="7"/>
  <c r="F864" i="7"/>
  <c r="F61" i="7"/>
  <c r="F588" i="7"/>
  <c r="F899" i="7"/>
  <c r="F704" i="7"/>
  <c r="F837" i="7"/>
  <c r="G121" i="7"/>
  <c r="F875" i="7"/>
  <c r="F891" i="7"/>
  <c r="F629" i="7"/>
  <c r="F852" i="7"/>
  <c r="F85" i="7"/>
  <c r="G166" i="7"/>
  <c r="F614" i="7"/>
  <c r="F832" i="7"/>
  <c r="F477" i="7"/>
  <c r="F334" i="7"/>
  <c r="F100" i="7"/>
  <c r="F788" i="7"/>
  <c r="F663" i="7"/>
  <c r="G97" i="7"/>
  <c r="F734" i="7"/>
  <c r="F501" i="7"/>
  <c r="F701" i="7"/>
  <c r="F342" i="7"/>
  <c r="F979" i="7"/>
  <c r="F387" i="7"/>
  <c r="F462" i="7"/>
  <c r="F357" i="7"/>
  <c r="F564" i="7"/>
  <c r="F801" i="7"/>
  <c r="F330" i="7"/>
  <c r="G924" i="7"/>
  <c r="F118" i="7"/>
  <c r="F9" i="16"/>
  <c r="F990" i="7"/>
  <c r="F670" i="7"/>
  <c r="G260" i="7"/>
  <c r="F652" i="7"/>
  <c r="G918" i="7"/>
  <c r="G350" i="7"/>
  <c r="F944" i="7"/>
  <c r="F977" i="7"/>
  <c r="G227" i="7"/>
  <c r="G485" i="7"/>
  <c r="G726" i="7"/>
  <c r="G486" i="7"/>
  <c r="F939" i="7"/>
  <c r="F257" i="7"/>
  <c r="F395" i="7"/>
  <c r="F658" i="7"/>
  <c r="F269" i="7"/>
  <c r="F947" i="7"/>
  <c r="G672" i="7"/>
  <c r="F933" i="7"/>
  <c r="F296" i="7"/>
  <c r="F266" i="7"/>
  <c r="F284" i="7"/>
  <c r="F840" i="7"/>
  <c r="F204" i="7"/>
  <c r="G99" i="7"/>
  <c r="F151" i="7"/>
  <c r="F855" i="7"/>
  <c r="F93" i="7"/>
  <c r="F332" i="7"/>
  <c r="F132" i="7"/>
  <c r="F195" i="7"/>
  <c r="G923" i="7"/>
  <c r="G378" i="7"/>
  <c r="F373" i="7"/>
  <c r="F474" i="7"/>
  <c r="F465" i="7"/>
  <c r="G267" i="7"/>
  <c r="G32" i="7"/>
  <c r="F835" i="7"/>
  <c r="G135" i="7"/>
  <c r="G799" i="7"/>
  <c r="F346" i="7"/>
  <c r="F826" i="7"/>
  <c r="F242" i="7"/>
  <c r="F998" i="7"/>
  <c r="F787" i="7"/>
  <c r="F760" i="7"/>
  <c r="F165" i="7"/>
  <c r="F343" i="7"/>
  <c r="F435" i="7"/>
  <c r="F203" i="7"/>
  <c r="F796" i="7"/>
  <c r="G147" i="7"/>
  <c r="F400" i="7"/>
  <c r="F62" i="7"/>
  <c r="G122" i="7"/>
  <c r="F450" i="7"/>
  <c r="F510" i="7"/>
  <c r="F361" i="7"/>
  <c r="F283" i="7"/>
  <c r="F280" i="7"/>
  <c r="F453" i="7"/>
  <c r="G117" i="7"/>
  <c r="G775" i="7"/>
  <c r="F441" i="7"/>
  <c r="G822" i="7"/>
  <c r="F811" i="7"/>
  <c r="F751" i="7"/>
  <c r="G409" i="7"/>
  <c r="F620" i="7"/>
  <c r="F554" i="7"/>
  <c r="F523" i="7"/>
  <c r="F286" i="7"/>
  <c r="F551" i="7"/>
  <c r="F593" i="7"/>
  <c r="F221" i="7"/>
  <c r="F370" i="7"/>
  <c r="G239" i="7"/>
  <c r="F642" i="7"/>
  <c r="F396" i="7"/>
  <c r="F763" i="7"/>
  <c r="F493" i="7"/>
  <c r="G717" i="7"/>
  <c r="G417" i="7"/>
  <c r="F173" i="7"/>
  <c r="G155" i="7"/>
  <c r="F854" i="7"/>
  <c r="F125" i="7"/>
  <c r="F851" i="7"/>
  <c r="F275" i="7"/>
  <c r="F54" i="7"/>
  <c r="F42" i="7"/>
  <c r="F247" i="7"/>
  <c r="F601" i="7"/>
  <c r="G432" i="7"/>
  <c r="F205" i="7"/>
  <c r="F306" i="7"/>
  <c r="F212" i="7"/>
  <c r="F502" i="7"/>
  <c r="F537" i="7"/>
  <c r="F573" i="7"/>
  <c r="F224" i="7"/>
  <c r="F563" i="7"/>
  <c r="F407" i="7"/>
  <c r="F673" i="7"/>
  <c r="F995" i="7"/>
  <c r="F190" i="7"/>
  <c r="F277" i="7"/>
  <c r="F879" i="7"/>
  <c r="F17" i="7"/>
  <c r="F866" i="7"/>
  <c r="F129" i="7"/>
  <c r="F105" i="7"/>
  <c r="F728" i="7"/>
  <c r="F199" i="7"/>
  <c r="F379" i="7"/>
  <c r="F202" i="7"/>
  <c r="F179" i="7"/>
  <c r="F845" i="7"/>
  <c r="G711" i="7"/>
  <c r="G167" i="7"/>
  <c r="F693" i="7"/>
  <c r="G231" i="7"/>
  <c r="F272" i="7"/>
  <c r="G742" i="7"/>
  <c r="G64" i="7"/>
  <c r="G919" i="7"/>
  <c r="F214" i="7"/>
  <c r="F45" i="7"/>
  <c r="F382" i="7"/>
  <c r="G261" i="7"/>
  <c r="F63" i="7"/>
  <c r="F907" i="7"/>
  <c r="F36" i="7"/>
  <c r="G696" i="7"/>
  <c r="F386" i="7"/>
  <c r="F449" i="7"/>
  <c r="F353" i="7"/>
  <c r="F598" i="7"/>
  <c r="F128" i="7"/>
  <c r="F312" i="7"/>
  <c r="F146" i="7"/>
  <c r="F842" i="7"/>
  <c r="F276" i="7"/>
  <c r="F415" i="7"/>
  <c r="F684" i="7"/>
  <c r="F536" i="7"/>
  <c r="F161" i="7"/>
  <c r="F131" i="7"/>
  <c r="F545" i="7"/>
  <c r="G46" i="7"/>
  <c r="G66" i="7"/>
  <c r="F744" i="7"/>
  <c r="F553" i="7"/>
  <c r="F390" i="7"/>
  <c r="G113" i="7"/>
  <c r="G668" i="7"/>
  <c r="F285" i="7"/>
  <c r="G116" i="7"/>
  <c r="G75" i="7"/>
  <c r="F52" i="7"/>
  <c r="G774" i="7"/>
  <c r="F174" i="7"/>
  <c r="F208" i="7"/>
  <c r="F688" i="7"/>
  <c r="G780" i="7"/>
  <c r="G352" i="7"/>
  <c r="F282" i="7"/>
  <c r="G133" i="7"/>
  <c r="F422" i="7"/>
  <c r="F972" i="7"/>
  <c r="F781" i="7"/>
  <c r="F491" i="7"/>
  <c r="F456" i="7"/>
  <c r="F303" i="7"/>
  <c r="F145" i="7"/>
  <c r="F198" i="7"/>
  <c r="G634" i="7"/>
  <c r="F130" i="7"/>
  <c r="F747" i="7"/>
  <c r="F815" i="7"/>
  <c r="F916" i="7"/>
  <c r="F900" i="7"/>
  <c r="F807" i="7"/>
  <c r="F158" i="7"/>
  <c r="F391" i="7"/>
  <c r="F258" i="7"/>
  <c r="F381" i="7"/>
  <c r="F59" i="7"/>
  <c r="F817" i="7"/>
  <c r="F142" i="7"/>
  <c r="F48" i="7"/>
  <c r="F741" i="7"/>
  <c r="F341" i="7"/>
  <c r="F96" i="7"/>
  <c r="F869" i="7"/>
  <c r="G920" i="7"/>
  <c r="G841" i="7"/>
  <c r="F941" i="7"/>
  <c r="F777" i="7"/>
  <c r="F965" i="7"/>
  <c r="F320" i="7"/>
  <c r="F37" i="7"/>
  <c r="G419" i="7"/>
  <c r="F676" i="7"/>
  <c r="F725" i="7"/>
  <c r="F366" i="7"/>
  <c r="F659" i="7"/>
  <c r="F942" i="7"/>
  <c r="F931" i="7"/>
  <c r="F948" i="7"/>
  <c r="F905" i="7"/>
  <c r="F936" i="7"/>
  <c r="F108" i="7"/>
  <c r="F287" i="7"/>
  <c r="F178" i="7"/>
  <c r="G5" i="7"/>
  <c r="G168" i="7"/>
  <c r="F413" i="7"/>
  <c r="F273" i="7"/>
  <c r="F833" i="7"/>
  <c r="F404" i="7"/>
  <c r="G937" i="7"/>
  <c r="G126" i="7"/>
  <c r="G127" i="7"/>
  <c r="F544" i="7"/>
  <c r="F706" i="7"/>
  <c r="F28" i="7"/>
  <c r="G515" i="7"/>
  <c r="F274" i="7"/>
  <c r="F697" i="7"/>
  <c r="G951" i="7"/>
  <c r="F768" i="7"/>
  <c r="F469" i="7"/>
  <c r="G43" i="7"/>
  <c r="F238" i="7"/>
  <c r="F597" i="7"/>
  <c r="F665" i="7"/>
  <c r="F646" i="7"/>
  <c r="F715" i="7"/>
  <c r="F86" i="7"/>
  <c r="F156" i="7"/>
  <c r="F633" i="7"/>
  <c r="F410" i="7"/>
  <c r="F818" i="7"/>
  <c r="F559" i="7"/>
  <c r="F95" i="7"/>
  <c r="F235" i="7"/>
  <c r="F904" i="7"/>
  <c r="F49" i="7"/>
  <c r="F31" i="7"/>
  <c r="F735" i="7"/>
  <c r="F487" i="7"/>
  <c r="F880" i="7"/>
  <c r="F375" i="7"/>
  <c r="F463" i="7"/>
  <c r="G463" i="7"/>
  <c r="F92" i="7"/>
  <c r="F863" i="7"/>
  <c r="G863" i="7"/>
  <c r="G689" i="7"/>
  <c r="G909" i="7"/>
  <c r="F909" i="7"/>
  <c r="F372" i="7"/>
  <c r="F437" i="7"/>
  <c r="G437" i="7"/>
  <c r="F355" i="7"/>
  <c r="G355" i="7"/>
  <c r="G294" i="7"/>
  <c r="F294" i="7"/>
  <c r="F78" i="7"/>
  <c r="G78" i="7"/>
  <c r="G16" i="7"/>
  <c r="F16" i="7"/>
  <c r="F112" i="7"/>
  <c r="G106" i="7"/>
  <c r="F106" i="7"/>
  <c r="F223" i="7"/>
  <c r="G223" i="7"/>
  <c r="F678" i="7"/>
  <c r="G319" i="7"/>
  <c r="F319" i="7"/>
  <c r="G33" i="7"/>
  <c r="F33" i="7"/>
  <c r="F756" i="7"/>
  <c r="G756" i="7"/>
  <c r="G251" i="7"/>
  <c r="F251" i="7"/>
  <c r="F509" i="7"/>
  <c r="G509" i="7"/>
  <c r="F506" i="7"/>
  <c r="G954" i="7"/>
  <c r="F954" i="7"/>
  <c r="G846" i="7"/>
  <c r="G572" i="7"/>
  <c r="F140" i="7"/>
  <c r="G140" i="7"/>
  <c r="G929" i="7"/>
  <c r="F929" i="7"/>
  <c r="G10" i="7"/>
  <c r="F10" i="7"/>
  <c r="G641" i="7"/>
  <c r="F460" i="7"/>
  <c r="G595" i="7"/>
  <c r="F595" i="7"/>
  <c r="G457" i="7"/>
  <c r="F457" i="7"/>
  <c r="F423" i="7"/>
  <c r="G423" i="7"/>
  <c r="G44" i="7"/>
  <c r="F44" i="7"/>
  <c r="F543" i="7"/>
  <c r="F57" i="7"/>
  <c r="G539" i="7"/>
  <c r="G68" i="7"/>
  <c r="F265" i="7"/>
  <c r="F73" i="7"/>
  <c r="F380" i="7"/>
  <c r="F90" i="7"/>
  <c r="F691" i="7"/>
  <c r="F758" i="7"/>
  <c r="F40" i="7"/>
  <c r="G720" i="7"/>
  <c r="F253" i="7"/>
  <c r="F473" i="7"/>
  <c r="F882" i="7"/>
  <c r="F119" i="7"/>
  <c r="F229" i="7"/>
  <c r="G51" i="7"/>
  <c r="F316" i="7"/>
  <c r="F897" i="7"/>
  <c r="F270" i="7"/>
  <c r="F557" i="7"/>
  <c r="F608" i="7"/>
  <c r="G427" i="7"/>
  <c r="G681" i="7"/>
  <c r="F748" i="7"/>
  <c r="F789" i="7"/>
  <c r="F714" i="7"/>
  <c r="G773" i="7"/>
  <c r="G1000" i="7"/>
  <c r="G865" i="7"/>
  <c r="F377" i="7"/>
  <c r="G148" i="7"/>
  <c r="G38" i="7"/>
  <c r="G994" i="7"/>
  <c r="G962" i="7"/>
  <c r="G643" i="7"/>
  <c r="F321" i="7"/>
  <c r="F448" i="7"/>
  <c r="F363" i="7"/>
  <c r="F628" i="7"/>
  <c r="G976" i="7"/>
  <c r="G798" i="7"/>
  <c r="F862" i="7"/>
  <c r="F859" i="7"/>
  <c r="F952" i="7"/>
  <c r="F616" i="7"/>
  <c r="F393" i="7"/>
  <c r="F794" i="7"/>
  <c r="F299" i="7"/>
  <c r="F144" i="7"/>
  <c r="F436" i="7"/>
  <c r="F104" i="7"/>
  <c r="F583" i="7"/>
  <c r="F60" i="7"/>
  <c r="F591" i="7"/>
  <c r="F480" i="7"/>
  <c r="F934" i="7"/>
  <c r="G754" i="7"/>
  <c r="G808" i="7"/>
  <c r="G613" i="7"/>
  <c r="G401" i="7"/>
  <c r="G255" i="7"/>
  <c r="F182" i="7"/>
  <c r="F226" i="7"/>
  <c r="F329" i="7"/>
  <c r="F364" i="7"/>
  <c r="F974" i="7"/>
  <c r="F162" i="7"/>
  <c r="F336" i="7"/>
  <c r="G98" i="7"/>
  <c r="F405" i="7"/>
  <c r="F803" i="7"/>
  <c r="F566" i="7"/>
  <c r="F494" i="7"/>
  <c r="G664" i="7"/>
  <c r="G959" i="7"/>
  <c r="G89" i="7"/>
  <c r="F738" i="7"/>
  <c r="G468" i="7"/>
  <c r="F468" i="7"/>
  <c r="F152" i="7"/>
  <c r="F188" i="7"/>
  <c r="F708" i="7"/>
  <c r="F348" i="7"/>
  <c r="F84" i="7"/>
  <c r="F278" i="7"/>
  <c r="F209" i="7"/>
  <c r="F766" i="7"/>
  <c r="F607" i="7"/>
  <c r="F446" i="7"/>
  <c r="G490" i="7"/>
  <c r="F490" i="7"/>
  <c r="F661" i="7"/>
  <c r="F443" i="7"/>
  <c r="F67" i="7"/>
  <c r="F189" i="7"/>
  <c r="F180" i="7"/>
  <c r="F309" i="7"/>
  <c r="F927" i="7"/>
  <c r="F632" i="7"/>
  <c r="F291" i="7"/>
  <c r="G792" i="7"/>
  <c r="G141" i="7"/>
  <c r="G686" i="7"/>
  <c r="G558" i="7"/>
  <c r="G218" i="7"/>
  <c r="F218" i="7"/>
  <c r="F392" i="7"/>
  <c r="G160" i="7"/>
  <c r="F160" i="7"/>
  <c r="F703" i="7"/>
  <c r="F234" i="7"/>
  <c r="F922" i="7"/>
  <c r="F555" i="7"/>
  <c r="F581" i="7"/>
  <c r="F310" i="7"/>
  <c r="F958" i="7"/>
  <c r="G917" i="7"/>
  <c r="F917" i="7"/>
  <c r="G522" i="7"/>
  <c r="F522" i="7"/>
  <c r="G389" i="7"/>
  <c r="G228" i="7"/>
  <c r="G137" i="7"/>
  <c r="G6" i="7"/>
  <c r="F6" i="7"/>
  <c r="F821" i="7"/>
  <c r="G732" i="7"/>
  <c r="G997" i="7"/>
  <c r="G236" i="7"/>
  <c r="F236" i="7"/>
  <c r="F640" i="7"/>
  <c r="F828" i="7"/>
  <c r="F315" i="7"/>
  <c r="F624" i="7"/>
  <c r="F809" i="7"/>
  <c r="F699" i="7"/>
  <c r="G699" i="7"/>
  <c r="G394" i="7"/>
  <c r="F394" i="7"/>
  <c r="G369" i="7"/>
  <c r="F671" i="7"/>
  <c r="G671" i="7"/>
  <c r="G197" i="7"/>
  <c r="F197" i="7"/>
  <c r="F752" i="7"/>
  <c r="F749" i="7"/>
  <c r="F445" i="7"/>
  <c r="F814" i="7"/>
  <c r="G921" i="7"/>
  <c r="G548" i="7"/>
  <c r="F548" i="7"/>
  <c r="F856" i="7"/>
  <c r="F745" i="7"/>
  <c r="G311" i="7"/>
  <c r="G567" i="7"/>
  <c r="F567" i="7"/>
  <c r="F153" i="7"/>
  <c r="F971" i="7"/>
  <c r="F187" i="7"/>
  <c r="F562" i="7"/>
  <c r="F645" i="7"/>
  <c r="F143" i="7"/>
  <c r="F58" i="7"/>
  <c r="F150" i="7"/>
  <c r="F910" i="7"/>
  <c r="F805" i="7"/>
  <c r="F157" i="7"/>
  <c r="F345" i="7"/>
  <c r="F412" i="7"/>
  <c r="G993" i="7"/>
  <c r="G988" i="7"/>
  <c r="G911" i="7"/>
  <c r="G906" i="7"/>
  <c r="G878" i="7"/>
  <c r="G868" i="7"/>
  <c r="G466" i="7"/>
  <c r="G452" i="7"/>
  <c r="G123" i="7"/>
  <c r="F120" i="7"/>
  <c r="F531" i="7"/>
  <c r="F848" i="7"/>
  <c r="G324" i="7"/>
  <c r="F324" i="7"/>
  <c r="F638" i="7"/>
  <c r="F328" i="7"/>
  <c r="F667" i="7"/>
  <c r="F7" i="7"/>
  <c r="F578" i="7"/>
  <c r="F411" i="7"/>
  <c r="F925" i="7"/>
  <c r="F521" i="7"/>
  <c r="F252" i="7"/>
  <c r="F764" i="7"/>
  <c r="F21" i="7"/>
  <c r="F39" i="7"/>
  <c r="F268" i="7"/>
  <c r="F177" i="7"/>
  <c r="G757" i="7"/>
  <c r="G901" i="7"/>
  <c r="G666" i="7"/>
  <c r="G656" i="7"/>
  <c r="G429" i="7"/>
  <c r="G94" i="7"/>
  <c r="F94" i="7"/>
  <c r="F657" i="7"/>
  <c r="F834" i="7"/>
  <c r="F245" i="7"/>
  <c r="F662" i="7"/>
  <c r="F516" i="7"/>
  <c r="F444" i="7"/>
  <c r="F867" i="7"/>
  <c r="F504" i="7"/>
  <c r="F340" i="7"/>
  <c r="G779" i="7"/>
  <c r="F263" i="7"/>
  <c r="F72" i="7"/>
  <c r="G420" i="7"/>
  <c r="F420" i="7"/>
  <c r="F538" i="7"/>
  <c r="F615" i="7"/>
  <c r="F175" i="7"/>
  <c r="F784" i="7"/>
  <c r="F233" i="7"/>
  <c r="F860" i="7"/>
  <c r="F569" i="7"/>
  <c r="F721" i="7"/>
  <c r="F111" i="7"/>
  <c r="F109" i="7"/>
  <c r="F550" i="7"/>
  <c r="F877" i="7"/>
  <c r="F694" i="7"/>
  <c r="F844" i="7"/>
  <c r="F887" i="7"/>
  <c r="F12" i="7"/>
  <c r="F793" i="7"/>
  <c r="G281" i="7"/>
  <c r="G210" i="7"/>
  <c r="J9" i="16"/>
  <c r="K9" i="16"/>
  <c r="N9" i="16"/>
  <c r="O9" i="16"/>
  <c r="I9" i="10"/>
  <c r="U9" i="16"/>
  <c r="Q9" i="16"/>
  <c r="T9" i="16"/>
  <c r="R9" i="16"/>
  <c r="P9" i="16"/>
  <c r="S9" i="16"/>
  <c r="G576" i="7"/>
  <c r="G300" i="7"/>
  <c r="F300" i="7"/>
  <c r="G827" i="7"/>
  <c r="F913" i="7"/>
  <c r="F479" i="7"/>
  <c r="G621" i="7"/>
  <c r="F621" i="7"/>
  <c r="G467" i="7"/>
  <c r="F467" i="7"/>
  <c r="F308" i="7"/>
  <c r="F497" i="7"/>
  <c r="G497" i="7"/>
  <c r="G365" i="7"/>
  <c r="F365" i="7"/>
  <c r="G200" i="7"/>
  <c r="F200" i="7"/>
  <c r="F943" i="7"/>
  <c r="G943" i="7"/>
  <c r="G838" i="7"/>
  <c r="F838" i="7"/>
  <c r="G731" i="7"/>
  <c r="F731" i="7"/>
  <c r="F526" i="7"/>
  <c r="F712" i="7"/>
  <c r="F172" i="7"/>
  <c r="F985" i="7"/>
  <c r="F611" i="7"/>
  <c r="G154" i="7"/>
  <c r="F746" i="7"/>
  <c r="F397" i="7"/>
  <c r="F69" i="7"/>
  <c r="G331" i="7"/>
  <c r="G440" i="7"/>
  <c r="G926" i="7"/>
  <c r="F843" i="7"/>
  <c r="F861" i="7"/>
  <c r="F431" i="7"/>
  <c r="F76" i="7"/>
  <c r="F639" i="7"/>
  <c r="F470" i="7"/>
  <c r="F24" i="7"/>
  <c r="F839" i="7"/>
  <c r="F870" i="7"/>
  <c r="F138" i="7"/>
  <c r="F992" i="7"/>
  <c r="F816" i="7"/>
  <c r="F454" i="7"/>
  <c r="F946" i="7"/>
  <c r="F853" i="7"/>
  <c r="G687" i="7"/>
  <c r="F687" i="7"/>
  <c r="G428" i="7"/>
  <c r="F428" i="7"/>
  <c r="F981" i="7"/>
  <c r="F660" i="7"/>
  <c r="G660" i="7"/>
  <c r="G279" i="7"/>
  <c r="F279" i="7"/>
  <c r="G191" i="7"/>
  <c r="F987" i="7"/>
  <c r="G960" i="7"/>
  <c r="F960" i="7"/>
  <c r="F806" i="7"/>
  <c r="F955" i="7"/>
  <c r="G679" i="7"/>
  <c r="F302" i="7"/>
  <c r="G836" i="7"/>
  <c r="G528" i="7"/>
  <c r="G635" i="7"/>
  <c r="G546" i="7"/>
  <c r="F698" i="7"/>
  <c r="F217" i="7"/>
  <c r="G677" i="7"/>
  <c r="G237" i="7"/>
  <c r="F237" i="7"/>
  <c r="F733" i="7"/>
  <c r="F653" i="7"/>
  <c r="F358" i="7"/>
  <c r="F874" i="7"/>
  <c r="F170" i="7"/>
  <c r="F561" i="7"/>
  <c r="F932" i="7"/>
  <c r="G637" i="7"/>
  <c r="F637" i="7"/>
  <c r="F804" i="7"/>
  <c r="F964" i="7"/>
  <c r="F829" i="7"/>
  <c r="F4" i="7"/>
  <c r="F540" i="7"/>
  <c r="F26" i="7"/>
  <c r="F949" i="7"/>
  <c r="F447" i="7"/>
  <c r="F762" i="7"/>
  <c r="F533" i="7"/>
  <c r="F587" i="7"/>
  <c r="G602" i="7"/>
  <c r="F930" i="7"/>
  <c r="F850" i="7"/>
  <c r="F797" i="7"/>
  <c r="F600" i="7"/>
  <c r="F568" i="7"/>
  <c r="F476" i="7"/>
  <c r="G35" i="7"/>
  <c r="F35" i="7"/>
  <c r="G989" i="7"/>
  <c r="F989" i="7"/>
  <c r="G831" i="7"/>
  <c r="F831" i="7"/>
  <c r="F737" i="7"/>
  <c r="G737" i="7"/>
  <c r="F91" i="7"/>
  <c r="F333" i="7"/>
  <c r="G529" i="7"/>
  <c r="G298" i="7"/>
  <c r="G184" i="7"/>
  <c r="F159" i="7"/>
  <c r="F80" i="7"/>
  <c r="F65" i="7"/>
  <c r="G110" i="7"/>
  <c r="G246" i="7"/>
  <c r="F425" i="7"/>
  <c r="F978" i="7"/>
  <c r="F908" i="7"/>
  <c r="G362" i="7"/>
  <c r="F362" i="7"/>
  <c r="G928" i="7"/>
  <c r="F406" i="7"/>
  <c r="G549" i="7"/>
  <c r="F888" i="7"/>
  <c r="F873" i="7"/>
  <c r="G785" i="7"/>
  <c r="F727" i="7"/>
  <c r="F176" i="7"/>
  <c r="F623" i="7"/>
  <c r="G455" i="7"/>
  <c r="F740" i="7"/>
  <c r="G898" i="7"/>
  <c r="F650" i="7"/>
  <c r="F830" i="7"/>
  <c r="F508" i="7"/>
  <c r="F232" i="7"/>
  <c r="F471" i="7"/>
  <c r="F772" i="7"/>
  <c r="F307" i="7"/>
  <c r="F430" i="7"/>
  <c r="F770" i="7"/>
  <c r="F206" i="7"/>
  <c r="F527" i="7"/>
  <c r="G220" i="7"/>
  <c r="G692" i="7"/>
  <c r="F765" i="7"/>
  <c r="F293" i="7"/>
  <c r="F181" i="7"/>
  <c r="F498" i="7"/>
  <c r="F354" i="7"/>
  <c r="F41" i="7"/>
  <c r="F589" i="7"/>
  <c r="G579" i="7"/>
  <c r="F825" i="7"/>
  <c r="F810" i="7"/>
  <c r="F750" i="7"/>
  <c r="G893" i="7"/>
  <c r="F973" i="7"/>
  <c r="F194" i="7"/>
  <c r="F171" i="7"/>
  <c r="F347" i="7"/>
  <c r="F963" i="7"/>
  <c r="F675" i="7"/>
  <c r="G953" i="7"/>
  <c r="G618" i="7"/>
  <c r="G996" i="7"/>
  <c r="F800" i="7"/>
  <c r="G625" i="7"/>
  <c r="F682" i="7"/>
  <c r="F2" i="7"/>
  <c r="G991" i="7"/>
  <c r="F935" i="7"/>
  <c r="F525" i="7"/>
  <c r="F858" i="7"/>
  <c r="F655" i="7"/>
  <c r="F271" i="7"/>
  <c r="G271" i="7"/>
  <c r="G201" i="7"/>
  <c r="G34" i="7"/>
  <c r="F34" i="7"/>
  <c r="F101" i="7"/>
  <c r="G980" i="7"/>
  <c r="F980" i="7"/>
  <c r="G459" i="7"/>
  <c r="F459" i="7"/>
  <c r="F367" i="7"/>
  <c r="G367" i="7"/>
  <c r="G297" i="7"/>
  <c r="F297" i="7"/>
  <c r="G290" i="7"/>
  <c r="F290" i="7"/>
  <c r="G136" i="7"/>
  <c r="F136" i="7"/>
  <c r="G55" i="7"/>
  <c r="F55" i="7"/>
  <c r="G8" i="7"/>
  <c r="F8" i="7"/>
  <c r="G603" i="7"/>
  <c r="G709" i="7"/>
  <c r="F876" i="7"/>
  <c r="F647" i="7"/>
  <c r="F783" i="7"/>
  <c r="G820" i="7"/>
  <c r="G669" i="7"/>
  <c r="F434" i="7"/>
  <c r="F999" i="7"/>
  <c r="G999" i="7"/>
  <c r="G969" i="7"/>
  <c r="F969" i="7"/>
  <c r="G914" i="7"/>
  <c r="G886" i="7"/>
  <c r="F886" i="7"/>
  <c r="G767" i="7"/>
  <c r="F767" i="7"/>
  <c r="G729" i="7"/>
  <c r="F729" i="7"/>
  <c r="F724" i="7"/>
  <c r="G478" i="7"/>
  <c r="F478" i="7"/>
  <c r="G464" i="7"/>
  <c r="F464" i="7"/>
  <c r="G295" i="7"/>
  <c r="F295" i="7"/>
  <c r="G288" i="7"/>
  <c r="F288" i="7"/>
  <c r="G83" i="7"/>
  <c r="F83" i="7"/>
  <c r="F81" i="7"/>
  <c r="G81" i="7"/>
  <c r="G685" i="7"/>
  <c r="F685" i="7"/>
  <c r="G547" i="7"/>
  <c r="F547" i="7"/>
  <c r="G114" i="7"/>
  <c r="F114" i="7"/>
  <c r="F565" i="7"/>
  <c r="G790" i="7"/>
  <c r="F790" i="7"/>
  <c r="F164" i="7"/>
  <c r="F883" i="7"/>
  <c r="F723" i="7"/>
  <c r="F966" i="7"/>
  <c r="F753" i="7"/>
  <c r="F957" i="7"/>
  <c r="F705" i="7"/>
  <c r="F575" i="7"/>
  <c r="F398" i="7"/>
  <c r="G902" i="7"/>
  <c r="F881" i="7"/>
  <c r="F351" i="7"/>
  <c r="G912" i="7"/>
  <c r="F912" i="7"/>
  <c r="F819" i="7"/>
  <c r="G819" i="7"/>
  <c r="G606" i="7"/>
  <c r="F606" i="7"/>
  <c r="G604" i="7"/>
  <c r="F604" i="7"/>
  <c r="G585" i="7"/>
  <c r="F585" i="7"/>
  <c r="G374" i="7"/>
  <c r="F374" i="7"/>
  <c r="F13" i="7"/>
  <c r="G13" i="7"/>
  <c r="G385" i="7"/>
  <c r="F385" i="7"/>
  <c r="G325" i="7"/>
  <c r="F325" i="7"/>
  <c r="G196" i="7"/>
  <c r="F196" i="7"/>
  <c r="G3" i="7"/>
  <c r="F3" i="7"/>
  <c r="G707" i="7"/>
  <c r="F707" i="7"/>
  <c r="G617" i="7"/>
  <c r="F617" i="7"/>
  <c r="G982" i="7"/>
  <c r="G264" i="7"/>
  <c r="G986" i="7"/>
  <c r="G812" i="7"/>
  <c r="F812" i="7"/>
  <c r="F791" i="7"/>
  <c r="G791" i="7"/>
  <c r="G736" i="7"/>
  <c r="F736" i="7"/>
  <c r="F651" i="7"/>
  <c r="G644" i="7"/>
  <c r="F541" i="7"/>
  <c r="G541" i="7"/>
  <c r="G518" i="7"/>
  <c r="F518" i="7"/>
  <c r="F513" i="7"/>
  <c r="F492" i="7"/>
  <c r="G492" i="7"/>
  <c r="F483" i="7"/>
  <c r="G483" i="7"/>
  <c r="G322" i="7"/>
  <c r="F322" i="7"/>
  <c r="G20" i="7"/>
  <c r="F20" i="7"/>
  <c r="G892" i="7"/>
  <c r="F892" i="7"/>
  <c r="F771" i="7"/>
  <c r="G771" i="7"/>
  <c r="G716" i="7"/>
  <c r="F716" i="7"/>
  <c r="F556" i="7"/>
  <c r="F403" i="7"/>
  <c r="F344" i="7"/>
  <c r="F654" i="7"/>
  <c r="F586" i="7"/>
  <c r="G596" i="7"/>
  <c r="F535" i="7"/>
  <c r="F956" i="7"/>
  <c r="G956" i="7"/>
  <c r="F761" i="7"/>
  <c r="G761" i="7"/>
  <c r="G713" i="7"/>
  <c r="F713" i="7"/>
  <c r="F680" i="7"/>
  <c r="G680" i="7"/>
  <c r="F574" i="7"/>
  <c r="G574" i="7"/>
  <c r="G530" i="7"/>
  <c r="F530" i="7"/>
  <c r="F488" i="7"/>
  <c r="G488" i="7"/>
  <c r="G27" i="7"/>
  <c r="F27" i="7"/>
  <c r="G337" i="7"/>
  <c r="F337" i="7"/>
  <c r="F961" i="7"/>
  <c r="G619" i="7"/>
  <c r="F619" i="7"/>
  <c r="F755" i="7"/>
  <c r="F950" i="7"/>
  <c r="F776" i="7"/>
  <c r="F631" i="7"/>
  <c r="G636" i="7"/>
  <c r="G970" i="7"/>
  <c r="F970" i="7"/>
  <c r="F968" i="7"/>
  <c r="G938" i="7"/>
  <c r="F938" i="7"/>
  <c r="G885" i="7"/>
  <c r="F885" i="7"/>
  <c r="G759" i="7"/>
  <c r="F759" i="7"/>
  <c r="G649" i="7"/>
  <c r="G414" i="7"/>
  <c r="G248" i="7"/>
  <c r="F248" i="7"/>
  <c r="G169" i="7"/>
  <c r="F169" i="7"/>
  <c r="G823" i="7"/>
  <c r="G739" i="7"/>
  <c r="G609" i="7"/>
  <c r="F609" i="7"/>
  <c r="G82" i="7"/>
  <c r="G552" i="7"/>
  <c r="F552" i="7"/>
  <c r="G505" i="7"/>
  <c r="F505" i="7"/>
  <c r="G442" i="7"/>
  <c r="F376" i="7"/>
  <c r="F371" i="7"/>
  <c r="F503" i="7"/>
  <c r="F472" i="7"/>
  <c r="F215" i="7"/>
  <c r="F967" i="7"/>
  <c r="F230" i="7"/>
  <c r="G489" i="7"/>
  <c r="G163" i="7"/>
  <c r="F29" i="7"/>
  <c r="F244" i="7"/>
  <c r="F19" i="7"/>
  <c r="G19" i="7"/>
  <c r="G88" i="7"/>
  <c r="F88" i="7"/>
  <c r="D30" i="14" a="1"/>
  <c r="D30" i="14" s="1"/>
  <c r="D25" i="14" a="1"/>
  <c r="D25" i="14" s="1"/>
  <c r="F25" i="14" s="1"/>
  <c r="D24" i="14" a="1"/>
  <c r="D24" i="14" s="1"/>
  <c r="F24" i="14" s="1"/>
  <c r="D23" i="14" a="1"/>
  <c r="D23" i="14" s="1"/>
  <c r="D27" i="14" a="1"/>
  <c r="D27" i="14" s="1"/>
  <c r="D20" i="14" a="1"/>
  <c r="D20" i="14" s="1"/>
  <c r="F20" i="14" s="1"/>
  <c r="W350" i="1"/>
  <c r="W358" i="1"/>
  <c r="W397" i="1"/>
  <c r="W346" i="1"/>
  <c r="W354" i="1"/>
  <c r="W362" i="1"/>
  <c r="W345" i="1"/>
  <c r="W351" i="1"/>
  <c r="Z11" i="1"/>
  <c r="B252" i="1"/>
  <c r="W252" i="1" s="1"/>
  <c r="F36" i="14" a="1"/>
  <c r="F36" i="14" s="1"/>
  <c r="B39" i="1"/>
  <c r="W39" i="1" s="1"/>
  <c r="Z39" i="1"/>
  <c r="F44" i="14" a="1"/>
  <c r="F44" i="14" s="1"/>
  <c r="F53" i="14" a="1"/>
  <c r="F53" i="14" s="1"/>
  <c r="F38" i="14" a="1"/>
  <c r="F38" i="14" s="1"/>
  <c r="F42" i="14" a="1"/>
  <c r="F42" i="14" s="1"/>
  <c r="G42" i="14" s="1"/>
  <c r="F46" i="14" a="1"/>
  <c r="F46" i="14" s="1"/>
  <c r="F50" i="14" a="1"/>
  <c r="F50" i="14" s="1"/>
  <c r="B333" i="1"/>
  <c r="F39" i="14" a="1"/>
  <c r="F39" i="14" s="1"/>
  <c r="F43" i="14" a="1"/>
  <c r="F43" i="14" s="1"/>
  <c r="F47" i="14" a="1"/>
  <c r="F47" i="14" s="1"/>
  <c r="F51" i="14" a="1"/>
  <c r="F51" i="14" s="1"/>
  <c r="V333" i="1"/>
  <c r="F37" i="14" a="1"/>
  <c r="F37" i="14" s="1"/>
  <c r="F41" i="14" a="1"/>
  <c r="F41" i="14" s="1"/>
  <c r="F45" i="14" a="1"/>
  <c r="F45" i="14" s="1"/>
  <c r="F49" i="14" a="1"/>
  <c r="F49" i="14" s="1"/>
  <c r="G49" i="14" s="1"/>
  <c r="W329" i="1"/>
  <c r="W327" i="1"/>
  <c r="Z227" i="1"/>
  <c r="F55" i="14" a="1"/>
  <c r="F55" i="14" s="1"/>
  <c r="G55" i="14" s="1"/>
  <c r="V3" i="1"/>
  <c r="W3" i="1" s="1"/>
  <c r="Z3" i="1"/>
  <c r="F54" i="14" a="1"/>
  <c r="F54" i="14" s="1"/>
  <c r="U403" i="1"/>
  <c r="F23" i="10" s="1" a="1"/>
  <c r="F23" i="10" s="1"/>
  <c r="W342" i="1"/>
  <c r="W334" i="1"/>
  <c r="W305" i="1"/>
  <c r="W21" i="1"/>
  <c r="W128" i="1"/>
  <c r="W84" i="1"/>
  <c r="W24" i="1"/>
  <c r="W201" i="1"/>
  <c r="W53" i="1"/>
  <c r="W116" i="1"/>
  <c r="W169" i="1"/>
  <c r="W37" i="1"/>
  <c r="W149" i="1"/>
  <c r="W167" i="1"/>
  <c r="W272" i="1"/>
  <c r="W180" i="1"/>
  <c r="W124" i="1"/>
  <c r="W99" i="1"/>
  <c r="W101" i="1"/>
  <c r="W45" i="1"/>
  <c r="W23" i="1"/>
  <c r="W25" i="1"/>
  <c r="W134" i="1"/>
  <c r="W40" i="1"/>
  <c r="W229" i="1"/>
  <c r="W207" i="1"/>
  <c r="W246" i="1"/>
  <c r="W4" i="1"/>
  <c r="W176" i="1"/>
  <c r="W282" i="1"/>
  <c r="E12" i="10"/>
  <c r="E14" i="10"/>
  <c r="W49" i="1"/>
  <c r="E16" i="10"/>
  <c r="W59" i="1"/>
  <c r="E23" i="10"/>
  <c r="E15" i="10"/>
  <c r="E26" i="10"/>
  <c r="E21" i="10"/>
  <c r="E28" i="10"/>
  <c r="W61" i="1"/>
  <c r="W26" i="1"/>
  <c r="W159" i="1"/>
  <c r="W245" i="1"/>
  <c r="W273" i="1"/>
  <c r="W217" i="1"/>
  <c r="W92" i="1"/>
  <c r="W113" i="1"/>
  <c r="W287" i="1"/>
  <c r="W83" i="1"/>
  <c r="E7" i="16"/>
  <c r="H7" i="10"/>
  <c r="W341" i="1" l="1"/>
  <c r="W94" i="1"/>
  <c r="W43" i="1"/>
  <c r="W135" i="1"/>
  <c r="W242" i="1"/>
  <c r="W85" i="1"/>
  <c r="W291" i="1"/>
  <c r="W155" i="1"/>
  <c r="W152" i="1"/>
  <c r="W214" i="1"/>
  <c r="W283" i="1"/>
  <c r="W321" i="1"/>
  <c r="W42" i="1"/>
  <c r="W44" i="1"/>
  <c r="W58" i="1"/>
  <c r="W22" i="1"/>
  <c r="W77" i="1"/>
  <c r="W108" i="1"/>
  <c r="W218" i="1"/>
  <c r="W164" i="1"/>
  <c r="W107" i="1"/>
  <c r="W200" i="1"/>
  <c r="W189" i="1"/>
  <c r="W30" i="1"/>
  <c r="W205" i="1"/>
  <c r="W285" i="1"/>
  <c r="W173" i="1"/>
  <c r="W46" i="1"/>
  <c r="W109" i="1"/>
  <c r="W75" i="1"/>
  <c r="W48" i="1"/>
  <c r="W179" i="1"/>
  <c r="W240" i="1"/>
  <c r="W192" i="1"/>
  <c r="W127" i="1"/>
  <c r="W244" i="1"/>
  <c r="W298" i="1"/>
  <c r="W60" i="1"/>
  <c r="W146" i="1"/>
  <c r="W309" i="1"/>
  <c r="W206" i="1"/>
  <c r="W117" i="1"/>
  <c r="W166" i="1"/>
  <c r="W161" i="1"/>
  <c r="W241" i="1"/>
  <c r="W262" i="1"/>
  <c r="W63" i="1"/>
  <c r="W91" i="1"/>
  <c r="W110" i="1"/>
  <c r="W102" i="1"/>
  <c r="W78" i="1"/>
  <c r="E18" i="10"/>
  <c r="E22" i="10"/>
  <c r="E25" i="10"/>
  <c r="E24" i="10"/>
  <c r="E20" i="10"/>
  <c r="E27" i="10"/>
  <c r="G47" i="14"/>
  <c r="E17" i="10"/>
  <c r="E19" i="10"/>
  <c r="E11" i="10"/>
  <c r="W361" i="1"/>
  <c r="W360" i="1"/>
  <c r="W356" i="1"/>
  <c r="W357" i="1"/>
  <c r="W359" i="1"/>
  <c r="W160" i="1"/>
  <c r="W174" i="1"/>
  <c r="D22" i="16" a="1"/>
  <c r="D22" i="16" s="1"/>
  <c r="E22" i="16" s="1"/>
  <c r="G22" i="16" s="1"/>
  <c r="F11" i="10" a="1"/>
  <c r="F11" i="10" s="1"/>
  <c r="W277" i="1"/>
  <c r="W230" i="1"/>
  <c r="W56" i="1"/>
  <c r="W187" i="1"/>
  <c r="W256" i="1"/>
  <c r="W264" i="1"/>
  <c r="W66" i="1"/>
  <c r="W249" i="1"/>
  <c r="W318" i="1"/>
  <c r="W322" i="1"/>
  <c r="W310" i="1"/>
  <c r="W193" i="1"/>
  <c r="W65" i="1"/>
  <c r="W278" i="1"/>
  <c r="W182" i="1"/>
  <c r="W36" i="1"/>
  <c r="W15" i="1"/>
  <c r="W233" i="1"/>
  <c r="W203" i="1"/>
  <c r="W20" i="1"/>
  <c r="W199" i="1"/>
  <c r="W29" i="1"/>
  <c r="W236" i="1"/>
  <c r="W178" i="1"/>
  <c r="W104" i="1"/>
  <c r="G11" i="14" a="1"/>
  <c r="G11" i="14" s="1"/>
  <c r="W198" i="1"/>
  <c r="G53" i="14"/>
  <c r="W328" i="1"/>
  <c r="W339" i="1"/>
  <c r="W343" i="1"/>
  <c r="G12" i="14" a="1"/>
  <c r="G12" i="14" s="1"/>
  <c r="W137" i="1"/>
  <c r="W275" i="1"/>
  <c r="W267" i="1"/>
  <c r="W261" i="1"/>
  <c r="W145" i="1"/>
  <c r="W297" i="1"/>
  <c r="W162" i="1"/>
  <c r="W165" i="1"/>
  <c r="W208" i="1"/>
  <c r="W118" i="1"/>
  <c r="W7" i="1"/>
  <c r="W12" i="1"/>
  <c r="W57" i="1"/>
  <c r="W186" i="1"/>
  <c r="W251" i="1"/>
  <c r="W300" i="1"/>
  <c r="W263" i="1"/>
  <c r="W268" i="1"/>
  <c r="W271" i="1"/>
  <c r="W185" i="1"/>
  <c r="W141" i="1"/>
  <c r="W140" i="1"/>
  <c r="W93" i="1"/>
  <c r="W79" i="1"/>
  <c r="W95" i="1"/>
  <c r="W314" i="1"/>
  <c r="W319" i="1"/>
  <c r="W323" i="1"/>
  <c r="W338" i="1"/>
  <c r="G8" i="14" a="1"/>
  <c r="G8" i="14" s="1"/>
  <c r="G9" i="14" a="1"/>
  <c r="G9" i="14" s="1"/>
  <c r="G10" i="14" a="1"/>
  <c r="G10" i="14" s="1"/>
  <c r="W183" i="1"/>
  <c r="G45" i="14"/>
  <c r="W223" i="1"/>
  <c r="W144" i="1"/>
  <c r="W147" i="1"/>
  <c r="W168" i="1"/>
  <c r="W299" i="1"/>
  <c r="W191" i="1"/>
  <c r="W274" i="1"/>
  <c r="W259" i="1"/>
  <c r="W276" i="1"/>
  <c r="W115" i="1"/>
  <c r="W54" i="1"/>
  <c r="W14" i="1"/>
  <c r="W11" i="1"/>
  <c r="W232" i="1"/>
  <c r="W202" i="1"/>
  <c r="W184" i="1"/>
  <c r="W270" i="1"/>
  <c r="W228" i="1"/>
  <c r="W150" i="1"/>
  <c r="W33" i="1"/>
  <c r="W34" i="1"/>
  <c r="W222" i="1"/>
  <c r="W239" i="1"/>
  <c r="W295" i="1"/>
  <c r="W153" i="1"/>
  <c r="W81" i="1"/>
  <c r="W97" i="1"/>
  <c r="W105" i="1"/>
  <c r="W311" i="1"/>
  <c r="W250" i="1"/>
  <c r="W317" i="1"/>
  <c r="W324" i="1"/>
  <c r="W337" i="1"/>
  <c r="W13" i="1"/>
  <c r="W17" i="1"/>
  <c r="W122" i="1"/>
  <c r="W52" i="1"/>
  <c r="W136" i="1"/>
  <c r="W157" i="1"/>
  <c r="W294" i="1"/>
  <c r="W190" i="1"/>
  <c r="W279" i="1"/>
  <c r="W69" i="1"/>
  <c r="W111" i="1"/>
  <c r="W248" i="1"/>
  <c r="W126" i="1"/>
  <c r="W227" i="1"/>
  <c r="W142" i="1"/>
  <c r="W171" i="1"/>
  <c r="W288" i="1"/>
  <c r="W296" i="1"/>
  <c r="W243" i="1"/>
  <c r="W139" i="1"/>
  <c r="W303" i="1"/>
  <c r="W316" i="1"/>
  <c r="W326" i="1"/>
  <c r="W332" i="1"/>
  <c r="W35" i="1"/>
  <c r="W237" i="1"/>
  <c r="W238" i="1"/>
  <c r="W302" i="1"/>
  <c r="W31" i="1"/>
  <c r="W133" i="1"/>
  <c r="W306" i="1"/>
  <c r="W68" i="1"/>
  <c r="W130" i="1"/>
  <c r="G25" i="14" a="1"/>
  <c r="G25" i="14" s="1"/>
  <c r="L25" i="14" s="1"/>
  <c r="F19" i="10" a="1"/>
  <c r="F19" i="10" s="1"/>
  <c r="D17" i="16" a="1"/>
  <c r="D17" i="16" s="1"/>
  <c r="E17" i="16" s="1"/>
  <c r="G17" i="16" s="1"/>
  <c r="F13" i="10" a="1"/>
  <c r="F13" i="10" s="1"/>
  <c r="G13" i="10" s="1"/>
  <c r="G20" i="14" a="1"/>
  <c r="G20" i="14" s="1"/>
  <c r="L20" i="14" s="1"/>
  <c r="F20" i="10" a="1"/>
  <c r="F20" i="10" s="1"/>
  <c r="F15" i="10" a="1"/>
  <c r="F15" i="10" s="1"/>
  <c r="G15" i="10" s="1"/>
  <c r="F28" i="10" a="1"/>
  <c r="F28" i="10" s="1"/>
  <c r="G28" i="10" s="1"/>
  <c r="G46" i="14"/>
  <c r="W355" i="1"/>
  <c r="W284" i="1"/>
  <c r="W212" i="1"/>
  <c r="F25" i="10" a="1"/>
  <c r="F25" i="10" s="1"/>
  <c r="H25" i="10" s="1"/>
  <c r="J25" i="10" s="1"/>
  <c r="W89" i="1"/>
  <c r="W19" i="1"/>
  <c r="W292" i="1"/>
  <c r="W265" i="1"/>
  <c r="W257" i="1"/>
  <c r="W216" i="1"/>
  <c r="W16" i="1"/>
  <c r="W32" i="1"/>
  <c r="W10" i="1"/>
  <c r="W50" i="1"/>
  <c r="W197" i="1"/>
  <c r="W154" i="1"/>
  <c r="W119" i="1"/>
  <c r="W247" i="1"/>
  <c r="W9" i="1"/>
  <c r="W6" i="1"/>
  <c r="W254" i="1"/>
  <c r="W258" i="1"/>
  <c r="W266" i="1"/>
  <c r="W2" i="1"/>
  <c r="W280" i="1"/>
  <c r="W148" i="1"/>
  <c r="W131" i="1"/>
  <c r="W67" i="1"/>
  <c r="W194" i="1"/>
  <c r="W76" i="1"/>
  <c r="W74" i="1"/>
  <c r="W82" i="1"/>
  <c r="W90" i="1"/>
  <c r="W114" i="1"/>
  <c r="W293" i="1"/>
  <c r="W226" i="1"/>
  <c r="W331" i="1"/>
  <c r="D23" i="16" a="1"/>
  <c r="D23" i="16" s="1"/>
  <c r="E23" i="16" s="1"/>
  <c r="G23" i="16" s="1"/>
  <c r="D11" i="16" a="1"/>
  <c r="D11" i="16" s="1"/>
  <c r="E11" i="16" s="1"/>
  <c r="G11" i="16" s="1"/>
  <c r="D14" i="16" a="1"/>
  <c r="D14" i="16" s="1"/>
  <c r="E14" i="16" s="1"/>
  <c r="G14" i="16" s="1"/>
  <c r="W315" i="1"/>
  <c r="D9" i="14" a="1"/>
  <c r="D9" i="14" s="1"/>
  <c r="F22" i="10" a="1"/>
  <c r="F22" i="10" s="1"/>
  <c r="W28" i="1"/>
  <c r="W106" i="1"/>
  <c r="W225" i="1"/>
  <c r="W129" i="1"/>
  <c r="W269" i="1"/>
  <c r="W158" i="1"/>
  <c r="W120" i="1"/>
  <c r="W209" i="1"/>
  <c r="W47" i="1"/>
  <c r="W220" i="1"/>
  <c r="W221" i="1"/>
  <c r="W308" i="1"/>
  <c r="W125" i="1"/>
  <c r="W188" i="1"/>
  <c r="W98" i="1"/>
  <c r="W80" i="1"/>
  <c r="G23" i="14" a="1"/>
  <c r="G23" i="14" s="1"/>
  <c r="I23" i="14" s="1"/>
  <c r="G19" i="14" a="1"/>
  <c r="G19" i="14" s="1"/>
  <c r="W333" i="1"/>
  <c r="W231" i="1"/>
  <c r="W301" i="1"/>
  <c r="W336" i="1"/>
  <c r="W210" i="1"/>
  <c r="W325" i="1"/>
  <c r="W330" i="1"/>
  <c r="W335" i="1"/>
  <c r="F26" i="10" a="1"/>
  <c r="F26" i="10" s="1"/>
  <c r="G26" i="10" s="1"/>
  <c r="D24" i="16" a="1"/>
  <c r="D24" i="16" s="1"/>
  <c r="E24" i="16" s="1"/>
  <c r="G24" i="16" s="1"/>
  <c r="W211" i="1"/>
  <c r="W38" i="1"/>
  <c r="W289" i="1"/>
  <c r="W5" i="1"/>
  <c r="W290" i="1"/>
  <c r="W235" i="1"/>
  <c r="W281" i="1"/>
  <c r="W260" i="1"/>
  <c r="W215" i="1"/>
  <c r="W219" i="1"/>
  <c r="W41" i="1"/>
  <c r="W204" i="1"/>
  <c r="W234" i="1"/>
  <c r="W55" i="1"/>
  <c r="W255" i="1"/>
  <c r="W224" i="1"/>
  <c r="W304" i="1"/>
  <c r="W163" i="1"/>
  <c r="W312" i="1"/>
  <c r="W87" i="1"/>
  <c r="W18" i="1"/>
  <c r="W181" i="1"/>
  <c r="W121" i="1"/>
  <c r="W313" i="1"/>
  <c r="W51" i="1"/>
  <c r="W175" i="1"/>
  <c r="W195" i="1"/>
  <c r="W123" i="1"/>
  <c r="W172" i="1"/>
  <c r="W73" i="1"/>
  <c r="W88" i="1"/>
  <c r="W96" i="1"/>
  <c r="W112" i="1"/>
  <c r="W213" i="1"/>
  <c r="D13" i="16" a="1"/>
  <c r="D13" i="16" s="1"/>
  <c r="E13" i="16" s="1"/>
  <c r="G13" i="16" s="1"/>
  <c r="G52" i="14"/>
  <c r="G29" i="14" a="1"/>
  <c r="G29" i="14" s="1"/>
  <c r="G21" i="14" a="1"/>
  <c r="G21" i="14" s="1"/>
  <c r="I21" i="14" s="1"/>
  <c r="M21" i="14" s="1"/>
  <c r="D12" i="16" a="1"/>
  <c r="D12" i="16" s="1"/>
  <c r="E12" i="16" s="1"/>
  <c r="G12" i="16" s="1"/>
  <c r="G54" i="14"/>
  <c r="D16" i="16" a="1"/>
  <c r="D16" i="16" s="1"/>
  <c r="E16" i="16" s="1"/>
  <c r="G16" i="16" s="1"/>
  <c r="F12" i="10" a="1"/>
  <c r="F12" i="10" s="1"/>
  <c r="F27" i="10" a="1"/>
  <c r="F27" i="10" s="1"/>
  <c r="D19" i="16" a="1"/>
  <c r="D19" i="16" s="1"/>
  <c r="E19" i="16" s="1"/>
  <c r="G19" i="16" s="1"/>
  <c r="D26" i="16" a="1"/>
  <c r="D26" i="16" s="1"/>
  <c r="E26" i="16" s="1"/>
  <c r="G26" i="16" s="1"/>
  <c r="G18" i="14" a="1"/>
  <c r="G18" i="14" s="1"/>
  <c r="F18" i="10" a="1"/>
  <c r="F18" i="10" s="1"/>
  <c r="G22" i="14" a="1"/>
  <c r="G22" i="14" s="1"/>
  <c r="I22" i="14" s="1"/>
  <c r="D27" i="16" a="1"/>
  <c r="D27" i="16" s="1"/>
  <c r="E27" i="16" s="1"/>
  <c r="G27" i="16" s="1"/>
  <c r="G44" i="14"/>
  <c r="D28" i="16" a="1"/>
  <c r="D28" i="16" s="1"/>
  <c r="E28" i="16" s="1"/>
  <c r="G28" i="16" s="1"/>
  <c r="D15" i="16" a="1"/>
  <c r="D15" i="16" s="1"/>
  <c r="E15" i="16" s="1"/>
  <c r="G15" i="16" s="1"/>
  <c r="F23" i="14"/>
  <c r="D29" i="14" a="1"/>
  <c r="D29" i="14" s="1"/>
  <c r="D19" i="14" a="1"/>
  <c r="D19" i="14" s="1"/>
  <c r="G37" i="14"/>
  <c r="D21" i="14" a="1"/>
  <c r="D21" i="14" s="1"/>
  <c r="D22" i="14" a="1"/>
  <c r="D22" i="14" s="1"/>
  <c r="F22" i="14" s="1"/>
  <c r="D18" i="14" a="1"/>
  <c r="D18" i="14" s="1"/>
  <c r="D28" i="14" a="1"/>
  <c r="D28" i="14" s="1"/>
  <c r="V403" i="1"/>
  <c r="W403" i="1" s="1"/>
  <c r="G50" i="14"/>
  <c r="G51" i="14"/>
  <c r="G38" i="14"/>
  <c r="G40" i="14"/>
  <c r="G43" i="14"/>
  <c r="G41" i="14"/>
  <c r="G48" i="14"/>
  <c r="G39" i="14"/>
  <c r="O4" i="24"/>
  <c r="Z52" i="1"/>
  <c r="Y403" i="1"/>
  <c r="Z403" i="1" s="1"/>
  <c r="G36" i="14"/>
  <c r="F57" i="14"/>
  <c r="W307" i="1"/>
  <c r="W71" i="1"/>
  <c r="W72" i="1"/>
  <c r="H23" i="10"/>
  <c r="G23" i="10"/>
  <c r="E57" i="14"/>
  <c r="W143" i="1"/>
  <c r="D10" i="14" a="1"/>
  <c r="D10" i="14" s="1"/>
  <c r="W8" i="1"/>
  <c r="D12" i="14" a="1"/>
  <c r="D12" i="14" s="1"/>
  <c r="W64" i="1"/>
  <c r="D8" i="14" a="1"/>
  <c r="D8" i="14" s="1"/>
  <c r="N4" i="24"/>
  <c r="W177" i="1"/>
  <c r="W27" i="1"/>
  <c r="W103" i="1"/>
  <c r="W156" i="1"/>
  <c r="F14" i="10" a="1"/>
  <c r="F14" i="10" s="1"/>
  <c r="D18" i="16" a="1"/>
  <c r="D18" i="16" s="1"/>
  <c r="E18" i="16" s="1"/>
  <c r="G18" i="16" s="1"/>
  <c r="F17" i="10" a="1"/>
  <c r="F17" i="10" s="1"/>
  <c r="D11" i="14" a="1"/>
  <c r="D11" i="14" s="1"/>
  <c r="G27" i="14" a="1"/>
  <c r="G27" i="14" s="1"/>
  <c r="F24" i="10" a="1"/>
  <c r="F24" i="10" s="1"/>
  <c r="G26" i="14" a="1"/>
  <c r="G26" i="14" s="1"/>
  <c r="F16" i="10" a="1"/>
  <c r="F16" i="10" s="1"/>
  <c r="G28" i="14" a="1"/>
  <c r="G28" i="14" s="1"/>
  <c r="D20" i="16" a="1"/>
  <c r="D20" i="16" s="1"/>
  <c r="E20" i="16" s="1"/>
  <c r="G20" i="16" s="1"/>
  <c r="G30" i="14" a="1"/>
  <c r="G30" i="14" s="1"/>
  <c r="L30" i="14" s="1"/>
  <c r="G24" i="14" a="1"/>
  <c r="G24" i="14" s="1"/>
  <c r="D25" i="16" a="1"/>
  <c r="D25" i="16" s="1"/>
  <c r="E25" i="16" s="1"/>
  <c r="G25" i="16" s="1"/>
  <c r="D21" i="16" a="1"/>
  <c r="D21" i="16" s="1"/>
  <c r="E21" i="16" s="1"/>
  <c r="G21" i="16" s="1"/>
  <c r="F21" i="10" a="1"/>
  <c r="F21" i="10" s="1"/>
  <c r="W320" i="1"/>
  <c r="G19" i="10" l="1"/>
  <c r="H15" i="10"/>
  <c r="G20" i="10"/>
  <c r="M23" i="14"/>
  <c r="G22" i="10"/>
  <c r="E9" i="10"/>
  <c r="G11" i="10"/>
  <c r="I25" i="14"/>
  <c r="M25" i="14" s="1"/>
  <c r="H11" i="10"/>
  <c r="J11" i="10" s="1"/>
  <c r="H20" i="10"/>
  <c r="K20" i="10" s="1"/>
  <c r="H19" i="10"/>
  <c r="J19" i="10" s="1"/>
  <c r="L29" i="14"/>
  <c r="L28" i="14"/>
  <c r="H13" i="10"/>
  <c r="K13" i="10" s="1"/>
  <c r="H11" i="14" a="1"/>
  <c r="H11" i="14" s="1"/>
  <c r="I11" i="14" s="1"/>
  <c r="E9" i="14" a="1"/>
  <c r="E9" i="14" s="1"/>
  <c r="F9" i="14" s="1"/>
  <c r="I20" i="14"/>
  <c r="M20" i="14" s="1"/>
  <c r="H22" i="10"/>
  <c r="K22" i="10" s="1"/>
  <c r="G25" i="10"/>
  <c r="L19" i="14"/>
  <c r="H28" i="10"/>
  <c r="J28" i="10" s="1"/>
  <c r="L23" i="14"/>
  <c r="H10" i="14" a="1"/>
  <c r="H10" i="14" s="1"/>
  <c r="I10" i="14" s="1"/>
  <c r="E8" i="14" a="1"/>
  <c r="E8" i="14" s="1"/>
  <c r="F8" i="14" s="1"/>
  <c r="H12" i="14" a="1"/>
  <c r="H12" i="14" s="1"/>
  <c r="I12" i="14" s="1"/>
  <c r="H8" i="14" a="1"/>
  <c r="H8" i="14" s="1"/>
  <c r="I8" i="14" s="1"/>
  <c r="L18" i="14"/>
  <c r="K25" i="10"/>
  <c r="E10" i="14" a="1"/>
  <c r="E10" i="14" s="1"/>
  <c r="E11" i="14" a="1"/>
  <c r="E11" i="14" s="1"/>
  <c r="F11" i="14" s="1"/>
  <c r="H9" i="14" a="1"/>
  <c r="H9" i="14" s="1"/>
  <c r="M22" i="14"/>
  <c r="E12" i="14" a="1"/>
  <c r="E12" i="14" s="1"/>
  <c r="F12" i="14" s="1"/>
  <c r="H26" i="10"/>
  <c r="L22" i="14"/>
  <c r="L21" i="14"/>
  <c r="H18" i="10"/>
  <c r="G18" i="10"/>
  <c r="G27" i="10"/>
  <c r="H27" i="10"/>
  <c r="H12" i="10"/>
  <c r="G12" i="10"/>
  <c r="D32" i="14"/>
  <c r="G57" i="14"/>
  <c r="K8" i="14"/>
  <c r="D14" i="14"/>
  <c r="I27" i="14"/>
  <c r="M27" i="14" s="1"/>
  <c r="L27" i="14"/>
  <c r="G14" i="10"/>
  <c r="H14" i="10"/>
  <c r="G24" i="10"/>
  <c r="H24" i="10"/>
  <c r="L24" i="14"/>
  <c r="I24" i="14"/>
  <c r="M24" i="14" s="1"/>
  <c r="J15" i="10"/>
  <c r="K15" i="10"/>
  <c r="I26" i="14"/>
  <c r="M26" i="14" s="1"/>
  <c r="L26" i="14"/>
  <c r="K11" i="14"/>
  <c r="G17" i="10"/>
  <c r="H17" i="10"/>
  <c r="K10" i="14"/>
  <c r="J23" i="10"/>
  <c r="K23" i="10"/>
  <c r="G14" i="14"/>
  <c r="G32" i="14"/>
  <c r="D9" i="16"/>
  <c r="E9" i="16" s="1"/>
  <c r="G9" i="16" s="1"/>
  <c r="G16" i="10"/>
  <c r="H16" i="10"/>
  <c r="F9" i="10"/>
  <c r="H9" i="10" s="1"/>
  <c r="J9" i="10" s="1"/>
  <c r="H21" i="10"/>
  <c r="G21" i="10"/>
  <c r="K12" i="14"/>
  <c r="K9" i="14"/>
  <c r="K28" i="10" l="1"/>
  <c r="K11" i="10"/>
  <c r="J20" i="10"/>
  <c r="K19" i="10"/>
  <c r="J22" i="10"/>
  <c r="M11" i="14"/>
  <c r="J13" i="10"/>
  <c r="H14" i="14"/>
  <c r="L8" i="14"/>
  <c r="L11" i="14"/>
  <c r="L10" i="14"/>
  <c r="F10" i="14"/>
  <c r="F14" i="14" s="1"/>
  <c r="L9" i="14"/>
  <c r="I9" i="14"/>
  <c r="I14" i="14" s="1"/>
  <c r="G9" i="10"/>
  <c r="E14" i="14"/>
  <c r="K26" i="10"/>
  <c r="J26" i="10"/>
  <c r="L12" i="14"/>
  <c r="J27" i="10"/>
  <c r="K27" i="10"/>
  <c r="K18" i="10"/>
  <c r="J18" i="10"/>
  <c r="K12" i="10"/>
  <c r="J12" i="10"/>
  <c r="L32" i="14"/>
  <c r="M12" i="14"/>
  <c r="J24" i="10"/>
  <c r="K24" i="10"/>
  <c r="K14" i="14"/>
  <c r="M8" i="14"/>
  <c r="K16" i="10"/>
  <c r="J16" i="10"/>
  <c r="J17" i="10"/>
  <c r="K17" i="10"/>
  <c r="J14" i="10"/>
  <c r="K14" i="10"/>
  <c r="J21" i="10"/>
  <c r="K21" i="10"/>
  <c r="M9" i="14" l="1"/>
  <c r="L14" i="14"/>
  <c r="M10" i="14"/>
  <c r="M14" i="14" l="1"/>
  <c r="O19" i="1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<sst xmlns="http://schemas.openxmlformats.org/spreadsheetml/2006/main" count="16191" uniqueCount="3720">
  <si>
    <t>Date</t>
  </si>
  <si>
    <t>Reporting Month</t>
  </si>
  <si>
    <t>Company Code : 0002, Cost Center : 68427709 Ops &amp; Compl</t>
  </si>
  <si>
    <t>AOP</t>
  </si>
  <si>
    <t>Var AOP</t>
  </si>
  <si>
    <t>AOP YtD</t>
  </si>
  <si>
    <t>Actuals YtD</t>
  </si>
  <si>
    <t>Diff</t>
  </si>
  <si>
    <t>Difference</t>
  </si>
  <si>
    <t>Explanation</t>
  </si>
  <si>
    <t>GL</t>
  </si>
  <si>
    <t>Description</t>
  </si>
  <si>
    <t>Total</t>
  </si>
  <si>
    <t>Only when difference &gt; 10%</t>
  </si>
  <si>
    <t>485073003</t>
  </si>
  <si>
    <t>PC support</t>
  </si>
  <si>
    <t>Desktop Management</t>
  </si>
  <si>
    <t>485073004</t>
  </si>
  <si>
    <t>Messaging</t>
  </si>
  <si>
    <t>485073006</t>
  </si>
  <si>
    <t>Software li MS Infr</t>
  </si>
  <si>
    <t>485073010</t>
  </si>
  <si>
    <t xml:space="preserve">Network Services </t>
  </si>
  <si>
    <t>Network Management</t>
  </si>
  <si>
    <t>485073011</t>
  </si>
  <si>
    <t>Network Services Other</t>
  </si>
  <si>
    <t>485073020</t>
  </si>
  <si>
    <t>Voice - Fixed</t>
  </si>
  <si>
    <t>Communication</t>
  </si>
  <si>
    <t>485073030</t>
  </si>
  <si>
    <t>SAP Operations</t>
  </si>
  <si>
    <t>Operations</t>
  </si>
  <si>
    <t>485073031</t>
  </si>
  <si>
    <t>Storage</t>
  </si>
  <si>
    <t>485073032</t>
  </si>
  <si>
    <t>Servers</t>
  </si>
  <si>
    <t>485073033</t>
  </si>
  <si>
    <t>Other Oper. Infra</t>
  </si>
  <si>
    <t>485073034</t>
  </si>
  <si>
    <t>IT-Security</t>
  </si>
  <si>
    <t>Security</t>
  </si>
  <si>
    <t>485074001</t>
  </si>
  <si>
    <t>Application Support</t>
  </si>
  <si>
    <t>485074002</t>
  </si>
  <si>
    <t>HP Application Support</t>
  </si>
  <si>
    <t>485040000</t>
  </si>
  <si>
    <t>Other costs hardware and software</t>
  </si>
  <si>
    <t>483040000</t>
  </si>
  <si>
    <t>Consultancies &amp; fees other</t>
  </si>
  <si>
    <t>485074003</t>
  </si>
  <si>
    <t>Other Sup Appl Sup</t>
  </si>
  <si>
    <t>485074004</t>
  </si>
  <si>
    <t>Software li SAP appl</t>
  </si>
  <si>
    <t>485074005</t>
  </si>
  <si>
    <t>Software li oth appl</t>
  </si>
  <si>
    <t>General remarks</t>
  </si>
  <si>
    <t>Network Services BT</t>
  </si>
  <si>
    <t>Accenture Appl. supp</t>
  </si>
  <si>
    <t/>
  </si>
  <si>
    <t>Software licence costs Microsoft (Infra)</t>
  </si>
  <si>
    <t>Microsoft B.V.</t>
  </si>
  <si>
    <t>Network Services</t>
  </si>
  <si>
    <t>Orange Business Netherlands B.V.</t>
  </si>
  <si>
    <t>ReleaseTMS B.V.</t>
  </si>
  <si>
    <t>IBM Nederland B.V.</t>
  </si>
  <si>
    <t>Other Operational Infrastructure</t>
  </si>
  <si>
    <t>Insight Enterprise Netherlands B.V.</t>
  </si>
  <si>
    <t>Sans Institute</t>
  </si>
  <si>
    <t>Mandiant Ireland Limited</t>
  </si>
  <si>
    <t>Application support</t>
  </si>
  <si>
    <t>Plat4mation B.V.</t>
  </si>
  <si>
    <t>Just BI B.V.</t>
  </si>
  <si>
    <t>Open Text Coöperatief U.A.</t>
  </si>
  <si>
    <t>Van Sambeek Org Adviesbureau B.V.</t>
  </si>
  <si>
    <t>Ctac B.V.</t>
  </si>
  <si>
    <t>SyncForce B.V.</t>
  </si>
  <si>
    <t>AVEVA Software Netherlands B.V.</t>
  </si>
  <si>
    <t>Internet Advantage Nederland B.V.</t>
  </si>
  <si>
    <t>Allium Uk Holdings Ltd.</t>
  </si>
  <si>
    <t>Eulabs B.V.</t>
  </si>
  <si>
    <t>Commodity Supplies AG</t>
  </si>
  <si>
    <t>Procyon Networks B.V.</t>
  </si>
  <si>
    <t>Refinitiv Limited</t>
  </si>
  <si>
    <t>insightsoftware, LLC</t>
  </si>
  <si>
    <t>Tallon Graphic Solutions NV</t>
  </si>
  <si>
    <t>Point. X, spol. s r.o.</t>
  </si>
  <si>
    <t>Wall Street Systems UK Limited</t>
  </si>
  <si>
    <t>Engagor NV</t>
  </si>
  <si>
    <t>Qualtrics LLC</t>
  </si>
  <si>
    <t>Innovapeak Ltd</t>
  </si>
  <si>
    <t>Boost AI AS</t>
  </si>
  <si>
    <t>Garvis B.V.</t>
  </si>
  <si>
    <t>Convercent, Inc.</t>
  </si>
  <si>
    <t>Vonage Business Limited</t>
  </si>
  <si>
    <t>Rojo Innovation B.V.</t>
  </si>
  <si>
    <t>Icron Technologies Europe B.V.</t>
  </si>
  <si>
    <t>Servana Managed Services Ltd</t>
  </si>
  <si>
    <t>Mural Tactivos</t>
  </si>
  <si>
    <t>Visier Solutions Inc.</t>
  </si>
  <si>
    <t>Softwareone Netherlands B.V.</t>
  </si>
  <si>
    <t>Subject</t>
  </si>
  <si>
    <t>Change Driver</t>
  </si>
  <si>
    <t>Project code</t>
  </si>
  <si>
    <t>Cost Center</t>
  </si>
  <si>
    <t>Additional Costs</t>
  </si>
  <si>
    <t>Status</t>
  </si>
  <si>
    <t>Periodicity</t>
  </si>
  <si>
    <t>Type</t>
  </si>
  <si>
    <t>AOP Year</t>
  </si>
  <si>
    <t>Contact</t>
  </si>
  <si>
    <t>Remarks</t>
  </si>
  <si>
    <t>Winshuttle</t>
  </si>
  <si>
    <t>Ezy Replacement</t>
  </si>
  <si>
    <t>Processed</t>
  </si>
  <si>
    <t>Annual</t>
  </si>
  <si>
    <t>Maintenance</t>
  </si>
  <si>
    <t>Robin Diepeveen</t>
  </si>
  <si>
    <t>20% on net license base (58K), after 3 years base will become gross</t>
  </si>
  <si>
    <t>Runbook</t>
  </si>
  <si>
    <t>17% on software base (190K)</t>
  </si>
  <si>
    <t>VIM</t>
  </si>
  <si>
    <t>Upgrade VIM</t>
  </si>
  <si>
    <t>Hardware/NW</t>
  </si>
  <si>
    <t>Ognyan Romanov</t>
  </si>
  <si>
    <t>Additional Hardware Cost</t>
  </si>
  <si>
    <t>Simba</t>
  </si>
  <si>
    <t>Connector SDS / SF</t>
  </si>
  <si>
    <t>Kauri</t>
  </si>
  <si>
    <t>license</t>
  </si>
  <si>
    <t>Stefan Beekman</t>
  </si>
  <si>
    <t>1 connector is 2000$ subscription per environment</t>
  </si>
  <si>
    <t>Zylab</t>
  </si>
  <si>
    <t>Transition to support</t>
  </si>
  <si>
    <t>Support</t>
  </si>
  <si>
    <t>Wilco Westerman</t>
  </si>
  <si>
    <t>Engagor</t>
  </si>
  <si>
    <t>Ezy Solutions EoL</t>
  </si>
  <si>
    <t>Ezy End of Life, no more license cost expected</t>
  </si>
  <si>
    <t>SharePoint</t>
  </si>
  <si>
    <t>Outsourcing of Intranet Team</t>
  </si>
  <si>
    <t>SDS Support, rebaselining</t>
  </si>
  <si>
    <t>Wave 2 go live</t>
  </si>
  <si>
    <t>Delta CCN5 vs CCN6</t>
  </si>
  <si>
    <t>J2Global Efax Tool</t>
  </si>
  <si>
    <t>Dropped in 2017</t>
  </si>
  <si>
    <t>Theo van Vliet</t>
  </si>
  <si>
    <t>Was taken out of global budget but did not land locally</t>
  </si>
  <si>
    <t>3 new BAS resources</t>
  </si>
  <si>
    <t>Bas extension</t>
  </si>
  <si>
    <t>3 new BAS resources added</t>
  </si>
  <si>
    <t>AMS Bonus</t>
  </si>
  <si>
    <t>Contractual Agreement</t>
  </si>
  <si>
    <t>Needs to be accrued annually in case AMS Gets a bonus</t>
  </si>
  <si>
    <t>Keops Waterfall</t>
  </si>
  <si>
    <t>Roll out to other factories</t>
  </si>
  <si>
    <t>Joost Speek</t>
  </si>
  <si>
    <t>Additional Countries being added in 2017</t>
  </si>
  <si>
    <t>Blackline</t>
  </si>
  <si>
    <t>W3 Rollout Brazil &amp; Norway</t>
  </si>
  <si>
    <t>Sharon Dijksma</t>
  </si>
  <si>
    <t>from 150K to 160K</t>
  </si>
  <si>
    <t>Packflow</t>
  </si>
  <si>
    <t>New module implemented</t>
  </si>
  <si>
    <t>Ravi Venkatamaran</t>
  </si>
  <si>
    <t>Seems there is an overestimation of 70K in AOP compared to ongoing cost</t>
  </si>
  <si>
    <t>QlikView</t>
  </si>
  <si>
    <t>Project 1 added scope</t>
  </si>
  <si>
    <t>Xavier Marrisal</t>
  </si>
  <si>
    <t>Higher cost due to additional licenses acquired through project 1</t>
  </si>
  <si>
    <t>SAP licenses Purchase</t>
  </si>
  <si>
    <t xml:space="preserve">licenses Appendix 16 </t>
  </si>
  <si>
    <t>Rohan Uppal</t>
  </si>
  <si>
    <t>Based on 1.3Mio license purchase Kauri</t>
  </si>
  <si>
    <t>Lease Accounting</t>
  </si>
  <si>
    <t>LAE extension</t>
  </si>
  <si>
    <t>Antonio Branco</t>
  </si>
  <si>
    <t>Machine renewal (175K), Maintenance (195K), SAP development (55K), AMS Support (70K)</t>
  </si>
  <si>
    <t>Excise Duty</t>
  </si>
  <si>
    <t>Support Contract</t>
  </si>
  <si>
    <t>James Cronk</t>
  </si>
  <si>
    <t>Salesforce</t>
  </si>
  <si>
    <t>licenses</t>
  </si>
  <si>
    <t>Subscription as of November 2018</t>
  </si>
  <si>
    <t>Apttus</t>
  </si>
  <si>
    <t>Click</t>
  </si>
  <si>
    <t>XTEL Support</t>
  </si>
  <si>
    <t>Hugo v/d Heijden</t>
  </si>
  <si>
    <t>L2/L3 Support coverage</t>
  </si>
  <si>
    <t>XTEL Maintenance</t>
  </si>
  <si>
    <t>Maintenance fee XTEL</t>
  </si>
  <si>
    <t xml:space="preserve">Total license base = 980K * 18% </t>
  </si>
  <si>
    <t>SharePoint Support</t>
  </si>
  <si>
    <t>SharePoint Support Outsourcing</t>
  </si>
  <si>
    <t>Remco Gerrets</t>
  </si>
  <si>
    <t>fxtel</t>
  </si>
  <si>
    <t>Increase in licenses</t>
  </si>
  <si>
    <t>license + Maintenance</t>
  </si>
  <si>
    <t>Marco Groenewegen</t>
  </si>
  <si>
    <t>140 users * 925 + 18% maintenance fee is 200K vs 170K 2017</t>
  </si>
  <si>
    <t>SF Marketing Cloud</t>
  </si>
  <si>
    <t>Services</t>
  </si>
  <si>
    <t>Subscription</t>
  </si>
  <si>
    <t>DTC Project recurring cost</t>
  </si>
  <si>
    <t>SF licenses Coffeecare</t>
  </si>
  <si>
    <t>License</t>
  </si>
  <si>
    <t>80 SF licenses for Coffeecare</t>
  </si>
  <si>
    <t>Sopheon</t>
  </si>
  <si>
    <t>Additional licenses</t>
  </si>
  <si>
    <t>RFGen Mobile Scanning</t>
  </si>
  <si>
    <t>Consumption</t>
  </si>
  <si>
    <t>3 man-days per month for covering changes to RFGen</t>
  </si>
  <si>
    <t>iRely</t>
  </si>
  <si>
    <t>Sheryl dmello</t>
  </si>
  <si>
    <t>(522900 = implementation + licenses = 60 * 5444 euro + 15 * 3444 ) * 22% (first year)</t>
  </si>
  <si>
    <t>Hardware</t>
  </si>
  <si>
    <t>Infra</t>
  </si>
  <si>
    <t>SQL DB = 5300, 2 SQL Server CPS = 2300, I21 landscape (D,T,P) = 6000</t>
  </si>
  <si>
    <t>PLM Oracle licenses</t>
  </si>
  <si>
    <t>Covers for additional acquisition of 150 licenses which were missed in AOP 2017</t>
  </si>
  <si>
    <t>Tas Support to PDC</t>
  </si>
  <si>
    <t>Support transition</t>
  </si>
  <si>
    <t>Positive Delta from moving support from Barcelona (100K) to PDC (60K)</t>
  </si>
  <si>
    <t>Authorization Support to PDC</t>
  </si>
  <si>
    <t>Support outsourcing</t>
  </si>
  <si>
    <t>Increase in costs for managing additional Authorization requests</t>
  </si>
  <si>
    <t>EyeQuestion</t>
  </si>
  <si>
    <t>license Cost</t>
  </si>
  <si>
    <t>Stefan Jochems</t>
  </si>
  <si>
    <t>This was missed during AOP 2017 as it was still part of Sequoia</t>
  </si>
  <si>
    <t>Webservices.nl</t>
  </si>
  <si>
    <t>Sjors van Rijswijk</t>
  </si>
  <si>
    <t>replacing Trillium resulting in 30K savings</t>
  </si>
  <si>
    <t>Generix (influ)</t>
  </si>
  <si>
    <t>Running costs</t>
  </si>
  <si>
    <t>Xavier Marisal</t>
  </si>
  <si>
    <t>Additional running costs moving from local to central</t>
  </si>
  <si>
    <t>Service Now</t>
  </si>
  <si>
    <t>License Cost</t>
  </si>
  <si>
    <t>Michal Tepczynski</t>
  </si>
  <si>
    <t>Additional Service Now Licenses due to EUC project</t>
  </si>
  <si>
    <t>Vatbox</t>
  </si>
  <si>
    <t>Change of Contract Sovos</t>
  </si>
  <si>
    <t>Irene Duward</t>
  </si>
  <si>
    <t xml:space="preserve">Change of contract with Sovos where IT component is separately charged </t>
  </si>
  <si>
    <t>Software Asset Mgt (SNOW)</t>
  </si>
  <si>
    <t>Managed Service + Maint.</t>
  </si>
  <si>
    <t>Adriana Rubio</t>
  </si>
  <si>
    <t>Hardware / hosting</t>
  </si>
  <si>
    <t>Hosting</t>
  </si>
  <si>
    <t>Knowledge Mgt Associates</t>
  </si>
  <si>
    <t>Mekko Graphics</t>
  </si>
  <si>
    <t>3 Years</t>
  </si>
  <si>
    <t>Jaap Schouten</t>
  </si>
  <si>
    <t># extension due in 2018, was formerly in local budget</t>
  </si>
  <si>
    <t>Decartes</t>
  </si>
  <si>
    <t>EDI Messages, VAN</t>
  </si>
  <si>
    <t>Will move to local NL AOP</t>
  </si>
  <si>
    <t>Hana Cloud Platform</t>
  </si>
  <si>
    <t>C4C hosting</t>
  </si>
  <si>
    <t>Mylene Schuyt</t>
  </si>
  <si>
    <t>Surprise leftover from Sequoia</t>
  </si>
  <si>
    <t>GEMS</t>
  </si>
  <si>
    <t>Annual License</t>
  </si>
  <si>
    <t>Toni Tuells</t>
  </si>
  <si>
    <t>GEMS will be decommissioned, Effacts will be introduced</t>
  </si>
  <si>
    <t>Effacts</t>
  </si>
  <si>
    <t>Replacement of GEMS</t>
  </si>
  <si>
    <t>Editel Austria</t>
  </si>
  <si>
    <t>Takeout of 2017 AOP but still costs are central</t>
  </si>
  <si>
    <t>IQN</t>
  </si>
  <si>
    <t>Contingent Labor</t>
  </si>
  <si>
    <t>Contingent Labor project never came of the ground</t>
  </si>
  <si>
    <t>Prepaid locally in 2014, now coming to global</t>
  </si>
  <si>
    <t>Giarte</t>
  </si>
  <si>
    <t>Managed Service + Platform</t>
  </si>
  <si>
    <t>Bas Schroder</t>
  </si>
  <si>
    <t>9 initial + 50K coming from roll out</t>
  </si>
  <si>
    <t>Atos</t>
  </si>
  <si>
    <t>SAP SSR &amp; NSSR</t>
  </si>
  <si>
    <t>Nizaar Thierens</t>
  </si>
  <si>
    <t>New wintel machines supporting SAP solutions BO, GRC</t>
  </si>
  <si>
    <t>GITHub</t>
  </si>
  <si>
    <t>Basis support SF</t>
  </si>
  <si>
    <t>Copado</t>
  </si>
  <si>
    <t>Jira</t>
  </si>
  <si>
    <t>Ariba</t>
  </si>
  <si>
    <t>Metalogics</t>
  </si>
  <si>
    <t>Discontinued per dec 2016</t>
  </si>
  <si>
    <t>Macaw</t>
  </si>
  <si>
    <t>360 support</t>
  </si>
  <si>
    <t>Ivan Hrdina</t>
  </si>
  <si>
    <t>Moved to AMS</t>
  </si>
  <si>
    <t>Point X</t>
  </si>
  <si>
    <t>Annual maintenance</t>
  </si>
  <si>
    <t>Moved from local to central (again)</t>
  </si>
  <si>
    <t>Sonar Qube VM</t>
  </si>
  <si>
    <t>VM Costs</t>
  </si>
  <si>
    <t>Sanne Reus</t>
  </si>
  <si>
    <t>VM supporting Sonar Qube</t>
  </si>
  <si>
    <t>AutoCAD</t>
  </si>
  <si>
    <t>Additional Design Suite licenses</t>
  </si>
  <si>
    <t>Intershop</t>
  </si>
  <si>
    <t>Cancelled</t>
  </si>
  <si>
    <t>Peter Vogel</t>
  </si>
  <si>
    <t>Moved from Global Sales to Central AOP as these are (significant) IT Cost</t>
  </si>
  <si>
    <t>Bazaar Voice</t>
  </si>
  <si>
    <t>ChannelSight</t>
  </si>
  <si>
    <t>Adobe</t>
  </si>
  <si>
    <t>Pro licenses</t>
  </si>
  <si>
    <t>Jeroen Wijbenga</t>
  </si>
  <si>
    <t>C4C Roll out</t>
  </si>
  <si>
    <t>Martin Doens</t>
  </si>
  <si>
    <t>EPI finds</t>
  </si>
  <si>
    <t>licenses for NL, BE and DK</t>
  </si>
  <si>
    <t>Extended scope Ukrain Hub</t>
  </si>
  <si>
    <t>Jeroen Aalten</t>
  </si>
  <si>
    <t>Poll Everywhere</t>
  </si>
  <si>
    <t>Kalypso</t>
  </si>
  <si>
    <t>Additional Tickets</t>
  </si>
  <si>
    <t>More Ticket Volume used</t>
  </si>
  <si>
    <t>Storage Costs</t>
  </si>
  <si>
    <t>DTC</t>
  </si>
  <si>
    <t>Review again after Consumer DB migration project!</t>
  </si>
  <si>
    <t>Nintex</t>
  </si>
  <si>
    <t>Missed Costs Y3</t>
  </si>
  <si>
    <t>Data Grinder App</t>
  </si>
  <si>
    <t>Support costs Just BI</t>
  </si>
  <si>
    <t>Agnieszka Kubiak</t>
  </si>
  <si>
    <t>Just BI support for board room app Exco</t>
  </si>
  <si>
    <t>Sap cloud Subscription</t>
  </si>
  <si>
    <t>Annual fee</t>
  </si>
  <si>
    <t>Analytics Hub</t>
  </si>
  <si>
    <t>Sap Audit find / appendix 17</t>
  </si>
  <si>
    <t>Maintenance fee 22%</t>
  </si>
  <si>
    <t>22% on 732K audit find SAP 2017</t>
  </si>
  <si>
    <t>SAFT</t>
  </si>
  <si>
    <t>Maintenance fee</t>
  </si>
  <si>
    <t>Paulo Martins</t>
  </si>
  <si>
    <t>Navigator</t>
  </si>
  <si>
    <t>AOP was in euro but actual amounts are in GBP….</t>
  </si>
  <si>
    <t>iPaaS DellBoomi</t>
  </si>
  <si>
    <t>license fee</t>
  </si>
  <si>
    <t>Kumar Gaurav</t>
  </si>
  <si>
    <t>Y2 - €143K, Y3 - €202K &amp; Y4 – 261K</t>
  </si>
  <si>
    <t>Eenvoud Media</t>
  </si>
  <si>
    <t>Supply Chain Apps Hosting fee</t>
  </si>
  <si>
    <t>20 Certificates, 20 jira / confluence. 70vps, 160 software, 225 SLA</t>
  </si>
  <si>
    <t>RFGen extension banburry</t>
  </si>
  <si>
    <t xml:space="preserve">Additional scanners </t>
  </si>
  <si>
    <t>New Scanners</t>
  </si>
  <si>
    <t>Website Legal compliance</t>
  </si>
  <si>
    <t>Additional Websites AMS</t>
  </si>
  <si>
    <t>Accenture AMS</t>
  </si>
  <si>
    <t>8 additional websites being migrated to AMS</t>
  </si>
  <si>
    <t>Lease Accounting Usage</t>
  </si>
  <si>
    <t>Usage fee for registered assets</t>
  </si>
  <si>
    <t>1,98 per asset per year * 112000 Machines (NL,BE,DE,FR,DK) Delta = 225 - 52(AOP 2018)</t>
  </si>
  <si>
    <t>Willem Dijkhuizen</t>
  </si>
  <si>
    <t>Covering for additional scope on blackline (200K vs 160K in 2018)</t>
  </si>
  <si>
    <t>Support Contract IPaaS</t>
  </si>
  <si>
    <t>AMS Support (incidents, changes)</t>
  </si>
  <si>
    <t>Gaurav Kumar</t>
  </si>
  <si>
    <t>AMS support Full 1 FTE (40K)+ BAS(125K) + once off T2S cost (35K), to be validated</t>
  </si>
  <si>
    <t>Support Contract XTEL</t>
  </si>
  <si>
    <t>Based on 230 days X 950 euro per day for Kantar AMS, to be validated</t>
  </si>
  <si>
    <t>Maintenance Xtel</t>
  </si>
  <si>
    <t>Correction Licenses</t>
  </si>
  <si>
    <t>Correction on Maintenance base Xtel, splitting maintenance in Support</t>
  </si>
  <si>
    <t>BAS XTEL</t>
  </si>
  <si>
    <t>Dedicated BAS person assuming Accenture rate of 125K annual Cost</t>
  </si>
  <si>
    <t>Infra XTEL</t>
  </si>
  <si>
    <t>Increase capacity</t>
  </si>
  <si>
    <t>Farhan Malik</t>
  </si>
  <si>
    <t>Included in Atos infra costs</t>
  </si>
  <si>
    <t>CIS SecureSuite</t>
  </si>
  <si>
    <t>Membership fee</t>
  </si>
  <si>
    <t>Regien Schagen</t>
  </si>
  <si>
    <t>Visual Analytics</t>
  </si>
  <si>
    <t>BI for Caloc</t>
  </si>
  <si>
    <t>Barbara Kiendl</t>
  </si>
  <si>
    <t xml:space="preserve">Lumira </t>
  </si>
  <si>
    <t>Maintenance on additional licenses</t>
  </si>
  <si>
    <t>22% on 55 additional licenses</t>
  </si>
  <si>
    <t>Eplan</t>
  </si>
  <si>
    <t>Annual Fee</t>
  </si>
  <si>
    <t>Belongs to AutoCAD which is central IT already</t>
  </si>
  <si>
    <t>Restricted Party Screening</t>
  </si>
  <si>
    <t>Inflation correction</t>
  </si>
  <si>
    <t>Blue Prism</t>
  </si>
  <si>
    <t>Running costs for 2 Blue Prism licenses</t>
  </si>
  <si>
    <t>Magento</t>
  </si>
  <si>
    <t>Vaimo hosting, Magento Order Management and Mageneto e-com licenses</t>
  </si>
  <si>
    <t>SAP Active Embedded</t>
  </si>
  <si>
    <t>Seems AOP for Active embedded was too low (140 while it is 197)</t>
  </si>
  <si>
    <t>Uptrends</t>
  </si>
  <si>
    <t>Wesley Geurts</t>
  </si>
  <si>
    <t>Seems invoices are a bit higher than budgeted</t>
  </si>
  <si>
    <t>Winshuttle Support</t>
  </si>
  <si>
    <t xml:space="preserve">Support / Strippenkaart </t>
  </si>
  <si>
    <t>This is to cover for the occasional support needed from Ctac 30 hrs * 130 euro</t>
  </si>
  <si>
    <t>Opentext</t>
  </si>
  <si>
    <t>We only have license cost covered however we receive seperate invoice for maintenance..</t>
  </si>
  <si>
    <t>Infor</t>
  </si>
  <si>
    <t>S21 decommissioning</t>
  </si>
  <si>
    <t>We will not be able to decommision fully in 2019 so keeping the cost in</t>
  </si>
  <si>
    <t>Taleo</t>
  </si>
  <si>
    <t>License &amp; support decommissioning</t>
  </si>
  <si>
    <t>Rene Borst</t>
  </si>
  <si>
    <t>Replaced by Smart Recruiters</t>
  </si>
  <si>
    <t>Smartrecruiters</t>
  </si>
  <si>
    <t>Annual Service Fee + support</t>
  </si>
  <si>
    <t>Toni Peric</t>
  </si>
  <si>
    <t>Replacing Taleo, check if this budget goes to business</t>
  </si>
  <si>
    <t>Board Vantage</t>
  </si>
  <si>
    <t>Budget Move</t>
  </si>
  <si>
    <t>Umit Unver</t>
  </si>
  <si>
    <t>Budget is with Exco Assistant</t>
  </si>
  <si>
    <t>XL Reporting</t>
  </si>
  <si>
    <t>Cancellation</t>
  </si>
  <si>
    <t>We did not see an invoice for last 3 years, probably local or no longer in use</t>
  </si>
  <si>
    <t>Iot Application &amp; Landscape support</t>
  </si>
  <si>
    <t>Connected coffee machine support</t>
  </si>
  <si>
    <t>150K reserved for IOT support, hosting costs covered in new MS contract - project will support in '19</t>
  </si>
  <si>
    <t>Bynder</t>
  </si>
  <si>
    <t>Decommisioned in favor of Pulse</t>
  </si>
  <si>
    <t>Bynder contract will be stopped in october 2018, Pulse will be used instead</t>
  </si>
  <si>
    <t>Additional Support Digital AMS</t>
  </si>
  <si>
    <t>1 Additonal resource Digital Team</t>
  </si>
  <si>
    <t xml:space="preserve">Due to increase in e-commerce activites + additonal websites under management </t>
  </si>
  <si>
    <t>Oracle Database licenses</t>
  </si>
  <si>
    <t>Cancellation service contracts</t>
  </si>
  <si>
    <t>Cancellation service contracts 5510557 (290K) and 6716064 (157K), Take out Oracle Saving</t>
  </si>
  <si>
    <t>PointX :    24 X 7 Support</t>
  </si>
  <si>
    <t>Murat Celic</t>
  </si>
  <si>
    <t>Improving support on point x which is getting larger footprint and is becoming more critical</t>
  </si>
  <si>
    <t>Licenses</t>
  </si>
  <si>
    <t>Second attempt to move all Point X cost to central</t>
  </si>
  <si>
    <t>SAP</t>
  </si>
  <si>
    <t>Maintenance Fee SAP AIF, LAE Build</t>
  </si>
  <si>
    <t>22% over Custombuild effort LAE / AIF (511K) = 112K vs 50K in 2018</t>
  </si>
  <si>
    <t>Data Protector Microfocus</t>
  </si>
  <si>
    <t>Annual maintenance fee</t>
  </si>
  <si>
    <t>Maintenance fee over software base (106K)</t>
  </si>
  <si>
    <t>Licenses Delta 2019</t>
  </si>
  <si>
    <t>Delta: 1528K - 132,5K (AOP 2018)</t>
  </si>
  <si>
    <t>Henk vd Gugten</t>
  </si>
  <si>
    <t>Delta: 1152K-210K (AOP 2018)</t>
  </si>
  <si>
    <t>Delta: 375K - 62,5K (AOP 2018)</t>
  </si>
  <si>
    <t>Apttus AMS</t>
  </si>
  <si>
    <t>Support Contract Apttuss</t>
  </si>
  <si>
    <t>Remainder AMS Apttus --&gt; Will be cancelled</t>
  </si>
  <si>
    <t>Professional Devops</t>
  </si>
  <si>
    <t>Application support &amp; development</t>
  </si>
  <si>
    <t>ITMT</t>
  </si>
  <si>
    <t>Devops Salesforce &amp; Apttus</t>
  </si>
  <si>
    <t>Click Support</t>
  </si>
  <si>
    <t>Full Year AMS 24X7 Support for Click from Lisbon + Transition Cost</t>
  </si>
  <si>
    <t>DTC AMS Support</t>
  </si>
  <si>
    <t>24 X 7 support, Blokker Extension</t>
  </si>
  <si>
    <t>Ton Hofstede</t>
  </si>
  <si>
    <t>Additional Manpower</t>
  </si>
  <si>
    <t>ATOS</t>
  </si>
  <si>
    <t>Ton Hostede will be chargeble from 2018 / 2019</t>
  </si>
  <si>
    <t>Seeburger</t>
  </si>
  <si>
    <t>Additional edi messaging volume due to scope increases</t>
  </si>
  <si>
    <t>RFC Budget</t>
  </si>
  <si>
    <t>Additional scope due to kauri release retain &amp; proffesional</t>
  </si>
  <si>
    <t>Net AMS Contract Delta 2019</t>
  </si>
  <si>
    <t>Monitoring:-83K, Enh: +25K, Incidents:+65K, BAS:+15K</t>
  </si>
  <si>
    <t xml:space="preserve">Usage increase </t>
  </si>
  <si>
    <t>Additional licenses for Service now due to Epsylon and extended use</t>
  </si>
  <si>
    <t>HP ALM</t>
  </si>
  <si>
    <t>Full ownership Operations</t>
  </si>
  <si>
    <t>Assumption: 180 Euro Per user Per month; 100 concurrent users (vs 175 today)</t>
  </si>
  <si>
    <t>Storage Non-SAP + Store Simple</t>
  </si>
  <si>
    <t>Data growth</t>
  </si>
  <si>
    <t>Expected increase in Storage Cost ATOS</t>
  </si>
  <si>
    <t>Sap Operations</t>
  </si>
  <si>
    <t>Atos Running cost delta SAP DS</t>
  </si>
  <si>
    <t>Fiori: +32K CRM Decom: -56K Storage:+90K : Solman Java Split, Extra SiD:+30K. 4-Tier:120K</t>
  </si>
  <si>
    <t>Additional Licenses</t>
  </si>
  <si>
    <t>Inge Groen</t>
  </si>
  <si>
    <t>Overrun on 300 licenses, moving to 400 licenses</t>
  </si>
  <si>
    <t>S4 HANA Readiness</t>
  </si>
  <si>
    <t>Follow up actions</t>
  </si>
  <si>
    <t>Archiving, code clean up, code optimization</t>
  </si>
  <si>
    <t>S4 HANA Dryruns</t>
  </si>
  <si>
    <t>Hosting and effort</t>
  </si>
  <si>
    <t>Sandbox setup, hosting and migration trials</t>
  </si>
  <si>
    <t>S4 HANA Value</t>
  </si>
  <si>
    <t>Value Engenering</t>
  </si>
  <si>
    <t>Other</t>
  </si>
  <si>
    <t>Business case, future TCO, contract review</t>
  </si>
  <si>
    <t>Awareness standard e-training subscription</t>
  </si>
  <si>
    <t>Awareness Ambasador Program</t>
  </si>
  <si>
    <t>Full time hire for a year</t>
  </si>
  <si>
    <t>GRC Access Control KPMG</t>
  </si>
  <si>
    <t>KPMG</t>
  </si>
  <si>
    <t xml:space="preserve">Small saving </t>
  </si>
  <si>
    <t>Pentest SAP</t>
  </si>
  <si>
    <t>Split Pen Testing in SAP / Salesforce</t>
  </si>
  <si>
    <t>Symantec</t>
  </si>
  <si>
    <t>Original Amount covered 3 years in stead of 1 year</t>
  </si>
  <si>
    <t>Firewalls Runrate</t>
  </si>
  <si>
    <t>Firewalls Runrate BT</t>
  </si>
  <si>
    <t>Factory IT firewalls, part of BT contract. Cancelled as it is in factory RFP</t>
  </si>
  <si>
    <t>3rd Party Remote Access</t>
  </si>
  <si>
    <t>Cancelled as it was double with Ivan</t>
  </si>
  <si>
    <t>Factory Assessment gaps Follow up</t>
  </si>
  <si>
    <t>PM cost for one year, is this in Business AOP?</t>
  </si>
  <si>
    <t>Cylance Endpoint Protection</t>
  </si>
  <si>
    <t>Cylance + Accenture EUS</t>
  </si>
  <si>
    <t>Service Desk Onboarding</t>
  </si>
  <si>
    <t>Costs for onboarding applications / vendors</t>
  </si>
  <si>
    <t>Onboarding costs Kauri and critical Applications with IT Service Desk</t>
  </si>
  <si>
    <t xml:space="preserve">ClearDB </t>
  </si>
  <si>
    <t>Charging now separate from Azure</t>
  </si>
  <si>
    <t>assuming 3K monthly invoice. Cancelled Asuming we get rid of clearDB in 2019</t>
  </si>
  <si>
    <t>Cryptshare</t>
  </si>
  <si>
    <t>Potential Decommisioning</t>
  </si>
  <si>
    <t>26,3K licenses +0,6K support: Cancelled as cost are not in AOP 2018 so no delta</t>
  </si>
  <si>
    <t>Apptio</t>
  </si>
  <si>
    <t>Annual Runrate</t>
  </si>
  <si>
    <t>Ines Rodrigues</t>
  </si>
  <si>
    <t>New tool for ITFM</t>
  </si>
  <si>
    <t>Maintenance Visual Doc / Flow</t>
  </si>
  <si>
    <t>Has been decommisioned</t>
  </si>
  <si>
    <t>Decommisioned in Hungary and now Uk due to Salesforce implementation</t>
  </si>
  <si>
    <t>Keops Ukraine</t>
  </si>
  <si>
    <t>Budgetted locally</t>
  </si>
  <si>
    <t>Apple</t>
  </si>
  <si>
    <t>150 euro anually with no vendor</t>
  </si>
  <si>
    <t>There is no vendor and no invoice, taking this out from central AOP</t>
  </si>
  <si>
    <t>Saving due to 3 year contract</t>
  </si>
  <si>
    <t>we paid 48K for 3 years, this is 16K per year instead of 26K budgetted</t>
  </si>
  <si>
    <t>Potential increase dus to added products</t>
  </si>
  <si>
    <t>Moving photoshop etc to central budget</t>
  </si>
  <si>
    <t>EY VAT Tool</t>
  </si>
  <si>
    <t>Taking it out of operations AOP</t>
  </si>
  <si>
    <t>No business owner, no vendor, no cost since 2014. We take this out from AOP</t>
  </si>
  <si>
    <t>Predictive Analysis</t>
  </si>
  <si>
    <t>Additional component for native HANA</t>
  </si>
  <si>
    <t>Patrick Vet</t>
  </si>
  <si>
    <t xml:space="preserve">New licenses for SAP Predictive </t>
  </si>
  <si>
    <t>Business Objects</t>
  </si>
  <si>
    <t>Scope increase</t>
  </si>
  <si>
    <t>Addiotnal BO licenses for SDS</t>
  </si>
  <si>
    <t>HANA / BI Stabilization</t>
  </si>
  <si>
    <t>Extra (AMS) resources to stabilize Kauri Template</t>
  </si>
  <si>
    <t>Once Kauri (transactional) template stabilization is done BI will likely need additional manpower</t>
  </si>
  <si>
    <t>SF / Apttus Usage</t>
  </si>
  <si>
    <t>Extra buffer for under estimated volume drivers</t>
  </si>
  <si>
    <t>To account unexpected charges for storage, api calls, messages etc</t>
  </si>
  <si>
    <t>Workplace Support</t>
  </si>
  <si>
    <t>IT support for Workplace</t>
  </si>
  <si>
    <t>Milou Wesdijk</t>
  </si>
  <si>
    <t>MS Contract Renegotiation</t>
  </si>
  <si>
    <t>Check True Up 3 year line 2019</t>
  </si>
  <si>
    <t>Microsoft</t>
  </si>
  <si>
    <t>Moved to True up 1 year, 230K vs 357K</t>
  </si>
  <si>
    <t>Enterprise Support - Appendix 15</t>
  </si>
  <si>
    <t>Correction on AOP figure as it did not match actuals for unknown reason.</t>
  </si>
  <si>
    <t>Inflation yearly contract</t>
  </si>
  <si>
    <t>Inflation correction (160K --&gt; 165K)</t>
  </si>
  <si>
    <t>Sandboxes Salesforce</t>
  </si>
  <si>
    <t>Sanboxes will be aprt of total SF costs</t>
  </si>
  <si>
    <t>Sandboxes were listed seperately in AOP but will be covered in overall SF costs</t>
  </si>
  <si>
    <t>Global Infrastructure Services for Local Application Hosting Projects</t>
  </si>
  <si>
    <t>New item to cover infra costs for ongoing projects ATOS: Cancelled</t>
  </si>
  <si>
    <t>New item to cover infra costs for ongoing projects Accenture</t>
  </si>
  <si>
    <t>Non-Standard Services (AS400 + HPUX)</t>
  </si>
  <si>
    <t>Global Network Services costs for Local Network Projects</t>
  </si>
  <si>
    <t>BT</t>
  </si>
  <si>
    <t>New BT Contract</t>
  </si>
  <si>
    <t>LAN</t>
  </si>
  <si>
    <t>WAN</t>
  </si>
  <si>
    <t>SD-WAN</t>
  </si>
  <si>
    <t>Supergroup, cafax</t>
  </si>
  <si>
    <t>Skype for Business</t>
  </si>
  <si>
    <t>Skype for Business Contact Center (Interactive Intelligence)</t>
  </si>
  <si>
    <t>Skype for Business Contact Center (Interactive Intelligence) SSR's &amp; NSSR's</t>
  </si>
  <si>
    <t>Support cost Skype</t>
  </si>
  <si>
    <t>Hightail Subscription</t>
  </si>
  <si>
    <t>Software licence costs Other</t>
  </si>
  <si>
    <t>Netwrix Subscription</t>
  </si>
  <si>
    <t>O365 Security</t>
  </si>
  <si>
    <t>Microsoft Enterprise Services</t>
  </si>
  <si>
    <t>Enterprises services replaces premier support line going from 105K to 115K</t>
  </si>
  <si>
    <t>Microsoft Azure Server and Cloud Enrollment</t>
  </si>
  <si>
    <t>New contract Microsoft</t>
  </si>
  <si>
    <t>Microsoft Enterprise Agreement Subscription</t>
  </si>
  <si>
    <t>Microsoft Hybrid Server and Cloud Enrollment</t>
  </si>
  <si>
    <t>Microsoft Azure</t>
  </si>
  <si>
    <t>Canceling old Microsoft Items sources through Lage Landen Vendor Lease</t>
  </si>
  <si>
    <t>Microsoft Enterprise Agreement</t>
  </si>
  <si>
    <t>Lage Landen</t>
  </si>
  <si>
    <t>Microsoft Premier Support</t>
  </si>
  <si>
    <t>Selenium</t>
  </si>
  <si>
    <t>Test Automation Software</t>
  </si>
  <si>
    <t>New solution for test automation Salesforce platform</t>
  </si>
  <si>
    <t>Adobe E-Sign</t>
  </si>
  <si>
    <t>License cost Adobe E-Sign</t>
  </si>
  <si>
    <t>Secure Access Servers (Office Network &gt; CCN)</t>
  </si>
  <si>
    <t>Accenture</t>
  </si>
  <si>
    <t>Signed Contracts incl. Security CER</t>
  </si>
  <si>
    <t>Third Party VPN Access</t>
  </si>
  <si>
    <t>EPI Server License cost</t>
  </si>
  <si>
    <t>Licence split epifind</t>
  </si>
  <si>
    <t>Technical split epi server and epi find licenses</t>
  </si>
  <si>
    <t>EPI find licenses 2018 + 2019 impact</t>
  </si>
  <si>
    <t>Additional License</t>
  </si>
  <si>
    <t>30K transfer episerver -14K NL/BE/DK + additional scope 27.280 euro</t>
  </si>
  <si>
    <t>Workplace Licenses</t>
  </si>
  <si>
    <t>Workplace by Facebook</t>
  </si>
  <si>
    <t>Facebook</t>
  </si>
  <si>
    <t>Professional AMS (Service Cloud etc)</t>
  </si>
  <si>
    <t>BI Native HANA Support</t>
  </si>
  <si>
    <t>Route Sales App</t>
  </si>
  <si>
    <t>SAP RAR/LAE/AIF</t>
  </si>
  <si>
    <t>Star LIMS</t>
  </si>
  <si>
    <t>Replacement of Nautilus LIMS</t>
  </si>
  <si>
    <t xml:space="preserve">Sender Domain Management </t>
  </si>
  <si>
    <t>Additional SF module for quality checks on email campaigns</t>
  </si>
  <si>
    <t>Additonal Salses Force and Apttus License Impact</t>
  </si>
  <si>
    <t>Additional licenses needed after kauri counts</t>
  </si>
  <si>
    <t>Crunchr</t>
  </si>
  <si>
    <t>New Analytics tool HR</t>
  </si>
  <si>
    <t>110K Licenses and 40K Support</t>
  </si>
  <si>
    <t>OrgPublisher license cost</t>
  </si>
  <si>
    <t>Decommisioned in favor of Crunchr</t>
  </si>
  <si>
    <t>Decommisioned, licenses cost go through Accenture</t>
  </si>
  <si>
    <t>ImageResizer V4 Elite License</t>
  </si>
  <si>
    <t>Decommisioned since no known contract</t>
  </si>
  <si>
    <t>No business owner, no vendor, no cost since 2 years. We take this out from AOP</t>
  </si>
  <si>
    <t>Salesforce additional runrate</t>
  </si>
  <si>
    <t>Brewer registration project</t>
  </si>
  <si>
    <t>Additional run rate salesforce costs, rolled up in total SF costs 2019</t>
  </si>
  <si>
    <t>Identity &amp; Access mgt tool Savyint</t>
  </si>
  <si>
    <t>New tool implementation for IDM</t>
  </si>
  <si>
    <t>Security - Factories</t>
  </si>
  <si>
    <t>Factory Firewalls</t>
  </si>
  <si>
    <t>Split Factory Firewalls out per request MW for charging direct to MU's</t>
  </si>
  <si>
    <t>S4/Hana + SAP Support</t>
  </si>
  <si>
    <t>AOP discussions</t>
  </si>
  <si>
    <t>Mark Wormgoor</t>
  </si>
  <si>
    <t>Removed S/4 Hana (€270k) - added SAP Lifecycle Management costs (€200k)</t>
  </si>
  <si>
    <t>Reduced to 50 concurrent users - Super Group / Kauri to pay for their own ALM licenses</t>
  </si>
  <si>
    <t>Additional Roll outs</t>
  </si>
  <si>
    <t>Wave 3 impact Engagor rollout</t>
  </si>
  <si>
    <t>Monthly</t>
  </si>
  <si>
    <t>Changed Aure charging to mothly actuals vs. evenly phased contract (contracted amount E 1.934 M)</t>
  </si>
  <si>
    <t>Professional Support</t>
  </si>
  <si>
    <t>WSSS</t>
  </si>
  <si>
    <t>Included charge of €2m WSSS to Professional</t>
  </si>
  <si>
    <t>Video Conferencing</t>
  </si>
  <si>
    <t>Deployment of Kinley video conferencing</t>
  </si>
  <si>
    <t>Robbert van Straaten</t>
  </si>
  <si>
    <t>Further deployment of video conferencing</t>
  </si>
  <si>
    <t>HP Server Lease</t>
  </si>
  <si>
    <t>Reservation 2018 HP</t>
  </si>
  <si>
    <t>Accrual for Server lease removed</t>
  </si>
  <si>
    <t>Professional DevOps - WSSS</t>
  </si>
  <si>
    <t>Supposed to be WSSS</t>
  </si>
  <si>
    <t>Telecoms Expense Management</t>
  </si>
  <si>
    <t>Future opportunity</t>
  </si>
  <si>
    <t>Future opportunity to reduce telecoms cost</t>
  </si>
  <si>
    <t>Cross Browser Testing Tool</t>
  </si>
  <si>
    <t>BrowserStack Solution</t>
  </si>
  <si>
    <t>BrowserStack</t>
  </si>
  <si>
    <t>Acquisition of new tooling to support AMS and Agile office in Cross Browser testing for website changes</t>
  </si>
  <si>
    <t>e-dialog</t>
  </si>
  <si>
    <t>Zeta interactive</t>
  </si>
  <si>
    <t>Bas Vredenburg</t>
  </si>
  <si>
    <t>Contract terminated due to implementation of magento</t>
  </si>
  <si>
    <t>NiceLabel</t>
  </si>
  <si>
    <t>New license Model based on printers</t>
  </si>
  <si>
    <t>New licensing model based on printers for nice label</t>
  </si>
  <si>
    <t>GXS VAN Cost</t>
  </si>
  <si>
    <t>Continued usage increase</t>
  </si>
  <si>
    <t>Continued Increase in VAN cost</t>
  </si>
  <si>
    <t xml:space="preserve">EMT Gearset </t>
  </si>
  <si>
    <t>New solution introduced</t>
  </si>
  <si>
    <t>New solution for frontend deployment consitency checks, 2 X 3 licenses</t>
  </si>
  <si>
    <t>Pointx Enhancements</t>
  </si>
  <si>
    <t>Additional budget for small changes</t>
  </si>
  <si>
    <t>Small budget for small enhancements</t>
  </si>
  <si>
    <t>SAP Preffered care</t>
  </si>
  <si>
    <t>Rate increase Active embedded</t>
  </si>
  <si>
    <t>Increase in SAP support rates</t>
  </si>
  <si>
    <t>Caloc Support</t>
  </si>
  <si>
    <t>Additional Weekly support PW consultancy</t>
  </si>
  <si>
    <t>Increased support for Caloc</t>
  </si>
  <si>
    <t>Moving to a SaaS solution</t>
  </si>
  <si>
    <t>Move Zylab solution to a SaaS</t>
  </si>
  <si>
    <t>40 additional licenses</t>
  </si>
  <si>
    <t>runrate on 40 additional lumira licenses</t>
  </si>
  <si>
    <t>Coffee Care Licenses</t>
  </si>
  <si>
    <t>New Pega 7 implementation</t>
  </si>
  <si>
    <t>Decrease in runrate from 410K to 360K (30K per month)</t>
  </si>
  <si>
    <t>Coffee Care Support</t>
  </si>
  <si>
    <t>Support Costs Pega</t>
  </si>
  <si>
    <t>Delta Accenture AMS (digital) support vs new support contract</t>
  </si>
  <si>
    <t>Salesforce Additional BU</t>
  </si>
  <si>
    <t>New Business Unit Spain Retail</t>
  </si>
  <si>
    <t>Dora Hajnal</t>
  </si>
  <si>
    <t>New Business unit Hormimans / Marcilla</t>
  </si>
  <si>
    <t>BAS Support R&amp;D</t>
  </si>
  <si>
    <t xml:space="preserve">There is no BAS for R&amp;D </t>
  </si>
  <si>
    <t>Internal Role</t>
  </si>
  <si>
    <t>New Business Unit Tiora</t>
  </si>
  <si>
    <t>Additional Business Unit for Tiora</t>
  </si>
  <si>
    <t>OwnBackup</t>
  </si>
  <si>
    <t>Backup / DR solution SalesForce</t>
  </si>
  <si>
    <t>Separte Backup solution for DR &amp; Backup (Sales and Service Cloud only!)</t>
  </si>
  <si>
    <t>SF Event Monitoring</t>
  </si>
  <si>
    <t>SF Module for Security / Application Monitoring</t>
  </si>
  <si>
    <t>Addon SF Mondule for Security and application Monitoring</t>
  </si>
  <si>
    <t>Additional Click users</t>
  </si>
  <si>
    <t>100 additional users 12 months</t>
  </si>
  <si>
    <t>Additional Click users due to scope increase (Q-10689)</t>
  </si>
  <si>
    <t>Salesforce Adapters BI</t>
  </si>
  <si>
    <t>3 Salesforce adapters for SDS</t>
  </si>
  <si>
    <t>Livecom / Consulink</t>
  </si>
  <si>
    <t>Decommisioned due to Pega upgrade</t>
  </si>
  <si>
    <t>EpiServer</t>
  </si>
  <si>
    <t>Cost increase due to additional scope</t>
  </si>
  <si>
    <t>10% increase license cost</t>
  </si>
  <si>
    <t>Octopus Deploy</t>
  </si>
  <si>
    <t>New solution for Website deployments</t>
  </si>
  <si>
    <t>Remco Wijnings</t>
  </si>
  <si>
    <t>New solution for Website Deployments</t>
  </si>
  <si>
    <t xml:space="preserve">Sharegate </t>
  </si>
  <si>
    <t>Increase license count</t>
  </si>
  <si>
    <t>Additional licenses required due to extended AMS activiites</t>
  </si>
  <si>
    <t>Amber Road</t>
  </si>
  <si>
    <t xml:space="preserve">Exceeded subscription </t>
  </si>
  <si>
    <t>Subscription is now for 400K entities, is increased to 500K entities</t>
  </si>
  <si>
    <t>Additional Apps supply chain</t>
  </si>
  <si>
    <t>John Bakker</t>
  </si>
  <si>
    <t>Supply chain mobile apps</t>
  </si>
  <si>
    <t>Just-BI DevOps</t>
  </si>
  <si>
    <t>Support Native HANA, SDS, Apps (Full Amount)</t>
  </si>
  <si>
    <t>Montly Fee = 34700 ; Service Mngt = 1800 ; 24X5 Support = 1800; Upgrades = 1667 = 480000</t>
  </si>
  <si>
    <t>Just-BI AMS</t>
  </si>
  <si>
    <t>Former AMS scope + PowerBi + Altryx</t>
  </si>
  <si>
    <t>Full AMS scope + transitions + 2 onshore resources</t>
  </si>
  <si>
    <t>AMS Support Native HANA</t>
  </si>
  <si>
    <t>Decommisioned , now part of Just BI AMS Support</t>
  </si>
  <si>
    <t>BW Transtion AMS to Just BI</t>
  </si>
  <si>
    <t>Once Off transition from ACN to Just-Bi</t>
  </si>
  <si>
    <t>Once off transition cost for Accenture AMS for taking SAP BW out of AMS scope</t>
  </si>
  <si>
    <t>Additional scope + premier support</t>
  </si>
  <si>
    <t>Seems original amount of 40K was adjusted down which is wrong + adding additional scope</t>
  </si>
  <si>
    <t>ServiceNow</t>
  </si>
  <si>
    <t>Increased scope (Kauri, HR, Master data, AMS)</t>
  </si>
  <si>
    <t>Additonal usage Service Now (based 516 Licenses), Security charges are with Regien</t>
  </si>
  <si>
    <t>Technical correction for more detailed split</t>
  </si>
  <si>
    <t>Correction on 2019 AOP</t>
  </si>
  <si>
    <t>XTEL AMS</t>
  </si>
  <si>
    <t>Kantar Service Desk (Full Amount)</t>
  </si>
  <si>
    <t>XTEL Change Budget</t>
  </si>
  <si>
    <t>Run rate Licenses</t>
  </si>
  <si>
    <t>No run rate increase expected</t>
  </si>
  <si>
    <t xml:space="preserve">BAS Sales </t>
  </si>
  <si>
    <t>There is no BAS for XTEL / C4C</t>
  </si>
  <si>
    <t>No additional Bas needed. Current bas moves to devops and we line up new resource against existing role</t>
  </si>
  <si>
    <t>Accolade</t>
  </si>
  <si>
    <t>Additional runrate</t>
  </si>
  <si>
    <t>maintenance fee for 19 additional licenses</t>
  </si>
  <si>
    <t>Analytics HUB</t>
  </si>
  <si>
    <t>Introduction SAP Analytics Hub</t>
  </si>
  <si>
    <t>SAP Analytics Hub increase usage (2 euro per month per normal user, 20 euro per admin)</t>
  </si>
  <si>
    <t>IT2 Move 2 Cloud</t>
  </si>
  <si>
    <t>Incremental cost moving IT2 to ION</t>
  </si>
  <si>
    <t>IT2</t>
  </si>
  <si>
    <t>Antonio Tuells</t>
  </si>
  <si>
    <t>Move IT2 application from ATOS hosing 2 ION</t>
  </si>
  <si>
    <t>Jira &amp; Confluence</t>
  </si>
  <si>
    <t>Increased usage due to DevOps implementation</t>
  </si>
  <si>
    <t>Increase in licenses to 500 for Jira and 500 for Confluence</t>
  </si>
  <si>
    <t>Ops travel Budget</t>
  </si>
  <si>
    <t>Delivery Center &amp; Vendor visits</t>
  </si>
  <si>
    <t>Taken into WSSS</t>
  </si>
  <si>
    <t>V@Tbox</t>
  </si>
  <si>
    <t>Budget seems to sit with Business</t>
  </si>
  <si>
    <t>Application is confirmed decommisioned by R2R Team</t>
  </si>
  <si>
    <t>HCM Subscription</t>
  </si>
  <si>
    <t>Successfactors Subscription</t>
  </si>
  <si>
    <t>Succesfactors implementation (APP002642)</t>
  </si>
  <si>
    <t>HCM Support</t>
  </si>
  <si>
    <t>Support desk / AMS (Incidents / monitoring)</t>
  </si>
  <si>
    <t>AMS support estimate, to be validated</t>
  </si>
  <si>
    <t>HCM Transition</t>
  </si>
  <si>
    <t>Transition to support costs</t>
  </si>
  <si>
    <t>Once off transition towards AMS</t>
  </si>
  <si>
    <t>Support Model E-Commerce</t>
  </si>
  <si>
    <t xml:space="preserve">Support cost Magento </t>
  </si>
  <si>
    <t>Pending</t>
  </si>
  <si>
    <t>Support cost will become devops hence business funded</t>
  </si>
  <si>
    <t>Deployment Tooling SF / Apttus</t>
  </si>
  <si>
    <t>Increase of cost Gearset</t>
  </si>
  <si>
    <t>Double</t>
  </si>
  <si>
    <t>Oasis Transition</t>
  </si>
  <si>
    <t>Once Off transition to AMS</t>
  </si>
  <si>
    <t>Oasis AMS cost</t>
  </si>
  <si>
    <t>Extended support APAC + AMS scope increase</t>
  </si>
  <si>
    <t>Additional AMS cost and 24 X 7 Scope</t>
  </si>
  <si>
    <t xml:space="preserve">Oasis Swat Team </t>
  </si>
  <si>
    <t>3 Month swat team post hypercare</t>
  </si>
  <si>
    <t>Post hypercare Swat team on the ground to land Oasis properly</t>
  </si>
  <si>
    <t>Test factory</t>
  </si>
  <si>
    <t>Increase scope due to Kauri</t>
  </si>
  <si>
    <t>Splitting SF cost</t>
  </si>
  <si>
    <t>Technical correction to split cost on 5 SF instances</t>
  </si>
  <si>
    <t>System 21 UK / DE</t>
  </si>
  <si>
    <t>Decommisioning System 21</t>
  </si>
  <si>
    <t xml:space="preserve">Fiori </t>
  </si>
  <si>
    <t>Support cost AMS</t>
  </si>
  <si>
    <t>Rolled up in AMS lines</t>
  </si>
  <si>
    <t>Connector4U</t>
  </si>
  <si>
    <t>Increased Run rate Service Now plugin</t>
  </si>
  <si>
    <t>Plugin for Service Now / Jira interfaces</t>
  </si>
  <si>
    <t>Azure Technical support</t>
  </si>
  <si>
    <t>AMS scope increase on Azure</t>
  </si>
  <si>
    <t>Security, sizing, monitoring, upgrades etc</t>
  </si>
  <si>
    <t>Decommisioning in France</t>
  </si>
  <si>
    <t>Xavier Marissal</t>
  </si>
  <si>
    <t>Navigator was decommisioned per April 2019</t>
  </si>
  <si>
    <t>Marketing Cloud Support</t>
  </si>
  <si>
    <t>increase to full fte AMS Marketing / Sales Cloud</t>
  </si>
  <si>
    <t>Full fte in AMS due to increased scope</t>
  </si>
  <si>
    <t>Increased usage (CCM, START)</t>
  </si>
  <si>
    <t>Tas Support</t>
  </si>
  <si>
    <t>Additional SME support TAS</t>
  </si>
  <si>
    <t>Rory Oloughlin</t>
  </si>
  <si>
    <t>Additional support for maintaining TAS which is EOL but has increased scope</t>
  </si>
  <si>
    <t>Increase in number of users KAURi/ OASIS</t>
  </si>
  <si>
    <t>Additonal usage Black line</t>
  </si>
  <si>
    <t>Dellboomi</t>
  </si>
  <si>
    <t xml:space="preserve">Increase subscription </t>
  </si>
  <si>
    <t>Connected Coffee Machine</t>
  </si>
  <si>
    <t>AMS support IOT + transition</t>
  </si>
  <si>
    <t>50K transtion + 2 fte per year 50K per fte</t>
  </si>
  <si>
    <t>EPI Find</t>
  </si>
  <si>
    <t>2 additonal instances</t>
  </si>
  <si>
    <t>Apttio Support TBM</t>
  </si>
  <si>
    <t>Support contract Its value</t>
  </si>
  <si>
    <t>TBM support It's value (6K per month)</t>
  </si>
  <si>
    <t>Retail BI support scope Just BI</t>
  </si>
  <si>
    <t>Additional Retail BI support Just BI</t>
  </si>
  <si>
    <t>D&amp;A</t>
  </si>
  <si>
    <t>Workplace License increase</t>
  </si>
  <si>
    <t>License prices expected to go up</t>
  </si>
  <si>
    <t>Workplace</t>
  </si>
  <si>
    <t>Release management HR solutions</t>
  </si>
  <si>
    <t>DXC release Management Support Cornerstone</t>
  </si>
  <si>
    <t>HR</t>
  </si>
  <si>
    <t>No release mngt coverage, charter cancelled</t>
  </si>
  <si>
    <t>DXC release Management Support Successfactors</t>
  </si>
  <si>
    <t xml:space="preserve">8 additional users, 5 additional streampacks </t>
  </si>
  <si>
    <t>Google Analytics</t>
  </si>
  <si>
    <t>Budget sits with Business</t>
  </si>
  <si>
    <t>Google Search</t>
  </si>
  <si>
    <t>EWM Pilot Implementation</t>
  </si>
  <si>
    <t>Additional Run rate EWM</t>
  </si>
  <si>
    <t>Rollo van der Sar</t>
  </si>
  <si>
    <t>Will be project budget</t>
  </si>
  <si>
    <t>AlteryX Introduction</t>
  </si>
  <si>
    <t>Licenses / subscription costs</t>
  </si>
  <si>
    <t>ATOS SAP Hosting</t>
  </si>
  <si>
    <t>Changes in Hosting Fees</t>
  </si>
  <si>
    <t>BAS Services</t>
  </si>
  <si>
    <t>2% increase in Bas rates</t>
  </si>
  <si>
    <t>Rate increase</t>
  </si>
  <si>
    <t xml:space="preserve">Enhancement Services </t>
  </si>
  <si>
    <t>Kauri, Savyint, Fiori, Dellboomi CCN's</t>
  </si>
  <si>
    <t>Incident management services</t>
  </si>
  <si>
    <t>Webhosting</t>
  </si>
  <si>
    <t>Monitoring &amp; release management</t>
  </si>
  <si>
    <t>Kauri impact from DevOps, environment Management</t>
  </si>
  <si>
    <t>Compliance Services</t>
  </si>
  <si>
    <t>Robotics Support</t>
  </si>
  <si>
    <t>Robotics support AMS</t>
  </si>
  <si>
    <t>AMS support on Robotics platform</t>
  </si>
  <si>
    <t>iPaaS Dellboomi Support</t>
  </si>
  <si>
    <t>Technical correction, now rolled up in other AMS lines</t>
  </si>
  <si>
    <t xml:space="preserve">Kauri Retail (Brazil) + Support </t>
  </si>
  <si>
    <t>Maintenance / upgrades web sites / stores</t>
  </si>
  <si>
    <t>Onshore resource ATOS</t>
  </si>
  <si>
    <t>Retaining onshore resource not contrated yet</t>
  </si>
  <si>
    <t>Onshore resource is required like is the case for BAS persons in AMS. Now partially funded by Oasis until may 2020</t>
  </si>
  <si>
    <t xml:space="preserve">Saviynt </t>
  </si>
  <si>
    <t>IDM replacement</t>
  </si>
  <si>
    <t>Nico Steenbeek</t>
  </si>
  <si>
    <t>Actual cost are 20K per month</t>
  </si>
  <si>
    <t xml:space="preserve">Additional SAP factory licenses </t>
  </si>
  <si>
    <t>Diva upgrade Elmshorn</t>
  </si>
  <si>
    <t>Diva upgrade Elmshorn 14 workers + 2 engineers (22% x 12750 euro license cost)</t>
  </si>
  <si>
    <t>Oracle License Audit finds</t>
  </si>
  <si>
    <t>Due to Java components coming under licenses</t>
  </si>
  <si>
    <t>Oracle</t>
  </si>
  <si>
    <t>2$ per user per month; 26$ * 1600 users; Windows 10 rollout will give more insight</t>
  </si>
  <si>
    <t>Test Factory AMS</t>
  </si>
  <si>
    <t>Capacity increase due to Kauri</t>
  </si>
  <si>
    <t>Gagandeep Sharma</t>
  </si>
  <si>
    <t>increase from 2 to 3.5 FTE , CCN29</t>
  </si>
  <si>
    <t>SIAMS / Service Desk Onboarding</t>
  </si>
  <si>
    <t>No Financial model for onboarding</t>
  </si>
  <si>
    <t>Retrospective 535K, Run cost june 2019 - may 2020 = 743K, June 2020 - Dec 2020 = 434K, HR Brasil = 55K</t>
  </si>
  <si>
    <t>Minitab</t>
  </si>
  <si>
    <t>Budget transfer from local to global</t>
  </si>
  <si>
    <t>Application is locally owned however is used in multiple factories / countries</t>
  </si>
  <si>
    <t>Landschape refresh activities</t>
  </si>
  <si>
    <t>SAP, BPC, SF, HANA, DellBoomi / PO</t>
  </si>
  <si>
    <t xml:space="preserve">Effort required to do a full landscape refresh </t>
  </si>
  <si>
    <t>CSC Geotrust Certificates</t>
  </si>
  <si>
    <t>Moves to Brandstock, budget with Legal</t>
  </si>
  <si>
    <t>Cancel contract once all domains have been moved to Brandstock</t>
  </si>
  <si>
    <t>Additonal licenses</t>
  </si>
  <si>
    <t>Procampaign</t>
  </si>
  <si>
    <t>Deminishing scope, only RU and Ukraine left</t>
  </si>
  <si>
    <t>Procampaign only used in Russia and Ukraine due to legislation</t>
  </si>
  <si>
    <t>Fox IT Services</t>
  </si>
  <si>
    <t>Recurring service in Security</t>
  </si>
  <si>
    <t>Plumsail</t>
  </si>
  <si>
    <t xml:space="preserve">Workflow scheduler </t>
  </si>
  <si>
    <t>Never saw an invoice ever for this</t>
  </si>
  <si>
    <t>Global Efax Ireland</t>
  </si>
  <si>
    <t>More licenses for Legal</t>
  </si>
  <si>
    <t>Additional licenses for Legal</t>
  </si>
  <si>
    <t>SAP Life Cycle Budget</t>
  </si>
  <si>
    <t>Under Oasis for 2020</t>
  </si>
  <si>
    <t>We keep 200K</t>
  </si>
  <si>
    <t>Additional UX designers website team</t>
  </si>
  <si>
    <t xml:space="preserve">To better support content changes </t>
  </si>
  <si>
    <t>Actemium Strippenkaart</t>
  </si>
  <si>
    <t>Was dropped from AOP 2019</t>
  </si>
  <si>
    <t>Add it back to AOP 2020</t>
  </si>
  <si>
    <t>Environment Management SF</t>
  </si>
  <si>
    <t>Additional Support Environment Management</t>
  </si>
  <si>
    <t>Accenture SOW71</t>
  </si>
  <si>
    <t>Additional License Requirements</t>
  </si>
  <si>
    <t>iPPM tooling</t>
  </si>
  <si>
    <t>Run Rate</t>
  </si>
  <si>
    <t>Anna Reitenbach</t>
  </si>
  <si>
    <t>Runrate IPPM + Jira connector</t>
  </si>
  <si>
    <t>Modern Workplace Adoption</t>
  </si>
  <si>
    <t>Lessons learned</t>
  </si>
  <si>
    <t>Infrastructure</t>
  </si>
  <si>
    <t>Moves to Project Charter 150K</t>
  </si>
  <si>
    <t>Recurring Security Assessments</t>
  </si>
  <si>
    <t>Renewed insights</t>
  </si>
  <si>
    <t xml:space="preserve">Retail Salesforce Licenses </t>
  </si>
  <si>
    <t>Marketing Cloud:15 / Salescloud 20 licenses</t>
  </si>
  <si>
    <t>License increase + small change budget</t>
  </si>
  <si>
    <t>Crunhr</t>
  </si>
  <si>
    <t>Docusign</t>
  </si>
  <si>
    <t>Actual licenses lower than estimate</t>
  </si>
  <si>
    <t>Star Lims</t>
  </si>
  <si>
    <t>Moved to People budget</t>
  </si>
  <si>
    <t>Moved to HR resources budget (Wicher), reduction from 150k to 75k</t>
  </si>
  <si>
    <t>Name change</t>
  </si>
  <si>
    <t>Ad hoc</t>
  </si>
  <si>
    <t>Awareness campaign (elearning is separate by SANS)</t>
  </si>
  <si>
    <t>Marcel majoor</t>
  </si>
  <si>
    <t>Remove</t>
  </si>
  <si>
    <t>Vulnerability scanning: Qualys</t>
  </si>
  <si>
    <t>Remove Qualys</t>
  </si>
  <si>
    <t>Penetration test SAP / Sales Force</t>
  </si>
  <si>
    <t>Simplify and combine to one line</t>
  </si>
  <si>
    <t>100k</t>
  </si>
  <si>
    <t>Penetration test infrastructure and websites</t>
  </si>
  <si>
    <t>Snow Managed Service + Hosting</t>
  </si>
  <si>
    <t>Reduction of service fee</t>
  </si>
  <si>
    <t>reduction from 335 to 250k</t>
  </si>
  <si>
    <t>ServiceNow VM module</t>
  </si>
  <si>
    <t>annual fee: Alexander</t>
  </si>
  <si>
    <t>Accenture managed service websites on Nessus</t>
  </si>
  <si>
    <t xml:space="preserve">Avecto </t>
  </si>
  <si>
    <t>additional licenses</t>
  </si>
  <si>
    <t>10.7k</t>
  </si>
  <si>
    <t>Bitsight subscription</t>
  </si>
  <si>
    <t>New Recurring service in Security</t>
  </si>
  <si>
    <t>T&amp;M Messaging small RFC's; Mailbox restores, Intune, Exchange (Infra)</t>
  </si>
  <si>
    <t>move  to EUS</t>
  </si>
  <si>
    <t>Moved to Jeroen</t>
  </si>
  <si>
    <t>Increased monthly usage</t>
  </si>
  <si>
    <t>Farhan to budget based on LE, has been processed according to guidance ITMT</t>
  </si>
  <si>
    <t>Microsoft True-Up (Year 2)</t>
  </si>
  <si>
    <t>Increased licenses due to Acquisition/integration</t>
  </si>
  <si>
    <t>Valeria to check expected true up</t>
  </si>
  <si>
    <t>Audioconferencing</t>
  </si>
  <si>
    <t>decrease of usage, replaced by Skype4B</t>
  </si>
  <si>
    <t>support</t>
  </si>
  <si>
    <t>multiple countries onboarded</t>
  </si>
  <si>
    <t>total mobile cost are 7mln, expected savings are around 5% (350k)</t>
  </si>
  <si>
    <t>Operations Atos &amp; Accenture hosting</t>
  </si>
  <si>
    <t>??</t>
  </si>
  <si>
    <t>Farhan to budget</t>
  </si>
  <si>
    <t>HP ALM Licenses</t>
  </si>
  <si>
    <t>Increase due to increased scope + training</t>
  </si>
  <si>
    <t>Dell Boomi MCS</t>
  </si>
  <si>
    <t xml:space="preserve">Managed Service Dell Boomi </t>
  </si>
  <si>
    <t>Onshore ABAP Resource BAS</t>
  </si>
  <si>
    <t>Quality and speed of ABAP delivery + Hana Prep</t>
  </si>
  <si>
    <t>Lower than expected operational costs</t>
  </si>
  <si>
    <t>Costs seem to be lower than expected, william Mol to clarify</t>
  </si>
  <si>
    <t>Adjusted based on actuals</t>
  </si>
  <si>
    <t>Change Security Items to GL485073034</t>
  </si>
  <si>
    <t>More focus on security</t>
  </si>
  <si>
    <t>Decommisioned as we will use Octane + Gearset</t>
  </si>
  <si>
    <t>Selenium was put in as a place holder as part of Automation tools. This will be Octane icm Gearset</t>
  </si>
  <si>
    <t>BI Bas Resource</t>
  </si>
  <si>
    <t>Asumed Roll Off for BI BAS resource Mid 2019</t>
  </si>
  <si>
    <t>If BI Scope is transferred the BI resource for Accenture will no longer be needed</t>
  </si>
  <si>
    <t>ReturnPath</t>
  </si>
  <si>
    <t>Additional Module SF retail</t>
  </si>
  <si>
    <t>Budget sits with Business, now company info</t>
  </si>
  <si>
    <t>Budget Sits with business</t>
  </si>
  <si>
    <t>Professional DevOps - S&amp;M</t>
  </si>
  <si>
    <t>Split From DevOps External Support</t>
  </si>
  <si>
    <t>Dominique Mallard</t>
  </si>
  <si>
    <t>Professional DevOps - TS</t>
  </si>
  <si>
    <t>Professional DevOps - QTC</t>
  </si>
  <si>
    <t>Accenture SOW QtC Supp</t>
  </si>
  <si>
    <t>Now WSSS so no charge out</t>
  </si>
  <si>
    <t>Click Application Maintenance &amp; Support</t>
  </si>
  <si>
    <t>Apttus Annual Subscription + Support</t>
  </si>
  <si>
    <t>SalesForce Annual Subscription + Support</t>
  </si>
  <si>
    <t>Additional Copado licenses</t>
  </si>
  <si>
    <t>Additonal License impact Salesforce Apttus</t>
  </si>
  <si>
    <t>Rolled up in Apttus Licenses</t>
  </si>
  <si>
    <t>Seeburger APAC</t>
  </si>
  <si>
    <t>Additonal Support for APAC from Singapore</t>
  </si>
  <si>
    <t>Additional support from Seeburger in APAC</t>
  </si>
  <si>
    <t>Pole Everywhere</t>
  </si>
  <si>
    <t>No longer needed</t>
  </si>
  <si>
    <t xml:space="preserve">PowerBi </t>
  </si>
  <si>
    <t>Ongoing fees licenses and maintenance</t>
  </si>
  <si>
    <t>APP002619, 10$ p/m X 12 X 500 users</t>
  </si>
  <si>
    <t>Split various EDI Items</t>
  </si>
  <si>
    <t>Comarch, Editel, CCV etc</t>
  </si>
  <si>
    <t>for better tracability of actuals</t>
  </si>
  <si>
    <t>ST-Addons</t>
  </si>
  <si>
    <t>No longer in use so cancelling contract</t>
  </si>
  <si>
    <t>Replaced by IXOS</t>
  </si>
  <si>
    <t>Oracle database licenses</t>
  </si>
  <si>
    <t>Additional licenses needed for SAP rollout</t>
  </si>
  <si>
    <t>Additional DB fee Oracle</t>
  </si>
  <si>
    <t>BT Runrate Factories</t>
  </si>
  <si>
    <t>Adjusted now actual run rate is known</t>
  </si>
  <si>
    <t>Change in license Model</t>
  </si>
  <si>
    <t>Nintex will adjust license scheme based on users and or workflows</t>
  </si>
  <si>
    <t>SAS Analytics</t>
  </si>
  <si>
    <t xml:space="preserve">Adjusted based on actuals + Larger environment </t>
  </si>
  <si>
    <t>Added 9K for larger environment however lowered budget based on actuals</t>
  </si>
  <si>
    <t>Vaimo hosting</t>
  </si>
  <si>
    <t>Higher fee than anticipated</t>
  </si>
  <si>
    <t>Cancelled due to move Platform.sh</t>
  </si>
  <si>
    <t>Microstrategy</t>
  </si>
  <si>
    <t>Decommisioned</t>
  </si>
  <si>
    <t>Sap Appendix 21</t>
  </si>
  <si>
    <t>SAP SSO Solution run rate</t>
  </si>
  <si>
    <t>Rob Veenman</t>
  </si>
  <si>
    <t>Sap Appendix 20</t>
  </si>
  <si>
    <t>License Audit finds</t>
  </si>
  <si>
    <t>Insourcing Human Data Warehouse DTC</t>
  </si>
  <si>
    <t>Just Bi support Scope</t>
  </si>
  <si>
    <t>cancelled</t>
  </si>
  <si>
    <t>Covered in just-Bi charge</t>
  </si>
  <si>
    <t>Azure / hosting increase</t>
  </si>
  <si>
    <t>Split Edicom, CCv, Comarch for better tracking</t>
  </si>
  <si>
    <t>Admin Split only</t>
  </si>
  <si>
    <t>EPI find</t>
  </si>
  <si>
    <t>licenses increase</t>
  </si>
  <si>
    <t>Koen Zweers</t>
  </si>
  <si>
    <t>Increase should be 12K in total not 20K.</t>
  </si>
  <si>
    <t>C4C Perfect Store Support</t>
  </si>
  <si>
    <t>Accorel Support</t>
  </si>
  <si>
    <t>Ron van de Water</t>
  </si>
  <si>
    <t>Cancelled. 135K to be included in WBSS</t>
  </si>
  <si>
    <t>Split XTEL budget in AMS and Change Budget</t>
  </si>
  <si>
    <t xml:space="preserve">For better tracking &amp; control of CI </t>
  </si>
  <si>
    <t>Total Budget of 435 was split based on Contratc : 60K Changes / 365K AMS Contract</t>
  </si>
  <si>
    <t>iPaaS Dellboomi Development</t>
  </si>
  <si>
    <t>Moving Dev capacity to AMS / SI</t>
  </si>
  <si>
    <t>B2B Transition + Boomi Dev Capacity + Onshore lead</t>
  </si>
  <si>
    <t>2 Additional Blue Prism Licenses</t>
  </si>
  <si>
    <t>Sourcing through IBM</t>
  </si>
  <si>
    <t>Total licences for blueprism should be 40.2K according to Nizaar (4 current licences + 2 additional)</t>
  </si>
  <si>
    <t>Savyint run cost</t>
  </si>
  <si>
    <t>Additional users Oasis</t>
  </si>
  <si>
    <t>Lieke Koers</t>
  </si>
  <si>
    <t>Small Projects Funding</t>
  </si>
  <si>
    <t>Cover small projects / ticket model under AMS</t>
  </si>
  <si>
    <t>eenvoud Media</t>
  </si>
  <si>
    <t>Additional apps</t>
  </si>
  <si>
    <t xml:space="preserve">Loqate </t>
  </si>
  <si>
    <t>New Address Check tool e-commerce</t>
  </si>
  <si>
    <t>Prateek Tiwari</t>
  </si>
  <si>
    <t>Missed in AOP 2020…, 204439 GB Group plc</t>
  </si>
  <si>
    <t>IBM Optim</t>
  </si>
  <si>
    <t>Archive for Saralee entities</t>
  </si>
  <si>
    <t>Swap Support</t>
  </si>
  <si>
    <t xml:space="preserve">Decreased Support </t>
  </si>
  <si>
    <t>Replaced with Azure DevOps</t>
  </si>
  <si>
    <t>Uptrends Monitoring</t>
  </si>
  <si>
    <t>Phased out</t>
  </si>
  <si>
    <t>AGS</t>
  </si>
  <si>
    <t>Learning Module Factories</t>
  </si>
  <si>
    <t>New learning platform which needs global contract and budget</t>
  </si>
  <si>
    <t>Decommisioned in favor of Gearset</t>
  </si>
  <si>
    <t>SAP CP Support</t>
  </si>
  <si>
    <t>Additional Contract</t>
  </si>
  <si>
    <t>Salesforce Storage Proff &amp; Retail</t>
  </si>
  <si>
    <t>Additional Contract Strorage costs</t>
  </si>
  <si>
    <t>Split Siams Onboarding &amp; Run Cost</t>
  </si>
  <si>
    <t>Technical split for tracking ongoing cost and once Off onboarding</t>
  </si>
  <si>
    <t>Split OBS &amp; BT on WAN</t>
  </si>
  <si>
    <t>Technical Split for actual tracking OBS</t>
  </si>
  <si>
    <t>OBS</t>
  </si>
  <si>
    <t>Network</t>
  </si>
  <si>
    <t>Planorama</t>
  </si>
  <si>
    <t>Removed since all costs are paid locally</t>
  </si>
  <si>
    <t>Most costs are paid locally hance reducing central cost</t>
  </si>
  <si>
    <t>C4C Prefered Care</t>
  </si>
  <si>
    <t>Cost prefered care part of licence budget</t>
  </si>
  <si>
    <t>Correcting central budget</t>
  </si>
  <si>
    <t>Syncforce</t>
  </si>
  <si>
    <t>Packflow 1.0 which is still in use</t>
  </si>
  <si>
    <t>For Packflow 1.0 which is still in use</t>
  </si>
  <si>
    <t>Shopspray</t>
  </si>
  <si>
    <t>Addon solution to Epi server</t>
  </si>
  <si>
    <t>SonarCube</t>
  </si>
  <si>
    <t>No longer used for websites</t>
  </si>
  <si>
    <t>Maksym Ivanchenko</t>
  </si>
  <si>
    <t>Teams confirmed Sonar cube no longer in use</t>
  </si>
  <si>
    <t>Minitab entered double in AOP 2020</t>
  </si>
  <si>
    <t>Taking out New entry on minitab</t>
  </si>
  <si>
    <t>Error in AOP 2020, double entry</t>
  </si>
  <si>
    <t>Eyequestion</t>
  </si>
  <si>
    <t>Additional licenses requested by business</t>
  </si>
  <si>
    <t>Salesforce Retail Licenses</t>
  </si>
  <si>
    <t>Additonal Quotes / storage</t>
  </si>
  <si>
    <t>AOP 2020 for retail was too low…</t>
  </si>
  <si>
    <t>MIRC Data protector</t>
  </si>
  <si>
    <t>Microfocus</t>
  </si>
  <si>
    <t>MIRC is decommisioned</t>
  </si>
  <si>
    <t>Decommision Messaging GL account</t>
  </si>
  <si>
    <t>Move budget from 485073004 to 485073003</t>
  </si>
  <si>
    <t xml:space="preserve">Simplify reporting </t>
  </si>
  <si>
    <t>AS400 hardware</t>
  </si>
  <si>
    <t>Econocom (through ATOS), Non-Standard Services (AS400 + HPUX)</t>
  </si>
  <si>
    <t>Need to decommision in 2021</t>
  </si>
  <si>
    <t>Robotics Support Change</t>
  </si>
  <si>
    <t>Potential move from Acn to IBM</t>
  </si>
  <si>
    <t>Business Objects Licenses</t>
  </si>
  <si>
    <t>Business Objects Licenses did not increase</t>
  </si>
  <si>
    <t>Anticipated increase did not materialize, taking it out of AOP 2021</t>
  </si>
  <si>
    <t>Runbook Decommisioning</t>
  </si>
  <si>
    <t>Runbook will be replaced with Aico</t>
  </si>
  <si>
    <t>Runbook will not be decommisioned in 2021</t>
  </si>
  <si>
    <t>Add new SAP worker license line</t>
  </si>
  <si>
    <t>APP002802</t>
  </si>
  <si>
    <t>Adjusted charging model PM for Factories</t>
  </si>
  <si>
    <t>Transition AMS BI Scope</t>
  </si>
  <si>
    <t>Once off for AOP 2020</t>
  </si>
  <si>
    <t>HCM Support Successfactors</t>
  </si>
  <si>
    <t>Higher fee for Succesfactors support</t>
  </si>
  <si>
    <t>Oasis Transition 2.0</t>
  </si>
  <si>
    <t>Keeping Oasis 2.0 Transition</t>
  </si>
  <si>
    <t>Oasis + ANZ Support -</t>
  </si>
  <si>
    <t>New Service APAC support additional shift</t>
  </si>
  <si>
    <t>Final Delta for additional shift basd on CCN36 (23.6K X 12 = 284K vs 250)</t>
  </si>
  <si>
    <t>Increase Coffee Care Support (Pega 7)</t>
  </si>
  <si>
    <t>Rolled up in regular service lines</t>
  </si>
  <si>
    <t>Salesforce retail support</t>
  </si>
  <si>
    <t>Increase due 1 FTE added</t>
  </si>
  <si>
    <t>1 FTE added</t>
  </si>
  <si>
    <t>Rolled up in other service lines</t>
  </si>
  <si>
    <t>Extended support for Workplace</t>
  </si>
  <si>
    <t>Rolled up under AMS with minimal cost impact</t>
  </si>
  <si>
    <t>XTEL AMS Budget</t>
  </si>
  <si>
    <t>Technical Correction</t>
  </si>
  <si>
    <t>Lowering AMS cost as per contract 2020</t>
  </si>
  <si>
    <t>Increasing change budget with amount from AMS</t>
  </si>
  <si>
    <t>Orange Trail support moving to AMS</t>
  </si>
  <si>
    <t>Workplace support with AMS</t>
  </si>
  <si>
    <t>ATOS SAP Infra Changes</t>
  </si>
  <si>
    <t>4 tier landscape</t>
  </si>
  <si>
    <t>8K per month X 12</t>
  </si>
  <si>
    <t>Practitest</t>
  </si>
  <si>
    <t>New solution for manual testing</t>
  </si>
  <si>
    <t>25 licenses</t>
  </si>
  <si>
    <t>Plat4mation</t>
  </si>
  <si>
    <t>C4U License upgrade to PRO</t>
  </si>
  <si>
    <t>covers unlimited connectors + premium support; PRO is needed to complete JIRA change integration</t>
  </si>
  <si>
    <t>Enhancement Budget</t>
  </si>
  <si>
    <t>Change budget to allow for small changes to existing solutions</t>
  </si>
  <si>
    <t>Certificate Management fully with Brandstock now</t>
  </si>
  <si>
    <t>Last invoice was in feb 2019…</t>
  </si>
  <si>
    <t>Move Store Simple + Local App hosting storage</t>
  </si>
  <si>
    <t>Change GL 485073031 Storage to 485073032 Servers</t>
  </si>
  <si>
    <t>Oscar Rodrigues</t>
  </si>
  <si>
    <t>Covered in other changes</t>
  </si>
  <si>
    <t>Octane for DevOps</t>
  </si>
  <si>
    <t>Test Automation for DevOps</t>
  </si>
  <si>
    <t xml:space="preserve">20 licenses. Includes Saas subscription from Micro Focus. </t>
  </si>
  <si>
    <t>VisualWebsiteIOptimizer</t>
  </si>
  <si>
    <t>Costs are local with NL</t>
  </si>
  <si>
    <t>SAF-T Maintenance fee</t>
  </si>
  <si>
    <t>No owner, no vendor, no invoices</t>
  </si>
  <si>
    <t>Taking this out as there is never an invoice from this vendor</t>
  </si>
  <si>
    <t xml:space="preserve">Check budget / accrual EUC </t>
  </si>
  <si>
    <t>Technical Change to decommision GL for storage costs as it is not used</t>
  </si>
  <si>
    <t>Microsoft Contract Expiration</t>
  </si>
  <si>
    <t>Impact on AOP 2021</t>
  </si>
  <si>
    <t>Change Security Items to Network GL 485073010</t>
  </si>
  <si>
    <t>Both ownership and GL for these items are change to improve reporting &amp; control</t>
  </si>
  <si>
    <t>Security (+ BT Zscaler / Security)</t>
  </si>
  <si>
    <t>Security SSR's &amp; NSSR's</t>
  </si>
  <si>
    <t>RAR / LAE / AIF Maintenance Fee Update description</t>
  </si>
  <si>
    <t>Appendix 20 LAE maintenace fee</t>
  </si>
  <si>
    <t>To increase visibility and tracebility of SAP cost</t>
  </si>
  <si>
    <t xml:space="preserve">Reduce licences or end contract by april. </t>
  </si>
  <si>
    <t>Vanessa Barmpa</t>
  </si>
  <si>
    <t>Will be confirmed by Sharon. Proposal will most likely be to add 50% of the annual costs in</t>
  </si>
  <si>
    <t>Aico</t>
  </si>
  <si>
    <t xml:space="preserve">New application </t>
  </si>
  <si>
    <t>New application which will replace Runbook &amp; Blackline</t>
  </si>
  <si>
    <t xml:space="preserve">Salesforce </t>
  </si>
  <si>
    <t>2 additional busines units</t>
  </si>
  <si>
    <t>1 for supergroup and 1 for Moccona</t>
  </si>
  <si>
    <t>14 additional Licenses</t>
  </si>
  <si>
    <t>14 additional licenses, rolled up in one line</t>
  </si>
  <si>
    <t>Oracle license Oasis / Super group</t>
  </si>
  <si>
    <t>Decommision, Consolidate under SAP Oracle licenses</t>
  </si>
  <si>
    <t>8. Oracle Maintenance SAP</t>
  </si>
  <si>
    <t>Add Supergroup Oracle license to Oracle Maint SAP</t>
  </si>
  <si>
    <t>Adding licenses to existing line based on actuals</t>
  </si>
  <si>
    <t>Ariba T2S AMS</t>
  </si>
  <si>
    <t>Moving Ariba under scope of AMS</t>
  </si>
  <si>
    <t>Procurement going for RFI / RFP route so this is unlikely to materialize</t>
  </si>
  <si>
    <t>PLM Solution T2S AMS</t>
  </si>
  <si>
    <t>Moving future PLM solution under AMS</t>
  </si>
  <si>
    <t>Should be captured by project</t>
  </si>
  <si>
    <t>Transition CCN Scope to AMS</t>
  </si>
  <si>
    <t>Moving Connected Coffee Machines to AMS</t>
  </si>
  <si>
    <t>Once Off</t>
  </si>
  <si>
    <t>We will not transition CCM in 2021</t>
  </si>
  <si>
    <t>Dell boomi ipaas licences</t>
  </si>
  <si>
    <t>Increase licences year 4</t>
  </si>
  <si>
    <t>Contract extension to be checked by Robin 80-100K</t>
  </si>
  <si>
    <t xml:space="preserve">Seeburger RFC </t>
  </si>
  <si>
    <t xml:space="preserve">Move to Dell Boomi - Volume re-negotiation  </t>
  </si>
  <si>
    <t>Moving to Dell Boomi</t>
  </si>
  <si>
    <t>Seeburger EDI connection</t>
  </si>
  <si>
    <t>Azure CCM</t>
  </si>
  <si>
    <t>Cost optimizations by cognizant team</t>
  </si>
  <si>
    <t>Azure</t>
  </si>
  <si>
    <t xml:space="preserve">Cost optimizations </t>
  </si>
  <si>
    <t xml:space="preserve">Connected coffee machines </t>
  </si>
  <si>
    <t>Transition to Accenture</t>
  </si>
  <si>
    <t>Cognizant</t>
  </si>
  <si>
    <t>Additonal VIM Licenses Oasis</t>
  </si>
  <si>
    <t>Uimasking, VIM and OCR Licenses Schedule 1 SAP</t>
  </si>
  <si>
    <t>Succesfactors</t>
  </si>
  <si>
    <t>Organic growth. Additional licenses</t>
  </si>
  <si>
    <t>Smart recruiters</t>
  </si>
  <si>
    <t>Ending of 3 year contract based on 12.000 employees. We currently have 18.000 employees. Estimated increase of 10K</t>
  </si>
  <si>
    <t>Epi</t>
  </si>
  <si>
    <t>220 websites expected on epi</t>
  </si>
  <si>
    <t>Due to AMS Renegotiation</t>
  </si>
  <si>
    <t>Consolidated all contracts</t>
  </si>
  <si>
    <t>Power BI</t>
  </si>
  <si>
    <t>Premium Capacity</t>
  </si>
  <si>
    <t>Additional instance to cover for demand</t>
  </si>
  <si>
    <t>Oracle Agile Product Data Management</t>
  </si>
  <si>
    <t>Decommisioning service contract 6711621</t>
  </si>
  <si>
    <t>Stefan Dijs</t>
  </si>
  <si>
    <t>Obsolete licenses</t>
  </si>
  <si>
    <t>Coffee &amp; Tea Sourcing tool Cargoo</t>
  </si>
  <si>
    <t>New solution C&amp;T Sourcing</t>
  </si>
  <si>
    <t>James Gracey</t>
  </si>
  <si>
    <t>Will be 90K in 2022!!</t>
  </si>
  <si>
    <t>Zoovu</t>
  </si>
  <si>
    <t>New online coffee tasting solution</t>
  </si>
  <si>
    <t>Diva Upgrade Elmshorn</t>
  </si>
  <si>
    <t>Roll up in Existing SAP Lines</t>
  </si>
  <si>
    <t>No need to keep a separate AOP line for this</t>
  </si>
  <si>
    <t xml:space="preserve">Alteryx licence </t>
  </si>
  <si>
    <t>Increase of licences because more users are using it</t>
  </si>
  <si>
    <t>Alteryx</t>
  </si>
  <si>
    <t>Bruna Dupim</t>
  </si>
  <si>
    <t>1/3 of new contract which is 101K for 3 years signed in June 2020</t>
  </si>
  <si>
    <t>SAP refresh</t>
  </si>
  <si>
    <t>already covered in ops budget (50K)</t>
  </si>
  <si>
    <t>Predictive Analysis Hana</t>
  </si>
  <si>
    <t>Not used . To be confirmed by Bruna</t>
  </si>
  <si>
    <t>SAP Analytics Hub</t>
  </si>
  <si>
    <t>Licence increase, number unkown</t>
  </si>
  <si>
    <t>Decommision GL 485073004 Messaging</t>
  </si>
  <si>
    <t>Move to GL 485073004 PC Support</t>
  </si>
  <si>
    <t>No use for Messaging GL anymore</t>
  </si>
  <si>
    <t>Flexera</t>
  </si>
  <si>
    <t>Charged seperately as of 2020</t>
  </si>
  <si>
    <t>Higher cost in 2020</t>
  </si>
  <si>
    <t>Change ownership</t>
  </si>
  <si>
    <t>2 year contract</t>
  </si>
  <si>
    <t>RDS Third Party Access Split</t>
  </si>
  <si>
    <t>EUC Part</t>
  </si>
  <si>
    <t>Technical split between RDS for factory Security</t>
  </si>
  <si>
    <t>UiPath</t>
  </si>
  <si>
    <t xml:space="preserve">Fixed asset + variable license price </t>
  </si>
  <si>
    <t>Support cost based on current 12 bots plus growth of 4 in 2021</t>
  </si>
  <si>
    <t>Data &amp; Analytics Just-Bi Support Professional</t>
  </si>
  <si>
    <t xml:space="preserve">Lowered support costs for 2021 </t>
  </si>
  <si>
    <t>Just-Bi</t>
  </si>
  <si>
    <t>Total annual costs would be: 1.562,000. Split between retail and Profesional: tbd</t>
  </si>
  <si>
    <t>ALM</t>
  </si>
  <si>
    <t>Reduce ALM licences</t>
  </si>
  <si>
    <t>Test Factory Utilization</t>
  </si>
  <si>
    <t>Increase 1 FTE to handle Jira and DevOps tools admin part, in 2021.</t>
  </si>
  <si>
    <t>Performance testing</t>
  </si>
  <si>
    <t>Multiple vendors</t>
  </si>
  <si>
    <t xml:space="preserve">Would like to keep this budget, as we spent 25K for Performance tests this year. Expecting demand to go higher, as we have marketed it now at different levels. </t>
  </si>
  <si>
    <t>ServiceNow licenses</t>
  </si>
  <si>
    <t>Licenses, organiz Growth + OT domain</t>
  </si>
  <si>
    <t>20k (25 licenses to cover organic growth) + 17,5k (24 licenses for OT domain; to be discussed if project covers full 2021)</t>
  </si>
  <si>
    <t xml:space="preserve">Giarte </t>
  </si>
  <si>
    <t>Cover new Languages</t>
  </si>
  <si>
    <t>to cover new languages and being aligned with Project Zeta language improvements</t>
  </si>
  <si>
    <t>ITSM</t>
  </si>
  <si>
    <t>Cover small enhancements</t>
  </si>
  <si>
    <t>ITSM small improvement budget to cover advisory/consultancy work, small PoCs and small improvements (bigger ones will go via Charters</t>
  </si>
  <si>
    <t>C4C</t>
  </si>
  <si>
    <t>Adding Brazil + reducing overall price</t>
  </si>
  <si>
    <t>No C4C in brazil as confirmed on 28-9-2020</t>
  </si>
  <si>
    <t>OBS at 500k + BT Zscaler for 4 months at 268k</t>
  </si>
  <si>
    <t>Organic growth</t>
  </si>
  <si>
    <t>Based on actuals 2020</t>
  </si>
  <si>
    <t>Premium support</t>
  </si>
  <si>
    <t>already covered by Jeroen</t>
  </si>
  <si>
    <t>Accenture Si</t>
  </si>
  <si>
    <t>Support for BT 6 months only</t>
  </si>
  <si>
    <t>6 months of activites</t>
  </si>
  <si>
    <t>SD WAN</t>
  </si>
  <si>
    <t>Move to OBS</t>
  </si>
  <si>
    <t>LAN BT</t>
  </si>
  <si>
    <t>WAN BT</t>
  </si>
  <si>
    <t>50% of the sites left for WAN BT</t>
  </si>
  <si>
    <t>Remove line, this is covered in SD WAN</t>
  </si>
  <si>
    <t>Third Party RDS Access</t>
  </si>
  <si>
    <t>Moved to EUC</t>
  </si>
  <si>
    <t>90k to EUC for third party access; the rest for factory RDS support; Category should be schanged to operations</t>
  </si>
  <si>
    <t>T&amp;M Support DirectAccess, VPN (Infra)</t>
  </si>
  <si>
    <t>Can be freed</t>
  </si>
  <si>
    <t>Audioconferencing - BT voice</t>
  </si>
  <si>
    <t>Decomissioned</t>
  </si>
  <si>
    <t>Skype for business</t>
  </si>
  <si>
    <t>Moves to teams</t>
  </si>
  <si>
    <t>This is based on EV committed for 8 months + SIP for 12 months</t>
  </si>
  <si>
    <t>Non SAP Storage</t>
  </si>
  <si>
    <t>Combined with Non SAP Operations</t>
  </si>
  <si>
    <t>Local Application Hosting Central Storage</t>
  </si>
  <si>
    <t>All storage costs combined</t>
  </si>
  <si>
    <t>EUC Storage Central</t>
  </si>
  <si>
    <t>Line to be removed, covered in central storage</t>
  </si>
  <si>
    <t>Non SAP Operations</t>
  </si>
  <si>
    <t>Non SAP storage added</t>
  </si>
  <si>
    <t>Additional license assessment</t>
  </si>
  <si>
    <t>Should belong to security</t>
  </si>
  <si>
    <t>B-lay B.V.</t>
  </si>
  <si>
    <t>MU NSSR support</t>
  </si>
  <si>
    <t>Support for factory related changes like DNS, DHCP changes</t>
  </si>
  <si>
    <t>Colocation costs</t>
  </si>
  <si>
    <t>3 Equinix sites</t>
  </si>
  <si>
    <t>Equinix</t>
  </si>
  <si>
    <t>Software assurance (StoreOnce)</t>
  </si>
  <si>
    <t>HPE</t>
  </si>
  <si>
    <t>Dataprotector annual support renewal</t>
  </si>
  <si>
    <t>Data Protector was in budget for 29K. Increased to 55K, moved budget tp oscar</t>
  </si>
  <si>
    <t>Service Now interface support</t>
  </si>
  <si>
    <t>Already covered in other change</t>
  </si>
  <si>
    <t>LAN OBS</t>
  </si>
  <si>
    <t>Move to OBS - reduce BT</t>
  </si>
  <si>
    <t>AMS / Service Desk Onboarding</t>
  </si>
  <si>
    <t>Allocate from New Service to SAP Suite / SAP Apps</t>
  </si>
  <si>
    <t>Allocating cost to existing service</t>
  </si>
  <si>
    <t>SIAMS Annual Run and onboarding costs</t>
  </si>
  <si>
    <t>Allocate from New Service to Service Now APP0000007</t>
  </si>
  <si>
    <t xml:space="preserve">Cost Center Change Connected Coffee Machines </t>
  </si>
  <si>
    <t>Moves from 68427709 to 68427719</t>
  </si>
  <si>
    <t>Niranjan Sridhar</t>
  </si>
  <si>
    <t>Cancelled as decision has been made to keep this under S&amp;O 7-10-2020</t>
  </si>
  <si>
    <t>Cost Center Change Azure CCM</t>
  </si>
  <si>
    <t>Based on current users and costs</t>
  </si>
  <si>
    <t>Koen Zweers &amp; Kelvin Divendal</t>
  </si>
  <si>
    <t>Salesforce Annual subcription and support</t>
  </si>
  <si>
    <t>Based on current users and costs.</t>
  </si>
  <si>
    <t>Including Marketing Cloud</t>
  </si>
  <si>
    <t>Click annual subscription and support</t>
  </si>
  <si>
    <t>Based on actuals which are currently 397K</t>
  </si>
  <si>
    <t>910 Field Engineers + 48 Service Operations</t>
  </si>
  <si>
    <t>SalesForce event monitoring</t>
  </si>
  <si>
    <t>Included in SELA</t>
  </si>
  <si>
    <t>New Relic</t>
  </si>
  <si>
    <t>Monitoring tool Magento Platform</t>
  </si>
  <si>
    <t xml:space="preserve">Gaurav Kumar </t>
  </si>
  <si>
    <t>Mintab cost increase</t>
  </si>
  <si>
    <t>Higher license fee</t>
  </si>
  <si>
    <t>Veerle Kerstens</t>
  </si>
  <si>
    <t>Pega License increase as of 2021</t>
  </si>
  <si>
    <t>Fee for 2021 - 2024 = 360000 vs 300000 in 2020</t>
  </si>
  <si>
    <t>Dell Boomi mcs</t>
  </si>
  <si>
    <t>Higher Fee due to Seeburger Exit</t>
  </si>
  <si>
    <t>Platform.sh</t>
  </si>
  <si>
    <t>Move from Vaimo to Platform.sh</t>
  </si>
  <si>
    <t>Vaimo Hosting</t>
  </si>
  <si>
    <t>To be decomissioned</t>
  </si>
  <si>
    <t>Vaimo</t>
  </si>
  <si>
    <t>Magento hosting</t>
  </si>
  <si>
    <t xml:space="preserve">Épi find </t>
  </si>
  <si>
    <t>epi find to professional</t>
  </si>
  <si>
    <t>Runbook &amp; Blackline</t>
  </si>
  <si>
    <t>Microsoft azure ATP</t>
  </si>
  <si>
    <t>Protecting all active directory accounts</t>
  </si>
  <si>
    <t>Alexander Klaver</t>
  </si>
  <si>
    <t xml:space="preserve">Support </t>
  </si>
  <si>
    <t>Vulnerability Scanning</t>
  </si>
  <si>
    <t>MICR support fee (Data protector)</t>
  </si>
  <si>
    <t>Remove line, covered by Oscar? To be checked by Willem</t>
  </si>
  <si>
    <t>Now under Oscar, rolled up in other change log item</t>
  </si>
  <si>
    <t>SNOW Licenses</t>
  </si>
  <si>
    <t>Additional devices</t>
  </si>
  <si>
    <t>Valeria</t>
  </si>
  <si>
    <t>Environment Management Team Offshoring</t>
  </si>
  <si>
    <t>Moving onsite resource to offshore</t>
  </si>
  <si>
    <t>Moved under AMS contract</t>
  </si>
  <si>
    <t>Environment Management Team to S&amp;O</t>
  </si>
  <si>
    <t>EMT to move under AMS, hence changing cc 68427709</t>
  </si>
  <si>
    <t>Accenture AMS ABAP BAS</t>
  </si>
  <si>
    <t>Dedicated BAS for ABAP</t>
  </si>
  <si>
    <t>New AMS Contract</t>
  </si>
  <si>
    <t>Azure cost optimization Start</t>
  </si>
  <si>
    <t>Azure optimization for Start Tenant Brazil</t>
  </si>
  <si>
    <t>NSSR Budget increase</t>
  </si>
  <si>
    <t>Related to SIP trunking for MS Teams</t>
  </si>
  <si>
    <t>Dellboomi charging key</t>
  </si>
  <si>
    <t>Change from PC users to SAP users</t>
  </si>
  <si>
    <t xml:space="preserve">Suggest by Niranjan to compensate Seeburger </t>
  </si>
  <si>
    <t xml:space="preserve">Store once </t>
  </si>
  <si>
    <t>Move to Storage GL</t>
  </si>
  <si>
    <t>Microsoft teams support</t>
  </si>
  <si>
    <t>Support costs</t>
  </si>
  <si>
    <t>Henk Kamp</t>
  </si>
  <si>
    <t>Licenses are covered in Microsoft contract?</t>
  </si>
  <si>
    <t xml:space="preserve">Change charging key to central finance </t>
  </si>
  <si>
    <t>Change charging key to DTC</t>
  </si>
  <si>
    <t>Defender ATP</t>
  </si>
  <si>
    <t>Additional Support Hours Its Value</t>
  </si>
  <si>
    <t>Additional Support hours</t>
  </si>
  <si>
    <t>SIAMS Onboarding</t>
  </si>
  <si>
    <t xml:space="preserve">Lesser amount of onboarding expected, lower rates </t>
  </si>
  <si>
    <t>SIAMS runrate</t>
  </si>
  <si>
    <t>Actual Rates slightly lower</t>
  </si>
  <si>
    <t>Bas Services</t>
  </si>
  <si>
    <t>Slightly better rates</t>
  </si>
  <si>
    <t>User Management Services</t>
  </si>
  <si>
    <t>Reduced effort, lower rate</t>
  </si>
  <si>
    <t>Account Management Services</t>
  </si>
  <si>
    <t>Rolled up under Foundational Services</t>
  </si>
  <si>
    <t>Connectivity</t>
  </si>
  <si>
    <t>Monitoring and Release Management Services</t>
  </si>
  <si>
    <t>Incident Management Services</t>
  </si>
  <si>
    <t>Lower rates</t>
  </si>
  <si>
    <t>Website Support</t>
  </si>
  <si>
    <t>Split into Core and Enhancement Services</t>
  </si>
  <si>
    <t>Enhancement services</t>
  </si>
  <si>
    <t>Foundational Services</t>
  </si>
  <si>
    <t>Includes Acc Man, Compliance, Monitoring, EMT, Connectivity</t>
  </si>
  <si>
    <t>Service Reliability Engineers</t>
  </si>
  <si>
    <t>Embedded Automation tema within AMS</t>
  </si>
  <si>
    <t>Core AMS - Enhancement Services – AM – Digital</t>
  </si>
  <si>
    <t>Appl. Development Enhancement Services – SAP/NSA</t>
  </si>
  <si>
    <t>New line for Application Development SAP / NSA</t>
  </si>
  <si>
    <t>Appl. Development Enhancement Services – Digital</t>
  </si>
  <si>
    <t>New line for Application Development Websites</t>
  </si>
  <si>
    <t>Azure Professional Website hosting</t>
  </si>
  <si>
    <t>Additonal professional websites to be hosted</t>
  </si>
  <si>
    <t>As a result of the growth in eCommerce for Professional infrastructure changes are required that will result in an increase in hosting costs</t>
  </si>
  <si>
    <t>Netwrix</t>
  </si>
  <si>
    <t>Wrongly budgetted</t>
  </si>
  <si>
    <t>Seems to be a  3 year budget</t>
  </si>
  <si>
    <t>Symantec Premium SSL</t>
  </si>
  <si>
    <t>Last Po and invoice was in 2015</t>
  </si>
  <si>
    <t>Taking out of the budget</t>
  </si>
  <si>
    <t>WebTMS</t>
  </si>
  <si>
    <t>Apparently budget sits with business</t>
  </si>
  <si>
    <t>Budget sits with business</t>
  </si>
  <si>
    <t>E-Plan</t>
  </si>
  <si>
    <t>Budget still local</t>
  </si>
  <si>
    <t>Budget sits local</t>
  </si>
  <si>
    <t>Increased usage did not materialize in 2020</t>
  </si>
  <si>
    <t>No increase in cost in 2021</t>
  </si>
  <si>
    <t>PW Consulting SAS</t>
  </si>
  <si>
    <t>SAS</t>
  </si>
  <si>
    <t>Oracle: Java components coming under licenses</t>
  </si>
  <si>
    <t>Risk is not matrializing</t>
  </si>
  <si>
    <t>No costs seen in 2020</t>
  </si>
  <si>
    <t>IQS</t>
  </si>
  <si>
    <t>Budget either local or central business, only UK using it</t>
  </si>
  <si>
    <t>Global Waterfall</t>
  </si>
  <si>
    <t>original budget was in Canadian dollars instead of euro</t>
  </si>
  <si>
    <t>Correcting Budget</t>
  </si>
  <si>
    <t>Excise Duty Support</t>
  </si>
  <si>
    <t>No longer needed in separte contract</t>
  </si>
  <si>
    <t>No longer needed in 2021</t>
  </si>
  <si>
    <t>Actemium - Mobile scanning RFGEN</t>
  </si>
  <si>
    <t>Bringing budget in line with actuals as former budgets are too high</t>
  </si>
  <si>
    <t>Bringing in line budget in line with actuals.</t>
  </si>
  <si>
    <t>1Sync</t>
  </si>
  <si>
    <t>Renegotiated terms and scope</t>
  </si>
  <si>
    <t xml:space="preserve">was a bit overbudgetted as well </t>
  </si>
  <si>
    <t>Lumira Licenses</t>
  </si>
  <si>
    <t>Adjusting budget to reflect Appendix 18</t>
  </si>
  <si>
    <t>Lease Accounting Usage / Subscription</t>
  </si>
  <si>
    <t>Rolled up in SAP Appendix 20, taking separte line out</t>
  </si>
  <si>
    <t>Part of Sap appendix 20</t>
  </si>
  <si>
    <t>Split SF MC cost professional &amp; retail</t>
  </si>
  <si>
    <t>Technical split to better allocate Marketing Cloud Cost and added charging key SF users instead of pc uers</t>
  </si>
  <si>
    <t>Managed Service Security Qsight (SOC)</t>
  </si>
  <si>
    <t>Moved to Security GL</t>
  </si>
  <si>
    <t>Oracle PLM - Full Licenses</t>
  </si>
  <si>
    <t>Cancelled contract for 150 licenses (6711621)</t>
  </si>
  <si>
    <t>Budget was too high + cancellation of 1 PLM contract (90K)</t>
  </si>
  <si>
    <t>Oracle PLM - Reader Licenses</t>
  </si>
  <si>
    <t>Additional Licenses Supergroup (18829631)</t>
  </si>
  <si>
    <t>Reducing budget to be in line with actuals</t>
  </si>
  <si>
    <t>To reflect Ops budget only. Dev budget will be paid by Professional centrally</t>
  </si>
  <si>
    <t>MC costs Professional</t>
  </si>
  <si>
    <t>Increase due to additional costs for Spain</t>
  </si>
  <si>
    <t>SAS Visual Analytics</t>
  </si>
  <si>
    <t>License and price increase</t>
  </si>
  <si>
    <t>Based on last invoice</t>
  </si>
  <si>
    <t>Website hosting cost</t>
  </si>
  <si>
    <t>Additional costs for website hosting on Azure</t>
  </si>
  <si>
    <t>Data &amp; Analytics Just-Bi Support Retail</t>
  </si>
  <si>
    <t xml:space="preserve">Increased support costs for 2021 </t>
  </si>
  <si>
    <t>Reallocation of costs + increased scope Just-BI</t>
  </si>
  <si>
    <t>Awareness Campaign</t>
  </si>
  <si>
    <t>Adjusted during AOP discussions with Finance</t>
  </si>
  <si>
    <t>Cancelled during AOP discussions with finance</t>
  </si>
  <si>
    <t>Vulnerability scanning: CIS SecureSuite</t>
  </si>
  <si>
    <t>Microsoft True-Up (Year 1)</t>
  </si>
  <si>
    <t>Additional License Assessment</t>
  </si>
  <si>
    <t xml:space="preserve">Compliance support </t>
  </si>
  <si>
    <t>RDS cost Accenture</t>
  </si>
  <si>
    <t>Adjusted during AOP discussions</t>
  </si>
  <si>
    <t>Videoconferencing Kinly</t>
  </si>
  <si>
    <t>Legisway</t>
  </si>
  <si>
    <t>Increased License count</t>
  </si>
  <si>
    <t>Additional users using this application</t>
  </si>
  <si>
    <t>Additional usage + other Service Model</t>
  </si>
  <si>
    <t>Lisete Otten</t>
  </si>
  <si>
    <t>SAFE booking Tool</t>
  </si>
  <si>
    <t>New application to book desk &amp; trace contact during COVID-19. 6000 users scope</t>
  </si>
  <si>
    <t>Condeco</t>
  </si>
  <si>
    <t>Philippe Piso</t>
  </si>
  <si>
    <t xml:space="preserve">Can be extended to other countries or globally. </t>
  </si>
  <si>
    <t>C4C Licenses SAP</t>
  </si>
  <si>
    <t>Renegotiated contract eo 202</t>
  </si>
  <si>
    <t>Renegotiated contract</t>
  </si>
  <si>
    <t>Splunk Subscriptions</t>
  </si>
  <si>
    <t>Advanced Monitoring on SAP and Infrastructure (Via AMS)</t>
  </si>
  <si>
    <t>Splunk</t>
  </si>
  <si>
    <t>Storage &amp; Transaction fees extended splunk</t>
  </si>
  <si>
    <t>Influe</t>
  </si>
  <si>
    <t>Higher run rate based on actuals</t>
  </si>
  <si>
    <t>Based on actual PO value</t>
  </si>
  <si>
    <t>SAP Appendix 23</t>
  </si>
  <si>
    <t>Missed Oracle / Hana Fees after license Swap</t>
  </si>
  <si>
    <t>Once off charge due to missed Hana / Oracle Fees, needed for swapping licenses</t>
  </si>
  <si>
    <t>Concur</t>
  </si>
  <si>
    <t>Adjusted AOP based on actuals</t>
  </si>
  <si>
    <t>Security Awareness Training</t>
  </si>
  <si>
    <t>Move under GL 485073034</t>
  </si>
  <si>
    <t>Sans</t>
  </si>
  <si>
    <t>Marcel van Leent</t>
  </si>
  <si>
    <t>Should be under security</t>
  </si>
  <si>
    <t>SafeFood</t>
  </si>
  <si>
    <t>R&amp;D Vendor Quality Management Implementation.</t>
  </si>
  <si>
    <t>Saas solution signed by business. Based on 1000 vendors by q4 2021</t>
  </si>
  <si>
    <t>PLM Hamilton Grand</t>
  </si>
  <si>
    <t>R&amp;D the single source of truth for product information (materials, nutrition, packaging, product data)</t>
  </si>
  <si>
    <t>Saas solution signed by business</t>
  </si>
  <si>
    <t>Oracle PLM reader Licenses</t>
  </si>
  <si>
    <t>Decommissioning Oracle contract 6293608 due to Hamilton Grand Roll Out</t>
  </si>
  <si>
    <t>Oracle PLM Full Licenses</t>
  </si>
  <si>
    <t>Decommissioning Oracle contract 10621818 due to Hamilton Grand Roll Out</t>
  </si>
  <si>
    <t>PLM Support Kalypso</t>
  </si>
  <si>
    <t>Decommissioning due to Hamilton Grand Roll Out</t>
  </si>
  <si>
    <t>Oracle Rebudgetting</t>
  </si>
  <si>
    <t>5. Polish license – Database (9526212)</t>
  </si>
  <si>
    <t>Decommissioned</t>
  </si>
  <si>
    <t>3. Oracle Maintenance TAS/Influe Rename :5829345 Oracle Database Enterprise Edtiion - Named User Plus Perpetual</t>
  </si>
  <si>
    <t>Renamed According to Oracle Contract + Inflation</t>
  </si>
  <si>
    <t>4. BI and Database licenses Rename :5850883 Oracle Database Enterprise Edition - Named user Plus</t>
  </si>
  <si>
    <t>Renamed According to Oracle Contract + License reduction</t>
  </si>
  <si>
    <t>6. Database EE Proc licenses Rename :5950219 Oracle Database Enterprise Edition - Processor Perpetual</t>
  </si>
  <si>
    <t>Partitioning and DB standard edition Rename :15189452 Oracle Database Standard Edition 2 - Processor Perpetual</t>
  </si>
  <si>
    <t>8. Oracle Maintenance SAP Rename :10615492 Oracle Database Enterprise Edition - Processor Perpetual</t>
  </si>
  <si>
    <t>Renamed According to Oracle Contract + Correction Amount</t>
  </si>
  <si>
    <t>2. Denmark licenses (DB and OLAP) Rename :5645063 Oracle Database Enterprise Edition 50 NUP Licenses Perpetual</t>
  </si>
  <si>
    <t>5651323 Oracle Database Standard Edition One - Oracle 1-Click Ordering Program - Processor Perpetual</t>
  </si>
  <si>
    <t>Oracle OTM Rename :8308059 Oracle EBS Transportation Management</t>
  </si>
  <si>
    <t>Project Link (Pega)</t>
  </si>
  <si>
    <t>Additional workflows on pega system</t>
  </si>
  <si>
    <t>Pega</t>
  </si>
  <si>
    <t>Signed by business</t>
  </si>
  <si>
    <t>Digital MOS</t>
  </si>
  <si>
    <t>9 sites charge out to factories</t>
  </si>
  <si>
    <t>MOS</t>
  </si>
  <si>
    <t>Murat</t>
  </si>
  <si>
    <t>Exact charge out to be confirmed by Murat</t>
  </si>
  <si>
    <t>SAP security add on</t>
  </si>
  <si>
    <t>Protect4S, Main focus on SAP hardening and vulnerability management</t>
  </si>
  <si>
    <t>Will be included in project budget</t>
  </si>
  <si>
    <t>SAP CDP Project Support</t>
  </si>
  <si>
    <t>CW5465 SAP CDP Project Support</t>
  </si>
  <si>
    <t>Jira License increase</t>
  </si>
  <si>
    <t>Increase userbase from 400 to 500 + additional plug ins</t>
  </si>
  <si>
    <t>MES</t>
  </si>
  <si>
    <t>New</t>
  </si>
  <si>
    <t>Murat Celik</t>
  </si>
  <si>
    <t>EPL</t>
  </si>
  <si>
    <t>Error proof Loading. New</t>
  </si>
  <si>
    <t>Sendgrid</t>
  </si>
  <si>
    <t>Now separated with Microsoft contract (5400849200)</t>
  </si>
  <si>
    <t>Sendgrit</t>
  </si>
  <si>
    <t>Hugo Plaisier</t>
  </si>
  <si>
    <t>Pack Flow 1.0 Still in use</t>
  </si>
  <si>
    <t>Livecom</t>
  </si>
  <si>
    <t>Apparantly this was not decommissioned after Pega Go live</t>
  </si>
  <si>
    <t>Generix</t>
  </si>
  <si>
    <t>Matching budget with actual costs - double entry</t>
  </si>
  <si>
    <t>Remove DXC costs succesfactors</t>
  </si>
  <si>
    <t>No DXC support for succesfactors, this is included in AMS contract</t>
  </si>
  <si>
    <t>DXC</t>
  </si>
  <si>
    <t>DAM licences</t>
  </si>
  <si>
    <t>Digital Asset Management Charge to central DTC</t>
  </si>
  <si>
    <t>These cost will be taken by Central Marketing Dpt as confirmend on 31-8-2021</t>
  </si>
  <si>
    <t xml:space="preserve">Google translate api </t>
  </si>
  <si>
    <t>Ongoing costs. Project Murat to be charged to R&amp;d</t>
  </si>
  <si>
    <t>Vendor code change</t>
  </si>
  <si>
    <t>Changed vendor code Accenture from 118255 to 187516</t>
  </si>
  <si>
    <t>Connected Samba</t>
  </si>
  <si>
    <t>Run costs connected Samba project</t>
  </si>
  <si>
    <t xml:space="preserve">Infinium </t>
  </si>
  <si>
    <t>Corine Beerepoot</t>
  </si>
  <si>
    <t>SAP Cloud Enterprise Agreement</t>
  </si>
  <si>
    <t>Change in Contract setup with SAP</t>
  </si>
  <si>
    <t>Old contract and subscription no longer used, moved to consumption based enterprise contract</t>
  </si>
  <si>
    <t>Azure websites increase</t>
  </si>
  <si>
    <t>representing actuals</t>
  </si>
  <si>
    <t>600K actuals + 50K for growth</t>
  </si>
  <si>
    <t>Split for azure website costs between Retail and professional</t>
  </si>
  <si>
    <t>All website costs are tagged to retail, while 15% of the costs are related to professional</t>
  </si>
  <si>
    <t xml:space="preserve">Smart recruiters </t>
  </si>
  <si>
    <t>contract extension</t>
  </si>
  <si>
    <t>Smart Recruiters</t>
  </si>
  <si>
    <t>licence</t>
  </si>
  <si>
    <t>VPN</t>
  </si>
  <si>
    <t xml:space="preserve">Replacement of SoW 30 VPN implementation van ACN </t>
  </si>
  <si>
    <t>Jeroen/Hugo</t>
  </si>
  <si>
    <t>Ariba contract change</t>
  </si>
  <si>
    <t>Global roll out</t>
  </si>
  <si>
    <t>Stan</t>
  </si>
  <si>
    <t>Ariba support</t>
  </si>
  <si>
    <t>Move support from Key user procerement to accenture</t>
  </si>
  <si>
    <t>Miro</t>
  </si>
  <si>
    <t>Miro collaboartion tooling. 30 licences for Uk&amp;I</t>
  </si>
  <si>
    <t>Licence</t>
  </si>
  <si>
    <t>7600 for UK &amp; I. Adding budget to gather to roll out for other countries</t>
  </si>
  <si>
    <t xml:space="preserve">Platform.sh </t>
  </si>
  <si>
    <t>Insufficient solution sizing</t>
  </si>
  <si>
    <t>Eelke</t>
  </si>
  <si>
    <t>Skype</t>
  </si>
  <si>
    <t>Decomission Skype</t>
  </si>
  <si>
    <t>Changed to teams</t>
  </si>
  <si>
    <t>Saviynt</t>
  </si>
  <si>
    <t>As discussed with Marcel and Carloyn on 7-9-2021</t>
  </si>
  <si>
    <t>Transition to Support Saviynt</t>
  </si>
  <si>
    <t>Needs to part of the project, discussed with Carolyn on 6-9-2021</t>
  </si>
  <si>
    <t>Teams direct Routing</t>
  </si>
  <si>
    <t>BT costs for roll out of Teams</t>
  </si>
  <si>
    <t>Robbert/Henk Kamp</t>
  </si>
  <si>
    <t>Includes gateways, porting, routing</t>
  </si>
  <si>
    <t>Additional internet lines for teams</t>
  </si>
  <si>
    <t>Microsoft Teams</t>
  </si>
  <si>
    <t>Licences</t>
  </si>
  <si>
    <t>Part of microsoft contract</t>
  </si>
  <si>
    <t>Additional storage needed (based on actuals)</t>
  </si>
  <si>
    <t>Decomissioned. We keep it for auditing purposed only. No licences needed</t>
  </si>
  <si>
    <t>Vanessa</t>
  </si>
  <si>
    <t>Decomissioned (replaiced by Aico)</t>
  </si>
  <si>
    <t>Release Management Support Cornerstone</t>
  </si>
  <si>
    <t>Release Management Support Cornerstone. According to actuals</t>
  </si>
  <si>
    <t>Performance, Talent, Succession, Development modules + extension compensation</t>
  </si>
  <si>
    <t>SuccessFactors</t>
  </si>
  <si>
    <t>AMS Succesfactors support increase</t>
  </si>
  <si>
    <t>Support Accenture AMS Talent &amp; performance Successfactors (0,5 fte)</t>
  </si>
  <si>
    <t>Cornerstone performance &amp; Talent</t>
  </si>
  <si>
    <t>Decommissioning Performance module (March 2022)</t>
  </si>
  <si>
    <t>Cornerstone</t>
  </si>
  <si>
    <t>Cruncr</t>
  </si>
  <si>
    <t>Discount due to functionality decommissioned</t>
  </si>
  <si>
    <t>Convercent (helpline)</t>
  </si>
  <si>
    <t>APP002908</t>
  </si>
  <si>
    <t>Helpline</t>
  </si>
  <si>
    <t>No IT contract should this be in AOP?</t>
  </si>
  <si>
    <t>Edicom split</t>
  </si>
  <si>
    <t>Splitting EDI vendor edicom for better transparancy</t>
  </si>
  <si>
    <t>Edicom</t>
  </si>
  <si>
    <t>Moved to Kelvin</t>
  </si>
  <si>
    <t>Name change to CX social</t>
  </si>
  <si>
    <t>Clarabridge</t>
  </si>
  <si>
    <t>Development team digital</t>
  </si>
  <si>
    <t>Move from Agile Office to Operations</t>
  </si>
  <si>
    <t>Capepack</t>
  </si>
  <si>
    <t>Missing in AOP - new app to replace the old one</t>
  </si>
  <si>
    <t>Cape systems ESKO</t>
  </si>
  <si>
    <t>SIAM onboarding costs</t>
  </si>
  <si>
    <t xml:space="preserve">Remove line. Included in run costs. </t>
  </si>
  <si>
    <t>Michal</t>
  </si>
  <si>
    <t>SIAM runcosts</t>
  </si>
  <si>
    <t>Reduced due to contract negotiations</t>
  </si>
  <si>
    <t>95K Adding additional functionality QBR and education</t>
  </si>
  <si>
    <t>Upgraded to Pro + additional licences for compliance</t>
  </si>
  <si>
    <t>Servicenow</t>
  </si>
  <si>
    <t>Additional requirements regarding interfaces</t>
  </si>
  <si>
    <t>Additional licences</t>
  </si>
  <si>
    <t>Gagandeep</t>
  </si>
  <si>
    <t xml:space="preserve">Snow </t>
  </si>
  <si>
    <t>According to actuals</t>
  </si>
  <si>
    <t>Change GL account SAP SSR ATOS</t>
  </si>
  <si>
    <t>Change from 485073033 to 485073030</t>
  </si>
  <si>
    <t>Mismatch budgetting vs actual postings</t>
  </si>
  <si>
    <t>Disaster Recovery Test</t>
  </si>
  <si>
    <t>Decommission this line as this is part of regular service</t>
  </si>
  <si>
    <t>Rolled up in SAP Operations</t>
  </si>
  <si>
    <t>SSR Non-Sap</t>
  </si>
  <si>
    <t>Increase line to mirror SAP amount</t>
  </si>
  <si>
    <t>Adjusted and renamed due to re-contracting with Atos</t>
  </si>
  <si>
    <t>Includes SAP Infrastructure, Storage, Tech. Application Mngt, Batch management</t>
  </si>
  <si>
    <t>Non Standard Services (F5)</t>
  </si>
  <si>
    <t xml:space="preserve">Consolidate into Non-Sap Service line </t>
  </si>
  <si>
    <t>Follow Guidance from Oscar on other change log item</t>
  </si>
  <si>
    <t>Hosting Generic Infrastructure</t>
  </si>
  <si>
    <t>Non-Sap Operations</t>
  </si>
  <si>
    <t>Includes Non-sap Infra, VoC Hotel, Storage, Service Management and Co location service</t>
  </si>
  <si>
    <t>Bonus Atos</t>
  </si>
  <si>
    <t>2% of annual contract value can be awarded</t>
  </si>
  <si>
    <t>Needs to be accrued Seperately</t>
  </si>
  <si>
    <t>XDR (E5 security suite estimate)</t>
  </si>
  <si>
    <t>New XDR solution which is replacing Symantec</t>
  </si>
  <si>
    <t>Email protection</t>
  </si>
  <si>
    <t>Email protection to protect against phishing, spam and malware (MS lacks proper tool, TrendMicro has capabilities which can make this obsolete)</t>
  </si>
  <si>
    <t>Symantec Advanced Threat Protection</t>
  </si>
  <si>
    <t>Will be replaced by XDR</t>
  </si>
  <si>
    <t>Symantec end point protection Global</t>
  </si>
  <si>
    <t>Security Operations Centre Services</t>
  </si>
  <si>
    <t>SOC services cost will drop year over year due to automation and usecase implementation</t>
  </si>
  <si>
    <t>Awaiting input Marcel</t>
  </si>
  <si>
    <t>Azure ATP Licences</t>
  </si>
  <si>
    <t>Azure ATP licenses change to: defender for identities Onderdeel van microsoft contract dus line deleten en toevoegen bij Oscar</t>
  </si>
  <si>
    <t>Managed Service Security Qsight (SOC) KPN</t>
  </si>
  <si>
    <t>Service will be stopped as this will be taken over by Accenture</t>
  </si>
  <si>
    <t>SOC</t>
  </si>
  <si>
    <t>Blue Prism (Robotics)</t>
  </si>
  <si>
    <t>Remainder of BluePrism contract. Blueprism will be terminated in May 2022</t>
  </si>
  <si>
    <t>IBM</t>
  </si>
  <si>
    <t>Uipath licenses</t>
  </si>
  <si>
    <t>Assuming move towards UiPath SaaS instead of on Prem and increase in dev and robot licenses</t>
  </si>
  <si>
    <t>Github</t>
  </si>
  <si>
    <t>According to actuals + additional users</t>
  </si>
  <si>
    <t>Dell Boomi Support</t>
  </si>
  <si>
    <t>Additional developers for migration to Dell boomi</t>
  </si>
  <si>
    <t>Roberto</t>
  </si>
  <si>
    <t>Ipaas Dell Boomi Licences</t>
  </si>
  <si>
    <t>According to new contract / additional licences</t>
  </si>
  <si>
    <t>Dell</t>
  </si>
  <si>
    <t>Seeburger EDI</t>
  </si>
  <si>
    <t>Solace Platform</t>
  </si>
  <si>
    <t>New platform for transffering data</t>
  </si>
  <si>
    <t>Solace</t>
  </si>
  <si>
    <t>Microsoft Azure: Magento hosting</t>
  </si>
  <si>
    <t>Storage usage way higher than anticipated during RFP</t>
  </si>
  <si>
    <t>NewRelic</t>
  </si>
  <si>
    <t>Less functionality used</t>
  </si>
  <si>
    <t>Newrelic</t>
  </si>
  <si>
    <t>Increase in websites</t>
  </si>
  <si>
    <t>310 websites under support</t>
  </si>
  <si>
    <t>According to actuals (BAS hours not charged on projects)</t>
  </si>
  <si>
    <t>0,5 FTE Pega, 0,5 FTE intranet and abab Bas (2.0 FTE offshore)</t>
  </si>
  <si>
    <t>Pega project link support 10K, 60K for succesfactors/HR</t>
  </si>
  <si>
    <t>Pega project link enhancement support 30K +50K enhancement support HR/succesfactors, 10k for IAM</t>
  </si>
  <si>
    <t>UAM requests</t>
  </si>
  <si>
    <t>Increase in UAM requests</t>
  </si>
  <si>
    <t>Increase in monitoring, SF resource and compliance scope + splunk support</t>
  </si>
  <si>
    <t>Rename</t>
  </si>
  <si>
    <t>Rename network services BT to Network services</t>
  </si>
  <si>
    <t>Based on quote</t>
  </si>
  <si>
    <t>Security-factories</t>
  </si>
  <si>
    <t>Recontracted with OBS</t>
  </si>
  <si>
    <t>New line item Recontracted with OBS</t>
  </si>
  <si>
    <t>Change vendor from BT to Orange</t>
  </si>
  <si>
    <t>New linte item: change vendor to orange</t>
  </si>
  <si>
    <t>New line item: OBS</t>
  </si>
  <si>
    <t>Sdriguess</t>
  </si>
  <si>
    <t>Added small Amount for Teams</t>
  </si>
  <si>
    <t>Tdriguesa</t>
  </si>
  <si>
    <t xml:space="preserve">Mdrigues </t>
  </si>
  <si>
    <t>According to new contract and including Microsoft teams &amp; defender for identity (security suite)</t>
  </si>
  <si>
    <t>Microsoft Azure: EUS / Infra</t>
  </si>
  <si>
    <t>Microsoft Azure: CCM</t>
  </si>
  <si>
    <t>Rename to:Microsoft Azure : CTS_IOT'</t>
  </si>
  <si>
    <t>Microsoft Azure: Start (Brazil)</t>
  </si>
  <si>
    <t>Based on actuals</t>
  </si>
  <si>
    <t>Microsoft Azure: Azure Marketplace</t>
  </si>
  <si>
    <t>New row added</t>
  </si>
  <si>
    <t>Microsoft Azure: Data &amp; Analytics</t>
  </si>
  <si>
    <t>Rename: Microsoft Azure : Human Data</t>
  </si>
  <si>
    <t>Microsoft Azure: ACN_SPLUNK-Prod</t>
  </si>
  <si>
    <t>Microsoft Azure: ACN_RAS</t>
  </si>
  <si>
    <t>Microsoft Azure: ACN_SOC-IT</t>
  </si>
  <si>
    <t>Move ownership to Kelvin</t>
  </si>
  <si>
    <t>Increased for the MS Unify product (premier support is not offered any  longer)</t>
  </si>
  <si>
    <t>Service Integration</t>
  </si>
  <si>
    <t>Estimate based on continuation of the last part of BT's network services into 2022</t>
  </si>
  <si>
    <t>Rename to WAN - OBS</t>
  </si>
  <si>
    <t>Network SSR's &amp; NSSR's</t>
  </si>
  <si>
    <t>Change supplier to OBS</t>
  </si>
  <si>
    <t>NdriguesN</t>
  </si>
  <si>
    <t>Reduced because moving to OBS</t>
  </si>
  <si>
    <t>Based on forecast from OBS</t>
  </si>
  <si>
    <t>Support increased because servers increased</t>
  </si>
  <si>
    <t>Remove line item (double entry?)</t>
  </si>
  <si>
    <t>Skype for Business: rename to Teams direct routing</t>
  </si>
  <si>
    <t>Non-Standard Services (F5)</t>
  </si>
  <si>
    <t>Remove line as Atos is not responsible for this</t>
  </si>
  <si>
    <t>Non-Standard Services (StoreOnce + StorSimple)</t>
  </si>
  <si>
    <t xml:space="preserve">Remove storsimple from name </t>
  </si>
  <si>
    <t>HP</t>
  </si>
  <si>
    <t>The amount is higher because of a new way of counting the manner in which data storage is counted</t>
  </si>
  <si>
    <t xml:space="preserve">MICRdrigues </t>
  </si>
  <si>
    <t>Adobe Design</t>
  </si>
  <si>
    <t>Increase in users</t>
  </si>
  <si>
    <t>Not all Mus are using it. Therfore amount reduced</t>
  </si>
  <si>
    <t>Enterprise voice support - NSSRs or minor modifications</t>
  </si>
  <si>
    <t>new line item</t>
  </si>
  <si>
    <t>Skype for Business SSR's &amp; NSSR's</t>
  </si>
  <si>
    <t>rename to: Teams direct Routing - NSSRs</t>
  </si>
  <si>
    <t>Enterprise voice support</t>
  </si>
  <si>
    <t>New line item Support accenture</t>
  </si>
  <si>
    <t>ProCampaign</t>
  </si>
  <si>
    <t>SalesForce Return Path (Sender Domain Management )</t>
  </si>
  <si>
    <t>SAP APO additional dev capacity</t>
  </si>
  <si>
    <t>Continuation of change log in AOP22 file</t>
  </si>
  <si>
    <t>Oasis transition to support</t>
  </si>
  <si>
    <t>Once off</t>
  </si>
  <si>
    <t>Curvature</t>
  </si>
  <si>
    <t>Not decomissioned yet</t>
  </si>
  <si>
    <t>SAP APO</t>
  </si>
  <si>
    <t>Additional dev capacity</t>
  </si>
  <si>
    <t>Rory</t>
  </si>
  <si>
    <t>Metapack for Pudo services</t>
  </si>
  <si>
    <t>to be able to slect pick up points</t>
  </si>
  <si>
    <t xml:space="preserve">SPSS </t>
  </si>
  <si>
    <t xml:space="preserve">Annual upgrade </t>
  </si>
  <si>
    <t>Additional landscpae for annual upgrade</t>
  </si>
  <si>
    <t>D&amp;A retail support</t>
  </si>
  <si>
    <t>18 additional dashboards to support. Adding 2 support FTE</t>
  </si>
  <si>
    <t>Dar Sias</t>
  </si>
  <si>
    <t>To be confirmed tomorrow</t>
  </si>
  <si>
    <t>Power Bi</t>
  </si>
  <si>
    <t>Licence increase</t>
  </si>
  <si>
    <t>Licence increase + SAC POC</t>
  </si>
  <si>
    <t>Decrease in licences and negotiating of the contract</t>
  </si>
  <si>
    <t>Kelvin/Koen</t>
  </si>
  <si>
    <t>Actuals 1,360,000 -&gt; 140k buffer included. Additional users for CH/FR in project budget / renegotiation per november '22 required; to be catered for potential</t>
  </si>
  <si>
    <t>Salesforce Marketing Cloud Licenses Professional</t>
  </si>
  <si>
    <t>Decrease in licences</t>
  </si>
  <si>
    <t>Click Annual Subscription</t>
  </si>
  <si>
    <t>according to actuals</t>
  </si>
  <si>
    <t>Coens</t>
  </si>
  <si>
    <t>Epifind</t>
  </si>
  <si>
    <t>Increase. Move ownership to Kelvin</t>
  </si>
  <si>
    <t>Company.info</t>
  </si>
  <si>
    <t>New tool: Credit checks</t>
  </si>
  <si>
    <t>Company</t>
  </si>
  <si>
    <t>Sonar Cloud</t>
  </si>
  <si>
    <t>New tool</t>
  </si>
  <si>
    <t>Sonar</t>
  </si>
  <si>
    <t>Kendis</t>
  </si>
  <si>
    <t xml:space="preserve">PACKFLOW 2.0 </t>
  </si>
  <si>
    <t>Only used by Russia, replaced by Syncforce</t>
  </si>
  <si>
    <t>PACKFLOW</t>
  </si>
  <si>
    <t xml:space="preserve">Syncforce support </t>
  </si>
  <si>
    <t>Global Water fall (GWF) + IQS</t>
  </si>
  <si>
    <t>Glikl</t>
  </si>
  <si>
    <t>Goldfire application</t>
  </si>
  <si>
    <t>Starlims</t>
  </si>
  <si>
    <t>Change charge to SAP users</t>
  </si>
  <si>
    <t>Boost.AI</t>
  </si>
  <si>
    <t>Virtual assistant / chatbot</t>
  </si>
  <si>
    <t>Bas vredenburg</t>
  </si>
  <si>
    <t>Slight decrease expected based on internalization</t>
  </si>
  <si>
    <t>PivendalO</t>
  </si>
  <si>
    <t>Kelvin Divendal</t>
  </si>
  <si>
    <t>Litmus / E-mail on Acid</t>
  </si>
  <si>
    <t>New Application</t>
  </si>
  <si>
    <t>Livendalo</t>
  </si>
  <si>
    <t>PEGA CoffeeCare</t>
  </si>
  <si>
    <t>Upgrade budget</t>
  </si>
  <si>
    <t>PEGA</t>
  </si>
  <si>
    <t>PEGA LINK</t>
  </si>
  <si>
    <t>AutoCad suite</t>
  </si>
  <si>
    <t>Aochemst</t>
  </si>
  <si>
    <t>SAS VA</t>
  </si>
  <si>
    <t>workplace</t>
  </si>
  <si>
    <t>SuccessFactors Charging</t>
  </si>
  <si>
    <t>Changing Charging Key to SAP Users</t>
  </si>
  <si>
    <t>Sepeveenh</t>
  </si>
  <si>
    <t>CSI EUS/INFRA</t>
  </si>
  <si>
    <t>Ian</t>
  </si>
  <si>
    <t>Epi server</t>
  </si>
  <si>
    <t>Trax</t>
  </si>
  <si>
    <t>Recurring costs for integration</t>
  </si>
  <si>
    <t>Cesare</t>
  </si>
  <si>
    <t>Taken out of AOP because there is no APP ID</t>
  </si>
  <si>
    <t>Workplace Charging</t>
  </si>
  <si>
    <t>Change from central charge to user charge</t>
  </si>
  <si>
    <t>As discussed with Michal Orr and confirmed on 31-8-2021</t>
  </si>
  <si>
    <t xml:space="preserve">Apptus/Conga Technical Upgrades 2022 </t>
  </si>
  <si>
    <t>Apptus upgrades / life cycle management moving from IT4IT to operations</t>
  </si>
  <si>
    <t>Coming from IT4IT discussion on 9-9-2021: Taken out again based on request from 13-9-2021; Included again on 29-9-2021</t>
  </si>
  <si>
    <t>Editel CZ, s.r.o.</t>
  </si>
  <si>
    <t>Budget moves to local</t>
  </si>
  <si>
    <t>Editel</t>
  </si>
  <si>
    <t>Grit, s.r.o.</t>
  </si>
  <si>
    <t>Editel AT</t>
  </si>
  <si>
    <t>Editel CZ</t>
  </si>
  <si>
    <t>EDI: Edicom</t>
  </si>
  <si>
    <t>No further changes</t>
  </si>
  <si>
    <t>Epi Find Licences</t>
  </si>
  <si>
    <t>Add new app id for professional webshops so that only 4 countries will be charged</t>
  </si>
  <si>
    <t>Leonie van Ham</t>
  </si>
  <si>
    <t>Leonie discussed this with Kelvin and we will leave it for this year</t>
  </si>
  <si>
    <t>Icron (replacement of caloc licencs &amp; support)</t>
  </si>
  <si>
    <t xml:space="preserve">Saas solution. </t>
  </si>
  <si>
    <t>Icron</t>
  </si>
  <si>
    <t xml:space="preserve">Including support. 300K licence and 29k is hosting. </t>
  </si>
  <si>
    <t>Caloc maintenance</t>
  </si>
  <si>
    <t>Replaced by Icron</t>
  </si>
  <si>
    <t>Caloc</t>
  </si>
  <si>
    <t>Caloc support</t>
  </si>
  <si>
    <t>Zylab France</t>
  </si>
  <si>
    <t>Roll out to France 21-0195</t>
  </si>
  <si>
    <t>Storage &amp; Licenses</t>
  </si>
  <si>
    <t>Bonus Just-Bi</t>
  </si>
  <si>
    <t>Bonus</t>
  </si>
  <si>
    <t>In total cost</t>
  </si>
  <si>
    <t>SF Retail licences</t>
  </si>
  <si>
    <t>XDR costs</t>
  </si>
  <si>
    <t>450 licences</t>
  </si>
  <si>
    <t>?</t>
  </si>
  <si>
    <t>XDR solution</t>
  </si>
  <si>
    <t>ESG tool</t>
  </si>
  <si>
    <t>tbd</t>
  </si>
  <si>
    <t>Agnieska</t>
  </si>
  <si>
    <t>Did not hear anything about this tool</t>
  </si>
  <si>
    <t>Sitecore licences</t>
  </si>
  <si>
    <t>Licences + environments</t>
  </si>
  <si>
    <t>Accenture support Ecommerce</t>
  </si>
  <si>
    <t>Because this team is unsure, costs will be taken by Ludo directly</t>
  </si>
  <si>
    <t>Dell boomi MCS</t>
  </si>
  <si>
    <t xml:space="preserve">4TH tier boomi </t>
  </si>
  <si>
    <t>Aravo Replacement amber road</t>
  </si>
  <si>
    <t>Aravo, APP003015</t>
  </si>
  <si>
    <t>licences</t>
  </si>
  <si>
    <t>Mural</t>
  </si>
  <si>
    <t>Online whiteboard tool. Costs for three countries</t>
  </si>
  <si>
    <t>Combine GL network services &amp; network services other</t>
  </si>
  <si>
    <t>SR, block postings on gl 11</t>
  </si>
  <si>
    <t>Aico upgrade budget</t>
  </si>
  <si>
    <t>Missing in AOP</t>
  </si>
  <si>
    <t>Jenkins</t>
  </si>
  <si>
    <t>Licences. IT4IT?</t>
  </si>
  <si>
    <t>Gagan Sharma</t>
  </si>
  <si>
    <t xml:space="preserve">Reduce ariba costs. Lience costs reduced </t>
  </si>
  <si>
    <t>This was already processes in 2022</t>
  </si>
  <si>
    <t>Licentie kosten 142k ipv 132k plus potentieel upgrade budget tbd</t>
  </si>
  <si>
    <t>Atos Non-Sap Infra</t>
  </si>
  <si>
    <t>Taking out consolidated entry, will replace with detailed server overview</t>
  </si>
  <si>
    <t>APP000034</t>
  </si>
  <si>
    <t>Infra Cost BCC</t>
  </si>
  <si>
    <t>APP000039</t>
  </si>
  <si>
    <t>Infra Cost Accolade (R&amp;D)</t>
  </si>
  <si>
    <t>APP000041</t>
  </si>
  <si>
    <t>Infra Cost PLM4Process (Kalypso)</t>
  </si>
  <si>
    <t>APP000049</t>
  </si>
  <si>
    <t>Infra Cost Concur Expense</t>
  </si>
  <si>
    <t>APP000050</t>
  </si>
  <si>
    <t>Infra Cost Zylab ONE</t>
  </si>
  <si>
    <t>APP000051</t>
  </si>
  <si>
    <t>Infra Cost Goldfire</t>
  </si>
  <si>
    <t>APP000053</t>
  </si>
  <si>
    <t>Infra Cost TAS</t>
  </si>
  <si>
    <t>APP000054</t>
  </si>
  <si>
    <t>Infra Cost RFGEN Global Instance 1</t>
  </si>
  <si>
    <t>APP000061</t>
  </si>
  <si>
    <t>Infra Cost QIS Utrecht - NL</t>
  </si>
  <si>
    <t>APP000205</t>
  </si>
  <si>
    <t>Infra Cost Rantsoen</t>
  </si>
  <si>
    <t>APP000338</t>
  </si>
  <si>
    <t>Infra Cost Qlikview</t>
  </si>
  <si>
    <t>APP000339</t>
  </si>
  <si>
    <t>Infra Cost PROXESS</t>
  </si>
  <si>
    <t>APP000369</t>
  </si>
  <si>
    <t>Infra Cost CAPEPACK</t>
  </si>
  <si>
    <t>APP000374</t>
  </si>
  <si>
    <t>Infra Cost SAFIR (Romania)</t>
  </si>
  <si>
    <t>APP000382</t>
  </si>
  <si>
    <t>Infra Cost Solidworks (UK)</t>
  </si>
  <si>
    <t>APP000383</t>
  </si>
  <si>
    <t>Infra Cost XLSTAT</t>
  </si>
  <si>
    <t>APP000388</t>
  </si>
  <si>
    <t>Infra Cost !mpuls</t>
  </si>
  <si>
    <t>APP000406</t>
  </si>
  <si>
    <t>Infra Cost Janus - SQL DB AFH-MDP EU-3021</t>
  </si>
  <si>
    <t>APP000428</t>
  </si>
  <si>
    <t>Infra Cost Interflex (Germany)</t>
  </si>
  <si>
    <t>APP000458</t>
  </si>
  <si>
    <t>Infra Cost AIS</t>
  </si>
  <si>
    <t>APP000558</t>
  </si>
  <si>
    <t>Infra Cost Bonsai</t>
  </si>
  <si>
    <t>APP000820</t>
  </si>
  <si>
    <t>Infra Cost Honeywell EBI</t>
  </si>
  <si>
    <t>APP000869</t>
  </si>
  <si>
    <t>Infra Cost PDM</t>
  </si>
  <si>
    <t>APP000884</t>
  </si>
  <si>
    <t>Infra Cost Manual Master</t>
  </si>
  <si>
    <t>Will be decommisioned according to Veerle (July 2022)</t>
  </si>
  <si>
    <t>APP000965</t>
  </si>
  <si>
    <t>Infra Cost Proxsafe</t>
  </si>
  <si>
    <t>APP000985</t>
  </si>
  <si>
    <t>Infra Cost DEP CRM - Obrazovka</t>
  </si>
  <si>
    <t>APP000990</t>
  </si>
  <si>
    <t>Infra Cost BOARD</t>
  </si>
  <si>
    <t>APP001088</t>
  </si>
  <si>
    <t>Infra Cost Honeywell</t>
  </si>
  <si>
    <t>APP001157</t>
  </si>
  <si>
    <t>Infra Cost Tax(VAT) reporting application</t>
  </si>
  <si>
    <t>APP001319</t>
  </si>
  <si>
    <t>Infra Cost RFGEN/ NiceLabel Coffee Utrecht</t>
  </si>
  <si>
    <t>APP001424</t>
  </si>
  <si>
    <t>Infra Cost IXOS</t>
  </si>
  <si>
    <t>APP001536</t>
  </si>
  <si>
    <t>Infra Cost i21(iRely)</t>
  </si>
  <si>
    <t>APP001635</t>
  </si>
  <si>
    <t>Infra Cost Winshuttle</t>
  </si>
  <si>
    <t>APP001724</t>
  </si>
  <si>
    <t>Infra Cost Salesforce Sales Cloud Retail</t>
  </si>
  <si>
    <t>APP001797</t>
  </si>
  <si>
    <t>Infra Cost SNOW Software Asset Management</t>
  </si>
  <si>
    <t>APP001821</t>
  </si>
  <si>
    <t>Infra Cost Genesys PureConnect</t>
  </si>
  <si>
    <t>APP001828</t>
  </si>
  <si>
    <t>Infra Cost XTEL</t>
  </si>
  <si>
    <t>APP001857</t>
  </si>
  <si>
    <t>Infra Cost Baylo AGV UK</t>
  </si>
  <si>
    <t>APP001894</t>
  </si>
  <si>
    <t>Infra Cost RFGEN Global Instance 2</t>
  </si>
  <si>
    <t>APP001908</t>
  </si>
  <si>
    <t>Infra Cost Point.X Global Instance</t>
  </si>
  <si>
    <t>APP002012</t>
  </si>
  <si>
    <t>Infra Cost AGVR AGV Joure</t>
  </si>
  <si>
    <t>APP002306</t>
  </si>
  <si>
    <t>Infra Cost PwC Invoicing Tool</t>
  </si>
  <si>
    <t>APP002589</t>
  </si>
  <si>
    <t>Infra Cost Comscale</t>
  </si>
  <si>
    <t>APP002652</t>
  </si>
  <si>
    <t>Infra Cost Alteryx Designer</t>
  </si>
  <si>
    <t>APP002906</t>
  </si>
  <si>
    <t>Infra Cost HarvesterStore (Nordics)</t>
  </si>
  <si>
    <t>APP002912</t>
  </si>
  <si>
    <t>Infra Cost KEVOX</t>
  </si>
  <si>
    <t>Increase of 27% due to more users using the platform (15 new) + increase of the unit price for the server + reduction of the discount model after 3 years contract</t>
  </si>
  <si>
    <t>Microsoft PowerBi</t>
  </si>
  <si>
    <t>Reduction of 32% on the cost due to better negotiations with Microsoft performed by the Vendor Management team.</t>
  </si>
  <si>
    <t>Just BI support retail</t>
  </si>
  <si>
    <t>Just Bi support Professional</t>
  </si>
  <si>
    <t xml:space="preserve">Only operations costs. </t>
  </si>
  <si>
    <t>Qlikview</t>
  </si>
  <si>
    <t>Increased focus on campaigns</t>
  </si>
  <si>
    <t>Switch completely to Qualys as the single VM platform. Servicenow VR module will be cancelled (80K).</t>
  </si>
  <si>
    <t>Servicenow VR module will be cancelled (80K).</t>
  </si>
  <si>
    <t>No reduction according to Michal because of increase in licences</t>
  </si>
  <si>
    <t>Baylo AGV UK</t>
  </si>
  <si>
    <t>Non-SAP</t>
  </si>
  <si>
    <t>Operational</t>
  </si>
  <si>
    <t>Local Business</t>
  </si>
  <si>
    <t>Kathryn Turner</t>
  </si>
  <si>
    <t>Managed Hosting (Private Cloud)</t>
  </si>
  <si>
    <t>Private Cloud - DHC</t>
  </si>
  <si>
    <t>Additional training</t>
  </si>
  <si>
    <t>Azure ATP Support</t>
  </si>
  <si>
    <t>Azure ATP support rename to Accenture SOC services</t>
  </si>
  <si>
    <t>Compliance Support</t>
  </si>
  <si>
    <t>Ad Hoc support for compliance</t>
  </si>
  <si>
    <t>Dedicated Saviynt support team</t>
  </si>
  <si>
    <t>Factory servers remain running on Symantec. APP002630</t>
  </si>
  <si>
    <t>E5 support contract</t>
  </si>
  <si>
    <t>Vendor: Accenture</t>
  </si>
  <si>
    <t>Mandiant Incident Response</t>
  </si>
  <si>
    <t>Both IT and OT incident response. Vendor: Mandiant</t>
  </si>
  <si>
    <t>vendor: Ironscales. APP002997</t>
  </si>
  <si>
    <t>3 year contract in place</t>
  </si>
  <si>
    <t>Protect4S</t>
  </si>
  <si>
    <t>charged to SAP users. Vendor: Protect4S. APP002949</t>
  </si>
  <si>
    <t>Fox IT Services : Recurring service in Security</t>
  </si>
  <si>
    <t>Replaced by the Mandiant IR contract to include OT besides IT</t>
  </si>
  <si>
    <t>Charge to central R&amp;D</t>
  </si>
  <si>
    <t>HarvesterStore (Nordics)</t>
  </si>
  <si>
    <t>IT4BUS</t>
  </si>
  <si>
    <t>Karsten Pedersen</t>
  </si>
  <si>
    <t>Reallocation of Oracle support contract</t>
  </si>
  <si>
    <t>Charging Oracle contract to Local factory in Germany. Oracle Contracts 5829345, 5950219 APP ID :APP000744</t>
  </si>
  <si>
    <t>German factory has a local Oracle database for which licenses are paid centrally and will now be charged directly</t>
  </si>
  <si>
    <t>Service Now Contract Renegotiation</t>
  </si>
  <si>
    <t>Additional user base + additional features</t>
  </si>
  <si>
    <t>Michal Tepchzinksi</t>
  </si>
  <si>
    <t>Blue Prism (Robotics) Decommissioning</t>
  </si>
  <si>
    <t>Blue prism is replaced with UIPath</t>
  </si>
  <si>
    <t>UIPath Direct Licensing</t>
  </si>
  <si>
    <t>Contrating UIPath directly for SaaS solution</t>
  </si>
  <si>
    <t>Licence increase + Support CTAC instead of MDM</t>
  </si>
  <si>
    <t xml:space="preserve">Vanessa </t>
  </si>
  <si>
    <t>Lifecycle budget</t>
  </si>
  <si>
    <t>No oracle or aix planned next year</t>
  </si>
  <si>
    <t>AMS onboarding</t>
  </si>
  <si>
    <t>Landscape refresh activities</t>
  </si>
  <si>
    <t>Not needed this year</t>
  </si>
  <si>
    <t>Cost ompitmized swichting to fixed capacity</t>
  </si>
  <si>
    <t>Sitecore support</t>
  </si>
  <si>
    <t>Support by Avenade</t>
  </si>
  <si>
    <t>Carolina</t>
  </si>
  <si>
    <t>Maksym</t>
  </si>
  <si>
    <t>Gearset</t>
  </si>
  <si>
    <t>Ownback up</t>
  </si>
  <si>
    <t xml:space="preserve">C4C </t>
  </si>
  <si>
    <t>Maintenance budget</t>
  </si>
  <si>
    <t>Xtel AMS Contract</t>
  </si>
  <si>
    <t>Charge to Professional cost center. 15K increase due to inflation</t>
  </si>
  <si>
    <t>Remove from retail cost center</t>
  </si>
  <si>
    <t>Reduction because of less usage (removed italy)</t>
  </si>
  <si>
    <t>Garvis</t>
  </si>
  <si>
    <t>S&amp;M support professional</t>
  </si>
  <si>
    <t>Increase due to more develoments and my services</t>
  </si>
  <si>
    <t>Kelvin</t>
  </si>
  <si>
    <t>TS support professional</t>
  </si>
  <si>
    <t>Decrease based on Jira analysis</t>
  </si>
  <si>
    <t>QTC support professional</t>
  </si>
  <si>
    <t>Roll-outs FR, CH (based on same volumes, 5% price increase and removal of free licenses). Contract renewal November 2022.</t>
  </si>
  <si>
    <t>SalesForce Annual Subscription + Support Professional</t>
  </si>
  <si>
    <t>Marketing Cloud licences included</t>
  </si>
  <si>
    <t>Will be included in general salesforce charge</t>
  </si>
  <si>
    <t xml:space="preserve">Decrease in users from 758 to ~550-600. Price protection will no longer apply; </t>
  </si>
  <si>
    <t>EpiFind licenses</t>
  </si>
  <si>
    <t>Add inflation</t>
  </si>
  <si>
    <t>Will be decomissioned</t>
  </si>
  <si>
    <t>Vonage</t>
  </si>
  <si>
    <t>New tool: Customer Service teams, Telesales teams. PC users, charged to Germany only</t>
  </si>
  <si>
    <t>WeGrow</t>
  </si>
  <si>
    <t>PC users, app ID to be provided by bas. New Tool</t>
  </si>
  <si>
    <t>Savings due to Potential move to Adobe</t>
  </si>
  <si>
    <t>Magento Commerce</t>
  </si>
  <si>
    <t>Magento Order management</t>
  </si>
  <si>
    <t>According to contract</t>
  </si>
  <si>
    <t>decrease</t>
  </si>
  <si>
    <t>CX Social</t>
  </si>
  <si>
    <t>Increase accoridng to actuals</t>
  </si>
  <si>
    <t>Decreased because of Accenture support</t>
  </si>
  <si>
    <t>Swaven</t>
  </si>
  <si>
    <t>Local PO, to be moved centrally on request of Carolina/BAS</t>
  </si>
  <si>
    <t>Agreed with Carolina</t>
  </si>
  <si>
    <t>Support moved from Vaimo to Accenture</t>
  </si>
  <si>
    <t>Browserstack</t>
  </si>
  <si>
    <t>Increase in usage vaimo/ecommerce</t>
  </si>
  <si>
    <t xml:space="preserve">Gagan </t>
  </si>
  <si>
    <t>Includign UTF. According to actuals</t>
  </si>
  <si>
    <t>Websites</t>
  </si>
  <si>
    <t>Increase in websites expected but did not materialize. Websites epected 275 in 2023 (300k)</t>
  </si>
  <si>
    <t>User Management</t>
  </si>
  <si>
    <t>User management decreased because this is moved to enhancements. Based on actuals</t>
  </si>
  <si>
    <t>Decrease accordign to contract negotiations</t>
  </si>
  <si>
    <t xml:space="preserve">Succesfactors support </t>
  </si>
  <si>
    <t>Additional support</t>
  </si>
  <si>
    <t>Service support 24x5</t>
  </si>
  <si>
    <t>Accordign to contract</t>
  </si>
  <si>
    <t>SPSS  upgrade</t>
  </si>
  <si>
    <t>100k According to actuals</t>
  </si>
  <si>
    <t>Accoridng to actuals</t>
  </si>
  <si>
    <t>CANCELLED</t>
  </si>
  <si>
    <t>Change name of Network services BT to Network services</t>
  </si>
  <si>
    <t>Not rolled out to all countries</t>
  </si>
  <si>
    <t>Pedro</t>
  </si>
  <si>
    <t>To be decomissioned, expires june 2023</t>
  </si>
  <si>
    <t>Contracto</t>
  </si>
  <si>
    <t>Amber road</t>
  </si>
  <si>
    <t>To be paid by Global Legal directly</t>
  </si>
  <si>
    <t>According tot actuals</t>
  </si>
  <si>
    <t>Adding ~50k for fixing security related findings like email hardening</t>
  </si>
  <si>
    <t>Oscar</t>
  </si>
  <si>
    <t>Additional 30k licensing needed for factories</t>
  </si>
  <si>
    <t>Additional costs for RDS - Ukraine and Russia</t>
  </si>
  <si>
    <t>Microsoft Azure: Websites</t>
  </si>
  <si>
    <t>Microsoft Azure: CTS_IOT</t>
  </si>
  <si>
    <t>Forecasted was 89k</t>
  </si>
  <si>
    <t>Microsoft Azure: Professional Websites</t>
  </si>
  <si>
    <t>Based on reservations and forecast of 153k by Azure for 2022</t>
  </si>
  <si>
    <t>Based on a forecast of 140K by Azure</t>
  </si>
  <si>
    <t>Microsoft Enterprise Services (Unified/Premier support)</t>
  </si>
  <si>
    <t>Premier support is no longer available from June 2023 and we need to move to Unified support, which is much more expensive.</t>
  </si>
  <si>
    <t>Based on Additional true up  for SQL server usage + Additional licenses for MDE for server (420)</t>
  </si>
  <si>
    <t>Based on a forecast of 28,5K by Azure</t>
  </si>
  <si>
    <t>Based on a forecast of 108K by Azure</t>
  </si>
  <si>
    <t>Based on a forecast of 161K by Azure</t>
  </si>
  <si>
    <t>This budget includes factory firewall support (45k) + factory firewall cobranded maintenance costs (85k )</t>
  </si>
  <si>
    <t>Service integration in the present form is not needed</t>
  </si>
  <si>
    <t>WAN-OBS</t>
  </si>
  <si>
    <t>MPLS=700k; SDWAN=2,6mln; upgrade=185k; gateways=30k;VMS MRC=37k; managed internet access = 270k</t>
  </si>
  <si>
    <t>Please change Vendor to OBS</t>
  </si>
  <si>
    <t>Flex NSSR</t>
  </si>
  <si>
    <t>No more engagement with BT in this area</t>
  </si>
  <si>
    <t>Is Euro 517k; APs and Sw=6k; Ipam=28k; 3P VM = 17k</t>
  </si>
  <si>
    <t>WAN-BT</t>
  </si>
  <si>
    <t>Teams direct routing</t>
  </si>
  <si>
    <t>Non-SAP Operations, Storage, VoC Hotel &amp; Service Management</t>
  </si>
  <si>
    <t>Avg. spend is about 97k per month and is expected to go down</t>
  </si>
  <si>
    <t>divided over applications as infra costs</t>
  </si>
  <si>
    <t>T&amp;M hours, based on RFCs (Infra)</t>
  </si>
  <si>
    <t>Flexera Adminstudio</t>
  </si>
  <si>
    <t>Mekko</t>
  </si>
  <si>
    <t>License costs currently are Euro 80 per license and are expected to increase to Euro 100 per license</t>
  </si>
  <si>
    <t>New costs for Java (6k for laptops and 69k for servers)</t>
  </si>
  <si>
    <t>Ripe NCC</t>
  </si>
  <si>
    <t>Costs for our internet registry</t>
  </si>
  <si>
    <t>PC and Connectivity</t>
  </si>
  <si>
    <t>ClarOTy support at various factories</t>
  </si>
  <si>
    <t>New line item for supporting the ClarOTy installations at various factories</t>
  </si>
  <si>
    <t>Factory Security</t>
  </si>
  <si>
    <t>iPPM</t>
  </si>
  <si>
    <t>Contract negotiations</t>
  </si>
  <si>
    <t>SAP APO Dedicated capacity</t>
  </si>
  <si>
    <t>Open text</t>
  </si>
  <si>
    <t>Managed services + connections set up accoriding to contract</t>
  </si>
  <si>
    <t>Traffic reduced to 50%, to be decomissioned eventually</t>
  </si>
  <si>
    <t>End to end monitoring</t>
  </si>
  <si>
    <t>API Management tool</t>
  </si>
  <si>
    <t>Dell boomi support</t>
  </si>
  <si>
    <t>Moved from ticket to capacity based</t>
  </si>
  <si>
    <t>Incident management</t>
  </si>
  <si>
    <t>Incidents reduced and minus 50000 for Dell boomi</t>
  </si>
  <si>
    <t>Admin changes, to be in line with contract</t>
  </si>
  <si>
    <t>Core AMS - Enhancement Services – AM – SAP/NSA</t>
  </si>
  <si>
    <t>Digital MOS SHE Module</t>
  </si>
  <si>
    <t>Create CMDB app + update OpCos</t>
  </si>
  <si>
    <t>Increase due to MaaS license number increase + Strippenkaart</t>
  </si>
  <si>
    <t>Actemium - Strippenkaart</t>
  </si>
  <si>
    <t>Thinkstep - Sofi</t>
  </si>
  <si>
    <t>Increase due to broadening of scope to JDE ESG fixed reporting. It is currently charged to all Mus, but for next year, it should be charged to all OpCos (Global). Should we reflect that already in CMDB?</t>
  </si>
  <si>
    <t>SUMI Business SLA SIX-MIX</t>
  </si>
  <si>
    <t>Syncforce support</t>
  </si>
  <si>
    <t>Waiting on BO to confirm if there is additional support costs.</t>
  </si>
  <si>
    <t>Change to named licenses did not happen.</t>
  </si>
  <si>
    <t>Check contract.Discuss with Stefan how it should be charged. Only Russia is using it, but it is not clear if the contract has been adjusted</t>
  </si>
  <si>
    <t>EyeQuestion SAAS</t>
  </si>
  <si>
    <t>Safefood 360</t>
  </si>
  <si>
    <t>DTC contract has been terminated. Decomissioned</t>
  </si>
  <si>
    <t>Check the contract</t>
  </si>
  <si>
    <t xml:space="preserve">Value might change if # of licenses is increased. </t>
  </si>
  <si>
    <t>Autocad</t>
  </si>
  <si>
    <t>Increase due to new licensing model + settlement of audit</t>
  </si>
  <si>
    <t>James</t>
  </si>
  <si>
    <t>End of Change log 2022</t>
  </si>
  <si>
    <t>Open Text Archiving</t>
  </si>
  <si>
    <t>Increased annual cost</t>
  </si>
  <si>
    <t>OpenText</t>
  </si>
  <si>
    <t>Nintex workflow Licenses</t>
  </si>
  <si>
    <t>Inflation uplift based on new contract</t>
  </si>
  <si>
    <t>CX SOCIAL</t>
  </si>
  <si>
    <t>Actuals</t>
  </si>
  <si>
    <t>Epi-Use Labs</t>
  </si>
  <si>
    <t>RunMyJobs  (Redwood)</t>
  </si>
  <si>
    <t xml:space="preserve">Replacing SAP CPS </t>
  </si>
  <si>
    <t>RunMyJobs</t>
  </si>
  <si>
    <t>CPS will be out of support and will be replaced with cloud solution</t>
  </si>
  <si>
    <t>Atos Bonus</t>
  </si>
  <si>
    <t>They will likely not reach this bonus so taking it out of AOP</t>
  </si>
  <si>
    <t>Partially Decommissioned</t>
  </si>
  <si>
    <t>Succesfactors Support LMS (new module)</t>
  </si>
  <si>
    <t>C4C support (move to dedicated resource)</t>
  </si>
  <si>
    <t>Bas</t>
  </si>
  <si>
    <t>Increase of 80k and decrease of 120k results in decrease of 40k</t>
  </si>
  <si>
    <t>80K for TAS</t>
  </si>
  <si>
    <t>Developer will not be extended in 2024. agreement based for MT costs savings</t>
  </si>
  <si>
    <t>Azure cloud monitoring &amp; support</t>
  </si>
  <si>
    <t>Not materialized</t>
  </si>
  <si>
    <t>Compliance support</t>
  </si>
  <si>
    <t>Additional support moved to AMS</t>
  </si>
  <si>
    <t>Test resource</t>
  </si>
  <si>
    <t>Testing resource</t>
  </si>
  <si>
    <t>Gagan</t>
  </si>
  <si>
    <t>Decrease in enhancement hours. Moet dit nog hoger?</t>
  </si>
  <si>
    <t>decrease?</t>
  </si>
  <si>
    <t xml:space="preserve">Jira </t>
  </si>
  <si>
    <t>Jira Increase in licences</t>
  </si>
  <si>
    <t>Own back up</t>
  </si>
  <si>
    <t>Increase to 100k because we are adding back up and archiving</t>
  </si>
  <si>
    <t>Sudish</t>
  </si>
  <si>
    <t>To check with Oscar</t>
  </si>
  <si>
    <t>Cost center change, charged to professional</t>
  </si>
  <si>
    <t>Increase in licences</t>
  </si>
  <si>
    <t>Licence negotiation</t>
  </si>
  <si>
    <t>SIAM</t>
  </si>
  <si>
    <t>SIAM recontracting, building servicenow capabilities. Change name to: Service Management, servicenow and platform</t>
  </si>
  <si>
    <t>90k increase reduced, mt decision</t>
  </si>
  <si>
    <t>ITSM SIAMS / EUC</t>
  </si>
  <si>
    <t>Onboarding costs + change name</t>
  </si>
  <si>
    <t>IT2 - Retail price increase</t>
  </si>
  <si>
    <t>Rabish</t>
  </si>
  <si>
    <t>AG5</t>
  </si>
  <si>
    <t>Not contracted globally, but locally hence take this out of AOP</t>
  </si>
  <si>
    <t>No longer needed after COVID. Decomissioned</t>
  </si>
  <si>
    <t>Replaced by SF Learning</t>
  </si>
  <si>
    <t>Support cornerstone</t>
  </si>
  <si>
    <t>Will be done by Accenture</t>
  </si>
  <si>
    <t>Visier</t>
  </si>
  <si>
    <t>New HR analytics tooling, licences and support</t>
  </si>
  <si>
    <t>Will be replaced by Visier</t>
  </si>
  <si>
    <t>Qualtrics licences</t>
  </si>
  <si>
    <t>New survey tooling in HR</t>
  </si>
  <si>
    <t>Qualtrics Support</t>
  </si>
  <si>
    <t>Increase in licences because of new learning module</t>
  </si>
  <si>
    <t>Salesforce annual subscription</t>
  </si>
  <si>
    <t>Getfeedback</t>
  </si>
  <si>
    <t>NEW tool</t>
  </si>
  <si>
    <t>Contract negotiation savings</t>
  </si>
  <si>
    <t>Included in Salesforce contract</t>
  </si>
  <si>
    <t>Professional S&amp;M</t>
  </si>
  <si>
    <t>Professional S&amp;M. Change vendor to Emakina</t>
  </si>
  <si>
    <t>Professional QTC</t>
  </si>
  <si>
    <t>Prossional DevOps QTC Support. Change vendor to Globant</t>
  </si>
  <si>
    <t>Professional TS</t>
  </si>
  <si>
    <t>Porfessional devops TS. Change vendor to Emakina</t>
  </si>
  <si>
    <t>New contract and native connector</t>
  </si>
  <si>
    <t>Amber road rps</t>
  </si>
  <si>
    <t>Contract will be decomissioned April 2024</t>
  </si>
  <si>
    <t>Aravo</t>
  </si>
  <si>
    <t>refinitiv conection</t>
  </si>
  <si>
    <t>Refinitiv - NEW</t>
  </si>
  <si>
    <t>vendor code: 117547. APP003162</t>
  </si>
  <si>
    <t>Plat4mation Hospitality App - NEW</t>
  </si>
  <si>
    <t>Workplace licences</t>
  </si>
  <si>
    <t>Growth expecated</t>
  </si>
  <si>
    <t>Sharegate</t>
  </si>
  <si>
    <t>New 3 year contract</t>
  </si>
  <si>
    <t>Martijn Smeitink</t>
  </si>
  <si>
    <t>Microsoft Power Platform</t>
  </si>
  <si>
    <t>New licences</t>
  </si>
  <si>
    <t>Support costs retail (40+ projects moving to support)</t>
  </si>
  <si>
    <t>260k increase removed, MT decision</t>
  </si>
  <si>
    <t>Microsoft azure start Brazil</t>
  </si>
  <si>
    <t>Microsoft Power Bi</t>
  </si>
  <si>
    <t>Premium capacity + future growth (increasen 2 capacities at a cost of 26,5k each</t>
  </si>
  <si>
    <t>Forecast &amp; inventory module for spare parts</t>
  </si>
  <si>
    <t xml:space="preserve">Sharath </t>
  </si>
  <si>
    <t>Contract until December 2025. OpCos updated. 313k (10 sites)+128.5k (5 sites)+40k(BAU strippenkaart)</t>
  </si>
  <si>
    <t>She module</t>
  </si>
  <si>
    <t>12k for strippenkaart</t>
  </si>
  <si>
    <t>Inflation</t>
  </si>
  <si>
    <t>IQS now excluded because this is a local contract (only used in UK). GWF contract until December 2025, termination at any time with notice period of 90 days.</t>
  </si>
  <si>
    <t>179k + 20k provisioned for new licenses</t>
  </si>
  <si>
    <t>PLM Hamilton Grant</t>
  </si>
  <si>
    <t>350k for retail, affiliates 20k, aditional enviroment 8k, Strippenkaart 30k</t>
  </si>
  <si>
    <t>Coffee Care licenses</t>
  </si>
  <si>
    <t>Contract renewal in Q1 2024. 5% potential increase included</t>
  </si>
  <si>
    <t>Project Link (Pega) + BIX - Central R&amp;D</t>
  </si>
  <si>
    <t>5% potential increase included. 1/3 charged to R&amp;D; 2/3 to the markets</t>
  </si>
  <si>
    <t>Project Link (Pega) + BIX - Markets</t>
  </si>
  <si>
    <t>Risk management (90k) addded</t>
  </si>
  <si>
    <t>Accolade was an on-prem solution and has been migrated to cloud. The SaaS subscription costs became 235k.</t>
  </si>
  <si>
    <t>Annual SaaS subscription: €38.400 + Annual licenses: €40.157</t>
  </si>
  <si>
    <t>To be decomissioned this year</t>
  </si>
  <si>
    <t>Microsoft Azure: ecommerce Magento hosting</t>
  </si>
  <si>
    <t>Moved to adobe</t>
  </si>
  <si>
    <t>Platform.sh (Magento Hosting)</t>
  </si>
  <si>
    <t>Moved to Adobe</t>
  </si>
  <si>
    <t>Vaimo Application support</t>
  </si>
  <si>
    <t>According to vendor Management (actuals)</t>
  </si>
  <si>
    <t>Decomissioned, move to Cloud</t>
  </si>
  <si>
    <t>Magento Commerce Cloud</t>
  </si>
  <si>
    <t>NEW. Vendor Adobe</t>
  </si>
  <si>
    <t>Magento Order Management</t>
  </si>
  <si>
    <t>Decomissioned. Move to Salesforce</t>
  </si>
  <si>
    <t>Decomissioned. Included in the cloud licences</t>
  </si>
  <si>
    <t>Metapack for Pudo services (Pick up points)</t>
  </si>
  <si>
    <t>Additional service</t>
  </si>
  <si>
    <t>Ecommerce Application Support</t>
  </si>
  <si>
    <t>WeGrow licences + upgrade</t>
  </si>
  <si>
    <t>Less usage than anticipated</t>
  </si>
  <si>
    <t>Salesforce OMS</t>
  </si>
  <si>
    <t>NEW, Cental charge to DTC</t>
  </si>
  <si>
    <t>OneTrust</t>
  </si>
  <si>
    <t>NEW - Moved from central budget to GIS, charged to PC users</t>
  </si>
  <si>
    <t>Artefact support (GA/GTM/OT) Digital</t>
  </si>
  <si>
    <t>NEW - Moved from central budget to GIS. Charge to PC users, APP003153</t>
  </si>
  <si>
    <t>Artefact support (GA/GTM/OT) eCommerce</t>
  </si>
  <si>
    <t>NEW - Moved from central budget to GIS, charged to DTC</t>
  </si>
  <si>
    <t>GA/GTM contract</t>
  </si>
  <si>
    <t>NEW - APP003153, Charge to PC users</t>
  </si>
  <si>
    <t xml:space="preserve"> GetFeedback RTL</t>
  </si>
  <si>
    <t>NEW - CHECK, Charge to DTC</t>
  </si>
  <si>
    <t>Microsoft Azure: ecommerce Hypgraph hosting</t>
  </si>
  <si>
    <t>charge to DTC</t>
  </si>
  <si>
    <t>15189452 Oracle Database Standard Edition 2 - Processor Perpetual</t>
  </si>
  <si>
    <t>Oracle inflation increase</t>
  </si>
  <si>
    <t>10615492 Oracle Database Enterprise Edition - Processor Perpetual</t>
  </si>
  <si>
    <t>5850883 Oracle Database Enterprise Edition - Named user Plus</t>
  </si>
  <si>
    <t>5950219 Oracle Database Enterprise Edition - Processor Perpetual</t>
  </si>
  <si>
    <t>8308059 Oracle EBS Transportation Management</t>
  </si>
  <si>
    <t>5829345 Oracle Database Enterprise Edtiion - Named User Plus Perpetual</t>
  </si>
  <si>
    <t>Salesforce Marketing / Sales Cloud licenses Retail</t>
  </si>
  <si>
    <t>Dev team digital</t>
  </si>
  <si>
    <t>Additional capacity for migration</t>
  </si>
  <si>
    <t>iPaaS Dellboomi DevOps Support</t>
  </si>
  <si>
    <t>1 additional senior resource for upcoming projects</t>
  </si>
  <si>
    <t>Resource will be part of project budget</t>
  </si>
  <si>
    <t>iPaaS DellBoomi Licenses</t>
  </si>
  <si>
    <t>10 new licenses added</t>
  </si>
  <si>
    <t>Open Text Business Network (VAN)</t>
  </si>
  <si>
    <t>Real cost based on contract + 3% yearly increase</t>
  </si>
  <si>
    <t>All mappings for customers to be kept in Seeburger</t>
  </si>
  <si>
    <t>Azure API Management tool</t>
  </si>
  <si>
    <t>Additional license costs</t>
  </si>
  <si>
    <t>These are the costs for supporting Beyond Trust in 2024 for 50% of the factotries + half of RDS support costs (ramp down of RDS is assumed to be at 50%)</t>
  </si>
  <si>
    <t>Local Application Hosting Central Servers &amp; Storage</t>
  </si>
  <si>
    <t>Based on the information provided by Accenture's proposal. Is subject to change based on EUS contract renewal rates.</t>
  </si>
  <si>
    <t>Adjusted on 24th of July. EUS contract not finalized</t>
  </si>
  <si>
    <t>Local Application Hosting Central Servers</t>
  </si>
  <si>
    <t>Factory costs removed, this line item is only for IT</t>
  </si>
  <si>
    <t>End User Computing Central RDS</t>
  </si>
  <si>
    <t>Reduced because of move from RDS to AVD</t>
  </si>
  <si>
    <t>Accenture SOC services</t>
  </si>
  <si>
    <t>These estimates are as per the new Accenture proposal (yet to be finalized at the time of creating this 09 June)
Includes :
AD, AAD, PKI support = 505k
SOC = 512k
Qualys scanning = 438k
Symantec, Avecto, MDE = 113k
Security integration = 288k</t>
  </si>
  <si>
    <t>E5 Support contract (EUC)</t>
  </si>
  <si>
    <t>Reduced and is needed to cover for Symantec only until April 2024</t>
  </si>
  <si>
    <t>Non-SAP Operations SSR's &amp; NSSR's</t>
  </si>
  <si>
    <t>Uplift of 2% for paying SCF charges</t>
  </si>
  <si>
    <t>Microsoft Azure : Data &amp; Analytics</t>
  </si>
  <si>
    <t>Based on actual Azure costs for May 22 to April 23 of Euro 225k</t>
  </si>
  <si>
    <t>Based on actual Azure costs for May 22 to April 23 of Euro 104k</t>
  </si>
  <si>
    <t>As per MS contract + price increases starting in 2023 +  200 new licenses for Campos (50K)</t>
  </si>
  <si>
    <t>Microsoft Enterprise Services [Microsoft Enterprise Services - Unified support]</t>
  </si>
  <si>
    <t>Increase in costs as we are moving from Premier support to Unified support and costs change to a percentage of our total MS spend</t>
  </si>
  <si>
    <t>Based on actual Azure costs for May 22 to April 23 of Euro 83k</t>
  </si>
  <si>
    <t>Based on actual Azure costs for May 22 to April 23 of Euro 120k</t>
  </si>
  <si>
    <t>Based on actual Azure costs for May 22 to April 23 of Euro 171k</t>
  </si>
  <si>
    <t>Microsoft True-up</t>
  </si>
  <si>
    <t>Additional costs for MS Team Rooms Pro licenses + Powerapps licenses (for nintex migration too)</t>
  </si>
  <si>
    <t>Security (+Zscaler / Security + IPAM)</t>
  </si>
  <si>
    <t>Reduced, including uplift of 2% for paying SCF charges</t>
  </si>
  <si>
    <t>ClarOTy support for the factories</t>
  </si>
  <si>
    <t>Increase in costs to accommodate 12 months of line costs for Campos (3 new sites) + increase for DDoS + 50k bandwidth upgrades+ addition of new sites in MY, US etc. + Uplift of 2% for paying SCF charges</t>
  </si>
  <si>
    <t xml:space="preserve">144k WAN Campos costs deleted, will be part of the project </t>
  </si>
  <si>
    <t>TelcoView</t>
  </si>
  <si>
    <t>Reduced due to reduced scope</t>
  </si>
  <si>
    <t>Added 32k based on the true  up</t>
  </si>
  <si>
    <t>This will be paid for by the SLR III project</t>
  </si>
  <si>
    <t>Although this line is decomissioned, we still need this to pay for hosting core infra.</t>
  </si>
  <si>
    <t>CCoE platfrom support (Azure WAF Landing Zone support, other LZ support, tennant support etc.)</t>
  </si>
  <si>
    <t>Added for supporting our CCoE core infrastructure</t>
  </si>
  <si>
    <t>Azure connectivity hub</t>
  </si>
  <si>
    <t>Added for supporting the network part of our CCoE core infrastructure</t>
  </si>
  <si>
    <t>AVD Support</t>
  </si>
  <si>
    <t>AVD support costs based on the latest Accenture proposal</t>
  </si>
  <si>
    <t>MU only - These are the MU backup licensing costs and need to be cross charged to the factory</t>
  </si>
  <si>
    <t>Non-Standard Services (StoreOnce or another backup solution )</t>
  </si>
  <si>
    <t>MU only - These are for the MU backup solution (non standard requests)</t>
  </si>
  <si>
    <t>Software assurance (StoreOnce or another backup solution)</t>
  </si>
  <si>
    <t>MU only - These are the MU backup solution maintenance costs to the backup solution vendor</t>
  </si>
  <si>
    <t xml:space="preserve">AVEVA </t>
  </si>
  <si>
    <t>Support fee for template maintain processes</t>
  </si>
  <si>
    <t>Jelmder de Jong</t>
  </si>
  <si>
    <t>Support fee for 24/7 support for the plants using</t>
  </si>
  <si>
    <t>Licence related fee for software maintenance &amp; support</t>
  </si>
  <si>
    <t>Jira support</t>
  </si>
  <si>
    <t>Jira support resource</t>
  </si>
  <si>
    <t>Additional budget outsourcing requests core functions</t>
  </si>
  <si>
    <t>Incident maangement</t>
  </si>
  <si>
    <t>SAP C4C moved to dedicate resource</t>
  </si>
  <si>
    <t>260 websites live</t>
  </si>
  <si>
    <t>Azure costs decrease</t>
  </si>
  <si>
    <t>T&amp;M Infrastructure changes; AVD, adding DNS records, modifying volumes (Infra)</t>
  </si>
  <si>
    <t>Additional budget to accommodate small changes</t>
  </si>
  <si>
    <t>Pro.File</t>
  </si>
  <si>
    <t>GE Light Decide4Action</t>
  </si>
  <si>
    <t>Planisware</t>
  </si>
  <si>
    <t>Apttio decom</t>
  </si>
  <si>
    <t>Tamara</t>
  </si>
  <si>
    <t>Xtel Application AMS Support</t>
  </si>
  <si>
    <t xml:space="preserve">Xtel Application RFQ / Change budget </t>
  </si>
  <si>
    <t>Xtel Maintenance Fee</t>
  </si>
  <si>
    <t>SAP 5% maintenance increase</t>
  </si>
  <si>
    <t>END OF CHANGE LOG 2024</t>
  </si>
  <si>
    <t>HYGRAPH</t>
  </si>
  <si>
    <t>New app, charge to central DTC APP003154</t>
  </si>
  <si>
    <t xml:space="preserve">IT2 </t>
  </si>
  <si>
    <t>Cost increase</t>
  </si>
  <si>
    <t>Oracle contract termination</t>
  </si>
  <si>
    <t>5829345 Oracle Database Enterprise Edition - Named User Plus Perpetual</t>
  </si>
  <si>
    <t>Saving on ops services</t>
  </si>
  <si>
    <t>Suppport</t>
  </si>
  <si>
    <t>changed charging key to PC users for a better charge out</t>
  </si>
  <si>
    <t>Infra cost QlikView</t>
  </si>
  <si>
    <t>To be decommisisoned in Atos DC</t>
  </si>
  <si>
    <t>Infra cost Kevox</t>
  </si>
  <si>
    <t>Has been decommissioned</t>
  </si>
  <si>
    <t>Infra cost PDM</t>
  </si>
  <si>
    <t>Moved to Saas in 2024</t>
  </si>
  <si>
    <t>Garvis Roll out</t>
  </si>
  <si>
    <t>Extending to other Professional markets</t>
  </si>
  <si>
    <t>Sharath</t>
  </si>
  <si>
    <t>Pending input Sharath</t>
  </si>
  <si>
    <t>Billtrust E-Invoicing</t>
  </si>
  <si>
    <t>New Solution</t>
  </si>
  <si>
    <t>Decommissioning</t>
  </si>
  <si>
    <t>Insta Punch out</t>
  </si>
  <si>
    <t>Replacing Shopspray</t>
  </si>
  <si>
    <t>Conga increase</t>
  </si>
  <si>
    <t>Due to Fast forward</t>
  </si>
  <si>
    <t>New entiries to be added in CMDB end of 2024</t>
  </si>
  <si>
    <t>Salesforce license increase</t>
  </si>
  <si>
    <t>Decrease due to move Salesforce</t>
  </si>
  <si>
    <t>Leonie Ham</t>
  </si>
  <si>
    <t>EPI Server licenses</t>
  </si>
  <si>
    <t>Double check end of July</t>
  </si>
  <si>
    <t>Change cost center for Ownbackup</t>
  </si>
  <si>
    <t>Move to Ops</t>
  </si>
  <si>
    <t>Change cost center for Gearset</t>
  </si>
  <si>
    <t>Change cost center for Kendis</t>
  </si>
  <si>
    <t>Increase in support due to Fast forward</t>
  </si>
  <si>
    <t>Increase in scope NZ, AU, BE + inflation</t>
  </si>
  <si>
    <t>Contract change</t>
  </si>
  <si>
    <t>New module</t>
  </si>
  <si>
    <t>Contract extension</t>
  </si>
  <si>
    <t>Pending input VM, likely less cost</t>
  </si>
  <si>
    <t>Define charging Key in SAP L_AIC_USERS</t>
  </si>
  <si>
    <t>Charging Key</t>
  </si>
  <si>
    <t>Decomissioned due to migration to Optimizely</t>
  </si>
  <si>
    <t>Cognizant business services support</t>
  </si>
  <si>
    <t>Robin, you can mark this as non IT costs as these are pure marketing services. Exact costs to be confirmed by Bas</t>
  </si>
  <si>
    <t>Bas offshore reduction. All BAS offshore in 2025</t>
  </si>
  <si>
    <t>Core AMS - Incident Management Services</t>
  </si>
  <si>
    <t>Reduction in monthly incident inflow (350 per month)</t>
  </si>
  <si>
    <t>Moved to Optimizely and Dev team digital</t>
  </si>
  <si>
    <t>Core AMS - Websites</t>
  </si>
  <si>
    <t>Moved to Optimizely. Domain and certificate management remains with Accenture (70k)</t>
  </si>
  <si>
    <t xml:space="preserve">Additional core functions budget </t>
  </si>
  <si>
    <t>Budget utilized for: Tas developer + SME support (CCN114 and 114a incidetns and enhancements added to those lines) &amp; r&amp;d resource. Total costs of 153k</t>
  </si>
  <si>
    <t>Based on actuals (junior resource)</t>
  </si>
  <si>
    <t>DevOps engineer SF PMT Team</t>
  </si>
  <si>
    <t>Apptio Licence</t>
  </si>
  <si>
    <t>Decomissioning Apttio</t>
  </si>
  <si>
    <t>Apttio Support</t>
  </si>
  <si>
    <t>Optimizely</t>
  </si>
  <si>
    <t>Licences &amp; support</t>
  </si>
  <si>
    <t>number is from Eelke</t>
  </si>
  <si>
    <t>Restricted Party Screening (RPS)</t>
  </si>
  <si>
    <t>Kostya</t>
  </si>
  <si>
    <t>Reducing licenses ahead of Sunsetting Workplace by Meta</t>
  </si>
  <si>
    <t>Final Amount to be confirmed</t>
  </si>
  <si>
    <t>GeONE Excellent Support Bundle (NINTEX)</t>
  </si>
  <si>
    <t>Nintex Workflow Complete Pack</t>
  </si>
  <si>
    <t>Decommissioning Q1 2025</t>
  </si>
  <si>
    <t>Microsoft Power Automate</t>
  </si>
  <si>
    <t>Licence increase from IA Program</t>
  </si>
  <si>
    <t xml:space="preserve">AG5 </t>
  </si>
  <si>
    <t>Budget moves to central now application is rolled out</t>
  </si>
  <si>
    <t>HURIS Doc managemnt</t>
  </si>
  <si>
    <t>New implementation</t>
  </si>
  <si>
    <t>Legal Privacy management tool</t>
  </si>
  <si>
    <t>Mandatory new implementation</t>
  </si>
  <si>
    <t>Legal COI tool</t>
  </si>
  <si>
    <t>Decommisison</t>
  </si>
  <si>
    <t>Bruna</t>
  </si>
  <si>
    <t>D&amp;A Support Just-bi DevOps</t>
  </si>
  <si>
    <t>Increase in support</t>
  </si>
  <si>
    <t>Linda</t>
  </si>
  <si>
    <t>Pending contract renegotiation</t>
  </si>
  <si>
    <t>Power-Bi</t>
  </si>
  <si>
    <t>Slight increase in users</t>
  </si>
  <si>
    <t>Bruna / Oscar</t>
  </si>
  <si>
    <t>Pending Microsoft contract</t>
  </si>
  <si>
    <t>Azure - Canari Insourcing</t>
  </si>
  <si>
    <t xml:space="preserve">Due to Nielsen data no longer available in Canari as per 1-1-2025 </t>
  </si>
  <si>
    <t>Bruna / Timur</t>
  </si>
  <si>
    <t>To be discussed with Sales team, budget to transfer from business to IT</t>
  </si>
  <si>
    <t>OT Data foundation</t>
  </si>
  <si>
    <t>Project go live</t>
  </si>
  <si>
    <t>To be check with Murat</t>
  </si>
  <si>
    <t>Getfeedback - DTC</t>
  </si>
  <si>
    <t>Decommision</t>
  </si>
  <si>
    <t>Decommission</t>
  </si>
  <si>
    <t>Replacement Sprinklr</t>
  </si>
  <si>
    <t>Sprinklr</t>
  </si>
  <si>
    <t xml:space="preserve">New Solution </t>
  </si>
  <si>
    <t>Decommisison, use functionality is Salesforce</t>
  </si>
  <si>
    <t>Sitecore Support</t>
  </si>
  <si>
    <t>Lowered effort</t>
  </si>
  <si>
    <t>Sitecore Licenses</t>
  </si>
  <si>
    <t>Contract renegotiation</t>
  </si>
  <si>
    <t>Confirmed by Eelke</t>
  </si>
  <si>
    <t>Vaimo Support</t>
  </si>
  <si>
    <t>Change allocation key to PC users</t>
  </si>
  <si>
    <t>Microsoft Azure: ecommerce Hygraph hosting</t>
  </si>
  <si>
    <t>Salesforce Service Cloud Increase</t>
  </si>
  <si>
    <t>Adding Coffee Care users due to Pega replacement</t>
  </si>
  <si>
    <t>DevOps SFDC - DTC</t>
  </si>
  <si>
    <t>One additional FTE to support Service Cloud</t>
  </si>
  <si>
    <t>Coffee Care Support (Pega) Upgrade budget</t>
  </si>
  <si>
    <t>Decommissioned due to pega Replacement</t>
  </si>
  <si>
    <t>BICS License</t>
  </si>
  <si>
    <t>Assuming no additional resourced needed for AMS SF support compared to Pega</t>
  </si>
  <si>
    <t>check with BAS/Stefan</t>
  </si>
  <si>
    <t>-</t>
  </si>
  <si>
    <t>Pending confirmation</t>
  </si>
  <si>
    <t>Memory increase on shared service</t>
  </si>
  <si>
    <t>Introduction MFT</t>
  </si>
  <si>
    <t>E-invoicing</t>
  </si>
  <si>
    <t>Diego</t>
  </si>
  <si>
    <t>Reduction of effort</t>
  </si>
  <si>
    <t>Avecto</t>
  </si>
  <si>
    <t>Increase volume PWC</t>
  </si>
  <si>
    <t>Qualys RUN support</t>
  </si>
  <si>
    <t>CIS securre suite</t>
  </si>
  <si>
    <t>SOW 11 WebApp scanning</t>
  </si>
  <si>
    <t>ICS (AMS) position)</t>
  </si>
  <si>
    <t>Internal Control Supervisor which is mandatory and now outsourced</t>
  </si>
  <si>
    <t>RDD Service</t>
  </si>
  <si>
    <t>OT Cyber Manager (consultant)</t>
  </si>
  <si>
    <t>Check if this needs to be Ops AOP</t>
  </si>
  <si>
    <t>Defender for servers</t>
  </si>
  <si>
    <t>SAP GRC 12 upgrade</t>
  </si>
  <si>
    <t>WO for it compliance</t>
  </si>
  <si>
    <t>If this is PWC, should this contract be on business side?</t>
  </si>
  <si>
    <t>UIPath Licenses</t>
  </si>
  <si>
    <t>Increase in # of modules due to IA program</t>
  </si>
  <si>
    <t>Ahmet</t>
  </si>
  <si>
    <t>Ai program</t>
  </si>
  <si>
    <t>Robotics Team Increase</t>
  </si>
  <si>
    <t>Support 26 Additional automations from IA program</t>
  </si>
  <si>
    <t>Redwood</t>
  </si>
  <si>
    <t>RunMyJobs Licences</t>
  </si>
  <si>
    <t>Robin</t>
  </si>
  <si>
    <t>higher workload</t>
  </si>
  <si>
    <t>SAP Operations Atos</t>
  </si>
  <si>
    <t>Decomm Fiori Instance, CPS</t>
  </si>
  <si>
    <t>Taken out as costs are included in server charges</t>
  </si>
  <si>
    <t>313k (10 sites)+128.5k (5 sites)+ 60K (2 sites) + 50k(BAU strippenkaart)</t>
  </si>
  <si>
    <t>New contract as of August 2024 to be negotiated with ServiceNow (include VendorManagement)</t>
  </si>
  <si>
    <t>12k for strippenkaart. 20% for the memory topic</t>
  </si>
  <si>
    <t>No longer needed due to Pega Decommissioning</t>
  </si>
  <si>
    <t>Inflation ( 3%) + new factories (covered by licences from Russia)</t>
  </si>
  <si>
    <t>Inflation + new factories</t>
  </si>
  <si>
    <t>5% increase in May 2025. Expected growth, 10k added</t>
  </si>
  <si>
    <t>No reference of increase form the vendor. We assumed 10% increase as the licenses expire at the end of November</t>
  </si>
  <si>
    <t>Manufacturing Dashboard Coffee en Tea</t>
  </si>
  <si>
    <t>403k for retail and affiliates + 3% expected increase (12k) + 40k for data director + 30k strippenkaart</t>
  </si>
  <si>
    <t>Goldfire Application</t>
  </si>
  <si>
    <t>10 % uplift requested by them</t>
  </si>
  <si>
    <t>5% increase in the agreement</t>
  </si>
  <si>
    <t>Will be replaced by SalesForce by Jan 2025. Bas V will add the increase on SF side on his AOP.</t>
  </si>
  <si>
    <t>Project Link (Pega) + BIX</t>
  </si>
  <si>
    <t>No change in amount. Contract goes until 2026. Key changed to PC users as it is also used in the markets.</t>
  </si>
  <si>
    <t>Increase due to change in license model. The extra costs are already in the Accolade cost included. the extra 60 K is included in the 290k) after check with Stefan Dijs)</t>
  </si>
  <si>
    <t>[Added 10k for extra the licenses + 5% inflation: Annual SaaS subscription: €40k + Annual licenses: €68k] + 7k for Disclosure module</t>
  </si>
  <si>
    <t>Plat4mation Hospitality App</t>
  </si>
  <si>
    <t>Aveva - 24/7 support</t>
  </si>
  <si>
    <t>This amount is the same as expected actual for 2024</t>
  </si>
  <si>
    <t>Aveva- Licences</t>
  </si>
  <si>
    <t>St Pete will be out of scope, Berlin included, Elmshorn 50%</t>
  </si>
  <si>
    <t>Maintainance fee. Licenses are bought as part of the project and it is one-off cost</t>
  </si>
  <si>
    <t>7K for maintenance &amp; support of current lines in scope. 8K for scope extension to 2 new lines</t>
  </si>
  <si>
    <t>320K licenses, 40K small changes + support</t>
  </si>
  <si>
    <t>FACTS Platform (OT Data Foundation)</t>
  </si>
  <si>
    <t>Base fee for all = 18k + 6k proactive service for Sula + 6k reactive service for Sula</t>
  </si>
  <si>
    <t>Jmp Statistical Discovery Llc</t>
  </si>
  <si>
    <t>Application moving from Local to Global. Used only by R&amp;D, hence charged to Central R&amp;D. 90 day notice there is no mention to fixed increase</t>
  </si>
  <si>
    <t>Charging Key changes L-FACTORIES-SIZE</t>
  </si>
  <si>
    <t>APP000054 RFGEN, APP000065 TraceIT, APP001908 Point X, APP002760 Error Proof Loading, APP003158 Pro.File</t>
  </si>
  <si>
    <t>Charging Key changes L-PC-USERS</t>
  </si>
  <si>
    <t>APP002880 Pega Link</t>
  </si>
  <si>
    <t>Charging Key changes Central</t>
  </si>
  <si>
    <t>APP002944 Google Translate, APP000051 Goldfire Application, APP000354 EyeQuestion SAAS</t>
  </si>
  <si>
    <t>Oracle Direct Application charging</t>
  </si>
  <si>
    <t>Loading Oracle DB Licenses fees onto applications still using Oracle</t>
  </si>
  <si>
    <t>APP000671</t>
  </si>
  <si>
    <t>Splitting Oracle Fees</t>
  </si>
  <si>
    <t>Trend</t>
  </si>
  <si>
    <t>Contract ID</t>
  </si>
  <si>
    <t>Category</t>
  </si>
  <si>
    <t>Line in AOP template</t>
  </si>
  <si>
    <t>Service1</t>
  </si>
  <si>
    <t>Service2</t>
  </si>
  <si>
    <t>Vendor Code</t>
  </si>
  <si>
    <t>Vendor</t>
  </si>
  <si>
    <t>PO</t>
  </si>
  <si>
    <t>Line</t>
  </si>
  <si>
    <t>Owner</t>
  </si>
  <si>
    <t>Consulted</t>
  </si>
  <si>
    <t>Charging Basis</t>
  </si>
  <si>
    <t>FUNCTION</t>
  </si>
  <si>
    <t>AOP 2023</t>
  </si>
  <si>
    <t>AOP 2024</t>
  </si>
  <si>
    <t>Variance</t>
  </si>
  <si>
    <t>% Change</t>
  </si>
  <si>
    <t>Comments</t>
  </si>
  <si>
    <t>% spent</t>
  </si>
  <si>
    <t>Invoice Schedule</t>
  </si>
  <si>
    <t>Method</t>
  </si>
  <si>
    <t>Timing</t>
  </si>
  <si>
    <t>Comments PMO / FIN</t>
  </si>
  <si>
    <t>Active</t>
  </si>
  <si>
    <t>CW3310</t>
  </si>
  <si>
    <t>SRC (PDM) Contribution 1Sync</t>
  </si>
  <si>
    <t>APP000057</t>
  </si>
  <si>
    <t>1SYNC Inc.</t>
  </si>
  <si>
    <t>L-SAP-USERS</t>
  </si>
  <si>
    <t>Shared Platforms</t>
  </si>
  <si>
    <t>GR</t>
  </si>
  <si>
    <t>APP002863</t>
  </si>
  <si>
    <t>4Industry b.v.</t>
  </si>
  <si>
    <t>Marco</t>
  </si>
  <si>
    <t>L-FACTORIES-SIZE</t>
  </si>
  <si>
    <t>Manufacturing</t>
  </si>
  <si>
    <t>Yearly</t>
  </si>
  <si>
    <t>Pre paid</t>
  </si>
  <si>
    <t>APP003053</t>
  </si>
  <si>
    <t>4Industry B.V.</t>
  </si>
  <si>
    <t>L-PC-USERS</t>
  </si>
  <si>
    <t>CW4537</t>
  </si>
  <si>
    <t>APP002398</t>
  </si>
  <si>
    <t>Abbott Informatics Netherlands B.V.</t>
  </si>
  <si>
    <t>Vasco</t>
  </si>
  <si>
    <t>Central</t>
  </si>
  <si>
    <t>R&amp;D</t>
  </si>
  <si>
    <t>APP000007</t>
  </si>
  <si>
    <t>CW4363</t>
  </si>
  <si>
    <t>SAP suite</t>
  </si>
  <si>
    <t>APP000018</t>
  </si>
  <si>
    <t>Lieke</t>
  </si>
  <si>
    <t>Spot</t>
  </si>
  <si>
    <t>Core AMS - Foundation Services</t>
  </si>
  <si>
    <t>Service Reliability Engineers (SRE)</t>
  </si>
  <si>
    <t>Test Factory Services</t>
  </si>
  <si>
    <t>Core AMS - User Management Services</t>
  </si>
  <si>
    <t>Other services/ bonus</t>
  </si>
  <si>
    <t>CW4702</t>
  </si>
  <si>
    <t>SAP Lifecycle Management</t>
  </si>
  <si>
    <t>Service Support 24 X 5 APAC &amp; ANZ</t>
  </si>
  <si>
    <t>Inactive</t>
  </si>
  <si>
    <t>Rob</t>
  </si>
  <si>
    <t>Pre</t>
  </si>
  <si>
    <t>Small projects funding (support)</t>
  </si>
  <si>
    <t>SPSS Upgrade</t>
  </si>
  <si>
    <t>Post</t>
  </si>
  <si>
    <t>Splunk Monitoring</t>
  </si>
  <si>
    <t>Ad hoc support compliance (AMS)</t>
  </si>
  <si>
    <t>APP001010</t>
  </si>
  <si>
    <t>Azure Cloud Monitoring &amp; Support</t>
  </si>
  <si>
    <t>Digital</t>
  </si>
  <si>
    <t>CW5498</t>
  </si>
  <si>
    <t>IT4IT</t>
  </si>
  <si>
    <t>APP001185</t>
  </si>
  <si>
    <t>CW9370</t>
  </si>
  <si>
    <t>APP001725</t>
  </si>
  <si>
    <t>Emakina</t>
  </si>
  <si>
    <t>L-CLICK-USERS</t>
  </si>
  <si>
    <t>Professional DevOps</t>
  </si>
  <si>
    <t>APP001874</t>
  </si>
  <si>
    <t>APP001951</t>
  </si>
  <si>
    <t>Globant</t>
  </si>
  <si>
    <t>L-APT-USERS</t>
  </si>
  <si>
    <t>CW5502</t>
  </si>
  <si>
    <t>APP001975</t>
  </si>
  <si>
    <t>Jeroen</t>
  </si>
  <si>
    <t>Infra/EUS</t>
  </si>
  <si>
    <t>APP002101</t>
  </si>
  <si>
    <t>APP002104</t>
  </si>
  <si>
    <t>APP002132</t>
  </si>
  <si>
    <t>L-SF-USERS</t>
  </si>
  <si>
    <t>APP002609</t>
  </si>
  <si>
    <t>CW10432</t>
  </si>
  <si>
    <t>SuccessFactors Support</t>
  </si>
  <si>
    <t>APP002642</t>
  </si>
  <si>
    <t>Saviynt dedicated support team (EUC)</t>
  </si>
  <si>
    <t>APP002649</t>
  </si>
  <si>
    <t>APP002834</t>
  </si>
  <si>
    <t>FactorySec</t>
  </si>
  <si>
    <t>L-FACTORIES</t>
  </si>
  <si>
    <t>CW4271</t>
  </si>
  <si>
    <t>Infrastructure services: Servers &amp; Storage</t>
  </si>
  <si>
    <t>Infrastructure Cost Non-SAP applications</t>
  </si>
  <si>
    <t>InfraNonSAP</t>
  </si>
  <si>
    <t>Infrastructureservices: Servers</t>
  </si>
  <si>
    <t>CW5500</t>
  </si>
  <si>
    <t>Other EUC Infra Changes (packaging, service catalog)</t>
  </si>
  <si>
    <t>PCConnectivity</t>
  </si>
  <si>
    <t>T&amp;M Infrastructure changes; VDI, adding DNS records, modifying volumes (Infra)</t>
  </si>
  <si>
    <t>T&amp;M Maintenance Projects, interfacing (Infra)</t>
  </si>
  <si>
    <t>CW4346</t>
  </si>
  <si>
    <t>CW6296</t>
  </si>
  <si>
    <t>Penetration Testing SAP / Sales Force /Web</t>
  </si>
  <si>
    <t>SAPAPPS</t>
  </si>
  <si>
    <t>Unified Communication</t>
  </si>
  <si>
    <t>UniComm</t>
  </si>
  <si>
    <t>ServiceNow, service management and platform</t>
  </si>
  <si>
    <t xml:space="preserve">Accenture </t>
  </si>
  <si>
    <t>ALM Octane</t>
  </si>
  <si>
    <t>APP002758</t>
  </si>
  <si>
    <t>APP002952</t>
  </si>
  <si>
    <t>Accenture/Avenade</t>
  </si>
  <si>
    <t>CW7648</t>
  </si>
  <si>
    <t>Actemium</t>
  </si>
  <si>
    <t>Albert</t>
  </si>
  <si>
    <t>CW9425</t>
  </si>
  <si>
    <t>Pre Paid</t>
  </si>
  <si>
    <t>APP002669</t>
  </si>
  <si>
    <t>HR/Legal</t>
  </si>
  <si>
    <t>APP002809</t>
  </si>
  <si>
    <t>Aico Group Oy</t>
  </si>
  <si>
    <t>L_AIC_USERS</t>
  </si>
  <si>
    <t>Finance</t>
  </si>
  <si>
    <t>CW7049</t>
  </si>
  <si>
    <t>APP000069</t>
  </si>
  <si>
    <t>Alizent Canada Inc.</t>
  </si>
  <si>
    <t>CW4729</t>
  </si>
  <si>
    <t xml:space="preserve">AlteryX </t>
  </si>
  <si>
    <t>Patrick</t>
  </si>
  <si>
    <t>L-ALTERYX-USERS</t>
  </si>
  <si>
    <t>CW7056</t>
  </si>
  <si>
    <t>APP000047</t>
  </si>
  <si>
    <t>CW5510</t>
  </si>
  <si>
    <t>APP002309</t>
  </si>
  <si>
    <t>Apptio Inc</t>
  </si>
  <si>
    <t>Ashish</t>
  </si>
  <si>
    <t>CW4286</t>
  </si>
  <si>
    <t>Conga Annual Subscription + Support</t>
  </si>
  <si>
    <t>Conga Corporation</t>
  </si>
  <si>
    <t>APP003015</t>
  </si>
  <si>
    <t>Aravo Solutions, Inc.</t>
  </si>
  <si>
    <t>CW9789</t>
  </si>
  <si>
    <t>Jira Licenses</t>
  </si>
  <si>
    <t>APP000150</t>
  </si>
  <si>
    <t>Atlassian</t>
  </si>
  <si>
    <t>Google Translate</t>
  </si>
  <si>
    <t>APP002944</t>
  </si>
  <si>
    <t>SAP Suite</t>
  </si>
  <si>
    <t>InfraSAP</t>
  </si>
  <si>
    <t>Atos SAP Operations, Storage &amp; Batch Management</t>
  </si>
  <si>
    <t>SPSS Upgrade landscape</t>
  </si>
  <si>
    <t>CW5676</t>
  </si>
  <si>
    <t>Boomi BeNeLux B.V</t>
  </si>
  <si>
    <t>Tech Integration</t>
  </si>
  <si>
    <t>CW7618</t>
  </si>
  <si>
    <t>APP002945</t>
  </si>
  <si>
    <t>APP002946</t>
  </si>
  <si>
    <t>CW10435</t>
  </si>
  <si>
    <t xml:space="preserve">Gearset </t>
  </si>
  <si>
    <t>APP002662</t>
  </si>
  <si>
    <t>Bright Market LLC dba FastSpring</t>
  </si>
  <si>
    <t>CW5898</t>
  </si>
  <si>
    <t>APP002535</t>
  </si>
  <si>
    <t>Broweerstack Inc.</t>
  </si>
  <si>
    <t>CW4251</t>
  </si>
  <si>
    <t>APP002793</t>
  </si>
  <si>
    <t>Teams direct routing NSSRS</t>
  </si>
  <si>
    <t>CW7058</t>
  </si>
  <si>
    <t>APP000167</t>
  </si>
  <si>
    <t>Cadac Group</t>
  </si>
  <si>
    <t>New Key</t>
  </si>
  <si>
    <t>Cape systems Esko</t>
  </si>
  <si>
    <t>CW5966</t>
  </si>
  <si>
    <t>SalesForce</t>
  </si>
  <si>
    <t>CW9430</t>
  </si>
  <si>
    <t>Connected Coffee Machine Support</t>
  </si>
  <si>
    <t>APP002668</t>
  </si>
  <si>
    <t>CW8581</t>
  </si>
  <si>
    <t>EDI: Comarch</t>
  </si>
  <si>
    <t>APP002928</t>
  </si>
  <si>
    <t>Comarch AG Belgian branch</t>
  </si>
  <si>
    <t>APP002825</t>
  </si>
  <si>
    <t>C&amp;T</t>
  </si>
  <si>
    <t>APP002318</t>
  </si>
  <si>
    <t>CW5181</t>
  </si>
  <si>
    <t>Concur T&amp;E Tool</t>
  </si>
  <si>
    <t>Concur Holdings</t>
  </si>
  <si>
    <t>GR without inv</t>
  </si>
  <si>
    <t>APP002884</t>
  </si>
  <si>
    <t>Martijn</t>
  </si>
  <si>
    <t>CW5523</t>
  </si>
  <si>
    <t>Cornerstone Performance and Talent</t>
  </si>
  <si>
    <t>APP000043</t>
  </si>
  <si>
    <t>Cornerstone OnDemand Ltd</t>
  </si>
  <si>
    <t>CW6000</t>
  </si>
  <si>
    <t>Winshuttle Maintenance + Support</t>
  </si>
  <si>
    <t>Park Place Technologies B.V.</t>
  </si>
  <si>
    <t>CW7953</t>
  </si>
  <si>
    <t>APP002655</t>
  </si>
  <si>
    <t>Docusign International (Emea) Ltd</t>
  </si>
  <si>
    <t>Rohan</t>
  </si>
  <si>
    <t>CW9111</t>
  </si>
  <si>
    <t>Support Cornerstone</t>
  </si>
  <si>
    <t>DXC Technology B.V.</t>
  </si>
  <si>
    <t>APP001588</t>
  </si>
  <si>
    <t>CW7631</t>
  </si>
  <si>
    <t>APP000255</t>
  </si>
  <si>
    <t>CW5940</t>
  </si>
  <si>
    <t>EPiServer</t>
  </si>
  <si>
    <t>CW4333</t>
  </si>
  <si>
    <t>APP002733</t>
  </si>
  <si>
    <t>CW4382</t>
  </si>
  <si>
    <t>EPI-Use Maintenance</t>
  </si>
  <si>
    <t>APP001036</t>
  </si>
  <si>
    <t>Half-Year</t>
  </si>
  <si>
    <t>CW6955</t>
  </si>
  <si>
    <t>APP002274</t>
  </si>
  <si>
    <t>CW4379</t>
  </si>
  <si>
    <t>Crunchr Licenses + Support</t>
  </si>
  <si>
    <t>APP002476</t>
  </si>
  <si>
    <t>Focus Orange Technology B.V.</t>
  </si>
  <si>
    <t>CW5716</t>
  </si>
  <si>
    <t>Genesys PureConnect SSRs &amp; NSSRs</t>
  </si>
  <si>
    <t>Frontline</t>
  </si>
  <si>
    <t>Genesys PureConnect support</t>
  </si>
  <si>
    <t>APP003046</t>
  </si>
  <si>
    <t>Supply Chain</t>
  </si>
  <si>
    <t>Loqate</t>
  </si>
  <si>
    <t>APP002674</t>
  </si>
  <si>
    <t>GB Group plc</t>
  </si>
  <si>
    <t>CW6061</t>
  </si>
  <si>
    <t>Influe / EWR</t>
  </si>
  <si>
    <t>APP000394</t>
  </si>
  <si>
    <t>GENERIX</t>
  </si>
  <si>
    <t>CW8846</t>
  </si>
  <si>
    <t>APP000997</t>
  </si>
  <si>
    <t>Nintex UK</t>
  </si>
  <si>
    <t>CW6157</t>
  </si>
  <si>
    <t>Platform fee &amp; managed service</t>
  </si>
  <si>
    <t>APP002310</t>
  </si>
  <si>
    <t>CW9827</t>
  </si>
  <si>
    <t>Github Annual Subscription + Support</t>
  </si>
  <si>
    <t>APP002314</t>
  </si>
  <si>
    <t>CW9322</t>
  </si>
  <si>
    <t>APP001403</t>
  </si>
  <si>
    <t>Groupe Sharegate</t>
  </si>
  <si>
    <t>APP002882</t>
  </si>
  <si>
    <t>Hamilton Grant Software Limited</t>
  </si>
  <si>
    <t>CW4879</t>
  </si>
  <si>
    <t>Non-Standard Services (StoreOnce )</t>
  </si>
  <si>
    <t>APP003006</t>
  </si>
  <si>
    <t>CW9780</t>
  </si>
  <si>
    <t>R&amp;d</t>
  </si>
  <si>
    <t>APP002877</t>
  </si>
  <si>
    <t>CW9402</t>
  </si>
  <si>
    <t>APP002630</t>
  </si>
  <si>
    <t>CW7162</t>
  </si>
  <si>
    <t>APP002631</t>
  </si>
  <si>
    <t>CW7983</t>
  </si>
  <si>
    <t>APP000011</t>
  </si>
  <si>
    <t>CW9775</t>
  </si>
  <si>
    <t>APP000560</t>
  </si>
  <si>
    <t>Intelligent Solutions</t>
  </si>
  <si>
    <t>SUMI Technical SLA</t>
  </si>
  <si>
    <t>3-Year</t>
  </si>
  <si>
    <t>CW4322</t>
  </si>
  <si>
    <t>i21 Maintenance</t>
  </si>
  <si>
    <t>Email Protection</t>
  </si>
  <si>
    <t>Ironscales</t>
  </si>
  <si>
    <t>CW9512</t>
  </si>
  <si>
    <t>ITs Value Consultancy</t>
  </si>
  <si>
    <t>Marek</t>
  </si>
  <si>
    <t>CW6681</t>
  </si>
  <si>
    <t>Global Efax tool</t>
  </si>
  <si>
    <t>APP000114</t>
  </si>
  <si>
    <r>
      <t xml:space="preserve">J2 Global Ireland Limited </t>
    </r>
    <r>
      <rPr>
        <sz val="11"/>
        <color rgb="FFFF0000"/>
        <rFont val="Calibri"/>
        <family val="2"/>
        <scheme val="minor"/>
      </rPr>
      <t>(Consensus)</t>
    </r>
  </si>
  <si>
    <t>CW9446</t>
  </si>
  <si>
    <t>D&amp;A Retail Support</t>
  </si>
  <si>
    <t>D&amp;A Prof Support</t>
  </si>
  <si>
    <t>APP001760</t>
  </si>
  <si>
    <t>CW5395</t>
  </si>
  <si>
    <t>Kantar Retail</t>
  </si>
  <si>
    <t>L-XTEL-USERS</t>
  </si>
  <si>
    <t>Retail Sales</t>
  </si>
  <si>
    <t>CW4442</t>
  </si>
  <si>
    <t>APP002937</t>
  </si>
  <si>
    <t>APP000838</t>
  </si>
  <si>
    <t>CW9851</t>
  </si>
  <si>
    <t>GRC Access Controls</t>
  </si>
  <si>
    <t>APP000026</t>
  </si>
  <si>
    <t>GRC Process Control Support</t>
  </si>
  <si>
    <t>APP002951</t>
  </si>
  <si>
    <t>Litmus Software Inc.</t>
  </si>
  <si>
    <t>CW5195</t>
  </si>
  <si>
    <t>APP000354</t>
  </si>
  <si>
    <t>Logic8</t>
  </si>
  <si>
    <t>CW5969</t>
  </si>
  <si>
    <t>APP002415</t>
  </si>
  <si>
    <t>Quarterly</t>
  </si>
  <si>
    <t>CW5971</t>
  </si>
  <si>
    <t>APP002450</t>
  </si>
  <si>
    <t>CW7140</t>
  </si>
  <si>
    <t>Meridian VAT Application</t>
  </si>
  <si>
    <t>APP000005</t>
  </si>
  <si>
    <t>Meridian VAT processing</t>
  </si>
  <si>
    <t>APP002947</t>
  </si>
  <si>
    <t>Metapack LtD</t>
  </si>
  <si>
    <t>CW7803</t>
  </si>
  <si>
    <t>APP002599</t>
  </si>
  <si>
    <t>CW7800</t>
  </si>
  <si>
    <t>Microsoft PowerBI</t>
  </si>
  <si>
    <t>APP002619</t>
  </si>
  <si>
    <t>CW7798</t>
  </si>
  <si>
    <t>CW7258</t>
  </si>
  <si>
    <t>Microsoft Ireland Operations Ltd</t>
  </si>
  <si>
    <t xml:space="preserve">Sendgrid </t>
  </si>
  <si>
    <t>APP002571</t>
  </si>
  <si>
    <t>APP000827</t>
  </si>
  <si>
    <t>Minitab Ltd.</t>
  </si>
  <si>
    <t>APP003010</t>
  </si>
  <si>
    <t>10</t>
  </si>
  <si>
    <t>APP002769</t>
  </si>
  <si>
    <t>New Relic inc.</t>
  </si>
  <si>
    <t>CW4360</t>
  </si>
  <si>
    <t>TraceIT</t>
  </si>
  <si>
    <t>APP000065</t>
  </si>
  <si>
    <t>Novexx</t>
  </si>
  <si>
    <t>CW7829</t>
  </si>
  <si>
    <t>OpenText Maintenance Fee</t>
  </si>
  <si>
    <t>Open Text</t>
  </si>
  <si>
    <t>SAP Archiving solution (OpenText)</t>
  </si>
  <si>
    <t>CW7957</t>
  </si>
  <si>
    <t>APP002550</t>
  </si>
  <si>
    <t>CW9746</t>
  </si>
  <si>
    <t>CW9748</t>
  </si>
  <si>
    <t>CW9754</t>
  </si>
  <si>
    <t>CW9756</t>
  </si>
  <si>
    <t>CW9766</t>
  </si>
  <si>
    <t>APP000398</t>
  </si>
  <si>
    <t>CW9750</t>
  </si>
  <si>
    <t>APP000744</t>
  </si>
  <si>
    <t>Security (+Zscaler / Security)</t>
  </si>
  <si>
    <t>APP002805</t>
  </si>
  <si>
    <t>CW9509</t>
  </si>
  <si>
    <t>CW4564</t>
  </si>
  <si>
    <t>APP002647</t>
  </si>
  <si>
    <t>OwnBackup, Inc</t>
  </si>
  <si>
    <t>CW7633</t>
  </si>
  <si>
    <t>Pegasystems</t>
  </si>
  <si>
    <t>APP002880</t>
  </si>
  <si>
    <t>CW7965</t>
  </si>
  <si>
    <t>PlanView (iPPM)</t>
  </si>
  <si>
    <t>APP002666</t>
  </si>
  <si>
    <t>Planview International AB</t>
  </si>
  <si>
    <t>Henk</t>
  </si>
  <si>
    <t>CW7941</t>
  </si>
  <si>
    <t>Connector4U Pro Licenses</t>
  </si>
  <si>
    <t>Plat4mation Enhancement budget</t>
  </si>
  <si>
    <t>APP002785</t>
  </si>
  <si>
    <t>CW4721</t>
  </si>
  <si>
    <t>Point.X Licenses</t>
  </si>
  <si>
    <t>APP002759</t>
  </si>
  <si>
    <t>CW7235</t>
  </si>
  <si>
    <t>Solarwinds Maintenance</t>
  </si>
  <si>
    <t>APP000900</t>
  </si>
  <si>
    <t>CW10007</t>
  </si>
  <si>
    <t>APP001977</t>
  </si>
  <si>
    <t>Professional Developm Systems B.V.</t>
  </si>
  <si>
    <t>APP002949</t>
  </si>
  <si>
    <t>Erp Security B.V.</t>
  </si>
  <si>
    <t>PWC Advisory</t>
  </si>
  <si>
    <t>CW4723</t>
  </si>
  <si>
    <t>APP000957</t>
  </si>
  <si>
    <t>RIPE</t>
  </si>
  <si>
    <t>ROJO Middleware Monitoring Tool</t>
  </si>
  <si>
    <t>APP003056</t>
  </si>
  <si>
    <t>CW9490</t>
  </si>
  <si>
    <t>CW7747</t>
  </si>
  <si>
    <t>CW7745</t>
  </si>
  <si>
    <t>Sap Ent. Support Appendix 1 : Initial Scope</t>
  </si>
  <si>
    <t>Sap Ent. Support Appendix 6 : APO</t>
  </si>
  <si>
    <t xml:space="preserve">Sap Ent. Support Appendix 7 : Sales orders </t>
  </si>
  <si>
    <t>Sap Ent. Support Appendix 8 : Lease accounting Tickets (LAE)</t>
  </si>
  <si>
    <t>Sap Ent. Support Appendix 9 : Open Text</t>
  </si>
  <si>
    <t>Sap Ent. Support Appendix 10 : OCR OpenText</t>
  </si>
  <si>
    <t>Sap Ent. Support Appendix 11 : Sequoia Extension</t>
  </si>
  <si>
    <t>Sap Ent. Support Appendix 12 : CPS (Redwood) - changed to: Run my Jobs</t>
  </si>
  <si>
    <t>Sap Ent. Support Appendix 13 : Sequoia + HANA</t>
  </si>
  <si>
    <t>Sap Ent. Support Appendix 14 : SAP TAO SDS</t>
  </si>
  <si>
    <t>Sap Ent. Support Appendix 15 : Cypress License Acquisition</t>
  </si>
  <si>
    <t>Sap Ent. Support Appendix 16 : Native HANA + PO + AIF</t>
  </si>
  <si>
    <t>Sap Ent. Support Appendix 17 : License audit</t>
  </si>
  <si>
    <t>Sap Ent. Support Appendix 21 : SAP SSO 3.0</t>
  </si>
  <si>
    <t>CW5457</t>
  </si>
  <si>
    <t>Active Embedded Support</t>
  </si>
  <si>
    <t>SAP Appendix 23: Oracle/Hana fees</t>
  </si>
  <si>
    <t>Sap Ent. Support Appendix 4 : BPC, HANA, BO BI</t>
  </si>
  <si>
    <t>APP000020</t>
  </si>
  <si>
    <t>Sap Ent. Support Appendix 5 : APO</t>
  </si>
  <si>
    <t>APP000022</t>
  </si>
  <si>
    <t>Sap Ent. Support Appendix 18 : Lumira Licenses</t>
  </si>
  <si>
    <t>APP000023</t>
  </si>
  <si>
    <t>CW5684</t>
  </si>
  <si>
    <t>Sap Ent. Support Appendix 2 : Identity Management (IDM)</t>
  </si>
  <si>
    <t>APP000025</t>
  </si>
  <si>
    <t>Sap Ent. Support Appendix 3 : GRC</t>
  </si>
  <si>
    <t>CW5686</t>
  </si>
  <si>
    <t>Sap C4C Licenses</t>
  </si>
  <si>
    <t>APP000029</t>
  </si>
  <si>
    <t>CW13459</t>
  </si>
  <si>
    <t>APP001804</t>
  </si>
  <si>
    <t>Stanislav Stoyanov</t>
  </si>
  <si>
    <t>PROC</t>
  </si>
  <si>
    <t>CW7158</t>
  </si>
  <si>
    <t>APP001896</t>
  </si>
  <si>
    <t>Sap Ent. Support Appendix 20 : Audit find LAE, BI</t>
  </si>
  <si>
    <t>APP002552</t>
  </si>
  <si>
    <t>CW6216</t>
  </si>
  <si>
    <t>Successfactors</t>
  </si>
  <si>
    <t>APP003051</t>
  </si>
  <si>
    <t>SAS Fastmarketing Cloud Software</t>
  </si>
  <si>
    <t>CW6059</t>
  </si>
  <si>
    <t>Saviynt Europe Ltd</t>
  </si>
  <si>
    <t>CW4405</t>
  </si>
  <si>
    <t>Seeburger (EDI Connection)</t>
  </si>
  <si>
    <t>APP000063</t>
  </si>
  <si>
    <t>APP003064</t>
  </si>
  <si>
    <t>CW10044</t>
  </si>
  <si>
    <t>Service now</t>
  </si>
  <si>
    <t>APP002786</t>
  </si>
  <si>
    <t>CW5905</t>
  </si>
  <si>
    <t>Salesforce Adapters SDS / Salesforce</t>
  </si>
  <si>
    <t>APP001035</t>
  </si>
  <si>
    <t>Simba Technologies Inc.</t>
  </si>
  <si>
    <t>Sitecore</t>
  </si>
  <si>
    <t>CW5692</t>
  </si>
  <si>
    <t>SmartRecruiters</t>
  </si>
  <si>
    <t>APP002268</t>
  </si>
  <si>
    <t>IBM API Management tool</t>
  </si>
  <si>
    <t>APP003057</t>
  </si>
  <si>
    <t>CW9701</t>
  </si>
  <si>
    <t>APP001861</t>
  </si>
  <si>
    <t>Sphera Solutions Gmbh</t>
  </si>
  <si>
    <t>CW9691</t>
  </si>
  <si>
    <t>Sposea Brightprice</t>
  </si>
  <si>
    <t>APP001100</t>
  </si>
  <si>
    <t>Sposea Software BV</t>
  </si>
  <si>
    <t>CW9648</t>
  </si>
  <si>
    <t>BPC Support</t>
  </si>
  <si>
    <t>CW7757</t>
  </si>
  <si>
    <t>APP000867</t>
  </si>
  <si>
    <t>CW9121</t>
  </si>
  <si>
    <t>Snow Licenses</t>
  </si>
  <si>
    <t>APP003042</t>
  </si>
  <si>
    <t>Egon</t>
  </si>
  <si>
    <t>CW7975</t>
  </si>
  <si>
    <t>APP000463</t>
  </si>
  <si>
    <t>Rabish Shaunak</t>
  </si>
  <si>
    <t>CW6670</t>
  </si>
  <si>
    <t>Effacts | Legisway</t>
  </si>
  <si>
    <t>APP001834</t>
  </si>
  <si>
    <t>Wolters Kluwer</t>
  </si>
  <si>
    <t>CW6679</t>
  </si>
  <si>
    <t xml:space="preserve">IXOS Support </t>
  </si>
  <si>
    <t>X-center</t>
  </si>
  <si>
    <t>APP002784</t>
  </si>
  <si>
    <t>Zoovu Limited</t>
  </si>
  <si>
    <t>CW5538</t>
  </si>
  <si>
    <t>PS Support (Zylab)</t>
  </si>
  <si>
    <t>CW4342</t>
  </si>
  <si>
    <t>Aveva - template maintenance</t>
  </si>
  <si>
    <t>APP002146</t>
  </si>
  <si>
    <t>Error Proof Loading (EPL)</t>
  </si>
  <si>
    <t>APP002760</t>
  </si>
  <si>
    <t>Visier licences &amp; support</t>
  </si>
  <si>
    <t>APP003152</t>
  </si>
  <si>
    <t>APP003151</t>
  </si>
  <si>
    <t>Qualtrics support</t>
  </si>
  <si>
    <t>APP003157</t>
  </si>
  <si>
    <t>SurveyMonkey Europe</t>
  </si>
  <si>
    <t>Refinitiv</t>
  </si>
  <si>
    <t>APP003162</t>
  </si>
  <si>
    <t>APP003167</t>
  </si>
  <si>
    <t>Microsoft Power Automate &amp; Power Apps</t>
  </si>
  <si>
    <t>APP003176</t>
  </si>
  <si>
    <t>Stefan jochems</t>
  </si>
  <si>
    <t>Salesforce Order Management</t>
  </si>
  <si>
    <t>Onetrust</t>
  </si>
  <si>
    <t>APP003168</t>
  </si>
  <si>
    <t>APP003153</t>
  </si>
  <si>
    <t>Google Analytics /GTM contract</t>
  </si>
  <si>
    <t>APP003154</t>
  </si>
  <si>
    <t>Magento Commerce Cloud (Adobe)</t>
  </si>
  <si>
    <t>Jira Support</t>
  </si>
  <si>
    <t>SAP C4C Support</t>
  </si>
  <si>
    <t>GetFeedback - DTC</t>
  </si>
  <si>
    <t>APP003177</t>
  </si>
  <si>
    <t>Planisware Sas</t>
  </si>
  <si>
    <t xml:space="preserve"> </t>
  </si>
  <si>
    <t>Booking method</t>
  </si>
  <si>
    <t>MacroRange</t>
  </si>
  <si>
    <t>Sheet</t>
  </si>
  <si>
    <t>Range</t>
  </si>
  <si>
    <t>Function</t>
  </si>
  <si>
    <t>PONumbers</t>
  </si>
  <si>
    <t>BIAnalysis</t>
  </si>
  <si>
    <t>C4:C200</t>
  </si>
  <si>
    <t>Infra / EUS</t>
  </si>
  <si>
    <t>Marcel</t>
  </si>
  <si>
    <t>Accrual</t>
  </si>
  <si>
    <t>DevOps</t>
  </si>
  <si>
    <t>Nizaar</t>
  </si>
  <si>
    <t>MTD &amp; R&amp;D</t>
  </si>
  <si>
    <t>E-Commerce</t>
  </si>
  <si>
    <t>Gaurav</t>
  </si>
  <si>
    <t>HR, Legal</t>
  </si>
  <si>
    <t>STP</t>
  </si>
  <si>
    <t>Milou</t>
  </si>
  <si>
    <t>Remco</t>
  </si>
  <si>
    <t>Jaap</t>
  </si>
  <si>
    <t>Johan</t>
  </si>
  <si>
    <t>Prateek</t>
  </si>
  <si>
    <t>Anna</t>
  </si>
  <si>
    <t>Vendor name</t>
  </si>
  <si>
    <t>Item</t>
  </si>
  <si>
    <t>Value</t>
  </si>
  <si>
    <t>PO in AOP</t>
  </si>
  <si>
    <t>Checked</t>
  </si>
  <si>
    <t>Last Updated</t>
  </si>
  <si>
    <t>Summary</t>
  </si>
  <si>
    <t>Delta</t>
  </si>
  <si>
    <t>Decrease</t>
  </si>
  <si>
    <t>Increase</t>
  </si>
  <si>
    <t>No Change</t>
  </si>
  <si>
    <t># Users</t>
  </si>
  <si>
    <t>Charge</t>
  </si>
  <si>
    <t>Delta # Users</t>
  </si>
  <si>
    <t>Delta €</t>
  </si>
  <si>
    <t>Delta Charge%</t>
  </si>
  <si>
    <t>L-AUTOCAD-USERS</t>
  </si>
  <si>
    <t>Core Functions</t>
  </si>
  <si>
    <t>CPG</t>
  </si>
  <si>
    <t>HQ</t>
  </si>
  <si>
    <t>Infra &amp; Shared Platforms</t>
  </si>
  <si>
    <t>Professional</t>
  </si>
  <si>
    <t>Number</t>
  </si>
  <si>
    <t>Requester</t>
  </si>
  <si>
    <t xml:space="preserve">Item </t>
  </si>
  <si>
    <t>Amount</t>
  </si>
  <si>
    <t xml:space="preserve">Agreed with </t>
  </si>
  <si>
    <t>Recurrence</t>
  </si>
  <si>
    <t xml:space="preserve">Name Charged coct center </t>
  </si>
  <si>
    <t>Charged cost center</t>
  </si>
  <si>
    <t>Name benefitted cost center</t>
  </si>
  <si>
    <t>Beniffeted cost center</t>
  </si>
  <si>
    <t>Comment</t>
  </si>
  <si>
    <t>Cross charge completed yes/no (to be completed by central finance)</t>
  </si>
  <si>
    <t>DevOps testers 2023 2 FTE</t>
  </si>
  <si>
    <t>IT OPS</t>
  </si>
  <si>
    <t>Completed</t>
  </si>
  <si>
    <t>Devops ABAP resource 0.5 FTE</t>
  </si>
  <si>
    <t>D&amp;A professional Ops</t>
  </si>
  <si>
    <t>Kelvin Diependal</t>
  </si>
  <si>
    <t>D&amp;A Professional Dev</t>
  </si>
  <si>
    <t>Frans Verheij</t>
  </si>
  <si>
    <t>Ecommerce total costs 2023</t>
  </si>
  <si>
    <t>Aprox 800k</t>
  </si>
  <si>
    <t>BAS Vredenburg</t>
  </si>
  <si>
    <t xml:space="preserve">Actual costs to be checked end Q2 and cross charge accordingly
Adding OMS costs for € 24369 - MP </t>
  </si>
  <si>
    <t>Not completed</t>
  </si>
  <si>
    <t xml:space="preserve">Ariba support </t>
  </si>
  <si>
    <t>Stanislav</t>
  </si>
  <si>
    <t>When it materializes</t>
  </si>
  <si>
    <t>Mathilde</t>
  </si>
  <si>
    <t>OBS OF 10-1501349 - Belarus</t>
  </si>
  <si>
    <t>Albert Setiawan</t>
  </si>
  <si>
    <t>Once</t>
  </si>
  <si>
    <t>5400977254: Tamara is informed</t>
  </si>
  <si>
    <t>Accenture SoW 70 Malaysia</t>
  </si>
  <si>
    <t>Sharon Leong</t>
  </si>
  <si>
    <t>SoW A57 Exemption report</t>
  </si>
  <si>
    <t>€20000</t>
  </si>
  <si>
    <t>Gagan Sharma/ 
Tamara Hryv</t>
  </si>
  <si>
    <t>HQ Budget</t>
  </si>
  <si>
    <t>Tamara is already caught up
Will be x-charged to Apac after GR</t>
  </si>
  <si>
    <t>Last update : 18-5-2018</t>
  </si>
  <si>
    <t>MAIN ANALYSIS COMPONENTS</t>
  </si>
  <si>
    <t>The Summary tab provides insight in actual cost developments against AOP</t>
  </si>
  <si>
    <t>The tab shows actual values Year to Date based on parameters in BW summary tab</t>
  </si>
  <si>
    <t>The AOP year value is divided by 12 and then multiplied with the number of months past in the year</t>
  </si>
  <si>
    <t>The Reporting Month value needs to be updated each month to correctly calculate and display AOP YtD value</t>
  </si>
  <si>
    <t>To ease analysis on GL account, any cell holding a GL account number can be selected and…</t>
  </si>
  <si>
    <t>… by clicking on the 'Detail button', you will jump to BW summary page starting with the first matching line item</t>
  </si>
  <si>
    <t>This is the main analysis table within the file which lists all relevant AOP items against the GL account and where possible, the vendor / supplier</t>
  </si>
  <si>
    <t>To be as detailed as possible in terms of tracking and operational follow up, each line item is tagged with a corresponding PO and PO item number</t>
  </si>
  <si>
    <t>This will allow better tracking of actuals and allows budget responsibles to quickly find the right PO number in case of changes and adjustments</t>
  </si>
  <si>
    <r>
      <t xml:space="preserve">As actuals populate the Bidetails tab, </t>
    </r>
    <r>
      <rPr>
        <b/>
        <sz val="11"/>
        <color theme="1"/>
        <rFont val="Calibri"/>
        <family val="2"/>
        <scheme val="minor"/>
      </rPr>
      <t>it is key to keep track of new PO's receiving actuals</t>
    </r>
    <r>
      <rPr>
        <sz val="11"/>
        <color theme="1"/>
        <rFont val="Calibri"/>
        <family val="2"/>
        <scheme val="minor"/>
      </rPr>
      <t xml:space="preserve"> to ensure they properly roll up into the AOP file</t>
    </r>
  </si>
  <si>
    <t>Ideally, the sum of actuals in the Bidetails tab should match with what is in the summary</t>
  </si>
  <si>
    <t xml:space="preserve">Due to credit notes and financial adjustments not tied to a PO there will be deviations between all individual AOP values and PO items </t>
  </si>
  <si>
    <t>Objective however is to track status for each line item from logistics perspective to ensure we have PO in place and that we are aware of (potential) cost overruns for each line item</t>
  </si>
  <si>
    <t>SUPPORTING COMPONENTS</t>
  </si>
  <si>
    <t>BW Summary, BW Details</t>
  </si>
  <si>
    <t>Filter Criteria</t>
  </si>
  <si>
    <t>Company Code: 0002</t>
  </si>
  <si>
    <t>Cost Center : 68427709 Ops &amp; Compl</t>
  </si>
  <si>
    <r>
      <t xml:space="preserve">Fiscal Period : 1 -12 of desired fiscal year. Note that fiscal year is </t>
    </r>
    <r>
      <rPr>
        <b/>
        <sz val="11"/>
        <color theme="1"/>
        <rFont val="Calibri"/>
        <family val="2"/>
        <scheme val="minor"/>
      </rPr>
      <t>one year ahead</t>
    </r>
    <r>
      <rPr>
        <sz val="11"/>
        <color theme="1"/>
        <rFont val="Calibri"/>
        <family val="2"/>
        <scheme val="minor"/>
      </rPr>
      <t xml:space="preserve"> of calendar year!</t>
    </r>
  </si>
  <si>
    <t>GL Accounts (Last updated 1-2-2018)</t>
  </si>
  <si>
    <t>Important!</t>
  </si>
  <si>
    <t>As BW typically will show numbers as text fields, both PO number and PO item will need to be converted to properly match BW actual data with AOP values</t>
  </si>
  <si>
    <t xml:space="preserve">After each refresh of the BW query, the numbers need to be converted by clicking the 'Convert PO NR' button </t>
  </si>
  <si>
    <t>Note that for being able to refresh BW querys you will need:</t>
  </si>
  <si>
    <t>Installation of Business Objects Analysis for office which can be downloaded from Software Center</t>
  </si>
  <si>
    <t>Proper authorizations to be assigned to your user in BW, minimum roles required are:</t>
  </si>
  <si>
    <t xml:space="preserve">ZOB-2-NL-ALLXXX-R-FIN-GL </t>
  </si>
  <si>
    <t>ZCB-0-YY-XXXXXX-R-FIN-GL</t>
  </si>
  <si>
    <t>PO's not in AOP</t>
  </si>
  <si>
    <t>In order check if AOP items are matching with PO lines, a check table is setup comparing which PO's are listed in BI details Tab</t>
  </si>
  <si>
    <t>In case a PO is found which is not tied to an AOP item the check column will show 'Not Found'</t>
  </si>
  <si>
    <t xml:space="preserve">To ease analysis on PO matching, any cell holding a PO number can be selected and </t>
  </si>
  <si>
    <t>… by clicking on the 'Find PO' button, you will jump to BIdetails page starting with the first matching line item found</t>
  </si>
  <si>
    <t>Changelog</t>
  </si>
  <si>
    <t>Throughout the year, many different drivers will impact the Central IT Operations budget in the upcoming year</t>
  </si>
  <si>
    <t>To be able to keep track of these changes, a change log is incorporated within this file to list all items representing a delta (both upward and downward) for the following year</t>
  </si>
  <si>
    <t>It is absolutely key that on each occasion (Project / program go live, contract renewal / change, omission or errors) an entry is made in the change log by relevant budget holder!</t>
  </si>
  <si>
    <t>Step</t>
  </si>
  <si>
    <t>Save a new version of the file and Rename AOP and AOP summary tab to new year (eg: AOP22 to AOP23)</t>
  </si>
  <si>
    <t>Mark the end of the change log for the file in the current year so stakeholders know the latest change log is in the newly created file</t>
  </si>
  <si>
    <t>In Summary Tab, change the year in cell F7 and set reporting month to 12 in Cell D3</t>
  </si>
  <si>
    <t>Refresh both BW summary and BI details tab with next fiscal year data, this will clear all actual results from current year to avoid any confusion</t>
  </si>
  <si>
    <t>Make sure that columns holding this year and previous years AOP numbers (Column S,T,U) do not contain any formulas! Best to copy and paste the contents as numbers only.</t>
  </si>
  <si>
    <t>Next, copy last years aop to AOP-2 column (T --&gt; S). Copy this years AOP data to last years AOP column ((U--&gt; T)). Rename current year to next years AOP but keep the aop numbers in</t>
  </si>
  <si>
    <t>Filter on '0' (zero) values for all 3 AOP columns. This will show items having 0 AOP for 3 year, please remove / clear contents of these lines</t>
  </si>
  <si>
    <t>Incorporate all the delta's from the change log. Once completed, set the status for each item in the change log to 'Processed'</t>
  </si>
  <si>
    <t>Clear all previous comments in AOP tab where there is no Delta</t>
  </si>
  <si>
    <t>Add comments for all lines showing a delta</t>
  </si>
  <si>
    <t>Check for consistency between the variance column and processed changes in the change log</t>
  </si>
  <si>
    <t>Make sure the all items under Service 1 'SAP Suite' have charging key 'L-SAP-USER'</t>
  </si>
  <si>
    <t>Mare sure that all items having charging key 'Central' have function filled in</t>
  </si>
  <si>
    <t>Mare sure Service2 column has and application ID and or general service filled in, no blanks are allowed!</t>
  </si>
  <si>
    <t>Improvement</t>
  </si>
  <si>
    <t>Start training on how charging works and what to do for new applications</t>
  </si>
  <si>
    <t>Add prereuiqisits for charging/adding items to AOP (Creation in the CMDB, APP IDD, Countries etc).</t>
  </si>
  <si>
    <t>Charging key for alterryx</t>
  </si>
  <si>
    <t>Year 1 costs part of project</t>
  </si>
  <si>
    <t>Make a country code global instead of 0002</t>
  </si>
  <si>
    <t>Separate Infra Structure cost per Application</t>
  </si>
  <si>
    <t>Separate retail from Professional -Epi</t>
  </si>
  <si>
    <t>Moved connected coffee machines to Professional</t>
  </si>
  <si>
    <t>Last Update</t>
  </si>
  <si>
    <t>a) Annual Non-Sap Spend Atos</t>
  </si>
  <si>
    <t>b) Non-Sap Assets</t>
  </si>
  <si>
    <t>c) Avg. cost per Asset (a/b)</t>
  </si>
  <si>
    <t>Non-sap &amp; operational only!</t>
  </si>
  <si>
    <t>GL Code</t>
  </si>
  <si>
    <t>APPID</t>
  </si>
  <si>
    <t>App Name</t>
  </si>
  <si>
    <t>SAP?</t>
  </si>
  <si>
    <t>Operational Status</t>
  </si>
  <si>
    <t>Cost Ownership</t>
  </si>
  <si>
    <t>L1 Bus Process</t>
  </si>
  <si>
    <t>IT Application Owner</t>
  </si>
  <si>
    <t>Current Hosting State</t>
  </si>
  <si>
    <t>Future Hosting State</t>
  </si>
  <si>
    <t>Counter</t>
  </si>
  <si>
    <t># Assets</t>
  </si>
  <si>
    <t>Charge p asset</t>
  </si>
  <si>
    <t>Total Charge</t>
  </si>
  <si>
    <t>Total Charge LY</t>
  </si>
  <si>
    <t>Charge Method</t>
  </si>
  <si>
    <t>SAP ECC</t>
  </si>
  <si>
    <t>Central IT</t>
  </si>
  <si>
    <t>Infrastructure as a Service (IaaS)</t>
  </si>
  <si>
    <t>SAP BPC</t>
  </si>
  <si>
    <t>APP000021</t>
  </si>
  <si>
    <t>SAP CRM</t>
  </si>
  <si>
    <t>Archived</t>
  </si>
  <si>
    <t>PRF</t>
  </si>
  <si>
    <t>SAP SCM (APO)</t>
  </si>
  <si>
    <t>SCP</t>
  </si>
  <si>
    <t>Evgeniya Shabalina</t>
  </si>
  <si>
    <t>SAP BW</t>
  </si>
  <si>
    <t>APP000024</t>
  </si>
  <si>
    <t>SAP DWM</t>
  </si>
  <si>
    <t>OTC</t>
  </si>
  <si>
    <t>Albert Codina Altafaja</t>
  </si>
  <si>
    <t>Decommission / Archive</t>
  </si>
  <si>
    <t>SAP IDM</t>
  </si>
  <si>
    <t>Marcel Leent</t>
  </si>
  <si>
    <t>SAP GRC</t>
  </si>
  <si>
    <t>Software as a Service (SaaS)</t>
  </si>
  <si>
    <t>APP000027</t>
  </si>
  <si>
    <t>SAP CPS</t>
  </si>
  <si>
    <t>Will be replaced with RunMyJobs, SaaS</t>
  </si>
  <si>
    <t>APP000028</t>
  </si>
  <si>
    <t>SAP Solution manager</t>
  </si>
  <si>
    <t>BCC</t>
  </si>
  <si>
    <t>PTP</t>
  </si>
  <si>
    <t>Used icw VIM only</t>
  </si>
  <si>
    <t>Accolade (R&amp;D)</t>
  </si>
  <si>
    <t>IRD</t>
  </si>
  <si>
    <t>Application ID</t>
  </si>
  <si>
    <t>Only remaining legacy + any oracle fee</t>
  </si>
  <si>
    <t>PLM4Process (Kalypso)</t>
  </si>
  <si>
    <t>Concur Expense</t>
  </si>
  <si>
    <t>Zylab ONE</t>
  </si>
  <si>
    <t>HRM</t>
  </si>
  <si>
    <t>As long as on premise instance remains</t>
  </si>
  <si>
    <t>Goldfire</t>
  </si>
  <si>
    <t>TAS</t>
  </si>
  <si>
    <t>Rory O Loughlin</t>
  </si>
  <si>
    <t>Asumption is only remaining legacy + Oracle licences</t>
  </si>
  <si>
    <t>RFGEN Global Instance 1</t>
  </si>
  <si>
    <t>QIS Utrecht - NL</t>
  </si>
  <si>
    <t>MTD</t>
  </si>
  <si>
    <t>Rene van Eijk</t>
  </si>
  <si>
    <t>APP000078</t>
  </si>
  <si>
    <t>SAP ECC APAC Container (MDLZ)</t>
  </si>
  <si>
    <t>Rantsoen</t>
  </si>
  <si>
    <t>Cluster/Regional IT</t>
  </si>
  <si>
    <t>Veerle Kestens</t>
  </si>
  <si>
    <t>APP000333</t>
  </si>
  <si>
    <t>CPI brandinfo</t>
  </si>
  <si>
    <t>PROXESS</t>
  </si>
  <si>
    <t>Ines Memenga</t>
  </si>
  <si>
    <t>APP000367</t>
  </si>
  <si>
    <t>ProTime Belgium</t>
  </si>
  <si>
    <t>CAPEPACK</t>
  </si>
  <si>
    <t>SAFIR (Romania)</t>
  </si>
  <si>
    <t>LEG</t>
  </si>
  <si>
    <t>Ognian Petrov</t>
  </si>
  <si>
    <t>Solidworks (UK)</t>
  </si>
  <si>
    <t>XLSTAT</t>
  </si>
  <si>
    <t>!mpuls</t>
  </si>
  <si>
    <t>Gustavo Queiroz</t>
  </si>
  <si>
    <t>APP000391</t>
  </si>
  <si>
    <t>EDP (TIMBRATURE) (Italy)</t>
  </si>
  <si>
    <t>Jorge Galve</t>
  </si>
  <si>
    <t>Moved to SaaS</t>
  </si>
  <si>
    <t>Janus - SQL DB AFH-MDP EU-3021</t>
  </si>
  <si>
    <t>Interflex (Germany)</t>
  </si>
  <si>
    <t>AIS</t>
  </si>
  <si>
    <t>Bonsai</t>
  </si>
  <si>
    <t>APP000752</t>
  </si>
  <si>
    <t>SIMATIC IT ANDEZENO</t>
  </si>
  <si>
    <t>APP000819</t>
  </si>
  <si>
    <t>Helpmaster Pro</t>
  </si>
  <si>
    <t>Honeywell EBI</t>
  </si>
  <si>
    <t>PDM</t>
  </si>
  <si>
    <t>CRD</t>
  </si>
  <si>
    <t>Manual Master</t>
  </si>
  <si>
    <t>RTR</t>
  </si>
  <si>
    <t>APP000932</t>
  </si>
  <si>
    <t>Kofax</t>
  </si>
  <si>
    <t>Andrzej Zytko</t>
  </si>
  <si>
    <t>Proxsafe</t>
  </si>
  <si>
    <t>DEP CRM - Obrazovka</t>
  </si>
  <si>
    <t>Martin Knor</t>
  </si>
  <si>
    <t>APP000988</t>
  </si>
  <si>
    <t>Negoce (vax)</t>
  </si>
  <si>
    <t>Romuald Zouzou</t>
  </si>
  <si>
    <t>BOARD</t>
  </si>
  <si>
    <t>SAP SDS</t>
  </si>
  <si>
    <t>Honeywell</t>
  </si>
  <si>
    <t>Tax(VAT) reporting application</t>
  </si>
  <si>
    <t>Kostyantyn Herasymov</t>
  </si>
  <si>
    <t>RFGEN/ NiceLabel Coffee Utrecht</t>
  </si>
  <si>
    <t>IXOS</t>
  </si>
  <si>
    <t>APP001438</t>
  </si>
  <si>
    <t>SAP ADS</t>
  </si>
  <si>
    <t>APP001510</t>
  </si>
  <si>
    <t>SAP SAPRouter</t>
  </si>
  <si>
    <t>APP001511</t>
  </si>
  <si>
    <t>SAP Business Objects</t>
  </si>
  <si>
    <t>i21(iRely)</t>
  </si>
  <si>
    <t>Konstantin Vasilyev</t>
  </si>
  <si>
    <t>APP001669</t>
  </si>
  <si>
    <t>APP001723</t>
  </si>
  <si>
    <t>KeyWin</t>
  </si>
  <si>
    <t>Salesforce Sales Cloud Retail</t>
  </si>
  <si>
    <t>APP001752</t>
  </si>
  <si>
    <t>SAP SLT</t>
  </si>
  <si>
    <t>SNOW Software Asset Management</t>
  </si>
  <si>
    <t>Jana Kapustova</t>
  </si>
  <si>
    <t>APP001799</t>
  </si>
  <si>
    <t>Audit Analytics (Thuja)</t>
  </si>
  <si>
    <t>CAT</t>
  </si>
  <si>
    <t>Genesys PureConnect</t>
  </si>
  <si>
    <t>XTEL</t>
  </si>
  <si>
    <t>Juliana Acchar</t>
  </si>
  <si>
    <t>Private Cloud - VoC Hotel</t>
  </si>
  <si>
    <t>Will include Oracle licenses as well</t>
  </si>
  <si>
    <t>APP001872</t>
  </si>
  <si>
    <t>R Shiny</t>
  </si>
  <si>
    <t>Martijn Vijlbrief</t>
  </si>
  <si>
    <t>RFGEN Global Instance 2</t>
  </si>
  <si>
    <t>SAP PO</t>
  </si>
  <si>
    <t>John Carlo Beltran</t>
  </si>
  <si>
    <t>Point.X Global Instance</t>
  </si>
  <si>
    <t>AGVR AGV Joure</t>
  </si>
  <si>
    <t>BluePrism</t>
  </si>
  <si>
    <t>No cost in case Blueprism is migrated to UIPath</t>
  </si>
  <si>
    <t>PwC Invoicing Tool</t>
  </si>
  <si>
    <t>Comscale</t>
  </si>
  <si>
    <t>APP002635</t>
  </si>
  <si>
    <t>SAP Fiori</t>
  </si>
  <si>
    <t>Alteryx Designer</t>
  </si>
  <si>
    <t>APP002856</t>
  </si>
  <si>
    <t>SPLUNK</t>
  </si>
  <si>
    <t>Will move to Azure</t>
  </si>
  <si>
    <t>KEVOX</t>
  </si>
  <si>
    <t>SQL Cluster &amp; Databases</t>
  </si>
  <si>
    <t>General</t>
  </si>
  <si>
    <t>0</t>
  </si>
  <si>
    <t>SAP Assets</t>
  </si>
  <si>
    <t>Non-Sap Assets</t>
  </si>
  <si>
    <t>SyncForce</t>
  </si>
  <si>
    <t>no</t>
  </si>
  <si>
    <t>Open</t>
  </si>
  <si>
    <t>Cognizant web support</t>
  </si>
  <si>
    <t>BAS/Mo</t>
  </si>
  <si>
    <t xml:space="preserve">Project Optimizely </t>
  </si>
  <si>
    <t>PO 5401035617</t>
  </si>
  <si>
    <t>DevOps testers 2024 2 FTE</t>
  </si>
  <si>
    <t xml:space="preserve">done </t>
  </si>
  <si>
    <t>Amount to be checked</t>
  </si>
  <si>
    <t>Devops ABAP resource 1 FTE CREZEL</t>
  </si>
  <si>
    <t>Salesforce advertising studio</t>
  </si>
  <si>
    <t>No</t>
  </si>
  <si>
    <t>Devops ABAP resource 1 FTE</t>
  </si>
  <si>
    <t xml:space="preserve">AG5 B.V. </t>
  </si>
  <si>
    <t>Local plants</t>
  </si>
  <si>
    <t>Xtel Support Kantar</t>
  </si>
  <si>
    <t>Increase due to roll out APAC region</t>
  </si>
  <si>
    <t>Ceasare</t>
  </si>
  <si>
    <t>Xtel Maintenance fee</t>
  </si>
  <si>
    <t>Correction on 2024 fee</t>
  </si>
  <si>
    <t xml:space="preserve">C4C Fee </t>
  </si>
  <si>
    <t>Decrease due to FR &amp; Poland moving to new solution</t>
  </si>
  <si>
    <t>New SFA tooling retail to replace C4C, PL &amp; FR Only</t>
  </si>
  <si>
    <t>PAM managed (Cyberark Grabowsky)</t>
  </si>
  <si>
    <t>Canceled</t>
  </si>
  <si>
    <t>Infrastructure services: Servers</t>
  </si>
  <si>
    <t>Microsoft Copilot licenses</t>
  </si>
  <si>
    <t>Sharepoint archiving solution</t>
  </si>
  <si>
    <t>Microsoft Azure: OT DMZ</t>
  </si>
  <si>
    <t>ISE support for factories (central and local)</t>
  </si>
  <si>
    <t>Checkpoint APPSEC support for factories</t>
  </si>
  <si>
    <t>Checkpoint firewall (Cloudguard) on OT DMZ support</t>
  </si>
  <si>
    <t xml:space="preserve">WLC support for factories </t>
  </si>
  <si>
    <t>Cloud network elements support</t>
  </si>
  <si>
    <t>Network operations improvement</t>
  </si>
  <si>
    <t>OT Governance &amp; Service Delivery</t>
  </si>
  <si>
    <t>Microsoft Azure: ACN_SOC-OT</t>
  </si>
  <si>
    <t>OT SOC support</t>
  </si>
  <si>
    <t>Microsoft Hybrid Server, Cloud Enrollment, Basic user license - For OT</t>
  </si>
  <si>
    <t>PKI service</t>
  </si>
  <si>
    <t>Managed OT RAS Service</t>
  </si>
  <si>
    <t>ICAP File scanning Managed Service</t>
  </si>
  <si>
    <t>Redhat Enterprise linux licenses (per MU)</t>
  </si>
  <si>
    <t>Redhat Enterprise linux licenses (DMZ)</t>
  </si>
  <si>
    <t>Redhat Enterprise linux satellite licenses (DMZ)</t>
  </si>
  <si>
    <t>OT Azure Tennant support</t>
  </si>
  <si>
    <t>Veeam Licenses (Advanced)</t>
  </si>
  <si>
    <t>OT file share service</t>
  </si>
  <si>
    <t>RDS service (Beyond Trust)</t>
  </si>
  <si>
    <t>VMWare licenses</t>
  </si>
  <si>
    <t>SAP hosting in India</t>
  </si>
  <si>
    <t>Line costs for SAP hosting in India</t>
  </si>
  <si>
    <t>Music3</t>
  </si>
  <si>
    <t>Data Lake</t>
  </si>
  <si>
    <t>Decommissined, moves to Vonage</t>
  </si>
  <si>
    <t>Microsoft renegotiation</t>
  </si>
  <si>
    <t>No longer needed due to risk mitigation</t>
  </si>
  <si>
    <t>Optimizing Azure tenant</t>
  </si>
  <si>
    <t>Decrease in users based on actuals</t>
  </si>
  <si>
    <t>IA Program</t>
  </si>
  <si>
    <t>CoPilot</t>
  </si>
  <si>
    <t>Fast Forward</t>
  </si>
  <si>
    <t>Russia Carveout</t>
  </si>
  <si>
    <t>Decommissoned, moves to Vonage</t>
  </si>
  <si>
    <t>Hygraph</t>
  </si>
  <si>
    <t>Additional Webshops</t>
  </si>
  <si>
    <t>Adobe cloud Magento</t>
  </si>
  <si>
    <t>Contract renewal</t>
  </si>
  <si>
    <t>Work Unit</t>
  </si>
  <si>
    <t>Handover date M3 to GIS (to be included in GIS charge as of that date)</t>
  </si>
  <si>
    <t>Original budget MUSIC3</t>
  </si>
  <si>
    <t>Quantity</t>
  </si>
  <si>
    <t>Total per year</t>
  </si>
  <si>
    <t>Monthly Recurring Costs - Unit Price</t>
  </si>
  <si>
    <t>OT Business Services</t>
  </si>
  <si>
    <t>Anti Virus - Symantec Service</t>
  </si>
  <si>
    <t>Renewal date 20/March/25 in case EDR solution is not implemented for all centrally managed devices</t>
  </si>
  <si>
    <t>N/A</t>
  </si>
  <si>
    <t xml:space="preserve">€ 20,832.00 </t>
  </si>
  <si>
    <t xml:space="preserve"> € 1,736.00 </t>
  </si>
  <si>
    <t xml:space="preserve">€ -   </t>
  </si>
  <si>
    <t>Claroty licenses - CTD</t>
  </si>
  <si>
    <t>Co-term 20 Oct 2024</t>
  </si>
  <si>
    <t xml:space="preserve">€ 157,533.40 </t>
  </si>
  <si>
    <t xml:space="preserve"> € 656.39 </t>
  </si>
  <si>
    <t>Claroty licenses - EMC console</t>
  </si>
  <si>
    <t xml:space="preserve">€ 9,633.36 </t>
  </si>
  <si>
    <t xml:space="preserve"> € 802.78 </t>
  </si>
  <si>
    <t xml:space="preserve">BeyondTrust </t>
  </si>
  <si>
    <t>OT RAS - BeyondTrust licenses Priviledged Remote Access (PRA)</t>
  </si>
  <si>
    <t>Estimate 1825, to be checked end 2024)</t>
  </si>
  <si>
    <t xml:space="preserve">€ 28,800.00 </t>
  </si>
  <si>
    <t xml:space="preserve">€ 93,740.00 </t>
  </si>
  <si>
    <t xml:space="preserve"> € 7.81 </t>
  </si>
  <si>
    <t xml:space="preserve">€ 171,075.50 </t>
  </si>
  <si>
    <t>OT RAS - BeyondTrust Appliance B Series-VM Subscription</t>
  </si>
  <si>
    <t xml:space="preserve">€ 3,661.94 </t>
  </si>
  <si>
    <t xml:space="preserve"> € 305.16 </t>
  </si>
  <si>
    <t>OT RAS - SIEM Tool Integration Subscription (PRA) &amp; Advanced Web Access Subscription</t>
  </si>
  <si>
    <t>other license costs - SIEM &amp; Advanced Web access</t>
  </si>
  <si>
    <t xml:space="preserve">€ 14,269.62 </t>
  </si>
  <si>
    <t xml:space="preserve"> € 653.24 </t>
  </si>
  <si>
    <t>RAS Support</t>
  </si>
  <si>
    <t>OT RAS - (Tech. Account Man.)</t>
  </si>
  <si>
    <t>Renewal Term: August 1, 2024 - January 31, 2025</t>
  </si>
  <si>
    <t xml:space="preserve">€ 34,425.00 </t>
  </si>
  <si>
    <t xml:space="preserve"> € 2,868.75 </t>
  </si>
  <si>
    <t xml:space="preserve">€ 11,925.00 </t>
  </si>
  <si>
    <t>Unknown</t>
  </si>
  <si>
    <t>AV Symantec Licenses (prepaid in the past for 1000 central licenses) local licenses n/a (no charge towards MU's?)</t>
  </si>
  <si>
    <t>Licenses renewal 20/March/25 in case EDR solution is not implemented for all centrally managed devices</t>
  </si>
  <si>
    <t>3/20/2025</t>
  </si>
  <si>
    <t>SoftwareOne</t>
  </si>
  <si>
    <t>EDR Licenses (Stellar ICS)</t>
  </si>
  <si>
    <t>4/18/2025</t>
  </si>
  <si>
    <t xml:space="preserve">€ 78,000.00 </t>
  </si>
  <si>
    <t xml:space="preserve"> € 4.00 </t>
  </si>
  <si>
    <t xml:space="preserve">€ 87,600.00 </t>
  </si>
  <si>
    <t>OT/IT Sentinel Lighthouse (DMZ)</t>
  </si>
  <si>
    <t>Support to be part of SOC/SIEM service</t>
  </si>
  <si>
    <t>TBD</t>
  </si>
  <si>
    <t>Avensus</t>
  </si>
  <si>
    <t>Entrust Edge F2 HSM with one year of Avensus</t>
  </si>
  <si>
    <t>Advanced Support plus10 Smartcards</t>
  </si>
  <si>
    <t>PKI MU certificates (ceremonies)</t>
  </si>
  <si>
    <t>17.06.24: RG: Each site will receive PKI</t>
  </si>
  <si>
    <t>9/22/2024</t>
  </si>
  <si>
    <t xml:space="preserve">€ 892.50 </t>
  </si>
  <si>
    <t xml:space="preserve"> € 74.38 </t>
  </si>
  <si>
    <t xml:space="preserve">Managed Service </t>
  </si>
  <si>
    <t xml:space="preserve">Multi Factor Authentication (MFA) </t>
  </si>
  <si>
    <t>17.06.24: RG: M3 is making use of the existing MFA policy. As per request Jeffrey using Hello for Windows being investigated. Not for M3?</t>
  </si>
  <si>
    <t>Opswat</t>
  </si>
  <si>
    <t>ICAP File scanning (DMZ)</t>
  </si>
  <si>
    <t>Service not contracted yet expected 15/Jul.</t>
  </si>
  <si>
    <t>Meta Defender licenses + meta scan licenses</t>
  </si>
  <si>
    <t xml:space="preserve">€ 126,660.00 </t>
  </si>
  <si>
    <t xml:space="preserve"> € 5,277.50 </t>
  </si>
  <si>
    <t>OT infrastructure Services</t>
  </si>
  <si>
    <t>OT SIEM/SOC Services</t>
  </si>
  <si>
    <t>12/6 Service not contracted yet</t>
  </si>
  <si>
    <t xml:space="preserve">€ 150,000.00 </t>
  </si>
  <si>
    <t xml:space="preserve"> € 12,500.00 </t>
  </si>
  <si>
    <t>17.06.24: RG: There are no sites in 2025 with centrally managed application servers. The S2D systems will be deployed with the new EDR solution.</t>
  </si>
  <si>
    <t>Check 1</t>
  </si>
  <si>
    <t>Microsoft Azure : OT Data Foundation</t>
  </si>
  <si>
    <t>Only for 1 plant confirmed by Murat</t>
  </si>
  <si>
    <t>AOP 2025</t>
  </si>
  <si>
    <t>Moves to Salesforce</t>
  </si>
  <si>
    <t>,</t>
  </si>
  <si>
    <t>Offshoring Bas</t>
  </si>
  <si>
    <t>Reduction through automation</t>
  </si>
  <si>
    <t>Descoped from AMS</t>
  </si>
  <si>
    <t>Reduction due to moce cognizant</t>
  </si>
  <si>
    <t>Vulnerability scanning: Qualys Run Support</t>
  </si>
  <si>
    <t>double entry</t>
  </si>
  <si>
    <t>Koen</t>
  </si>
  <si>
    <t>PMT Devopd Engeneer</t>
  </si>
  <si>
    <t>Rate confirmed, under foundational services</t>
  </si>
  <si>
    <t>Tellus</t>
  </si>
  <si>
    <t>Replacing C4C</t>
  </si>
  <si>
    <t>Hygraph Licencing</t>
  </si>
  <si>
    <t xml:space="preserve">AMS - Internal Control Suppervisor </t>
  </si>
  <si>
    <t>Microsoft Azure : Hygraph Hosting</t>
  </si>
  <si>
    <t>No applicable data found</t>
  </si>
  <si>
    <t>Snow Platform support</t>
  </si>
  <si>
    <t>Licence management</t>
  </si>
  <si>
    <t>HCL</t>
  </si>
  <si>
    <t>PWC</t>
  </si>
  <si>
    <t>Added as L-FACTORIES-SIZE on line 403</t>
  </si>
  <si>
    <t>CIS secure suite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</si>
</sst>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000"/>
    <numFmt numFmtId="167" formatCode="0.0%"/>
    <numFmt numFmtId="168" formatCode="_ * #,##0_ ;_ * \-#,##0_ ;_ * &quot;-&quot;??_ ;_ @_ "/>
    <numFmt numFmtId="169" formatCode="_(* #,##0_);_(* \(#,##0\);_(* &quot;-&quot;??_);_(@_)"/>
    <numFmt numFmtId="170" formatCode="_ [$€-413]\ * #,##0.00_ ;_ [$€-413]\ * \-#,##0.00_ ;_ [$€-413]\ * &quot;-&quot;??_ ;_ @_ "/>
  </numFmts>
  <fonts count="25" x14ac:knownFonts="1">
    <font>
      <sz val="11"/>
      <color theme="1"/>
      <name val="Calibri"/>
      <family val="2"/>
      <scheme val="minor"/>
    </font>
    <font>
      <sz val="11"/>
      <color theme="1"/>
      <name val="Calibri"/>
      <family val="2"/>
      <scheme val="minor"/>
    </font>
    <font>
      <b/>
      <sz val="11"/>
      <color theme="1"/>
      <name val="Calibri"/>
      <family val="2"/>
      <scheme val="minor"/>
    </font>
    <font>
      <sz val="11"/>
      <color rgb="FF006100"/>
      <name val="Calibri"/>
      <family val="2"/>
      <scheme val="minor"/>
    </font>
    <font>
      <sz val="11"/>
      <color rgb="FF9C5700"/>
      <name val="Calibri"/>
      <family val="2"/>
      <scheme val="minor"/>
    </font>
    <font>
      <sz val="11"/>
      <name val="Calibri"/>
      <family val="2"/>
      <scheme val="minor"/>
    </font>
    <font>
      <b/>
      <sz val="8"/>
      <color rgb="FF1F497D"/>
      <name val="Verdana"/>
      <family val="2"/>
    </font>
    <font>
      <sz val="8"/>
      <color rgb="FF1F497D"/>
      <name val="Verdana"/>
      <family val="2"/>
    </font>
    <font>
      <sz val="8"/>
      <color rgb="FF000000"/>
      <name val="Verdana"/>
      <family val="2"/>
    </font>
    <font>
      <b/>
      <sz val="8"/>
      <color rgb="FF00CC00"/>
      <name val="Verdana"/>
      <family val="2"/>
    </font>
    <font>
      <b/>
      <sz val="8"/>
      <color rgb="FF33CC33"/>
      <name val="Verdana"/>
      <family val="2"/>
    </font>
    <font>
      <b/>
      <sz val="8"/>
      <color rgb="FFFF9900"/>
      <name val="Verdana"/>
      <family val="2"/>
    </font>
    <font>
      <b/>
      <sz val="8"/>
      <color rgb="FFFF0000"/>
      <name val="Verdana"/>
      <family val="2"/>
    </font>
    <font>
      <sz val="8"/>
      <color rgb="FF000000"/>
      <name val="Arial"/>
      <family val="2"/>
    </font>
    <font>
      <i/>
      <sz val="8"/>
      <color rgb="FF000000"/>
      <name val="Verdana"/>
      <family val="2"/>
    </font>
    <font>
      <b/>
      <i/>
      <sz val="8"/>
      <color rgb="FF000000"/>
      <name val="Verdana"/>
      <family val="2"/>
    </font>
    <font>
      <b/>
      <i/>
      <sz val="8"/>
      <color rgb="FF1F497D"/>
      <name val="Verdana"/>
      <family val="2"/>
    </font>
    <font>
      <i/>
      <sz val="8"/>
      <color rgb="FF1F497D"/>
      <name val="Verdana"/>
      <family val="2"/>
    </font>
    <font>
      <sz val="11"/>
      <color theme="1"/>
      <name val="Calibri"/>
      <family val="2"/>
    </font>
    <font>
      <sz val="11"/>
      <color rgb="FF000000"/>
      <name val="Calibri"/>
      <family val="2"/>
      <scheme val="minor"/>
    </font>
    <font>
      <sz val="8"/>
      <color rgb="FFDBE5F1"/>
      <name val="Verdana"/>
      <family val="2"/>
    </font>
    <font>
      <sz val="11"/>
      <color theme="0"/>
      <name val="Calibri"/>
      <family val="2"/>
      <scheme val="minor"/>
    </font>
    <font>
      <sz val="11"/>
      <color rgb="FF000000"/>
      <name val="Calibri"/>
      <family val="2"/>
    </font>
    <font>
      <sz val="8"/>
      <name val="Calibri"/>
      <family val="2"/>
      <scheme val="minor"/>
    </font>
    <font>
      <sz val="11"/>
      <color rgb="FFFF0000"/>
      <name val="Calibri"/>
      <family val="2"/>
      <scheme val="minor"/>
    </font>
  </fonts>
  <fills count="35">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C6EFCE"/>
      </patternFill>
    </fill>
    <fill>
      <patternFill patternType="solid">
        <fgColor rgb="FFFFEB9C"/>
      </patternFill>
    </fill>
    <fill>
      <patternFill patternType="solid">
        <fgColor rgb="FFDBE5F1"/>
        <bgColor rgb="FF000000"/>
      </patternFill>
    </fill>
    <fill>
      <patternFill patternType="solid">
        <fgColor rgb="FFFFFFFF"/>
        <bgColor rgb="FF000000"/>
      </patternFill>
    </fill>
    <fill>
      <patternFill patternType="solid">
        <fgColor rgb="FFF1F5FB"/>
        <bgColor rgb="FF000000"/>
      </patternFill>
    </fill>
    <fill>
      <patternFill patternType="solid">
        <fgColor rgb="FFE9EFF7"/>
        <bgColor rgb="FF000000"/>
      </patternFill>
    </fill>
    <fill>
      <patternFill patternType="solid">
        <fgColor rgb="FFC6F9C1"/>
        <bgColor rgb="FF000000"/>
      </patternFill>
    </fill>
    <fill>
      <patternFill patternType="solid">
        <fgColor rgb="FFABEDA5"/>
        <bgColor rgb="FF000000"/>
      </patternFill>
    </fill>
    <fill>
      <patternFill patternType="solid">
        <fgColor rgb="FF94D88F"/>
        <bgColor rgb="FF000000"/>
      </patternFill>
    </fill>
    <fill>
      <patternFill patternType="solid">
        <fgColor rgb="FFFFFDBF"/>
        <bgColor rgb="FF000000"/>
      </patternFill>
    </fill>
    <fill>
      <patternFill patternType="solid">
        <fgColor rgb="FFFFFB8C"/>
        <bgColor rgb="FF000000"/>
      </patternFill>
    </fill>
    <fill>
      <patternFill patternType="solid">
        <fgColor rgb="FFFFF843"/>
        <bgColor rgb="FF000000"/>
      </patternFill>
    </fill>
    <fill>
      <patternFill patternType="solid">
        <fgColor rgb="FFFFC7CE"/>
        <bgColor rgb="FF000000"/>
      </patternFill>
    </fill>
    <fill>
      <patternFill patternType="solid">
        <fgColor rgb="FFFF988C"/>
        <bgColor rgb="FF000000"/>
      </patternFill>
    </fill>
    <fill>
      <patternFill patternType="solid">
        <fgColor rgb="FFFF6758"/>
        <bgColor rgb="FF000000"/>
      </patternFill>
    </fill>
    <fill>
      <patternFill patternType="solid">
        <fgColor rgb="FFDBE5F1"/>
        <bgColor rgb="FFFFFFFF"/>
      </patternFill>
    </fill>
    <fill>
      <patternFill patternType="solid">
        <fgColor rgb="FFB7CFE8"/>
        <bgColor rgb="FF000000"/>
      </patternFill>
    </fill>
    <fill>
      <patternFill patternType="solid">
        <fgColor rgb="FFC3D6EB"/>
        <bgColor rgb="FF000000"/>
      </patternFill>
    </fill>
    <fill>
      <patternFill patternType="solid">
        <fgColor rgb="FFDBE5F2"/>
        <bgColor rgb="FF000000"/>
      </patternFill>
    </fill>
    <fill>
      <patternFill patternType="solid">
        <fgColor theme="7"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theme="5" tint="0.39997558519241921"/>
        <bgColor indexed="64"/>
      </patternFill>
    </fill>
    <fill>
      <patternFill patternType="solid">
        <fgColor rgb="FF00B050"/>
        <bgColor indexed="64"/>
      </patternFill>
    </fill>
    <fill>
      <patternFill patternType="solid">
        <fgColor rgb="FFFF0000"/>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auto="1"/>
      </left>
      <right style="thin">
        <color auto="1"/>
      </right>
      <top style="thin">
        <color theme="0"/>
      </top>
      <bottom style="thin">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3" tint="-0.24994659260841701"/>
      </left>
      <right style="thin">
        <color theme="3" tint="-0.24994659260841701"/>
      </right>
      <top style="thin">
        <color theme="3" tint="-0.24994659260841701"/>
      </top>
      <bottom style="thin">
        <color theme="3" tint="-0.24994659260841701"/>
      </bottom>
      <diagonal/>
    </border>
    <border>
      <left style="thin">
        <color theme="3" tint="0.59996337778862885"/>
      </left>
      <right style="thin">
        <color theme="3" tint="0.59996337778862885"/>
      </right>
      <top style="thin">
        <color theme="3" tint="0.59996337778862885"/>
      </top>
      <bottom style="thin">
        <color theme="3" tint="0.59996337778862885"/>
      </bottom>
      <diagonal/>
    </border>
    <border>
      <left style="thin">
        <color rgb="FF808080"/>
      </left>
      <right style="thin">
        <color rgb="FF808080"/>
      </right>
      <top style="thin">
        <color rgb="FF808080"/>
      </top>
      <bottom style="thin">
        <color rgb="FF808080"/>
      </bottom>
      <diagonal/>
    </border>
    <border>
      <left style="thin">
        <color rgb="FF000000"/>
      </left>
      <right style="thin">
        <color rgb="FF000000"/>
      </right>
      <top style="thin">
        <color rgb="FF000000"/>
      </top>
      <bottom style="thin">
        <color rgb="FF000000"/>
      </bottom>
      <diagonal/>
    </border>
    <border>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rgb="FFC0C0C0"/>
      </left>
      <right style="thin">
        <color rgb="FFC0C0C0"/>
      </right>
      <top style="thin">
        <color rgb="FF808080"/>
      </top>
      <bottom style="thin">
        <color rgb="FF808080"/>
      </bottom>
      <diagonal/>
    </border>
    <border>
      <left style="thin">
        <color rgb="FFFF0000"/>
      </left>
      <right style="thin">
        <color rgb="FFFF0000"/>
      </right>
      <top style="thin">
        <color rgb="FFFF0000"/>
      </top>
      <bottom style="thin">
        <color rgb="FFFF0000"/>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theme="0"/>
      </bottom>
      <diagonal/>
    </border>
    <border>
      <left style="thin">
        <color indexed="64"/>
      </left>
      <right/>
      <top/>
      <bottom style="medium">
        <color indexed="64"/>
      </bottom>
      <diagonal/>
    </border>
    <border>
      <left/>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45">
    <xf numFmtId="0" fontId="0" fillId="0" borderId="0"/>
    <xf numFmtId="9" fontId="1" fillId="0" borderId="0" applyFont="0" applyFill="0" applyBorder="0" applyAlignment="0" applyProtection="0"/>
    <xf numFmtId="0" fontId="3" fillId="6" borderId="0" applyNumberFormat="0" applyBorder="0" applyAlignment="0" applyProtection="0"/>
    <xf numFmtId="0" fontId="4" fillId="7" borderId="0" applyNumberFormat="0" applyBorder="0" applyAlignment="0" applyProtection="0"/>
    <xf numFmtId="0" fontId="6" fillId="8" borderId="17" applyNumberFormat="0" applyAlignment="0" applyProtection="0">
      <alignment horizontal="left" vertical="center" indent="1"/>
    </xf>
    <xf numFmtId="166" fontId="7" fillId="0" borderId="18" applyNumberFormat="0" applyProtection="0">
      <alignment horizontal="right" vertical="center"/>
    </xf>
    <xf numFmtId="166" fontId="6" fillId="0" borderId="19" applyNumberFormat="0" applyProtection="0">
      <alignment horizontal="right" vertical="center"/>
    </xf>
    <xf numFmtId="0" fontId="8" fillId="9" borderId="19" applyNumberFormat="0" applyAlignment="0">
      <alignment horizontal="left" vertical="center" indent="1"/>
      <protection locked="0"/>
    </xf>
    <xf numFmtId="0" fontId="8" fillId="10" borderId="19" applyNumberFormat="0" applyAlignment="0" applyProtection="0">
      <alignment horizontal="left" vertical="center" indent="1"/>
    </xf>
    <xf numFmtId="166" fontId="7" fillId="11" borderId="18" applyNumberFormat="0" applyBorder="0">
      <alignment horizontal="right" vertical="center"/>
      <protection locked="0"/>
    </xf>
    <xf numFmtId="0" fontId="8" fillId="9" borderId="19" applyNumberFormat="0" applyAlignment="0">
      <alignment horizontal="left" vertical="center" indent="1"/>
      <protection locked="0"/>
    </xf>
    <xf numFmtId="166" fontId="6" fillId="10" borderId="19" applyNumberFormat="0" applyProtection="0">
      <alignment horizontal="right" vertical="center"/>
    </xf>
    <xf numFmtId="166" fontId="6" fillId="11" borderId="19" applyNumberFormat="0" applyBorder="0">
      <alignment horizontal="right" vertical="center"/>
      <protection locked="0"/>
    </xf>
    <xf numFmtId="166" fontId="9" fillId="12" borderId="34" applyNumberFormat="0" applyBorder="0" applyAlignment="0" applyProtection="0">
      <alignment horizontal="right" vertical="center" indent="1"/>
    </xf>
    <xf numFmtId="166" fontId="10" fillId="13" borderId="34" applyNumberFormat="0" applyBorder="0" applyAlignment="0" applyProtection="0">
      <alignment horizontal="right" vertical="center" indent="1"/>
    </xf>
    <xf numFmtId="166" fontId="10" fillId="14" borderId="34" applyNumberFormat="0" applyBorder="0" applyAlignment="0" applyProtection="0">
      <alignment horizontal="right" vertical="center" indent="1"/>
    </xf>
    <xf numFmtId="166" fontId="11" fillId="15" borderId="34" applyNumberFormat="0" applyBorder="0" applyAlignment="0" applyProtection="0">
      <alignment horizontal="right" vertical="center" indent="1"/>
    </xf>
    <xf numFmtId="166" fontId="11" fillId="16" borderId="34" applyNumberFormat="0" applyBorder="0" applyAlignment="0" applyProtection="0">
      <alignment horizontal="right" vertical="center" indent="1"/>
    </xf>
    <xf numFmtId="166" fontId="11" fillId="17" borderId="34" applyNumberFormat="0" applyBorder="0" applyAlignment="0" applyProtection="0">
      <alignment horizontal="right" vertical="center" indent="1"/>
    </xf>
    <xf numFmtId="166" fontId="12" fillId="18" borderId="34" applyNumberFormat="0" applyBorder="0" applyAlignment="0" applyProtection="0">
      <alignment horizontal="right" vertical="center" indent="1"/>
    </xf>
    <xf numFmtId="166" fontId="12" fillId="19" borderId="34" applyNumberFormat="0" applyBorder="0" applyAlignment="0" applyProtection="0">
      <alignment horizontal="right" vertical="center" indent="1"/>
    </xf>
    <xf numFmtId="166" fontId="12" fillId="20" borderId="34" applyNumberFormat="0" applyBorder="0" applyAlignment="0" applyProtection="0">
      <alignment horizontal="right" vertical="center" indent="1"/>
    </xf>
    <xf numFmtId="0" fontId="13" fillId="0" borderId="17" applyNumberFormat="0" applyFont="0" applyFill="0" applyAlignment="0" applyProtection="0"/>
    <xf numFmtId="166" fontId="7" fillId="21" borderId="17" applyNumberFormat="0" applyAlignment="0" applyProtection="0">
      <alignment horizontal="left" vertical="center" indent="1"/>
    </xf>
    <xf numFmtId="0" fontId="6" fillId="8" borderId="19" applyNumberFormat="0" applyAlignment="0" applyProtection="0">
      <alignment horizontal="left" vertical="center" indent="1"/>
    </xf>
    <xf numFmtId="0" fontId="8" fillId="22" borderId="17" applyNumberFormat="0" applyAlignment="0" applyProtection="0">
      <alignment horizontal="left" vertical="center" indent="1"/>
    </xf>
    <xf numFmtId="0" fontId="8" fillId="23" borderId="17" applyNumberFormat="0" applyAlignment="0" applyProtection="0">
      <alignment horizontal="left" vertical="center" indent="1"/>
    </xf>
    <xf numFmtId="0" fontId="8" fillId="24" borderId="17" applyNumberFormat="0" applyAlignment="0" applyProtection="0">
      <alignment horizontal="left" vertical="center" indent="1"/>
    </xf>
    <xf numFmtId="0" fontId="8" fillId="11" borderId="17" applyNumberFormat="0" applyAlignment="0" applyProtection="0">
      <alignment horizontal="left" vertical="center" indent="1"/>
    </xf>
    <xf numFmtId="0" fontId="8" fillId="10" borderId="19" applyNumberFormat="0" applyAlignment="0" applyProtection="0">
      <alignment horizontal="left" vertical="center" indent="1"/>
    </xf>
    <xf numFmtId="0" fontId="14" fillId="0" borderId="20" applyNumberFormat="0" applyFill="0" applyBorder="0" applyAlignment="0" applyProtection="0"/>
    <xf numFmtId="0" fontId="15" fillId="0" borderId="20" applyNumberFormat="0" applyBorder="0" applyAlignment="0" applyProtection="0"/>
    <xf numFmtId="0" fontId="14" fillId="9" borderId="19" applyNumberFormat="0" applyAlignment="0">
      <alignment horizontal="left" vertical="center" indent="1"/>
      <protection locked="0"/>
    </xf>
    <xf numFmtId="0" fontId="14" fillId="9" borderId="19" applyNumberFormat="0" applyAlignment="0">
      <alignment horizontal="left" vertical="center" indent="1"/>
      <protection locked="0"/>
    </xf>
    <xf numFmtId="0" fontId="14" fillId="10" borderId="19" applyNumberFormat="0" applyAlignment="0" applyProtection="0">
      <alignment horizontal="left" vertical="center" indent="1"/>
    </xf>
    <xf numFmtId="166" fontId="16" fillId="10" borderId="19" applyNumberFormat="0" applyProtection="0">
      <alignment horizontal="right" vertical="center"/>
    </xf>
    <xf numFmtId="166" fontId="17" fillId="11" borderId="18" applyNumberFormat="0" applyBorder="0">
      <alignment horizontal="right" vertical="center"/>
      <protection locked="0"/>
    </xf>
    <xf numFmtId="166" fontId="16" fillId="11" borderId="19" applyNumberFormat="0" applyBorder="0">
      <alignment horizontal="right" vertical="center"/>
      <protection locked="0"/>
    </xf>
    <xf numFmtId="166" fontId="7" fillId="0" borderId="18" applyNumberFormat="0" applyFill="0" applyBorder="0" applyAlignment="0" applyProtection="0">
      <alignment horizontal="right" vertical="center"/>
    </xf>
    <xf numFmtId="166" fontId="7" fillId="0" borderId="18" applyNumberFormat="0" applyFill="0" applyBorder="0" applyAlignment="0" applyProtection="0">
      <alignment horizontal="right" vertical="center"/>
    </xf>
    <xf numFmtId="0" fontId="13" fillId="0" borderId="35" applyNumberFormat="0" applyFont="0" applyFill="0" applyAlignment="0" applyProtection="0"/>
    <xf numFmtId="164" fontId="1" fillId="0" borderId="0" applyFont="0" applyFill="0" applyBorder="0" applyAlignment="0" applyProtection="0"/>
    <xf numFmtId="165" fontId="1" fillId="0" borderId="0" applyFont="0" applyFill="0" applyBorder="0" applyAlignment="0" applyProtection="0"/>
    <xf numFmtId="166" fontId="7" fillId="21" borderId="17" applyNumberFormat="0" applyAlignment="0" applyProtection="0">
      <alignment horizontal="left" vertical="center" indent="1"/>
    </xf>
    <xf numFmtId="166" fontId="20" fillId="21" borderId="0" applyNumberFormat="0" applyAlignment="0" applyProtection="0">
      <alignment horizontal="left" vertical="center" indent="1"/>
    </xf>
  </cellStyleXfs>
  <cellXfs count="266">
    <xf numFmtId="0" fontId="0" fillId="0" borderId="0" xfId="0"/>
    <xf numFmtId="3" fontId="0" fillId="0" borderId="0" xfId="0" applyNumberFormat="1"/>
    <xf numFmtId="0" fontId="2" fillId="2" borderId="1" xfId="0" applyFont="1" applyFill="1" applyBorder="1"/>
    <xf numFmtId="3" fontId="2" fillId="2" borderId="1" xfId="0" applyNumberFormat="1" applyFont="1" applyFill="1" applyBorder="1"/>
    <xf numFmtId="3" fontId="2" fillId="2" borderId="2" xfId="0" applyNumberFormat="1" applyFont="1" applyFill="1" applyBorder="1"/>
    <xf numFmtId="9" fontId="0" fillId="0" borderId="0" xfId="1" applyFont="1"/>
    <xf numFmtId="0" fontId="0" fillId="3" borderId="3" xfId="0" applyFill="1" applyBorder="1"/>
    <xf numFmtId="3" fontId="0" fillId="4" borderId="3" xfId="0" applyNumberFormat="1" applyFill="1" applyBorder="1"/>
    <xf numFmtId="3" fontId="2" fillId="5" borderId="1" xfId="0" applyNumberFormat="1" applyFont="1" applyFill="1" applyBorder="1"/>
    <xf numFmtId="0" fontId="2" fillId="0" borderId="0" xfId="0" applyFont="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2" fillId="0" borderId="14" xfId="0" applyFont="1" applyBorder="1" applyAlignment="1">
      <alignment vertical="distributed"/>
    </xf>
    <xf numFmtId="0" fontId="2" fillId="0" borderId="15" xfId="0" applyFont="1" applyBorder="1" applyAlignment="1">
      <alignment vertical="distributed"/>
    </xf>
    <xf numFmtId="0" fontId="2" fillId="0" borderId="16" xfId="0" applyFont="1" applyBorder="1" applyAlignment="1">
      <alignment vertical="distributed"/>
    </xf>
    <xf numFmtId="0" fontId="0" fillId="0" borderId="0" xfId="0" applyAlignment="1">
      <alignment horizontal="right"/>
    </xf>
    <xf numFmtId="0" fontId="0" fillId="0" borderId="2" xfId="0" applyBorder="1"/>
    <xf numFmtId="0" fontId="4" fillId="0" borderId="0" xfId="3" applyFill="1" applyBorder="1"/>
    <xf numFmtId="0" fontId="4" fillId="0" borderId="0" xfId="3" applyFill="1" applyBorder="1" applyAlignment="1">
      <alignment horizontal="right"/>
    </xf>
    <xf numFmtId="9" fontId="0" fillId="0" borderId="0" xfId="1" applyFont="1" applyFill="1" applyBorder="1"/>
    <xf numFmtId="0" fontId="5" fillId="0" borderId="0" xfId="3" applyFont="1" applyFill="1" applyBorder="1"/>
    <xf numFmtId="0" fontId="5" fillId="0" borderId="0" xfId="0" applyFont="1"/>
    <xf numFmtId="0" fontId="5" fillId="0" borderId="0" xfId="3" applyFont="1" applyFill="1" applyBorder="1" applyAlignment="1">
      <alignment horizontal="right"/>
    </xf>
    <xf numFmtId="0" fontId="0" fillId="0" borderId="0" xfId="0" applyAlignment="1">
      <alignment vertical="top"/>
    </xf>
    <xf numFmtId="0" fontId="2" fillId="2" borderId="2" xfId="0" applyFont="1" applyFill="1" applyBorder="1"/>
    <xf numFmtId="0" fontId="0" fillId="3" borderId="0" xfId="0" applyFill="1"/>
    <xf numFmtId="0" fontId="5" fillId="3" borderId="3" xfId="3" applyFont="1" applyFill="1" applyBorder="1"/>
    <xf numFmtId="4" fontId="0" fillId="26" borderId="0" xfId="0" applyNumberFormat="1" applyFill="1"/>
    <xf numFmtId="167" fontId="0" fillId="25" borderId="0" xfId="0" applyNumberFormat="1" applyFill="1"/>
    <xf numFmtId="0" fontId="2" fillId="2" borderId="0" xfId="0" applyFont="1" applyFill="1"/>
    <xf numFmtId="0" fontId="5" fillId="0" borderId="0" xfId="2" applyNumberFormat="1" applyFont="1" applyFill="1" applyBorder="1" applyAlignment="1">
      <alignment horizontal="right"/>
    </xf>
    <xf numFmtId="0" fontId="0" fillId="5" borderId="0" xfId="0" applyFill="1"/>
    <xf numFmtId="0" fontId="2" fillId="0" borderId="0" xfId="0" applyFont="1" applyAlignment="1">
      <alignment vertical="distributed"/>
    </xf>
    <xf numFmtId="0" fontId="0" fillId="3" borderId="2" xfId="0" applyFill="1" applyBorder="1"/>
    <xf numFmtId="4" fontId="0" fillId="0" borderId="0" xfId="0" applyNumberFormat="1"/>
    <xf numFmtId="14" fontId="0" fillId="0" borderId="0" xfId="0" applyNumberFormat="1"/>
    <xf numFmtId="0" fontId="2" fillId="0" borderId="14" xfId="0" applyFont="1" applyBorder="1" applyAlignment="1">
      <alignment horizontal="centerContinuous"/>
    </xf>
    <xf numFmtId="0" fontId="2" fillId="0" borderId="15" xfId="0" applyFont="1" applyBorder="1" applyAlignment="1">
      <alignment horizontal="centerContinuous"/>
    </xf>
    <xf numFmtId="0" fontId="2" fillId="0" borderId="16" xfId="0" applyFont="1" applyBorder="1" applyAlignment="1">
      <alignment horizontal="centerContinuous"/>
    </xf>
    <xf numFmtId="0" fontId="2" fillId="0" borderId="6" xfId="0" applyFont="1" applyBorder="1"/>
    <xf numFmtId="0" fontId="2" fillId="0" borderId="7" xfId="0" applyFont="1" applyBorder="1"/>
    <xf numFmtId="0" fontId="2" fillId="0" borderId="7" xfId="0" applyFont="1" applyBorder="1" applyAlignment="1">
      <alignment horizontal="center"/>
    </xf>
    <xf numFmtId="0" fontId="2" fillId="0" borderId="8" xfId="0" applyFont="1" applyBorder="1" applyAlignment="1">
      <alignment horizontal="center"/>
    </xf>
    <xf numFmtId="0" fontId="2" fillId="0" borderId="11" xfId="0" applyFont="1" applyBorder="1"/>
    <xf numFmtId="0" fontId="2" fillId="0" borderId="12" xfId="0" applyFont="1" applyBorder="1"/>
    <xf numFmtId="0" fontId="2" fillId="0" borderId="12" xfId="0" applyFont="1" applyBorder="1" applyAlignment="1">
      <alignment horizontal="center"/>
    </xf>
    <xf numFmtId="0" fontId="2" fillId="0" borderId="13" xfId="0" applyFont="1" applyBorder="1" applyAlignment="1">
      <alignment horizontal="center"/>
    </xf>
    <xf numFmtId="0" fontId="0" fillId="0" borderId="24" xfId="0" applyBorder="1"/>
    <xf numFmtId="0" fontId="2" fillId="0" borderId="14" xfId="0" applyFont="1" applyBorder="1"/>
    <xf numFmtId="0" fontId="2" fillId="0" borderId="15" xfId="0" applyFont="1" applyBorder="1"/>
    <xf numFmtId="168" fontId="2" fillId="0" borderId="15" xfId="41" applyNumberFormat="1" applyFont="1" applyBorder="1"/>
    <xf numFmtId="168" fontId="2" fillId="0" borderId="16" xfId="0" applyNumberFormat="1" applyFont="1" applyBorder="1"/>
    <xf numFmtId="0" fontId="2" fillId="0" borderId="8" xfId="0" applyFont="1" applyBorder="1"/>
    <xf numFmtId="0" fontId="0" fillId="3" borderId="9" xfId="0" quotePrefix="1" applyFill="1" applyBorder="1"/>
    <xf numFmtId="168" fontId="0" fillId="0" borderId="0" xfId="41" quotePrefix="1" applyNumberFormat="1" applyFont="1" applyBorder="1"/>
    <xf numFmtId="168" fontId="1" fillId="0" borderId="0" xfId="41" applyNumberFormat="1" applyFont="1" applyBorder="1"/>
    <xf numFmtId="168" fontId="0" fillId="0" borderId="10" xfId="0" applyNumberFormat="1" applyBorder="1"/>
    <xf numFmtId="0" fontId="0" fillId="0" borderId="23" xfId="0" applyBorder="1"/>
    <xf numFmtId="0" fontId="0" fillId="0" borderId="25" xfId="0" applyBorder="1"/>
    <xf numFmtId="0" fontId="0" fillId="0" borderId="9" xfId="0" quotePrefix="1" applyBorder="1"/>
    <xf numFmtId="0" fontId="5" fillId="3" borderId="9" xfId="2" quotePrefix="1" applyFont="1" applyFill="1" applyBorder="1"/>
    <xf numFmtId="0" fontId="5" fillId="3" borderId="9" xfId="3" quotePrefix="1" applyFont="1" applyFill="1" applyBorder="1"/>
    <xf numFmtId="0" fontId="0" fillId="0" borderId="11" xfId="0" quotePrefix="1" applyBorder="1"/>
    <xf numFmtId="168" fontId="0" fillId="0" borderId="12" xfId="41" quotePrefix="1" applyNumberFormat="1" applyFont="1" applyBorder="1"/>
    <xf numFmtId="168" fontId="1" fillId="0" borderId="12" xfId="41" applyNumberFormat="1" applyFont="1" applyBorder="1"/>
    <xf numFmtId="168" fontId="0" fillId="0" borderId="13" xfId="0" applyNumberFormat="1" applyBorder="1"/>
    <xf numFmtId="0" fontId="2" fillId="0" borderId="26" xfId="0" applyFont="1" applyBorder="1"/>
    <xf numFmtId="0" fontId="2" fillId="0" borderId="27" xfId="0" applyFont="1" applyBorder="1"/>
    <xf numFmtId="0" fontId="2" fillId="0" borderId="28" xfId="0" applyFont="1" applyBorder="1"/>
    <xf numFmtId="14" fontId="0" fillId="0" borderId="29" xfId="0" applyNumberFormat="1" applyBorder="1" applyAlignment="1">
      <alignment wrapText="1"/>
    </xf>
    <xf numFmtId="0" fontId="0" fillId="0" borderId="22" xfId="0" applyBorder="1" applyAlignment="1">
      <alignment wrapText="1"/>
    </xf>
    <xf numFmtId="0" fontId="0" fillId="0" borderId="30" xfId="0" applyBorder="1" applyAlignment="1">
      <alignment wrapText="1"/>
    </xf>
    <xf numFmtId="14" fontId="0" fillId="0" borderId="31" xfId="0" applyNumberFormat="1" applyBorder="1"/>
    <xf numFmtId="0" fontId="0" fillId="0" borderId="1" xfId="0" applyBorder="1"/>
    <xf numFmtId="0" fontId="0" fillId="0" borderId="32" xfId="0" applyBorder="1"/>
    <xf numFmtId="14" fontId="0" fillId="0" borderId="33" xfId="0" applyNumberFormat="1" applyBorder="1"/>
    <xf numFmtId="14" fontId="0" fillId="0" borderId="1" xfId="0" applyNumberFormat="1" applyBorder="1"/>
    <xf numFmtId="14" fontId="0" fillId="27" borderId="1" xfId="0" applyNumberFormat="1" applyFill="1" applyBorder="1"/>
    <xf numFmtId="0" fontId="0" fillId="27" borderId="1" xfId="0" applyFill="1" applyBorder="1"/>
    <xf numFmtId="0" fontId="0" fillId="28" borderId="0" xfId="0" applyFill="1"/>
    <xf numFmtId="0" fontId="2" fillId="28" borderId="0" xfId="0" applyFont="1" applyFill="1"/>
    <xf numFmtId="0" fontId="0" fillId="28" borderId="0" xfId="0" applyFill="1" applyAlignment="1">
      <alignment wrapText="1"/>
    </xf>
    <xf numFmtId="0" fontId="2" fillId="2" borderId="23" xfId="0" applyFont="1" applyFill="1" applyBorder="1"/>
    <xf numFmtId="14" fontId="0" fillId="0" borderId="5" xfId="0" applyNumberFormat="1" applyBorder="1"/>
    <xf numFmtId="0" fontId="0" fillId="0" borderId="4" xfId="0" applyBorder="1"/>
    <xf numFmtId="0" fontId="18" fillId="0" borderId="1" xfId="0" applyFont="1" applyBorder="1"/>
    <xf numFmtId="0" fontId="0" fillId="3" borderId="1" xfId="0" applyFill="1" applyBorder="1"/>
    <xf numFmtId="169" fontId="0" fillId="0" borderId="1" xfId="41" applyNumberFormat="1" applyFont="1" applyFill="1" applyBorder="1"/>
    <xf numFmtId="0" fontId="2" fillId="2" borderId="36" xfId="0" applyFont="1" applyFill="1" applyBorder="1"/>
    <xf numFmtId="0" fontId="0" fillId="0" borderId="0" xfId="0" quotePrefix="1"/>
    <xf numFmtId="0" fontId="5" fillId="0" borderId="0" xfId="2" applyFont="1" applyFill="1" applyBorder="1"/>
    <xf numFmtId="0" fontId="5" fillId="0" borderId="0" xfId="2" applyFont="1" applyFill="1" applyBorder="1" applyAlignment="1">
      <alignment horizontal="right"/>
    </xf>
    <xf numFmtId="49" fontId="5" fillId="0" borderId="0" xfId="2" applyNumberFormat="1" applyFont="1" applyFill="1" applyBorder="1" applyAlignment="1">
      <alignment horizontal="right"/>
    </xf>
    <xf numFmtId="0" fontId="0" fillId="2" borderId="36" xfId="0" applyFill="1" applyBorder="1"/>
    <xf numFmtId="0" fontId="5" fillId="0" borderId="0" xfId="2" quotePrefix="1" applyFont="1" applyFill="1" applyBorder="1"/>
    <xf numFmtId="0" fontId="5" fillId="0" borderId="0" xfId="3" quotePrefix="1" applyFont="1" applyFill="1" applyBorder="1"/>
    <xf numFmtId="0" fontId="2" fillId="5" borderId="0" xfId="0" applyFont="1" applyFill="1"/>
    <xf numFmtId="0" fontId="2" fillId="0" borderId="16" xfId="0" applyFont="1" applyBorder="1"/>
    <xf numFmtId="169" fontId="0" fillId="0" borderId="7" xfId="41" applyNumberFormat="1" applyFont="1" applyBorder="1"/>
    <xf numFmtId="169" fontId="0" fillId="0" borderId="8" xfId="0" applyNumberFormat="1" applyBorder="1"/>
    <xf numFmtId="169" fontId="0" fillId="0" borderId="0" xfId="41" applyNumberFormat="1" applyFont="1" applyBorder="1"/>
    <xf numFmtId="169" fontId="0" fillId="0" borderId="10" xfId="0" applyNumberFormat="1" applyBorder="1"/>
    <xf numFmtId="169" fontId="0" fillId="0" borderId="12" xfId="41" applyNumberFormat="1" applyFont="1" applyBorder="1"/>
    <xf numFmtId="169" fontId="0" fillId="0" borderId="13" xfId="0" applyNumberFormat="1" applyBorder="1"/>
    <xf numFmtId="0" fontId="2" fillId="0" borderId="37" xfId="0" applyFont="1" applyBorder="1"/>
    <xf numFmtId="169" fontId="0" fillId="0" borderId="6" xfId="41" applyNumberFormat="1" applyFont="1" applyBorder="1"/>
    <xf numFmtId="169" fontId="0" fillId="0" borderId="9" xfId="41" applyNumberFormat="1" applyFont="1" applyBorder="1"/>
    <xf numFmtId="169" fontId="0" fillId="0" borderId="11" xfId="41" applyNumberFormat="1" applyFont="1" applyBorder="1"/>
    <xf numFmtId="0" fontId="0" fillId="0" borderId="37" xfId="0" applyBorder="1"/>
    <xf numFmtId="169" fontId="0" fillId="0" borderId="14" xfId="0" applyNumberFormat="1" applyBorder="1"/>
    <xf numFmtId="169" fontId="0" fillId="0" borderId="15" xfId="0" applyNumberFormat="1" applyBorder="1"/>
    <xf numFmtId="169" fontId="0" fillId="0" borderId="16" xfId="0" applyNumberFormat="1" applyBorder="1"/>
    <xf numFmtId="14" fontId="2" fillId="0" borderId="0" xfId="0" applyNumberFormat="1" applyFont="1"/>
    <xf numFmtId="167" fontId="2" fillId="5" borderId="1" xfId="1" applyNumberFormat="1" applyFont="1" applyFill="1" applyBorder="1"/>
    <xf numFmtId="169" fontId="0" fillId="0" borderId="22" xfId="41" applyNumberFormat="1" applyFont="1" applyFill="1" applyBorder="1" applyAlignment="1">
      <alignment wrapText="1"/>
    </xf>
    <xf numFmtId="169" fontId="0" fillId="27" borderId="1" xfId="41" applyNumberFormat="1" applyFont="1" applyFill="1" applyBorder="1"/>
    <xf numFmtId="0" fontId="5" fillId="0" borderId="1" xfId="3" applyFont="1" applyFill="1" applyBorder="1"/>
    <xf numFmtId="0" fontId="0" fillId="0" borderId="3" xfId="0" applyBorder="1"/>
    <xf numFmtId="169" fontId="0" fillId="0" borderId="0" xfId="41" applyNumberFormat="1" applyFont="1"/>
    <xf numFmtId="165" fontId="0" fillId="0" borderId="0" xfId="42" applyFont="1"/>
    <xf numFmtId="165" fontId="0" fillId="0" borderId="0" xfId="42" applyFont="1" applyBorder="1"/>
    <xf numFmtId="0" fontId="0" fillId="0" borderId="14" xfId="0" applyBorder="1"/>
    <xf numFmtId="0" fontId="0" fillId="0" borderId="15" xfId="0" applyBorder="1"/>
    <xf numFmtId="0" fontId="0" fillId="0" borderId="16" xfId="0" applyBorder="1"/>
    <xf numFmtId="169" fontId="0" fillId="0" borderId="0" xfId="0" applyNumberFormat="1"/>
    <xf numFmtId="0" fontId="2" fillId="0" borderId="14" xfId="0" applyFont="1" applyBorder="1" applyAlignment="1">
      <alignment horizontal="center" vertical="center"/>
    </xf>
    <xf numFmtId="0" fontId="2" fillId="0" borderId="15" xfId="0" applyFont="1" applyBorder="1" applyAlignment="1">
      <alignment horizontal="center" vertical="center"/>
    </xf>
    <xf numFmtId="0" fontId="2" fillId="0" borderId="16" xfId="0" applyFont="1" applyBorder="1" applyAlignment="1">
      <alignment horizontal="center" vertical="center"/>
    </xf>
    <xf numFmtId="0" fontId="2" fillId="0" borderId="37" xfId="0" applyFont="1" applyBorder="1" applyAlignment="1">
      <alignment horizontal="center" vertical="center"/>
    </xf>
    <xf numFmtId="9" fontId="0" fillId="0" borderId="9" xfId="1" applyFont="1" applyBorder="1"/>
    <xf numFmtId="9" fontId="0" fillId="0" borderId="10" xfId="1" applyFont="1" applyBorder="1"/>
    <xf numFmtId="14" fontId="0" fillId="0" borderId="4" xfId="0" applyNumberFormat="1" applyBorder="1"/>
    <xf numFmtId="0" fontId="0" fillId="0" borderId="5" xfId="0" applyBorder="1"/>
    <xf numFmtId="0" fontId="0" fillId="0" borderId="36" xfId="0" applyBorder="1"/>
    <xf numFmtId="169" fontId="0" fillId="0" borderId="36" xfId="41" applyNumberFormat="1" applyFont="1" applyFill="1" applyBorder="1"/>
    <xf numFmtId="0" fontId="0" fillId="0" borderId="21" xfId="0" applyBorder="1"/>
    <xf numFmtId="169" fontId="0" fillId="0" borderId="1" xfId="0" applyNumberFormat="1" applyBorder="1"/>
    <xf numFmtId="14" fontId="0" fillId="27" borderId="0" xfId="0" applyNumberFormat="1" applyFill="1"/>
    <xf numFmtId="0" fontId="2" fillId="0" borderId="13" xfId="0" applyFont="1" applyBorder="1"/>
    <xf numFmtId="169" fontId="2" fillId="0" borderId="14" xfId="41" applyNumberFormat="1" applyFont="1" applyBorder="1"/>
    <xf numFmtId="169" fontId="2" fillId="0" borderId="15" xfId="41" applyNumberFormat="1" applyFont="1" applyBorder="1"/>
    <xf numFmtId="169" fontId="2" fillId="0" borderId="16" xfId="41" applyNumberFormat="1" applyFont="1" applyBorder="1"/>
    <xf numFmtId="169" fontId="0" fillId="0" borderId="10" xfId="41" applyNumberFormat="1" applyFont="1" applyBorder="1"/>
    <xf numFmtId="169" fontId="0" fillId="0" borderId="13" xfId="41" applyNumberFormat="1" applyFont="1" applyBorder="1"/>
    <xf numFmtId="0" fontId="5" fillId="0" borderId="1" xfId="2" applyFont="1" applyFill="1" applyBorder="1"/>
    <xf numFmtId="0" fontId="5" fillId="0" borderId="0" xfId="3" applyNumberFormat="1" applyFont="1" applyFill="1" applyBorder="1"/>
    <xf numFmtId="0" fontId="19" fillId="0" borderId="0" xfId="0" applyFont="1"/>
    <xf numFmtId="0" fontId="5" fillId="0" borderId="0" xfId="2" applyNumberFormat="1" applyFont="1" applyFill="1" applyBorder="1"/>
    <xf numFmtId="0" fontId="0" fillId="0" borderId="22" xfId="0" applyBorder="1"/>
    <xf numFmtId="0" fontId="0" fillId="3" borderId="38" xfId="0" applyFill="1" applyBorder="1"/>
    <xf numFmtId="0" fontId="0" fillId="0" borderId="15" xfId="0" applyBorder="1" applyAlignment="1">
      <alignment horizontal="centerContinuous"/>
    </xf>
    <xf numFmtId="0" fontId="0" fillId="0" borderId="16" xfId="0" applyBorder="1" applyAlignment="1">
      <alignment horizontal="centerContinuous"/>
    </xf>
    <xf numFmtId="169" fontId="0" fillId="0" borderId="6" xfId="0" applyNumberFormat="1" applyBorder="1"/>
    <xf numFmtId="169" fontId="0" fillId="0" borderId="7" xfId="0" applyNumberFormat="1" applyBorder="1"/>
    <xf numFmtId="169" fontId="0" fillId="0" borderId="9" xfId="0" applyNumberFormat="1" applyBorder="1"/>
    <xf numFmtId="169" fontId="0" fillId="0" borderId="11" xfId="0" applyNumberFormat="1" applyBorder="1"/>
    <xf numFmtId="169" fontId="0" fillId="0" borderId="12" xfId="0" applyNumberFormat="1" applyBorder="1"/>
    <xf numFmtId="0" fontId="0" fillId="5" borderId="1" xfId="0" applyFill="1" applyBorder="1"/>
    <xf numFmtId="0" fontId="21" fillId="0" borderId="0" xfId="0" applyFont="1"/>
    <xf numFmtId="39" fontId="0" fillId="0" borderId="0" xfId="0" applyNumberFormat="1"/>
    <xf numFmtId="0" fontId="2" fillId="0" borderId="0" xfId="0" applyFont="1" applyAlignment="1">
      <alignment horizontal="centerContinuous"/>
    </xf>
    <xf numFmtId="0" fontId="2" fillId="0" borderId="0" xfId="0" applyFont="1" applyAlignment="1">
      <alignment horizontal="center"/>
    </xf>
    <xf numFmtId="0" fontId="0" fillId="27" borderId="0" xfId="0" applyFill="1"/>
    <xf numFmtId="169" fontId="0" fillId="0" borderId="9" xfId="41" quotePrefix="1" applyNumberFormat="1" applyFont="1" applyBorder="1"/>
    <xf numFmtId="169" fontId="0" fillId="0" borderId="0" xfId="41" quotePrefix="1" applyNumberFormat="1" applyFont="1" applyBorder="1"/>
    <xf numFmtId="168" fontId="2" fillId="0" borderId="8" xfId="41" applyNumberFormat="1" applyFont="1" applyBorder="1"/>
    <xf numFmtId="0" fontId="0" fillId="0" borderId="1" xfId="0" applyBorder="1" applyAlignment="1">
      <alignment wrapText="1"/>
    </xf>
    <xf numFmtId="3" fontId="0" fillId="0" borderId="1" xfId="0" applyNumberFormat="1" applyBorder="1"/>
    <xf numFmtId="169" fontId="0" fillId="0" borderId="1" xfId="41" applyNumberFormat="1" applyFont="1" applyFill="1" applyBorder="1" applyAlignment="1">
      <alignment horizontal="right"/>
    </xf>
    <xf numFmtId="14" fontId="0" fillId="0" borderId="36" xfId="0" applyNumberFormat="1" applyBorder="1"/>
    <xf numFmtId="169" fontId="0" fillId="0" borderId="36" xfId="41" applyNumberFormat="1" applyFont="1" applyFill="1" applyBorder="1" applyAlignment="1">
      <alignment horizontal="right"/>
    </xf>
    <xf numFmtId="0" fontId="5" fillId="0" borderId="0" xfId="2" applyFont="1" applyFill="1"/>
    <xf numFmtId="167" fontId="5" fillId="25" borderId="0" xfId="0" applyNumberFormat="1" applyFont="1" applyFill="1"/>
    <xf numFmtId="0" fontId="2" fillId="28" borderId="0" xfId="0" applyFont="1" applyFill="1" applyAlignment="1">
      <alignment horizontal="center" vertical="center"/>
    </xf>
    <xf numFmtId="168" fontId="1" fillId="0" borderId="0" xfId="41" applyNumberFormat="1" applyFont="1"/>
    <xf numFmtId="0" fontId="22" fillId="0" borderId="1" xfId="0" applyFont="1" applyBorder="1" applyAlignment="1">
      <alignment vertical="center"/>
    </xf>
    <xf numFmtId="0" fontId="19" fillId="0" borderId="1" xfId="0" applyFont="1" applyBorder="1"/>
    <xf numFmtId="3" fontId="0" fillId="27" borderId="1" xfId="0" applyNumberFormat="1" applyFill="1" applyBorder="1"/>
    <xf numFmtId="169" fontId="2" fillId="0" borderId="16" xfId="0" applyNumberFormat="1" applyFont="1" applyBorder="1"/>
    <xf numFmtId="9" fontId="0" fillId="0" borderId="6" xfId="1" applyFont="1" applyBorder="1"/>
    <xf numFmtId="9" fontId="0" fillId="0" borderId="8" xfId="1" applyFont="1" applyBorder="1"/>
    <xf numFmtId="9" fontId="0" fillId="0" borderId="11" xfId="1" applyFont="1" applyBorder="1"/>
    <xf numFmtId="9" fontId="0" fillId="0" borderId="13" xfId="1" applyFont="1" applyBorder="1"/>
    <xf numFmtId="0" fontId="2" fillId="0" borderId="0" xfId="0" applyFont="1" applyAlignment="1">
      <alignment horizontal="center" vertical="center"/>
    </xf>
    <xf numFmtId="1" fontId="0" fillId="0" borderId="10" xfId="0" applyNumberFormat="1" applyBorder="1"/>
    <xf numFmtId="0" fontId="0" fillId="29" borderId="0" xfId="0" applyFill="1"/>
    <xf numFmtId="168" fontId="0" fillId="30" borderId="10" xfId="0" applyNumberFormat="1" applyFill="1" applyBorder="1"/>
    <xf numFmtId="168" fontId="0" fillId="29" borderId="13" xfId="0" applyNumberFormat="1" applyFill="1" applyBorder="1"/>
    <xf numFmtId="9" fontId="0" fillId="0" borderId="25" xfId="1" applyFont="1" applyBorder="1"/>
    <xf numFmtId="168" fontId="0" fillId="31" borderId="10" xfId="0" applyNumberFormat="1" applyFill="1" applyBorder="1"/>
    <xf numFmtId="0" fontId="1" fillId="0" borderId="0" xfId="2" applyFont="1" applyFill="1" applyBorder="1"/>
    <xf numFmtId="9" fontId="0" fillId="0" borderId="24" xfId="1" applyFont="1" applyBorder="1"/>
    <xf numFmtId="0" fontId="0" fillId="0" borderId="39" xfId="0" applyBorder="1"/>
    <xf numFmtId="168" fontId="0" fillId="0" borderId="0" xfId="41" applyNumberFormat="1" applyFont="1"/>
    <xf numFmtId="168" fontId="0" fillId="29" borderId="0" xfId="0" applyNumberFormat="1" applyFill="1"/>
    <xf numFmtId="168" fontId="2" fillId="0" borderId="0" xfId="0" applyNumberFormat="1" applyFont="1"/>
    <xf numFmtId="0" fontId="2" fillId="0" borderId="4" xfId="0" applyFont="1" applyBorder="1"/>
    <xf numFmtId="0" fontId="2" fillId="0" borderId="40" xfId="0" applyFont="1" applyBorder="1"/>
    <xf numFmtId="0" fontId="2" fillId="0" borderId="5" xfId="0" applyFont="1" applyBorder="1"/>
    <xf numFmtId="0" fontId="2" fillId="0" borderId="41" xfId="0" applyFont="1" applyBorder="1"/>
    <xf numFmtId="0" fontId="0" fillId="0" borderId="42" xfId="0" applyBorder="1"/>
    <xf numFmtId="168" fontId="0" fillId="0" borderId="0" xfId="41" applyNumberFormat="1" applyFont="1" applyBorder="1"/>
    <xf numFmtId="0" fontId="0" fillId="0" borderId="43" xfId="0" applyBorder="1"/>
    <xf numFmtId="0" fontId="0" fillId="0" borderId="44" xfId="0" applyBorder="1"/>
    <xf numFmtId="0" fontId="0" fillId="0" borderId="45" xfId="0" applyBorder="1"/>
    <xf numFmtId="168" fontId="0" fillId="0" borderId="0" xfId="0" applyNumberFormat="1"/>
    <xf numFmtId="169" fontId="0" fillId="0" borderId="8" xfId="41" applyNumberFormat="1" applyFont="1" applyBorder="1"/>
    <xf numFmtId="169" fontId="2" fillId="0" borderId="0" xfId="0" applyNumberFormat="1" applyFont="1"/>
    <xf numFmtId="170" fontId="0" fillId="0" borderId="0" xfId="0" applyNumberFormat="1"/>
    <xf numFmtId="0" fontId="0" fillId="31" borderId="0" xfId="0" applyFill="1"/>
    <xf numFmtId="1" fontId="0" fillId="0" borderId="13" xfId="0" applyNumberFormat="1" applyBorder="1"/>
    <xf numFmtId="0" fontId="0" fillId="0" borderId="0" xfId="0" quotePrefix="1" applyAlignment="1">
      <alignment horizontal="right"/>
    </xf>
    <xf numFmtId="0" fontId="0" fillId="0" borderId="0" xfId="0" applyAlignment="1">
      <alignment horizontal="right" vertical="top"/>
    </xf>
    <xf numFmtId="0" fontId="5" fillId="0" borderId="0" xfId="0" applyFont="1" applyAlignment="1">
      <alignment horizontal="right"/>
    </xf>
    <xf numFmtId="0" fontId="0" fillId="0" borderId="0" xfId="0" applyAlignment="1">
      <alignment horizontal="left" vertical="center" indent="1"/>
    </xf>
    <xf numFmtId="0" fontId="19" fillId="0" borderId="0" xfId="0" applyFont="1" applyAlignment="1">
      <alignment horizontal="left" vertical="center" indent="1"/>
    </xf>
    <xf numFmtId="0" fontId="0" fillId="0" borderId="0" xfId="0" applyAlignment="1">
      <alignment horizontal="left"/>
    </xf>
    <xf numFmtId="170" fontId="0" fillId="0" borderId="2" xfId="0" applyNumberFormat="1" applyBorder="1"/>
    <xf numFmtId="0" fontId="0" fillId="32" borderId="0" xfId="0" applyFill="1"/>
    <xf numFmtId="0" fontId="0" fillId="0" borderId="0" xfId="0" applyAlignment="1">
      <alignment horizontal="left" wrapText="1"/>
    </xf>
    <xf numFmtId="0" fontId="0" fillId="0" borderId="0" xfId="0" applyAlignment="1">
      <alignment wrapText="1"/>
    </xf>
    <xf numFmtId="0" fontId="0" fillId="27" borderId="42" xfId="0" applyFill="1" applyBorder="1"/>
    <xf numFmtId="168" fontId="0" fillId="27" borderId="0" xfId="41" applyNumberFormat="1" applyFont="1" applyFill="1" applyBorder="1"/>
    <xf numFmtId="0" fontId="0" fillId="27" borderId="21" xfId="0" applyFill="1" applyBorder="1"/>
    <xf numFmtId="0" fontId="0" fillId="33" borderId="0" xfId="0" applyFill="1"/>
    <xf numFmtId="0" fontId="5" fillId="0" borderId="1" xfId="0" applyFont="1" applyBorder="1"/>
    <xf numFmtId="3" fontId="0" fillId="0" borderId="2" xfId="0" applyNumberFormat="1" applyBorder="1"/>
    <xf numFmtId="3" fontId="2" fillId="4" borderId="3" xfId="0" applyNumberFormat="1" applyFont="1" applyFill="1" applyBorder="1"/>
    <xf numFmtId="0" fontId="5" fillId="31" borderId="0" xfId="3" applyFont="1" applyFill="1" applyBorder="1"/>
    <xf numFmtId="0" fontId="5" fillId="0" borderId="0" xfId="3" applyFont="1" applyFill="1"/>
    <xf numFmtId="169" fontId="0" fillId="27" borderId="0" xfId="41" applyNumberFormat="1" applyFont="1" applyFill="1" applyBorder="1"/>
    <xf numFmtId="0" fontId="24" fillId="3" borderId="3" xfId="0" applyFont="1" applyFill="1" applyBorder="1"/>
    <xf numFmtId="3" fontId="0" fillId="0" borderId="3" xfId="0" applyNumberFormat="1" applyBorder="1"/>
    <xf numFmtId="168" fontId="0" fillId="27" borderId="0" xfId="41" applyNumberFormat="1" applyFont="1" applyFill="1"/>
    <xf numFmtId="170" fontId="0" fillId="31" borderId="0" xfId="0" applyNumberFormat="1" applyFill="1"/>
    <xf numFmtId="170" fontId="0" fillId="31" borderId="0" xfId="1" applyNumberFormat="1" applyFont="1" applyFill="1"/>
    <xf numFmtId="169" fontId="0" fillId="0" borderId="1" xfId="41" applyNumberFormat="1" applyFont="1" applyBorder="1"/>
    <xf numFmtId="169" fontId="0" fillId="0" borderId="36" xfId="41" applyNumberFormat="1" applyFont="1" applyBorder="1"/>
    <xf numFmtId="0" fontId="19" fillId="0" borderId="0" xfId="0" applyFont="1" applyAlignment="1">
      <alignment horizontal="center"/>
    </xf>
    <xf numFmtId="39" fontId="7" fillId="0" borderId="0" xfId="5" applyNumberFormat="1" applyBorder="1">
      <alignment horizontal="right" vertical="center"/>
    </xf>
    <xf numFmtId="164" fontId="0" fillId="0" borderId="0" xfId="41" applyFont="1"/>
    <xf numFmtId="164" fontId="0" fillId="0" borderId="1" xfId="41" applyFont="1" applyBorder="1"/>
    <xf numFmtId="0" fontId="0" fillId="0" borderId="0" xfId="0" quotePrefix="1" applyAlignment="1">
      <alignment vertical="top"/>
    </xf>
    <xf numFmtId="0" fontId="22" fillId="0" borderId="0" xfId="0" applyFont="1"/>
    <xf numFmtId="0" fontId="0" fillId="0" borderId="0" xfId="0" applyAlignment="1">
      <alignment vertical="top" wrapText="1"/>
    </xf>
    <xf numFmtId="0" fontId="0" fillId="0" borderId="0" xfId="0" applyAlignment="1">
      <alignment vertical="center"/>
    </xf>
    <xf numFmtId="0" fontId="7" fillId="0" borderId="0" xfId="38" applyNumberFormat="1" applyBorder="1" applyAlignment="1"/>
    <xf numFmtId="0" fontId="5" fillId="29" borderId="0" xfId="2" applyFont="1" applyFill="1" applyBorder="1"/>
    <xf numFmtId="0" fontId="0" fillId="34" borderId="0" xfId="0" applyFill="1"/>
    <xf numFmtId="0" fontId="5" fillId="34" borderId="0" xfId="3" applyFont="1" applyFill="1" applyBorder="1"/>
    <xf numFmtId="0" fontId="0" fillId="34" borderId="0" xfId="0" quotePrefix="1" applyFill="1" applyAlignment="1">
      <alignment horizontal="right"/>
    </xf>
    <xf numFmtId="0" fontId="0" fillId="34" borderId="0" xfId="0" applyFill="1" applyAlignment="1">
      <alignment horizontal="right"/>
    </xf>
    <xf numFmtId="3" fontId="0" fillId="34" borderId="3" xfId="0" applyNumberFormat="1" applyFill="1" applyBorder="1"/>
    <xf numFmtId="0" fontId="5" fillId="34" borderId="0" xfId="2" applyFont="1" applyFill="1" applyBorder="1"/>
    <xf numFmtId="9" fontId="0" fillId="0" borderId="0" xfId="1" applyFont="1" applyFill="1"/>
    <xf numFmtId="3" fontId="0" fillId="27" borderId="3" xfId="0" applyNumberFormat="1" applyFill="1" applyBorder="1"/>
    <xf numFmtId="0" fontId="5" fillId="29" borderId="0" xfId="3" applyFont="1" applyFill="1" applyBorder="1"/>
    <xf numFmtId="0" fontId="0" fillId="29" borderId="0" xfId="0" quotePrefix="1" applyFill="1" applyAlignment="1">
      <alignment horizontal="right"/>
    </xf>
    <xf numFmtId="0" fontId="0" fillId="29" borderId="0" xfId="0" applyFill="1" applyAlignment="1">
      <alignment horizontal="right"/>
    </xf>
    <xf numFmtId="3" fontId="0" fillId="29" borderId="3" xfId="0" applyNumberFormat="1" applyFill="1" applyBorder="1"/>
  </cellXfs>
  <cellStyles count="45">
    <cellStyle name="Comma" xfId="41" builtinId="3"/>
    <cellStyle name="Currency" xfId="42" builtinId="4"/>
    <cellStyle name="Good" xfId="2" builtinId="26"/>
    <cellStyle name="Neutral" xfId="3" builtinId="28"/>
    <cellStyle name="Normal" xfId="0" builtinId="0"/>
    <cellStyle name="Percent" xfId="1" builtinId="5"/>
    <cellStyle name="SAPBorder" xfId="22" xr:uid="{00000000-0005-0000-0000-000006000000}"/>
    <cellStyle name="SAPDataCell" xfId="5" xr:uid="{00000000-0005-0000-0000-000007000000}"/>
    <cellStyle name="SAPDataRemoved" xfId="44" xr:uid="{E5AD5B14-CA45-4179-8D48-BA36DA800640}"/>
    <cellStyle name="SAPDataTotalCell" xfId="6" xr:uid="{00000000-0005-0000-0000-000008000000}"/>
    <cellStyle name="SAPDimensionCell" xfId="4" xr:uid="{00000000-0005-0000-0000-000009000000}"/>
    <cellStyle name="SAPEditableDataCell" xfId="7" xr:uid="{00000000-0005-0000-0000-00000A000000}"/>
    <cellStyle name="SAPEditableDataTotalCell" xfId="10" xr:uid="{00000000-0005-0000-0000-00000B000000}"/>
    <cellStyle name="SAPEmphasized" xfId="30" xr:uid="{00000000-0005-0000-0000-00000C000000}"/>
    <cellStyle name="SAPEmphasizedEditableDataCell" xfId="32" xr:uid="{00000000-0005-0000-0000-00000D000000}"/>
    <cellStyle name="SAPEmphasizedEditableDataTotalCell" xfId="33" xr:uid="{00000000-0005-0000-0000-00000E000000}"/>
    <cellStyle name="SAPEmphasizedLockedDataCell" xfId="36" xr:uid="{00000000-0005-0000-0000-00000F000000}"/>
    <cellStyle name="SAPEmphasizedLockedDataTotalCell" xfId="37" xr:uid="{00000000-0005-0000-0000-000010000000}"/>
    <cellStyle name="SAPEmphasizedReadonlyDataCell" xfId="34" xr:uid="{00000000-0005-0000-0000-000011000000}"/>
    <cellStyle name="SAPEmphasizedReadonlyDataTotalCell" xfId="35" xr:uid="{00000000-0005-0000-0000-000012000000}"/>
    <cellStyle name="SAPEmphasizedTotal" xfId="31" xr:uid="{00000000-0005-0000-0000-000013000000}"/>
    <cellStyle name="SAPError" xfId="40" xr:uid="{00000000-0005-0000-0000-000014000000}"/>
    <cellStyle name="SAPExceptionLevel1" xfId="13" xr:uid="{00000000-0005-0000-0000-000015000000}"/>
    <cellStyle name="SAPExceptionLevel2" xfId="14" xr:uid="{00000000-0005-0000-0000-000016000000}"/>
    <cellStyle name="SAPExceptionLevel3" xfId="15" xr:uid="{00000000-0005-0000-0000-000017000000}"/>
    <cellStyle name="SAPExceptionLevel4" xfId="16" xr:uid="{00000000-0005-0000-0000-000018000000}"/>
    <cellStyle name="SAPExceptionLevel5" xfId="17" xr:uid="{00000000-0005-0000-0000-000019000000}"/>
    <cellStyle name="SAPExceptionLevel6" xfId="18" xr:uid="{00000000-0005-0000-0000-00001A000000}"/>
    <cellStyle name="SAPExceptionLevel7" xfId="19" xr:uid="{00000000-0005-0000-0000-00001B000000}"/>
    <cellStyle name="SAPExceptionLevel8" xfId="20" xr:uid="{00000000-0005-0000-0000-00001C000000}"/>
    <cellStyle name="SAPExceptionLevel9" xfId="21" xr:uid="{00000000-0005-0000-0000-00001D000000}"/>
    <cellStyle name="SAPFormula" xfId="39" xr:uid="{00000000-0005-0000-0000-00001E000000}"/>
    <cellStyle name="SAPGroupingFillCell" xfId="43" xr:uid="{6B51DC53-8934-48E5-966E-05C25797862E}"/>
    <cellStyle name="SAPHierarchyCell0" xfId="25" xr:uid="{00000000-0005-0000-0000-00001F000000}"/>
    <cellStyle name="SAPHierarchyCell1" xfId="26" xr:uid="{00000000-0005-0000-0000-000020000000}"/>
    <cellStyle name="SAPHierarchyCell2" xfId="27" xr:uid="{00000000-0005-0000-0000-000021000000}"/>
    <cellStyle name="SAPHierarchyCell3" xfId="28" xr:uid="{00000000-0005-0000-0000-000022000000}"/>
    <cellStyle name="SAPHierarchyCell4" xfId="29" xr:uid="{00000000-0005-0000-0000-000023000000}"/>
    <cellStyle name="SAPLockedDataCell" xfId="9" xr:uid="{00000000-0005-0000-0000-000024000000}"/>
    <cellStyle name="SAPLockedDataTotalCell" xfId="12" xr:uid="{00000000-0005-0000-0000-000025000000}"/>
    <cellStyle name="SAPMemberCell" xfId="23" xr:uid="{00000000-0005-0000-0000-000026000000}"/>
    <cellStyle name="SAPMemberTotalCell" xfId="24" xr:uid="{00000000-0005-0000-0000-000027000000}"/>
    <cellStyle name="SAPMessageText" xfId="38" xr:uid="{00000000-0005-0000-0000-000028000000}"/>
    <cellStyle name="SAPReadonlyDataCell" xfId="8" xr:uid="{00000000-0005-0000-0000-000029000000}"/>
    <cellStyle name="SAPReadonlyDataTotalCell" xfId="11" xr:uid="{00000000-0005-0000-0000-00002A000000}"/>
  </cellStyles>
  <dxfs count="14">
    <dxf>
      <fill>
        <patternFill>
          <bgColor theme="9" tint="0.39994506668294322"/>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rgb="FFFF0000"/>
        </patternFill>
      </fill>
    </dxf>
    <dxf>
      <fill>
        <patternFill>
          <bgColor theme="9" tint="0.39994506668294322"/>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openxmlformats.org/officeDocument/2006/relationships/customXml" Target="../customXml/item5.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8</xdr:row>
          <xdr:rowOff>104775</xdr:rowOff>
        </xdr:from>
        <xdr:to>
          <xdr:col>0</xdr:col>
          <xdr:colOff>752475</xdr:colOff>
          <xdr:row>10</xdr:row>
          <xdr:rowOff>104775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Details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8</xdr:row>
          <xdr:rowOff>104775</xdr:rowOff>
        </xdr:from>
        <xdr:to>
          <xdr:col>0</xdr:col>
          <xdr:colOff>752475</xdr:colOff>
          <xdr:row>10</xdr:row>
          <xdr:rowOff>104775</xdr:rowOff>
        </xdr:to>
        <xdr:sp macro="" textlink="">
          <xdr:nvSpPr>
            <xdr:cNvPr id="21505" name="Button 2"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Details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981075</xdr:colOff>
          <xdr:row>0</xdr:row>
          <xdr:rowOff>66675</xdr:rowOff>
        </xdr:from>
        <xdr:to>
          <xdr:col>2</xdr:col>
          <xdr:colOff>238125</xdr:colOff>
          <xdr:row>1</xdr:row>
          <xdr:rowOff>104775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Convert PO NR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333375</xdr:colOff>
          <xdr:row>1</xdr:row>
          <xdr:rowOff>28575</xdr:rowOff>
        </xdr:from>
        <xdr:to>
          <xdr:col>7</xdr:col>
          <xdr:colOff>57150</xdr:colOff>
          <xdr:row>3</xdr:row>
          <xdr:rowOff>76200</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8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175259</xdr:colOff>
      <xdr:row>33</xdr:row>
      <xdr:rowOff>160020</xdr:rowOff>
    </xdr:from>
    <xdr:to>
      <xdr:col>0</xdr:col>
      <xdr:colOff>2141220</xdr:colOff>
      <xdr:row>47</xdr:row>
      <xdr:rowOff>30710</xdr:rowOff>
    </xdr:to>
    <xdr:pic>
      <xdr:nvPicPr>
        <xdr:cNvPr id="5" name="Picture 4">
          <a:extLst>
            <a:ext uri="{FF2B5EF4-FFF2-40B4-BE49-F238E27FC236}">
              <a16:creationId xmlns:a16="http://schemas.microsoft.com/office/drawing/2014/main" id="{00000000-0008-0000-0B00-00000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980" t="8595" r="31847"/>
        <a:stretch/>
      </xdr:blipFill>
      <xdr:spPr>
        <a:xfrm>
          <a:off x="175259" y="4549140"/>
          <a:ext cx="1965961" cy="2431010"/>
        </a:xfrm>
        <a:prstGeom prst="rect">
          <a:avLst/>
        </a:prstGeom>
      </xdr:spPr>
    </xdr:pic>
    <xdr:clientData/>
  </xdr:twoCellAnchor>
  <xdr:twoCellAnchor editAs="oneCell">
    <xdr:from>
      <xdr:col>0</xdr:col>
      <xdr:colOff>6784339</xdr:colOff>
      <xdr:row>51</xdr:row>
      <xdr:rowOff>96519</xdr:rowOff>
    </xdr:from>
    <xdr:to>
      <xdr:col>0</xdr:col>
      <xdr:colOff>7866380</xdr:colOff>
      <xdr:row>53</xdr:row>
      <xdr:rowOff>11430</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333" t="9755"/>
        <a:stretch/>
      </xdr:blipFill>
      <xdr:spPr>
        <a:xfrm>
          <a:off x="6784339" y="9488169"/>
          <a:ext cx="1082041" cy="283211"/>
        </a:xfrm>
        <a:prstGeom prst="rect">
          <a:avLst/>
        </a:prstGeom>
        <a:ln>
          <a:solidFill>
            <a:schemeClr val="tx1"/>
          </a:solidFill>
        </a:ln>
      </xdr:spPr>
    </xdr:pic>
    <xdr:clientData/>
  </xdr:twoCellAnchor>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openxmlformats.org/officeDocument/2006/relationships/printerSettings" Target="../printerSettings/printerSettings1.bin"/><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2.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3.bin"/><Relationship Id="rId6" Type="http://schemas.openxmlformats.org/officeDocument/2006/relationships/ctrlProp" Target="../ctrlProps/ctrlProp2.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4.bin"/><Relationship Id="rId4" Type="http://schemas.openxmlformats.org/officeDocument/2006/relationships/customProperty" Target="../customProperty11.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3.bin"/><Relationship Id="rId2" Type="http://schemas.openxmlformats.org/officeDocument/2006/relationships/customProperty" Target="../customProperty12.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printerSettings" Target="../printerSettings/printerSettings6.bin"/><Relationship Id="rId1" Type="http://schemas.openxmlformats.org/officeDocument/2006/relationships/hyperlink" Target="https://eur03.safelinks.protection.outlook.com/?url=https%3A%2F%2Fjde.service-now.com%2Fcmdb_ci_appl.do%3Fsys_id%3D76ba32c3db53dbc0c83f81cc0b9619e4%26sysparm_record_target%3Dcmdb_ci_appl%26sysparm_record_row%3D1%26sysparm_record_rows%3D48%26sysparm_record_list%3Dsys_class_name%253Dcmdb_ci_appl%255Ename%253E%253Dwebs%255EORDERBYname&amp;data=04%7C01%7CLieke.Koers%40JDEcoffee.com%7Ca721be8a6c204b32a5c208d950fcc16d%7C22d30701ec5e4bdcba4fb9234053b0a9%7C1%7C0%7C637629868765051768%7CUnknown%7CTWFpbGZsb3d8eyJWIjoiMC4wLjAwMDAiLCJQIjoiV2luMzIiLCJBTiI6Ik1haWwiLCJXVCI6Mn0%3D%7C1000&amp;sdata=LcgCp0NdvQSxiuC%2FKSc%2FfT%2Blwm%2FXH2izP40%2FJLxubyk%3D&amp;reserved=0" TargetMode="External"/><Relationship Id="rId4" Type="http://schemas.openxmlformats.org/officeDocument/2006/relationships/customProperty" Target="../customProperty15.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7.bin"/><Relationship Id="rId2" Type="http://schemas.openxmlformats.org/officeDocument/2006/relationships/customProperty" Target="../customProperty16.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9.bin"/><Relationship Id="rId7" Type="http://schemas.openxmlformats.org/officeDocument/2006/relationships/ctrlProp" Target="../ctrlProps/ctrlProp3.xml"/><Relationship Id="rId2" Type="http://schemas.openxmlformats.org/officeDocument/2006/relationships/customProperty" Target="../customProperty18.bin"/><Relationship Id="rId1" Type="http://schemas.openxmlformats.org/officeDocument/2006/relationships/printerSettings" Target="../printerSettings/printerSettings8.bin"/><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customProperty" Target="../customProperty20.bin"/></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22.bin"/><Relationship Id="rId7" Type="http://schemas.openxmlformats.org/officeDocument/2006/relationships/image" Target="../media/image1.emf"/><Relationship Id="rId2" Type="http://schemas.openxmlformats.org/officeDocument/2006/relationships/customProperty" Target="../customProperty21.bin"/><Relationship Id="rId1" Type="http://schemas.openxmlformats.org/officeDocument/2006/relationships/printerSettings" Target="../printerSettings/printerSettings9.bin"/><Relationship Id="rId6" Type="http://schemas.openxmlformats.org/officeDocument/2006/relationships/control" Target="../activeX/activeX1.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2.bin"/><Relationship Id="rId4"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32.bin"/><Relationship Id="rId2" Type="http://schemas.openxmlformats.org/officeDocument/2006/relationships/customProperty" Target="../customProperty31.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34.bin"/><Relationship Id="rId2" Type="http://schemas.openxmlformats.org/officeDocument/2006/relationships/customProperty" Target="../customProperty33.bin"/><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heetViews>
  <sheetFormatPr defaultRowHeight="15" x14ac:dyDescent="0.25"/>
  <sheetData/>
  <pageMargins left="0.7" right="0.7" top="0.75" bottom="0.75" header="0.3" footer="0.3"/>
  <pageSetup paperSize="9" orientation="portrait" r:id="rId1"/>
  <customProperties>
    <customPr name="_pios_id" r:id="rId2"/>
    <customPr name="CofWorksheetType" r:id="rId3"/>
    <customPr name="EpmWorksheetKeyString_GUID" r:id="rId4"/>
    <customPr name="serializedData2" r:id="rId5"/>
  </customPropertie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B1:L40"/>
  <sheetViews>
    <sheetView showGridLines="0" topLeftCell="A9" zoomScaleNormal="100" workbookViewId="0">
      <selection activeCell="F11" sqref="F11"/>
    </sheetView>
  </sheetViews>
  <sheetFormatPr defaultRowHeight="15" x14ac:dyDescent="0.25"/>
  <cols>
    <col min="1" max="1" width="12.5703125" customWidth="1"/>
    <col min="2" max="2" width="21.5703125" customWidth="1"/>
    <col min="3" max="3" width="31.42578125" customWidth="1"/>
    <col min="4" max="4" width="21.42578125" bestFit="1" customWidth="1"/>
    <col min="5" max="5" width="11" hidden="1" customWidth="1"/>
    <col min="6" max="6" width="16.5703125" bestFit="1" customWidth="1"/>
    <col min="7" max="7" width="12.5703125" hidden="1" customWidth="1"/>
    <col min="8" max="8" width="15.42578125" bestFit="1" customWidth="1"/>
    <col min="9" max="9" width="15.5703125" bestFit="1" customWidth="1"/>
    <col min="10" max="10" width="15.42578125" customWidth="1"/>
    <col min="11" max="11" width="15" customWidth="1"/>
    <col min="12" max="12" width="35.42578125" customWidth="1"/>
    <col min="13" max="13" width="10.42578125" bestFit="1" customWidth="1"/>
  </cols>
  <sheetData>
    <row r="1" spans="2:12" x14ac:dyDescent="0.25">
      <c r="D1" s="164">
        <v>68427709</v>
      </c>
    </row>
    <row r="2" spans="2:12" x14ac:dyDescent="0.25">
      <c r="B2" t="s">
        <v>0</v>
      </c>
      <c r="D2" s="41">
        <f ca="1">NOW()</f>
        <v>45670.418216319442</v>
      </c>
    </row>
    <row r="3" spans="2:12" x14ac:dyDescent="0.25">
      <c r="B3" t="s">
        <v>1</v>
      </c>
      <c r="D3" s="85">
        <v>12</v>
      </c>
    </row>
    <row r="5" spans="2:12" x14ac:dyDescent="0.25">
      <c r="B5" s="166" t="s">
        <v>2</v>
      </c>
      <c r="C5" s="166"/>
      <c r="D5" s="166"/>
      <c r="E5" s="166"/>
      <c r="F5" s="166"/>
      <c r="G5" s="166"/>
      <c r="H5" s="166"/>
      <c r="I5" s="166"/>
    </row>
    <row r="6" spans="2:12" x14ac:dyDescent="0.25">
      <c r="B6" s="9"/>
      <c r="C6" s="9"/>
      <c r="D6" s="9"/>
      <c r="E6" s="167" t="s">
        <v>3</v>
      </c>
      <c r="F6" s="167" t="s">
        <v>3</v>
      </c>
      <c r="G6" s="167" t="s">
        <v>4</v>
      </c>
      <c r="H6" s="167" t="s">
        <v>5</v>
      </c>
      <c r="I6" s="167" t="s">
        <v>6</v>
      </c>
      <c r="J6" s="167" t="s">
        <v>7</v>
      </c>
      <c r="K6" s="167" t="s">
        <v>8</v>
      </c>
      <c r="L6" s="167" t="s">
        <v>9</v>
      </c>
    </row>
    <row r="7" spans="2:12" x14ac:dyDescent="0.25">
      <c r="B7" s="9" t="s">
        <v>10</v>
      </c>
      <c r="C7" s="9" t="s">
        <v>11</v>
      </c>
      <c r="D7" s="9"/>
      <c r="E7" s="167">
        <f>F7-1</f>
        <v>2024</v>
      </c>
      <c r="F7" s="179">
        <v>2025</v>
      </c>
      <c r="G7" s="167" t="str">
        <f>F7&amp;" vs "&amp;E7</f>
        <v>2025 vs 2024</v>
      </c>
      <c r="H7" s="167" t="str">
        <f>ShowMonthName(D3)</f>
        <v>December</v>
      </c>
      <c r="I7" s="167"/>
      <c r="J7" s="167"/>
      <c r="K7" s="167"/>
    </row>
    <row r="8" spans="2:12" ht="15.75" thickBot="1" x14ac:dyDescent="0.3">
      <c r="B8" s="9"/>
      <c r="C8" s="9"/>
      <c r="D8" s="9"/>
      <c r="F8" s="9"/>
      <c r="G8" s="9"/>
      <c r="H8" s="9"/>
      <c r="I8" s="9"/>
      <c r="J8" s="9"/>
    </row>
    <row r="9" spans="2:12" ht="15.75" thickBot="1" x14ac:dyDescent="0.3">
      <c r="B9" s="54" t="s">
        <v>12</v>
      </c>
      <c r="C9" s="55"/>
      <c r="D9" s="55"/>
      <c r="E9" s="56">
        <f>SUM(E10:E28)</f>
        <v>49950462</v>
      </c>
      <c r="F9" s="56">
        <f>SUM(F10:F28)</f>
        <v>56621224.079999998</v>
      </c>
      <c r="G9" s="56">
        <f>SUM(G10:G28)</f>
        <v>6670762.0800000001</v>
      </c>
      <c r="H9" s="56">
        <f>(F9/12)*$D$3</f>
        <v>56621224.079999998</v>
      </c>
      <c r="I9" s="56">
        <f>SUM(I10:I28)</f>
        <v>0</v>
      </c>
      <c r="J9" s="57">
        <f>H9-I9</f>
        <v>56621224.079999998</v>
      </c>
      <c r="K9" s="171"/>
      <c r="L9" s="12" t="s">
        <v>13</v>
      </c>
    </row>
    <row r="10" spans="2:12" x14ac:dyDescent="0.25">
      <c r="B10" s="45"/>
      <c r="C10" s="46"/>
      <c r="D10" s="46"/>
      <c r="E10" s="11"/>
      <c r="F10" s="46"/>
      <c r="G10" s="46"/>
      <c r="H10" s="46"/>
      <c r="I10" s="46"/>
      <c r="J10" s="58"/>
      <c r="K10" s="63"/>
      <c r="L10" s="12"/>
    </row>
    <row r="11" spans="2:12" x14ac:dyDescent="0.25">
      <c r="B11" s="59" t="s">
        <v>14</v>
      </c>
      <c r="C11" t="s">
        <v>15</v>
      </c>
      <c r="D11" t="s">
        <v>16</v>
      </c>
      <c r="E11" s="106">
        <f>SUMPRODUCT(('AOP25'!$E$2:$E$639=Summary!B11)*('AOP25'!$D$2:$D$639=$D$1)*('AOP25'!$S$2:$S$639))</f>
        <v>265000</v>
      </c>
      <c r="F11" s="60" cm="1">
        <f t="array" ref="F11">SUMPRODUCT(('AOP25'!$E$2:$E$639=Summary!B11)*('AOP25'!$D$2:$D$639=$D$1)*('AOP25'!$U$2:$U$639))</f>
        <v>231000</v>
      </c>
      <c r="G11" s="60">
        <f>F11-E11</f>
        <v>-34000</v>
      </c>
      <c r="H11" s="61">
        <f t="shared" ref="H11:H28" si="0">(F11/12)*$D$3</f>
        <v>231000</v>
      </c>
      <c r="I11" s="60">
        <f>SUMPRODUCT(('BW Summary'!$B$7:$B$248=Summary!B11)*('BW Summary'!$F$7:$F$248))</f>
        <v>0</v>
      </c>
      <c r="J11" s="195">
        <f>H11-I11</f>
        <v>231000</v>
      </c>
      <c r="K11" s="194">
        <f>IF(ISERROR(I11/H11),0,I11/H11)</f>
        <v>0</v>
      </c>
      <c r="L11" s="14"/>
    </row>
    <row r="12" spans="2:12" ht="15" customHeight="1" x14ac:dyDescent="0.25">
      <c r="B12" s="59" t="s">
        <v>17</v>
      </c>
      <c r="C12" t="s">
        <v>18</v>
      </c>
      <c r="D12" t="s">
        <v>16</v>
      </c>
      <c r="E12" s="106">
        <f>SUMPRODUCT(('AOP25'!$E$2:$E$639=Summary!B12)*('AOP25'!$D$2:$D$639=$D$1)*('AOP25'!$S$2:$S$639))</f>
        <v>0</v>
      </c>
      <c r="F12" s="60" cm="1">
        <f t="array" ref="F12">SUMPRODUCT(('AOP25'!$E$2:$E$639=Summary!B12)*('AOP25'!$D$2:$D$639=$D$1)*('AOP25'!$U$2:$U$639))</f>
        <v>0</v>
      </c>
      <c r="G12" s="60">
        <f t="shared" ref="G12:G28" si="1">F12-E12</f>
        <v>0</v>
      </c>
      <c r="H12" s="61">
        <f t="shared" si="0"/>
        <v>0</v>
      </c>
      <c r="I12" s="60">
        <f>SUMPRODUCT(('BW Summary'!$B$7:$B$248=Summary!B12)*('BW Summary'!$F$7:$F$248))</f>
        <v>0</v>
      </c>
      <c r="J12" s="62">
        <f t="shared" ref="J12:J28" si="2">H12-I12</f>
        <v>0</v>
      </c>
      <c r="K12" s="194">
        <f>IF(ISERROR(I12/H12),0,I12/H12)</f>
        <v>0</v>
      </c>
      <c r="L12" s="14"/>
    </row>
    <row r="13" spans="2:12" x14ac:dyDescent="0.25">
      <c r="B13" s="59" t="s">
        <v>19</v>
      </c>
      <c r="C13" t="s">
        <v>20</v>
      </c>
      <c r="D13" t="s">
        <v>16</v>
      </c>
      <c r="E13" s="106">
        <f>SUMPRODUCT(('AOP25'!$E$2:$E$639=Summary!B13)*('AOP25'!$D$2:$D$639=$D$1)*('AOP25'!$S$2:$S$639))</f>
        <v>7571000</v>
      </c>
      <c r="F13" s="60" cm="1">
        <f t="array" ref="F13">SUMPRODUCT(('AOP25'!$E$2:$E$639=Summary!B13)*('AOP25'!$D$2:$D$639=$D$1)*('AOP25'!$U$2:$U$639))</f>
        <v>10620660</v>
      </c>
      <c r="G13" s="60">
        <f t="shared" si="1"/>
        <v>3049660</v>
      </c>
      <c r="H13" s="61">
        <f t="shared" si="0"/>
        <v>10620660</v>
      </c>
      <c r="I13" s="60">
        <f>SUMPRODUCT(('BW Summary'!$B$7:$B$248=Summary!B13)*('BW Summary'!$F$7:$F$248))</f>
        <v>0</v>
      </c>
      <c r="J13" s="192">
        <f t="shared" si="2"/>
        <v>10620660</v>
      </c>
      <c r="K13" s="194">
        <f t="shared" ref="K13:K28" si="3">IF(ISERROR(I13/H13),0,I13/H13)</f>
        <v>0</v>
      </c>
      <c r="L13" s="14"/>
    </row>
    <row r="14" spans="2:12" x14ac:dyDescent="0.25">
      <c r="B14" s="65" t="s">
        <v>21</v>
      </c>
      <c r="C14" t="s">
        <v>22</v>
      </c>
      <c r="D14" t="s">
        <v>23</v>
      </c>
      <c r="E14" s="106">
        <f>SUMPRODUCT(('AOP25'!$E$2:$E$639=Summary!B14)*('AOP25'!$D$2:$D$639=$D$1)*('AOP25'!$S$2:$S$639))</f>
        <v>6264500</v>
      </c>
      <c r="F14" s="60" cm="1">
        <f t="array" ref="F14">SUMPRODUCT(('AOP25'!$E$2:$E$639=Summary!B14)*('AOP25'!$D$2:$D$639=$D$1)*('AOP25'!$U$2:$U$639))</f>
        <v>6852400</v>
      </c>
      <c r="G14" s="60">
        <f t="shared" si="1"/>
        <v>587900</v>
      </c>
      <c r="H14" s="61">
        <f t="shared" si="0"/>
        <v>6852400</v>
      </c>
      <c r="I14" s="60">
        <f>SUMPRODUCT(('BW Summary'!$B$7:$B$248=Summary!B14)*('BW Summary'!$F$7:$F$248))</f>
        <v>0</v>
      </c>
      <c r="J14" s="62">
        <f t="shared" si="2"/>
        <v>6852400</v>
      </c>
      <c r="K14" s="194">
        <f t="shared" si="3"/>
        <v>0</v>
      </c>
      <c r="L14" s="14"/>
    </row>
    <row r="15" spans="2:12" ht="15.6" customHeight="1" x14ac:dyDescent="0.25">
      <c r="B15" s="65" t="s">
        <v>24</v>
      </c>
      <c r="C15" t="s">
        <v>25</v>
      </c>
      <c r="D15" t="s">
        <v>23</v>
      </c>
      <c r="E15" s="106">
        <f>SUMPRODUCT(('AOP25'!$E$2:$E$639=Summary!B15)*('AOP25'!$D$2:$D$639=$D$1)*('AOP25'!$S$2:$S$639))</f>
        <v>0</v>
      </c>
      <c r="F15" s="60" cm="1">
        <f t="array" ref="F15">SUMPRODUCT(('AOP25'!$E$2:$E$639=Summary!B15)*('AOP25'!$D$2:$D$639=$D$1)*('AOP25'!$U$2:$U$639))</f>
        <v>0</v>
      </c>
      <c r="G15" s="60">
        <f t="shared" si="1"/>
        <v>0</v>
      </c>
      <c r="H15" s="61">
        <f t="shared" si="0"/>
        <v>0</v>
      </c>
      <c r="I15" s="60">
        <f>SUMPRODUCT(('BW Summary'!$B$7:$B$248=Summary!B15)*('BW Summary'!$F$7:$F$248))</f>
        <v>0</v>
      </c>
      <c r="J15" s="62">
        <f t="shared" si="2"/>
        <v>0</v>
      </c>
      <c r="K15" s="194">
        <f t="shared" si="3"/>
        <v>0</v>
      </c>
      <c r="L15" s="14"/>
    </row>
    <row r="16" spans="2:12" x14ac:dyDescent="0.25">
      <c r="B16" s="65" t="s">
        <v>26</v>
      </c>
      <c r="C16" t="s">
        <v>27</v>
      </c>
      <c r="D16" t="s">
        <v>28</v>
      </c>
      <c r="E16" s="106">
        <f>SUMPRODUCT(('AOP25'!$E$2:$E$639=Summary!B16)*('AOP25'!$D$2:$D$639=$D$1)*('AOP25'!$S$2:$S$639))</f>
        <v>634960</v>
      </c>
      <c r="F16" s="60" cm="1">
        <f t="array" ref="F16">SUMPRODUCT(('AOP25'!$E$2:$E$639=Summary!B16)*('AOP25'!$D$2:$D$639=$D$1)*('AOP25'!$U$2:$U$639))</f>
        <v>304960</v>
      </c>
      <c r="G16" s="60">
        <f t="shared" si="1"/>
        <v>-330000</v>
      </c>
      <c r="H16" s="61">
        <f t="shared" si="0"/>
        <v>304960</v>
      </c>
      <c r="I16" s="60">
        <f>SUMPRODUCT(('BW Summary'!$B$7:$B$248=Summary!B16)*('BW Summary'!$F$7:$F$248))</f>
        <v>0</v>
      </c>
      <c r="J16" s="62">
        <f t="shared" si="2"/>
        <v>304960</v>
      </c>
      <c r="K16" s="194">
        <f t="shared" si="3"/>
        <v>0</v>
      </c>
      <c r="L16" s="14"/>
    </row>
    <row r="17" spans="2:12" x14ac:dyDescent="0.25">
      <c r="B17" s="66" t="s">
        <v>29</v>
      </c>
      <c r="C17" t="s">
        <v>30</v>
      </c>
      <c r="D17" t="s">
        <v>31</v>
      </c>
      <c r="E17" s="106">
        <f>SUMPRODUCT(('AOP25'!$E$2:$E$639=Summary!B17)*('AOP25'!$D$2:$D$639=$D$1)*('AOP25'!$S$2:$S$639))</f>
        <v>2260000</v>
      </c>
      <c r="F17" s="60" cm="1">
        <f t="array" ref="F17">SUMPRODUCT(('AOP25'!$E$2:$E$639=Summary!B17)*('AOP25'!$D$2:$D$639=$D$1)*('AOP25'!$U$2:$U$639))</f>
        <v>2060000</v>
      </c>
      <c r="G17" s="60">
        <f t="shared" si="1"/>
        <v>-200000</v>
      </c>
      <c r="H17" s="61">
        <f t="shared" si="0"/>
        <v>2060000</v>
      </c>
      <c r="I17" s="60">
        <f>SUMPRODUCT(('BW Summary'!$B$7:$B$248=Summary!B17)*('BW Summary'!$F$7:$F$248))</f>
        <v>0</v>
      </c>
      <c r="J17" s="62">
        <f t="shared" si="2"/>
        <v>2060000</v>
      </c>
      <c r="K17" s="194">
        <f t="shared" si="3"/>
        <v>0</v>
      </c>
      <c r="L17" s="62"/>
    </row>
    <row r="18" spans="2:12" x14ac:dyDescent="0.25">
      <c r="B18" s="66" t="s">
        <v>32</v>
      </c>
      <c r="C18" t="s">
        <v>33</v>
      </c>
      <c r="D18" t="s">
        <v>31</v>
      </c>
      <c r="E18" s="106">
        <f>SUMPRODUCT(('AOP25'!$E$2:$E$639=Summary!B18)*('AOP25'!$D$2:$D$639=$D$1)*('AOP25'!$S$2:$S$639))</f>
        <v>0</v>
      </c>
      <c r="F18" s="60" cm="1">
        <f t="array" ref="F18">SUMPRODUCT(('AOP25'!$E$2:$E$639=Summary!B18)*('AOP25'!$D$2:$D$639=$D$1)*('AOP25'!$U$2:$U$639))</f>
        <v>0</v>
      </c>
      <c r="G18" s="60">
        <f t="shared" si="1"/>
        <v>0</v>
      </c>
      <c r="H18" s="61">
        <f t="shared" si="0"/>
        <v>0</v>
      </c>
      <c r="I18" s="60">
        <f>SUMPRODUCT(('BW Summary'!$B$7:$B$248=Summary!B18)*('BW Summary'!$F$7:$F$248))</f>
        <v>0</v>
      </c>
      <c r="J18" s="62">
        <f t="shared" si="2"/>
        <v>0</v>
      </c>
      <c r="K18" s="194">
        <f t="shared" si="3"/>
        <v>0</v>
      </c>
      <c r="L18" s="14"/>
    </row>
    <row r="19" spans="2:12" x14ac:dyDescent="0.25">
      <c r="B19" s="65" t="s">
        <v>34</v>
      </c>
      <c r="C19" t="s">
        <v>35</v>
      </c>
      <c r="D19" t="s">
        <v>31</v>
      </c>
      <c r="E19" s="106">
        <f>SUMPRODUCT(('AOP25'!$E$2:$E$639=Summary!B19)*('AOP25'!$D$2:$D$639=$D$1)*('AOP25'!$S$2:$S$639))</f>
        <v>1499144</v>
      </c>
      <c r="F19" s="60" cm="1">
        <f t="array" ref="F19">SUMPRODUCT(('AOP25'!$E$2:$E$639=Summary!B19)*('AOP25'!$D$2:$D$639=$D$1)*('AOP25'!$U$2:$U$639))</f>
        <v>1322700</v>
      </c>
      <c r="G19" s="60">
        <f t="shared" si="1"/>
        <v>-176444</v>
      </c>
      <c r="H19" s="61">
        <f t="shared" si="0"/>
        <v>1322700</v>
      </c>
      <c r="I19" s="60">
        <f>SUMPRODUCT(('BW Summary'!$B$7:$B$248=Summary!B19)*('BW Summary'!$F$7:$F$248))</f>
        <v>0</v>
      </c>
      <c r="J19" s="62">
        <f t="shared" si="2"/>
        <v>1322700</v>
      </c>
      <c r="K19" s="194">
        <f t="shared" si="3"/>
        <v>0</v>
      </c>
      <c r="L19" s="62"/>
    </row>
    <row r="20" spans="2:12" x14ac:dyDescent="0.25">
      <c r="B20" s="66" t="s">
        <v>36</v>
      </c>
      <c r="C20" t="s">
        <v>37</v>
      </c>
      <c r="D20" t="s">
        <v>31</v>
      </c>
      <c r="E20" s="106">
        <f>SUMPRODUCT(('AOP25'!$E$2:$E$639=Summary!B20)*('AOP25'!$D$2:$D$639=$D$1)*('AOP25'!$S$2:$S$639))</f>
        <v>122920</v>
      </c>
      <c r="F20" s="60" cm="1">
        <f t="array" ref="F20">SUMPRODUCT(('AOP25'!$E$2:$E$639=Summary!B20)*('AOP25'!$D$2:$D$639=$D$1)*('AOP25'!$U$2:$U$639))</f>
        <v>157500</v>
      </c>
      <c r="G20" s="60">
        <f t="shared" si="1"/>
        <v>34580</v>
      </c>
      <c r="H20" s="61">
        <f t="shared" si="0"/>
        <v>157500</v>
      </c>
      <c r="I20" s="60">
        <f>SUMPRODUCT(('BW Summary'!$B$7:$B$248=Summary!B20)*('BW Summary'!$F$7:$F$248))</f>
        <v>0</v>
      </c>
      <c r="J20" s="62">
        <f t="shared" si="2"/>
        <v>157500</v>
      </c>
      <c r="K20" s="194">
        <f t="shared" si="3"/>
        <v>0</v>
      </c>
      <c r="L20" s="14"/>
    </row>
    <row r="21" spans="2:12" x14ac:dyDescent="0.25">
      <c r="B21" s="66" t="s">
        <v>38</v>
      </c>
      <c r="C21" t="s">
        <v>39</v>
      </c>
      <c r="D21" t="s">
        <v>40</v>
      </c>
      <c r="E21" s="106">
        <f>SUMPRODUCT(('AOP25'!$E$2:$E$639=Summary!B21)*('AOP25'!$D$2:$D$639=$D$1)*('AOP25'!$S$2:$S$639))</f>
        <v>1394000</v>
      </c>
      <c r="F21" s="60" cm="1">
        <f t="array" ref="F21">SUMPRODUCT(('AOP25'!$E$2:$E$639=Summary!B21)*('AOP25'!$D$2:$D$639=$D$1)*('AOP25'!$U$2:$U$639))</f>
        <v>1655500</v>
      </c>
      <c r="G21" s="60">
        <f t="shared" si="1"/>
        <v>261500</v>
      </c>
      <c r="H21" s="61">
        <f t="shared" si="0"/>
        <v>1655500</v>
      </c>
      <c r="I21" s="60">
        <f>SUMPRODUCT(('BW Summary'!$B$7:$B$248=Summary!B21)*('BW Summary'!$F$7:$F$248))</f>
        <v>0</v>
      </c>
      <c r="J21" s="62">
        <f t="shared" ref="J21" si="4">H21-I21</f>
        <v>1655500</v>
      </c>
      <c r="K21" s="194">
        <f t="shared" si="3"/>
        <v>0</v>
      </c>
      <c r="L21" s="14"/>
    </row>
    <row r="22" spans="2:12" x14ac:dyDescent="0.25">
      <c r="B22" s="65" t="s">
        <v>41</v>
      </c>
      <c r="C22" t="s">
        <v>42</v>
      </c>
      <c r="D22" t="s">
        <v>42</v>
      </c>
      <c r="E22" s="106">
        <f>SUMPRODUCT(('AOP25'!$E$2:$E$639=Summary!B22)*('AOP25'!$D$2:$D$639=$D$1)*('AOP25'!$S$2:$S$639))</f>
        <v>7420000</v>
      </c>
      <c r="F22" s="60" cm="1">
        <f t="array" ref="F22">SUMPRODUCT(('AOP25'!$E$2:$E$639=Summary!B22)*('AOP25'!$D$2:$D$639=$D$1)*('AOP25'!$U$2:$U$639))</f>
        <v>6818500</v>
      </c>
      <c r="G22" s="60">
        <f t="shared" si="1"/>
        <v>-601500</v>
      </c>
      <c r="H22" s="61">
        <f t="shared" si="0"/>
        <v>6818500</v>
      </c>
      <c r="I22" s="60">
        <f>SUMPRODUCT(('BW Summary'!$B$7:$B$248=Summary!B22)*('BW Summary'!$F$7:$F$248))</f>
        <v>0</v>
      </c>
      <c r="J22" s="62">
        <f t="shared" si="2"/>
        <v>6818500</v>
      </c>
      <c r="K22" s="194">
        <f t="shared" si="3"/>
        <v>0</v>
      </c>
      <c r="L22" s="14"/>
    </row>
    <row r="23" spans="2:12" x14ac:dyDescent="0.25">
      <c r="B23" s="65" t="s">
        <v>43</v>
      </c>
      <c r="C23" t="s">
        <v>44</v>
      </c>
      <c r="E23" s="106">
        <f>SUMPRODUCT(('AOP25'!$E$2:$E$639=Summary!B23)*('AOP25'!$D$2:$D$639=$D$1)*('AOP25'!$S$2:$S$639))</f>
        <v>0</v>
      </c>
      <c r="F23" s="60" cm="1">
        <f t="array" ref="F23">SUMPRODUCT(('AOP25'!$E$2:$E$639=Summary!B23)*('AOP25'!$D$2:$D$639=$D$1)*('AOP25'!$U$2:$U$639))</f>
        <v>0</v>
      </c>
      <c r="G23" s="60">
        <f t="shared" si="1"/>
        <v>0</v>
      </c>
      <c r="H23" s="61">
        <f t="shared" si="0"/>
        <v>0</v>
      </c>
      <c r="I23" s="60">
        <f>SUMPRODUCT(('BW Summary'!$B$7:$B$248=Summary!B23)*('BW Summary'!$F$7:$F$248))</f>
        <v>0</v>
      </c>
      <c r="J23" s="62">
        <f t="shared" si="2"/>
        <v>0</v>
      </c>
      <c r="K23" s="194">
        <f t="shared" si="3"/>
        <v>0</v>
      </c>
      <c r="L23" s="14"/>
    </row>
    <row r="24" spans="2:12" x14ac:dyDescent="0.25">
      <c r="B24" s="65" t="s">
        <v>45</v>
      </c>
      <c r="C24" t="s">
        <v>46</v>
      </c>
      <c r="E24" s="106">
        <f>SUMPRODUCT(('AOP25'!$E$2:$E$639=Summary!B24)*('AOP25'!$D$2:$D$639=$D$1)*('AOP25'!$S$2:$S$639))</f>
        <v>0</v>
      </c>
      <c r="F24" s="60" cm="1">
        <f t="array" ref="F24">SUMPRODUCT(('AOP25'!$E$2:$E$639=Summary!B24)*('AOP25'!$D$2:$D$639=$D$1)*('AOP25'!$U$2:$U$639))</f>
        <v>0</v>
      </c>
      <c r="G24" s="60">
        <f t="shared" si="1"/>
        <v>0</v>
      </c>
      <c r="H24" s="61">
        <f t="shared" si="0"/>
        <v>0</v>
      </c>
      <c r="I24" s="60">
        <f>SUMPRODUCT(('BW Summary'!$B$7:$B$248=Summary!B24)*('BW Summary'!$F$7:$F$248))</f>
        <v>0</v>
      </c>
      <c r="J24" s="62">
        <f t="shared" ref="J24:J25" si="5">H24-I24</f>
        <v>0</v>
      </c>
      <c r="K24" s="194">
        <f t="shared" si="3"/>
        <v>0</v>
      </c>
      <c r="L24" s="14"/>
    </row>
    <row r="25" spans="2:12" x14ac:dyDescent="0.25">
      <c r="B25" s="65" t="s">
        <v>47</v>
      </c>
      <c r="C25" t="s">
        <v>48</v>
      </c>
      <c r="E25" s="106">
        <f>SUMPRODUCT(('AOP25'!$E$2:$E$639=Summary!B25)*('AOP25'!$D$2:$D$639=$D$1)*('AOP25'!$S$2:$S$639))</f>
        <v>0</v>
      </c>
      <c r="F25" s="60" cm="1">
        <f t="array" ref="F25">SUMPRODUCT(('AOP25'!$E$2:$E$639=Summary!B25)*('AOP25'!$D$2:$D$639=$D$1)*('AOP25'!$U$2:$U$639))</f>
        <v>0</v>
      </c>
      <c r="G25" s="60">
        <f t="shared" si="1"/>
        <v>0</v>
      </c>
      <c r="H25" s="61">
        <f t="shared" si="0"/>
        <v>0</v>
      </c>
      <c r="I25" s="60">
        <f>SUMPRODUCT(('BW Summary'!$B$7:$B$248=Summary!B25)*('BW Summary'!$F$7:$F$248))</f>
        <v>0</v>
      </c>
      <c r="J25" s="62">
        <f t="shared" si="5"/>
        <v>0</v>
      </c>
      <c r="K25" s="194">
        <f t="shared" si="3"/>
        <v>0</v>
      </c>
      <c r="L25" s="14"/>
    </row>
    <row r="26" spans="2:12" x14ac:dyDescent="0.25">
      <c r="B26" s="65" t="s">
        <v>49</v>
      </c>
      <c r="C26" t="s">
        <v>50</v>
      </c>
      <c r="D26" t="s">
        <v>42</v>
      </c>
      <c r="E26" s="106">
        <f>SUMPRODUCT(('AOP25'!$E$2:$E$639=Summary!B26)*('AOP25'!$D$2:$D$639=$D$1)*('AOP25'!$S$2:$S$639))</f>
        <v>5595900</v>
      </c>
      <c r="F26" s="60" cm="1">
        <f t="array" ref="F26">SUMPRODUCT(('AOP25'!$E$2:$E$639=Summary!B26)*('AOP25'!$D$2:$D$639=$D$1)*('AOP25'!$U$2:$U$639))</f>
        <v>5818900</v>
      </c>
      <c r="G26" s="60">
        <f t="shared" si="1"/>
        <v>223000</v>
      </c>
      <c r="H26" s="61">
        <f t="shared" si="0"/>
        <v>5818900</v>
      </c>
      <c r="I26" s="60">
        <f>SUMPRODUCT(('BW Summary'!$B$7:$B$248=Summary!B26)*('BW Summary'!$F$7:$F$248))</f>
        <v>0</v>
      </c>
      <c r="J26" s="62">
        <f t="shared" si="2"/>
        <v>5818900</v>
      </c>
      <c r="K26" s="194">
        <f t="shared" si="3"/>
        <v>0</v>
      </c>
      <c r="L26" s="14"/>
    </row>
    <row r="27" spans="2:12" x14ac:dyDescent="0.25">
      <c r="B27" s="67" t="s">
        <v>51</v>
      </c>
      <c r="C27" t="s">
        <v>52</v>
      </c>
      <c r="D27" t="s">
        <v>42</v>
      </c>
      <c r="E27" s="106">
        <f>SUMPRODUCT(('AOP25'!$E$2:$E$639=Summary!B27)*('AOP25'!$D$2:$D$639=$D$1)*('AOP25'!$S$2:$S$639))</f>
        <v>6967738</v>
      </c>
      <c r="F27" s="60" cm="1">
        <f t="array" ref="F27">SUMPRODUCT(('AOP25'!$E$2:$E$639=Summary!B27)*('AOP25'!$D$2:$D$639=$D$1)*('AOP25'!$U$2:$U$639))</f>
        <v>7339548</v>
      </c>
      <c r="G27" s="60">
        <f t="shared" si="1"/>
        <v>371810</v>
      </c>
      <c r="H27" s="61">
        <f t="shared" si="0"/>
        <v>7339548</v>
      </c>
      <c r="I27" s="60">
        <f>SUMPRODUCT(('BW Summary'!$B$7:$B$248=Summary!B27)*('BW Summary'!$F$7:$F$248))</f>
        <v>0</v>
      </c>
      <c r="J27" s="62">
        <f t="shared" si="2"/>
        <v>7339548</v>
      </c>
      <c r="K27" s="194">
        <f t="shared" si="3"/>
        <v>0</v>
      </c>
      <c r="L27" s="14"/>
    </row>
    <row r="28" spans="2:12" ht="15.75" thickBot="1" x14ac:dyDescent="0.3">
      <c r="B28" s="68" t="s">
        <v>53</v>
      </c>
      <c r="C28" s="16" t="s">
        <v>54</v>
      </c>
      <c r="D28" s="16" t="s">
        <v>42</v>
      </c>
      <c r="E28" s="108">
        <f>SUMPRODUCT(('AOP25'!$E$2:$E$639=Summary!B28)*('AOP25'!$D$2:$D$639=$D$1)*('AOP25'!$S$2:$S$639))</f>
        <v>9955300</v>
      </c>
      <c r="F28" s="69" cm="1">
        <f t="array" ref="F28">SUMPRODUCT(('AOP25'!$E$2:$E$639=Summary!B28)*('AOP25'!$D$2:$D$639=$D$1)*('AOP25'!$U$2:$U$639))</f>
        <v>13439556.08</v>
      </c>
      <c r="G28" s="69">
        <f t="shared" si="1"/>
        <v>3484256.08</v>
      </c>
      <c r="H28" s="70">
        <f t="shared" si="0"/>
        <v>13439556.079999998</v>
      </c>
      <c r="I28" s="69">
        <f>SUMPRODUCT(('BW Summary'!$B$7:$B$248=Summary!B28)*('BW Summary'!$F$7:$F$248))</f>
        <v>0</v>
      </c>
      <c r="J28" s="193">
        <f t="shared" si="2"/>
        <v>13439556.079999998</v>
      </c>
      <c r="K28" s="197">
        <f t="shared" si="3"/>
        <v>0</v>
      </c>
      <c r="L28" s="17"/>
    </row>
    <row r="29" spans="2:12" ht="15.75" thickBot="1" x14ac:dyDescent="0.3"/>
    <row r="30" spans="2:12" ht="15.75" thickBot="1" x14ac:dyDescent="0.3">
      <c r="B30" s="45" t="s">
        <v>55</v>
      </c>
      <c r="C30" s="46"/>
      <c r="D30" s="46"/>
      <c r="E30" s="46"/>
      <c r="F30" s="46"/>
      <c r="G30" s="46"/>
      <c r="H30" s="46"/>
      <c r="I30" s="46"/>
      <c r="J30" s="46"/>
      <c r="K30" s="46"/>
      <c r="L30" s="12"/>
    </row>
    <row r="31" spans="2:12" x14ac:dyDescent="0.25">
      <c r="B31" s="10">
        <v>1</v>
      </c>
      <c r="C31" s="11"/>
      <c r="D31" s="11"/>
      <c r="E31" s="11"/>
      <c r="F31" s="11"/>
      <c r="G31" s="11"/>
      <c r="H31" s="11"/>
      <c r="I31" s="11"/>
      <c r="J31" s="11"/>
      <c r="K31" s="11"/>
      <c r="L31" s="12"/>
    </row>
    <row r="32" spans="2:12" x14ac:dyDescent="0.25">
      <c r="B32" s="13">
        <v>2</v>
      </c>
      <c r="L32" s="14"/>
    </row>
    <row r="33" spans="2:12" x14ac:dyDescent="0.25">
      <c r="B33" s="13">
        <v>3</v>
      </c>
      <c r="L33" s="14"/>
    </row>
    <row r="34" spans="2:12" x14ac:dyDescent="0.25">
      <c r="B34" s="13">
        <v>4</v>
      </c>
      <c r="L34" s="14"/>
    </row>
    <row r="35" spans="2:12" x14ac:dyDescent="0.25">
      <c r="B35" s="13">
        <v>5</v>
      </c>
      <c r="L35" s="14"/>
    </row>
    <row r="36" spans="2:12" x14ac:dyDescent="0.25">
      <c r="B36" s="13">
        <v>6</v>
      </c>
      <c r="L36" s="14"/>
    </row>
    <row r="37" spans="2:12" x14ac:dyDescent="0.25">
      <c r="B37" s="13">
        <v>7</v>
      </c>
      <c r="L37" s="14"/>
    </row>
    <row r="38" spans="2:12" x14ac:dyDescent="0.25">
      <c r="B38" s="13">
        <v>9</v>
      </c>
      <c r="L38" s="14"/>
    </row>
    <row r="39" spans="2:12" x14ac:dyDescent="0.25">
      <c r="B39" s="13">
        <v>10</v>
      </c>
      <c r="L39" s="14"/>
    </row>
    <row r="40" spans="2:12" ht="15.75" thickBot="1" x14ac:dyDescent="0.3">
      <c r="B40" s="198">
        <v>11</v>
      </c>
      <c r="C40" s="16"/>
      <c r="D40" s="16"/>
      <c r="E40" s="16"/>
      <c r="F40" s="16"/>
      <c r="G40" s="16"/>
      <c r="H40" s="16"/>
      <c r="I40" s="16"/>
      <c r="J40" s="16"/>
      <c r="K40" s="16"/>
      <c r="L40" s="17"/>
    </row>
  </sheetData>
  <conditionalFormatting sqref="C11:D11 C26:D28 C12:C23 D12:D25">
    <cfRule type="cellIs" dxfId="13" priority="8" operator="lessThan">
      <formula>0</formula>
    </cfRule>
  </conditionalFormatting>
  <conditionalFormatting sqref="J11:J20 J26:J28 J22:J23">
    <cfRule type="expression" dxfId="12" priority="6">
      <formula>IF(J11&lt;0,1)</formula>
    </cfRule>
    <cfRule type="expression" dxfId="11" priority="7">
      <formula>IF(J11&gt;0,1)</formula>
    </cfRule>
  </conditionalFormatting>
  <conditionalFormatting sqref="C24:C25">
    <cfRule type="cellIs" dxfId="10" priority="5" operator="lessThan">
      <formula>0</formula>
    </cfRule>
  </conditionalFormatting>
  <conditionalFormatting sqref="J24:J25">
    <cfRule type="expression" dxfId="9" priority="3">
      <formula>IF(J24&lt;0,1)</formula>
    </cfRule>
    <cfRule type="expression" dxfId="8" priority="4">
      <formula>IF(J24&gt;0,1)</formula>
    </cfRule>
  </conditionalFormatting>
  <conditionalFormatting sqref="J21">
    <cfRule type="expression" dxfId="7" priority="1">
      <formula>IF(J21&lt;0,1)</formula>
    </cfRule>
    <cfRule type="expression" dxfId="6" priority="2">
      <formula>IF(J21&gt;0,1)</formula>
    </cfRule>
  </conditionalFormatting>
  <pageMargins left="0.7" right="0.7" top="0.75" bottom="0.75" header="0.3" footer="0.3"/>
  <pageSetup paperSize="9" orientation="portrait" r:id="rId1"/>
  <customProperties>
    <customPr name="_pios_id" r:id="rId2"/>
    <customPr name="EpmWorksheetKeyString_GUID"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9218" r:id="rId6" name="Button 2">
              <controlPr defaultSize="0" print="0" autoFill="0" autoPict="0" macro="[0]!FindDetails">
                <anchor moveWithCells="1" sizeWithCells="1">
                  <from>
                    <xdr:col>0</xdr:col>
                    <xdr:colOff>66675</xdr:colOff>
                    <xdr:row>8</xdr:row>
                    <xdr:rowOff>104775</xdr:rowOff>
                  </from>
                  <to>
                    <xdr:col>0</xdr:col>
                    <xdr:colOff>752475</xdr:colOff>
                    <xdr:row>10</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733E2-B547-4655-8AD5-ED79E26CDAE7}">
  <sheetPr codeName="Sheet11"/>
  <dimension ref="B1:U32"/>
  <sheetViews>
    <sheetView showGridLines="0" zoomScale="70" zoomScaleNormal="70" workbookViewId="0">
      <selection activeCell="G28" sqref="G28"/>
    </sheetView>
  </sheetViews>
  <sheetFormatPr defaultRowHeight="15" x14ac:dyDescent="0.25"/>
  <cols>
    <col min="1" max="1" width="12.5703125" customWidth="1"/>
    <col min="2" max="2" width="11.42578125" customWidth="1"/>
    <col min="3" max="3" width="20.42578125" bestFit="1" customWidth="1"/>
    <col min="4" max="4" width="13.5703125" bestFit="1" customWidth="1"/>
    <col min="5" max="5" width="12.5703125" bestFit="1" customWidth="1"/>
    <col min="6" max="6" width="14.5703125" bestFit="1" customWidth="1"/>
    <col min="7" max="7" width="15.42578125" bestFit="1" customWidth="1"/>
    <col min="8" max="8" width="4.42578125" customWidth="1"/>
    <col min="10" max="10" width="11.5703125" customWidth="1"/>
    <col min="11" max="11" width="11.42578125" customWidth="1"/>
    <col min="12" max="12" width="10.42578125" customWidth="1"/>
    <col min="13" max="13" width="10.42578125" bestFit="1" customWidth="1"/>
    <col min="14" max="14" width="11.5703125" bestFit="1" customWidth="1"/>
    <col min="15" max="21" width="10.42578125" bestFit="1" customWidth="1"/>
  </cols>
  <sheetData>
    <row r="1" spans="2:21" x14ac:dyDescent="0.25">
      <c r="E1" s="164">
        <v>68427709</v>
      </c>
    </row>
    <row r="2" spans="2:21" x14ac:dyDescent="0.25">
      <c r="B2" t="s">
        <v>0</v>
      </c>
      <c r="D2" s="41">
        <f ca="1">NOW()</f>
        <v>45670.418216319442</v>
      </c>
    </row>
    <row r="3" spans="2:21" x14ac:dyDescent="0.25">
      <c r="B3" t="s">
        <v>1</v>
      </c>
      <c r="D3">
        <f>Summary!D3</f>
        <v>12</v>
      </c>
    </row>
    <row r="4" spans="2:21" ht="15.75" thickBot="1" x14ac:dyDescent="0.3"/>
    <row r="5" spans="2:21" ht="15.75" thickBot="1" x14ac:dyDescent="0.3">
      <c r="B5" s="42" t="s">
        <v>2</v>
      </c>
      <c r="C5" s="43"/>
      <c r="D5" s="43"/>
      <c r="E5" s="43"/>
      <c r="F5" s="43"/>
      <c r="G5" s="44"/>
    </row>
    <row r="6" spans="2:21" x14ac:dyDescent="0.25">
      <c r="B6" s="45"/>
      <c r="C6" s="46"/>
      <c r="D6" s="47" t="s">
        <v>3</v>
      </c>
      <c r="E6" s="47" t="s">
        <v>5</v>
      </c>
      <c r="F6" s="47" t="s">
        <v>6</v>
      </c>
      <c r="G6" s="48" t="s">
        <v>7</v>
      </c>
      <c r="J6" s="10"/>
      <c r="K6" s="11"/>
      <c r="L6" s="11"/>
      <c r="M6" s="11"/>
      <c r="N6" s="11"/>
      <c r="O6" s="11"/>
      <c r="P6" s="11"/>
      <c r="Q6" s="11"/>
      <c r="R6" s="11"/>
      <c r="S6" s="11"/>
      <c r="T6" s="11"/>
      <c r="U6" s="12"/>
    </row>
    <row r="7" spans="2:21" ht="15.75" thickBot="1" x14ac:dyDescent="0.3">
      <c r="B7" s="49" t="s">
        <v>10</v>
      </c>
      <c r="C7" s="50" t="s">
        <v>11</v>
      </c>
      <c r="D7" s="51">
        <f>Summary!F7</f>
        <v>2025</v>
      </c>
      <c r="E7" s="51" t="str">
        <f>ShowMonthName(D3)</f>
        <v>December</v>
      </c>
      <c r="F7" s="51"/>
      <c r="G7" s="52"/>
      <c r="J7" s="49">
        <v>1</v>
      </c>
      <c r="K7" s="50">
        <v>2</v>
      </c>
      <c r="L7" s="50">
        <v>3</v>
      </c>
      <c r="M7" s="50">
        <v>4</v>
      </c>
      <c r="N7" s="50">
        <v>5</v>
      </c>
      <c r="O7" s="50">
        <v>6</v>
      </c>
      <c r="P7" s="50">
        <v>7</v>
      </c>
      <c r="Q7" s="50">
        <v>8</v>
      </c>
      <c r="R7" s="50">
        <v>9</v>
      </c>
      <c r="S7" s="50">
        <v>10</v>
      </c>
      <c r="T7" s="50">
        <v>11</v>
      </c>
      <c r="U7" s="144">
        <v>12</v>
      </c>
    </row>
    <row r="8" spans="2:21" ht="15.75" thickBot="1" x14ac:dyDescent="0.3">
      <c r="B8" s="9"/>
      <c r="C8" s="9"/>
      <c r="D8" s="9"/>
      <c r="E8" s="9"/>
      <c r="F8" s="9"/>
      <c r="G8" s="9"/>
    </row>
    <row r="9" spans="2:21" ht="15.75" thickBot="1" x14ac:dyDescent="0.3">
      <c r="B9" s="54" t="s">
        <v>12</v>
      </c>
      <c r="C9" s="55"/>
      <c r="D9" s="56">
        <f>SUM(D10:D28)</f>
        <v>56621224.079999998</v>
      </c>
      <c r="E9" s="56">
        <f>(D9/12)*$D$3</f>
        <v>56621224.079999998</v>
      </c>
      <c r="F9" s="56">
        <f>SUM(F10:F28)</f>
        <v>0</v>
      </c>
      <c r="G9" s="57">
        <f>E9-F9</f>
        <v>56621224.079999998</v>
      </c>
      <c r="J9" s="145">
        <f>SUM(J10:J28)</f>
        <v>0</v>
      </c>
      <c r="K9" s="146">
        <f t="shared" ref="K9:U9" si="0">SUM(K10:K28)</f>
        <v>0</v>
      </c>
      <c r="L9" s="146">
        <f t="shared" si="0"/>
        <v>0</v>
      </c>
      <c r="M9" s="146">
        <f t="shared" si="0"/>
        <v>0</v>
      </c>
      <c r="N9" s="146">
        <f t="shared" si="0"/>
        <v>0</v>
      </c>
      <c r="O9" s="146">
        <f t="shared" si="0"/>
        <v>0</v>
      </c>
      <c r="P9" s="146">
        <f t="shared" si="0"/>
        <v>0</v>
      </c>
      <c r="Q9" s="146">
        <f t="shared" si="0"/>
        <v>0</v>
      </c>
      <c r="R9" s="146">
        <f t="shared" si="0"/>
        <v>0</v>
      </c>
      <c r="S9" s="146">
        <f t="shared" si="0"/>
        <v>0</v>
      </c>
      <c r="T9" s="146">
        <f t="shared" si="0"/>
        <v>0</v>
      </c>
      <c r="U9" s="147">
        <f t="shared" si="0"/>
        <v>0</v>
      </c>
    </row>
    <row r="10" spans="2:21" x14ac:dyDescent="0.25">
      <c r="B10" s="45"/>
      <c r="C10" s="46"/>
      <c r="D10" s="46"/>
      <c r="E10" s="46"/>
      <c r="F10" s="46"/>
      <c r="G10" s="58"/>
      <c r="J10" s="112"/>
      <c r="K10" s="106"/>
      <c r="L10" s="106"/>
      <c r="M10" s="106"/>
      <c r="N10" s="106"/>
      <c r="O10" s="106"/>
      <c r="P10" s="106"/>
      <c r="Q10" s="106"/>
      <c r="R10" s="106"/>
      <c r="S10" s="106"/>
      <c r="T10" s="106"/>
      <c r="U10" s="148"/>
    </row>
    <row r="11" spans="2:21" x14ac:dyDescent="0.25">
      <c r="B11" s="59" t="s">
        <v>14</v>
      </c>
      <c r="C11" t="s">
        <v>15</v>
      </c>
      <c r="D11" s="60" cm="1">
        <f t="array" ref="D11">SUMPRODUCT(('AOP25'!$E$2:$E$639=Summary!B11)*('AOP25'!$D$2:$D$639=$E$1)*('AOP25'!$U$2:$U$639))</f>
        <v>231000</v>
      </c>
      <c r="E11" s="61">
        <f t="shared" ref="E11:E28" si="1">(D11/12)*$D$3</f>
        <v>231000</v>
      </c>
      <c r="F11" s="60">
        <f>SUMPRODUCT(('BW Summary'!$B$7:$B$494=LE!B11)*('BW Summary'!$F$7:$F$494))</f>
        <v>0</v>
      </c>
      <c r="G11" s="62">
        <f>E11-F11</f>
        <v>231000</v>
      </c>
      <c r="J11" s="169">
        <f>SUMPRODUCT(('BW Summary'!$B$7:$B$494=LE!$B11)*('BW Summary'!$G$7:$G$494))</f>
        <v>0</v>
      </c>
      <c r="K11" s="170">
        <f>SUMPRODUCT(('BW Summary'!$B$7:$B$494=LE!$B11)*('BW Summary'!$H$7:$H$494))</f>
        <v>0</v>
      </c>
      <c r="L11" s="170">
        <f>SUMPRODUCT(('BW Summary'!$B$7:$B$494=LE!$B11)*('BW Summary'!$I$7:$I$494))</f>
        <v>0</v>
      </c>
      <c r="M11" s="170">
        <f>SUMPRODUCT(('BW Summary'!$B$7:$B$494=LE!$B11)*('BW Summary'!$J$7:$J$494))</f>
        <v>0</v>
      </c>
      <c r="N11" s="170">
        <f>SUMPRODUCT(('BW Summary'!$B$7:$B$494=LE!$B11)*('BW Summary'!$K$7:$K$494))</f>
        <v>0</v>
      </c>
      <c r="O11" s="170">
        <f>SUMPRODUCT(('BW Summary'!$B$7:$B$494=LE!$B11)*('BW Summary'!$L$7:$L$494))</f>
        <v>0</v>
      </c>
      <c r="P11" s="170" cm="1">
        <f t="array" ref="P11">SUMPRODUCT(('BW Summary'!$B$7:$B$494=LE!$B11)*('BW Summary'!$M$7:$M$494))</f>
        <v>0</v>
      </c>
      <c r="Q11" s="106" cm="1">
        <f t="array" ref="Q11">SUMPRODUCT(('BW Summary'!$B$7:$B$494=LE!$B11)*('BW Summary'!$N$7:$N$494))</f>
        <v>0</v>
      </c>
      <c r="R11" s="106" cm="1">
        <f t="array" ref="R11">SUMPRODUCT(('BW Summary'!$B$7:$B$494=LE!$B11)*('BW Summary'!$O$7:$O$494))</f>
        <v>0</v>
      </c>
      <c r="S11" s="106" cm="1">
        <f t="array" ref="S11">SUMPRODUCT(('BW Summary'!$B$7:$B$494=LE!$B11)*('BW Summary'!$P$7:$P$494))</f>
        <v>0</v>
      </c>
      <c r="T11" s="106" cm="1">
        <f t="array" ref="T11">SUMPRODUCT(('BW Summary'!$B$7:$B$494=LE!$B11)*('BW Summary'!$Q$7:$Q$494))</f>
        <v>0</v>
      </c>
      <c r="U11" s="148" cm="1">
        <f t="array" ref="U11">SUMPRODUCT(('BW Summary'!$B$7:$B$494=LE!$B11)*('BW Summary'!$R$7:$R$494))</f>
        <v>0</v>
      </c>
    </row>
    <row r="12" spans="2:21" x14ac:dyDescent="0.25">
      <c r="B12" s="59" t="s">
        <v>17</v>
      </c>
      <c r="C12" t="s">
        <v>18</v>
      </c>
      <c r="D12" s="60" cm="1">
        <f t="array" ref="D12">SUMPRODUCT(('AOP25'!$E$2:$E$639=Summary!B12)*('AOP25'!$D$2:$D$639=$E$1)*('AOP25'!$U$2:$U$639))</f>
        <v>0</v>
      </c>
      <c r="E12" s="61">
        <f t="shared" si="1"/>
        <v>0</v>
      </c>
      <c r="F12" s="60">
        <f>SUMPRODUCT(('BW Summary'!$B$7:$B$494=LE!B12)*('BW Summary'!$F$7:$F$494))</f>
        <v>0</v>
      </c>
      <c r="G12" s="62">
        <f t="shared" ref="G12:G28" si="2">E12-F12</f>
        <v>0</v>
      </c>
      <c r="J12" s="112">
        <f>SUMPRODUCT(('BW Summary'!$B$7:$B$494=LE!$B12)*('BW Summary'!$G$7:$G$494))</f>
        <v>0</v>
      </c>
      <c r="K12" s="106">
        <f>SUMPRODUCT(('BW Summary'!$B$7:$B$494=LE!$B12)*('BW Summary'!$H$7:$H$494))</f>
        <v>0</v>
      </c>
      <c r="L12" s="106">
        <f>SUMPRODUCT(('BW Summary'!$B$7:$B$494=LE!$B12)*('BW Summary'!$I$7:$I$494))</f>
        <v>0</v>
      </c>
      <c r="M12" s="106">
        <f>SUMPRODUCT(('BW Summary'!$B$7:$B$494=LE!$B12)*('BW Summary'!$J$7:$J$494))</f>
        <v>0</v>
      </c>
      <c r="N12" s="106">
        <f>SUMPRODUCT(('BW Summary'!$B$7:$B$494=LE!$B12)*('BW Summary'!$K$7:$K$494))</f>
        <v>0</v>
      </c>
      <c r="O12" s="106">
        <f>SUMPRODUCT(('BW Summary'!$B$7:$B$494=LE!$B12)*('BW Summary'!$L$7:$L$494))</f>
        <v>0</v>
      </c>
      <c r="P12" s="106" cm="1">
        <f t="array" ref="P12">SUMPRODUCT(('BW Summary'!$B$7:$B$494=LE!$B12)*('BW Summary'!$M$7:$M$494))</f>
        <v>0</v>
      </c>
      <c r="Q12" s="106" cm="1">
        <f t="array" ref="Q12">SUMPRODUCT(('BW Summary'!$B$7:$B$494=LE!$B12)*('BW Summary'!$N$7:$N$494))</f>
        <v>0</v>
      </c>
      <c r="R12" s="106" cm="1">
        <f t="array" ref="R12">SUMPRODUCT(('BW Summary'!$B$7:$B$494=LE!$B12)*('BW Summary'!$O$7:$O$494))</f>
        <v>0</v>
      </c>
      <c r="S12" s="106" cm="1">
        <f t="array" ref="S12">SUMPRODUCT(('BW Summary'!$B$7:$B$494=LE!$B12)*('BW Summary'!$P$7:$P$494))</f>
        <v>0</v>
      </c>
      <c r="T12" s="106" cm="1">
        <f t="array" ref="T12">SUMPRODUCT(('BW Summary'!$B$7:$B$494=LE!$B12)*('BW Summary'!$Q$7:$Q$494))</f>
        <v>0</v>
      </c>
      <c r="U12" s="148" cm="1">
        <f t="array" ref="U12">SUMPRODUCT(('BW Summary'!$B$7:$B$494=LE!$B12)*('BW Summary'!$R$7:$R$494))</f>
        <v>0</v>
      </c>
    </row>
    <row r="13" spans="2:21" x14ac:dyDescent="0.25">
      <c r="B13" s="59" t="s">
        <v>19</v>
      </c>
      <c r="C13" t="s">
        <v>20</v>
      </c>
      <c r="D13" s="60" cm="1">
        <f t="array" ref="D13">SUMPRODUCT(('AOP25'!$E$2:$E$639=Summary!B13)*('AOP25'!$D$2:$D$639=$E$1)*('AOP25'!$U$2:$U$639))</f>
        <v>10620660</v>
      </c>
      <c r="E13" s="61">
        <f t="shared" si="1"/>
        <v>10620660</v>
      </c>
      <c r="F13" s="60">
        <f>SUMPRODUCT(('BW Summary'!$B$7:$B$494=LE!B13)*('BW Summary'!$F$7:$F$494))</f>
        <v>0</v>
      </c>
      <c r="G13" s="62">
        <f>E13-F13</f>
        <v>10620660</v>
      </c>
      <c r="J13" s="112">
        <f>SUMPRODUCT(('BW Summary'!$B$7:$B$494=LE!$B13)*('BW Summary'!$G$7:$G$494))</f>
        <v>0</v>
      </c>
      <c r="K13" s="106">
        <f>SUMPRODUCT(('BW Summary'!$B$7:$B$494=LE!$B13)*('BW Summary'!$H$7:$H$494))</f>
        <v>0</v>
      </c>
      <c r="L13" s="106">
        <f>SUMPRODUCT(('BW Summary'!$B$7:$B$494=LE!$B13)*('BW Summary'!$I$7:$I$494))</f>
        <v>0</v>
      </c>
      <c r="M13" s="106">
        <f>SUMPRODUCT(('BW Summary'!$B$7:$B$494=LE!$B13)*('BW Summary'!$J$7:$J$494))</f>
        <v>0</v>
      </c>
      <c r="N13" s="106">
        <f>SUMPRODUCT(('BW Summary'!$B$7:$B$494=LE!$B13)*('BW Summary'!$K$7:$K$494))</f>
        <v>0</v>
      </c>
      <c r="O13" s="106">
        <f>SUMPRODUCT(('BW Summary'!$B$7:$B$494=LE!$B13)*('BW Summary'!$L$7:$L$494))</f>
        <v>0</v>
      </c>
      <c r="P13" s="106" cm="1">
        <f t="array" ref="P13">SUMPRODUCT(('BW Summary'!$B$7:$B$494=LE!$B13)*('BW Summary'!$M$7:$M$494))</f>
        <v>0</v>
      </c>
      <c r="Q13" s="106" cm="1">
        <f t="array" ref="Q13">SUMPRODUCT(('BW Summary'!$B$7:$B$494=LE!$B13)*('BW Summary'!$N$7:$N$494))</f>
        <v>0</v>
      </c>
      <c r="R13" s="106" cm="1">
        <f t="array" ref="R13">SUMPRODUCT(('BW Summary'!$B$7:$B$494=LE!$B13)*('BW Summary'!$O$7:$O$494))</f>
        <v>0</v>
      </c>
      <c r="S13" s="106" cm="1">
        <f t="array" ref="S13">SUMPRODUCT(('BW Summary'!$B$7:$B$494=LE!$B13)*('BW Summary'!$P$7:$P$494))</f>
        <v>0</v>
      </c>
      <c r="T13" s="106" cm="1">
        <f t="array" ref="T13">SUMPRODUCT(('BW Summary'!$B$7:$B$494=LE!$B13)*('BW Summary'!$Q$7:$Q$494))</f>
        <v>0</v>
      </c>
      <c r="U13" s="148" cm="1">
        <f t="array" ref="U13">SUMPRODUCT(('BW Summary'!$B$7:$B$494=LE!$B13)*('BW Summary'!$R$7:$R$494))</f>
        <v>0</v>
      </c>
    </row>
    <row r="14" spans="2:21" x14ac:dyDescent="0.25">
      <c r="B14" s="65" t="s">
        <v>21</v>
      </c>
      <c r="C14" t="s">
        <v>56</v>
      </c>
      <c r="D14" s="60" cm="1">
        <f t="array" ref="D14">SUMPRODUCT(('AOP25'!$E$2:$E$639=Summary!B14)*('AOP25'!$D$2:$D$639=$E$1)*('AOP25'!$U$2:$U$639))</f>
        <v>6852400</v>
      </c>
      <c r="E14" s="61">
        <f t="shared" si="1"/>
        <v>6852400</v>
      </c>
      <c r="F14" s="60">
        <f>SUMPRODUCT(('BW Summary'!$B$7:$B$494=LE!B14)*('BW Summary'!$F$7:$F$494))</f>
        <v>0</v>
      </c>
      <c r="G14" s="62">
        <f t="shared" si="2"/>
        <v>6852400</v>
      </c>
      <c r="J14" s="112">
        <f>SUMPRODUCT(('BW Summary'!$B$7:$B$494=LE!$B14)*('BW Summary'!$G$7:$G$494))</f>
        <v>0</v>
      </c>
      <c r="K14" s="106">
        <f>SUMPRODUCT(('BW Summary'!$B$7:$B$494=LE!$B14)*('BW Summary'!$H$7:$H$494))</f>
        <v>0</v>
      </c>
      <c r="L14" s="106">
        <f>SUMPRODUCT(('BW Summary'!$B$7:$B$494=LE!$B14)*('BW Summary'!$I$7:$I$494))</f>
        <v>0</v>
      </c>
      <c r="M14" s="106">
        <f>SUMPRODUCT(('BW Summary'!$B$7:$B$494=LE!$B14)*('BW Summary'!$J$7:$J$494))</f>
        <v>0</v>
      </c>
      <c r="N14" s="106">
        <f>SUMPRODUCT(('BW Summary'!$B$7:$B$494=LE!$B14)*('BW Summary'!$K$7:$K$494))</f>
        <v>0</v>
      </c>
      <c r="O14" s="106">
        <f>SUMPRODUCT(('BW Summary'!$B$7:$B$494=LE!$B14)*('BW Summary'!$L$7:$L$494))</f>
        <v>0</v>
      </c>
      <c r="P14" s="106" cm="1">
        <f t="array" ref="P14">SUMPRODUCT(('BW Summary'!$B$7:$B$494=LE!$B14)*('BW Summary'!$M$7:$M$494))</f>
        <v>0</v>
      </c>
      <c r="Q14" s="106" cm="1">
        <f t="array" ref="Q14">SUMPRODUCT(('BW Summary'!$B$7:$B$494=LE!$B14)*('BW Summary'!$N$7:$N$494))</f>
        <v>0</v>
      </c>
      <c r="R14" s="106" cm="1">
        <f t="array" ref="R14">SUMPRODUCT(('BW Summary'!$B$7:$B$494=LE!$B14)*('BW Summary'!$O$7:$O$494))</f>
        <v>0</v>
      </c>
      <c r="S14" s="106" cm="1">
        <f t="array" ref="S14">SUMPRODUCT(('BW Summary'!$B$7:$B$494=LE!$B14)*('BW Summary'!$P$7:$P$494))</f>
        <v>0</v>
      </c>
      <c r="T14" s="106" cm="1">
        <f t="array" ref="T14">SUMPRODUCT(('BW Summary'!$B$7:$B$494=LE!$B14)*('BW Summary'!$Q$7:$Q$494))</f>
        <v>0</v>
      </c>
      <c r="U14" s="148" cm="1">
        <f t="array" ref="U14">SUMPRODUCT(('BW Summary'!$B$7:$B$494=LE!$B14)*('BW Summary'!$R$7:$R$494))</f>
        <v>0</v>
      </c>
    </row>
    <row r="15" spans="2:21" x14ac:dyDescent="0.25">
      <c r="B15" s="65" t="s">
        <v>24</v>
      </c>
      <c r="C15" t="s">
        <v>25</v>
      </c>
      <c r="D15" s="60" cm="1">
        <f t="array" ref="D15">SUMPRODUCT(('AOP25'!$E$2:$E$639=Summary!B15)*('AOP25'!$D$2:$D$639=$E$1)*('AOP25'!$U$2:$U$639))</f>
        <v>0</v>
      </c>
      <c r="E15" s="61">
        <f t="shared" si="1"/>
        <v>0</v>
      </c>
      <c r="F15" s="60">
        <f>SUMPRODUCT(('BW Summary'!$B$7:$B$494=LE!B15)*('BW Summary'!$F$7:$F$494))</f>
        <v>0</v>
      </c>
      <c r="G15" s="62">
        <f t="shared" si="2"/>
        <v>0</v>
      </c>
      <c r="J15" s="112">
        <f>SUMPRODUCT(('BW Summary'!$B$7:$B$494=LE!$B15)*('BW Summary'!$G$7:$G$494))</f>
        <v>0</v>
      </c>
      <c r="K15" s="106">
        <f>SUMPRODUCT(('BW Summary'!$B$7:$B$494=LE!$B15)*('BW Summary'!$H$7:$H$494))</f>
        <v>0</v>
      </c>
      <c r="L15" s="106">
        <f>SUMPRODUCT(('BW Summary'!$B$7:$B$494=LE!$B15)*('BW Summary'!$I$7:$I$494))</f>
        <v>0</v>
      </c>
      <c r="M15" s="106">
        <f>SUMPRODUCT(('BW Summary'!$B$7:$B$494=LE!$B15)*('BW Summary'!$J$7:$J$494))</f>
        <v>0</v>
      </c>
      <c r="N15" s="106">
        <f>SUMPRODUCT(('BW Summary'!$B$7:$B$494=LE!$B15)*('BW Summary'!$K$7:$K$494))</f>
        <v>0</v>
      </c>
      <c r="O15" s="106">
        <f>SUMPRODUCT(('BW Summary'!$B$7:$B$494=LE!$B15)*('BW Summary'!$L$7:$L$494))</f>
        <v>0</v>
      </c>
      <c r="P15" s="106" cm="1">
        <f t="array" ref="P15">SUMPRODUCT(('BW Summary'!$B$7:$B$494=LE!$B15)*('BW Summary'!$M$7:$M$494))</f>
        <v>0</v>
      </c>
      <c r="Q15" s="106" cm="1">
        <f t="array" ref="Q15">SUMPRODUCT(('BW Summary'!$B$7:$B$494=LE!$B15)*('BW Summary'!$N$7:$N$494))</f>
        <v>0</v>
      </c>
      <c r="R15" s="106" cm="1">
        <f t="array" ref="R15">SUMPRODUCT(('BW Summary'!$B$7:$B$494=LE!$B15)*('BW Summary'!$O$7:$O$494))</f>
        <v>0</v>
      </c>
      <c r="S15" s="106" cm="1">
        <f t="array" ref="S15">SUMPRODUCT(('BW Summary'!$B$7:$B$494=LE!$B15)*('BW Summary'!$P$7:$P$494))</f>
        <v>0</v>
      </c>
      <c r="T15" s="106" cm="1">
        <f t="array" ref="T15">SUMPRODUCT(('BW Summary'!$B$7:$B$494=LE!$B15)*('BW Summary'!$Q$7:$Q$494))</f>
        <v>0</v>
      </c>
      <c r="U15" s="148" cm="1">
        <f t="array" ref="U15">SUMPRODUCT(('BW Summary'!$B$7:$B$494=LE!$B15)*('BW Summary'!$R$7:$R$494))</f>
        <v>0</v>
      </c>
    </row>
    <row r="16" spans="2:21" x14ac:dyDescent="0.25">
      <c r="B16" s="65" t="s">
        <v>26</v>
      </c>
      <c r="C16" t="s">
        <v>27</v>
      </c>
      <c r="D16" s="60" cm="1">
        <f t="array" ref="D16">SUMPRODUCT(('AOP25'!$E$2:$E$639=Summary!B16)*('AOP25'!$D$2:$D$639=$E$1)*('AOP25'!$U$2:$U$639))</f>
        <v>304960</v>
      </c>
      <c r="E16" s="61">
        <f t="shared" si="1"/>
        <v>304960</v>
      </c>
      <c r="F16" s="60">
        <f>SUMPRODUCT(('BW Summary'!$B$7:$B$494=LE!B16)*('BW Summary'!$F$7:$F$494))</f>
        <v>0</v>
      </c>
      <c r="G16" s="62">
        <f t="shared" si="2"/>
        <v>304960</v>
      </c>
      <c r="J16" s="112">
        <f>SUMPRODUCT(('BW Summary'!$B$7:$B$494=LE!$B16)*('BW Summary'!$G$7:$G$494))</f>
        <v>0</v>
      </c>
      <c r="K16" s="106">
        <f>SUMPRODUCT(('BW Summary'!$B$7:$B$494=LE!$B16)*('BW Summary'!$H$7:$H$494))</f>
        <v>0</v>
      </c>
      <c r="L16" s="106">
        <f>SUMPRODUCT(('BW Summary'!$B$7:$B$494=LE!$B16)*('BW Summary'!$I$7:$I$494))</f>
        <v>0</v>
      </c>
      <c r="M16" s="106">
        <f>SUMPRODUCT(('BW Summary'!$B$7:$B$494=LE!$B16)*('BW Summary'!$J$7:$J$494))</f>
        <v>0</v>
      </c>
      <c r="N16" s="106">
        <f>SUMPRODUCT(('BW Summary'!$B$7:$B$494=LE!$B16)*('BW Summary'!$K$7:$K$494))</f>
        <v>0</v>
      </c>
      <c r="O16" s="106">
        <f>SUMPRODUCT(('BW Summary'!$B$7:$B$494=LE!$B16)*('BW Summary'!$L$7:$L$494))</f>
        <v>0</v>
      </c>
      <c r="P16" s="106" cm="1">
        <f t="array" ref="P16">SUMPRODUCT(('BW Summary'!$B$7:$B$494=LE!$B16)*('BW Summary'!$M$7:$M$494))</f>
        <v>0</v>
      </c>
      <c r="Q16" s="106" cm="1">
        <f t="array" ref="Q16">SUMPRODUCT(('BW Summary'!$B$7:$B$494=LE!$B16)*('BW Summary'!$N$7:$N$494))</f>
        <v>0</v>
      </c>
      <c r="R16" s="106" cm="1">
        <f t="array" ref="R16">SUMPRODUCT(('BW Summary'!$B$7:$B$494=LE!$B16)*('BW Summary'!$O$7:$O$494))</f>
        <v>0</v>
      </c>
      <c r="S16" s="106" cm="1">
        <f t="array" ref="S16">SUMPRODUCT(('BW Summary'!$B$7:$B$494=LE!$B16)*('BW Summary'!$P$7:$P$494))</f>
        <v>0</v>
      </c>
      <c r="T16" s="106" cm="1">
        <f t="array" ref="T16">SUMPRODUCT(('BW Summary'!$B$7:$B$494=LE!$B16)*('BW Summary'!$Q$7:$Q$494))</f>
        <v>0</v>
      </c>
      <c r="U16" s="148" cm="1">
        <f t="array" ref="U16">SUMPRODUCT(('BW Summary'!$B$7:$B$494=LE!$B16)*('BW Summary'!$R$7:$R$494))</f>
        <v>0</v>
      </c>
    </row>
    <row r="17" spans="2:21" x14ac:dyDescent="0.25">
      <c r="B17" s="66" t="s">
        <v>29</v>
      </c>
      <c r="C17" t="s">
        <v>30</v>
      </c>
      <c r="D17" s="60" cm="1">
        <f t="array" ref="D17">SUMPRODUCT(('AOP25'!$E$2:$E$639=Summary!B17)*('AOP25'!$D$2:$D$639=$E$1)*('AOP25'!$U$2:$U$639))</f>
        <v>2060000</v>
      </c>
      <c r="E17" s="61">
        <f t="shared" si="1"/>
        <v>2060000</v>
      </c>
      <c r="F17" s="60">
        <f>SUMPRODUCT(('BW Summary'!$B$7:$B$494=LE!B17)*('BW Summary'!$F$7:$F$494))</f>
        <v>0</v>
      </c>
      <c r="G17" s="62">
        <f t="shared" si="2"/>
        <v>2060000</v>
      </c>
      <c r="J17" s="112">
        <f>SUMPRODUCT(('BW Summary'!$B$7:$B$494=LE!$B17)*('BW Summary'!$G$7:$G$494))</f>
        <v>0</v>
      </c>
      <c r="K17" s="106">
        <f>SUMPRODUCT(('BW Summary'!$B$7:$B$494=LE!$B17)*('BW Summary'!$H$7:$H$494))</f>
        <v>0</v>
      </c>
      <c r="L17" s="106">
        <f>SUMPRODUCT(('BW Summary'!$B$7:$B$494=LE!$B17)*('BW Summary'!$I$7:$I$494))</f>
        <v>0</v>
      </c>
      <c r="M17" s="106">
        <f>SUMPRODUCT(('BW Summary'!$B$7:$B$494=LE!$B17)*('BW Summary'!$J$7:$J$494))</f>
        <v>0</v>
      </c>
      <c r="N17" s="106">
        <f>SUMPRODUCT(('BW Summary'!$B$7:$B$494=LE!$B17)*('BW Summary'!$K$7:$K$494))</f>
        <v>0</v>
      </c>
      <c r="O17" s="106">
        <f>SUMPRODUCT(('BW Summary'!$B$7:$B$494=LE!$B17)*('BW Summary'!$L$7:$L$494))</f>
        <v>0</v>
      </c>
      <c r="P17" s="106" cm="1">
        <f t="array" ref="P17">SUMPRODUCT(('BW Summary'!$B$7:$B$494=LE!$B17)*('BW Summary'!$M$7:$M$494))</f>
        <v>0</v>
      </c>
      <c r="Q17" s="106" cm="1">
        <f t="array" ref="Q17">SUMPRODUCT(('BW Summary'!$B$7:$B$494=LE!$B17)*('BW Summary'!$N$7:$N$494))</f>
        <v>0</v>
      </c>
      <c r="R17" s="106" cm="1">
        <f t="array" ref="R17">SUMPRODUCT(('BW Summary'!$B$7:$B$494=LE!$B17)*('BW Summary'!$O$7:$O$494))</f>
        <v>0</v>
      </c>
      <c r="S17" s="106" cm="1">
        <f t="array" ref="S17">SUMPRODUCT(('BW Summary'!$B$7:$B$494=LE!$B17)*('BW Summary'!$P$7:$P$494))</f>
        <v>0</v>
      </c>
      <c r="T17" s="106" cm="1">
        <f t="array" ref="T17">SUMPRODUCT(('BW Summary'!$B$7:$B$494=LE!$B17)*('BW Summary'!$Q$7:$Q$494))</f>
        <v>0</v>
      </c>
      <c r="U17" s="148" cm="1">
        <f t="array" ref="U17">SUMPRODUCT(('BW Summary'!$B$7:$B$494=LE!$B17)*('BW Summary'!$R$7:$R$494))</f>
        <v>0</v>
      </c>
    </row>
    <row r="18" spans="2:21" x14ac:dyDescent="0.25">
      <c r="B18" s="66" t="s">
        <v>32</v>
      </c>
      <c r="C18" t="s">
        <v>33</v>
      </c>
      <c r="D18" s="60" cm="1">
        <f t="array" ref="D18">SUMPRODUCT(('AOP25'!$E$2:$E$639=Summary!B18)*('AOP25'!$D$2:$D$639=$E$1)*('AOP25'!$U$2:$U$639))</f>
        <v>0</v>
      </c>
      <c r="E18" s="61">
        <f t="shared" si="1"/>
        <v>0</v>
      </c>
      <c r="F18" s="60">
        <f>SUMPRODUCT(('BW Summary'!$B$7:$B$494=LE!B18)*('BW Summary'!$F$7:$F$494))</f>
        <v>0</v>
      </c>
      <c r="G18" s="62">
        <f t="shared" si="2"/>
        <v>0</v>
      </c>
      <c r="J18" s="112">
        <f>SUMPRODUCT(('BW Summary'!$B$7:$B$494=LE!$B18)*('BW Summary'!$G$7:$G$494))</f>
        <v>0</v>
      </c>
      <c r="K18" s="106">
        <f>SUMPRODUCT(('BW Summary'!$B$7:$B$494=LE!$B18)*('BW Summary'!$H$7:$H$494))</f>
        <v>0</v>
      </c>
      <c r="L18" s="106">
        <f>SUMPRODUCT(('BW Summary'!$B$7:$B$494=LE!$B18)*('BW Summary'!$I$7:$I$494))</f>
        <v>0</v>
      </c>
      <c r="M18" s="106">
        <f>SUMPRODUCT(('BW Summary'!$B$7:$B$494=LE!$B18)*('BW Summary'!$J$7:$J$494))</f>
        <v>0</v>
      </c>
      <c r="N18" s="106">
        <f>SUMPRODUCT(('BW Summary'!$B$7:$B$494=LE!$B18)*('BW Summary'!$K$7:$K$494))</f>
        <v>0</v>
      </c>
      <c r="O18" s="106">
        <f>SUMPRODUCT(('BW Summary'!$B$7:$B$494=LE!$B18)*('BW Summary'!$L$7:$L$494))</f>
        <v>0</v>
      </c>
      <c r="P18" s="106" cm="1">
        <f t="array" ref="P18">SUMPRODUCT(('BW Summary'!$B$7:$B$494=LE!$B18)*('BW Summary'!$M$7:$M$494))</f>
        <v>0</v>
      </c>
      <c r="Q18" s="106" cm="1">
        <f t="array" ref="Q18">SUMPRODUCT(('BW Summary'!$B$7:$B$494=LE!$B18)*('BW Summary'!$N$7:$N$494))</f>
        <v>0</v>
      </c>
      <c r="R18" s="106" cm="1">
        <f t="array" ref="R18">SUMPRODUCT(('BW Summary'!$B$7:$B$494=LE!$B18)*('BW Summary'!$O$7:$O$494))</f>
        <v>0</v>
      </c>
      <c r="S18" s="106" cm="1">
        <f t="array" ref="S18">SUMPRODUCT(('BW Summary'!$B$7:$B$494=LE!$B18)*('BW Summary'!$P$7:$P$494))</f>
        <v>0</v>
      </c>
      <c r="T18" s="106" cm="1">
        <f t="array" ref="T18">SUMPRODUCT(('BW Summary'!$B$7:$B$494=LE!$B18)*('BW Summary'!$Q$7:$Q$494))</f>
        <v>0</v>
      </c>
      <c r="U18" s="148" cm="1">
        <f t="array" ref="U18">SUMPRODUCT(('BW Summary'!$B$7:$B$494=LE!$B18)*('BW Summary'!$R$7:$R$494))</f>
        <v>0</v>
      </c>
    </row>
    <row r="19" spans="2:21" x14ac:dyDescent="0.25">
      <c r="B19" s="65" t="s">
        <v>34</v>
      </c>
      <c r="C19" t="s">
        <v>35</v>
      </c>
      <c r="D19" s="60" cm="1">
        <f t="array" ref="D19">SUMPRODUCT(('AOP25'!$E$2:$E$639=Summary!B19)*('AOP25'!$D$2:$D$639=$E$1)*('AOP25'!$U$2:$U$639))</f>
        <v>1322700</v>
      </c>
      <c r="E19" s="61">
        <f t="shared" si="1"/>
        <v>1322700</v>
      </c>
      <c r="F19" s="60">
        <f>SUMPRODUCT(('BW Summary'!$B$7:$B$494=LE!B19)*('BW Summary'!$F$7:$F$494))</f>
        <v>0</v>
      </c>
      <c r="G19" s="62">
        <f t="shared" si="2"/>
        <v>1322700</v>
      </c>
      <c r="J19" s="112">
        <f>SUMPRODUCT(('BW Summary'!$B$7:$B$494=LE!$B19)*('BW Summary'!$G$7:$G$494))</f>
        <v>0</v>
      </c>
      <c r="K19" s="106">
        <f>SUMPRODUCT(('BW Summary'!$B$7:$B$494=LE!$B19)*('BW Summary'!$H$7:$H$494))</f>
        <v>0</v>
      </c>
      <c r="L19" s="106">
        <f>SUMPRODUCT(('BW Summary'!$B$7:$B$494=LE!$B19)*('BW Summary'!$I$7:$I$494))</f>
        <v>0</v>
      </c>
      <c r="M19" s="106">
        <f>SUMPRODUCT(('BW Summary'!$B$7:$B$494=LE!$B19)*('BW Summary'!$J$7:$J$494))</f>
        <v>0</v>
      </c>
      <c r="N19" s="106">
        <f>SUMPRODUCT(('BW Summary'!$B$7:$B$494=LE!$B19)*('BW Summary'!$K$7:$K$494))</f>
        <v>0</v>
      </c>
      <c r="O19" s="106">
        <f>SUMPRODUCT(('BW Summary'!$B$7:$B$494=LE!$B19)*('BW Summary'!$L$7:$L$494))</f>
        <v>0</v>
      </c>
      <c r="P19" s="106" cm="1">
        <f t="array" ref="P19">SUMPRODUCT(('BW Summary'!$B$7:$B$494=LE!$B19)*('BW Summary'!$M$7:$M$494))</f>
        <v>0</v>
      </c>
      <c r="Q19" s="106" cm="1">
        <f t="array" ref="Q19">SUMPRODUCT(('BW Summary'!$B$7:$B$494=LE!$B19)*('BW Summary'!$N$7:$N$494))</f>
        <v>0</v>
      </c>
      <c r="R19" s="106" cm="1">
        <f t="array" ref="R19">SUMPRODUCT(('BW Summary'!$B$7:$B$494=LE!$B19)*('BW Summary'!$O$7:$O$494))</f>
        <v>0</v>
      </c>
      <c r="S19" s="106" cm="1">
        <f t="array" ref="S19">SUMPRODUCT(('BW Summary'!$B$7:$B$494=LE!$B19)*('BW Summary'!$P$7:$P$494))</f>
        <v>0</v>
      </c>
      <c r="T19" s="106" cm="1">
        <f t="array" ref="T19">SUMPRODUCT(('BW Summary'!$B$7:$B$494=LE!$B19)*('BW Summary'!$Q$7:$Q$494))</f>
        <v>0</v>
      </c>
      <c r="U19" s="148" cm="1">
        <f t="array" ref="U19">SUMPRODUCT(('BW Summary'!$B$7:$B$494=LE!$B19)*('BW Summary'!$R$7:$R$494))</f>
        <v>0</v>
      </c>
    </row>
    <row r="20" spans="2:21" x14ac:dyDescent="0.25">
      <c r="B20" s="66" t="s">
        <v>36</v>
      </c>
      <c r="C20" t="s">
        <v>37</v>
      </c>
      <c r="D20" s="60" cm="1">
        <f t="array" ref="D20">SUMPRODUCT(('AOP25'!$E$2:$E$639=Summary!B20)*('AOP25'!$D$2:$D$639=$E$1)*('AOP25'!$U$2:$U$639))</f>
        <v>157500</v>
      </c>
      <c r="E20" s="61">
        <f t="shared" si="1"/>
        <v>157500</v>
      </c>
      <c r="F20" s="60">
        <f>SUMPRODUCT(('BW Summary'!$B$7:$B$494=LE!B20)*('BW Summary'!$F$7:$F$494))</f>
        <v>0</v>
      </c>
      <c r="G20" s="62">
        <f t="shared" si="2"/>
        <v>157500</v>
      </c>
      <c r="J20" s="112">
        <f>SUMPRODUCT(('BW Summary'!$B$7:$B$494=LE!$B20)*('BW Summary'!$G$7:$G$494))</f>
        <v>0</v>
      </c>
      <c r="K20" s="106">
        <f>SUMPRODUCT(('BW Summary'!$B$7:$B$494=LE!$B20)*('BW Summary'!$H$7:$H$494))</f>
        <v>0</v>
      </c>
      <c r="L20" s="106">
        <f>SUMPRODUCT(('BW Summary'!$B$7:$B$494=LE!$B20)*('BW Summary'!$I$7:$I$494))</f>
        <v>0</v>
      </c>
      <c r="M20" s="106">
        <f>SUMPRODUCT(('BW Summary'!$B$7:$B$494=LE!$B20)*('BW Summary'!$J$7:$J$494))</f>
        <v>0</v>
      </c>
      <c r="N20" s="106">
        <f>SUMPRODUCT(('BW Summary'!$B$7:$B$494=LE!$B20)*('BW Summary'!$K$7:$K$494))</f>
        <v>0</v>
      </c>
      <c r="O20" s="106">
        <f>SUMPRODUCT(('BW Summary'!$B$7:$B$494=LE!$B20)*('BW Summary'!$L$7:$L$494))</f>
        <v>0</v>
      </c>
      <c r="P20" s="106" cm="1">
        <f t="array" ref="P20">SUMPRODUCT(('BW Summary'!$B$7:$B$494=LE!$B20)*('BW Summary'!$M$7:$M$494))</f>
        <v>0</v>
      </c>
      <c r="Q20" s="106" cm="1">
        <f t="array" ref="Q20">SUMPRODUCT(('BW Summary'!$B$7:$B$494=LE!$B20)*('BW Summary'!$N$7:$N$494))</f>
        <v>0</v>
      </c>
      <c r="R20" s="106" cm="1">
        <f t="array" ref="R20">SUMPRODUCT(('BW Summary'!$B$7:$B$494=LE!$B20)*('BW Summary'!$O$7:$O$494))</f>
        <v>0</v>
      </c>
      <c r="S20" s="106" cm="1">
        <f t="array" ref="S20">SUMPRODUCT(('BW Summary'!$B$7:$B$494=LE!$B20)*('BW Summary'!$P$7:$P$494))</f>
        <v>0</v>
      </c>
      <c r="T20" s="106" cm="1">
        <f t="array" ref="T20">SUMPRODUCT(('BW Summary'!$B$7:$B$494=LE!$B20)*('BW Summary'!$Q$7:$Q$494))</f>
        <v>0</v>
      </c>
      <c r="U20" s="148" cm="1">
        <f t="array" ref="U20">SUMPRODUCT(('BW Summary'!$B$7:$B$494=LE!$B20)*('BW Summary'!$R$7:$R$494))</f>
        <v>0</v>
      </c>
    </row>
    <row r="21" spans="2:21" x14ac:dyDescent="0.25">
      <c r="B21" s="66" t="s">
        <v>38</v>
      </c>
      <c r="C21" t="s">
        <v>39</v>
      </c>
      <c r="D21" s="60" cm="1">
        <f t="array" ref="D21">SUMPRODUCT(('AOP25'!$E$2:$E$639=Summary!B21)*('AOP25'!$D$2:$D$639=$E$1)*('AOP25'!$U$2:$U$639))</f>
        <v>1655500</v>
      </c>
      <c r="E21" s="61">
        <f t="shared" ref="E21" si="3">(D21/12)*$D$3</f>
        <v>1655500</v>
      </c>
      <c r="F21" s="60">
        <f>SUMPRODUCT(('BW Summary'!$B$7:$B$494=LE!B21)*('BW Summary'!$F$7:$F$494))</f>
        <v>0</v>
      </c>
      <c r="G21" s="62">
        <f t="shared" ref="G21" si="4">E21-F21</f>
        <v>1655500</v>
      </c>
      <c r="J21" s="112">
        <f>SUMPRODUCT(('BW Summary'!$B$7:$B$494=LE!$B21)*('BW Summary'!$G$7:$G$494))</f>
        <v>0</v>
      </c>
      <c r="K21" s="106">
        <f>SUMPRODUCT(('BW Summary'!$B$7:$B$494=LE!$B21)*('BW Summary'!$H$7:$H$494))</f>
        <v>0</v>
      </c>
      <c r="L21" s="106">
        <f>SUMPRODUCT(('BW Summary'!$B$7:$B$494=LE!$B21)*('BW Summary'!$I$7:$I$494))</f>
        <v>0</v>
      </c>
      <c r="M21" s="106">
        <f>SUMPRODUCT(('BW Summary'!$B$7:$B$494=LE!$B21)*('BW Summary'!$J$7:$J$494))</f>
        <v>0</v>
      </c>
      <c r="N21" s="106">
        <f>SUMPRODUCT(('BW Summary'!$B$7:$B$494=LE!$B21)*('BW Summary'!$K$7:$K$494))</f>
        <v>0</v>
      </c>
      <c r="O21" s="106">
        <f>SUMPRODUCT(('BW Summary'!$B$7:$B$494=LE!$B21)*('BW Summary'!$L$7:$L$494))</f>
        <v>0</v>
      </c>
      <c r="P21" s="106" cm="1">
        <f t="array" ref="P21">SUMPRODUCT(('BW Summary'!$B$7:$B$494=LE!$B21)*('BW Summary'!$M$7:$M$494))</f>
        <v>0</v>
      </c>
      <c r="Q21" s="106" cm="1">
        <f t="array" ref="Q21">SUMPRODUCT(('BW Summary'!$B$7:$B$494=LE!$B21)*('BW Summary'!$N$7:$N$494))</f>
        <v>0</v>
      </c>
      <c r="R21" s="106" cm="1">
        <f t="array" ref="R21">SUMPRODUCT(('BW Summary'!$B$7:$B$494=LE!$B21)*('BW Summary'!$O$7:$O$494))</f>
        <v>0</v>
      </c>
      <c r="S21" s="106" cm="1">
        <f t="array" ref="S21">SUMPRODUCT(('BW Summary'!$B$7:$B$494=LE!$B21)*('BW Summary'!$P$7:$P$494))</f>
        <v>0</v>
      </c>
      <c r="T21" s="106" cm="1">
        <f t="array" ref="T21">SUMPRODUCT(('BW Summary'!$B$7:$B$494=LE!$B21)*('BW Summary'!$Q$7:$Q$494))</f>
        <v>0</v>
      </c>
      <c r="U21" s="148" cm="1">
        <f t="array" ref="U21">SUMPRODUCT(('BW Summary'!$B$7:$B$494=LE!$B21)*('BW Summary'!$R$7:$R$494))</f>
        <v>0</v>
      </c>
    </row>
    <row r="22" spans="2:21" x14ac:dyDescent="0.25">
      <c r="B22" s="65" t="s">
        <v>41</v>
      </c>
      <c r="C22" t="s">
        <v>57</v>
      </c>
      <c r="D22" s="60" cm="1">
        <f t="array" ref="D22">SUMPRODUCT(('AOP25'!$E$2:$E$639=Summary!B22)*('AOP25'!$D$2:$D$639=$E$1)*('AOP25'!$U$2:$U$639))</f>
        <v>6818500</v>
      </c>
      <c r="E22" s="61">
        <f t="shared" si="1"/>
        <v>6818500</v>
      </c>
      <c r="F22" s="60">
        <f>SUMPRODUCT(('BW Summary'!$B$7:$B$494=LE!B22)*('BW Summary'!$F$7:$F$494))</f>
        <v>0</v>
      </c>
      <c r="G22" s="62">
        <f t="shared" si="2"/>
        <v>6818500</v>
      </c>
      <c r="J22" s="112">
        <f>SUMPRODUCT(('BW Summary'!$B$7:$B$494=LE!$B22)*('BW Summary'!$G$7:$G$494))</f>
        <v>0</v>
      </c>
      <c r="K22" s="106">
        <f>SUMPRODUCT(('BW Summary'!$B$7:$B$494=LE!$B22)*('BW Summary'!$H$7:$H$494))</f>
        <v>0</v>
      </c>
      <c r="L22" s="106">
        <f>SUMPRODUCT(('BW Summary'!$B$7:$B$494=LE!$B22)*('BW Summary'!$I$7:$I$494))</f>
        <v>0</v>
      </c>
      <c r="M22" s="106">
        <f>SUMPRODUCT(('BW Summary'!$B$7:$B$494=LE!$B22)*('BW Summary'!$J$7:$J$494))</f>
        <v>0</v>
      </c>
      <c r="N22" s="106">
        <f>SUMPRODUCT(('BW Summary'!$B$7:$B$494=LE!$B22)*('BW Summary'!$K$7:$K$494))</f>
        <v>0</v>
      </c>
      <c r="O22" s="106">
        <f>SUMPRODUCT(('BW Summary'!$B$7:$B$494=LE!$B22)*('BW Summary'!$L$7:$L$494))</f>
        <v>0</v>
      </c>
      <c r="P22" s="106" cm="1">
        <f t="array" ref="P22">SUMPRODUCT(('BW Summary'!$B$7:$B$494=LE!$B22)*('BW Summary'!$M$7:$M$494))</f>
        <v>0</v>
      </c>
      <c r="Q22" s="106" cm="1">
        <f t="array" ref="Q22">SUMPRODUCT(('BW Summary'!$B$7:$B$494=LE!$B22)*('BW Summary'!$N$7:$N$494))</f>
        <v>0</v>
      </c>
      <c r="R22" s="106" cm="1">
        <f t="array" ref="R22">SUMPRODUCT(('BW Summary'!$B$7:$B$494=LE!$B22)*('BW Summary'!$O$7:$O$494))</f>
        <v>0</v>
      </c>
      <c r="S22" s="106" cm="1">
        <f t="array" ref="S22">SUMPRODUCT(('BW Summary'!$B$7:$B$494=LE!$B22)*('BW Summary'!$P$7:$P$494))</f>
        <v>0</v>
      </c>
      <c r="T22" s="106" cm="1">
        <f t="array" ref="T22">SUMPRODUCT(('BW Summary'!$B$7:$B$494=LE!$B22)*('BW Summary'!$Q$7:$Q$494))</f>
        <v>0</v>
      </c>
      <c r="U22" s="148" cm="1">
        <f t="array" ref="U22">SUMPRODUCT(('BW Summary'!$B$7:$B$494=LE!$B22)*('BW Summary'!$R$7:$R$494))</f>
        <v>0</v>
      </c>
    </row>
    <row r="23" spans="2:21" x14ac:dyDescent="0.25">
      <c r="B23" s="65" t="s">
        <v>43</v>
      </c>
      <c r="C23" t="s">
        <v>44</v>
      </c>
      <c r="D23" s="60" cm="1">
        <f t="array" ref="D23">SUMPRODUCT(('AOP25'!$E$2:$E$639=Summary!B23)*('AOP25'!$D$2:$D$639=$E$1)*('AOP25'!$U$2:$U$639))</f>
        <v>0</v>
      </c>
      <c r="E23" s="61">
        <f t="shared" si="1"/>
        <v>0</v>
      </c>
      <c r="F23" s="60">
        <f>SUMPRODUCT(('BW Summary'!$B$7:$B$494=LE!B23)*('BW Summary'!$F$7:$F$494))</f>
        <v>0</v>
      </c>
      <c r="G23" s="62">
        <f t="shared" si="2"/>
        <v>0</v>
      </c>
      <c r="J23" s="112">
        <f>SUMPRODUCT(('BW Summary'!$B$7:$B$494=LE!$B23)*('BW Summary'!$G$7:$G$494))</f>
        <v>0</v>
      </c>
      <c r="K23" s="106">
        <f>SUMPRODUCT(('BW Summary'!$B$7:$B$494=LE!$B23)*('BW Summary'!$H$7:$H$494))</f>
        <v>0</v>
      </c>
      <c r="L23" s="106">
        <f>SUMPRODUCT(('BW Summary'!$B$7:$B$494=LE!$B23)*('BW Summary'!$I$7:$I$494))</f>
        <v>0</v>
      </c>
      <c r="M23" s="106">
        <f>SUMPRODUCT(('BW Summary'!$B$7:$B$494=LE!$B23)*('BW Summary'!$J$7:$J$494))</f>
        <v>0</v>
      </c>
      <c r="N23" s="106">
        <f>SUMPRODUCT(('BW Summary'!$B$7:$B$494=LE!$B23)*('BW Summary'!$K$7:$K$494))</f>
        <v>0</v>
      </c>
      <c r="O23" s="106">
        <f>SUMPRODUCT(('BW Summary'!$B$7:$B$494=LE!$B23)*('BW Summary'!$L$7:$L$494))</f>
        <v>0</v>
      </c>
      <c r="P23" s="106" cm="1">
        <f t="array" ref="P23">SUMPRODUCT(('BW Summary'!$B$7:$B$494=LE!$B23)*('BW Summary'!$M$7:$M$494))</f>
        <v>0</v>
      </c>
      <c r="Q23" s="106" cm="1">
        <f t="array" ref="Q23">SUMPRODUCT(('BW Summary'!$B$7:$B$494=LE!$B23)*('BW Summary'!$N$7:$N$494))</f>
        <v>0</v>
      </c>
      <c r="R23" s="106" cm="1">
        <f t="array" ref="R23">SUMPRODUCT(('BW Summary'!$B$7:$B$494=LE!$B23)*('BW Summary'!$O$7:$O$494))</f>
        <v>0</v>
      </c>
      <c r="S23" s="106" cm="1">
        <f t="array" ref="S23">SUMPRODUCT(('BW Summary'!$B$7:$B$494=LE!$B23)*('BW Summary'!$P$7:$P$494))</f>
        <v>0</v>
      </c>
      <c r="T23" s="106" cm="1">
        <f t="array" ref="T23">SUMPRODUCT(('BW Summary'!$B$7:$B$494=LE!$B23)*('BW Summary'!$Q$7:$Q$494))</f>
        <v>0</v>
      </c>
      <c r="U23" s="148" cm="1">
        <f t="array" ref="U23">SUMPRODUCT(('BW Summary'!$B$7:$B$494=LE!$B23)*('BW Summary'!$R$7:$R$494))</f>
        <v>0</v>
      </c>
    </row>
    <row r="24" spans="2:21" x14ac:dyDescent="0.25">
      <c r="B24" s="65" t="s">
        <v>45</v>
      </c>
      <c r="C24" t="s">
        <v>46</v>
      </c>
      <c r="D24" s="60" cm="1">
        <f t="array" ref="D24">SUMPRODUCT(('AOP25'!$E$2:$E$639=Summary!B24)*('AOP25'!$D$2:$D$639=$E$1)*('AOP25'!$U$2:$U$639))</f>
        <v>0</v>
      </c>
      <c r="E24" s="61">
        <f t="shared" ref="E24:E25" si="5">(D24/12)*$D$3</f>
        <v>0</v>
      </c>
      <c r="F24" s="60">
        <f>SUMPRODUCT(('BW Summary'!$B$7:$B$494=LE!B24)*('BW Summary'!$F$7:$F$494))</f>
        <v>0</v>
      </c>
      <c r="G24" s="62">
        <f t="shared" ref="G24:G25" si="6">E24-F24</f>
        <v>0</v>
      </c>
      <c r="J24" s="112">
        <f>SUMPRODUCT(('BW Summary'!$B$7:$B$494=LE!$B24)*('BW Summary'!$G$7:$G$494))</f>
        <v>0</v>
      </c>
      <c r="K24" s="106">
        <f>SUMPRODUCT(('BW Summary'!$B$7:$B$494=LE!$B24)*('BW Summary'!$H$7:$H$494))</f>
        <v>0</v>
      </c>
      <c r="L24" s="106">
        <f>SUMPRODUCT(('BW Summary'!$B$7:$B$494=LE!$B24)*('BW Summary'!$I$7:$I$494))</f>
        <v>0</v>
      </c>
      <c r="M24" s="106">
        <f>SUMPRODUCT(('BW Summary'!$B$7:$B$494=LE!$B24)*('BW Summary'!$J$7:$J$494))</f>
        <v>0</v>
      </c>
      <c r="N24" s="106">
        <f>SUMPRODUCT(('BW Summary'!$B$7:$B$494=LE!$B24)*('BW Summary'!$K$7:$K$494))</f>
        <v>0</v>
      </c>
      <c r="O24" s="106">
        <f>SUMPRODUCT(('BW Summary'!$B$7:$B$494=LE!$B24)*('BW Summary'!$L$7:$L$494))</f>
        <v>0</v>
      </c>
      <c r="P24" s="106" cm="1">
        <f t="array" ref="P24">SUMPRODUCT(('BW Summary'!$B$7:$B$494=LE!$B24)*('BW Summary'!$M$7:$M$494))</f>
        <v>0</v>
      </c>
      <c r="Q24" s="106" cm="1">
        <f t="array" ref="Q24">SUMPRODUCT(('BW Summary'!$B$7:$B$494=LE!$B24)*('BW Summary'!$N$7:$N$494))</f>
        <v>0</v>
      </c>
      <c r="R24" s="106" cm="1">
        <f t="array" ref="R24">SUMPRODUCT(('BW Summary'!$B$7:$B$494=LE!$B24)*('BW Summary'!$O$7:$O$494))</f>
        <v>0</v>
      </c>
      <c r="S24" s="106" cm="1">
        <f t="array" ref="S24">SUMPRODUCT(('BW Summary'!$B$7:$B$494=LE!$B24)*('BW Summary'!$P$7:$P$494))</f>
        <v>0</v>
      </c>
      <c r="T24" s="106" cm="1">
        <f t="array" ref="T24">SUMPRODUCT(('BW Summary'!$B$7:$B$494=LE!$B24)*('BW Summary'!$Q$7:$Q$494))</f>
        <v>0</v>
      </c>
      <c r="U24" s="148" cm="1">
        <f t="array" ref="U24">SUMPRODUCT(('BW Summary'!$B$7:$B$494=LE!$B24)*('BW Summary'!$R$7:$R$494))</f>
        <v>0</v>
      </c>
    </row>
    <row r="25" spans="2:21" x14ac:dyDescent="0.25">
      <c r="B25" s="65" t="s">
        <v>47</v>
      </c>
      <c r="C25" t="s">
        <v>48</v>
      </c>
      <c r="D25" s="60" cm="1">
        <f t="array" ref="D25">SUMPRODUCT(('AOP25'!$E$2:$E$639=Summary!B25)*('AOP25'!$D$2:$D$639=$E$1)*('AOP25'!$U$2:$U$639))</f>
        <v>0</v>
      </c>
      <c r="E25" s="61">
        <f t="shared" si="5"/>
        <v>0</v>
      </c>
      <c r="F25" s="60">
        <f>SUMPRODUCT(('BW Summary'!$B$7:$B$494=LE!B25)*('BW Summary'!$F$7:$F$494))</f>
        <v>0</v>
      </c>
      <c r="G25" s="62">
        <f t="shared" si="6"/>
        <v>0</v>
      </c>
      <c r="J25" s="112">
        <f>SUMPRODUCT(('BW Summary'!$B$7:$B$494=LE!$B25)*('BW Summary'!$G$7:$G$494))</f>
        <v>0</v>
      </c>
      <c r="K25" s="106">
        <f>SUMPRODUCT(('BW Summary'!$B$7:$B$494=LE!$B25)*('BW Summary'!$H$7:$H$494))</f>
        <v>0</v>
      </c>
      <c r="L25" s="106">
        <f>SUMPRODUCT(('BW Summary'!$B$7:$B$494=LE!$B25)*('BW Summary'!$I$7:$I$494))</f>
        <v>0</v>
      </c>
      <c r="M25" s="106">
        <f>SUMPRODUCT(('BW Summary'!$B$7:$B$494=LE!$B25)*('BW Summary'!$J$7:$J$494))</f>
        <v>0</v>
      </c>
      <c r="N25" s="106">
        <f>SUMPRODUCT(('BW Summary'!$B$7:$B$494=LE!$B25)*('BW Summary'!$K$7:$K$494))</f>
        <v>0</v>
      </c>
      <c r="O25" s="106">
        <f>SUMPRODUCT(('BW Summary'!$B$7:$B$494=LE!$B25)*('BW Summary'!$L$7:$L$494))</f>
        <v>0</v>
      </c>
      <c r="P25" s="106" cm="1">
        <f t="array" ref="P25">SUMPRODUCT(('BW Summary'!$B$7:$B$494=LE!$B25)*('BW Summary'!$M$7:$M$494))</f>
        <v>0</v>
      </c>
      <c r="Q25" s="106" cm="1">
        <f t="array" ref="Q25">SUMPRODUCT(('BW Summary'!$B$7:$B$494=LE!$B25)*('BW Summary'!$N$7:$N$494))</f>
        <v>0</v>
      </c>
      <c r="R25" s="106" cm="1">
        <f t="array" ref="R25">SUMPRODUCT(('BW Summary'!$B$7:$B$494=LE!$B25)*('BW Summary'!$O$7:$O$494))</f>
        <v>0</v>
      </c>
      <c r="S25" s="106" cm="1">
        <f t="array" ref="S25">SUMPRODUCT(('BW Summary'!$B$7:$B$494=LE!$B25)*('BW Summary'!$P$7:$P$494))</f>
        <v>0</v>
      </c>
      <c r="T25" s="106" cm="1">
        <f t="array" ref="T25">SUMPRODUCT(('BW Summary'!$B$7:$B$494=LE!$B25)*('BW Summary'!$Q$7:$Q$494))</f>
        <v>0</v>
      </c>
      <c r="U25" s="148" cm="1">
        <f t="array" ref="U25">SUMPRODUCT(('BW Summary'!$B$7:$B$494=LE!$B25)*('BW Summary'!$R$7:$R$494))</f>
        <v>0</v>
      </c>
    </row>
    <row r="26" spans="2:21" x14ac:dyDescent="0.25">
      <c r="B26" s="65" t="s">
        <v>49</v>
      </c>
      <c r="C26" t="s">
        <v>50</v>
      </c>
      <c r="D26" s="60" cm="1">
        <f t="array" ref="D26">SUMPRODUCT(('AOP25'!$E$2:$E$639=Summary!B26)*('AOP25'!$D$2:$D$639=$E$1)*('AOP25'!$U$2:$U$639))</f>
        <v>5818900</v>
      </c>
      <c r="E26" s="61">
        <f t="shared" si="1"/>
        <v>5818900</v>
      </c>
      <c r="F26" s="60">
        <f>SUMPRODUCT(('BW Summary'!$B$7:$B$494=LE!B26)*('BW Summary'!$F$7:$F$494))</f>
        <v>0</v>
      </c>
      <c r="G26" s="62">
        <f t="shared" si="2"/>
        <v>5818900</v>
      </c>
      <c r="J26" s="112">
        <f>SUMPRODUCT(('BW Summary'!$B$7:$B$494=LE!$B26)*('BW Summary'!$G$7:$G$494))</f>
        <v>0</v>
      </c>
      <c r="K26" s="106">
        <f>SUMPRODUCT(('BW Summary'!$B$7:$B$494=LE!$B26)*('BW Summary'!$H$7:$H$494))</f>
        <v>0</v>
      </c>
      <c r="L26" s="106">
        <f>SUMPRODUCT(('BW Summary'!$B$7:$B$494=LE!$B26)*('BW Summary'!$I$7:$I$494))</f>
        <v>0</v>
      </c>
      <c r="M26" s="106">
        <f>SUMPRODUCT(('BW Summary'!$B$7:$B$494=LE!$B26)*('BW Summary'!$J$7:$J$494))</f>
        <v>0</v>
      </c>
      <c r="N26" s="106">
        <f>SUMPRODUCT(('BW Summary'!$B$7:$B$494=LE!$B26)*('BW Summary'!$K$7:$K$494))</f>
        <v>0</v>
      </c>
      <c r="O26" s="106">
        <f>SUMPRODUCT(('BW Summary'!$B$7:$B$494=LE!$B26)*('BW Summary'!$L$7:$L$494))</f>
        <v>0</v>
      </c>
      <c r="P26" s="106" cm="1">
        <f t="array" ref="P26">SUMPRODUCT(('BW Summary'!$B$7:$B$494=LE!$B26)*('BW Summary'!$M$7:$M$494))</f>
        <v>0</v>
      </c>
      <c r="Q26" s="106" cm="1">
        <f t="array" ref="Q26">SUMPRODUCT(('BW Summary'!$B$7:$B$494=LE!$B26)*('BW Summary'!$N$7:$N$494))</f>
        <v>0</v>
      </c>
      <c r="R26" s="106" cm="1">
        <f t="array" ref="R26">SUMPRODUCT(('BW Summary'!$B$7:$B$494=LE!$B26)*('BW Summary'!$O$7:$O$494))</f>
        <v>0</v>
      </c>
      <c r="S26" s="106" cm="1">
        <f t="array" ref="S26">SUMPRODUCT(('BW Summary'!$B$7:$B$494=LE!$B26)*('BW Summary'!$P$7:$P$494))</f>
        <v>0</v>
      </c>
      <c r="T26" s="106" cm="1">
        <f t="array" ref="T26">SUMPRODUCT(('BW Summary'!$B$7:$B$494=LE!$B26)*('BW Summary'!$Q$7:$Q$494))</f>
        <v>0</v>
      </c>
      <c r="U26" s="148" cm="1">
        <f t="array" ref="U26">SUMPRODUCT(('BW Summary'!$B$7:$B$494=LE!$B26)*('BW Summary'!$R$7:$R$494))</f>
        <v>0</v>
      </c>
    </row>
    <row r="27" spans="2:21" x14ac:dyDescent="0.25">
      <c r="B27" s="67" t="s">
        <v>51</v>
      </c>
      <c r="C27" t="s">
        <v>52</v>
      </c>
      <c r="D27" s="60" cm="1">
        <f t="array" ref="D27">SUMPRODUCT(('AOP25'!$E$2:$E$639=Summary!B27)*('AOP25'!$D$2:$D$639=$E$1)*('AOP25'!$U$2:$U$639))</f>
        <v>7339548</v>
      </c>
      <c r="E27" s="61">
        <f t="shared" si="1"/>
        <v>7339548</v>
      </c>
      <c r="F27" s="60">
        <f>SUMPRODUCT(('BW Summary'!$B$7:$B$494=LE!B27)*('BW Summary'!$F$7:$F$494))</f>
        <v>0</v>
      </c>
      <c r="G27" s="62">
        <f t="shared" si="2"/>
        <v>7339548</v>
      </c>
      <c r="J27" s="112">
        <f>SUMPRODUCT(('BW Summary'!$B$7:$B$494=LE!$B27)*('BW Summary'!$G$7:$G$494))</f>
        <v>0</v>
      </c>
      <c r="K27" s="106">
        <f>SUMPRODUCT(('BW Summary'!$B$7:$B$494=LE!$B27)*('BW Summary'!$H$7:$H$494))</f>
        <v>0</v>
      </c>
      <c r="L27" s="106">
        <f>SUMPRODUCT(('BW Summary'!$B$7:$B$494=LE!$B27)*('BW Summary'!$I$7:$I$494))</f>
        <v>0</v>
      </c>
      <c r="M27" s="106">
        <f>SUMPRODUCT(('BW Summary'!$B$7:$B$494=LE!$B27)*('BW Summary'!$J$7:$J$494))</f>
        <v>0</v>
      </c>
      <c r="N27" s="106">
        <f>SUMPRODUCT(('BW Summary'!$B$7:$B$494=LE!$B27)*('BW Summary'!$K$7:$K$494))</f>
        <v>0</v>
      </c>
      <c r="O27" s="106">
        <f>SUMPRODUCT(('BW Summary'!$B$7:$B$494=LE!$B27)*('BW Summary'!$L$7:$L$494))</f>
        <v>0</v>
      </c>
      <c r="P27" s="106" cm="1">
        <f t="array" ref="P27">SUMPRODUCT(('BW Summary'!$B$7:$B$494=LE!$B27)*('BW Summary'!$M$7:$M$494))</f>
        <v>0</v>
      </c>
      <c r="Q27" s="106" cm="1">
        <f t="array" ref="Q27">SUMPRODUCT(('BW Summary'!$B$7:$B$494=LE!$B27)*('BW Summary'!$N$7:$N$494))</f>
        <v>0</v>
      </c>
      <c r="R27" s="106" cm="1">
        <f t="array" ref="R27">SUMPRODUCT(('BW Summary'!$B$7:$B$494=LE!$B27)*('BW Summary'!$O$7:$O$494))</f>
        <v>0</v>
      </c>
      <c r="S27" s="106" cm="1">
        <f t="array" ref="S27">SUMPRODUCT(('BW Summary'!$B$7:$B$494=LE!$B27)*('BW Summary'!$P$7:$P$494))</f>
        <v>0</v>
      </c>
      <c r="T27" s="106" cm="1">
        <f t="array" ref="T27">SUMPRODUCT(('BW Summary'!$B$7:$B$494=LE!$B27)*('BW Summary'!$Q$7:$Q$494))</f>
        <v>0</v>
      </c>
      <c r="U27" s="148" cm="1">
        <f t="array" ref="U27">SUMPRODUCT(('BW Summary'!$B$7:$B$494=LE!$B27)*('BW Summary'!$R$7:$R$494))</f>
        <v>0</v>
      </c>
    </row>
    <row r="28" spans="2:21" ht="15.75" thickBot="1" x14ac:dyDescent="0.3">
      <c r="B28" s="68" t="s">
        <v>53</v>
      </c>
      <c r="C28" s="16" t="s">
        <v>54</v>
      </c>
      <c r="D28" s="69" cm="1">
        <f t="array" ref="D28">SUMPRODUCT(('AOP25'!$E$2:$E$639=Summary!B28)*('AOP25'!$D$2:$D$639=$E$1)*('AOP25'!$U$2:$U$639))</f>
        <v>13439556.08</v>
      </c>
      <c r="E28" s="70">
        <f t="shared" si="1"/>
        <v>13439556.079999998</v>
      </c>
      <c r="F28" s="69">
        <f>SUMPRODUCT(('BW Summary'!$B$7:$B$494=LE!B28)*('BW Summary'!$F$7:$F$494))</f>
        <v>0</v>
      </c>
      <c r="G28" s="71">
        <f t="shared" si="2"/>
        <v>13439556.079999998</v>
      </c>
      <c r="J28" s="113">
        <f>SUMPRODUCT(('BW Summary'!$B$7:$B$494=LE!$B28)*('BW Summary'!$G$7:$G$494))</f>
        <v>0</v>
      </c>
      <c r="K28" s="108">
        <f>SUMPRODUCT(('BW Summary'!$B$7:$B$494=LE!$B28)*('BW Summary'!$H$7:$H$494))</f>
        <v>0</v>
      </c>
      <c r="L28" s="108">
        <f>SUMPRODUCT(('BW Summary'!$B$7:$B$494=LE!$B28)*('BW Summary'!$I$7:$I$494))</f>
        <v>0</v>
      </c>
      <c r="M28" s="108">
        <f>SUMPRODUCT(('BW Summary'!$B$7:$B$494=LE!$B28)*('BW Summary'!$J$7:$J$494))</f>
        <v>0</v>
      </c>
      <c r="N28" s="108">
        <f>SUMPRODUCT(('BW Summary'!$B$7:$B$494=LE!$B28)*('BW Summary'!$K$7:$K$494))</f>
        <v>0</v>
      </c>
      <c r="O28" s="108">
        <f>SUMPRODUCT(('BW Summary'!$B$7:$B$494=LE!$B28)*('BW Summary'!$L$7:$L$494))</f>
        <v>0</v>
      </c>
      <c r="P28" s="108" cm="1">
        <f t="array" ref="P28">SUMPRODUCT(('BW Summary'!$B$7:$B$494=LE!$B28)*('BW Summary'!$M$7:$M$494))</f>
        <v>0</v>
      </c>
      <c r="Q28" s="108" cm="1">
        <f t="array" ref="Q28">SUMPRODUCT(('BW Summary'!$B$7:$B$494=LE!$B28)*('BW Summary'!$N$7:$N$494))</f>
        <v>0</v>
      </c>
      <c r="R28" s="108" cm="1">
        <f t="array" ref="R28">SUMPRODUCT(('BW Summary'!$B$7:$B$494=LE!$B28)*('BW Summary'!$O$7:$O$494))</f>
        <v>0</v>
      </c>
      <c r="S28" s="108" cm="1">
        <f t="array" ref="S28">SUMPRODUCT(('BW Summary'!$B$7:$B$494=LE!$B28)*('BW Summary'!$P$7:$P$494))</f>
        <v>0</v>
      </c>
      <c r="T28" s="108" cm="1">
        <f t="array" ref="T28">SUMPRODUCT(('BW Summary'!$B$7:$B$494=LE!$B28)*('BW Summary'!$Q$7:$Q$494))</f>
        <v>0</v>
      </c>
      <c r="U28" s="149" cm="1">
        <f t="array" ref="U28">SUMPRODUCT(('BW Summary'!$B$7:$B$494=LE!$B28)*('BW Summary'!$R$7:$R$494))</f>
        <v>0</v>
      </c>
    </row>
    <row r="30" spans="2:21" hidden="1" x14ac:dyDescent="0.25"/>
    <row r="31" spans="2:21" hidden="1" x14ac:dyDescent="0.25"/>
    <row r="32" spans="2:21" hidden="1" x14ac:dyDescent="0.25"/>
  </sheetData>
  <conditionalFormatting sqref="C11:C20 C22:C28">
    <cfRule type="cellIs" dxfId="5" priority="6" operator="lessThan">
      <formula>0</formula>
    </cfRule>
  </conditionalFormatting>
  <conditionalFormatting sqref="G11:G20 G22:G28">
    <cfRule type="expression" dxfId="4" priority="4">
      <formula>IF(G11&lt;0,1)</formula>
    </cfRule>
    <cfRule type="expression" dxfId="3" priority="5">
      <formula>IF(G11&gt;0,1)</formula>
    </cfRule>
  </conditionalFormatting>
  <conditionalFormatting sqref="C21">
    <cfRule type="cellIs" dxfId="2" priority="3" operator="lessThan">
      <formula>0</formula>
    </cfRule>
  </conditionalFormatting>
  <conditionalFormatting sqref="G21">
    <cfRule type="expression" dxfId="1" priority="1">
      <formula>IF(G21&lt;0,1)</formula>
    </cfRule>
    <cfRule type="expression" dxfId="0" priority="2">
      <formula>IF(G21&gt;0,1)</formula>
    </cfRule>
  </conditionalFormatting>
  <pageMargins left="0.7" right="0.7" top="0.75" bottom="0.75" header="0.3" footer="0.3"/>
  <pageSetup paperSize="9" orientation="portrait" r:id="rId1"/>
  <customProperties>
    <customPr name="_pios_id" r:id="rId2"/>
    <customPr name="EpmWorksheetKeyString_GUID"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21505" r:id="rId6" name="Button 2">
              <controlPr defaultSize="0" print="0" autoFill="0" autoPict="0" macro="[0]!FindDetails">
                <anchor moveWithCells="1" sizeWithCells="1">
                  <from>
                    <xdr:col>0</xdr:col>
                    <xdr:colOff>66675</xdr:colOff>
                    <xdr:row>8</xdr:row>
                    <xdr:rowOff>104775</xdr:rowOff>
                  </from>
                  <to>
                    <xdr:col>0</xdr:col>
                    <xdr:colOff>752475</xdr:colOff>
                    <xdr:row>10</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7E579-8566-4298-8976-28E7C2C6DB46}">
  <sheetPr codeName="Sheet4"/>
  <dimension ref="B1:O62"/>
  <sheetViews>
    <sheetView zoomScale="85" zoomScaleNormal="85" workbookViewId="0">
      <selection activeCell="E12" sqref="E12"/>
    </sheetView>
  </sheetViews>
  <sheetFormatPr defaultRowHeight="15" x14ac:dyDescent="0.25"/>
  <cols>
    <col min="2" max="2" width="19.28515625" bestFit="1" customWidth="1"/>
    <col min="3" max="3" width="30.85546875" bestFit="1" customWidth="1"/>
    <col min="4" max="4" width="7.5703125" bestFit="1" customWidth="1"/>
    <col min="5" max="5" width="29.85546875" bestFit="1" customWidth="1"/>
    <col min="6" max="6" width="18.7109375" bestFit="1" customWidth="1"/>
    <col min="7" max="12" width="16.28515625" bestFit="1" customWidth="1"/>
    <col min="13" max="13" width="16.5703125" bestFit="1" customWidth="1"/>
    <col min="15" max="15" width="18.42578125" customWidth="1"/>
  </cols>
  <sheetData>
    <row r="1" spans="2:2" x14ac:dyDescent="0.25">
      <c r="B1" s="252" t="s">
        <v>3713</v>
      </c>
    </row>
    <row r="28" spans="13:13" x14ac:dyDescent="0.25">
      <c r="M28" s="245"/>
    </row>
    <row r="61" spans="15:15" x14ac:dyDescent="0.25">
      <c r="O61" s="214"/>
    </row>
    <row r="62" spans="15:15" x14ac:dyDescent="0.25">
      <c r="O62" s="214"/>
    </row>
  </sheetData>
  <pageMargins left="0.7" right="0.7" top="0.75" bottom="0.75" header="0.3" footer="0.3"/>
  <pageSetup paperSize="9" orientation="portrait" horizontalDpi="300" verticalDpi="300" r:id="rId1"/>
  <customProperties>
    <customPr name="_pios_id" r:id="rId2"/>
    <customPr name="CofWorksheetType" r:id="rId3"/>
    <customPr name="EpmWorksheetKeyString_GUID" r:id="rId4"/>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filterMode="1"/>
  <dimension ref="A1:AA1479"/>
  <sheetViews>
    <sheetView zoomScale="115" zoomScaleNormal="115" workbookViewId="0">
      <selection activeCell="C1444" sqref="C1444"/>
    </sheetView>
  </sheetViews>
  <sheetFormatPr defaultRowHeight="15" x14ac:dyDescent="0.25"/>
  <cols>
    <col min="1" max="1" width="15.5703125" customWidth="1"/>
    <col min="2" max="2" width="40.85546875" customWidth="1"/>
    <col min="3" max="3" width="64.7109375" customWidth="1"/>
    <col min="4" max="4" width="37.5703125" customWidth="1"/>
    <col min="5" max="5" width="17.42578125" customWidth="1"/>
    <col min="6" max="6" width="28.42578125" customWidth="1"/>
    <col min="7" max="7" width="12.42578125" bestFit="1" customWidth="1"/>
    <col min="8" max="8" width="11.5703125" bestFit="1" customWidth="1"/>
    <col min="9" max="9" width="14.42578125" style="246" customWidth="1"/>
    <col min="10" max="10" width="13.42578125" customWidth="1"/>
    <col min="11" max="11" width="18.42578125" bestFit="1" customWidth="1"/>
    <col min="12" max="12" width="90.5703125" bestFit="1" customWidth="1"/>
    <col min="14" max="14" width="24.28515625" bestFit="1" customWidth="1"/>
    <col min="15" max="15" width="12.28515625" bestFit="1" customWidth="1"/>
    <col min="16" max="16" width="103.28515625" bestFit="1" customWidth="1"/>
    <col min="17" max="17" width="131.5703125" bestFit="1" customWidth="1"/>
    <col min="18" max="18" width="63.42578125" bestFit="1" customWidth="1"/>
    <col min="19" max="19" width="22.28515625" bestFit="1" customWidth="1"/>
    <col min="20" max="20" width="8.7109375" bestFit="1" customWidth="1"/>
    <col min="21" max="21" width="16.28515625" bestFit="1" customWidth="1"/>
    <col min="22" max="22" width="33.42578125" bestFit="1" customWidth="1"/>
    <col min="23" max="23" width="18.28515625" bestFit="1" customWidth="1"/>
    <col min="24" max="24" width="13.140625" bestFit="1" customWidth="1"/>
    <col min="25" max="25" width="2.28515625" bestFit="1" customWidth="1"/>
    <col min="26" max="26" width="13.28515625" bestFit="1" customWidth="1"/>
  </cols>
  <sheetData>
    <row r="1" spans="1:12" ht="15.75" thickBot="1" x14ac:dyDescent="0.3">
      <c r="A1" s="72" t="s">
        <v>0</v>
      </c>
      <c r="B1" s="73" t="s">
        <v>100</v>
      </c>
      <c r="C1" s="73" t="s">
        <v>101</v>
      </c>
      <c r="D1" s="73" t="s">
        <v>102</v>
      </c>
      <c r="E1" s="73" t="s">
        <v>103</v>
      </c>
      <c r="F1" s="73" t="s">
        <v>104</v>
      </c>
      <c r="G1" s="73" t="s">
        <v>105</v>
      </c>
      <c r="H1" s="73" t="s">
        <v>106</v>
      </c>
      <c r="I1" s="73" t="s">
        <v>107</v>
      </c>
      <c r="J1" s="73" t="s">
        <v>108</v>
      </c>
      <c r="K1" s="73" t="s">
        <v>109</v>
      </c>
      <c r="L1" s="74" t="s">
        <v>110</v>
      </c>
    </row>
    <row r="2" spans="1:12" hidden="1" x14ac:dyDescent="0.25">
      <c r="A2" s="75">
        <v>42736</v>
      </c>
      <c r="B2" s="76" t="s">
        <v>111</v>
      </c>
      <c r="C2" s="76" t="s">
        <v>112</v>
      </c>
      <c r="D2" s="76" t="s">
        <v>0</v>
      </c>
      <c r="E2" s="76">
        <v>68427709</v>
      </c>
      <c r="F2" s="120">
        <v>19000</v>
      </c>
      <c r="G2" s="76" t="s">
        <v>113</v>
      </c>
      <c r="H2" s="76" t="s">
        <v>114</v>
      </c>
      <c r="I2" s="76" t="s">
        <v>115</v>
      </c>
      <c r="J2" s="76">
        <v>2018</v>
      </c>
      <c r="K2" s="76" t="s">
        <v>116</v>
      </c>
      <c r="L2" s="77" t="s">
        <v>117</v>
      </c>
    </row>
    <row r="3" spans="1:12" hidden="1" x14ac:dyDescent="0.25">
      <c r="A3" s="78">
        <v>42736</v>
      </c>
      <c r="B3" s="79" t="s">
        <v>118</v>
      </c>
      <c r="C3" s="79" t="s">
        <v>112</v>
      </c>
      <c r="D3" s="79" t="s">
        <v>0</v>
      </c>
      <c r="E3" s="79">
        <v>68427709</v>
      </c>
      <c r="F3" s="93">
        <v>34000</v>
      </c>
      <c r="G3" s="76" t="s">
        <v>113</v>
      </c>
      <c r="H3" s="79" t="s">
        <v>114</v>
      </c>
      <c r="I3" s="79" t="s">
        <v>115</v>
      </c>
      <c r="J3" s="76">
        <v>2018</v>
      </c>
      <c r="K3" s="79" t="s">
        <v>116</v>
      </c>
      <c r="L3" s="80" t="s">
        <v>119</v>
      </c>
    </row>
    <row r="4" spans="1:12" hidden="1" x14ac:dyDescent="0.25">
      <c r="A4" s="78">
        <v>42773</v>
      </c>
      <c r="B4" s="79" t="s">
        <v>120</v>
      </c>
      <c r="C4" s="79" t="s">
        <v>121</v>
      </c>
      <c r="D4" s="79" t="s">
        <v>0</v>
      </c>
      <c r="E4" s="79">
        <v>68427709</v>
      </c>
      <c r="F4" s="93">
        <v>12000</v>
      </c>
      <c r="G4" s="76" t="s">
        <v>113</v>
      </c>
      <c r="H4" s="79" t="s">
        <v>114</v>
      </c>
      <c r="I4" s="79" t="s">
        <v>122</v>
      </c>
      <c r="J4" s="76">
        <v>2018</v>
      </c>
      <c r="K4" s="79" t="s">
        <v>123</v>
      </c>
      <c r="L4" s="80" t="s">
        <v>124</v>
      </c>
    </row>
    <row r="5" spans="1:12" hidden="1" x14ac:dyDescent="0.25">
      <c r="A5" s="78">
        <v>42779</v>
      </c>
      <c r="B5" s="79" t="s">
        <v>125</v>
      </c>
      <c r="C5" s="79" t="s">
        <v>126</v>
      </c>
      <c r="D5" s="79" t="s">
        <v>127</v>
      </c>
      <c r="E5" s="79">
        <v>68427709</v>
      </c>
      <c r="F5" s="93">
        <v>0</v>
      </c>
      <c r="G5" s="76" t="s">
        <v>113</v>
      </c>
      <c r="H5" s="79" t="s">
        <v>114</v>
      </c>
      <c r="I5" s="79" t="s">
        <v>128</v>
      </c>
      <c r="J5" s="76">
        <v>2018</v>
      </c>
      <c r="K5" s="79" t="s">
        <v>129</v>
      </c>
      <c r="L5" s="80" t="s">
        <v>130</v>
      </c>
    </row>
    <row r="6" spans="1:12" hidden="1" x14ac:dyDescent="0.25">
      <c r="A6" s="78">
        <v>42779</v>
      </c>
      <c r="B6" s="79" t="s">
        <v>131</v>
      </c>
      <c r="C6" s="79" t="s">
        <v>132</v>
      </c>
      <c r="D6" s="79" t="s">
        <v>0</v>
      </c>
      <c r="E6" s="79">
        <v>68427709</v>
      </c>
      <c r="F6" s="93">
        <v>2500</v>
      </c>
      <c r="G6" s="76" t="s">
        <v>113</v>
      </c>
      <c r="H6" s="79" t="s">
        <v>114</v>
      </c>
      <c r="I6" s="79" t="s">
        <v>133</v>
      </c>
      <c r="J6" s="76">
        <v>2018</v>
      </c>
      <c r="K6" s="79" t="s">
        <v>134</v>
      </c>
      <c r="L6" s="80"/>
    </row>
    <row r="7" spans="1:12" hidden="1" x14ac:dyDescent="0.25">
      <c r="A7" s="78">
        <v>42779</v>
      </c>
      <c r="B7" s="79" t="s">
        <v>135</v>
      </c>
      <c r="C7" s="79" t="s">
        <v>132</v>
      </c>
      <c r="D7" s="79" t="s">
        <v>0</v>
      </c>
      <c r="E7" s="79">
        <v>68427709</v>
      </c>
      <c r="F7" s="93">
        <v>2500</v>
      </c>
      <c r="G7" s="76" t="s">
        <v>113</v>
      </c>
      <c r="H7" s="79" t="s">
        <v>114</v>
      </c>
      <c r="I7" s="79" t="s">
        <v>133</v>
      </c>
      <c r="J7" s="76">
        <v>2018</v>
      </c>
      <c r="K7" s="79" t="s">
        <v>134</v>
      </c>
      <c r="L7" s="80"/>
    </row>
    <row r="8" spans="1:12" hidden="1" x14ac:dyDescent="0.25">
      <c r="A8" s="78">
        <v>42779</v>
      </c>
      <c r="B8" s="79" t="s">
        <v>136</v>
      </c>
      <c r="C8" s="79" t="s">
        <v>112</v>
      </c>
      <c r="D8" s="79" t="s">
        <v>0</v>
      </c>
      <c r="E8" s="79">
        <v>68427709</v>
      </c>
      <c r="F8" s="93">
        <v>-13000</v>
      </c>
      <c r="G8" s="76" t="s">
        <v>113</v>
      </c>
      <c r="H8" s="79" t="s">
        <v>114</v>
      </c>
      <c r="I8" s="79" t="s">
        <v>128</v>
      </c>
      <c r="J8" s="76">
        <v>2018</v>
      </c>
      <c r="K8" s="79" t="s">
        <v>116</v>
      </c>
      <c r="L8" s="80" t="s">
        <v>137</v>
      </c>
    </row>
    <row r="9" spans="1:12" hidden="1" x14ac:dyDescent="0.25">
      <c r="A9" s="78">
        <v>42779</v>
      </c>
      <c r="B9" s="79" t="s">
        <v>138</v>
      </c>
      <c r="C9" s="79" t="s">
        <v>132</v>
      </c>
      <c r="D9" s="79" t="s">
        <v>0</v>
      </c>
      <c r="E9" s="79">
        <v>68427709</v>
      </c>
      <c r="F9" s="93">
        <v>100000</v>
      </c>
      <c r="G9" s="76" t="s">
        <v>113</v>
      </c>
      <c r="H9" s="79" t="s">
        <v>114</v>
      </c>
      <c r="I9" s="79" t="s">
        <v>133</v>
      </c>
      <c r="J9" s="76">
        <v>2018</v>
      </c>
      <c r="K9" s="79" t="s">
        <v>134</v>
      </c>
      <c r="L9" s="80" t="s">
        <v>139</v>
      </c>
    </row>
    <row r="10" spans="1:12" hidden="1" x14ac:dyDescent="0.25">
      <c r="A10" s="78">
        <v>42779</v>
      </c>
      <c r="B10" s="79" t="s">
        <v>140</v>
      </c>
      <c r="C10" s="79" t="s">
        <v>141</v>
      </c>
      <c r="D10" s="79" t="s">
        <v>0</v>
      </c>
      <c r="E10" s="79">
        <v>68427709</v>
      </c>
      <c r="F10" s="93">
        <v>200000</v>
      </c>
      <c r="G10" s="76" t="s">
        <v>113</v>
      </c>
      <c r="H10" s="79" t="s">
        <v>114</v>
      </c>
      <c r="I10" s="79" t="s">
        <v>133</v>
      </c>
      <c r="J10" s="76">
        <v>2018</v>
      </c>
      <c r="K10" s="79" t="s">
        <v>134</v>
      </c>
      <c r="L10" s="80" t="s">
        <v>142</v>
      </c>
    </row>
    <row r="11" spans="1:12" hidden="1" x14ac:dyDescent="0.25">
      <c r="A11" s="78">
        <v>42779</v>
      </c>
      <c r="B11" s="79" t="s">
        <v>143</v>
      </c>
      <c r="C11" s="79" t="s">
        <v>144</v>
      </c>
      <c r="D11" s="79" t="s">
        <v>0</v>
      </c>
      <c r="E11" s="79">
        <v>68427709</v>
      </c>
      <c r="F11" s="93">
        <v>6000</v>
      </c>
      <c r="G11" s="76" t="s">
        <v>113</v>
      </c>
      <c r="H11" s="79" t="s">
        <v>114</v>
      </c>
      <c r="I11" s="79" t="s">
        <v>128</v>
      </c>
      <c r="J11" s="76">
        <v>2018</v>
      </c>
      <c r="K11" s="79" t="s">
        <v>145</v>
      </c>
      <c r="L11" s="80" t="s">
        <v>146</v>
      </c>
    </row>
    <row r="12" spans="1:12" hidden="1" x14ac:dyDescent="0.25">
      <c r="A12" s="78">
        <v>42779</v>
      </c>
      <c r="B12" s="79" t="s">
        <v>147</v>
      </c>
      <c r="C12" s="79" t="s">
        <v>148</v>
      </c>
      <c r="D12" s="79" t="s">
        <v>0</v>
      </c>
      <c r="E12" s="79">
        <v>68427709</v>
      </c>
      <c r="F12" s="93">
        <v>370000</v>
      </c>
      <c r="G12" s="76" t="s">
        <v>113</v>
      </c>
      <c r="H12" s="79" t="s">
        <v>114</v>
      </c>
      <c r="I12" s="79" t="s">
        <v>133</v>
      </c>
      <c r="J12" s="76">
        <v>2018</v>
      </c>
      <c r="K12" s="79" t="s">
        <v>134</v>
      </c>
      <c r="L12" s="80" t="s">
        <v>149</v>
      </c>
    </row>
    <row r="13" spans="1:12" hidden="1" x14ac:dyDescent="0.25">
      <c r="A13" s="78">
        <v>42769</v>
      </c>
      <c r="B13" s="79" t="s">
        <v>150</v>
      </c>
      <c r="C13" s="79" t="s">
        <v>151</v>
      </c>
      <c r="D13" s="79" t="s">
        <v>0</v>
      </c>
      <c r="E13" s="79">
        <v>68427709</v>
      </c>
      <c r="F13" s="93">
        <v>100000</v>
      </c>
      <c r="G13" s="76" t="s">
        <v>113</v>
      </c>
      <c r="H13" s="79" t="s">
        <v>114</v>
      </c>
      <c r="I13" s="79" t="s">
        <v>133</v>
      </c>
      <c r="J13" s="76">
        <v>2018</v>
      </c>
      <c r="K13" s="79" t="s">
        <v>116</v>
      </c>
      <c r="L13" s="80" t="s">
        <v>152</v>
      </c>
    </row>
    <row r="14" spans="1:12" hidden="1" x14ac:dyDescent="0.25">
      <c r="A14" s="78">
        <v>42797</v>
      </c>
      <c r="B14" s="79" t="s">
        <v>153</v>
      </c>
      <c r="C14" s="79" t="s">
        <v>154</v>
      </c>
      <c r="D14" s="79" t="s">
        <v>0</v>
      </c>
      <c r="E14" s="79">
        <v>68427709</v>
      </c>
      <c r="F14" s="93">
        <v>31000</v>
      </c>
      <c r="G14" s="76" t="s">
        <v>113</v>
      </c>
      <c r="H14" s="79" t="s">
        <v>114</v>
      </c>
      <c r="I14" s="79" t="s">
        <v>128</v>
      </c>
      <c r="J14" s="76">
        <v>2018</v>
      </c>
      <c r="K14" s="79" t="s">
        <v>155</v>
      </c>
      <c r="L14" s="80" t="s">
        <v>156</v>
      </c>
    </row>
    <row r="15" spans="1:12" hidden="1" x14ac:dyDescent="0.25">
      <c r="A15" s="78">
        <v>42919</v>
      </c>
      <c r="B15" s="79" t="s">
        <v>157</v>
      </c>
      <c r="C15" s="79" t="s">
        <v>158</v>
      </c>
      <c r="D15" s="79" t="s">
        <v>127</v>
      </c>
      <c r="E15" s="79">
        <v>68427709</v>
      </c>
      <c r="F15" s="93">
        <v>10000</v>
      </c>
      <c r="G15" s="76" t="s">
        <v>113</v>
      </c>
      <c r="H15" s="79" t="s">
        <v>114</v>
      </c>
      <c r="I15" s="79" t="s">
        <v>128</v>
      </c>
      <c r="J15" s="76">
        <v>2018</v>
      </c>
      <c r="K15" s="79" t="s">
        <v>159</v>
      </c>
      <c r="L15" s="80" t="s">
        <v>160</v>
      </c>
    </row>
    <row r="16" spans="1:12" hidden="1" x14ac:dyDescent="0.25">
      <c r="A16" s="78">
        <v>42919</v>
      </c>
      <c r="B16" s="79" t="s">
        <v>161</v>
      </c>
      <c r="C16" s="79" t="s">
        <v>162</v>
      </c>
      <c r="D16" s="79" t="s">
        <v>0</v>
      </c>
      <c r="E16" s="79">
        <v>68427709</v>
      </c>
      <c r="F16" s="93">
        <v>0</v>
      </c>
      <c r="G16" s="76" t="s">
        <v>113</v>
      </c>
      <c r="H16" s="79" t="s">
        <v>114</v>
      </c>
      <c r="I16" s="79" t="s">
        <v>128</v>
      </c>
      <c r="J16" s="76">
        <v>2018</v>
      </c>
      <c r="K16" s="79" t="s">
        <v>163</v>
      </c>
      <c r="L16" s="80" t="s">
        <v>164</v>
      </c>
    </row>
    <row r="17" spans="1:12" hidden="1" x14ac:dyDescent="0.25">
      <c r="A17" s="78">
        <v>42803</v>
      </c>
      <c r="B17" s="79" t="s">
        <v>165</v>
      </c>
      <c r="C17" s="79" t="s">
        <v>166</v>
      </c>
      <c r="D17" s="79" t="s">
        <v>127</v>
      </c>
      <c r="E17" s="79">
        <v>68427709</v>
      </c>
      <c r="F17" s="93">
        <v>6000</v>
      </c>
      <c r="G17" s="76" t="s">
        <v>113</v>
      </c>
      <c r="H17" s="79" t="s">
        <v>114</v>
      </c>
      <c r="I17" s="79" t="s">
        <v>128</v>
      </c>
      <c r="J17" s="76">
        <v>2018</v>
      </c>
      <c r="K17" s="79" t="s">
        <v>167</v>
      </c>
      <c r="L17" s="80" t="s">
        <v>168</v>
      </c>
    </row>
    <row r="18" spans="1:12" hidden="1" x14ac:dyDescent="0.25">
      <c r="A18" s="78">
        <v>42824</v>
      </c>
      <c r="B18" s="79" t="s">
        <v>169</v>
      </c>
      <c r="C18" s="79" t="s">
        <v>170</v>
      </c>
      <c r="D18" s="79" t="s">
        <v>127</v>
      </c>
      <c r="E18" s="79">
        <v>68427709</v>
      </c>
      <c r="F18" s="93">
        <v>365000</v>
      </c>
      <c r="G18" s="76" t="s">
        <v>113</v>
      </c>
      <c r="H18" s="79" t="s">
        <v>114</v>
      </c>
      <c r="I18" s="79" t="s">
        <v>115</v>
      </c>
      <c r="J18" s="76">
        <v>2018</v>
      </c>
      <c r="K18" s="79" t="s">
        <v>171</v>
      </c>
      <c r="L18" s="80" t="s">
        <v>172</v>
      </c>
    </row>
    <row r="19" spans="1:12" hidden="1" x14ac:dyDescent="0.25">
      <c r="A19" s="78">
        <v>42824</v>
      </c>
      <c r="B19" s="79" t="s">
        <v>173</v>
      </c>
      <c r="C19" s="79" t="s">
        <v>174</v>
      </c>
      <c r="D19" s="79" t="s">
        <v>127</v>
      </c>
      <c r="E19" s="79">
        <v>68427709</v>
      </c>
      <c r="F19" s="93">
        <v>310000</v>
      </c>
      <c r="G19" s="76" t="s">
        <v>113</v>
      </c>
      <c r="H19" s="79" t="s">
        <v>114</v>
      </c>
      <c r="I19" s="79" t="s">
        <v>115</v>
      </c>
      <c r="J19" s="76">
        <v>2018</v>
      </c>
      <c r="K19" s="79" t="s">
        <v>175</v>
      </c>
      <c r="L19" s="80" t="s">
        <v>176</v>
      </c>
    </row>
    <row r="20" spans="1:12" hidden="1" x14ac:dyDescent="0.25">
      <c r="A20" s="78">
        <v>42824</v>
      </c>
      <c r="B20" s="79" t="s">
        <v>177</v>
      </c>
      <c r="C20" s="79" t="s">
        <v>178</v>
      </c>
      <c r="D20" s="79" t="s">
        <v>127</v>
      </c>
      <c r="E20" s="79">
        <v>68427709</v>
      </c>
      <c r="F20" s="93">
        <v>22000</v>
      </c>
      <c r="G20" s="76" t="s">
        <v>113</v>
      </c>
      <c r="H20" s="79" t="s">
        <v>114</v>
      </c>
      <c r="I20" s="79" t="s">
        <v>133</v>
      </c>
      <c r="J20" s="76">
        <v>2018</v>
      </c>
      <c r="K20" s="79" t="s">
        <v>179</v>
      </c>
      <c r="L20" s="80"/>
    </row>
    <row r="21" spans="1:12" hidden="1" x14ac:dyDescent="0.25">
      <c r="A21" s="78">
        <v>42824</v>
      </c>
      <c r="B21" s="79" t="s">
        <v>180</v>
      </c>
      <c r="C21" s="79" t="s">
        <v>181</v>
      </c>
      <c r="D21" s="79" t="s">
        <v>127</v>
      </c>
      <c r="E21" s="79">
        <v>68427709</v>
      </c>
      <c r="F21" s="93">
        <v>132500</v>
      </c>
      <c r="G21" s="76" t="s">
        <v>113</v>
      </c>
      <c r="H21" s="79" t="s">
        <v>114</v>
      </c>
      <c r="I21" s="79" t="s">
        <v>128</v>
      </c>
      <c r="J21" s="76">
        <v>2018</v>
      </c>
      <c r="K21" s="79" t="s">
        <v>175</v>
      </c>
      <c r="L21" s="80" t="s">
        <v>182</v>
      </c>
    </row>
    <row r="22" spans="1:12" hidden="1" x14ac:dyDescent="0.25">
      <c r="A22" s="78">
        <v>42824</v>
      </c>
      <c r="B22" s="79" t="s">
        <v>183</v>
      </c>
      <c r="C22" s="79" t="s">
        <v>181</v>
      </c>
      <c r="D22" s="79" t="s">
        <v>127</v>
      </c>
      <c r="E22" s="79">
        <v>68427709</v>
      </c>
      <c r="F22" s="93">
        <v>210000</v>
      </c>
      <c r="G22" s="76" t="s">
        <v>113</v>
      </c>
      <c r="H22" s="79" t="s">
        <v>114</v>
      </c>
      <c r="I22" s="79" t="s">
        <v>128</v>
      </c>
      <c r="J22" s="76">
        <v>2018</v>
      </c>
      <c r="K22" s="79" t="s">
        <v>175</v>
      </c>
      <c r="L22" s="80" t="s">
        <v>182</v>
      </c>
    </row>
    <row r="23" spans="1:12" hidden="1" x14ac:dyDescent="0.25">
      <c r="A23" s="78">
        <v>42824</v>
      </c>
      <c r="B23" s="79" t="s">
        <v>184</v>
      </c>
      <c r="C23" s="79" t="s">
        <v>181</v>
      </c>
      <c r="D23" s="79" t="s">
        <v>127</v>
      </c>
      <c r="E23" s="79">
        <v>68427709</v>
      </c>
      <c r="F23" s="93">
        <v>62500</v>
      </c>
      <c r="G23" s="76" t="s">
        <v>113</v>
      </c>
      <c r="H23" s="79" t="s">
        <v>114</v>
      </c>
      <c r="I23" s="79" t="s">
        <v>128</v>
      </c>
      <c r="J23" s="76">
        <v>2018</v>
      </c>
      <c r="K23" s="79" t="s">
        <v>175</v>
      </c>
      <c r="L23" s="80" t="s">
        <v>182</v>
      </c>
    </row>
    <row r="24" spans="1:12" hidden="1" x14ac:dyDescent="0.25">
      <c r="A24" s="78">
        <v>42824</v>
      </c>
      <c r="B24" s="79" t="s">
        <v>185</v>
      </c>
      <c r="C24" s="79" t="s">
        <v>178</v>
      </c>
      <c r="D24" s="79" t="s">
        <v>0</v>
      </c>
      <c r="E24" s="79">
        <v>68427709</v>
      </c>
      <c r="F24" s="93">
        <v>60000</v>
      </c>
      <c r="G24" s="76" t="s">
        <v>113</v>
      </c>
      <c r="H24" s="79" t="s">
        <v>114</v>
      </c>
      <c r="I24" s="79" t="s">
        <v>133</v>
      </c>
      <c r="J24" s="76">
        <v>2018</v>
      </c>
      <c r="K24" s="79" t="s">
        <v>186</v>
      </c>
      <c r="L24" s="80" t="s">
        <v>187</v>
      </c>
    </row>
    <row r="25" spans="1:12" hidden="1" x14ac:dyDescent="0.25">
      <c r="A25" s="78">
        <v>42824</v>
      </c>
      <c r="B25" s="79" t="s">
        <v>188</v>
      </c>
      <c r="C25" s="79" t="s">
        <v>189</v>
      </c>
      <c r="D25" s="79" t="s">
        <v>0</v>
      </c>
      <c r="E25" s="79">
        <v>68427709</v>
      </c>
      <c r="F25" s="93">
        <v>180000</v>
      </c>
      <c r="G25" s="76" t="s">
        <v>113</v>
      </c>
      <c r="H25" s="79" t="s">
        <v>114</v>
      </c>
      <c r="I25" s="79" t="s">
        <v>115</v>
      </c>
      <c r="J25" s="76">
        <v>2018</v>
      </c>
      <c r="K25" s="79" t="s">
        <v>186</v>
      </c>
      <c r="L25" s="80" t="s">
        <v>190</v>
      </c>
    </row>
    <row r="26" spans="1:12" hidden="1" x14ac:dyDescent="0.25">
      <c r="A26" s="78">
        <v>42830</v>
      </c>
      <c r="B26" s="79" t="s">
        <v>191</v>
      </c>
      <c r="C26" s="79" t="s">
        <v>192</v>
      </c>
      <c r="D26" s="79" t="s">
        <v>0</v>
      </c>
      <c r="E26" s="79">
        <v>68427709</v>
      </c>
      <c r="F26" s="93">
        <v>85000</v>
      </c>
      <c r="G26" s="76" t="s">
        <v>113</v>
      </c>
      <c r="H26" s="79" t="s">
        <v>114</v>
      </c>
      <c r="I26" s="79" t="s">
        <v>133</v>
      </c>
      <c r="J26" s="76">
        <v>2018</v>
      </c>
      <c r="K26" s="79" t="s">
        <v>193</v>
      </c>
      <c r="L26" s="80"/>
    </row>
    <row r="27" spans="1:12" hidden="1" x14ac:dyDescent="0.25">
      <c r="A27" s="78">
        <v>42836</v>
      </c>
      <c r="B27" s="79" t="s">
        <v>194</v>
      </c>
      <c r="C27" s="79" t="s">
        <v>195</v>
      </c>
      <c r="D27" s="79" t="s">
        <v>0</v>
      </c>
      <c r="E27" s="79">
        <v>68427709</v>
      </c>
      <c r="F27" s="93">
        <v>30000</v>
      </c>
      <c r="G27" s="76" t="s">
        <v>113</v>
      </c>
      <c r="H27" s="79" t="s">
        <v>114</v>
      </c>
      <c r="I27" s="79" t="s">
        <v>196</v>
      </c>
      <c r="J27" s="76">
        <v>2018</v>
      </c>
      <c r="K27" s="79" t="s">
        <v>197</v>
      </c>
      <c r="L27" s="80" t="s">
        <v>198</v>
      </c>
    </row>
    <row r="28" spans="1:12" hidden="1" x14ac:dyDescent="0.25">
      <c r="A28" s="78">
        <v>42850</v>
      </c>
      <c r="B28" s="79" t="s">
        <v>199</v>
      </c>
      <c r="C28" s="79" t="s">
        <v>200</v>
      </c>
      <c r="D28" s="79" t="s">
        <v>0</v>
      </c>
      <c r="E28" s="79">
        <v>68427709</v>
      </c>
      <c r="F28" s="93">
        <v>130000</v>
      </c>
      <c r="G28" s="76" t="s">
        <v>113</v>
      </c>
      <c r="H28" s="79" t="s">
        <v>114</v>
      </c>
      <c r="I28" s="79" t="s">
        <v>201</v>
      </c>
      <c r="J28" s="76">
        <v>2018</v>
      </c>
      <c r="K28" s="79" t="s">
        <v>186</v>
      </c>
      <c r="L28" s="80" t="s">
        <v>202</v>
      </c>
    </row>
    <row r="29" spans="1:12" hidden="1" x14ac:dyDescent="0.25">
      <c r="A29" s="78">
        <v>42851</v>
      </c>
      <c r="B29" s="79" t="s">
        <v>203</v>
      </c>
      <c r="C29" s="79" t="s">
        <v>181</v>
      </c>
      <c r="D29" s="79" t="s">
        <v>0</v>
      </c>
      <c r="E29" s="79">
        <v>68427709</v>
      </c>
      <c r="F29" s="93">
        <v>10000</v>
      </c>
      <c r="G29" s="76" t="s">
        <v>113</v>
      </c>
      <c r="H29" s="79" t="s">
        <v>114</v>
      </c>
      <c r="I29" s="79" t="s">
        <v>204</v>
      </c>
      <c r="J29" s="76">
        <v>2018</v>
      </c>
      <c r="K29" s="79" t="s">
        <v>186</v>
      </c>
      <c r="L29" s="80" t="s">
        <v>205</v>
      </c>
    </row>
    <row r="30" spans="1:12" hidden="1" x14ac:dyDescent="0.25">
      <c r="A30" s="78">
        <v>42513</v>
      </c>
      <c r="B30" s="79" t="s">
        <v>206</v>
      </c>
      <c r="C30" s="79" t="s">
        <v>207</v>
      </c>
      <c r="D30" s="79"/>
      <c r="E30" s="79">
        <v>68427709</v>
      </c>
      <c r="F30" s="93">
        <v>20000</v>
      </c>
      <c r="G30" s="76" t="s">
        <v>113</v>
      </c>
      <c r="H30" s="79" t="s">
        <v>114</v>
      </c>
      <c r="I30" s="79" t="s">
        <v>128</v>
      </c>
      <c r="J30" s="76">
        <v>2018</v>
      </c>
      <c r="K30" s="79" t="s">
        <v>163</v>
      </c>
      <c r="L30" s="80"/>
    </row>
    <row r="31" spans="1:12" hidden="1" x14ac:dyDescent="0.25">
      <c r="A31" s="78">
        <v>42879</v>
      </c>
      <c r="B31" s="79" t="s">
        <v>208</v>
      </c>
      <c r="C31" s="79" t="s">
        <v>178</v>
      </c>
      <c r="D31" s="79" t="s">
        <v>0</v>
      </c>
      <c r="E31" s="79">
        <v>68427709</v>
      </c>
      <c r="F31" s="93">
        <v>40000</v>
      </c>
      <c r="G31" s="76" t="s">
        <v>113</v>
      </c>
      <c r="H31" s="79" t="s">
        <v>209</v>
      </c>
      <c r="I31" s="79" t="s">
        <v>133</v>
      </c>
      <c r="J31" s="76">
        <v>2018</v>
      </c>
      <c r="K31" s="79" t="s">
        <v>197</v>
      </c>
      <c r="L31" s="80" t="s">
        <v>210</v>
      </c>
    </row>
    <row r="32" spans="1:12" hidden="1" x14ac:dyDescent="0.25">
      <c r="A32" s="78">
        <v>42879</v>
      </c>
      <c r="B32" s="79" t="s">
        <v>211</v>
      </c>
      <c r="C32" s="79" t="s">
        <v>178</v>
      </c>
      <c r="D32" s="79" t="s">
        <v>0</v>
      </c>
      <c r="E32" s="79">
        <v>68427709</v>
      </c>
      <c r="F32" s="93">
        <v>200000</v>
      </c>
      <c r="G32" s="76" t="s">
        <v>113</v>
      </c>
      <c r="H32" s="79" t="s">
        <v>114</v>
      </c>
      <c r="I32" s="79" t="s">
        <v>133</v>
      </c>
      <c r="J32" s="76">
        <v>2018</v>
      </c>
      <c r="K32" s="79" t="s">
        <v>212</v>
      </c>
      <c r="L32" s="80" t="s">
        <v>213</v>
      </c>
    </row>
    <row r="33" spans="1:12" hidden="1" x14ac:dyDescent="0.25">
      <c r="A33" s="78">
        <v>42879</v>
      </c>
      <c r="B33" s="79" t="s">
        <v>211</v>
      </c>
      <c r="C33" s="79" t="s">
        <v>214</v>
      </c>
      <c r="D33" s="79" t="s">
        <v>0</v>
      </c>
      <c r="E33" s="79">
        <v>68427709</v>
      </c>
      <c r="F33" s="93">
        <v>13600</v>
      </c>
      <c r="G33" s="76" t="s">
        <v>113</v>
      </c>
      <c r="H33" s="79" t="s">
        <v>114</v>
      </c>
      <c r="I33" s="79" t="s">
        <v>215</v>
      </c>
      <c r="J33" s="76">
        <v>2018</v>
      </c>
      <c r="K33" s="79" t="s">
        <v>212</v>
      </c>
      <c r="L33" s="80" t="s">
        <v>216</v>
      </c>
    </row>
    <row r="34" spans="1:12" hidden="1" x14ac:dyDescent="0.25">
      <c r="A34" s="78">
        <v>42884</v>
      </c>
      <c r="B34" s="79" t="s">
        <v>217</v>
      </c>
      <c r="C34" s="79" t="s">
        <v>181</v>
      </c>
      <c r="D34" s="79" t="s">
        <v>0</v>
      </c>
      <c r="E34" s="79">
        <v>68427709</v>
      </c>
      <c r="F34" s="93">
        <v>70000</v>
      </c>
      <c r="G34" s="76" t="s">
        <v>113</v>
      </c>
      <c r="H34" s="79" t="s">
        <v>114</v>
      </c>
      <c r="I34" s="79" t="s">
        <v>128</v>
      </c>
      <c r="J34" s="76">
        <v>2018</v>
      </c>
      <c r="K34" s="79" t="s">
        <v>171</v>
      </c>
      <c r="L34" s="80" t="s">
        <v>218</v>
      </c>
    </row>
    <row r="35" spans="1:12" hidden="1" x14ac:dyDescent="0.25">
      <c r="A35" s="78">
        <v>42884</v>
      </c>
      <c r="B35" s="79" t="s">
        <v>219</v>
      </c>
      <c r="C35" s="79" t="s">
        <v>220</v>
      </c>
      <c r="D35" s="79" t="s">
        <v>0</v>
      </c>
      <c r="E35" s="79">
        <v>68427709</v>
      </c>
      <c r="F35" s="93">
        <v>-30000</v>
      </c>
      <c r="G35" s="76" t="s">
        <v>113</v>
      </c>
      <c r="H35" s="79" t="s">
        <v>114</v>
      </c>
      <c r="I35" s="79" t="s">
        <v>133</v>
      </c>
      <c r="J35" s="76">
        <v>2018</v>
      </c>
      <c r="K35" s="79"/>
      <c r="L35" s="80" t="s">
        <v>221</v>
      </c>
    </row>
    <row r="36" spans="1:12" hidden="1" x14ac:dyDescent="0.25">
      <c r="A36" s="78">
        <v>42884</v>
      </c>
      <c r="B36" s="79" t="s">
        <v>222</v>
      </c>
      <c r="C36" s="79" t="s">
        <v>223</v>
      </c>
      <c r="D36" s="79" t="s">
        <v>0</v>
      </c>
      <c r="E36" s="79">
        <v>68427709</v>
      </c>
      <c r="F36" s="93">
        <v>20000</v>
      </c>
      <c r="G36" s="76" t="s">
        <v>113</v>
      </c>
      <c r="H36" s="79" t="s">
        <v>114</v>
      </c>
      <c r="I36" s="79" t="s">
        <v>133</v>
      </c>
      <c r="J36" s="76">
        <v>2018</v>
      </c>
      <c r="K36" s="79"/>
      <c r="L36" s="80" t="s">
        <v>224</v>
      </c>
    </row>
    <row r="37" spans="1:12" hidden="1" x14ac:dyDescent="0.25">
      <c r="A37" s="78">
        <v>42953</v>
      </c>
      <c r="B37" s="22" t="s">
        <v>225</v>
      </c>
      <c r="C37" s="22" t="s">
        <v>226</v>
      </c>
      <c r="D37" s="22" t="s">
        <v>0</v>
      </c>
      <c r="E37" s="22">
        <v>68427709</v>
      </c>
      <c r="F37" s="93">
        <v>21000</v>
      </c>
      <c r="G37" s="76" t="s">
        <v>113</v>
      </c>
      <c r="H37" s="79" t="s">
        <v>114</v>
      </c>
      <c r="I37" s="79" t="s">
        <v>128</v>
      </c>
      <c r="J37" s="76">
        <v>2018</v>
      </c>
      <c r="K37" s="79" t="s">
        <v>227</v>
      </c>
      <c r="L37" s="80" t="s">
        <v>228</v>
      </c>
    </row>
    <row r="38" spans="1:12" hidden="1" x14ac:dyDescent="0.25">
      <c r="A38" s="81">
        <v>42953</v>
      </c>
      <c r="B38" s="79" t="s">
        <v>229</v>
      </c>
      <c r="C38" s="79" t="s">
        <v>226</v>
      </c>
      <c r="D38" s="79" t="s">
        <v>127</v>
      </c>
      <c r="E38" s="79">
        <v>68427709</v>
      </c>
      <c r="F38" s="93">
        <v>12000</v>
      </c>
      <c r="G38" s="76" t="s">
        <v>113</v>
      </c>
      <c r="H38" s="79" t="s">
        <v>114</v>
      </c>
      <c r="I38" s="79" t="s">
        <v>128</v>
      </c>
      <c r="J38" s="76">
        <v>2018</v>
      </c>
      <c r="K38" s="79" t="s">
        <v>230</v>
      </c>
      <c r="L38" s="79" t="s">
        <v>231</v>
      </c>
    </row>
    <row r="39" spans="1:12" hidden="1" x14ac:dyDescent="0.25">
      <c r="A39" s="82">
        <v>42905</v>
      </c>
      <c r="B39" s="79" t="s">
        <v>232</v>
      </c>
      <c r="C39" s="79" t="s">
        <v>233</v>
      </c>
      <c r="D39" s="79" t="s">
        <v>0</v>
      </c>
      <c r="E39" s="79">
        <v>68427709</v>
      </c>
      <c r="F39" s="93">
        <v>5000</v>
      </c>
      <c r="G39" s="76" t="s">
        <v>113</v>
      </c>
      <c r="H39" s="79" t="s">
        <v>114</v>
      </c>
      <c r="I39" s="79" t="s">
        <v>128</v>
      </c>
      <c r="J39" s="76">
        <v>2018</v>
      </c>
      <c r="K39" s="79" t="s">
        <v>234</v>
      </c>
      <c r="L39" s="79" t="s">
        <v>235</v>
      </c>
    </row>
    <row r="40" spans="1:12" hidden="1" x14ac:dyDescent="0.25">
      <c r="A40" s="82">
        <v>42913</v>
      </c>
      <c r="B40" s="79" t="s">
        <v>236</v>
      </c>
      <c r="C40" s="79" t="s">
        <v>237</v>
      </c>
      <c r="D40" s="79" t="s">
        <v>0</v>
      </c>
      <c r="E40" s="79">
        <v>68427709</v>
      </c>
      <c r="F40" s="93">
        <v>130000</v>
      </c>
      <c r="G40" s="76" t="s">
        <v>113</v>
      </c>
      <c r="H40" s="79" t="s">
        <v>114</v>
      </c>
      <c r="I40" s="79" t="s">
        <v>128</v>
      </c>
      <c r="J40" s="76">
        <v>2018</v>
      </c>
      <c r="K40" s="79" t="s">
        <v>238</v>
      </c>
      <c r="L40" s="79" t="s">
        <v>239</v>
      </c>
    </row>
    <row r="41" spans="1:12" hidden="1" x14ac:dyDescent="0.25">
      <c r="A41" s="82">
        <v>42913</v>
      </c>
      <c r="B41" s="79" t="s">
        <v>240</v>
      </c>
      <c r="C41" s="79" t="s">
        <v>241</v>
      </c>
      <c r="D41" s="79"/>
      <c r="E41" s="79">
        <v>68427709</v>
      </c>
      <c r="F41" s="93">
        <v>120000</v>
      </c>
      <c r="G41" s="76" t="s">
        <v>113</v>
      </c>
      <c r="H41" s="79" t="s">
        <v>114</v>
      </c>
      <c r="I41" s="79" t="s">
        <v>128</v>
      </c>
      <c r="J41" s="76">
        <v>2018</v>
      </c>
      <c r="K41" s="79" t="s">
        <v>242</v>
      </c>
      <c r="L41" s="79" t="s">
        <v>243</v>
      </c>
    </row>
    <row r="42" spans="1:12" hidden="1" x14ac:dyDescent="0.25">
      <c r="A42" s="82">
        <v>42913</v>
      </c>
      <c r="B42" s="79" t="s">
        <v>244</v>
      </c>
      <c r="C42" s="79" t="s">
        <v>245</v>
      </c>
      <c r="D42" s="79" t="s">
        <v>0</v>
      </c>
      <c r="E42" s="79">
        <v>68427709</v>
      </c>
      <c r="F42" s="93">
        <v>372000</v>
      </c>
      <c r="G42" s="76" t="s">
        <v>113</v>
      </c>
      <c r="H42" s="79" t="s">
        <v>114</v>
      </c>
      <c r="I42" s="79" t="s">
        <v>115</v>
      </c>
      <c r="J42" s="76">
        <v>2018</v>
      </c>
      <c r="K42" s="79" t="s">
        <v>246</v>
      </c>
      <c r="L42" s="79"/>
    </row>
    <row r="43" spans="1:12" hidden="1" x14ac:dyDescent="0.25">
      <c r="A43" s="82">
        <v>42913</v>
      </c>
      <c r="B43" s="79" t="s">
        <v>244</v>
      </c>
      <c r="C43" s="79" t="s">
        <v>247</v>
      </c>
      <c r="D43" s="79" t="s">
        <v>0</v>
      </c>
      <c r="E43" s="79">
        <v>68427709</v>
      </c>
      <c r="F43" s="93">
        <v>34000</v>
      </c>
      <c r="G43" s="76" t="s">
        <v>113</v>
      </c>
      <c r="H43" s="79" t="s">
        <v>114</v>
      </c>
      <c r="I43" s="79" t="s">
        <v>248</v>
      </c>
      <c r="J43" s="76">
        <v>2018</v>
      </c>
      <c r="K43" s="79" t="s">
        <v>246</v>
      </c>
      <c r="L43" s="79"/>
    </row>
    <row r="44" spans="1:12" hidden="1" x14ac:dyDescent="0.25">
      <c r="A44" s="82">
        <v>42921</v>
      </c>
      <c r="B44" s="79" t="s">
        <v>249</v>
      </c>
      <c r="C44" s="79" t="s">
        <v>250</v>
      </c>
      <c r="D44" s="79" t="s">
        <v>0</v>
      </c>
      <c r="E44" s="79">
        <v>68427709</v>
      </c>
      <c r="F44" s="93">
        <v>26000</v>
      </c>
      <c r="G44" s="76" t="s">
        <v>113</v>
      </c>
      <c r="H44" s="79" t="s">
        <v>251</v>
      </c>
      <c r="I44" s="79" t="s">
        <v>128</v>
      </c>
      <c r="J44" s="76">
        <v>2018</v>
      </c>
      <c r="K44" s="79" t="s">
        <v>252</v>
      </c>
      <c r="L44" s="79" t="s">
        <v>253</v>
      </c>
    </row>
    <row r="45" spans="1:12" hidden="1" x14ac:dyDescent="0.25">
      <c r="A45" s="82">
        <v>42921</v>
      </c>
      <c r="B45" s="79" t="s">
        <v>254</v>
      </c>
      <c r="C45" s="79" t="s">
        <v>255</v>
      </c>
      <c r="D45" s="79"/>
      <c r="E45" s="79">
        <v>68427709</v>
      </c>
      <c r="F45" s="93">
        <v>-11000</v>
      </c>
      <c r="G45" s="76" t="s">
        <v>113</v>
      </c>
      <c r="H45" s="79" t="s">
        <v>114</v>
      </c>
      <c r="I45" s="79" t="s">
        <v>115</v>
      </c>
      <c r="J45" s="76">
        <v>2018</v>
      </c>
      <c r="K45" s="79" t="s">
        <v>252</v>
      </c>
      <c r="L45" s="79" t="s">
        <v>256</v>
      </c>
    </row>
    <row r="46" spans="1:12" hidden="1" x14ac:dyDescent="0.25">
      <c r="A46" s="82">
        <v>42921</v>
      </c>
      <c r="B46" s="79" t="s">
        <v>257</v>
      </c>
      <c r="C46" s="79" t="s">
        <v>258</v>
      </c>
      <c r="D46" s="79" t="s">
        <v>0</v>
      </c>
      <c r="E46" s="79">
        <v>68427709</v>
      </c>
      <c r="F46" s="93">
        <v>11000</v>
      </c>
      <c r="G46" s="76" t="s">
        <v>113</v>
      </c>
      <c r="H46" s="79" t="s">
        <v>114</v>
      </c>
      <c r="I46" s="79" t="s">
        <v>128</v>
      </c>
      <c r="J46" s="76">
        <v>2018</v>
      </c>
      <c r="K46" s="79" t="s">
        <v>259</v>
      </c>
      <c r="L46" s="79" t="s">
        <v>260</v>
      </c>
    </row>
    <row r="47" spans="1:12" hidden="1" x14ac:dyDescent="0.25">
      <c r="A47" s="82">
        <v>42923</v>
      </c>
      <c r="B47" s="79" t="s">
        <v>261</v>
      </c>
      <c r="C47" s="79" t="s">
        <v>262</v>
      </c>
      <c r="D47" s="79" t="s">
        <v>0</v>
      </c>
      <c r="E47" s="79">
        <v>68427709</v>
      </c>
      <c r="F47" s="93">
        <v>-25000</v>
      </c>
      <c r="G47" s="79" t="s">
        <v>113</v>
      </c>
      <c r="H47" s="79" t="s">
        <v>114</v>
      </c>
      <c r="I47" s="79" t="s">
        <v>128</v>
      </c>
      <c r="J47" s="76">
        <v>2018</v>
      </c>
      <c r="K47" s="79" t="s">
        <v>263</v>
      </c>
      <c r="L47" s="79" t="s">
        <v>264</v>
      </c>
    </row>
    <row r="48" spans="1:12" hidden="1" x14ac:dyDescent="0.25">
      <c r="A48" s="82">
        <v>42923</v>
      </c>
      <c r="B48" s="79" t="s">
        <v>265</v>
      </c>
      <c r="C48" s="79" t="s">
        <v>262</v>
      </c>
      <c r="D48" s="79" t="s">
        <v>0</v>
      </c>
      <c r="E48" s="79">
        <v>68427709</v>
      </c>
      <c r="F48" s="93">
        <v>16000</v>
      </c>
      <c r="G48" s="79" t="s">
        <v>113</v>
      </c>
      <c r="H48" s="79" t="s">
        <v>114</v>
      </c>
      <c r="I48" s="79" t="s">
        <v>128</v>
      </c>
      <c r="J48" s="76">
        <v>2018</v>
      </c>
      <c r="K48" s="79" t="s">
        <v>263</v>
      </c>
      <c r="L48" s="79" t="s">
        <v>266</v>
      </c>
    </row>
    <row r="49" spans="1:12" hidden="1" x14ac:dyDescent="0.25">
      <c r="A49" s="82">
        <v>42923</v>
      </c>
      <c r="B49" s="79" t="s">
        <v>267</v>
      </c>
      <c r="C49" s="79" t="s">
        <v>262</v>
      </c>
      <c r="D49" s="79" t="s">
        <v>0</v>
      </c>
      <c r="E49" s="79">
        <v>68427709</v>
      </c>
      <c r="F49" s="93">
        <v>6000</v>
      </c>
      <c r="G49" s="79" t="s">
        <v>113</v>
      </c>
      <c r="H49" s="79" t="s">
        <v>114</v>
      </c>
      <c r="I49" s="79" t="s">
        <v>128</v>
      </c>
      <c r="J49" s="76">
        <v>2018</v>
      </c>
      <c r="K49" s="79"/>
      <c r="L49" s="79" t="s">
        <v>268</v>
      </c>
    </row>
    <row r="50" spans="1:12" hidden="1" x14ac:dyDescent="0.25">
      <c r="A50" s="82">
        <v>42923</v>
      </c>
      <c r="B50" s="79" t="s">
        <v>269</v>
      </c>
      <c r="C50" s="79" t="s">
        <v>270</v>
      </c>
      <c r="D50" s="79"/>
      <c r="E50" s="79">
        <v>68427709</v>
      </c>
      <c r="F50" s="93">
        <v>-75000</v>
      </c>
      <c r="G50" s="79" t="s">
        <v>113</v>
      </c>
      <c r="H50" s="79" t="s">
        <v>114</v>
      </c>
      <c r="I50" s="79" t="s">
        <v>128</v>
      </c>
      <c r="J50" s="76">
        <v>2018</v>
      </c>
      <c r="K50" s="79" t="s">
        <v>263</v>
      </c>
      <c r="L50" s="79" t="s">
        <v>271</v>
      </c>
    </row>
    <row r="51" spans="1:12" hidden="1" x14ac:dyDescent="0.25">
      <c r="A51" s="82">
        <v>42923</v>
      </c>
      <c r="B51" s="79" t="s">
        <v>250</v>
      </c>
      <c r="C51" s="79" t="s">
        <v>262</v>
      </c>
      <c r="D51" s="79" t="s">
        <v>0</v>
      </c>
      <c r="E51" s="79">
        <v>68427709</v>
      </c>
      <c r="F51" s="93">
        <v>15000</v>
      </c>
      <c r="G51" s="79" t="s">
        <v>113</v>
      </c>
      <c r="H51" s="79" t="s">
        <v>114</v>
      </c>
      <c r="I51" s="79" t="s">
        <v>204</v>
      </c>
      <c r="J51" s="76">
        <v>2018</v>
      </c>
      <c r="K51" s="79" t="s">
        <v>252</v>
      </c>
      <c r="L51" s="79" t="s">
        <v>272</v>
      </c>
    </row>
    <row r="52" spans="1:12" hidden="1" x14ac:dyDescent="0.25">
      <c r="A52" s="82">
        <v>42923</v>
      </c>
      <c r="B52" s="79" t="s">
        <v>273</v>
      </c>
      <c r="C52" s="79" t="s">
        <v>274</v>
      </c>
      <c r="D52" s="79" t="s">
        <v>0</v>
      </c>
      <c r="E52" s="79">
        <v>68427709</v>
      </c>
      <c r="F52" s="93">
        <v>54000</v>
      </c>
      <c r="G52" s="79" t="s">
        <v>113</v>
      </c>
      <c r="H52" s="79" t="s">
        <v>114</v>
      </c>
      <c r="I52" s="79" t="s">
        <v>128</v>
      </c>
      <c r="J52" s="76">
        <v>2018</v>
      </c>
      <c r="K52" s="79" t="s">
        <v>238</v>
      </c>
      <c r="L52" s="79"/>
    </row>
    <row r="53" spans="1:12" hidden="1" x14ac:dyDescent="0.25">
      <c r="A53" s="82">
        <v>42926</v>
      </c>
      <c r="B53" s="79" t="s">
        <v>135</v>
      </c>
      <c r="C53" s="79" t="s">
        <v>262</v>
      </c>
      <c r="D53" s="79" t="s">
        <v>0</v>
      </c>
      <c r="E53" s="79">
        <v>68427709</v>
      </c>
      <c r="F53" s="93">
        <v>105000</v>
      </c>
      <c r="G53" s="79" t="s">
        <v>113</v>
      </c>
      <c r="H53" s="79" t="s">
        <v>114</v>
      </c>
      <c r="I53" s="79" t="s">
        <v>128</v>
      </c>
      <c r="J53" s="76">
        <v>2018</v>
      </c>
      <c r="K53" s="79" t="s">
        <v>275</v>
      </c>
      <c r="L53" s="79" t="s">
        <v>276</v>
      </c>
    </row>
    <row r="54" spans="1:12" hidden="1" x14ac:dyDescent="0.25">
      <c r="A54" s="82">
        <v>42926</v>
      </c>
      <c r="B54" s="79" t="s">
        <v>277</v>
      </c>
      <c r="C54" s="79" t="s">
        <v>278</v>
      </c>
      <c r="D54" s="79" t="s">
        <v>127</v>
      </c>
      <c r="E54" s="79">
        <v>68427709</v>
      </c>
      <c r="F54" s="93">
        <v>60000</v>
      </c>
      <c r="G54" s="79" t="s">
        <v>113</v>
      </c>
      <c r="H54" s="79" t="s">
        <v>114</v>
      </c>
      <c r="I54" s="79" t="s">
        <v>128</v>
      </c>
      <c r="J54" s="76">
        <v>2018</v>
      </c>
      <c r="K54" s="79" t="s">
        <v>279</v>
      </c>
      <c r="L54" s="79" t="s">
        <v>280</v>
      </c>
    </row>
    <row r="55" spans="1:12" hidden="1" x14ac:dyDescent="0.25">
      <c r="A55" s="82">
        <v>42928</v>
      </c>
      <c r="B55" s="79" t="s">
        <v>281</v>
      </c>
      <c r="C55" s="79" t="s">
        <v>262</v>
      </c>
      <c r="D55" s="79" t="s">
        <v>127</v>
      </c>
      <c r="E55" s="79">
        <v>68427709</v>
      </c>
      <c r="F55" s="93">
        <v>5500</v>
      </c>
      <c r="G55" s="79" t="s">
        <v>113</v>
      </c>
      <c r="H55" s="79" t="s">
        <v>114</v>
      </c>
      <c r="I55" s="79" t="s">
        <v>128</v>
      </c>
      <c r="J55" s="76">
        <v>2018</v>
      </c>
      <c r="K55" s="79" t="s">
        <v>171</v>
      </c>
      <c r="L55" s="79" t="s">
        <v>282</v>
      </c>
    </row>
    <row r="56" spans="1:12" hidden="1" x14ac:dyDescent="0.25">
      <c r="A56" s="82">
        <v>42928</v>
      </c>
      <c r="B56" s="79" t="s">
        <v>283</v>
      </c>
      <c r="C56" s="79" t="s">
        <v>262</v>
      </c>
      <c r="D56" s="79" t="s">
        <v>127</v>
      </c>
      <c r="E56" s="79">
        <v>68427709</v>
      </c>
      <c r="F56" s="93">
        <v>40000</v>
      </c>
      <c r="G56" s="79" t="s">
        <v>113</v>
      </c>
      <c r="H56" s="79" t="s">
        <v>114</v>
      </c>
      <c r="I56" s="79" t="s">
        <v>128</v>
      </c>
      <c r="J56" s="76">
        <v>2018</v>
      </c>
      <c r="K56" s="79" t="s">
        <v>171</v>
      </c>
      <c r="L56" s="79" t="s">
        <v>282</v>
      </c>
    </row>
    <row r="57" spans="1:12" hidden="1" x14ac:dyDescent="0.25">
      <c r="A57" s="82">
        <v>42928</v>
      </c>
      <c r="B57" s="79" t="s">
        <v>284</v>
      </c>
      <c r="C57" s="79" t="s">
        <v>262</v>
      </c>
      <c r="D57" s="79" t="s">
        <v>127</v>
      </c>
      <c r="E57" s="79">
        <v>68427709</v>
      </c>
      <c r="F57" s="93">
        <v>25000</v>
      </c>
      <c r="G57" s="79" t="s">
        <v>113</v>
      </c>
      <c r="H57" s="79" t="s">
        <v>114</v>
      </c>
      <c r="I57" s="79" t="s">
        <v>128</v>
      </c>
      <c r="J57" s="76">
        <v>2018</v>
      </c>
      <c r="K57" s="79" t="s">
        <v>171</v>
      </c>
      <c r="L57" s="79"/>
    </row>
    <row r="58" spans="1:12" hidden="1" x14ac:dyDescent="0.25">
      <c r="A58" s="82">
        <v>42928</v>
      </c>
      <c r="B58" s="79" t="s">
        <v>285</v>
      </c>
      <c r="C58" s="79" t="s">
        <v>262</v>
      </c>
      <c r="D58" s="79"/>
      <c r="E58" s="79">
        <v>68427709</v>
      </c>
      <c r="F58" s="93">
        <v>300000</v>
      </c>
      <c r="G58" s="79" t="s">
        <v>113</v>
      </c>
      <c r="H58" s="79" t="s">
        <v>114</v>
      </c>
      <c r="I58" s="79" t="s">
        <v>128</v>
      </c>
      <c r="J58" s="76">
        <v>2018</v>
      </c>
      <c r="K58" s="79" t="s">
        <v>171</v>
      </c>
      <c r="L58" s="79"/>
    </row>
    <row r="59" spans="1:12" hidden="1" x14ac:dyDescent="0.25">
      <c r="A59" s="82">
        <v>42928</v>
      </c>
      <c r="B59" s="79" t="s">
        <v>286</v>
      </c>
      <c r="C59" s="79" t="s">
        <v>262</v>
      </c>
      <c r="D59" s="79"/>
      <c r="E59" s="79">
        <v>68427709</v>
      </c>
      <c r="F59" s="93">
        <v>-15000</v>
      </c>
      <c r="G59" s="79" t="s">
        <v>113</v>
      </c>
      <c r="H59" s="79" t="s">
        <v>114</v>
      </c>
      <c r="I59" s="79" t="s">
        <v>128</v>
      </c>
      <c r="J59" s="76">
        <v>2018</v>
      </c>
      <c r="K59" s="79" t="s">
        <v>193</v>
      </c>
      <c r="L59" s="79" t="s">
        <v>287</v>
      </c>
    </row>
    <row r="60" spans="1:12" hidden="1" x14ac:dyDescent="0.25">
      <c r="A60" s="82">
        <v>42928</v>
      </c>
      <c r="B60" s="79" t="s">
        <v>288</v>
      </c>
      <c r="C60" s="79" t="s">
        <v>289</v>
      </c>
      <c r="D60" s="79"/>
      <c r="E60" s="79">
        <v>68427709</v>
      </c>
      <c r="F60" s="93">
        <v>-60000</v>
      </c>
      <c r="G60" s="79" t="s">
        <v>113</v>
      </c>
      <c r="H60" s="79" t="s">
        <v>114</v>
      </c>
      <c r="I60" s="79" t="s">
        <v>128</v>
      </c>
      <c r="J60" s="76">
        <v>2018</v>
      </c>
      <c r="K60" s="79" t="s">
        <v>290</v>
      </c>
      <c r="L60" s="79" t="s">
        <v>291</v>
      </c>
    </row>
    <row r="61" spans="1:12" hidden="1" x14ac:dyDescent="0.25">
      <c r="A61" s="82">
        <v>42928</v>
      </c>
      <c r="B61" s="79" t="s">
        <v>292</v>
      </c>
      <c r="C61" s="79" t="s">
        <v>293</v>
      </c>
      <c r="D61" s="79"/>
      <c r="E61" s="79">
        <v>68427709</v>
      </c>
      <c r="F61" s="93">
        <v>50000</v>
      </c>
      <c r="G61" s="79" t="s">
        <v>113</v>
      </c>
      <c r="H61" s="79" t="s">
        <v>114</v>
      </c>
      <c r="I61" s="79" t="s">
        <v>115</v>
      </c>
      <c r="J61" s="76">
        <v>2018</v>
      </c>
      <c r="K61" s="79" t="s">
        <v>197</v>
      </c>
      <c r="L61" s="79" t="s">
        <v>294</v>
      </c>
    </row>
    <row r="62" spans="1:12" hidden="1" x14ac:dyDescent="0.25">
      <c r="A62" s="82">
        <v>42930</v>
      </c>
      <c r="B62" s="79" t="s">
        <v>295</v>
      </c>
      <c r="C62" s="79" t="s">
        <v>296</v>
      </c>
      <c r="D62" s="79"/>
      <c r="E62" s="79">
        <v>68427709</v>
      </c>
      <c r="F62" s="93">
        <v>1500</v>
      </c>
      <c r="G62" s="79" t="s">
        <v>113</v>
      </c>
      <c r="H62" s="79" t="s">
        <v>114</v>
      </c>
      <c r="I62" s="79" t="s">
        <v>128</v>
      </c>
      <c r="J62" s="76">
        <v>2018</v>
      </c>
      <c r="K62" s="79" t="s">
        <v>297</v>
      </c>
      <c r="L62" s="79" t="s">
        <v>298</v>
      </c>
    </row>
    <row r="63" spans="1:12" hidden="1" x14ac:dyDescent="0.25">
      <c r="A63" s="82">
        <v>42940</v>
      </c>
      <c r="B63" s="79" t="s">
        <v>299</v>
      </c>
      <c r="C63" s="79" t="s">
        <v>300</v>
      </c>
      <c r="D63" s="79"/>
      <c r="E63" s="79">
        <v>68427709</v>
      </c>
      <c r="F63" s="93">
        <v>30000</v>
      </c>
      <c r="G63" s="79" t="s">
        <v>113</v>
      </c>
      <c r="H63" s="79" t="s">
        <v>114</v>
      </c>
      <c r="I63" s="79" t="s">
        <v>128</v>
      </c>
      <c r="J63" s="76">
        <v>2018</v>
      </c>
      <c r="K63" s="79" t="s">
        <v>252</v>
      </c>
      <c r="L63" s="79"/>
    </row>
    <row r="64" spans="1:12" hidden="1" x14ac:dyDescent="0.25">
      <c r="A64" s="82">
        <v>42944</v>
      </c>
      <c r="B64" s="79" t="s">
        <v>301</v>
      </c>
      <c r="C64" s="79" t="s">
        <v>262</v>
      </c>
      <c r="D64" s="79" t="s">
        <v>0</v>
      </c>
      <c r="E64" s="79">
        <v>68427709</v>
      </c>
      <c r="F64" s="93">
        <v>870000</v>
      </c>
      <c r="G64" s="79" t="s">
        <v>302</v>
      </c>
      <c r="H64" s="79" t="s">
        <v>114</v>
      </c>
      <c r="I64" s="79" t="s">
        <v>128</v>
      </c>
      <c r="J64" s="76">
        <v>2018</v>
      </c>
      <c r="K64" s="79" t="s">
        <v>303</v>
      </c>
      <c r="L64" s="79" t="s">
        <v>304</v>
      </c>
    </row>
    <row r="65" spans="1:12" hidden="1" x14ac:dyDescent="0.25">
      <c r="A65" s="82">
        <v>42944</v>
      </c>
      <c r="B65" s="79" t="s">
        <v>305</v>
      </c>
      <c r="C65" s="79" t="s">
        <v>262</v>
      </c>
      <c r="D65" s="79" t="s">
        <v>0</v>
      </c>
      <c r="E65" s="79">
        <v>68427709</v>
      </c>
      <c r="F65" s="93">
        <v>260000</v>
      </c>
      <c r="G65" s="79" t="s">
        <v>302</v>
      </c>
      <c r="H65" s="79" t="s">
        <v>114</v>
      </c>
      <c r="I65" s="79" t="s">
        <v>128</v>
      </c>
      <c r="J65" s="76">
        <v>2018</v>
      </c>
      <c r="K65" s="79" t="s">
        <v>303</v>
      </c>
      <c r="L65" s="79" t="s">
        <v>304</v>
      </c>
    </row>
    <row r="66" spans="1:12" hidden="1" x14ac:dyDescent="0.25">
      <c r="A66" s="82">
        <v>42944</v>
      </c>
      <c r="B66" s="79" t="s">
        <v>306</v>
      </c>
      <c r="C66" s="79" t="s">
        <v>262</v>
      </c>
      <c r="D66" s="79" t="s">
        <v>0</v>
      </c>
      <c r="E66" s="79">
        <v>68427709</v>
      </c>
      <c r="F66" s="93">
        <v>260000</v>
      </c>
      <c r="G66" s="79" t="s">
        <v>302</v>
      </c>
      <c r="H66" s="79" t="s">
        <v>114</v>
      </c>
      <c r="I66" s="79" t="s">
        <v>128</v>
      </c>
      <c r="J66" s="76">
        <v>2018</v>
      </c>
      <c r="K66" s="79" t="s">
        <v>303</v>
      </c>
      <c r="L66" s="79" t="s">
        <v>304</v>
      </c>
    </row>
    <row r="67" spans="1:12" hidden="1" x14ac:dyDescent="0.25">
      <c r="A67" s="82">
        <v>42947</v>
      </c>
      <c r="B67" s="79" t="s">
        <v>307</v>
      </c>
      <c r="C67" s="79" t="s">
        <v>308</v>
      </c>
      <c r="D67" s="79"/>
      <c r="E67" s="79">
        <v>68427709</v>
      </c>
      <c r="F67" s="93">
        <v>25000</v>
      </c>
      <c r="G67" s="79" t="s">
        <v>113</v>
      </c>
      <c r="H67" s="79" t="s">
        <v>114</v>
      </c>
      <c r="I67" s="79" t="s">
        <v>128</v>
      </c>
      <c r="J67" s="76">
        <v>2018</v>
      </c>
      <c r="K67" s="79" t="s">
        <v>309</v>
      </c>
      <c r="L67" s="79"/>
    </row>
    <row r="68" spans="1:12" hidden="1" x14ac:dyDescent="0.25">
      <c r="A68" s="82">
        <v>42955</v>
      </c>
      <c r="B68" s="79" t="s">
        <v>310</v>
      </c>
      <c r="C68" s="79" t="s">
        <v>195</v>
      </c>
      <c r="D68" s="79" t="s">
        <v>0</v>
      </c>
      <c r="E68" s="79">
        <v>68427709</v>
      </c>
      <c r="F68" s="93">
        <v>65000</v>
      </c>
      <c r="G68" s="79" t="s">
        <v>113</v>
      </c>
      <c r="H68" s="79" t="s">
        <v>114</v>
      </c>
      <c r="I68" s="79" t="s">
        <v>128</v>
      </c>
      <c r="J68" s="76">
        <v>2018</v>
      </c>
      <c r="K68" s="79" t="s">
        <v>311</v>
      </c>
      <c r="L68" s="79"/>
    </row>
    <row r="69" spans="1:12" hidden="1" x14ac:dyDescent="0.25">
      <c r="A69" s="82">
        <v>42956</v>
      </c>
      <c r="B69" s="79" t="s">
        <v>312</v>
      </c>
      <c r="C69" s="79" t="s">
        <v>181</v>
      </c>
      <c r="D69" s="79"/>
      <c r="E69" s="79">
        <v>68427709</v>
      </c>
      <c r="F69" s="93">
        <v>24000</v>
      </c>
      <c r="G69" s="79" t="s">
        <v>113</v>
      </c>
      <c r="H69" s="79" t="s">
        <v>114</v>
      </c>
      <c r="I69" s="79" t="s">
        <v>128</v>
      </c>
      <c r="J69" s="76">
        <v>2018</v>
      </c>
      <c r="K69" s="79" t="s">
        <v>193</v>
      </c>
      <c r="L69" s="79" t="s">
        <v>313</v>
      </c>
    </row>
    <row r="70" spans="1:12" hidden="1" x14ac:dyDescent="0.25">
      <c r="A70" s="83">
        <v>43028</v>
      </c>
      <c r="B70" s="84" t="s">
        <v>111</v>
      </c>
      <c r="C70" s="84" t="s">
        <v>314</v>
      </c>
      <c r="D70" s="84" t="s">
        <v>0</v>
      </c>
      <c r="E70" s="84">
        <v>68427709</v>
      </c>
      <c r="F70" s="121">
        <v>10000</v>
      </c>
      <c r="G70" s="84" t="s">
        <v>113</v>
      </c>
      <c r="H70" s="84" t="s">
        <v>114</v>
      </c>
      <c r="I70" s="84" t="s">
        <v>204</v>
      </c>
      <c r="J70" s="84">
        <v>2019</v>
      </c>
      <c r="K70" s="84" t="s">
        <v>315</v>
      </c>
      <c r="L70" s="84"/>
    </row>
    <row r="71" spans="1:12" hidden="1" x14ac:dyDescent="0.25">
      <c r="A71" s="82">
        <v>43031</v>
      </c>
      <c r="B71" s="79" t="s">
        <v>316</v>
      </c>
      <c r="C71" s="79" t="s">
        <v>201</v>
      </c>
      <c r="D71" s="79" t="s">
        <v>0</v>
      </c>
      <c r="E71" s="79">
        <v>68427709</v>
      </c>
      <c r="F71" s="93">
        <v>2000</v>
      </c>
      <c r="G71" s="79" t="s">
        <v>113</v>
      </c>
      <c r="H71" s="79" t="s">
        <v>114</v>
      </c>
      <c r="I71" s="79" t="s">
        <v>204</v>
      </c>
      <c r="J71" s="79">
        <v>2019</v>
      </c>
      <c r="K71" s="79" t="s">
        <v>279</v>
      </c>
      <c r="L71" s="79"/>
    </row>
    <row r="72" spans="1:12" hidden="1" x14ac:dyDescent="0.25">
      <c r="A72" s="82">
        <v>43031</v>
      </c>
      <c r="B72" s="79" t="s">
        <v>317</v>
      </c>
      <c r="C72" s="79" t="s">
        <v>318</v>
      </c>
      <c r="D72" s="79" t="s">
        <v>0</v>
      </c>
      <c r="E72" s="79">
        <v>68427709</v>
      </c>
      <c r="F72" s="93">
        <v>8000</v>
      </c>
      <c r="G72" s="79" t="s">
        <v>113</v>
      </c>
      <c r="H72" s="79" t="s">
        <v>114</v>
      </c>
      <c r="I72" s="79" t="s">
        <v>133</v>
      </c>
      <c r="J72" s="79">
        <v>2019</v>
      </c>
      <c r="K72" s="79" t="s">
        <v>227</v>
      </c>
      <c r="L72" s="79" t="s">
        <v>319</v>
      </c>
    </row>
    <row r="73" spans="1:12" hidden="1" x14ac:dyDescent="0.25">
      <c r="A73" s="82">
        <v>75906</v>
      </c>
      <c r="B73" s="79" t="s">
        <v>199</v>
      </c>
      <c r="C73" s="79" t="s">
        <v>320</v>
      </c>
      <c r="D73" s="79" t="s">
        <v>321</v>
      </c>
      <c r="E73" s="79">
        <v>68427709</v>
      </c>
      <c r="F73" s="93">
        <v>50000</v>
      </c>
      <c r="G73" s="79" t="s">
        <v>113</v>
      </c>
      <c r="H73" s="79" t="s">
        <v>114</v>
      </c>
      <c r="I73" s="79" t="s">
        <v>33</v>
      </c>
      <c r="J73" s="79">
        <v>2019</v>
      </c>
      <c r="K73" s="79" t="s">
        <v>311</v>
      </c>
      <c r="L73" s="79" t="s">
        <v>322</v>
      </c>
    </row>
    <row r="74" spans="1:12" hidden="1" x14ac:dyDescent="0.25">
      <c r="A74" s="82">
        <v>43066</v>
      </c>
      <c r="B74" s="79" t="s">
        <v>323</v>
      </c>
      <c r="C74" s="79" t="s">
        <v>324</v>
      </c>
      <c r="D74" s="79" t="s">
        <v>0</v>
      </c>
      <c r="E74" s="79">
        <v>68427709</v>
      </c>
      <c r="F74" s="93">
        <v>22000</v>
      </c>
      <c r="G74" s="79" t="s">
        <v>113</v>
      </c>
      <c r="H74" s="79" t="s">
        <v>114</v>
      </c>
      <c r="I74" s="79" t="s">
        <v>204</v>
      </c>
      <c r="J74" s="79">
        <v>2019</v>
      </c>
      <c r="K74" s="79" t="s">
        <v>193</v>
      </c>
      <c r="L74" s="79"/>
    </row>
    <row r="75" spans="1:12" hidden="1" x14ac:dyDescent="0.25">
      <c r="A75" s="82">
        <v>43067</v>
      </c>
      <c r="B75" s="79" t="s">
        <v>325</v>
      </c>
      <c r="C75" s="79" t="s">
        <v>326</v>
      </c>
      <c r="D75" s="79" t="s">
        <v>0</v>
      </c>
      <c r="E75" s="79">
        <v>68427709</v>
      </c>
      <c r="F75" s="93">
        <v>24000</v>
      </c>
      <c r="G75" s="79" t="s">
        <v>113</v>
      </c>
      <c r="H75" s="79" t="s">
        <v>114</v>
      </c>
      <c r="I75" s="79" t="s">
        <v>204</v>
      </c>
      <c r="J75" s="79">
        <v>2019</v>
      </c>
      <c r="K75" s="79" t="s">
        <v>327</v>
      </c>
      <c r="L75" s="79" t="s">
        <v>328</v>
      </c>
    </row>
    <row r="76" spans="1:12" hidden="1" x14ac:dyDescent="0.25">
      <c r="A76" s="82">
        <v>43111</v>
      </c>
      <c r="B76" s="79" t="s">
        <v>329</v>
      </c>
      <c r="C76" s="79" t="s">
        <v>330</v>
      </c>
      <c r="D76" s="79" t="s">
        <v>127</v>
      </c>
      <c r="E76" s="79">
        <v>68427709</v>
      </c>
      <c r="F76" s="93">
        <v>22000</v>
      </c>
      <c r="G76" s="79" t="s">
        <v>113</v>
      </c>
      <c r="H76" s="79" t="s">
        <v>114</v>
      </c>
      <c r="I76" s="79" t="s">
        <v>204</v>
      </c>
      <c r="J76" s="79">
        <v>2019</v>
      </c>
      <c r="K76" s="79" t="s">
        <v>279</v>
      </c>
      <c r="L76" s="79" t="s">
        <v>331</v>
      </c>
    </row>
    <row r="77" spans="1:12" hidden="1" x14ac:dyDescent="0.25">
      <c r="A77" s="82">
        <v>43111</v>
      </c>
      <c r="B77" s="79" t="s">
        <v>332</v>
      </c>
      <c r="C77" s="79" t="s">
        <v>333</v>
      </c>
      <c r="D77" s="79" t="s">
        <v>0</v>
      </c>
      <c r="E77" s="79">
        <v>68427709</v>
      </c>
      <c r="F77" s="93">
        <v>164000</v>
      </c>
      <c r="G77" s="79" t="s">
        <v>113</v>
      </c>
      <c r="H77" s="79" t="s">
        <v>114</v>
      </c>
      <c r="I77" s="79" t="s">
        <v>115</v>
      </c>
      <c r="J77" s="79">
        <v>2019</v>
      </c>
      <c r="K77" s="79" t="s">
        <v>171</v>
      </c>
      <c r="L77" s="79" t="s">
        <v>334</v>
      </c>
    </row>
    <row r="78" spans="1:12" hidden="1" x14ac:dyDescent="0.25">
      <c r="A78" s="82">
        <v>43116</v>
      </c>
      <c r="B78" s="79" t="s">
        <v>335</v>
      </c>
      <c r="C78" s="79" t="s">
        <v>336</v>
      </c>
      <c r="D78" s="79" t="s">
        <v>0</v>
      </c>
      <c r="E78" s="79">
        <v>68427709</v>
      </c>
      <c r="F78" s="93">
        <v>4000</v>
      </c>
      <c r="G78" s="79" t="s">
        <v>113</v>
      </c>
      <c r="H78" s="79" t="s">
        <v>114</v>
      </c>
      <c r="I78" s="79" t="s">
        <v>115</v>
      </c>
      <c r="J78" s="79">
        <v>2019</v>
      </c>
      <c r="K78" s="79" t="s">
        <v>337</v>
      </c>
      <c r="L78" s="79"/>
    </row>
    <row r="79" spans="1:12" hidden="1" x14ac:dyDescent="0.25">
      <c r="A79" s="82">
        <v>43117</v>
      </c>
      <c r="B79" s="79" t="s">
        <v>338</v>
      </c>
      <c r="C79" s="79" t="s">
        <v>226</v>
      </c>
      <c r="D79" s="79" t="s">
        <v>0</v>
      </c>
      <c r="E79" s="79">
        <v>68427709</v>
      </c>
      <c r="F79" s="93">
        <v>10000</v>
      </c>
      <c r="G79" s="79" t="s">
        <v>113</v>
      </c>
      <c r="H79" s="79" t="s">
        <v>114</v>
      </c>
      <c r="I79" s="79" t="s">
        <v>204</v>
      </c>
      <c r="J79" s="22">
        <v>2019</v>
      </c>
      <c r="K79" s="79" t="s">
        <v>116</v>
      </c>
      <c r="L79" s="79" t="s">
        <v>339</v>
      </c>
    </row>
    <row r="80" spans="1:12" hidden="1" x14ac:dyDescent="0.25">
      <c r="A80" s="82">
        <v>43131</v>
      </c>
      <c r="B80" s="79" t="s">
        <v>340</v>
      </c>
      <c r="C80" s="79" t="s">
        <v>341</v>
      </c>
      <c r="D80" s="79" t="s">
        <v>0</v>
      </c>
      <c r="E80" s="79">
        <v>68427709</v>
      </c>
      <c r="F80" s="93">
        <v>143000</v>
      </c>
      <c r="G80" s="79" t="s">
        <v>113</v>
      </c>
      <c r="H80" s="79" t="s">
        <v>114</v>
      </c>
      <c r="I80" s="79" t="s">
        <v>204</v>
      </c>
      <c r="J80" s="79">
        <v>2019</v>
      </c>
      <c r="K80" s="79" t="s">
        <v>342</v>
      </c>
      <c r="L80" s="79" t="s">
        <v>343</v>
      </c>
    </row>
    <row r="81" spans="1:12" hidden="1" x14ac:dyDescent="0.25">
      <c r="A81" s="82">
        <v>43132</v>
      </c>
      <c r="B81" s="79" t="s">
        <v>344</v>
      </c>
      <c r="C81" s="79" t="s">
        <v>345</v>
      </c>
      <c r="D81" s="79" t="s">
        <v>0</v>
      </c>
      <c r="E81" s="79">
        <v>68427709</v>
      </c>
      <c r="F81" s="93">
        <v>6000</v>
      </c>
      <c r="G81" s="79" t="s">
        <v>113</v>
      </c>
      <c r="H81" s="79" t="s">
        <v>114</v>
      </c>
      <c r="I81" s="79" t="s">
        <v>248</v>
      </c>
      <c r="J81" s="79">
        <v>2019</v>
      </c>
      <c r="K81" s="79" t="s">
        <v>163</v>
      </c>
      <c r="L81" s="79" t="s">
        <v>346</v>
      </c>
    </row>
    <row r="82" spans="1:12" hidden="1" x14ac:dyDescent="0.25">
      <c r="A82" s="82">
        <v>43138</v>
      </c>
      <c r="B82" s="79" t="s">
        <v>347</v>
      </c>
      <c r="C82" s="79" t="s">
        <v>348</v>
      </c>
      <c r="D82" s="79" t="s">
        <v>0</v>
      </c>
      <c r="E82" s="79">
        <v>68427709</v>
      </c>
      <c r="F82" s="93">
        <v>6000</v>
      </c>
      <c r="G82" s="79" t="s">
        <v>113</v>
      </c>
      <c r="H82" s="79" t="s">
        <v>114</v>
      </c>
      <c r="I82" s="79" t="s">
        <v>204</v>
      </c>
      <c r="J82" s="79">
        <v>2019</v>
      </c>
      <c r="K82" s="79" t="s">
        <v>163</v>
      </c>
      <c r="L82" s="79" t="s">
        <v>349</v>
      </c>
    </row>
    <row r="83" spans="1:12" hidden="1" x14ac:dyDescent="0.25">
      <c r="A83" s="82">
        <v>43138</v>
      </c>
      <c r="B83" s="79" t="s">
        <v>350</v>
      </c>
      <c r="C83" s="79" t="s">
        <v>351</v>
      </c>
      <c r="D83" s="79" t="s">
        <v>352</v>
      </c>
      <c r="E83" s="79">
        <v>68427709</v>
      </c>
      <c r="F83" s="93">
        <v>10000</v>
      </c>
      <c r="G83" s="79" t="s">
        <v>113</v>
      </c>
      <c r="H83" s="79" t="s">
        <v>114</v>
      </c>
      <c r="I83" s="79" t="s">
        <v>115</v>
      </c>
      <c r="J83" s="79">
        <v>2019</v>
      </c>
      <c r="K83" s="79" t="s">
        <v>186</v>
      </c>
      <c r="L83" s="79" t="s">
        <v>353</v>
      </c>
    </row>
    <row r="84" spans="1:12" hidden="1" x14ac:dyDescent="0.25">
      <c r="A84" s="82">
        <v>43140</v>
      </c>
      <c r="B84" s="79" t="s">
        <v>354</v>
      </c>
      <c r="C84" s="79" t="s">
        <v>355</v>
      </c>
      <c r="D84" s="79" t="s">
        <v>127</v>
      </c>
      <c r="E84" s="79">
        <v>68427709</v>
      </c>
      <c r="F84" s="93">
        <v>173000</v>
      </c>
      <c r="G84" s="79" t="s">
        <v>113</v>
      </c>
      <c r="H84" s="79" t="s">
        <v>114</v>
      </c>
      <c r="I84" s="79" t="s">
        <v>204</v>
      </c>
      <c r="J84" s="79">
        <v>2019</v>
      </c>
      <c r="K84" s="79" t="s">
        <v>179</v>
      </c>
      <c r="L84" s="79" t="s">
        <v>356</v>
      </c>
    </row>
    <row r="85" spans="1:12" hidden="1" x14ac:dyDescent="0.25">
      <c r="A85" s="82">
        <v>43143</v>
      </c>
      <c r="B85" s="79" t="s">
        <v>157</v>
      </c>
      <c r="C85" s="79" t="s">
        <v>207</v>
      </c>
      <c r="D85" s="79" t="s">
        <v>0</v>
      </c>
      <c r="E85" s="79">
        <v>68427709</v>
      </c>
      <c r="F85" s="93">
        <v>40000</v>
      </c>
      <c r="G85" s="79" t="s">
        <v>113</v>
      </c>
      <c r="H85" s="79" t="s">
        <v>114</v>
      </c>
      <c r="I85" s="79" t="s">
        <v>204</v>
      </c>
      <c r="J85" s="79">
        <v>2019</v>
      </c>
      <c r="K85" s="79" t="s">
        <v>357</v>
      </c>
      <c r="L85" s="79" t="s">
        <v>358</v>
      </c>
    </row>
    <row r="86" spans="1:12" hidden="1" x14ac:dyDescent="0.25">
      <c r="A86" s="82">
        <v>43146</v>
      </c>
      <c r="B86" s="79" t="s">
        <v>359</v>
      </c>
      <c r="C86" s="79" t="s">
        <v>360</v>
      </c>
      <c r="D86" s="79" t="s">
        <v>0</v>
      </c>
      <c r="E86" s="79">
        <v>68427709</v>
      </c>
      <c r="F86" s="93">
        <v>130000</v>
      </c>
      <c r="G86" s="79" t="s">
        <v>113</v>
      </c>
      <c r="H86" s="79" t="s">
        <v>114</v>
      </c>
      <c r="I86" s="79" t="s">
        <v>133</v>
      </c>
      <c r="J86" s="79">
        <v>2019</v>
      </c>
      <c r="K86" s="79" t="s">
        <v>361</v>
      </c>
      <c r="L86" s="79" t="s">
        <v>362</v>
      </c>
    </row>
    <row r="87" spans="1:12" hidden="1" x14ac:dyDescent="0.25">
      <c r="A87" s="82">
        <v>43151</v>
      </c>
      <c r="B87" s="79" t="s">
        <v>363</v>
      </c>
      <c r="C87" s="79" t="s">
        <v>360</v>
      </c>
      <c r="D87" s="79" t="s">
        <v>0</v>
      </c>
      <c r="E87" s="79">
        <v>68427709</v>
      </c>
      <c r="F87" s="93">
        <v>220000</v>
      </c>
      <c r="G87" s="79" t="s">
        <v>113</v>
      </c>
      <c r="H87" s="79" t="s">
        <v>114</v>
      </c>
      <c r="I87" s="79" t="s">
        <v>133</v>
      </c>
      <c r="J87" s="79">
        <v>2019</v>
      </c>
      <c r="K87" s="79" t="s">
        <v>311</v>
      </c>
      <c r="L87" s="79" t="s">
        <v>364</v>
      </c>
    </row>
    <row r="88" spans="1:12" hidden="1" x14ac:dyDescent="0.25">
      <c r="A88" s="82">
        <v>43151</v>
      </c>
      <c r="B88" s="79" t="s">
        <v>365</v>
      </c>
      <c r="C88" s="79" t="s">
        <v>366</v>
      </c>
      <c r="D88" s="79" t="s">
        <v>0</v>
      </c>
      <c r="E88" s="79">
        <v>68427709</v>
      </c>
      <c r="F88" s="93">
        <v>-88000</v>
      </c>
      <c r="G88" s="79" t="s">
        <v>113</v>
      </c>
      <c r="H88" s="79" t="s">
        <v>114</v>
      </c>
      <c r="I88" s="79" t="s">
        <v>115</v>
      </c>
      <c r="J88" s="79">
        <v>2019</v>
      </c>
      <c r="K88" s="79" t="s">
        <v>311</v>
      </c>
      <c r="L88" s="79" t="s">
        <v>367</v>
      </c>
    </row>
    <row r="89" spans="1:12" hidden="1" x14ac:dyDescent="0.25">
      <c r="A89" s="82">
        <v>43151</v>
      </c>
      <c r="B89" s="79" t="s">
        <v>368</v>
      </c>
      <c r="C89" s="79" t="s">
        <v>148</v>
      </c>
      <c r="D89" s="79" t="s">
        <v>0</v>
      </c>
      <c r="E89" s="79">
        <v>68427709</v>
      </c>
      <c r="F89" s="93">
        <v>125000</v>
      </c>
      <c r="G89" s="79" t="s">
        <v>302</v>
      </c>
      <c r="H89" s="79" t="s">
        <v>114</v>
      </c>
      <c r="I89" s="79" t="s">
        <v>133</v>
      </c>
      <c r="J89" s="79">
        <v>2019</v>
      </c>
      <c r="K89" s="79" t="s">
        <v>311</v>
      </c>
      <c r="L89" s="79" t="s">
        <v>369</v>
      </c>
    </row>
    <row r="90" spans="1:12" hidden="1" x14ac:dyDescent="0.25">
      <c r="A90" s="82">
        <v>43151</v>
      </c>
      <c r="B90" s="79" t="s">
        <v>370</v>
      </c>
      <c r="C90" s="79" t="s">
        <v>371</v>
      </c>
      <c r="D90" s="79" t="s">
        <v>0</v>
      </c>
      <c r="E90" s="79">
        <v>68427709</v>
      </c>
      <c r="F90" s="93">
        <v>20000</v>
      </c>
      <c r="G90" s="79" t="s">
        <v>302</v>
      </c>
      <c r="H90" s="79" t="s">
        <v>114</v>
      </c>
      <c r="I90" s="79" t="s">
        <v>248</v>
      </c>
      <c r="J90" s="79">
        <v>2019</v>
      </c>
      <c r="K90" s="79" t="s">
        <v>372</v>
      </c>
      <c r="L90" s="79" t="s">
        <v>373</v>
      </c>
    </row>
    <row r="91" spans="1:12" hidden="1" x14ac:dyDescent="0.25">
      <c r="A91" s="82">
        <v>43152</v>
      </c>
      <c r="B91" s="79" t="s">
        <v>374</v>
      </c>
      <c r="C91" s="79" t="s">
        <v>375</v>
      </c>
      <c r="D91" s="79" t="s">
        <v>40</v>
      </c>
      <c r="E91" s="79">
        <v>68427709</v>
      </c>
      <c r="F91" s="93">
        <v>10000</v>
      </c>
      <c r="G91" s="79" t="s">
        <v>113</v>
      </c>
      <c r="H91" s="79" t="s">
        <v>114</v>
      </c>
      <c r="I91" s="79" t="s">
        <v>201</v>
      </c>
      <c r="J91" s="79">
        <v>2019</v>
      </c>
      <c r="K91" s="79" t="s">
        <v>376</v>
      </c>
      <c r="L91" s="79"/>
    </row>
    <row r="92" spans="1:12" hidden="1" x14ac:dyDescent="0.25">
      <c r="A92" s="82">
        <v>43157</v>
      </c>
      <c r="B92" s="79" t="s">
        <v>377</v>
      </c>
      <c r="C92" s="79" t="s">
        <v>378</v>
      </c>
      <c r="D92" s="79" t="s">
        <v>0</v>
      </c>
      <c r="E92" s="79">
        <v>68427709</v>
      </c>
      <c r="F92" s="93">
        <v>10000</v>
      </c>
      <c r="G92" s="79" t="s">
        <v>113</v>
      </c>
      <c r="H92" s="79" t="s">
        <v>114</v>
      </c>
      <c r="I92" s="79" t="s">
        <v>201</v>
      </c>
      <c r="J92" s="79">
        <v>2019</v>
      </c>
      <c r="K92" s="79" t="s">
        <v>379</v>
      </c>
      <c r="L92" s="79"/>
    </row>
    <row r="93" spans="1:12" hidden="1" x14ac:dyDescent="0.25">
      <c r="A93" s="82">
        <v>43159</v>
      </c>
      <c r="B93" s="79" t="s">
        <v>380</v>
      </c>
      <c r="C93" s="79" t="s">
        <v>381</v>
      </c>
      <c r="D93" s="79" t="s">
        <v>127</v>
      </c>
      <c r="E93" s="79">
        <v>68427709</v>
      </c>
      <c r="F93" s="93">
        <v>5000</v>
      </c>
      <c r="G93" s="79" t="s">
        <v>113</v>
      </c>
      <c r="H93" s="79" t="s">
        <v>114</v>
      </c>
      <c r="I93" s="79" t="s">
        <v>115</v>
      </c>
      <c r="J93" s="79">
        <v>2019</v>
      </c>
      <c r="K93" s="79" t="s">
        <v>379</v>
      </c>
      <c r="L93" s="79" t="s">
        <v>382</v>
      </c>
    </row>
    <row r="94" spans="1:12" hidden="1" x14ac:dyDescent="0.25">
      <c r="A94" s="82">
        <v>43159</v>
      </c>
      <c r="B94" s="79" t="s">
        <v>383</v>
      </c>
      <c r="C94" s="79" t="s">
        <v>384</v>
      </c>
      <c r="D94" s="79" t="s">
        <v>0</v>
      </c>
      <c r="E94" s="79">
        <v>68427709</v>
      </c>
      <c r="F94" s="93">
        <v>10000</v>
      </c>
      <c r="G94" s="79" t="s">
        <v>113</v>
      </c>
      <c r="H94" s="79" t="s">
        <v>114</v>
      </c>
      <c r="I94" s="79" t="s">
        <v>115</v>
      </c>
      <c r="J94" s="79">
        <v>2019</v>
      </c>
      <c r="K94" s="79" t="s">
        <v>252</v>
      </c>
      <c r="L94" s="79" t="s">
        <v>385</v>
      </c>
    </row>
    <row r="95" spans="1:12" hidden="1" x14ac:dyDescent="0.25">
      <c r="A95" s="82">
        <v>43173</v>
      </c>
      <c r="B95" s="79" t="s">
        <v>386</v>
      </c>
      <c r="C95" s="79" t="s">
        <v>384</v>
      </c>
      <c r="D95" s="79" t="s">
        <v>0</v>
      </c>
      <c r="E95" s="79">
        <v>68427709</v>
      </c>
      <c r="F95" s="93">
        <v>2000</v>
      </c>
      <c r="G95" s="79" t="s">
        <v>113</v>
      </c>
      <c r="H95" s="79" t="s">
        <v>114</v>
      </c>
      <c r="I95" s="79" t="s">
        <v>201</v>
      </c>
      <c r="J95" s="79">
        <v>2019</v>
      </c>
      <c r="K95" s="79" t="s">
        <v>116</v>
      </c>
      <c r="L95" s="79" t="s">
        <v>387</v>
      </c>
    </row>
    <row r="96" spans="1:12" hidden="1" x14ac:dyDescent="0.25">
      <c r="A96" s="82">
        <v>43173</v>
      </c>
      <c r="B96" s="79" t="s">
        <v>388</v>
      </c>
      <c r="C96" s="79" t="s">
        <v>384</v>
      </c>
      <c r="D96" s="79" t="s">
        <v>0</v>
      </c>
      <c r="E96" s="79">
        <v>68427709</v>
      </c>
      <c r="F96" s="93">
        <v>18000</v>
      </c>
      <c r="G96" s="79" t="s">
        <v>113</v>
      </c>
      <c r="H96" s="79" t="s">
        <v>114</v>
      </c>
      <c r="I96" s="79" t="s">
        <v>201</v>
      </c>
      <c r="J96" s="79">
        <v>2019</v>
      </c>
      <c r="K96" s="79" t="s">
        <v>263</v>
      </c>
      <c r="L96" s="79" t="s">
        <v>389</v>
      </c>
    </row>
    <row r="97" spans="1:12" hidden="1" x14ac:dyDescent="0.25">
      <c r="A97" s="82">
        <v>43185</v>
      </c>
      <c r="B97" s="79" t="s">
        <v>390</v>
      </c>
      <c r="C97" s="79" t="s">
        <v>384</v>
      </c>
      <c r="D97" s="79" t="s">
        <v>0</v>
      </c>
      <c r="E97" s="79">
        <v>68427709</v>
      </c>
      <c r="F97" s="93">
        <v>333000</v>
      </c>
      <c r="G97" s="79" t="s">
        <v>113</v>
      </c>
      <c r="H97" s="79" t="s">
        <v>114</v>
      </c>
      <c r="I97" s="79" t="s">
        <v>201</v>
      </c>
      <c r="J97" s="79">
        <v>2019</v>
      </c>
      <c r="K97" s="79" t="s">
        <v>311</v>
      </c>
      <c r="L97" s="79" t="s">
        <v>391</v>
      </c>
    </row>
    <row r="98" spans="1:12" hidden="1" x14ac:dyDescent="0.25">
      <c r="A98" s="82">
        <v>43185</v>
      </c>
      <c r="B98" s="79" t="s">
        <v>392</v>
      </c>
      <c r="C98" s="79" t="s">
        <v>384</v>
      </c>
      <c r="D98" s="79" t="s">
        <v>0</v>
      </c>
      <c r="E98" s="79">
        <v>68427709</v>
      </c>
      <c r="F98" s="93">
        <v>57000</v>
      </c>
      <c r="G98" s="79" t="s">
        <v>113</v>
      </c>
      <c r="H98" s="79" t="s">
        <v>114</v>
      </c>
      <c r="I98" s="79" t="s">
        <v>133</v>
      </c>
      <c r="J98" s="79">
        <v>2019</v>
      </c>
      <c r="K98" s="79" t="s">
        <v>116</v>
      </c>
      <c r="L98" s="79" t="s">
        <v>393</v>
      </c>
    </row>
    <row r="99" spans="1:12" hidden="1" x14ac:dyDescent="0.25">
      <c r="A99" s="82">
        <v>43186</v>
      </c>
      <c r="B99" s="79" t="s">
        <v>394</v>
      </c>
      <c r="C99" s="79" t="s">
        <v>384</v>
      </c>
      <c r="D99" s="79" t="s">
        <v>0</v>
      </c>
      <c r="E99" s="79">
        <v>68427709</v>
      </c>
      <c r="F99" s="93">
        <v>500</v>
      </c>
      <c r="G99" s="79" t="s">
        <v>113</v>
      </c>
      <c r="H99" s="79" t="s">
        <v>114</v>
      </c>
      <c r="I99" s="79" t="s">
        <v>201</v>
      </c>
      <c r="J99" s="79">
        <v>2019</v>
      </c>
      <c r="K99" s="79" t="s">
        <v>395</v>
      </c>
      <c r="L99" s="79" t="s">
        <v>396</v>
      </c>
    </row>
    <row r="100" spans="1:12" hidden="1" x14ac:dyDescent="0.25">
      <c r="A100" s="82">
        <v>43200</v>
      </c>
      <c r="B100" s="79" t="s">
        <v>397</v>
      </c>
      <c r="C100" s="79" t="s">
        <v>398</v>
      </c>
      <c r="D100" s="79" t="s">
        <v>0</v>
      </c>
      <c r="E100" s="79">
        <v>68427709</v>
      </c>
      <c r="F100" s="93">
        <v>5000</v>
      </c>
      <c r="G100" s="79" t="s">
        <v>113</v>
      </c>
      <c r="H100" s="79" t="s">
        <v>114</v>
      </c>
      <c r="I100" s="79" t="s">
        <v>133</v>
      </c>
      <c r="J100" s="79">
        <v>2019</v>
      </c>
      <c r="K100" s="79" t="s">
        <v>116</v>
      </c>
      <c r="L100" s="79" t="s">
        <v>399</v>
      </c>
    </row>
    <row r="101" spans="1:12" hidden="1" x14ac:dyDescent="0.25">
      <c r="A101" s="82">
        <v>43200</v>
      </c>
      <c r="B101" s="79" t="s">
        <v>400</v>
      </c>
      <c r="C101" s="79" t="s">
        <v>336</v>
      </c>
      <c r="D101" s="79" t="s">
        <v>0</v>
      </c>
      <c r="E101" s="79">
        <v>68427709</v>
      </c>
      <c r="F101" s="93">
        <v>28000</v>
      </c>
      <c r="G101" s="79" t="s">
        <v>113</v>
      </c>
      <c r="H101" s="79" t="s">
        <v>114</v>
      </c>
      <c r="I101" s="79" t="s">
        <v>115</v>
      </c>
      <c r="J101" s="79">
        <v>2019</v>
      </c>
      <c r="K101" s="79" t="s">
        <v>116</v>
      </c>
      <c r="L101" s="79" t="s">
        <v>401</v>
      </c>
    </row>
    <row r="102" spans="1:12" hidden="1" x14ac:dyDescent="0.25">
      <c r="A102" s="82">
        <v>43201</v>
      </c>
      <c r="B102" s="79" t="s">
        <v>402</v>
      </c>
      <c r="C102" s="79" t="s">
        <v>403</v>
      </c>
      <c r="D102" s="79" t="s">
        <v>127</v>
      </c>
      <c r="E102" s="79">
        <v>68427709</v>
      </c>
      <c r="F102" s="93">
        <v>-170000</v>
      </c>
      <c r="G102" s="79" t="s">
        <v>302</v>
      </c>
      <c r="H102" s="79" t="s">
        <v>114</v>
      </c>
      <c r="I102" s="79" t="s">
        <v>204</v>
      </c>
      <c r="J102" s="79">
        <v>2019</v>
      </c>
      <c r="K102" s="79" t="s">
        <v>116</v>
      </c>
      <c r="L102" s="79" t="s">
        <v>404</v>
      </c>
    </row>
    <row r="103" spans="1:12" hidden="1" x14ac:dyDescent="0.25">
      <c r="A103" s="82">
        <v>43214</v>
      </c>
      <c r="B103" s="79" t="s">
        <v>405</v>
      </c>
      <c r="C103" s="79" t="s">
        <v>406</v>
      </c>
      <c r="D103" s="79" t="s">
        <v>0</v>
      </c>
      <c r="E103" s="79">
        <v>68427709</v>
      </c>
      <c r="F103" s="93">
        <v>-170000</v>
      </c>
      <c r="G103" s="79" t="s">
        <v>113</v>
      </c>
      <c r="H103" s="79" t="s">
        <v>114</v>
      </c>
      <c r="I103" s="79" t="s">
        <v>204</v>
      </c>
      <c r="J103" s="79">
        <v>2019</v>
      </c>
      <c r="K103" s="79" t="s">
        <v>407</v>
      </c>
      <c r="L103" s="79" t="s">
        <v>408</v>
      </c>
    </row>
    <row r="104" spans="1:12" hidden="1" x14ac:dyDescent="0.25">
      <c r="A104" s="82">
        <v>43214</v>
      </c>
      <c r="B104" s="79" t="s">
        <v>409</v>
      </c>
      <c r="C104" s="79" t="s">
        <v>410</v>
      </c>
      <c r="D104" s="79" t="s">
        <v>0</v>
      </c>
      <c r="E104" s="79">
        <v>68427709</v>
      </c>
      <c r="F104" s="93">
        <v>120000</v>
      </c>
      <c r="G104" s="79" t="s">
        <v>113</v>
      </c>
      <c r="H104" s="79" t="s">
        <v>114</v>
      </c>
      <c r="I104" s="79" t="s">
        <v>201</v>
      </c>
      <c r="J104" s="79">
        <v>2019</v>
      </c>
      <c r="K104" s="79" t="s">
        <v>411</v>
      </c>
      <c r="L104" s="79" t="s">
        <v>412</v>
      </c>
    </row>
    <row r="105" spans="1:12" hidden="1" x14ac:dyDescent="0.25">
      <c r="A105" s="82">
        <v>43223</v>
      </c>
      <c r="B105" s="79" t="s">
        <v>413</v>
      </c>
      <c r="C105" s="79" t="s">
        <v>414</v>
      </c>
      <c r="D105" s="79" t="s">
        <v>0</v>
      </c>
      <c r="E105" s="79">
        <v>68427709</v>
      </c>
      <c r="F105" s="93">
        <v>-16000</v>
      </c>
      <c r="G105" s="79" t="s">
        <v>113</v>
      </c>
      <c r="H105" s="79" t="s">
        <v>114</v>
      </c>
      <c r="I105" s="79" t="s">
        <v>204</v>
      </c>
      <c r="J105" s="79">
        <v>2019</v>
      </c>
      <c r="K105" s="79" t="s">
        <v>415</v>
      </c>
      <c r="L105" s="79" t="s">
        <v>416</v>
      </c>
    </row>
    <row r="106" spans="1:12" hidden="1" x14ac:dyDescent="0.25">
      <c r="A106" s="82">
        <v>43224</v>
      </c>
      <c r="B106" s="79" t="s">
        <v>417</v>
      </c>
      <c r="C106" s="79" t="s">
        <v>418</v>
      </c>
      <c r="D106" s="79" t="s">
        <v>0</v>
      </c>
      <c r="E106" s="79">
        <v>68427709</v>
      </c>
      <c r="F106" s="93">
        <v>-8000</v>
      </c>
      <c r="G106" s="79" t="s">
        <v>113</v>
      </c>
      <c r="H106" s="79" t="s">
        <v>114</v>
      </c>
      <c r="I106" s="79" t="s">
        <v>204</v>
      </c>
      <c r="J106" s="79">
        <v>2019</v>
      </c>
      <c r="K106" s="79" t="s">
        <v>116</v>
      </c>
      <c r="L106" s="79" t="s">
        <v>419</v>
      </c>
    </row>
    <row r="107" spans="1:12" hidden="1" x14ac:dyDescent="0.25">
      <c r="A107" s="82">
        <v>43224</v>
      </c>
      <c r="B107" s="79" t="s">
        <v>420</v>
      </c>
      <c r="C107" s="79" t="s">
        <v>421</v>
      </c>
      <c r="D107" s="79" t="s">
        <v>0</v>
      </c>
      <c r="E107" s="79">
        <v>68427709</v>
      </c>
      <c r="F107" s="93">
        <v>150000</v>
      </c>
      <c r="G107" s="79" t="s">
        <v>302</v>
      </c>
      <c r="H107" s="79" t="s">
        <v>114</v>
      </c>
      <c r="I107" s="79" t="s">
        <v>248</v>
      </c>
      <c r="J107" s="79">
        <v>2019</v>
      </c>
      <c r="K107" s="79" t="s">
        <v>311</v>
      </c>
      <c r="L107" s="79" t="s">
        <v>422</v>
      </c>
    </row>
    <row r="108" spans="1:12" hidden="1" x14ac:dyDescent="0.25">
      <c r="A108" s="82">
        <v>43227</v>
      </c>
      <c r="B108" s="79" t="s">
        <v>423</v>
      </c>
      <c r="C108" s="79" t="s">
        <v>424</v>
      </c>
      <c r="D108" s="79" t="s">
        <v>0</v>
      </c>
      <c r="E108" s="79">
        <v>68427709</v>
      </c>
      <c r="F108" s="93">
        <v>-130000</v>
      </c>
      <c r="G108" s="79" t="s">
        <v>113</v>
      </c>
      <c r="H108" s="79" t="s">
        <v>114</v>
      </c>
      <c r="I108" s="79" t="s">
        <v>201</v>
      </c>
      <c r="J108" s="79">
        <v>2019</v>
      </c>
      <c r="K108" s="79" t="s">
        <v>263</v>
      </c>
      <c r="L108" s="79" t="s">
        <v>425</v>
      </c>
    </row>
    <row r="109" spans="1:12" hidden="1" x14ac:dyDescent="0.25">
      <c r="A109" s="82">
        <v>43227</v>
      </c>
      <c r="B109" s="79" t="s">
        <v>426</v>
      </c>
      <c r="C109" s="79" t="s">
        <v>427</v>
      </c>
      <c r="D109" s="79" t="s">
        <v>352</v>
      </c>
      <c r="E109" s="79">
        <v>68427709</v>
      </c>
      <c r="F109" s="93">
        <v>60000</v>
      </c>
      <c r="G109" s="79" t="s">
        <v>113</v>
      </c>
      <c r="H109" s="79" t="s">
        <v>114</v>
      </c>
      <c r="I109" s="79" t="s">
        <v>133</v>
      </c>
      <c r="J109" s="79">
        <v>2019</v>
      </c>
      <c r="K109" s="79" t="s">
        <v>116</v>
      </c>
      <c r="L109" s="79" t="s">
        <v>428</v>
      </c>
    </row>
    <row r="110" spans="1:12" hidden="1" x14ac:dyDescent="0.25">
      <c r="A110" s="82">
        <v>43238</v>
      </c>
      <c r="B110" s="79" t="s">
        <v>429</v>
      </c>
      <c r="C110" s="79" t="s">
        <v>430</v>
      </c>
      <c r="D110" s="79" t="s">
        <v>0</v>
      </c>
      <c r="E110" s="79">
        <v>68427709</v>
      </c>
      <c r="F110" s="93">
        <v>10000</v>
      </c>
      <c r="G110" s="79" t="s">
        <v>113</v>
      </c>
      <c r="H110" s="79" t="s">
        <v>114</v>
      </c>
      <c r="I110" s="79" t="s">
        <v>204</v>
      </c>
      <c r="J110" s="79">
        <v>2019</v>
      </c>
      <c r="K110" s="79" t="s">
        <v>171</v>
      </c>
      <c r="L110" s="79" t="s">
        <v>431</v>
      </c>
    </row>
    <row r="111" spans="1:12" hidden="1" x14ac:dyDescent="0.25">
      <c r="A111" s="82">
        <v>43241</v>
      </c>
      <c r="B111" s="79" t="s">
        <v>292</v>
      </c>
      <c r="C111" s="79" t="s">
        <v>432</v>
      </c>
      <c r="D111" s="79" t="s">
        <v>0</v>
      </c>
      <c r="E111" s="79">
        <v>68427709</v>
      </c>
      <c r="F111" s="93">
        <v>45000</v>
      </c>
      <c r="G111" s="79" t="s">
        <v>302</v>
      </c>
      <c r="H111" s="79" t="s">
        <v>114</v>
      </c>
      <c r="I111" s="79" t="s">
        <v>133</v>
      </c>
      <c r="J111" s="79">
        <v>2019</v>
      </c>
      <c r="K111" s="79" t="s">
        <v>433</v>
      </c>
      <c r="L111" s="79" t="s">
        <v>434</v>
      </c>
    </row>
    <row r="112" spans="1:12" hidden="1" x14ac:dyDescent="0.25">
      <c r="A112" s="82">
        <v>43241</v>
      </c>
      <c r="B112" s="79" t="s">
        <v>292</v>
      </c>
      <c r="C112" s="79" t="s">
        <v>435</v>
      </c>
      <c r="D112" s="79" t="s">
        <v>0</v>
      </c>
      <c r="E112" s="79">
        <v>68427709</v>
      </c>
      <c r="F112" s="93">
        <v>40000</v>
      </c>
      <c r="G112" s="79" t="s">
        <v>113</v>
      </c>
      <c r="H112" s="79" t="s">
        <v>114</v>
      </c>
      <c r="I112" s="79" t="s">
        <v>204</v>
      </c>
      <c r="J112" s="79">
        <v>2019</v>
      </c>
      <c r="K112" s="79" t="s">
        <v>433</v>
      </c>
      <c r="L112" s="79" t="s">
        <v>436</v>
      </c>
    </row>
    <row r="113" spans="1:12" hidden="1" x14ac:dyDescent="0.25">
      <c r="A113" s="82">
        <v>43264</v>
      </c>
      <c r="B113" s="79" t="s">
        <v>437</v>
      </c>
      <c r="C113" s="79" t="s">
        <v>438</v>
      </c>
      <c r="D113" s="79" t="s">
        <v>127</v>
      </c>
      <c r="E113" s="79">
        <v>68427709</v>
      </c>
      <c r="F113" s="93">
        <v>62000</v>
      </c>
      <c r="G113" s="79" t="s">
        <v>113</v>
      </c>
      <c r="H113" s="79" t="s">
        <v>114</v>
      </c>
      <c r="I113" s="79" t="s">
        <v>115</v>
      </c>
      <c r="J113" s="79">
        <v>2019</v>
      </c>
      <c r="K113" s="79" t="s">
        <v>179</v>
      </c>
      <c r="L113" s="79" t="s">
        <v>439</v>
      </c>
    </row>
    <row r="114" spans="1:12" hidden="1" x14ac:dyDescent="0.25">
      <c r="A114" s="82">
        <v>43264</v>
      </c>
      <c r="B114" s="79" t="s">
        <v>440</v>
      </c>
      <c r="C114" s="79" t="s">
        <v>441</v>
      </c>
      <c r="D114" s="79" t="s">
        <v>0</v>
      </c>
      <c r="E114" s="79">
        <v>68427709</v>
      </c>
      <c r="F114" s="93">
        <v>29000</v>
      </c>
      <c r="G114" s="79" t="s">
        <v>113</v>
      </c>
      <c r="H114" s="79" t="s">
        <v>114</v>
      </c>
      <c r="I114" s="79" t="s">
        <v>115</v>
      </c>
      <c r="J114" s="79">
        <v>2019</v>
      </c>
      <c r="K114" s="79" t="s">
        <v>290</v>
      </c>
      <c r="L114" s="79" t="s">
        <v>442</v>
      </c>
    </row>
    <row r="115" spans="1:12" hidden="1" x14ac:dyDescent="0.25">
      <c r="A115" s="78">
        <v>43266</v>
      </c>
      <c r="B115" s="79" t="s">
        <v>180</v>
      </c>
      <c r="C115" s="79" t="s">
        <v>443</v>
      </c>
      <c r="D115" s="79" t="s">
        <v>127</v>
      </c>
      <c r="E115" s="79">
        <v>68427709</v>
      </c>
      <c r="F115" s="93">
        <v>1395500</v>
      </c>
      <c r="G115" s="76" t="s">
        <v>113</v>
      </c>
      <c r="H115" s="79" t="s">
        <v>114</v>
      </c>
      <c r="I115" s="79" t="s">
        <v>128</v>
      </c>
      <c r="J115" s="76">
        <v>2019</v>
      </c>
      <c r="K115" s="79" t="s">
        <v>311</v>
      </c>
      <c r="L115" s="80" t="s">
        <v>444</v>
      </c>
    </row>
    <row r="116" spans="1:12" hidden="1" x14ac:dyDescent="0.25">
      <c r="A116" s="78">
        <v>43266</v>
      </c>
      <c r="B116" s="79" t="s">
        <v>183</v>
      </c>
      <c r="C116" s="79" t="s">
        <v>443</v>
      </c>
      <c r="D116" s="79" t="s">
        <v>127</v>
      </c>
      <c r="E116" s="79">
        <v>68427709</v>
      </c>
      <c r="F116" s="93">
        <v>942000</v>
      </c>
      <c r="G116" s="76" t="s">
        <v>113</v>
      </c>
      <c r="H116" s="79" t="s">
        <v>114</v>
      </c>
      <c r="I116" s="79" t="s">
        <v>128</v>
      </c>
      <c r="J116" s="76">
        <v>2019</v>
      </c>
      <c r="K116" s="79" t="s">
        <v>445</v>
      </c>
      <c r="L116" s="80" t="s">
        <v>446</v>
      </c>
    </row>
    <row r="117" spans="1:12" hidden="1" x14ac:dyDescent="0.25">
      <c r="A117" s="78">
        <v>43266</v>
      </c>
      <c r="B117" s="79" t="s">
        <v>184</v>
      </c>
      <c r="C117" s="79" t="s">
        <v>443</v>
      </c>
      <c r="D117" s="79" t="s">
        <v>127</v>
      </c>
      <c r="E117" s="79">
        <v>68427709</v>
      </c>
      <c r="F117" s="93">
        <v>312500</v>
      </c>
      <c r="G117" s="76" t="s">
        <v>113</v>
      </c>
      <c r="H117" s="79" t="s">
        <v>114</v>
      </c>
      <c r="I117" s="79" t="s">
        <v>128</v>
      </c>
      <c r="J117" s="76">
        <v>2019</v>
      </c>
      <c r="K117" s="79" t="s">
        <v>311</v>
      </c>
      <c r="L117" s="80" t="s">
        <v>447</v>
      </c>
    </row>
    <row r="118" spans="1:12" hidden="1" x14ac:dyDescent="0.25">
      <c r="A118" s="89">
        <v>43266</v>
      </c>
      <c r="B118" s="79" t="s">
        <v>448</v>
      </c>
      <c r="C118" s="79" t="s">
        <v>449</v>
      </c>
      <c r="D118" s="79" t="s">
        <v>127</v>
      </c>
      <c r="E118" s="79">
        <v>68427709</v>
      </c>
      <c r="F118" s="93">
        <v>916666.66666666674</v>
      </c>
      <c r="G118" s="76" t="s">
        <v>302</v>
      </c>
      <c r="H118" s="79" t="s">
        <v>114</v>
      </c>
      <c r="I118" s="79" t="s">
        <v>133</v>
      </c>
      <c r="J118" s="76">
        <v>2019</v>
      </c>
      <c r="K118" s="79" t="s">
        <v>175</v>
      </c>
      <c r="L118" s="90" t="s">
        <v>450</v>
      </c>
    </row>
    <row r="119" spans="1:12" hidden="1" x14ac:dyDescent="0.25">
      <c r="A119" s="82">
        <v>43266</v>
      </c>
      <c r="B119" s="79" t="s">
        <v>451</v>
      </c>
      <c r="C119" s="79" t="s">
        <v>452</v>
      </c>
      <c r="D119" s="79" t="s">
        <v>127</v>
      </c>
      <c r="E119" s="79">
        <v>68427709</v>
      </c>
      <c r="F119" s="93">
        <v>1800000</v>
      </c>
      <c r="G119" s="79" t="s">
        <v>113</v>
      </c>
      <c r="H119" s="79" t="s">
        <v>114</v>
      </c>
      <c r="I119" s="79" t="s">
        <v>133</v>
      </c>
      <c r="J119" s="79">
        <v>2019</v>
      </c>
      <c r="K119" s="79" t="s">
        <v>453</v>
      </c>
      <c r="L119" s="79" t="s">
        <v>454</v>
      </c>
    </row>
    <row r="120" spans="1:12" hidden="1" x14ac:dyDescent="0.25">
      <c r="A120" s="82">
        <v>43266</v>
      </c>
      <c r="B120" s="79" t="s">
        <v>455</v>
      </c>
      <c r="C120" s="79" t="s">
        <v>452</v>
      </c>
      <c r="D120" s="79" t="s">
        <v>127</v>
      </c>
      <c r="E120" s="79">
        <v>68427709</v>
      </c>
      <c r="F120" s="93">
        <v>200000</v>
      </c>
      <c r="G120" s="79" t="s">
        <v>113</v>
      </c>
      <c r="H120" s="79" t="s">
        <v>114</v>
      </c>
      <c r="I120" s="79" t="s">
        <v>133</v>
      </c>
      <c r="J120" s="79">
        <v>2019</v>
      </c>
      <c r="K120" s="79" t="s">
        <v>453</v>
      </c>
      <c r="L120" s="79" t="s">
        <v>456</v>
      </c>
    </row>
    <row r="121" spans="1:12" hidden="1" x14ac:dyDescent="0.25">
      <c r="A121" s="82">
        <v>43266</v>
      </c>
      <c r="B121" s="79" t="s">
        <v>457</v>
      </c>
      <c r="C121" s="79" t="s">
        <v>458</v>
      </c>
      <c r="D121" s="79" t="s">
        <v>352</v>
      </c>
      <c r="E121" s="79">
        <v>68427709</v>
      </c>
      <c r="F121" s="93">
        <v>70000</v>
      </c>
      <c r="G121" s="79" t="s">
        <v>113</v>
      </c>
      <c r="H121" s="79" t="s">
        <v>114</v>
      </c>
      <c r="I121" s="79" t="s">
        <v>133</v>
      </c>
      <c r="J121" s="79">
        <v>2019</v>
      </c>
      <c r="K121" s="79" t="s">
        <v>311</v>
      </c>
      <c r="L121" s="79"/>
    </row>
    <row r="122" spans="1:12" hidden="1" x14ac:dyDescent="0.25">
      <c r="A122" s="82">
        <v>43266</v>
      </c>
      <c r="B122" s="79" t="s">
        <v>459</v>
      </c>
      <c r="C122" s="79" t="s">
        <v>460</v>
      </c>
      <c r="D122" s="79" t="s">
        <v>461</v>
      </c>
      <c r="E122" s="79">
        <v>68427709</v>
      </c>
      <c r="F122" s="93">
        <v>185000</v>
      </c>
      <c r="G122" s="79" t="s">
        <v>302</v>
      </c>
      <c r="H122" s="79" t="s">
        <v>114</v>
      </c>
      <c r="I122" s="79" t="s">
        <v>133</v>
      </c>
      <c r="J122" s="79">
        <v>2019</v>
      </c>
      <c r="K122" s="79" t="s">
        <v>290</v>
      </c>
      <c r="L122" s="79" t="s">
        <v>462</v>
      </c>
    </row>
    <row r="123" spans="1:12" hidden="1" x14ac:dyDescent="0.25">
      <c r="A123" s="82">
        <v>43270</v>
      </c>
      <c r="B123" s="79" t="s">
        <v>463</v>
      </c>
      <c r="C123" s="79" t="s">
        <v>248</v>
      </c>
      <c r="D123" s="79" t="s">
        <v>0</v>
      </c>
      <c r="E123" s="79">
        <v>68427709</v>
      </c>
      <c r="F123" s="93">
        <v>50000</v>
      </c>
      <c r="G123" s="79" t="s">
        <v>113</v>
      </c>
      <c r="H123" s="79" t="s">
        <v>114</v>
      </c>
      <c r="I123" s="79" t="s">
        <v>248</v>
      </c>
      <c r="J123" s="79">
        <v>2019</v>
      </c>
      <c r="K123" s="79" t="s">
        <v>361</v>
      </c>
      <c r="L123" s="79" t="s">
        <v>464</v>
      </c>
    </row>
    <row r="124" spans="1:12" hidden="1" x14ac:dyDescent="0.25">
      <c r="A124" s="82">
        <v>43270</v>
      </c>
      <c r="B124" s="79" t="s">
        <v>463</v>
      </c>
      <c r="C124" s="79" t="s">
        <v>465</v>
      </c>
      <c r="D124" s="79" t="s">
        <v>0</v>
      </c>
      <c r="E124" s="79">
        <v>68427709</v>
      </c>
      <c r="F124" s="93">
        <v>150000</v>
      </c>
      <c r="G124" s="79" t="s">
        <v>113</v>
      </c>
      <c r="H124" s="79" t="s">
        <v>114</v>
      </c>
      <c r="I124" s="79" t="s">
        <v>133</v>
      </c>
      <c r="J124" s="79">
        <v>2019</v>
      </c>
      <c r="K124" s="79" t="s">
        <v>361</v>
      </c>
      <c r="L124" s="79" t="s">
        <v>466</v>
      </c>
    </row>
    <row r="125" spans="1:12" hidden="1" x14ac:dyDescent="0.25">
      <c r="A125" s="82">
        <v>43272</v>
      </c>
      <c r="B125" s="79" t="s">
        <v>352</v>
      </c>
      <c r="C125" s="79" t="s">
        <v>467</v>
      </c>
      <c r="D125" s="79" t="s">
        <v>352</v>
      </c>
      <c r="E125" s="79">
        <v>68427709</v>
      </c>
      <c r="F125" s="93">
        <v>22000</v>
      </c>
      <c r="G125" s="79" t="s">
        <v>113</v>
      </c>
      <c r="H125" s="79" t="s">
        <v>114</v>
      </c>
      <c r="I125" s="79" t="s">
        <v>133</v>
      </c>
      <c r="J125" s="79">
        <v>2019</v>
      </c>
      <c r="K125" s="79" t="s">
        <v>116</v>
      </c>
      <c r="L125" s="79" t="s">
        <v>468</v>
      </c>
    </row>
    <row r="126" spans="1:12" hidden="1" x14ac:dyDescent="0.25">
      <c r="A126" s="82">
        <v>43278</v>
      </c>
      <c r="B126" s="79" t="s">
        <v>236</v>
      </c>
      <c r="C126" s="79" t="s">
        <v>469</v>
      </c>
      <c r="D126" s="79" t="s">
        <v>0</v>
      </c>
      <c r="E126" s="79">
        <v>68427709</v>
      </c>
      <c r="F126" s="93">
        <v>125000</v>
      </c>
      <c r="G126" s="79" t="s">
        <v>113</v>
      </c>
      <c r="H126" s="79" t="s">
        <v>114</v>
      </c>
      <c r="I126" s="79" t="s">
        <v>204</v>
      </c>
      <c r="J126" s="79">
        <v>2019</v>
      </c>
      <c r="K126" s="79" t="s">
        <v>238</v>
      </c>
      <c r="L126" s="79" t="s">
        <v>470</v>
      </c>
    </row>
    <row r="127" spans="1:12" hidden="1" x14ac:dyDescent="0.25">
      <c r="A127" s="82">
        <v>43279</v>
      </c>
      <c r="B127" s="79" t="s">
        <v>471</v>
      </c>
      <c r="C127" s="79" t="s">
        <v>472</v>
      </c>
      <c r="D127" s="79" t="s">
        <v>127</v>
      </c>
      <c r="E127" s="79">
        <v>68427709</v>
      </c>
      <c r="F127" s="93">
        <v>116000</v>
      </c>
      <c r="G127" s="79" t="s">
        <v>113</v>
      </c>
      <c r="H127" s="79" t="s">
        <v>114</v>
      </c>
      <c r="I127" s="79" t="s">
        <v>204</v>
      </c>
      <c r="J127" s="79">
        <v>2019</v>
      </c>
      <c r="K127" s="79" t="s">
        <v>116</v>
      </c>
      <c r="L127" s="79" t="s">
        <v>473</v>
      </c>
    </row>
    <row r="128" spans="1:12" hidden="1" x14ac:dyDescent="0.25">
      <c r="A128" s="82">
        <v>43280</v>
      </c>
      <c r="B128" s="79" t="s">
        <v>474</v>
      </c>
      <c r="C128" s="79" t="s">
        <v>475</v>
      </c>
      <c r="D128" s="79" t="s">
        <v>0</v>
      </c>
      <c r="E128" s="79">
        <v>68427709</v>
      </c>
      <c r="F128" s="93">
        <v>60000</v>
      </c>
      <c r="G128" s="79" t="s">
        <v>113</v>
      </c>
      <c r="H128" s="79" t="s">
        <v>114</v>
      </c>
      <c r="I128" s="79" t="s">
        <v>248</v>
      </c>
      <c r="J128" s="79">
        <v>2019</v>
      </c>
      <c r="K128" s="79" t="s">
        <v>290</v>
      </c>
      <c r="L128" s="79" t="s">
        <v>476</v>
      </c>
    </row>
    <row r="129" spans="1:12" hidden="1" x14ac:dyDescent="0.25">
      <c r="A129" s="82">
        <v>43280</v>
      </c>
      <c r="B129" s="79" t="s">
        <v>477</v>
      </c>
      <c r="C129" s="79" t="s">
        <v>478</v>
      </c>
      <c r="D129" s="79" t="s">
        <v>461</v>
      </c>
      <c r="E129" s="79">
        <v>68427709</v>
      </c>
      <c r="F129" s="93">
        <f>96000+120000</f>
        <v>216000</v>
      </c>
      <c r="G129" s="79" t="s">
        <v>113</v>
      </c>
      <c r="H129" s="79" t="s">
        <v>114</v>
      </c>
      <c r="I129" s="79" t="s">
        <v>248</v>
      </c>
      <c r="J129" s="79">
        <v>2019</v>
      </c>
      <c r="K129" s="79" t="s">
        <v>279</v>
      </c>
      <c r="L129" s="79" t="s">
        <v>479</v>
      </c>
    </row>
    <row r="130" spans="1:12" hidden="1" x14ac:dyDescent="0.25">
      <c r="A130" s="82">
        <v>43285</v>
      </c>
      <c r="B130" s="79" t="s">
        <v>284</v>
      </c>
      <c r="C130" s="79" t="s">
        <v>480</v>
      </c>
      <c r="D130" s="79" t="s">
        <v>0</v>
      </c>
      <c r="E130" s="79">
        <v>68427709</v>
      </c>
      <c r="F130" s="93">
        <v>5000</v>
      </c>
      <c r="G130" s="79" t="s">
        <v>113</v>
      </c>
      <c r="H130" s="79" t="s">
        <v>114</v>
      </c>
      <c r="I130" s="79" t="s">
        <v>204</v>
      </c>
      <c r="J130" s="79">
        <v>2019</v>
      </c>
      <c r="K130" s="79" t="s">
        <v>481</v>
      </c>
      <c r="L130" s="79" t="s">
        <v>482</v>
      </c>
    </row>
    <row r="131" spans="1:12" hidden="1" x14ac:dyDescent="0.25">
      <c r="A131" s="82">
        <v>43286</v>
      </c>
      <c r="B131" s="79" t="s">
        <v>483</v>
      </c>
      <c r="C131" s="79" t="s">
        <v>484</v>
      </c>
      <c r="D131" s="79" t="s">
        <v>0</v>
      </c>
      <c r="E131" s="79">
        <v>68427709</v>
      </c>
      <c r="F131" s="93">
        <v>150000</v>
      </c>
      <c r="G131" s="79" t="s">
        <v>113</v>
      </c>
      <c r="H131" s="79" t="s">
        <v>114</v>
      </c>
      <c r="I131" s="79" t="s">
        <v>133</v>
      </c>
      <c r="J131" s="79">
        <v>2019</v>
      </c>
      <c r="K131" s="79" t="s">
        <v>116</v>
      </c>
      <c r="L131" s="79" t="s">
        <v>485</v>
      </c>
    </row>
    <row r="132" spans="1:12" hidden="1" x14ac:dyDescent="0.25">
      <c r="A132" s="82">
        <v>43286</v>
      </c>
      <c r="B132" s="79" t="s">
        <v>486</v>
      </c>
      <c r="C132" s="79" t="s">
        <v>487</v>
      </c>
      <c r="D132" s="79" t="s">
        <v>0</v>
      </c>
      <c r="E132" s="79">
        <v>68427709</v>
      </c>
      <c r="F132" s="93">
        <v>70000</v>
      </c>
      <c r="G132" s="79" t="s">
        <v>113</v>
      </c>
      <c r="H132" s="79" t="s">
        <v>114</v>
      </c>
      <c r="I132" s="79" t="s">
        <v>248</v>
      </c>
      <c r="J132" s="79">
        <v>2019</v>
      </c>
      <c r="K132" s="79" t="s">
        <v>116</v>
      </c>
      <c r="L132" s="79" t="s">
        <v>488</v>
      </c>
    </row>
    <row r="133" spans="1:12" hidden="1" x14ac:dyDescent="0.25">
      <c r="A133" s="82">
        <v>43286</v>
      </c>
      <c r="B133" s="79" t="s">
        <v>489</v>
      </c>
      <c r="C133" s="79" t="s">
        <v>490</v>
      </c>
      <c r="D133" s="79" t="s">
        <v>0</v>
      </c>
      <c r="E133" s="79">
        <v>68427709</v>
      </c>
      <c r="F133" s="93">
        <v>50000</v>
      </c>
      <c r="G133" s="79" t="s">
        <v>113</v>
      </c>
      <c r="H133" s="79" t="s">
        <v>114</v>
      </c>
      <c r="I133" s="79" t="s">
        <v>491</v>
      </c>
      <c r="J133" s="79">
        <v>2019</v>
      </c>
      <c r="K133" s="79" t="s">
        <v>116</v>
      </c>
      <c r="L133" s="79" t="s">
        <v>492</v>
      </c>
    </row>
    <row r="134" spans="1:12" hidden="1" x14ac:dyDescent="0.25">
      <c r="A134" s="82">
        <v>43286</v>
      </c>
      <c r="B134" s="79" t="s">
        <v>493</v>
      </c>
      <c r="C134" s="79" t="s">
        <v>494</v>
      </c>
      <c r="D134" s="79" t="s">
        <v>0</v>
      </c>
      <c r="E134" s="79">
        <v>68427709</v>
      </c>
      <c r="F134" s="93">
        <v>150000</v>
      </c>
      <c r="G134" s="79" t="s">
        <v>113</v>
      </c>
      <c r="H134" s="79" t="s">
        <v>114</v>
      </c>
      <c r="I134" s="79" t="s">
        <v>491</v>
      </c>
      <c r="J134" s="79">
        <v>2019</v>
      </c>
      <c r="K134" s="79" t="s">
        <v>376</v>
      </c>
      <c r="L134" s="79" t="s">
        <v>495</v>
      </c>
    </row>
    <row r="135" spans="1:12" hidden="1" x14ac:dyDescent="0.25">
      <c r="A135" s="82">
        <v>43286</v>
      </c>
      <c r="B135" s="79" t="s">
        <v>496</v>
      </c>
      <c r="C135" s="79" t="s">
        <v>496</v>
      </c>
      <c r="D135" s="79" t="s">
        <v>497</v>
      </c>
      <c r="E135" s="79">
        <v>68427709</v>
      </c>
      <c r="F135" s="93">
        <v>-10000</v>
      </c>
      <c r="G135" s="79" t="s">
        <v>113</v>
      </c>
      <c r="H135" s="79" t="s">
        <v>114</v>
      </c>
      <c r="I135" s="79" t="s">
        <v>133</v>
      </c>
      <c r="J135" s="79">
        <v>2019</v>
      </c>
      <c r="K135" s="79" t="s">
        <v>376</v>
      </c>
      <c r="L135" s="79" t="s">
        <v>498</v>
      </c>
    </row>
    <row r="136" spans="1:12" hidden="1" x14ac:dyDescent="0.25">
      <c r="A136" s="82">
        <v>43286</v>
      </c>
      <c r="B136" s="79" t="s">
        <v>499</v>
      </c>
      <c r="C136" s="79" t="s">
        <v>500</v>
      </c>
      <c r="D136" s="79" t="s">
        <v>497</v>
      </c>
      <c r="E136" s="79">
        <v>68427709</v>
      </c>
      <c r="F136" s="93">
        <v>-10000</v>
      </c>
      <c r="G136" s="79" t="s">
        <v>113</v>
      </c>
      <c r="H136" s="79" t="s">
        <v>114</v>
      </c>
      <c r="I136" s="79" t="s">
        <v>133</v>
      </c>
      <c r="J136" s="79">
        <v>2019</v>
      </c>
      <c r="K136" s="79" t="s">
        <v>376</v>
      </c>
      <c r="L136" s="79" t="s">
        <v>498</v>
      </c>
    </row>
    <row r="137" spans="1:12" hidden="1" x14ac:dyDescent="0.25">
      <c r="A137" s="82">
        <v>43286</v>
      </c>
      <c r="B137" s="79" t="s">
        <v>501</v>
      </c>
      <c r="C137" s="79" t="s">
        <v>501</v>
      </c>
      <c r="D137" s="79" t="s">
        <v>0</v>
      </c>
      <c r="E137" s="79">
        <v>68427709</v>
      </c>
      <c r="F137" s="93">
        <v>-80000</v>
      </c>
      <c r="G137" s="79" t="s">
        <v>113</v>
      </c>
      <c r="H137" s="79" t="s">
        <v>114</v>
      </c>
      <c r="I137" s="79" t="s">
        <v>204</v>
      </c>
      <c r="J137" s="79">
        <v>2019</v>
      </c>
      <c r="K137" s="79" t="s">
        <v>376</v>
      </c>
      <c r="L137" s="79" t="s">
        <v>502</v>
      </c>
    </row>
    <row r="138" spans="1:12" hidden="1" x14ac:dyDescent="0.25">
      <c r="A138" s="82">
        <v>43286</v>
      </c>
      <c r="B138" s="79" t="s">
        <v>503</v>
      </c>
      <c r="C138" s="79" t="s">
        <v>504</v>
      </c>
      <c r="D138" s="79" t="s">
        <v>0</v>
      </c>
      <c r="E138" s="79">
        <v>68427709</v>
      </c>
      <c r="F138" s="93">
        <v>0</v>
      </c>
      <c r="G138" s="79" t="s">
        <v>302</v>
      </c>
      <c r="H138" s="79" t="s">
        <v>114</v>
      </c>
      <c r="I138" s="79" t="s">
        <v>122</v>
      </c>
      <c r="J138" s="79">
        <v>2019</v>
      </c>
      <c r="K138" s="79" t="s">
        <v>290</v>
      </c>
      <c r="L138" s="79" t="s">
        <v>505</v>
      </c>
    </row>
    <row r="139" spans="1:12" hidden="1" x14ac:dyDescent="0.25">
      <c r="A139" s="82">
        <v>43286</v>
      </c>
      <c r="B139" s="79" t="s">
        <v>506</v>
      </c>
      <c r="C139" s="79" t="s">
        <v>506</v>
      </c>
      <c r="D139" s="79" t="s">
        <v>0</v>
      </c>
      <c r="E139" s="79">
        <v>68427709</v>
      </c>
      <c r="F139" s="93">
        <v>100000</v>
      </c>
      <c r="G139" s="79" t="s">
        <v>302</v>
      </c>
      <c r="H139" s="79" t="s">
        <v>114</v>
      </c>
      <c r="I139" s="79" t="s">
        <v>491</v>
      </c>
      <c r="J139" s="79">
        <v>2019</v>
      </c>
      <c r="K139" s="79" t="s">
        <v>376</v>
      </c>
      <c r="L139" s="79" t="s">
        <v>507</v>
      </c>
    </row>
    <row r="140" spans="1:12" hidden="1" x14ac:dyDescent="0.25">
      <c r="A140" s="82">
        <v>43286</v>
      </c>
      <c r="B140" s="79" t="s">
        <v>508</v>
      </c>
      <c r="C140" s="79" t="s">
        <v>508</v>
      </c>
      <c r="D140" s="79" t="s">
        <v>0</v>
      </c>
      <c r="E140" s="79">
        <v>68427709</v>
      </c>
      <c r="F140" s="93">
        <v>150000</v>
      </c>
      <c r="G140" s="79" t="s">
        <v>302</v>
      </c>
      <c r="H140" s="79" t="s">
        <v>114</v>
      </c>
      <c r="I140" s="79" t="s">
        <v>491</v>
      </c>
      <c r="J140" s="79">
        <v>2019</v>
      </c>
      <c r="K140" s="79" t="s">
        <v>376</v>
      </c>
      <c r="L140" s="79" t="s">
        <v>509</v>
      </c>
    </row>
    <row r="141" spans="1:12" hidden="1" x14ac:dyDescent="0.25">
      <c r="A141" s="82">
        <v>43286</v>
      </c>
      <c r="B141" s="79" t="s">
        <v>510</v>
      </c>
      <c r="C141" s="79" t="s">
        <v>510</v>
      </c>
      <c r="D141" s="79" t="s">
        <v>0</v>
      </c>
      <c r="E141" s="79">
        <v>68427709</v>
      </c>
      <c r="F141" s="93">
        <v>118000</v>
      </c>
      <c r="G141" s="79" t="s">
        <v>113</v>
      </c>
      <c r="H141" s="79" t="s">
        <v>114</v>
      </c>
      <c r="I141" s="79" t="s">
        <v>204</v>
      </c>
      <c r="J141" s="79">
        <v>2019</v>
      </c>
      <c r="K141" s="79" t="s">
        <v>376</v>
      </c>
      <c r="L141" s="79" t="s">
        <v>511</v>
      </c>
    </row>
    <row r="142" spans="1:12" hidden="1" x14ac:dyDescent="0.25">
      <c r="A142" s="82">
        <v>43287</v>
      </c>
      <c r="B142" s="79" t="s">
        <v>512</v>
      </c>
      <c r="C142" s="79" t="s">
        <v>513</v>
      </c>
      <c r="D142" s="79" t="s">
        <v>0</v>
      </c>
      <c r="E142" s="79">
        <v>68427709</v>
      </c>
      <c r="F142" s="93">
        <v>100000</v>
      </c>
      <c r="G142" s="79" t="s">
        <v>113</v>
      </c>
      <c r="H142" s="79" t="s">
        <v>114</v>
      </c>
      <c r="I142" s="79" t="s">
        <v>133</v>
      </c>
      <c r="J142" s="79">
        <v>2019</v>
      </c>
      <c r="K142" s="79" t="s">
        <v>116</v>
      </c>
      <c r="L142" s="79" t="s">
        <v>514</v>
      </c>
    </row>
    <row r="143" spans="1:12" hidden="1" x14ac:dyDescent="0.25">
      <c r="A143" s="82">
        <v>43290</v>
      </c>
      <c r="B143" s="79" t="s">
        <v>515</v>
      </c>
      <c r="C143" s="79" t="s">
        <v>516</v>
      </c>
      <c r="D143" s="79" t="s">
        <v>0</v>
      </c>
      <c r="E143" s="79">
        <v>68427709</v>
      </c>
      <c r="F143" s="93">
        <v>36000</v>
      </c>
      <c r="G143" s="79" t="s">
        <v>302</v>
      </c>
      <c r="H143" s="79" t="s">
        <v>114</v>
      </c>
      <c r="I143" s="79" t="s">
        <v>248</v>
      </c>
      <c r="J143" s="79">
        <v>2019</v>
      </c>
      <c r="K143" s="79" t="s">
        <v>290</v>
      </c>
      <c r="L143" s="79" t="s">
        <v>517</v>
      </c>
    </row>
    <row r="144" spans="1:12" hidden="1" x14ac:dyDescent="0.25">
      <c r="A144" s="82">
        <v>43290</v>
      </c>
      <c r="B144" s="79" t="s">
        <v>518</v>
      </c>
      <c r="C144" s="79" t="s">
        <v>519</v>
      </c>
      <c r="D144" s="79" t="s">
        <v>0</v>
      </c>
      <c r="E144" s="79">
        <v>68427709</v>
      </c>
      <c r="F144" s="93">
        <v>-26900.000000000004</v>
      </c>
      <c r="G144" s="79" t="s">
        <v>302</v>
      </c>
      <c r="H144" s="79" t="s">
        <v>114</v>
      </c>
      <c r="I144" s="79" t="s">
        <v>204</v>
      </c>
      <c r="J144" s="79">
        <v>2019</v>
      </c>
      <c r="K144" s="79" t="s">
        <v>116</v>
      </c>
      <c r="L144" s="79" t="s">
        <v>520</v>
      </c>
    </row>
    <row r="145" spans="1:12" hidden="1" x14ac:dyDescent="0.25">
      <c r="A145" s="82">
        <v>43293</v>
      </c>
      <c r="B145" s="79" t="s">
        <v>521</v>
      </c>
      <c r="C145" s="79" t="s">
        <v>522</v>
      </c>
      <c r="D145" s="79" t="s">
        <v>0</v>
      </c>
      <c r="E145" s="79">
        <v>68427709</v>
      </c>
      <c r="F145" s="93">
        <v>120000</v>
      </c>
      <c r="G145" s="79" t="s">
        <v>113</v>
      </c>
      <c r="H145" s="79" t="s">
        <v>114</v>
      </c>
      <c r="I145" s="79" t="s">
        <v>204</v>
      </c>
      <c r="J145" s="79">
        <v>2019</v>
      </c>
      <c r="K145" s="79" t="s">
        <v>523</v>
      </c>
      <c r="L145" s="79" t="s">
        <v>524</v>
      </c>
    </row>
    <row r="146" spans="1:12" hidden="1" x14ac:dyDescent="0.25">
      <c r="A146" s="82">
        <v>43293</v>
      </c>
      <c r="B146" s="79" t="s">
        <v>525</v>
      </c>
      <c r="C146" s="79" t="s">
        <v>526</v>
      </c>
      <c r="D146" s="79" t="s">
        <v>0</v>
      </c>
      <c r="E146" s="79">
        <v>68427709</v>
      </c>
      <c r="F146" s="93">
        <v>-11000</v>
      </c>
      <c r="G146" s="79" t="s">
        <v>113</v>
      </c>
      <c r="H146" s="79" t="s">
        <v>114</v>
      </c>
      <c r="I146" s="79" t="s">
        <v>133</v>
      </c>
      <c r="J146" s="79">
        <v>2019</v>
      </c>
      <c r="K146" s="79" t="s">
        <v>179</v>
      </c>
      <c r="L146" s="79" t="s">
        <v>527</v>
      </c>
    </row>
    <row r="147" spans="1:12" hidden="1" x14ac:dyDescent="0.25">
      <c r="A147" s="82">
        <v>43293</v>
      </c>
      <c r="B147" s="79" t="s">
        <v>528</v>
      </c>
      <c r="C147" s="79" t="s">
        <v>529</v>
      </c>
      <c r="D147" s="79" t="s">
        <v>0</v>
      </c>
      <c r="E147" s="79">
        <v>68427709</v>
      </c>
      <c r="F147" s="93">
        <v>-2360</v>
      </c>
      <c r="G147" s="79" t="s">
        <v>113</v>
      </c>
      <c r="H147" s="79" t="s">
        <v>114</v>
      </c>
      <c r="I147" s="79" t="s">
        <v>204</v>
      </c>
      <c r="J147" s="79">
        <v>2019</v>
      </c>
      <c r="K147" s="79" t="s">
        <v>116</v>
      </c>
      <c r="L147" s="79"/>
    </row>
    <row r="148" spans="1:12" hidden="1" x14ac:dyDescent="0.25">
      <c r="A148" s="82">
        <v>43293</v>
      </c>
      <c r="B148" s="79" t="s">
        <v>530</v>
      </c>
      <c r="C148" s="79" t="s">
        <v>531</v>
      </c>
      <c r="D148" s="79" t="s">
        <v>0</v>
      </c>
      <c r="E148" s="79">
        <v>68427709</v>
      </c>
      <c r="F148" s="93">
        <v>150</v>
      </c>
      <c r="G148" s="79" t="s">
        <v>113</v>
      </c>
      <c r="H148" s="79" t="s">
        <v>114</v>
      </c>
      <c r="I148" s="79" t="s">
        <v>204</v>
      </c>
      <c r="J148" s="79">
        <v>2019</v>
      </c>
      <c r="K148" s="79" t="s">
        <v>116</v>
      </c>
      <c r="L148" s="79" t="s">
        <v>532</v>
      </c>
    </row>
    <row r="149" spans="1:12" hidden="1" x14ac:dyDescent="0.25">
      <c r="A149" s="82">
        <v>43297</v>
      </c>
      <c r="B149" s="79" t="s">
        <v>250</v>
      </c>
      <c r="C149" s="79" t="s">
        <v>533</v>
      </c>
      <c r="D149" s="79" t="s">
        <v>0</v>
      </c>
      <c r="E149" s="79">
        <v>68427709</v>
      </c>
      <c r="F149" s="93">
        <v>-10000</v>
      </c>
      <c r="G149" s="79" t="s">
        <v>113</v>
      </c>
      <c r="H149" s="79" t="s">
        <v>114</v>
      </c>
      <c r="I149" s="79" t="s">
        <v>204</v>
      </c>
      <c r="J149" s="79">
        <v>2019</v>
      </c>
      <c r="K149" s="79" t="s">
        <v>309</v>
      </c>
      <c r="L149" s="79" t="s">
        <v>534</v>
      </c>
    </row>
    <row r="150" spans="1:12" hidden="1" x14ac:dyDescent="0.25">
      <c r="A150" s="82">
        <v>43297</v>
      </c>
      <c r="B150" s="79" t="s">
        <v>307</v>
      </c>
      <c r="C150" s="79" t="s">
        <v>535</v>
      </c>
      <c r="D150" s="79" t="s">
        <v>0</v>
      </c>
      <c r="E150" s="79">
        <v>68427709</v>
      </c>
      <c r="F150" s="93">
        <v>30000</v>
      </c>
      <c r="G150" s="79" t="s">
        <v>113</v>
      </c>
      <c r="H150" s="79" t="s">
        <v>114</v>
      </c>
      <c r="I150" s="79" t="s">
        <v>204</v>
      </c>
      <c r="J150" s="79">
        <v>2019</v>
      </c>
      <c r="K150" s="79" t="s">
        <v>309</v>
      </c>
      <c r="L150" s="79" t="s">
        <v>536</v>
      </c>
    </row>
    <row r="151" spans="1:12" hidden="1" x14ac:dyDescent="0.25">
      <c r="A151" s="82">
        <v>43297</v>
      </c>
      <c r="B151" s="79" t="s">
        <v>537</v>
      </c>
      <c r="C151" s="79" t="s">
        <v>538</v>
      </c>
      <c r="D151" s="79" t="s">
        <v>0</v>
      </c>
      <c r="E151" s="79">
        <v>68427709</v>
      </c>
      <c r="F151" s="93">
        <v>-16850</v>
      </c>
      <c r="G151" s="79" t="s">
        <v>113</v>
      </c>
      <c r="H151" s="79" t="s">
        <v>114</v>
      </c>
      <c r="I151" s="79" t="s">
        <v>491</v>
      </c>
      <c r="J151" s="79">
        <v>2019</v>
      </c>
      <c r="K151" s="79" t="s">
        <v>116</v>
      </c>
      <c r="L151" s="79" t="s">
        <v>539</v>
      </c>
    </row>
    <row r="152" spans="1:12" hidden="1" x14ac:dyDescent="0.25">
      <c r="A152" s="82">
        <v>43300</v>
      </c>
      <c r="B152" s="79" t="s">
        <v>540</v>
      </c>
      <c r="C152" s="79" t="s">
        <v>541</v>
      </c>
      <c r="D152" s="79" t="s">
        <v>127</v>
      </c>
      <c r="E152" s="79">
        <v>68427709</v>
      </c>
      <c r="F152" s="93">
        <v>42000</v>
      </c>
      <c r="G152" s="79" t="s">
        <v>113</v>
      </c>
      <c r="H152" s="79" t="s">
        <v>114</v>
      </c>
      <c r="I152" s="79" t="s">
        <v>204</v>
      </c>
      <c r="J152" s="79">
        <v>2019</v>
      </c>
      <c r="K152" s="79" t="s">
        <v>542</v>
      </c>
      <c r="L152" s="79" t="s">
        <v>543</v>
      </c>
    </row>
    <row r="153" spans="1:12" hidden="1" x14ac:dyDescent="0.25">
      <c r="A153" s="82">
        <v>43300</v>
      </c>
      <c r="B153" s="79" t="s">
        <v>544</v>
      </c>
      <c r="C153" s="79" t="s">
        <v>545</v>
      </c>
      <c r="D153" s="79" t="s">
        <v>127</v>
      </c>
      <c r="E153" s="79">
        <v>68427709</v>
      </c>
      <c r="F153" s="93">
        <v>95000</v>
      </c>
      <c r="G153" s="79" t="s">
        <v>113</v>
      </c>
      <c r="H153" s="79" t="s">
        <v>114</v>
      </c>
      <c r="I153" s="79" t="s">
        <v>204</v>
      </c>
      <c r="J153" s="79">
        <v>2019</v>
      </c>
      <c r="K153" s="79" t="s">
        <v>542</v>
      </c>
      <c r="L153" s="79" t="s">
        <v>546</v>
      </c>
    </row>
    <row r="154" spans="1:12" hidden="1" x14ac:dyDescent="0.25">
      <c r="A154" s="82">
        <v>43300</v>
      </c>
      <c r="B154" s="79" t="s">
        <v>547</v>
      </c>
      <c r="C154" s="79" t="s">
        <v>548</v>
      </c>
      <c r="D154" s="79" t="s">
        <v>127</v>
      </c>
      <c r="E154" s="79">
        <v>68427709</v>
      </c>
      <c r="F154" s="93">
        <v>100000</v>
      </c>
      <c r="G154" s="79" t="s">
        <v>302</v>
      </c>
      <c r="H154" s="79" t="s">
        <v>114</v>
      </c>
      <c r="I154" s="79" t="s">
        <v>204</v>
      </c>
      <c r="J154" s="79">
        <v>2019</v>
      </c>
      <c r="K154" s="79" t="s">
        <v>116</v>
      </c>
      <c r="L154" s="79" t="s">
        <v>549</v>
      </c>
    </row>
    <row r="155" spans="1:12" hidden="1" x14ac:dyDescent="0.25">
      <c r="A155" s="82">
        <v>43304</v>
      </c>
      <c r="B155" s="79" t="s">
        <v>550</v>
      </c>
      <c r="C155" s="79" t="s">
        <v>551</v>
      </c>
      <c r="D155" s="79" t="s">
        <v>127</v>
      </c>
      <c r="E155" s="79">
        <v>68427709</v>
      </c>
      <c r="F155" s="93">
        <v>200000</v>
      </c>
      <c r="G155" s="79" t="s">
        <v>302</v>
      </c>
      <c r="H155" s="79" t="s">
        <v>114</v>
      </c>
      <c r="I155" s="79" t="s">
        <v>491</v>
      </c>
      <c r="J155" s="79">
        <v>2019</v>
      </c>
      <c r="K155" s="79" t="s">
        <v>116</v>
      </c>
      <c r="L155" s="79" t="s">
        <v>552</v>
      </c>
    </row>
    <row r="156" spans="1:12" hidden="1" x14ac:dyDescent="0.25">
      <c r="A156" s="82">
        <v>43305</v>
      </c>
      <c r="B156" s="79" t="s">
        <v>553</v>
      </c>
      <c r="C156" s="79" t="s">
        <v>554</v>
      </c>
      <c r="D156" s="79"/>
      <c r="E156" s="79">
        <v>68427709</v>
      </c>
      <c r="F156" s="93">
        <v>50000</v>
      </c>
      <c r="G156" s="79" t="s">
        <v>113</v>
      </c>
      <c r="H156" s="79" t="s">
        <v>114</v>
      </c>
      <c r="I156" s="79" t="s">
        <v>133</v>
      </c>
      <c r="J156" s="79">
        <v>2019</v>
      </c>
      <c r="K156" s="79" t="s">
        <v>555</v>
      </c>
      <c r="L156" s="79" t="s">
        <v>554</v>
      </c>
    </row>
    <row r="157" spans="1:12" hidden="1" x14ac:dyDescent="0.25">
      <c r="A157" s="82">
        <v>43305</v>
      </c>
      <c r="B157" s="79" t="s">
        <v>556</v>
      </c>
      <c r="C157" s="79" t="s">
        <v>557</v>
      </c>
      <c r="D157" s="79" t="s">
        <v>558</v>
      </c>
      <c r="E157" s="79">
        <v>68427709</v>
      </c>
      <c r="F157" s="93">
        <v>-127000</v>
      </c>
      <c r="G157" s="79" t="s">
        <v>113</v>
      </c>
      <c r="H157" s="79" t="s">
        <v>114</v>
      </c>
      <c r="I157" s="79" t="s">
        <v>204</v>
      </c>
      <c r="J157" s="79">
        <v>2019</v>
      </c>
      <c r="K157" s="79" t="s">
        <v>290</v>
      </c>
      <c r="L157" s="79" t="s">
        <v>559</v>
      </c>
    </row>
    <row r="158" spans="1:12" hidden="1" x14ac:dyDescent="0.25">
      <c r="A158" s="82">
        <v>43305</v>
      </c>
      <c r="B158" s="79" t="s">
        <v>437</v>
      </c>
      <c r="C158" s="32" t="s">
        <v>560</v>
      </c>
      <c r="D158" s="79" t="s">
        <v>0</v>
      </c>
      <c r="E158" s="79">
        <v>68427709</v>
      </c>
      <c r="F158" s="93">
        <v>-260000</v>
      </c>
      <c r="G158" s="79" t="s">
        <v>113</v>
      </c>
      <c r="H158" s="79" t="s">
        <v>114</v>
      </c>
      <c r="I158" s="79" t="s">
        <v>115</v>
      </c>
      <c r="J158" s="79">
        <v>2019</v>
      </c>
      <c r="K158" s="79" t="s">
        <v>116</v>
      </c>
      <c r="L158" s="79" t="s">
        <v>561</v>
      </c>
    </row>
    <row r="159" spans="1:12" hidden="1" x14ac:dyDescent="0.25">
      <c r="A159" s="82">
        <v>43309</v>
      </c>
      <c r="B159" s="79" t="s">
        <v>400</v>
      </c>
      <c r="C159" s="79" t="s">
        <v>562</v>
      </c>
      <c r="D159" s="79" t="s">
        <v>0</v>
      </c>
      <c r="E159" s="79">
        <v>68427709</v>
      </c>
      <c r="F159" s="93">
        <v>5000</v>
      </c>
      <c r="G159" s="79" t="s">
        <v>113</v>
      </c>
      <c r="H159" s="79" t="s">
        <v>114</v>
      </c>
      <c r="I159" s="79" t="s">
        <v>204</v>
      </c>
      <c r="J159" s="79">
        <v>2019</v>
      </c>
      <c r="K159" s="79" t="s">
        <v>116</v>
      </c>
      <c r="L159" s="79" t="s">
        <v>563</v>
      </c>
    </row>
    <row r="160" spans="1:12" hidden="1" x14ac:dyDescent="0.25">
      <c r="A160" s="82">
        <v>43311</v>
      </c>
      <c r="B160" s="79" t="s">
        <v>564</v>
      </c>
      <c r="C160" s="79" t="s">
        <v>565</v>
      </c>
      <c r="D160" s="79" t="s">
        <v>0</v>
      </c>
      <c r="E160" s="79">
        <v>68427709</v>
      </c>
      <c r="F160" s="93">
        <v>-16700</v>
      </c>
      <c r="G160" s="79" t="s">
        <v>113</v>
      </c>
      <c r="H160" s="79" t="s">
        <v>114</v>
      </c>
      <c r="I160" s="79" t="s">
        <v>204</v>
      </c>
      <c r="J160" s="79">
        <v>2019</v>
      </c>
      <c r="K160" s="79" t="s">
        <v>116</v>
      </c>
      <c r="L160" s="79" t="s">
        <v>566</v>
      </c>
    </row>
    <row r="161" spans="1:12" hidden="1" x14ac:dyDescent="0.25">
      <c r="A161" s="82">
        <v>43311</v>
      </c>
      <c r="B161" s="79" t="s">
        <v>567</v>
      </c>
      <c r="C161" s="79" t="s">
        <v>65</v>
      </c>
      <c r="D161" s="79" t="s">
        <v>461</v>
      </c>
      <c r="E161" s="79">
        <v>68427709</v>
      </c>
      <c r="F161" s="93">
        <v>250000</v>
      </c>
      <c r="G161" s="79" t="s">
        <v>302</v>
      </c>
      <c r="H161" s="79" t="s">
        <v>114</v>
      </c>
      <c r="I161" s="79" t="s">
        <v>248</v>
      </c>
      <c r="J161" s="79">
        <v>2019</v>
      </c>
      <c r="K161" s="79" t="s">
        <v>290</v>
      </c>
      <c r="L161" s="79" t="s">
        <v>568</v>
      </c>
    </row>
    <row r="162" spans="1:12" hidden="1" x14ac:dyDescent="0.25">
      <c r="A162" s="82">
        <v>43311</v>
      </c>
      <c r="B162" s="79" t="s">
        <v>567</v>
      </c>
      <c r="C162" s="79" t="s">
        <v>65</v>
      </c>
      <c r="D162" s="79" t="s">
        <v>352</v>
      </c>
      <c r="E162" s="79">
        <v>68427709</v>
      </c>
      <c r="F162" s="93">
        <v>250000</v>
      </c>
      <c r="G162" s="79" t="s">
        <v>302</v>
      </c>
      <c r="H162" s="79" t="s">
        <v>114</v>
      </c>
      <c r="I162" s="79" t="s">
        <v>248</v>
      </c>
      <c r="J162" s="79">
        <v>2019</v>
      </c>
      <c r="K162" s="79" t="s">
        <v>290</v>
      </c>
      <c r="L162" s="79" t="s">
        <v>569</v>
      </c>
    </row>
    <row r="163" spans="1:12" hidden="1" x14ac:dyDescent="0.25">
      <c r="A163" s="82">
        <v>43311</v>
      </c>
      <c r="B163" s="91" t="s">
        <v>570</v>
      </c>
      <c r="C163" s="91" t="s">
        <v>35</v>
      </c>
      <c r="D163" s="91" t="s">
        <v>461</v>
      </c>
      <c r="E163" s="91">
        <v>68427709</v>
      </c>
      <c r="F163" s="93">
        <v>20000</v>
      </c>
      <c r="G163" s="79" t="s">
        <v>113</v>
      </c>
      <c r="H163" s="79" t="s">
        <v>114</v>
      </c>
      <c r="I163" s="79" t="s">
        <v>248</v>
      </c>
      <c r="J163" s="79">
        <v>2019</v>
      </c>
      <c r="K163" s="79" t="s">
        <v>290</v>
      </c>
      <c r="L163" s="79"/>
    </row>
    <row r="164" spans="1:12" hidden="1" x14ac:dyDescent="0.25">
      <c r="A164" s="82">
        <v>43311</v>
      </c>
      <c r="B164" s="79" t="s">
        <v>571</v>
      </c>
      <c r="C164" s="79" t="s">
        <v>56</v>
      </c>
      <c r="D164" s="79" t="s">
        <v>572</v>
      </c>
      <c r="E164" s="79">
        <v>68427709</v>
      </c>
      <c r="F164" s="93">
        <v>750000</v>
      </c>
      <c r="G164" s="79" t="s">
        <v>302</v>
      </c>
      <c r="H164" s="79" t="s">
        <v>114</v>
      </c>
      <c r="I164" s="79" t="s">
        <v>122</v>
      </c>
      <c r="J164" s="79">
        <v>2019</v>
      </c>
      <c r="K164" s="79" t="s">
        <v>290</v>
      </c>
      <c r="L164" s="79" t="s">
        <v>573</v>
      </c>
    </row>
    <row r="165" spans="1:12" hidden="1" x14ac:dyDescent="0.25">
      <c r="A165" s="82">
        <v>43311</v>
      </c>
      <c r="B165" s="79" t="s">
        <v>574</v>
      </c>
      <c r="C165" s="79" t="s">
        <v>56</v>
      </c>
      <c r="D165" s="79" t="s">
        <v>572</v>
      </c>
      <c r="E165" s="79">
        <v>68427709</v>
      </c>
      <c r="F165" s="93">
        <v>489000</v>
      </c>
      <c r="G165" s="79" t="s">
        <v>302</v>
      </c>
      <c r="H165" s="79" t="s">
        <v>114</v>
      </c>
      <c r="I165" s="79" t="s">
        <v>122</v>
      </c>
      <c r="J165" s="79">
        <v>2019</v>
      </c>
      <c r="K165" s="79" t="s">
        <v>290</v>
      </c>
      <c r="L165" s="79" t="s">
        <v>573</v>
      </c>
    </row>
    <row r="166" spans="1:12" hidden="1" x14ac:dyDescent="0.25">
      <c r="A166" s="82">
        <v>43311</v>
      </c>
      <c r="B166" s="79" t="s">
        <v>40</v>
      </c>
      <c r="C166" s="79" t="s">
        <v>56</v>
      </c>
      <c r="D166" s="79" t="s">
        <v>572</v>
      </c>
      <c r="E166" s="79">
        <v>68427709</v>
      </c>
      <c r="F166" s="93">
        <v>355200</v>
      </c>
      <c r="G166" s="79" t="s">
        <v>113</v>
      </c>
      <c r="H166" s="79" t="s">
        <v>114</v>
      </c>
      <c r="I166" s="79" t="s">
        <v>122</v>
      </c>
      <c r="J166" s="79">
        <v>2019</v>
      </c>
      <c r="K166" s="79" t="s">
        <v>290</v>
      </c>
      <c r="L166" s="79" t="s">
        <v>573</v>
      </c>
    </row>
    <row r="167" spans="1:12" hidden="1" x14ac:dyDescent="0.25">
      <c r="A167" s="82">
        <v>43311</v>
      </c>
      <c r="B167" s="79" t="s">
        <v>575</v>
      </c>
      <c r="C167" s="79" t="s">
        <v>56</v>
      </c>
      <c r="D167" s="79" t="s">
        <v>572</v>
      </c>
      <c r="E167" s="79">
        <v>68427709</v>
      </c>
      <c r="F167" s="93">
        <v>488000</v>
      </c>
      <c r="G167" s="79" t="s">
        <v>302</v>
      </c>
      <c r="H167" s="79" t="s">
        <v>114</v>
      </c>
      <c r="I167" s="79" t="s">
        <v>122</v>
      </c>
      <c r="J167" s="79">
        <v>2019</v>
      </c>
      <c r="K167" s="79" t="s">
        <v>290</v>
      </c>
      <c r="L167" s="79" t="s">
        <v>573</v>
      </c>
    </row>
    <row r="168" spans="1:12" hidden="1" x14ac:dyDescent="0.25">
      <c r="A168" s="82">
        <v>43311</v>
      </c>
      <c r="B168" s="79" t="s">
        <v>576</v>
      </c>
      <c r="C168" s="79" t="s">
        <v>25</v>
      </c>
      <c r="D168" s="79" t="s">
        <v>0</v>
      </c>
      <c r="E168" s="79">
        <v>68427709</v>
      </c>
      <c r="F168" s="93">
        <v>245000</v>
      </c>
      <c r="G168" s="79" t="s">
        <v>113</v>
      </c>
      <c r="H168" s="79" t="s">
        <v>114</v>
      </c>
      <c r="I168" s="79" t="s">
        <v>122</v>
      </c>
      <c r="J168" s="79">
        <v>2019</v>
      </c>
      <c r="K168" s="79" t="s">
        <v>290</v>
      </c>
      <c r="L168" s="79" t="s">
        <v>577</v>
      </c>
    </row>
    <row r="169" spans="1:12" hidden="1" x14ac:dyDescent="0.25">
      <c r="A169" s="82">
        <v>43311</v>
      </c>
      <c r="B169" s="79" t="s">
        <v>578</v>
      </c>
      <c r="C169" s="79"/>
      <c r="D169" s="79" t="s">
        <v>572</v>
      </c>
      <c r="E169" s="79">
        <v>68427709</v>
      </c>
      <c r="F169" s="93">
        <v>96000</v>
      </c>
      <c r="G169" s="79" t="s">
        <v>113</v>
      </c>
      <c r="H169" s="79" t="s">
        <v>114</v>
      </c>
      <c r="I169" s="79" t="s">
        <v>122</v>
      </c>
      <c r="J169" s="79">
        <v>2019</v>
      </c>
      <c r="K169" s="79" t="s">
        <v>290</v>
      </c>
      <c r="L169" s="79" t="s">
        <v>573</v>
      </c>
    </row>
    <row r="170" spans="1:12" hidden="1" x14ac:dyDescent="0.25">
      <c r="A170" s="82">
        <v>43311</v>
      </c>
      <c r="B170" s="79" t="s">
        <v>579</v>
      </c>
      <c r="C170" s="79"/>
      <c r="D170" s="79" t="s">
        <v>0</v>
      </c>
      <c r="E170" s="79">
        <v>68427709</v>
      </c>
      <c r="F170" s="93">
        <v>36000</v>
      </c>
      <c r="G170" s="79" t="s">
        <v>113</v>
      </c>
      <c r="H170" s="79" t="s">
        <v>114</v>
      </c>
      <c r="I170" s="79" t="s">
        <v>122</v>
      </c>
      <c r="J170" s="79">
        <v>2019</v>
      </c>
      <c r="K170" s="79" t="s">
        <v>290</v>
      </c>
      <c r="L170" s="79"/>
    </row>
    <row r="171" spans="1:12" hidden="1" x14ac:dyDescent="0.25">
      <c r="A171" s="82">
        <v>43311</v>
      </c>
      <c r="B171" s="79" t="s">
        <v>580</v>
      </c>
      <c r="C171" s="79"/>
      <c r="D171" s="79" t="s">
        <v>0</v>
      </c>
      <c r="E171" s="79">
        <v>68427709</v>
      </c>
      <c r="F171" s="93">
        <v>12500</v>
      </c>
      <c r="G171" s="79" t="s">
        <v>113</v>
      </c>
      <c r="H171" s="79" t="s">
        <v>114</v>
      </c>
      <c r="I171" s="79" t="s">
        <v>133</v>
      </c>
      <c r="J171" s="79">
        <v>2019</v>
      </c>
      <c r="K171" s="79" t="s">
        <v>290</v>
      </c>
      <c r="L171" s="79" t="s">
        <v>581</v>
      </c>
    </row>
    <row r="172" spans="1:12" hidden="1" x14ac:dyDescent="0.25">
      <c r="A172" s="82">
        <v>43311</v>
      </c>
      <c r="B172" s="79" t="s">
        <v>582</v>
      </c>
      <c r="C172" s="79" t="s">
        <v>583</v>
      </c>
      <c r="D172" s="79" t="s">
        <v>0</v>
      </c>
      <c r="E172" s="79">
        <v>68427709</v>
      </c>
      <c r="F172" s="93">
        <v>175000</v>
      </c>
      <c r="G172" s="79" t="s">
        <v>113</v>
      </c>
      <c r="H172" s="79" t="s">
        <v>114</v>
      </c>
      <c r="I172" s="79" t="s">
        <v>204</v>
      </c>
      <c r="J172" s="79">
        <v>2019</v>
      </c>
      <c r="K172" s="79" t="s">
        <v>290</v>
      </c>
      <c r="L172" s="79"/>
    </row>
    <row r="173" spans="1:12" hidden="1" x14ac:dyDescent="0.25">
      <c r="A173" s="82">
        <v>43311</v>
      </c>
      <c r="B173" s="79" t="s">
        <v>584</v>
      </c>
      <c r="C173" s="79" t="s">
        <v>583</v>
      </c>
      <c r="D173" s="79" t="s">
        <v>0</v>
      </c>
      <c r="E173" s="79">
        <v>68427709</v>
      </c>
      <c r="F173" s="93">
        <v>139000</v>
      </c>
      <c r="G173" s="79" t="s">
        <v>113</v>
      </c>
      <c r="H173" s="79" t="s">
        <v>114</v>
      </c>
      <c r="I173" s="79" t="s">
        <v>204</v>
      </c>
      <c r="J173" s="79">
        <v>2019</v>
      </c>
      <c r="K173" s="79" t="s">
        <v>290</v>
      </c>
      <c r="L173" s="79" t="s">
        <v>585</v>
      </c>
    </row>
    <row r="174" spans="1:12" hidden="1" x14ac:dyDescent="0.25">
      <c r="A174" s="82">
        <v>43311</v>
      </c>
      <c r="B174" s="79" t="s">
        <v>586</v>
      </c>
      <c r="C174" s="79" t="s">
        <v>59</v>
      </c>
      <c r="D174" s="79" t="s">
        <v>558</v>
      </c>
      <c r="E174" s="79">
        <v>68427709</v>
      </c>
      <c r="F174" s="93">
        <v>115000</v>
      </c>
      <c r="G174" s="79" t="s">
        <v>113</v>
      </c>
      <c r="H174" s="79" t="s">
        <v>114</v>
      </c>
      <c r="I174" s="79" t="s">
        <v>133</v>
      </c>
      <c r="J174" s="79">
        <v>2019</v>
      </c>
      <c r="K174" s="79" t="s">
        <v>290</v>
      </c>
      <c r="L174" s="79" t="s">
        <v>587</v>
      </c>
    </row>
    <row r="175" spans="1:12" hidden="1" x14ac:dyDescent="0.25">
      <c r="A175" s="82">
        <v>43311</v>
      </c>
      <c r="B175" s="79" t="s">
        <v>588</v>
      </c>
      <c r="C175" s="79" t="s">
        <v>59</v>
      </c>
      <c r="D175" s="79" t="s">
        <v>558</v>
      </c>
      <c r="E175" s="79">
        <v>68427709</v>
      </c>
      <c r="F175" s="93">
        <v>1934000</v>
      </c>
      <c r="G175" s="79" t="s">
        <v>113</v>
      </c>
      <c r="H175" s="79" t="s">
        <v>114</v>
      </c>
      <c r="I175" s="79" t="s">
        <v>248</v>
      </c>
      <c r="J175" s="79">
        <v>2019</v>
      </c>
      <c r="K175" s="79" t="s">
        <v>290</v>
      </c>
      <c r="L175" s="79" t="s">
        <v>589</v>
      </c>
    </row>
    <row r="176" spans="1:12" hidden="1" x14ac:dyDescent="0.25">
      <c r="A176" s="82">
        <v>43311</v>
      </c>
      <c r="B176" s="79" t="s">
        <v>590</v>
      </c>
      <c r="C176" s="79" t="s">
        <v>59</v>
      </c>
      <c r="D176" s="79" t="s">
        <v>558</v>
      </c>
      <c r="E176" s="79">
        <v>68427709</v>
      </c>
      <c r="F176" s="93">
        <v>2974000</v>
      </c>
      <c r="G176" s="79" t="s">
        <v>113</v>
      </c>
      <c r="H176" s="79" t="s">
        <v>114</v>
      </c>
      <c r="I176" s="79" t="s">
        <v>248</v>
      </c>
      <c r="J176" s="79">
        <v>2019</v>
      </c>
      <c r="K176" s="79" t="s">
        <v>290</v>
      </c>
      <c r="L176" s="79" t="s">
        <v>589</v>
      </c>
    </row>
    <row r="177" spans="1:12" hidden="1" x14ac:dyDescent="0.25">
      <c r="A177" s="82">
        <v>43311</v>
      </c>
      <c r="B177" s="79" t="s">
        <v>591</v>
      </c>
      <c r="C177" s="79" t="s">
        <v>59</v>
      </c>
      <c r="D177" s="79" t="s">
        <v>558</v>
      </c>
      <c r="E177" s="79">
        <v>68427709</v>
      </c>
      <c r="F177" s="93">
        <v>265000</v>
      </c>
      <c r="G177" s="79" t="s">
        <v>113</v>
      </c>
      <c r="H177" s="79" t="s">
        <v>114</v>
      </c>
      <c r="I177" s="79" t="s">
        <v>248</v>
      </c>
      <c r="J177" s="79">
        <v>2019</v>
      </c>
      <c r="K177" s="79" t="s">
        <v>290</v>
      </c>
      <c r="L177" s="79" t="s">
        <v>589</v>
      </c>
    </row>
    <row r="178" spans="1:12" hidden="1" x14ac:dyDescent="0.25">
      <c r="A178" s="82">
        <v>43311</v>
      </c>
      <c r="B178" s="92" t="s">
        <v>16</v>
      </c>
      <c r="C178" s="6" t="s">
        <v>592</v>
      </c>
      <c r="D178" s="79" t="s">
        <v>0</v>
      </c>
      <c r="E178" s="79">
        <v>68427709</v>
      </c>
      <c r="F178" s="93">
        <v>-683000</v>
      </c>
      <c r="G178" s="79" t="s">
        <v>113</v>
      </c>
      <c r="H178" s="79" t="s">
        <v>114</v>
      </c>
      <c r="I178" s="79" t="s">
        <v>248</v>
      </c>
      <c r="J178" s="79">
        <v>2019</v>
      </c>
      <c r="K178" s="79" t="s">
        <v>290</v>
      </c>
      <c r="L178" s="79" t="s">
        <v>593</v>
      </c>
    </row>
    <row r="179" spans="1:12" hidden="1" x14ac:dyDescent="0.25">
      <c r="A179" s="82">
        <v>43311</v>
      </c>
      <c r="B179" s="92" t="s">
        <v>594</v>
      </c>
      <c r="C179" s="79" t="s">
        <v>595</v>
      </c>
      <c r="D179" s="79" t="s">
        <v>0</v>
      </c>
      <c r="E179" s="79">
        <v>68427709</v>
      </c>
      <c r="F179" s="93">
        <v>-2836000</v>
      </c>
      <c r="G179" s="79" t="s">
        <v>113</v>
      </c>
      <c r="H179" s="79" t="s">
        <v>114</v>
      </c>
      <c r="I179" s="79" t="s">
        <v>248</v>
      </c>
      <c r="J179" s="79">
        <v>2019</v>
      </c>
      <c r="K179" s="79" t="s">
        <v>290</v>
      </c>
      <c r="L179" s="79" t="s">
        <v>593</v>
      </c>
    </row>
    <row r="180" spans="1:12" hidden="1" x14ac:dyDescent="0.25">
      <c r="A180" s="82">
        <v>43311</v>
      </c>
      <c r="B180" s="92" t="s">
        <v>594</v>
      </c>
      <c r="C180" s="79" t="s">
        <v>595</v>
      </c>
      <c r="D180" s="79" t="s">
        <v>0</v>
      </c>
      <c r="E180" s="79">
        <v>68427709</v>
      </c>
      <c r="F180" s="93">
        <v>-284000</v>
      </c>
      <c r="G180" s="79" t="s">
        <v>113</v>
      </c>
      <c r="H180" s="79" t="s">
        <v>114</v>
      </c>
      <c r="I180" s="79" t="s">
        <v>248</v>
      </c>
      <c r="J180" s="79">
        <v>2019</v>
      </c>
      <c r="K180" s="79" t="s">
        <v>290</v>
      </c>
      <c r="L180" s="79" t="s">
        <v>593</v>
      </c>
    </row>
    <row r="181" spans="1:12" hidden="1" x14ac:dyDescent="0.25">
      <c r="A181" s="82">
        <v>43311</v>
      </c>
      <c r="B181" s="92" t="s">
        <v>594</v>
      </c>
      <c r="C181" s="79" t="s">
        <v>595</v>
      </c>
      <c r="D181" s="79" t="s">
        <v>0</v>
      </c>
      <c r="E181" s="79">
        <v>68427709</v>
      </c>
      <c r="F181" s="93">
        <v>-203000</v>
      </c>
      <c r="G181" s="79" t="s">
        <v>113</v>
      </c>
      <c r="H181" s="79" t="s">
        <v>114</v>
      </c>
      <c r="I181" s="79" t="s">
        <v>248</v>
      </c>
      <c r="J181" s="79">
        <v>2019</v>
      </c>
      <c r="K181" s="79" t="s">
        <v>290</v>
      </c>
      <c r="L181" s="79" t="s">
        <v>593</v>
      </c>
    </row>
    <row r="182" spans="1:12" hidden="1" x14ac:dyDescent="0.25">
      <c r="A182" s="82">
        <v>43311</v>
      </c>
      <c r="B182" s="79" t="s">
        <v>596</v>
      </c>
      <c r="C182" s="79" t="s">
        <v>558</v>
      </c>
      <c r="D182" s="79" t="s">
        <v>0</v>
      </c>
      <c r="E182" s="79">
        <v>68427709</v>
      </c>
      <c r="F182" s="93">
        <v>-105000</v>
      </c>
      <c r="G182" s="79" t="s">
        <v>113</v>
      </c>
      <c r="H182" s="79" t="s">
        <v>114</v>
      </c>
      <c r="I182" s="79" t="s">
        <v>133</v>
      </c>
      <c r="J182" s="79">
        <v>2019</v>
      </c>
      <c r="K182" s="79" t="s">
        <v>290</v>
      </c>
      <c r="L182" s="79" t="s">
        <v>593</v>
      </c>
    </row>
    <row r="183" spans="1:12" hidden="1" x14ac:dyDescent="0.25">
      <c r="A183" s="82">
        <v>43311</v>
      </c>
      <c r="B183" t="s">
        <v>597</v>
      </c>
      <c r="C183" s="79" t="s">
        <v>598</v>
      </c>
      <c r="D183" s="79" t="s">
        <v>127</v>
      </c>
      <c r="E183" s="79">
        <v>68427709</v>
      </c>
      <c r="F183" s="93">
        <v>40000</v>
      </c>
      <c r="G183" s="79" t="s">
        <v>113</v>
      </c>
      <c r="H183" s="79" t="s">
        <v>114</v>
      </c>
      <c r="I183" s="79" t="s">
        <v>204</v>
      </c>
      <c r="J183" s="79">
        <v>2019</v>
      </c>
      <c r="K183" s="79" t="s">
        <v>116</v>
      </c>
      <c r="L183" s="79" t="s">
        <v>599</v>
      </c>
    </row>
    <row r="184" spans="1:12" hidden="1" x14ac:dyDescent="0.25">
      <c r="A184" s="82">
        <v>43311</v>
      </c>
      <c r="B184" s="79" t="s">
        <v>600</v>
      </c>
      <c r="C184" s="79" t="s">
        <v>435</v>
      </c>
      <c r="D184" s="79" t="s">
        <v>127</v>
      </c>
      <c r="E184" s="79">
        <v>68427709</v>
      </c>
      <c r="F184" s="93">
        <v>50000</v>
      </c>
      <c r="G184" s="79" t="s">
        <v>113</v>
      </c>
      <c r="H184" s="79" t="s">
        <v>114</v>
      </c>
      <c r="I184" s="79" t="s">
        <v>204</v>
      </c>
      <c r="J184" s="79">
        <v>2019</v>
      </c>
      <c r="K184" s="79" t="s">
        <v>171</v>
      </c>
      <c r="L184" s="79" t="s">
        <v>601</v>
      </c>
    </row>
    <row r="185" spans="1:12" hidden="1" x14ac:dyDescent="0.25">
      <c r="A185" s="82">
        <v>43314</v>
      </c>
      <c r="B185" t="s">
        <v>602</v>
      </c>
      <c r="C185" t="s">
        <v>603</v>
      </c>
      <c r="D185" s="79" t="s">
        <v>0</v>
      </c>
      <c r="E185" s="79">
        <v>68427709</v>
      </c>
      <c r="F185" s="93">
        <v>600000</v>
      </c>
      <c r="G185" s="79" t="s">
        <v>113</v>
      </c>
      <c r="H185" s="79" t="s">
        <v>114</v>
      </c>
      <c r="I185" s="79" t="s">
        <v>133</v>
      </c>
      <c r="J185" s="79">
        <v>2019</v>
      </c>
      <c r="K185" s="79" t="s">
        <v>290</v>
      </c>
      <c r="L185" s="79" t="s">
        <v>604</v>
      </c>
    </row>
    <row r="186" spans="1:12" hidden="1" x14ac:dyDescent="0.25">
      <c r="A186" s="82">
        <v>43314</v>
      </c>
      <c r="B186" s="79" t="s">
        <v>605</v>
      </c>
      <c r="C186" s="79"/>
      <c r="D186" s="79" t="s">
        <v>0</v>
      </c>
      <c r="E186" s="79">
        <v>68427709</v>
      </c>
      <c r="F186" s="93">
        <v>204000</v>
      </c>
      <c r="G186" s="79" t="s">
        <v>113</v>
      </c>
      <c r="H186" s="79" t="s">
        <v>114</v>
      </c>
      <c r="I186" s="79" t="s">
        <v>133</v>
      </c>
      <c r="J186" s="79">
        <v>2019</v>
      </c>
      <c r="K186" s="79" t="s">
        <v>290</v>
      </c>
      <c r="L186" s="79" t="s">
        <v>604</v>
      </c>
    </row>
    <row r="187" spans="1:12" hidden="1" x14ac:dyDescent="0.25">
      <c r="A187" s="82">
        <v>43315</v>
      </c>
      <c r="B187" s="79" t="s">
        <v>606</v>
      </c>
      <c r="C187" s="79" t="s">
        <v>607</v>
      </c>
      <c r="D187" s="79" t="s">
        <v>0</v>
      </c>
      <c r="E187" s="79">
        <v>68427709</v>
      </c>
      <c r="F187" s="93">
        <v>-30000</v>
      </c>
      <c r="G187" s="79" t="s">
        <v>113</v>
      </c>
      <c r="H187" s="79" t="s">
        <v>114</v>
      </c>
      <c r="I187" s="79" t="s">
        <v>204</v>
      </c>
      <c r="J187" s="79">
        <v>2019</v>
      </c>
      <c r="K187" s="79" t="s">
        <v>116</v>
      </c>
      <c r="L187" s="79" t="s">
        <v>608</v>
      </c>
    </row>
    <row r="188" spans="1:12" hidden="1" x14ac:dyDescent="0.25">
      <c r="A188" s="82">
        <v>43315</v>
      </c>
      <c r="B188" s="79" t="s">
        <v>609</v>
      </c>
      <c r="C188" s="79" t="s">
        <v>610</v>
      </c>
      <c r="D188" s="79" t="s">
        <v>0</v>
      </c>
      <c r="E188" s="79">
        <v>68427709</v>
      </c>
      <c r="F188" s="93">
        <f>71280-14000</f>
        <v>57280</v>
      </c>
      <c r="G188" s="79" t="s">
        <v>113</v>
      </c>
      <c r="H188" s="79" t="s">
        <v>114</v>
      </c>
      <c r="I188" s="79" t="s">
        <v>204</v>
      </c>
      <c r="J188" s="79">
        <v>2019</v>
      </c>
      <c r="K188" s="79" t="s">
        <v>297</v>
      </c>
      <c r="L188" s="79" t="s">
        <v>611</v>
      </c>
    </row>
    <row r="189" spans="1:12" hidden="1" x14ac:dyDescent="0.25">
      <c r="A189" s="82">
        <v>43315</v>
      </c>
      <c r="B189" s="122" t="s">
        <v>612</v>
      </c>
      <c r="C189" s="79" t="s">
        <v>613</v>
      </c>
      <c r="D189" s="79" t="s">
        <v>614</v>
      </c>
      <c r="E189" s="79">
        <v>68427709</v>
      </c>
      <c r="F189" s="93">
        <v>150000</v>
      </c>
      <c r="G189" s="79" t="s">
        <v>113</v>
      </c>
      <c r="H189" s="79" t="s">
        <v>114</v>
      </c>
      <c r="I189" s="79" t="s">
        <v>204</v>
      </c>
      <c r="J189" s="79">
        <v>2019</v>
      </c>
      <c r="K189" s="79" t="s">
        <v>555</v>
      </c>
      <c r="L189" s="92" t="s">
        <v>613</v>
      </c>
    </row>
    <row r="190" spans="1:12" hidden="1" x14ac:dyDescent="0.25">
      <c r="A190" s="82">
        <v>43315</v>
      </c>
      <c r="B190" s="122" t="s">
        <v>615</v>
      </c>
      <c r="C190" s="79" t="s">
        <v>127</v>
      </c>
      <c r="D190" s="79" t="s">
        <v>352</v>
      </c>
      <c r="E190" s="79">
        <v>68427709</v>
      </c>
      <c r="F190" s="93">
        <v>80000</v>
      </c>
      <c r="G190" s="79" t="s">
        <v>113</v>
      </c>
      <c r="H190" s="79" t="s">
        <v>114</v>
      </c>
      <c r="I190" s="79" t="s">
        <v>133</v>
      </c>
      <c r="J190" s="79">
        <v>2019</v>
      </c>
      <c r="K190" s="79" t="s">
        <v>116</v>
      </c>
      <c r="L190" s="79"/>
    </row>
    <row r="191" spans="1:12" hidden="1" x14ac:dyDescent="0.25">
      <c r="A191" s="82">
        <v>43315</v>
      </c>
      <c r="B191" s="122" t="s">
        <v>616</v>
      </c>
      <c r="C191" s="79" t="s">
        <v>127</v>
      </c>
      <c r="D191" s="79" t="s">
        <v>352</v>
      </c>
      <c r="E191" s="79">
        <v>68427709</v>
      </c>
      <c r="F191" s="93">
        <v>120000</v>
      </c>
      <c r="G191" s="79" t="s">
        <v>113</v>
      </c>
      <c r="H191" s="79" t="s">
        <v>114</v>
      </c>
      <c r="I191" s="79" t="s">
        <v>133</v>
      </c>
      <c r="J191" s="79">
        <v>2019</v>
      </c>
      <c r="K191" s="79" t="s">
        <v>116</v>
      </c>
      <c r="L191" s="79"/>
    </row>
    <row r="192" spans="1:12" hidden="1" x14ac:dyDescent="0.25">
      <c r="A192" s="82">
        <v>43315</v>
      </c>
      <c r="B192" s="122" t="s">
        <v>617</v>
      </c>
      <c r="C192" s="79" t="s">
        <v>127</v>
      </c>
      <c r="D192" s="79" t="s">
        <v>352</v>
      </c>
      <c r="E192" s="79">
        <v>68427709</v>
      </c>
      <c r="F192" s="93">
        <v>50000</v>
      </c>
      <c r="G192" s="79" t="s">
        <v>113</v>
      </c>
      <c r="H192" s="79" t="s">
        <v>114</v>
      </c>
      <c r="I192" s="79" t="s">
        <v>133</v>
      </c>
      <c r="J192" s="79">
        <v>2019</v>
      </c>
      <c r="K192" s="79" t="s">
        <v>116</v>
      </c>
      <c r="L192" s="79"/>
    </row>
    <row r="193" spans="1:12" hidden="1" x14ac:dyDescent="0.25">
      <c r="A193" s="82">
        <v>43315</v>
      </c>
      <c r="B193" s="122" t="s">
        <v>618</v>
      </c>
      <c r="C193" s="79" t="s">
        <v>127</v>
      </c>
      <c r="D193" s="79" t="s">
        <v>352</v>
      </c>
      <c r="E193" s="79">
        <v>68427709</v>
      </c>
      <c r="F193" s="93">
        <v>80000</v>
      </c>
      <c r="G193" s="79" t="s">
        <v>113</v>
      </c>
      <c r="H193" s="79" t="s">
        <v>114</v>
      </c>
      <c r="I193" s="79" t="s">
        <v>133</v>
      </c>
      <c r="J193" s="79">
        <v>2019</v>
      </c>
      <c r="K193" s="79" t="s">
        <v>116</v>
      </c>
      <c r="L193" s="79"/>
    </row>
    <row r="194" spans="1:12" hidden="1" x14ac:dyDescent="0.25">
      <c r="A194" s="82">
        <v>43684</v>
      </c>
      <c r="B194" s="79" t="s">
        <v>619</v>
      </c>
      <c r="C194" s="79" t="s">
        <v>620</v>
      </c>
      <c r="D194" s="79" t="s">
        <v>0</v>
      </c>
      <c r="E194" s="79">
        <v>68427709</v>
      </c>
      <c r="F194" s="93">
        <v>49000</v>
      </c>
      <c r="G194" s="79" t="s">
        <v>113</v>
      </c>
      <c r="H194" s="79" t="s">
        <v>114</v>
      </c>
      <c r="I194" s="79" t="s">
        <v>133</v>
      </c>
      <c r="J194" s="79">
        <v>2019</v>
      </c>
      <c r="K194" s="79" t="s">
        <v>227</v>
      </c>
      <c r="L194" s="79"/>
    </row>
    <row r="195" spans="1:12" hidden="1" x14ac:dyDescent="0.25">
      <c r="A195" s="82">
        <v>43690</v>
      </c>
      <c r="B195" s="79" t="s">
        <v>621</v>
      </c>
      <c r="C195" s="79" t="s">
        <v>127</v>
      </c>
      <c r="D195" s="79"/>
      <c r="E195" s="79">
        <v>68427709</v>
      </c>
      <c r="F195" s="93">
        <v>30000</v>
      </c>
      <c r="G195" s="79" t="s">
        <v>113</v>
      </c>
      <c r="H195" s="79" t="s">
        <v>114</v>
      </c>
      <c r="I195" s="79" t="s">
        <v>204</v>
      </c>
      <c r="J195" s="79">
        <v>2019</v>
      </c>
      <c r="K195" s="79" t="s">
        <v>311</v>
      </c>
      <c r="L195" s="92" t="s">
        <v>622</v>
      </c>
    </row>
    <row r="196" spans="1:12" hidden="1" x14ac:dyDescent="0.25">
      <c r="A196" s="82">
        <v>43691</v>
      </c>
      <c r="B196" s="79" t="s">
        <v>623</v>
      </c>
      <c r="C196" s="79" t="s">
        <v>127</v>
      </c>
      <c r="D196" s="79"/>
      <c r="E196" s="79">
        <v>68427709</v>
      </c>
      <c r="F196" s="93">
        <v>700000</v>
      </c>
      <c r="G196" s="79" t="s">
        <v>113</v>
      </c>
      <c r="H196" s="79" t="s">
        <v>114</v>
      </c>
      <c r="I196" s="79" t="s">
        <v>204</v>
      </c>
      <c r="J196" s="79">
        <v>2019</v>
      </c>
      <c r="K196" s="79" t="s">
        <v>171</v>
      </c>
      <c r="L196" s="79" t="s">
        <v>624</v>
      </c>
    </row>
    <row r="197" spans="1:12" hidden="1" x14ac:dyDescent="0.25">
      <c r="A197" s="82">
        <v>43328</v>
      </c>
      <c r="B197" s="79" t="s">
        <v>625</v>
      </c>
      <c r="C197" s="79" t="s">
        <v>626</v>
      </c>
      <c r="D197" s="79"/>
      <c r="E197" s="79">
        <v>68427709</v>
      </c>
      <c r="F197" s="93">
        <v>150000</v>
      </c>
      <c r="G197" s="79" t="s">
        <v>113</v>
      </c>
      <c r="H197" s="79" t="s">
        <v>114</v>
      </c>
      <c r="I197" s="79" t="s">
        <v>204</v>
      </c>
      <c r="J197" s="79">
        <v>2019</v>
      </c>
      <c r="K197" s="79" t="s">
        <v>555</v>
      </c>
      <c r="L197" s="79" t="s">
        <v>627</v>
      </c>
    </row>
    <row r="198" spans="1:12" hidden="1" x14ac:dyDescent="0.25">
      <c r="A198" s="82">
        <v>43328</v>
      </c>
      <c r="B198" t="s">
        <v>628</v>
      </c>
      <c r="C198" s="79" t="s">
        <v>629</v>
      </c>
      <c r="D198" s="79"/>
      <c r="E198" s="79">
        <v>68427709</v>
      </c>
      <c r="F198" s="93">
        <v>-14000</v>
      </c>
      <c r="G198" s="79" t="s">
        <v>113</v>
      </c>
      <c r="H198" s="79" t="s">
        <v>114</v>
      </c>
      <c r="I198" s="79" t="s">
        <v>204</v>
      </c>
      <c r="J198" s="79">
        <v>2019</v>
      </c>
      <c r="K198" s="79" t="s">
        <v>555</v>
      </c>
      <c r="L198" s="79" t="s">
        <v>630</v>
      </c>
    </row>
    <row r="199" spans="1:12" hidden="1" x14ac:dyDescent="0.25">
      <c r="A199" s="82">
        <v>43328</v>
      </c>
      <c r="B199" s="79" t="s">
        <v>631</v>
      </c>
      <c r="C199" s="79" t="s">
        <v>632</v>
      </c>
      <c r="D199" s="79"/>
      <c r="E199" s="79">
        <v>68427709</v>
      </c>
      <c r="F199" s="93">
        <v>-1000</v>
      </c>
      <c r="G199" s="79" t="s">
        <v>113</v>
      </c>
      <c r="H199" s="79" t="s">
        <v>114</v>
      </c>
      <c r="I199" s="79" t="s">
        <v>204</v>
      </c>
      <c r="J199" s="79">
        <v>2019</v>
      </c>
      <c r="K199" s="79" t="s">
        <v>116</v>
      </c>
      <c r="L199" s="79" t="s">
        <v>633</v>
      </c>
    </row>
    <row r="200" spans="1:12" hidden="1" x14ac:dyDescent="0.25">
      <c r="A200" s="82">
        <v>43328</v>
      </c>
      <c r="B200" s="79" t="s">
        <v>634</v>
      </c>
      <c r="C200" s="79" t="s">
        <v>635</v>
      </c>
      <c r="D200" s="79" t="s">
        <v>0</v>
      </c>
      <c r="E200" s="79">
        <v>68427709</v>
      </c>
      <c r="F200" s="93">
        <v>94000</v>
      </c>
      <c r="G200" s="79" t="s">
        <v>113</v>
      </c>
      <c r="H200" s="79" t="s">
        <v>114</v>
      </c>
      <c r="I200" s="79" t="s">
        <v>204</v>
      </c>
      <c r="J200" s="79">
        <v>2019</v>
      </c>
      <c r="K200" s="79" t="s">
        <v>311</v>
      </c>
      <c r="L200" s="79" t="s">
        <v>636</v>
      </c>
    </row>
    <row r="201" spans="1:12" hidden="1" x14ac:dyDescent="0.25">
      <c r="A201" s="82">
        <v>43328</v>
      </c>
      <c r="B201" t="s">
        <v>637</v>
      </c>
      <c r="C201" s="139" t="s">
        <v>638</v>
      </c>
      <c r="D201" s="139"/>
      <c r="E201" s="139">
        <v>68427709</v>
      </c>
      <c r="F201" s="140">
        <v>300000</v>
      </c>
      <c r="G201" s="139" t="s">
        <v>113</v>
      </c>
      <c r="H201" s="139" t="s">
        <v>114</v>
      </c>
      <c r="I201" s="139" t="s">
        <v>204</v>
      </c>
      <c r="J201" s="139">
        <v>2019</v>
      </c>
      <c r="K201" s="139" t="s">
        <v>376</v>
      </c>
      <c r="L201" s="79"/>
    </row>
    <row r="202" spans="1:12" hidden="1" x14ac:dyDescent="0.25">
      <c r="A202" s="137">
        <v>43329</v>
      </c>
      <c r="B202" s="79" t="s">
        <v>639</v>
      </c>
      <c r="C202" s="79" t="s">
        <v>640</v>
      </c>
      <c r="D202" s="79"/>
      <c r="E202" s="79">
        <v>68427709</v>
      </c>
      <c r="F202" s="93">
        <v>0</v>
      </c>
      <c r="G202" s="79" t="s">
        <v>113</v>
      </c>
      <c r="H202" s="79" t="s">
        <v>114</v>
      </c>
      <c r="I202" s="79" t="s">
        <v>133</v>
      </c>
      <c r="J202" s="79">
        <v>2019</v>
      </c>
      <c r="K202" s="79" t="s">
        <v>290</v>
      </c>
      <c r="L202" s="138" t="s">
        <v>641</v>
      </c>
    </row>
    <row r="203" spans="1:12" hidden="1" x14ac:dyDescent="0.25">
      <c r="A203" s="137">
        <v>43335</v>
      </c>
      <c r="B203" s="79" t="s">
        <v>642</v>
      </c>
      <c r="C203" s="79" t="s">
        <v>643</v>
      </c>
      <c r="D203" s="79"/>
      <c r="E203" s="79">
        <v>68427709</v>
      </c>
      <c r="F203" s="93">
        <v>-70000</v>
      </c>
      <c r="G203" s="79" t="s">
        <v>113</v>
      </c>
      <c r="H203" s="79" t="s">
        <v>114</v>
      </c>
      <c r="I203" s="79" t="s">
        <v>133</v>
      </c>
      <c r="J203" s="79">
        <v>2019</v>
      </c>
      <c r="K203" s="79" t="s">
        <v>644</v>
      </c>
      <c r="L203" s="138" t="s">
        <v>645</v>
      </c>
    </row>
    <row r="204" spans="1:12" hidden="1" x14ac:dyDescent="0.25">
      <c r="A204" s="137">
        <v>43335</v>
      </c>
      <c r="B204" s="79" t="s">
        <v>471</v>
      </c>
      <c r="C204" s="79" t="s">
        <v>643</v>
      </c>
      <c r="D204" s="79"/>
      <c r="E204" s="79">
        <v>68427709</v>
      </c>
      <c r="F204" s="93">
        <v>-100000</v>
      </c>
      <c r="G204" s="79" t="s">
        <v>113</v>
      </c>
      <c r="H204" s="79" t="s">
        <v>114</v>
      </c>
      <c r="I204" s="79" t="s">
        <v>204</v>
      </c>
      <c r="J204" s="79">
        <v>2019</v>
      </c>
      <c r="K204" s="79" t="s">
        <v>644</v>
      </c>
      <c r="L204" s="138" t="s">
        <v>646</v>
      </c>
    </row>
    <row r="205" spans="1:12" hidden="1" x14ac:dyDescent="0.25">
      <c r="A205" s="137">
        <v>43335</v>
      </c>
      <c r="B205" s="79" t="s">
        <v>135</v>
      </c>
      <c r="C205" s="79" t="s">
        <v>647</v>
      </c>
      <c r="D205" s="79" t="s">
        <v>0</v>
      </c>
      <c r="E205" s="79">
        <v>68427709</v>
      </c>
      <c r="F205" s="93">
        <v>84000</v>
      </c>
      <c r="G205" s="79" t="s">
        <v>113</v>
      </c>
      <c r="H205" s="79" t="s">
        <v>114</v>
      </c>
      <c r="I205" s="79" t="s">
        <v>204</v>
      </c>
      <c r="J205" s="79">
        <v>2019</v>
      </c>
      <c r="K205" s="79" t="s">
        <v>311</v>
      </c>
      <c r="L205" s="138" t="s">
        <v>648</v>
      </c>
    </row>
    <row r="206" spans="1:12" hidden="1" x14ac:dyDescent="0.25">
      <c r="A206" s="41">
        <v>43338</v>
      </c>
      <c r="B206" s="79" t="s">
        <v>588</v>
      </c>
      <c r="C206" s="79" t="s">
        <v>59</v>
      </c>
      <c r="D206" s="79" t="s">
        <v>558</v>
      </c>
      <c r="E206" s="79">
        <v>68427709</v>
      </c>
      <c r="F206" s="142">
        <f>1096000-F175</f>
        <v>-838000</v>
      </c>
      <c r="G206" s="79" t="s">
        <v>113</v>
      </c>
      <c r="H206" s="79" t="s">
        <v>649</v>
      </c>
      <c r="I206" s="79" t="s">
        <v>204</v>
      </c>
      <c r="J206" s="79">
        <v>2019</v>
      </c>
      <c r="K206" s="79" t="s">
        <v>290</v>
      </c>
      <c r="L206" s="141" t="s">
        <v>650</v>
      </c>
    </row>
    <row r="207" spans="1:12" hidden="1" x14ac:dyDescent="0.25">
      <c r="A207" s="41">
        <v>43339</v>
      </c>
      <c r="B207" s="79" t="s">
        <v>651</v>
      </c>
      <c r="C207" s="79" t="s">
        <v>127</v>
      </c>
      <c r="D207" s="79"/>
      <c r="E207" s="79">
        <v>68427709</v>
      </c>
      <c r="F207" s="142">
        <v>-2000000</v>
      </c>
      <c r="G207" s="79" t="s">
        <v>113</v>
      </c>
      <c r="H207" s="79" t="s">
        <v>114</v>
      </c>
      <c r="I207" s="79" t="s">
        <v>652</v>
      </c>
      <c r="J207" s="79">
        <v>2019</v>
      </c>
      <c r="K207" s="79" t="s">
        <v>644</v>
      </c>
      <c r="L207" s="141" t="s">
        <v>653</v>
      </c>
    </row>
    <row r="208" spans="1:12" hidden="1" x14ac:dyDescent="0.25">
      <c r="A208" s="41">
        <v>43339</v>
      </c>
      <c r="B208" s="79" t="s">
        <v>654</v>
      </c>
      <c r="C208" s="79" t="s">
        <v>655</v>
      </c>
      <c r="D208" s="79" t="s">
        <v>0</v>
      </c>
      <c r="E208" s="79">
        <v>68427709</v>
      </c>
      <c r="F208" s="93">
        <v>-38000</v>
      </c>
      <c r="G208" s="79" t="s">
        <v>113</v>
      </c>
      <c r="H208" s="79" t="s">
        <v>114</v>
      </c>
      <c r="I208" s="79" t="s">
        <v>204</v>
      </c>
      <c r="J208" s="79">
        <v>2019</v>
      </c>
      <c r="K208" s="79" t="s">
        <v>656</v>
      </c>
      <c r="L208" s="79" t="s">
        <v>657</v>
      </c>
    </row>
    <row r="209" spans="1:12" hidden="1" x14ac:dyDescent="0.25">
      <c r="A209" s="41">
        <v>43339</v>
      </c>
      <c r="B209" s="79" t="s">
        <v>658</v>
      </c>
      <c r="C209" s="79" t="s">
        <v>659</v>
      </c>
      <c r="D209" s="79" t="s">
        <v>461</v>
      </c>
      <c r="E209" s="79">
        <v>68427709</v>
      </c>
      <c r="F209" s="93">
        <v>-1314581</v>
      </c>
      <c r="G209" s="79" t="s">
        <v>113</v>
      </c>
      <c r="H209" s="79" t="s">
        <v>114</v>
      </c>
      <c r="I209" s="79" t="s">
        <v>248</v>
      </c>
      <c r="J209" s="79">
        <v>2019</v>
      </c>
      <c r="K209" s="79" t="s">
        <v>644</v>
      </c>
      <c r="L209" s="79" t="s">
        <v>660</v>
      </c>
    </row>
    <row r="210" spans="1:12" hidden="1" x14ac:dyDescent="0.25">
      <c r="A210" s="41">
        <v>43339</v>
      </c>
      <c r="B210" s="79" t="s">
        <v>661</v>
      </c>
      <c r="C210" s="79" t="s">
        <v>662</v>
      </c>
      <c r="D210" s="79" t="s">
        <v>127</v>
      </c>
      <c r="E210" s="79">
        <v>68427709</v>
      </c>
      <c r="F210" s="93">
        <v>-750000</v>
      </c>
      <c r="G210" s="79" t="s">
        <v>113</v>
      </c>
      <c r="H210" s="79" t="s">
        <v>114</v>
      </c>
      <c r="I210" s="79" t="s">
        <v>652</v>
      </c>
      <c r="J210" s="79">
        <v>2019</v>
      </c>
      <c r="K210" s="79" t="s">
        <v>644</v>
      </c>
      <c r="L210" s="79" t="s">
        <v>662</v>
      </c>
    </row>
    <row r="211" spans="1:12" hidden="1" x14ac:dyDescent="0.25">
      <c r="A211" s="143">
        <v>43339</v>
      </c>
      <c r="B211" s="84" t="s">
        <v>663</v>
      </c>
      <c r="C211" s="84" t="s">
        <v>664</v>
      </c>
      <c r="D211" s="84" t="s">
        <v>0</v>
      </c>
      <c r="E211" s="84">
        <v>68427709</v>
      </c>
      <c r="F211" s="121">
        <v>-35000</v>
      </c>
      <c r="G211" s="84" t="s">
        <v>113</v>
      </c>
      <c r="H211" s="84" t="s">
        <v>114</v>
      </c>
      <c r="I211" s="84" t="s">
        <v>204</v>
      </c>
      <c r="J211" s="84">
        <v>2019</v>
      </c>
      <c r="K211" s="84" t="s">
        <v>656</v>
      </c>
      <c r="L211" s="84" t="s">
        <v>665</v>
      </c>
    </row>
    <row r="212" spans="1:12" hidden="1" x14ac:dyDescent="0.25">
      <c r="A212" s="82">
        <v>43402</v>
      </c>
      <c r="B212" s="79" t="s">
        <v>666</v>
      </c>
      <c r="C212" s="79" t="s">
        <v>667</v>
      </c>
      <c r="D212" s="79" t="s">
        <v>668</v>
      </c>
      <c r="E212" s="79">
        <v>68427709</v>
      </c>
      <c r="F212" s="93">
        <v>2500</v>
      </c>
      <c r="G212" s="79" t="s">
        <v>113</v>
      </c>
      <c r="H212" s="79" t="s">
        <v>114</v>
      </c>
      <c r="I212" s="79" t="s">
        <v>204</v>
      </c>
      <c r="J212" s="79">
        <v>2020</v>
      </c>
      <c r="K212" s="79" t="s">
        <v>116</v>
      </c>
      <c r="L212" s="79" t="s">
        <v>669</v>
      </c>
    </row>
    <row r="213" spans="1:12" hidden="1" x14ac:dyDescent="0.25">
      <c r="A213" s="82">
        <v>43403</v>
      </c>
      <c r="B213" s="79" t="s">
        <v>670</v>
      </c>
      <c r="C213" s="79" t="s">
        <v>671</v>
      </c>
      <c r="D213" s="79" t="s">
        <v>0</v>
      </c>
      <c r="E213" s="79">
        <v>68427709</v>
      </c>
      <c r="F213" s="93">
        <v>-144000</v>
      </c>
      <c r="G213" s="79" t="s">
        <v>113</v>
      </c>
      <c r="H213" s="79" t="s">
        <v>114</v>
      </c>
      <c r="I213" s="79" t="s">
        <v>128</v>
      </c>
      <c r="J213" s="79">
        <v>2020</v>
      </c>
      <c r="K213" s="79" t="s">
        <v>672</v>
      </c>
      <c r="L213" s="79" t="s">
        <v>673</v>
      </c>
    </row>
    <row r="214" spans="1:12" hidden="1" x14ac:dyDescent="0.25">
      <c r="A214" s="82">
        <v>43420</v>
      </c>
      <c r="B214" s="79" t="s">
        <v>674</v>
      </c>
      <c r="C214" s="79" t="s">
        <v>675</v>
      </c>
      <c r="D214" s="79" t="s">
        <v>0</v>
      </c>
      <c r="E214" s="79">
        <v>68427709</v>
      </c>
      <c r="F214" s="93">
        <v>9000</v>
      </c>
      <c r="G214" s="79" t="s">
        <v>113</v>
      </c>
      <c r="H214" s="79" t="s">
        <v>114</v>
      </c>
      <c r="I214" s="79" t="s">
        <v>204</v>
      </c>
      <c r="J214" s="79">
        <v>2020</v>
      </c>
      <c r="K214" s="79" t="s">
        <v>433</v>
      </c>
      <c r="L214" s="79" t="s">
        <v>676</v>
      </c>
    </row>
    <row r="215" spans="1:12" hidden="1" x14ac:dyDescent="0.25">
      <c r="A215" s="82">
        <v>43433</v>
      </c>
      <c r="B215" s="79" t="s">
        <v>677</v>
      </c>
      <c r="C215" s="79" t="s">
        <v>678</v>
      </c>
      <c r="D215" s="79" t="s">
        <v>0</v>
      </c>
      <c r="E215" s="79">
        <v>68427709</v>
      </c>
      <c r="F215" s="93">
        <v>60000</v>
      </c>
      <c r="G215" s="79" t="s">
        <v>113</v>
      </c>
      <c r="H215" s="79" t="s">
        <v>114</v>
      </c>
      <c r="I215" s="79" t="s">
        <v>204</v>
      </c>
      <c r="J215" s="79">
        <v>2020</v>
      </c>
      <c r="K215" s="79" t="s">
        <v>116</v>
      </c>
      <c r="L215" s="79" t="s">
        <v>679</v>
      </c>
    </row>
    <row r="216" spans="1:12" hidden="1" x14ac:dyDescent="0.25">
      <c r="A216" s="82">
        <v>43437</v>
      </c>
      <c r="B216" s="79" t="s">
        <v>680</v>
      </c>
      <c r="C216" s="79" t="s">
        <v>681</v>
      </c>
      <c r="D216" s="79" t="s">
        <v>127</v>
      </c>
      <c r="E216" s="79">
        <v>68427719</v>
      </c>
      <c r="F216" s="93">
        <v>20000</v>
      </c>
      <c r="G216" s="79" t="s">
        <v>113</v>
      </c>
      <c r="H216" s="79" t="s">
        <v>114</v>
      </c>
      <c r="I216" s="79" t="s">
        <v>204</v>
      </c>
      <c r="J216" s="79">
        <v>2020</v>
      </c>
      <c r="K216" s="79" t="s">
        <v>116</v>
      </c>
      <c r="L216" s="79" t="s">
        <v>682</v>
      </c>
    </row>
    <row r="217" spans="1:12" hidden="1" x14ac:dyDescent="0.25">
      <c r="A217" s="82">
        <v>43445</v>
      </c>
      <c r="B217" s="79" t="s">
        <v>683</v>
      </c>
      <c r="C217" s="79" t="s">
        <v>684</v>
      </c>
      <c r="D217" s="79" t="s">
        <v>0</v>
      </c>
      <c r="E217" s="79">
        <v>68427709</v>
      </c>
      <c r="F217" s="93">
        <v>9000</v>
      </c>
      <c r="G217" s="79" t="s">
        <v>113</v>
      </c>
      <c r="H217" s="79" t="s">
        <v>114</v>
      </c>
      <c r="I217" s="79" t="s">
        <v>204</v>
      </c>
      <c r="J217" s="79">
        <v>2020</v>
      </c>
      <c r="K217" s="79" t="s">
        <v>433</v>
      </c>
      <c r="L217" s="79" t="s">
        <v>685</v>
      </c>
    </row>
    <row r="218" spans="1:12" hidden="1" x14ac:dyDescent="0.25">
      <c r="A218" s="82">
        <v>43451</v>
      </c>
      <c r="B218" s="79" t="s">
        <v>686</v>
      </c>
      <c r="C218" s="79" t="s">
        <v>687</v>
      </c>
      <c r="D218" s="79" t="s">
        <v>437</v>
      </c>
      <c r="E218" s="79">
        <v>68427709</v>
      </c>
      <c r="F218" s="93">
        <v>14000</v>
      </c>
      <c r="G218" s="79" t="s">
        <v>113</v>
      </c>
      <c r="H218" s="79" t="s">
        <v>114</v>
      </c>
      <c r="I218" s="79" t="s">
        <v>133</v>
      </c>
      <c r="J218" s="79">
        <v>2020</v>
      </c>
      <c r="K218" s="79" t="s">
        <v>116</v>
      </c>
      <c r="L218" s="79" t="s">
        <v>688</v>
      </c>
    </row>
    <row r="219" spans="1:12" hidden="1" x14ac:dyDescent="0.25">
      <c r="A219" s="82">
        <v>43451</v>
      </c>
      <c r="B219" s="79" t="s">
        <v>689</v>
      </c>
      <c r="C219" s="79" t="s">
        <v>690</v>
      </c>
      <c r="D219" s="79" t="s">
        <v>0</v>
      </c>
      <c r="E219" s="79">
        <v>68427709</v>
      </c>
      <c r="F219" s="93">
        <v>12000</v>
      </c>
      <c r="G219" s="79" t="s">
        <v>113</v>
      </c>
      <c r="H219" s="79" t="s">
        <v>114</v>
      </c>
      <c r="I219" s="79" t="s">
        <v>133</v>
      </c>
      <c r="J219" s="79">
        <v>2020</v>
      </c>
      <c r="K219" s="79" t="s">
        <v>227</v>
      </c>
      <c r="L219" s="79" t="s">
        <v>691</v>
      </c>
    </row>
    <row r="220" spans="1:12" hidden="1" x14ac:dyDescent="0.25">
      <c r="A220" s="82">
        <v>43454</v>
      </c>
      <c r="B220" s="79" t="s">
        <v>131</v>
      </c>
      <c r="C220" s="79" t="s">
        <v>692</v>
      </c>
      <c r="D220" s="79" t="s">
        <v>0</v>
      </c>
      <c r="E220" s="79">
        <v>68427709</v>
      </c>
      <c r="F220" s="93">
        <v>25000</v>
      </c>
      <c r="G220" s="79" t="s">
        <v>113</v>
      </c>
      <c r="H220" s="79" t="s">
        <v>114</v>
      </c>
      <c r="I220" s="79" t="s">
        <v>204</v>
      </c>
      <c r="J220" s="79">
        <v>2020</v>
      </c>
      <c r="K220" s="79" t="s">
        <v>227</v>
      </c>
      <c r="L220" s="79" t="s">
        <v>693</v>
      </c>
    </row>
    <row r="221" spans="1:12" hidden="1" x14ac:dyDescent="0.25">
      <c r="A221" s="82">
        <v>43467</v>
      </c>
      <c r="B221" s="79" t="s">
        <v>380</v>
      </c>
      <c r="C221" s="79" t="s">
        <v>694</v>
      </c>
      <c r="D221" s="79" t="s">
        <v>0</v>
      </c>
      <c r="E221" s="79">
        <v>68427709</v>
      </c>
      <c r="F221" s="93">
        <v>2500</v>
      </c>
      <c r="G221" s="79" t="s">
        <v>113</v>
      </c>
      <c r="H221" s="79" t="s">
        <v>114</v>
      </c>
      <c r="I221" s="79" t="s">
        <v>204</v>
      </c>
      <c r="J221" s="79">
        <v>2020</v>
      </c>
      <c r="K221" s="79" t="s">
        <v>542</v>
      </c>
      <c r="L221" s="79" t="s">
        <v>695</v>
      </c>
    </row>
    <row r="222" spans="1:12" hidden="1" x14ac:dyDescent="0.25">
      <c r="A222" s="82">
        <v>43468</v>
      </c>
      <c r="B222" s="79" t="s">
        <v>696</v>
      </c>
      <c r="C222" s="79" t="s">
        <v>697</v>
      </c>
      <c r="D222" s="79" t="s">
        <v>0</v>
      </c>
      <c r="E222" s="79">
        <v>68427709</v>
      </c>
      <c r="F222" s="93">
        <v>-110000</v>
      </c>
      <c r="G222" s="79" t="s">
        <v>113</v>
      </c>
      <c r="H222" s="79" t="s">
        <v>114</v>
      </c>
      <c r="I222" s="79" t="s">
        <v>128</v>
      </c>
      <c r="J222" s="79">
        <v>2020</v>
      </c>
      <c r="K222" s="79" t="s">
        <v>227</v>
      </c>
      <c r="L222" s="79" t="s">
        <v>698</v>
      </c>
    </row>
    <row r="223" spans="1:12" hidden="1" x14ac:dyDescent="0.25">
      <c r="A223" s="82">
        <v>43468</v>
      </c>
      <c r="B223" s="79" t="s">
        <v>699</v>
      </c>
      <c r="C223" s="79" t="s">
        <v>700</v>
      </c>
      <c r="D223" s="79" t="s">
        <v>0</v>
      </c>
      <c r="E223" s="79">
        <v>68427709</v>
      </c>
      <c r="F223" s="93">
        <v>50000</v>
      </c>
      <c r="G223" s="79" t="s">
        <v>113</v>
      </c>
      <c r="H223" s="79" t="s">
        <v>114</v>
      </c>
      <c r="I223" s="79" t="s">
        <v>133</v>
      </c>
      <c r="J223" s="79">
        <v>2020</v>
      </c>
      <c r="K223" s="79" t="s">
        <v>227</v>
      </c>
      <c r="L223" s="79" t="s">
        <v>701</v>
      </c>
    </row>
    <row r="224" spans="1:12" hidden="1" x14ac:dyDescent="0.25">
      <c r="A224" s="82">
        <v>43474</v>
      </c>
      <c r="B224" s="79" t="s">
        <v>702</v>
      </c>
      <c r="C224" s="79" t="s">
        <v>703</v>
      </c>
      <c r="D224" s="79" t="s">
        <v>0</v>
      </c>
      <c r="E224" s="79">
        <v>68427709</v>
      </c>
      <c r="F224" s="93">
        <v>8200</v>
      </c>
      <c r="G224" s="79" t="s">
        <v>113</v>
      </c>
      <c r="H224" s="79" t="s">
        <v>114</v>
      </c>
      <c r="I224" s="79" t="s">
        <v>204</v>
      </c>
      <c r="J224" s="79">
        <v>2020</v>
      </c>
      <c r="K224" s="79" t="s">
        <v>704</v>
      </c>
      <c r="L224" s="79" t="s">
        <v>705</v>
      </c>
    </row>
    <row r="225" spans="1:12" hidden="1" x14ac:dyDescent="0.25">
      <c r="A225" s="82">
        <v>43486</v>
      </c>
      <c r="B225" s="79" t="s">
        <v>706</v>
      </c>
      <c r="C225" s="79" t="s">
        <v>707</v>
      </c>
      <c r="D225" s="79" t="s">
        <v>0</v>
      </c>
      <c r="E225" s="79">
        <v>68427709</v>
      </c>
      <c r="F225" s="93">
        <f>135000*0.6</f>
        <v>81000</v>
      </c>
      <c r="G225" s="79" t="s">
        <v>302</v>
      </c>
      <c r="H225" s="79" t="s">
        <v>114</v>
      </c>
      <c r="I225" s="79" t="s">
        <v>133</v>
      </c>
      <c r="J225" s="79">
        <v>2020</v>
      </c>
      <c r="K225" s="79" t="s">
        <v>197</v>
      </c>
      <c r="L225" s="79" t="s">
        <v>708</v>
      </c>
    </row>
    <row r="226" spans="1:12" hidden="1" x14ac:dyDescent="0.25">
      <c r="A226" s="82">
        <v>43490</v>
      </c>
      <c r="B226" s="79" t="s">
        <v>702</v>
      </c>
      <c r="C226" s="79" t="s">
        <v>709</v>
      </c>
      <c r="D226" t="s">
        <v>0</v>
      </c>
      <c r="E226" s="79">
        <v>68427709</v>
      </c>
      <c r="F226" s="93">
        <v>3000</v>
      </c>
      <c r="G226" s="79" t="s">
        <v>113</v>
      </c>
      <c r="H226" s="79" t="s">
        <v>114</v>
      </c>
      <c r="I226" s="79" t="s">
        <v>204</v>
      </c>
      <c r="J226" s="79">
        <v>2020</v>
      </c>
      <c r="K226" s="79" t="s">
        <v>311</v>
      </c>
      <c r="L226" s="79" t="s">
        <v>710</v>
      </c>
    </row>
    <row r="227" spans="1:12" hidden="1" x14ac:dyDescent="0.25">
      <c r="A227" s="82">
        <v>43494</v>
      </c>
      <c r="B227" s="79" t="s">
        <v>711</v>
      </c>
      <c r="C227" s="79" t="s">
        <v>712</v>
      </c>
      <c r="D227" s="79" t="s">
        <v>127</v>
      </c>
      <c r="E227" s="79">
        <v>68427719</v>
      </c>
      <c r="F227" s="93">
        <v>52000</v>
      </c>
      <c r="G227" s="79" t="s">
        <v>113</v>
      </c>
      <c r="H227" s="79" t="s">
        <v>114</v>
      </c>
      <c r="I227" s="79" t="s">
        <v>204</v>
      </c>
      <c r="J227" s="79">
        <v>2020</v>
      </c>
      <c r="K227" s="79" t="s">
        <v>311</v>
      </c>
      <c r="L227" s="79" t="s">
        <v>713</v>
      </c>
    </row>
    <row r="228" spans="1:12" hidden="1" x14ac:dyDescent="0.25">
      <c r="A228" s="82">
        <v>43494</v>
      </c>
      <c r="B228" s="79" t="s">
        <v>714</v>
      </c>
      <c r="C228" s="79" t="s">
        <v>715</v>
      </c>
      <c r="D228" s="79" t="s">
        <v>127</v>
      </c>
      <c r="E228" s="79">
        <v>68427719</v>
      </c>
      <c r="F228" s="93">
        <v>90000</v>
      </c>
      <c r="G228" s="79" t="s">
        <v>113</v>
      </c>
      <c r="H228" s="79" t="s">
        <v>114</v>
      </c>
      <c r="I228" s="79" t="s">
        <v>204</v>
      </c>
      <c r="J228" s="79">
        <v>2020</v>
      </c>
      <c r="K228" s="79" t="s">
        <v>311</v>
      </c>
      <c r="L228" s="79" t="s">
        <v>716</v>
      </c>
    </row>
    <row r="229" spans="1:12" hidden="1" x14ac:dyDescent="0.25">
      <c r="A229" s="82">
        <v>43495</v>
      </c>
      <c r="B229" s="79" t="s">
        <v>717</v>
      </c>
      <c r="C229" s="79" t="s">
        <v>718</v>
      </c>
      <c r="D229" s="79" t="s">
        <v>127</v>
      </c>
      <c r="E229" s="79">
        <v>68427719</v>
      </c>
      <c r="F229" s="93">
        <v>49000</v>
      </c>
      <c r="G229" s="79" t="s">
        <v>113</v>
      </c>
      <c r="H229" s="79" t="s">
        <v>114</v>
      </c>
      <c r="I229" s="79" t="s">
        <v>204</v>
      </c>
      <c r="J229" s="79">
        <v>2020</v>
      </c>
      <c r="K229" s="79" t="s">
        <v>171</v>
      </c>
      <c r="L229" s="79" t="s">
        <v>719</v>
      </c>
    </row>
    <row r="230" spans="1:12" hidden="1" x14ac:dyDescent="0.25">
      <c r="A230" s="82">
        <v>43509</v>
      </c>
      <c r="B230" s="79" t="s">
        <v>125</v>
      </c>
      <c r="C230" s="79" t="s">
        <v>720</v>
      </c>
      <c r="D230" s="79" t="s">
        <v>127</v>
      </c>
      <c r="E230" s="79">
        <v>68427709</v>
      </c>
      <c r="F230" s="93">
        <v>2000</v>
      </c>
      <c r="G230" s="79" t="s">
        <v>113</v>
      </c>
      <c r="H230" s="79" t="s">
        <v>114</v>
      </c>
      <c r="I230" s="79" t="s">
        <v>204</v>
      </c>
      <c r="J230" s="79">
        <v>2020</v>
      </c>
      <c r="K230" s="79" t="s">
        <v>542</v>
      </c>
      <c r="L230" s="154" t="s">
        <v>721</v>
      </c>
    </row>
    <row r="231" spans="1:12" hidden="1" x14ac:dyDescent="0.25">
      <c r="A231" s="82">
        <v>43510</v>
      </c>
      <c r="B231" s="79" t="s">
        <v>722</v>
      </c>
      <c r="C231" s="79" t="s">
        <v>723</v>
      </c>
      <c r="D231" s="79" t="s">
        <v>0</v>
      </c>
      <c r="E231" s="79">
        <v>68427709</v>
      </c>
      <c r="F231" s="93">
        <v>-50000</v>
      </c>
      <c r="G231" s="79" t="s">
        <v>113</v>
      </c>
      <c r="H231" s="79" t="s">
        <v>114</v>
      </c>
      <c r="I231" s="79" t="s">
        <v>204</v>
      </c>
      <c r="J231" s="79">
        <v>2020</v>
      </c>
      <c r="K231" s="79" t="s">
        <v>672</v>
      </c>
      <c r="L231" s="79"/>
    </row>
    <row r="232" spans="1:12" hidden="1" x14ac:dyDescent="0.25">
      <c r="A232" s="82">
        <v>43515</v>
      </c>
      <c r="B232" s="79" t="s">
        <v>724</v>
      </c>
      <c r="C232" s="79" t="s">
        <v>725</v>
      </c>
      <c r="D232" s="79" t="s">
        <v>0</v>
      </c>
      <c r="E232" s="79">
        <v>68427709</v>
      </c>
      <c r="F232" s="93">
        <v>7000</v>
      </c>
      <c r="G232" s="79" t="s">
        <v>113</v>
      </c>
      <c r="H232" s="79" t="s">
        <v>114</v>
      </c>
      <c r="I232" s="79" t="s">
        <v>204</v>
      </c>
      <c r="J232" s="79">
        <v>2020</v>
      </c>
      <c r="K232" s="79" t="s">
        <v>297</v>
      </c>
      <c r="L232" s="79" t="s">
        <v>726</v>
      </c>
    </row>
    <row r="233" spans="1:12" hidden="1" x14ac:dyDescent="0.25">
      <c r="A233" s="82">
        <v>43515</v>
      </c>
      <c r="B233" s="79" t="s">
        <v>727</v>
      </c>
      <c r="C233" s="79" t="s">
        <v>728</v>
      </c>
      <c r="D233" s="79" t="s">
        <v>0</v>
      </c>
      <c r="E233" s="79">
        <v>68427709</v>
      </c>
      <c r="F233" s="93">
        <v>2600</v>
      </c>
      <c r="G233" s="79" t="s">
        <v>113</v>
      </c>
      <c r="H233" s="79" t="s">
        <v>114</v>
      </c>
      <c r="I233" s="79" t="s">
        <v>204</v>
      </c>
      <c r="J233" s="79">
        <v>2020</v>
      </c>
      <c r="K233" s="79" t="s">
        <v>729</v>
      </c>
      <c r="L233" s="79" t="s">
        <v>730</v>
      </c>
    </row>
    <row r="234" spans="1:12" hidden="1" x14ac:dyDescent="0.25">
      <c r="A234" s="82">
        <v>43517</v>
      </c>
      <c r="B234" s="79" t="s">
        <v>731</v>
      </c>
      <c r="C234" s="79" t="s">
        <v>732</v>
      </c>
      <c r="D234" s="79" t="s">
        <v>0</v>
      </c>
      <c r="E234" s="79">
        <v>68427709</v>
      </c>
      <c r="F234" s="93">
        <v>4000</v>
      </c>
      <c r="G234" s="79" t="s">
        <v>113</v>
      </c>
      <c r="H234" s="79" t="s">
        <v>114</v>
      </c>
      <c r="I234" s="79" t="s">
        <v>128</v>
      </c>
      <c r="J234" s="79">
        <v>2020</v>
      </c>
      <c r="K234" s="79" t="s">
        <v>193</v>
      </c>
      <c r="L234" s="79" t="s">
        <v>733</v>
      </c>
    </row>
    <row r="235" spans="1:12" hidden="1" x14ac:dyDescent="0.25">
      <c r="A235" s="82">
        <v>43528</v>
      </c>
      <c r="B235" s="79" t="s">
        <v>734</v>
      </c>
      <c r="C235" s="79" t="s">
        <v>735</v>
      </c>
      <c r="D235" s="79" t="s">
        <v>0</v>
      </c>
      <c r="E235" s="79">
        <v>68427709</v>
      </c>
      <c r="F235" s="93">
        <v>10000</v>
      </c>
      <c r="G235" s="79" t="s">
        <v>113</v>
      </c>
      <c r="H235" s="79" t="s">
        <v>114</v>
      </c>
      <c r="I235" s="79" t="s">
        <v>128</v>
      </c>
      <c r="J235" s="79">
        <v>2020</v>
      </c>
      <c r="K235" s="79" t="s">
        <v>116</v>
      </c>
      <c r="L235" s="79" t="s">
        <v>736</v>
      </c>
    </row>
    <row r="236" spans="1:12" hidden="1" x14ac:dyDescent="0.25">
      <c r="A236" s="82">
        <v>43528</v>
      </c>
      <c r="B236" s="79" t="s">
        <v>344</v>
      </c>
      <c r="C236" s="79" t="s">
        <v>737</v>
      </c>
      <c r="D236" s="79" t="s">
        <v>0</v>
      </c>
      <c r="E236" s="79">
        <v>68427709</v>
      </c>
      <c r="F236" s="93">
        <v>10000</v>
      </c>
      <c r="G236" s="79" t="s">
        <v>113</v>
      </c>
      <c r="H236" s="79" t="s">
        <v>114</v>
      </c>
      <c r="I236" s="79" t="s">
        <v>204</v>
      </c>
      <c r="J236" s="79">
        <v>2020</v>
      </c>
      <c r="K236" s="79" t="s">
        <v>738</v>
      </c>
      <c r="L236" s="79" t="s">
        <v>739</v>
      </c>
    </row>
    <row r="237" spans="1:12" hidden="1" x14ac:dyDescent="0.25">
      <c r="A237" s="82">
        <v>43535</v>
      </c>
      <c r="B237" s="79" t="s">
        <v>740</v>
      </c>
      <c r="C237" s="79" t="s">
        <v>741</v>
      </c>
      <c r="D237" s="79" t="s">
        <v>127</v>
      </c>
      <c r="E237" s="79">
        <v>68427719</v>
      </c>
      <c r="F237" s="93">
        <v>750000</v>
      </c>
      <c r="G237" s="79" t="s">
        <v>113</v>
      </c>
      <c r="H237" s="79" t="s">
        <v>114</v>
      </c>
      <c r="I237" s="79" t="s">
        <v>133</v>
      </c>
      <c r="J237" s="79">
        <v>2020</v>
      </c>
      <c r="K237" s="79" t="s">
        <v>542</v>
      </c>
      <c r="L237" s="79" t="s">
        <v>742</v>
      </c>
    </row>
    <row r="238" spans="1:12" hidden="1" x14ac:dyDescent="0.25">
      <c r="A238" s="82">
        <v>43535</v>
      </c>
      <c r="B238" s="79" t="s">
        <v>743</v>
      </c>
      <c r="C238" s="79" t="s">
        <v>744</v>
      </c>
      <c r="D238" s="79" t="s">
        <v>0</v>
      </c>
      <c r="E238" s="79">
        <v>68427709</v>
      </c>
      <c r="F238" s="93">
        <v>635000</v>
      </c>
      <c r="G238" s="79" t="s">
        <v>113</v>
      </c>
      <c r="H238" s="79" t="s">
        <v>114</v>
      </c>
      <c r="I238" s="79" t="s">
        <v>133</v>
      </c>
      <c r="J238" s="79">
        <v>2020</v>
      </c>
      <c r="K238" s="79" t="s">
        <v>542</v>
      </c>
      <c r="L238" s="154" t="s">
        <v>745</v>
      </c>
    </row>
    <row r="239" spans="1:12" hidden="1" x14ac:dyDescent="0.25">
      <c r="A239" s="82">
        <v>43535</v>
      </c>
      <c r="B239" s="122" t="s">
        <v>616</v>
      </c>
      <c r="C239" s="79" t="s">
        <v>746</v>
      </c>
      <c r="D239" s="79" t="s">
        <v>127</v>
      </c>
      <c r="E239" s="79">
        <v>68427709</v>
      </c>
      <c r="F239" s="93">
        <v>-120000</v>
      </c>
      <c r="G239" s="79" t="s">
        <v>113</v>
      </c>
      <c r="H239" s="79" t="s">
        <v>114</v>
      </c>
      <c r="I239" s="79" t="s">
        <v>133</v>
      </c>
      <c r="J239" s="79">
        <v>2020</v>
      </c>
      <c r="K239" s="79" t="s">
        <v>542</v>
      </c>
      <c r="L239" s="79" t="s">
        <v>747</v>
      </c>
    </row>
    <row r="240" spans="1:12" hidden="1" x14ac:dyDescent="0.25">
      <c r="A240" s="82">
        <v>43535</v>
      </c>
      <c r="B240" s="79" t="s">
        <v>325</v>
      </c>
      <c r="C240" s="79" t="s">
        <v>326</v>
      </c>
      <c r="D240" s="79" t="s">
        <v>0</v>
      </c>
      <c r="E240" s="79">
        <v>68427709</v>
      </c>
      <c r="F240" s="93">
        <v>-24000</v>
      </c>
      <c r="G240" s="79" t="s">
        <v>113</v>
      </c>
      <c r="H240" s="79" t="s">
        <v>114</v>
      </c>
      <c r="I240" s="79" t="s">
        <v>133</v>
      </c>
      <c r="J240" s="79">
        <v>2020</v>
      </c>
      <c r="K240" s="79" t="s">
        <v>542</v>
      </c>
      <c r="L240" s="79" t="s">
        <v>747</v>
      </c>
    </row>
    <row r="241" spans="1:12" hidden="1" x14ac:dyDescent="0.25">
      <c r="A241" s="82">
        <v>43535</v>
      </c>
      <c r="B241" s="79" t="s">
        <v>748</v>
      </c>
      <c r="C241" s="79" t="s">
        <v>749</v>
      </c>
      <c r="D241" s="79" t="s">
        <v>352</v>
      </c>
      <c r="E241" s="79">
        <v>68427709</v>
      </c>
      <c r="F241" s="93">
        <v>50000</v>
      </c>
      <c r="G241" s="79" t="s">
        <v>113</v>
      </c>
      <c r="H241" s="79" t="s">
        <v>114</v>
      </c>
      <c r="I241" s="79" t="s">
        <v>133</v>
      </c>
      <c r="J241" s="79">
        <v>2020</v>
      </c>
      <c r="K241" s="79" t="s">
        <v>542</v>
      </c>
      <c r="L241" s="79" t="s">
        <v>750</v>
      </c>
    </row>
    <row r="242" spans="1:12" hidden="1" x14ac:dyDescent="0.25">
      <c r="A242" s="82">
        <v>43535</v>
      </c>
      <c r="B242" s="79" t="s">
        <v>283</v>
      </c>
      <c r="C242" s="79" t="s">
        <v>751</v>
      </c>
      <c r="D242" s="79" t="s">
        <v>127</v>
      </c>
      <c r="E242" s="79">
        <v>68427709</v>
      </c>
      <c r="F242" s="93">
        <v>42000</v>
      </c>
      <c r="G242" s="79" t="s">
        <v>113</v>
      </c>
      <c r="H242" s="79" t="s">
        <v>114</v>
      </c>
      <c r="I242" s="79" t="s">
        <v>204</v>
      </c>
      <c r="J242" s="79">
        <v>2020</v>
      </c>
      <c r="K242" s="79" t="s">
        <v>116</v>
      </c>
      <c r="L242" s="79" t="s">
        <v>752</v>
      </c>
    </row>
    <row r="243" spans="1:12" hidden="1" x14ac:dyDescent="0.25">
      <c r="A243" s="82">
        <v>43536</v>
      </c>
      <c r="B243" s="79" t="s">
        <v>753</v>
      </c>
      <c r="C243" s="79" t="s">
        <v>754</v>
      </c>
      <c r="D243" s="79" t="s">
        <v>0</v>
      </c>
      <c r="E243" s="79">
        <v>68427709</v>
      </c>
      <c r="F243" s="93">
        <v>86000</v>
      </c>
      <c r="G243" s="79" t="s">
        <v>113</v>
      </c>
      <c r="H243" s="79" t="s">
        <v>114</v>
      </c>
      <c r="I243" s="79" t="s">
        <v>204</v>
      </c>
      <c r="J243" s="79">
        <v>2020</v>
      </c>
      <c r="K243" s="79" t="s">
        <v>238</v>
      </c>
      <c r="L243" s="79" t="s">
        <v>755</v>
      </c>
    </row>
    <row r="244" spans="1:12" hidden="1" x14ac:dyDescent="0.25">
      <c r="A244" s="82">
        <v>43538</v>
      </c>
      <c r="B244" s="79" t="s">
        <v>185</v>
      </c>
      <c r="C244" s="79" t="s">
        <v>756</v>
      </c>
      <c r="D244" s="79" t="s">
        <v>0</v>
      </c>
      <c r="E244" s="79">
        <v>68427709</v>
      </c>
      <c r="F244" s="93">
        <v>-220000</v>
      </c>
      <c r="G244" s="79" t="s">
        <v>113</v>
      </c>
      <c r="H244" s="79" t="s">
        <v>114</v>
      </c>
      <c r="I244" s="79" t="s">
        <v>133</v>
      </c>
      <c r="J244" s="79">
        <v>2020</v>
      </c>
      <c r="K244" s="79" t="s">
        <v>186</v>
      </c>
      <c r="L244" s="79" t="s">
        <v>757</v>
      </c>
    </row>
    <row r="245" spans="1:12" hidden="1" x14ac:dyDescent="0.25">
      <c r="A245" s="82">
        <v>43538</v>
      </c>
      <c r="B245" s="79" t="s">
        <v>758</v>
      </c>
      <c r="C245" s="79" t="s">
        <v>759</v>
      </c>
      <c r="D245" s="79" t="s">
        <v>0</v>
      </c>
      <c r="E245" s="79">
        <v>68427709</v>
      </c>
      <c r="F245" s="93">
        <v>315000</v>
      </c>
      <c r="G245" s="79" t="s">
        <v>113</v>
      </c>
      <c r="H245" s="79" t="s">
        <v>114</v>
      </c>
      <c r="I245" s="79" t="s">
        <v>133</v>
      </c>
      <c r="J245" s="79">
        <v>2020</v>
      </c>
      <c r="K245" s="79" t="s">
        <v>186</v>
      </c>
      <c r="L245" s="79"/>
    </row>
    <row r="246" spans="1:12" hidden="1" x14ac:dyDescent="0.25">
      <c r="A246" s="82">
        <v>43538</v>
      </c>
      <c r="B246" s="79" t="s">
        <v>760</v>
      </c>
      <c r="C246" s="79" t="s">
        <v>759</v>
      </c>
      <c r="D246" s="79" t="s">
        <v>0</v>
      </c>
      <c r="E246" s="79">
        <v>68427709</v>
      </c>
      <c r="F246" s="93">
        <v>120000</v>
      </c>
      <c r="G246" s="79" t="s">
        <v>113</v>
      </c>
      <c r="H246" s="79" t="s">
        <v>114</v>
      </c>
      <c r="I246" s="79" t="s">
        <v>133</v>
      </c>
      <c r="J246" s="79">
        <v>2020</v>
      </c>
      <c r="K246" s="79" t="s">
        <v>186</v>
      </c>
      <c r="L246" s="79"/>
    </row>
    <row r="247" spans="1:12" hidden="1" x14ac:dyDescent="0.25">
      <c r="A247" s="82">
        <v>43538</v>
      </c>
      <c r="B247" s="79" t="s">
        <v>188</v>
      </c>
      <c r="C247" s="79" t="s">
        <v>761</v>
      </c>
      <c r="D247" s="79" t="s">
        <v>0</v>
      </c>
      <c r="E247" s="79">
        <v>68427709</v>
      </c>
      <c r="F247" s="93">
        <v>0</v>
      </c>
      <c r="G247" s="79" t="s">
        <v>113</v>
      </c>
      <c r="H247" s="79" t="s">
        <v>114</v>
      </c>
      <c r="I247" s="79" t="s">
        <v>204</v>
      </c>
      <c r="J247" s="79">
        <v>2020</v>
      </c>
      <c r="K247" s="79" t="s">
        <v>186</v>
      </c>
      <c r="L247" s="79" t="s">
        <v>762</v>
      </c>
    </row>
    <row r="248" spans="1:12" hidden="1" x14ac:dyDescent="0.25">
      <c r="A248" s="82">
        <v>43538</v>
      </c>
      <c r="B248" s="79" t="s">
        <v>763</v>
      </c>
      <c r="C248" s="79" t="s">
        <v>764</v>
      </c>
      <c r="D248" s="79" t="s">
        <v>0</v>
      </c>
      <c r="E248" s="79">
        <v>68427709</v>
      </c>
      <c r="F248" s="121">
        <v>0</v>
      </c>
      <c r="G248" s="79" t="s">
        <v>302</v>
      </c>
      <c r="H248" s="79" t="s">
        <v>114</v>
      </c>
      <c r="I248" s="79" t="s">
        <v>133</v>
      </c>
      <c r="J248" s="79">
        <v>2020</v>
      </c>
      <c r="K248" s="79" t="s">
        <v>186</v>
      </c>
      <c r="L248" s="79" t="s">
        <v>765</v>
      </c>
    </row>
    <row r="249" spans="1:12" hidden="1" x14ac:dyDescent="0.25">
      <c r="A249" s="82">
        <v>43550</v>
      </c>
      <c r="B249" s="79" t="s">
        <v>766</v>
      </c>
      <c r="C249" s="79" t="s">
        <v>767</v>
      </c>
      <c r="D249" s="79" t="s">
        <v>0</v>
      </c>
      <c r="E249" s="79">
        <v>68427709</v>
      </c>
      <c r="F249" s="93">
        <v>9000</v>
      </c>
      <c r="G249" s="79" t="s">
        <v>113</v>
      </c>
      <c r="H249" s="79" t="s">
        <v>114</v>
      </c>
      <c r="I249" s="79" t="s">
        <v>204</v>
      </c>
      <c r="J249" s="79">
        <v>2020</v>
      </c>
      <c r="K249" s="79" t="s">
        <v>263</v>
      </c>
      <c r="L249" s="79" t="s">
        <v>768</v>
      </c>
    </row>
    <row r="250" spans="1:12" hidden="1" x14ac:dyDescent="0.25">
      <c r="A250" s="82">
        <v>43581</v>
      </c>
      <c r="B250" s="79" t="s">
        <v>769</v>
      </c>
      <c r="C250" s="79" t="s">
        <v>770</v>
      </c>
      <c r="D250" s="79" t="s">
        <v>127</v>
      </c>
      <c r="E250" s="79">
        <v>68427709</v>
      </c>
      <c r="F250" s="93">
        <v>30000</v>
      </c>
      <c r="G250" s="79" t="s">
        <v>113</v>
      </c>
      <c r="H250" s="79" t="s">
        <v>114</v>
      </c>
      <c r="I250" s="79" t="s">
        <v>204</v>
      </c>
      <c r="J250" s="79">
        <v>2020</v>
      </c>
      <c r="K250" s="79" t="s">
        <v>542</v>
      </c>
      <c r="L250" s="79" t="s">
        <v>771</v>
      </c>
    </row>
    <row r="251" spans="1:12" hidden="1" x14ac:dyDescent="0.25">
      <c r="A251" s="82">
        <v>43587</v>
      </c>
      <c r="B251" s="79" t="s">
        <v>772</v>
      </c>
      <c r="C251" s="79" t="s">
        <v>773</v>
      </c>
      <c r="D251" s="79" t="s">
        <v>774</v>
      </c>
      <c r="E251" s="79">
        <v>68427709</v>
      </c>
      <c r="F251" s="93">
        <v>40000</v>
      </c>
      <c r="G251" s="79" t="s">
        <v>113</v>
      </c>
      <c r="H251" s="79" t="s">
        <v>114</v>
      </c>
      <c r="I251" s="79" t="s">
        <v>133</v>
      </c>
      <c r="J251" s="79">
        <v>2020</v>
      </c>
      <c r="K251" s="79" t="s">
        <v>775</v>
      </c>
      <c r="L251" s="79" t="s">
        <v>776</v>
      </c>
    </row>
    <row r="252" spans="1:12" hidden="1" x14ac:dyDescent="0.25">
      <c r="A252" s="82">
        <v>43591</v>
      </c>
      <c r="B252" s="79" t="s">
        <v>777</v>
      </c>
      <c r="C252" s="79" t="s">
        <v>778</v>
      </c>
      <c r="D252" s="79" t="s">
        <v>127</v>
      </c>
      <c r="E252" s="79">
        <v>68427709</v>
      </c>
      <c r="F252" s="93">
        <v>20000</v>
      </c>
      <c r="G252" s="79" t="s">
        <v>113</v>
      </c>
      <c r="H252" s="79" t="s">
        <v>114</v>
      </c>
      <c r="I252" s="79" t="s">
        <v>204</v>
      </c>
      <c r="J252" s="79">
        <v>2020</v>
      </c>
      <c r="K252" s="79" t="s">
        <v>116</v>
      </c>
      <c r="L252" s="79" t="s">
        <v>779</v>
      </c>
    </row>
    <row r="253" spans="1:12" hidden="1" x14ac:dyDescent="0.25">
      <c r="A253" s="82">
        <v>43591</v>
      </c>
      <c r="B253" s="79" t="s">
        <v>780</v>
      </c>
      <c r="C253" s="79" t="s">
        <v>781</v>
      </c>
      <c r="D253" s="79" t="s">
        <v>652</v>
      </c>
      <c r="E253" s="79">
        <v>68427709</v>
      </c>
      <c r="F253" s="93">
        <v>30000</v>
      </c>
      <c r="G253" s="79" t="s">
        <v>302</v>
      </c>
      <c r="H253" s="79" t="s">
        <v>114</v>
      </c>
      <c r="I253" s="79" t="s">
        <v>491</v>
      </c>
      <c r="J253" s="79">
        <v>2020</v>
      </c>
      <c r="K253" s="79" t="s">
        <v>116</v>
      </c>
      <c r="L253" s="79" t="s">
        <v>782</v>
      </c>
    </row>
    <row r="254" spans="1:12" hidden="1" x14ac:dyDescent="0.25">
      <c r="A254" s="82">
        <v>43592</v>
      </c>
      <c r="B254" s="79" t="s">
        <v>783</v>
      </c>
      <c r="C254" s="79" t="s">
        <v>784</v>
      </c>
      <c r="D254" s="79" t="s">
        <v>0</v>
      </c>
      <c r="E254" s="79">
        <v>68427709</v>
      </c>
      <c r="F254" s="93">
        <v>-145000</v>
      </c>
      <c r="G254" s="79" t="s">
        <v>113</v>
      </c>
      <c r="H254" s="79" t="s">
        <v>114</v>
      </c>
      <c r="I254" s="79" t="s">
        <v>204</v>
      </c>
      <c r="J254" s="79">
        <v>2020</v>
      </c>
      <c r="K254" s="79" t="s">
        <v>263</v>
      </c>
      <c r="L254" s="79" t="s">
        <v>785</v>
      </c>
    </row>
    <row r="255" spans="1:12" hidden="1" x14ac:dyDescent="0.25">
      <c r="A255" s="82">
        <v>43593</v>
      </c>
      <c r="B255" s="79" t="s">
        <v>786</v>
      </c>
      <c r="C255" s="79" t="s">
        <v>787</v>
      </c>
      <c r="D255" s="79" t="s">
        <v>0</v>
      </c>
      <c r="E255" s="79">
        <v>68427709</v>
      </c>
      <c r="F255" s="93">
        <v>250000</v>
      </c>
      <c r="G255" s="79" t="s">
        <v>113</v>
      </c>
      <c r="H255" s="79" t="s">
        <v>114</v>
      </c>
      <c r="I255" s="79" t="s">
        <v>204</v>
      </c>
      <c r="J255" s="79">
        <v>2020</v>
      </c>
      <c r="K255" s="79" t="s">
        <v>555</v>
      </c>
      <c r="L255" s="79" t="s">
        <v>788</v>
      </c>
    </row>
    <row r="256" spans="1:12" hidden="1" x14ac:dyDescent="0.25">
      <c r="A256" s="82">
        <v>43593</v>
      </c>
      <c r="B256" s="79" t="s">
        <v>789</v>
      </c>
      <c r="C256" s="79" t="s">
        <v>790</v>
      </c>
      <c r="D256" s="79" t="s">
        <v>0</v>
      </c>
      <c r="E256" s="79">
        <v>68427709</v>
      </c>
      <c r="F256" s="93">
        <v>75000</v>
      </c>
      <c r="G256" s="79" t="s">
        <v>113</v>
      </c>
      <c r="H256" s="79" t="s">
        <v>114</v>
      </c>
      <c r="I256" s="79" t="s">
        <v>133</v>
      </c>
      <c r="J256" s="79">
        <v>2020</v>
      </c>
      <c r="K256" s="79" t="s">
        <v>555</v>
      </c>
      <c r="L256" s="79" t="s">
        <v>791</v>
      </c>
    </row>
    <row r="257" spans="1:12" hidden="1" x14ac:dyDescent="0.25">
      <c r="A257" s="82">
        <v>43593</v>
      </c>
      <c r="B257" s="79" t="s">
        <v>792</v>
      </c>
      <c r="C257" s="79" t="s">
        <v>793</v>
      </c>
      <c r="D257" s="79" t="s">
        <v>0</v>
      </c>
      <c r="E257" s="79">
        <v>68427709</v>
      </c>
      <c r="F257" s="93">
        <v>120000</v>
      </c>
      <c r="G257" s="79" t="s">
        <v>113</v>
      </c>
      <c r="H257" s="79" t="s">
        <v>114</v>
      </c>
      <c r="I257" s="79" t="s">
        <v>133</v>
      </c>
      <c r="J257" s="79">
        <v>2020</v>
      </c>
      <c r="K257" s="79" t="s">
        <v>555</v>
      </c>
      <c r="L257" s="79" t="s">
        <v>794</v>
      </c>
    </row>
    <row r="258" spans="1:12" hidden="1" x14ac:dyDescent="0.25">
      <c r="A258" s="82">
        <v>43593</v>
      </c>
      <c r="B258" s="79" t="s">
        <v>795</v>
      </c>
      <c r="C258" s="79" t="s">
        <v>796</v>
      </c>
      <c r="D258" s="79" t="s">
        <v>0</v>
      </c>
      <c r="E258" s="79">
        <v>68427709</v>
      </c>
      <c r="F258" s="121"/>
      <c r="G258" s="79" t="s">
        <v>797</v>
      </c>
      <c r="H258" s="79" t="s">
        <v>114</v>
      </c>
      <c r="I258" s="79" t="s">
        <v>133</v>
      </c>
      <c r="J258" s="79">
        <v>2020</v>
      </c>
      <c r="K258" s="79" t="s">
        <v>395</v>
      </c>
      <c r="L258" s="79" t="s">
        <v>798</v>
      </c>
    </row>
    <row r="259" spans="1:12" hidden="1" x14ac:dyDescent="0.25">
      <c r="A259" s="82">
        <v>43593</v>
      </c>
      <c r="B259" s="79" t="s">
        <v>799</v>
      </c>
      <c r="C259" s="79" t="s">
        <v>800</v>
      </c>
      <c r="D259" s="79" t="s">
        <v>127</v>
      </c>
      <c r="E259" s="79">
        <v>68427709</v>
      </c>
      <c r="F259" s="93">
        <v>20000</v>
      </c>
      <c r="G259" s="79" t="s">
        <v>302</v>
      </c>
      <c r="H259" s="79" t="s">
        <v>114</v>
      </c>
      <c r="I259" s="79" t="s">
        <v>204</v>
      </c>
      <c r="J259" s="79">
        <v>2020</v>
      </c>
      <c r="K259" s="79" t="s">
        <v>116</v>
      </c>
      <c r="L259" s="79" t="s">
        <v>801</v>
      </c>
    </row>
    <row r="260" spans="1:12" hidden="1" x14ac:dyDescent="0.25">
      <c r="A260" s="82">
        <v>43595</v>
      </c>
      <c r="B260" s="79" t="s">
        <v>802</v>
      </c>
      <c r="C260" s="79" t="s">
        <v>803</v>
      </c>
      <c r="D260" s="79" t="s">
        <v>0</v>
      </c>
      <c r="E260" s="79">
        <v>68427709</v>
      </c>
      <c r="F260" s="93">
        <v>100000</v>
      </c>
      <c r="G260" s="79" t="s">
        <v>113</v>
      </c>
      <c r="H260" s="79" t="s">
        <v>114</v>
      </c>
      <c r="I260" s="79" t="s">
        <v>133</v>
      </c>
      <c r="J260" s="79">
        <v>2020</v>
      </c>
      <c r="K260" s="79" t="s">
        <v>212</v>
      </c>
      <c r="L260" s="79" t="s">
        <v>794</v>
      </c>
    </row>
    <row r="261" spans="1:12" hidden="1" x14ac:dyDescent="0.25">
      <c r="A261" s="82">
        <v>43595</v>
      </c>
      <c r="B261" s="79" t="s">
        <v>804</v>
      </c>
      <c r="C261" s="79" t="s">
        <v>805</v>
      </c>
      <c r="D261" s="79" t="s">
        <v>0</v>
      </c>
      <c r="E261" s="79">
        <v>68427709</v>
      </c>
      <c r="F261" s="93">
        <v>250000</v>
      </c>
      <c r="G261" s="79" t="s">
        <v>113</v>
      </c>
      <c r="H261" s="79" t="s">
        <v>114</v>
      </c>
      <c r="I261" s="79" t="s">
        <v>133</v>
      </c>
      <c r="J261" s="79">
        <v>2020</v>
      </c>
      <c r="K261" s="79" t="s">
        <v>212</v>
      </c>
      <c r="L261" s="79" t="s">
        <v>806</v>
      </c>
    </row>
    <row r="262" spans="1:12" hidden="1" x14ac:dyDescent="0.25">
      <c r="A262" s="82">
        <v>43595</v>
      </c>
      <c r="B262" s="79" t="s">
        <v>807</v>
      </c>
      <c r="C262" s="79" t="s">
        <v>808</v>
      </c>
      <c r="D262" s="79" t="s">
        <v>0</v>
      </c>
      <c r="E262" s="79">
        <v>68427709</v>
      </c>
      <c r="F262" s="93">
        <v>150000</v>
      </c>
      <c r="G262" s="79" t="s">
        <v>113</v>
      </c>
      <c r="H262" s="79" t="s">
        <v>114</v>
      </c>
      <c r="I262" s="79" t="s">
        <v>133</v>
      </c>
      <c r="J262" s="79">
        <v>2020</v>
      </c>
      <c r="K262" s="79" t="s">
        <v>212</v>
      </c>
      <c r="L262" s="79" t="s">
        <v>809</v>
      </c>
    </row>
    <row r="263" spans="1:12" hidden="1" x14ac:dyDescent="0.25">
      <c r="A263" s="82">
        <v>43595</v>
      </c>
      <c r="B263" s="79" t="s">
        <v>810</v>
      </c>
      <c r="C263" s="79" t="s">
        <v>811</v>
      </c>
      <c r="D263" s="79" t="s">
        <v>127</v>
      </c>
      <c r="E263" s="79">
        <v>68427709</v>
      </c>
      <c r="F263" s="93">
        <v>50000</v>
      </c>
      <c r="G263" s="79" t="s">
        <v>302</v>
      </c>
      <c r="H263" s="79" t="s">
        <v>114</v>
      </c>
      <c r="I263" s="79" t="s">
        <v>133</v>
      </c>
      <c r="J263" s="79">
        <v>2020</v>
      </c>
      <c r="K263" s="79" t="s">
        <v>116</v>
      </c>
      <c r="L263" s="79" t="s">
        <v>801</v>
      </c>
    </row>
    <row r="264" spans="1:12" hidden="1" x14ac:dyDescent="0.25">
      <c r="A264" s="82">
        <v>43595</v>
      </c>
      <c r="B264" s="79" t="s">
        <v>812</v>
      </c>
      <c r="C264" s="79" t="s">
        <v>813</v>
      </c>
      <c r="D264" s="79" t="s">
        <v>127</v>
      </c>
      <c r="E264" s="79">
        <v>68427709</v>
      </c>
      <c r="F264" s="93">
        <v>0</v>
      </c>
      <c r="G264" s="79" t="s">
        <v>113</v>
      </c>
      <c r="H264" s="79" t="s">
        <v>114</v>
      </c>
      <c r="I264" s="79" t="s">
        <v>491</v>
      </c>
      <c r="J264" s="79">
        <v>2020</v>
      </c>
      <c r="K264" s="79" t="s">
        <v>116</v>
      </c>
      <c r="L264" s="79"/>
    </row>
    <row r="265" spans="1:12" hidden="1" x14ac:dyDescent="0.25">
      <c r="A265" s="82">
        <v>43600</v>
      </c>
      <c r="B265" s="79" t="s">
        <v>814</v>
      </c>
      <c r="C265" s="79" t="s">
        <v>815</v>
      </c>
      <c r="D265" s="79" t="s">
        <v>127</v>
      </c>
      <c r="E265" s="79">
        <v>68427709</v>
      </c>
      <c r="F265" s="93">
        <v>-170000</v>
      </c>
      <c r="G265" s="79" t="s">
        <v>113</v>
      </c>
      <c r="H265" s="79" t="s">
        <v>114</v>
      </c>
      <c r="I265" s="79" t="s">
        <v>204</v>
      </c>
      <c r="J265" s="79">
        <v>2020</v>
      </c>
      <c r="K265" s="79" t="s">
        <v>116</v>
      </c>
      <c r="L265" s="79"/>
    </row>
    <row r="266" spans="1:12" hidden="1" x14ac:dyDescent="0.25">
      <c r="A266" s="82">
        <v>43600</v>
      </c>
      <c r="B266" s="79" t="s">
        <v>816</v>
      </c>
      <c r="C266" s="79" t="s">
        <v>817</v>
      </c>
      <c r="D266" s="79" t="s">
        <v>352</v>
      </c>
      <c r="E266" s="79">
        <v>68427709</v>
      </c>
      <c r="F266" s="93">
        <v>30000</v>
      </c>
      <c r="G266" s="79" t="s">
        <v>302</v>
      </c>
      <c r="H266" s="79" t="s">
        <v>114</v>
      </c>
      <c r="I266" s="79" t="s">
        <v>133</v>
      </c>
      <c r="J266" s="79">
        <v>2020</v>
      </c>
      <c r="K266" s="79" t="s">
        <v>279</v>
      </c>
      <c r="L266" s="79" t="s">
        <v>818</v>
      </c>
    </row>
    <row r="267" spans="1:12" hidden="1" x14ac:dyDescent="0.25">
      <c r="A267" s="82">
        <v>43600</v>
      </c>
      <c r="B267" s="79" t="s">
        <v>819</v>
      </c>
      <c r="C267" s="79" t="s">
        <v>820</v>
      </c>
      <c r="D267" s="79" t="s">
        <v>127</v>
      </c>
      <c r="E267" s="79">
        <v>68427709</v>
      </c>
      <c r="F267" s="93">
        <v>30000</v>
      </c>
      <c r="G267" s="79" t="s">
        <v>113</v>
      </c>
      <c r="H267" s="79" t="s">
        <v>114</v>
      </c>
      <c r="I267" s="79" t="s">
        <v>204</v>
      </c>
      <c r="J267" s="79">
        <v>2020</v>
      </c>
      <c r="K267" s="79" t="s">
        <v>116</v>
      </c>
      <c r="L267" s="79" t="s">
        <v>821</v>
      </c>
    </row>
    <row r="268" spans="1:12" hidden="1" x14ac:dyDescent="0.25">
      <c r="A268" s="82">
        <v>43600</v>
      </c>
      <c r="B268" s="79" t="s">
        <v>822</v>
      </c>
      <c r="C268" s="79" t="s">
        <v>823</v>
      </c>
      <c r="D268" s="79" t="s">
        <v>352</v>
      </c>
      <c r="E268" s="79">
        <v>68427709</v>
      </c>
      <c r="F268" s="93">
        <v>80000</v>
      </c>
      <c r="G268" s="79" t="s">
        <v>113</v>
      </c>
      <c r="H268" s="79" t="s">
        <v>114</v>
      </c>
      <c r="I268" s="79" t="s">
        <v>133</v>
      </c>
      <c r="J268" s="79">
        <v>2020</v>
      </c>
      <c r="K268" s="79" t="s">
        <v>116</v>
      </c>
      <c r="L268" s="79" t="s">
        <v>824</v>
      </c>
    </row>
    <row r="269" spans="1:12" hidden="1" x14ac:dyDescent="0.25">
      <c r="A269" s="82">
        <v>43601</v>
      </c>
      <c r="B269" s="79" t="s">
        <v>338</v>
      </c>
      <c r="C269" s="79" t="s">
        <v>825</v>
      </c>
      <c r="D269" s="79" t="s">
        <v>0</v>
      </c>
      <c r="E269" s="79">
        <v>68427709</v>
      </c>
      <c r="F269" s="93">
        <v>-70000</v>
      </c>
      <c r="G269" s="79" t="s">
        <v>113</v>
      </c>
      <c r="H269" s="79" t="s">
        <v>114</v>
      </c>
      <c r="I269" s="79" t="s">
        <v>204</v>
      </c>
      <c r="J269" s="79">
        <v>2020</v>
      </c>
      <c r="K269" s="79" t="s">
        <v>826</v>
      </c>
      <c r="L269" s="79" t="s">
        <v>827</v>
      </c>
    </row>
    <row r="270" spans="1:12" hidden="1" x14ac:dyDescent="0.25">
      <c r="A270" s="82">
        <v>43613</v>
      </c>
      <c r="B270" s="79" t="s">
        <v>828</v>
      </c>
      <c r="C270" s="79" t="s">
        <v>829</v>
      </c>
      <c r="D270" s="79" t="s">
        <v>352</v>
      </c>
      <c r="E270" s="79">
        <v>68427709</v>
      </c>
      <c r="F270" s="93">
        <v>40000</v>
      </c>
      <c r="G270" s="79" t="s">
        <v>113</v>
      </c>
      <c r="H270" s="79" t="s">
        <v>114</v>
      </c>
      <c r="I270" s="79" t="s">
        <v>133</v>
      </c>
      <c r="J270" s="79">
        <v>2020</v>
      </c>
      <c r="K270" s="79" t="s">
        <v>704</v>
      </c>
      <c r="L270" s="79" t="s">
        <v>830</v>
      </c>
    </row>
    <row r="271" spans="1:12" hidden="1" x14ac:dyDescent="0.25">
      <c r="A271" s="82">
        <v>43613</v>
      </c>
      <c r="B271" s="79" t="s">
        <v>588</v>
      </c>
      <c r="C271" s="79" t="s">
        <v>831</v>
      </c>
      <c r="D271" s="79" t="s">
        <v>558</v>
      </c>
      <c r="E271" s="79">
        <v>68427709</v>
      </c>
      <c r="F271" s="93">
        <v>860000</v>
      </c>
      <c r="G271" s="79" t="s">
        <v>113</v>
      </c>
      <c r="H271" s="79" t="s">
        <v>114</v>
      </c>
      <c r="I271" s="79" t="s">
        <v>204</v>
      </c>
      <c r="J271" s="79">
        <v>2020</v>
      </c>
      <c r="K271" s="79" t="s">
        <v>376</v>
      </c>
      <c r="L271" s="79"/>
    </row>
    <row r="272" spans="1:12" hidden="1" x14ac:dyDescent="0.25">
      <c r="A272" s="82">
        <v>43620</v>
      </c>
      <c r="B272" s="79" t="s">
        <v>832</v>
      </c>
      <c r="C272" s="79" t="s">
        <v>833</v>
      </c>
      <c r="D272" s="79" t="s">
        <v>352</v>
      </c>
      <c r="E272" s="79">
        <v>68427709</v>
      </c>
      <c r="F272" s="93">
        <v>25000</v>
      </c>
      <c r="G272" s="79" t="s">
        <v>113</v>
      </c>
      <c r="H272" s="79" t="s">
        <v>114</v>
      </c>
      <c r="I272" s="79" t="s">
        <v>133</v>
      </c>
      <c r="J272" s="79">
        <v>2020</v>
      </c>
      <c r="K272" s="79" t="s">
        <v>834</v>
      </c>
      <c r="L272" s="79" t="s">
        <v>835</v>
      </c>
    </row>
    <row r="273" spans="1:12" hidden="1" x14ac:dyDescent="0.25">
      <c r="A273" s="82">
        <v>43622</v>
      </c>
      <c r="B273" s="79" t="s">
        <v>157</v>
      </c>
      <c r="C273" s="79" t="s">
        <v>836</v>
      </c>
      <c r="D273" s="79" t="s">
        <v>0</v>
      </c>
      <c r="E273" s="79">
        <v>68427709</v>
      </c>
      <c r="F273" s="93">
        <v>20000</v>
      </c>
      <c r="G273" s="79" t="s">
        <v>113</v>
      </c>
      <c r="H273" s="79" t="s">
        <v>114</v>
      </c>
      <c r="I273" s="79" t="s">
        <v>204</v>
      </c>
      <c r="J273" s="79">
        <v>2020</v>
      </c>
      <c r="K273" s="79" t="s">
        <v>179</v>
      </c>
      <c r="L273" s="79" t="s">
        <v>837</v>
      </c>
    </row>
    <row r="274" spans="1:12" hidden="1" x14ac:dyDescent="0.25">
      <c r="A274" s="82">
        <v>43622</v>
      </c>
      <c r="B274" s="79" t="s">
        <v>838</v>
      </c>
      <c r="C274" s="79" t="s">
        <v>839</v>
      </c>
      <c r="D274" s="79" t="s">
        <v>0</v>
      </c>
      <c r="E274" s="79">
        <v>68427709</v>
      </c>
      <c r="F274" s="93">
        <f>(187-143)*1000</f>
        <v>44000</v>
      </c>
      <c r="G274" s="79" t="s">
        <v>113</v>
      </c>
      <c r="H274" s="79" t="s">
        <v>114</v>
      </c>
      <c r="I274" s="79" t="s">
        <v>204</v>
      </c>
      <c r="J274" s="79">
        <v>2020</v>
      </c>
      <c r="K274" s="79" t="s">
        <v>361</v>
      </c>
      <c r="L274" s="79"/>
    </row>
    <row r="275" spans="1:12" hidden="1" x14ac:dyDescent="0.25">
      <c r="A275" s="82">
        <v>43622</v>
      </c>
      <c r="B275" s="79" t="s">
        <v>840</v>
      </c>
      <c r="C275" s="79" t="s">
        <v>841</v>
      </c>
      <c r="D275" s="79" t="s">
        <v>0</v>
      </c>
      <c r="E275" s="79">
        <v>68427709</v>
      </c>
      <c r="F275" s="93">
        <v>150000</v>
      </c>
      <c r="G275" s="79" t="s">
        <v>113</v>
      </c>
      <c r="H275" s="79" t="s">
        <v>114</v>
      </c>
      <c r="I275" s="79" t="s">
        <v>133</v>
      </c>
      <c r="J275" s="79">
        <v>2020</v>
      </c>
      <c r="K275" s="79" t="s">
        <v>361</v>
      </c>
      <c r="L275" s="79" t="s">
        <v>842</v>
      </c>
    </row>
    <row r="276" spans="1:12" hidden="1" x14ac:dyDescent="0.25">
      <c r="A276" s="82">
        <v>43634</v>
      </c>
      <c r="B276" s="79" t="s">
        <v>843</v>
      </c>
      <c r="C276" s="79" t="s">
        <v>844</v>
      </c>
      <c r="D276" s="79" t="s">
        <v>0</v>
      </c>
      <c r="E276" s="79">
        <v>68427709</v>
      </c>
      <c r="F276" s="93">
        <v>9720</v>
      </c>
      <c r="G276" s="79" t="s">
        <v>113</v>
      </c>
      <c r="H276" s="79" t="s">
        <v>114</v>
      </c>
      <c r="I276" s="79" t="s">
        <v>204</v>
      </c>
      <c r="J276" s="79">
        <v>2020</v>
      </c>
      <c r="K276" s="79" t="s">
        <v>311</v>
      </c>
      <c r="L276" s="79"/>
    </row>
    <row r="277" spans="1:12" hidden="1" x14ac:dyDescent="0.25">
      <c r="A277" s="82">
        <v>43634</v>
      </c>
      <c r="B277" s="79" t="s">
        <v>845</v>
      </c>
      <c r="C277" s="79" t="s">
        <v>846</v>
      </c>
      <c r="D277" s="79" t="s">
        <v>0</v>
      </c>
      <c r="E277" s="79">
        <v>68427709</v>
      </c>
      <c r="F277" s="93">
        <v>72000</v>
      </c>
      <c r="G277" s="79" t="s">
        <v>113</v>
      </c>
      <c r="H277" s="79" t="s">
        <v>114</v>
      </c>
      <c r="I277" s="79" t="s">
        <v>133</v>
      </c>
      <c r="J277" s="79">
        <v>2020</v>
      </c>
      <c r="K277" s="79" t="s">
        <v>523</v>
      </c>
      <c r="L277" s="79" t="s">
        <v>847</v>
      </c>
    </row>
    <row r="278" spans="1:12" hidden="1" x14ac:dyDescent="0.25">
      <c r="A278" s="82">
        <v>43634</v>
      </c>
      <c r="B278" s="79" t="s">
        <v>848</v>
      </c>
      <c r="C278" s="79" t="s">
        <v>849</v>
      </c>
      <c r="D278" s="79" t="s">
        <v>850</v>
      </c>
      <c r="E278" s="79">
        <v>68427709</v>
      </c>
      <c r="F278" s="93">
        <v>100000</v>
      </c>
      <c r="G278" s="79" t="s">
        <v>302</v>
      </c>
      <c r="H278" s="79" t="s">
        <v>114</v>
      </c>
      <c r="I278" s="79" t="s">
        <v>133</v>
      </c>
      <c r="J278" s="79">
        <v>2020</v>
      </c>
      <c r="K278" s="79" t="s">
        <v>542</v>
      </c>
      <c r="L278" s="79" t="s">
        <v>801</v>
      </c>
    </row>
    <row r="279" spans="1:12" hidden="1" x14ac:dyDescent="0.25">
      <c r="A279" s="82">
        <v>43634</v>
      </c>
      <c r="B279" s="79" t="s">
        <v>851</v>
      </c>
      <c r="C279" s="79" t="s">
        <v>852</v>
      </c>
      <c r="D279" s="79" t="s">
        <v>853</v>
      </c>
      <c r="E279" s="79">
        <v>68427709</v>
      </c>
      <c r="F279" s="93">
        <v>100000</v>
      </c>
      <c r="G279" s="79" t="s">
        <v>113</v>
      </c>
      <c r="H279" s="79" t="s">
        <v>114</v>
      </c>
      <c r="I279" s="79" t="s">
        <v>204</v>
      </c>
      <c r="J279" s="79">
        <v>2020</v>
      </c>
      <c r="K279" s="79" t="s">
        <v>555</v>
      </c>
    </row>
    <row r="280" spans="1:12" hidden="1" x14ac:dyDescent="0.25">
      <c r="A280" s="82">
        <v>43634</v>
      </c>
      <c r="B280" s="79" t="s">
        <v>854</v>
      </c>
      <c r="C280" s="79" t="s">
        <v>855</v>
      </c>
      <c r="D280" s="79" t="s">
        <v>856</v>
      </c>
      <c r="E280" s="79">
        <v>68427709</v>
      </c>
      <c r="F280" s="93">
        <v>20000</v>
      </c>
      <c r="G280" s="79" t="s">
        <v>113</v>
      </c>
      <c r="H280" s="79" t="s">
        <v>114</v>
      </c>
      <c r="I280" s="79" t="s">
        <v>204</v>
      </c>
      <c r="J280" s="79">
        <v>2020</v>
      </c>
      <c r="K280" s="79" t="s">
        <v>555</v>
      </c>
      <c r="L280" s="79" t="s">
        <v>857</v>
      </c>
    </row>
    <row r="281" spans="1:12" hidden="1" x14ac:dyDescent="0.25">
      <c r="A281" s="82">
        <v>43634</v>
      </c>
      <c r="B281" s="79" t="s">
        <v>854</v>
      </c>
      <c r="C281" s="79" t="s">
        <v>858</v>
      </c>
      <c r="D281" s="79" t="s">
        <v>856</v>
      </c>
      <c r="E281" s="79">
        <v>68427709</v>
      </c>
      <c r="F281" s="93">
        <v>19000</v>
      </c>
      <c r="G281" s="79" t="s">
        <v>113</v>
      </c>
      <c r="H281" s="79" t="s">
        <v>114</v>
      </c>
      <c r="I281" s="79" t="s">
        <v>204</v>
      </c>
      <c r="J281" s="79">
        <v>2020</v>
      </c>
      <c r="K281" s="79" t="s">
        <v>555</v>
      </c>
      <c r="L281" s="79" t="s">
        <v>857</v>
      </c>
    </row>
    <row r="282" spans="1:12" hidden="1" x14ac:dyDescent="0.25">
      <c r="A282" s="82">
        <v>43636</v>
      </c>
      <c r="B282" s="79" t="s">
        <v>135</v>
      </c>
      <c r="C282" s="79" t="s">
        <v>859</v>
      </c>
      <c r="D282" s="79" t="s">
        <v>135</v>
      </c>
      <c r="E282" s="79">
        <v>68427709</v>
      </c>
      <c r="F282" s="93">
        <v>19000</v>
      </c>
      <c r="G282" s="79" t="s">
        <v>113</v>
      </c>
      <c r="H282" s="79" t="s">
        <v>114</v>
      </c>
      <c r="I282" s="79" t="s">
        <v>204</v>
      </c>
      <c r="J282" s="79">
        <v>2020</v>
      </c>
      <c r="K282" s="79" t="s">
        <v>672</v>
      </c>
      <c r="L282" s="79"/>
    </row>
    <row r="283" spans="1:12" hidden="1" x14ac:dyDescent="0.25">
      <c r="A283" s="82">
        <v>43636</v>
      </c>
      <c r="B283" s="79" t="s">
        <v>860</v>
      </c>
      <c r="C283" s="79" t="s">
        <v>861</v>
      </c>
      <c r="D283" s="79" t="s">
        <v>0</v>
      </c>
      <c r="E283" s="79">
        <v>68427709</v>
      </c>
      <c r="F283" s="93">
        <v>-3000</v>
      </c>
      <c r="G283" s="79" t="s">
        <v>113</v>
      </c>
      <c r="H283" s="79" t="s">
        <v>114</v>
      </c>
      <c r="I283" s="79" t="s">
        <v>204</v>
      </c>
      <c r="J283" s="79">
        <v>2020</v>
      </c>
      <c r="K283" s="79" t="s">
        <v>542</v>
      </c>
      <c r="L283" s="79"/>
    </row>
    <row r="284" spans="1:12" hidden="1" x14ac:dyDescent="0.25">
      <c r="A284" s="82">
        <v>43636</v>
      </c>
      <c r="B284" s="79" t="s">
        <v>862</v>
      </c>
      <c r="C284" s="79" t="s">
        <v>861</v>
      </c>
      <c r="D284" s="79" t="s">
        <v>0</v>
      </c>
      <c r="E284" s="79">
        <v>68427709</v>
      </c>
      <c r="F284" s="93">
        <v>-1700</v>
      </c>
      <c r="G284" s="79" t="s">
        <v>113</v>
      </c>
      <c r="H284" s="79" t="s">
        <v>114</v>
      </c>
      <c r="I284" s="79" t="s">
        <v>204</v>
      </c>
      <c r="J284" s="79">
        <v>2020</v>
      </c>
      <c r="K284" s="79" t="s">
        <v>542</v>
      </c>
      <c r="L284" s="79"/>
    </row>
    <row r="285" spans="1:12" hidden="1" x14ac:dyDescent="0.25">
      <c r="A285" s="82">
        <v>43637</v>
      </c>
      <c r="B285" s="79" t="s">
        <v>863</v>
      </c>
      <c r="C285" s="79" t="s">
        <v>864</v>
      </c>
      <c r="D285" s="79" t="s">
        <v>0</v>
      </c>
      <c r="E285" s="79">
        <v>68427709</v>
      </c>
      <c r="F285" s="121">
        <v>0</v>
      </c>
      <c r="G285" s="79" t="s">
        <v>302</v>
      </c>
      <c r="H285" s="79" t="s">
        <v>114</v>
      </c>
      <c r="I285" s="79" t="s">
        <v>204</v>
      </c>
      <c r="J285" s="79">
        <v>2020</v>
      </c>
      <c r="K285" s="79" t="s">
        <v>865</v>
      </c>
      <c r="L285" s="79" t="s">
        <v>866</v>
      </c>
    </row>
    <row r="286" spans="1:12" hidden="1" x14ac:dyDescent="0.25">
      <c r="A286" s="82">
        <v>43640</v>
      </c>
      <c r="B286" s="79" t="s">
        <v>867</v>
      </c>
      <c r="C286" s="79" t="s">
        <v>868</v>
      </c>
      <c r="D286" s="79" t="s">
        <v>0</v>
      </c>
      <c r="E286" s="79">
        <v>68427709</v>
      </c>
      <c r="F286" s="93">
        <v>165000</v>
      </c>
      <c r="G286" s="79" t="s">
        <v>113</v>
      </c>
      <c r="H286" s="79" t="s">
        <v>114</v>
      </c>
      <c r="I286" s="79" t="s">
        <v>204</v>
      </c>
      <c r="J286" s="79">
        <v>2020</v>
      </c>
      <c r="K286" s="79" t="s">
        <v>542</v>
      </c>
      <c r="L286" s="79"/>
    </row>
    <row r="287" spans="1:12" hidden="1" x14ac:dyDescent="0.25">
      <c r="A287" s="82">
        <v>43640</v>
      </c>
      <c r="B287" s="79" t="s">
        <v>869</v>
      </c>
      <c r="C287" s="79" t="s">
        <v>870</v>
      </c>
      <c r="D287" s="79" t="s">
        <v>461</v>
      </c>
      <c r="E287" s="79">
        <v>68427709</v>
      </c>
      <c r="F287" s="93">
        <v>100000</v>
      </c>
      <c r="G287" s="79" t="s">
        <v>113</v>
      </c>
      <c r="H287" s="79" t="s">
        <v>114</v>
      </c>
      <c r="I287" s="79" t="s">
        <v>248</v>
      </c>
      <c r="J287" s="79">
        <v>2020</v>
      </c>
      <c r="K287" s="79" t="s">
        <v>279</v>
      </c>
      <c r="L287" s="79"/>
    </row>
    <row r="288" spans="1:12" hidden="1" x14ac:dyDescent="0.25">
      <c r="A288" s="82">
        <v>43640</v>
      </c>
      <c r="B288" s="79" t="s">
        <v>871</v>
      </c>
      <c r="C288" s="79" t="s">
        <v>872</v>
      </c>
      <c r="D288" s="79" t="s">
        <v>352</v>
      </c>
      <c r="E288" s="79">
        <v>68427709</v>
      </c>
      <c r="F288" s="93">
        <v>20000</v>
      </c>
      <c r="G288" s="79" t="s">
        <v>113</v>
      </c>
      <c r="H288" s="79" t="s">
        <v>114</v>
      </c>
      <c r="I288" s="79" t="s">
        <v>133</v>
      </c>
      <c r="J288" s="79">
        <v>2020</v>
      </c>
      <c r="K288" s="79" t="s">
        <v>116</v>
      </c>
      <c r="L288" s="79" t="s">
        <v>873</v>
      </c>
    </row>
    <row r="289" spans="1:12" hidden="1" x14ac:dyDescent="0.25">
      <c r="A289" s="82">
        <v>43640</v>
      </c>
      <c r="B289" s="79" t="s">
        <v>874</v>
      </c>
      <c r="C289" s="79" t="s">
        <v>874</v>
      </c>
      <c r="D289" s="79" t="s">
        <v>352</v>
      </c>
      <c r="E289" s="79">
        <v>68427709</v>
      </c>
      <c r="F289" s="93">
        <v>120000</v>
      </c>
      <c r="G289" s="79" t="s">
        <v>113</v>
      </c>
      <c r="H289" s="79" t="s">
        <v>114</v>
      </c>
      <c r="I289" s="79" t="s">
        <v>133</v>
      </c>
      <c r="J289" s="79">
        <v>2020</v>
      </c>
      <c r="K289" s="79" t="s">
        <v>116</v>
      </c>
      <c r="L289" s="79" t="s">
        <v>875</v>
      </c>
    </row>
    <row r="290" spans="1:12" hidden="1" x14ac:dyDescent="0.25">
      <c r="A290" s="82">
        <v>43640</v>
      </c>
      <c r="B290" s="79" t="s">
        <v>876</v>
      </c>
      <c r="C290" s="79" t="s">
        <v>876</v>
      </c>
      <c r="D290" s="79" t="s">
        <v>352</v>
      </c>
      <c r="E290" s="79">
        <v>68427709</v>
      </c>
      <c r="F290" s="93">
        <v>130000</v>
      </c>
      <c r="G290" s="79" t="s">
        <v>113</v>
      </c>
      <c r="H290" s="79" t="s">
        <v>114</v>
      </c>
      <c r="I290" s="79" t="s">
        <v>133</v>
      </c>
      <c r="J290" s="79">
        <v>2020</v>
      </c>
      <c r="K290" s="79" t="s">
        <v>116</v>
      </c>
      <c r="L290" s="79" t="s">
        <v>875</v>
      </c>
    </row>
    <row r="291" spans="1:12" hidden="1" x14ac:dyDescent="0.25">
      <c r="A291" s="82">
        <v>43640</v>
      </c>
      <c r="B291" s="79" t="s">
        <v>877</v>
      </c>
      <c r="C291" s="79" t="s">
        <v>877</v>
      </c>
      <c r="D291" s="79" t="s">
        <v>352</v>
      </c>
      <c r="E291" s="79">
        <v>68427709</v>
      </c>
      <c r="F291" s="93">
        <v>32000</v>
      </c>
      <c r="G291" s="79" t="s">
        <v>113</v>
      </c>
      <c r="H291" s="79" t="s">
        <v>114</v>
      </c>
      <c r="I291" s="79" t="s">
        <v>133</v>
      </c>
      <c r="J291" s="79">
        <v>2020</v>
      </c>
      <c r="K291" s="79" t="s">
        <v>116</v>
      </c>
      <c r="L291" s="79"/>
    </row>
    <row r="292" spans="1:12" hidden="1" x14ac:dyDescent="0.25">
      <c r="A292" s="82">
        <v>43640</v>
      </c>
      <c r="B292" s="79" t="s">
        <v>878</v>
      </c>
      <c r="C292" s="79" t="s">
        <v>878</v>
      </c>
      <c r="D292" s="79" t="s">
        <v>352</v>
      </c>
      <c r="E292" s="79">
        <v>68427709</v>
      </c>
      <c r="F292" s="93">
        <v>32000</v>
      </c>
      <c r="G292" s="79" t="s">
        <v>113</v>
      </c>
      <c r="H292" s="79" t="s">
        <v>114</v>
      </c>
      <c r="I292" s="79" t="s">
        <v>133</v>
      </c>
      <c r="J292" s="79">
        <v>2020</v>
      </c>
      <c r="K292" s="79" t="s">
        <v>116</v>
      </c>
      <c r="L292" s="79" t="s">
        <v>879</v>
      </c>
    </row>
    <row r="293" spans="1:12" hidden="1" x14ac:dyDescent="0.25">
      <c r="A293" s="82">
        <v>43640</v>
      </c>
      <c r="B293" s="79" t="s">
        <v>880</v>
      </c>
      <c r="C293" s="79" t="s">
        <v>880</v>
      </c>
      <c r="D293" s="79" t="s">
        <v>352</v>
      </c>
      <c r="E293" s="79">
        <v>68427709</v>
      </c>
      <c r="F293" s="93">
        <v>7000</v>
      </c>
      <c r="G293" s="79" t="s">
        <v>113</v>
      </c>
      <c r="H293" s="79" t="s">
        <v>114</v>
      </c>
      <c r="I293" s="79" t="s">
        <v>133</v>
      </c>
      <c r="J293" s="79">
        <v>2020</v>
      </c>
      <c r="K293" s="79" t="s">
        <v>116</v>
      </c>
      <c r="L293" s="79"/>
    </row>
    <row r="294" spans="1:12" hidden="1" x14ac:dyDescent="0.25">
      <c r="A294" s="82">
        <v>43640</v>
      </c>
      <c r="B294" s="79" t="s">
        <v>881</v>
      </c>
      <c r="C294" s="79" t="s">
        <v>882</v>
      </c>
      <c r="D294" s="79" t="s">
        <v>0</v>
      </c>
      <c r="E294" s="79">
        <v>68427709</v>
      </c>
      <c r="F294" s="93">
        <v>63000</v>
      </c>
      <c r="G294" s="79" t="s">
        <v>113</v>
      </c>
      <c r="H294" s="79" t="s">
        <v>114</v>
      </c>
      <c r="I294" s="79" t="s">
        <v>133</v>
      </c>
      <c r="J294" s="79">
        <v>2020</v>
      </c>
      <c r="K294" s="79" t="s">
        <v>279</v>
      </c>
      <c r="L294" s="79" t="s">
        <v>883</v>
      </c>
    </row>
    <row r="295" spans="1:12" hidden="1" x14ac:dyDescent="0.25">
      <c r="A295" s="82">
        <v>43640</v>
      </c>
      <c r="B295" s="150" t="s">
        <v>884</v>
      </c>
      <c r="C295" s="150" t="s">
        <v>884</v>
      </c>
      <c r="D295" s="79" t="s">
        <v>0</v>
      </c>
      <c r="E295" s="79">
        <v>68427709</v>
      </c>
      <c r="F295" s="93">
        <v>-130000</v>
      </c>
      <c r="G295" s="79" t="s">
        <v>113</v>
      </c>
      <c r="H295" s="79" t="s">
        <v>114</v>
      </c>
      <c r="I295" s="79" t="s">
        <v>133</v>
      </c>
      <c r="J295" s="79">
        <v>2020</v>
      </c>
      <c r="K295" s="79" t="s">
        <v>116</v>
      </c>
      <c r="L295" s="79" t="s">
        <v>885</v>
      </c>
    </row>
    <row r="296" spans="1:12" hidden="1" x14ac:dyDescent="0.25">
      <c r="A296" s="82">
        <v>43640</v>
      </c>
      <c r="B296" s="79" t="s">
        <v>886</v>
      </c>
      <c r="C296" s="79" t="s">
        <v>886</v>
      </c>
      <c r="D296" s="79" t="s">
        <v>0</v>
      </c>
      <c r="E296" s="79">
        <v>68427709</v>
      </c>
      <c r="F296" s="93">
        <v>-120000</v>
      </c>
      <c r="G296" s="79" t="s">
        <v>113</v>
      </c>
      <c r="H296" s="79" t="s">
        <v>114</v>
      </c>
      <c r="I296" s="79" t="s">
        <v>133</v>
      </c>
      <c r="J296" s="79">
        <v>2020</v>
      </c>
      <c r="K296" s="79" t="s">
        <v>116</v>
      </c>
      <c r="L296" s="79" t="s">
        <v>885</v>
      </c>
    </row>
    <row r="297" spans="1:12" hidden="1" x14ac:dyDescent="0.25">
      <c r="A297" s="82">
        <v>43640</v>
      </c>
      <c r="B297" s="150" t="s">
        <v>887</v>
      </c>
      <c r="C297" s="150" t="s">
        <v>887</v>
      </c>
      <c r="D297" s="79" t="s">
        <v>0</v>
      </c>
      <c r="E297" s="79">
        <v>68427709</v>
      </c>
      <c r="F297" s="93">
        <v>-120000</v>
      </c>
      <c r="G297" s="79" t="s">
        <v>113</v>
      </c>
      <c r="H297" s="79" t="s">
        <v>114</v>
      </c>
      <c r="I297" s="79" t="s">
        <v>133</v>
      </c>
      <c r="J297" s="79">
        <v>2020</v>
      </c>
      <c r="K297" s="79" t="s">
        <v>116</v>
      </c>
      <c r="L297" s="79" t="s">
        <v>885</v>
      </c>
    </row>
    <row r="298" spans="1:12" hidden="1" x14ac:dyDescent="0.25">
      <c r="A298" s="82">
        <v>43641</v>
      </c>
      <c r="B298" s="79" t="s">
        <v>888</v>
      </c>
      <c r="C298" s="79" t="s">
        <v>889</v>
      </c>
      <c r="D298" s="79" t="s">
        <v>461</v>
      </c>
      <c r="E298" s="79">
        <v>68427709</v>
      </c>
      <c r="F298" s="93">
        <v>150000</v>
      </c>
      <c r="G298" s="79" t="s">
        <v>113</v>
      </c>
      <c r="H298" s="79" t="s">
        <v>114</v>
      </c>
      <c r="I298" s="79" t="s">
        <v>133</v>
      </c>
      <c r="J298" s="79">
        <v>2020</v>
      </c>
      <c r="K298" s="79" t="s">
        <v>116</v>
      </c>
      <c r="L298" s="79" t="s">
        <v>890</v>
      </c>
    </row>
    <row r="299" spans="1:12" hidden="1" x14ac:dyDescent="0.25">
      <c r="A299" s="82">
        <v>43644</v>
      </c>
      <c r="B299" s="79" t="s">
        <v>891</v>
      </c>
      <c r="C299" s="79" t="s">
        <v>892</v>
      </c>
      <c r="D299" s="79" t="s">
        <v>891</v>
      </c>
      <c r="E299" s="79">
        <v>68427709</v>
      </c>
      <c r="F299" s="93">
        <v>-60000</v>
      </c>
      <c r="G299" s="79" t="s">
        <v>113</v>
      </c>
      <c r="H299" s="79" t="s">
        <v>114</v>
      </c>
      <c r="I299" s="79" t="s">
        <v>204</v>
      </c>
      <c r="J299" s="79">
        <v>2020</v>
      </c>
      <c r="K299" s="79" t="s">
        <v>893</v>
      </c>
      <c r="L299" s="79" t="s">
        <v>894</v>
      </c>
    </row>
    <row r="300" spans="1:12" hidden="1" x14ac:dyDescent="0.25">
      <c r="A300" s="82">
        <v>43647</v>
      </c>
      <c r="B300" s="79" t="s">
        <v>895</v>
      </c>
      <c r="C300" s="79" t="s">
        <v>896</v>
      </c>
      <c r="D300" s="79" t="s">
        <v>437</v>
      </c>
      <c r="E300" s="79">
        <v>68427709</v>
      </c>
      <c r="F300" s="93">
        <v>2800</v>
      </c>
      <c r="G300" s="79" t="s">
        <v>113</v>
      </c>
      <c r="H300" s="79" t="s">
        <v>114</v>
      </c>
      <c r="I300" s="79" t="s">
        <v>204</v>
      </c>
      <c r="J300" s="79">
        <v>2020</v>
      </c>
      <c r="K300" s="79" t="s">
        <v>197</v>
      </c>
      <c r="L300" s="79" t="s">
        <v>897</v>
      </c>
    </row>
    <row r="301" spans="1:12" hidden="1" x14ac:dyDescent="0.25">
      <c r="A301" s="82">
        <v>43648</v>
      </c>
      <c r="B301" s="79" t="s">
        <v>898</v>
      </c>
      <c r="C301" s="79" t="s">
        <v>899</v>
      </c>
      <c r="D301" s="79" t="s">
        <v>900</v>
      </c>
      <c r="E301" s="79">
        <v>68427709</v>
      </c>
      <c r="F301" s="93">
        <v>30000</v>
      </c>
      <c r="G301" s="79" t="s">
        <v>113</v>
      </c>
      <c r="H301" s="79" t="s">
        <v>114</v>
      </c>
      <c r="I301" s="79" t="s">
        <v>204</v>
      </c>
      <c r="J301" s="79">
        <v>2020</v>
      </c>
      <c r="K301" s="79" t="s">
        <v>309</v>
      </c>
      <c r="L301" s="79" t="s">
        <v>901</v>
      </c>
    </row>
    <row r="302" spans="1:12" hidden="1" x14ac:dyDescent="0.25">
      <c r="A302" s="82">
        <v>43648</v>
      </c>
      <c r="B302" s="79" t="s">
        <v>902</v>
      </c>
      <c r="C302" s="79" t="s">
        <v>903</v>
      </c>
      <c r="D302" s="79" t="s">
        <v>352</v>
      </c>
      <c r="E302" s="79">
        <v>68427709</v>
      </c>
      <c r="F302" s="93">
        <v>90000</v>
      </c>
      <c r="G302" s="79" t="s">
        <v>113</v>
      </c>
      <c r="H302" s="79" t="s">
        <v>114</v>
      </c>
      <c r="I302" s="79" t="s">
        <v>133</v>
      </c>
      <c r="J302" s="79">
        <v>2020</v>
      </c>
      <c r="K302" s="79" t="s">
        <v>904</v>
      </c>
      <c r="L302" s="79" t="s">
        <v>905</v>
      </c>
    </row>
    <row r="303" spans="1:12" hidden="1" x14ac:dyDescent="0.25">
      <c r="A303" s="82">
        <v>43648</v>
      </c>
      <c r="B303" s="79" t="s">
        <v>906</v>
      </c>
      <c r="C303" s="79" t="s">
        <v>907</v>
      </c>
      <c r="D303" s="79" t="s">
        <v>0</v>
      </c>
      <c r="E303" s="79">
        <v>68427709</v>
      </c>
      <c r="F303" s="93">
        <v>1200000</v>
      </c>
      <c r="G303" s="79" t="s">
        <v>113</v>
      </c>
      <c r="H303" s="79" t="s">
        <v>114</v>
      </c>
      <c r="I303" s="79" t="s">
        <v>133</v>
      </c>
      <c r="J303" s="79">
        <v>2020</v>
      </c>
      <c r="K303" s="79" t="s">
        <v>238</v>
      </c>
      <c r="L303" s="79" t="s">
        <v>908</v>
      </c>
    </row>
    <row r="304" spans="1:12" hidden="1" x14ac:dyDescent="0.25">
      <c r="A304" s="82">
        <v>43649</v>
      </c>
      <c r="B304" s="79" t="s">
        <v>909</v>
      </c>
      <c r="C304" s="79" t="s">
        <v>910</v>
      </c>
      <c r="D304" s="79" t="s">
        <v>0</v>
      </c>
      <c r="E304" s="79">
        <v>68427709</v>
      </c>
      <c r="F304" s="93">
        <v>32000</v>
      </c>
      <c r="G304" s="79" t="s">
        <v>113</v>
      </c>
      <c r="H304" s="79" t="s">
        <v>114</v>
      </c>
      <c r="I304" s="79" t="s">
        <v>204</v>
      </c>
      <c r="J304" s="79">
        <v>2020</v>
      </c>
      <c r="K304" s="79" t="s">
        <v>252</v>
      </c>
      <c r="L304" s="79" t="s">
        <v>911</v>
      </c>
    </row>
    <row r="305" spans="1:12" hidden="1" x14ac:dyDescent="0.25">
      <c r="A305" s="82">
        <v>43650</v>
      </c>
      <c r="B305" s="79" t="s">
        <v>912</v>
      </c>
      <c r="C305" s="79" t="s">
        <v>913</v>
      </c>
      <c r="D305" s="79" t="s">
        <v>127</v>
      </c>
      <c r="E305" s="79">
        <v>68427709</v>
      </c>
      <c r="F305" s="93">
        <v>50000</v>
      </c>
      <c r="G305" s="79" t="s">
        <v>113</v>
      </c>
      <c r="H305" s="79" t="s">
        <v>114</v>
      </c>
      <c r="I305" s="79" t="s">
        <v>133</v>
      </c>
      <c r="J305" s="79">
        <v>2020</v>
      </c>
      <c r="K305" s="79" t="s">
        <v>279</v>
      </c>
      <c r="L305" s="79" t="s">
        <v>914</v>
      </c>
    </row>
    <row r="306" spans="1:12" hidden="1" x14ac:dyDescent="0.25">
      <c r="A306" s="82">
        <v>43655</v>
      </c>
      <c r="B306" s="79" t="s">
        <v>915</v>
      </c>
      <c r="C306" s="79" t="s">
        <v>916</v>
      </c>
      <c r="D306" s="79" t="s">
        <v>0</v>
      </c>
      <c r="E306" s="79">
        <v>68427709</v>
      </c>
      <c r="F306" s="93">
        <v>-15000</v>
      </c>
      <c r="G306" s="79" t="s">
        <v>113</v>
      </c>
      <c r="H306" s="79" t="s">
        <v>114</v>
      </c>
      <c r="I306" s="79" t="s">
        <v>204</v>
      </c>
      <c r="J306" s="79">
        <v>2020</v>
      </c>
      <c r="K306" s="79" t="s">
        <v>116</v>
      </c>
      <c r="L306" s="79" t="s">
        <v>917</v>
      </c>
    </row>
    <row r="307" spans="1:12" hidden="1" x14ac:dyDescent="0.25">
      <c r="A307" s="82">
        <v>43657</v>
      </c>
      <c r="B307" s="79" t="s">
        <v>281</v>
      </c>
      <c r="C307" s="79" t="s">
        <v>918</v>
      </c>
      <c r="D307" s="79" t="s">
        <v>127</v>
      </c>
      <c r="E307" s="79">
        <v>68427709</v>
      </c>
      <c r="F307" s="93">
        <v>4000</v>
      </c>
      <c r="G307" s="79" t="s">
        <v>113</v>
      </c>
      <c r="H307" s="79" t="s">
        <v>114</v>
      </c>
      <c r="I307" s="79" t="s">
        <v>204</v>
      </c>
      <c r="J307" s="79">
        <v>2020</v>
      </c>
      <c r="K307" s="79" t="s">
        <v>116</v>
      </c>
      <c r="L307" s="79"/>
    </row>
    <row r="308" spans="1:12" hidden="1" x14ac:dyDescent="0.25">
      <c r="A308" s="82">
        <v>43657</v>
      </c>
      <c r="B308" s="79" t="s">
        <v>919</v>
      </c>
      <c r="C308" s="79" t="s">
        <v>920</v>
      </c>
      <c r="D308" t="s">
        <v>0</v>
      </c>
      <c r="E308" s="79">
        <v>68427709</v>
      </c>
      <c r="F308" s="93">
        <v>-200000</v>
      </c>
      <c r="G308" s="79" t="s">
        <v>113</v>
      </c>
      <c r="H308" s="79" t="s">
        <v>114</v>
      </c>
      <c r="I308" s="79" t="s">
        <v>204</v>
      </c>
      <c r="J308" s="79">
        <v>2020</v>
      </c>
      <c r="K308" s="79" t="s">
        <v>672</v>
      </c>
      <c r="L308" s="79" t="s">
        <v>921</v>
      </c>
    </row>
    <row r="309" spans="1:12" hidden="1" x14ac:dyDescent="0.25">
      <c r="A309" s="82">
        <v>43657</v>
      </c>
      <c r="B309" s="79" t="s">
        <v>922</v>
      </c>
      <c r="C309" s="79" t="s">
        <v>923</v>
      </c>
      <c r="D309" s="79" t="s">
        <v>40</v>
      </c>
      <c r="E309" s="79">
        <v>68427709</v>
      </c>
      <c r="F309" s="93">
        <v>42000</v>
      </c>
      <c r="G309" s="79" t="s">
        <v>113</v>
      </c>
      <c r="H309" s="79" t="s">
        <v>114</v>
      </c>
      <c r="I309" s="79" t="s">
        <v>133</v>
      </c>
      <c r="J309" s="79">
        <v>2020</v>
      </c>
      <c r="K309" s="79" t="s">
        <v>376</v>
      </c>
      <c r="L309" s="79"/>
    </row>
    <row r="310" spans="1:12" hidden="1" x14ac:dyDescent="0.25">
      <c r="A310" s="82">
        <v>43657</v>
      </c>
      <c r="B310" s="79" t="s">
        <v>924</v>
      </c>
      <c r="C310" s="79" t="s">
        <v>925</v>
      </c>
      <c r="D310" s="79" t="s">
        <v>0</v>
      </c>
      <c r="E310" s="79">
        <v>68427709</v>
      </c>
      <c r="F310" s="93">
        <v>-400</v>
      </c>
      <c r="G310" s="79" t="s">
        <v>113</v>
      </c>
      <c r="H310" s="79" t="s">
        <v>114</v>
      </c>
      <c r="I310" s="79" t="s">
        <v>128</v>
      </c>
      <c r="J310" s="79">
        <v>2020</v>
      </c>
      <c r="K310" s="79" t="s">
        <v>116</v>
      </c>
      <c r="L310" s="79" t="s">
        <v>926</v>
      </c>
    </row>
    <row r="311" spans="1:12" hidden="1" x14ac:dyDescent="0.25">
      <c r="A311" s="82">
        <v>43657</v>
      </c>
      <c r="B311" s="79" t="s">
        <v>927</v>
      </c>
      <c r="C311" s="79" t="s">
        <v>928</v>
      </c>
      <c r="D311" s="79" t="s">
        <v>0</v>
      </c>
      <c r="E311" s="79">
        <v>68427709</v>
      </c>
      <c r="F311" s="93">
        <v>10000</v>
      </c>
      <c r="G311" s="79" t="s">
        <v>113</v>
      </c>
      <c r="H311" s="79" t="s">
        <v>114</v>
      </c>
      <c r="I311" s="79" t="s">
        <v>204</v>
      </c>
      <c r="J311" s="79">
        <v>2020</v>
      </c>
      <c r="K311" s="79" t="s">
        <v>263</v>
      </c>
      <c r="L311" s="79" t="s">
        <v>929</v>
      </c>
    </row>
    <row r="312" spans="1:12" hidden="1" x14ac:dyDescent="0.25">
      <c r="A312" s="82">
        <v>43657</v>
      </c>
      <c r="B312" s="79" t="s">
        <v>930</v>
      </c>
      <c r="C312" s="79" t="s">
        <v>931</v>
      </c>
      <c r="D312" s="79" t="s">
        <v>0</v>
      </c>
      <c r="E312" s="79">
        <v>68427709</v>
      </c>
      <c r="F312" s="93">
        <v>0</v>
      </c>
      <c r="G312" s="79" t="s">
        <v>302</v>
      </c>
      <c r="H312" s="79" t="s">
        <v>114</v>
      </c>
      <c r="I312" s="79" t="s">
        <v>133</v>
      </c>
      <c r="J312" s="79">
        <v>2020</v>
      </c>
      <c r="K312" s="79" t="s">
        <v>279</v>
      </c>
      <c r="L312" s="79" t="s">
        <v>932</v>
      </c>
    </row>
    <row r="313" spans="1:12" hidden="1" x14ac:dyDescent="0.25">
      <c r="A313" s="82">
        <v>43661</v>
      </c>
      <c r="B313" s="79" t="s">
        <v>933</v>
      </c>
      <c r="C313" s="79" t="s">
        <v>934</v>
      </c>
      <c r="D313" s="79" t="s">
        <v>352</v>
      </c>
      <c r="E313" s="79">
        <v>68427709</v>
      </c>
      <c r="F313" s="93">
        <f>50000+60000</f>
        <v>110000</v>
      </c>
      <c r="G313" s="79" t="s">
        <v>113</v>
      </c>
      <c r="H313" s="79" t="s">
        <v>114</v>
      </c>
      <c r="I313" s="79" t="s">
        <v>133</v>
      </c>
      <c r="J313" s="79">
        <v>2020</v>
      </c>
      <c r="K313" s="79" t="s">
        <v>116</v>
      </c>
      <c r="L313" s="79"/>
    </row>
    <row r="314" spans="1:12" hidden="1" x14ac:dyDescent="0.25">
      <c r="A314" s="82">
        <v>43661</v>
      </c>
      <c r="B314" s="79" t="s">
        <v>935</v>
      </c>
      <c r="C314" s="79" t="s">
        <v>936</v>
      </c>
      <c r="D314" s="79" t="s">
        <v>0</v>
      </c>
      <c r="E314" s="79">
        <v>68427709</v>
      </c>
      <c r="F314" s="93">
        <v>40000</v>
      </c>
      <c r="G314" s="79" t="s">
        <v>113</v>
      </c>
      <c r="H314" s="79" t="s">
        <v>114</v>
      </c>
      <c r="I314" s="79" t="s">
        <v>133</v>
      </c>
      <c r="J314" s="79">
        <v>2020</v>
      </c>
      <c r="K314" s="79" t="s">
        <v>433</v>
      </c>
      <c r="L314" s="79" t="s">
        <v>937</v>
      </c>
    </row>
    <row r="315" spans="1:12" hidden="1" x14ac:dyDescent="0.25">
      <c r="A315" s="82">
        <v>43661</v>
      </c>
      <c r="B315" s="79" t="s">
        <v>938</v>
      </c>
      <c r="C315" s="79" t="s">
        <v>939</v>
      </c>
      <c r="D315" s="79" t="s">
        <v>352</v>
      </c>
      <c r="E315" s="79">
        <v>68427719</v>
      </c>
      <c r="F315" s="93">
        <v>440000</v>
      </c>
      <c r="G315" s="79" t="s">
        <v>113</v>
      </c>
      <c r="H315" s="79" t="s">
        <v>114</v>
      </c>
      <c r="I315" s="79" t="s">
        <v>133</v>
      </c>
      <c r="J315" s="79">
        <v>2020</v>
      </c>
      <c r="K315" s="79" t="s">
        <v>116</v>
      </c>
      <c r="L315" s="92" t="s">
        <v>940</v>
      </c>
    </row>
    <row r="316" spans="1:12" hidden="1" x14ac:dyDescent="0.25">
      <c r="A316" s="82">
        <v>43661</v>
      </c>
      <c r="B316" s="79" t="s">
        <v>307</v>
      </c>
      <c r="C316" s="79" t="s">
        <v>941</v>
      </c>
      <c r="D316" s="79" t="s">
        <v>0</v>
      </c>
      <c r="E316" s="79">
        <v>68427709</v>
      </c>
      <c r="F316" s="93">
        <v>60000</v>
      </c>
      <c r="G316" s="79" t="s">
        <v>113</v>
      </c>
      <c r="H316" s="79" t="s">
        <v>114</v>
      </c>
      <c r="I316" s="79" t="s">
        <v>181</v>
      </c>
      <c r="J316" s="79">
        <v>2020</v>
      </c>
      <c r="K316" s="79" t="s">
        <v>309</v>
      </c>
      <c r="L316" s="154"/>
    </row>
    <row r="317" spans="1:12" hidden="1" x14ac:dyDescent="0.25">
      <c r="A317" s="82">
        <v>43663</v>
      </c>
      <c r="B317" s="79" t="s">
        <v>942</v>
      </c>
      <c r="C317" s="79" t="s">
        <v>943</v>
      </c>
      <c r="D317" s="79" t="s">
        <v>0</v>
      </c>
      <c r="E317" s="79">
        <v>68427709</v>
      </c>
      <c r="F317" s="93">
        <v>176000</v>
      </c>
      <c r="G317" s="79" t="s">
        <v>113</v>
      </c>
      <c r="H317" s="79" t="s">
        <v>114</v>
      </c>
      <c r="I317" s="79" t="s">
        <v>181</v>
      </c>
      <c r="J317" s="79">
        <v>2020</v>
      </c>
      <c r="K317" s="79" t="s">
        <v>944</v>
      </c>
      <c r="L317" s="79" t="s">
        <v>945</v>
      </c>
    </row>
    <row r="318" spans="1:12" hidden="1" x14ac:dyDescent="0.25">
      <c r="A318" s="82">
        <v>43663</v>
      </c>
      <c r="B318" s="79" t="s">
        <v>946</v>
      </c>
      <c r="C318" s="79" t="s">
        <v>947</v>
      </c>
      <c r="D318" s="79" t="s">
        <v>0</v>
      </c>
      <c r="E318" s="79">
        <v>68427709</v>
      </c>
      <c r="F318" s="93">
        <v>400000</v>
      </c>
      <c r="G318" s="79" t="s">
        <v>302</v>
      </c>
      <c r="H318" s="79" t="s">
        <v>114</v>
      </c>
      <c r="I318" s="79" t="s">
        <v>948</v>
      </c>
      <c r="J318" s="79">
        <v>2020</v>
      </c>
      <c r="K318" s="79" t="s">
        <v>309</v>
      </c>
      <c r="L318" s="79" t="s">
        <v>949</v>
      </c>
    </row>
    <row r="319" spans="1:12" hidden="1" x14ac:dyDescent="0.25">
      <c r="A319" s="82">
        <v>43663</v>
      </c>
      <c r="B319" s="79" t="s">
        <v>950</v>
      </c>
      <c r="C319" s="79" t="s">
        <v>951</v>
      </c>
      <c r="D319" s="79" t="s">
        <v>40</v>
      </c>
      <c r="E319" s="79">
        <v>68427709</v>
      </c>
      <c r="F319" s="93">
        <v>75000</v>
      </c>
      <c r="G319" s="79" t="s">
        <v>113</v>
      </c>
      <c r="H319" s="79" t="s">
        <v>114</v>
      </c>
      <c r="I319" s="79" t="s">
        <v>40</v>
      </c>
      <c r="J319" s="79">
        <v>2020</v>
      </c>
      <c r="K319" s="79" t="s">
        <v>376</v>
      </c>
      <c r="L319" s="79"/>
    </row>
    <row r="320" spans="1:12" hidden="1" x14ac:dyDescent="0.25">
      <c r="A320" s="82">
        <v>43664</v>
      </c>
      <c r="B320" s="79" t="s">
        <v>952</v>
      </c>
      <c r="C320" s="79" t="s">
        <v>953</v>
      </c>
      <c r="D320" s="79" t="s">
        <v>180</v>
      </c>
      <c r="E320" s="79">
        <v>68427709</v>
      </c>
      <c r="F320" s="93">
        <v>40000</v>
      </c>
      <c r="G320" s="79" t="s">
        <v>113</v>
      </c>
      <c r="H320" s="79" t="s">
        <v>114</v>
      </c>
      <c r="I320" s="79" t="s">
        <v>181</v>
      </c>
      <c r="J320" s="79">
        <v>2020</v>
      </c>
      <c r="K320" s="79" t="s">
        <v>704</v>
      </c>
      <c r="L320" s="79"/>
    </row>
    <row r="321" spans="1:12" hidden="1" x14ac:dyDescent="0.25">
      <c r="A321" s="82">
        <v>43658</v>
      </c>
      <c r="B321" s="79" t="s">
        <v>131</v>
      </c>
      <c r="C321" s="79" t="s">
        <v>954</v>
      </c>
      <c r="D321" s="79"/>
      <c r="E321" s="79">
        <v>68427709</v>
      </c>
      <c r="F321" s="93">
        <v>12000</v>
      </c>
      <c r="G321" s="79" t="s">
        <v>113</v>
      </c>
      <c r="H321" s="79" t="s">
        <v>114</v>
      </c>
      <c r="I321" s="79" t="s">
        <v>181</v>
      </c>
      <c r="J321" s="79">
        <v>2020</v>
      </c>
      <c r="K321" s="79" t="s">
        <v>227</v>
      </c>
      <c r="L321" s="79"/>
    </row>
    <row r="322" spans="1:12" hidden="1" x14ac:dyDescent="0.25">
      <c r="A322" s="82">
        <v>43677</v>
      </c>
      <c r="B322" s="79" t="s">
        <v>955</v>
      </c>
      <c r="C322" s="79" t="s">
        <v>610</v>
      </c>
      <c r="D322" s="79" t="s">
        <v>0</v>
      </c>
      <c r="E322" s="79">
        <v>68427709</v>
      </c>
      <c r="F322" s="93">
        <v>2000</v>
      </c>
      <c r="G322" s="79" t="s">
        <v>113</v>
      </c>
      <c r="H322" s="79" t="s">
        <v>114</v>
      </c>
      <c r="I322" s="79" t="s">
        <v>181</v>
      </c>
      <c r="J322" s="79">
        <v>2020</v>
      </c>
      <c r="K322" s="79" t="s">
        <v>555</v>
      </c>
      <c r="L322" s="79"/>
    </row>
    <row r="323" spans="1:12" hidden="1" x14ac:dyDescent="0.25">
      <c r="A323" s="82">
        <v>43677</v>
      </c>
      <c r="B323" s="79" t="s">
        <v>956</v>
      </c>
      <c r="C323" s="79" t="s">
        <v>957</v>
      </c>
      <c r="D323" s="79" t="s">
        <v>0</v>
      </c>
      <c r="E323" s="79">
        <v>68427709</v>
      </c>
      <c r="F323" s="93">
        <v>-13000</v>
      </c>
      <c r="G323" s="79" t="s">
        <v>113</v>
      </c>
      <c r="H323" s="79" t="s">
        <v>114</v>
      </c>
      <c r="I323" s="79" t="s">
        <v>181</v>
      </c>
      <c r="J323" s="79">
        <v>2020</v>
      </c>
      <c r="K323" s="79" t="s">
        <v>171</v>
      </c>
      <c r="L323" s="79"/>
    </row>
    <row r="324" spans="1:12" hidden="1" x14ac:dyDescent="0.25">
      <c r="A324" s="82">
        <v>43677</v>
      </c>
      <c r="B324" s="79" t="s">
        <v>958</v>
      </c>
      <c r="C324" s="79" t="s">
        <v>610</v>
      </c>
      <c r="D324" s="79" t="s">
        <v>958</v>
      </c>
      <c r="E324" s="79">
        <v>68427709</v>
      </c>
      <c r="F324" s="93">
        <v>12000</v>
      </c>
      <c r="G324" s="79" t="s">
        <v>113</v>
      </c>
      <c r="H324" s="79" t="s">
        <v>114</v>
      </c>
      <c r="I324" s="79" t="s">
        <v>181</v>
      </c>
      <c r="J324" s="79">
        <v>2020</v>
      </c>
      <c r="K324" s="79" t="s">
        <v>197</v>
      </c>
      <c r="L324" s="79"/>
    </row>
    <row r="325" spans="1:12" hidden="1" x14ac:dyDescent="0.25">
      <c r="A325" s="82">
        <v>43675</v>
      </c>
      <c r="B325" s="79" t="s">
        <v>493</v>
      </c>
      <c r="C325" s="79" t="s">
        <v>959</v>
      </c>
      <c r="D325" s="79" t="s">
        <v>40</v>
      </c>
      <c r="E325" s="79">
        <v>68427709</v>
      </c>
      <c r="F325" s="93">
        <v>-75000</v>
      </c>
      <c r="G325" s="79" t="s">
        <v>113</v>
      </c>
      <c r="H325" s="79" t="s">
        <v>114</v>
      </c>
      <c r="I325" s="79" t="s">
        <v>40</v>
      </c>
      <c r="J325" s="79">
        <v>2020</v>
      </c>
      <c r="K325" s="79" t="s">
        <v>376</v>
      </c>
      <c r="L325" s="79" t="s">
        <v>960</v>
      </c>
    </row>
    <row r="326" spans="1:12" hidden="1" x14ac:dyDescent="0.25">
      <c r="A326" s="82">
        <v>43675</v>
      </c>
      <c r="B326" s="79" t="s">
        <v>493</v>
      </c>
      <c r="C326" s="79" t="s">
        <v>961</v>
      </c>
      <c r="D326" s="79" t="s">
        <v>40</v>
      </c>
      <c r="E326" s="79">
        <v>68427709</v>
      </c>
      <c r="F326" s="93">
        <v>0</v>
      </c>
      <c r="G326" s="79" t="s">
        <v>113</v>
      </c>
      <c r="H326" s="79" t="s">
        <v>962</v>
      </c>
      <c r="I326" s="79" t="s">
        <v>40</v>
      </c>
      <c r="J326" s="79">
        <v>2020</v>
      </c>
      <c r="K326" s="79" t="s">
        <v>376</v>
      </c>
      <c r="L326" s="79" t="s">
        <v>963</v>
      </c>
    </row>
    <row r="327" spans="1:12" hidden="1" x14ac:dyDescent="0.25">
      <c r="A327" s="82">
        <v>43675</v>
      </c>
      <c r="B327" s="79" t="s">
        <v>964</v>
      </c>
      <c r="C327" s="79" t="s">
        <v>965</v>
      </c>
      <c r="D327" s="79" t="s">
        <v>40</v>
      </c>
      <c r="E327" s="79">
        <v>68427709</v>
      </c>
      <c r="F327" s="93">
        <v>0</v>
      </c>
      <c r="G327" s="79" t="s">
        <v>113</v>
      </c>
      <c r="H327" s="79" t="s">
        <v>114</v>
      </c>
      <c r="I327" s="79" t="s">
        <v>40</v>
      </c>
      <c r="J327" s="79">
        <v>2020</v>
      </c>
      <c r="K327" s="79" t="s">
        <v>376</v>
      </c>
      <c r="L327" s="79"/>
    </row>
    <row r="328" spans="1:12" hidden="1" x14ac:dyDescent="0.25">
      <c r="A328" s="82">
        <v>43675</v>
      </c>
      <c r="B328" s="79" t="s">
        <v>966</v>
      </c>
      <c r="C328" s="79" t="s">
        <v>961</v>
      </c>
      <c r="D328" s="79" t="s">
        <v>40</v>
      </c>
      <c r="E328" s="79">
        <v>68427709</v>
      </c>
      <c r="F328" s="93">
        <v>0</v>
      </c>
      <c r="G328" s="79" t="s">
        <v>113</v>
      </c>
      <c r="H328" s="79" t="s">
        <v>114</v>
      </c>
      <c r="I328" s="79" t="s">
        <v>40</v>
      </c>
      <c r="J328" s="79">
        <v>2020</v>
      </c>
      <c r="K328" s="79" t="s">
        <v>376</v>
      </c>
      <c r="L328" s="79" t="s">
        <v>967</v>
      </c>
    </row>
    <row r="329" spans="1:12" hidden="1" x14ac:dyDescent="0.25">
      <c r="A329" s="82">
        <v>43675</v>
      </c>
      <c r="B329" s="79" t="s">
        <v>968</v>
      </c>
      <c r="C329" s="79" t="s">
        <v>969</v>
      </c>
      <c r="D329" s="79" t="s">
        <v>40</v>
      </c>
      <c r="E329" s="79">
        <v>68427709</v>
      </c>
      <c r="F329" s="93">
        <v>0</v>
      </c>
      <c r="G329" s="79" t="s">
        <v>113</v>
      </c>
      <c r="H329" s="79" t="s">
        <v>962</v>
      </c>
      <c r="I329" s="79" t="s">
        <v>40</v>
      </c>
      <c r="J329" s="79">
        <v>2020</v>
      </c>
      <c r="K329" s="79" t="s">
        <v>376</v>
      </c>
      <c r="L329" s="79" t="s">
        <v>970</v>
      </c>
    </row>
    <row r="330" spans="1:12" hidden="1" x14ac:dyDescent="0.25">
      <c r="A330" s="82">
        <v>43675</v>
      </c>
      <c r="B330" s="79" t="s">
        <v>971</v>
      </c>
      <c r="C330" s="79" t="s">
        <v>969</v>
      </c>
      <c r="D330" s="79" t="s">
        <v>40</v>
      </c>
      <c r="E330" s="79">
        <v>68427709</v>
      </c>
      <c r="F330" s="93">
        <v>0</v>
      </c>
      <c r="G330" s="79" t="s">
        <v>113</v>
      </c>
      <c r="H330" s="79" t="s">
        <v>114</v>
      </c>
      <c r="I330" s="79" t="s">
        <v>40</v>
      </c>
      <c r="J330" s="79">
        <v>2020</v>
      </c>
      <c r="K330" s="79" t="s">
        <v>376</v>
      </c>
      <c r="L330" s="79" t="s">
        <v>970</v>
      </c>
    </row>
    <row r="331" spans="1:12" hidden="1" x14ac:dyDescent="0.25">
      <c r="A331" s="82">
        <v>43675</v>
      </c>
      <c r="B331" s="79" t="s">
        <v>972</v>
      </c>
      <c r="C331" s="79" t="s">
        <v>973</v>
      </c>
      <c r="D331" s="79" t="s">
        <v>0</v>
      </c>
      <c r="E331" s="79">
        <v>68427709</v>
      </c>
      <c r="F331" s="93">
        <v>-85000</v>
      </c>
      <c r="G331" s="79" t="s">
        <v>113</v>
      </c>
      <c r="H331" s="79" t="s">
        <v>114</v>
      </c>
      <c r="I331" s="79" t="s">
        <v>40</v>
      </c>
      <c r="J331" s="79">
        <v>2020</v>
      </c>
      <c r="K331" s="79" t="s">
        <v>376</v>
      </c>
      <c r="L331" s="79" t="s">
        <v>974</v>
      </c>
    </row>
    <row r="332" spans="1:12" hidden="1" x14ac:dyDescent="0.25">
      <c r="A332" s="82">
        <v>43675</v>
      </c>
      <c r="B332" s="79" t="s">
        <v>966</v>
      </c>
      <c r="C332" s="79" t="s">
        <v>975</v>
      </c>
      <c r="D332" s="79" t="s">
        <v>40</v>
      </c>
      <c r="E332" s="79">
        <v>68427709</v>
      </c>
      <c r="F332" s="121"/>
      <c r="G332" s="79" t="s">
        <v>797</v>
      </c>
      <c r="H332" s="79" t="s">
        <v>114</v>
      </c>
      <c r="I332" s="79" t="s">
        <v>40</v>
      </c>
      <c r="J332" s="79">
        <v>2020</v>
      </c>
      <c r="K332" s="79" t="s">
        <v>376</v>
      </c>
      <c r="L332" s="79" t="s">
        <v>976</v>
      </c>
    </row>
    <row r="333" spans="1:12" hidden="1" x14ac:dyDescent="0.25">
      <c r="A333" s="82">
        <v>43675</v>
      </c>
      <c r="B333" s="79" t="s">
        <v>966</v>
      </c>
      <c r="C333" s="79" t="s">
        <v>977</v>
      </c>
      <c r="D333" s="79" t="s">
        <v>40</v>
      </c>
      <c r="E333" s="79">
        <v>68427709</v>
      </c>
      <c r="F333" s="93">
        <v>55000</v>
      </c>
      <c r="G333" s="79" t="s">
        <v>113</v>
      </c>
      <c r="H333" s="79" t="s">
        <v>114</v>
      </c>
      <c r="I333" s="79" t="s">
        <v>40</v>
      </c>
      <c r="J333" s="79">
        <v>2020</v>
      </c>
      <c r="K333" s="79" t="s">
        <v>376</v>
      </c>
      <c r="L333" s="79"/>
    </row>
    <row r="334" spans="1:12" hidden="1" x14ac:dyDescent="0.25">
      <c r="A334" s="82">
        <v>43675</v>
      </c>
      <c r="B334" s="79" t="s">
        <v>978</v>
      </c>
      <c r="C334" s="79" t="s">
        <v>979</v>
      </c>
      <c r="D334" s="79" t="s">
        <v>40</v>
      </c>
      <c r="E334" s="79">
        <v>68427709</v>
      </c>
      <c r="F334" s="93">
        <v>3000</v>
      </c>
      <c r="G334" s="79" t="s">
        <v>113</v>
      </c>
      <c r="H334" s="79" t="s">
        <v>114</v>
      </c>
      <c r="I334" s="79" t="s">
        <v>40</v>
      </c>
      <c r="J334" s="79">
        <v>2020</v>
      </c>
      <c r="K334" s="79" t="s">
        <v>376</v>
      </c>
      <c r="L334" s="79" t="s">
        <v>980</v>
      </c>
    </row>
    <row r="335" spans="1:12" hidden="1" x14ac:dyDescent="0.25">
      <c r="A335" s="82">
        <v>43675</v>
      </c>
      <c r="B335" s="79" t="s">
        <v>981</v>
      </c>
      <c r="C335" s="79" t="s">
        <v>982</v>
      </c>
      <c r="D335" s="79" t="s">
        <v>40</v>
      </c>
      <c r="E335" s="79">
        <v>68427709</v>
      </c>
      <c r="F335" s="93">
        <v>30000</v>
      </c>
      <c r="G335" s="79" t="s">
        <v>113</v>
      </c>
      <c r="H335" s="79" t="s">
        <v>114</v>
      </c>
      <c r="I335" s="79" t="s">
        <v>40</v>
      </c>
      <c r="J335" s="79">
        <v>2020</v>
      </c>
      <c r="K335" s="79" t="s">
        <v>376</v>
      </c>
      <c r="L335" s="79"/>
    </row>
    <row r="336" spans="1:12" hidden="1" x14ac:dyDescent="0.25">
      <c r="A336" s="82">
        <v>43678</v>
      </c>
      <c r="B336" s="79" t="s">
        <v>983</v>
      </c>
      <c r="C336" s="79" t="s">
        <v>984</v>
      </c>
      <c r="D336" s="79" t="s">
        <v>0</v>
      </c>
      <c r="E336" s="79">
        <v>68427709</v>
      </c>
      <c r="F336" s="93">
        <v>0</v>
      </c>
      <c r="G336" s="79" t="s">
        <v>113</v>
      </c>
      <c r="H336" s="79" t="s">
        <v>114</v>
      </c>
      <c r="I336" s="79" t="s">
        <v>133</v>
      </c>
      <c r="J336" s="79">
        <v>2020</v>
      </c>
      <c r="K336" s="79" t="s">
        <v>376</v>
      </c>
      <c r="L336" s="79" t="s">
        <v>985</v>
      </c>
    </row>
    <row r="337" spans="1:12" hidden="1" x14ac:dyDescent="0.25">
      <c r="A337" s="82">
        <v>43678</v>
      </c>
      <c r="B337" s="79" t="s">
        <v>588</v>
      </c>
      <c r="C337" s="79" t="s">
        <v>986</v>
      </c>
      <c r="D337" s="79" t="s">
        <v>0</v>
      </c>
      <c r="E337" s="79">
        <v>68427709</v>
      </c>
      <c r="F337" s="84">
        <v>0</v>
      </c>
      <c r="G337" s="79" t="s">
        <v>113</v>
      </c>
      <c r="H337" s="79" t="s">
        <v>114</v>
      </c>
      <c r="I337" s="79" t="s">
        <v>181</v>
      </c>
      <c r="J337" s="79">
        <v>2020</v>
      </c>
      <c r="K337" s="79" t="s">
        <v>376</v>
      </c>
      <c r="L337" s="79" t="s">
        <v>987</v>
      </c>
    </row>
    <row r="338" spans="1:12" hidden="1" x14ac:dyDescent="0.25">
      <c r="A338" s="82">
        <v>43678</v>
      </c>
      <c r="B338" s="79" t="s">
        <v>988</v>
      </c>
      <c r="C338" s="79" t="s">
        <v>989</v>
      </c>
      <c r="D338" s="79" t="s">
        <v>0</v>
      </c>
      <c r="E338" s="79">
        <v>68427709</v>
      </c>
      <c r="F338" s="84"/>
      <c r="G338" s="79" t="s">
        <v>797</v>
      </c>
      <c r="H338" s="79" t="s">
        <v>114</v>
      </c>
      <c r="I338" s="79" t="s">
        <v>181</v>
      </c>
      <c r="J338" s="79">
        <v>2020</v>
      </c>
      <c r="K338" s="79" t="s">
        <v>376</v>
      </c>
      <c r="L338" s="79" t="s">
        <v>990</v>
      </c>
    </row>
    <row r="339" spans="1:12" hidden="1" x14ac:dyDescent="0.25">
      <c r="A339" s="82">
        <v>43678</v>
      </c>
      <c r="B339" s="79" t="s">
        <v>991</v>
      </c>
      <c r="C339" s="79" t="s">
        <v>992</v>
      </c>
      <c r="D339" s="79" t="s">
        <v>0</v>
      </c>
      <c r="E339" s="79">
        <v>68427709</v>
      </c>
      <c r="F339" s="93">
        <v>-65000</v>
      </c>
      <c r="G339" s="79" t="s">
        <v>113</v>
      </c>
      <c r="H339" s="79" t="s">
        <v>114</v>
      </c>
      <c r="I339" s="79" t="s">
        <v>993</v>
      </c>
      <c r="J339" s="79">
        <v>2020</v>
      </c>
      <c r="K339" s="79" t="s">
        <v>376</v>
      </c>
      <c r="L339" s="79"/>
    </row>
    <row r="340" spans="1:12" hidden="1" x14ac:dyDescent="0.25">
      <c r="A340" s="82">
        <v>43678</v>
      </c>
      <c r="B340" s="79" t="s">
        <v>663</v>
      </c>
      <c r="C340" s="79" t="s">
        <v>994</v>
      </c>
      <c r="D340" s="79" t="s">
        <v>0</v>
      </c>
      <c r="E340" s="79">
        <v>68427709</v>
      </c>
      <c r="F340" s="93">
        <v>35000</v>
      </c>
      <c r="G340" s="79" t="s">
        <v>113</v>
      </c>
      <c r="H340" s="79" t="s">
        <v>114</v>
      </c>
      <c r="I340" s="79" t="s">
        <v>133</v>
      </c>
      <c r="J340" s="79">
        <v>2020</v>
      </c>
      <c r="K340" s="79" t="s">
        <v>376</v>
      </c>
      <c r="L340" s="79" t="s">
        <v>995</v>
      </c>
    </row>
    <row r="341" spans="1:12" hidden="1" x14ac:dyDescent="0.25">
      <c r="A341" s="82">
        <v>43678</v>
      </c>
      <c r="B341" s="79" t="s">
        <v>996</v>
      </c>
      <c r="C341" s="79" t="s">
        <v>997</v>
      </c>
      <c r="D341" s="79" t="s">
        <v>0</v>
      </c>
      <c r="E341" s="79">
        <v>68427709</v>
      </c>
      <c r="F341" s="121"/>
      <c r="G341" s="79" t="s">
        <v>797</v>
      </c>
      <c r="H341" s="79" t="s">
        <v>114</v>
      </c>
      <c r="I341" s="79" t="s">
        <v>133</v>
      </c>
      <c r="J341" s="79">
        <v>2020</v>
      </c>
      <c r="K341" s="79" t="s">
        <v>376</v>
      </c>
      <c r="L341" s="79" t="s">
        <v>998</v>
      </c>
    </row>
    <row r="342" spans="1:12" hidden="1" x14ac:dyDescent="0.25">
      <c r="A342" s="82">
        <v>43679</v>
      </c>
      <c r="B342" s="79" t="s">
        <v>999</v>
      </c>
      <c r="C342" s="79" t="s">
        <v>1000</v>
      </c>
      <c r="D342" s="79" t="s">
        <v>0</v>
      </c>
      <c r="E342" s="79">
        <v>68427709</v>
      </c>
      <c r="F342" s="93">
        <v>39000</v>
      </c>
      <c r="G342" s="79" t="s">
        <v>113</v>
      </c>
      <c r="H342" s="79" t="s">
        <v>114</v>
      </c>
      <c r="I342" s="79" t="s">
        <v>181</v>
      </c>
      <c r="J342" s="79">
        <v>2020</v>
      </c>
      <c r="K342" s="79" t="s">
        <v>904</v>
      </c>
      <c r="L342" s="79"/>
    </row>
    <row r="343" spans="1:12" hidden="1" x14ac:dyDescent="0.25">
      <c r="A343" s="82">
        <v>43682</v>
      </c>
      <c r="B343" s="79" t="s">
        <v>1001</v>
      </c>
      <c r="C343" s="79" t="s">
        <v>1002</v>
      </c>
      <c r="D343" s="79" t="s">
        <v>0</v>
      </c>
      <c r="E343" s="79">
        <v>68427709</v>
      </c>
      <c r="F343" s="93">
        <v>100000</v>
      </c>
      <c r="G343" s="79" t="s">
        <v>113</v>
      </c>
      <c r="H343" s="79" t="s">
        <v>114</v>
      </c>
      <c r="I343" s="79" t="s">
        <v>133</v>
      </c>
      <c r="J343" s="79">
        <v>2020</v>
      </c>
      <c r="K343" s="79" t="s">
        <v>361</v>
      </c>
      <c r="L343" s="79"/>
    </row>
    <row r="344" spans="1:12" hidden="1" x14ac:dyDescent="0.25">
      <c r="A344" s="82">
        <v>43683</v>
      </c>
      <c r="B344" s="79" t="s">
        <v>1003</v>
      </c>
      <c r="C344" s="79" t="s">
        <v>1004</v>
      </c>
      <c r="D344" s="79" t="s">
        <v>352</v>
      </c>
      <c r="E344" s="79">
        <v>68427709</v>
      </c>
      <c r="F344" s="93">
        <f>135000*0.6</f>
        <v>81000</v>
      </c>
      <c r="G344" s="79" t="s">
        <v>113</v>
      </c>
      <c r="H344" s="79" t="s">
        <v>114</v>
      </c>
      <c r="I344" s="79" t="s">
        <v>133</v>
      </c>
      <c r="J344" s="79">
        <v>2020</v>
      </c>
      <c r="K344" s="79" t="s">
        <v>116</v>
      </c>
      <c r="L344" s="79"/>
    </row>
    <row r="345" spans="1:12" hidden="1" x14ac:dyDescent="0.25">
      <c r="A345" s="82">
        <v>43683</v>
      </c>
      <c r="B345" s="79" t="s">
        <v>602</v>
      </c>
      <c r="C345" s="79" t="s">
        <v>1005</v>
      </c>
      <c r="D345" s="79" t="s">
        <v>0</v>
      </c>
      <c r="E345" s="79">
        <v>68427709</v>
      </c>
      <c r="F345" s="93">
        <v>-564609</v>
      </c>
      <c r="G345" s="79" t="s">
        <v>113</v>
      </c>
      <c r="H345" s="79" t="s">
        <v>114</v>
      </c>
      <c r="I345" s="79" t="s">
        <v>948</v>
      </c>
      <c r="J345" s="79">
        <v>2020</v>
      </c>
      <c r="K345" s="79" t="s">
        <v>309</v>
      </c>
      <c r="L345" s="79" t="s">
        <v>1006</v>
      </c>
    </row>
    <row r="346" spans="1:12" hidden="1" x14ac:dyDescent="0.25">
      <c r="A346" s="82">
        <v>43683</v>
      </c>
      <c r="B346" s="79" t="s">
        <v>605</v>
      </c>
      <c r="C346" s="79" t="s">
        <v>1005</v>
      </c>
      <c r="D346" s="79" t="s">
        <v>0</v>
      </c>
      <c r="E346" s="79">
        <v>68427709</v>
      </c>
      <c r="F346" s="93">
        <v>335000</v>
      </c>
      <c r="G346" s="79" t="s">
        <v>113</v>
      </c>
      <c r="H346" s="79" t="s">
        <v>114</v>
      </c>
      <c r="I346" s="79" t="s">
        <v>948</v>
      </c>
      <c r="J346" s="79">
        <v>2020</v>
      </c>
      <c r="K346" s="79" t="s">
        <v>309</v>
      </c>
      <c r="L346" s="79" t="s">
        <v>1007</v>
      </c>
    </row>
    <row r="347" spans="1:12" hidden="1" x14ac:dyDescent="0.25">
      <c r="A347" s="82">
        <v>43683</v>
      </c>
      <c r="B347" s="79" t="s">
        <v>1008</v>
      </c>
      <c r="C347" s="79" t="s">
        <v>1009</v>
      </c>
      <c r="D347" s="79" t="s">
        <v>40</v>
      </c>
      <c r="E347" s="79">
        <v>68427709</v>
      </c>
      <c r="F347" s="93">
        <v>0</v>
      </c>
      <c r="G347" s="79" t="s">
        <v>113</v>
      </c>
      <c r="H347" s="79" t="s">
        <v>962</v>
      </c>
      <c r="I347" s="79" t="s">
        <v>40</v>
      </c>
      <c r="J347" s="79">
        <v>2020</v>
      </c>
      <c r="K347" s="79" t="s">
        <v>376</v>
      </c>
      <c r="L347" s="79"/>
    </row>
    <row r="348" spans="1:12" hidden="1" x14ac:dyDescent="0.25">
      <c r="A348" s="82">
        <v>43695</v>
      </c>
      <c r="B348" s="79" t="s">
        <v>597</v>
      </c>
      <c r="C348" s="79" t="s">
        <v>1010</v>
      </c>
      <c r="D348" s="79" t="s">
        <v>0</v>
      </c>
      <c r="E348" s="79">
        <v>68427709</v>
      </c>
      <c r="F348" s="93">
        <v>-40000</v>
      </c>
      <c r="G348" s="79" t="s">
        <v>113</v>
      </c>
      <c r="H348" s="79" t="s">
        <v>114</v>
      </c>
      <c r="I348" s="79" t="s">
        <v>181</v>
      </c>
      <c r="J348" s="79">
        <v>2020</v>
      </c>
      <c r="K348" s="79" t="s">
        <v>116</v>
      </c>
      <c r="L348" s="79" t="s">
        <v>1011</v>
      </c>
    </row>
    <row r="349" spans="1:12" hidden="1" x14ac:dyDescent="0.25">
      <c r="A349" s="82">
        <v>43696</v>
      </c>
      <c r="B349" s="79" t="s">
        <v>1012</v>
      </c>
      <c r="C349" s="79" t="s">
        <v>1013</v>
      </c>
      <c r="D349" s="79" t="s">
        <v>352</v>
      </c>
      <c r="E349" s="79">
        <v>68427709</v>
      </c>
      <c r="F349" s="93">
        <f>-65000*0.6</f>
        <v>-39000</v>
      </c>
      <c r="G349" s="79" t="s">
        <v>113</v>
      </c>
      <c r="H349" s="79" t="s">
        <v>114</v>
      </c>
      <c r="I349" s="79" t="s">
        <v>133</v>
      </c>
      <c r="J349" s="79">
        <v>2020</v>
      </c>
      <c r="K349" s="79" t="s">
        <v>116</v>
      </c>
      <c r="L349" s="79" t="s">
        <v>1014</v>
      </c>
    </row>
    <row r="350" spans="1:12" hidden="1" x14ac:dyDescent="0.25">
      <c r="A350" s="82">
        <v>43696</v>
      </c>
      <c r="B350" s="79" t="s">
        <v>1015</v>
      </c>
      <c r="C350" s="79" t="s">
        <v>1016</v>
      </c>
      <c r="D350" s="79" t="s">
        <v>180</v>
      </c>
      <c r="E350" s="79">
        <v>68427709</v>
      </c>
      <c r="F350" s="93">
        <v>25000</v>
      </c>
      <c r="G350" s="79" t="s">
        <v>113</v>
      </c>
      <c r="H350" s="79" t="s">
        <v>114</v>
      </c>
      <c r="I350" s="79" t="s">
        <v>133</v>
      </c>
      <c r="J350" s="79">
        <v>2020</v>
      </c>
      <c r="K350" s="79" t="s">
        <v>311</v>
      </c>
      <c r="L350" s="79"/>
    </row>
    <row r="351" spans="1:12" hidden="1" x14ac:dyDescent="0.25">
      <c r="A351" s="82">
        <v>43696</v>
      </c>
      <c r="B351" s="79" t="s">
        <v>229</v>
      </c>
      <c r="C351" s="79" t="s">
        <v>1017</v>
      </c>
      <c r="D351" s="79" t="s">
        <v>127</v>
      </c>
      <c r="E351" s="79">
        <v>68427719</v>
      </c>
      <c r="F351" s="93">
        <v>-8000</v>
      </c>
      <c r="G351" s="79" t="s">
        <v>113</v>
      </c>
      <c r="H351" s="79" t="s">
        <v>114</v>
      </c>
      <c r="I351" s="79" t="s">
        <v>181</v>
      </c>
      <c r="J351" s="79">
        <v>2020</v>
      </c>
      <c r="K351" s="79" t="s">
        <v>311</v>
      </c>
      <c r="L351" s="79" t="s">
        <v>1018</v>
      </c>
    </row>
    <row r="352" spans="1:12" hidden="1" x14ac:dyDescent="0.25">
      <c r="A352" s="82">
        <v>43696</v>
      </c>
      <c r="B352" s="79" t="s">
        <v>1019</v>
      </c>
      <c r="C352" s="79" t="s">
        <v>1020</v>
      </c>
      <c r="D352" s="79" t="s">
        <v>127</v>
      </c>
      <c r="E352" s="79">
        <v>68427719</v>
      </c>
      <c r="F352" s="93">
        <v>1235000</v>
      </c>
      <c r="G352" s="79" t="s">
        <v>113</v>
      </c>
      <c r="H352" s="79" t="s">
        <v>114</v>
      </c>
      <c r="I352" s="79" t="s">
        <v>133</v>
      </c>
      <c r="J352" s="79">
        <v>2020</v>
      </c>
      <c r="K352" s="79" t="s">
        <v>1021</v>
      </c>
      <c r="L352" s="92" t="s">
        <v>940</v>
      </c>
    </row>
    <row r="353" spans="1:12" hidden="1" x14ac:dyDescent="0.25">
      <c r="A353" s="82">
        <v>43696</v>
      </c>
      <c r="B353" s="79" t="s">
        <v>1022</v>
      </c>
      <c r="C353" s="79" t="s">
        <v>1020</v>
      </c>
      <c r="D353" s="79" t="s">
        <v>127</v>
      </c>
      <c r="E353" s="79">
        <v>68427719</v>
      </c>
      <c r="F353" s="93">
        <v>1285000</v>
      </c>
      <c r="G353" s="79" t="s">
        <v>113</v>
      </c>
      <c r="H353" s="79" t="s">
        <v>114</v>
      </c>
      <c r="I353" s="79" t="s">
        <v>133</v>
      </c>
      <c r="J353" s="79">
        <v>2020</v>
      </c>
      <c r="K353" s="79" t="s">
        <v>1021</v>
      </c>
      <c r="L353" s="92" t="s">
        <v>940</v>
      </c>
    </row>
    <row r="354" spans="1:12" hidden="1" x14ac:dyDescent="0.25">
      <c r="A354" s="82">
        <v>43696</v>
      </c>
      <c r="B354" s="79" t="s">
        <v>1023</v>
      </c>
      <c r="C354" s="79" t="s">
        <v>1020</v>
      </c>
      <c r="D354" s="79" t="s">
        <v>127</v>
      </c>
      <c r="E354" s="79">
        <v>68427719</v>
      </c>
      <c r="F354" s="93">
        <v>1970667</v>
      </c>
      <c r="G354" s="79" t="s">
        <v>113</v>
      </c>
      <c r="H354" s="79" t="s">
        <v>114</v>
      </c>
      <c r="I354" s="79" t="s">
        <v>133</v>
      </c>
      <c r="J354" s="79">
        <v>2020</v>
      </c>
      <c r="K354" s="79" t="s">
        <v>1021</v>
      </c>
      <c r="L354" s="92" t="s">
        <v>1024</v>
      </c>
    </row>
    <row r="355" spans="1:12" hidden="1" x14ac:dyDescent="0.25">
      <c r="A355" s="82">
        <v>43696</v>
      </c>
      <c r="B355" s="79" t="s">
        <v>661</v>
      </c>
      <c r="C355" s="79" t="s">
        <v>661</v>
      </c>
      <c r="D355" s="79" t="s">
        <v>127</v>
      </c>
      <c r="E355" s="79">
        <v>68427719</v>
      </c>
      <c r="F355" s="93">
        <v>-750000</v>
      </c>
      <c r="G355" s="79" t="s">
        <v>113</v>
      </c>
      <c r="H355" s="79" t="s">
        <v>114</v>
      </c>
      <c r="I355" s="79" t="s">
        <v>133</v>
      </c>
      <c r="J355" s="79">
        <v>2020</v>
      </c>
      <c r="K355" s="79" t="s">
        <v>1021</v>
      </c>
      <c r="L355" s="155" t="s">
        <v>1025</v>
      </c>
    </row>
    <row r="356" spans="1:12" hidden="1" x14ac:dyDescent="0.25">
      <c r="A356" s="82">
        <v>43696</v>
      </c>
      <c r="B356" s="122" t="s">
        <v>1026</v>
      </c>
      <c r="C356" s="122" t="s">
        <v>1026</v>
      </c>
      <c r="D356" s="79" t="s">
        <v>127</v>
      </c>
      <c r="E356" s="79">
        <v>68427719</v>
      </c>
      <c r="F356" s="93">
        <v>197000</v>
      </c>
      <c r="G356" s="79" t="s">
        <v>113</v>
      </c>
      <c r="H356" s="79" t="s">
        <v>114</v>
      </c>
      <c r="I356" s="79" t="s">
        <v>133</v>
      </c>
      <c r="J356" s="79">
        <v>2020</v>
      </c>
      <c r="K356" s="79" t="s">
        <v>1021</v>
      </c>
      <c r="L356" s="92" t="s">
        <v>940</v>
      </c>
    </row>
    <row r="357" spans="1:12" hidden="1" x14ac:dyDescent="0.25">
      <c r="A357" s="82">
        <v>43696</v>
      </c>
      <c r="B357" s="79" t="s">
        <v>1027</v>
      </c>
      <c r="C357" s="79" t="s">
        <v>195</v>
      </c>
      <c r="D357" s="79" t="s">
        <v>127</v>
      </c>
      <c r="E357" s="79">
        <v>68427719</v>
      </c>
      <c r="F357" s="93">
        <v>884000</v>
      </c>
      <c r="G357" s="79" t="s">
        <v>113</v>
      </c>
      <c r="H357" s="79" t="s">
        <v>114</v>
      </c>
      <c r="I357" s="79" t="s">
        <v>181</v>
      </c>
      <c r="J357" s="79">
        <v>2020</v>
      </c>
      <c r="K357" s="79" t="s">
        <v>1021</v>
      </c>
      <c r="L357" s="79"/>
    </row>
    <row r="358" spans="1:12" hidden="1" x14ac:dyDescent="0.25">
      <c r="A358" s="82">
        <v>43696</v>
      </c>
      <c r="B358" s="79" t="s">
        <v>1028</v>
      </c>
      <c r="C358" s="79" t="s">
        <v>195</v>
      </c>
      <c r="D358" s="79" t="s">
        <v>127</v>
      </c>
      <c r="E358" s="79">
        <v>68427719</v>
      </c>
      <c r="F358" s="93">
        <v>716000</v>
      </c>
      <c r="G358" s="79" t="s">
        <v>113</v>
      </c>
      <c r="H358" s="79" t="s">
        <v>114</v>
      </c>
      <c r="I358" s="79" t="s">
        <v>181</v>
      </c>
      <c r="J358" s="79">
        <v>2020</v>
      </c>
      <c r="K358" s="79" t="s">
        <v>1021</v>
      </c>
      <c r="L358" s="79"/>
    </row>
    <row r="359" spans="1:12" hidden="1" x14ac:dyDescent="0.25">
      <c r="A359" s="82">
        <v>43696</v>
      </c>
      <c r="B359" s="79" t="s">
        <v>283</v>
      </c>
      <c r="C359" s="79" t="s">
        <v>195</v>
      </c>
      <c r="D359" s="79" t="s">
        <v>127</v>
      </c>
      <c r="E359" s="79">
        <v>68427719</v>
      </c>
      <c r="F359" s="93">
        <v>37333</v>
      </c>
      <c r="G359" s="79" t="s">
        <v>113</v>
      </c>
      <c r="H359" s="79" t="s">
        <v>114</v>
      </c>
      <c r="I359" s="79" t="s">
        <v>181</v>
      </c>
      <c r="J359" s="79">
        <v>2020</v>
      </c>
      <c r="K359" s="79" t="s">
        <v>116</v>
      </c>
      <c r="L359" s="79" t="s">
        <v>1029</v>
      </c>
    </row>
    <row r="360" spans="1:12" hidden="1" x14ac:dyDescent="0.25">
      <c r="A360" s="82">
        <v>43696</v>
      </c>
      <c r="B360" s="26" t="s">
        <v>1030</v>
      </c>
      <c r="C360" s="79" t="s">
        <v>1031</v>
      </c>
      <c r="D360" s="79" t="s">
        <v>127</v>
      </c>
      <c r="E360" s="79">
        <v>68427719</v>
      </c>
      <c r="F360" s="93">
        <v>-300000</v>
      </c>
      <c r="G360" s="79" t="s">
        <v>113</v>
      </c>
      <c r="H360" s="79" t="s">
        <v>114</v>
      </c>
      <c r="I360" s="79" t="s">
        <v>181</v>
      </c>
      <c r="J360" s="79">
        <v>2020</v>
      </c>
      <c r="K360" s="79" t="s">
        <v>1021</v>
      </c>
      <c r="L360" s="79" t="s">
        <v>1031</v>
      </c>
    </row>
    <row r="361" spans="1:12" hidden="1" x14ac:dyDescent="0.25">
      <c r="A361" s="82">
        <v>43697</v>
      </c>
      <c r="B361" s="79" t="s">
        <v>1032</v>
      </c>
      <c r="C361" s="79" t="s">
        <v>1033</v>
      </c>
      <c r="D361" s="79" t="s">
        <v>0</v>
      </c>
      <c r="E361" s="79">
        <v>68427709</v>
      </c>
      <c r="F361" s="93">
        <v>70000</v>
      </c>
      <c r="G361" s="79" t="s">
        <v>113</v>
      </c>
      <c r="H361" s="79" t="s">
        <v>114</v>
      </c>
      <c r="I361" s="79" t="s">
        <v>133</v>
      </c>
      <c r="J361" s="79">
        <v>2020</v>
      </c>
      <c r="K361" s="79" t="s">
        <v>361</v>
      </c>
      <c r="L361" s="79" t="s">
        <v>1034</v>
      </c>
    </row>
    <row r="362" spans="1:12" hidden="1" x14ac:dyDescent="0.25">
      <c r="A362" s="82">
        <v>43698</v>
      </c>
      <c r="B362" s="79" t="s">
        <v>1035</v>
      </c>
      <c r="C362" s="79" t="s">
        <v>1036</v>
      </c>
      <c r="D362" s="79" t="s">
        <v>0</v>
      </c>
      <c r="E362" s="79">
        <v>68427709</v>
      </c>
      <c r="F362" s="93">
        <v>-2000</v>
      </c>
      <c r="G362" s="79" t="s">
        <v>113</v>
      </c>
      <c r="H362" s="79" t="s">
        <v>114</v>
      </c>
      <c r="I362" s="79" t="s">
        <v>204</v>
      </c>
      <c r="J362" s="79">
        <v>2020</v>
      </c>
      <c r="K362" s="79" t="s">
        <v>116</v>
      </c>
      <c r="L362" s="79"/>
    </row>
    <row r="363" spans="1:12" hidden="1" x14ac:dyDescent="0.25">
      <c r="A363" s="82">
        <v>43700</v>
      </c>
      <c r="B363" s="79" t="s">
        <v>1037</v>
      </c>
      <c r="C363" s="79" t="s">
        <v>1038</v>
      </c>
      <c r="D363" s="79"/>
      <c r="E363" s="79">
        <v>68427709</v>
      </c>
      <c r="F363" s="93">
        <v>50000</v>
      </c>
      <c r="G363" s="79" t="s">
        <v>113</v>
      </c>
      <c r="H363" s="79" t="s">
        <v>114</v>
      </c>
      <c r="I363" s="79" t="s">
        <v>204</v>
      </c>
      <c r="J363" s="79">
        <v>2020</v>
      </c>
      <c r="K363" s="79" t="s">
        <v>542</v>
      </c>
      <c r="L363" s="79" t="s">
        <v>1039</v>
      </c>
    </row>
    <row r="364" spans="1:12" hidden="1" x14ac:dyDescent="0.25">
      <c r="A364" s="82">
        <v>43698</v>
      </c>
      <c r="B364" s="79" t="s">
        <v>1040</v>
      </c>
      <c r="C364" s="79" t="s">
        <v>1041</v>
      </c>
      <c r="D364" s="79"/>
      <c r="E364" s="79">
        <v>68427709</v>
      </c>
      <c r="F364" s="93">
        <v>0</v>
      </c>
      <c r="G364" s="79" t="s">
        <v>113</v>
      </c>
      <c r="H364" s="79" t="s">
        <v>114</v>
      </c>
      <c r="I364" s="79" t="s">
        <v>204</v>
      </c>
      <c r="J364" s="79">
        <v>2020</v>
      </c>
      <c r="K364" s="79" t="s">
        <v>116</v>
      </c>
      <c r="L364" s="79" t="s">
        <v>1042</v>
      </c>
    </row>
    <row r="365" spans="1:12" hidden="1" x14ac:dyDescent="0.25">
      <c r="A365" s="82">
        <v>43735</v>
      </c>
      <c r="B365" s="79" t="s">
        <v>1043</v>
      </c>
      <c r="C365" s="79" t="s">
        <v>1044</v>
      </c>
      <c r="D365" s="79" t="s">
        <v>0</v>
      </c>
      <c r="E365" s="79">
        <v>68427709</v>
      </c>
      <c r="F365" s="93">
        <v>-7000</v>
      </c>
      <c r="G365" s="79" t="s">
        <v>113</v>
      </c>
      <c r="H365" s="79" t="s">
        <v>114</v>
      </c>
      <c r="I365" s="79" t="s">
        <v>204</v>
      </c>
      <c r="J365" s="79">
        <v>2020</v>
      </c>
      <c r="K365" s="79" t="s">
        <v>279</v>
      </c>
      <c r="L365" s="79" t="s">
        <v>1045</v>
      </c>
    </row>
    <row r="366" spans="1:12" hidden="1" x14ac:dyDescent="0.25">
      <c r="A366" s="82">
        <v>43706</v>
      </c>
      <c r="B366" s="79" t="s">
        <v>1046</v>
      </c>
      <c r="C366" s="79" t="s">
        <v>1047</v>
      </c>
      <c r="D366" s="79" t="s">
        <v>0</v>
      </c>
      <c r="E366" s="79">
        <v>68427709</v>
      </c>
      <c r="F366" s="93">
        <v>32000</v>
      </c>
      <c r="G366" s="79" t="s">
        <v>113</v>
      </c>
      <c r="H366" s="79" t="s">
        <v>114</v>
      </c>
      <c r="I366" s="79" t="s">
        <v>128</v>
      </c>
      <c r="J366" s="79">
        <v>2020</v>
      </c>
      <c r="K366" s="79" t="s">
        <v>116</v>
      </c>
      <c r="L366" s="79" t="s">
        <v>1048</v>
      </c>
    </row>
    <row r="367" spans="1:12" hidden="1" x14ac:dyDescent="0.25">
      <c r="A367" s="83">
        <v>43707</v>
      </c>
      <c r="B367" s="84" t="s">
        <v>1049</v>
      </c>
      <c r="C367" s="84"/>
      <c r="D367" s="84" t="s">
        <v>0</v>
      </c>
      <c r="E367" s="84">
        <v>68427709</v>
      </c>
      <c r="F367" s="121">
        <v>-34391</v>
      </c>
      <c r="G367" s="84" t="s">
        <v>113</v>
      </c>
      <c r="H367" s="84" t="s">
        <v>114</v>
      </c>
      <c r="I367" s="84" t="s">
        <v>948</v>
      </c>
      <c r="J367" s="84">
        <v>2020</v>
      </c>
      <c r="K367" s="84" t="s">
        <v>376</v>
      </c>
      <c r="L367" s="84" t="s">
        <v>1050</v>
      </c>
    </row>
    <row r="368" spans="1:12" hidden="1" x14ac:dyDescent="0.25">
      <c r="A368" s="82">
        <v>43718</v>
      </c>
      <c r="B368" s="79" t="s">
        <v>323</v>
      </c>
      <c r="C368" s="79" t="s">
        <v>1051</v>
      </c>
      <c r="D368" s="79"/>
      <c r="E368" s="79">
        <v>68427709</v>
      </c>
      <c r="F368" s="93">
        <v>80000</v>
      </c>
      <c r="G368" s="79" t="s">
        <v>113</v>
      </c>
      <c r="H368" s="79" t="s">
        <v>114</v>
      </c>
      <c r="I368" s="79" t="s">
        <v>204</v>
      </c>
      <c r="J368" s="79">
        <v>2021</v>
      </c>
      <c r="K368" s="79" t="s">
        <v>193</v>
      </c>
      <c r="L368" s="79" t="s">
        <v>1052</v>
      </c>
    </row>
    <row r="369" spans="1:12" hidden="1" x14ac:dyDescent="0.25">
      <c r="A369" s="82">
        <v>43802</v>
      </c>
      <c r="B369" s="79" t="s">
        <v>1053</v>
      </c>
      <c r="C369" s="79" t="s">
        <v>1054</v>
      </c>
      <c r="D369" s="79"/>
      <c r="E369" s="79">
        <v>68427709</v>
      </c>
      <c r="F369" s="93">
        <v>-9000</v>
      </c>
      <c r="G369" s="79" t="s">
        <v>113</v>
      </c>
      <c r="H369" s="79" t="s">
        <v>114</v>
      </c>
      <c r="I369" s="79" t="s">
        <v>204</v>
      </c>
      <c r="J369" s="79">
        <v>2021</v>
      </c>
      <c r="K369" s="79" t="s">
        <v>227</v>
      </c>
      <c r="L369" s="79" t="s">
        <v>1055</v>
      </c>
    </row>
    <row r="370" spans="1:12" hidden="1" x14ac:dyDescent="0.25">
      <c r="A370" s="82">
        <v>43815</v>
      </c>
      <c r="B370" s="79" t="s">
        <v>1056</v>
      </c>
      <c r="C370" s="79" t="s">
        <v>1057</v>
      </c>
      <c r="D370" s="79" t="s">
        <v>0</v>
      </c>
      <c r="E370" s="79">
        <v>68427709</v>
      </c>
      <c r="F370" s="93">
        <v>30000</v>
      </c>
      <c r="G370" s="79" t="s">
        <v>302</v>
      </c>
      <c r="H370" s="79" t="s">
        <v>114</v>
      </c>
      <c r="I370" s="79" t="s">
        <v>248</v>
      </c>
      <c r="J370" s="79">
        <v>2021</v>
      </c>
      <c r="K370" s="79" t="s">
        <v>116</v>
      </c>
      <c r="L370" s="79" t="s">
        <v>1058</v>
      </c>
    </row>
    <row r="371" spans="1:12" hidden="1" x14ac:dyDescent="0.25">
      <c r="A371" s="82">
        <v>43815</v>
      </c>
      <c r="B371" s="79" t="s">
        <v>1059</v>
      </c>
      <c r="C371" s="79" t="s">
        <v>1060</v>
      </c>
      <c r="D371" s="79" t="s">
        <v>0</v>
      </c>
      <c r="E371" s="79">
        <v>68427709</v>
      </c>
      <c r="F371" s="93">
        <v>-12000</v>
      </c>
      <c r="G371" s="79" t="s">
        <v>113</v>
      </c>
      <c r="H371" s="79" t="s">
        <v>114</v>
      </c>
      <c r="I371" s="79" t="s">
        <v>204</v>
      </c>
      <c r="J371" s="79">
        <v>2021</v>
      </c>
      <c r="K371" s="79" t="s">
        <v>116</v>
      </c>
      <c r="L371" s="79"/>
    </row>
    <row r="372" spans="1:12" hidden="1" x14ac:dyDescent="0.25">
      <c r="A372" s="82">
        <v>43817</v>
      </c>
      <c r="B372" s="79" t="s">
        <v>1061</v>
      </c>
      <c r="C372" s="79" t="s">
        <v>1062</v>
      </c>
      <c r="D372" s="79" t="s">
        <v>437</v>
      </c>
      <c r="E372" s="79">
        <v>68427709</v>
      </c>
      <c r="F372" s="93">
        <v>18700</v>
      </c>
      <c r="G372" s="79" t="s">
        <v>113</v>
      </c>
      <c r="H372" s="79" t="s">
        <v>114</v>
      </c>
      <c r="I372" s="79" t="s">
        <v>204</v>
      </c>
      <c r="J372" s="79">
        <v>2021</v>
      </c>
      <c r="K372" s="79" t="s">
        <v>1063</v>
      </c>
      <c r="L372" s="79"/>
    </row>
    <row r="373" spans="1:12" hidden="1" x14ac:dyDescent="0.25">
      <c r="A373" s="82">
        <v>43817</v>
      </c>
      <c r="B373" s="79" t="s">
        <v>1064</v>
      </c>
      <c r="C373" s="79" t="s">
        <v>1065</v>
      </c>
      <c r="D373" s="79" t="s">
        <v>437</v>
      </c>
      <c r="E373" s="79">
        <v>68427709</v>
      </c>
      <c r="F373" s="93">
        <v>107000</v>
      </c>
      <c r="G373" s="79" t="s">
        <v>113</v>
      </c>
      <c r="H373" s="79" t="s">
        <v>114</v>
      </c>
      <c r="I373" s="79" t="s">
        <v>204</v>
      </c>
      <c r="J373" s="79">
        <v>2021</v>
      </c>
      <c r="K373" s="79" t="s">
        <v>644</v>
      </c>
      <c r="L373" s="79"/>
    </row>
    <row r="374" spans="1:12" hidden="1" x14ac:dyDescent="0.25">
      <c r="A374" s="82">
        <v>43839</v>
      </c>
      <c r="B374" s="79" t="s">
        <v>1066</v>
      </c>
      <c r="C374" s="79" t="s">
        <v>1067</v>
      </c>
      <c r="D374" s="79" t="s">
        <v>0</v>
      </c>
      <c r="E374" s="79">
        <v>68427709</v>
      </c>
      <c r="F374" s="93">
        <v>41000</v>
      </c>
      <c r="G374" s="79" t="s">
        <v>1068</v>
      </c>
      <c r="H374" s="79" t="s">
        <v>114</v>
      </c>
      <c r="I374" s="79" t="s">
        <v>133</v>
      </c>
      <c r="J374" s="79">
        <v>2021</v>
      </c>
      <c r="K374" s="79" t="s">
        <v>542</v>
      </c>
      <c r="L374" s="79" t="s">
        <v>1069</v>
      </c>
    </row>
    <row r="375" spans="1:12" hidden="1" x14ac:dyDescent="0.25">
      <c r="A375" s="82">
        <v>43839</v>
      </c>
      <c r="B375" s="79" t="s">
        <v>1066</v>
      </c>
      <c r="C375" s="79" t="s">
        <v>1070</v>
      </c>
      <c r="D375" s="79" t="s">
        <v>0</v>
      </c>
      <c r="E375" s="79">
        <v>68427709</v>
      </c>
      <c r="F375" s="93">
        <v>37500</v>
      </c>
      <c r="G375" s="79" t="s">
        <v>113</v>
      </c>
      <c r="H375" s="79" t="s">
        <v>114</v>
      </c>
      <c r="I375" s="79" t="s">
        <v>248</v>
      </c>
      <c r="J375" s="79">
        <v>2021</v>
      </c>
      <c r="K375" s="79" t="s">
        <v>542</v>
      </c>
      <c r="L375" s="79"/>
    </row>
    <row r="376" spans="1:12" hidden="1" x14ac:dyDescent="0.25">
      <c r="A376" s="82">
        <v>43843</v>
      </c>
      <c r="B376" s="79" t="s">
        <v>1071</v>
      </c>
      <c r="C376" s="79"/>
      <c r="D376" s="79"/>
      <c r="E376" s="79">
        <v>68427709</v>
      </c>
      <c r="F376" s="93">
        <v>0</v>
      </c>
      <c r="G376" s="79" t="s">
        <v>1068</v>
      </c>
      <c r="H376" s="79" t="s">
        <v>114</v>
      </c>
      <c r="I376" s="79" t="s">
        <v>204</v>
      </c>
      <c r="J376" s="79">
        <v>2021</v>
      </c>
      <c r="K376" s="79" t="s">
        <v>116</v>
      </c>
      <c r="L376" s="79" t="s">
        <v>1072</v>
      </c>
    </row>
    <row r="377" spans="1:12" hidden="1" x14ac:dyDescent="0.25">
      <c r="A377" s="82">
        <v>43844</v>
      </c>
      <c r="B377" s="79" t="s">
        <v>1073</v>
      </c>
      <c r="C377" s="79" t="s">
        <v>1074</v>
      </c>
      <c r="D377" s="79"/>
      <c r="E377" s="79">
        <v>68427709</v>
      </c>
      <c r="F377" s="93">
        <v>20000</v>
      </c>
      <c r="G377" s="79" t="s">
        <v>113</v>
      </c>
      <c r="H377" s="79" t="s">
        <v>114</v>
      </c>
      <c r="I377" s="79" t="s">
        <v>204</v>
      </c>
      <c r="J377" s="79">
        <v>2021</v>
      </c>
      <c r="K377" s="79" t="s">
        <v>1075</v>
      </c>
      <c r="L377" s="79" t="s">
        <v>1076</v>
      </c>
    </row>
    <row r="378" spans="1:12" hidden="1" x14ac:dyDescent="0.25">
      <c r="A378" s="82">
        <v>43846</v>
      </c>
      <c r="B378" s="79" t="s">
        <v>1077</v>
      </c>
      <c r="C378" s="79" t="s">
        <v>1078</v>
      </c>
      <c r="D378" s="79"/>
      <c r="E378" s="79">
        <v>68427709</v>
      </c>
      <c r="F378" s="93">
        <v>135000</v>
      </c>
      <c r="G378" s="79" t="s">
        <v>302</v>
      </c>
      <c r="H378" s="79" t="s">
        <v>114</v>
      </c>
      <c r="I378" s="79" t="s">
        <v>133</v>
      </c>
      <c r="J378" s="79">
        <v>2021</v>
      </c>
      <c r="K378" s="79" t="s">
        <v>1079</v>
      </c>
      <c r="L378" s="79" t="s">
        <v>1080</v>
      </c>
    </row>
    <row r="379" spans="1:12" hidden="1" x14ac:dyDescent="0.25">
      <c r="A379" s="82">
        <v>43846</v>
      </c>
      <c r="B379" s="79" t="s">
        <v>1081</v>
      </c>
      <c r="C379" s="79" t="s">
        <v>1082</v>
      </c>
      <c r="D379" s="79"/>
      <c r="E379" s="79">
        <v>68427709</v>
      </c>
      <c r="F379" s="93">
        <v>0</v>
      </c>
      <c r="G379" s="79" t="s">
        <v>113</v>
      </c>
      <c r="H379" s="79" t="s">
        <v>114</v>
      </c>
      <c r="I379" s="79" t="s">
        <v>133</v>
      </c>
      <c r="J379" s="79">
        <v>2021</v>
      </c>
      <c r="K379" s="79" t="s">
        <v>116</v>
      </c>
      <c r="L379" s="79" t="s">
        <v>1083</v>
      </c>
    </row>
    <row r="380" spans="1:12" hidden="1" x14ac:dyDescent="0.25">
      <c r="A380" s="82">
        <v>43858</v>
      </c>
      <c r="B380" s="79" t="s">
        <v>1084</v>
      </c>
      <c r="C380" s="79" t="s">
        <v>1085</v>
      </c>
      <c r="D380" s="79" t="s">
        <v>0</v>
      </c>
      <c r="E380" s="79">
        <v>68427709</v>
      </c>
      <c r="F380" s="93">
        <v>200000</v>
      </c>
      <c r="G380" s="79" t="s">
        <v>113</v>
      </c>
      <c r="H380" s="79" t="s">
        <v>114</v>
      </c>
      <c r="I380" s="79" t="s">
        <v>133</v>
      </c>
      <c r="J380" s="79">
        <v>2021</v>
      </c>
      <c r="K380" s="79" t="s">
        <v>361</v>
      </c>
      <c r="L380" s="79" t="s">
        <v>1086</v>
      </c>
    </row>
    <row r="381" spans="1:12" hidden="1" x14ac:dyDescent="0.25">
      <c r="A381" s="82">
        <v>43858</v>
      </c>
      <c r="B381" s="79" t="s">
        <v>1087</v>
      </c>
      <c r="C381" s="79" t="s">
        <v>1088</v>
      </c>
      <c r="D381" s="79"/>
      <c r="E381" s="79">
        <v>68427709</v>
      </c>
      <c r="F381" s="93">
        <v>22200</v>
      </c>
      <c r="G381" s="79" t="s">
        <v>113</v>
      </c>
      <c r="H381" s="79" t="s">
        <v>114</v>
      </c>
      <c r="I381" s="79" t="s">
        <v>204</v>
      </c>
      <c r="J381" s="79">
        <v>2021</v>
      </c>
      <c r="K381" s="79" t="s">
        <v>279</v>
      </c>
      <c r="L381" s="79" t="s">
        <v>1089</v>
      </c>
    </row>
    <row r="382" spans="1:12" hidden="1" x14ac:dyDescent="0.25">
      <c r="A382" s="82">
        <v>43879</v>
      </c>
      <c r="B382" s="79" t="s">
        <v>1090</v>
      </c>
      <c r="C382" s="79" t="s">
        <v>1091</v>
      </c>
      <c r="D382" s="79" t="s">
        <v>0</v>
      </c>
      <c r="E382" s="79">
        <v>68427709</v>
      </c>
      <c r="F382" s="93">
        <v>84000</v>
      </c>
      <c r="G382" s="79" t="s">
        <v>113</v>
      </c>
      <c r="H382" s="79" t="s">
        <v>114</v>
      </c>
      <c r="I382" s="79" t="s">
        <v>204</v>
      </c>
      <c r="J382" s="79">
        <v>2021</v>
      </c>
      <c r="K382" s="79" t="s">
        <v>1092</v>
      </c>
      <c r="L382" s="79"/>
    </row>
    <row r="383" spans="1:12" hidden="1" x14ac:dyDescent="0.25">
      <c r="A383" s="82">
        <v>43879</v>
      </c>
      <c r="B383" s="79" t="s">
        <v>1093</v>
      </c>
      <c r="C383" s="79" t="s">
        <v>1094</v>
      </c>
      <c r="D383" s="79" t="s">
        <v>352</v>
      </c>
      <c r="E383" s="79">
        <v>68427709</v>
      </c>
      <c r="F383" s="93">
        <v>128000</v>
      </c>
      <c r="G383" s="79" t="s">
        <v>113</v>
      </c>
      <c r="H383" s="79" t="s">
        <v>114</v>
      </c>
      <c r="I383" s="79" t="s">
        <v>133</v>
      </c>
      <c r="J383" s="79">
        <v>2021</v>
      </c>
      <c r="K383" s="79" t="s">
        <v>116</v>
      </c>
      <c r="L383" s="79"/>
    </row>
    <row r="384" spans="1:12" hidden="1" x14ac:dyDescent="0.25">
      <c r="A384" s="82">
        <v>43882</v>
      </c>
      <c r="B384" s="79" t="s">
        <v>1095</v>
      </c>
      <c r="C384" s="79" t="s">
        <v>1096</v>
      </c>
      <c r="D384" s="79"/>
      <c r="E384" s="79">
        <v>68427709</v>
      </c>
      <c r="F384" s="93">
        <v>8000</v>
      </c>
      <c r="G384" s="79" t="s">
        <v>113</v>
      </c>
      <c r="H384" s="79" t="s">
        <v>114</v>
      </c>
      <c r="I384" s="79" t="s">
        <v>133</v>
      </c>
      <c r="J384" s="79">
        <v>2021</v>
      </c>
      <c r="K384" s="79" t="s">
        <v>834</v>
      </c>
      <c r="L384" s="79"/>
    </row>
    <row r="385" spans="1:12" hidden="1" x14ac:dyDescent="0.25">
      <c r="A385" s="82">
        <v>43888</v>
      </c>
      <c r="B385" s="79" t="s">
        <v>1097</v>
      </c>
      <c r="C385" s="79" t="s">
        <v>1098</v>
      </c>
      <c r="D385" s="79"/>
      <c r="E385" s="79">
        <v>68427709</v>
      </c>
      <c r="F385" s="93">
        <v>32000</v>
      </c>
      <c r="G385" s="79" t="s">
        <v>113</v>
      </c>
      <c r="H385" s="79" t="s">
        <v>114</v>
      </c>
      <c r="I385" s="79" t="s">
        <v>204</v>
      </c>
      <c r="J385" s="79">
        <v>2021</v>
      </c>
      <c r="K385" s="79" t="s">
        <v>1099</v>
      </c>
      <c r="L385" s="79" t="s">
        <v>1100</v>
      </c>
    </row>
    <row r="386" spans="1:12" hidden="1" x14ac:dyDescent="0.25">
      <c r="A386" s="82">
        <v>43902</v>
      </c>
      <c r="B386" s="79" t="s">
        <v>1101</v>
      </c>
      <c r="C386" s="79" t="s">
        <v>1102</v>
      </c>
      <c r="D386" s="79" t="s">
        <v>0</v>
      </c>
      <c r="E386" s="79">
        <v>68427709</v>
      </c>
      <c r="F386" s="93">
        <v>-90000</v>
      </c>
      <c r="G386" s="79" t="s">
        <v>113</v>
      </c>
      <c r="H386" s="79" t="s">
        <v>114</v>
      </c>
      <c r="I386" s="79" t="s">
        <v>204</v>
      </c>
      <c r="J386" s="79">
        <v>2021</v>
      </c>
      <c r="K386" s="79" t="s">
        <v>116</v>
      </c>
      <c r="L386" s="79"/>
    </row>
    <row r="387" spans="1:12" hidden="1" x14ac:dyDescent="0.25">
      <c r="A387" s="82">
        <v>43902</v>
      </c>
      <c r="B387" s="79" t="s">
        <v>1103</v>
      </c>
      <c r="C387" s="79" t="s">
        <v>1104</v>
      </c>
      <c r="D387" s="79" t="s">
        <v>0</v>
      </c>
      <c r="E387" s="79">
        <v>68427709</v>
      </c>
      <c r="F387" s="93">
        <v>-30000</v>
      </c>
      <c r="G387" s="79" t="s">
        <v>113</v>
      </c>
      <c r="H387" s="79" t="s">
        <v>114</v>
      </c>
      <c r="I387" s="79" t="s">
        <v>133</v>
      </c>
      <c r="J387" s="79">
        <v>2021</v>
      </c>
      <c r="K387" s="79" t="s">
        <v>116</v>
      </c>
      <c r="L387" s="79"/>
    </row>
    <row r="388" spans="1:12" hidden="1" x14ac:dyDescent="0.25">
      <c r="A388" s="82">
        <v>43874</v>
      </c>
      <c r="B388" s="79" t="s">
        <v>727</v>
      </c>
      <c r="C388" s="79" t="s">
        <v>1105</v>
      </c>
      <c r="D388" s="79" t="s">
        <v>0</v>
      </c>
      <c r="E388" s="79">
        <v>68427709</v>
      </c>
      <c r="F388" s="93">
        <v>-2600</v>
      </c>
      <c r="G388" s="79" t="s">
        <v>113</v>
      </c>
      <c r="H388" s="79" t="s">
        <v>114</v>
      </c>
      <c r="I388" s="79" t="s">
        <v>204</v>
      </c>
      <c r="J388" s="79">
        <v>2021</v>
      </c>
      <c r="K388" s="79" t="s">
        <v>116</v>
      </c>
      <c r="L388" s="79"/>
    </row>
    <row r="389" spans="1:12" hidden="1" x14ac:dyDescent="0.25">
      <c r="A389" s="82">
        <v>43907</v>
      </c>
      <c r="B389" s="79" t="s">
        <v>1106</v>
      </c>
      <c r="C389" s="79" t="s">
        <v>1107</v>
      </c>
      <c r="D389" s="79" t="s">
        <v>0</v>
      </c>
      <c r="E389" s="79">
        <v>68427709</v>
      </c>
      <c r="F389" s="93">
        <v>-2500</v>
      </c>
      <c r="G389" s="79" t="s">
        <v>113</v>
      </c>
      <c r="H389" s="79" t="s">
        <v>114</v>
      </c>
      <c r="I389" s="79" t="s">
        <v>204</v>
      </c>
      <c r="J389" s="79">
        <v>2021</v>
      </c>
      <c r="K389" s="79" t="s">
        <v>1099</v>
      </c>
      <c r="L389" s="79"/>
    </row>
    <row r="390" spans="1:12" ht="15" hidden="1" customHeight="1" x14ac:dyDescent="0.25">
      <c r="A390" s="82">
        <v>43913</v>
      </c>
      <c r="B390" s="79" t="s">
        <v>1108</v>
      </c>
      <c r="C390" s="79" t="s">
        <v>1109</v>
      </c>
      <c r="D390" s="79" t="s">
        <v>1108</v>
      </c>
      <c r="E390" s="79">
        <v>68427709</v>
      </c>
      <c r="F390" s="93">
        <v>65000</v>
      </c>
      <c r="G390" s="79" t="s">
        <v>113</v>
      </c>
      <c r="H390" s="79" t="s">
        <v>114</v>
      </c>
      <c r="I390" s="79" t="s">
        <v>204</v>
      </c>
      <c r="J390" s="79">
        <v>2021</v>
      </c>
      <c r="K390" s="79" t="s">
        <v>555</v>
      </c>
      <c r="L390" s="79" t="s">
        <v>1110</v>
      </c>
    </row>
    <row r="391" spans="1:12" hidden="1" x14ac:dyDescent="0.25">
      <c r="A391" s="82">
        <v>43916</v>
      </c>
      <c r="B391" s="79" t="s">
        <v>283</v>
      </c>
      <c r="C391" s="79" t="s">
        <v>1111</v>
      </c>
      <c r="D391" s="79" t="s">
        <v>283</v>
      </c>
      <c r="E391" s="79">
        <v>68427719</v>
      </c>
      <c r="F391" s="93">
        <v>-64000</v>
      </c>
      <c r="G391" s="79" t="s">
        <v>113</v>
      </c>
      <c r="H391" s="79" t="s">
        <v>114</v>
      </c>
      <c r="I391" s="79" t="s">
        <v>204</v>
      </c>
      <c r="J391" s="79">
        <v>2021</v>
      </c>
      <c r="K391" s="79" t="s">
        <v>116</v>
      </c>
      <c r="L391" s="79"/>
    </row>
    <row r="392" spans="1:12" hidden="1" x14ac:dyDescent="0.25">
      <c r="A392" s="82">
        <v>43920</v>
      </c>
      <c r="B392" s="79" t="s">
        <v>1112</v>
      </c>
      <c r="C392" s="79" t="s">
        <v>1113</v>
      </c>
      <c r="D392" s="79" t="s">
        <v>437</v>
      </c>
      <c r="E392" s="79">
        <v>68427709</v>
      </c>
      <c r="F392" s="93">
        <v>29000</v>
      </c>
      <c r="G392" s="79" t="s">
        <v>113</v>
      </c>
      <c r="H392" s="79" t="s">
        <v>114</v>
      </c>
      <c r="I392" s="79" t="s">
        <v>133</v>
      </c>
      <c r="J392" s="79">
        <v>2021</v>
      </c>
      <c r="K392" s="79" t="s">
        <v>116</v>
      </c>
      <c r="L392" s="79"/>
    </row>
    <row r="393" spans="1:12" hidden="1" x14ac:dyDescent="0.25">
      <c r="A393" s="82">
        <v>43921</v>
      </c>
      <c r="B393" s="79" t="s">
        <v>1114</v>
      </c>
      <c r="C393" s="79" t="s">
        <v>1115</v>
      </c>
      <c r="D393" s="79" t="s">
        <v>180</v>
      </c>
      <c r="E393" s="79">
        <v>68427709</v>
      </c>
      <c r="F393" s="93">
        <v>21000</v>
      </c>
      <c r="G393" s="79" t="s">
        <v>113</v>
      </c>
      <c r="H393" s="79" t="s">
        <v>114</v>
      </c>
      <c r="I393" s="79" t="s">
        <v>204</v>
      </c>
      <c r="J393" s="79">
        <v>2021</v>
      </c>
      <c r="K393" s="79" t="s">
        <v>311</v>
      </c>
      <c r="L393" s="79"/>
    </row>
    <row r="394" spans="1:12" hidden="1" x14ac:dyDescent="0.25">
      <c r="A394" s="82">
        <v>43923</v>
      </c>
      <c r="B394" s="79" t="s">
        <v>1116</v>
      </c>
      <c r="C394" s="79"/>
      <c r="D394" s="79" t="s">
        <v>0</v>
      </c>
      <c r="E394" s="79">
        <v>68427709</v>
      </c>
      <c r="F394" s="93">
        <v>0</v>
      </c>
      <c r="G394" s="79" t="s">
        <v>113</v>
      </c>
      <c r="H394" s="79" t="s">
        <v>114</v>
      </c>
      <c r="I394" s="79" t="s">
        <v>133</v>
      </c>
      <c r="J394" s="79">
        <v>2021</v>
      </c>
      <c r="K394" s="79" t="s">
        <v>116</v>
      </c>
      <c r="L394" s="79" t="s">
        <v>1117</v>
      </c>
    </row>
    <row r="395" spans="1:12" hidden="1" x14ac:dyDescent="0.25">
      <c r="A395" s="82">
        <v>43923</v>
      </c>
      <c r="B395" s="79" t="s">
        <v>1118</v>
      </c>
      <c r="C395" s="79" t="s">
        <v>1119</v>
      </c>
      <c r="D395" s="79" t="s">
        <v>1120</v>
      </c>
      <c r="E395" s="79">
        <v>68427709</v>
      </c>
      <c r="F395" s="93">
        <v>0</v>
      </c>
      <c r="G395" s="79" t="s">
        <v>113</v>
      </c>
      <c r="H395" s="79" t="s">
        <v>114</v>
      </c>
      <c r="I395" s="79" t="s">
        <v>1121</v>
      </c>
      <c r="J395" s="79">
        <v>2021</v>
      </c>
      <c r="K395" s="79" t="s">
        <v>116</v>
      </c>
      <c r="L395" s="79"/>
    </row>
    <row r="396" spans="1:12" hidden="1" x14ac:dyDescent="0.25">
      <c r="A396" s="82">
        <v>43923</v>
      </c>
      <c r="B396" s="79" t="s">
        <v>1122</v>
      </c>
      <c r="C396" s="79" t="s">
        <v>1123</v>
      </c>
      <c r="D396" s="79" t="s">
        <v>0</v>
      </c>
      <c r="E396" s="79">
        <v>68427709</v>
      </c>
      <c r="F396" s="93">
        <v>-50000</v>
      </c>
      <c r="G396" s="79" t="s">
        <v>113</v>
      </c>
      <c r="H396" s="79" t="s">
        <v>114</v>
      </c>
      <c r="I396" s="79" t="s">
        <v>204</v>
      </c>
      <c r="J396" s="79">
        <v>2021</v>
      </c>
      <c r="K396" s="79" t="s">
        <v>116</v>
      </c>
      <c r="L396" s="79" t="s">
        <v>1124</v>
      </c>
    </row>
    <row r="397" spans="1:12" hidden="1" x14ac:dyDescent="0.25">
      <c r="A397" s="82">
        <v>43923</v>
      </c>
      <c r="B397" s="79" t="s">
        <v>1125</v>
      </c>
      <c r="C397" s="79" t="s">
        <v>1126</v>
      </c>
      <c r="D397" s="79" t="s">
        <v>0</v>
      </c>
      <c r="E397" s="79">
        <v>68427709</v>
      </c>
      <c r="F397" s="93">
        <v>-100000</v>
      </c>
      <c r="G397" s="79" t="s">
        <v>113</v>
      </c>
      <c r="H397" s="79" t="s">
        <v>114</v>
      </c>
      <c r="I397" s="79" t="s">
        <v>133</v>
      </c>
      <c r="J397" s="79">
        <v>2021</v>
      </c>
      <c r="K397" s="79" t="s">
        <v>116</v>
      </c>
      <c r="L397" s="79" t="s">
        <v>1127</v>
      </c>
    </row>
    <row r="398" spans="1:12" hidden="1" x14ac:dyDescent="0.25">
      <c r="A398" s="82">
        <v>43935</v>
      </c>
      <c r="B398" s="79" t="s">
        <v>1128</v>
      </c>
      <c r="C398" s="79" t="s">
        <v>1129</v>
      </c>
      <c r="D398" s="79" t="s">
        <v>0</v>
      </c>
      <c r="E398" s="79">
        <v>68427709</v>
      </c>
      <c r="F398" s="93">
        <v>160000</v>
      </c>
      <c r="G398" s="79" t="s">
        <v>302</v>
      </c>
      <c r="H398" s="79" t="s">
        <v>114</v>
      </c>
      <c r="I398" s="79" t="s">
        <v>204</v>
      </c>
      <c r="J398" s="79">
        <v>2021</v>
      </c>
      <c r="K398" s="79" t="s">
        <v>227</v>
      </c>
      <c r="L398" s="79" t="s">
        <v>1130</v>
      </c>
    </row>
    <row r="399" spans="1:12" hidden="1" x14ac:dyDescent="0.25">
      <c r="A399" s="82">
        <v>43938</v>
      </c>
      <c r="B399" s="79" t="s">
        <v>1131</v>
      </c>
      <c r="C399" s="79" t="s">
        <v>1132</v>
      </c>
      <c r="D399" s="79" t="s">
        <v>0</v>
      </c>
      <c r="E399" s="79">
        <v>68427709</v>
      </c>
      <c r="F399" s="93">
        <v>24000</v>
      </c>
      <c r="G399" s="79" t="s">
        <v>113</v>
      </c>
      <c r="H399" s="79" t="s">
        <v>114</v>
      </c>
      <c r="I399" s="79" t="s">
        <v>204</v>
      </c>
      <c r="J399" s="79">
        <v>2021</v>
      </c>
      <c r="K399" s="79" t="s">
        <v>311</v>
      </c>
      <c r="L399" s="79"/>
    </row>
    <row r="400" spans="1:12" hidden="1" x14ac:dyDescent="0.25">
      <c r="A400" s="82">
        <v>43941</v>
      </c>
      <c r="B400" t="s">
        <v>1133</v>
      </c>
      <c r="C400" s="79" t="s">
        <v>1134</v>
      </c>
      <c r="D400" t="s">
        <v>1133</v>
      </c>
      <c r="E400" s="79">
        <v>68427709</v>
      </c>
      <c r="F400" s="93">
        <v>-2000</v>
      </c>
      <c r="G400" s="79" t="s">
        <v>113</v>
      </c>
      <c r="H400" s="79" t="s">
        <v>114</v>
      </c>
      <c r="I400" s="79" t="s">
        <v>204</v>
      </c>
      <c r="J400" s="79">
        <v>2021</v>
      </c>
      <c r="K400" s="79" t="s">
        <v>1135</v>
      </c>
      <c r="L400" s="79" t="s">
        <v>1136</v>
      </c>
    </row>
    <row r="401" spans="1:12" hidden="1" x14ac:dyDescent="0.25">
      <c r="A401" s="82">
        <v>43943</v>
      </c>
      <c r="B401" s="79" t="s">
        <v>1137</v>
      </c>
      <c r="C401" s="79" t="s">
        <v>1138</v>
      </c>
      <c r="D401" s="79" t="s">
        <v>909</v>
      </c>
      <c r="E401" s="79">
        <v>68427709</v>
      </c>
      <c r="F401" s="93">
        <v>-32000</v>
      </c>
      <c r="G401" s="79" t="s">
        <v>113</v>
      </c>
      <c r="H401" s="79" t="s">
        <v>114</v>
      </c>
      <c r="I401" s="79" t="s">
        <v>128</v>
      </c>
      <c r="J401" s="79">
        <v>2021</v>
      </c>
      <c r="K401" s="79" t="s">
        <v>116</v>
      </c>
      <c r="L401" s="79" t="s">
        <v>1139</v>
      </c>
    </row>
    <row r="402" spans="1:12" hidden="1" x14ac:dyDescent="0.25">
      <c r="A402" s="82">
        <v>43943</v>
      </c>
      <c r="B402" s="79" t="s">
        <v>1140</v>
      </c>
      <c r="C402" s="79" t="s">
        <v>207</v>
      </c>
      <c r="D402" s="79"/>
      <c r="E402" s="79">
        <v>68427709</v>
      </c>
      <c r="F402" s="93">
        <v>7000</v>
      </c>
      <c r="G402" s="79" t="s">
        <v>113</v>
      </c>
      <c r="H402" s="79" t="s">
        <v>114</v>
      </c>
      <c r="I402" s="79" t="s">
        <v>204</v>
      </c>
      <c r="J402" s="79">
        <v>2021</v>
      </c>
      <c r="K402" s="79" t="s">
        <v>775</v>
      </c>
      <c r="L402" s="79" t="s">
        <v>1141</v>
      </c>
    </row>
    <row r="403" spans="1:12" hidden="1" x14ac:dyDescent="0.25">
      <c r="A403" s="82">
        <v>43955</v>
      </c>
      <c r="B403" s="79" t="s">
        <v>1142</v>
      </c>
      <c r="C403" s="79" t="s">
        <v>1143</v>
      </c>
      <c r="D403" s="79" t="s">
        <v>180</v>
      </c>
      <c r="E403" s="79">
        <v>68427709</v>
      </c>
      <c r="F403" s="93">
        <v>75000</v>
      </c>
      <c r="G403" s="79" t="s">
        <v>113</v>
      </c>
      <c r="H403" s="79" t="s">
        <v>114</v>
      </c>
      <c r="I403" s="79" t="s">
        <v>204</v>
      </c>
      <c r="J403" s="79">
        <v>2021</v>
      </c>
      <c r="K403" s="79" t="s">
        <v>116</v>
      </c>
      <c r="L403" s="79" t="s">
        <v>1144</v>
      </c>
    </row>
    <row r="404" spans="1:12" hidden="1" x14ac:dyDescent="0.25">
      <c r="A404" s="82">
        <v>43958</v>
      </c>
      <c r="B404" s="79" t="s">
        <v>1145</v>
      </c>
      <c r="C404" s="79" t="s">
        <v>562</v>
      </c>
      <c r="D404" s="79" t="s">
        <v>1146</v>
      </c>
      <c r="E404" s="79">
        <v>68427709</v>
      </c>
      <c r="F404" s="93">
        <v>5000</v>
      </c>
      <c r="G404" s="79" t="s">
        <v>1068</v>
      </c>
      <c r="H404" s="79" t="s">
        <v>114</v>
      </c>
      <c r="I404" s="79" t="s">
        <v>204</v>
      </c>
      <c r="J404" s="79">
        <v>2021</v>
      </c>
      <c r="K404" s="79" t="s">
        <v>116</v>
      </c>
      <c r="L404" s="79" t="s">
        <v>1147</v>
      </c>
    </row>
    <row r="405" spans="1:12" hidden="1" x14ac:dyDescent="0.25">
      <c r="A405" s="82">
        <v>43962</v>
      </c>
      <c r="B405" s="79" t="s">
        <v>1148</v>
      </c>
      <c r="C405" s="79" t="s">
        <v>1149</v>
      </c>
      <c r="D405" s="79"/>
      <c r="E405" s="79">
        <v>68427709</v>
      </c>
      <c r="F405" s="93">
        <v>0</v>
      </c>
      <c r="G405" s="79" t="s">
        <v>113</v>
      </c>
      <c r="H405" s="79" t="s">
        <v>114</v>
      </c>
      <c r="I405" s="79" t="s">
        <v>133</v>
      </c>
      <c r="J405" s="79">
        <v>2021</v>
      </c>
      <c r="K405" s="79" t="s">
        <v>116</v>
      </c>
      <c r="L405" s="79" t="s">
        <v>1150</v>
      </c>
    </row>
    <row r="406" spans="1:12" hidden="1" x14ac:dyDescent="0.25">
      <c r="A406" s="82">
        <v>43964</v>
      </c>
      <c r="B406" s="79" t="s">
        <v>1151</v>
      </c>
      <c r="C406" s="79" t="s">
        <v>1152</v>
      </c>
      <c r="D406" s="79"/>
      <c r="E406" s="79">
        <v>68427709</v>
      </c>
      <c r="F406" s="93">
        <v>0</v>
      </c>
      <c r="G406" s="79" t="s">
        <v>1068</v>
      </c>
      <c r="H406" s="79" t="s">
        <v>114</v>
      </c>
      <c r="I406" s="79" t="s">
        <v>948</v>
      </c>
      <c r="J406" s="79">
        <v>2021</v>
      </c>
      <c r="K406" s="79" t="s">
        <v>372</v>
      </c>
      <c r="L406" s="79" t="s">
        <v>1153</v>
      </c>
    </row>
    <row r="407" spans="1:12" hidden="1" x14ac:dyDescent="0.25">
      <c r="A407" s="82">
        <v>43965</v>
      </c>
      <c r="B407" s="79" t="s">
        <v>1154</v>
      </c>
      <c r="C407" s="79"/>
      <c r="D407" s="79" t="s">
        <v>388</v>
      </c>
      <c r="E407" s="79">
        <v>68427709</v>
      </c>
      <c r="F407" s="93">
        <v>0</v>
      </c>
      <c r="G407" s="79" t="s">
        <v>1068</v>
      </c>
      <c r="H407" s="79" t="s">
        <v>114</v>
      </c>
      <c r="I407" s="79" t="s">
        <v>133</v>
      </c>
      <c r="J407" s="79">
        <v>2021</v>
      </c>
      <c r="K407" s="79" t="s">
        <v>279</v>
      </c>
      <c r="L407" s="79" t="s">
        <v>1155</v>
      </c>
    </row>
    <row r="408" spans="1:12" hidden="1" x14ac:dyDescent="0.25">
      <c r="A408" s="82">
        <v>43965</v>
      </c>
      <c r="B408" t="s">
        <v>1156</v>
      </c>
      <c r="C408" s="79" t="s">
        <v>1157</v>
      </c>
      <c r="D408" s="79" t="s">
        <v>544</v>
      </c>
      <c r="E408" s="79">
        <v>68427709</v>
      </c>
      <c r="F408" s="93">
        <v>-95000</v>
      </c>
      <c r="G408" s="79" t="s">
        <v>113</v>
      </c>
      <c r="H408" s="79" t="s">
        <v>114</v>
      </c>
      <c r="I408" s="79" t="s">
        <v>204</v>
      </c>
      <c r="J408" s="79">
        <v>2021</v>
      </c>
      <c r="K408" s="79" t="s">
        <v>542</v>
      </c>
      <c r="L408" s="79" t="s">
        <v>1158</v>
      </c>
    </row>
    <row r="409" spans="1:12" hidden="1" x14ac:dyDescent="0.25">
      <c r="A409" s="82">
        <v>43968</v>
      </c>
      <c r="B409" s="79" t="s">
        <v>1159</v>
      </c>
      <c r="C409" s="79" t="s">
        <v>1160</v>
      </c>
      <c r="D409" s="79" t="s">
        <v>118</v>
      </c>
      <c r="E409" s="79">
        <v>68427709</v>
      </c>
      <c r="F409" s="93">
        <v>-34000</v>
      </c>
      <c r="G409" s="79" t="s">
        <v>1068</v>
      </c>
      <c r="H409" s="79" t="s">
        <v>114</v>
      </c>
      <c r="I409" s="79" t="s">
        <v>204</v>
      </c>
      <c r="J409" s="79">
        <v>2021</v>
      </c>
      <c r="K409" s="79" t="s">
        <v>179</v>
      </c>
      <c r="L409" s="79" t="s">
        <v>1161</v>
      </c>
    </row>
    <row r="410" spans="1:12" hidden="1" x14ac:dyDescent="0.25">
      <c r="A410" s="82">
        <v>43979</v>
      </c>
      <c r="B410" s="79" t="s">
        <v>1162</v>
      </c>
      <c r="C410" s="79" t="s">
        <v>1163</v>
      </c>
      <c r="D410" s="79" t="s">
        <v>0</v>
      </c>
      <c r="E410" s="79">
        <v>68427709</v>
      </c>
      <c r="F410" s="93">
        <v>0</v>
      </c>
      <c r="G410" s="79" t="s">
        <v>1068</v>
      </c>
      <c r="H410" s="79" t="s">
        <v>114</v>
      </c>
      <c r="I410" s="79" t="s">
        <v>204</v>
      </c>
      <c r="J410" s="79">
        <v>2021</v>
      </c>
      <c r="K410" s="79" t="s">
        <v>433</v>
      </c>
      <c r="L410" s="79" t="s">
        <v>1164</v>
      </c>
    </row>
    <row r="411" spans="1:12" hidden="1" x14ac:dyDescent="0.25">
      <c r="A411" s="82">
        <v>43990</v>
      </c>
      <c r="B411" s="79" t="s">
        <v>1165</v>
      </c>
      <c r="C411" s="79" t="s">
        <v>1166</v>
      </c>
      <c r="D411" s="79" t="s">
        <v>352</v>
      </c>
      <c r="E411" s="79">
        <v>68427709</v>
      </c>
      <c r="F411" s="93">
        <v>-50000</v>
      </c>
      <c r="G411" s="79" t="s">
        <v>113</v>
      </c>
      <c r="H411" s="79" t="s">
        <v>114</v>
      </c>
      <c r="I411" s="79" t="s">
        <v>133</v>
      </c>
      <c r="J411" s="79">
        <v>2021</v>
      </c>
      <c r="K411" s="79" t="s">
        <v>116</v>
      </c>
      <c r="L411" s="79"/>
    </row>
    <row r="412" spans="1:12" hidden="1" x14ac:dyDescent="0.25">
      <c r="A412" s="82">
        <v>43990</v>
      </c>
      <c r="B412" s="79" t="s">
        <v>822</v>
      </c>
      <c r="C412" s="79"/>
      <c r="D412" s="79" t="s">
        <v>352</v>
      </c>
      <c r="E412" s="79">
        <v>68427709</v>
      </c>
      <c r="F412" s="93">
        <v>-80000</v>
      </c>
      <c r="G412" s="79" t="s">
        <v>1068</v>
      </c>
      <c r="H412" s="79" t="s">
        <v>114</v>
      </c>
      <c r="I412" s="79" t="s">
        <v>133</v>
      </c>
      <c r="J412" s="79">
        <v>2021</v>
      </c>
      <c r="K412" s="79" t="s">
        <v>116</v>
      </c>
      <c r="L412" s="79"/>
    </row>
    <row r="413" spans="1:12" hidden="1" x14ac:dyDescent="0.25">
      <c r="A413" s="82">
        <v>43990</v>
      </c>
      <c r="B413" s="79" t="s">
        <v>792</v>
      </c>
      <c r="C413" s="79" t="s">
        <v>1166</v>
      </c>
      <c r="D413" s="79" t="s">
        <v>352</v>
      </c>
      <c r="E413" s="79">
        <v>68427709</v>
      </c>
      <c r="F413" s="93">
        <v>-120000</v>
      </c>
      <c r="G413" s="79" t="s">
        <v>113</v>
      </c>
      <c r="H413" s="79" t="s">
        <v>114</v>
      </c>
      <c r="I413" s="79" t="s">
        <v>133</v>
      </c>
      <c r="J413" s="79">
        <v>2021</v>
      </c>
      <c r="K413" s="79" t="s">
        <v>116</v>
      </c>
      <c r="L413" s="79"/>
    </row>
    <row r="414" spans="1:12" hidden="1" x14ac:dyDescent="0.25">
      <c r="A414" s="82">
        <v>43990</v>
      </c>
      <c r="B414" s="79" t="s">
        <v>1167</v>
      </c>
      <c r="C414" s="79" t="s">
        <v>1168</v>
      </c>
      <c r="D414" s="79" t="s">
        <v>352</v>
      </c>
      <c r="E414" s="79">
        <v>68427709</v>
      </c>
      <c r="F414" s="93">
        <v>-75000</v>
      </c>
      <c r="G414" s="79" t="s">
        <v>113</v>
      </c>
      <c r="H414" s="79" t="s">
        <v>114</v>
      </c>
      <c r="I414" s="79" t="s">
        <v>133</v>
      </c>
      <c r="J414" s="79">
        <v>2021</v>
      </c>
      <c r="K414" s="79" t="s">
        <v>116</v>
      </c>
      <c r="L414" s="79"/>
    </row>
    <row r="415" spans="1:12" hidden="1" x14ac:dyDescent="0.25">
      <c r="A415" s="82">
        <v>43990</v>
      </c>
      <c r="B415" s="79" t="s">
        <v>1169</v>
      </c>
      <c r="C415" s="79" t="s">
        <v>1170</v>
      </c>
      <c r="D415" s="79" t="s">
        <v>352</v>
      </c>
      <c r="E415" s="79">
        <v>68427709</v>
      </c>
      <c r="F415" s="93">
        <v>-50000</v>
      </c>
      <c r="G415" s="79" t="s">
        <v>113</v>
      </c>
      <c r="H415" s="79" t="s">
        <v>114</v>
      </c>
      <c r="I415" s="79" t="s">
        <v>133</v>
      </c>
      <c r="J415" s="79">
        <v>2021</v>
      </c>
      <c r="K415" s="79" t="s">
        <v>116</v>
      </c>
      <c r="L415" s="79"/>
    </row>
    <row r="416" spans="1:12" hidden="1" x14ac:dyDescent="0.25">
      <c r="A416" s="82">
        <v>43990</v>
      </c>
      <c r="B416" s="79" t="s">
        <v>807</v>
      </c>
      <c r="C416" s="79" t="s">
        <v>1166</v>
      </c>
      <c r="D416" s="79" t="s">
        <v>352</v>
      </c>
      <c r="E416" s="79">
        <v>68427709</v>
      </c>
      <c r="F416" s="93">
        <v>-150000</v>
      </c>
      <c r="G416" s="79" t="s">
        <v>113</v>
      </c>
      <c r="H416" s="79" t="s">
        <v>114</v>
      </c>
      <c r="I416" s="79" t="s">
        <v>133</v>
      </c>
      <c r="J416" s="79">
        <v>2021</v>
      </c>
      <c r="K416" s="79" t="s">
        <v>116</v>
      </c>
      <c r="L416" s="79"/>
    </row>
    <row r="417" spans="1:12" hidden="1" x14ac:dyDescent="0.25">
      <c r="A417" s="82">
        <v>43990</v>
      </c>
      <c r="B417" s="79" t="s">
        <v>1171</v>
      </c>
      <c r="C417" s="79" t="s">
        <v>1172</v>
      </c>
      <c r="D417" s="79" t="s">
        <v>352</v>
      </c>
      <c r="E417" s="79">
        <v>68427709</v>
      </c>
      <c r="F417" s="93">
        <v>34000</v>
      </c>
      <c r="G417" s="79" t="s">
        <v>113</v>
      </c>
      <c r="H417" s="79" t="s">
        <v>114</v>
      </c>
      <c r="I417" s="79" t="s">
        <v>133</v>
      </c>
      <c r="J417" s="79">
        <v>2021</v>
      </c>
      <c r="K417" s="79" t="s">
        <v>116</v>
      </c>
      <c r="L417" s="79" t="s">
        <v>1173</v>
      </c>
    </row>
    <row r="418" spans="1:12" hidden="1" x14ac:dyDescent="0.25">
      <c r="A418" s="82">
        <v>43990</v>
      </c>
      <c r="B418" t="s">
        <v>1174</v>
      </c>
      <c r="C418" s="79" t="s">
        <v>1166</v>
      </c>
      <c r="D418" s="79" t="s">
        <v>352</v>
      </c>
      <c r="E418" s="79">
        <v>68427709</v>
      </c>
      <c r="F418" s="93">
        <v>-50000</v>
      </c>
      <c r="G418" s="79" t="s">
        <v>113</v>
      </c>
      <c r="H418" s="79" t="s">
        <v>114</v>
      </c>
      <c r="I418" s="79" t="s">
        <v>133</v>
      </c>
      <c r="J418" s="79">
        <v>2021</v>
      </c>
      <c r="K418" s="79" t="s">
        <v>116</v>
      </c>
      <c r="L418" s="79" t="s">
        <v>1175</v>
      </c>
    </row>
    <row r="419" spans="1:12" hidden="1" x14ac:dyDescent="0.25">
      <c r="A419" s="82">
        <v>43990</v>
      </c>
      <c r="B419" s="79" t="s">
        <v>1176</v>
      </c>
      <c r="C419" s="79" t="s">
        <v>1177</v>
      </c>
      <c r="D419" s="79" t="s">
        <v>352</v>
      </c>
      <c r="E419" s="79">
        <v>68427709</v>
      </c>
      <c r="F419" s="93">
        <v>6000</v>
      </c>
      <c r="G419" s="79" t="s">
        <v>113</v>
      </c>
      <c r="H419" s="79" t="s">
        <v>114</v>
      </c>
      <c r="I419" s="79" t="s">
        <v>133</v>
      </c>
      <c r="J419" s="79">
        <v>2021</v>
      </c>
      <c r="K419" s="79" t="s">
        <v>116</v>
      </c>
      <c r="L419" s="79" t="s">
        <v>1178</v>
      </c>
    </row>
    <row r="420" spans="1:12" hidden="1" x14ac:dyDescent="0.25">
      <c r="A420" s="82">
        <v>43990</v>
      </c>
      <c r="B420" s="79" t="s">
        <v>618</v>
      </c>
      <c r="C420" s="79" t="s">
        <v>1179</v>
      </c>
      <c r="D420" s="79" t="s">
        <v>352</v>
      </c>
      <c r="E420" s="79">
        <v>68427709</v>
      </c>
      <c r="F420" s="93">
        <v>-80000</v>
      </c>
      <c r="G420" s="79" t="s">
        <v>113</v>
      </c>
      <c r="H420" s="79" t="s">
        <v>114</v>
      </c>
      <c r="I420" s="79" t="s">
        <v>133</v>
      </c>
      <c r="J420" s="79">
        <v>2021</v>
      </c>
      <c r="K420" s="79" t="s">
        <v>116</v>
      </c>
      <c r="L420" s="79"/>
    </row>
    <row r="421" spans="1:12" hidden="1" x14ac:dyDescent="0.25">
      <c r="A421" s="82">
        <v>43990</v>
      </c>
      <c r="B421" s="79" t="s">
        <v>553</v>
      </c>
      <c r="C421" s="79" t="s">
        <v>1180</v>
      </c>
      <c r="D421" s="79" t="s">
        <v>352</v>
      </c>
      <c r="E421" s="79">
        <v>68427709</v>
      </c>
      <c r="F421" s="93">
        <v>70000</v>
      </c>
      <c r="G421" s="79" t="s">
        <v>1068</v>
      </c>
      <c r="H421" s="79" t="s">
        <v>114</v>
      </c>
      <c r="I421" s="79" t="s">
        <v>133</v>
      </c>
      <c r="J421" s="79">
        <v>2021</v>
      </c>
      <c r="K421" s="79" t="s">
        <v>555</v>
      </c>
      <c r="L421" s="79" t="s">
        <v>1181</v>
      </c>
    </row>
    <row r="422" spans="1:12" hidden="1" x14ac:dyDescent="0.25">
      <c r="A422" s="82">
        <v>43990</v>
      </c>
      <c r="B422" s="79" t="s">
        <v>1182</v>
      </c>
      <c r="C422" s="79" t="s">
        <v>1183</v>
      </c>
      <c r="D422" s="79" t="s">
        <v>0</v>
      </c>
      <c r="E422" s="79">
        <v>68427709</v>
      </c>
      <c r="F422" s="93">
        <f>320000-375000</f>
        <v>-55000</v>
      </c>
      <c r="G422" s="79" t="s">
        <v>113</v>
      </c>
      <c r="H422" s="79" t="s">
        <v>114</v>
      </c>
      <c r="I422" s="79" t="s">
        <v>133</v>
      </c>
      <c r="J422" s="79">
        <v>2021</v>
      </c>
      <c r="K422" s="79" t="s">
        <v>116</v>
      </c>
      <c r="L422" s="79" t="s">
        <v>1184</v>
      </c>
    </row>
    <row r="423" spans="1:12" hidden="1" x14ac:dyDescent="0.25">
      <c r="A423" s="82">
        <v>43990</v>
      </c>
      <c r="B423" s="79" t="s">
        <v>760</v>
      </c>
      <c r="C423" s="79" t="s">
        <v>1183</v>
      </c>
      <c r="D423" s="79" t="s">
        <v>0</v>
      </c>
      <c r="E423" s="79">
        <v>68427709</v>
      </c>
      <c r="F423" s="93">
        <v>55000</v>
      </c>
      <c r="G423" s="79" t="s">
        <v>113</v>
      </c>
      <c r="H423" s="79" t="s">
        <v>114</v>
      </c>
      <c r="I423" s="79" t="s">
        <v>133</v>
      </c>
      <c r="J423" s="79">
        <v>2021</v>
      </c>
      <c r="K423" s="79" t="s">
        <v>116</v>
      </c>
      <c r="L423" s="79" t="s">
        <v>1185</v>
      </c>
    </row>
    <row r="424" spans="1:12" hidden="1" x14ac:dyDescent="0.25">
      <c r="A424" s="82">
        <v>43990</v>
      </c>
      <c r="B424" t="s">
        <v>553</v>
      </c>
      <c r="C424" s="79" t="s">
        <v>1186</v>
      </c>
      <c r="D424" s="79" t="s">
        <v>853</v>
      </c>
      <c r="E424" s="79">
        <v>68427709</v>
      </c>
      <c r="F424" s="93">
        <v>-50000</v>
      </c>
      <c r="G424" s="79" t="s">
        <v>113</v>
      </c>
      <c r="H424" s="79" t="s">
        <v>114</v>
      </c>
      <c r="I424" s="79" t="s">
        <v>133</v>
      </c>
      <c r="J424" s="79">
        <v>2021</v>
      </c>
      <c r="K424" s="79" t="s">
        <v>555</v>
      </c>
      <c r="L424" s="79" t="s">
        <v>1187</v>
      </c>
    </row>
    <row r="425" spans="1:12" hidden="1" x14ac:dyDescent="0.25">
      <c r="A425" s="82">
        <v>43990</v>
      </c>
      <c r="B425" s="79" t="s">
        <v>1188</v>
      </c>
      <c r="C425" s="79" t="s">
        <v>1189</v>
      </c>
      <c r="D425" s="79" t="s">
        <v>461</v>
      </c>
      <c r="E425" s="79">
        <v>68427709</v>
      </c>
      <c r="F425" s="93">
        <v>96000</v>
      </c>
      <c r="G425" s="79" t="s">
        <v>113</v>
      </c>
      <c r="H425" s="79" t="s">
        <v>114</v>
      </c>
      <c r="I425" s="79" t="s">
        <v>948</v>
      </c>
      <c r="J425" s="79">
        <v>2021</v>
      </c>
      <c r="K425" s="79" t="s">
        <v>279</v>
      </c>
      <c r="L425" s="79" t="s">
        <v>1190</v>
      </c>
    </row>
    <row r="426" spans="1:12" hidden="1" x14ac:dyDescent="0.25">
      <c r="A426" s="82">
        <v>43990</v>
      </c>
      <c r="B426" s="79" t="s">
        <v>1191</v>
      </c>
      <c r="C426" s="79" t="s">
        <v>1192</v>
      </c>
      <c r="D426" s="79" t="s">
        <v>1191</v>
      </c>
      <c r="E426" s="79">
        <v>68427709</v>
      </c>
      <c r="F426" s="93">
        <v>15000</v>
      </c>
      <c r="G426" s="79" t="s">
        <v>113</v>
      </c>
      <c r="H426" s="79" t="s">
        <v>114</v>
      </c>
      <c r="I426" s="79" t="s">
        <v>204</v>
      </c>
      <c r="J426" s="79">
        <v>2021</v>
      </c>
      <c r="K426" s="79" t="s">
        <v>904</v>
      </c>
      <c r="L426" s="79" t="s">
        <v>1193</v>
      </c>
    </row>
    <row r="427" spans="1:12" hidden="1" x14ac:dyDescent="0.25">
      <c r="A427" s="82">
        <v>43990</v>
      </c>
      <c r="B427" s="79" t="s">
        <v>1194</v>
      </c>
      <c r="C427" s="79" t="s">
        <v>1195</v>
      </c>
      <c r="D427" s="79" t="s">
        <v>0</v>
      </c>
      <c r="E427" s="79">
        <v>68427709</v>
      </c>
      <c r="F427" s="93">
        <v>36000</v>
      </c>
      <c r="G427" s="79" t="s">
        <v>113</v>
      </c>
      <c r="H427" s="79" t="s">
        <v>114</v>
      </c>
      <c r="I427" s="79" t="s">
        <v>204</v>
      </c>
      <c r="J427" s="79">
        <v>2021</v>
      </c>
      <c r="K427" s="79" t="s">
        <v>238</v>
      </c>
      <c r="L427" s="79" t="s">
        <v>1196</v>
      </c>
    </row>
    <row r="428" spans="1:12" hidden="1" x14ac:dyDescent="0.25">
      <c r="A428" s="82">
        <v>43990</v>
      </c>
      <c r="B428" s="79" t="s">
        <v>1194</v>
      </c>
      <c r="C428" s="79" t="s">
        <v>1197</v>
      </c>
      <c r="D428" s="79" t="s">
        <v>0</v>
      </c>
      <c r="E428" s="79">
        <v>68427709</v>
      </c>
      <c r="F428" s="93">
        <v>20000</v>
      </c>
      <c r="G428" s="79" t="s">
        <v>113</v>
      </c>
      <c r="H428" s="79" t="s">
        <v>114</v>
      </c>
      <c r="I428" s="79" t="s">
        <v>133</v>
      </c>
      <c r="J428" s="79">
        <v>2021</v>
      </c>
      <c r="K428" s="79" t="s">
        <v>238</v>
      </c>
      <c r="L428" s="79" t="s">
        <v>1198</v>
      </c>
    </row>
    <row r="429" spans="1:12" hidden="1" x14ac:dyDescent="0.25">
      <c r="A429" s="82">
        <v>43990</v>
      </c>
      <c r="B429" s="79" t="s">
        <v>915</v>
      </c>
      <c r="C429" s="79" t="s">
        <v>1199</v>
      </c>
      <c r="D429" s="79" t="s">
        <v>0</v>
      </c>
      <c r="E429" s="79">
        <v>68427709</v>
      </c>
      <c r="F429" s="93">
        <v>-5000</v>
      </c>
      <c r="G429" s="79" t="s">
        <v>113</v>
      </c>
      <c r="H429" s="79" t="s">
        <v>114</v>
      </c>
      <c r="I429" s="79" t="s">
        <v>133</v>
      </c>
      <c r="J429" s="79">
        <v>2021</v>
      </c>
      <c r="K429" s="79" t="s">
        <v>116</v>
      </c>
      <c r="L429" s="79" t="s">
        <v>1200</v>
      </c>
    </row>
    <row r="430" spans="1:12" hidden="1" x14ac:dyDescent="0.25">
      <c r="A430" s="82">
        <v>43990</v>
      </c>
      <c r="B430" s="79" t="s">
        <v>1201</v>
      </c>
      <c r="C430" s="79" t="s">
        <v>1202</v>
      </c>
      <c r="D430" s="79" t="s">
        <v>461</v>
      </c>
      <c r="E430" s="79">
        <v>68427709</v>
      </c>
      <c r="F430" s="93">
        <v>0</v>
      </c>
      <c r="G430" s="79" t="s">
        <v>1068</v>
      </c>
      <c r="H430" s="79" t="s">
        <v>114</v>
      </c>
      <c r="I430" s="79" t="s">
        <v>948</v>
      </c>
      <c r="J430" s="79">
        <v>2021</v>
      </c>
      <c r="K430" s="79" t="s">
        <v>1203</v>
      </c>
      <c r="L430" s="79" t="s">
        <v>1204</v>
      </c>
    </row>
    <row r="431" spans="1:12" hidden="1" x14ac:dyDescent="0.25">
      <c r="A431" s="82">
        <v>43990</v>
      </c>
      <c r="B431" s="79" t="s">
        <v>1205</v>
      </c>
      <c r="C431" s="79" t="s">
        <v>1206</v>
      </c>
      <c r="D431" s="79" t="s">
        <v>0</v>
      </c>
      <c r="E431" s="79">
        <v>68427709</v>
      </c>
      <c r="F431" s="93">
        <v>50000</v>
      </c>
      <c r="G431" s="79" t="s">
        <v>113</v>
      </c>
      <c r="H431" s="79" t="s">
        <v>114</v>
      </c>
      <c r="I431" s="79" t="s">
        <v>204</v>
      </c>
      <c r="J431" s="79">
        <v>2021</v>
      </c>
      <c r="K431" s="79" t="s">
        <v>904</v>
      </c>
      <c r="L431" t="s">
        <v>1207</v>
      </c>
    </row>
    <row r="432" spans="1:12" hidden="1" x14ac:dyDescent="0.25">
      <c r="A432" s="82">
        <v>43990</v>
      </c>
      <c r="B432" s="79" t="s">
        <v>1208</v>
      </c>
      <c r="C432" s="79" t="s">
        <v>1209</v>
      </c>
      <c r="D432" s="79"/>
      <c r="E432" s="79">
        <v>68427709</v>
      </c>
      <c r="F432" s="93">
        <v>-2000</v>
      </c>
      <c r="G432" s="79" t="s">
        <v>113</v>
      </c>
      <c r="H432" s="79" t="s">
        <v>114</v>
      </c>
      <c r="I432" s="79" t="s">
        <v>204</v>
      </c>
      <c r="J432" s="79">
        <v>2021</v>
      </c>
      <c r="K432" s="79" t="s">
        <v>252</v>
      </c>
      <c r="L432" s="79"/>
    </row>
    <row r="433" spans="1:12" hidden="1" x14ac:dyDescent="0.25">
      <c r="A433" s="82">
        <v>43990</v>
      </c>
      <c r="B433" s="79" t="s">
        <v>1210</v>
      </c>
      <c r="C433" s="79" t="s">
        <v>1211</v>
      </c>
      <c r="D433" s="79" t="s">
        <v>0</v>
      </c>
      <c r="E433" s="79">
        <v>68427709</v>
      </c>
      <c r="F433" s="93">
        <v>-4000</v>
      </c>
      <c r="G433" s="79" t="s">
        <v>113</v>
      </c>
      <c r="H433" s="79" t="s">
        <v>114</v>
      </c>
      <c r="I433" s="79" t="s">
        <v>133</v>
      </c>
      <c r="J433" s="79">
        <v>2021</v>
      </c>
      <c r="K433" s="79" t="s">
        <v>179</v>
      </c>
      <c r="L433" s="79" t="s">
        <v>1212</v>
      </c>
    </row>
    <row r="434" spans="1:12" hidden="1" x14ac:dyDescent="0.25">
      <c r="A434" s="82">
        <v>43992</v>
      </c>
      <c r="B434" s="79" t="s">
        <v>15</v>
      </c>
      <c r="C434" s="79" t="s">
        <v>1213</v>
      </c>
      <c r="D434" s="79" t="s">
        <v>0</v>
      </c>
      <c r="E434" s="79">
        <v>68427709</v>
      </c>
      <c r="F434" s="93">
        <v>0</v>
      </c>
      <c r="G434" s="79" t="s">
        <v>113</v>
      </c>
      <c r="H434" s="79" t="s">
        <v>114</v>
      </c>
      <c r="I434" s="79" t="s">
        <v>133</v>
      </c>
      <c r="J434" s="79">
        <v>2021</v>
      </c>
      <c r="K434" s="79" t="s">
        <v>1203</v>
      </c>
      <c r="L434" s="79" t="s">
        <v>1214</v>
      </c>
    </row>
    <row r="435" spans="1:12" hidden="1" x14ac:dyDescent="0.25">
      <c r="A435" s="82">
        <v>43992</v>
      </c>
      <c r="B435" s="79" t="s">
        <v>1215</v>
      </c>
      <c r="C435" s="79" t="s">
        <v>1216</v>
      </c>
      <c r="D435" s="79" t="s">
        <v>558</v>
      </c>
      <c r="E435" s="79">
        <v>68427709</v>
      </c>
      <c r="F435" s="93"/>
      <c r="G435" s="79" t="s">
        <v>797</v>
      </c>
      <c r="H435" s="79" t="s">
        <v>114</v>
      </c>
      <c r="I435" s="79" t="s">
        <v>204</v>
      </c>
      <c r="J435" s="79">
        <v>2021</v>
      </c>
      <c r="K435" s="79" t="s">
        <v>1203</v>
      </c>
      <c r="L435" s="79"/>
    </row>
    <row r="436" spans="1:12" hidden="1" x14ac:dyDescent="0.25">
      <c r="A436" s="82">
        <v>43992</v>
      </c>
      <c r="B436" s="79" t="s">
        <v>1217</v>
      </c>
      <c r="C436" t="s">
        <v>639</v>
      </c>
      <c r="D436" s="79" t="s">
        <v>40</v>
      </c>
      <c r="E436" s="79">
        <v>68427709</v>
      </c>
      <c r="F436" s="93">
        <v>0</v>
      </c>
      <c r="G436" s="79" t="s">
        <v>113</v>
      </c>
      <c r="H436" s="79" t="s">
        <v>114</v>
      </c>
      <c r="I436" s="79" t="s">
        <v>1121</v>
      </c>
      <c r="J436" s="79">
        <v>2021</v>
      </c>
      <c r="K436" s="79" t="s">
        <v>1203</v>
      </c>
      <c r="L436" s="79" t="s">
        <v>1218</v>
      </c>
    </row>
    <row r="437" spans="1:12" hidden="1" x14ac:dyDescent="0.25">
      <c r="A437" s="82">
        <v>43992</v>
      </c>
      <c r="B437" s="79" t="s">
        <v>1217</v>
      </c>
      <c r="C437" t="s">
        <v>1219</v>
      </c>
      <c r="D437" s="79" t="s">
        <v>40</v>
      </c>
      <c r="E437" s="79">
        <v>68427709</v>
      </c>
      <c r="F437" s="93">
        <v>0</v>
      </c>
      <c r="G437" s="79" t="s">
        <v>113</v>
      </c>
      <c r="H437" s="79" t="s">
        <v>114</v>
      </c>
      <c r="I437" s="79" t="s">
        <v>1121</v>
      </c>
      <c r="J437" s="79">
        <v>2021</v>
      </c>
      <c r="K437" s="79" t="s">
        <v>1203</v>
      </c>
      <c r="L437" s="79" t="s">
        <v>1218</v>
      </c>
    </row>
    <row r="438" spans="1:12" hidden="1" x14ac:dyDescent="0.25">
      <c r="A438" s="82">
        <v>43992</v>
      </c>
      <c r="B438" s="79" t="s">
        <v>1217</v>
      </c>
      <c r="C438" t="s">
        <v>1220</v>
      </c>
      <c r="D438" s="79" t="s">
        <v>40</v>
      </c>
      <c r="E438" s="79">
        <v>68427709</v>
      </c>
      <c r="F438" s="93">
        <v>0</v>
      </c>
      <c r="G438" s="79" t="s">
        <v>113</v>
      </c>
      <c r="H438" s="79" t="s">
        <v>114</v>
      </c>
      <c r="I438" s="79" t="s">
        <v>1121</v>
      </c>
      <c r="J438" s="79">
        <v>2021</v>
      </c>
      <c r="K438" s="79" t="s">
        <v>1203</v>
      </c>
      <c r="L438" s="79" t="s">
        <v>1218</v>
      </c>
    </row>
    <row r="439" spans="1:12" hidden="1" x14ac:dyDescent="0.25">
      <c r="A439" s="82">
        <v>43992</v>
      </c>
      <c r="B439" s="79" t="s">
        <v>1221</v>
      </c>
      <c r="C439" s="79" t="s">
        <v>1222</v>
      </c>
      <c r="D439" s="79" t="s">
        <v>437</v>
      </c>
      <c r="E439" s="79">
        <v>68427709</v>
      </c>
      <c r="F439" s="93">
        <v>0</v>
      </c>
      <c r="G439" s="79" t="s">
        <v>113</v>
      </c>
      <c r="H439" s="79" t="s">
        <v>114</v>
      </c>
      <c r="I439" s="79" t="s">
        <v>204</v>
      </c>
      <c r="J439" s="79">
        <v>2021</v>
      </c>
      <c r="K439" s="79" t="s">
        <v>116</v>
      </c>
      <c r="L439" s="79" t="s">
        <v>1223</v>
      </c>
    </row>
    <row r="440" spans="1:12" hidden="1" x14ac:dyDescent="0.25">
      <c r="A440" s="82">
        <v>44000</v>
      </c>
      <c r="B440" s="79" t="s">
        <v>157</v>
      </c>
      <c r="C440" s="79" t="s">
        <v>1224</v>
      </c>
      <c r="D440" s="79" t="s">
        <v>157</v>
      </c>
      <c r="E440" s="79">
        <v>68427709</v>
      </c>
      <c r="F440" s="93">
        <v>0</v>
      </c>
      <c r="G440" s="79" t="s">
        <v>1068</v>
      </c>
      <c r="H440" s="79" t="s">
        <v>114</v>
      </c>
      <c r="I440" s="79" t="s">
        <v>133</v>
      </c>
      <c r="J440" s="79">
        <v>2021</v>
      </c>
      <c r="K440" s="79" t="s">
        <v>1225</v>
      </c>
      <c r="L440" s="79" t="s">
        <v>1226</v>
      </c>
    </row>
    <row r="441" spans="1:12" hidden="1" x14ac:dyDescent="0.25">
      <c r="A441" s="82">
        <v>44000</v>
      </c>
      <c r="B441" s="79" t="s">
        <v>1227</v>
      </c>
      <c r="C441" s="79" t="s">
        <v>1228</v>
      </c>
      <c r="D441" s="79" t="s">
        <v>1227</v>
      </c>
      <c r="E441" s="79">
        <v>68427709</v>
      </c>
      <c r="F441" s="93">
        <v>273840</v>
      </c>
      <c r="G441" s="79" t="s">
        <v>113</v>
      </c>
      <c r="H441" s="79" t="s">
        <v>114</v>
      </c>
      <c r="I441" s="79" t="s">
        <v>133</v>
      </c>
      <c r="J441" s="79">
        <v>2021</v>
      </c>
      <c r="K441" s="79" t="s">
        <v>1225</v>
      </c>
      <c r="L441" s="79" t="s">
        <v>1229</v>
      </c>
    </row>
    <row r="442" spans="1:12" hidden="1" x14ac:dyDescent="0.25">
      <c r="A442" s="82">
        <v>44000</v>
      </c>
      <c r="B442" s="79" t="s">
        <v>1230</v>
      </c>
      <c r="C442" s="79" t="s">
        <v>1231</v>
      </c>
      <c r="D442" s="79" t="s">
        <v>180</v>
      </c>
      <c r="E442" s="79">
        <v>68427709</v>
      </c>
      <c r="F442" s="93">
        <v>8100</v>
      </c>
      <c r="G442" s="79" t="s">
        <v>113</v>
      </c>
      <c r="H442" s="79" t="s">
        <v>114</v>
      </c>
      <c r="I442" s="79" t="s">
        <v>133</v>
      </c>
      <c r="J442" s="79">
        <v>2021</v>
      </c>
      <c r="K442" s="79" t="s">
        <v>704</v>
      </c>
      <c r="L442" s="79" t="s">
        <v>1232</v>
      </c>
    </row>
    <row r="443" spans="1:12" hidden="1" x14ac:dyDescent="0.25">
      <c r="A443" s="82">
        <v>44001</v>
      </c>
      <c r="B443" s="79" t="s">
        <v>1140</v>
      </c>
      <c r="C443" s="79" t="s">
        <v>1233</v>
      </c>
      <c r="D443" s="79" t="s">
        <v>1140</v>
      </c>
      <c r="E443" s="79">
        <v>68427709</v>
      </c>
      <c r="F443" s="93">
        <v>2000</v>
      </c>
      <c r="G443" s="79" t="s">
        <v>1068</v>
      </c>
      <c r="H443" s="79" t="s">
        <v>114</v>
      </c>
      <c r="I443" s="79" t="s">
        <v>133</v>
      </c>
      <c r="J443" s="79">
        <v>2021</v>
      </c>
      <c r="K443" s="79" t="s">
        <v>227</v>
      </c>
      <c r="L443" s="79" t="s">
        <v>1234</v>
      </c>
    </row>
    <row r="444" spans="1:12" hidden="1" x14ac:dyDescent="0.25">
      <c r="A444" s="82">
        <v>44006</v>
      </c>
      <c r="B444" s="79" t="s">
        <v>1235</v>
      </c>
      <c r="C444" s="79" t="s">
        <v>1236</v>
      </c>
      <c r="D444" s="79" t="s">
        <v>900</v>
      </c>
      <c r="E444" s="79">
        <v>68427709</v>
      </c>
      <c r="F444" s="93">
        <v>-32000</v>
      </c>
      <c r="G444" s="79" t="s">
        <v>113</v>
      </c>
      <c r="H444" s="79" t="s">
        <v>114</v>
      </c>
      <c r="I444" s="79" t="s">
        <v>204</v>
      </c>
      <c r="J444" s="79">
        <v>2021</v>
      </c>
      <c r="K444" s="79" t="s">
        <v>116</v>
      </c>
      <c r="L444" s="79" t="s">
        <v>1183</v>
      </c>
    </row>
    <row r="445" spans="1:12" hidden="1" x14ac:dyDescent="0.25">
      <c r="A445" s="82">
        <v>44006</v>
      </c>
      <c r="B445" s="79" t="s">
        <v>1237</v>
      </c>
      <c r="C445" s="79" t="s">
        <v>1238</v>
      </c>
      <c r="D445" s="79" t="s">
        <v>900</v>
      </c>
      <c r="E445" s="79">
        <v>68427709</v>
      </c>
      <c r="F445" s="93">
        <v>35000</v>
      </c>
      <c r="G445" s="79" t="s">
        <v>113</v>
      </c>
      <c r="H445" s="79" t="s">
        <v>114</v>
      </c>
      <c r="I445" s="79" t="s">
        <v>204</v>
      </c>
      <c r="J445" s="79">
        <v>2021</v>
      </c>
      <c r="K445" s="79" t="s">
        <v>116</v>
      </c>
      <c r="L445" s="79" t="s">
        <v>1239</v>
      </c>
    </row>
    <row r="446" spans="1:12" hidden="1" x14ac:dyDescent="0.25">
      <c r="A446" s="82">
        <v>44007</v>
      </c>
      <c r="B446" s="79" t="s">
        <v>1240</v>
      </c>
      <c r="C446" s="79" t="s">
        <v>1241</v>
      </c>
      <c r="D446" s="79" t="s">
        <v>352</v>
      </c>
      <c r="E446" s="79">
        <v>68427709</v>
      </c>
      <c r="F446" s="93">
        <v>70000</v>
      </c>
      <c r="G446" s="79" t="s">
        <v>1068</v>
      </c>
      <c r="H446" s="79" t="s">
        <v>114</v>
      </c>
      <c r="I446" s="79" t="s">
        <v>133</v>
      </c>
      <c r="J446" s="79">
        <v>2021</v>
      </c>
      <c r="K446" s="79" t="s">
        <v>775</v>
      </c>
      <c r="L446" s="79" t="s">
        <v>1242</v>
      </c>
    </row>
    <row r="447" spans="1:12" hidden="1" x14ac:dyDescent="0.25">
      <c r="A447" s="82">
        <v>44007</v>
      </c>
      <c r="B447" s="79" t="s">
        <v>1243</v>
      </c>
      <c r="C447" s="79" t="s">
        <v>1244</v>
      </c>
      <c r="D447" s="79" t="s">
        <v>352</v>
      </c>
      <c r="E447" s="79">
        <v>68427709</v>
      </c>
      <c r="F447" s="93">
        <v>100000</v>
      </c>
      <c r="G447" s="79" t="s">
        <v>1068</v>
      </c>
      <c r="H447" s="79" t="s">
        <v>114</v>
      </c>
      <c r="I447" s="79" t="s">
        <v>133</v>
      </c>
      <c r="J447" s="79">
        <v>2021</v>
      </c>
      <c r="K447" s="79" t="s">
        <v>775</v>
      </c>
      <c r="L447" s="79" t="s">
        <v>1245</v>
      </c>
    </row>
    <row r="448" spans="1:12" hidden="1" x14ac:dyDescent="0.25">
      <c r="A448" s="82">
        <v>44007</v>
      </c>
      <c r="B448" s="79" t="s">
        <v>1246</v>
      </c>
      <c r="C448" s="79" t="s">
        <v>1247</v>
      </c>
      <c r="D448" s="79" t="s">
        <v>352</v>
      </c>
      <c r="E448" s="79">
        <v>68427709</v>
      </c>
      <c r="F448" s="93">
        <v>50000</v>
      </c>
      <c r="G448" s="79" t="s">
        <v>1068</v>
      </c>
      <c r="H448" s="79" t="s">
        <v>1248</v>
      </c>
      <c r="I448" s="79" t="s">
        <v>133</v>
      </c>
      <c r="J448" s="79">
        <v>2021</v>
      </c>
      <c r="K448" s="79" t="s">
        <v>361</v>
      </c>
      <c r="L448" s="79" t="s">
        <v>1249</v>
      </c>
    </row>
    <row r="449" spans="1:12" ht="15" hidden="1" customHeight="1" x14ac:dyDescent="0.25">
      <c r="A449" s="82">
        <v>44011</v>
      </c>
      <c r="B449" s="79" t="s">
        <v>1250</v>
      </c>
      <c r="C449" s="79" t="s">
        <v>1251</v>
      </c>
      <c r="D449" s="79" t="s">
        <v>0</v>
      </c>
      <c r="E449" s="79">
        <v>68427709</v>
      </c>
      <c r="F449" s="93">
        <v>84000</v>
      </c>
      <c r="G449" s="79" t="s">
        <v>113</v>
      </c>
      <c r="H449" s="79" t="s">
        <v>114</v>
      </c>
      <c r="I449" s="79" t="s">
        <v>204</v>
      </c>
      <c r="J449" s="79">
        <v>2021</v>
      </c>
      <c r="K449" s="79" t="s">
        <v>361</v>
      </c>
      <c r="L449" s="79" t="s">
        <v>1252</v>
      </c>
    </row>
    <row r="450" spans="1:12" ht="15.75" hidden="1" customHeight="1" x14ac:dyDescent="0.25">
      <c r="A450" s="82">
        <v>44011</v>
      </c>
      <c r="B450" s="79" t="s">
        <v>1253</v>
      </c>
      <c r="C450" s="79" t="s">
        <v>1254</v>
      </c>
      <c r="D450" s="79" t="s">
        <v>463</v>
      </c>
      <c r="E450" s="79">
        <v>68427709</v>
      </c>
      <c r="F450" s="93">
        <v>-285000</v>
      </c>
      <c r="G450" s="79" t="s">
        <v>113</v>
      </c>
      <c r="H450" s="79" t="s">
        <v>114</v>
      </c>
      <c r="I450" s="79" t="s">
        <v>133</v>
      </c>
      <c r="J450" s="79">
        <v>2021</v>
      </c>
      <c r="K450" s="79" t="s">
        <v>361</v>
      </c>
      <c r="L450" s="79" t="s">
        <v>1255</v>
      </c>
    </row>
    <row r="451" spans="1:12" hidden="1" x14ac:dyDescent="0.25">
      <c r="A451" s="82">
        <v>44011</v>
      </c>
      <c r="B451" s="79" t="s">
        <v>1256</v>
      </c>
      <c r="C451" s="79" t="s">
        <v>1254</v>
      </c>
      <c r="D451" s="79" t="s">
        <v>463</v>
      </c>
      <c r="E451" s="79">
        <v>68427709</v>
      </c>
      <c r="F451" s="93">
        <v>-165000</v>
      </c>
      <c r="G451" s="79" t="s">
        <v>113</v>
      </c>
      <c r="H451" s="79" t="s">
        <v>114</v>
      </c>
      <c r="I451" s="79" t="s">
        <v>133</v>
      </c>
      <c r="J451" s="79">
        <v>2021</v>
      </c>
      <c r="K451" s="79" t="s">
        <v>361</v>
      </c>
      <c r="L451" s="79" t="s">
        <v>1255</v>
      </c>
    </row>
    <row r="452" spans="1:12" hidden="1" x14ac:dyDescent="0.25">
      <c r="A452" s="82">
        <v>44011</v>
      </c>
      <c r="B452" s="79" t="s">
        <v>1257</v>
      </c>
      <c r="C452" s="79" t="s">
        <v>1258</v>
      </c>
      <c r="D452" s="79" t="s">
        <v>1259</v>
      </c>
      <c r="E452" s="79">
        <v>68427709</v>
      </c>
      <c r="F452" s="93">
        <v>-150000</v>
      </c>
      <c r="G452" s="79" t="s">
        <v>113</v>
      </c>
      <c r="H452" s="79" t="s">
        <v>114</v>
      </c>
      <c r="I452" s="79" t="s">
        <v>133</v>
      </c>
      <c r="J452" s="79">
        <v>2021</v>
      </c>
      <c r="K452" s="79" t="s">
        <v>361</v>
      </c>
      <c r="L452" s="79" t="s">
        <v>1260</v>
      </c>
    </row>
    <row r="453" spans="1:12" hidden="1" x14ac:dyDescent="0.25">
      <c r="A453" s="82">
        <v>44011</v>
      </c>
      <c r="B453" s="79" t="s">
        <v>1261</v>
      </c>
      <c r="C453" s="79" t="s">
        <v>1262</v>
      </c>
      <c r="D453" s="79" t="s">
        <v>1263</v>
      </c>
      <c r="E453" s="79">
        <v>68427709</v>
      </c>
      <c r="F453" s="93">
        <v>100000</v>
      </c>
      <c r="G453" s="79" t="s">
        <v>1068</v>
      </c>
      <c r="H453" s="79" t="s">
        <v>1248</v>
      </c>
      <c r="I453" s="79" t="s">
        <v>133</v>
      </c>
      <c r="J453" s="79">
        <v>2021</v>
      </c>
      <c r="K453" s="79" t="s">
        <v>361</v>
      </c>
      <c r="L453" s="79" t="s">
        <v>801</v>
      </c>
    </row>
    <row r="454" spans="1:12" hidden="1" x14ac:dyDescent="0.25">
      <c r="A454" s="82">
        <v>44012</v>
      </c>
      <c r="B454" s="79" t="s">
        <v>1264</v>
      </c>
      <c r="C454" s="79" t="s">
        <v>1265</v>
      </c>
      <c r="D454" s="79" t="s">
        <v>437</v>
      </c>
      <c r="E454" s="79">
        <v>68427709</v>
      </c>
      <c r="F454" s="93">
        <v>14000</v>
      </c>
      <c r="G454" s="79" t="s">
        <v>113</v>
      </c>
      <c r="H454" s="79" t="s">
        <v>114</v>
      </c>
      <c r="I454" s="79" t="s">
        <v>204</v>
      </c>
      <c r="J454" s="79">
        <v>2021</v>
      </c>
      <c r="K454" s="79" t="s">
        <v>171</v>
      </c>
      <c r="L454" s="79"/>
    </row>
    <row r="455" spans="1:12" hidden="1" x14ac:dyDescent="0.25">
      <c r="A455" s="82">
        <v>44012</v>
      </c>
      <c r="B455" s="79" t="s">
        <v>1266</v>
      </c>
      <c r="C455" s="79" t="s">
        <v>1267</v>
      </c>
      <c r="D455" s="79" t="s">
        <v>1266</v>
      </c>
      <c r="E455" s="79">
        <v>68427709</v>
      </c>
      <c r="F455" s="93">
        <v>50000</v>
      </c>
      <c r="G455" s="79" t="s">
        <v>113</v>
      </c>
      <c r="H455" s="79" t="s">
        <v>114</v>
      </c>
      <c r="I455" s="79" t="s">
        <v>204</v>
      </c>
      <c r="J455" s="79">
        <v>2021</v>
      </c>
      <c r="K455" s="79" t="s">
        <v>555</v>
      </c>
      <c r="L455" s="79"/>
    </row>
    <row r="456" spans="1:12" hidden="1" x14ac:dyDescent="0.25">
      <c r="A456" s="82">
        <v>44012</v>
      </c>
      <c r="B456" s="79" t="s">
        <v>1268</v>
      </c>
      <c r="C456" s="79" t="s">
        <v>207</v>
      </c>
      <c r="D456" s="79" t="s">
        <v>1268</v>
      </c>
      <c r="E456" s="79">
        <v>68427709</v>
      </c>
      <c r="F456" s="93">
        <v>10000</v>
      </c>
      <c r="G456" s="79" t="s">
        <v>113</v>
      </c>
      <c r="H456" s="79" t="s">
        <v>114</v>
      </c>
      <c r="I456" s="79" t="s">
        <v>204</v>
      </c>
      <c r="J456" s="79">
        <v>2021</v>
      </c>
      <c r="K456" s="79" t="s">
        <v>555</v>
      </c>
      <c r="L456" s="79" t="s">
        <v>1269</v>
      </c>
    </row>
    <row r="457" spans="1:12" hidden="1" x14ac:dyDescent="0.25">
      <c r="A457" s="82">
        <v>44012</v>
      </c>
      <c r="B457" s="79" t="s">
        <v>1270</v>
      </c>
      <c r="C457" s="79" t="s">
        <v>1271</v>
      </c>
      <c r="D457" s="79" t="s">
        <v>1270</v>
      </c>
      <c r="E457" s="79">
        <v>68427709</v>
      </c>
      <c r="F457" s="93">
        <v>60000</v>
      </c>
      <c r="G457" s="79" t="s">
        <v>1068</v>
      </c>
      <c r="H457" s="79" t="s">
        <v>114</v>
      </c>
      <c r="I457" s="79" t="s">
        <v>204</v>
      </c>
      <c r="J457" s="79">
        <v>2021</v>
      </c>
      <c r="K457" s="79" t="s">
        <v>704</v>
      </c>
      <c r="L457" s="79" t="s">
        <v>1272</v>
      </c>
    </row>
    <row r="458" spans="1:12" hidden="1" x14ac:dyDescent="0.25">
      <c r="A458" s="82">
        <v>44012</v>
      </c>
      <c r="B458" s="79" t="s">
        <v>766</v>
      </c>
      <c r="C458" s="79" t="s">
        <v>1273</v>
      </c>
      <c r="D458" s="79" t="s">
        <v>766</v>
      </c>
      <c r="E458" s="79">
        <v>68427709</v>
      </c>
      <c r="F458" s="93">
        <v>-12000</v>
      </c>
      <c r="G458" s="79" t="s">
        <v>113</v>
      </c>
      <c r="H458" s="79" t="s">
        <v>114</v>
      </c>
      <c r="I458" s="79" t="s">
        <v>204</v>
      </c>
      <c r="J458" s="79">
        <v>2021</v>
      </c>
      <c r="K458" s="79" t="s">
        <v>775</v>
      </c>
      <c r="L458" s="79"/>
    </row>
    <row r="459" spans="1:12" hidden="1" x14ac:dyDescent="0.25">
      <c r="A459" s="82">
        <v>44012</v>
      </c>
      <c r="B459" s="79" t="s">
        <v>1274</v>
      </c>
      <c r="C459" s="79" t="s">
        <v>1275</v>
      </c>
      <c r="D459" s="79" t="s">
        <v>0</v>
      </c>
      <c r="E459" s="79">
        <v>68427709</v>
      </c>
      <c r="F459" s="93">
        <v>70000</v>
      </c>
      <c r="G459" s="79" t="s">
        <v>113</v>
      </c>
      <c r="H459" s="79" t="s">
        <v>114</v>
      </c>
      <c r="I459" s="79" t="s">
        <v>204</v>
      </c>
      <c r="J459" s="79">
        <v>2021</v>
      </c>
      <c r="K459" s="79" t="s">
        <v>542</v>
      </c>
      <c r="L459" s="79" t="s">
        <v>1276</v>
      </c>
    </row>
    <row r="460" spans="1:12" hidden="1" x14ac:dyDescent="0.25">
      <c r="A460" s="82">
        <v>44012</v>
      </c>
      <c r="B460" s="79" t="s">
        <v>1277</v>
      </c>
      <c r="C460" s="172" t="s">
        <v>1278</v>
      </c>
      <c r="D460" s="79" t="s">
        <v>900</v>
      </c>
      <c r="E460" s="79">
        <v>68427709</v>
      </c>
      <c r="F460" s="93">
        <v>-81000</v>
      </c>
      <c r="G460" s="79" t="s">
        <v>113</v>
      </c>
      <c r="H460" s="79" t="s">
        <v>114</v>
      </c>
      <c r="I460" s="79" t="s">
        <v>204</v>
      </c>
      <c r="J460" s="79">
        <v>2021</v>
      </c>
      <c r="K460" s="79" t="s">
        <v>1279</v>
      </c>
      <c r="L460" s="79" t="s">
        <v>1280</v>
      </c>
    </row>
    <row r="461" spans="1:12" hidden="1" x14ac:dyDescent="0.25">
      <c r="A461" s="82">
        <v>44013</v>
      </c>
      <c r="B461" s="79" t="s">
        <v>1281</v>
      </c>
      <c r="C461" s="79" t="s">
        <v>1282</v>
      </c>
      <c r="D461" s="79" t="s">
        <v>0</v>
      </c>
      <c r="E461" s="79">
        <v>68427709</v>
      </c>
      <c r="F461" s="93">
        <v>45000</v>
      </c>
      <c r="G461" s="79" t="s">
        <v>113</v>
      </c>
      <c r="H461" s="79" t="s">
        <v>114</v>
      </c>
      <c r="I461" s="79" t="s">
        <v>204</v>
      </c>
      <c r="J461" s="79">
        <v>2021</v>
      </c>
      <c r="K461" s="79" t="s">
        <v>1283</v>
      </c>
      <c r="L461" s="79" t="s">
        <v>1284</v>
      </c>
    </row>
    <row r="462" spans="1:12" hidden="1" x14ac:dyDescent="0.25">
      <c r="A462" s="82">
        <v>44015</v>
      </c>
      <c r="B462" s="79" t="s">
        <v>1285</v>
      </c>
      <c r="C462" s="79" t="s">
        <v>1286</v>
      </c>
      <c r="D462" s="79" t="s">
        <v>1285</v>
      </c>
      <c r="E462" s="79">
        <v>68427709</v>
      </c>
      <c r="F462" s="93">
        <v>30000</v>
      </c>
      <c r="G462" s="79" t="s">
        <v>113</v>
      </c>
      <c r="H462" s="79" t="s">
        <v>114</v>
      </c>
      <c r="I462" s="79" t="s">
        <v>204</v>
      </c>
      <c r="J462" s="79">
        <v>2021</v>
      </c>
      <c r="K462" s="79" t="s">
        <v>704</v>
      </c>
      <c r="L462" s="79"/>
    </row>
    <row r="463" spans="1:12" hidden="1" x14ac:dyDescent="0.25">
      <c r="A463" s="82">
        <v>44015</v>
      </c>
      <c r="B463" s="79" t="s">
        <v>1287</v>
      </c>
      <c r="C463" s="79" t="s">
        <v>1288</v>
      </c>
      <c r="D463" s="79" t="s">
        <v>437</v>
      </c>
      <c r="E463" s="79">
        <v>68427709</v>
      </c>
      <c r="F463" s="93">
        <v>-2800</v>
      </c>
      <c r="G463" s="79" t="s">
        <v>113</v>
      </c>
      <c r="H463" s="79" t="s">
        <v>114</v>
      </c>
      <c r="I463" s="79" t="s">
        <v>204</v>
      </c>
      <c r="J463" s="79">
        <v>2021</v>
      </c>
      <c r="K463" s="79" t="s">
        <v>116</v>
      </c>
      <c r="L463" s="79" t="s">
        <v>1289</v>
      </c>
    </row>
    <row r="464" spans="1:12" hidden="1" x14ac:dyDescent="0.25">
      <c r="A464" s="82">
        <v>44019</v>
      </c>
      <c r="B464" s="79" t="s">
        <v>1290</v>
      </c>
      <c r="C464" s="79" t="s">
        <v>1291</v>
      </c>
      <c r="D464" s="79" t="s">
        <v>1292</v>
      </c>
      <c r="E464" s="79">
        <v>68427709</v>
      </c>
      <c r="F464" s="93">
        <v>34000</v>
      </c>
      <c r="G464" s="79" t="s">
        <v>113</v>
      </c>
      <c r="H464" s="79" t="s">
        <v>114</v>
      </c>
      <c r="I464" s="79" t="s">
        <v>204</v>
      </c>
      <c r="J464" s="79">
        <v>2021</v>
      </c>
      <c r="K464" s="79" t="s">
        <v>1293</v>
      </c>
      <c r="L464" s="79" t="s">
        <v>1294</v>
      </c>
    </row>
    <row r="465" spans="1:12" hidden="1" x14ac:dyDescent="0.25">
      <c r="A465" s="82">
        <v>44019</v>
      </c>
      <c r="B465" s="79" t="s">
        <v>1295</v>
      </c>
      <c r="C465" s="79"/>
      <c r="D465" s="79" t="s">
        <v>437</v>
      </c>
      <c r="E465" s="79">
        <v>68427709</v>
      </c>
      <c r="F465" s="93">
        <v>10000</v>
      </c>
      <c r="G465" s="79" t="s">
        <v>1068</v>
      </c>
      <c r="H465" s="79" t="s">
        <v>114</v>
      </c>
      <c r="I465" s="79" t="s">
        <v>133</v>
      </c>
      <c r="J465" s="79">
        <v>2021</v>
      </c>
      <c r="K465" s="79" t="s">
        <v>279</v>
      </c>
      <c r="L465" s="79" t="s">
        <v>1296</v>
      </c>
    </row>
    <row r="466" spans="1:12" hidden="1" x14ac:dyDescent="0.25">
      <c r="A466" s="82">
        <v>44019</v>
      </c>
      <c r="B466" s="79" t="s">
        <v>1297</v>
      </c>
      <c r="C466" s="79" t="s">
        <v>1298</v>
      </c>
      <c r="D466" s="79" t="s">
        <v>437</v>
      </c>
      <c r="E466" s="79">
        <v>68427709</v>
      </c>
      <c r="F466" s="93">
        <v>-45000</v>
      </c>
      <c r="G466" s="79" t="s">
        <v>113</v>
      </c>
      <c r="H466" s="79" t="s">
        <v>114</v>
      </c>
      <c r="I466" s="79" t="s">
        <v>204</v>
      </c>
      <c r="J466" s="79">
        <v>2021</v>
      </c>
      <c r="K466" s="79" t="s">
        <v>1293</v>
      </c>
      <c r="L466" s="79"/>
    </row>
    <row r="467" spans="1:12" hidden="1" x14ac:dyDescent="0.25">
      <c r="A467" s="82">
        <v>44019</v>
      </c>
      <c r="B467" s="79" t="s">
        <v>1299</v>
      </c>
      <c r="C467" s="79" t="s">
        <v>1300</v>
      </c>
      <c r="D467" s="79" t="s">
        <v>437</v>
      </c>
      <c r="E467" s="79">
        <v>68427709</v>
      </c>
      <c r="F467" s="93">
        <v>30000</v>
      </c>
      <c r="G467" s="79" t="s">
        <v>113</v>
      </c>
      <c r="H467" s="79" t="s">
        <v>114</v>
      </c>
      <c r="I467" s="79" t="s">
        <v>204</v>
      </c>
      <c r="J467" s="79">
        <v>2021</v>
      </c>
      <c r="K467" s="79" t="s">
        <v>1293</v>
      </c>
      <c r="L467" s="79"/>
    </row>
    <row r="468" spans="1:12" hidden="1" x14ac:dyDescent="0.25">
      <c r="A468" s="82">
        <v>44020</v>
      </c>
      <c r="B468" s="95" t="s">
        <v>1301</v>
      </c>
      <c r="C468" t="s">
        <v>1302</v>
      </c>
      <c r="D468" s="79"/>
      <c r="E468" s="79">
        <v>68427709</v>
      </c>
      <c r="F468" s="93">
        <v>0</v>
      </c>
      <c r="G468" s="79" t="s">
        <v>113</v>
      </c>
      <c r="H468" s="79" t="s">
        <v>114</v>
      </c>
      <c r="I468" s="79" t="s">
        <v>133</v>
      </c>
      <c r="J468" s="79">
        <v>2021</v>
      </c>
      <c r="K468" s="79" t="s">
        <v>309</v>
      </c>
      <c r="L468" s="79" t="s">
        <v>1303</v>
      </c>
    </row>
    <row r="469" spans="1:12" hidden="1" x14ac:dyDescent="0.25">
      <c r="A469" s="82">
        <v>44020</v>
      </c>
      <c r="B469" s="79" t="s">
        <v>1304</v>
      </c>
      <c r="C469" s="79" t="s">
        <v>562</v>
      </c>
      <c r="D469" s="79" t="s">
        <v>1304</v>
      </c>
      <c r="E469" s="79">
        <v>68427709</v>
      </c>
      <c r="F469" s="93">
        <v>1000</v>
      </c>
      <c r="G469" s="79" t="s">
        <v>113</v>
      </c>
      <c r="H469" s="79" t="s">
        <v>114</v>
      </c>
      <c r="I469" s="79" t="s">
        <v>204</v>
      </c>
      <c r="J469" s="79">
        <v>2021</v>
      </c>
      <c r="K469" s="79" t="s">
        <v>309</v>
      </c>
      <c r="L469" s="79" t="s">
        <v>1305</v>
      </c>
    </row>
    <row r="470" spans="1:12" hidden="1" x14ac:dyDescent="0.25">
      <c r="A470" s="82">
        <v>44020</v>
      </c>
      <c r="B470" s="79" t="s">
        <v>250</v>
      </c>
      <c r="C470" s="79"/>
      <c r="D470" s="79"/>
      <c r="E470" s="79">
        <v>68427709</v>
      </c>
      <c r="F470" s="93">
        <v>0</v>
      </c>
      <c r="G470" s="79" t="s">
        <v>1068</v>
      </c>
      <c r="H470" s="79" t="s">
        <v>114</v>
      </c>
      <c r="I470" s="79" t="s">
        <v>204</v>
      </c>
      <c r="J470" s="79">
        <v>2021</v>
      </c>
      <c r="K470" s="79" t="s">
        <v>309</v>
      </c>
      <c r="L470" s="79"/>
    </row>
    <row r="471" spans="1:12" hidden="1" x14ac:dyDescent="0.25">
      <c r="A471" s="82">
        <v>44020</v>
      </c>
      <c r="B471" s="79" t="s">
        <v>582</v>
      </c>
      <c r="C471" s="79"/>
      <c r="D471" s="79" t="s">
        <v>0</v>
      </c>
      <c r="E471" s="79">
        <v>68427709</v>
      </c>
      <c r="F471" s="93">
        <v>25000</v>
      </c>
      <c r="G471" s="79" t="s">
        <v>113</v>
      </c>
      <c r="H471" s="79" t="s">
        <v>114</v>
      </c>
      <c r="I471" s="79" t="s">
        <v>204</v>
      </c>
      <c r="J471" s="79">
        <v>2021</v>
      </c>
      <c r="K471" s="79" t="s">
        <v>309</v>
      </c>
      <c r="L471" s="79" t="s">
        <v>1306</v>
      </c>
    </row>
    <row r="472" spans="1:12" hidden="1" x14ac:dyDescent="0.25">
      <c r="A472" s="82">
        <v>44020</v>
      </c>
      <c r="B472" t="s">
        <v>586</v>
      </c>
      <c r="C472" s="79" t="s">
        <v>1307</v>
      </c>
      <c r="D472" s="79"/>
      <c r="E472" s="79">
        <v>68427709</v>
      </c>
      <c r="F472" s="93">
        <v>33000</v>
      </c>
      <c r="G472" s="79" t="s">
        <v>113</v>
      </c>
      <c r="H472" s="79" t="s">
        <v>114</v>
      </c>
      <c r="I472" s="79" t="s">
        <v>133</v>
      </c>
      <c r="J472" s="79">
        <v>2021</v>
      </c>
      <c r="K472" s="79" t="s">
        <v>309</v>
      </c>
      <c r="L472" s="79" t="s">
        <v>1308</v>
      </c>
    </row>
    <row r="473" spans="1:12" hidden="1" x14ac:dyDescent="0.25">
      <c r="A473" s="82">
        <v>44020</v>
      </c>
      <c r="B473" s="79" t="s">
        <v>1309</v>
      </c>
      <c r="C473" s="79" t="s">
        <v>1310</v>
      </c>
      <c r="D473" s="79" t="s">
        <v>0</v>
      </c>
      <c r="E473" s="79">
        <v>68427709</v>
      </c>
      <c r="F473" s="93">
        <v>90000</v>
      </c>
      <c r="G473" s="79" t="s">
        <v>113</v>
      </c>
      <c r="H473" s="79" t="s">
        <v>114</v>
      </c>
      <c r="I473" s="79" t="s">
        <v>133</v>
      </c>
      <c r="J473" s="79">
        <v>2021</v>
      </c>
      <c r="K473" s="79" t="s">
        <v>309</v>
      </c>
      <c r="L473" s="79" t="s">
        <v>1311</v>
      </c>
    </row>
    <row r="474" spans="1:12" hidden="1" x14ac:dyDescent="0.25">
      <c r="A474" s="82">
        <v>44025</v>
      </c>
      <c r="B474" s="79" t="s">
        <v>1312</v>
      </c>
      <c r="C474" t="s">
        <v>1313</v>
      </c>
      <c r="D474" s="79" t="s">
        <v>1312</v>
      </c>
      <c r="E474" s="79">
        <v>68427709</v>
      </c>
      <c r="F474" s="173">
        <v>34600</v>
      </c>
      <c r="G474" s="79" t="s">
        <v>113</v>
      </c>
      <c r="H474" s="79" t="s">
        <v>114</v>
      </c>
      <c r="I474" s="79" t="s">
        <v>204</v>
      </c>
      <c r="J474" s="79">
        <v>2021</v>
      </c>
      <c r="K474" s="79" t="s">
        <v>279</v>
      </c>
      <c r="L474" s="79"/>
    </row>
    <row r="475" spans="1:12" ht="15" hidden="1" customHeight="1" x14ac:dyDescent="0.25">
      <c r="A475" s="83">
        <v>44025</v>
      </c>
      <c r="B475" s="84" t="s">
        <v>1312</v>
      </c>
      <c r="C475" s="84" t="s">
        <v>1314</v>
      </c>
      <c r="D475" s="84" t="s">
        <v>1312</v>
      </c>
      <c r="E475" s="84">
        <v>68427709</v>
      </c>
      <c r="F475" s="183">
        <v>37000</v>
      </c>
      <c r="G475" s="84" t="s">
        <v>113</v>
      </c>
      <c r="H475" s="84" t="s">
        <v>114</v>
      </c>
      <c r="I475" s="84" t="s">
        <v>133</v>
      </c>
      <c r="J475" s="84">
        <v>2021</v>
      </c>
      <c r="K475" s="84" t="s">
        <v>279</v>
      </c>
      <c r="L475" s="84"/>
    </row>
    <row r="476" spans="1:12" hidden="1" x14ac:dyDescent="0.25">
      <c r="A476" s="82">
        <v>44025</v>
      </c>
      <c r="B476" s="79" t="s">
        <v>1315</v>
      </c>
      <c r="C476" s="79" t="s">
        <v>1316</v>
      </c>
      <c r="D476" s="79" t="s">
        <v>1317</v>
      </c>
      <c r="E476" s="79">
        <v>68427719</v>
      </c>
      <c r="F476" s="93">
        <v>-500000</v>
      </c>
      <c r="G476" s="79" t="s">
        <v>113</v>
      </c>
      <c r="H476" s="79" t="s">
        <v>114</v>
      </c>
      <c r="I476" s="79" t="s">
        <v>133</v>
      </c>
      <c r="J476" s="79">
        <v>2021</v>
      </c>
      <c r="K476" s="79" t="s">
        <v>542</v>
      </c>
      <c r="L476" s="79" t="s">
        <v>1318</v>
      </c>
    </row>
    <row r="477" spans="1:12" hidden="1" x14ac:dyDescent="0.25">
      <c r="A477" s="82">
        <v>44025</v>
      </c>
      <c r="B477" s="79" t="s">
        <v>1319</v>
      </c>
      <c r="C477" s="79" t="s">
        <v>1320</v>
      </c>
      <c r="D477" s="79" t="s">
        <v>1319</v>
      </c>
      <c r="E477" s="79">
        <v>68427709</v>
      </c>
      <c r="F477" s="93">
        <v>-82000</v>
      </c>
      <c r="G477" s="79" t="s">
        <v>113</v>
      </c>
      <c r="H477" s="79" t="s">
        <v>114</v>
      </c>
      <c r="I477" s="79" t="s">
        <v>204</v>
      </c>
      <c r="J477" s="79">
        <v>2021</v>
      </c>
      <c r="K477" s="79" t="s">
        <v>904</v>
      </c>
      <c r="L477" s="79"/>
    </row>
    <row r="478" spans="1:12" hidden="1" x14ac:dyDescent="0.25">
      <c r="A478" s="82">
        <v>44025</v>
      </c>
      <c r="B478" s="79" t="s">
        <v>1321</v>
      </c>
      <c r="C478" s="79" t="s">
        <v>1322</v>
      </c>
      <c r="D478" s="79" t="s">
        <v>0</v>
      </c>
      <c r="E478" s="79">
        <v>68427709</v>
      </c>
      <c r="F478" s="173">
        <v>60000</v>
      </c>
      <c r="G478" s="79" t="s">
        <v>113</v>
      </c>
      <c r="H478" s="79" t="s">
        <v>114</v>
      </c>
      <c r="I478" s="79" t="s">
        <v>133</v>
      </c>
      <c r="J478" s="79">
        <v>2021</v>
      </c>
      <c r="K478" s="79" t="s">
        <v>904</v>
      </c>
      <c r="L478" s="79" t="s">
        <v>1272</v>
      </c>
    </row>
    <row r="479" spans="1:12" hidden="1" x14ac:dyDescent="0.25">
      <c r="A479" s="82">
        <v>44025</v>
      </c>
      <c r="B479" s="79" t="s">
        <v>1323</v>
      </c>
      <c r="C479" s="79" t="s">
        <v>1324</v>
      </c>
      <c r="D479" s="79"/>
      <c r="E479" s="79">
        <v>68427709</v>
      </c>
      <c r="F479" s="173">
        <v>50000</v>
      </c>
      <c r="G479" s="79" t="s">
        <v>113</v>
      </c>
      <c r="H479" s="79" t="s">
        <v>114</v>
      </c>
      <c r="I479" s="79" t="s">
        <v>133</v>
      </c>
      <c r="J479" s="79">
        <v>2021</v>
      </c>
      <c r="K479" s="79" t="s">
        <v>904</v>
      </c>
      <c r="L479" t="s">
        <v>1325</v>
      </c>
    </row>
    <row r="480" spans="1:12" hidden="1" x14ac:dyDescent="0.25">
      <c r="A480" s="82">
        <v>44025</v>
      </c>
      <c r="B480" s="79" t="s">
        <v>1326</v>
      </c>
      <c r="C480" s="79" t="s">
        <v>1327</v>
      </c>
      <c r="D480" s="79"/>
      <c r="E480" s="79">
        <v>68427709</v>
      </c>
      <c r="F480" s="93">
        <v>39000</v>
      </c>
      <c r="G480" s="79" t="s">
        <v>113</v>
      </c>
      <c r="H480" s="79" t="s">
        <v>114</v>
      </c>
      <c r="I480" s="79" t="s">
        <v>435</v>
      </c>
      <c r="J480" s="79">
        <v>2021</v>
      </c>
      <c r="K480" s="79" t="s">
        <v>238</v>
      </c>
      <c r="L480" t="s">
        <v>1328</v>
      </c>
    </row>
    <row r="481" spans="1:12" hidden="1" x14ac:dyDescent="0.25">
      <c r="A481" s="82">
        <v>44025</v>
      </c>
      <c r="B481" t="s">
        <v>1329</v>
      </c>
      <c r="C481" s="79" t="s">
        <v>1330</v>
      </c>
      <c r="D481" s="79"/>
      <c r="E481" s="79">
        <v>68427709</v>
      </c>
      <c r="F481" s="173">
        <v>16000</v>
      </c>
      <c r="G481" s="79" t="s">
        <v>113</v>
      </c>
      <c r="H481" s="79" t="s">
        <v>114</v>
      </c>
      <c r="I481" s="79" t="s">
        <v>133</v>
      </c>
      <c r="J481" s="79">
        <v>2021</v>
      </c>
      <c r="K481" s="79" t="s">
        <v>238</v>
      </c>
      <c r="L481" t="s">
        <v>1331</v>
      </c>
    </row>
    <row r="482" spans="1:12" hidden="1" x14ac:dyDescent="0.25">
      <c r="A482" s="82">
        <v>44025</v>
      </c>
      <c r="B482" s="79" t="s">
        <v>1332</v>
      </c>
      <c r="C482" s="79" t="s">
        <v>1333</v>
      </c>
      <c r="D482" s="79"/>
      <c r="E482" s="79">
        <v>68427709</v>
      </c>
      <c r="F482" s="173">
        <v>30000</v>
      </c>
      <c r="G482" s="79" t="s">
        <v>113</v>
      </c>
      <c r="H482" s="79" t="s">
        <v>114</v>
      </c>
      <c r="I482" s="79" t="s">
        <v>133</v>
      </c>
      <c r="J482" s="79">
        <v>2021</v>
      </c>
      <c r="K482" s="79" t="s">
        <v>238</v>
      </c>
      <c r="L482" t="s">
        <v>1334</v>
      </c>
    </row>
    <row r="483" spans="1:12" hidden="1" x14ac:dyDescent="0.25">
      <c r="A483" s="82">
        <v>44025</v>
      </c>
      <c r="B483" s="79" t="s">
        <v>1335</v>
      </c>
      <c r="C483" s="79" t="s">
        <v>1336</v>
      </c>
      <c r="D483" s="79"/>
      <c r="E483" s="79">
        <v>68427709</v>
      </c>
      <c r="F483" s="173">
        <v>50000</v>
      </c>
      <c r="G483" s="79" t="s">
        <v>1068</v>
      </c>
      <c r="H483" s="79" t="s">
        <v>114</v>
      </c>
      <c r="I483" s="79" t="s">
        <v>435</v>
      </c>
      <c r="J483" s="79">
        <v>2021</v>
      </c>
      <c r="K483" s="79" t="s">
        <v>1079</v>
      </c>
      <c r="L483" s="79" t="s">
        <v>1337</v>
      </c>
    </row>
    <row r="484" spans="1:12" hidden="1" x14ac:dyDescent="0.25">
      <c r="A484" s="82">
        <v>44025</v>
      </c>
      <c r="B484" s="79" t="s">
        <v>1219</v>
      </c>
      <c r="C484" s="79"/>
      <c r="D484" s="79" t="s">
        <v>40</v>
      </c>
      <c r="E484" s="79">
        <v>68427709</v>
      </c>
      <c r="F484" s="93">
        <v>-279000</v>
      </c>
      <c r="G484" s="79" t="s">
        <v>113</v>
      </c>
      <c r="H484" s="79" t="s">
        <v>114</v>
      </c>
      <c r="I484" s="79" t="s">
        <v>1121</v>
      </c>
      <c r="J484" s="79">
        <v>2021</v>
      </c>
      <c r="K484" s="79" t="s">
        <v>1203</v>
      </c>
      <c r="L484" s="79" t="s">
        <v>1338</v>
      </c>
    </row>
    <row r="485" spans="1:12" hidden="1" x14ac:dyDescent="0.25">
      <c r="A485" s="82">
        <v>44025</v>
      </c>
      <c r="B485" t="s">
        <v>590</v>
      </c>
      <c r="C485" s="79" t="s">
        <v>1339</v>
      </c>
      <c r="D485" s="79" t="s">
        <v>558</v>
      </c>
      <c r="E485" s="79">
        <v>68427709</v>
      </c>
      <c r="F485" s="93">
        <v>344000</v>
      </c>
      <c r="G485" s="79" t="s">
        <v>113</v>
      </c>
      <c r="H485" s="79" t="s">
        <v>114</v>
      </c>
      <c r="I485" s="79" t="s">
        <v>435</v>
      </c>
      <c r="J485" s="79">
        <v>2021</v>
      </c>
      <c r="K485" s="79" t="s">
        <v>1203</v>
      </c>
      <c r="L485" s="79" t="s">
        <v>1340</v>
      </c>
    </row>
    <row r="486" spans="1:12" hidden="1" x14ac:dyDescent="0.25">
      <c r="A486" s="82">
        <v>44025</v>
      </c>
      <c r="B486" s="79" t="s">
        <v>586</v>
      </c>
      <c r="C486" s="79" t="s">
        <v>1341</v>
      </c>
      <c r="D486" s="79" t="s">
        <v>558</v>
      </c>
      <c r="E486" s="79">
        <v>68427709</v>
      </c>
      <c r="F486" s="93">
        <v>35000</v>
      </c>
      <c r="G486" s="79" t="s">
        <v>1068</v>
      </c>
      <c r="H486" s="79" t="s">
        <v>114</v>
      </c>
      <c r="I486" s="79" t="s">
        <v>133</v>
      </c>
      <c r="J486" s="79">
        <v>2021</v>
      </c>
      <c r="K486" s="79" t="s">
        <v>1203</v>
      </c>
      <c r="L486" s="79" t="s">
        <v>1342</v>
      </c>
    </row>
    <row r="487" spans="1:12" hidden="1" x14ac:dyDescent="0.25">
      <c r="A487" s="82">
        <v>44025</v>
      </c>
      <c r="B487" s="79" t="s">
        <v>1343</v>
      </c>
      <c r="C487" s="79" t="s">
        <v>1344</v>
      </c>
      <c r="D487" s="79" t="s">
        <v>0</v>
      </c>
      <c r="E487" s="79">
        <v>68427709</v>
      </c>
      <c r="F487" s="93">
        <v>-847000</v>
      </c>
      <c r="G487" s="79" t="s">
        <v>113</v>
      </c>
      <c r="H487" s="79" t="s">
        <v>114</v>
      </c>
      <c r="I487" s="79"/>
      <c r="J487" s="79">
        <v>2021</v>
      </c>
      <c r="K487" s="79" t="s">
        <v>1203</v>
      </c>
      <c r="L487" s="79" t="s">
        <v>1345</v>
      </c>
    </row>
    <row r="488" spans="1:12" hidden="1" x14ac:dyDescent="0.25">
      <c r="A488" s="82">
        <v>44025</v>
      </c>
      <c r="B488" s="79" t="s">
        <v>1346</v>
      </c>
      <c r="C488" s="79" t="s">
        <v>1347</v>
      </c>
      <c r="D488" s="79" t="s">
        <v>1120</v>
      </c>
      <c r="E488" s="79">
        <v>68427709</v>
      </c>
      <c r="F488" s="174">
        <v>2990000</v>
      </c>
      <c r="G488" s="79" t="s">
        <v>113</v>
      </c>
      <c r="H488" s="79" t="s">
        <v>114</v>
      </c>
      <c r="I488" s="79" t="s">
        <v>1121</v>
      </c>
      <c r="J488" s="79">
        <v>2021</v>
      </c>
      <c r="K488" s="79" t="s">
        <v>1203</v>
      </c>
      <c r="L488" s="79" t="s">
        <v>1347</v>
      </c>
    </row>
    <row r="489" spans="1:12" hidden="1" x14ac:dyDescent="0.25">
      <c r="A489" s="82">
        <v>44025</v>
      </c>
      <c r="B489" s="79" t="s">
        <v>1348</v>
      </c>
      <c r="C489" s="79" t="s">
        <v>1347</v>
      </c>
      <c r="D489" s="79" t="s">
        <v>572</v>
      </c>
      <c r="E489" s="79">
        <v>68427709</v>
      </c>
      <c r="F489" s="93">
        <v>-880000</v>
      </c>
      <c r="G489" s="79" t="s">
        <v>113</v>
      </c>
      <c r="H489" s="79" t="s">
        <v>114</v>
      </c>
      <c r="I489" s="79" t="s">
        <v>1121</v>
      </c>
      <c r="J489" s="79">
        <v>2021</v>
      </c>
      <c r="K489" s="79" t="s">
        <v>1203</v>
      </c>
      <c r="L489" s="79"/>
    </row>
    <row r="490" spans="1:12" hidden="1" x14ac:dyDescent="0.25">
      <c r="A490" s="82">
        <v>44026</v>
      </c>
      <c r="B490" s="79" t="s">
        <v>1349</v>
      </c>
      <c r="C490" s="79" t="s">
        <v>1350</v>
      </c>
      <c r="D490" s="79" t="s">
        <v>572</v>
      </c>
      <c r="E490" s="79">
        <v>68427709</v>
      </c>
      <c r="F490" s="93">
        <v>-1082000</v>
      </c>
      <c r="G490" s="79" t="s">
        <v>113</v>
      </c>
      <c r="H490" s="79" t="s">
        <v>114</v>
      </c>
      <c r="I490" s="79" t="s">
        <v>1121</v>
      </c>
      <c r="J490" s="79">
        <v>2021</v>
      </c>
      <c r="K490" s="79" t="s">
        <v>1203</v>
      </c>
      <c r="L490" s="79"/>
    </row>
    <row r="491" spans="1:12" hidden="1" x14ac:dyDescent="0.25">
      <c r="A491" s="82">
        <v>44026</v>
      </c>
      <c r="B491" s="79" t="s">
        <v>575</v>
      </c>
      <c r="C491" s="79" t="s">
        <v>1351</v>
      </c>
      <c r="D491" s="79" t="s">
        <v>0</v>
      </c>
      <c r="E491" s="79">
        <v>68427709</v>
      </c>
      <c r="F491" s="174">
        <v>-1800000</v>
      </c>
      <c r="G491" s="79" t="s">
        <v>113</v>
      </c>
      <c r="H491" s="79" t="s">
        <v>114</v>
      </c>
      <c r="I491" s="79" t="s">
        <v>1121</v>
      </c>
      <c r="J491" s="79">
        <v>2021</v>
      </c>
      <c r="K491" s="79" t="s">
        <v>1203</v>
      </c>
      <c r="L491" s="79"/>
    </row>
    <row r="492" spans="1:12" hidden="1" x14ac:dyDescent="0.25">
      <c r="A492" s="82">
        <v>44026</v>
      </c>
      <c r="B492" s="79" t="s">
        <v>1352</v>
      </c>
      <c r="C492" s="79" t="s">
        <v>1353</v>
      </c>
      <c r="D492" s="79" t="s">
        <v>0</v>
      </c>
      <c r="E492" s="79">
        <v>68427709</v>
      </c>
      <c r="F492" s="93">
        <v>-90000</v>
      </c>
      <c r="G492" s="79" t="s">
        <v>113</v>
      </c>
      <c r="H492" s="79" t="s">
        <v>114</v>
      </c>
      <c r="I492" s="79" t="s">
        <v>1121</v>
      </c>
      <c r="J492" s="79">
        <v>2021</v>
      </c>
      <c r="K492" s="79" t="s">
        <v>1203</v>
      </c>
      <c r="L492" s="79" t="s">
        <v>1354</v>
      </c>
    </row>
    <row r="493" spans="1:12" hidden="1" x14ac:dyDescent="0.25">
      <c r="A493" s="82">
        <v>44026</v>
      </c>
      <c r="B493" s="79" t="s">
        <v>1355</v>
      </c>
      <c r="C493" s="79" t="s">
        <v>1356</v>
      </c>
      <c r="D493" s="79" t="s">
        <v>603</v>
      </c>
      <c r="E493" s="79">
        <v>68427709</v>
      </c>
      <c r="F493" s="93">
        <v>-24960</v>
      </c>
      <c r="G493" s="79" t="s">
        <v>113</v>
      </c>
      <c r="H493" s="79" t="s">
        <v>114</v>
      </c>
      <c r="I493" s="79" t="s">
        <v>1121</v>
      </c>
      <c r="J493" s="79">
        <v>2021</v>
      </c>
      <c r="K493" s="79" t="s">
        <v>1203</v>
      </c>
      <c r="L493" s="79"/>
    </row>
    <row r="494" spans="1:12" hidden="1" x14ac:dyDescent="0.25">
      <c r="A494" s="82">
        <v>44026</v>
      </c>
      <c r="B494" s="79" t="s">
        <v>1357</v>
      </c>
      <c r="C494" s="79" t="s">
        <v>1358</v>
      </c>
      <c r="D494" s="79" t="s">
        <v>572</v>
      </c>
      <c r="E494" s="79">
        <v>68427709</v>
      </c>
      <c r="F494" s="93">
        <v>-10000</v>
      </c>
      <c r="G494" s="79" t="s">
        <v>113</v>
      </c>
      <c r="H494" s="79" t="s">
        <v>114</v>
      </c>
      <c r="I494" s="79" t="s">
        <v>1121</v>
      </c>
      <c r="J494" s="79">
        <v>2021</v>
      </c>
      <c r="K494" s="79" t="s">
        <v>1203</v>
      </c>
      <c r="L494" s="79"/>
    </row>
    <row r="495" spans="1:12" hidden="1" x14ac:dyDescent="0.25">
      <c r="A495" s="82">
        <v>44026</v>
      </c>
      <c r="B495" s="79" t="s">
        <v>1359</v>
      </c>
      <c r="C495" s="79" t="s">
        <v>1360</v>
      </c>
      <c r="D495" s="79" t="s">
        <v>572</v>
      </c>
      <c r="E495" s="79">
        <v>68427709</v>
      </c>
      <c r="F495" s="93">
        <v>-522420</v>
      </c>
      <c r="G495" s="79" t="s">
        <v>113</v>
      </c>
      <c r="H495" s="79" t="s">
        <v>114</v>
      </c>
      <c r="I495" s="79" t="s">
        <v>1121</v>
      </c>
      <c r="J495" s="79">
        <v>2021</v>
      </c>
      <c r="K495" s="79" t="s">
        <v>1203</v>
      </c>
      <c r="L495" s="79" t="s">
        <v>1361</v>
      </c>
    </row>
    <row r="496" spans="1:12" hidden="1" x14ac:dyDescent="0.25">
      <c r="A496" s="82">
        <v>44026</v>
      </c>
      <c r="B496" s="79" t="s">
        <v>1362</v>
      </c>
      <c r="C496" s="79" t="s">
        <v>1363</v>
      </c>
      <c r="D496" s="79" t="s">
        <v>277</v>
      </c>
      <c r="E496" s="79">
        <v>68427709</v>
      </c>
      <c r="F496" s="93">
        <v>-359531</v>
      </c>
      <c r="G496" s="79" t="s">
        <v>113</v>
      </c>
      <c r="H496" s="79" t="s">
        <v>114</v>
      </c>
      <c r="I496" s="79"/>
      <c r="J496" s="79">
        <v>2021</v>
      </c>
      <c r="K496" s="79" t="s">
        <v>1203</v>
      </c>
      <c r="L496" s="79" t="s">
        <v>31</v>
      </c>
    </row>
    <row r="497" spans="1:12" hidden="1" x14ac:dyDescent="0.25">
      <c r="A497" s="82">
        <v>44026</v>
      </c>
      <c r="B497" s="79" t="s">
        <v>1364</v>
      </c>
      <c r="C497" s="79" t="s">
        <v>1365</v>
      </c>
      <c r="D497" s="79" t="s">
        <v>603</v>
      </c>
      <c r="E497" s="79">
        <v>68427709</v>
      </c>
      <c r="F497" s="93">
        <v>4000</v>
      </c>
      <c r="G497" s="79" t="s">
        <v>113</v>
      </c>
      <c r="H497" s="79" t="s">
        <v>114</v>
      </c>
      <c r="I497" s="79"/>
      <c r="J497" s="79">
        <v>2021</v>
      </c>
      <c r="K497" s="79" t="s">
        <v>1203</v>
      </c>
      <c r="L497" s="79" t="s">
        <v>31</v>
      </c>
    </row>
    <row r="498" spans="1:12" hidden="1" x14ac:dyDescent="0.25">
      <c r="A498" s="82">
        <v>44026</v>
      </c>
      <c r="B498" s="79" t="s">
        <v>1366</v>
      </c>
      <c r="C498" s="79" t="s">
        <v>1367</v>
      </c>
      <c r="D498" s="79" t="s">
        <v>603</v>
      </c>
      <c r="E498" s="79">
        <v>68427709</v>
      </c>
      <c r="F498" s="93">
        <v>-4000</v>
      </c>
      <c r="G498" s="79" t="s">
        <v>113</v>
      </c>
      <c r="H498" s="79" t="s">
        <v>114</v>
      </c>
      <c r="I498" s="79"/>
      <c r="J498" s="79">
        <v>2021</v>
      </c>
      <c r="K498" s="79" t="s">
        <v>1203</v>
      </c>
      <c r="L498" s="79" t="s">
        <v>31</v>
      </c>
    </row>
    <row r="499" spans="1:12" hidden="1" x14ac:dyDescent="0.25">
      <c r="A499" s="82">
        <v>44026</v>
      </c>
      <c r="B499" s="79" t="s">
        <v>1368</v>
      </c>
      <c r="C499" s="79" t="s">
        <v>1369</v>
      </c>
      <c r="D499" s="79" t="s">
        <v>277</v>
      </c>
      <c r="E499" s="79">
        <v>68427709</v>
      </c>
      <c r="F499" s="93">
        <v>359531</v>
      </c>
      <c r="G499" s="79" t="s">
        <v>113</v>
      </c>
      <c r="H499" s="79" t="s">
        <v>114</v>
      </c>
      <c r="I499" s="79"/>
      <c r="J499" s="79">
        <v>2021</v>
      </c>
      <c r="K499" s="79" t="s">
        <v>1203</v>
      </c>
      <c r="L499" s="79" t="s">
        <v>31</v>
      </c>
    </row>
    <row r="500" spans="1:12" hidden="1" x14ac:dyDescent="0.25">
      <c r="A500" s="82">
        <v>44026</v>
      </c>
      <c r="B500" s="79" t="s">
        <v>1370</v>
      </c>
      <c r="C500" s="79" t="s">
        <v>1371</v>
      </c>
      <c r="D500" s="79" t="s">
        <v>1372</v>
      </c>
      <c r="E500" s="79">
        <v>68427709</v>
      </c>
      <c r="F500" s="93">
        <v>0</v>
      </c>
      <c r="G500" s="79" t="s">
        <v>113</v>
      </c>
      <c r="H500" s="79" t="s">
        <v>114</v>
      </c>
      <c r="I500" s="79"/>
      <c r="J500" s="79">
        <v>2021</v>
      </c>
      <c r="K500" s="79" t="s">
        <v>1203</v>
      </c>
      <c r="L500" s="79" t="s">
        <v>31</v>
      </c>
    </row>
    <row r="501" spans="1:12" hidden="1" x14ac:dyDescent="0.25">
      <c r="A501" s="82">
        <v>44026</v>
      </c>
      <c r="B501" s="79" t="s">
        <v>1373</v>
      </c>
      <c r="C501" s="79" t="s">
        <v>1374</v>
      </c>
      <c r="D501" s="79" t="s">
        <v>603</v>
      </c>
      <c r="E501" s="79">
        <v>68427709</v>
      </c>
      <c r="F501" s="93">
        <v>50000</v>
      </c>
      <c r="G501" s="79" t="s">
        <v>113</v>
      </c>
      <c r="H501" s="79" t="s">
        <v>114</v>
      </c>
      <c r="I501" s="79"/>
      <c r="J501" s="79">
        <v>2021</v>
      </c>
      <c r="K501" s="79" t="s">
        <v>1203</v>
      </c>
      <c r="L501" s="79" t="s">
        <v>31</v>
      </c>
    </row>
    <row r="502" spans="1:12" hidden="1" x14ac:dyDescent="0.25">
      <c r="A502" s="82">
        <v>44026</v>
      </c>
      <c r="B502" s="79" t="s">
        <v>1375</v>
      </c>
      <c r="C502" s="79" t="s">
        <v>1376</v>
      </c>
      <c r="D502" s="79" t="s">
        <v>1377</v>
      </c>
      <c r="E502" s="79">
        <v>68427709</v>
      </c>
      <c r="F502" s="93">
        <v>150000</v>
      </c>
      <c r="G502" s="79" t="s">
        <v>113</v>
      </c>
      <c r="H502" s="79" t="s">
        <v>114</v>
      </c>
      <c r="I502" s="79" t="s">
        <v>133</v>
      </c>
      <c r="J502" s="79">
        <v>2021</v>
      </c>
      <c r="K502" s="79" t="s">
        <v>1203</v>
      </c>
      <c r="L502" s="79" t="s">
        <v>31</v>
      </c>
    </row>
    <row r="503" spans="1:12" hidden="1" x14ac:dyDescent="0.25">
      <c r="A503" s="82">
        <v>44026</v>
      </c>
      <c r="B503" s="79" t="s">
        <v>1378</v>
      </c>
      <c r="C503" s="79" t="s">
        <v>1379</v>
      </c>
      <c r="D503" s="79" t="s">
        <v>1379</v>
      </c>
      <c r="E503" s="79">
        <v>68427709</v>
      </c>
      <c r="F503" s="93">
        <v>45000</v>
      </c>
      <c r="G503" s="79" t="s">
        <v>113</v>
      </c>
      <c r="H503" s="79" t="s">
        <v>114</v>
      </c>
      <c r="I503" s="79" t="s">
        <v>133</v>
      </c>
      <c r="J503" s="79">
        <v>2021</v>
      </c>
      <c r="K503" s="79" t="s">
        <v>1203</v>
      </c>
      <c r="L503" s="79" t="s">
        <v>31</v>
      </c>
    </row>
    <row r="504" spans="1:12" ht="14.1" hidden="1" customHeight="1" x14ac:dyDescent="0.25">
      <c r="A504" s="82">
        <v>44026</v>
      </c>
      <c r="B504" s="79" t="s">
        <v>1146</v>
      </c>
      <c r="C504" s="79" t="s">
        <v>1380</v>
      </c>
      <c r="D504" s="79" t="s">
        <v>1146</v>
      </c>
      <c r="E504" s="79">
        <v>68427709</v>
      </c>
      <c r="F504" s="93">
        <v>26000</v>
      </c>
      <c r="G504" s="79" t="s">
        <v>113</v>
      </c>
      <c r="H504" s="79" t="s">
        <v>114</v>
      </c>
      <c r="I504" s="79" t="s">
        <v>133</v>
      </c>
      <c r="J504" s="79">
        <v>2021</v>
      </c>
      <c r="K504" s="79" t="s">
        <v>1203</v>
      </c>
      <c r="L504" s="79" t="s">
        <v>1381</v>
      </c>
    </row>
    <row r="505" spans="1:12" hidden="1" x14ac:dyDescent="0.25">
      <c r="A505" s="82">
        <v>44026</v>
      </c>
      <c r="B505" s="79" t="s">
        <v>1194</v>
      </c>
      <c r="C505" s="79" t="s">
        <v>1382</v>
      </c>
      <c r="D505" s="79" t="s">
        <v>1194</v>
      </c>
      <c r="E505" s="79">
        <v>68427709</v>
      </c>
      <c r="F505" s="93">
        <v>20000</v>
      </c>
      <c r="G505" s="79" t="s">
        <v>1068</v>
      </c>
      <c r="H505" s="79" t="s">
        <v>114</v>
      </c>
      <c r="I505" s="79" t="s">
        <v>133</v>
      </c>
      <c r="J505" s="79">
        <v>2021</v>
      </c>
      <c r="K505" s="79" t="s">
        <v>1203</v>
      </c>
      <c r="L505" s="79" t="s">
        <v>1383</v>
      </c>
    </row>
    <row r="506" spans="1:12" hidden="1" x14ac:dyDescent="0.25">
      <c r="A506" s="82">
        <v>44026</v>
      </c>
      <c r="B506" s="79" t="s">
        <v>1384</v>
      </c>
      <c r="C506" s="79" t="s">
        <v>1385</v>
      </c>
      <c r="D506" s="79" t="s">
        <v>0</v>
      </c>
      <c r="E506" s="79">
        <v>68427709</v>
      </c>
      <c r="F506" s="93">
        <v>800000</v>
      </c>
      <c r="G506" s="79" t="s">
        <v>113</v>
      </c>
      <c r="H506" s="79" t="s">
        <v>114</v>
      </c>
      <c r="I506" s="79"/>
      <c r="J506" s="79">
        <v>2021</v>
      </c>
      <c r="K506" s="79" t="s">
        <v>1203</v>
      </c>
      <c r="L506" s="79" t="s">
        <v>31</v>
      </c>
    </row>
    <row r="507" spans="1:12" hidden="1" x14ac:dyDescent="0.25">
      <c r="A507" s="82">
        <v>44028</v>
      </c>
      <c r="B507" t="s">
        <v>1386</v>
      </c>
      <c r="C507" s="79" t="s">
        <v>1387</v>
      </c>
      <c r="D507" s="79" t="s">
        <v>236</v>
      </c>
      <c r="E507" s="79">
        <v>68427709</v>
      </c>
      <c r="F507" s="93">
        <v>0</v>
      </c>
      <c r="G507" s="79" t="s">
        <v>113</v>
      </c>
      <c r="H507" s="79" t="s">
        <v>114</v>
      </c>
      <c r="I507" s="79" t="s">
        <v>133</v>
      </c>
      <c r="J507" s="79">
        <v>2021</v>
      </c>
      <c r="K507" s="79" t="s">
        <v>116</v>
      </c>
      <c r="L507" s="79" t="s">
        <v>1388</v>
      </c>
    </row>
    <row r="508" spans="1:12" hidden="1" x14ac:dyDescent="0.25">
      <c r="A508" s="82">
        <v>44028</v>
      </c>
      <c r="B508" s="79" t="s">
        <v>1389</v>
      </c>
      <c r="C508" s="79" t="s">
        <v>1390</v>
      </c>
      <c r="D508" s="79" t="s">
        <v>236</v>
      </c>
      <c r="E508" s="79">
        <v>68427709</v>
      </c>
      <c r="F508" s="93">
        <v>0</v>
      </c>
      <c r="G508" s="79" t="s">
        <v>113</v>
      </c>
      <c r="H508" s="79" t="s">
        <v>114</v>
      </c>
      <c r="I508" s="79" t="s">
        <v>133</v>
      </c>
      <c r="J508" s="79">
        <v>2021</v>
      </c>
      <c r="K508" s="79" t="s">
        <v>116</v>
      </c>
      <c r="L508" s="79" t="s">
        <v>1388</v>
      </c>
    </row>
    <row r="509" spans="1:12" hidden="1" x14ac:dyDescent="0.25">
      <c r="A509" s="82">
        <v>44028</v>
      </c>
      <c r="B509" s="79" t="s">
        <v>1391</v>
      </c>
      <c r="C509" s="79" t="s">
        <v>1392</v>
      </c>
      <c r="D509" s="79" t="s">
        <v>0</v>
      </c>
      <c r="E509" s="79">
        <v>68427719</v>
      </c>
      <c r="F509" s="93">
        <v>0</v>
      </c>
      <c r="G509" s="79" t="s">
        <v>1068</v>
      </c>
      <c r="H509" s="79" t="s">
        <v>114</v>
      </c>
      <c r="I509" s="79" t="s">
        <v>133</v>
      </c>
      <c r="J509" s="79">
        <v>2021</v>
      </c>
      <c r="K509" s="79" t="s">
        <v>1393</v>
      </c>
      <c r="L509" s="79" t="s">
        <v>1394</v>
      </c>
    </row>
    <row r="510" spans="1:12" hidden="1" x14ac:dyDescent="0.25">
      <c r="A510" s="82">
        <v>44028</v>
      </c>
      <c r="B510" s="79" t="s">
        <v>1395</v>
      </c>
      <c r="C510" s="79" t="s">
        <v>1392</v>
      </c>
      <c r="D510" s="79" t="s">
        <v>1259</v>
      </c>
      <c r="E510" s="79">
        <v>68427719</v>
      </c>
      <c r="F510" s="93">
        <v>0</v>
      </c>
      <c r="G510" s="79" t="s">
        <v>1068</v>
      </c>
      <c r="H510" s="79" t="s">
        <v>114</v>
      </c>
      <c r="I510" s="79" t="s">
        <v>948</v>
      </c>
      <c r="J510" s="79">
        <v>2021</v>
      </c>
      <c r="K510" s="79" t="s">
        <v>1393</v>
      </c>
      <c r="L510" s="79" t="s">
        <v>1394</v>
      </c>
    </row>
    <row r="511" spans="1:12" hidden="1" x14ac:dyDescent="0.25">
      <c r="A511" s="82">
        <v>44032</v>
      </c>
      <c r="B511" s="79" t="s">
        <v>1027</v>
      </c>
      <c r="C511" s="79" t="s">
        <v>1396</v>
      </c>
      <c r="D511" s="79" t="s">
        <v>183</v>
      </c>
      <c r="E511" s="79">
        <v>68427719</v>
      </c>
      <c r="F511" s="174">
        <v>648000</v>
      </c>
      <c r="G511" s="79" t="s">
        <v>113</v>
      </c>
      <c r="H511" s="79" t="s">
        <v>114</v>
      </c>
      <c r="I511" s="79" t="s">
        <v>435</v>
      </c>
      <c r="J511" s="79">
        <v>2021</v>
      </c>
      <c r="K511" s="79" t="s">
        <v>1397</v>
      </c>
      <c r="L511" s="79"/>
    </row>
    <row r="512" spans="1:12" hidden="1" x14ac:dyDescent="0.25">
      <c r="A512" s="82">
        <v>44032</v>
      </c>
      <c r="B512" s="79" t="s">
        <v>1398</v>
      </c>
      <c r="C512" s="79" t="s">
        <v>1399</v>
      </c>
      <c r="D512" s="79" t="s">
        <v>180</v>
      </c>
      <c r="E512" s="79">
        <v>68427719</v>
      </c>
      <c r="F512" s="174">
        <v>1159000</v>
      </c>
      <c r="G512" s="79" t="s">
        <v>113</v>
      </c>
      <c r="H512" s="79" t="s">
        <v>114</v>
      </c>
      <c r="I512" s="79" t="s">
        <v>435</v>
      </c>
      <c r="J512" s="79">
        <v>2021</v>
      </c>
      <c r="K512" s="79" t="s">
        <v>1397</v>
      </c>
      <c r="L512" s="79" t="s">
        <v>1400</v>
      </c>
    </row>
    <row r="513" spans="1:12" hidden="1" x14ac:dyDescent="0.25">
      <c r="A513" s="82">
        <v>44032</v>
      </c>
      <c r="B513" s="79" t="s">
        <v>1401</v>
      </c>
      <c r="C513" s="79" t="s">
        <v>1402</v>
      </c>
      <c r="D513" s="79" t="s">
        <v>184</v>
      </c>
      <c r="E513" s="79">
        <v>68427719</v>
      </c>
      <c r="F513" s="174">
        <v>98000</v>
      </c>
      <c r="G513" s="79" t="s">
        <v>113</v>
      </c>
      <c r="H513" s="79" t="s">
        <v>114</v>
      </c>
      <c r="I513" s="79" t="s">
        <v>435</v>
      </c>
      <c r="J513" s="79">
        <v>2021</v>
      </c>
      <c r="K513" s="79" t="s">
        <v>1397</v>
      </c>
      <c r="L513" s="79" t="s">
        <v>1403</v>
      </c>
    </row>
    <row r="514" spans="1:12" hidden="1" x14ac:dyDescent="0.25">
      <c r="A514" s="82">
        <v>44032</v>
      </c>
      <c r="B514" s="79" t="s">
        <v>1404</v>
      </c>
      <c r="C514" s="79" t="s">
        <v>1405</v>
      </c>
      <c r="D514" s="79" t="s">
        <v>180</v>
      </c>
      <c r="E514" s="79">
        <v>68427719</v>
      </c>
      <c r="F514" s="93">
        <v>-90000</v>
      </c>
      <c r="G514" s="79" t="s">
        <v>113</v>
      </c>
      <c r="H514" s="79" t="s">
        <v>114</v>
      </c>
      <c r="I514" s="79" t="s">
        <v>435</v>
      </c>
      <c r="J514" s="79">
        <v>2021</v>
      </c>
      <c r="K514" s="79" t="s">
        <v>1397</v>
      </c>
      <c r="L514" s="79"/>
    </row>
    <row r="515" spans="1:12" hidden="1" x14ac:dyDescent="0.25">
      <c r="A515" s="82">
        <v>44032</v>
      </c>
      <c r="B515" s="79" t="s">
        <v>1406</v>
      </c>
      <c r="C515" s="79" t="s">
        <v>1407</v>
      </c>
      <c r="D515" s="79" t="s">
        <v>390</v>
      </c>
      <c r="E515" s="79">
        <v>68427709</v>
      </c>
      <c r="F515" s="173">
        <v>100000</v>
      </c>
      <c r="G515" s="79" t="s">
        <v>113</v>
      </c>
      <c r="H515" s="79" t="s">
        <v>114</v>
      </c>
      <c r="I515" s="79" t="s">
        <v>435</v>
      </c>
      <c r="J515" s="79">
        <v>2021</v>
      </c>
      <c r="K515" s="79" t="s">
        <v>1408</v>
      </c>
      <c r="L515" s="79"/>
    </row>
    <row r="516" spans="1:12" hidden="1" x14ac:dyDescent="0.25">
      <c r="A516" s="82">
        <v>44036</v>
      </c>
      <c r="B516" s="79" t="s">
        <v>1409</v>
      </c>
      <c r="C516" s="79" t="s">
        <v>1410</v>
      </c>
      <c r="D516" s="79" t="s">
        <v>909</v>
      </c>
      <c r="E516" s="79">
        <v>68427709</v>
      </c>
      <c r="F516" s="174">
        <v>11000</v>
      </c>
      <c r="G516" s="79" t="s">
        <v>113</v>
      </c>
      <c r="H516" s="79" t="s">
        <v>114</v>
      </c>
      <c r="I516" s="79" t="s">
        <v>435</v>
      </c>
      <c r="J516" s="79">
        <v>2021</v>
      </c>
      <c r="K516" s="79" t="s">
        <v>1411</v>
      </c>
      <c r="L516" s="79"/>
    </row>
    <row r="517" spans="1:12" hidden="1" x14ac:dyDescent="0.25">
      <c r="A517" s="82">
        <v>44039</v>
      </c>
      <c r="B517" s="79" t="s">
        <v>1412</v>
      </c>
      <c r="C517" s="79" t="s">
        <v>1410</v>
      </c>
      <c r="D517" s="79" t="s">
        <v>0</v>
      </c>
      <c r="E517" s="79">
        <v>68427709</v>
      </c>
      <c r="F517" s="174">
        <v>60000</v>
      </c>
      <c r="G517" s="79" t="s">
        <v>113</v>
      </c>
      <c r="H517" s="79" t="s">
        <v>114</v>
      </c>
      <c r="I517" s="79" t="s">
        <v>435</v>
      </c>
      <c r="J517" s="79">
        <v>2021</v>
      </c>
      <c r="K517" s="79" t="s">
        <v>227</v>
      </c>
      <c r="L517" s="79" t="s">
        <v>1413</v>
      </c>
    </row>
    <row r="518" spans="1:12" hidden="1" x14ac:dyDescent="0.25">
      <c r="A518" s="82">
        <v>44041</v>
      </c>
      <c r="B518" s="79" t="s">
        <v>1414</v>
      </c>
      <c r="C518" s="79" t="s">
        <v>1415</v>
      </c>
      <c r="D518" s="79" t="s">
        <v>0</v>
      </c>
      <c r="E518" s="79">
        <v>68427709</v>
      </c>
      <c r="F518" s="174">
        <v>20000</v>
      </c>
      <c r="G518" s="79" t="s">
        <v>113</v>
      </c>
      <c r="H518" s="79" t="s">
        <v>114</v>
      </c>
      <c r="I518" s="79" t="s">
        <v>435</v>
      </c>
      <c r="J518" s="79">
        <v>2021</v>
      </c>
      <c r="K518" s="79" t="s">
        <v>361</v>
      </c>
      <c r="L518" s="79"/>
    </row>
    <row r="519" spans="1:12" hidden="1" x14ac:dyDescent="0.25">
      <c r="A519" s="82">
        <v>44041</v>
      </c>
      <c r="B519" s="79" t="s">
        <v>1416</v>
      </c>
      <c r="C519" s="79" t="s">
        <v>1417</v>
      </c>
      <c r="D519" s="79" t="s">
        <v>1416</v>
      </c>
      <c r="E519" s="79">
        <v>68427709</v>
      </c>
      <c r="F519" s="174">
        <v>214000</v>
      </c>
      <c r="G519" s="79" t="s">
        <v>113</v>
      </c>
      <c r="H519" s="79" t="s">
        <v>114</v>
      </c>
      <c r="I519" s="79" t="s">
        <v>133</v>
      </c>
      <c r="J519" s="79">
        <v>2021</v>
      </c>
      <c r="K519" s="79" t="s">
        <v>361</v>
      </c>
      <c r="L519" s="79"/>
    </row>
    <row r="520" spans="1:12" hidden="1" x14ac:dyDescent="0.25">
      <c r="A520" s="82">
        <v>44041</v>
      </c>
      <c r="B520" s="79" t="s">
        <v>1418</v>
      </c>
      <c r="C520" s="79" t="s">
        <v>1419</v>
      </c>
      <c r="D520" s="79" t="s">
        <v>1420</v>
      </c>
      <c r="E520" s="79">
        <v>68427709</v>
      </c>
      <c r="F520" s="174">
        <v>-163000</v>
      </c>
      <c r="G520" s="79" t="s">
        <v>113</v>
      </c>
      <c r="H520" s="79" t="s">
        <v>114</v>
      </c>
      <c r="I520" s="79" t="s">
        <v>133</v>
      </c>
      <c r="J520" s="79">
        <v>2021</v>
      </c>
      <c r="K520" s="79" t="s">
        <v>361</v>
      </c>
      <c r="L520" s="79"/>
    </row>
    <row r="521" spans="1:12" hidden="1" x14ac:dyDescent="0.25">
      <c r="A521" s="82">
        <v>44041</v>
      </c>
      <c r="B521" s="79" t="s">
        <v>1259</v>
      </c>
      <c r="C521" s="79" t="s">
        <v>1421</v>
      </c>
      <c r="D521" s="79" t="s">
        <v>1259</v>
      </c>
      <c r="E521" s="79">
        <v>68427709</v>
      </c>
      <c r="F521" s="174">
        <v>30000</v>
      </c>
      <c r="G521" s="79" t="s">
        <v>113</v>
      </c>
      <c r="H521" s="79" t="s">
        <v>114</v>
      </c>
      <c r="I521" s="79" t="s">
        <v>133</v>
      </c>
      <c r="J521" s="79">
        <v>2021</v>
      </c>
      <c r="K521" s="79" t="s">
        <v>361</v>
      </c>
      <c r="L521" s="79"/>
    </row>
    <row r="522" spans="1:12" hidden="1" x14ac:dyDescent="0.25">
      <c r="A522" s="82">
        <v>44041</v>
      </c>
      <c r="B522" s="79" t="s">
        <v>1422</v>
      </c>
      <c r="C522" s="79" t="s">
        <v>1423</v>
      </c>
      <c r="D522" s="79" t="s">
        <v>0</v>
      </c>
      <c r="E522" s="79">
        <v>68427709</v>
      </c>
      <c r="F522" s="174"/>
      <c r="G522" s="79" t="s">
        <v>113</v>
      </c>
      <c r="H522" s="79" t="s">
        <v>114</v>
      </c>
      <c r="I522" s="79" t="s">
        <v>435</v>
      </c>
      <c r="J522" s="79">
        <v>2021</v>
      </c>
      <c r="K522" s="79" t="s">
        <v>361</v>
      </c>
      <c r="L522" s="79"/>
    </row>
    <row r="523" spans="1:12" hidden="1" x14ac:dyDescent="0.25">
      <c r="A523" s="82">
        <v>44041</v>
      </c>
      <c r="B523" s="79" t="s">
        <v>1420</v>
      </c>
      <c r="C523" s="79" t="s">
        <v>69</v>
      </c>
      <c r="D523" s="79" t="s">
        <v>1420</v>
      </c>
      <c r="E523" s="79">
        <v>68427709</v>
      </c>
      <c r="F523" s="174">
        <v>55000</v>
      </c>
      <c r="G523" s="79" t="s">
        <v>113</v>
      </c>
      <c r="H523" s="79" t="s">
        <v>114</v>
      </c>
      <c r="I523" s="79" t="s">
        <v>435</v>
      </c>
      <c r="J523" s="79">
        <v>2021</v>
      </c>
      <c r="K523" s="79" t="s">
        <v>361</v>
      </c>
      <c r="L523" s="79"/>
    </row>
    <row r="524" spans="1:12" hidden="1" x14ac:dyDescent="0.25">
      <c r="A524" s="82">
        <v>44041</v>
      </c>
      <c r="B524" s="79" t="s">
        <v>1424</v>
      </c>
      <c r="C524" s="79" t="s">
        <v>1419</v>
      </c>
      <c r="D524" s="79" t="s">
        <v>1424</v>
      </c>
      <c r="E524" s="79">
        <v>68427709</v>
      </c>
      <c r="F524" s="174">
        <v>0</v>
      </c>
      <c r="G524" s="79" t="s">
        <v>302</v>
      </c>
      <c r="H524" s="79" t="s">
        <v>114</v>
      </c>
      <c r="I524" s="79" t="s">
        <v>133</v>
      </c>
      <c r="J524" s="79">
        <v>2021</v>
      </c>
      <c r="K524" s="79" t="s">
        <v>1225</v>
      </c>
      <c r="L524" s="79"/>
    </row>
    <row r="525" spans="1:12" hidden="1" x14ac:dyDescent="0.25">
      <c r="A525" s="82">
        <v>44041</v>
      </c>
      <c r="B525" s="79" t="s">
        <v>1425</v>
      </c>
      <c r="C525" s="79" t="s">
        <v>1426</v>
      </c>
      <c r="D525" s="79" t="s">
        <v>1425</v>
      </c>
      <c r="E525" s="79">
        <v>68427709</v>
      </c>
      <c r="F525" s="174">
        <v>345000</v>
      </c>
      <c r="G525" s="79" t="s">
        <v>113</v>
      </c>
      <c r="H525" s="79" t="s">
        <v>114</v>
      </c>
      <c r="I525" s="79" t="s">
        <v>435</v>
      </c>
      <c r="J525" s="79">
        <v>2021</v>
      </c>
      <c r="K525" s="79" t="s">
        <v>1427</v>
      </c>
      <c r="L525" s="79" t="s">
        <v>40</v>
      </c>
    </row>
    <row r="526" spans="1:12" hidden="1" x14ac:dyDescent="0.25">
      <c r="A526" s="82">
        <v>44041</v>
      </c>
      <c r="B526" s="79" t="s">
        <v>1425</v>
      </c>
      <c r="C526" s="79" t="s">
        <v>1428</v>
      </c>
      <c r="D526" s="79" t="s">
        <v>1425</v>
      </c>
      <c r="E526" s="79">
        <v>68427709</v>
      </c>
      <c r="F526" s="174">
        <v>156000</v>
      </c>
      <c r="G526" s="79" t="s">
        <v>113</v>
      </c>
      <c r="H526" s="79" t="s">
        <v>114</v>
      </c>
      <c r="I526" s="79" t="s">
        <v>133</v>
      </c>
      <c r="J526" s="79">
        <v>2021</v>
      </c>
      <c r="K526" s="79" t="s">
        <v>1427</v>
      </c>
      <c r="L526" s="79"/>
    </row>
    <row r="527" spans="1:12" hidden="1" x14ac:dyDescent="0.25">
      <c r="A527" s="82">
        <v>44041</v>
      </c>
      <c r="B527" s="79" t="s">
        <v>1429</v>
      </c>
      <c r="C527" s="79" t="s">
        <v>1419</v>
      </c>
      <c r="D527" s="79"/>
      <c r="E527" s="79">
        <v>68427709</v>
      </c>
      <c r="F527" s="174">
        <v>-140000</v>
      </c>
      <c r="G527" s="79" t="s">
        <v>113</v>
      </c>
      <c r="H527" s="79" t="s">
        <v>114</v>
      </c>
      <c r="I527" s="79" t="s">
        <v>133</v>
      </c>
      <c r="J527" s="79">
        <v>2021</v>
      </c>
      <c r="K527" s="79" t="s">
        <v>1427</v>
      </c>
      <c r="L527" s="79"/>
    </row>
    <row r="528" spans="1:12" hidden="1" x14ac:dyDescent="0.25">
      <c r="A528" s="82">
        <v>44041</v>
      </c>
      <c r="B528" s="26" t="s">
        <v>1430</v>
      </c>
      <c r="C528" s="79" t="s">
        <v>1431</v>
      </c>
      <c r="D528" s="79"/>
      <c r="E528" s="79">
        <v>68427709</v>
      </c>
      <c r="F528" s="174">
        <v>-29000</v>
      </c>
      <c r="G528" s="79" t="s">
        <v>1068</v>
      </c>
      <c r="H528" s="79" t="s">
        <v>114</v>
      </c>
      <c r="I528" s="79" t="s">
        <v>133</v>
      </c>
      <c r="J528" s="79">
        <v>2021</v>
      </c>
      <c r="K528" s="79" t="s">
        <v>1427</v>
      </c>
      <c r="L528" s="79" t="s">
        <v>1432</v>
      </c>
    </row>
    <row r="529" spans="1:12" hidden="1" x14ac:dyDescent="0.25">
      <c r="A529" s="82">
        <v>44041</v>
      </c>
      <c r="B529" s="79" t="s">
        <v>1433</v>
      </c>
      <c r="C529" s="79" t="s">
        <v>1434</v>
      </c>
      <c r="D529" s="79"/>
      <c r="E529" s="79">
        <v>68427709</v>
      </c>
      <c r="F529" s="173">
        <v>12000</v>
      </c>
      <c r="G529" s="79" t="s">
        <v>113</v>
      </c>
      <c r="H529" s="79" t="s">
        <v>114</v>
      </c>
      <c r="I529" s="79" t="s">
        <v>133</v>
      </c>
      <c r="J529" s="79">
        <v>2021</v>
      </c>
      <c r="K529" s="79" t="s">
        <v>1435</v>
      </c>
      <c r="L529" s="79"/>
    </row>
    <row r="530" spans="1:12" hidden="1" x14ac:dyDescent="0.25">
      <c r="A530" s="82">
        <v>44045</v>
      </c>
      <c r="B530" s="79" t="s">
        <v>1436</v>
      </c>
      <c r="C530" s="79" t="s">
        <v>1437</v>
      </c>
      <c r="D530" s="79"/>
      <c r="E530" s="79">
        <v>68427719</v>
      </c>
      <c r="F530" s="174">
        <v>-440000</v>
      </c>
      <c r="G530" s="79" t="s">
        <v>113</v>
      </c>
      <c r="H530" s="79" t="s">
        <v>114</v>
      </c>
      <c r="I530" s="79" t="s">
        <v>133</v>
      </c>
      <c r="J530" s="79">
        <v>2021</v>
      </c>
      <c r="K530" s="79" t="s">
        <v>116</v>
      </c>
      <c r="L530" s="79" t="s">
        <v>1438</v>
      </c>
    </row>
    <row r="531" spans="1:12" hidden="1" x14ac:dyDescent="0.25">
      <c r="A531" s="82">
        <v>44045</v>
      </c>
      <c r="B531" s="79" t="s">
        <v>1439</v>
      </c>
      <c r="C531" s="79" t="s">
        <v>1440</v>
      </c>
      <c r="D531" s="79"/>
      <c r="E531" s="79">
        <v>68427709</v>
      </c>
      <c r="F531" s="174">
        <v>0</v>
      </c>
      <c r="G531" s="79" t="s">
        <v>113</v>
      </c>
      <c r="H531" s="79" t="s">
        <v>114</v>
      </c>
      <c r="I531" s="79" t="s">
        <v>133</v>
      </c>
      <c r="J531" s="79">
        <v>2021</v>
      </c>
      <c r="K531" s="79" t="s">
        <v>116</v>
      </c>
      <c r="L531" s="79"/>
    </row>
    <row r="532" spans="1:12" hidden="1" x14ac:dyDescent="0.25">
      <c r="A532" s="82">
        <v>44046</v>
      </c>
      <c r="B532" s="79" t="s">
        <v>1441</v>
      </c>
      <c r="C532" s="79" t="s">
        <v>1442</v>
      </c>
      <c r="D532" s="79" t="s">
        <v>352</v>
      </c>
      <c r="E532" s="79">
        <v>68427709</v>
      </c>
      <c r="F532" s="174">
        <v>50000</v>
      </c>
      <c r="G532" s="79" t="s">
        <v>113</v>
      </c>
      <c r="H532" s="79" t="s">
        <v>114</v>
      </c>
      <c r="I532" s="79" t="s">
        <v>133</v>
      </c>
      <c r="J532" s="79">
        <v>2021</v>
      </c>
      <c r="K532" s="79" t="s">
        <v>116</v>
      </c>
      <c r="L532" s="79" t="s">
        <v>1443</v>
      </c>
    </row>
    <row r="533" spans="1:12" hidden="1" x14ac:dyDescent="0.25">
      <c r="A533" s="82">
        <v>44046</v>
      </c>
      <c r="B533" s="79" t="s">
        <v>1444</v>
      </c>
      <c r="C533" s="79" t="s">
        <v>1445</v>
      </c>
      <c r="D533" s="79" t="s">
        <v>1259</v>
      </c>
      <c r="E533" s="79">
        <v>68427709</v>
      </c>
      <c r="F533" s="174">
        <v>-156000</v>
      </c>
      <c r="G533" s="79" t="s">
        <v>113</v>
      </c>
      <c r="H533" s="79" t="s">
        <v>114</v>
      </c>
      <c r="I533" s="79" t="s">
        <v>948</v>
      </c>
      <c r="J533" s="79">
        <v>2021</v>
      </c>
      <c r="K533" s="79" t="s">
        <v>1203</v>
      </c>
      <c r="L533" s="79"/>
    </row>
    <row r="534" spans="1:12" hidden="1" x14ac:dyDescent="0.25">
      <c r="A534" s="82">
        <v>44046</v>
      </c>
      <c r="B534" s="79" t="s">
        <v>1446</v>
      </c>
      <c r="C534" s="79" t="s">
        <v>1447</v>
      </c>
      <c r="D534" s="79" t="s">
        <v>0</v>
      </c>
      <c r="E534" s="79">
        <v>68427709</v>
      </c>
      <c r="F534" s="174">
        <v>5040</v>
      </c>
      <c r="G534" s="79" t="s">
        <v>113</v>
      </c>
      <c r="H534" s="79" t="s">
        <v>114</v>
      </c>
      <c r="I534" s="79" t="s">
        <v>133</v>
      </c>
      <c r="J534" s="79">
        <v>2021</v>
      </c>
      <c r="K534" s="79" t="s">
        <v>1203</v>
      </c>
      <c r="L534" s="79"/>
    </row>
    <row r="535" spans="1:12" hidden="1" x14ac:dyDescent="0.25">
      <c r="A535" s="82">
        <v>44046</v>
      </c>
      <c r="B535" s="79" t="s">
        <v>1448</v>
      </c>
      <c r="C535" s="79" t="s">
        <v>1449</v>
      </c>
      <c r="D535" s="79"/>
      <c r="E535" s="79">
        <v>68427709</v>
      </c>
      <c r="F535" s="174">
        <v>0</v>
      </c>
      <c r="G535" s="79" t="s">
        <v>113</v>
      </c>
      <c r="H535" s="79"/>
      <c r="I535" s="79"/>
      <c r="J535" s="79">
        <v>2021</v>
      </c>
      <c r="K535" s="79" t="s">
        <v>116</v>
      </c>
      <c r="L535" s="79" t="s">
        <v>1450</v>
      </c>
    </row>
    <row r="536" spans="1:12" hidden="1" x14ac:dyDescent="0.25">
      <c r="A536" s="82">
        <v>44049</v>
      </c>
      <c r="B536" s="79" t="s">
        <v>1451</v>
      </c>
      <c r="C536" s="79" t="s">
        <v>1452</v>
      </c>
      <c r="D536" s="79"/>
      <c r="E536" s="79">
        <v>68427709</v>
      </c>
      <c r="F536" s="174">
        <v>0</v>
      </c>
      <c r="G536" s="79" t="s">
        <v>1068</v>
      </c>
      <c r="H536" s="79" t="s">
        <v>114</v>
      </c>
      <c r="I536" s="79"/>
      <c r="J536" s="79">
        <v>2021</v>
      </c>
      <c r="K536" s="79" t="s">
        <v>644</v>
      </c>
      <c r="L536" s="79"/>
    </row>
    <row r="537" spans="1:12" hidden="1" x14ac:dyDescent="0.25">
      <c r="A537" s="82">
        <v>44049</v>
      </c>
      <c r="B537" s="79" t="s">
        <v>1453</v>
      </c>
      <c r="C537" s="79" t="s">
        <v>1454</v>
      </c>
      <c r="D537" s="79" t="s">
        <v>0</v>
      </c>
      <c r="E537" s="79">
        <v>68427709</v>
      </c>
      <c r="F537" s="174">
        <v>530</v>
      </c>
      <c r="G537" s="79" t="s">
        <v>797</v>
      </c>
      <c r="H537" s="79" t="s">
        <v>114</v>
      </c>
      <c r="I537" s="79" t="s">
        <v>133</v>
      </c>
      <c r="J537" s="79">
        <v>2021</v>
      </c>
      <c r="K537" s="79" t="s">
        <v>1455</v>
      </c>
      <c r="L537" s="79" t="s">
        <v>1456</v>
      </c>
    </row>
    <row r="538" spans="1:12" hidden="1" x14ac:dyDescent="0.25">
      <c r="A538" s="82">
        <v>44049</v>
      </c>
      <c r="B538" s="79" t="s">
        <v>1227</v>
      </c>
      <c r="C538" s="79" t="s">
        <v>1457</v>
      </c>
      <c r="D538" s="79" t="s">
        <v>285</v>
      </c>
      <c r="E538" s="79">
        <v>68427709</v>
      </c>
      <c r="F538" s="174">
        <v>0</v>
      </c>
      <c r="G538" s="79" t="s">
        <v>113</v>
      </c>
      <c r="H538" s="79" t="s">
        <v>114</v>
      </c>
      <c r="I538" s="79"/>
      <c r="J538" s="79">
        <v>2021</v>
      </c>
      <c r="K538" s="79" t="s">
        <v>644</v>
      </c>
      <c r="L538" s="79"/>
    </row>
    <row r="539" spans="1:12" hidden="1" x14ac:dyDescent="0.25">
      <c r="A539" s="82">
        <v>44049</v>
      </c>
      <c r="B539" s="79" t="s">
        <v>1406</v>
      </c>
      <c r="C539" s="79" t="s">
        <v>1458</v>
      </c>
      <c r="D539" s="79" t="s">
        <v>0</v>
      </c>
      <c r="E539" s="79">
        <v>68427709</v>
      </c>
      <c r="F539" s="174">
        <v>0</v>
      </c>
      <c r="G539" s="79" t="s">
        <v>113</v>
      </c>
      <c r="H539" s="79" t="s">
        <v>114</v>
      </c>
      <c r="I539" s="79"/>
      <c r="J539" s="79">
        <v>2021</v>
      </c>
      <c r="K539" s="79" t="s">
        <v>644</v>
      </c>
      <c r="L539" s="79"/>
    </row>
    <row r="540" spans="1:12" hidden="1" x14ac:dyDescent="0.25">
      <c r="A540" s="82"/>
      <c r="B540" s="79"/>
      <c r="C540" s="79"/>
      <c r="D540" s="79"/>
      <c r="E540" s="79"/>
      <c r="F540" s="174"/>
      <c r="G540" s="79"/>
      <c r="H540" s="79"/>
      <c r="I540" s="79"/>
      <c r="J540" s="79">
        <v>2021</v>
      </c>
      <c r="K540" s="79"/>
      <c r="L540" s="152"/>
    </row>
    <row r="541" spans="1:12" hidden="1" x14ac:dyDescent="0.25">
      <c r="A541" s="82">
        <v>44056</v>
      </c>
      <c r="B541" s="79" t="s">
        <v>1459</v>
      </c>
      <c r="C541" s="79"/>
      <c r="D541" s="79" t="s">
        <v>0</v>
      </c>
      <c r="E541" s="79">
        <v>68427709</v>
      </c>
      <c r="F541" s="174">
        <v>596000</v>
      </c>
      <c r="G541" s="79" t="s">
        <v>797</v>
      </c>
      <c r="H541" s="79" t="s">
        <v>114</v>
      </c>
      <c r="I541" s="79" t="s">
        <v>181</v>
      </c>
      <c r="J541" s="79">
        <v>2021</v>
      </c>
      <c r="K541" s="79" t="s">
        <v>1427</v>
      </c>
      <c r="L541" s="79"/>
    </row>
    <row r="542" spans="1:12" hidden="1" x14ac:dyDescent="0.25">
      <c r="A542" s="82">
        <v>44074</v>
      </c>
      <c r="B542" s="79" t="s">
        <v>845</v>
      </c>
      <c r="C542" s="79" t="s">
        <v>1460</v>
      </c>
      <c r="D542" s="79" t="s">
        <v>0</v>
      </c>
      <c r="E542" s="79">
        <v>68427709</v>
      </c>
      <c r="F542" s="93">
        <v>15000</v>
      </c>
      <c r="G542" s="79" t="s">
        <v>113</v>
      </c>
      <c r="H542" s="79" t="s">
        <v>114</v>
      </c>
      <c r="I542" s="79" t="s">
        <v>133</v>
      </c>
      <c r="J542" s="79">
        <v>2021</v>
      </c>
      <c r="K542" s="79" t="s">
        <v>523</v>
      </c>
      <c r="L542" s="79" t="s">
        <v>1461</v>
      </c>
    </row>
    <row r="543" spans="1:12" hidden="1" x14ac:dyDescent="0.25">
      <c r="A543" s="82">
        <v>44077</v>
      </c>
      <c r="B543" s="79" t="s">
        <v>1462</v>
      </c>
      <c r="C543" s="79" t="s">
        <v>1463</v>
      </c>
      <c r="D543" s="79" t="s">
        <v>0</v>
      </c>
      <c r="E543" s="79">
        <v>68427709</v>
      </c>
      <c r="F543" s="174">
        <v>-100000</v>
      </c>
      <c r="G543" s="79" t="s">
        <v>113</v>
      </c>
      <c r="H543" s="79" t="s">
        <v>114</v>
      </c>
      <c r="I543" s="79" t="s">
        <v>133</v>
      </c>
      <c r="J543" s="79">
        <v>2021</v>
      </c>
      <c r="K543" s="79" t="s">
        <v>116</v>
      </c>
      <c r="L543" s="79"/>
    </row>
    <row r="544" spans="1:12" hidden="1" x14ac:dyDescent="0.25">
      <c r="A544" s="82">
        <v>44077</v>
      </c>
      <c r="B544" s="79" t="s">
        <v>1464</v>
      </c>
      <c r="C544" s="79" t="s">
        <v>1465</v>
      </c>
      <c r="D544" s="79" t="s">
        <v>0</v>
      </c>
      <c r="E544" s="79">
        <v>68427709</v>
      </c>
      <c r="F544" s="174">
        <v>-100000</v>
      </c>
      <c r="G544" s="79" t="s">
        <v>113</v>
      </c>
      <c r="H544" s="79" t="s">
        <v>114</v>
      </c>
      <c r="I544" s="79" t="s">
        <v>133</v>
      </c>
      <c r="J544" s="79">
        <v>2021</v>
      </c>
      <c r="K544" s="79" t="s">
        <v>116</v>
      </c>
      <c r="L544" s="79"/>
    </row>
    <row r="545" spans="1:12" hidden="1" x14ac:dyDescent="0.25">
      <c r="A545" s="82">
        <v>44077</v>
      </c>
      <c r="B545" s="79" t="s">
        <v>1466</v>
      </c>
      <c r="C545" s="79" t="s">
        <v>1467</v>
      </c>
      <c r="D545" s="79" t="s">
        <v>352</v>
      </c>
      <c r="E545" s="79">
        <v>68427709</v>
      </c>
      <c r="F545" s="174">
        <v>-21000</v>
      </c>
      <c r="G545" s="79" t="s">
        <v>302</v>
      </c>
      <c r="H545" s="79" t="s">
        <v>114</v>
      </c>
      <c r="I545" s="79" t="s">
        <v>133</v>
      </c>
      <c r="J545" s="79">
        <v>2021</v>
      </c>
      <c r="K545" s="79" t="s">
        <v>116</v>
      </c>
      <c r="L545" s="79" t="s">
        <v>1443</v>
      </c>
    </row>
    <row r="546" spans="1:12" hidden="1" x14ac:dyDescent="0.25">
      <c r="A546" s="82">
        <v>44077</v>
      </c>
      <c r="B546" s="79" t="s">
        <v>1468</v>
      </c>
      <c r="C546" s="79" t="s">
        <v>1469</v>
      </c>
      <c r="D546" s="79" t="s">
        <v>352</v>
      </c>
      <c r="E546" s="79">
        <v>68427709</v>
      </c>
      <c r="F546" s="174">
        <v>-10000</v>
      </c>
      <c r="G546" s="79" t="s">
        <v>113</v>
      </c>
      <c r="H546" s="79" t="s">
        <v>114</v>
      </c>
      <c r="I546" s="79" t="s">
        <v>133</v>
      </c>
      <c r="J546" s="79">
        <v>2021</v>
      </c>
      <c r="K546" s="79" t="s">
        <v>116</v>
      </c>
      <c r="L546" s="79" t="s">
        <v>1443</v>
      </c>
    </row>
    <row r="547" spans="1:12" hidden="1" x14ac:dyDescent="0.25">
      <c r="A547" s="82">
        <v>44077</v>
      </c>
      <c r="B547" s="79" t="s">
        <v>1470</v>
      </c>
      <c r="C547" s="79" t="s">
        <v>1471</v>
      </c>
      <c r="D547" s="79" t="s">
        <v>352</v>
      </c>
      <c r="E547" s="79">
        <v>68427709</v>
      </c>
      <c r="F547" s="174">
        <v>-120000</v>
      </c>
      <c r="G547" s="79" t="s">
        <v>113</v>
      </c>
      <c r="H547" s="79" t="s">
        <v>114</v>
      </c>
      <c r="I547" s="79" t="s">
        <v>133</v>
      </c>
      <c r="J547" s="79">
        <v>2021</v>
      </c>
      <c r="K547" s="79" t="s">
        <v>116</v>
      </c>
      <c r="L547" s="79" t="s">
        <v>1443</v>
      </c>
    </row>
    <row r="548" spans="1:12" hidden="1" x14ac:dyDescent="0.25">
      <c r="A548" s="82">
        <v>44077</v>
      </c>
      <c r="B548" s="79" t="s">
        <v>880</v>
      </c>
      <c r="C548" s="79" t="s">
        <v>1471</v>
      </c>
      <c r="D548" s="79" t="s">
        <v>352</v>
      </c>
      <c r="E548" s="79">
        <v>68427709</v>
      </c>
      <c r="F548" s="174">
        <v>-107000</v>
      </c>
      <c r="G548" s="79" t="s">
        <v>113</v>
      </c>
      <c r="H548" s="79" t="s">
        <v>114</v>
      </c>
      <c r="I548" s="79" t="s">
        <v>133</v>
      </c>
      <c r="J548" s="79">
        <v>2021</v>
      </c>
      <c r="K548" s="79" t="s">
        <v>116</v>
      </c>
      <c r="L548" s="79" t="s">
        <v>1443</v>
      </c>
    </row>
    <row r="549" spans="1:12" hidden="1" x14ac:dyDescent="0.25">
      <c r="A549" s="82">
        <v>44077</v>
      </c>
      <c r="B549" s="79" t="s">
        <v>1472</v>
      </c>
      <c r="C549" s="79" t="s">
        <v>1471</v>
      </c>
      <c r="D549" s="79" t="s">
        <v>352</v>
      </c>
      <c r="E549" s="79">
        <v>68427709</v>
      </c>
      <c r="F549" s="174">
        <v>-22000</v>
      </c>
      <c r="G549" s="79" t="s">
        <v>113</v>
      </c>
      <c r="H549" s="79" t="s">
        <v>114</v>
      </c>
      <c r="I549" s="79" t="s">
        <v>133</v>
      </c>
      <c r="J549" s="79">
        <v>2021</v>
      </c>
      <c r="K549" s="79" t="s">
        <v>116</v>
      </c>
      <c r="L549" s="79" t="s">
        <v>1443</v>
      </c>
    </row>
    <row r="550" spans="1:12" hidden="1" x14ac:dyDescent="0.25">
      <c r="A550" s="82">
        <v>44077</v>
      </c>
      <c r="B550" s="79" t="s">
        <v>1473</v>
      </c>
      <c r="C550" s="79" t="s">
        <v>1471</v>
      </c>
      <c r="D550" s="79" t="s">
        <v>352</v>
      </c>
      <c r="E550" s="79">
        <v>68427709</v>
      </c>
      <c r="F550" s="174">
        <v>-282000</v>
      </c>
      <c r="G550" s="79" t="s">
        <v>113</v>
      </c>
      <c r="H550" s="79" t="s">
        <v>114</v>
      </c>
      <c r="I550" s="79" t="s">
        <v>133</v>
      </c>
      <c r="J550" s="79">
        <v>2021</v>
      </c>
      <c r="K550" s="79" t="s">
        <v>116</v>
      </c>
      <c r="L550" s="79" t="s">
        <v>1443</v>
      </c>
    </row>
    <row r="551" spans="1:12" hidden="1" x14ac:dyDescent="0.25">
      <c r="A551" s="82">
        <v>44077</v>
      </c>
      <c r="B551" s="79" t="s">
        <v>1474</v>
      </c>
      <c r="C551" s="79" t="s">
        <v>1475</v>
      </c>
      <c r="D551" s="79" t="s">
        <v>352</v>
      </c>
      <c r="E551" s="79">
        <v>68427709</v>
      </c>
      <c r="F551" s="174">
        <v>-125000</v>
      </c>
      <c r="G551" s="79" t="s">
        <v>113</v>
      </c>
      <c r="H551" s="79" t="s">
        <v>114</v>
      </c>
      <c r="I551" s="79" t="s">
        <v>133</v>
      </c>
      <c r="J551" s="79">
        <v>2021</v>
      </c>
      <c r="K551" s="79" t="s">
        <v>116</v>
      </c>
      <c r="L551" s="79" t="s">
        <v>1443</v>
      </c>
    </row>
    <row r="552" spans="1:12" hidden="1" x14ac:dyDescent="0.25">
      <c r="A552" s="82">
        <v>44077</v>
      </c>
      <c r="B552" s="79" t="s">
        <v>1476</v>
      </c>
      <c r="C552" s="79" t="s">
        <v>1477</v>
      </c>
      <c r="D552" s="79" t="s">
        <v>352</v>
      </c>
      <c r="E552" s="79">
        <v>68427709</v>
      </c>
      <c r="F552" s="174">
        <v>-332000</v>
      </c>
      <c r="G552" s="79" t="s">
        <v>113</v>
      </c>
      <c r="H552" s="79" t="s">
        <v>114</v>
      </c>
      <c r="I552" s="79" t="s">
        <v>133</v>
      </c>
      <c r="J552" s="79">
        <v>2021</v>
      </c>
      <c r="K552" s="79" t="s">
        <v>116</v>
      </c>
      <c r="L552" s="79" t="s">
        <v>1443</v>
      </c>
    </row>
    <row r="553" spans="1:12" hidden="1" x14ac:dyDescent="0.25">
      <c r="A553" s="82">
        <v>44077</v>
      </c>
      <c r="B553" s="79" t="s">
        <v>1478</v>
      </c>
      <c r="C553" s="79" t="s">
        <v>1477</v>
      </c>
      <c r="D553" s="79" t="s">
        <v>352</v>
      </c>
      <c r="E553" s="79">
        <v>68427709</v>
      </c>
      <c r="F553" s="174">
        <v>-430000</v>
      </c>
      <c r="G553" s="79" t="s">
        <v>113</v>
      </c>
      <c r="H553" s="79" t="s">
        <v>114</v>
      </c>
      <c r="I553" s="79" t="s">
        <v>133</v>
      </c>
      <c r="J553" s="79">
        <v>2021</v>
      </c>
      <c r="K553" s="79" t="s">
        <v>116</v>
      </c>
      <c r="L553" s="79" t="s">
        <v>1443</v>
      </c>
    </row>
    <row r="554" spans="1:12" hidden="1" x14ac:dyDescent="0.25">
      <c r="A554" s="82">
        <v>44077</v>
      </c>
      <c r="B554" s="79" t="s">
        <v>1479</v>
      </c>
      <c r="C554" s="79" t="s">
        <v>1480</v>
      </c>
      <c r="D554" s="79" t="s">
        <v>352</v>
      </c>
      <c r="E554" s="79">
        <v>68427709</v>
      </c>
      <c r="F554" s="174">
        <v>625000</v>
      </c>
      <c r="G554" s="79" t="s">
        <v>113</v>
      </c>
      <c r="H554" s="79" t="s">
        <v>114</v>
      </c>
      <c r="I554" s="79" t="s">
        <v>133</v>
      </c>
      <c r="J554" s="79">
        <v>2021</v>
      </c>
      <c r="K554" s="79" t="s">
        <v>116</v>
      </c>
      <c r="L554" s="79" t="s">
        <v>1443</v>
      </c>
    </row>
    <row r="555" spans="1:12" hidden="1" x14ac:dyDescent="0.25">
      <c r="A555" s="82">
        <v>44077</v>
      </c>
      <c r="B555" s="79" t="s">
        <v>1481</v>
      </c>
      <c r="C555" s="79" t="s">
        <v>1482</v>
      </c>
      <c r="D555" s="79" t="s">
        <v>352</v>
      </c>
      <c r="E555" s="79">
        <v>68427709</v>
      </c>
      <c r="F555" s="174">
        <v>80000</v>
      </c>
      <c r="G555" s="79" t="s">
        <v>113</v>
      </c>
      <c r="H555" s="79" t="s">
        <v>114</v>
      </c>
      <c r="I555" s="79" t="s">
        <v>133</v>
      </c>
      <c r="J555" s="79">
        <v>2021</v>
      </c>
      <c r="K555" s="79" t="s">
        <v>116</v>
      </c>
      <c r="L555" s="79" t="s">
        <v>1443</v>
      </c>
    </row>
    <row r="556" spans="1:12" hidden="1" x14ac:dyDescent="0.25">
      <c r="A556" s="82">
        <v>44077</v>
      </c>
      <c r="B556" s="96" t="s">
        <v>1483</v>
      </c>
      <c r="C556" s="79" t="s">
        <v>1477</v>
      </c>
      <c r="D556" s="79" t="s">
        <v>352</v>
      </c>
      <c r="E556" s="79">
        <v>68427709</v>
      </c>
      <c r="F556" s="174">
        <v>85000</v>
      </c>
      <c r="G556" s="79" t="s">
        <v>113</v>
      </c>
      <c r="H556" s="79" t="s">
        <v>114</v>
      </c>
      <c r="I556" s="79" t="s">
        <v>133</v>
      </c>
      <c r="J556" s="79">
        <v>2021</v>
      </c>
      <c r="K556" s="79" t="s">
        <v>116</v>
      </c>
      <c r="L556" s="79" t="s">
        <v>1443</v>
      </c>
    </row>
    <row r="557" spans="1:12" hidden="1" x14ac:dyDescent="0.25">
      <c r="A557" s="175">
        <v>44077</v>
      </c>
      <c r="B557" s="96" t="s">
        <v>1484</v>
      </c>
      <c r="C557" s="139" t="s">
        <v>1485</v>
      </c>
      <c r="D557" s="139" t="s">
        <v>352</v>
      </c>
      <c r="E557" s="139">
        <v>68427709</v>
      </c>
      <c r="F557" s="176">
        <v>500000</v>
      </c>
      <c r="G557" s="139" t="s">
        <v>113</v>
      </c>
      <c r="H557" s="139" t="s">
        <v>114</v>
      </c>
      <c r="I557" s="139" t="s">
        <v>133</v>
      </c>
      <c r="J557" s="139">
        <v>2021</v>
      </c>
      <c r="K557" s="139" t="s">
        <v>116</v>
      </c>
      <c r="L557" s="139" t="s">
        <v>1443</v>
      </c>
    </row>
    <row r="558" spans="1:12" hidden="1" x14ac:dyDescent="0.25">
      <c r="A558" s="82">
        <v>44077</v>
      </c>
      <c r="B558" s="150" t="s">
        <v>1486</v>
      </c>
      <c r="C558" s="79" t="s">
        <v>1487</v>
      </c>
      <c r="D558" s="79" t="s">
        <v>352</v>
      </c>
      <c r="E558" s="79">
        <v>68427709</v>
      </c>
      <c r="F558" s="174">
        <v>170000</v>
      </c>
      <c r="G558" s="79" t="s">
        <v>113</v>
      </c>
      <c r="H558" s="79" t="s">
        <v>114</v>
      </c>
      <c r="I558" s="79" t="s">
        <v>133</v>
      </c>
      <c r="J558" s="79">
        <v>2021</v>
      </c>
      <c r="K558" s="79" t="s">
        <v>116</v>
      </c>
      <c r="L558" s="79" t="s">
        <v>1443</v>
      </c>
    </row>
    <row r="559" spans="1:12" hidden="1" x14ac:dyDescent="0.25">
      <c r="A559" s="82">
        <v>44077</v>
      </c>
      <c r="B559" s="79" t="s">
        <v>1488</v>
      </c>
      <c r="C559" s="79" t="s">
        <v>1489</v>
      </c>
      <c r="D559" s="79"/>
      <c r="E559" s="79">
        <v>68427709</v>
      </c>
      <c r="F559" s="174">
        <v>42000</v>
      </c>
      <c r="G559" s="79" t="s">
        <v>113</v>
      </c>
      <c r="H559" s="79" t="s">
        <v>114</v>
      </c>
      <c r="I559" s="79" t="s">
        <v>133</v>
      </c>
      <c r="J559" s="79">
        <v>2021</v>
      </c>
      <c r="K559" s="79" t="s">
        <v>1397</v>
      </c>
      <c r="L559" s="152" t="s">
        <v>1490</v>
      </c>
    </row>
    <row r="560" spans="1:12" hidden="1" x14ac:dyDescent="0.25">
      <c r="A560" s="82">
        <v>44082</v>
      </c>
      <c r="B560" s="150" t="s">
        <v>1491</v>
      </c>
      <c r="C560" s="79" t="s">
        <v>1492</v>
      </c>
      <c r="D560" s="79" t="s">
        <v>1491</v>
      </c>
      <c r="E560" s="79">
        <v>68427709</v>
      </c>
      <c r="F560" s="174">
        <v>-85000</v>
      </c>
      <c r="G560" s="79" t="s">
        <v>113</v>
      </c>
      <c r="H560" s="79" t="s">
        <v>114</v>
      </c>
      <c r="I560" s="79" t="s">
        <v>204</v>
      </c>
      <c r="J560" s="79">
        <v>2021</v>
      </c>
      <c r="K560" s="79" t="s">
        <v>309</v>
      </c>
      <c r="L560" s="79" t="s">
        <v>1493</v>
      </c>
    </row>
    <row r="561" spans="1:12" hidden="1" x14ac:dyDescent="0.25">
      <c r="A561" s="82">
        <v>44082</v>
      </c>
      <c r="B561" s="150" t="s">
        <v>1494</v>
      </c>
      <c r="C561" s="79" t="s">
        <v>1495</v>
      </c>
      <c r="D561" s="79" t="s">
        <v>501</v>
      </c>
      <c r="E561" s="79">
        <v>68427709</v>
      </c>
      <c r="F561" s="174">
        <v>-55000</v>
      </c>
      <c r="G561" s="79" t="s">
        <v>113</v>
      </c>
      <c r="H561" s="79" t="s">
        <v>114</v>
      </c>
      <c r="I561" s="79" t="s">
        <v>204</v>
      </c>
      <c r="J561" s="79">
        <v>2021</v>
      </c>
      <c r="K561" s="79" t="s">
        <v>116</v>
      </c>
      <c r="L561" s="79" t="s">
        <v>1496</v>
      </c>
    </row>
    <row r="562" spans="1:12" hidden="1" x14ac:dyDescent="0.25">
      <c r="A562" s="82">
        <v>44082</v>
      </c>
      <c r="B562" s="150" t="s">
        <v>1497</v>
      </c>
      <c r="C562" s="79" t="s">
        <v>1498</v>
      </c>
      <c r="D562" s="79" t="s">
        <v>1497</v>
      </c>
      <c r="E562" s="79">
        <v>68427709</v>
      </c>
      <c r="F562" s="174">
        <v>-12000</v>
      </c>
      <c r="G562" s="79" t="s">
        <v>113</v>
      </c>
      <c r="H562" s="79" t="s">
        <v>114</v>
      </c>
      <c r="I562" s="79" t="s">
        <v>204</v>
      </c>
      <c r="J562" s="79">
        <v>2021</v>
      </c>
      <c r="K562" s="79" t="s">
        <v>116</v>
      </c>
      <c r="L562" s="92" t="s">
        <v>1499</v>
      </c>
    </row>
    <row r="563" spans="1:12" hidden="1" x14ac:dyDescent="0.25">
      <c r="A563" s="82">
        <v>44082</v>
      </c>
      <c r="B563" s="150" t="s">
        <v>1500</v>
      </c>
      <c r="C563" s="79" t="s">
        <v>1501</v>
      </c>
      <c r="D563" s="79" t="s">
        <v>0</v>
      </c>
      <c r="E563" s="79">
        <v>68427709</v>
      </c>
      <c r="F563" s="174">
        <v>-10000</v>
      </c>
      <c r="G563" s="79" t="s">
        <v>113</v>
      </c>
      <c r="H563" s="79" t="s">
        <v>114</v>
      </c>
      <c r="I563" s="79" t="s">
        <v>204</v>
      </c>
      <c r="J563" s="79">
        <v>2021</v>
      </c>
      <c r="K563" s="79" t="s">
        <v>116</v>
      </c>
      <c r="L563" s="79" t="s">
        <v>1502</v>
      </c>
    </row>
    <row r="564" spans="1:12" hidden="1" x14ac:dyDescent="0.25">
      <c r="A564" s="82">
        <v>44082</v>
      </c>
      <c r="B564" s="150" t="s">
        <v>927</v>
      </c>
      <c r="C564" s="92" t="s">
        <v>1503</v>
      </c>
      <c r="D564" s="79" t="s">
        <v>0</v>
      </c>
      <c r="E564" s="79">
        <v>68427709</v>
      </c>
      <c r="F564" s="174">
        <v>-10000</v>
      </c>
      <c r="G564" s="79" t="s">
        <v>113</v>
      </c>
      <c r="H564" s="79" t="s">
        <v>114</v>
      </c>
      <c r="I564" s="79" t="s">
        <v>204</v>
      </c>
      <c r="J564" s="79">
        <v>2021</v>
      </c>
      <c r="K564" s="79" t="s">
        <v>116</v>
      </c>
      <c r="L564" s="79" t="s">
        <v>1504</v>
      </c>
    </row>
    <row r="565" spans="1:12" hidden="1" x14ac:dyDescent="0.25">
      <c r="A565" s="82">
        <v>44082</v>
      </c>
      <c r="B565" s="150" t="s">
        <v>1505</v>
      </c>
      <c r="C565" s="92" t="s">
        <v>1503</v>
      </c>
      <c r="D565" s="79" t="s">
        <v>1506</v>
      </c>
      <c r="E565" s="79">
        <v>68427709</v>
      </c>
      <c r="F565" s="174">
        <v>-11000</v>
      </c>
      <c r="G565" s="79" t="s">
        <v>113</v>
      </c>
      <c r="H565" s="79" t="s">
        <v>114</v>
      </c>
      <c r="I565" s="79" t="s">
        <v>204</v>
      </c>
      <c r="J565" s="79">
        <v>2021</v>
      </c>
      <c r="K565" s="79" t="s">
        <v>116</v>
      </c>
      <c r="L565" s="79" t="s">
        <v>1504</v>
      </c>
    </row>
    <row r="566" spans="1:12" hidden="1" x14ac:dyDescent="0.25">
      <c r="A566" s="82">
        <v>44082</v>
      </c>
      <c r="B566" s="79" t="s">
        <v>1507</v>
      </c>
      <c r="C566" s="79" t="s">
        <v>1508</v>
      </c>
      <c r="D566" s="79" t="s">
        <v>900</v>
      </c>
      <c r="E566" s="79">
        <v>68427709</v>
      </c>
      <c r="F566" s="174">
        <v>-30000</v>
      </c>
      <c r="G566" s="79" t="s">
        <v>113</v>
      </c>
      <c r="H566" s="79" t="s">
        <v>114</v>
      </c>
      <c r="I566" s="79" t="s">
        <v>204</v>
      </c>
      <c r="J566" s="79">
        <v>2021</v>
      </c>
      <c r="K566" s="79" t="s">
        <v>116</v>
      </c>
      <c r="L566" s="79" t="s">
        <v>1509</v>
      </c>
    </row>
    <row r="567" spans="1:12" hidden="1" x14ac:dyDescent="0.25">
      <c r="A567" s="82">
        <v>44082</v>
      </c>
      <c r="B567" s="150" t="s">
        <v>1510</v>
      </c>
      <c r="C567" s="79" t="s">
        <v>1511</v>
      </c>
      <c r="D567" s="79" t="s">
        <v>1510</v>
      </c>
      <c r="E567" s="79">
        <v>68427709</v>
      </c>
      <c r="F567" s="174">
        <v>-20000</v>
      </c>
      <c r="G567" s="79" t="s">
        <v>113</v>
      </c>
      <c r="H567" s="79" t="s">
        <v>114</v>
      </c>
      <c r="I567" s="79" t="s">
        <v>204</v>
      </c>
      <c r="J567" s="79">
        <v>2021</v>
      </c>
      <c r="K567" s="79" t="s">
        <v>116</v>
      </c>
      <c r="L567" s="92" t="s">
        <v>1499</v>
      </c>
    </row>
    <row r="568" spans="1:12" hidden="1" x14ac:dyDescent="0.25">
      <c r="A568" s="82">
        <v>44082</v>
      </c>
      <c r="B568" s="79" t="s">
        <v>1512</v>
      </c>
      <c r="C568" s="79" t="s">
        <v>1513</v>
      </c>
      <c r="D568" s="79" t="s">
        <v>1512</v>
      </c>
      <c r="E568" s="79">
        <v>68427709</v>
      </c>
      <c r="F568" s="174">
        <v>-27000</v>
      </c>
      <c r="G568" s="79" t="s">
        <v>113</v>
      </c>
      <c r="H568" s="79" t="s">
        <v>114</v>
      </c>
      <c r="I568" s="79" t="s">
        <v>204</v>
      </c>
      <c r="J568" s="79">
        <v>2021</v>
      </c>
      <c r="K568" s="79" t="s">
        <v>433</v>
      </c>
      <c r="L568" s="92" t="s">
        <v>1514</v>
      </c>
    </row>
    <row r="569" spans="1:12" hidden="1" x14ac:dyDescent="0.25">
      <c r="A569" s="82">
        <v>44082</v>
      </c>
      <c r="B569" s="79" t="s">
        <v>1515</v>
      </c>
      <c r="C569" s="79" t="s">
        <v>1516</v>
      </c>
      <c r="D569" s="79" t="s">
        <v>177</v>
      </c>
      <c r="E569" s="79">
        <v>68427709</v>
      </c>
      <c r="F569" s="174">
        <v>-22000</v>
      </c>
      <c r="G569" s="79" t="s">
        <v>113</v>
      </c>
      <c r="H569" s="79" t="s">
        <v>114</v>
      </c>
      <c r="I569" s="79" t="s">
        <v>204</v>
      </c>
      <c r="J569" s="79">
        <v>2021</v>
      </c>
      <c r="K569" s="79" t="s">
        <v>116</v>
      </c>
      <c r="L569" s="79" t="s">
        <v>1517</v>
      </c>
    </row>
    <row r="570" spans="1:12" hidden="1" x14ac:dyDescent="0.25">
      <c r="A570" s="82">
        <v>44082</v>
      </c>
      <c r="B570" s="177" t="s">
        <v>1518</v>
      </c>
      <c r="C570" s="79" t="s">
        <v>1519</v>
      </c>
      <c r="D570" s="79" t="s">
        <v>0</v>
      </c>
      <c r="E570" s="79">
        <v>68427709</v>
      </c>
      <c r="F570" s="174">
        <v>-120000</v>
      </c>
      <c r="G570" s="79" t="s">
        <v>113</v>
      </c>
      <c r="H570" s="79" t="s">
        <v>114</v>
      </c>
      <c r="I570" s="79" t="s">
        <v>204</v>
      </c>
      <c r="J570" s="79">
        <v>2021</v>
      </c>
      <c r="K570" s="79" t="s">
        <v>116</v>
      </c>
      <c r="L570" s="79" t="s">
        <v>1520</v>
      </c>
    </row>
    <row r="571" spans="1:12" hidden="1" x14ac:dyDescent="0.25">
      <c r="A571" s="82">
        <v>44082</v>
      </c>
      <c r="B571" s="79" t="s">
        <v>1521</v>
      </c>
      <c r="C571" s="79" t="s">
        <v>1522</v>
      </c>
      <c r="D571" s="79" t="s">
        <v>1521</v>
      </c>
      <c r="E571" s="79">
        <v>68427709</v>
      </c>
      <c r="F571" s="174">
        <v>-125000</v>
      </c>
      <c r="G571" s="79" t="s">
        <v>113</v>
      </c>
      <c r="H571" s="79" t="s">
        <v>114</v>
      </c>
      <c r="I571" s="79" t="s">
        <v>204</v>
      </c>
      <c r="J571" s="79">
        <v>2021</v>
      </c>
      <c r="K571" s="79" t="s">
        <v>116</v>
      </c>
      <c r="L571" s="79" t="s">
        <v>1523</v>
      </c>
    </row>
    <row r="572" spans="1:12" hidden="1" x14ac:dyDescent="0.25">
      <c r="A572" s="82">
        <v>44082</v>
      </c>
      <c r="B572" s="22" t="s">
        <v>1524</v>
      </c>
      <c r="C572" s="79" t="s">
        <v>1525</v>
      </c>
      <c r="D572" s="79" t="s">
        <v>0</v>
      </c>
      <c r="E572" s="79">
        <v>68427709</v>
      </c>
      <c r="F572" s="174">
        <v>-6500</v>
      </c>
      <c r="G572" s="79" t="s">
        <v>113</v>
      </c>
      <c r="H572" s="79" t="s">
        <v>114</v>
      </c>
      <c r="I572" s="79" t="s">
        <v>204</v>
      </c>
      <c r="J572" s="79">
        <v>2021</v>
      </c>
      <c r="K572" s="79" t="s">
        <v>116</v>
      </c>
      <c r="L572" s="79"/>
    </row>
    <row r="573" spans="1:12" hidden="1" x14ac:dyDescent="0.25">
      <c r="A573" s="82">
        <v>44082</v>
      </c>
      <c r="B573" t="s">
        <v>1526</v>
      </c>
      <c r="C573" s="79" t="s">
        <v>1527</v>
      </c>
      <c r="D573" s="79" t="s">
        <v>0</v>
      </c>
      <c r="E573" s="79">
        <v>68427709</v>
      </c>
      <c r="F573" s="174">
        <v>-225000</v>
      </c>
      <c r="G573" s="79" t="s">
        <v>113</v>
      </c>
      <c r="H573" s="79" t="s">
        <v>114</v>
      </c>
      <c r="I573" s="79" t="s">
        <v>204</v>
      </c>
      <c r="J573" s="79">
        <v>2021</v>
      </c>
      <c r="K573" s="79" t="s">
        <v>116</v>
      </c>
      <c r="L573" s="79" t="s">
        <v>1528</v>
      </c>
    </row>
    <row r="574" spans="1:12" hidden="1" x14ac:dyDescent="0.25">
      <c r="A574" s="82">
        <v>44088</v>
      </c>
      <c r="B574" s="79" t="s">
        <v>1529</v>
      </c>
      <c r="C574" s="79" t="s">
        <v>1530</v>
      </c>
      <c r="D574" s="79" t="s">
        <v>180</v>
      </c>
      <c r="E574" s="79">
        <v>68427719</v>
      </c>
      <c r="F574" s="174">
        <v>0</v>
      </c>
      <c r="G574" s="79" t="s">
        <v>302</v>
      </c>
      <c r="H574" s="79" t="s">
        <v>114</v>
      </c>
      <c r="I574" s="79" t="s">
        <v>204</v>
      </c>
      <c r="J574" s="79">
        <v>2021</v>
      </c>
      <c r="K574" s="79" t="s">
        <v>1397</v>
      </c>
      <c r="L574" s="79" t="s">
        <v>1394</v>
      </c>
    </row>
    <row r="575" spans="1:12" hidden="1" x14ac:dyDescent="0.25">
      <c r="A575" s="82">
        <v>44088</v>
      </c>
      <c r="B575" s="79" t="s">
        <v>1531</v>
      </c>
      <c r="C575" s="79" t="s">
        <v>1532</v>
      </c>
      <c r="D575" s="79" t="s">
        <v>40</v>
      </c>
      <c r="E575" s="79">
        <v>68427709</v>
      </c>
      <c r="F575" s="174">
        <v>0</v>
      </c>
      <c r="G575" s="79" t="s">
        <v>113</v>
      </c>
      <c r="H575" s="79" t="s">
        <v>114</v>
      </c>
      <c r="I575" s="79" t="s">
        <v>204</v>
      </c>
      <c r="J575" s="79">
        <v>2021</v>
      </c>
      <c r="K575" s="79" t="s">
        <v>1427</v>
      </c>
      <c r="L575" s="79"/>
    </row>
    <row r="576" spans="1:12" hidden="1" x14ac:dyDescent="0.25">
      <c r="A576" s="82">
        <v>44090</v>
      </c>
      <c r="B576" s="79" t="s">
        <v>1533</v>
      </c>
      <c r="C576" s="79" t="s">
        <v>1534</v>
      </c>
      <c r="D576" s="79" t="s">
        <v>900</v>
      </c>
      <c r="E576" s="79">
        <v>68427709</v>
      </c>
      <c r="F576" s="174">
        <v>-106000</v>
      </c>
      <c r="G576" s="79" t="s">
        <v>113</v>
      </c>
      <c r="H576" s="79" t="s">
        <v>114</v>
      </c>
      <c r="I576" s="79" t="s">
        <v>204</v>
      </c>
      <c r="J576" s="79">
        <v>2021</v>
      </c>
      <c r="K576" s="79" t="s">
        <v>116</v>
      </c>
      <c r="L576" s="79" t="s">
        <v>1535</v>
      </c>
    </row>
    <row r="577" spans="1:12" hidden="1" x14ac:dyDescent="0.25">
      <c r="A577" s="82">
        <v>44090</v>
      </c>
      <c r="B577" s="79" t="s">
        <v>1536</v>
      </c>
      <c r="C577" s="79" t="s">
        <v>1537</v>
      </c>
      <c r="D577" s="79" t="s">
        <v>900</v>
      </c>
      <c r="E577" s="79">
        <v>68427709</v>
      </c>
      <c r="F577" s="174">
        <v>9000</v>
      </c>
      <c r="G577" s="79" t="s">
        <v>113</v>
      </c>
      <c r="H577" s="79" t="s">
        <v>114</v>
      </c>
      <c r="I577" s="79" t="s">
        <v>204</v>
      </c>
      <c r="J577" s="79">
        <v>2021</v>
      </c>
      <c r="K577" s="79" t="s">
        <v>116</v>
      </c>
      <c r="L577" s="79"/>
    </row>
    <row r="578" spans="1:12" hidden="1" x14ac:dyDescent="0.25">
      <c r="A578" s="82">
        <v>44090</v>
      </c>
      <c r="B578" s="79" t="s">
        <v>307</v>
      </c>
      <c r="C578" s="79" t="s">
        <v>1538</v>
      </c>
      <c r="D578" s="79" t="s">
        <v>307</v>
      </c>
      <c r="E578" s="79">
        <v>68427709</v>
      </c>
      <c r="F578" s="174">
        <v>-30000</v>
      </c>
      <c r="G578" s="79" t="s">
        <v>113</v>
      </c>
      <c r="H578" s="79" t="s">
        <v>114</v>
      </c>
      <c r="I578" s="79" t="s">
        <v>204</v>
      </c>
      <c r="J578" s="79">
        <v>2021</v>
      </c>
      <c r="K578" s="79" t="s">
        <v>116</v>
      </c>
      <c r="L578" s="79"/>
    </row>
    <row r="579" spans="1:12" hidden="1" x14ac:dyDescent="0.25">
      <c r="A579" s="82">
        <v>44092</v>
      </c>
      <c r="B579" s="79" t="s">
        <v>1019</v>
      </c>
      <c r="C579" s="79" t="s">
        <v>1539</v>
      </c>
      <c r="D579" s="79" t="s">
        <v>180</v>
      </c>
      <c r="E579" s="79">
        <v>68427719</v>
      </c>
      <c r="F579" s="174">
        <v>-900000</v>
      </c>
      <c r="G579" s="79" t="s">
        <v>113</v>
      </c>
      <c r="H579" s="79" t="s">
        <v>114</v>
      </c>
      <c r="I579" s="79" t="s">
        <v>133</v>
      </c>
      <c r="J579" s="79">
        <v>2021</v>
      </c>
      <c r="K579" s="79" t="s">
        <v>1397</v>
      </c>
      <c r="L579" s="79"/>
    </row>
    <row r="580" spans="1:12" hidden="1" x14ac:dyDescent="0.25">
      <c r="A580" s="82">
        <v>44092</v>
      </c>
      <c r="B580" s="79" t="s">
        <v>1022</v>
      </c>
      <c r="C580" s="79" t="s">
        <v>1539</v>
      </c>
      <c r="D580" s="79" t="s">
        <v>184</v>
      </c>
      <c r="E580" s="79">
        <v>68427719</v>
      </c>
      <c r="F580" s="174">
        <v>-650000</v>
      </c>
      <c r="G580" s="79" t="s">
        <v>113</v>
      </c>
      <c r="H580" s="79" t="s">
        <v>114</v>
      </c>
      <c r="I580" s="79" t="s">
        <v>133</v>
      </c>
      <c r="J580" s="79">
        <v>2021</v>
      </c>
      <c r="K580" s="79" t="s">
        <v>1397</v>
      </c>
      <c r="L580" s="79"/>
    </row>
    <row r="581" spans="1:12" hidden="1" x14ac:dyDescent="0.25">
      <c r="A581" s="82">
        <v>44092</v>
      </c>
      <c r="B581" s="79" t="s">
        <v>1023</v>
      </c>
      <c r="C581" s="79" t="s">
        <v>1539</v>
      </c>
      <c r="D581" s="79" t="s">
        <v>183</v>
      </c>
      <c r="E581" s="79">
        <v>68427719</v>
      </c>
      <c r="F581" s="174">
        <v>-1400000</v>
      </c>
      <c r="G581" s="79" t="s">
        <v>113</v>
      </c>
      <c r="H581" s="79" t="s">
        <v>114</v>
      </c>
      <c r="I581" s="79" t="s">
        <v>133</v>
      </c>
      <c r="J581" s="79">
        <v>2021</v>
      </c>
      <c r="K581" s="79" t="s">
        <v>1397</v>
      </c>
      <c r="L581" s="79"/>
    </row>
    <row r="582" spans="1:12" hidden="1" x14ac:dyDescent="0.25">
      <c r="A582" s="82">
        <v>44098</v>
      </c>
      <c r="B582" s="79" t="s">
        <v>1540</v>
      </c>
      <c r="C582" s="79" t="s">
        <v>1541</v>
      </c>
      <c r="D582" s="79" t="s">
        <v>180</v>
      </c>
      <c r="E582" s="79">
        <v>68427709</v>
      </c>
      <c r="F582" s="174">
        <v>13000</v>
      </c>
      <c r="G582" s="79" t="s">
        <v>113</v>
      </c>
      <c r="H582" s="79" t="s">
        <v>114</v>
      </c>
      <c r="I582" s="79" t="s">
        <v>128</v>
      </c>
      <c r="J582" s="79">
        <v>2021</v>
      </c>
      <c r="K582" s="79" t="s">
        <v>1397</v>
      </c>
      <c r="L582" s="79"/>
    </row>
    <row r="583" spans="1:12" hidden="1" x14ac:dyDescent="0.25">
      <c r="A583" s="82">
        <v>44102</v>
      </c>
      <c r="B583" s="79" t="s">
        <v>1542</v>
      </c>
      <c r="C583" s="79" t="s">
        <v>1543</v>
      </c>
      <c r="D583" s="79" t="s">
        <v>1506</v>
      </c>
      <c r="E583" s="79">
        <v>68427709</v>
      </c>
      <c r="F583" s="174">
        <v>14000</v>
      </c>
      <c r="G583" s="79" t="s">
        <v>113</v>
      </c>
      <c r="H583" s="79" t="s">
        <v>114</v>
      </c>
      <c r="I583" s="79" t="s">
        <v>204</v>
      </c>
      <c r="J583" s="79">
        <v>2021</v>
      </c>
      <c r="K583" s="79" t="s">
        <v>227</v>
      </c>
      <c r="L583" s="79" t="s">
        <v>1544</v>
      </c>
    </row>
    <row r="584" spans="1:12" hidden="1" x14ac:dyDescent="0.25">
      <c r="A584" s="82">
        <v>44106</v>
      </c>
      <c r="B584" s="79" t="s">
        <v>1545</v>
      </c>
      <c r="C584" s="79" t="s">
        <v>1546</v>
      </c>
      <c r="D584" s="79" t="s">
        <v>1259</v>
      </c>
      <c r="E584" s="79">
        <v>68427709</v>
      </c>
      <c r="F584" s="174">
        <v>150000</v>
      </c>
      <c r="G584" s="79" t="s">
        <v>113</v>
      </c>
      <c r="H584" s="79" t="s">
        <v>114</v>
      </c>
      <c r="I584" s="79" t="s">
        <v>204</v>
      </c>
      <c r="J584" s="79">
        <v>2021</v>
      </c>
      <c r="K584" s="79" t="s">
        <v>361</v>
      </c>
      <c r="L584" s="79"/>
    </row>
    <row r="585" spans="1:12" hidden="1" x14ac:dyDescent="0.25">
      <c r="A585" s="82">
        <v>44106</v>
      </c>
      <c r="B585" s="79" t="s">
        <v>1547</v>
      </c>
      <c r="C585" s="79" t="s">
        <v>1548</v>
      </c>
      <c r="D585" s="79" t="s">
        <v>1317</v>
      </c>
      <c r="E585" s="79">
        <v>68427709</v>
      </c>
      <c r="F585" s="174">
        <v>677000</v>
      </c>
      <c r="G585" s="79" t="s">
        <v>113</v>
      </c>
      <c r="H585" s="79" t="s">
        <v>114</v>
      </c>
      <c r="I585" s="79" t="s">
        <v>133</v>
      </c>
      <c r="J585" s="79">
        <v>2021</v>
      </c>
      <c r="K585" s="79" t="s">
        <v>542</v>
      </c>
      <c r="L585" s="79" t="s">
        <v>1549</v>
      </c>
    </row>
    <row r="586" spans="1:12" hidden="1" x14ac:dyDescent="0.25">
      <c r="A586" s="82">
        <v>44133</v>
      </c>
      <c r="B586" s="79" t="s">
        <v>1550</v>
      </c>
      <c r="C586" s="79" t="s">
        <v>1551</v>
      </c>
      <c r="D586" s="79"/>
      <c r="E586" s="79">
        <v>68427709</v>
      </c>
      <c r="F586" s="174">
        <v>-10000</v>
      </c>
      <c r="G586" s="79" t="s">
        <v>113</v>
      </c>
      <c r="H586" s="79" t="s">
        <v>114</v>
      </c>
      <c r="I586" s="79"/>
      <c r="J586" s="79">
        <v>2021</v>
      </c>
      <c r="K586" s="79"/>
      <c r="L586" s="79" t="s">
        <v>1552</v>
      </c>
    </row>
    <row r="587" spans="1:12" hidden="1" x14ac:dyDescent="0.25">
      <c r="A587" s="82">
        <v>44133</v>
      </c>
      <c r="B587" s="79" t="s">
        <v>1553</v>
      </c>
      <c r="C587" s="79" t="s">
        <v>1551</v>
      </c>
      <c r="D587" s="79"/>
      <c r="E587" s="79">
        <v>68427709</v>
      </c>
      <c r="F587" s="174">
        <v>-25000</v>
      </c>
      <c r="G587" s="79" t="s">
        <v>113</v>
      </c>
      <c r="H587" s="79" t="s">
        <v>114</v>
      </c>
      <c r="I587" s="79"/>
      <c r="J587" s="79">
        <v>2021</v>
      </c>
      <c r="K587" s="79"/>
      <c r="L587" s="79" t="s">
        <v>1552</v>
      </c>
    </row>
    <row r="588" spans="1:12" hidden="1" x14ac:dyDescent="0.25">
      <c r="A588" s="82">
        <v>44133</v>
      </c>
      <c r="B588" t="s">
        <v>950</v>
      </c>
      <c r="C588" s="79" t="s">
        <v>1551</v>
      </c>
      <c r="D588" s="79"/>
      <c r="E588" s="79">
        <v>68427709</v>
      </c>
      <c r="F588" s="174">
        <v>-25000</v>
      </c>
      <c r="G588" s="79" t="s">
        <v>113</v>
      </c>
      <c r="H588" s="79" t="s">
        <v>114</v>
      </c>
      <c r="I588" s="79"/>
      <c r="J588" s="79">
        <v>2021</v>
      </c>
      <c r="K588" s="79"/>
      <c r="L588" s="79" t="s">
        <v>1552</v>
      </c>
    </row>
    <row r="589" spans="1:12" hidden="1" x14ac:dyDescent="0.25">
      <c r="A589" s="82">
        <v>44133</v>
      </c>
      <c r="B589" s="79" t="s">
        <v>1554</v>
      </c>
      <c r="C589" s="79" t="s">
        <v>1551</v>
      </c>
      <c r="D589" s="79"/>
      <c r="E589" s="79">
        <v>68427709</v>
      </c>
      <c r="F589" s="174">
        <v>-230000</v>
      </c>
      <c r="G589" s="79" t="s">
        <v>113</v>
      </c>
      <c r="H589" s="79" t="s">
        <v>114</v>
      </c>
      <c r="I589" s="79"/>
      <c r="J589" s="79">
        <v>2021</v>
      </c>
      <c r="K589" s="79"/>
      <c r="L589" s="79" t="s">
        <v>1552</v>
      </c>
    </row>
    <row r="590" spans="1:12" hidden="1" x14ac:dyDescent="0.25">
      <c r="A590" s="82">
        <v>44133</v>
      </c>
      <c r="B590" t="s">
        <v>1555</v>
      </c>
      <c r="C590" s="79" t="s">
        <v>1551</v>
      </c>
      <c r="D590" s="79"/>
      <c r="E590" s="79">
        <v>68427709</v>
      </c>
      <c r="F590" s="174">
        <v>-80000</v>
      </c>
      <c r="G590" s="79" t="s">
        <v>113</v>
      </c>
      <c r="H590" s="79" t="s">
        <v>114</v>
      </c>
      <c r="I590" s="79"/>
      <c r="J590" s="79">
        <v>2021</v>
      </c>
      <c r="K590" s="79"/>
      <c r="L590" s="79" t="s">
        <v>1552</v>
      </c>
    </row>
    <row r="591" spans="1:12" hidden="1" x14ac:dyDescent="0.25">
      <c r="A591" s="82">
        <v>44133</v>
      </c>
      <c r="B591" s="79" t="s">
        <v>1556</v>
      </c>
      <c r="C591" s="79" t="s">
        <v>1551</v>
      </c>
      <c r="D591" s="79"/>
      <c r="E591" s="79">
        <v>68427709</v>
      </c>
      <c r="F591" s="174">
        <v>-40000</v>
      </c>
      <c r="G591" s="79" t="s">
        <v>113</v>
      </c>
      <c r="H591" s="79" t="s">
        <v>114</v>
      </c>
      <c r="I591" s="79"/>
      <c r="J591" s="79">
        <v>2021</v>
      </c>
      <c r="K591" s="79"/>
      <c r="L591" s="79" t="s">
        <v>1552</v>
      </c>
    </row>
    <row r="592" spans="1:12" hidden="1" x14ac:dyDescent="0.25">
      <c r="A592" s="82">
        <v>44133</v>
      </c>
      <c r="B592" s="79" t="s">
        <v>1531</v>
      </c>
      <c r="C592" s="79" t="s">
        <v>1551</v>
      </c>
      <c r="D592" s="79"/>
      <c r="E592" s="79">
        <v>68427709</v>
      </c>
      <c r="F592" s="174">
        <v>-56000</v>
      </c>
      <c r="G592" s="79" t="s">
        <v>113</v>
      </c>
      <c r="H592" s="79" t="s">
        <v>114</v>
      </c>
      <c r="I592" s="79"/>
      <c r="J592" s="79">
        <v>2021</v>
      </c>
      <c r="K592" s="79"/>
      <c r="L592" s="79" t="s">
        <v>1552</v>
      </c>
    </row>
    <row r="593" spans="1:12" hidden="1" x14ac:dyDescent="0.25">
      <c r="A593" s="82">
        <v>44137</v>
      </c>
      <c r="B593" s="79" t="s">
        <v>1557</v>
      </c>
      <c r="C593" s="79" t="s">
        <v>1551</v>
      </c>
      <c r="D593" s="79"/>
      <c r="E593" s="79">
        <v>68427709</v>
      </c>
      <c r="F593" s="174">
        <v>-245000</v>
      </c>
      <c r="G593" s="79" t="s">
        <v>113</v>
      </c>
      <c r="H593" s="79" t="s">
        <v>114</v>
      </c>
      <c r="I593" s="79"/>
      <c r="J593" s="79">
        <v>2021</v>
      </c>
      <c r="K593" s="79" t="s">
        <v>1203</v>
      </c>
      <c r="L593" s="79" t="s">
        <v>1558</v>
      </c>
    </row>
    <row r="594" spans="1:12" hidden="1" x14ac:dyDescent="0.25">
      <c r="A594" s="82">
        <v>44137</v>
      </c>
      <c r="B594" s="79" t="s">
        <v>1559</v>
      </c>
      <c r="C594" s="79" t="s">
        <v>1551</v>
      </c>
      <c r="D594" s="79"/>
      <c r="E594" s="79">
        <v>68427709</v>
      </c>
      <c r="F594" s="174">
        <v>-50000</v>
      </c>
      <c r="G594" s="79" t="s">
        <v>113</v>
      </c>
      <c r="H594" s="79" t="s">
        <v>114</v>
      </c>
      <c r="I594" s="79"/>
      <c r="J594" s="79">
        <v>2021</v>
      </c>
      <c r="K594" s="79" t="s">
        <v>1203</v>
      </c>
      <c r="L594" s="79" t="s">
        <v>1558</v>
      </c>
    </row>
    <row r="595" spans="1:12" hidden="1" x14ac:dyDescent="0.25">
      <c r="A595" s="82">
        <v>44137</v>
      </c>
      <c r="B595" s="79" t="s">
        <v>570</v>
      </c>
      <c r="C595" s="79" t="s">
        <v>1551</v>
      </c>
      <c r="D595" s="79"/>
      <c r="E595" s="79">
        <v>68427709</v>
      </c>
      <c r="F595" s="174">
        <v>-71430</v>
      </c>
      <c r="G595" s="79" t="s">
        <v>113</v>
      </c>
      <c r="H595" s="79" t="s">
        <v>114</v>
      </c>
      <c r="I595" s="79"/>
      <c r="J595" s="79">
        <v>2021</v>
      </c>
      <c r="K595" s="79" t="s">
        <v>1203</v>
      </c>
      <c r="L595" s="79" t="s">
        <v>1558</v>
      </c>
    </row>
    <row r="596" spans="1:12" hidden="1" x14ac:dyDescent="0.25">
      <c r="A596" s="82"/>
      <c r="C596" s="79"/>
      <c r="D596" s="79"/>
      <c r="E596" s="79"/>
      <c r="F596" s="174"/>
      <c r="G596" s="79"/>
      <c r="H596" s="79"/>
      <c r="I596" s="79"/>
      <c r="J596" s="79">
        <v>2022</v>
      </c>
      <c r="K596" s="79"/>
      <c r="L596" s="79"/>
    </row>
    <row r="597" spans="1:12" hidden="1" x14ac:dyDescent="0.25">
      <c r="A597" s="82">
        <v>44137</v>
      </c>
      <c r="B597" t="s">
        <v>1560</v>
      </c>
      <c r="C597" s="79" t="s">
        <v>1561</v>
      </c>
      <c r="D597" s="79" t="s">
        <v>1560</v>
      </c>
      <c r="E597" s="79">
        <v>68427709</v>
      </c>
      <c r="F597" s="174">
        <v>17000</v>
      </c>
      <c r="G597" s="79" t="s">
        <v>113</v>
      </c>
      <c r="H597" s="79" t="s">
        <v>114</v>
      </c>
      <c r="I597" s="79" t="s">
        <v>204</v>
      </c>
      <c r="J597" s="79">
        <v>2022</v>
      </c>
      <c r="K597" s="79" t="s">
        <v>555</v>
      </c>
      <c r="L597" s="79" t="s">
        <v>1562</v>
      </c>
    </row>
    <row r="598" spans="1:12" hidden="1" x14ac:dyDescent="0.25">
      <c r="A598" s="82">
        <v>44137</v>
      </c>
      <c r="B598" s="79" t="s">
        <v>135</v>
      </c>
      <c r="C598" s="79" t="s">
        <v>1563</v>
      </c>
      <c r="D598" s="79" t="s">
        <v>135</v>
      </c>
      <c r="E598" s="79">
        <v>68427709</v>
      </c>
      <c r="F598" s="174">
        <v>70000</v>
      </c>
      <c r="G598" s="79" t="s">
        <v>113</v>
      </c>
      <c r="H598" s="79" t="s">
        <v>114</v>
      </c>
      <c r="I598" s="79" t="s">
        <v>204</v>
      </c>
      <c r="J598" s="79">
        <v>2022</v>
      </c>
      <c r="K598" s="79" t="s">
        <v>1564</v>
      </c>
      <c r="L598" s="79" t="s">
        <v>1562</v>
      </c>
    </row>
    <row r="599" spans="1:12" hidden="1" x14ac:dyDescent="0.25">
      <c r="A599" s="82">
        <v>44140</v>
      </c>
      <c r="B599" s="79" t="s">
        <v>1565</v>
      </c>
      <c r="C599" s="79" t="s">
        <v>1566</v>
      </c>
      <c r="D599" s="79" t="s">
        <v>1567</v>
      </c>
      <c r="E599" s="79">
        <v>68427709</v>
      </c>
      <c r="F599" s="93">
        <v>210000</v>
      </c>
      <c r="G599" s="79" t="s">
        <v>113</v>
      </c>
      <c r="H599" s="79" t="s">
        <v>114</v>
      </c>
      <c r="I599" s="79" t="s">
        <v>133</v>
      </c>
      <c r="J599" s="79">
        <v>2022</v>
      </c>
      <c r="K599" s="79" t="s">
        <v>1568</v>
      </c>
      <c r="L599" s="79" t="s">
        <v>1569</v>
      </c>
    </row>
    <row r="600" spans="1:12" hidden="1" x14ac:dyDescent="0.25">
      <c r="A600" s="82">
        <v>44150</v>
      </c>
      <c r="B600" s="79" t="s">
        <v>1570</v>
      </c>
      <c r="C600" s="79" t="s">
        <v>1571</v>
      </c>
      <c r="D600" s="79" t="s">
        <v>1335</v>
      </c>
      <c r="E600" s="79">
        <v>68427709</v>
      </c>
      <c r="F600" s="93">
        <v>-150000</v>
      </c>
      <c r="G600" s="79" t="s">
        <v>113</v>
      </c>
      <c r="H600" s="79" t="s">
        <v>114</v>
      </c>
      <c r="I600" s="79" t="s">
        <v>204</v>
      </c>
      <c r="J600" s="79">
        <v>2022</v>
      </c>
      <c r="K600" s="79" t="s">
        <v>171</v>
      </c>
      <c r="L600" s="79" t="s">
        <v>1572</v>
      </c>
    </row>
    <row r="601" spans="1:12" hidden="1" x14ac:dyDescent="0.25">
      <c r="A601" s="82">
        <v>44150</v>
      </c>
      <c r="B601" s="79" t="s">
        <v>1573</v>
      </c>
      <c r="C601" s="79" t="s">
        <v>1574</v>
      </c>
      <c r="D601" s="79" t="s">
        <v>1575</v>
      </c>
      <c r="E601" s="79">
        <v>68427709</v>
      </c>
      <c r="F601" s="93">
        <v>25000</v>
      </c>
      <c r="G601" s="79" t="s">
        <v>113</v>
      </c>
      <c r="H601" s="79" t="s">
        <v>114</v>
      </c>
      <c r="I601" s="79" t="s">
        <v>133</v>
      </c>
      <c r="J601" s="79">
        <v>2022</v>
      </c>
      <c r="K601" s="79" t="s">
        <v>116</v>
      </c>
      <c r="L601" s="79" t="s">
        <v>1576</v>
      </c>
    </row>
    <row r="602" spans="1:12" hidden="1" x14ac:dyDescent="0.25">
      <c r="A602" s="82">
        <v>44150</v>
      </c>
      <c r="B602" s="79" t="s">
        <v>1577</v>
      </c>
      <c r="C602" s="79" t="s">
        <v>1578</v>
      </c>
      <c r="D602" s="79" t="s">
        <v>1577</v>
      </c>
      <c r="E602" s="79">
        <v>68427709</v>
      </c>
      <c r="F602" s="93">
        <v>25000</v>
      </c>
      <c r="G602" s="79" t="s">
        <v>113</v>
      </c>
      <c r="H602" s="79" t="s">
        <v>114</v>
      </c>
      <c r="I602" s="79" t="s">
        <v>204</v>
      </c>
      <c r="J602" s="79">
        <v>2022</v>
      </c>
      <c r="K602" s="79" t="s">
        <v>116</v>
      </c>
      <c r="L602" s="79" t="s">
        <v>1579</v>
      </c>
    </row>
    <row r="603" spans="1:12" hidden="1" x14ac:dyDescent="0.25">
      <c r="A603" s="82">
        <v>44150</v>
      </c>
      <c r="B603" s="79" t="s">
        <v>1580</v>
      </c>
      <c r="C603" s="79" t="s">
        <v>1581</v>
      </c>
      <c r="D603" s="79" t="s">
        <v>437</v>
      </c>
      <c r="E603" s="79">
        <v>68427709</v>
      </c>
      <c r="F603" s="93">
        <v>21250</v>
      </c>
      <c r="G603" s="79" t="s">
        <v>113</v>
      </c>
      <c r="H603" s="79" t="s">
        <v>114</v>
      </c>
      <c r="I603" s="79" t="s">
        <v>204</v>
      </c>
      <c r="J603" s="79">
        <v>2022</v>
      </c>
      <c r="K603" s="79" t="s">
        <v>171</v>
      </c>
      <c r="L603" s="79" t="s">
        <v>1582</v>
      </c>
    </row>
    <row r="604" spans="1:12" hidden="1" x14ac:dyDescent="0.25">
      <c r="A604" s="82">
        <v>44150</v>
      </c>
      <c r="B604" s="79" t="s">
        <v>1583</v>
      </c>
      <c r="C604" s="79" t="s">
        <v>1584</v>
      </c>
      <c r="D604" s="79" t="s">
        <v>1583</v>
      </c>
      <c r="E604" s="79">
        <v>68427709</v>
      </c>
      <c r="F604" s="93">
        <v>-50000</v>
      </c>
      <c r="G604" s="79" t="s">
        <v>113</v>
      </c>
      <c r="H604" s="79" t="s">
        <v>114</v>
      </c>
      <c r="I604" s="79" t="s">
        <v>204</v>
      </c>
      <c r="J604" s="79">
        <v>2022</v>
      </c>
      <c r="K604" s="79" t="s">
        <v>116</v>
      </c>
      <c r="L604" s="79" t="s">
        <v>1007</v>
      </c>
    </row>
    <row r="605" spans="1:12" hidden="1" x14ac:dyDescent="0.25">
      <c r="A605" s="82">
        <v>44209</v>
      </c>
      <c r="B605" s="79" t="s">
        <v>1585</v>
      </c>
      <c r="C605" s="79" t="s">
        <v>1586</v>
      </c>
      <c r="D605" s="79" t="s">
        <v>1587</v>
      </c>
      <c r="E605" s="79">
        <v>68427709</v>
      </c>
      <c r="F605" s="93">
        <v>0</v>
      </c>
      <c r="G605" s="79" t="s">
        <v>113</v>
      </c>
      <c r="H605" s="79" t="s">
        <v>114</v>
      </c>
      <c r="I605" s="79" t="s">
        <v>133</v>
      </c>
      <c r="J605" s="79">
        <v>2022</v>
      </c>
      <c r="K605" s="79" t="s">
        <v>1588</v>
      </c>
      <c r="L605" s="79" t="s">
        <v>1589</v>
      </c>
    </row>
    <row r="606" spans="1:12" hidden="1" x14ac:dyDescent="0.25">
      <c r="A606" s="82">
        <v>44210</v>
      </c>
      <c r="B606" s="79" t="s">
        <v>1590</v>
      </c>
      <c r="C606" s="79" t="s">
        <v>1591</v>
      </c>
      <c r="D606" s="79" t="s">
        <v>1590</v>
      </c>
      <c r="E606" s="79">
        <v>68427709</v>
      </c>
      <c r="F606" s="93">
        <v>85000</v>
      </c>
      <c r="G606" s="79" t="s">
        <v>113</v>
      </c>
      <c r="H606" s="79" t="s">
        <v>114</v>
      </c>
      <c r="I606" s="79" t="s">
        <v>133</v>
      </c>
      <c r="J606" s="79">
        <v>2022</v>
      </c>
      <c r="K606" s="79" t="s">
        <v>1283</v>
      </c>
      <c r="L606" s="79" t="s">
        <v>1592</v>
      </c>
    </row>
    <row r="607" spans="1:12" hidden="1" x14ac:dyDescent="0.25">
      <c r="A607" s="82">
        <v>44210</v>
      </c>
      <c r="B607" s="79" t="s">
        <v>1593</v>
      </c>
      <c r="C607" s="79" t="s">
        <v>1594</v>
      </c>
      <c r="D607" s="79" t="s">
        <v>1593</v>
      </c>
      <c r="E607" s="79">
        <v>68427709</v>
      </c>
      <c r="F607" s="93">
        <v>310000</v>
      </c>
      <c r="G607" s="79" t="s">
        <v>113</v>
      </c>
      <c r="H607" s="79" t="s">
        <v>114</v>
      </c>
      <c r="I607" s="79" t="s">
        <v>133</v>
      </c>
      <c r="J607" s="79">
        <v>2022</v>
      </c>
      <c r="K607" s="79" t="s">
        <v>1283</v>
      </c>
      <c r="L607" s="79" t="s">
        <v>1595</v>
      </c>
    </row>
    <row r="608" spans="1:12" hidden="1" x14ac:dyDescent="0.25">
      <c r="A608" s="82">
        <v>44214</v>
      </c>
      <c r="B608" s="79" t="s">
        <v>1596</v>
      </c>
      <c r="C608" s="79" t="s">
        <v>1597</v>
      </c>
      <c r="D608" s="79" t="s">
        <v>1593</v>
      </c>
      <c r="E608" s="79">
        <v>68427709</v>
      </c>
      <c r="F608" s="93">
        <v>-39000</v>
      </c>
      <c r="G608" s="79" t="s">
        <v>113</v>
      </c>
      <c r="H608" s="79" t="s">
        <v>114</v>
      </c>
      <c r="I608" s="79" t="s">
        <v>204</v>
      </c>
      <c r="J608" s="79">
        <v>2022</v>
      </c>
      <c r="K608" s="79" t="s">
        <v>1283</v>
      </c>
      <c r="L608" s="79"/>
    </row>
    <row r="609" spans="1:12" hidden="1" x14ac:dyDescent="0.25">
      <c r="A609" s="82">
        <v>44214</v>
      </c>
      <c r="B609" s="79" t="s">
        <v>1598</v>
      </c>
      <c r="C609" s="79" t="s">
        <v>1599</v>
      </c>
      <c r="D609" s="79" t="s">
        <v>1593</v>
      </c>
      <c r="E609" s="79">
        <v>68427709</v>
      </c>
      <c r="F609" s="93">
        <v>-111000</v>
      </c>
      <c r="G609" s="79" t="s">
        <v>113</v>
      </c>
      <c r="H609" s="79" t="s">
        <v>114</v>
      </c>
      <c r="I609" s="79" t="s">
        <v>204</v>
      </c>
      <c r="J609" s="79">
        <v>2022</v>
      </c>
      <c r="K609" s="79" t="s">
        <v>1283</v>
      </c>
      <c r="L609" s="79"/>
    </row>
    <row r="610" spans="1:12" hidden="1" x14ac:dyDescent="0.25">
      <c r="A610" s="82">
        <v>44214</v>
      </c>
      <c r="B610" s="79" t="s">
        <v>1600</v>
      </c>
      <c r="C610" s="79" t="s">
        <v>1601</v>
      </c>
      <c r="D610" s="79" t="s">
        <v>1593</v>
      </c>
      <c r="E610" s="79">
        <v>68427709</v>
      </c>
      <c r="F610" s="93">
        <v>-63000</v>
      </c>
      <c r="G610" s="79" t="s">
        <v>113</v>
      </c>
      <c r="H610" s="79" t="s">
        <v>114</v>
      </c>
      <c r="I610" s="79" t="s">
        <v>133</v>
      </c>
      <c r="J610" s="79">
        <v>2022</v>
      </c>
      <c r="K610" s="79" t="s">
        <v>1283</v>
      </c>
      <c r="L610" s="79"/>
    </row>
    <row r="611" spans="1:12" hidden="1" x14ac:dyDescent="0.25">
      <c r="A611" s="82">
        <v>44221</v>
      </c>
      <c r="B611" s="79" t="s">
        <v>1602</v>
      </c>
      <c r="C611" s="79" t="s">
        <v>1603</v>
      </c>
      <c r="D611" s="79" t="s">
        <v>900</v>
      </c>
      <c r="E611" s="79">
        <v>68427709</v>
      </c>
      <c r="F611" s="93">
        <v>-832</v>
      </c>
      <c r="G611" s="79" t="s">
        <v>113</v>
      </c>
      <c r="H611" s="79" t="s">
        <v>114</v>
      </c>
      <c r="I611" s="79" t="s">
        <v>204</v>
      </c>
      <c r="J611" s="79">
        <v>2022</v>
      </c>
      <c r="K611" s="79" t="s">
        <v>116</v>
      </c>
      <c r="L611" s="79" t="s">
        <v>1604</v>
      </c>
    </row>
    <row r="612" spans="1:12" hidden="1" x14ac:dyDescent="0.25">
      <c r="A612" s="82">
        <v>44221</v>
      </c>
      <c r="B612" s="79" t="s">
        <v>1602</v>
      </c>
      <c r="C612" s="79" t="s">
        <v>1605</v>
      </c>
      <c r="D612" s="79" t="s">
        <v>900</v>
      </c>
      <c r="E612" s="79">
        <v>68427709</v>
      </c>
      <c r="F612" s="93">
        <v>4300</v>
      </c>
      <c r="G612" s="79" t="s">
        <v>113</v>
      </c>
      <c r="H612" s="79" t="s">
        <v>114</v>
      </c>
      <c r="I612" s="79" t="s">
        <v>204</v>
      </c>
      <c r="J612" s="79">
        <v>2022</v>
      </c>
      <c r="K612" s="79" t="s">
        <v>116</v>
      </c>
      <c r="L612" s="79" t="s">
        <v>1606</v>
      </c>
    </row>
    <row r="613" spans="1:12" hidden="1" x14ac:dyDescent="0.25">
      <c r="A613" s="82">
        <v>44221</v>
      </c>
      <c r="B613" s="79" t="s">
        <v>1602</v>
      </c>
      <c r="C613" s="79" t="s">
        <v>1607</v>
      </c>
      <c r="D613" s="79" t="s">
        <v>900</v>
      </c>
      <c r="E613" s="79">
        <v>68427709</v>
      </c>
      <c r="F613" s="93">
        <v>-12300</v>
      </c>
      <c r="G613" s="79" t="s">
        <v>113</v>
      </c>
      <c r="H613" s="79" t="s">
        <v>114</v>
      </c>
      <c r="I613" s="79" t="s">
        <v>204</v>
      </c>
      <c r="J613" s="79">
        <v>2022</v>
      </c>
      <c r="K613" s="79" t="s">
        <v>116</v>
      </c>
      <c r="L613" s="79" t="s">
        <v>1608</v>
      </c>
    </row>
    <row r="614" spans="1:12" hidden="1" x14ac:dyDescent="0.25">
      <c r="A614" s="82">
        <v>44221</v>
      </c>
      <c r="B614" s="79" t="s">
        <v>1602</v>
      </c>
      <c r="C614" s="79" t="s">
        <v>1609</v>
      </c>
      <c r="D614" s="79" t="s">
        <v>900</v>
      </c>
      <c r="E614" s="79">
        <v>68427709</v>
      </c>
      <c r="F614" s="93">
        <v>300</v>
      </c>
      <c r="G614" s="79" t="s">
        <v>113</v>
      </c>
      <c r="H614" s="79" t="s">
        <v>114</v>
      </c>
      <c r="I614" s="79" t="s">
        <v>204</v>
      </c>
      <c r="J614" s="79">
        <v>2022</v>
      </c>
      <c r="K614" s="79" t="s">
        <v>116</v>
      </c>
      <c r="L614" s="79" t="s">
        <v>1606</v>
      </c>
    </row>
    <row r="615" spans="1:12" hidden="1" x14ac:dyDescent="0.25">
      <c r="A615" s="82">
        <v>44221</v>
      </c>
      <c r="B615" s="79" t="s">
        <v>1602</v>
      </c>
      <c r="C615" s="79" t="s">
        <v>1610</v>
      </c>
      <c r="D615" s="79" t="s">
        <v>900</v>
      </c>
      <c r="E615" s="79">
        <v>68427709</v>
      </c>
      <c r="F615" s="93">
        <v>300</v>
      </c>
      <c r="G615" s="79" t="s">
        <v>113</v>
      </c>
      <c r="H615" s="79" t="s">
        <v>114</v>
      </c>
      <c r="I615" s="79" t="s">
        <v>204</v>
      </c>
      <c r="J615" s="79">
        <v>2022</v>
      </c>
      <c r="K615" s="79" t="s">
        <v>116</v>
      </c>
      <c r="L615" s="79" t="s">
        <v>1606</v>
      </c>
    </row>
    <row r="616" spans="1:12" hidden="1" x14ac:dyDescent="0.25">
      <c r="A616" s="82">
        <v>44221</v>
      </c>
      <c r="B616" s="79" t="s">
        <v>1602</v>
      </c>
      <c r="C616" s="79" t="s">
        <v>1611</v>
      </c>
      <c r="D616" s="79" t="s">
        <v>900</v>
      </c>
      <c r="E616" s="79">
        <v>68427709</v>
      </c>
      <c r="F616" s="93">
        <v>61000</v>
      </c>
      <c r="G616" s="79" t="s">
        <v>113</v>
      </c>
      <c r="H616" s="79" t="s">
        <v>114</v>
      </c>
      <c r="I616" s="79" t="s">
        <v>204</v>
      </c>
      <c r="J616" s="79">
        <v>2022</v>
      </c>
      <c r="K616" s="79" t="s">
        <v>116</v>
      </c>
      <c r="L616" s="79" t="s">
        <v>1612</v>
      </c>
    </row>
    <row r="617" spans="1:12" hidden="1" x14ac:dyDescent="0.25">
      <c r="A617" s="82">
        <v>44221</v>
      </c>
      <c r="B617" s="79" t="s">
        <v>1602</v>
      </c>
      <c r="C617" s="79" t="s">
        <v>1613</v>
      </c>
      <c r="D617" s="79" t="s">
        <v>900</v>
      </c>
      <c r="E617" s="79">
        <v>68427709</v>
      </c>
      <c r="F617" s="93">
        <v>-20800</v>
      </c>
      <c r="G617" s="79" t="s">
        <v>113</v>
      </c>
      <c r="H617" s="79" t="s">
        <v>114</v>
      </c>
      <c r="I617" s="79" t="s">
        <v>204</v>
      </c>
      <c r="J617" s="79">
        <v>2022</v>
      </c>
      <c r="K617" s="79" t="s">
        <v>116</v>
      </c>
      <c r="L617" s="79" t="s">
        <v>1604</v>
      </c>
    </row>
    <row r="618" spans="1:12" hidden="1" x14ac:dyDescent="0.25">
      <c r="A618" s="82">
        <v>44222</v>
      </c>
      <c r="B618" s="79" t="s">
        <v>1602</v>
      </c>
      <c r="C618" t="s">
        <v>1614</v>
      </c>
      <c r="D618" s="79" t="s">
        <v>900</v>
      </c>
      <c r="E618" s="79">
        <v>68427709</v>
      </c>
      <c r="F618">
        <v>900</v>
      </c>
      <c r="G618" s="79" t="s">
        <v>113</v>
      </c>
      <c r="H618" s="79" t="s">
        <v>114</v>
      </c>
      <c r="I618" s="79" t="s">
        <v>204</v>
      </c>
      <c r="J618" s="79">
        <v>2022</v>
      </c>
      <c r="K618" s="79" t="s">
        <v>116</v>
      </c>
      <c r="L618" s="79" t="s">
        <v>1606</v>
      </c>
    </row>
    <row r="619" spans="1:12" hidden="1" x14ac:dyDescent="0.25">
      <c r="A619" s="82">
        <v>44222</v>
      </c>
      <c r="B619" s="79" t="s">
        <v>1602</v>
      </c>
      <c r="C619" s="79" t="s">
        <v>1615</v>
      </c>
      <c r="D619" s="79" t="s">
        <v>900</v>
      </c>
      <c r="E619" s="79">
        <v>68427709</v>
      </c>
      <c r="F619" s="93">
        <v>1800</v>
      </c>
      <c r="G619" s="79" t="s">
        <v>113</v>
      </c>
      <c r="H619" s="79" t="s">
        <v>114</v>
      </c>
      <c r="I619" s="79" t="s">
        <v>204</v>
      </c>
      <c r="J619" s="79">
        <v>2022</v>
      </c>
      <c r="K619" s="79" t="s">
        <v>116</v>
      </c>
      <c r="L619" s="79" t="s">
        <v>1606</v>
      </c>
    </row>
    <row r="620" spans="1:12" hidden="1" x14ac:dyDescent="0.25">
      <c r="A620" s="82">
        <v>44224</v>
      </c>
      <c r="B620" s="79" t="s">
        <v>1616</v>
      </c>
      <c r="C620" s="79" t="s">
        <v>1617</v>
      </c>
      <c r="D620" s="79" t="s">
        <v>1618</v>
      </c>
      <c r="E620" s="79">
        <v>68427709</v>
      </c>
      <c r="F620" s="180">
        <v>215000</v>
      </c>
      <c r="G620" s="79" t="s">
        <v>113</v>
      </c>
      <c r="H620" s="79" t="s">
        <v>114</v>
      </c>
      <c r="I620" s="79" t="s">
        <v>204</v>
      </c>
      <c r="J620" s="79">
        <v>2022</v>
      </c>
      <c r="K620" s="79" t="s">
        <v>227</v>
      </c>
      <c r="L620" s="79" t="s">
        <v>1619</v>
      </c>
    </row>
    <row r="621" spans="1:12" ht="14.1" hidden="1" customHeight="1" x14ac:dyDescent="0.25">
      <c r="A621" s="82">
        <v>44252</v>
      </c>
      <c r="B621" s="79" t="s">
        <v>1620</v>
      </c>
      <c r="C621" s="79" t="s">
        <v>1621</v>
      </c>
      <c r="D621" s="79" t="s">
        <v>1622</v>
      </c>
      <c r="E621" s="79">
        <v>68427709</v>
      </c>
      <c r="F621" s="93">
        <v>360000</v>
      </c>
      <c r="G621" s="79" t="s">
        <v>113</v>
      </c>
      <c r="H621" s="79" t="s">
        <v>114</v>
      </c>
      <c r="I621" s="79" t="s">
        <v>204</v>
      </c>
      <c r="J621" s="79">
        <v>2022</v>
      </c>
      <c r="K621" s="79" t="s">
        <v>1623</v>
      </c>
      <c r="L621" s="79" t="s">
        <v>1624</v>
      </c>
    </row>
    <row r="622" spans="1:12" hidden="1" x14ac:dyDescent="0.25">
      <c r="A622" s="82">
        <v>44258</v>
      </c>
      <c r="B622" s="79" t="s">
        <v>1625</v>
      </c>
      <c r="C622" s="79" t="s">
        <v>1626</v>
      </c>
      <c r="D622" s="79" t="s">
        <v>437</v>
      </c>
      <c r="E622" s="79">
        <v>68427709</v>
      </c>
      <c r="F622" s="93">
        <v>62000</v>
      </c>
      <c r="G622" s="79" t="s">
        <v>302</v>
      </c>
      <c r="H622" s="79" t="s">
        <v>114</v>
      </c>
      <c r="I622" s="79" t="s">
        <v>204</v>
      </c>
      <c r="J622" s="79">
        <v>2022</v>
      </c>
      <c r="K622" s="79" t="s">
        <v>1427</v>
      </c>
      <c r="L622" s="79" t="s">
        <v>1627</v>
      </c>
    </row>
    <row r="623" spans="1:12" hidden="1" x14ac:dyDescent="0.25">
      <c r="A623" s="82">
        <v>44260</v>
      </c>
      <c r="B623" s="79" t="s">
        <v>1628</v>
      </c>
      <c r="C623" s="79" t="s">
        <v>1629</v>
      </c>
      <c r="D623" s="79" t="s">
        <v>437</v>
      </c>
      <c r="E623" s="79">
        <v>68427709</v>
      </c>
      <c r="F623" s="93">
        <v>29000</v>
      </c>
      <c r="G623" s="79" t="s">
        <v>113</v>
      </c>
      <c r="H623" s="79" t="s">
        <v>114</v>
      </c>
      <c r="I623" s="79" t="s">
        <v>204</v>
      </c>
      <c r="J623" s="79">
        <v>2022</v>
      </c>
      <c r="K623" s="79" t="s">
        <v>116</v>
      </c>
      <c r="L623" s="79"/>
    </row>
    <row r="624" spans="1:12" hidden="1" x14ac:dyDescent="0.25">
      <c r="A624" s="82">
        <v>44263</v>
      </c>
      <c r="B624" s="79" t="s">
        <v>1630</v>
      </c>
      <c r="C624" s="79" t="s">
        <v>1631</v>
      </c>
      <c r="D624" s="79" t="s">
        <v>284</v>
      </c>
      <c r="E624" s="79">
        <v>68427709</v>
      </c>
      <c r="F624" s="93">
        <v>32000</v>
      </c>
      <c r="G624" s="79" t="s">
        <v>113</v>
      </c>
      <c r="H624" s="79" t="s">
        <v>114</v>
      </c>
      <c r="I624" s="79" t="s">
        <v>204</v>
      </c>
      <c r="J624" s="79">
        <v>2022</v>
      </c>
      <c r="K624" s="79" t="s">
        <v>1135</v>
      </c>
      <c r="L624" s="79"/>
    </row>
    <row r="625" spans="1:12" hidden="1" x14ac:dyDescent="0.25">
      <c r="A625" s="82">
        <v>44271</v>
      </c>
      <c r="B625" s="79" t="s">
        <v>1632</v>
      </c>
      <c r="C625" s="79" t="s">
        <v>1633</v>
      </c>
      <c r="D625" s="79" t="s">
        <v>1632</v>
      </c>
      <c r="E625" s="79">
        <v>68427709</v>
      </c>
      <c r="F625" s="93">
        <v>20000</v>
      </c>
      <c r="G625" s="79" t="s">
        <v>113</v>
      </c>
      <c r="H625" s="79" t="s">
        <v>114</v>
      </c>
      <c r="I625" s="79"/>
      <c r="J625" s="79">
        <v>2022</v>
      </c>
      <c r="K625" s="79" t="s">
        <v>1634</v>
      </c>
      <c r="L625" s="79"/>
    </row>
    <row r="626" spans="1:12" hidden="1" x14ac:dyDescent="0.25">
      <c r="A626" s="82">
        <v>44271</v>
      </c>
      <c r="B626" s="79" t="s">
        <v>1635</v>
      </c>
      <c r="C626" s="79" t="s">
        <v>1636</v>
      </c>
      <c r="D626" s="79" t="s">
        <v>1635</v>
      </c>
      <c r="E626" s="79">
        <v>68427709</v>
      </c>
      <c r="F626" s="93">
        <v>40000</v>
      </c>
      <c r="G626" s="79" t="s">
        <v>113</v>
      </c>
      <c r="H626" s="79" t="s">
        <v>114</v>
      </c>
      <c r="I626" s="79" t="s">
        <v>204</v>
      </c>
      <c r="J626" s="79">
        <v>2022</v>
      </c>
      <c r="K626" s="79" t="s">
        <v>1634</v>
      </c>
      <c r="L626" s="79"/>
    </row>
    <row r="627" spans="1:12" hidden="1" x14ac:dyDescent="0.25">
      <c r="A627" s="82">
        <v>44284</v>
      </c>
      <c r="B627" s="79" t="s">
        <v>1637</v>
      </c>
      <c r="C627" s="79" t="s">
        <v>1638</v>
      </c>
      <c r="D627" s="79" t="s">
        <v>1639</v>
      </c>
      <c r="E627" s="79">
        <v>68427709</v>
      </c>
      <c r="F627" s="93">
        <v>7000</v>
      </c>
      <c r="G627" s="79" t="s">
        <v>113</v>
      </c>
      <c r="H627" s="79" t="s">
        <v>114</v>
      </c>
      <c r="I627" s="79" t="s">
        <v>204</v>
      </c>
      <c r="J627" s="79">
        <v>2022</v>
      </c>
      <c r="K627" s="79" t="s">
        <v>1640</v>
      </c>
      <c r="L627" s="79"/>
    </row>
    <row r="628" spans="1:12" hidden="1" x14ac:dyDescent="0.25">
      <c r="A628" s="82">
        <v>44284</v>
      </c>
      <c r="B628" s="79" t="s">
        <v>161</v>
      </c>
      <c r="C628" s="79" t="s">
        <v>1641</v>
      </c>
      <c r="D628" s="79" t="s">
        <v>161</v>
      </c>
      <c r="E628" s="79">
        <v>68427709</v>
      </c>
      <c r="F628" s="93">
        <v>0</v>
      </c>
      <c r="G628" s="79" t="s">
        <v>302</v>
      </c>
      <c r="H628" s="79" t="s">
        <v>114</v>
      </c>
      <c r="I628" s="79" t="s">
        <v>204</v>
      </c>
      <c r="J628" s="79">
        <v>2022</v>
      </c>
      <c r="K628" s="79" t="s">
        <v>227</v>
      </c>
      <c r="L628" s="79"/>
    </row>
    <row r="629" spans="1:12" hidden="1" x14ac:dyDescent="0.25">
      <c r="A629" s="82">
        <v>44292</v>
      </c>
      <c r="B629" s="79" t="s">
        <v>1642</v>
      </c>
      <c r="C629" s="79" t="s">
        <v>1643</v>
      </c>
      <c r="D629" s="79" t="s">
        <v>1642</v>
      </c>
      <c r="E629" s="79">
        <v>68427709</v>
      </c>
      <c r="F629" s="93">
        <v>36000</v>
      </c>
      <c r="G629" s="79" t="s">
        <v>113</v>
      </c>
      <c r="H629" s="79" t="s">
        <v>114</v>
      </c>
      <c r="I629" s="79" t="s">
        <v>204</v>
      </c>
      <c r="J629" s="79">
        <v>2022</v>
      </c>
      <c r="K629" s="79"/>
      <c r="L629" s="79"/>
    </row>
    <row r="630" spans="1:12" hidden="1" x14ac:dyDescent="0.25">
      <c r="A630" s="82">
        <v>44292</v>
      </c>
      <c r="B630" s="79" t="s">
        <v>1644</v>
      </c>
      <c r="C630" s="79" t="s">
        <v>1645</v>
      </c>
      <c r="D630" s="79" t="s">
        <v>1644</v>
      </c>
      <c r="E630" s="79">
        <v>68427709</v>
      </c>
      <c r="F630" s="93">
        <v>0</v>
      </c>
      <c r="G630" s="79" t="s">
        <v>302</v>
      </c>
      <c r="H630" s="79" t="s">
        <v>114</v>
      </c>
      <c r="I630" s="79" t="s">
        <v>204</v>
      </c>
      <c r="J630" s="79">
        <v>2022</v>
      </c>
      <c r="K630" s="79" t="s">
        <v>116</v>
      </c>
      <c r="L630" s="79"/>
    </row>
    <row r="631" spans="1:12" hidden="1" x14ac:dyDescent="0.25">
      <c r="A631" s="82">
        <v>44299</v>
      </c>
      <c r="B631" s="79" t="s">
        <v>1646</v>
      </c>
      <c r="C631" s="79" t="s">
        <v>1647</v>
      </c>
      <c r="D631" s="79" t="s">
        <v>1648</v>
      </c>
      <c r="E631" s="79">
        <v>68427709</v>
      </c>
      <c r="F631" s="93">
        <v>-19000</v>
      </c>
      <c r="G631" s="79" t="s">
        <v>113</v>
      </c>
      <c r="H631" s="79" t="s">
        <v>114</v>
      </c>
      <c r="I631" s="79" t="s">
        <v>133</v>
      </c>
      <c r="J631" s="79">
        <v>2022</v>
      </c>
      <c r="K631" s="79" t="s">
        <v>555</v>
      </c>
      <c r="L631" s="79"/>
    </row>
    <row r="632" spans="1:12" hidden="1" x14ac:dyDescent="0.25">
      <c r="A632" s="82">
        <v>44305</v>
      </c>
      <c r="B632" s="79" t="s">
        <v>1649</v>
      </c>
      <c r="C632" t="s">
        <v>1650</v>
      </c>
      <c r="D632" s="79" t="s">
        <v>0</v>
      </c>
      <c r="E632" s="79">
        <v>68427709</v>
      </c>
      <c r="F632" s="93">
        <v>206000</v>
      </c>
      <c r="G632" s="79" t="s">
        <v>302</v>
      </c>
      <c r="H632" s="79" t="s">
        <v>114</v>
      </c>
      <c r="I632" s="79" t="s">
        <v>204</v>
      </c>
      <c r="J632" s="79">
        <v>2022</v>
      </c>
      <c r="K632" s="79" t="s">
        <v>1021</v>
      </c>
      <c r="L632" s="79" t="s">
        <v>1651</v>
      </c>
    </row>
    <row r="633" spans="1:12" hidden="1" x14ac:dyDescent="0.25">
      <c r="A633" s="82">
        <v>44307</v>
      </c>
      <c r="B633" s="79" t="s">
        <v>1652</v>
      </c>
      <c r="C633" s="79" t="s">
        <v>1653</v>
      </c>
      <c r="D633" s="79" t="s">
        <v>277</v>
      </c>
      <c r="E633" s="79">
        <v>68427709</v>
      </c>
      <c r="F633" s="93">
        <v>5300</v>
      </c>
      <c r="G633" s="79" t="s">
        <v>113</v>
      </c>
      <c r="H633" s="79" t="s">
        <v>114</v>
      </c>
      <c r="I633" s="79" t="s">
        <v>204</v>
      </c>
      <c r="J633" s="79">
        <v>2022</v>
      </c>
      <c r="K633" s="79" t="s">
        <v>1634</v>
      </c>
      <c r="L633" s="79"/>
    </row>
    <row r="634" spans="1:12" hidden="1" x14ac:dyDescent="0.25">
      <c r="A634" s="82">
        <v>44307</v>
      </c>
      <c r="B634" s="79" t="s">
        <v>1654</v>
      </c>
      <c r="C634" s="79" t="s">
        <v>1655</v>
      </c>
      <c r="D634" s="79" t="s">
        <v>603</v>
      </c>
      <c r="E634" s="79"/>
      <c r="F634" s="93">
        <v>0</v>
      </c>
      <c r="G634" s="79" t="s">
        <v>113</v>
      </c>
      <c r="H634" s="79" t="s">
        <v>114</v>
      </c>
      <c r="I634" s="79"/>
      <c r="J634" s="79">
        <v>2022</v>
      </c>
      <c r="K634" s="79"/>
      <c r="L634" s="79"/>
    </row>
    <row r="635" spans="1:12" hidden="1" x14ac:dyDescent="0.25">
      <c r="A635" s="82">
        <v>44309</v>
      </c>
      <c r="B635" s="79" t="s">
        <v>1656</v>
      </c>
      <c r="C635" s="79" t="s">
        <v>1657</v>
      </c>
      <c r="D635" s="79" t="s">
        <v>0</v>
      </c>
      <c r="E635" s="79">
        <v>68427709</v>
      </c>
      <c r="F635" s="93">
        <v>0</v>
      </c>
      <c r="G635" s="79" t="s">
        <v>302</v>
      </c>
      <c r="H635" s="79" t="s">
        <v>114</v>
      </c>
      <c r="I635" s="79"/>
      <c r="J635" s="79">
        <v>2022</v>
      </c>
      <c r="K635" s="79" t="s">
        <v>361</v>
      </c>
      <c r="L635" s="79"/>
    </row>
    <row r="636" spans="1:12" hidden="1" x14ac:dyDescent="0.25">
      <c r="A636" s="82">
        <v>44334</v>
      </c>
      <c r="B636" s="79" t="s">
        <v>1658</v>
      </c>
      <c r="C636" s="79" t="s">
        <v>1656</v>
      </c>
      <c r="D636" s="79" t="s">
        <v>1658</v>
      </c>
      <c r="E636" s="79">
        <v>68427709</v>
      </c>
      <c r="F636" s="93">
        <v>0</v>
      </c>
      <c r="G636" s="79" t="s">
        <v>302</v>
      </c>
      <c r="H636" s="79" t="s">
        <v>114</v>
      </c>
      <c r="I636" s="79"/>
      <c r="J636" s="79">
        <v>2022</v>
      </c>
      <c r="K636" s="79" t="s">
        <v>361</v>
      </c>
      <c r="L636" s="79" t="s">
        <v>1659</v>
      </c>
    </row>
    <row r="637" spans="1:12" hidden="1" x14ac:dyDescent="0.25">
      <c r="A637" s="82">
        <v>44336</v>
      </c>
      <c r="B637" s="79" t="s">
        <v>1660</v>
      </c>
      <c r="C637" s="79" t="s">
        <v>1661</v>
      </c>
      <c r="D637" s="79" t="s">
        <v>437</v>
      </c>
      <c r="E637" s="79">
        <v>68427709</v>
      </c>
      <c r="F637" s="93">
        <v>-12000</v>
      </c>
      <c r="G637" s="79" t="s">
        <v>113</v>
      </c>
      <c r="H637" s="79" t="s">
        <v>114</v>
      </c>
      <c r="I637" s="79" t="s">
        <v>204</v>
      </c>
      <c r="J637" s="79">
        <v>2022</v>
      </c>
      <c r="K637" s="79" t="s">
        <v>279</v>
      </c>
      <c r="L637" s="79" t="s">
        <v>1662</v>
      </c>
    </row>
    <row r="638" spans="1:12" hidden="1" x14ac:dyDescent="0.25">
      <c r="A638" s="82">
        <v>44356</v>
      </c>
      <c r="B638" s="79" t="s">
        <v>1663</v>
      </c>
      <c r="C638" s="79" t="s">
        <v>1664</v>
      </c>
      <c r="D638" s="79" t="s">
        <v>1259</v>
      </c>
      <c r="E638" s="79">
        <v>68427709</v>
      </c>
      <c r="F638" s="93">
        <v>50000</v>
      </c>
      <c r="G638" s="79" t="s">
        <v>113</v>
      </c>
      <c r="H638" s="79" t="s">
        <v>114</v>
      </c>
      <c r="I638" s="79" t="s">
        <v>948</v>
      </c>
      <c r="J638" s="79">
        <v>2022</v>
      </c>
      <c r="K638" s="79" t="s">
        <v>1092</v>
      </c>
      <c r="L638" s="79" t="s">
        <v>1665</v>
      </c>
    </row>
    <row r="639" spans="1:12" hidden="1" x14ac:dyDescent="0.25">
      <c r="A639" s="82">
        <v>44356</v>
      </c>
      <c r="B639" s="79" t="s">
        <v>1666</v>
      </c>
      <c r="C639" s="79" t="s">
        <v>1667</v>
      </c>
      <c r="D639" s="79" t="s">
        <v>1259</v>
      </c>
      <c r="E639" s="79">
        <v>68427709</v>
      </c>
      <c r="F639" s="93">
        <v>108000</v>
      </c>
      <c r="G639" s="79" t="s">
        <v>113</v>
      </c>
      <c r="H639" s="79" t="s">
        <v>114</v>
      </c>
      <c r="I639" s="79" t="s">
        <v>948</v>
      </c>
      <c r="J639" s="79">
        <v>2022</v>
      </c>
      <c r="K639" s="79" t="s">
        <v>1092</v>
      </c>
      <c r="L639" s="79"/>
    </row>
    <row r="640" spans="1:12" hidden="1" x14ac:dyDescent="0.25">
      <c r="A640" s="82">
        <v>44356</v>
      </c>
      <c r="B640" s="79" t="s">
        <v>1668</v>
      </c>
      <c r="C640" s="79" t="s">
        <v>1669</v>
      </c>
      <c r="D640" s="79" t="s">
        <v>1670</v>
      </c>
      <c r="E640" s="79">
        <v>68427709</v>
      </c>
      <c r="F640" s="93">
        <v>5000</v>
      </c>
      <c r="G640" s="79" t="s">
        <v>113</v>
      </c>
      <c r="H640" s="79" t="s">
        <v>114</v>
      </c>
      <c r="I640" s="79" t="s">
        <v>1671</v>
      </c>
      <c r="J640" s="79">
        <v>2022</v>
      </c>
      <c r="K640" s="79" t="s">
        <v>555</v>
      </c>
      <c r="L640" s="79"/>
    </row>
    <row r="641" spans="1:12" hidden="1" x14ac:dyDescent="0.25">
      <c r="A641" s="82">
        <v>44361</v>
      </c>
      <c r="B641" s="79" t="s">
        <v>1672</v>
      </c>
      <c r="C641" s="79" t="s">
        <v>1673</v>
      </c>
      <c r="D641" s="79" t="s">
        <v>0</v>
      </c>
      <c r="E641" s="79">
        <v>68427709</v>
      </c>
      <c r="F641" s="93">
        <v>0</v>
      </c>
      <c r="G641" s="79" t="s">
        <v>302</v>
      </c>
      <c r="H641" s="79" t="s">
        <v>114</v>
      </c>
      <c r="I641" s="79" t="s">
        <v>948</v>
      </c>
      <c r="J641" s="79">
        <v>2022</v>
      </c>
      <c r="K641" s="79" t="s">
        <v>1674</v>
      </c>
      <c r="L641" s="79"/>
    </row>
    <row r="642" spans="1:12" hidden="1" x14ac:dyDescent="0.25">
      <c r="A642" s="82">
        <v>44362</v>
      </c>
      <c r="B642" s="79" t="s">
        <v>1675</v>
      </c>
      <c r="C642" s="79" t="s">
        <v>1676</v>
      </c>
      <c r="D642" s="79" t="s">
        <v>285</v>
      </c>
      <c r="E642" s="79">
        <v>68427709</v>
      </c>
      <c r="F642" s="93">
        <v>0</v>
      </c>
      <c r="G642" s="79" t="s">
        <v>302</v>
      </c>
      <c r="H642" s="79" t="s">
        <v>114</v>
      </c>
      <c r="I642" s="79" t="s">
        <v>1671</v>
      </c>
      <c r="J642" s="79">
        <v>2022</v>
      </c>
      <c r="K642" s="79" t="s">
        <v>1677</v>
      </c>
      <c r="L642" s="79"/>
    </row>
    <row r="643" spans="1:12" hidden="1" x14ac:dyDescent="0.25">
      <c r="A643" s="82">
        <v>44362</v>
      </c>
      <c r="B643" s="79" t="s">
        <v>1678</v>
      </c>
      <c r="C643" s="79" t="s">
        <v>1679</v>
      </c>
      <c r="D643" s="79" t="s">
        <v>603</v>
      </c>
      <c r="E643" s="79">
        <v>68427709</v>
      </c>
      <c r="F643" s="93">
        <v>0</v>
      </c>
      <c r="G643" s="79" t="s">
        <v>302</v>
      </c>
      <c r="H643" s="79" t="s">
        <v>114</v>
      </c>
      <c r="I643" s="79" t="s">
        <v>133</v>
      </c>
      <c r="J643" s="79">
        <v>2022</v>
      </c>
      <c r="K643" s="79" t="s">
        <v>1677</v>
      </c>
      <c r="L643" s="79"/>
    </row>
    <row r="644" spans="1:12" hidden="1" x14ac:dyDescent="0.25">
      <c r="A644" s="82">
        <v>44363</v>
      </c>
      <c r="B644" s="79" t="s">
        <v>1680</v>
      </c>
      <c r="C644" s="79" t="s">
        <v>1681</v>
      </c>
      <c r="D644" s="79" t="s">
        <v>1680</v>
      </c>
      <c r="E644" s="79">
        <v>68427709</v>
      </c>
      <c r="F644" s="93">
        <v>0</v>
      </c>
      <c r="G644" s="79" t="s">
        <v>302</v>
      </c>
      <c r="H644" s="79" t="s">
        <v>114</v>
      </c>
      <c r="I644" s="79" t="s">
        <v>1682</v>
      </c>
      <c r="J644" s="79">
        <v>2022</v>
      </c>
      <c r="K644" s="79" t="s">
        <v>193</v>
      </c>
      <c r="L644" s="79" t="s">
        <v>1683</v>
      </c>
    </row>
    <row r="645" spans="1:12" hidden="1" x14ac:dyDescent="0.25">
      <c r="A645" s="82">
        <v>44372</v>
      </c>
      <c r="B645" s="79" t="s">
        <v>1684</v>
      </c>
      <c r="C645" s="79" t="s">
        <v>1685</v>
      </c>
      <c r="D645" s="79" t="s">
        <v>1416</v>
      </c>
      <c r="E645" s="79">
        <v>68427709</v>
      </c>
      <c r="F645" s="93">
        <v>55000</v>
      </c>
      <c r="G645" s="79" t="s">
        <v>113</v>
      </c>
      <c r="H645" s="79" t="s">
        <v>114</v>
      </c>
      <c r="I645" s="79" t="s">
        <v>1682</v>
      </c>
      <c r="J645" s="79">
        <v>2022</v>
      </c>
      <c r="K645" s="79" t="s">
        <v>361</v>
      </c>
      <c r="L645" s="79" t="s">
        <v>1686</v>
      </c>
    </row>
    <row r="646" spans="1:12" hidden="1" x14ac:dyDescent="0.25">
      <c r="A646" s="82">
        <v>44372</v>
      </c>
      <c r="B646" s="79" t="s">
        <v>1687</v>
      </c>
      <c r="C646" s="79" t="s">
        <v>1688</v>
      </c>
      <c r="D646" s="79" t="s">
        <v>572</v>
      </c>
      <c r="E646" s="79">
        <v>68427709</v>
      </c>
      <c r="F646" s="93">
        <v>-527772</v>
      </c>
      <c r="G646" s="79" t="s">
        <v>113</v>
      </c>
      <c r="H646" s="79" t="s">
        <v>114</v>
      </c>
      <c r="I646" s="79" t="s">
        <v>1682</v>
      </c>
      <c r="J646" s="79">
        <v>2022</v>
      </c>
      <c r="K646" s="79" t="s">
        <v>656</v>
      </c>
      <c r="L646" s="79"/>
    </row>
    <row r="647" spans="1:12" hidden="1" x14ac:dyDescent="0.25">
      <c r="A647" s="82">
        <v>44372</v>
      </c>
      <c r="B647" s="79" t="s">
        <v>1687</v>
      </c>
      <c r="C647" s="79" t="s">
        <v>1688</v>
      </c>
      <c r="D647" s="79" t="s">
        <v>572</v>
      </c>
      <c r="E647" s="79">
        <v>68427709</v>
      </c>
      <c r="F647" s="93">
        <v>-24960</v>
      </c>
      <c r="G647" s="79" t="s">
        <v>302</v>
      </c>
      <c r="H647" s="79" t="s">
        <v>114</v>
      </c>
      <c r="I647" s="79" t="s">
        <v>1682</v>
      </c>
      <c r="J647" s="79">
        <v>2022</v>
      </c>
      <c r="K647" s="79" t="s">
        <v>656</v>
      </c>
      <c r="L647" s="79" t="s">
        <v>1689</v>
      </c>
    </row>
    <row r="648" spans="1:12" hidden="1" x14ac:dyDescent="0.25">
      <c r="A648" s="82">
        <v>44372</v>
      </c>
      <c r="B648" s="79" t="s">
        <v>1690</v>
      </c>
      <c r="C648" s="79" t="s">
        <v>1572</v>
      </c>
      <c r="D648" s="79" t="s">
        <v>1690</v>
      </c>
      <c r="E648" s="79">
        <v>68427709</v>
      </c>
      <c r="F648" s="93">
        <v>-24000</v>
      </c>
      <c r="G648" s="79" t="s">
        <v>113</v>
      </c>
      <c r="H648" s="79" t="s">
        <v>114</v>
      </c>
      <c r="I648" s="79" t="s">
        <v>1682</v>
      </c>
      <c r="J648" s="79">
        <v>2022</v>
      </c>
      <c r="K648" s="79" t="s">
        <v>1588</v>
      </c>
      <c r="L648" s="79" t="s">
        <v>1691</v>
      </c>
    </row>
    <row r="649" spans="1:12" hidden="1" x14ac:dyDescent="0.25">
      <c r="A649" s="82">
        <v>44372</v>
      </c>
      <c r="B649" s="79" t="s">
        <v>1692</v>
      </c>
      <c r="C649" s="79"/>
      <c r="D649" s="79" t="s">
        <v>352</v>
      </c>
      <c r="E649" s="79">
        <v>68427709</v>
      </c>
      <c r="F649" s="93">
        <v>50000</v>
      </c>
      <c r="G649" s="79" t="s">
        <v>302</v>
      </c>
      <c r="H649" s="79" t="s">
        <v>114</v>
      </c>
      <c r="I649" s="79" t="s">
        <v>133</v>
      </c>
      <c r="J649" s="79">
        <v>2022</v>
      </c>
      <c r="K649" s="79" t="s">
        <v>1092</v>
      </c>
      <c r="L649" s="79" t="s">
        <v>1693</v>
      </c>
    </row>
    <row r="650" spans="1:12" hidden="1" x14ac:dyDescent="0.25">
      <c r="A650" s="82">
        <v>44372</v>
      </c>
      <c r="B650" s="79" t="s">
        <v>1694</v>
      </c>
      <c r="C650" s="79" t="s">
        <v>1695</v>
      </c>
      <c r="D650" s="79" t="s">
        <v>572</v>
      </c>
      <c r="E650" s="79">
        <v>68427709</v>
      </c>
      <c r="F650" s="93">
        <v>200000</v>
      </c>
      <c r="G650" s="79" t="s">
        <v>302</v>
      </c>
      <c r="H650" s="79" t="s">
        <v>114</v>
      </c>
      <c r="I650" s="79" t="s">
        <v>1682</v>
      </c>
      <c r="J650" s="79">
        <v>2022</v>
      </c>
      <c r="K650" s="79" t="s">
        <v>1696</v>
      </c>
      <c r="L650" s="79" t="s">
        <v>1697</v>
      </c>
    </row>
    <row r="651" spans="1:12" hidden="1" x14ac:dyDescent="0.25">
      <c r="A651" s="82">
        <v>44372</v>
      </c>
      <c r="B651" s="79" t="s">
        <v>1120</v>
      </c>
      <c r="C651" s="79" t="s">
        <v>1698</v>
      </c>
      <c r="D651" s="79" t="s">
        <v>0</v>
      </c>
      <c r="E651" s="79">
        <v>68427709</v>
      </c>
      <c r="F651" s="93">
        <v>36000</v>
      </c>
      <c r="G651" s="79" t="s">
        <v>302</v>
      </c>
      <c r="H651" s="79" t="s">
        <v>114</v>
      </c>
      <c r="I651" s="79" t="s">
        <v>1682</v>
      </c>
      <c r="J651" s="79">
        <v>2022</v>
      </c>
      <c r="K651" s="79" t="s">
        <v>1696</v>
      </c>
      <c r="L651" s="79"/>
    </row>
    <row r="652" spans="1:12" hidden="1" x14ac:dyDescent="0.25">
      <c r="A652" s="82">
        <v>44372</v>
      </c>
      <c r="B652" s="79" t="s">
        <v>1699</v>
      </c>
      <c r="C652" s="79" t="s">
        <v>1700</v>
      </c>
      <c r="D652" s="79" t="s">
        <v>558</v>
      </c>
      <c r="E652" s="79">
        <v>68427709</v>
      </c>
      <c r="F652" s="93">
        <v>0</v>
      </c>
      <c r="G652" s="79" t="s">
        <v>302</v>
      </c>
      <c r="H652" s="79" t="s">
        <v>114</v>
      </c>
      <c r="I652" s="79" t="s">
        <v>1682</v>
      </c>
      <c r="J652" s="79">
        <v>2022</v>
      </c>
      <c r="K652" s="79" t="s">
        <v>1696</v>
      </c>
      <c r="L652" s="79" t="s">
        <v>1701</v>
      </c>
    </row>
    <row r="653" spans="1:12" hidden="1" x14ac:dyDescent="0.25">
      <c r="A653" s="82">
        <v>44203</v>
      </c>
      <c r="B653" s="79" t="s">
        <v>131</v>
      </c>
      <c r="C653" s="79" t="s">
        <v>1702</v>
      </c>
      <c r="D653" s="79" t="s">
        <v>131</v>
      </c>
      <c r="E653" s="79">
        <v>68427709</v>
      </c>
      <c r="F653" s="93">
        <v>5000</v>
      </c>
      <c r="G653" s="79" t="s">
        <v>113</v>
      </c>
      <c r="H653" s="79" t="s">
        <v>114</v>
      </c>
      <c r="I653" s="79" t="s">
        <v>1682</v>
      </c>
      <c r="J653" s="79">
        <v>2022</v>
      </c>
      <c r="K653" s="79" t="s">
        <v>227</v>
      </c>
      <c r="L653" s="79"/>
    </row>
    <row r="654" spans="1:12" hidden="1" x14ac:dyDescent="0.25">
      <c r="A654" s="82">
        <v>44203</v>
      </c>
      <c r="B654" s="79" t="s">
        <v>774</v>
      </c>
      <c r="C654" s="79" t="s">
        <v>1007</v>
      </c>
      <c r="D654" s="79" t="s">
        <v>774</v>
      </c>
      <c r="E654" s="79">
        <v>68427709</v>
      </c>
      <c r="F654" s="93">
        <v>1000</v>
      </c>
      <c r="G654" s="79" t="s">
        <v>113</v>
      </c>
      <c r="H654" s="79" t="s">
        <v>114</v>
      </c>
      <c r="I654" s="79" t="s">
        <v>1682</v>
      </c>
      <c r="J654" s="79">
        <v>2022</v>
      </c>
      <c r="K654" s="79" t="s">
        <v>337</v>
      </c>
      <c r="L654" s="79"/>
    </row>
    <row r="655" spans="1:12" hidden="1" x14ac:dyDescent="0.25">
      <c r="A655" s="82">
        <v>44203</v>
      </c>
      <c r="B655" s="79" t="s">
        <v>118</v>
      </c>
      <c r="C655" s="79" t="s">
        <v>1703</v>
      </c>
      <c r="D655" s="79" t="s">
        <v>118</v>
      </c>
      <c r="E655" s="79">
        <v>68427709</v>
      </c>
      <c r="F655" s="93">
        <v>-34000</v>
      </c>
      <c r="G655" s="79" t="s">
        <v>113</v>
      </c>
      <c r="H655" s="79" t="s">
        <v>114</v>
      </c>
      <c r="I655" s="79" t="s">
        <v>1682</v>
      </c>
      <c r="J655" s="79">
        <v>2022</v>
      </c>
      <c r="K655" s="79" t="s">
        <v>1704</v>
      </c>
      <c r="L655" s="79"/>
    </row>
    <row r="656" spans="1:12" hidden="1" x14ac:dyDescent="0.25">
      <c r="A656" s="82">
        <v>44203</v>
      </c>
      <c r="B656" s="79" t="s">
        <v>157</v>
      </c>
      <c r="C656" s="79" t="s">
        <v>1705</v>
      </c>
      <c r="D656" s="79" t="s">
        <v>157</v>
      </c>
      <c r="E656" s="79">
        <v>68427709</v>
      </c>
      <c r="F656" s="93">
        <v>-220000</v>
      </c>
      <c r="G656" s="79" t="s">
        <v>113</v>
      </c>
      <c r="H656" s="79" t="s">
        <v>114</v>
      </c>
      <c r="I656" s="79" t="s">
        <v>1682</v>
      </c>
      <c r="J656" s="79">
        <v>2022</v>
      </c>
      <c r="K656" s="79" t="s">
        <v>1704</v>
      </c>
      <c r="L656" s="79"/>
    </row>
    <row r="657" spans="1:12" hidden="1" x14ac:dyDescent="0.25">
      <c r="A657" s="82">
        <v>44203</v>
      </c>
      <c r="B657" s="181" t="s">
        <v>1706</v>
      </c>
      <c r="C657" s="181" t="s">
        <v>1707</v>
      </c>
      <c r="D657" s="79" t="s">
        <v>1648</v>
      </c>
      <c r="E657" s="79">
        <v>68427709</v>
      </c>
      <c r="F657" s="93">
        <v>8000</v>
      </c>
      <c r="G657" s="79" t="s">
        <v>113</v>
      </c>
      <c r="H657" s="79" t="s">
        <v>114</v>
      </c>
      <c r="I657" s="79" t="s">
        <v>993</v>
      </c>
      <c r="J657" s="79">
        <v>2022</v>
      </c>
      <c r="K657" s="79" t="s">
        <v>555</v>
      </c>
      <c r="L657" s="79"/>
    </row>
    <row r="658" spans="1:12" hidden="1" x14ac:dyDescent="0.25">
      <c r="A658" s="82">
        <v>44203</v>
      </c>
      <c r="B658" s="79" t="s">
        <v>1266</v>
      </c>
      <c r="C658" s="181" t="s">
        <v>1708</v>
      </c>
      <c r="D658" s="79" t="s">
        <v>1709</v>
      </c>
      <c r="E658" s="79">
        <v>68427709</v>
      </c>
      <c r="F658" s="93">
        <v>162000</v>
      </c>
      <c r="G658" s="79" t="s">
        <v>113</v>
      </c>
      <c r="H658" s="79" t="s">
        <v>114</v>
      </c>
      <c r="I658" s="79" t="s">
        <v>1682</v>
      </c>
      <c r="J658" s="79">
        <v>2022</v>
      </c>
      <c r="K658" s="79" t="s">
        <v>555</v>
      </c>
      <c r="L658" s="79"/>
    </row>
    <row r="659" spans="1:12" hidden="1" x14ac:dyDescent="0.25">
      <c r="A659" s="82">
        <v>44203</v>
      </c>
      <c r="B659" s="79" t="s">
        <v>1710</v>
      </c>
      <c r="C659" s="181" t="s">
        <v>1711</v>
      </c>
      <c r="D659" s="79" t="s">
        <v>603</v>
      </c>
      <c r="E659" s="79">
        <v>68427709</v>
      </c>
      <c r="F659" s="93">
        <v>30000</v>
      </c>
      <c r="G659" s="79" t="s">
        <v>113</v>
      </c>
      <c r="H659" s="79" t="s">
        <v>114</v>
      </c>
      <c r="I659" s="79" t="s">
        <v>993</v>
      </c>
      <c r="J659" s="79">
        <v>2022</v>
      </c>
      <c r="K659" s="79" t="s">
        <v>555</v>
      </c>
      <c r="L659" s="79"/>
    </row>
    <row r="660" spans="1:12" hidden="1" x14ac:dyDescent="0.25">
      <c r="A660" s="82">
        <v>44203</v>
      </c>
      <c r="B660" s="79" t="s">
        <v>1712</v>
      </c>
      <c r="C660" s="181" t="s">
        <v>1713</v>
      </c>
      <c r="D660" s="79" t="s">
        <v>1714</v>
      </c>
      <c r="E660" s="79">
        <v>68427709</v>
      </c>
      <c r="F660" s="93">
        <v>-175000</v>
      </c>
      <c r="G660" s="79" t="s">
        <v>113</v>
      </c>
      <c r="H660" s="79" t="s">
        <v>114</v>
      </c>
      <c r="I660" s="79" t="s">
        <v>1682</v>
      </c>
      <c r="J660" s="79">
        <v>2022</v>
      </c>
      <c r="K660" s="79" t="s">
        <v>555</v>
      </c>
      <c r="L660" s="79"/>
    </row>
    <row r="661" spans="1:12" hidden="1" x14ac:dyDescent="0.25">
      <c r="A661" s="82">
        <v>44203</v>
      </c>
      <c r="B661" s="79" t="s">
        <v>1715</v>
      </c>
      <c r="C661" s="181" t="s">
        <v>1716</v>
      </c>
      <c r="D661" s="79" t="s">
        <v>1715</v>
      </c>
      <c r="E661" s="79">
        <v>68427709</v>
      </c>
      <c r="F661" s="93">
        <v>-10000</v>
      </c>
      <c r="G661" s="79" t="s">
        <v>113</v>
      </c>
      <c r="H661" s="79" t="s">
        <v>114</v>
      </c>
      <c r="I661" s="79" t="s">
        <v>1682</v>
      </c>
      <c r="J661" s="79">
        <v>2022</v>
      </c>
      <c r="K661" s="79" t="s">
        <v>555</v>
      </c>
      <c r="L661" s="79"/>
    </row>
    <row r="662" spans="1:12" hidden="1" x14ac:dyDescent="0.25">
      <c r="A662" s="82">
        <v>44203</v>
      </c>
      <c r="B662" s="182" t="s">
        <v>1717</v>
      </c>
      <c r="C662" s="181" t="s">
        <v>1718</v>
      </c>
      <c r="D662" s="79" t="s">
        <v>1719</v>
      </c>
      <c r="E662" s="79">
        <v>68427709</v>
      </c>
      <c r="F662" s="93">
        <v>10500</v>
      </c>
      <c r="G662" s="79" t="s">
        <v>113</v>
      </c>
      <c r="H662" s="79" t="s">
        <v>114</v>
      </c>
      <c r="I662" s="79" t="s">
        <v>1682</v>
      </c>
      <c r="J662" s="79">
        <v>2022</v>
      </c>
      <c r="K662" s="79" t="s">
        <v>555</v>
      </c>
      <c r="L662" s="79" t="s">
        <v>1720</v>
      </c>
    </row>
    <row r="663" spans="1:12" hidden="1" x14ac:dyDescent="0.25">
      <c r="A663" s="82">
        <v>44203</v>
      </c>
      <c r="B663" s="79" t="s">
        <v>1721</v>
      </c>
      <c r="C663" s="79" t="s">
        <v>1722</v>
      </c>
      <c r="D663" s="79" t="s">
        <v>1723</v>
      </c>
      <c r="E663" s="79">
        <v>68427709</v>
      </c>
      <c r="F663" s="93">
        <v>0</v>
      </c>
      <c r="G663" s="79" t="s">
        <v>113</v>
      </c>
      <c r="H663" s="79" t="s">
        <v>114</v>
      </c>
      <c r="I663" s="79" t="s">
        <v>1682</v>
      </c>
      <c r="J663" s="79">
        <v>2022</v>
      </c>
      <c r="K663" s="79" t="s">
        <v>116</v>
      </c>
      <c r="L663" s="79"/>
    </row>
    <row r="664" spans="1:12" hidden="1" x14ac:dyDescent="0.25">
      <c r="A664" s="82">
        <v>44384</v>
      </c>
      <c r="B664" s="79" t="s">
        <v>1131</v>
      </c>
      <c r="C664" s="79" t="s">
        <v>1724</v>
      </c>
      <c r="D664" s="79" t="s">
        <v>1131</v>
      </c>
      <c r="E664" s="79">
        <v>68427719</v>
      </c>
      <c r="F664" s="93">
        <v>0</v>
      </c>
      <c r="G664" s="79" t="s">
        <v>113</v>
      </c>
      <c r="H664" s="79" t="s">
        <v>114</v>
      </c>
      <c r="I664" s="79" t="s">
        <v>1682</v>
      </c>
      <c r="J664" s="79">
        <v>2022</v>
      </c>
      <c r="K664" s="79" t="s">
        <v>361</v>
      </c>
      <c r="L664" s="79"/>
    </row>
    <row r="665" spans="1:12" hidden="1" x14ac:dyDescent="0.25">
      <c r="A665" s="82">
        <v>44384</v>
      </c>
      <c r="B665" s="79" t="s">
        <v>135</v>
      </c>
      <c r="C665" s="79" t="s">
        <v>1725</v>
      </c>
      <c r="D665" s="79" t="s">
        <v>1726</v>
      </c>
      <c r="E665" s="79">
        <v>68427709</v>
      </c>
      <c r="F665" s="93">
        <v>0</v>
      </c>
      <c r="G665" s="79" t="s">
        <v>113</v>
      </c>
      <c r="H665" s="79" t="s">
        <v>114</v>
      </c>
      <c r="I665" s="79" t="s">
        <v>1682</v>
      </c>
      <c r="J665" s="79">
        <v>2022</v>
      </c>
      <c r="K665" s="79" t="s">
        <v>361</v>
      </c>
      <c r="L665" s="79"/>
    </row>
    <row r="666" spans="1:12" hidden="1" x14ac:dyDescent="0.25">
      <c r="A666" s="82">
        <v>44384</v>
      </c>
      <c r="B666" s="79" t="s">
        <v>1727</v>
      </c>
      <c r="C666" s="79" t="s">
        <v>1728</v>
      </c>
      <c r="D666" s="79" t="s">
        <v>352</v>
      </c>
      <c r="E666" s="79">
        <v>68427709</v>
      </c>
      <c r="F666" s="93">
        <v>260000</v>
      </c>
      <c r="G666" s="79" t="s">
        <v>113</v>
      </c>
      <c r="H666" s="79" t="s">
        <v>114</v>
      </c>
      <c r="I666" s="79" t="s">
        <v>133</v>
      </c>
      <c r="J666" s="79">
        <v>2022</v>
      </c>
      <c r="K666" s="79" t="s">
        <v>361</v>
      </c>
      <c r="L666" s="79"/>
    </row>
    <row r="667" spans="1:12" hidden="1" x14ac:dyDescent="0.25">
      <c r="A667" s="82">
        <v>44384</v>
      </c>
      <c r="B667" s="79" t="s">
        <v>1729</v>
      </c>
      <c r="C667" s="79" t="s">
        <v>1730</v>
      </c>
      <c r="D667" s="152" t="s">
        <v>1731</v>
      </c>
      <c r="E667" s="79">
        <v>68427709</v>
      </c>
      <c r="F667" s="93">
        <v>32000</v>
      </c>
      <c r="G667" s="79" t="s">
        <v>113</v>
      </c>
      <c r="H667" s="79" t="s">
        <v>114</v>
      </c>
      <c r="I667" s="79" t="s">
        <v>1671</v>
      </c>
      <c r="J667" s="79">
        <v>2022</v>
      </c>
      <c r="K667" s="79" t="s">
        <v>227</v>
      </c>
      <c r="L667" s="79"/>
    </row>
    <row r="668" spans="1:12" hidden="1" x14ac:dyDescent="0.25">
      <c r="A668" s="82">
        <v>44415</v>
      </c>
      <c r="B668" s="79" t="s">
        <v>1732</v>
      </c>
      <c r="C668" s="79" t="s">
        <v>1733</v>
      </c>
      <c r="D668" s="79" t="s">
        <v>603</v>
      </c>
      <c r="E668" s="79">
        <v>68427709</v>
      </c>
      <c r="F668" s="93">
        <v>-100000</v>
      </c>
      <c r="G668" s="79" t="s">
        <v>113</v>
      </c>
      <c r="H668" s="79" t="s">
        <v>114</v>
      </c>
      <c r="I668" s="79" t="s">
        <v>133</v>
      </c>
      <c r="J668" s="79">
        <v>2022</v>
      </c>
      <c r="K668" s="79" t="s">
        <v>1734</v>
      </c>
      <c r="L668" s="79"/>
    </row>
    <row r="669" spans="1:12" hidden="1" x14ac:dyDescent="0.25">
      <c r="A669" s="82">
        <v>44415</v>
      </c>
      <c r="B669" s="79" t="s">
        <v>1735</v>
      </c>
      <c r="C669" s="79" t="s">
        <v>1736</v>
      </c>
      <c r="D669" s="79" t="s">
        <v>603</v>
      </c>
      <c r="E669" s="79">
        <v>68427709</v>
      </c>
      <c r="F669" s="93">
        <v>-100000</v>
      </c>
      <c r="G669" s="79" t="s">
        <v>113</v>
      </c>
      <c r="H669" s="79" t="s">
        <v>114</v>
      </c>
      <c r="I669" s="79" t="s">
        <v>133</v>
      </c>
      <c r="J669" s="79">
        <v>2022</v>
      </c>
      <c r="K669" s="79" t="s">
        <v>1734</v>
      </c>
      <c r="L669" s="79"/>
    </row>
    <row r="670" spans="1:12" hidden="1" x14ac:dyDescent="0.25">
      <c r="A670" s="82">
        <v>44415</v>
      </c>
      <c r="B670" s="79" t="s">
        <v>273</v>
      </c>
      <c r="C670" t="s">
        <v>1737</v>
      </c>
      <c r="D670" s="79" t="s">
        <v>273</v>
      </c>
      <c r="E670" s="79">
        <v>68427709</v>
      </c>
      <c r="F670" s="93">
        <v>25000</v>
      </c>
      <c r="G670" s="79" t="s">
        <v>113</v>
      </c>
      <c r="H670" s="79" t="s">
        <v>114</v>
      </c>
      <c r="I670" s="79" t="s">
        <v>1671</v>
      </c>
      <c r="J670" s="79">
        <v>2022</v>
      </c>
      <c r="K670" s="79" t="s">
        <v>1734</v>
      </c>
      <c r="L670" s="79"/>
    </row>
    <row r="671" spans="1:12" hidden="1" x14ac:dyDescent="0.25">
      <c r="A671" s="82">
        <v>44415</v>
      </c>
      <c r="B671" s="79" t="s">
        <v>753</v>
      </c>
      <c r="C671" t="s">
        <v>1738</v>
      </c>
      <c r="D671" s="79" t="s">
        <v>1739</v>
      </c>
      <c r="E671" s="79">
        <v>68427709</v>
      </c>
      <c r="F671" s="93">
        <v>150000</v>
      </c>
      <c r="G671" s="79" t="s">
        <v>113</v>
      </c>
      <c r="H671" s="79" t="s">
        <v>114</v>
      </c>
      <c r="I671" s="79" t="s">
        <v>1671</v>
      </c>
      <c r="J671" s="79">
        <v>2022</v>
      </c>
      <c r="K671" s="79" t="s">
        <v>1734</v>
      </c>
      <c r="L671" s="79"/>
    </row>
    <row r="672" spans="1:12" hidden="1" x14ac:dyDescent="0.25">
      <c r="A672" s="82">
        <v>44415</v>
      </c>
      <c r="B672" s="79" t="s">
        <v>1194</v>
      </c>
      <c r="C672" s="79" t="s">
        <v>1740</v>
      </c>
      <c r="D672" s="79" t="s">
        <v>1194</v>
      </c>
      <c r="E672" s="79">
        <v>68427709</v>
      </c>
      <c r="F672" s="93">
        <v>20000</v>
      </c>
      <c r="G672" s="79" t="s">
        <v>113</v>
      </c>
      <c r="H672" s="79" t="s">
        <v>114</v>
      </c>
      <c r="I672" s="79" t="s">
        <v>133</v>
      </c>
      <c r="J672" s="79">
        <v>2022</v>
      </c>
      <c r="K672" s="79" t="s">
        <v>1734</v>
      </c>
      <c r="L672" s="79"/>
    </row>
    <row r="673" spans="1:12" hidden="1" x14ac:dyDescent="0.25">
      <c r="A673" s="82">
        <v>44537</v>
      </c>
      <c r="B673" s="79" t="s">
        <v>1191</v>
      </c>
      <c r="C673" s="79" t="s">
        <v>1741</v>
      </c>
      <c r="D673" s="79" t="s">
        <v>1191</v>
      </c>
      <c r="E673" s="79">
        <v>68427709</v>
      </c>
      <c r="F673" s="93">
        <v>20000</v>
      </c>
      <c r="G673" s="79" t="s">
        <v>113</v>
      </c>
      <c r="H673" s="79" t="s">
        <v>114</v>
      </c>
      <c r="I673" s="79" t="s">
        <v>1671</v>
      </c>
      <c r="J673" s="79">
        <v>2022</v>
      </c>
      <c r="K673" s="79" t="s">
        <v>1742</v>
      </c>
      <c r="L673" s="79"/>
    </row>
    <row r="674" spans="1:12" hidden="1" x14ac:dyDescent="0.25">
      <c r="A674" s="82">
        <v>44390</v>
      </c>
      <c r="B674" s="79" t="s">
        <v>1743</v>
      </c>
      <c r="C674" s="79" t="s">
        <v>1744</v>
      </c>
      <c r="D674" s="79" t="s">
        <v>73</v>
      </c>
      <c r="E674" s="79">
        <v>68427709</v>
      </c>
      <c r="F674" s="93">
        <v>60000</v>
      </c>
      <c r="G674" s="79" t="s">
        <v>113</v>
      </c>
      <c r="H674" s="79" t="s">
        <v>114</v>
      </c>
      <c r="I674" s="79" t="s">
        <v>1671</v>
      </c>
      <c r="J674" s="79">
        <v>2022</v>
      </c>
      <c r="K674" s="79" t="s">
        <v>1092</v>
      </c>
      <c r="L674" s="79"/>
    </row>
    <row r="675" spans="1:12" hidden="1" x14ac:dyDescent="0.25">
      <c r="A675" s="82">
        <v>44391</v>
      </c>
      <c r="B675" s="79" t="s">
        <v>1745</v>
      </c>
      <c r="C675" s="79" t="s">
        <v>1746</v>
      </c>
      <c r="D675" s="79" t="s">
        <v>277</v>
      </c>
      <c r="E675" s="79">
        <v>68427709</v>
      </c>
      <c r="F675" s="93">
        <v>0</v>
      </c>
      <c r="G675" s="79" t="s">
        <v>113</v>
      </c>
      <c r="H675" s="79" t="s">
        <v>114</v>
      </c>
      <c r="I675" s="79" t="s">
        <v>948</v>
      </c>
      <c r="J675" s="79">
        <v>2022</v>
      </c>
      <c r="K675" s="79" t="s">
        <v>116</v>
      </c>
      <c r="L675" s="79" t="s">
        <v>1747</v>
      </c>
    </row>
    <row r="676" spans="1:12" hidden="1" x14ac:dyDescent="0.25">
      <c r="A676" s="82">
        <v>44391</v>
      </c>
      <c r="B676" s="79" t="s">
        <v>1748</v>
      </c>
      <c r="C676" s="79" t="s">
        <v>1749</v>
      </c>
      <c r="D676" s="79" t="s">
        <v>277</v>
      </c>
      <c r="E676" s="79">
        <v>68427709</v>
      </c>
      <c r="F676" s="93">
        <v>-48960</v>
      </c>
      <c r="G676" s="79" t="s">
        <v>113</v>
      </c>
      <c r="H676" s="79" t="s">
        <v>114</v>
      </c>
      <c r="I676" s="79" t="s">
        <v>948</v>
      </c>
      <c r="J676" s="79">
        <v>2022</v>
      </c>
      <c r="K676" s="79" t="s">
        <v>116</v>
      </c>
      <c r="L676" s="79" t="s">
        <v>1750</v>
      </c>
    </row>
    <row r="677" spans="1:12" hidden="1" x14ac:dyDescent="0.25">
      <c r="A677" s="82">
        <v>44391</v>
      </c>
      <c r="B677" s="79" t="s">
        <v>1751</v>
      </c>
      <c r="C677" s="79" t="s">
        <v>1752</v>
      </c>
      <c r="D677" s="79" t="s">
        <v>277</v>
      </c>
      <c r="E677" s="79">
        <v>68427709</v>
      </c>
      <c r="F677" s="93">
        <v>11040</v>
      </c>
      <c r="G677" s="79" t="s">
        <v>113</v>
      </c>
      <c r="H677" s="79" t="s">
        <v>114</v>
      </c>
      <c r="I677" s="79" t="s">
        <v>948</v>
      </c>
      <c r="J677" s="79">
        <v>2022</v>
      </c>
      <c r="K677" s="79" t="s">
        <v>116</v>
      </c>
      <c r="L677" s="79"/>
    </row>
    <row r="678" spans="1:12" hidden="1" x14ac:dyDescent="0.25">
      <c r="A678" s="82">
        <v>44391</v>
      </c>
      <c r="B678" s="79" t="s">
        <v>30</v>
      </c>
      <c r="C678" s="79" t="s">
        <v>1753</v>
      </c>
      <c r="D678" s="79" t="s">
        <v>277</v>
      </c>
      <c r="E678" s="79">
        <v>68427709</v>
      </c>
      <c r="F678" s="93">
        <v>-192000</v>
      </c>
      <c r="G678" s="79" t="s">
        <v>113</v>
      </c>
      <c r="H678" s="79" t="s">
        <v>114</v>
      </c>
      <c r="I678" s="79" t="s">
        <v>948</v>
      </c>
      <c r="J678" s="79">
        <v>2022</v>
      </c>
      <c r="K678" s="79" t="s">
        <v>116</v>
      </c>
      <c r="L678" s="79" t="s">
        <v>1754</v>
      </c>
    </row>
    <row r="679" spans="1:12" hidden="1" x14ac:dyDescent="0.25">
      <c r="A679" s="82">
        <v>44391</v>
      </c>
      <c r="B679" s="79" t="s">
        <v>1755</v>
      </c>
      <c r="C679" s="79" t="s">
        <v>1756</v>
      </c>
      <c r="D679" s="79" t="s">
        <v>277</v>
      </c>
      <c r="E679" s="79">
        <v>68427709</v>
      </c>
      <c r="F679" s="93">
        <v>-37975</v>
      </c>
      <c r="G679" s="79" t="s">
        <v>302</v>
      </c>
      <c r="H679" s="79" t="s">
        <v>114</v>
      </c>
      <c r="I679" s="79" t="s">
        <v>948</v>
      </c>
      <c r="J679" s="79">
        <v>2022</v>
      </c>
      <c r="K679" s="79" t="s">
        <v>116</v>
      </c>
      <c r="L679" s="79" t="s">
        <v>1757</v>
      </c>
    </row>
    <row r="680" spans="1:12" hidden="1" x14ac:dyDescent="0.25">
      <c r="A680" s="82">
        <v>44391</v>
      </c>
      <c r="B680" s="79" t="s">
        <v>570</v>
      </c>
      <c r="C680" s="79" t="s">
        <v>1756</v>
      </c>
      <c r="D680" s="79" t="s">
        <v>277</v>
      </c>
      <c r="E680" s="79">
        <v>68427709</v>
      </c>
      <c r="F680" s="93">
        <v>-50000</v>
      </c>
      <c r="G680" s="79" t="s">
        <v>113</v>
      </c>
      <c r="H680" s="79" t="s">
        <v>114</v>
      </c>
      <c r="I680" s="79" t="s">
        <v>948</v>
      </c>
      <c r="J680" s="79">
        <v>2022</v>
      </c>
      <c r="K680" s="79" t="s">
        <v>116</v>
      </c>
      <c r="L680" s="79"/>
    </row>
    <row r="681" spans="1:12" hidden="1" x14ac:dyDescent="0.25">
      <c r="A681" s="82">
        <v>44391</v>
      </c>
      <c r="B681" s="79" t="s">
        <v>1758</v>
      </c>
      <c r="C681" s="79" t="s">
        <v>1756</v>
      </c>
      <c r="D681" s="79" t="s">
        <v>277</v>
      </c>
      <c r="E681" s="79">
        <v>68427709</v>
      </c>
      <c r="F681" s="93">
        <v>-61783</v>
      </c>
      <c r="G681" s="79" t="s">
        <v>113</v>
      </c>
      <c r="H681" s="79" t="s">
        <v>114</v>
      </c>
      <c r="I681" s="79" t="s">
        <v>948</v>
      </c>
      <c r="J681" s="79">
        <v>2022</v>
      </c>
      <c r="K681" s="79" t="s">
        <v>116</v>
      </c>
      <c r="L681" s="79"/>
    </row>
    <row r="682" spans="1:12" hidden="1" x14ac:dyDescent="0.25">
      <c r="A682" s="82">
        <v>44391</v>
      </c>
      <c r="B682" s="79" t="s">
        <v>1759</v>
      </c>
      <c r="C682" s="79" t="s">
        <v>1753</v>
      </c>
      <c r="D682" s="79" t="s">
        <v>277</v>
      </c>
      <c r="E682" s="79">
        <v>68427709</v>
      </c>
      <c r="F682" s="93">
        <v>111783</v>
      </c>
      <c r="G682" s="79" t="s">
        <v>113</v>
      </c>
      <c r="H682" s="79" t="s">
        <v>114</v>
      </c>
      <c r="I682" s="79" t="s">
        <v>948</v>
      </c>
      <c r="J682" s="79">
        <v>2022</v>
      </c>
      <c r="K682" s="79" t="s">
        <v>116</v>
      </c>
      <c r="L682" s="79" t="s">
        <v>1760</v>
      </c>
    </row>
    <row r="683" spans="1:12" hidden="1" x14ac:dyDescent="0.25">
      <c r="A683" s="82">
        <v>44391</v>
      </c>
      <c r="B683" s="79" t="s">
        <v>1761</v>
      </c>
      <c r="C683" s="79" t="s">
        <v>1762</v>
      </c>
      <c r="D683" s="79" t="s">
        <v>277</v>
      </c>
      <c r="E683" s="79">
        <v>68427709</v>
      </c>
      <c r="F683" s="93">
        <v>60000</v>
      </c>
      <c r="G683" s="79" t="s">
        <v>113</v>
      </c>
      <c r="H683" s="79" t="s">
        <v>114</v>
      </c>
      <c r="I683" s="79" t="s">
        <v>948</v>
      </c>
      <c r="J683" s="79">
        <v>2022</v>
      </c>
      <c r="K683" s="79" t="s">
        <v>116</v>
      </c>
      <c r="L683" s="79" t="s">
        <v>1763</v>
      </c>
    </row>
    <row r="684" spans="1:12" hidden="1" x14ac:dyDescent="0.25">
      <c r="A684" s="82">
        <v>44392</v>
      </c>
      <c r="B684" s="79" t="s">
        <v>1764</v>
      </c>
      <c r="C684" s="79" t="s">
        <v>1765</v>
      </c>
      <c r="D684" s="79" t="s">
        <v>0</v>
      </c>
      <c r="E684" s="79">
        <v>68427709</v>
      </c>
      <c r="F684" s="93">
        <v>700000</v>
      </c>
      <c r="G684" s="79" t="s">
        <v>302</v>
      </c>
      <c r="H684" s="79" t="s">
        <v>114</v>
      </c>
      <c r="I684" s="79" t="s">
        <v>1671</v>
      </c>
      <c r="J684" s="79">
        <v>2022</v>
      </c>
      <c r="K684" s="79" t="s">
        <v>1588</v>
      </c>
      <c r="L684" s="79" t="s">
        <v>1627</v>
      </c>
    </row>
    <row r="685" spans="1:12" hidden="1" x14ac:dyDescent="0.25">
      <c r="A685" s="82">
        <v>44392</v>
      </c>
      <c r="B685" s="79" t="s">
        <v>1766</v>
      </c>
      <c r="C685" s="79" t="s">
        <v>1767</v>
      </c>
      <c r="D685" s="79"/>
      <c r="E685" s="79">
        <v>68427709</v>
      </c>
      <c r="F685" s="93">
        <v>300000</v>
      </c>
      <c r="G685" s="79" t="s">
        <v>302</v>
      </c>
      <c r="H685" s="79" t="s">
        <v>114</v>
      </c>
      <c r="I685" s="79" t="s">
        <v>1671</v>
      </c>
      <c r="J685" s="79">
        <v>2022</v>
      </c>
      <c r="K685" s="79" t="s">
        <v>1588</v>
      </c>
      <c r="L685" s="79" t="s">
        <v>1627</v>
      </c>
    </row>
    <row r="686" spans="1:12" hidden="1" x14ac:dyDescent="0.25">
      <c r="A686" s="82">
        <v>44392</v>
      </c>
      <c r="B686" s="79" t="s">
        <v>1768</v>
      </c>
      <c r="C686" s="79" t="s">
        <v>1769</v>
      </c>
      <c r="D686" s="79" t="s">
        <v>66</v>
      </c>
      <c r="E686" s="79">
        <v>68427709</v>
      </c>
      <c r="F686" s="93">
        <v>-118000</v>
      </c>
      <c r="G686" s="79" t="s">
        <v>113</v>
      </c>
      <c r="H686" s="79" t="s">
        <v>114</v>
      </c>
      <c r="I686" s="79" t="s">
        <v>1671</v>
      </c>
      <c r="J686" s="79">
        <v>2022</v>
      </c>
      <c r="K686" s="79" t="s">
        <v>1588</v>
      </c>
      <c r="L686" s="79"/>
    </row>
    <row r="687" spans="1:12" hidden="1" x14ac:dyDescent="0.25">
      <c r="A687" s="82">
        <v>44392</v>
      </c>
      <c r="B687" s="79" t="s">
        <v>1770</v>
      </c>
      <c r="C687" s="79" t="s">
        <v>1769</v>
      </c>
      <c r="D687" s="79" t="s">
        <v>66</v>
      </c>
      <c r="E687" s="79">
        <v>68427709</v>
      </c>
      <c r="F687" s="93">
        <v>-40000</v>
      </c>
      <c r="G687" s="79" t="s">
        <v>113</v>
      </c>
      <c r="H687" s="79" t="s">
        <v>114</v>
      </c>
      <c r="I687" s="79" t="s">
        <v>1671</v>
      </c>
      <c r="J687" s="79">
        <v>2022</v>
      </c>
      <c r="K687" s="79" t="s">
        <v>1588</v>
      </c>
      <c r="L687" s="79"/>
    </row>
    <row r="688" spans="1:12" hidden="1" x14ac:dyDescent="0.25">
      <c r="A688" s="82">
        <v>44392</v>
      </c>
      <c r="B688" s="79" t="s">
        <v>1771</v>
      </c>
      <c r="C688" s="79" t="s">
        <v>1772</v>
      </c>
      <c r="D688" s="79" t="s">
        <v>603</v>
      </c>
      <c r="E688" s="79">
        <v>68427709</v>
      </c>
      <c r="F688" s="93">
        <v>-53000</v>
      </c>
      <c r="G688" s="79" t="s">
        <v>302</v>
      </c>
      <c r="H688" s="79" t="s">
        <v>114</v>
      </c>
      <c r="I688" s="79" t="s">
        <v>1671</v>
      </c>
      <c r="J688" s="79">
        <v>2022</v>
      </c>
      <c r="K688" s="79" t="s">
        <v>1588</v>
      </c>
      <c r="L688" s="79" t="s">
        <v>1773</v>
      </c>
    </row>
    <row r="689" spans="1:12" hidden="1" x14ac:dyDescent="0.25">
      <c r="A689" s="82">
        <v>44392</v>
      </c>
      <c r="B689" s="79" t="s">
        <v>1774</v>
      </c>
      <c r="C689" s="79" t="s">
        <v>1775</v>
      </c>
      <c r="D689" s="79" t="s">
        <v>558</v>
      </c>
      <c r="E689" s="79">
        <v>68427709</v>
      </c>
      <c r="F689" s="93">
        <v>-345000</v>
      </c>
      <c r="G689" s="79" t="s">
        <v>113</v>
      </c>
      <c r="H689" s="79" t="s">
        <v>114</v>
      </c>
      <c r="I689" s="79" t="s">
        <v>1671</v>
      </c>
      <c r="J689" s="79">
        <v>2022</v>
      </c>
      <c r="K689" s="79" t="s">
        <v>1588</v>
      </c>
      <c r="L689" s="79"/>
    </row>
    <row r="690" spans="1:12" hidden="1" x14ac:dyDescent="0.25">
      <c r="A690" s="82">
        <v>44392</v>
      </c>
      <c r="B690" s="79" t="s">
        <v>1776</v>
      </c>
      <c r="C690" s="79" t="s">
        <v>1777</v>
      </c>
      <c r="D690" s="79" t="s">
        <v>1778</v>
      </c>
      <c r="E690" s="79">
        <v>68427709</v>
      </c>
      <c r="F690" s="93">
        <v>-250000</v>
      </c>
      <c r="G690" s="79" t="s">
        <v>113</v>
      </c>
      <c r="H690" s="79" t="s">
        <v>114</v>
      </c>
      <c r="I690" s="79" t="s">
        <v>1671</v>
      </c>
      <c r="J690" s="79">
        <v>2022</v>
      </c>
      <c r="K690" s="79" t="s">
        <v>1588</v>
      </c>
      <c r="L690" s="79"/>
    </row>
    <row r="691" spans="1:12" hidden="1" x14ac:dyDescent="0.25">
      <c r="A691" s="82">
        <v>44396</v>
      </c>
      <c r="B691" s="79" t="s">
        <v>1779</v>
      </c>
      <c r="C691" s="79" t="s">
        <v>1780</v>
      </c>
      <c r="D691" s="79" t="s">
        <v>1781</v>
      </c>
      <c r="E691" s="79">
        <v>68427709</v>
      </c>
      <c r="F691" s="93">
        <v>-30000</v>
      </c>
      <c r="G691" s="79" t="s">
        <v>113</v>
      </c>
      <c r="H691" s="79" t="s">
        <v>114</v>
      </c>
      <c r="I691" s="79" t="s">
        <v>1671</v>
      </c>
      <c r="J691" s="79">
        <v>2022</v>
      </c>
      <c r="K691" s="79" t="s">
        <v>279</v>
      </c>
      <c r="L691" s="79"/>
    </row>
    <row r="692" spans="1:12" hidden="1" x14ac:dyDescent="0.25">
      <c r="A692" s="82">
        <v>44396</v>
      </c>
      <c r="B692" s="79" t="s">
        <v>1782</v>
      </c>
      <c r="C692" s="79" t="s">
        <v>1783</v>
      </c>
      <c r="D692" s="79" t="s">
        <v>1781</v>
      </c>
      <c r="E692" s="79">
        <v>68427709</v>
      </c>
      <c r="F692" s="93">
        <v>95400</v>
      </c>
      <c r="G692" s="79" t="s">
        <v>113</v>
      </c>
      <c r="H692" s="79" t="s">
        <v>114</v>
      </c>
      <c r="I692" s="79" t="s">
        <v>1671</v>
      </c>
      <c r="J692" s="79">
        <v>2022</v>
      </c>
      <c r="K692" s="79" t="s">
        <v>279</v>
      </c>
      <c r="L692" s="79"/>
    </row>
    <row r="693" spans="1:12" hidden="1" x14ac:dyDescent="0.25">
      <c r="A693" s="82">
        <v>44396</v>
      </c>
      <c r="B693" s="79" t="s">
        <v>1784</v>
      </c>
      <c r="C693" s="79" t="s">
        <v>1785</v>
      </c>
      <c r="D693" s="79" t="s">
        <v>1784</v>
      </c>
      <c r="E693" s="79">
        <v>68427709</v>
      </c>
      <c r="F693" s="93">
        <v>8000</v>
      </c>
      <c r="G693" s="79" t="s">
        <v>113</v>
      </c>
      <c r="H693" s="79" t="s">
        <v>114</v>
      </c>
      <c r="I693" s="79" t="s">
        <v>1671</v>
      </c>
      <c r="J693" s="79">
        <v>2022</v>
      </c>
      <c r="K693" s="79" t="s">
        <v>1135</v>
      </c>
      <c r="L693" s="79"/>
    </row>
    <row r="694" spans="1:12" hidden="1" x14ac:dyDescent="0.25">
      <c r="A694" s="82">
        <v>44398</v>
      </c>
      <c r="B694" s="79" t="s">
        <v>956</v>
      </c>
      <c r="C694" s="79" t="s">
        <v>1572</v>
      </c>
      <c r="D694" s="79" t="s">
        <v>956</v>
      </c>
      <c r="E694" s="79">
        <v>68427709</v>
      </c>
      <c r="F694" s="93">
        <v>-10000</v>
      </c>
      <c r="G694" s="79" t="s">
        <v>113</v>
      </c>
      <c r="H694" s="79" t="s">
        <v>114</v>
      </c>
      <c r="I694" s="79" t="s">
        <v>1671</v>
      </c>
      <c r="J694" s="79">
        <v>2022</v>
      </c>
      <c r="K694" s="79" t="s">
        <v>555</v>
      </c>
      <c r="L694" s="79"/>
    </row>
    <row r="695" spans="1:12" hidden="1" x14ac:dyDescent="0.25">
      <c r="A695" s="82">
        <v>44398</v>
      </c>
      <c r="B695" s="79" t="s">
        <v>1786</v>
      </c>
      <c r="C695" s="79" t="s">
        <v>1787</v>
      </c>
      <c r="D695" s="79" t="s">
        <v>603</v>
      </c>
      <c r="E695" s="79">
        <v>68427709</v>
      </c>
      <c r="F695" s="93">
        <v>145000</v>
      </c>
      <c r="G695" s="79" t="s">
        <v>113</v>
      </c>
      <c r="H695" s="79" t="s">
        <v>114</v>
      </c>
      <c r="I695" s="79" t="s">
        <v>133</v>
      </c>
      <c r="J695" s="79">
        <v>2022</v>
      </c>
      <c r="K695" s="79" t="s">
        <v>1788</v>
      </c>
      <c r="L695" s="79"/>
    </row>
    <row r="696" spans="1:12" hidden="1" x14ac:dyDescent="0.25">
      <c r="A696" s="82">
        <v>44398</v>
      </c>
      <c r="B696" s="79" t="s">
        <v>1789</v>
      </c>
      <c r="C696" s="79" t="s">
        <v>1790</v>
      </c>
      <c r="D696" s="79" t="s">
        <v>1791</v>
      </c>
      <c r="E696" s="79">
        <v>68427709</v>
      </c>
      <c r="F696" s="93">
        <v>34000</v>
      </c>
      <c r="G696" s="79" t="s">
        <v>113</v>
      </c>
      <c r="H696" s="79" t="s">
        <v>114</v>
      </c>
      <c r="I696" s="79" t="s">
        <v>1682</v>
      </c>
      <c r="J696" s="79">
        <v>2022</v>
      </c>
      <c r="K696" s="79" t="s">
        <v>1788</v>
      </c>
      <c r="L696" s="79"/>
    </row>
    <row r="697" spans="1:12" hidden="1" x14ac:dyDescent="0.25">
      <c r="A697" s="82">
        <v>44398</v>
      </c>
      <c r="B697" s="79" t="s">
        <v>1792</v>
      </c>
      <c r="C697" s="79" t="s">
        <v>1744</v>
      </c>
      <c r="D697" s="79" t="s">
        <v>463</v>
      </c>
      <c r="E697" s="79">
        <v>68427709</v>
      </c>
      <c r="F697" s="93">
        <v>-40000</v>
      </c>
      <c r="G697" s="79" t="s">
        <v>113</v>
      </c>
      <c r="H697" s="79" t="s">
        <v>114</v>
      </c>
      <c r="I697" s="79" t="s">
        <v>1682</v>
      </c>
      <c r="J697" s="79">
        <v>2022</v>
      </c>
      <c r="K697" s="79" t="s">
        <v>1788</v>
      </c>
      <c r="L697" s="79"/>
    </row>
    <row r="698" spans="1:12" hidden="1" x14ac:dyDescent="0.25">
      <c r="A698" s="82">
        <v>44398</v>
      </c>
      <c r="B698" s="79" t="s">
        <v>1793</v>
      </c>
      <c r="C698" s="79" t="s">
        <v>1794</v>
      </c>
      <c r="D698" s="79" t="s">
        <v>1795</v>
      </c>
      <c r="E698" s="79">
        <v>68427709</v>
      </c>
      <c r="F698" s="93">
        <v>160000</v>
      </c>
      <c r="G698" s="79" t="s">
        <v>113</v>
      </c>
      <c r="H698" s="79" t="s">
        <v>114</v>
      </c>
      <c r="I698" s="79" t="s">
        <v>1682</v>
      </c>
      <c r="J698" s="79">
        <v>2022</v>
      </c>
      <c r="K698" s="79" t="s">
        <v>1788</v>
      </c>
      <c r="L698" s="79"/>
    </row>
    <row r="699" spans="1:12" hidden="1" x14ac:dyDescent="0.25">
      <c r="A699" s="82">
        <v>44398</v>
      </c>
      <c r="B699" s="79" t="s">
        <v>1796</v>
      </c>
      <c r="C699" s="79" t="s">
        <v>1797</v>
      </c>
      <c r="D699" s="79" t="s">
        <v>558</v>
      </c>
      <c r="E699" s="79">
        <v>68427709</v>
      </c>
      <c r="F699" s="93">
        <v>120000</v>
      </c>
      <c r="G699" s="79" t="s">
        <v>113</v>
      </c>
      <c r="H699" s="79" t="s">
        <v>114</v>
      </c>
      <c r="I699" s="79" t="s">
        <v>1682</v>
      </c>
      <c r="J699" s="79">
        <v>2022</v>
      </c>
      <c r="K699" s="79" t="s">
        <v>361</v>
      </c>
      <c r="L699" s="79"/>
    </row>
    <row r="700" spans="1:12" hidden="1" x14ac:dyDescent="0.25">
      <c r="A700" s="82">
        <v>44398</v>
      </c>
      <c r="B700" s="79" t="s">
        <v>1798</v>
      </c>
      <c r="C700" s="79" t="s">
        <v>1799</v>
      </c>
      <c r="D700" s="79" t="s">
        <v>1800</v>
      </c>
      <c r="E700" s="79">
        <v>68427709</v>
      </c>
      <c r="F700" s="93">
        <v>-40000</v>
      </c>
      <c r="G700" s="79" t="s">
        <v>113</v>
      </c>
      <c r="H700" s="79" t="s">
        <v>114</v>
      </c>
      <c r="I700" s="79" t="s">
        <v>1682</v>
      </c>
      <c r="J700" s="79">
        <v>2022</v>
      </c>
      <c r="K700" s="79" t="s">
        <v>361</v>
      </c>
      <c r="L700" s="79"/>
    </row>
    <row r="701" spans="1:12" hidden="1" x14ac:dyDescent="0.25">
      <c r="A701" s="82">
        <v>44398</v>
      </c>
      <c r="B701" s="79" t="s">
        <v>1801</v>
      </c>
      <c r="C701" s="79" t="s">
        <v>1802</v>
      </c>
      <c r="D701" s="79" t="s">
        <v>603</v>
      </c>
      <c r="E701" s="79">
        <v>68427709</v>
      </c>
      <c r="F701" s="93">
        <v>100000</v>
      </c>
      <c r="G701" s="79" t="s">
        <v>113</v>
      </c>
      <c r="H701" s="79" t="s">
        <v>114</v>
      </c>
      <c r="I701" s="79" t="s">
        <v>133</v>
      </c>
      <c r="J701" s="79">
        <v>2022</v>
      </c>
      <c r="K701" s="79" t="s">
        <v>1092</v>
      </c>
      <c r="L701" s="79"/>
    </row>
    <row r="702" spans="1:12" hidden="1" x14ac:dyDescent="0.25">
      <c r="A702" s="82">
        <v>44398</v>
      </c>
      <c r="B702" s="79" t="s">
        <v>1466</v>
      </c>
      <c r="C702" s="79" t="s">
        <v>1803</v>
      </c>
      <c r="D702" s="79" t="s">
        <v>603</v>
      </c>
      <c r="E702" s="79">
        <v>68427709</v>
      </c>
      <c r="F702" s="93">
        <v>250000</v>
      </c>
      <c r="G702" s="79" t="s">
        <v>113</v>
      </c>
      <c r="H702" s="79" t="s">
        <v>114</v>
      </c>
      <c r="I702" s="79" t="s">
        <v>133</v>
      </c>
      <c r="J702" s="79">
        <v>2022</v>
      </c>
      <c r="K702" s="79" t="s">
        <v>1092</v>
      </c>
      <c r="L702" s="79"/>
    </row>
    <row r="703" spans="1:12" hidden="1" x14ac:dyDescent="0.25">
      <c r="A703" s="82">
        <v>44398</v>
      </c>
      <c r="B703" s="79" t="s">
        <v>1466</v>
      </c>
      <c r="C703" s="79" t="s">
        <v>1804</v>
      </c>
      <c r="D703" s="79" t="s">
        <v>603</v>
      </c>
      <c r="E703" s="79">
        <v>68427709</v>
      </c>
      <c r="F703" s="93">
        <v>140000</v>
      </c>
      <c r="G703" s="79" t="s">
        <v>113</v>
      </c>
      <c r="H703" s="79" t="s">
        <v>114</v>
      </c>
      <c r="I703" s="79" t="s">
        <v>133</v>
      </c>
      <c r="J703" s="79">
        <v>2022</v>
      </c>
      <c r="K703" s="79" t="s">
        <v>1092</v>
      </c>
      <c r="L703" s="79"/>
    </row>
    <row r="704" spans="1:12" hidden="1" x14ac:dyDescent="0.25">
      <c r="A704" s="82">
        <v>44398</v>
      </c>
      <c r="B704" s="79" t="s">
        <v>1474</v>
      </c>
      <c r="C704" s="79" t="s">
        <v>1805</v>
      </c>
      <c r="D704" s="79" t="s">
        <v>603</v>
      </c>
      <c r="E704" s="79">
        <v>68427709</v>
      </c>
      <c r="F704" s="93">
        <v>70000</v>
      </c>
      <c r="G704" s="79" t="s">
        <v>113</v>
      </c>
      <c r="H704" s="79" t="s">
        <v>114</v>
      </c>
      <c r="I704" s="79" t="s">
        <v>133</v>
      </c>
      <c r="J704" s="79">
        <v>2022</v>
      </c>
      <c r="K704" s="79" t="s">
        <v>1092</v>
      </c>
      <c r="L704" s="79"/>
    </row>
    <row r="705" spans="1:12" hidden="1" x14ac:dyDescent="0.25">
      <c r="A705" s="82">
        <v>44398</v>
      </c>
      <c r="B705" s="79" t="s">
        <v>1478</v>
      </c>
      <c r="C705" s="79" t="s">
        <v>1806</v>
      </c>
      <c r="D705" s="79" t="s">
        <v>603</v>
      </c>
      <c r="E705" s="79">
        <v>68427709</v>
      </c>
      <c r="F705" s="93">
        <v>90000</v>
      </c>
      <c r="G705" s="79" t="s">
        <v>113</v>
      </c>
      <c r="H705" s="79" t="s">
        <v>114</v>
      </c>
      <c r="I705" s="79" t="s">
        <v>133</v>
      </c>
      <c r="J705" s="79">
        <v>2022</v>
      </c>
      <c r="K705" s="79" t="s">
        <v>1092</v>
      </c>
      <c r="L705" s="79"/>
    </row>
    <row r="706" spans="1:12" hidden="1" x14ac:dyDescent="0.25">
      <c r="A706" s="82">
        <v>44398</v>
      </c>
      <c r="B706" s="79" t="s">
        <v>1807</v>
      </c>
      <c r="C706" s="79" t="s">
        <v>1808</v>
      </c>
      <c r="D706" s="79" t="s">
        <v>603</v>
      </c>
      <c r="E706" s="79">
        <v>68427709</v>
      </c>
      <c r="F706" s="93">
        <v>43000</v>
      </c>
      <c r="G706" s="79" t="s">
        <v>113</v>
      </c>
      <c r="H706" s="79" t="s">
        <v>114</v>
      </c>
      <c r="I706" s="79" t="s">
        <v>133</v>
      </c>
      <c r="J706" s="79">
        <v>2022</v>
      </c>
      <c r="K706" s="79" t="s">
        <v>1092</v>
      </c>
      <c r="L706" s="79"/>
    </row>
    <row r="707" spans="1:12" hidden="1" x14ac:dyDescent="0.25">
      <c r="A707" s="82">
        <v>44398</v>
      </c>
      <c r="B707" s="79" t="s">
        <v>1479</v>
      </c>
      <c r="C707" s="79" t="s">
        <v>1809</v>
      </c>
      <c r="D707" s="79" t="s">
        <v>603</v>
      </c>
      <c r="E707" s="79">
        <v>68427709</v>
      </c>
      <c r="F707" s="93">
        <v>50000</v>
      </c>
      <c r="G707" s="79" t="s">
        <v>113</v>
      </c>
      <c r="H707" s="79" t="s">
        <v>114</v>
      </c>
      <c r="I707" s="79" t="s">
        <v>133</v>
      </c>
      <c r="J707" s="79">
        <v>2022</v>
      </c>
      <c r="K707" s="79" t="s">
        <v>1092</v>
      </c>
      <c r="L707" s="79"/>
    </row>
    <row r="708" spans="1:12" hidden="1" x14ac:dyDescent="0.25">
      <c r="A708" s="82">
        <v>44399</v>
      </c>
      <c r="B708" s="79" t="s">
        <v>1810</v>
      </c>
      <c r="C708" s="79" t="s">
        <v>1811</v>
      </c>
      <c r="D708" s="79" t="s">
        <v>62</v>
      </c>
      <c r="E708" s="79">
        <v>68427709</v>
      </c>
      <c r="F708" s="93">
        <v>0</v>
      </c>
      <c r="G708" s="79" t="s">
        <v>113</v>
      </c>
      <c r="H708" s="79" t="s">
        <v>114</v>
      </c>
      <c r="I708" s="79" t="s">
        <v>1682</v>
      </c>
      <c r="J708" s="79">
        <v>2022</v>
      </c>
      <c r="K708" s="79" t="s">
        <v>1203</v>
      </c>
      <c r="L708" s="79"/>
    </row>
    <row r="709" spans="1:12" hidden="1" x14ac:dyDescent="0.25">
      <c r="A709" s="82">
        <v>44399</v>
      </c>
      <c r="B709" s="79" t="s">
        <v>1219</v>
      </c>
      <c r="C709" s="79" t="s">
        <v>1347</v>
      </c>
      <c r="D709" s="79" t="s">
        <v>572</v>
      </c>
      <c r="E709" s="79">
        <v>68427709</v>
      </c>
      <c r="F709" s="93">
        <v>-767698</v>
      </c>
      <c r="G709" s="79" t="s">
        <v>113</v>
      </c>
      <c r="H709" s="79" t="s">
        <v>114</v>
      </c>
      <c r="I709" s="79" t="s">
        <v>1682</v>
      </c>
      <c r="J709" s="79">
        <v>2022</v>
      </c>
      <c r="K709" s="79" t="s">
        <v>1203</v>
      </c>
      <c r="L709" s="79" t="s">
        <v>1812</v>
      </c>
    </row>
    <row r="710" spans="1:12" hidden="1" x14ac:dyDescent="0.25">
      <c r="A710" s="82">
        <v>44399</v>
      </c>
      <c r="B710" s="79" t="s">
        <v>1813</v>
      </c>
      <c r="C710" s="79" t="s">
        <v>1814</v>
      </c>
      <c r="D710" s="79" t="s">
        <v>572</v>
      </c>
      <c r="E710" s="79">
        <v>68427709</v>
      </c>
      <c r="F710" s="93">
        <v>-730000</v>
      </c>
      <c r="G710" s="79" t="s">
        <v>113</v>
      </c>
      <c r="H710" s="79" t="s">
        <v>114</v>
      </c>
      <c r="I710" s="79" t="s">
        <v>133</v>
      </c>
      <c r="J710" s="79">
        <v>2022</v>
      </c>
      <c r="K710" s="79" t="s">
        <v>1203</v>
      </c>
      <c r="L710" s="79"/>
    </row>
    <row r="711" spans="1:12" hidden="1" x14ac:dyDescent="0.25">
      <c r="A711" s="82">
        <v>44399</v>
      </c>
      <c r="B711" s="79" t="s">
        <v>1813</v>
      </c>
      <c r="C711" s="79" t="s">
        <v>1815</v>
      </c>
      <c r="D711" s="79" t="s">
        <v>62</v>
      </c>
      <c r="E711" s="79">
        <v>68427709</v>
      </c>
      <c r="F711" s="93">
        <v>50000</v>
      </c>
      <c r="G711" s="79" t="s">
        <v>113</v>
      </c>
      <c r="H711" s="79" t="s">
        <v>114</v>
      </c>
      <c r="I711" s="79" t="s">
        <v>133</v>
      </c>
      <c r="J711" s="79">
        <v>2022</v>
      </c>
      <c r="K711" s="79" t="s">
        <v>1203</v>
      </c>
      <c r="L711" s="79"/>
    </row>
    <row r="712" spans="1:12" hidden="1" x14ac:dyDescent="0.25">
      <c r="A712" s="82">
        <v>44399</v>
      </c>
      <c r="B712" s="79" t="s">
        <v>1220</v>
      </c>
      <c r="C712" s="79" t="s">
        <v>1816</v>
      </c>
      <c r="D712" s="79" t="s">
        <v>572</v>
      </c>
      <c r="E712" s="79">
        <v>68427709</v>
      </c>
      <c r="F712" s="93">
        <v>-48960</v>
      </c>
      <c r="G712" s="79" t="s">
        <v>113</v>
      </c>
      <c r="H712" s="79" t="s">
        <v>114</v>
      </c>
      <c r="I712" s="79" t="s">
        <v>133</v>
      </c>
      <c r="J712" s="79">
        <v>2022</v>
      </c>
      <c r="K712" s="79" t="s">
        <v>1203</v>
      </c>
      <c r="L712" s="79"/>
    </row>
    <row r="713" spans="1:12" hidden="1" x14ac:dyDescent="0.25">
      <c r="A713" s="82">
        <v>44399</v>
      </c>
      <c r="B713" s="79" t="s">
        <v>1220</v>
      </c>
      <c r="C713" s="79" t="s">
        <v>1817</v>
      </c>
      <c r="D713" s="79" t="s">
        <v>62</v>
      </c>
      <c r="E713" s="79">
        <v>68427709</v>
      </c>
      <c r="F713" s="93">
        <v>50000</v>
      </c>
      <c r="G713" s="79" t="s">
        <v>113</v>
      </c>
      <c r="H713" s="79" t="s">
        <v>114</v>
      </c>
      <c r="I713" s="79" t="s">
        <v>133</v>
      </c>
      <c r="J713" s="79">
        <v>2022</v>
      </c>
      <c r="K713" s="79" t="s">
        <v>1203</v>
      </c>
      <c r="L713" s="79"/>
    </row>
    <row r="714" spans="1:12" hidden="1" x14ac:dyDescent="0.25">
      <c r="A714" s="82">
        <v>44399</v>
      </c>
      <c r="B714" s="79" t="s">
        <v>1219</v>
      </c>
      <c r="C714" s="79" t="s">
        <v>1818</v>
      </c>
      <c r="D714" s="79" t="s">
        <v>1819</v>
      </c>
      <c r="E714" s="79">
        <v>68427709</v>
      </c>
      <c r="F714" s="93">
        <v>790000</v>
      </c>
      <c r="G714" s="79" t="s">
        <v>113</v>
      </c>
      <c r="H714" s="79" t="s">
        <v>114</v>
      </c>
      <c r="I714" s="79" t="s">
        <v>133</v>
      </c>
      <c r="J714" s="79">
        <v>2022</v>
      </c>
      <c r="K714" s="79" t="s">
        <v>1203</v>
      </c>
      <c r="L714" s="79"/>
    </row>
    <row r="715" spans="1:12" hidden="1" x14ac:dyDescent="0.25">
      <c r="A715" s="82">
        <v>44399</v>
      </c>
      <c r="B715" s="79" t="s">
        <v>983</v>
      </c>
      <c r="C715" s="79" t="s">
        <v>1820</v>
      </c>
      <c r="D715" s="79" t="s">
        <v>1821</v>
      </c>
      <c r="E715" s="79">
        <v>68427709</v>
      </c>
      <c r="F715" s="93">
        <v>3040</v>
      </c>
      <c r="G715" s="79" t="s">
        <v>113</v>
      </c>
      <c r="H715" s="79" t="s">
        <v>114</v>
      </c>
      <c r="I715" s="79" t="s">
        <v>1682</v>
      </c>
      <c r="J715" s="79">
        <v>2022</v>
      </c>
      <c r="K715" s="79" t="s">
        <v>1203</v>
      </c>
      <c r="L715" s="79"/>
    </row>
    <row r="716" spans="1:12" hidden="1" x14ac:dyDescent="0.25">
      <c r="A716" s="82">
        <v>44399</v>
      </c>
      <c r="B716" s="79" t="s">
        <v>591</v>
      </c>
      <c r="C716" s="79" t="s">
        <v>1744</v>
      </c>
      <c r="D716" s="79" t="s">
        <v>1822</v>
      </c>
      <c r="E716" s="79">
        <v>68427709</v>
      </c>
      <c r="F716" s="93">
        <v>-20000</v>
      </c>
      <c r="G716" s="79" t="s">
        <v>113</v>
      </c>
      <c r="H716" s="79" t="s">
        <v>114</v>
      </c>
      <c r="I716" s="79" t="s">
        <v>1682</v>
      </c>
      <c r="J716" s="79">
        <v>2022</v>
      </c>
      <c r="K716" s="79" t="s">
        <v>1203</v>
      </c>
      <c r="L716" s="79"/>
    </row>
    <row r="717" spans="1:12" hidden="1" x14ac:dyDescent="0.25">
      <c r="A717" s="82">
        <v>44399</v>
      </c>
      <c r="B717" s="79" t="s">
        <v>590</v>
      </c>
      <c r="C717" s="79" t="s">
        <v>1823</v>
      </c>
      <c r="D717" s="79" t="s">
        <v>558</v>
      </c>
      <c r="E717" s="79">
        <v>68427709</v>
      </c>
      <c r="F717" s="93">
        <v>882000</v>
      </c>
      <c r="G717" s="79" t="s">
        <v>113</v>
      </c>
      <c r="H717" s="79" t="s">
        <v>114</v>
      </c>
      <c r="I717" s="79" t="s">
        <v>1682</v>
      </c>
      <c r="J717" s="79">
        <v>2022</v>
      </c>
      <c r="K717" s="79" t="s">
        <v>1203</v>
      </c>
      <c r="L717" s="79"/>
    </row>
    <row r="718" spans="1:12" hidden="1" x14ac:dyDescent="0.25">
      <c r="A718" s="82">
        <v>44399</v>
      </c>
      <c r="B718" s="79" t="s">
        <v>1824</v>
      </c>
      <c r="C718" s="79"/>
      <c r="D718" s="79" t="s">
        <v>558</v>
      </c>
      <c r="E718" s="79">
        <v>68427709</v>
      </c>
      <c r="F718" s="93">
        <v>225000</v>
      </c>
      <c r="G718" s="79" t="s">
        <v>113</v>
      </c>
      <c r="H718" s="79" t="s">
        <v>114</v>
      </c>
      <c r="I718" s="79" t="s">
        <v>1682</v>
      </c>
      <c r="J718" s="79">
        <v>2022</v>
      </c>
      <c r="K718" s="79" t="s">
        <v>1203</v>
      </c>
      <c r="L718" s="79"/>
    </row>
    <row r="719" spans="1:12" hidden="1" x14ac:dyDescent="0.25">
      <c r="A719" s="82">
        <v>44399</v>
      </c>
      <c r="B719" s="79" t="s">
        <v>1825</v>
      </c>
      <c r="C719" s="79" t="s">
        <v>1826</v>
      </c>
      <c r="D719" s="79" t="s">
        <v>558</v>
      </c>
      <c r="E719" s="79">
        <v>68427709</v>
      </c>
      <c r="F719" s="93">
        <v>4000</v>
      </c>
      <c r="G719" s="79" t="s">
        <v>113</v>
      </c>
      <c r="H719" s="79" t="s">
        <v>114</v>
      </c>
      <c r="I719" s="79" t="s">
        <v>1682</v>
      </c>
      <c r="J719" s="79">
        <v>2022</v>
      </c>
      <c r="K719" s="79" t="s">
        <v>1203</v>
      </c>
      <c r="L719" s="79"/>
    </row>
    <row r="720" spans="1:12" hidden="1" x14ac:dyDescent="0.25">
      <c r="A720" s="82">
        <v>44399</v>
      </c>
      <c r="B720" s="79" t="s">
        <v>1827</v>
      </c>
      <c r="C720" s="79" t="s">
        <v>1828</v>
      </c>
      <c r="D720" s="79" t="s">
        <v>558</v>
      </c>
      <c r="E720" s="79">
        <v>68427709</v>
      </c>
      <c r="F720" s="93">
        <v>32000</v>
      </c>
      <c r="G720" s="79" t="s">
        <v>113</v>
      </c>
      <c r="H720" s="79" t="s">
        <v>114</v>
      </c>
      <c r="I720" s="79" t="s">
        <v>1682</v>
      </c>
      <c r="J720" s="79">
        <v>2022</v>
      </c>
      <c r="K720" s="79" t="s">
        <v>1203</v>
      </c>
      <c r="L720" s="79"/>
    </row>
    <row r="721" spans="1:12" hidden="1" x14ac:dyDescent="0.25">
      <c r="A721" s="82">
        <v>44399</v>
      </c>
      <c r="B721" s="79" t="s">
        <v>1829</v>
      </c>
      <c r="C721" s="79" t="s">
        <v>1830</v>
      </c>
      <c r="D721" s="79" t="s">
        <v>558</v>
      </c>
      <c r="E721" s="79">
        <v>68427709</v>
      </c>
      <c r="F721" s="93">
        <v>7800</v>
      </c>
      <c r="G721" s="79" t="s">
        <v>113</v>
      </c>
      <c r="H721" s="79" t="s">
        <v>114</v>
      </c>
      <c r="I721" s="79" t="s">
        <v>1682</v>
      </c>
      <c r="J721" s="79">
        <v>2022</v>
      </c>
      <c r="K721" s="79" t="s">
        <v>1203</v>
      </c>
      <c r="L721" s="79"/>
    </row>
    <row r="722" spans="1:12" hidden="1" x14ac:dyDescent="0.25">
      <c r="A722" s="82">
        <v>44399</v>
      </c>
      <c r="B722" s="79" t="s">
        <v>1831</v>
      </c>
      <c r="C722" s="79" t="s">
        <v>1832</v>
      </c>
      <c r="D722" s="79" t="s">
        <v>558</v>
      </c>
      <c r="E722" s="79">
        <v>68427709</v>
      </c>
      <c r="F722" s="93">
        <f>170000-37500</f>
        <v>132500</v>
      </c>
      <c r="G722" s="79" t="s">
        <v>113</v>
      </c>
      <c r="H722" s="79" t="s">
        <v>114</v>
      </c>
      <c r="I722" s="79" t="s">
        <v>1682</v>
      </c>
      <c r="J722" s="79">
        <v>2022</v>
      </c>
      <c r="K722" s="79" t="s">
        <v>1203</v>
      </c>
      <c r="L722" s="79"/>
    </row>
    <row r="723" spans="1:12" hidden="1" x14ac:dyDescent="0.25">
      <c r="A723" s="82">
        <v>44399</v>
      </c>
      <c r="B723" s="79" t="s">
        <v>1833</v>
      </c>
      <c r="C723" s="79" t="s">
        <v>1830</v>
      </c>
      <c r="D723" s="79" t="s">
        <v>558</v>
      </c>
      <c r="E723" s="79">
        <v>68427709</v>
      </c>
      <c r="F723" s="93">
        <v>10000</v>
      </c>
      <c r="G723" s="79" t="s">
        <v>113</v>
      </c>
      <c r="H723" s="79" t="s">
        <v>114</v>
      </c>
      <c r="I723" s="79" t="s">
        <v>1682</v>
      </c>
      <c r="J723" s="79">
        <v>2022</v>
      </c>
      <c r="K723" s="79" t="s">
        <v>1203</v>
      </c>
      <c r="L723" s="79"/>
    </row>
    <row r="724" spans="1:12" hidden="1" x14ac:dyDescent="0.25">
      <c r="A724" s="82">
        <v>44399</v>
      </c>
      <c r="B724" s="79" t="s">
        <v>1834</v>
      </c>
      <c r="C724" s="79" t="s">
        <v>1830</v>
      </c>
      <c r="D724" s="79" t="s">
        <v>558</v>
      </c>
      <c r="E724" s="79">
        <v>68427709</v>
      </c>
      <c r="F724" s="93">
        <v>133900</v>
      </c>
      <c r="G724" s="79" t="s">
        <v>113</v>
      </c>
      <c r="H724" s="79" t="s">
        <v>114</v>
      </c>
      <c r="I724" s="79" t="s">
        <v>1682</v>
      </c>
      <c r="J724" s="79">
        <v>2022</v>
      </c>
      <c r="K724" s="79" t="s">
        <v>1203</v>
      </c>
      <c r="L724" s="79"/>
    </row>
    <row r="725" spans="1:12" hidden="1" x14ac:dyDescent="0.25">
      <c r="A725" s="82">
        <v>44399</v>
      </c>
      <c r="B725" s="79" t="s">
        <v>1835</v>
      </c>
      <c r="C725" s="79" t="s">
        <v>1830</v>
      </c>
      <c r="D725" s="79" t="s">
        <v>558</v>
      </c>
      <c r="E725" s="79">
        <v>68427709</v>
      </c>
      <c r="F725" s="93">
        <v>12000</v>
      </c>
      <c r="G725" s="79" t="s">
        <v>113</v>
      </c>
      <c r="H725" s="79" t="s">
        <v>114</v>
      </c>
      <c r="I725" s="79" t="s">
        <v>1682</v>
      </c>
      <c r="J725" s="79">
        <v>2022</v>
      </c>
      <c r="K725" s="79" t="s">
        <v>1203</v>
      </c>
      <c r="L725" s="79"/>
    </row>
    <row r="726" spans="1:12" hidden="1" x14ac:dyDescent="0.25">
      <c r="A726" s="82">
        <v>44399</v>
      </c>
      <c r="B726" s="79" t="s">
        <v>1263</v>
      </c>
      <c r="C726" s="79" t="s">
        <v>1836</v>
      </c>
      <c r="D726" s="79" t="s">
        <v>1263</v>
      </c>
      <c r="E726" s="79">
        <v>68427709</v>
      </c>
      <c r="F726" s="93">
        <v>0</v>
      </c>
      <c r="G726" s="79" t="s">
        <v>113</v>
      </c>
      <c r="H726" s="79" t="s">
        <v>114</v>
      </c>
      <c r="I726" s="79" t="s">
        <v>1682</v>
      </c>
      <c r="J726" s="79">
        <v>2022</v>
      </c>
      <c r="K726" s="79" t="s">
        <v>1203</v>
      </c>
      <c r="L726" s="79"/>
    </row>
    <row r="727" spans="1:12" hidden="1" x14ac:dyDescent="0.25">
      <c r="A727" s="82">
        <v>44399</v>
      </c>
      <c r="B727" s="79" t="s">
        <v>586</v>
      </c>
      <c r="C727" s="79" t="s">
        <v>1837</v>
      </c>
      <c r="D727" s="79" t="s">
        <v>558</v>
      </c>
      <c r="E727" s="79">
        <v>68427709</v>
      </c>
      <c r="F727" s="93">
        <v>52000</v>
      </c>
      <c r="G727" s="79" t="s">
        <v>113</v>
      </c>
      <c r="H727" s="79" t="s">
        <v>114</v>
      </c>
      <c r="I727" s="79" t="s">
        <v>1682</v>
      </c>
      <c r="J727" s="79">
        <v>2022</v>
      </c>
      <c r="K727" s="79" t="s">
        <v>1203</v>
      </c>
      <c r="L727" s="79"/>
    </row>
    <row r="728" spans="1:12" hidden="1" x14ac:dyDescent="0.25">
      <c r="A728" s="82">
        <v>44399</v>
      </c>
      <c r="B728" s="79" t="s">
        <v>1838</v>
      </c>
      <c r="C728" s="79" t="s">
        <v>1839</v>
      </c>
      <c r="D728" s="79" t="s">
        <v>603</v>
      </c>
      <c r="E728" s="79">
        <v>68427709</v>
      </c>
      <c r="F728" s="93">
        <v>-50000</v>
      </c>
      <c r="G728" s="79" t="s">
        <v>113</v>
      </c>
      <c r="H728" s="79" t="s">
        <v>114</v>
      </c>
      <c r="I728" s="79" t="s">
        <v>133</v>
      </c>
      <c r="J728" s="79">
        <v>2022</v>
      </c>
      <c r="K728" s="79" t="s">
        <v>1203</v>
      </c>
      <c r="L728" s="79"/>
    </row>
    <row r="729" spans="1:12" hidden="1" x14ac:dyDescent="0.25">
      <c r="A729" s="82">
        <v>44399</v>
      </c>
      <c r="B729" s="79" t="s">
        <v>576</v>
      </c>
      <c r="C729" s="79" t="s">
        <v>1840</v>
      </c>
      <c r="D729" s="79" t="s">
        <v>62</v>
      </c>
      <c r="E729" s="79">
        <v>68427709</v>
      </c>
      <c r="F729" s="93">
        <v>515086</v>
      </c>
      <c r="G729" s="79" t="s">
        <v>113</v>
      </c>
      <c r="H729" s="79" t="s">
        <v>114</v>
      </c>
      <c r="I729" s="79" t="s">
        <v>133</v>
      </c>
      <c r="J729" s="79">
        <v>2022</v>
      </c>
      <c r="K729" s="79" t="s">
        <v>1203</v>
      </c>
      <c r="L729" s="79"/>
    </row>
    <row r="730" spans="1:12" hidden="1" x14ac:dyDescent="0.25">
      <c r="A730" s="82">
        <v>44399</v>
      </c>
      <c r="B730" s="79" t="s">
        <v>1841</v>
      </c>
      <c r="C730" s="79" t="s">
        <v>1842</v>
      </c>
      <c r="D730" s="79" t="s">
        <v>1843</v>
      </c>
      <c r="E730" s="79">
        <v>68427709</v>
      </c>
      <c r="F730" s="93">
        <v>0</v>
      </c>
      <c r="G730" s="79" t="s">
        <v>113</v>
      </c>
      <c r="H730" s="79" t="s">
        <v>114</v>
      </c>
      <c r="I730" s="79" t="s">
        <v>133</v>
      </c>
      <c r="J730" s="79">
        <v>2022</v>
      </c>
      <c r="K730" s="79" t="s">
        <v>1203</v>
      </c>
      <c r="L730" s="79"/>
    </row>
    <row r="731" spans="1:12" hidden="1" x14ac:dyDescent="0.25">
      <c r="A731" s="82">
        <v>44399</v>
      </c>
      <c r="B731" s="79" t="s">
        <v>1348</v>
      </c>
      <c r="C731" s="79" t="s">
        <v>1844</v>
      </c>
      <c r="D731" s="79" t="s">
        <v>572</v>
      </c>
      <c r="E731" s="79">
        <v>68427709</v>
      </c>
      <c r="F731" s="93">
        <v>-83840</v>
      </c>
      <c r="G731" s="79" t="s">
        <v>113</v>
      </c>
      <c r="H731" s="79" t="s">
        <v>114</v>
      </c>
      <c r="I731" s="79" t="s">
        <v>133</v>
      </c>
      <c r="J731" s="79">
        <v>2022</v>
      </c>
      <c r="K731" s="79" t="s">
        <v>1203</v>
      </c>
      <c r="L731" s="79"/>
    </row>
    <row r="732" spans="1:12" hidden="1" x14ac:dyDescent="0.25">
      <c r="A732" s="82">
        <v>44399</v>
      </c>
      <c r="B732" s="79" t="s">
        <v>1384</v>
      </c>
      <c r="C732" s="79" t="s">
        <v>1845</v>
      </c>
      <c r="D732" s="79" t="s">
        <v>62</v>
      </c>
      <c r="E732" s="79">
        <v>68427709</v>
      </c>
      <c r="F732" s="93">
        <v>-100000</v>
      </c>
      <c r="G732" s="79" t="s">
        <v>113</v>
      </c>
      <c r="H732" s="79" t="s">
        <v>114</v>
      </c>
      <c r="I732" s="79" t="s">
        <v>133</v>
      </c>
      <c r="J732" s="79">
        <v>2022</v>
      </c>
      <c r="K732" s="79" t="s">
        <v>1203</v>
      </c>
      <c r="L732" s="79"/>
    </row>
    <row r="733" spans="1:12" hidden="1" x14ac:dyDescent="0.25">
      <c r="A733" s="82">
        <v>44399</v>
      </c>
      <c r="B733" s="79" t="s">
        <v>1349</v>
      </c>
      <c r="C733" s="79" t="s">
        <v>1844</v>
      </c>
      <c r="D733" s="79" t="s">
        <v>572</v>
      </c>
      <c r="E733" s="79">
        <v>68427709</v>
      </c>
      <c r="F733" s="93">
        <v>-50400</v>
      </c>
      <c r="G733" s="79" t="s">
        <v>113</v>
      </c>
      <c r="H733" s="79" t="s">
        <v>114</v>
      </c>
      <c r="I733" s="79" t="s">
        <v>133</v>
      </c>
      <c r="J733" s="79">
        <v>2022</v>
      </c>
      <c r="K733" s="79" t="s">
        <v>1203</v>
      </c>
      <c r="L733" s="79"/>
    </row>
    <row r="734" spans="1:12" hidden="1" x14ac:dyDescent="0.25">
      <c r="A734" s="82">
        <v>44399</v>
      </c>
      <c r="B734" s="79" t="s">
        <v>1352</v>
      </c>
      <c r="C734" s="79" t="s">
        <v>1846</v>
      </c>
      <c r="D734" s="79" t="s">
        <v>603</v>
      </c>
      <c r="E734" s="79">
        <v>68427709</v>
      </c>
      <c r="F734" s="93">
        <v>180000</v>
      </c>
      <c r="G734" s="79" t="s">
        <v>113</v>
      </c>
      <c r="H734" s="79" t="s">
        <v>114</v>
      </c>
      <c r="I734" s="79" t="s">
        <v>133</v>
      </c>
      <c r="J734" s="79">
        <v>2022</v>
      </c>
      <c r="K734" s="79" t="s">
        <v>1203</v>
      </c>
      <c r="L734" s="79"/>
    </row>
    <row r="735" spans="1:12" hidden="1" x14ac:dyDescent="0.25">
      <c r="A735" s="82">
        <v>44399</v>
      </c>
      <c r="B735" s="79" t="s">
        <v>1352</v>
      </c>
      <c r="C735" s="79" t="s">
        <v>1847</v>
      </c>
      <c r="D735" s="79" t="s">
        <v>603</v>
      </c>
      <c r="E735" s="79">
        <v>68427709</v>
      </c>
      <c r="F735" s="93">
        <v>-90000</v>
      </c>
      <c r="G735" s="79" t="s">
        <v>113</v>
      </c>
      <c r="H735" s="79" t="s">
        <v>114</v>
      </c>
      <c r="I735" s="79" t="s">
        <v>1682</v>
      </c>
      <c r="J735" s="79">
        <v>2022</v>
      </c>
      <c r="K735" s="79" t="s">
        <v>1203</v>
      </c>
      <c r="L735" s="79"/>
    </row>
    <row r="736" spans="1:12" hidden="1" x14ac:dyDescent="0.25">
      <c r="A736" s="82">
        <v>44399</v>
      </c>
      <c r="B736" s="79" t="s">
        <v>1359</v>
      </c>
      <c r="C736" s="79" t="s">
        <v>1848</v>
      </c>
      <c r="D736" s="79" t="s">
        <v>1819</v>
      </c>
      <c r="E736" s="79">
        <v>68427709</v>
      </c>
      <c r="F736" s="93">
        <v>196800</v>
      </c>
      <c r="G736" s="79" t="s">
        <v>113</v>
      </c>
      <c r="H736" s="79" t="s">
        <v>114</v>
      </c>
      <c r="I736" s="79" t="s">
        <v>1682</v>
      </c>
      <c r="J736" s="79">
        <v>2022</v>
      </c>
      <c r="K736" s="79" t="s">
        <v>1203</v>
      </c>
      <c r="L736" s="79"/>
    </row>
    <row r="737" spans="1:12" hidden="1" x14ac:dyDescent="0.25">
      <c r="A737" s="82">
        <v>44399</v>
      </c>
      <c r="B737" s="79" t="s">
        <v>1849</v>
      </c>
      <c r="C737" s="79" t="s">
        <v>1850</v>
      </c>
      <c r="D737" s="79" t="s">
        <v>277</v>
      </c>
      <c r="E737" s="79">
        <v>68427709</v>
      </c>
      <c r="F737" s="93">
        <v>-37975</v>
      </c>
      <c r="G737" s="79" t="s">
        <v>113</v>
      </c>
      <c r="H737" s="79" t="s">
        <v>114</v>
      </c>
      <c r="I737" s="79" t="s">
        <v>1682</v>
      </c>
      <c r="J737" s="79">
        <v>2022</v>
      </c>
      <c r="K737" s="79" t="s">
        <v>1203</v>
      </c>
      <c r="L737" s="79"/>
    </row>
    <row r="738" spans="1:12" hidden="1" x14ac:dyDescent="0.25">
      <c r="A738" s="82">
        <v>44399</v>
      </c>
      <c r="B738" s="79" t="s">
        <v>1851</v>
      </c>
      <c r="C738" s="79" t="s">
        <v>1852</v>
      </c>
      <c r="D738" s="79" t="s">
        <v>1853</v>
      </c>
      <c r="E738" s="79">
        <v>68427709</v>
      </c>
      <c r="F738" s="93">
        <v>5000</v>
      </c>
      <c r="G738" s="79" t="s">
        <v>113</v>
      </c>
      <c r="H738" s="79" t="s">
        <v>114</v>
      </c>
      <c r="I738" s="79" t="s">
        <v>1682</v>
      </c>
      <c r="J738" s="79">
        <v>2022</v>
      </c>
      <c r="K738" s="79" t="s">
        <v>1203</v>
      </c>
      <c r="L738" s="79"/>
    </row>
    <row r="739" spans="1:12" hidden="1" x14ac:dyDescent="0.25">
      <c r="A739" s="82">
        <v>44399</v>
      </c>
      <c r="B739" s="79" t="s">
        <v>582</v>
      </c>
      <c r="C739" s="79" t="s">
        <v>1358</v>
      </c>
      <c r="D739" s="79" t="s">
        <v>72</v>
      </c>
      <c r="E739" s="79">
        <v>68427709</v>
      </c>
      <c r="F739" s="93">
        <v>-200000</v>
      </c>
      <c r="G739" s="79" t="s">
        <v>113</v>
      </c>
      <c r="H739" s="79" t="s">
        <v>114</v>
      </c>
      <c r="I739" s="79" t="s">
        <v>1682</v>
      </c>
      <c r="J739" s="79">
        <v>2022</v>
      </c>
      <c r="K739" s="79" t="s">
        <v>1203</v>
      </c>
      <c r="L739" s="79"/>
    </row>
    <row r="740" spans="1:12" hidden="1" x14ac:dyDescent="0.25">
      <c r="A740" s="82">
        <v>44399</v>
      </c>
      <c r="B740" s="79" t="s">
        <v>1430</v>
      </c>
      <c r="C740" s="79" t="s">
        <v>1854</v>
      </c>
      <c r="D740" s="79" t="s">
        <v>1855</v>
      </c>
      <c r="E740" s="79">
        <v>68427709</v>
      </c>
      <c r="F740" s="93">
        <v>40000</v>
      </c>
      <c r="G740" s="79" t="s">
        <v>113</v>
      </c>
      <c r="H740" s="79" t="s">
        <v>114</v>
      </c>
      <c r="I740" s="79" t="s">
        <v>1682</v>
      </c>
      <c r="J740" s="79">
        <v>2022</v>
      </c>
      <c r="K740" s="79" t="s">
        <v>1203</v>
      </c>
      <c r="L740" s="79"/>
    </row>
    <row r="741" spans="1:12" hidden="1" x14ac:dyDescent="0.25">
      <c r="A741" s="82">
        <v>44399</v>
      </c>
      <c r="B741" s="79" t="s">
        <v>1856</v>
      </c>
      <c r="C741" s="79" t="s">
        <v>1857</v>
      </c>
      <c r="D741" s="79" t="s">
        <v>307</v>
      </c>
      <c r="E741" s="79">
        <v>68427709</v>
      </c>
      <c r="F741" s="93">
        <v>30000</v>
      </c>
      <c r="G741" s="79" t="s">
        <v>113</v>
      </c>
      <c r="H741" s="79" t="s">
        <v>114</v>
      </c>
      <c r="I741" s="79" t="s">
        <v>1682</v>
      </c>
      <c r="J741" s="79">
        <v>2022</v>
      </c>
      <c r="K741" s="79" t="s">
        <v>1203</v>
      </c>
      <c r="L741" s="79"/>
    </row>
    <row r="742" spans="1:12" hidden="1" x14ac:dyDescent="0.25">
      <c r="A742" s="82">
        <v>44399</v>
      </c>
      <c r="B742" s="79" t="s">
        <v>1373</v>
      </c>
      <c r="C742" s="79" t="s">
        <v>1858</v>
      </c>
      <c r="D742" s="79"/>
      <c r="E742" s="79">
        <v>68427709</v>
      </c>
      <c r="F742" s="93">
        <v>-30000</v>
      </c>
      <c r="G742" s="79" t="s">
        <v>113</v>
      </c>
      <c r="H742" s="79" t="s">
        <v>114</v>
      </c>
      <c r="I742" s="79" t="s">
        <v>1682</v>
      </c>
      <c r="J742" s="79">
        <v>2022</v>
      </c>
      <c r="K742" s="79" t="s">
        <v>1203</v>
      </c>
      <c r="L742" s="79"/>
    </row>
    <row r="743" spans="1:12" hidden="1" x14ac:dyDescent="0.25">
      <c r="A743" s="82">
        <v>44399</v>
      </c>
      <c r="B743" s="79" t="s">
        <v>1378</v>
      </c>
      <c r="C743" s="79"/>
      <c r="D743" s="79" t="s">
        <v>1853</v>
      </c>
      <c r="E743" s="79">
        <v>68427709</v>
      </c>
      <c r="F743" s="93">
        <v>-20000</v>
      </c>
      <c r="G743" s="79" t="s">
        <v>113</v>
      </c>
      <c r="H743" s="79" t="s">
        <v>114</v>
      </c>
      <c r="I743" s="79" t="s">
        <v>1682</v>
      </c>
      <c r="J743" s="79">
        <v>2022</v>
      </c>
      <c r="K743" s="79" t="s">
        <v>1203</v>
      </c>
      <c r="L743" s="79"/>
    </row>
    <row r="744" spans="1:12" hidden="1" x14ac:dyDescent="0.25">
      <c r="A744" s="82">
        <v>44399</v>
      </c>
      <c r="B744" s="79" t="s">
        <v>1859</v>
      </c>
      <c r="C744" s="79" t="s">
        <v>1860</v>
      </c>
      <c r="D744" s="79" t="s">
        <v>603</v>
      </c>
      <c r="E744" s="79">
        <v>68427709</v>
      </c>
      <c r="F744" s="93">
        <v>50000</v>
      </c>
      <c r="G744" s="79" t="s">
        <v>113</v>
      </c>
      <c r="H744" s="79" t="s">
        <v>114</v>
      </c>
      <c r="I744" s="79" t="s">
        <v>133</v>
      </c>
      <c r="J744" s="79">
        <v>2022</v>
      </c>
      <c r="K744" s="79" t="s">
        <v>1203</v>
      </c>
      <c r="L744" s="79"/>
    </row>
    <row r="745" spans="1:12" hidden="1" x14ac:dyDescent="0.25">
      <c r="A745" s="82">
        <v>44399</v>
      </c>
      <c r="B745" s="79" t="s">
        <v>1861</v>
      </c>
      <c r="C745" s="79" t="s">
        <v>1862</v>
      </c>
      <c r="D745" s="79" t="s">
        <v>572</v>
      </c>
      <c r="E745" s="79">
        <v>68427709</v>
      </c>
      <c r="F745" s="93">
        <v>0</v>
      </c>
      <c r="G745" s="79" t="s">
        <v>113</v>
      </c>
      <c r="H745" s="79" t="s">
        <v>114</v>
      </c>
      <c r="I745" s="79" t="s">
        <v>133</v>
      </c>
      <c r="J745" s="79">
        <v>2022</v>
      </c>
      <c r="K745" s="79" t="s">
        <v>1203</v>
      </c>
      <c r="L745" s="79"/>
    </row>
    <row r="746" spans="1:12" hidden="1" x14ac:dyDescent="0.25">
      <c r="A746" s="82">
        <v>44399</v>
      </c>
      <c r="B746" s="79" t="s">
        <v>1863</v>
      </c>
      <c r="C746" s="79" t="s">
        <v>1864</v>
      </c>
      <c r="D746" s="79" t="s">
        <v>603</v>
      </c>
      <c r="E746" s="79">
        <v>68427709</v>
      </c>
      <c r="F746" s="93">
        <v>80000</v>
      </c>
      <c r="G746" s="79" t="s">
        <v>113</v>
      </c>
      <c r="H746" s="79" t="s">
        <v>114</v>
      </c>
      <c r="I746" s="79" t="s">
        <v>133</v>
      </c>
      <c r="J746" s="79">
        <v>2022</v>
      </c>
      <c r="K746" s="79" t="s">
        <v>1203</v>
      </c>
      <c r="L746" s="79"/>
    </row>
    <row r="747" spans="1:12" hidden="1" x14ac:dyDescent="0.25">
      <c r="A747" s="82">
        <v>44399</v>
      </c>
      <c r="B747" s="79" t="s">
        <v>919</v>
      </c>
      <c r="C747" s="79" t="s">
        <v>1358</v>
      </c>
      <c r="D747" s="79" t="s">
        <v>1865</v>
      </c>
      <c r="E747" s="79">
        <v>68427709</v>
      </c>
      <c r="F747" s="93">
        <v>-22000</v>
      </c>
      <c r="G747" s="79" t="s">
        <v>113</v>
      </c>
      <c r="H747" s="79" t="s">
        <v>114</v>
      </c>
      <c r="I747" s="79" t="s">
        <v>1682</v>
      </c>
      <c r="J747" s="79">
        <v>2022</v>
      </c>
      <c r="K747" s="79" t="s">
        <v>361</v>
      </c>
      <c r="L747" s="79"/>
    </row>
    <row r="748" spans="1:12" hidden="1" x14ac:dyDescent="0.25">
      <c r="A748" s="82">
        <v>44399</v>
      </c>
      <c r="B748" s="79" t="s">
        <v>1866</v>
      </c>
      <c r="C748" s="79" t="s">
        <v>1358</v>
      </c>
      <c r="D748" s="79" t="s">
        <v>180</v>
      </c>
      <c r="E748" s="79">
        <v>68427709</v>
      </c>
      <c r="F748" s="93">
        <v>-25000</v>
      </c>
      <c r="G748" s="79" t="s">
        <v>113</v>
      </c>
      <c r="H748" s="79" t="s">
        <v>114</v>
      </c>
      <c r="I748" s="79" t="s">
        <v>1682</v>
      </c>
      <c r="J748" s="79">
        <v>2022</v>
      </c>
      <c r="K748" s="79" t="s">
        <v>361</v>
      </c>
      <c r="L748" s="79"/>
    </row>
    <row r="749" spans="1:12" hidden="1" x14ac:dyDescent="0.25">
      <c r="A749" s="82">
        <v>44399</v>
      </c>
      <c r="B749" s="79" t="s">
        <v>1867</v>
      </c>
      <c r="C749" s="79"/>
      <c r="D749" s="79"/>
      <c r="E749" s="79"/>
      <c r="F749" s="93"/>
      <c r="G749" s="79"/>
      <c r="H749" s="79"/>
      <c r="I749" s="79"/>
      <c r="J749" s="79">
        <v>2022</v>
      </c>
      <c r="K749" s="79"/>
      <c r="L749" s="79"/>
    </row>
    <row r="750" spans="1:12" s="168" customFormat="1" hidden="1" x14ac:dyDescent="0.25">
      <c r="A750" s="83">
        <v>44400</v>
      </c>
      <c r="B750" s="84" t="s">
        <v>1868</v>
      </c>
      <c r="C750" s="84"/>
      <c r="D750" s="84"/>
      <c r="E750" s="84"/>
      <c r="F750" s="121"/>
      <c r="G750" s="84"/>
      <c r="H750" s="84"/>
      <c r="I750" s="84"/>
      <c r="J750" s="84">
        <v>2022</v>
      </c>
      <c r="K750" s="84"/>
      <c r="L750" s="84"/>
    </row>
    <row r="751" spans="1:12" hidden="1" x14ac:dyDescent="0.25">
      <c r="A751" s="82">
        <v>44400</v>
      </c>
      <c r="B751" s="79" t="s">
        <v>1869</v>
      </c>
      <c r="C751" s="79" t="s">
        <v>1870</v>
      </c>
      <c r="D751" s="79" t="s">
        <v>352</v>
      </c>
      <c r="E751" s="79">
        <v>68427709</v>
      </c>
      <c r="F751" s="93">
        <v>-50000</v>
      </c>
      <c r="G751" s="79" t="s">
        <v>113</v>
      </c>
      <c r="H751" s="79" t="s">
        <v>114</v>
      </c>
      <c r="I751" s="79" t="s">
        <v>1682</v>
      </c>
      <c r="J751" s="79">
        <v>2022</v>
      </c>
      <c r="K751" s="79" t="s">
        <v>1092</v>
      </c>
      <c r="L751" s="79"/>
    </row>
    <row r="752" spans="1:12" hidden="1" x14ac:dyDescent="0.25">
      <c r="A752" s="82">
        <v>44403</v>
      </c>
      <c r="B752" t="s">
        <v>1871</v>
      </c>
      <c r="C752" s="79" t="s">
        <v>1872</v>
      </c>
      <c r="D752" s="79" t="s">
        <v>1871</v>
      </c>
      <c r="E752" s="79">
        <v>68427709</v>
      </c>
      <c r="F752" s="93">
        <v>35000</v>
      </c>
      <c r="G752" s="79" t="s">
        <v>113</v>
      </c>
      <c r="H752" s="79" t="s">
        <v>114</v>
      </c>
      <c r="I752" s="79" t="s">
        <v>1682</v>
      </c>
      <c r="J752" s="79">
        <v>2022</v>
      </c>
      <c r="K752" s="79" t="s">
        <v>1203</v>
      </c>
      <c r="L752" s="79"/>
    </row>
    <row r="753" spans="1:12" hidden="1" x14ac:dyDescent="0.25">
      <c r="A753" s="82">
        <v>44403</v>
      </c>
      <c r="B753" s="79" t="s">
        <v>1873</v>
      </c>
      <c r="C753" s="79" t="s">
        <v>1874</v>
      </c>
      <c r="D753" s="79" t="s">
        <v>603</v>
      </c>
      <c r="E753" s="79">
        <v>68427709</v>
      </c>
      <c r="F753" s="93">
        <v>100000</v>
      </c>
      <c r="G753" s="79" t="s">
        <v>113</v>
      </c>
      <c r="H753" s="79" t="s">
        <v>114</v>
      </c>
      <c r="I753" s="79" t="s">
        <v>1682</v>
      </c>
      <c r="J753" s="79">
        <v>2022</v>
      </c>
      <c r="K753" s="79" t="s">
        <v>1875</v>
      </c>
      <c r="L753" s="79"/>
    </row>
    <row r="754" spans="1:12" hidden="1" x14ac:dyDescent="0.25">
      <c r="A754" s="82">
        <v>44403</v>
      </c>
      <c r="B754" s="79" t="s">
        <v>1876</v>
      </c>
      <c r="C754" s="79" t="s">
        <v>1877</v>
      </c>
      <c r="D754" s="79" t="s">
        <v>1420</v>
      </c>
      <c r="E754" s="79">
        <v>68427709</v>
      </c>
      <c r="F754" s="93">
        <v>23000</v>
      </c>
      <c r="G754" s="79" t="s">
        <v>113</v>
      </c>
      <c r="H754" s="79" t="s">
        <v>114</v>
      </c>
      <c r="I754" s="79" t="s">
        <v>1682</v>
      </c>
      <c r="J754" s="79">
        <v>2022</v>
      </c>
      <c r="K754" s="79" t="s">
        <v>672</v>
      </c>
      <c r="L754" s="79"/>
    </row>
    <row r="755" spans="1:12" hidden="1" x14ac:dyDescent="0.25">
      <c r="A755" s="82">
        <v>44404</v>
      </c>
      <c r="B755" s="79" t="s">
        <v>1878</v>
      </c>
      <c r="C755" s="79" t="s">
        <v>1879</v>
      </c>
      <c r="D755" s="79" t="s">
        <v>603</v>
      </c>
      <c r="E755" s="79">
        <v>68427709</v>
      </c>
      <c r="F755" s="93">
        <v>150000</v>
      </c>
      <c r="G755" s="79" t="s">
        <v>113</v>
      </c>
      <c r="H755" s="79" t="s">
        <v>114</v>
      </c>
      <c r="I755" s="79" t="s">
        <v>993</v>
      </c>
      <c r="J755" s="79">
        <v>2022</v>
      </c>
      <c r="K755" s="79" t="s">
        <v>1063</v>
      </c>
      <c r="L755" s="79"/>
    </row>
    <row r="756" spans="1:12" hidden="1" x14ac:dyDescent="0.25">
      <c r="A756" s="82">
        <v>44404</v>
      </c>
      <c r="B756" s="79" t="s">
        <v>1878</v>
      </c>
      <c r="C756" s="79" t="s">
        <v>1880</v>
      </c>
      <c r="D756" s="79" t="s">
        <v>277</v>
      </c>
      <c r="E756" s="79">
        <v>68427709</v>
      </c>
      <c r="F756" s="93">
        <v>100000</v>
      </c>
      <c r="G756" s="79" t="s">
        <v>113</v>
      </c>
      <c r="H756" s="79" t="s">
        <v>114</v>
      </c>
      <c r="I756" s="79" t="s">
        <v>993</v>
      </c>
      <c r="J756" s="79">
        <v>2022</v>
      </c>
      <c r="K756" s="79" t="s">
        <v>1063</v>
      </c>
      <c r="L756" s="79"/>
    </row>
    <row r="757" spans="1:12" hidden="1" x14ac:dyDescent="0.25">
      <c r="A757" s="82">
        <v>44404</v>
      </c>
      <c r="B757" s="79" t="s">
        <v>1881</v>
      </c>
      <c r="C757" s="79" t="s">
        <v>1882</v>
      </c>
      <c r="D757" s="79" t="s">
        <v>1317</v>
      </c>
      <c r="E757" s="79">
        <v>68427709</v>
      </c>
      <c r="F757" s="93">
        <v>250000</v>
      </c>
      <c r="G757" s="79" t="s">
        <v>113</v>
      </c>
      <c r="H757" s="79" t="s">
        <v>114</v>
      </c>
      <c r="I757" s="79" t="s">
        <v>993</v>
      </c>
      <c r="J757" s="79">
        <v>2022</v>
      </c>
      <c r="K757" s="79" t="s">
        <v>1883</v>
      </c>
      <c r="L757" s="79" t="s">
        <v>1884</v>
      </c>
    </row>
    <row r="758" spans="1:12" hidden="1" x14ac:dyDescent="0.25">
      <c r="A758" s="82">
        <v>44404</v>
      </c>
      <c r="B758" s="79" t="s">
        <v>1885</v>
      </c>
      <c r="C758" s="79" t="s">
        <v>1886</v>
      </c>
      <c r="D758" s="79" t="s">
        <v>558</v>
      </c>
      <c r="E758" s="79">
        <v>68427709</v>
      </c>
      <c r="F758" s="93">
        <v>25000</v>
      </c>
      <c r="G758" s="79" t="s">
        <v>113</v>
      </c>
      <c r="H758" s="79" t="s">
        <v>114</v>
      </c>
      <c r="I758" s="79" t="s">
        <v>993</v>
      </c>
      <c r="J758" s="79">
        <v>2022</v>
      </c>
      <c r="K758" s="79" t="s">
        <v>1293</v>
      </c>
      <c r="L758" s="79"/>
    </row>
    <row r="759" spans="1:12" hidden="1" x14ac:dyDescent="0.25">
      <c r="A759" s="82">
        <v>44404</v>
      </c>
      <c r="B759" s="79" t="s">
        <v>1292</v>
      </c>
      <c r="C759" s="79" t="s">
        <v>1886</v>
      </c>
      <c r="D759" s="79" t="s">
        <v>1292</v>
      </c>
      <c r="E759" s="79">
        <v>68427709</v>
      </c>
      <c r="F759" s="93">
        <v>101000</v>
      </c>
      <c r="G759" s="79" t="s">
        <v>113</v>
      </c>
      <c r="H759" s="79" t="s">
        <v>114</v>
      </c>
      <c r="I759" s="79" t="s">
        <v>1700</v>
      </c>
      <c r="J759" s="79">
        <v>2022</v>
      </c>
      <c r="K759" s="79" t="s">
        <v>1293</v>
      </c>
      <c r="L759" s="79"/>
    </row>
    <row r="760" spans="1:12" hidden="1" x14ac:dyDescent="0.25">
      <c r="A760" s="82">
        <v>44404</v>
      </c>
      <c r="B760" s="79" t="s">
        <v>331</v>
      </c>
      <c r="C760" s="79" t="s">
        <v>1887</v>
      </c>
      <c r="D760" s="79" t="s">
        <v>437</v>
      </c>
      <c r="E760" s="79">
        <v>68427709</v>
      </c>
      <c r="F760" s="93">
        <v>25000</v>
      </c>
      <c r="G760" s="79" t="s">
        <v>113</v>
      </c>
      <c r="H760" s="79" t="s">
        <v>114</v>
      </c>
      <c r="I760" s="79" t="s">
        <v>1700</v>
      </c>
      <c r="J760" s="79">
        <v>2022</v>
      </c>
      <c r="K760" s="79" t="s">
        <v>1293</v>
      </c>
      <c r="L760" s="79"/>
    </row>
    <row r="761" spans="1:12" hidden="1" x14ac:dyDescent="0.25">
      <c r="A761" s="82">
        <v>44404</v>
      </c>
      <c r="B761" s="79" t="s">
        <v>1027</v>
      </c>
      <c r="C761" s="79" t="s">
        <v>1888</v>
      </c>
      <c r="D761" s="79" t="s">
        <v>180</v>
      </c>
      <c r="E761" s="79">
        <v>68427719</v>
      </c>
      <c r="F761" s="93">
        <v>-800000</v>
      </c>
      <c r="G761" s="79" t="s">
        <v>113</v>
      </c>
      <c r="H761" s="79" t="s">
        <v>114</v>
      </c>
      <c r="I761" s="79" t="s">
        <v>1700</v>
      </c>
      <c r="J761" s="79">
        <v>2022</v>
      </c>
      <c r="K761" s="79" t="s">
        <v>1889</v>
      </c>
      <c r="L761" s="79" t="s">
        <v>1890</v>
      </c>
    </row>
    <row r="762" spans="1:12" hidden="1" x14ac:dyDescent="0.25">
      <c r="A762" s="82">
        <v>44404</v>
      </c>
      <c r="B762" s="79" t="s">
        <v>1891</v>
      </c>
      <c r="C762" s="79" t="s">
        <v>1892</v>
      </c>
      <c r="D762" s="79" t="s">
        <v>180</v>
      </c>
      <c r="E762" s="79">
        <v>68427719</v>
      </c>
      <c r="F762" s="93">
        <v>-36000</v>
      </c>
      <c r="G762" s="79" t="s">
        <v>113</v>
      </c>
      <c r="H762" s="79" t="s">
        <v>114</v>
      </c>
      <c r="I762" s="79" t="s">
        <v>1700</v>
      </c>
      <c r="J762" s="79">
        <v>2022</v>
      </c>
      <c r="K762" s="79" t="s">
        <v>1889</v>
      </c>
      <c r="L762" s="79"/>
    </row>
    <row r="763" spans="1:12" hidden="1" x14ac:dyDescent="0.25">
      <c r="A763" s="82">
        <v>44404</v>
      </c>
      <c r="B763" s="79" t="s">
        <v>1893</v>
      </c>
      <c r="C763" s="79" t="s">
        <v>1894</v>
      </c>
      <c r="D763" s="79" t="s">
        <v>1895</v>
      </c>
      <c r="E763" s="79">
        <v>68427719</v>
      </c>
      <c r="F763" s="93">
        <v>-25000</v>
      </c>
      <c r="G763" s="79" t="s">
        <v>113</v>
      </c>
      <c r="H763" s="79" t="s">
        <v>114</v>
      </c>
      <c r="I763" s="79" t="s">
        <v>1700</v>
      </c>
      <c r="J763" s="79">
        <v>2022</v>
      </c>
      <c r="K763" s="79" t="s">
        <v>1889</v>
      </c>
      <c r="L763" s="79"/>
    </row>
    <row r="764" spans="1:12" hidden="1" x14ac:dyDescent="0.25">
      <c r="A764" s="82">
        <v>44404</v>
      </c>
      <c r="B764" s="79" t="s">
        <v>1896</v>
      </c>
      <c r="C764" s="79" t="s">
        <v>1897</v>
      </c>
      <c r="D764" s="79" t="s">
        <v>1270</v>
      </c>
      <c r="E764" s="79">
        <v>68427709</v>
      </c>
      <c r="F764" s="93">
        <v>3000</v>
      </c>
      <c r="G764" s="79" t="s">
        <v>113</v>
      </c>
      <c r="H764" s="79" t="s">
        <v>114</v>
      </c>
      <c r="I764" s="79" t="s">
        <v>1700</v>
      </c>
      <c r="J764" s="79">
        <v>2022</v>
      </c>
      <c r="K764" s="79" t="s">
        <v>1889</v>
      </c>
      <c r="L764" s="79"/>
    </row>
    <row r="765" spans="1:12" hidden="1" x14ac:dyDescent="0.25">
      <c r="A765" s="82">
        <v>44404</v>
      </c>
      <c r="B765" s="79" t="s">
        <v>1898</v>
      </c>
      <c r="C765" s="79" t="s">
        <v>1899</v>
      </c>
      <c r="D765" s="79" t="s">
        <v>1900</v>
      </c>
      <c r="E765" s="79">
        <v>68427719</v>
      </c>
      <c r="F765" s="93">
        <v>105000</v>
      </c>
      <c r="G765" s="79" t="s">
        <v>113</v>
      </c>
      <c r="H765" s="79" t="s">
        <v>114</v>
      </c>
      <c r="I765" s="79" t="s">
        <v>1700</v>
      </c>
      <c r="J765" s="79">
        <v>2022</v>
      </c>
      <c r="K765" s="79" t="s">
        <v>1889</v>
      </c>
      <c r="L765" s="79"/>
    </row>
    <row r="766" spans="1:12" hidden="1" x14ac:dyDescent="0.25">
      <c r="A766" s="82">
        <v>44404</v>
      </c>
      <c r="B766" s="79" t="s">
        <v>1901</v>
      </c>
      <c r="C766" s="79" t="s">
        <v>1902</v>
      </c>
      <c r="D766" s="79" t="s">
        <v>1903</v>
      </c>
      <c r="E766" s="79">
        <v>68427709</v>
      </c>
      <c r="F766" s="93">
        <v>1000</v>
      </c>
      <c r="G766" s="79" t="s">
        <v>113</v>
      </c>
      <c r="H766" s="79" t="s">
        <v>114</v>
      </c>
      <c r="I766" s="79" t="s">
        <v>1700</v>
      </c>
      <c r="J766" s="79">
        <v>2022</v>
      </c>
      <c r="K766" s="79" t="s">
        <v>1889</v>
      </c>
      <c r="L766" s="79"/>
    </row>
    <row r="767" spans="1:12" hidden="1" x14ac:dyDescent="0.25">
      <c r="A767" s="82">
        <v>44404</v>
      </c>
      <c r="B767" s="79" t="s">
        <v>1904</v>
      </c>
      <c r="C767" s="79" t="s">
        <v>1902</v>
      </c>
      <c r="D767" s="79" t="s">
        <v>1904</v>
      </c>
      <c r="E767" s="79">
        <v>68427709</v>
      </c>
      <c r="F767" s="93">
        <v>7000</v>
      </c>
      <c r="G767" s="79" t="s">
        <v>113</v>
      </c>
      <c r="H767" s="79" t="s">
        <v>114</v>
      </c>
      <c r="I767" s="79" t="s">
        <v>1700</v>
      </c>
      <c r="J767" s="79">
        <v>2022</v>
      </c>
      <c r="K767" s="79" t="s">
        <v>1889</v>
      </c>
      <c r="L767" s="79"/>
    </row>
    <row r="768" spans="1:12" hidden="1" x14ac:dyDescent="0.25">
      <c r="A768" s="82">
        <v>44404</v>
      </c>
      <c r="B768" s="79" t="s">
        <v>1905</v>
      </c>
      <c r="C768" s="79" t="s">
        <v>1906</v>
      </c>
      <c r="D768" s="79" t="s">
        <v>1907</v>
      </c>
      <c r="E768" s="79">
        <v>68427709</v>
      </c>
      <c r="F768" s="93">
        <v>-188000</v>
      </c>
      <c r="G768" s="79" t="s">
        <v>113</v>
      </c>
      <c r="H768" s="79" t="s">
        <v>114</v>
      </c>
      <c r="I768" s="79" t="s">
        <v>1700</v>
      </c>
      <c r="J768" s="79">
        <v>2022</v>
      </c>
      <c r="K768" s="79" t="s">
        <v>1634</v>
      </c>
      <c r="L768" s="79"/>
    </row>
    <row r="769" spans="1:12" hidden="1" x14ac:dyDescent="0.25">
      <c r="A769" s="82">
        <v>44404</v>
      </c>
      <c r="B769" s="79" t="s">
        <v>1908</v>
      </c>
      <c r="C769" s="79"/>
      <c r="D769" s="79" t="s">
        <v>1128</v>
      </c>
      <c r="E769" s="79">
        <v>68427709</v>
      </c>
      <c r="F769" s="93">
        <v>170000</v>
      </c>
      <c r="G769" s="79" t="s">
        <v>113</v>
      </c>
      <c r="H769" s="79" t="s">
        <v>114</v>
      </c>
      <c r="I769" s="79" t="s">
        <v>1700</v>
      </c>
      <c r="J769" s="79">
        <v>2022</v>
      </c>
      <c r="K769" s="79" t="s">
        <v>1634</v>
      </c>
      <c r="L769" s="79"/>
    </row>
    <row r="770" spans="1:12" hidden="1" x14ac:dyDescent="0.25">
      <c r="A770" s="82">
        <v>44404</v>
      </c>
      <c r="B770" s="79" t="s">
        <v>1909</v>
      </c>
      <c r="C770" s="79" t="s">
        <v>1744</v>
      </c>
      <c r="D770" s="79" t="s">
        <v>1910</v>
      </c>
      <c r="E770" s="79">
        <v>68427709</v>
      </c>
      <c r="F770" s="93">
        <v>22000</v>
      </c>
      <c r="G770" s="79" t="s">
        <v>113</v>
      </c>
      <c r="H770" s="79" t="s">
        <v>114</v>
      </c>
      <c r="I770" s="79" t="s">
        <v>1700</v>
      </c>
      <c r="J770" s="79">
        <v>2022</v>
      </c>
      <c r="K770" s="79" t="s">
        <v>1634</v>
      </c>
      <c r="L770" s="79"/>
    </row>
    <row r="771" spans="1:12" hidden="1" x14ac:dyDescent="0.25">
      <c r="A771" s="82">
        <v>44404</v>
      </c>
      <c r="B771" s="79" t="s">
        <v>1911</v>
      </c>
      <c r="C771" s="79" t="s">
        <v>1744</v>
      </c>
      <c r="D771" s="79"/>
      <c r="E771" s="79">
        <v>68427709</v>
      </c>
      <c r="F771" s="93">
        <v>15000</v>
      </c>
      <c r="G771" s="79" t="s">
        <v>113</v>
      </c>
      <c r="H771" s="79" t="s">
        <v>114</v>
      </c>
      <c r="I771" s="79" t="s">
        <v>1700</v>
      </c>
      <c r="J771" s="79">
        <v>2022</v>
      </c>
      <c r="K771" s="79" t="s">
        <v>1634</v>
      </c>
      <c r="L771" s="79"/>
    </row>
    <row r="772" spans="1:12" hidden="1" x14ac:dyDescent="0.25">
      <c r="A772" s="82">
        <v>44404</v>
      </c>
      <c r="B772" s="79" t="s">
        <v>1912</v>
      </c>
      <c r="C772" s="79"/>
      <c r="D772" s="79" t="s">
        <v>1912</v>
      </c>
      <c r="E772" s="79">
        <v>68427709</v>
      </c>
      <c r="F772" s="93">
        <v>-11000</v>
      </c>
      <c r="G772" s="79" t="s">
        <v>113</v>
      </c>
      <c r="H772" s="79" t="s">
        <v>114</v>
      </c>
      <c r="I772" s="79" t="s">
        <v>1700</v>
      </c>
      <c r="J772" s="79">
        <v>2022</v>
      </c>
      <c r="K772" s="79" t="s">
        <v>1634</v>
      </c>
      <c r="L772" s="79"/>
    </row>
    <row r="773" spans="1:12" hidden="1" x14ac:dyDescent="0.25">
      <c r="A773" s="82">
        <v>44404</v>
      </c>
      <c r="B773" s="79" t="s">
        <v>285</v>
      </c>
      <c r="C773" s="79" t="s">
        <v>1913</v>
      </c>
      <c r="D773" s="79" t="s">
        <v>285</v>
      </c>
      <c r="E773" s="79">
        <v>68427709</v>
      </c>
      <c r="F773" s="93">
        <v>0</v>
      </c>
      <c r="G773" s="79" t="s">
        <v>113</v>
      </c>
      <c r="H773" s="79" t="s">
        <v>114</v>
      </c>
      <c r="I773" s="79" t="s">
        <v>1700</v>
      </c>
      <c r="J773" s="79">
        <v>2022</v>
      </c>
      <c r="K773" s="79" t="s">
        <v>1634</v>
      </c>
      <c r="L773" s="79"/>
    </row>
    <row r="774" spans="1:12" hidden="1" x14ac:dyDescent="0.25">
      <c r="A774" s="82">
        <v>44410</v>
      </c>
      <c r="B774" s="79" t="s">
        <v>1914</v>
      </c>
      <c r="C774" s="79" t="s">
        <v>1915</v>
      </c>
      <c r="D774" s="79" t="s">
        <v>1914</v>
      </c>
      <c r="E774" s="79">
        <v>68427709</v>
      </c>
      <c r="F774" s="93">
        <v>48000</v>
      </c>
      <c r="G774" s="79" t="s">
        <v>113</v>
      </c>
      <c r="H774" s="79" t="s">
        <v>114</v>
      </c>
      <c r="I774" s="79" t="s">
        <v>1700</v>
      </c>
      <c r="J774" s="79">
        <v>2022</v>
      </c>
      <c r="K774" s="79" t="s">
        <v>1916</v>
      </c>
      <c r="L774" s="79"/>
    </row>
    <row r="775" spans="1:12" hidden="1" x14ac:dyDescent="0.25">
      <c r="A775" s="82">
        <v>44412</v>
      </c>
      <c r="B775" s="79" t="s">
        <v>1019</v>
      </c>
      <c r="C775" s="79" t="s">
        <v>1917</v>
      </c>
      <c r="D775" s="79" t="s">
        <v>1918</v>
      </c>
      <c r="E775" s="79">
        <v>68427719</v>
      </c>
      <c r="F775" s="93">
        <v>-25000</v>
      </c>
      <c r="G775" s="79" t="s">
        <v>113</v>
      </c>
      <c r="H775" s="79" t="s">
        <v>114</v>
      </c>
      <c r="I775" s="79" t="s">
        <v>133</v>
      </c>
      <c r="J775" s="79">
        <v>2022</v>
      </c>
      <c r="K775" s="79" t="s">
        <v>1919</v>
      </c>
      <c r="L775" s="79"/>
    </row>
    <row r="776" spans="1:12" hidden="1" x14ac:dyDescent="0.25">
      <c r="A776" s="82">
        <v>44412</v>
      </c>
      <c r="B776" s="79" t="s">
        <v>1022</v>
      </c>
      <c r="C776" s="79" t="s">
        <v>1917</v>
      </c>
      <c r="D776" s="79" t="s">
        <v>1918</v>
      </c>
      <c r="E776" s="79">
        <v>68427719</v>
      </c>
      <c r="F776" s="93">
        <v>-125000</v>
      </c>
      <c r="G776" s="79" t="s">
        <v>113</v>
      </c>
      <c r="H776" s="79" t="s">
        <v>114</v>
      </c>
      <c r="I776" s="79" t="s">
        <v>133</v>
      </c>
      <c r="J776" s="79">
        <v>2022</v>
      </c>
      <c r="K776" s="79" t="s">
        <v>1919</v>
      </c>
      <c r="L776" s="79"/>
    </row>
    <row r="777" spans="1:12" hidden="1" x14ac:dyDescent="0.25">
      <c r="A777" s="82">
        <v>44412</v>
      </c>
      <c r="B777" s="79" t="s">
        <v>1023</v>
      </c>
      <c r="C777" s="79" t="s">
        <v>1917</v>
      </c>
      <c r="D777" s="79" t="s">
        <v>1918</v>
      </c>
      <c r="E777" s="79">
        <v>68427719</v>
      </c>
      <c r="F777" s="93">
        <v>-180000</v>
      </c>
      <c r="G777" s="79" t="s">
        <v>113</v>
      </c>
      <c r="H777" s="79" t="s">
        <v>114</v>
      </c>
      <c r="I777" s="79" t="s">
        <v>133</v>
      </c>
      <c r="J777" s="79">
        <v>2022</v>
      </c>
      <c r="K777" s="79" t="s">
        <v>1919</v>
      </c>
      <c r="L777" s="79"/>
    </row>
    <row r="778" spans="1:12" hidden="1" x14ac:dyDescent="0.25">
      <c r="A778" s="82">
        <v>44412</v>
      </c>
      <c r="B778" s="79" t="s">
        <v>1920</v>
      </c>
      <c r="C778" s="79" t="s">
        <v>1921</v>
      </c>
      <c r="D778" s="79" t="s">
        <v>1922</v>
      </c>
      <c r="E778" s="79">
        <v>68427719</v>
      </c>
      <c r="F778" s="93">
        <v>2000</v>
      </c>
      <c r="G778" s="79" t="s">
        <v>113</v>
      </c>
      <c r="H778" s="79" t="s">
        <v>114</v>
      </c>
      <c r="I778" s="79" t="s">
        <v>133</v>
      </c>
      <c r="J778" s="79">
        <v>2022</v>
      </c>
      <c r="K778" s="79" t="s">
        <v>1919</v>
      </c>
      <c r="L778" s="79"/>
    </row>
    <row r="779" spans="1:12" hidden="1" x14ac:dyDescent="0.25">
      <c r="A779" s="82">
        <v>44412</v>
      </c>
      <c r="B779" s="79" t="s">
        <v>1923</v>
      </c>
      <c r="C779" s="79" t="s">
        <v>1924</v>
      </c>
      <c r="D779" s="79" t="s">
        <v>1925</v>
      </c>
      <c r="E779" s="79">
        <v>68427709</v>
      </c>
      <c r="F779" s="93">
        <v>8000</v>
      </c>
      <c r="G779" s="79" t="s">
        <v>113</v>
      </c>
      <c r="H779" s="79" t="s">
        <v>114</v>
      </c>
      <c r="I779" s="79" t="s">
        <v>133</v>
      </c>
      <c r="J779" s="79">
        <v>2022</v>
      </c>
      <c r="K779" s="79" t="s">
        <v>227</v>
      </c>
      <c r="L779" s="79"/>
    </row>
    <row r="780" spans="1:12" hidden="1" x14ac:dyDescent="0.25">
      <c r="A780" s="82">
        <v>44412</v>
      </c>
      <c r="B780" s="79" t="s">
        <v>1926</v>
      </c>
      <c r="C780" s="79" t="s">
        <v>1924</v>
      </c>
      <c r="D780" s="79" t="s">
        <v>1925</v>
      </c>
      <c r="E780" s="79">
        <v>68427709</v>
      </c>
      <c r="F780" s="93">
        <v>4000</v>
      </c>
      <c r="G780" s="79" t="s">
        <v>113</v>
      </c>
      <c r="H780" s="79" t="s">
        <v>114</v>
      </c>
      <c r="I780" s="79" t="s">
        <v>133</v>
      </c>
      <c r="J780" s="79">
        <v>2022</v>
      </c>
      <c r="K780" s="79" t="s">
        <v>227</v>
      </c>
      <c r="L780" s="79"/>
    </row>
    <row r="781" spans="1:12" hidden="1" x14ac:dyDescent="0.25">
      <c r="A781" s="82">
        <v>44412</v>
      </c>
      <c r="B781" s="79" t="s">
        <v>131</v>
      </c>
      <c r="C781" s="79" t="s">
        <v>1924</v>
      </c>
      <c r="D781" s="79" t="s">
        <v>131</v>
      </c>
      <c r="E781" s="79">
        <v>68427709</v>
      </c>
      <c r="F781" s="93">
        <v>8000</v>
      </c>
      <c r="G781" s="79" t="s">
        <v>113</v>
      </c>
      <c r="H781" s="79" t="s">
        <v>114</v>
      </c>
      <c r="I781" s="79" t="s">
        <v>133</v>
      </c>
      <c r="J781" s="79">
        <v>2022</v>
      </c>
      <c r="K781" s="79" t="s">
        <v>227</v>
      </c>
      <c r="L781" s="79"/>
    </row>
    <row r="782" spans="1:12" hidden="1" x14ac:dyDescent="0.25">
      <c r="A782" s="82">
        <v>44412</v>
      </c>
      <c r="B782" s="79" t="s">
        <v>1927</v>
      </c>
      <c r="C782" s="79" t="s">
        <v>1924</v>
      </c>
      <c r="D782" s="79" t="s">
        <v>1928</v>
      </c>
      <c r="E782" s="79">
        <v>68427709</v>
      </c>
      <c r="F782" s="93">
        <v>4000</v>
      </c>
      <c r="G782" s="79" t="s">
        <v>113</v>
      </c>
      <c r="H782" s="79" t="s">
        <v>114</v>
      </c>
      <c r="I782" s="79" t="s">
        <v>133</v>
      </c>
      <c r="J782" s="79">
        <v>2022</v>
      </c>
      <c r="K782" s="79" t="s">
        <v>227</v>
      </c>
      <c r="L782" s="79"/>
    </row>
    <row r="783" spans="1:12" hidden="1" x14ac:dyDescent="0.25">
      <c r="A783" s="82">
        <v>44412</v>
      </c>
      <c r="B783" s="79" t="s">
        <v>1929</v>
      </c>
      <c r="C783" s="79" t="s">
        <v>1924</v>
      </c>
      <c r="D783" s="79" t="s">
        <v>1506</v>
      </c>
      <c r="E783" s="79">
        <v>68427709</v>
      </c>
      <c r="F783" s="93">
        <v>3000</v>
      </c>
      <c r="G783" s="79" t="s">
        <v>113</v>
      </c>
      <c r="H783" s="79" t="s">
        <v>114</v>
      </c>
      <c r="I783" s="79" t="s">
        <v>133</v>
      </c>
      <c r="J783" s="79">
        <v>2022</v>
      </c>
      <c r="K783" s="79" t="s">
        <v>227</v>
      </c>
      <c r="L783" s="79"/>
    </row>
    <row r="784" spans="1:12" hidden="1" x14ac:dyDescent="0.25">
      <c r="A784" s="82">
        <v>44412</v>
      </c>
      <c r="B784" s="79" t="s">
        <v>1930</v>
      </c>
      <c r="C784" s="79" t="s">
        <v>1700</v>
      </c>
      <c r="D784" s="79" t="s">
        <v>1930</v>
      </c>
      <c r="E784" s="79">
        <v>68427709</v>
      </c>
      <c r="F784" s="93">
        <v>-25000</v>
      </c>
      <c r="G784" s="79" t="s">
        <v>113</v>
      </c>
      <c r="H784" s="79" t="s">
        <v>114</v>
      </c>
      <c r="I784" s="79" t="s">
        <v>133</v>
      </c>
      <c r="J784" s="79">
        <v>2022</v>
      </c>
      <c r="K784" s="79" t="s">
        <v>227</v>
      </c>
      <c r="L784" s="79"/>
    </row>
    <row r="785" spans="1:12" hidden="1" x14ac:dyDescent="0.25">
      <c r="A785" s="82">
        <v>44412</v>
      </c>
      <c r="B785" s="79" t="s">
        <v>1931</v>
      </c>
      <c r="C785" s="79" t="s">
        <v>1932</v>
      </c>
      <c r="D785" s="79" t="s">
        <v>1933</v>
      </c>
      <c r="E785" s="79">
        <v>68427709</v>
      </c>
      <c r="F785" s="93">
        <v>0</v>
      </c>
      <c r="G785" s="79" t="s">
        <v>113</v>
      </c>
      <c r="H785" s="79" t="s">
        <v>114</v>
      </c>
      <c r="I785" s="79" t="s">
        <v>1700</v>
      </c>
      <c r="J785" s="79">
        <v>2022</v>
      </c>
      <c r="K785" s="79" t="s">
        <v>116</v>
      </c>
      <c r="L785" s="79"/>
    </row>
    <row r="786" spans="1:12" hidden="1" x14ac:dyDescent="0.25">
      <c r="A786" s="82">
        <v>44412</v>
      </c>
      <c r="B786" s="79" t="s">
        <v>1934</v>
      </c>
      <c r="C786" s="79"/>
      <c r="D786" s="79"/>
      <c r="E786" s="79">
        <v>68427709</v>
      </c>
      <c r="F786" s="93">
        <v>50000</v>
      </c>
      <c r="G786" s="79" t="s">
        <v>113</v>
      </c>
      <c r="H786" s="79" t="s">
        <v>114</v>
      </c>
      <c r="I786" s="79" t="s">
        <v>133</v>
      </c>
      <c r="J786" s="79">
        <v>2022</v>
      </c>
      <c r="K786" s="79" t="s">
        <v>1935</v>
      </c>
      <c r="L786" s="79"/>
    </row>
    <row r="787" spans="1:12" hidden="1" x14ac:dyDescent="0.25">
      <c r="A787" s="82">
        <v>44412</v>
      </c>
      <c r="B787" s="79" t="s">
        <v>1936</v>
      </c>
      <c r="C787" s="79" t="s">
        <v>562</v>
      </c>
      <c r="D787" s="79" t="s">
        <v>1270</v>
      </c>
      <c r="E787" s="79">
        <v>68427709</v>
      </c>
      <c r="F787" s="93">
        <v>2000</v>
      </c>
      <c r="G787" s="79" t="s">
        <v>113</v>
      </c>
      <c r="H787" s="79" t="s">
        <v>114</v>
      </c>
      <c r="I787" s="79" t="s">
        <v>1700</v>
      </c>
      <c r="J787" s="79">
        <v>2022</v>
      </c>
      <c r="K787" s="79" t="s">
        <v>1919</v>
      </c>
      <c r="L787" s="79"/>
    </row>
    <row r="788" spans="1:12" hidden="1" x14ac:dyDescent="0.25">
      <c r="A788" s="82">
        <v>44412</v>
      </c>
      <c r="B788" s="79" t="s">
        <v>1937</v>
      </c>
      <c r="C788" s="79" t="s">
        <v>1938</v>
      </c>
      <c r="D788" s="79" t="s">
        <v>1937</v>
      </c>
      <c r="E788" s="79">
        <v>68427709</v>
      </c>
      <c r="F788" s="93">
        <v>8000</v>
      </c>
      <c r="G788" s="79" t="s">
        <v>302</v>
      </c>
      <c r="H788" s="79" t="s">
        <v>114</v>
      </c>
      <c r="I788" s="79" t="s">
        <v>1700</v>
      </c>
      <c r="J788" s="79">
        <v>2022</v>
      </c>
      <c r="K788" s="79" t="s">
        <v>1939</v>
      </c>
      <c r="L788" s="79" t="s">
        <v>1940</v>
      </c>
    </row>
    <row r="789" spans="1:12" hidden="1" x14ac:dyDescent="0.25">
      <c r="A789" s="82">
        <v>44439</v>
      </c>
      <c r="B789" s="79" t="s">
        <v>1941</v>
      </c>
      <c r="C789" s="79" t="s">
        <v>1942</v>
      </c>
      <c r="D789" s="79" t="s">
        <v>853</v>
      </c>
      <c r="E789" s="79">
        <v>68427709</v>
      </c>
      <c r="F789" s="93">
        <v>0</v>
      </c>
      <c r="G789" s="79" t="s">
        <v>113</v>
      </c>
      <c r="H789" s="79" t="s">
        <v>114</v>
      </c>
      <c r="I789" s="79" t="s">
        <v>1700</v>
      </c>
      <c r="J789" s="79">
        <v>2022</v>
      </c>
      <c r="K789" s="79" t="s">
        <v>555</v>
      </c>
      <c r="L789" s="79" t="s">
        <v>1943</v>
      </c>
    </row>
    <row r="790" spans="1:12" hidden="1" x14ac:dyDescent="0.25">
      <c r="A790" s="82">
        <v>44448</v>
      </c>
      <c r="B790" s="79" t="s">
        <v>1944</v>
      </c>
      <c r="C790" s="79" t="s">
        <v>1945</v>
      </c>
      <c r="D790" s="79" t="s">
        <v>183</v>
      </c>
      <c r="E790" s="79">
        <v>68427719</v>
      </c>
      <c r="F790" s="93">
        <v>200000</v>
      </c>
      <c r="G790" s="79" t="s">
        <v>113</v>
      </c>
      <c r="H790" s="79" t="s">
        <v>114</v>
      </c>
      <c r="I790" s="79" t="s">
        <v>133</v>
      </c>
      <c r="J790" s="79">
        <v>2022</v>
      </c>
      <c r="K790" s="79" t="s">
        <v>1919</v>
      </c>
      <c r="L790" s="79" t="s">
        <v>1946</v>
      </c>
    </row>
    <row r="791" spans="1:12" hidden="1" x14ac:dyDescent="0.25">
      <c r="A791" s="82">
        <v>44468</v>
      </c>
      <c r="B791" s="79" t="s">
        <v>1947</v>
      </c>
      <c r="C791" s="79" t="s">
        <v>1948</v>
      </c>
      <c r="D791" s="79" t="s">
        <v>1949</v>
      </c>
      <c r="E791" s="79">
        <v>68427709</v>
      </c>
      <c r="F791" s="93">
        <v>-2000</v>
      </c>
      <c r="G791" s="79" t="s">
        <v>113</v>
      </c>
      <c r="H791" s="79" t="s">
        <v>114</v>
      </c>
      <c r="I791" s="79" t="s">
        <v>1700</v>
      </c>
      <c r="J791" s="79">
        <v>2022</v>
      </c>
      <c r="K791" s="79" t="s">
        <v>116</v>
      </c>
      <c r="L791" s="79"/>
    </row>
    <row r="792" spans="1:12" hidden="1" x14ac:dyDescent="0.25">
      <c r="A792" s="82">
        <v>44468</v>
      </c>
      <c r="B792" s="79" t="s">
        <v>1950</v>
      </c>
      <c r="C792" s="79" t="s">
        <v>1948</v>
      </c>
      <c r="D792" s="79" t="s">
        <v>1949</v>
      </c>
      <c r="E792" s="79">
        <v>68427709</v>
      </c>
      <c r="F792" s="93">
        <v>-5000</v>
      </c>
      <c r="G792" s="79" t="s">
        <v>113</v>
      </c>
      <c r="H792" s="79" t="s">
        <v>114</v>
      </c>
      <c r="I792" s="79" t="s">
        <v>1700</v>
      </c>
      <c r="J792" s="79">
        <v>2022</v>
      </c>
      <c r="K792" s="79" t="s">
        <v>116</v>
      </c>
      <c r="L792" s="79"/>
    </row>
    <row r="793" spans="1:12" hidden="1" x14ac:dyDescent="0.25">
      <c r="A793" s="82">
        <v>44468</v>
      </c>
      <c r="B793" s="79" t="s">
        <v>1951</v>
      </c>
      <c r="C793" s="79" t="s">
        <v>1948</v>
      </c>
      <c r="D793" s="79" t="s">
        <v>1949</v>
      </c>
      <c r="E793" s="79">
        <v>68427709</v>
      </c>
      <c r="F793" s="93">
        <v>-6000</v>
      </c>
      <c r="G793" s="79" t="s">
        <v>113</v>
      </c>
      <c r="H793" s="79" t="s">
        <v>114</v>
      </c>
      <c r="I793" s="79" t="s">
        <v>1700</v>
      </c>
      <c r="J793" s="79">
        <v>2022</v>
      </c>
      <c r="K793" s="79" t="s">
        <v>116</v>
      </c>
      <c r="L793" s="79"/>
    </row>
    <row r="794" spans="1:12" hidden="1" x14ac:dyDescent="0.25">
      <c r="A794" s="82">
        <v>44468</v>
      </c>
      <c r="B794" s="79" t="s">
        <v>1952</v>
      </c>
      <c r="C794" s="79" t="s">
        <v>1948</v>
      </c>
      <c r="D794" s="79" t="s">
        <v>1949</v>
      </c>
      <c r="E794" s="79">
        <v>68427709</v>
      </c>
      <c r="F794" s="93">
        <v>-5000</v>
      </c>
      <c r="G794" s="79" t="s">
        <v>113</v>
      </c>
      <c r="H794" s="79" t="s">
        <v>114</v>
      </c>
      <c r="I794" s="79" t="s">
        <v>1700</v>
      </c>
      <c r="J794" s="79">
        <v>2022</v>
      </c>
      <c r="K794" s="79" t="s">
        <v>116</v>
      </c>
      <c r="L794" s="79"/>
    </row>
    <row r="795" spans="1:12" hidden="1" x14ac:dyDescent="0.25">
      <c r="A795" s="82">
        <v>44468</v>
      </c>
      <c r="B795" t="s">
        <v>1953</v>
      </c>
      <c r="C795" s="79" t="s">
        <v>1948</v>
      </c>
      <c r="D795" s="79" t="s">
        <v>1723</v>
      </c>
      <c r="E795" s="79">
        <v>68427709</v>
      </c>
      <c r="F795" s="93">
        <v>-2000</v>
      </c>
      <c r="G795" s="79" t="s">
        <v>113</v>
      </c>
      <c r="H795" s="79" t="s">
        <v>114</v>
      </c>
      <c r="I795" s="79" t="s">
        <v>1700</v>
      </c>
      <c r="J795" s="79">
        <v>2022</v>
      </c>
      <c r="K795" s="79" t="s">
        <v>116</v>
      </c>
      <c r="L795" s="79"/>
    </row>
    <row r="796" spans="1:12" s="168" customFormat="1" hidden="1" x14ac:dyDescent="0.25">
      <c r="A796" s="84" t="s">
        <v>1954</v>
      </c>
      <c r="B796" s="84"/>
      <c r="C796" s="84"/>
      <c r="D796" s="84"/>
      <c r="E796" s="84"/>
      <c r="F796" s="84"/>
      <c r="G796" s="84"/>
      <c r="H796" s="84"/>
      <c r="I796" s="84"/>
      <c r="J796" s="84"/>
      <c r="K796" s="84"/>
      <c r="L796" s="84"/>
    </row>
    <row r="797" spans="1:12" hidden="1" x14ac:dyDescent="0.25">
      <c r="A797" s="82">
        <v>44494</v>
      </c>
      <c r="B797" s="79" t="s">
        <v>1955</v>
      </c>
      <c r="C797" s="79" t="s">
        <v>1956</v>
      </c>
      <c r="D797" s="79"/>
      <c r="E797" s="79">
        <v>68427709</v>
      </c>
      <c r="F797" s="93">
        <v>0</v>
      </c>
      <c r="G797" s="79" t="s">
        <v>302</v>
      </c>
      <c r="H797" s="79" t="s">
        <v>114</v>
      </c>
      <c r="I797" s="79" t="s">
        <v>1700</v>
      </c>
      <c r="J797" s="79">
        <v>2023</v>
      </c>
      <c r="K797" s="79" t="s">
        <v>1957</v>
      </c>
      <c r="L797" s="79" t="s">
        <v>1958</v>
      </c>
    </row>
    <row r="798" spans="1:12" hidden="1" x14ac:dyDescent="0.25">
      <c r="A798" s="82">
        <v>44540</v>
      </c>
      <c r="B798" s="79" t="s">
        <v>1959</v>
      </c>
      <c r="C798" s="79" t="s">
        <v>1960</v>
      </c>
      <c r="D798" s="79" t="s">
        <v>1961</v>
      </c>
      <c r="E798" s="79">
        <v>68427709</v>
      </c>
      <c r="F798" s="93">
        <v>329000</v>
      </c>
      <c r="G798" s="79" t="s">
        <v>113</v>
      </c>
      <c r="H798" s="79" t="s">
        <v>114</v>
      </c>
      <c r="I798" s="79" t="s">
        <v>1700</v>
      </c>
      <c r="J798" s="79">
        <v>2023</v>
      </c>
      <c r="K798" s="79" t="s">
        <v>227</v>
      </c>
      <c r="L798" s="79" t="s">
        <v>1962</v>
      </c>
    </row>
    <row r="799" spans="1:12" hidden="1" x14ac:dyDescent="0.25">
      <c r="A799" s="82">
        <v>44540</v>
      </c>
      <c r="B799" s="79" t="s">
        <v>1963</v>
      </c>
      <c r="C799" s="79" t="s">
        <v>1964</v>
      </c>
      <c r="D799" s="79" t="s">
        <v>1965</v>
      </c>
      <c r="E799" s="79">
        <v>68427709</v>
      </c>
      <c r="F799" s="93">
        <v>-37000</v>
      </c>
      <c r="G799" s="79" t="s">
        <v>113</v>
      </c>
      <c r="H799" s="79" t="s">
        <v>114</v>
      </c>
      <c r="I799" s="79" t="s">
        <v>1700</v>
      </c>
      <c r="J799" s="79">
        <v>2023</v>
      </c>
      <c r="K799" s="79" t="s">
        <v>227</v>
      </c>
      <c r="L799" s="79"/>
    </row>
    <row r="800" spans="1:12" hidden="1" x14ac:dyDescent="0.25">
      <c r="A800" s="82">
        <v>44540</v>
      </c>
      <c r="B800" s="79" t="s">
        <v>1966</v>
      </c>
      <c r="C800" s="79" t="s">
        <v>1964</v>
      </c>
      <c r="D800" s="79" t="s">
        <v>1965</v>
      </c>
      <c r="E800" s="79">
        <v>68427709</v>
      </c>
      <c r="F800" s="93">
        <v>-25000</v>
      </c>
      <c r="G800" s="79" t="s">
        <v>113</v>
      </c>
      <c r="H800" s="79" t="s">
        <v>114</v>
      </c>
      <c r="I800" s="79" t="s">
        <v>133</v>
      </c>
      <c r="J800" s="79">
        <v>2023</v>
      </c>
      <c r="K800" s="79" t="s">
        <v>227</v>
      </c>
      <c r="L800" s="79"/>
    </row>
    <row r="801" spans="1:12" hidden="1" x14ac:dyDescent="0.25">
      <c r="A801" s="82">
        <v>44545</v>
      </c>
      <c r="B801" s="79" t="s">
        <v>1967</v>
      </c>
      <c r="C801" s="79" t="s">
        <v>1968</v>
      </c>
      <c r="D801" s="79" t="s">
        <v>131</v>
      </c>
      <c r="E801" s="79">
        <v>68427709</v>
      </c>
      <c r="F801" s="93">
        <v>5000</v>
      </c>
      <c r="G801" s="79" t="s">
        <v>113</v>
      </c>
      <c r="H801" s="79" t="s">
        <v>114</v>
      </c>
      <c r="I801" s="79" t="s">
        <v>1700</v>
      </c>
      <c r="J801" s="79">
        <v>2023</v>
      </c>
      <c r="K801" s="79" t="s">
        <v>227</v>
      </c>
      <c r="L801" s="79" t="s">
        <v>1969</v>
      </c>
    </row>
    <row r="802" spans="1:12" hidden="1" x14ac:dyDescent="0.25">
      <c r="A802" s="82">
        <v>44553</v>
      </c>
      <c r="B802" s="79" t="s">
        <v>1970</v>
      </c>
      <c r="C802" s="79" t="s">
        <v>1971</v>
      </c>
      <c r="D802" s="79" t="s">
        <v>1317</v>
      </c>
      <c r="E802" s="79">
        <v>68427709</v>
      </c>
      <c r="F802" s="93">
        <v>57000</v>
      </c>
      <c r="G802" s="79" t="s">
        <v>302</v>
      </c>
      <c r="H802" s="79" t="s">
        <v>114</v>
      </c>
      <c r="I802" s="79" t="s">
        <v>133</v>
      </c>
      <c r="J802" s="79">
        <v>2023</v>
      </c>
      <c r="K802" s="79" t="s">
        <v>1883</v>
      </c>
      <c r="L802" s="79" t="s">
        <v>1972</v>
      </c>
    </row>
    <row r="803" spans="1:12" hidden="1" x14ac:dyDescent="0.25">
      <c r="A803" s="82">
        <v>44553</v>
      </c>
      <c r="B803" s="79" t="s">
        <v>1973</v>
      </c>
      <c r="C803" s="79" t="s">
        <v>1700</v>
      </c>
      <c r="D803" s="79" t="s">
        <v>180</v>
      </c>
      <c r="E803" s="79">
        <v>68427709</v>
      </c>
      <c r="F803" s="93">
        <v>18000</v>
      </c>
      <c r="G803" s="79" t="s">
        <v>113</v>
      </c>
      <c r="H803" s="79" t="s">
        <v>114</v>
      </c>
      <c r="I803" s="79" t="s">
        <v>1700</v>
      </c>
      <c r="J803" s="79">
        <v>2023</v>
      </c>
      <c r="K803" s="79" t="s">
        <v>1099</v>
      </c>
      <c r="L803" s="79"/>
    </row>
    <row r="804" spans="1:12" hidden="1" x14ac:dyDescent="0.25">
      <c r="A804" s="82">
        <v>44392</v>
      </c>
      <c r="B804" s="79" t="s">
        <v>1974</v>
      </c>
      <c r="C804" s="79" t="s">
        <v>1975</v>
      </c>
      <c r="D804" s="79" t="s">
        <v>1976</v>
      </c>
      <c r="E804" s="79"/>
      <c r="F804" s="93" t="s">
        <v>1976</v>
      </c>
      <c r="G804" s="79"/>
      <c r="H804" s="79"/>
      <c r="I804" s="79"/>
      <c r="J804" s="79"/>
      <c r="K804" s="79"/>
      <c r="L804" s="79"/>
    </row>
    <row r="805" spans="1:12" hidden="1" x14ac:dyDescent="0.25">
      <c r="A805" s="82">
        <v>44653</v>
      </c>
      <c r="B805" s="79" t="s">
        <v>1977</v>
      </c>
      <c r="C805" s="79"/>
      <c r="D805" s="79"/>
      <c r="E805" s="79">
        <v>68427709</v>
      </c>
      <c r="F805" s="93">
        <v>0</v>
      </c>
      <c r="G805" s="79" t="s">
        <v>302</v>
      </c>
      <c r="H805" s="79" t="s">
        <v>114</v>
      </c>
      <c r="I805" s="79" t="s">
        <v>1700</v>
      </c>
      <c r="J805" s="79">
        <v>2023</v>
      </c>
      <c r="K805" s="79" t="s">
        <v>1455</v>
      </c>
      <c r="L805" s="79" t="s">
        <v>1701</v>
      </c>
    </row>
    <row r="806" spans="1:12" hidden="1" x14ac:dyDescent="0.25">
      <c r="A806" s="82">
        <v>44595</v>
      </c>
      <c r="B806" s="79" t="s">
        <v>1978</v>
      </c>
      <c r="C806" s="79" t="s">
        <v>1902</v>
      </c>
      <c r="D806" s="79" t="s">
        <v>1979</v>
      </c>
      <c r="E806" s="79">
        <v>68427709</v>
      </c>
      <c r="F806" s="93" t="s">
        <v>1976</v>
      </c>
      <c r="G806" s="79" t="s">
        <v>302</v>
      </c>
      <c r="H806" s="79" t="s">
        <v>114</v>
      </c>
      <c r="I806" s="79" t="s">
        <v>1700</v>
      </c>
      <c r="J806" s="79">
        <v>2023</v>
      </c>
      <c r="K806" s="79" t="s">
        <v>1980</v>
      </c>
      <c r="L806" s="79" t="s">
        <v>1981</v>
      </c>
    </row>
    <row r="807" spans="1:12" hidden="1" x14ac:dyDescent="0.25">
      <c r="A807" s="82">
        <v>44595</v>
      </c>
      <c r="B807" s="79" t="s">
        <v>1982</v>
      </c>
      <c r="C807" s="79" t="s">
        <v>1983</v>
      </c>
      <c r="D807" s="79"/>
      <c r="E807" s="79">
        <v>68427709</v>
      </c>
      <c r="F807" s="93">
        <f>205000+85000</f>
        <v>290000</v>
      </c>
      <c r="G807" s="79" t="s">
        <v>113</v>
      </c>
      <c r="H807" s="79" t="s">
        <v>114</v>
      </c>
      <c r="I807" s="79" t="s">
        <v>1700</v>
      </c>
      <c r="J807" s="79">
        <v>2023</v>
      </c>
      <c r="K807" s="79" t="s">
        <v>1021</v>
      </c>
      <c r="L807" s="79"/>
    </row>
    <row r="808" spans="1:12" hidden="1" x14ac:dyDescent="0.25">
      <c r="A808" s="82">
        <v>44595</v>
      </c>
      <c r="B808" s="79" t="s">
        <v>1984</v>
      </c>
      <c r="C808" s="79"/>
      <c r="D808" s="79" t="s">
        <v>1979</v>
      </c>
      <c r="E808" s="79">
        <v>68427709</v>
      </c>
      <c r="F808" s="93">
        <v>0</v>
      </c>
      <c r="G808" s="79" t="s">
        <v>302</v>
      </c>
      <c r="H808" s="79" t="s">
        <v>114</v>
      </c>
      <c r="I808" s="79" t="s">
        <v>133</v>
      </c>
      <c r="J808" s="79">
        <v>2023</v>
      </c>
      <c r="K808" s="79" t="s">
        <v>672</v>
      </c>
      <c r="L808" s="79" t="s">
        <v>1985</v>
      </c>
    </row>
    <row r="809" spans="1:12" hidden="1" x14ac:dyDescent="0.25">
      <c r="A809" s="82">
        <v>44716</v>
      </c>
      <c r="B809" t="s">
        <v>1986</v>
      </c>
      <c r="C809" s="79" t="s">
        <v>1987</v>
      </c>
      <c r="D809" s="79"/>
      <c r="E809" s="79">
        <v>68427709</v>
      </c>
      <c r="F809" s="93">
        <v>37000</v>
      </c>
      <c r="G809" s="79" t="s">
        <v>113</v>
      </c>
      <c r="H809" s="79" t="s">
        <v>114</v>
      </c>
      <c r="I809" s="79" t="s">
        <v>948</v>
      </c>
      <c r="J809" s="79">
        <v>2023</v>
      </c>
      <c r="K809" s="79" t="s">
        <v>1788</v>
      </c>
      <c r="L809" s="79"/>
    </row>
    <row r="810" spans="1:12" hidden="1" x14ac:dyDescent="0.25">
      <c r="A810" s="82">
        <v>44716</v>
      </c>
      <c r="B810" s="79" t="s">
        <v>1988</v>
      </c>
      <c r="C810" s="79" t="s">
        <v>1989</v>
      </c>
      <c r="D810" s="79"/>
      <c r="E810" s="79">
        <v>68427709</v>
      </c>
      <c r="F810" s="93">
        <v>150000</v>
      </c>
      <c r="G810" s="79" t="s">
        <v>113</v>
      </c>
      <c r="H810" s="79" t="s">
        <v>114</v>
      </c>
      <c r="I810" s="79" t="s">
        <v>1990</v>
      </c>
      <c r="J810" s="79">
        <v>2023</v>
      </c>
      <c r="K810" s="79" t="s">
        <v>1283</v>
      </c>
      <c r="L810" s="79"/>
    </row>
    <row r="811" spans="1:12" hidden="1" x14ac:dyDescent="0.25">
      <c r="A811" s="82">
        <v>44670</v>
      </c>
      <c r="B811" s="79" t="s">
        <v>1991</v>
      </c>
      <c r="C811" s="79" t="s">
        <v>1992</v>
      </c>
      <c r="D811" s="79"/>
      <c r="E811" s="79">
        <v>68427709</v>
      </c>
      <c r="F811" s="93">
        <v>15000</v>
      </c>
      <c r="G811" s="79" t="s">
        <v>113</v>
      </c>
      <c r="H811" s="79" t="s">
        <v>114</v>
      </c>
      <c r="I811" s="79" t="s">
        <v>1990</v>
      </c>
      <c r="J811" s="79">
        <v>2023</v>
      </c>
      <c r="K811" s="79" t="s">
        <v>193</v>
      </c>
      <c r="L811" s="79"/>
    </row>
    <row r="812" spans="1:12" hidden="1" x14ac:dyDescent="0.25">
      <c r="A812" s="82">
        <v>44613</v>
      </c>
      <c r="B812" s="79" t="s">
        <v>1993</v>
      </c>
      <c r="C812" s="79" t="s">
        <v>1994</v>
      </c>
      <c r="D812" s="79"/>
      <c r="E812" s="79">
        <v>68427709</v>
      </c>
      <c r="F812" s="93">
        <v>0</v>
      </c>
      <c r="G812" s="79" t="s">
        <v>113</v>
      </c>
      <c r="H812" s="79" t="s">
        <v>114</v>
      </c>
      <c r="I812" s="79" t="s">
        <v>1990</v>
      </c>
      <c r="J812" s="79">
        <v>2023</v>
      </c>
      <c r="K812" s="79" t="s">
        <v>1092</v>
      </c>
      <c r="L812" s="79"/>
    </row>
    <row r="813" spans="1:12" hidden="1" x14ac:dyDescent="0.25">
      <c r="A813" s="82">
        <v>44676</v>
      </c>
      <c r="B813" s="79" t="s">
        <v>1995</v>
      </c>
      <c r="C813" s="79" t="s">
        <v>1996</v>
      </c>
      <c r="D813" s="79"/>
      <c r="E813" s="79">
        <v>68427709</v>
      </c>
      <c r="F813" s="93">
        <v>20160</v>
      </c>
      <c r="G813" s="79" t="s">
        <v>113</v>
      </c>
      <c r="H813" s="79" t="s">
        <v>114</v>
      </c>
      <c r="I813" s="79" t="s">
        <v>133</v>
      </c>
      <c r="J813" s="79">
        <v>2023</v>
      </c>
      <c r="K813" s="79" t="s">
        <v>1704</v>
      </c>
      <c r="L813" s="79"/>
    </row>
    <row r="814" spans="1:12" hidden="1" x14ac:dyDescent="0.25">
      <c r="A814" s="82">
        <v>44656</v>
      </c>
      <c r="B814" s="79" t="s">
        <v>1997</v>
      </c>
      <c r="C814" s="79" t="s">
        <v>1998</v>
      </c>
      <c r="D814" s="79"/>
      <c r="E814" s="79">
        <v>68427709</v>
      </c>
      <c r="F814" s="93">
        <v>14000</v>
      </c>
      <c r="G814" s="79" t="s">
        <v>113</v>
      </c>
      <c r="H814" s="79" t="s">
        <v>114</v>
      </c>
      <c r="I814" s="79" t="s">
        <v>1700</v>
      </c>
      <c r="J814" s="79">
        <v>2023</v>
      </c>
      <c r="K814" s="79" t="s">
        <v>1999</v>
      </c>
      <c r="L814" s="79"/>
    </row>
    <row r="815" spans="1:12" hidden="1" x14ac:dyDescent="0.25">
      <c r="A815" s="82">
        <v>44598</v>
      </c>
      <c r="B815" s="79" t="s">
        <v>285</v>
      </c>
      <c r="C815" s="79" t="s">
        <v>2000</v>
      </c>
      <c r="D815" s="79"/>
      <c r="E815" s="79">
        <v>68427709</v>
      </c>
      <c r="F815" s="93">
        <v>-170000</v>
      </c>
      <c r="G815" s="79" t="s">
        <v>113</v>
      </c>
      <c r="H815" s="79" t="s">
        <v>114</v>
      </c>
      <c r="I815" s="79" t="s">
        <v>1700</v>
      </c>
      <c r="J815" s="79">
        <v>2023</v>
      </c>
      <c r="K815" s="79" t="s">
        <v>1677</v>
      </c>
      <c r="L815" s="79" t="s">
        <v>2001</v>
      </c>
    </row>
    <row r="816" spans="1:12" hidden="1" x14ac:dyDescent="0.25">
      <c r="A816" s="82">
        <v>44726</v>
      </c>
      <c r="B816" s="79" t="s">
        <v>766</v>
      </c>
      <c r="C816" s="79" t="s">
        <v>2002</v>
      </c>
      <c r="D816" s="79"/>
      <c r="E816" s="79">
        <v>68427709</v>
      </c>
      <c r="F816" s="93">
        <v>10000</v>
      </c>
      <c r="G816" s="79" t="s">
        <v>113</v>
      </c>
      <c r="H816" s="79" t="s">
        <v>114</v>
      </c>
      <c r="I816" s="79" t="s">
        <v>1700</v>
      </c>
      <c r="J816" s="79">
        <v>2023</v>
      </c>
      <c r="K816" s="79" t="s">
        <v>227</v>
      </c>
      <c r="L816" s="79"/>
    </row>
    <row r="817" spans="1:12" hidden="1" x14ac:dyDescent="0.25">
      <c r="A817" s="82">
        <v>44728</v>
      </c>
      <c r="B817" s="79" t="s">
        <v>1630</v>
      </c>
      <c r="C817" s="79"/>
      <c r="D817" s="79"/>
      <c r="E817" s="79">
        <v>68427709</v>
      </c>
      <c r="F817" s="93">
        <v>33000</v>
      </c>
      <c r="G817" s="79" t="s">
        <v>113</v>
      </c>
      <c r="H817" s="79" t="s">
        <v>114</v>
      </c>
      <c r="I817" s="79" t="s">
        <v>1700</v>
      </c>
      <c r="J817" s="79">
        <v>2023</v>
      </c>
      <c r="K817" s="79" t="s">
        <v>1135</v>
      </c>
      <c r="L817" s="79"/>
    </row>
    <row r="818" spans="1:12" hidden="1" x14ac:dyDescent="0.25">
      <c r="A818" s="82">
        <v>44729</v>
      </c>
      <c r="B818" s="79" t="s">
        <v>2003</v>
      </c>
      <c r="C818" s="79" t="s">
        <v>2004</v>
      </c>
      <c r="D818" s="79"/>
      <c r="E818" s="79">
        <v>68427709</v>
      </c>
      <c r="F818" s="93">
        <v>-1169944</v>
      </c>
      <c r="G818" s="79" t="s">
        <v>113</v>
      </c>
      <c r="H818" s="79" t="s">
        <v>114</v>
      </c>
      <c r="I818" s="79" t="s">
        <v>948</v>
      </c>
      <c r="J818" s="79">
        <v>2023</v>
      </c>
      <c r="K818" s="79" t="s">
        <v>116</v>
      </c>
      <c r="L818" s="79"/>
    </row>
    <row r="819" spans="1:12" hidden="1" x14ac:dyDescent="0.25">
      <c r="A819" s="82">
        <v>44729</v>
      </c>
      <c r="B819" s="79" t="s">
        <v>2005</v>
      </c>
      <c r="C819" s="79" t="s">
        <v>2006</v>
      </c>
      <c r="D819" s="79"/>
      <c r="E819" s="79">
        <v>68427709</v>
      </c>
      <c r="F819" s="93">
        <v>43200</v>
      </c>
      <c r="G819" s="79" t="s">
        <v>113</v>
      </c>
      <c r="H819" s="79" t="s">
        <v>114</v>
      </c>
      <c r="I819" s="79" t="s">
        <v>948</v>
      </c>
      <c r="J819" s="79">
        <v>2023</v>
      </c>
      <c r="K819" s="79" t="s">
        <v>116</v>
      </c>
      <c r="L819" s="79"/>
    </row>
    <row r="820" spans="1:12" hidden="1" x14ac:dyDescent="0.25">
      <c r="A820" s="82">
        <v>44729</v>
      </c>
      <c r="B820" s="79" t="s">
        <v>2007</v>
      </c>
      <c r="C820" s="79" t="s">
        <v>2008</v>
      </c>
      <c r="D820" s="79"/>
      <c r="E820" s="79">
        <v>68427709</v>
      </c>
      <c r="F820" s="93">
        <v>43200</v>
      </c>
      <c r="G820" s="79" t="s">
        <v>113</v>
      </c>
      <c r="H820" s="79" t="s">
        <v>114</v>
      </c>
      <c r="I820" s="79" t="s">
        <v>948</v>
      </c>
      <c r="J820" s="79">
        <v>2023</v>
      </c>
      <c r="K820" s="79" t="s">
        <v>116</v>
      </c>
      <c r="L820" s="79"/>
    </row>
    <row r="821" spans="1:12" hidden="1" x14ac:dyDescent="0.25">
      <c r="A821" s="82">
        <v>44729</v>
      </c>
      <c r="B821" s="79" t="s">
        <v>2009</v>
      </c>
      <c r="C821" s="79" t="s">
        <v>2010</v>
      </c>
      <c r="D821" s="79"/>
      <c r="E821" s="79">
        <v>68427709</v>
      </c>
      <c r="F821" s="93">
        <v>64800</v>
      </c>
      <c r="G821" s="79" t="s">
        <v>113</v>
      </c>
      <c r="H821" s="79" t="s">
        <v>114</v>
      </c>
      <c r="I821" s="79" t="s">
        <v>948</v>
      </c>
      <c r="J821" s="79">
        <v>2023</v>
      </c>
      <c r="K821" s="79" t="s">
        <v>116</v>
      </c>
      <c r="L821" s="79"/>
    </row>
    <row r="822" spans="1:12" hidden="1" x14ac:dyDescent="0.25">
      <c r="A822" s="82">
        <v>44729</v>
      </c>
      <c r="B822" s="79" t="s">
        <v>2011</v>
      </c>
      <c r="C822" s="79" t="s">
        <v>2012</v>
      </c>
      <c r="D822" s="79"/>
      <c r="E822" s="79">
        <v>68427709</v>
      </c>
      <c r="F822" s="93">
        <v>21600</v>
      </c>
      <c r="G822" s="79" t="s">
        <v>113</v>
      </c>
      <c r="H822" s="79" t="s">
        <v>114</v>
      </c>
      <c r="I822" s="79" t="s">
        <v>948</v>
      </c>
      <c r="J822" s="79">
        <v>2023</v>
      </c>
      <c r="K822" s="79" t="s">
        <v>116</v>
      </c>
      <c r="L822" s="79"/>
    </row>
    <row r="823" spans="1:12" hidden="1" x14ac:dyDescent="0.25">
      <c r="A823" s="82">
        <v>44729</v>
      </c>
      <c r="B823" s="79" t="s">
        <v>2013</v>
      </c>
      <c r="C823" s="79" t="s">
        <v>2014</v>
      </c>
      <c r="D823" s="79"/>
      <c r="E823" s="79">
        <v>68427709</v>
      </c>
      <c r="F823" s="93">
        <v>32400</v>
      </c>
      <c r="G823" s="79" t="s">
        <v>113</v>
      </c>
      <c r="H823" s="79" t="s">
        <v>114</v>
      </c>
      <c r="I823" s="79" t="s">
        <v>948</v>
      </c>
      <c r="J823" s="79">
        <v>2023</v>
      </c>
      <c r="K823" s="79" t="s">
        <v>116</v>
      </c>
      <c r="L823" s="79"/>
    </row>
    <row r="824" spans="1:12" hidden="1" x14ac:dyDescent="0.25">
      <c r="A824" s="82">
        <v>44729</v>
      </c>
      <c r="B824" s="79" t="s">
        <v>2015</v>
      </c>
      <c r="C824" s="79" t="s">
        <v>2016</v>
      </c>
      <c r="D824" s="79"/>
      <c r="E824" s="79">
        <v>68427709</v>
      </c>
      <c r="F824" s="93">
        <v>21600</v>
      </c>
      <c r="G824" s="79" t="s">
        <v>113</v>
      </c>
      <c r="H824" s="79" t="s">
        <v>114</v>
      </c>
      <c r="I824" s="79" t="s">
        <v>948</v>
      </c>
      <c r="J824" s="79">
        <v>2023</v>
      </c>
      <c r="K824" s="79" t="s">
        <v>116</v>
      </c>
      <c r="L824" s="79"/>
    </row>
    <row r="825" spans="1:12" hidden="1" x14ac:dyDescent="0.25">
      <c r="A825" s="82">
        <v>44729</v>
      </c>
      <c r="B825" s="79" t="s">
        <v>2017</v>
      </c>
      <c r="C825" s="79" t="s">
        <v>2018</v>
      </c>
      <c r="D825" s="79"/>
      <c r="E825" s="79">
        <v>68427709</v>
      </c>
      <c r="F825" s="93">
        <v>75600</v>
      </c>
      <c r="G825" s="79" t="s">
        <v>113</v>
      </c>
      <c r="H825" s="79" t="s">
        <v>114</v>
      </c>
      <c r="I825" s="79" t="s">
        <v>948</v>
      </c>
      <c r="J825" s="79">
        <v>2023</v>
      </c>
      <c r="K825" s="79" t="s">
        <v>116</v>
      </c>
      <c r="L825" s="79"/>
    </row>
    <row r="826" spans="1:12" hidden="1" x14ac:dyDescent="0.25">
      <c r="A826" s="82">
        <v>44729</v>
      </c>
      <c r="B826" s="79" t="s">
        <v>2019</v>
      </c>
      <c r="C826" s="79" t="s">
        <v>2020</v>
      </c>
      <c r="D826" s="79"/>
      <c r="E826" s="79">
        <v>68427709</v>
      </c>
      <c r="F826" s="93">
        <v>64800</v>
      </c>
      <c r="G826" s="79" t="s">
        <v>113</v>
      </c>
      <c r="H826" s="79" t="s">
        <v>114</v>
      </c>
      <c r="I826" s="79" t="s">
        <v>948</v>
      </c>
      <c r="J826" s="79">
        <v>2023</v>
      </c>
      <c r="K826" s="79" t="s">
        <v>116</v>
      </c>
      <c r="L826" s="79"/>
    </row>
    <row r="827" spans="1:12" hidden="1" x14ac:dyDescent="0.25">
      <c r="A827" s="82">
        <v>44729</v>
      </c>
      <c r="B827" s="79" t="s">
        <v>2021</v>
      </c>
      <c r="C827" s="79" t="s">
        <v>2022</v>
      </c>
      <c r="D827" s="79"/>
      <c r="E827" s="79">
        <v>68427709</v>
      </c>
      <c r="F827" s="93">
        <v>10800</v>
      </c>
      <c r="G827" s="79" t="s">
        <v>113</v>
      </c>
      <c r="H827" s="79" t="s">
        <v>114</v>
      </c>
      <c r="I827" s="79" t="s">
        <v>948</v>
      </c>
      <c r="J827" s="79">
        <v>2023</v>
      </c>
      <c r="K827" s="79" t="s">
        <v>116</v>
      </c>
      <c r="L827" s="79"/>
    </row>
    <row r="828" spans="1:12" hidden="1" x14ac:dyDescent="0.25">
      <c r="A828" s="82">
        <v>44729</v>
      </c>
      <c r="B828" s="79" t="s">
        <v>2023</v>
      </c>
      <c r="C828" s="79" t="s">
        <v>2024</v>
      </c>
      <c r="D828" s="79"/>
      <c r="E828" s="79">
        <v>68427709</v>
      </c>
      <c r="F828" s="93">
        <v>21600</v>
      </c>
      <c r="G828" s="79" t="s">
        <v>113</v>
      </c>
      <c r="H828" s="79" t="s">
        <v>114</v>
      </c>
      <c r="I828" s="79" t="s">
        <v>948</v>
      </c>
      <c r="J828" s="79">
        <v>2023</v>
      </c>
      <c r="K828" s="79" t="s">
        <v>116</v>
      </c>
      <c r="L828" s="79"/>
    </row>
    <row r="829" spans="1:12" hidden="1" x14ac:dyDescent="0.25">
      <c r="A829" s="82">
        <v>44729</v>
      </c>
      <c r="B829" s="79" t="s">
        <v>2025</v>
      </c>
      <c r="C829" s="79" t="s">
        <v>2026</v>
      </c>
      <c r="D829" s="79"/>
      <c r="E829" s="79">
        <v>68427709</v>
      </c>
      <c r="F829" s="93">
        <v>32400</v>
      </c>
      <c r="G829" s="79" t="s">
        <v>113</v>
      </c>
      <c r="H829" s="79" t="s">
        <v>114</v>
      </c>
      <c r="I829" s="79" t="s">
        <v>948</v>
      </c>
      <c r="J829" s="79">
        <v>2023</v>
      </c>
      <c r="K829" s="79" t="s">
        <v>116</v>
      </c>
      <c r="L829" s="79"/>
    </row>
    <row r="830" spans="1:12" hidden="1" x14ac:dyDescent="0.25">
      <c r="A830" s="82">
        <v>44729</v>
      </c>
      <c r="B830" s="79" t="s">
        <v>2027</v>
      </c>
      <c r="C830" s="79" t="s">
        <v>2028</v>
      </c>
      <c r="D830" s="79"/>
      <c r="E830" s="79">
        <v>68427709</v>
      </c>
      <c r="F830" s="93">
        <v>10800</v>
      </c>
      <c r="G830" s="79" t="s">
        <v>113</v>
      </c>
      <c r="H830" s="79" t="s">
        <v>114</v>
      </c>
      <c r="I830" s="79" t="s">
        <v>948</v>
      </c>
      <c r="J830" s="79">
        <v>2023</v>
      </c>
      <c r="K830" s="79" t="s">
        <v>116</v>
      </c>
      <c r="L830" s="79"/>
    </row>
    <row r="831" spans="1:12" hidden="1" x14ac:dyDescent="0.25">
      <c r="A831" s="82">
        <v>44729</v>
      </c>
      <c r="B831" s="79" t="s">
        <v>2029</v>
      </c>
      <c r="C831" s="79" t="s">
        <v>2030</v>
      </c>
      <c r="D831" s="79"/>
      <c r="E831" s="79">
        <v>68427709</v>
      </c>
      <c r="F831" s="93">
        <v>10800</v>
      </c>
      <c r="G831" s="79" t="s">
        <v>113</v>
      </c>
      <c r="H831" s="79" t="s">
        <v>114</v>
      </c>
      <c r="I831" s="79" t="s">
        <v>948</v>
      </c>
      <c r="J831" s="79">
        <v>2023</v>
      </c>
      <c r="K831" s="79" t="s">
        <v>116</v>
      </c>
      <c r="L831" s="79"/>
    </row>
    <row r="832" spans="1:12" hidden="1" x14ac:dyDescent="0.25">
      <c r="A832" s="82">
        <v>44729</v>
      </c>
      <c r="B832" s="79" t="s">
        <v>2031</v>
      </c>
      <c r="C832" s="79" t="s">
        <v>2032</v>
      </c>
      <c r="D832" s="79"/>
      <c r="E832" s="79">
        <v>68427709</v>
      </c>
      <c r="F832" s="93">
        <v>21600</v>
      </c>
      <c r="G832" s="79" t="s">
        <v>113</v>
      </c>
      <c r="H832" s="79" t="s">
        <v>114</v>
      </c>
      <c r="I832" s="79" t="s">
        <v>948</v>
      </c>
      <c r="J832" s="79">
        <v>2023</v>
      </c>
      <c r="K832" s="79" t="s">
        <v>116</v>
      </c>
      <c r="L832" s="79"/>
    </row>
    <row r="833" spans="1:12" hidden="1" x14ac:dyDescent="0.25">
      <c r="A833" s="82">
        <v>44729</v>
      </c>
      <c r="B833" s="79" t="s">
        <v>2033</v>
      </c>
      <c r="C833" s="79" t="s">
        <v>2034</v>
      </c>
      <c r="D833" s="79"/>
      <c r="E833" s="79">
        <v>68427709</v>
      </c>
      <c r="F833" s="93">
        <v>21600</v>
      </c>
      <c r="G833" s="79" t="s">
        <v>113</v>
      </c>
      <c r="H833" s="79" t="s">
        <v>114</v>
      </c>
      <c r="I833" s="79" t="s">
        <v>948</v>
      </c>
      <c r="J833" s="79">
        <v>2023</v>
      </c>
      <c r="K833" s="79" t="s">
        <v>116</v>
      </c>
      <c r="L833" s="79"/>
    </row>
    <row r="834" spans="1:12" hidden="1" x14ac:dyDescent="0.25">
      <c r="A834" s="82">
        <v>44729</v>
      </c>
      <c r="B834" s="79" t="s">
        <v>2035</v>
      </c>
      <c r="C834" s="79" t="s">
        <v>2036</v>
      </c>
      <c r="D834" s="79"/>
      <c r="E834" s="79">
        <v>68427709</v>
      </c>
      <c r="F834" s="93">
        <v>10800</v>
      </c>
      <c r="G834" s="79" t="s">
        <v>113</v>
      </c>
      <c r="H834" s="79" t="s">
        <v>114</v>
      </c>
      <c r="I834" s="79" t="s">
        <v>948</v>
      </c>
      <c r="J834" s="79">
        <v>2023</v>
      </c>
      <c r="K834" s="79" t="s">
        <v>116</v>
      </c>
      <c r="L834" s="79"/>
    </row>
    <row r="835" spans="1:12" hidden="1" x14ac:dyDescent="0.25">
      <c r="A835" s="82">
        <v>44729</v>
      </c>
      <c r="B835" s="79" t="s">
        <v>2037</v>
      </c>
      <c r="C835" s="79" t="s">
        <v>2038</v>
      </c>
      <c r="D835" s="79"/>
      <c r="E835" s="79">
        <v>68427709</v>
      </c>
      <c r="F835" s="93">
        <v>21600</v>
      </c>
      <c r="G835" s="79" t="s">
        <v>113</v>
      </c>
      <c r="H835" s="79" t="s">
        <v>114</v>
      </c>
      <c r="I835" s="79" t="s">
        <v>948</v>
      </c>
      <c r="J835" s="79">
        <v>2023</v>
      </c>
      <c r="K835" s="79" t="s">
        <v>116</v>
      </c>
      <c r="L835" s="79"/>
    </row>
    <row r="836" spans="1:12" hidden="1" x14ac:dyDescent="0.25">
      <c r="A836" s="82">
        <v>44729</v>
      </c>
      <c r="B836" s="79" t="s">
        <v>2039</v>
      </c>
      <c r="C836" s="79" t="s">
        <v>2040</v>
      </c>
      <c r="D836" s="79"/>
      <c r="E836" s="79">
        <v>68427709</v>
      </c>
      <c r="F836" s="93">
        <v>21600</v>
      </c>
      <c r="G836" s="79" t="s">
        <v>113</v>
      </c>
      <c r="H836" s="79" t="s">
        <v>114</v>
      </c>
      <c r="I836" s="79" t="s">
        <v>948</v>
      </c>
      <c r="J836" s="79">
        <v>2023</v>
      </c>
      <c r="K836" s="79" t="s">
        <v>116</v>
      </c>
      <c r="L836" s="79"/>
    </row>
    <row r="837" spans="1:12" hidden="1" x14ac:dyDescent="0.25">
      <c r="A837" s="82">
        <v>44729</v>
      </c>
      <c r="B837" s="79" t="s">
        <v>2041</v>
      </c>
      <c r="C837" s="79" t="s">
        <v>2042</v>
      </c>
      <c r="D837" s="79"/>
      <c r="E837" s="79">
        <v>68427709</v>
      </c>
      <c r="F837" s="93">
        <v>21600</v>
      </c>
      <c r="G837" s="79" t="s">
        <v>113</v>
      </c>
      <c r="H837" s="79" t="s">
        <v>114</v>
      </c>
      <c r="I837" s="79" t="s">
        <v>948</v>
      </c>
      <c r="J837" s="79">
        <v>2023</v>
      </c>
      <c r="K837" s="79" t="s">
        <v>116</v>
      </c>
      <c r="L837" s="79"/>
    </row>
    <row r="838" spans="1:12" hidden="1" x14ac:dyDescent="0.25">
      <c r="A838" s="82">
        <v>44729</v>
      </c>
      <c r="B838" s="79" t="s">
        <v>2043</v>
      </c>
      <c r="C838" s="79" t="s">
        <v>2044</v>
      </c>
      <c r="D838" s="79"/>
      <c r="E838" s="79">
        <v>68427709</v>
      </c>
      <c r="F838" s="93">
        <v>10800</v>
      </c>
      <c r="G838" s="79" t="s">
        <v>113</v>
      </c>
      <c r="H838" s="79" t="s">
        <v>114</v>
      </c>
      <c r="I838" s="79" t="s">
        <v>948</v>
      </c>
      <c r="J838" s="79">
        <v>2023</v>
      </c>
      <c r="K838" s="79" t="s">
        <v>116</v>
      </c>
      <c r="L838" s="79"/>
    </row>
    <row r="839" spans="1:12" hidden="1" x14ac:dyDescent="0.25">
      <c r="A839" s="82">
        <v>44729</v>
      </c>
      <c r="B839" s="79" t="s">
        <v>2045</v>
      </c>
      <c r="C839" s="79" t="s">
        <v>2046</v>
      </c>
      <c r="D839" s="79"/>
      <c r="E839" s="79">
        <v>68427709</v>
      </c>
      <c r="F839" s="93">
        <v>10800</v>
      </c>
      <c r="G839" s="79" t="s">
        <v>113</v>
      </c>
      <c r="H839" s="79" t="s">
        <v>114</v>
      </c>
      <c r="I839" s="79" t="s">
        <v>948</v>
      </c>
      <c r="J839" s="79">
        <v>2023</v>
      </c>
      <c r="K839" s="79" t="s">
        <v>116</v>
      </c>
      <c r="L839" s="79"/>
    </row>
    <row r="840" spans="1:12" hidden="1" x14ac:dyDescent="0.25">
      <c r="A840" s="82">
        <v>44729</v>
      </c>
      <c r="B840" s="79" t="s">
        <v>2047</v>
      </c>
      <c r="C840" s="79" t="s">
        <v>2048</v>
      </c>
      <c r="D840" s="79"/>
      <c r="E840" s="79">
        <v>68427709</v>
      </c>
      <c r="F840" s="93">
        <v>10800</v>
      </c>
      <c r="G840" s="79" t="s">
        <v>113</v>
      </c>
      <c r="H840" s="79" t="s">
        <v>114</v>
      </c>
      <c r="I840" s="79" t="s">
        <v>948</v>
      </c>
      <c r="J840" s="79">
        <v>2023</v>
      </c>
      <c r="K840" s="79" t="s">
        <v>116</v>
      </c>
      <c r="L840" s="79"/>
    </row>
    <row r="841" spans="1:12" hidden="1" x14ac:dyDescent="0.25">
      <c r="A841" s="82">
        <v>44729</v>
      </c>
      <c r="B841" s="79" t="s">
        <v>2049</v>
      </c>
      <c r="C841" s="79" t="s">
        <v>2050</v>
      </c>
      <c r="D841" s="79"/>
      <c r="E841" s="79">
        <v>68427709</v>
      </c>
      <c r="F841" s="93">
        <v>10800</v>
      </c>
      <c r="G841" s="79" t="s">
        <v>113</v>
      </c>
      <c r="H841" s="79" t="s">
        <v>114</v>
      </c>
      <c r="I841" s="79" t="s">
        <v>948</v>
      </c>
      <c r="J841" s="79">
        <v>2023</v>
      </c>
      <c r="K841" s="79" t="s">
        <v>116</v>
      </c>
      <c r="L841" s="79"/>
    </row>
    <row r="842" spans="1:12" hidden="1" x14ac:dyDescent="0.25">
      <c r="A842" s="82">
        <v>44729</v>
      </c>
      <c r="B842" s="79" t="s">
        <v>2051</v>
      </c>
      <c r="C842" s="79" t="s">
        <v>2052</v>
      </c>
      <c r="D842" s="79"/>
      <c r="E842" s="79">
        <v>68427709</v>
      </c>
      <c r="F842" s="93">
        <v>21600</v>
      </c>
      <c r="G842" s="79" t="s">
        <v>302</v>
      </c>
      <c r="H842" s="79" t="s">
        <v>114</v>
      </c>
      <c r="I842" s="79" t="s">
        <v>948</v>
      </c>
      <c r="J842" s="79">
        <v>2023</v>
      </c>
      <c r="K842" s="79" t="s">
        <v>116</v>
      </c>
      <c r="L842" s="79" t="s">
        <v>2053</v>
      </c>
    </row>
    <row r="843" spans="1:12" hidden="1" x14ac:dyDescent="0.25">
      <c r="A843" s="82">
        <v>44729</v>
      </c>
      <c r="B843" s="79" t="s">
        <v>2054</v>
      </c>
      <c r="C843" s="79" t="s">
        <v>2055</v>
      </c>
      <c r="D843" s="79"/>
      <c r="E843" s="79">
        <v>68427709</v>
      </c>
      <c r="F843" s="93">
        <v>10800</v>
      </c>
      <c r="G843" s="79" t="s">
        <v>113</v>
      </c>
      <c r="H843" s="79" t="s">
        <v>114</v>
      </c>
      <c r="I843" s="79" t="s">
        <v>948</v>
      </c>
      <c r="J843" s="79">
        <v>2023</v>
      </c>
      <c r="K843" s="79" t="s">
        <v>116</v>
      </c>
      <c r="L843" s="79"/>
    </row>
    <row r="844" spans="1:12" hidden="1" x14ac:dyDescent="0.25">
      <c r="A844" s="82">
        <v>44729</v>
      </c>
      <c r="B844" s="79" t="s">
        <v>2056</v>
      </c>
      <c r="C844" s="79" t="s">
        <v>2057</v>
      </c>
      <c r="D844" s="79"/>
      <c r="E844" s="79">
        <v>68427709</v>
      </c>
      <c r="F844" s="93">
        <v>10800</v>
      </c>
      <c r="G844" s="79" t="s">
        <v>113</v>
      </c>
      <c r="H844" s="79" t="s">
        <v>114</v>
      </c>
      <c r="I844" s="79" t="s">
        <v>948</v>
      </c>
      <c r="J844" s="79">
        <v>2023</v>
      </c>
      <c r="K844" s="79" t="s">
        <v>116</v>
      </c>
      <c r="L844" s="79"/>
    </row>
    <row r="845" spans="1:12" hidden="1" x14ac:dyDescent="0.25">
      <c r="A845" s="82">
        <v>44729</v>
      </c>
      <c r="B845" s="79" t="s">
        <v>2058</v>
      </c>
      <c r="C845" s="79" t="s">
        <v>2059</v>
      </c>
      <c r="D845" s="79"/>
      <c r="E845" s="79">
        <v>68427709</v>
      </c>
      <c r="F845" s="93">
        <v>21600</v>
      </c>
      <c r="G845" s="79" t="s">
        <v>113</v>
      </c>
      <c r="H845" s="79" t="s">
        <v>114</v>
      </c>
      <c r="I845" s="79" t="s">
        <v>948</v>
      </c>
      <c r="J845" s="79">
        <v>2023</v>
      </c>
      <c r="K845" s="79" t="s">
        <v>116</v>
      </c>
      <c r="L845" s="79"/>
    </row>
    <row r="846" spans="1:12" hidden="1" x14ac:dyDescent="0.25">
      <c r="A846" s="82">
        <v>44729</v>
      </c>
      <c r="B846" s="79" t="s">
        <v>2060</v>
      </c>
      <c r="C846" s="79" t="s">
        <v>2061</v>
      </c>
      <c r="D846" s="79"/>
      <c r="E846" s="79">
        <v>68427709</v>
      </c>
      <c r="F846" s="93">
        <v>21600</v>
      </c>
      <c r="G846" s="79" t="s">
        <v>113</v>
      </c>
      <c r="H846" s="79" t="s">
        <v>114</v>
      </c>
      <c r="I846" s="79" t="s">
        <v>948</v>
      </c>
      <c r="J846" s="79">
        <v>2023</v>
      </c>
      <c r="K846" s="79" t="s">
        <v>116</v>
      </c>
      <c r="L846" s="79"/>
    </row>
    <row r="847" spans="1:12" hidden="1" x14ac:dyDescent="0.25">
      <c r="A847" s="82">
        <v>44729</v>
      </c>
      <c r="B847" s="79" t="s">
        <v>2062</v>
      </c>
      <c r="C847" s="79" t="s">
        <v>2063</v>
      </c>
      <c r="D847" s="79"/>
      <c r="E847" s="79">
        <v>68427709</v>
      </c>
      <c r="F847" s="93">
        <v>10800</v>
      </c>
      <c r="G847" s="79" t="s">
        <v>113</v>
      </c>
      <c r="H847" s="79" t="s">
        <v>114</v>
      </c>
      <c r="I847" s="79" t="s">
        <v>948</v>
      </c>
      <c r="J847" s="79">
        <v>2023</v>
      </c>
      <c r="K847" s="79" t="s">
        <v>116</v>
      </c>
      <c r="L847" s="79"/>
    </row>
    <row r="848" spans="1:12" hidden="1" x14ac:dyDescent="0.25">
      <c r="A848" s="82">
        <v>44729</v>
      </c>
      <c r="B848" s="79" t="s">
        <v>2064</v>
      </c>
      <c r="C848" s="79" t="s">
        <v>2065</v>
      </c>
      <c r="D848" s="79"/>
      <c r="E848" s="79">
        <v>68427709</v>
      </c>
      <c r="F848" s="93">
        <v>32400</v>
      </c>
      <c r="G848" s="79" t="s">
        <v>113</v>
      </c>
      <c r="H848" s="79" t="s">
        <v>114</v>
      </c>
      <c r="I848" s="79" t="s">
        <v>948</v>
      </c>
      <c r="J848" s="79">
        <v>2023</v>
      </c>
      <c r="K848" s="79" t="s">
        <v>116</v>
      </c>
      <c r="L848" s="79"/>
    </row>
    <row r="849" spans="1:12" hidden="1" x14ac:dyDescent="0.25">
      <c r="A849" s="82">
        <v>44729</v>
      </c>
      <c r="B849" s="79" t="s">
        <v>2066</v>
      </c>
      <c r="C849" s="79" t="s">
        <v>2067</v>
      </c>
      <c r="D849" s="79"/>
      <c r="E849" s="79">
        <v>68427709</v>
      </c>
      <c r="F849" s="93">
        <v>21600</v>
      </c>
      <c r="G849" s="79" t="s">
        <v>113</v>
      </c>
      <c r="H849" s="79" t="s">
        <v>114</v>
      </c>
      <c r="I849" s="79" t="s">
        <v>948</v>
      </c>
      <c r="J849" s="79">
        <v>2023</v>
      </c>
      <c r="K849" s="79" t="s">
        <v>116</v>
      </c>
      <c r="L849" s="79"/>
    </row>
    <row r="850" spans="1:12" hidden="1" x14ac:dyDescent="0.25">
      <c r="A850" s="82">
        <v>44729</v>
      </c>
      <c r="B850" s="79" t="s">
        <v>2068</v>
      </c>
      <c r="C850" s="79" t="s">
        <v>2069</v>
      </c>
      <c r="D850" s="79"/>
      <c r="E850" s="79">
        <v>68427709</v>
      </c>
      <c r="F850" s="93">
        <v>43200</v>
      </c>
      <c r="G850" s="79" t="s">
        <v>113</v>
      </c>
      <c r="H850" s="79" t="s">
        <v>114</v>
      </c>
      <c r="I850" s="79" t="s">
        <v>948</v>
      </c>
      <c r="J850" s="79">
        <v>2023</v>
      </c>
      <c r="K850" s="79" t="s">
        <v>116</v>
      </c>
      <c r="L850" s="79"/>
    </row>
    <row r="851" spans="1:12" hidden="1" x14ac:dyDescent="0.25">
      <c r="A851" s="82">
        <v>44729</v>
      </c>
      <c r="B851" s="79" t="s">
        <v>2070</v>
      </c>
      <c r="C851" s="79" t="s">
        <v>2071</v>
      </c>
      <c r="D851" s="79"/>
      <c r="E851" s="79">
        <v>68427709</v>
      </c>
      <c r="F851" s="93">
        <v>10800</v>
      </c>
      <c r="G851" s="79" t="s">
        <v>113</v>
      </c>
      <c r="H851" s="79" t="s">
        <v>114</v>
      </c>
      <c r="I851" s="79" t="s">
        <v>948</v>
      </c>
      <c r="J851" s="79">
        <v>2023</v>
      </c>
      <c r="K851" s="79" t="s">
        <v>116</v>
      </c>
      <c r="L851" s="79"/>
    </row>
    <row r="852" spans="1:12" hidden="1" x14ac:dyDescent="0.25">
      <c r="A852" s="82">
        <v>44729</v>
      </c>
      <c r="B852" s="79" t="s">
        <v>2072</v>
      </c>
      <c r="C852" s="79" t="s">
        <v>2073</v>
      </c>
      <c r="D852" s="79"/>
      <c r="E852" s="79">
        <v>68427709</v>
      </c>
      <c r="F852" s="93">
        <v>10800</v>
      </c>
      <c r="G852" s="79" t="s">
        <v>113</v>
      </c>
      <c r="H852" s="79" t="s">
        <v>114</v>
      </c>
      <c r="I852" s="79" t="s">
        <v>948</v>
      </c>
      <c r="J852" s="79">
        <v>2023</v>
      </c>
      <c r="K852" s="79" t="s">
        <v>116</v>
      </c>
      <c r="L852" s="79"/>
    </row>
    <row r="853" spans="1:12" hidden="1" x14ac:dyDescent="0.25">
      <c r="A853" s="82">
        <v>44729</v>
      </c>
      <c r="B853" s="79" t="s">
        <v>2074</v>
      </c>
      <c r="C853" s="79" t="s">
        <v>2075</v>
      </c>
      <c r="D853" s="79"/>
      <c r="E853" s="79">
        <v>68427709</v>
      </c>
      <c r="F853" s="93">
        <v>43200</v>
      </c>
      <c r="G853" s="79" t="s">
        <v>113</v>
      </c>
      <c r="H853" s="79" t="s">
        <v>114</v>
      </c>
      <c r="I853" s="79" t="s">
        <v>948</v>
      </c>
      <c r="J853" s="79">
        <v>2023</v>
      </c>
      <c r="K853" s="79" t="s">
        <v>116</v>
      </c>
      <c r="L853" s="79"/>
    </row>
    <row r="854" spans="1:12" hidden="1" x14ac:dyDescent="0.25">
      <c r="A854" s="82">
        <v>44729</v>
      </c>
      <c r="B854" s="79" t="s">
        <v>2076</v>
      </c>
      <c r="C854" s="79" t="s">
        <v>2077</v>
      </c>
      <c r="D854" s="79"/>
      <c r="E854" s="79">
        <v>68427709</v>
      </c>
      <c r="F854" s="93">
        <v>108000</v>
      </c>
      <c r="G854" s="79" t="s">
        <v>113</v>
      </c>
      <c r="H854" s="79" t="s">
        <v>114</v>
      </c>
      <c r="I854" s="79" t="s">
        <v>948</v>
      </c>
      <c r="J854" s="79">
        <v>2023</v>
      </c>
      <c r="K854" s="79" t="s">
        <v>116</v>
      </c>
      <c r="L854" s="79"/>
    </row>
    <row r="855" spans="1:12" hidden="1" x14ac:dyDescent="0.25">
      <c r="A855" s="82">
        <v>44729</v>
      </c>
      <c r="B855" s="79" t="s">
        <v>2078</v>
      </c>
      <c r="C855" s="79" t="s">
        <v>2079</v>
      </c>
      <c r="D855" s="79"/>
      <c r="E855" s="79">
        <v>68427709</v>
      </c>
      <c r="F855" s="93">
        <v>43200</v>
      </c>
      <c r="G855" s="79" t="s">
        <v>113</v>
      </c>
      <c r="H855" s="79" t="s">
        <v>114</v>
      </c>
      <c r="I855" s="79" t="s">
        <v>948</v>
      </c>
      <c r="J855" s="79">
        <v>2023</v>
      </c>
      <c r="K855" s="79" t="s">
        <v>116</v>
      </c>
      <c r="L855" s="79"/>
    </row>
    <row r="856" spans="1:12" hidden="1" x14ac:dyDescent="0.25">
      <c r="A856" s="82">
        <v>44729</v>
      </c>
      <c r="B856" s="79" t="s">
        <v>2080</v>
      </c>
      <c r="C856" s="79" t="s">
        <v>2081</v>
      </c>
      <c r="D856" s="79"/>
      <c r="E856" s="79">
        <v>68427709</v>
      </c>
      <c r="F856" s="93">
        <v>10800</v>
      </c>
      <c r="G856" s="79" t="s">
        <v>113</v>
      </c>
      <c r="H856" s="79" t="s">
        <v>114</v>
      </c>
      <c r="I856" s="79" t="s">
        <v>948</v>
      </c>
      <c r="J856" s="79">
        <v>2023</v>
      </c>
      <c r="K856" s="79" t="s">
        <v>116</v>
      </c>
      <c r="L856" s="79"/>
    </row>
    <row r="857" spans="1:12" hidden="1" x14ac:dyDescent="0.25">
      <c r="A857" s="82">
        <v>44729</v>
      </c>
      <c r="B857" s="79" t="s">
        <v>2082</v>
      </c>
      <c r="C857" s="79" t="s">
        <v>2083</v>
      </c>
      <c r="D857" s="79"/>
      <c r="E857" s="79">
        <v>68427709</v>
      </c>
      <c r="F857" s="93">
        <v>10800</v>
      </c>
      <c r="G857" s="79" t="s">
        <v>113</v>
      </c>
      <c r="H857" s="79" t="s">
        <v>114</v>
      </c>
      <c r="I857" s="79" t="s">
        <v>948</v>
      </c>
      <c r="J857" s="79">
        <v>2023</v>
      </c>
      <c r="K857" s="79" t="s">
        <v>116</v>
      </c>
      <c r="L857" s="79"/>
    </row>
    <row r="858" spans="1:12" hidden="1" x14ac:dyDescent="0.25">
      <c r="A858" s="82">
        <v>44729</v>
      </c>
      <c r="B858" s="79" t="s">
        <v>2084</v>
      </c>
      <c r="C858" s="79" t="s">
        <v>2085</v>
      </c>
      <c r="D858" s="79"/>
      <c r="E858" s="79">
        <v>68427709</v>
      </c>
      <c r="F858" s="93">
        <v>32400</v>
      </c>
      <c r="G858" s="79" t="s">
        <v>113</v>
      </c>
      <c r="H858" s="79" t="s">
        <v>114</v>
      </c>
      <c r="I858" s="79" t="s">
        <v>948</v>
      </c>
      <c r="J858" s="79">
        <v>2023</v>
      </c>
      <c r="K858" s="79" t="s">
        <v>116</v>
      </c>
      <c r="L858" s="79"/>
    </row>
    <row r="859" spans="1:12" hidden="1" x14ac:dyDescent="0.25">
      <c r="A859" s="82">
        <v>44729</v>
      </c>
      <c r="B859" s="79" t="s">
        <v>2086</v>
      </c>
      <c r="C859" s="79" t="s">
        <v>2087</v>
      </c>
      <c r="D859" s="79"/>
      <c r="E859" s="79">
        <v>68427709</v>
      </c>
      <c r="F859" s="93">
        <v>32400</v>
      </c>
      <c r="G859" s="79" t="s">
        <v>113</v>
      </c>
      <c r="H859" s="79" t="s">
        <v>114</v>
      </c>
      <c r="I859" s="79" t="s">
        <v>948</v>
      </c>
      <c r="J859" s="79">
        <v>2023</v>
      </c>
      <c r="K859" s="79" t="s">
        <v>116</v>
      </c>
      <c r="L859" s="79"/>
    </row>
    <row r="860" spans="1:12" hidden="1" x14ac:dyDescent="0.25">
      <c r="A860" s="82">
        <v>44729</v>
      </c>
      <c r="B860" s="79" t="s">
        <v>2088</v>
      </c>
      <c r="C860" s="79" t="s">
        <v>2089</v>
      </c>
      <c r="D860" s="79"/>
      <c r="E860" s="79">
        <v>68427709</v>
      </c>
      <c r="F860" s="93">
        <v>10800</v>
      </c>
      <c r="G860" s="79" t="s">
        <v>113</v>
      </c>
      <c r="H860" s="79" t="s">
        <v>114</v>
      </c>
      <c r="I860" s="79" t="s">
        <v>948</v>
      </c>
      <c r="J860" s="79">
        <v>2023</v>
      </c>
      <c r="K860" s="79" t="s">
        <v>116</v>
      </c>
      <c r="L860" s="79"/>
    </row>
    <row r="861" spans="1:12" hidden="1" x14ac:dyDescent="0.25">
      <c r="A861" s="82">
        <v>44729</v>
      </c>
      <c r="B861" s="79" t="s">
        <v>2090</v>
      </c>
      <c r="C861" s="79" t="s">
        <v>2091</v>
      </c>
      <c r="D861" s="79"/>
      <c r="E861" s="79">
        <v>68427709</v>
      </c>
      <c r="F861" s="93">
        <v>10800</v>
      </c>
      <c r="G861" s="79" t="s">
        <v>113</v>
      </c>
      <c r="H861" s="79" t="s">
        <v>114</v>
      </c>
      <c r="I861" s="79" t="s">
        <v>948</v>
      </c>
      <c r="J861" s="79">
        <v>2023</v>
      </c>
      <c r="K861" s="79" t="s">
        <v>116</v>
      </c>
      <c r="L861" s="79"/>
    </row>
    <row r="862" spans="1:12" hidden="1" x14ac:dyDescent="0.25">
      <c r="A862" s="82">
        <v>44729</v>
      </c>
      <c r="B862" s="79" t="s">
        <v>2092</v>
      </c>
      <c r="C862" s="79" t="s">
        <v>2093</v>
      </c>
      <c r="D862" s="79"/>
      <c r="E862" s="79">
        <v>68427709</v>
      </c>
      <c r="F862" s="93">
        <v>21600</v>
      </c>
      <c r="G862" s="79" t="s">
        <v>113</v>
      </c>
      <c r="H862" s="79" t="s">
        <v>114</v>
      </c>
      <c r="I862" s="79" t="s">
        <v>948</v>
      </c>
      <c r="J862" s="79">
        <v>2023</v>
      </c>
      <c r="K862" s="79" t="s">
        <v>116</v>
      </c>
      <c r="L862" s="79"/>
    </row>
    <row r="863" spans="1:12" hidden="1" x14ac:dyDescent="0.25">
      <c r="A863" s="82">
        <v>44729</v>
      </c>
      <c r="B863" s="79" t="s">
        <v>2094</v>
      </c>
      <c r="C863" s="79" t="s">
        <v>2095</v>
      </c>
      <c r="D863" s="79"/>
      <c r="E863" s="79">
        <v>68427709</v>
      </c>
      <c r="F863" s="93">
        <v>10800</v>
      </c>
      <c r="G863" s="79" t="s">
        <v>113</v>
      </c>
      <c r="H863" s="79" t="s">
        <v>114</v>
      </c>
      <c r="I863" s="79" t="s">
        <v>948</v>
      </c>
      <c r="J863" s="79">
        <v>2023</v>
      </c>
      <c r="K863" s="79" t="s">
        <v>116</v>
      </c>
      <c r="L863" s="79"/>
    </row>
    <row r="864" spans="1:12" hidden="1" x14ac:dyDescent="0.25">
      <c r="A864" s="82">
        <v>44729</v>
      </c>
      <c r="B864" s="79" t="s">
        <v>2096</v>
      </c>
      <c r="C864" s="79" t="s">
        <v>2097</v>
      </c>
      <c r="D864" s="79"/>
      <c r="E864" s="79">
        <v>68427709</v>
      </c>
      <c r="F864" s="93">
        <v>10800</v>
      </c>
      <c r="G864" s="79" t="s">
        <v>113</v>
      </c>
      <c r="H864" s="79" t="s">
        <v>114</v>
      </c>
      <c r="I864" s="79" t="s">
        <v>948</v>
      </c>
      <c r="J864" s="79">
        <v>2023</v>
      </c>
      <c r="K864" s="79" t="s">
        <v>116</v>
      </c>
      <c r="L864" s="79"/>
    </row>
    <row r="865" spans="1:27" hidden="1" x14ac:dyDescent="0.25">
      <c r="A865" s="82">
        <v>44748</v>
      </c>
      <c r="B865" s="79" t="s">
        <v>1299</v>
      </c>
      <c r="C865" s="79"/>
      <c r="D865" s="79"/>
      <c r="E865" s="79">
        <v>68427709</v>
      </c>
      <c r="F865" s="93">
        <v>0</v>
      </c>
      <c r="G865" s="79" t="s">
        <v>302</v>
      </c>
      <c r="H865" s="79" t="s">
        <v>114</v>
      </c>
      <c r="I865" s="79" t="s">
        <v>1700</v>
      </c>
      <c r="J865" s="79">
        <v>2023</v>
      </c>
      <c r="K865" s="79" t="s">
        <v>542</v>
      </c>
      <c r="L865" s="79"/>
    </row>
    <row r="866" spans="1:27" hidden="1" x14ac:dyDescent="0.25">
      <c r="A866" s="82">
        <v>44748</v>
      </c>
      <c r="B866" s="79" t="s">
        <v>1292</v>
      </c>
      <c r="C866" s="82" t="s">
        <v>2098</v>
      </c>
      <c r="D866" s="79"/>
      <c r="E866" s="79">
        <v>68427709</v>
      </c>
      <c r="F866" s="93">
        <v>80000</v>
      </c>
      <c r="G866" s="79" t="s">
        <v>113</v>
      </c>
      <c r="H866" s="79" t="s">
        <v>114</v>
      </c>
      <c r="I866" s="79" t="s">
        <v>1700</v>
      </c>
      <c r="J866" s="79">
        <v>2023</v>
      </c>
      <c r="K866" s="79" t="s">
        <v>542</v>
      </c>
      <c r="L866" s="79"/>
    </row>
    <row r="867" spans="1:27" hidden="1" x14ac:dyDescent="0.25">
      <c r="A867" s="82">
        <v>44748</v>
      </c>
      <c r="B867" s="79" t="s">
        <v>2099</v>
      </c>
      <c r="C867" s="79" t="s">
        <v>2100</v>
      </c>
      <c r="D867" s="79"/>
      <c r="E867" s="79">
        <v>68427709</v>
      </c>
      <c r="F867" s="93">
        <v>-61000</v>
      </c>
      <c r="G867" s="79" t="s">
        <v>113</v>
      </c>
      <c r="H867" s="79" t="s">
        <v>114</v>
      </c>
      <c r="I867" s="79" t="s">
        <v>1700</v>
      </c>
      <c r="J867" s="79">
        <v>2023</v>
      </c>
      <c r="K867" s="79" t="s">
        <v>542</v>
      </c>
      <c r="L867" s="79"/>
    </row>
    <row r="868" spans="1:27" hidden="1" x14ac:dyDescent="0.25">
      <c r="A868" s="82">
        <v>44748</v>
      </c>
      <c r="B868" s="79" t="s">
        <v>2101</v>
      </c>
      <c r="C868" s="79"/>
      <c r="D868" s="79"/>
      <c r="E868" s="79">
        <v>68427709</v>
      </c>
      <c r="F868" s="93">
        <v>154000</v>
      </c>
      <c r="G868" s="79" t="s">
        <v>113</v>
      </c>
      <c r="H868" s="79" t="s">
        <v>114</v>
      </c>
      <c r="I868" s="79" t="s">
        <v>133</v>
      </c>
      <c r="J868" s="79">
        <v>2023</v>
      </c>
      <c r="K868" s="79" t="s">
        <v>542</v>
      </c>
      <c r="L868" s="79"/>
    </row>
    <row r="869" spans="1:27" hidden="1" x14ac:dyDescent="0.25">
      <c r="A869" s="82">
        <v>44748</v>
      </c>
      <c r="B869" s="79" t="s">
        <v>2102</v>
      </c>
      <c r="C869" s="79" t="s">
        <v>2103</v>
      </c>
      <c r="D869" s="79"/>
      <c r="E869" s="79">
        <v>68427719</v>
      </c>
      <c r="F869" s="93">
        <v>-35000</v>
      </c>
      <c r="G869" s="79" t="s">
        <v>113</v>
      </c>
      <c r="H869" s="79" t="s">
        <v>114</v>
      </c>
      <c r="I869" s="79" t="s">
        <v>133</v>
      </c>
      <c r="J869" s="79">
        <v>2023</v>
      </c>
      <c r="K869" s="79" t="s">
        <v>542</v>
      </c>
      <c r="L869" s="79"/>
    </row>
    <row r="870" spans="1:27" hidden="1" x14ac:dyDescent="0.25">
      <c r="A870" s="82">
        <v>44748</v>
      </c>
      <c r="B870" s="79" t="s">
        <v>2104</v>
      </c>
      <c r="C870" s="79" t="s">
        <v>1358</v>
      </c>
      <c r="D870" s="79"/>
      <c r="E870" s="79">
        <v>68427709</v>
      </c>
      <c r="F870" s="93">
        <v>-36000</v>
      </c>
      <c r="G870" s="79" t="s">
        <v>113</v>
      </c>
      <c r="H870" s="79" t="s">
        <v>114</v>
      </c>
      <c r="I870" s="79" t="s">
        <v>1990</v>
      </c>
      <c r="J870" s="79">
        <v>2023</v>
      </c>
      <c r="K870" s="79" t="s">
        <v>542</v>
      </c>
      <c r="L870" s="79"/>
    </row>
    <row r="871" spans="1:27" hidden="1" x14ac:dyDescent="0.25">
      <c r="A871" s="82">
        <v>44748</v>
      </c>
      <c r="B871" s="79" t="s">
        <v>1550</v>
      </c>
      <c r="C871" s="79" t="s">
        <v>2105</v>
      </c>
      <c r="D871" s="79"/>
      <c r="E871" s="79">
        <v>68427709</v>
      </c>
      <c r="F871" s="93">
        <v>20000</v>
      </c>
      <c r="G871" s="79" t="s">
        <v>113</v>
      </c>
      <c r="H871" s="79" t="s">
        <v>114</v>
      </c>
      <c r="I871" s="79" t="s">
        <v>1990</v>
      </c>
      <c r="J871" s="79">
        <v>2023</v>
      </c>
      <c r="K871" s="79" t="s">
        <v>1588</v>
      </c>
      <c r="L871" s="79"/>
    </row>
    <row r="872" spans="1:27" hidden="1" x14ac:dyDescent="0.25">
      <c r="A872" s="82">
        <v>44748</v>
      </c>
      <c r="B872" s="79" t="s">
        <v>966</v>
      </c>
      <c r="C872" s="79" t="s">
        <v>2106</v>
      </c>
      <c r="D872" s="79"/>
      <c r="E872" s="79">
        <v>68427709</v>
      </c>
      <c r="F872" s="93">
        <v>85000</v>
      </c>
      <c r="G872" s="79" t="s">
        <v>113</v>
      </c>
      <c r="H872" s="79" t="s">
        <v>114</v>
      </c>
      <c r="I872" s="79" t="s">
        <v>1990</v>
      </c>
      <c r="J872" s="79">
        <v>2023</v>
      </c>
      <c r="K872" s="79" t="s">
        <v>1588</v>
      </c>
      <c r="L872" s="79"/>
    </row>
    <row r="873" spans="1:27" hidden="1" x14ac:dyDescent="0.25">
      <c r="A873" s="82">
        <v>44748</v>
      </c>
      <c r="B873" s="79" t="s">
        <v>753</v>
      </c>
      <c r="C873" s="79" t="s">
        <v>2107</v>
      </c>
      <c r="D873" s="79"/>
      <c r="E873" s="79">
        <v>68427709</v>
      </c>
      <c r="F873" s="93">
        <v>-80000</v>
      </c>
      <c r="G873" s="79" t="s">
        <v>302</v>
      </c>
      <c r="H873" s="79" t="s">
        <v>114</v>
      </c>
      <c r="I873" s="79" t="s">
        <v>1990</v>
      </c>
      <c r="J873" s="79">
        <v>2023</v>
      </c>
      <c r="K873" s="79" t="s">
        <v>1588</v>
      </c>
      <c r="L873" s="79" t="s">
        <v>2108</v>
      </c>
      <c r="O873" t="s">
        <v>2080</v>
      </c>
      <c r="P873" t="s">
        <v>2109</v>
      </c>
      <c r="Q873" t="s">
        <v>2110</v>
      </c>
      <c r="R873" t="s">
        <v>2111</v>
      </c>
      <c r="S873" t="s">
        <v>2112</v>
      </c>
      <c r="T873" t="s">
        <v>850</v>
      </c>
      <c r="U873" t="s">
        <v>2113</v>
      </c>
      <c r="V873" t="s">
        <v>2114</v>
      </c>
      <c r="W873" t="s">
        <v>2115</v>
      </c>
      <c r="X873">
        <v>1</v>
      </c>
      <c r="Y873">
        <v>1</v>
      </c>
      <c r="Z873">
        <v>10798.173351082569</v>
      </c>
      <c r="AA873">
        <v>10798.173351082569</v>
      </c>
    </row>
    <row r="874" spans="1:27" hidden="1" x14ac:dyDescent="0.25">
      <c r="A874" s="82">
        <v>44748</v>
      </c>
      <c r="B874" s="79" t="s">
        <v>493</v>
      </c>
      <c r="C874" s="79" t="s">
        <v>2116</v>
      </c>
      <c r="D874" s="79"/>
      <c r="E874" s="79">
        <v>68427709</v>
      </c>
      <c r="F874" s="93">
        <v>20000</v>
      </c>
      <c r="G874" s="79" t="s">
        <v>113</v>
      </c>
      <c r="H874" s="79" t="s">
        <v>114</v>
      </c>
      <c r="I874" s="79" t="s">
        <v>1990</v>
      </c>
      <c r="J874" s="79">
        <v>2023</v>
      </c>
      <c r="K874" s="79" t="s">
        <v>1588</v>
      </c>
      <c r="L874" s="79"/>
    </row>
    <row r="875" spans="1:27" hidden="1" x14ac:dyDescent="0.25">
      <c r="A875" s="82">
        <v>44748</v>
      </c>
      <c r="B875" s="79" t="s">
        <v>2117</v>
      </c>
      <c r="C875" s="79" t="s">
        <v>2118</v>
      </c>
      <c r="D875" s="79"/>
      <c r="E875" s="79">
        <v>68427709</v>
      </c>
      <c r="F875" s="93">
        <v>73000</v>
      </c>
      <c r="G875" s="79" t="s">
        <v>113</v>
      </c>
      <c r="H875" s="79" t="s">
        <v>114</v>
      </c>
      <c r="I875" s="79" t="s">
        <v>133</v>
      </c>
      <c r="J875" s="79">
        <v>2023</v>
      </c>
      <c r="K875" s="79" t="s">
        <v>1588</v>
      </c>
      <c r="L875" s="79"/>
    </row>
    <row r="876" spans="1:27" hidden="1" x14ac:dyDescent="0.25">
      <c r="A876" s="82">
        <v>44748</v>
      </c>
      <c r="B876" s="79" t="s">
        <v>2119</v>
      </c>
      <c r="C876" s="79" t="s">
        <v>2120</v>
      </c>
      <c r="D876" s="79" t="s">
        <v>352</v>
      </c>
      <c r="E876" s="79">
        <v>68427709</v>
      </c>
      <c r="F876" s="93">
        <v>50000</v>
      </c>
      <c r="G876" s="79" t="s">
        <v>113</v>
      </c>
      <c r="H876" s="79" t="s">
        <v>114</v>
      </c>
      <c r="I876" s="79" t="s">
        <v>133</v>
      </c>
      <c r="J876" s="79">
        <v>2023</v>
      </c>
      <c r="K876" s="79" t="s">
        <v>1588</v>
      </c>
      <c r="L876" s="79"/>
    </row>
    <row r="877" spans="1:27" hidden="1" x14ac:dyDescent="0.25">
      <c r="A877" s="82">
        <v>44748</v>
      </c>
      <c r="B877" s="79" t="s">
        <v>891</v>
      </c>
      <c r="C877" s="79" t="s">
        <v>2121</v>
      </c>
      <c r="D877" s="79" t="s">
        <v>352</v>
      </c>
      <c r="E877" s="79">
        <v>68427709</v>
      </c>
      <c r="F877" s="93">
        <v>130000</v>
      </c>
      <c r="G877" s="79" t="s">
        <v>113</v>
      </c>
      <c r="H877" s="79" t="s">
        <v>114</v>
      </c>
      <c r="I877" s="79" t="s">
        <v>133</v>
      </c>
      <c r="J877" s="79">
        <v>2023</v>
      </c>
      <c r="K877" s="79" t="s">
        <v>1588</v>
      </c>
      <c r="L877" s="79"/>
    </row>
    <row r="878" spans="1:27" hidden="1" x14ac:dyDescent="0.25">
      <c r="A878" s="82">
        <v>44748</v>
      </c>
      <c r="B878" s="79" t="s">
        <v>501</v>
      </c>
      <c r="C878" s="79" t="s">
        <v>2122</v>
      </c>
      <c r="D878" s="79"/>
      <c r="E878" s="79">
        <v>68427709</v>
      </c>
      <c r="F878" s="93">
        <v>45000</v>
      </c>
      <c r="G878" s="79" t="s">
        <v>113</v>
      </c>
      <c r="H878" s="79" t="s">
        <v>114</v>
      </c>
      <c r="I878" s="79" t="s">
        <v>133</v>
      </c>
      <c r="J878" s="79">
        <v>2023</v>
      </c>
      <c r="K878" s="79" t="s">
        <v>1588</v>
      </c>
      <c r="L878" s="79"/>
    </row>
    <row r="879" spans="1:27" hidden="1" x14ac:dyDescent="0.25">
      <c r="A879" s="82">
        <v>44748</v>
      </c>
      <c r="B879" s="79" t="s">
        <v>2123</v>
      </c>
      <c r="C879" s="79" t="s">
        <v>2124</v>
      </c>
      <c r="D879" s="79"/>
      <c r="E879" s="79">
        <v>68427709</v>
      </c>
      <c r="F879" s="93">
        <v>141000</v>
      </c>
      <c r="G879" s="79" t="s">
        <v>113</v>
      </c>
      <c r="H879" s="79" t="s">
        <v>114</v>
      </c>
      <c r="I879" s="79" t="s">
        <v>133</v>
      </c>
      <c r="J879" s="79">
        <v>2023</v>
      </c>
      <c r="K879" s="79" t="s">
        <v>1588</v>
      </c>
      <c r="L879" s="79"/>
    </row>
    <row r="880" spans="1:27" hidden="1" x14ac:dyDescent="0.25">
      <c r="A880" s="82">
        <v>44748</v>
      </c>
      <c r="B880" s="79" t="s">
        <v>2125</v>
      </c>
      <c r="C880" s="79" t="s">
        <v>2126</v>
      </c>
      <c r="D880" s="79"/>
      <c r="E880" s="79">
        <v>68427709</v>
      </c>
      <c r="F880" s="93">
        <v>74000</v>
      </c>
      <c r="G880" s="79" t="s">
        <v>113</v>
      </c>
      <c r="H880" s="79" t="s">
        <v>114</v>
      </c>
      <c r="I880" s="79" t="s">
        <v>133</v>
      </c>
      <c r="J880" s="79">
        <v>2023</v>
      </c>
      <c r="K880" s="79" t="s">
        <v>1588</v>
      </c>
      <c r="L880" s="79"/>
    </row>
    <row r="881" spans="1:27" hidden="1" x14ac:dyDescent="0.25">
      <c r="A881" s="82">
        <v>44748</v>
      </c>
      <c r="B881" s="79" t="s">
        <v>1766</v>
      </c>
      <c r="C881" s="79" t="s">
        <v>2127</v>
      </c>
      <c r="D881" s="79"/>
      <c r="E881" s="79">
        <v>68427709</v>
      </c>
      <c r="F881" s="93">
        <v>250000</v>
      </c>
      <c r="G881" s="79" t="s">
        <v>113</v>
      </c>
      <c r="H881" s="79" t="s">
        <v>114</v>
      </c>
      <c r="I881" s="79" t="s">
        <v>133</v>
      </c>
      <c r="J881" s="79">
        <v>2023</v>
      </c>
      <c r="K881" s="79" t="s">
        <v>1588</v>
      </c>
      <c r="L881" s="79" t="s">
        <v>2128</v>
      </c>
    </row>
    <row r="882" spans="1:27" hidden="1" x14ac:dyDescent="0.25">
      <c r="A882" s="82">
        <v>44748</v>
      </c>
      <c r="B882" s="79" t="s">
        <v>2129</v>
      </c>
      <c r="C882" s="79" t="s">
        <v>2130</v>
      </c>
      <c r="D882" s="79"/>
      <c r="E882" s="79">
        <v>68427709</v>
      </c>
      <c r="F882" s="93">
        <v>85000</v>
      </c>
      <c r="G882" s="79" t="s">
        <v>113</v>
      </c>
      <c r="H882" s="79" t="s">
        <v>114</v>
      </c>
      <c r="I882" s="79" t="s">
        <v>133</v>
      </c>
      <c r="J882" s="79">
        <v>2023</v>
      </c>
      <c r="K882" s="79" t="s">
        <v>1588</v>
      </c>
      <c r="L882" s="79"/>
    </row>
    <row r="883" spans="1:27" hidden="1" x14ac:dyDescent="0.25">
      <c r="A883" s="82">
        <v>44748</v>
      </c>
      <c r="B883" s="79" t="s">
        <v>2131</v>
      </c>
      <c r="C883" s="79" t="s">
        <v>2132</v>
      </c>
      <c r="D883" s="79"/>
      <c r="E883" s="79">
        <v>68427709</v>
      </c>
      <c r="F883" s="93">
        <v>-42000</v>
      </c>
      <c r="G883" s="79" t="s">
        <v>113</v>
      </c>
      <c r="H883" s="79" t="s">
        <v>114</v>
      </c>
      <c r="I883" s="79" t="s">
        <v>133</v>
      </c>
      <c r="J883" s="79">
        <v>2023</v>
      </c>
      <c r="K883" s="79" t="s">
        <v>1588</v>
      </c>
      <c r="L883" s="79"/>
    </row>
    <row r="884" spans="1:27" hidden="1" x14ac:dyDescent="0.25">
      <c r="A884" s="82">
        <v>44748</v>
      </c>
      <c r="B884" s="79" t="s">
        <v>131</v>
      </c>
      <c r="C884" s="79" t="s">
        <v>2133</v>
      </c>
      <c r="D884" s="79"/>
      <c r="E884" s="79">
        <v>68427709</v>
      </c>
      <c r="F884" s="93">
        <v>0</v>
      </c>
      <c r="G884" s="79" t="s">
        <v>113</v>
      </c>
      <c r="H884" s="79" t="s">
        <v>114</v>
      </c>
      <c r="I884" s="79" t="s">
        <v>133</v>
      </c>
      <c r="J884" s="79">
        <v>2023</v>
      </c>
      <c r="K884" s="79" t="s">
        <v>227</v>
      </c>
      <c r="L884" s="79"/>
    </row>
    <row r="885" spans="1:27" hidden="1" x14ac:dyDescent="0.25">
      <c r="A885" s="82">
        <v>44748</v>
      </c>
      <c r="B885" s="79"/>
      <c r="C885" s="79"/>
      <c r="D885" s="79"/>
      <c r="E885" s="79"/>
      <c r="F885" s="93"/>
      <c r="G885" s="79"/>
      <c r="H885" s="79"/>
      <c r="I885" s="79"/>
      <c r="J885" s="79"/>
      <c r="K885" s="79"/>
      <c r="L885" s="79"/>
      <c r="O885" t="s">
        <v>2094</v>
      </c>
      <c r="P885" t="s">
        <v>2134</v>
      </c>
      <c r="Q885" t="s">
        <v>2110</v>
      </c>
      <c r="R885" t="s">
        <v>2111</v>
      </c>
      <c r="S885" t="s">
        <v>2112</v>
      </c>
      <c r="T885" t="s">
        <v>2135</v>
      </c>
      <c r="U885" t="s">
        <v>2136</v>
      </c>
      <c r="V885" t="s">
        <v>2114</v>
      </c>
      <c r="W885" t="s">
        <v>2115</v>
      </c>
      <c r="X885">
        <v>1</v>
      </c>
      <c r="Y885">
        <v>1</v>
      </c>
      <c r="Z885">
        <v>10798.173351082569</v>
      </c>
      <c r="AA885">
        <v>10798.173351082569</v>
      </c>
    </row>
    <row r="886" spans="1:27" hidden="1" x14ac:dyDescent="0.25">
      <c r="A886" s="82">
        <v>44755</v>
      </c>
      <c r="B886" s="79" t="s">
        <v>2137</v>
      </c>
      <c r="C886" s="79" t="s">
        <v>2138</v>
      </c>
      <c r="D886" s="79"/>
      <c r="E886" s="79">
        <v>68427709</v>
      </c>
      <c r="F886" s="93">
        <v>0</v>
      </c>
      <c r="G886" s="79" t="s">
        <v>113</v>
      </c>
      <c r="H886" s="79" t="s">
        <v>114</v>
      </c>
      <c r="I886" s="79" t="s">
        <v>204</v>
      </c>
      <c r="J886" s="79">
        <v>2023</v>
      </c>
      <c r="K886" s="79" t="s">
        <v>116</v>
      </c>
      <c r="L886" s="79" t="s">
        <v>2139</v>
      </c>
    </row>
    <row r="887" spans="1:27" hidden="1" x14ac:dyDescent="0.25">
      <c r="A887" s="82">
        <v>44755</v>
      </c>
      <c r="B887" s="79" t="s">
        <v>2140</v>
      </c>
      <c r="C887" s="79" t="s">
        <v>2141</v>
      </c>
      <c r="D887" s="79"/>
      <c r="E887" s="79">
        <v>68427709</v>
      </c>
      <c r="F887" s="93">
        <v>50000</v>
      </c>
      <c r="G887" s="79" t="s">
        <v>113</v>
      </c>
      <c r="H887" s="79" t="s">
        <v>114</v>
      </c>
      <c r="I887" s="79" t="s">
        <v>204</v>
      </c>
      <c r="J887" s="79">
        <v>2023</v>
      </c>
      <c r="K887" s="79" t="s">
        <v>2142</v>
      </c>
      <c r="L887" s="79"/>
    </row>
    <row r="888" spans="1:27" hidden="1" x14ac:dyDescent="0.25">
      <c r="A888" s="82">
        <v>44755</v>
      </c>
      <c r="B888" s="79" t="s">
        <v>2143</v>
      </c>
      <c r="C888" s="79" t="s">
        <v>2144</v>
      </c>
      <c r="D888" s="79"/>
      <c r="E888" s="79">
        <v>68427709</v>
      </c>
      <c r="F888" s="93">
        <v>-10200</v>
      </c>
      <c r="G888" s="79" t="s">
        <v>113</v>
      </c>
      <c r="H888" s="79" t="s">
        <v>114</v>
      </c>
      <c r="I888" s="79" t="s">
        <v>204</v>
      </c>
      <c r="J888" s="79">
        <v>2023</v>
      </c>
      <c r="K888" s="79" t="s">
        <v>904</v>
      </c>
      <c r="L888" s="79"/>
    </row>
    <row r="889" spans="1:27" hidden="1" x14ac:dyDescent="0.25">
      <c r="A889" s="82">
        <v>44755</v>
      </c>
      <c r="B889" s="79" t="s">
        <v>2145</v>
      </c>
      <c r="C889" s="79" t="s">
        <v>2146</v>
      </c>
      <c r="D889" s="79"/>
      <c r="E889" s="79">
        <v>68427709</v>
      </c>
      <c r="F889" s="93">
        <v>-30000</v>
      </c>
      <c r="G889" s="79" t="s">
        <v>113</v>
      </c>
      <c r="H889" s="79" t="s">
        <v>114</v>
      </c>
      <c r="I889" s="79" t="s">
        <v>204</v>
      </c>
      <c r="J889" s="79">
        <v>2023</v>
      </c>
      <c r="K889" s="79" t="s">
        <v>904</v>
      </c>
      <c r="L889" s="79"/>
    </row>
    <row r="890" spans="1:27" hidden="1" x14ac:dyDescent="0.25">
      <c r="A890" s="82">
        <v>44760</v>
      </c>
      <c r="B890" s="79" t="s">
        <v>111</v>
      </c>
      <c r="C890" s="79" t="s">
        <v>2147</v>
      </c>
      <c r="D890" s="79"/>
      <c r="E890" s="79">
        <v>68427709</v>
      </c>
      <c r="F890" s="93">
        <v>26000</v>
      </c>
      <c r="G890" s="79" t="s">
        <v>113</v>
      </c>
      <c r="H890" s="79" t="s">
        <v>114</v>
      </c>
      <c r="I890" s="79" t="s">
        <v>204</v>
      </c>
      <c r="J890" s="79">
        <v>2023</v>
      </c>
      <c r="K890" s="79" t="s">
        <v>2148</v>
      </c>
      <c r="L890" s="79"/>
    </row>
    <row r="891" spans="1:27" hidden="1" x14ac:dyDescent="0.25">
      <c r="A891" s="82">
        <v>44760</v>
      </c>
      <c r="B891" s="79" t="s">
        <v>2149</v>
      </c>
      <c r="C891" s="79" t="s">
        <v>2150</v>
      </c>
      <c r="D891" s="79" t="s">
        <v>352</v>
      </c>
      <c r="E891" s="79">
        <v>68427709</v>
      </c>
      <c r="F891" s="93">
        <v>-100000</v>
      </c>
      <c r="G891" s="79" t="s">
        <v>113</v>
      </c>
      <c r="H891" s="79" t="s">
        <v>114</v>
      </c>
      <c r="I891" s="79" t="s">
        <v>133</v>
      </c>
      <c r="J891" s="79">
        <v>2023</v>
      </c>
      <c r="K891" s="79" t="s">
        <v>1092</v>
      </c>
      <c r="L891" s="79"/>
    </row>
    <row r="892" spans="1:27" hidden="1" x14ac:dyDescent="0.25">
      <c r="A892" s="82">
        <v>44760</v>
      </c>
      <c r="B892" s="79" t="s">
        <v>2151</v>
      </c>
      <c r="C892" s="79"/>
      <c r="D892" s="79" t="s">
        <v>352</v>
      </c>
      <c r="E892" s="79">
        <v>68427709</v>
      </c>
      <c r="F892" s="93">
        <v>-50000</v>
      </c>
      <c r="G892" s="79" t="s">
        <v>113</v>
      </c>
      <c r="H892" s="79" t="s">
        <v>114</v>
      </c>
      <c r="I892" s="79" t="s">
        <v>133</v>
      </c>
      <c r="J892" s="79">
        <v>2023</v>
      </c>
      <c r="K892" s="79" t="s">
        <v>1092</v>
      </c>
      <c r="L892" s="79"/>
    </row>
    <row r="893" spans="1:27" hidden="1" x14ac:dyDescent="0.25">
      <c r="A893" s="82">
        <v>44760</v>
      </c>
      <c r="B893" s="79" t="s">
        <v>2152</v>
      </c>
      <c r="C893" s="79" t="s">
        <v>2153</v>
      </c>
      <c r="D893" s="79" t="s">
        <v>352</v>
      </c>
      <c r="E893" s="79">
        <v>68427709</v>
      </c>
      <c r="F893" s="93">
        <v>-50000</v>
      </c>
      <c r="G893" s="79" t="s">
        <v>113</v>
      </c>
      <c r="H893" s="79" t="s">
        <v>114</v>
      </c>
      <c r="I893" s="79" t="s">
        <v>133</v>
      </c>
      <c r="J893" s="79">
        <v>2023</v>
      </c>
      <c r="K893" s="79" t="s">
        <v>1063</v>
      </c>
      <c r="L893" s="79"/>
    </row>
    <row r="894" spans="1:27" hidden="1" x14ac:dyDescent="0.25">
      <c r="A894" s="82">
        <v>44761</v>
      </c>
      <c r="B894" s="79" t="s">
        <v>1735</v>
      </c>
      <c r="C894" s="79" t="s">
        <v>2154</v>
      </c>
      <c r="D894" s="79"/>
      <c r="E894" s="79">
        <v>68427709</v>
      </c>
      <c r="F894" s="93">
        <v>-100000</v>
      </c>
      <c r="G894" s="79" t="s">
        <v>113</v>
      </c>
      <c r="H894" s="79" t="s">
        <v>114</v>
      </c>
      <c r="I894" s="79" t="s">
        <v>133</v>
      </c>
      <c r="J894" s="79">
        <v>2023</v>
      </c>
      <c r="K894" s="79" t="s">
        <v>2142</v>
      </c>
      <c r="L894" s="79"/>
    </row>
    <row r="895" spans="1:27" hidden="1" x14ac:dyDescent="0.25">
      <c r="A895" s="82">
        <v>44761</v>
      </c>
      <c r="B895" s="79" t="s">
        <v>2155</v>
      </c>
      <c r="C895" s="79" t="s">
        <v>2156</v>
      </c>
      <c r="D895" s="79"/>
      <c r="E895" s="79">
        <v>68427709</v>
      </c>
      <c r="F895" s="93">
        <v>432000</v>
      </c>
      <c r="G895" s="79" t="s">
        <v>113</v>
      </c>
      <c r="H895" s="79" t="s">
        <v>114</v>
      </c>
      <c r="I895" s="79" t="s">
        <v>133</v>
      </c>
      <c r="J895" s="79">
        <v>2023</v>
      </c>
      <c r="K895" s="79" t="s">
        <v>2157</v>
      </c>
      <c r="L895" s="79"/>
    </row>
    <row r="896" spans="1:27" hidden="1" x14ac:dyDescent="0.25">
      <c r="A896" s="82">
        <v>44761</v>
      </c>
      <c r="B896" s="79" t="s">
        <v>1784</v>
      </c>
      <c r="C896" s="79" t="s">
        <v>562</v>
      </c>
      <c r="D896" s="79"/>
      <c r="E896" s="79">
        <v>68427709</v>
      </c>
      <c r="F896" s="93">
        <v>2500</v>
      </c>
      <c r="G896" s="79" t="s">
        <v>113</v>
      </c>
      <c r="H896" s="79" t="s">
        <v>114</v>
      </c>
      <c r="I896" s="79" t="s">
        <v>1700</v>
      </c>
      <c r="J896" s="79">
        <v>2023</v>
      </c>
      <c r="K896" s="79" t="s">
        <v>2158</v>
      </c>
      <c r="L896" s="79"/>
    </row>
    <row r="897" spans="1:12" hidden="1" x14ac:dyDescent="0.25">
      <c r="A897" s="82">
        <v>44761</v>
      </c>
      <c r="B897" s="79" t="s">
        <v>2159</v>
      </c>
      <c r="C897" s="79" t="s">
        <v>562</v>
      </c>
      <c r="D897" s="79"/>
      <c r="E897" s="79">
        <v>68427709</v>
      </c>
      <c r="F897" s="93">
        <v>3000</v>
      </c>
      <c r="G897" s="79" t="s">
        <v>113</v>
      </c>
      <c r="H897" s="79" t="s">
        <v>114</v>
      </c>
      <c r="I897" s="79" t="s">
        <v>1700</v>
      </c>
      <c r="J897" s="79">
        <v>2023</v>
      </c>
      <c r="K897" s="79" t="s">
        <v>2158</v>
      </c>
      <c r="L897" s="79"/>
    </row>
    <row r="898" spans="1:12" hidden="1" x14ac:dyDescent="0.25">
      <c r="A898" s="82">
        <v>44761</v>
      </c>
      <c r="B898" s="79" t="s">
        <v>2160</v>
      </c>
      <c r="C898" s="79" t="s">
        <v>562</v>
      </c>
      <c r="D898" s="79"/>
      <c r="E898" s="79">
        <v>68427709</v>
      </c>
      <c r="F898" s="93">
        <v>8000</v>
      </c>
      <c r="G898" s="79" t="s">
        <v>113</v>
      </c>
      <c r="H898" s="79" t="s">
        <v>114</v>
      </c>
      <c r="I898" s="79" t="s">
        <v>1700</v>
      </c>
      <c r="J898" s="79">
        <v>2023</v>
      </c>
      <c r="K898" s="79" t="s">
        <v>2158</v>
      </c>
      <c r="L898" s="79"/>
    </row>
    <row r="899" spans="1:12" hidden="1" x14ac:dyDescent="0.25">
      <c r="A899" s="82">
        <v>44761</v>
      </c>
      <c r="B899" s="79" t="s">
        <v>2161</v>
      </c>
      <c r="C899" s="79" t="s">
        <v>2162</v>
      </c>
      <c r="D899" s="79"/>
      <c r="E899" s="79">
        <v>68427709</v>
      </c>
      <c r="F899" s="93">
        <v>50000</v>
      </c>
      <c r="G899" s="79" t="s">
        <v>113</v>
      </c>
      <c r="H899" s="79" t="s">
        <v>114</v>
      </c>
      <c r="I899" s="79" t="s">
        <v>133</v>
      </c>
      <c r="J899" s="79">
        <v>2023</v>
      </c>
      <c r="K899" s="79" t="s">
        <v>1939</v>
      </c>
      <c r="L899" s="79"/>
    </row>
    <row r="900" spans="1:12" hidden="1" x14ac:dyDescent="0.25">
      <c r="A900" s="82">
        <v>44761</v>
      </c>
      <c r="B900" s="79" t="s">
        <v>2163</v>
      </c>
      <c r="C900" s="79" t="s">
        <v>1744</v>
      </c>
      <c r="D900" s="79"/>
      <c r="E900" s="79">
        <v>68427709</v>
      </c>
      <c r="F900" s="93">
        <v>-40000</v>
      </c>
      <c r="G900" s="79" t="s">
        <v>113</v>
      </c>
      <c r="H900" s="79" t="s">
        <v>114</v>
      </c>
      <c r="I900" s="79" t="s">
        <v>133</v>
      </c>
      <c r="J900" s="79">
        <v>2023</v>
      </c>
      <c r="K900" s="79" t="s">
        <v>1939</v>
      </c>
      <c r="L900" s="79"/>
    </row>
    <row r="901" spans="1:12" ht="15" hidden="1" customHeight="1" x14ac:dyDescent="0.25">
      <c r="A901" s="82">
        <v>44761</v>
      </c>
      <c r="B901" s="79" t="s">
        <v>760</v>
      </c>
      <c r="C901" s="79" t="s">
        <v>1744</v>
      </c>
      <c r="D901" s="79"/>
      <c r="E901" s="79">
        <v>68427709</v>
      </c>
      <c r="F901" s="93">
        <v>-15000</v>
      </c>
      <c r="G901" s="79" t="s">
        <v>113</v>
      </c>
      <c r="H901" s="79" t="s">
        <v>114</v>
      </c>
      <c r="I901" s="79" t="s">
        <v>133</v>
      </c>
      <c r="J901" s="79">
        <v>2023</v>
      </c>
      <c r="K901" s="79" t="s">
        <v>1939</v>
      </c>
      <c r="L901" s="79"/>
    </row>
    <row r="902" spans="1:12" hidden="1" x14ac:dyDescent="0.25">
      <c r="A902" s="82">
        <v>44761</v>
      </c>
      <c r="B902" s="79" t="s">
        <v>1261</v>
      </c>
      <c r="C902" s="79" t="s">
        <v>2164</v>
      </c>
      <c r="D902" s="79"/>
      <c r="E902" s="79">
        <v>68427719</v>
      </c>
      <c r="F902" s="93">
        <v>165000</v>
      </c>
      <c r="G902" s="79" t="s">
        <v>113</v>
      </c>
      <c r="H902" s="79" t="s">
        <v>114</v>
      </c>
      <c r="I902" s="79" t="s">
        <v>133</v>
      </c>
      <c r="J902" s="79">
        <v>2023</v>
      </c>
      <c r="K902" s="79" t="s">
        <v>1092</v>
      </c>
      <c r="L902" s="79"/>
    </row>
    <row r="903" spans="1:12" hidden="1" x14ac:dyDescent="0.25">
      <c r="A903" s="82">
        <v>44761</v>
      </c>
      <c r="B903" s="79" t="s">
        <v>1261</v>
      </c>
      <c r="C903" s="79" t="s">
        <v>2165</v>
      </c>
      <c r="D903" s="79"/>
      <c r="E903" s="79">
        <v>68427709</v>
      </c>
      <c r="F903" s="93">
        <v>-150000</v>
      </c>
      <c r="G903" s="79" t="s">
        <v>113</v>
      </c>
      <c r="H903" s="79" t="s">
        <v>114</v>
      </c>
      <c r="I903" s="79" t="s">
        <v>133</v>
      </c>
      <c r="J903" s="79">
        <v>2023</v>
      </c>
      <c r="K903" s="79" t="s">
        <v>1092</v>
      </c>
      <c r="L903" s="79"/>
    </row>
    <row r="904" spans="1:12" hidden="1" x14ac:dyDescent="0.25">
      <c r="A904" s="82">
        <v>44762</v>
      </c>
      <c r="B904" s="79" t="s">
        <v>1644</v>
      </c>
      <c r="C904" s="79" t="s">
        <v>2166</v>
      </c>
      <c r="D904" s="79"/>
      <c r="E904" s="79">
        <v>68427709</v>
      </c>
      <c r="F904" s="93">
        <v>-43000</v>
      </c>
      <c r="G904" s="79" t="s">
        <v>113</v>
      </c>
      <c r="H904" s="79" t="s">
        <v>114</v>
      </c>
      <c r="I904" s="79" t="s">
        <v>1990</v>
      </c>
      <c r="J904" s="79">
        <v>2023</v>
      </c>
      <c r="K904" s="79" t="s">
        <v>1875</v>
      </c>
      <c r="L904" s="79"/>
    </row>
    <row r="905" spans="1:12" hidden="1" x14ac:dyDescent="0.25">
      <c r="A905" s="82">
        <v>44762</v>
      </c>
      <c r="B905" s="79" t="s">
        <v>2167</v>
      </c>
      <c r="C905" s="79" t="s">
        <v>1902</v>
      </c>
      <c r="D905" s="79"/>
      <c r="E905" s="79">
        <v>68427709</v>
      </c>
      <c r="F905" s="93">
        <v>63000</v>
      </c>
      <c r="G905" s="79" t="s">
        <v>113</v>
      </c>
      <c r="H905" s="79" t="s">
        <v>114</v>
      </c>
      <c r="I905" s="79" t="s">
        <v>1990</v>
      </c>
      <c r="J905" s="79">
        <v>2023</v>
      </c>
      <c r="K905" s="79" t="s">
        <v>1875</v>
      </c>
      <c r="L905" s="79"/>
    </row>
    <row r="906" spans="1:12" hidden="1" x14ac:dyDescent="0.25">
      <c r="A906" s="82">
        <v>44764</v>
      </c>
      <c r="B906" s="79" t="s">
        <v>2168</v>
      </c>
      <c r="C906" s="79" t="s">
        <v>2169</v>
      </c>
      <c r="D906" s="79"/>
      <c r="E906" s="79">
        <v>68427719</v>
      </c>
      <c r="F906" s="93">
        <v>480000</v>
      </c>
      <c r="G906" s="79" t="s">
        <v>113</v>
      </c>
      <c r="H906" s="79" t="s">
        <v>114</v>
      </c>
      <c r="I906" s="79" t="s">
        <v>133</v>
      </c>
      <c r="J906" s="79">
        <v>2023</v>
      </c>
      <c r="K906" s="79" t="s">
        <v>2170</v>
      </c>
      <c r="L906" s="79"/>
    </row>
    <row r="907" spans="1:12" hidden="1" x14ac:dyDescent="0.25">
      <c r="A907" s="82">
        <v>44764</v>
      </c>
      <c r="B907" s="79" t="s">
        <v>2171</v>
      </c>
      <c r="C907" s="79" t="s">
        <v>2172</v>
      </c>
      <c r="D907" s="79"/>
      <c r="E907" s="79">
        <v>68427719</v>
      </c>
      <c r="F907" s="93">
        <v>-25000</v>
      </c>
      <c r="G907" s="79" t="s">
        <v>113</v>
      </c>
      <c r="H907" s="79" t="s">
        <v>114</v>
      </c>
      <c r="I907" s="79" t="s">
        <v>133</v>
      </c>
      <c r="J907" s="79">
        <v>2023</v>
      </c>
      <c r="K907" s="79" t="s">
        <v>2170</v>
      </c>
      <c r="L907" s="79"/>
    </row>
    <row r="908" spans="1:12" hidden="1" x14ac:dyDescent="0.25">
      <c r="A908" s="82">
        <v>44764</v>
      </c>
      <c r="B908" s="79" t="s">
        <v>2173</v>
      </c>
      <c r="C908" s="79" t="s">
        <v>2172</v>
      </c>
      <c r="D908" s="79"/>
      <c r="E908" s="79">
        <v>68427719</v>
      </c>
      <c r="F908" s="93">
        <v>-420000</v>
      </c>
      <c r="G908" s="79" t="s">
        <v>113</v>
      </c>
      <c r="H908" s="79" t="s">
        <v>114</v>
      </c>
      <c r="I908" s="79" t="s">
        <v>133</v>
      </c>
      <c r="J908" s="79">
        <v>2023</v>
      </c>
      <c r="K908" s="79" t="s">
        <v>2170</v>
      </c>
      <c r="L908" s="79"/>
    </row>
    <row r="909" spans="1:12" hidden="1" x14ac:dyDescent="0.25">
      <c r="A909" s="82">
        <v>44764</v>
      </c>
      <c r="B909" s="79" t="s">
        <v>1944</v>
      </c>
      <c r="C909" s="79" t="s">
        <v>2153</v>
      </c>
      <c r="D909" s="79"/>
      <c r="E909" s="79">
        <v>68427719</v>
      </c>
      <c r="F909" s="93">
        <v>-200000</v>
      </c>
      <c r="G909" s="79" t="s">
        <v>113</v>
      </c>
      <c r="H909" s="79" t="s">
        <v>114</v>
      </c>
      <c r="I909" s="79" t="s">
        <v>133</v>
      </c>
      <c r="J909" s="79">
        <v>2023</v>
      </c>
      <c r="K909" s="79" t="s">
        <v>2170</v>
      </c>
      <c r="L909" s="79"/>
    </row>
    <row r="910" spans="1:12" hidden="1" x14ac:dyDescent="0.25">
      <c r="A910" s="82">
        <v>44764</v>
      </c>
      <c r="B910" s="79" t="s">
        <v>1027</v>
      </c>
      <c r="C910" s="79" t="s">
        <v>2174</v>
      </c>
      <c r="D910" s="79"/>
      <c r="E910" s="79">
        <v>68427719</v>
      </c>
      <c r="F910" s="93">
        <v>200000</v>
      </c>
      <c r="G910" s="79" t="s">
        <v>113</v>
      </c>
      <c r="H910" s="79" t="s">
        <v>114</v>
      </c>
      <c r="I910" s="79" t="s">
        <v>133</v>
      </c>
      <c r="J910" s="79">
        <v>2023</v>
      </c>
      <c r="K910" s="79" t="s">
        <v>2170</v>
      </c>
      <c r="L910" s="79"/>
    </row>
    <row r="911" spans="1:12" hidden="1" x14ac:dyDescent="0.25">
      <c r="A911" s="82">
        <v>44764</v>
      </c>
      <c r="B911" s="79" t="s">
        <v>2175</v>
      </c>
      <c r="C911" s="79" t="s">
        <v>2176</v>
      </c>
      <c r="D911" s="79"/>
      <c r="E911" s="79">
        <v>68427719</v>
      </c>
      <c r="F911" s="93">
        <v>140000</v>
      </c>
      <c r="G911" s="79" t="s">
        <v>113</v>
      </c>
      <c r="H911" s="79" t="s">
        <v>114</v>
      </c>
      <c r="I911" s="79" t="s">
        <v>133</v>
      </c>
      <c r="J911" s="79">
        <v>2023</v>
      </c>
      <c r="K911" s="79" t="s">
        <v>2170</v>
      </c>
      <c r="L911" s="79"/>
    </row>
    <row r="912" spans="1:12" hidden="1" x14ac:dyDescent="0.25">
      <c r="A912" s="82">
        <v>44764</v>
      </c>
      <c r="B912" s="79" t="s">
        <v>1891</v>
      </c>
      <c r="C912" s="79" t="s">
        <v>2177</v>
      </c>
      <c r="D912" s="79"/>
      <c r="E912" s="79">
        <v>68427719</v>
      </c>
      <c r="F912" s="93">
        <v>-124000</v>
      </c>
      <c r="G912" s="79" t="s">
        <v>113</v>
      </c>
      <c r="H912" s="79" t="s">
        <v>114</v>
      </c>
      <c r="I912" s="79" t="s">
        <v>133</v>
      </c>
      <c r="J912" s="79">
        <v>2023</v>
      </c>
      <c r="K912" s="79" t="s">
        <v>2170</v>
      </c>
      <c r="L912" s="79"/>
    </row>
    <row r="913" spans="1:12" hidden="1" x14ac:dyDescent="0.25">
      <c r="A913" s="82">
        <v>44764</v>
      </c>
      <c r="B913" s="79" t="s">
        <v>1893</v>
      </c>
      <c r="C913" s="79" t="s">
        <v>2178</v>
      </c>
      <c r="D913" s="79"/>
      <c r="E913" s="79">
        <v>68427719</v>
      </c>
      <c r="F913" s="93">
        <v>-22000</v>
      </c>
      <c r="G913" s="79" t="s">
        <v>113</v>
      </c>
      <c r="H913" s="79" t="s">
        <v>114</v>
      </c>
      <c r="I913" s="79" t="s">
        <v>1700</v>
      </c>
      <c r="J913" s="79">
        <v>2023</v>
      </c>
      <c r="K913" s="79" t="s">
        <v>2170</v>
      </c>
      <c r="L913" s="79"/>
    </row>
    <row r="914" spans="1:12" hidden="1" x14ac:dyDescent="0.25">
      <c r="A914" s="82">
        <v>44764</v>
      </c>
      <c r="B914" s="79" t="s">
        <v>2179</v>
      </c>
      <c r="C914" s="79" t="s">
        <v>2180</v>
      </c>
      <c r="D914" s="79"/>
      <c r="E914" s="79">
        <v>68427719</v>
      </c>
      <c r="F914" s="93">
        <v>9000</v>
      </c>
      <c r="G914" s="79" t="s">
        <v>113</v>
      </c>
      <c r="H914" s="79" t="s">
        <v>114</v>
      </c>
      <c r="I914" s="79" t="s">
        <v>133</v>
      </c>
      <c r="J914" s="79">
        <v>2023</v>
      </c>
      <c r="K914" s="79" t="s">
        <v>2170</v>
      </c>
      <c r="L914" s="79"/>
    </row>
    <row r="915" spans="1:12" hidden="1" x14ac:dyDescent="0.25">
      <c r="A915" s="82">
        <v>44764</v>
      </c>
      <c r="B915" s="79" t="s">
        <v>1901</v>
      </c>
      <c r="C915" s="79" t="s">
        <v>2181</v>
      </c>
      <c r="D915" s="79"/>
      <c r="E915" s="79">
        <v>68427719</v>
      </c>
      <c r="F915" s="93">
        <v>-1000</v>
      </c>
      <c r="G915" s="79" t="s">
        <v>113</v>
      </c>
      <c r="H915" s="79" t="s">
        <v>114</v>
      </c>
      <c r="I915" s="79" t="s">
        <v>133</v>
      </c>
      <c r="J915" s="79">
        <v>2023</v>
      </c>
      <c r="K915" s="79" t="s">
        <v>2170</v>
      </c>
      <c r="L915" s="79"/>
    </row>
    <row r="916" spans="1:12" hidden="1" x14ac:dyDescent="0.25">
      <c r="A916" s="82">
        <v>44764</v>
      </c>
      <c r="B916" s="79" t="s">
        <v>1920</v>
      </c>
      <c r="C916" s="79" t="s">
        <v>1828</v>
      </c>
      <c r="D916" s="79"/>
      <c r="E916" s="79">
        <v>68427719</v>
      </c>
      <c r="F916" s="93">
        <v>980</v>
      </c>
      <c r="G916" s="79" t="s">
        <v>113</v>
      </c>
      <c r="H916" s="79" t="s">
        <v>114</v>
      </c>
      <c r="I916" s="79" t="s">
        <v>133</v>
      </c>
      <c r="J916" s="79">
        <v>2023</v>
      </c>
      <c r="K916" s="79" t="s">
        <v>2170</v>
      </c>
      <c r="L916" s="79"/>
    </row>
    <row r="917" spans="1:12" hidden="1" x14ac:dyDescent="0.25">
      <c r="A917" s="82">
        <v>44764</v>
      </c>
      <c r="B917" s="79" t="s">
        <v>2182</v>
      </c>
      <c r="C917" s="79" t="s">
        <v>2183</v>
      </c>
      <c r="D917" s="79"/>
      <c r="E917" s="79">
        <v>68427719</v>
      </c>
      <c r="F917" s="93">
        <v>92500</v>
      </c>
      <c r="G917" s="79" t="s">
        <v>113</v>
      </c>
      <c r="H917" s="79" t="s">
        <v>114</v>
      </c>
      <c r="I917" s="79" t="s">
        <v>133</v>
      </c>
      <c r="J917" s="79">
        <v>2023</v>
      </c>
      <c r="K917" s="79" t="s">
        <v>2170</v>
      </c>
      <c r="L917" s="79"/>
    </row>
    <row r="918" spans="1:12" hidden="1" x14ac:dyDescent="0.25">
      <c r="A918" s="82">
        <v>44768</v>
      </c>
      <c r="B918" s="79" t="s">
        <v>2184</v>
      </c>
      <c r="C918" s="79" t="s">
        <v>2185</v>
      </c>
      <c r="D918" s="79"/>
      <c r="E918" s="79">
        <v>68427709</v>
      </c>
      <c r="F918" s="93">
        <v>115000</v>
      </c>
      <c r="G918" s="79" t="s">
        <v>113</v>
      </c>
      <c r="H918" s="79" t="s">
        <v>114</v>
      </c>
      <c r="I918" s="79" t="s">
        <v>1700</v>
      </c>
      <c r="J918" s="79">
        <v>2023</v>
      </c>
      <c r="K918" s="79" t="s">
        <v>672</v>
      </c>
      <c r="L918" s="79"/>
    </row>
    <row r="919" spans="1:12" hidden="1" x14ac:dyDescent="0.25">
      <c r="A919" s="82">
        <v>44768</v>
      </c>
      <c r="B919" s="79" t="s">
        <v>1876</v>
      </c>
      <c r="C919" s="79"/>
      <c r="D919" s="79"/>
      <c r="E919" s="79">
        <v>68427709</v>
      </c>
      <c r="F919" s="93">
        <v>2000</v>
      </c>
      <c r="G919" s="79" t="s">
        <v>113</v>
      </c>
      <c r="H919" s="79" t="s">
        <v>114</v>
      </c>
      <c r="I919" s="79" t="s">
        <v>1990</v>
      </c>
      <c r="J919" s="79">
        <v>2023</v>
      </c>
      <c r="K919" s="79" t="s">
        <v>672</v>
      </c>
      <c r="L919" s="79"/>
    </row>
    <row r="920" spans="1:12" hidden="1" x14ac:dyDescent="0.25">
      <c r="A920" s="82">
        <v>44768</v>
      </c>
      <c r="B920" s="79" t="s">
        <v>1914</v>
      </c>
      <c r="C920" s="79"/>
      <c r="D920" s="79"/>
      <c r="E920" s="79">
        <v>68427709</v>
      </c>
      <c r="F920" s="93">
        <v>72000</v>
      </c>
      <c r="G920" s="79" t="s">
        <v>113</v>
      </c>
      <c r="H920" s="79" t="s">
        <v>114</v>
      </c>
      <c r="I920" s="79" t="s">
        <v>1990</v>
      </c>
      <c r="J920" s="79">
        <v>2023</v>
      </c>
      <c r="K920" s="79" t="s">
        <v>672</v>
      </c>
      <c r="L920" s="79"/>
    </row>
    <row r="921" spans="1:12" hidden="1" x14ac:dyDescent="0.25">
      <c r="A921" s="82">
        <v>44768</v>
      </c>
      <c r="B921" s="79" t="s">
        <v>1406</v>
      </c>
      <c r="C921" s="79" t="s">
        <v>2186</v>
      </c>
      <c r="D921" s="79"/>
      <c r="E921" s="79">
        <v>68427709</v>
      </c>
      <c r="F921" s="93">
        <v>-50000</v>
      </c>
      <c r="G921" s="79" t="s">
        <v>302</v>
      </c>
      <c r="H921" s="79" t="s">
        <v>114</v>
      </c>
      <c r="I921" s="79" t="s">
        <v>1990</v>
      </c>
      <c r="J921" s="79">
        <v>2023</v>
      </c>
      <c r="K921" s="79" t="s">
        <v>672</v>
      </c>
      <c r="L921" s="79"/>
    </row>
    <row r="922" spans="1:12" hidden="1" x14ac:dyDescent="0.25">
      <c r="A922" s="82">
        <v>44768</v>
      </c>
      <c r="B922" s="79" t="s">
        <v>1684</v>
      </c>
      <c r="C922" s="79" t="s">
        <v>2186</v>
      </c>
      <c r="D922" s="79"/>
      <c r="E922" s="79">
        <v>68427709</v>
      </c>
      <c r="F922" s="93">
        <v>-224000</v>
      </c>
      <c r="G922" s="79" t="s">
        <v>302</v>
      </c>
      <c r="H922" s="79" t="s">
        <v>114</v>
      </c>
      <c r="I922" s="79" t="s">
        <v>133</v>
      </c>
      <c r="J922" s="79">
        <v>2023</v>
      </c>
      <c r="K922" s="79" t="s">
        <v>672</v>
      </c>
      <c r="L922" s="79"/>
    </row>
    <row r="923" spans="1:12" hidden="1" x14ac:dyDescent="0.25">
      <c r="A923" s="82">
        <v>44768</v>
      </c>
      <c r="B923" s="79" t="s">
        <v>2187</v>
      </c>
      <c r="C923" s="79" t="s">
        <v>2186</v>
      </c>
      <c r="D923" s="79"/>
      <c r="E923" s="79">
        <v>68427709</v>
      </c>
      <c r="F923" s="93">
        <v>210000</v>
      </c>
      <c r="G923" s="79" t="s">
        <v>302</v>
      </c>
      <c r="H923" s="79" t="s">
        <v>114</v>
      </c>
      <c r="I923" s="79" t="s">
        <v>133</v>
      </c>
      <c r="J923" s="79">
        <v>2023</v>
      </c>
      <c r="K923" s="79" t="s">
        <v>672</v>
      </c>
      <c r="L923" s="79"/>
    </row>
    <row r="924" spans="1:12" hidden="1" x14ac:dyDescent="0.25">
      <c r="A924" s="82">
        <v>44768</v>
      </c>
      <c r="B924" s="79" t="s">
        <v>2188</v>
      </c>
      <c r="C924" s="79" t="s">
        <v>2186</v>
      </c>
      <c r="D924" s="79"/>
      <c r="E924" s="79">
        <v>68427709</v>
      </c>
      <c r="F924" s="93">
        <v>-70000</v>
      </c>
      <c r="G924" s="79" t="s">
        <v>113</v>
      </c>
      <c r="H924" s="79" t="s">
        <v>114</v>
      </c>
      <c r="I924" s="79" t="s">
        <v>133</v>
      </c>
      <c r="J924" s="79">
        <v>2023</v>
      </c>
      <c r="K924" s="79" t="s">
        <v>672</v>
      </c>
      <c r="L924" s="79"/>
    </row>
    <row r="925" spans="1:12" ht="15" hidden="1" customHeight="1" x14ac:dyDescent="0.25">
      <c r="A925" s="82">
        <v>44768</v>
      </c>
      <c r="B925" s="79" t="s">
        <v>1406</v>
      </c>
      <c r="C925" s="79" t="s">
        <v>1744</v>
      </c>
      <c r="D925" s="79"/>
      <c r="E925" s="79">
        <v>68427709</v>
      </c>
      <c r="F925" s="93">
        <v>-20000</v>
      </c>
      <c r="G925" s="79" t="s">
        <v>113</v>
      </c>
      <c r="H925" s="79" t="s">
        <v>114</v>
      </c>
      <c r="I925" s="79" t="s">
        <v>1700</v>
      </c>
      <c r="J925" s="79">
        <v>2023</v>
      </c>
      <c r="K925" s="79" t="s">
        <v>672</v>
      </c>
      <c r="L925" s="79"/>
    </row>
    <row r="926" spans="1:12" hidden="1" x14ac:dyDescent="0.25">
      <c r="A926" s="82">
        <v>44768</v>
      </c>
      <c r="B926" s="79" t="s">
        <v>1684</v>
      </c>
      <c r="C926" s="79" t="s">
        <v>2189</v>
      </c>
      <c r="D926" s="79"/>
      <c r="E926" s="79">
        <v>68427709</v>
      </c>
      <c r="F926" s="93">
        <v>16000</v>
      </c>
      <c r="G926" s="79" t="s">
        <v>113</v>
      </c>
      <c r="H926" s="79" t="s">
        <v>114</v>
      </c>
      <c r="I926" s="79" t="s">
        <v>1700</v>
      </c>
      <c r="J926" s="79">
        <v>2023</v>
      </c>
      <c r="K926" s="79" t="s">
        <v>672</v>
      </c>
      <c r="L926" s="79"/>
    </row>
    <row r="927" spans="1:12" hidden="1" x14ac:dyDescent="0.25">
      <c r="A927" s="82">
        <v>44768</v>
      </c>
      <c r="B927" s="79" t="s">
        <v>1285</v>
      </c>
      <c r="C927" s="79" t="s">
        <v>2190</v>
      </c>
      <c r="D927" s="79"/>
      <c r="E927" s="79">
        <v>68427709</v>
      </c>
      <c r="F927" s="93">
        <v>-7000</v>
      </c>
      <c r="G927" s="79" t="s">
        <v>113</v>
      </c>
      <c r="H927" s="79" t="s">
        <v>114</v>
      </c>
      <c r="I927" s="79" t="s">
        <v>1700</v>
      </c>
      <c r="J927" s="79">
        <v>2023</v>
      </c>
      <c r="K927" s="79" t="s">
        <v>672</v>
      </c>
      <c r="L927" s="79"/>
    </row>
    <row r="928" spans="1:12" hidden="1" x14ac:dyDescent="0.25">
      <c r="A928" s="82">
        <v>44768</v>
      </c>
      <c r="B928" s="79" t="s">
        <v>2191</v>
      </c>
      <c r="C928" s="79" t="s">
        <v>2192</v>
      </c>
      <c r="D928" s="79"/>
      <c r="E928" s="79">
        <v>68427709</v>
      </c>
      <c r="F928" s="93">
        <v>20000</v>
      </c>
      <c r="G928" s="79" t="s">
        <v>113</v>
      </c>
      <c r="H928" s="79" t="s">
        <v>114</v>
      </c>
      <c r="I928" s="79" t="s">
        <v>1700</v>
      </c>
      <c r="J928" s="79">
        <v>2023</v>
      </c>
      <c r="K928" s="79" t="s">
        <v>672</v>
      </c>
      <c r="L928" s="79"/>
    </row>
    <row r="929" spans="1:12" hidden="1" x14ac:dyDescent="0.25">
      <c r="A929" s="82">
        <v>44768</v>
      </c>
      <c r="B929" s="79" t="s">
        <v>1420</v>
      </c>
      <c r="C929" s="79" t="s">
        <v>2193</v>
      </c>
      <c r="D929" s="79"/>
      <c r="E929" s="79">
        <v>68427709</v>
      </c>
      <c r="F929" s="93">
        <v>-30000</v>
      </c>
      <c r="G929" s="79" t="s">
        <v>113</v>
      </c>
      <c r="H929" s="79" t="s">
        <v>114</v>
      </c>
      <c r="I929" s="79" t="s">
        <v>133</v>
      </c>
      <c r="J929" s="79">
        <v>2023</v>
      </c>
      <c r="K929" s="79" t="s">
        <v>672</v>
      </c>
      <c r="L929" s="79"/>
    </row>
    <row r="930" spans="1:12" hidden="1" x14ac:dyDescent="0.25">
      <c r="A930" s="82">
        <v>44768</v>
      </c>
      <c r="B930" s="79" t="s">
        <v>2194</v>
      </c>
      <c r="C930" s="79" t="s">
        <v>2195</v>
      </c>
      <c r="D930" s="79"/>
      <c r="E930" s="79">
        <v>68427709</v>
      </c>
      <c r="F930" s="93">
        <v>105000</v>
      </c>
      <c r="G930" s="79" t="s">
        <v>302</v>
      </c>
      <c r="H930" s="79" t="s">
        <v>114</v>
      </c>
      <c r="I930" s="79" t="s">
        <v>1990</v>
      </c>
      <c r="J930" s="79">
        <v>2023</v>
      </c>
      <c r="K930" s="79" t="s">
        <v>672</v>
      </c>
      <c r="L930" s="79" t="s">
        <v>2196</v>
      </c>
    </row>
    <row r="931" spans="1:12" hidden="1" x14ac:dyDescent="0.25">
      <c r="A931" s="82">
        <v>44768</v>
      </c>
      <c r="B931" s="79" t="s">
        <v>1984</v>
      </c>
      <c r="C931" s="79" t="s">
        <v>2197</v>
      </c>
      <c r="D931" s="79"/>
      <c r="E931" s="79">
        <v>68427709</v>
      </c>
      <c r="F931" s="93">
        <v>323000</v>
      </c>
      <c r="G931" s="79" t="s">
        <v>113</v>
      </c>
      <c r="H931" s="79" t="s">
        <v>114</v>
      </c>
      <c r="I931" s="79" t="s">
        <v>133</v>
      </c>
      <c r="J931" s="79">
        <v>2023</v>
      </c>
      <c r="K931" s="79" t="s">
        <v>672</v>
      </c>
      <c r="L931" s="79"/>
    </row>
    <row r="932" spans="1:12" hidden="1" x14ac:dyDescent="0.25">
      <c r="A932" s="82">
        <v>44768</v>
      </c>
      <c r="B932" s="79" t="s">
        <v>2198</v>
      </c>
      <c r="C932" s="79" t="s">
        <v>2199</v>
      </c>
      <c r="D932" s="79"/>
      <c r="E932" s="79">
        <v>68427709</v>
      </c>
      <c r="F932" s="93">
        <v>1500</v>
      </c>
      <c r="G932" s="79" t="s">
        <v>113</v>
      </c>
      <c r="H932" s="79" t="s">
        <v>114</v>
      </c>
      <c r="I932" s="79" t="s">
        <v>1990</v>
      </c>
      <c r="J932" s="79">
        <v>2023</v>
      </c>
      <c r="K932" s="79" t="s">
        <v>2200</v>
      </c>
      <c r="L932" s="79"/>
    </row>
    <row r="933" spans="1:12" hidden="1" x14ac:dyDescent="0.25">
      <c r="A933" s="82">
        <v>44768</v>
      </c>
      <c r="B933" s="79" t="s">
        <v>471</v>
      </c>
      <c r="C933" s="79" t="s">
        <v>2201</v>
      </c>
      <c r="D933" s="79"/>
      <c r="E933" s="79">
        <v>68427709</v>
      </c>
      <c r="F933" s="93">
        <v>7000</v>
      </c>
      <c r="G933" s="79" t="s">
        <v>113</v>
      </c>
      <c r="H933" s="79" t="s">
        <v>114</v>
      </c>
      <c r="I933" s="79" t="s">
        <v>1990</v>
      </c>
      <c r="J933" s="79">
        <v>2023</v>
      </c>
      <c r="K933" s="79" t="s">
        <v>2200</v>
      </c>
      <c r="L933" s="79"/>
    </row>
    <row r="934" spans="1:12" hidden="1" x14ac:dyDescent="0.25">
      <c r="A934" s="82">
        <v>44768</v>
      </c>
      <c r="B934" s="79" t="s">
        <v>2202</v>
      </c>
      <c r="C934" s="79" t="s">
        <v>2203</v>
      </c>
      <c r="D934" s="79" t="s">
        <v>352</v>
      </c>
      <c r="E934" s="79">
        <v>68427709</v>
      </c>
      <c r="F934" s="93">
        <v>-50000</v>
      </c>
      <c r="G934" s="79" t="s">
        <v>113</v>
      </c>
      <c r="H934" s="79" t="s">
        <v>114</v>
      </c>
      <c r="I934" s="79" t="s">
        <v>133</v>
      </c>
      <c r="J934" s="79">
        <v>2023</v>
      </c>
      <c r="K934" s="79" t="s">
        <v>1092</v>
      </c>
      <c r="L934" s="79"/>
    </row>
    <row r="935" spans="1:12" hidden="1" x14ac:dyDescent="0.25">
      <c r="A935" s="82">
        <v>44768</v>
      </c>
      <c r="B935" s="79" t="s">
        <v>2204</v>
      </c>
      <c r="C935" s="79" t="s">
        <v>2205</v>
      </c>
      <c r="D935" s="79" t="s">
        <v>352</v>
      </c>
      <c r="E935" s="79">
        <v>68427709</v>
      </c>
      <c r="F935" s="93">
        <v>-88000</v>
      </c>
      <c r="G935" s="79" t="s">
        <v>113</v>
      </c>
      <c r="H935" s="79" t="s">
        <v>114</v>
      </c>
      <c r="I935" s="79" t="s">
        <v>133</v>
      </c>
      <c r="J935" s="79">
        <v>2023</v>
      </c>
      <c r="K935" s="79" t="s">
        <v>1092</v>
      </c>
      <c r="L935" s="79"/>
    </row>
    <row r="936" spans="1:12" ht="15.6" hidden="1" customHeight="1" x14ac:dyDescent="0.25">
      <c r="A936" s="82">
        <v>44768</v>
      </c>
      <c r="B936" s="79" t="s">
        <v>1481</v>
      </c>
      <c r="C936" s="79" t="s">
        <v>2206</v>
      </c>
      <c r="D936" s="79" t="s">
        <v>352</v>
      </c>
      <c r="E936" s="79">
        <v>68427709</v>
      </c>
      <c r="F936" s="93">
        <v>-21000</v>
      </c>
      <c r="G936" s="79" t="s">
        <v>113</v>
      </c>
      <c r="H936" s="79" t="s">
        <v>114</v>
      </c>
      <c r="I936" s="79" t="s">
        <v>133</v>
      </c>
      <c r="J936" s="79">
        <v>2023</v>
      </c>
      <c r="K936" s="79" t="s">
        <v>1092</v>
      </c>
      <c r="L936" s="79"/>
    </row>
    <row r="937" spans="1:12" hidden="1" x14ac:dyDescent="0.25">
      <c r="A937" s="82">
        <v>44768</v>
      </c>
      <c r="B937" s="79" t="s">
        <v>2207</v>
      </c>
      <c r="C937" s="79" t="s">
        <v>2208</v>
      </c>
      <c r="D937" s="79" t="s">
        <v>352</v>
      </c>
      <c r="E937" s="79">
        <v>68427709</v>
      </c>
      <c r="F937" s="93">
        <v>70000</v>
      </c>
      <c r="G937" s="79" t="s">
        <v>113</v>
      </c>
      <c r="H937" s="79" t="s">
        <v>114</v>
      </c>
      <c r="I937" s="79" t="s">
        <v>133</v>
      </c>
      <c r="J937" s="79">
        <v>2023</v>
      </c>
      <c r="K937" s="79" t="s">
        <v>1092</v>
      </c>
      <c r="L937" s="79"/>
    </row>
    <row r="938" spans="1:12" hidden="1" x14ac:dyDescent="0.25">
      <c r="A938" s="82">
        <v>44768</v>
      </c>
      <c r="B938" s="79" t="s">
        <v>2209</v>
      </c>
      <c r="C938" s="79" t="s">
        <v>2210</v>
      </c>
      <c r="D938" s="79" t="s">
        <v>352</v>
      </c>
      <c r="E938" s="79">
        <v>68427709</v>
      </c>
      <c r="F938" s="93">
        <v>21000</v>
      </c>
      <c r="G938" s="79" t="s">
        <v>113</v>
      </c>
      <c r="H938" s="79" t="s">
        <v>114</v>
      </c>
      <c r="I938" s="79" t="s">
        <v>133</v>
      </c>
      <c r="J938" s="79">
        <v>2023</v>
      </c>
      <c r="K938" s="79" t="s">
        <v>1092</v>
      </c>
      <c r="L938" s="79"/>
    </row>
    <row r="939" spans="1:12" ht="15" hidden="1" customHeight="1" x14ac:dyDescent="0.25">
      <c r="A939" s="82">
        <v>44768</v>
      </c>
      <c r="B939" s="79" t="s">
        <v>2211</v>
      </c>
      <c r="C939" s="79" t="s">
        <v>2212</v>
      </c>
      <c r="D939" s="79" t="s">
        <v>352</v>
      </c>
      <c r="E939" s="79">
        <v>68427709</v>
      </c>
      <c r="F939" s="93">
        <v>-40000</v>
      </c>
      <c r="G939" s="79" t="s">
        <v>113</v>
      </c>
      <c r="H939" s="79" t="s">
        <v>114</v>
      </c>
      <c r="I939" s="79" t="s">
        <v>133</v>
      </c>
      <c r="J939" s="79">
        <v>2023</v>
      </c>
      <c r="K939" s="79" t="s">
        <v>1092</v>
      </c>
      <c r="L939" s="79"/>
    </row>
    <row r="940" spans="1:12" hidden="1" x14ac:dyDescent="0.25">
      <c r="A940" s="82">
        <v>44769</v>
      </c>
      <c r="B940" s="79" t="s">
        <v>1416</v>
      </c>
      <c r="C940" s="79" t="s">
        <v>2213</v>
      </c>
      <c r="D940" s="79"/>
      <c r="E940" s="79">
        <v>68427709</v>
      </c>
      <c r="F940" s="93">
        <v>60000</v>
      </c>
      <c r="G940" s="79" t="s">
        <v>2214</v>
      </c>
      <c r="H940" s="79" t="s">
        <v>114</v>
      </c>
      <c r="I940" s="79" t="s">
        <v>133</v>
      </c>
      <c r="J940" s="79">
        <v>2023</v>
      </c>
      <c r="K940" s="79" t="s">
        <v>1092</v>
      </c>
      <c r="L940" s="79"/>
    </row>
    <row r="941" spans="1:12" hidden="1" x14ac:dyDescent="0.25">
      <c r="A941" s="82">
        <v>44770</v>
      </c>
      <c r="B941" s="79" t="s">
        <v>2215</v>
      </c>
      <c r="C941" s="79"/>
      <c r="D941" s="79"/>
      <c r="E941" s="79">
        <v>68427709</v>
      </c>
      <c r="F941" s="93">
        <v>0</v>
      </c>
      <c r="G941" s="79" t="s">
        <v>113</v>
      </c>
      <c r="H941" s="79" t="s">
        <v>114</v>
      </c>
      <c r="I941" s="79"/>
      <c r="J941" s="79">
        <v>2023</v>
      </c>
      <c r="K941" s="79" t="s">
        <v>1092</v>
      </c>
      <c r="L941" s="79"/>
    </row>
    <row r="942" spans="1:12" hidden="1" x14ac:dyDescent="0.25">
      <c r="A942" s="82">
        <v>44770</v>
      </c>
      <c r="B942" s="79" t="s">
        <v>1567</v>
      </c>
      <c r="C942" s="79" t="s">
        <v>2216</v>
      </c>
      <c r="D942" s="79"/>
      <c r="E942" s="79">
        <v>68427709</v>
      </c>
      <c r="F942" s="93">
        <v>-85000</v>
      </c>
      <c r="G942" s="79" t="s">
        <v>113</v>
      </c>
      <c r="H942" s="79" t="s">
        <v>114</v>
      </c>
      <c r="I942" s="79" t="s">
        <v>1700</v>
      </c>
      <c r="J942" s="79">
        <v>2023</v>
      </c>
      <c r="K942" s="79" t="s">
        <v>2217</v>
      </c>
      <c r="L942" s="79"/>
    </row>
    <row r="943" spans="1:12" hidden="1" x14ac:dyDescent="0.25">
      <c r="A943" s="82">
        <v>44770</v>
      </c>
      <c r="B943" s="79" t="s">
        <v>1712</v>
      </c>
      <c r="C943" s="79" t="s">
        <v>2218</v>
      </c>
      <c r="D943" s="79"/>
      <c r="E943" s="79">
        <v>68427709</v>
      </c>
      <c r="F943" s="93">
        <v>-95000</v>
      </c>
      <c r="G943" s="79" t="s">
        <v>113</v>
      </c>
      <c r="H943" s="79" t="s">
        <v>114</v>
      </c>
      <c r="I943" s="79" t="s">
        <v>1700</v>
      </c>
      <c r="J943" s="79">
        <v>2023</v>
      </c>
      <c r="K943" s="79" t="s">
        <v>2217</v>
      </c>
      <c r="L943" s="79"/>
    </row>
    <row r="944" spans="1:12" hidden="1" x14ac:dyDescent="0.25">
      <c r="A944" s="82">
        <v>44770</v>
      </c>
      <c r="B944" s="79" t="s">
        <v>2219</v>
      </c>
      <c r="C944" s="79" t="s">
        <v>1358</v>
      </c>
      <c r="D944" s="79"/>
      <c r="E944" s="79">
        <v>68427709</v>
      </c>
      <c r="F944" s="93">
        <v>-70000</v>
      </c>
      <c r="G944" s="79" t="s">
        <v>113</v>
      </c>
      <c r="H944" s="79" t="s">
        <v>114</v>
      </c>
      <c r="I944" s="79" t="s">
        <v>1700</v>
      </c>
      <c r="J944" s="79">
        <v>2023</v>
      </c>
      <c r="K944" s="79" t="s">
        <v>2217</v>
      </c>
      <c r="L944" s="79"/>
    </row>
    <row r="945" spans="1:12" hidden="1" x14ac:dyDescent="0.25">
      <c r="A945" s="82">
        <v>44770</v>
      </c>
      <c r="B945" s="79" t="s">
        <v>2220</v>
      </c>
      <c r="C945" s="79" t="s">
        <v>2221</v>
      </c>
      <c r="D945" s="79"/>
      <c r="E945" s="79">
        <v>68427709</v>
      </c>
      <c r="F945" s="93">
        <v>-5000</v>
      </c>
      <c r="G945" s="79" t="s">
        <v>113</v>
      </c>
      <c r="H945" s="79" t="s">
        <v>114</v>
      </c>
      <c r="I945" s="79" t="s">
        <v>1700</v>
      </c>
      <c r="J945" s="79">
        <v>2023</v>
      </c>
      <c r="K945" s="79" t="s">
        <v>2217</v>
      </c>
      <c r="L945" s="79"/>
    </row>
    <row r="946" spans="1:12" hidden="1" x14ac:dyDescent="0.25">
      <c r="A946" s="82">
        <v>44770</v>
      </c>
      <c r="B946" s="79" t="s">
        <v>1717</v>
      </c>
      <c r="C946" s="79" t="s">
        <v>2222</v>
      </c>
      <c r="D946" s="79"/>
      <c r="E946" s="79">
        <v>68427709</v>
      </c>
      <c r="F946" s="93">
        <v>2000</v>
      </c>
      <c r="G946" s="79" t="s">
        <v>113</v>
      </c>
      <c r="H946" s="79" t="s">
        <v>114</v>
      </c>
      <c r="I946" s="79" t="s">
        <v>1700</v>
      </c>
      <c r="J946" s="79">
        <v>2023</v>
      </c>
      <c r="K946" s="79" t="s">
        <v>2217</v>
      </c>
      <c r="L946" s="79"/>
    </row>
    <row r="947" spans="1:12" hidden="1" x14ac:dyDescent="0.25">
      <c r="A947" s="82">
        <v>44770</v>
      </c>
      <c r="B947" s="79"/>
      <c r="C947" s="79"/>
      <c r="D947" s="79"/>
      <c r="E947" s="79"/>
      <c r="F947" s="93"/>
      <c r="G947" s="79"/>
      <c r="H947" s="79"/>
      <c r="I947" s="79"/>
      <c r="J947" s="79"/>
      <c r="K947" s="79"/>
      <c r="L947" s="79"/>
    </row>
    <row r="948" spans="1:12" hidden="1" x14ac:dyDescent="0.25">
      <c r="A948" s="82">
        <v>44770</v>
      </c>
      <c r="B948" s="79" t="s">
        <v>983</v>
      </c>
      <c r="C948" s="79" t="s">
        <v>2223</v>
      </c>
      <c r="D948" s="79"/>
      <c r="E948" s="79">
        <v>68427709</v>
      </c>
      <c r="F948" s="93">
        <v>50800</v>
      </c>
      <c r="G948" s="79" t="s">
        <v>113</v>
      </c>
      <c r="H948" s="79" t="s">
        <v>114</v>
      </c>
      <c r="I948" s="79" t="s">
        <v>133</v>
      </c>
      <c r="J948" s="79">
        <v>2023</v>
      </c>
      <c r="K948" s="79" t="s">
        <v>2224</v>
      </c>
      <c r="L948" s="79"/>
    </row>
    <row r="949" spans="1:12" hidden="1" x14ac:dyDescent="0.25">
      <c r="A949" s="82">
        <v>44770</v>
      </c>
      <c r="B949" s="79" t="s">
        <v>591</v>
      </c>
      <c r="C949" s="79" t="s">
        <v>2225</v>
      </c>
      <c r="D949" s="79"/>
      <c r="E949" s="79">
        <v>68427709</v>
      </c>
      <c r="F949" s="93">
        <v>30000</v>
      </c>
      <c r="G949" s="79" t="s">
        <v>113</v>
      </c>
      <c r="H949" s="79" t="s">
        <v>114</v>
      </c>
      <c r="I949" s="79" t="s">
        <v>133</v>
      </c>
      <c r="J949" s="79">
        <v>2023</v>
      </c>
      <c r="K949" s="79" t="s">
        <v>2224</v>
      </c>
      <c r="L949" s="79"/>
    </row>
    <row r="950" spans="1:12" hidden="1" x14ac:dyDescent="0.25">
      <c r="A950" s="82">
        <v>44770</v>
      </c>
      <c r="B950" s="79" t="s">
        <v>1824</v>
      </c>
      <c r="C950" s="79" t="s">
        <v>2226</v>
      </c>
      <c r="D950" s="79"/>
      <c r="E950" s="79">
        <v>68427709</v>
      </c>
      <c r="F950" s="93">
        <v>125000</v>
      </c>
      <c r="G950" s="79" t="s">
        <v>113</v>
      </c>
      <c r="H950" s="79" t="s">
        <v>114</v>
      </c>
      <c r="I950" s="79"/>
      <c r="J950" s="79">
        <v>2023</v>
      </c>
      <c r="K950" s="79" t="s">
        <v>2224</v>
      </c>
      <c r="L950" s="79"/>
    </row>
    <row r="951" spans="1:12" hidden="1" x14ac:dyDescent="0.25">
      <c r="A951" s="82">
        <v>44770</v>
      </c>
      <c r="B951" s="79" t="s">
        <v>2227</v>
      </c>
      <c r="C951" s="79" t="s">
        <v>1894</v>
      </c>
      <c r="D951" s="79"/>
      <c r="E951" s="79">
        <v>68427709</v>
      </c>
      <c r="F951" s="93">
        <v>-50000</v>
      </c>
      <c r="G951" s="79" t="s">
        <v>113</v>
      </c>
      <c r="H951" s="79" t="s">
        <v>114</v>
      </c>
      <c r="I951" s="79"/>
      <c r="J951" s="79">
        <v>2023</v>
      </c>
      <c r="K951" s="79" t="s">
        <v>2224</v>
      </c>
      <c r="L951" s="79"/>
    </row>
    <row r="952" spans="1:12" hidden="1" x14ac:dyDescent="0.25">
      <c r="A952" s="82">
        <v>44770</v>
      </c>
      <c r="B952" s="79" t="s">
        <v>2228</v>
      </c>
      <c r="C952" s="79" t="s">
        <v>2229</v>
      </c>
      <c r="D952" s="79"/>
      <c r="E952" s="79">
        <v>68427709</v>
      </c>
      <c r="F952" s="93">
        <v>-4000</v>
      </c>
      <c r="G952" s="79" t="s">
        <v>113</v>
      </c>
      <c r="H952" s="79" t="s">
        <v>114</v>
      </c>
      <c r="I952" s="79"/>
      <c r="J952" s="79">
        <v>2023</v>
      </c>
      <c r="K952" s="79" t="s">
        <v>2224</v>
      </c>
      <c r="L952" s="79"/>
    </row>
    <row r="953" spans="1:12" hidden="1" x14ac:dyDescent="0.25">
      <c r="A953" s="82">
        <v>44770</v>
      </c>
      <c r="B953" s="79" t="s">
        <v>2230</v>
      </c>
      <c r="C953" s="79" t="s">
        <v>2231</v>
      </c>
      <c r="D953" s="79"/>
      <c r="E953" s="79">
        <v>68427709</v>
      </c>
      <c r="F953" s="93">
        <v>20000</v>
      </c>
      <c r="G953" s="79" t="s">
        <v>113</v>
      </c>
      <c r="H953" s="79" t="s">
        <v>114</v>
      </c>
      <c r="I953" s="79"/>
      <c r="J953" s="79">
        <v>2023</v>
      </c>
      <c r="K953" s="79" t="s">
        <v>2224</v>
      </c>
      <c r="L953" s="79"/>
    </row>
    <row r="954" spans="1:12" hidden="1" x14ac:dyDescent="0.25">
      <c r="A954" s="82">
        <v>44770</v>
      </c>
      <c r="B954" s="79" t="s">
        <v>1827</v>
      </c>
      <c r="C954" s="79" t="s">
        <v>2232</v>
      </c>
      <c r="D954" s="79"/>
      <c r="E954" s="79">
        <v>68427709</v>
      </c>
      <c r="F954" s="93">
        <v>-92000</v>
      </c>
      <c r="G954" s="79" t="s">
        <v>113</v>
      </c>
      <c r="H954" s="79" t="s">
        <v>114</v>
      </c>
      <c r="I954" s="79"/>
      <c r="J954" s="79">
        <v>2023</v>
      </c>
      <c r="K954" s="79" t="s">
        <v>2224</v>
      </c>
      <c r="L954" s="79"/>
    </row>
    <row r="955" spans="1:12" hidden="1" x14ac:dyDescent="0.25">
      <c r="A955" s="82">
        <v>44770</v>
      </c>
      <c r="B955" s="79" t="s">
        <v>2233</v>
      </c>
      <c r="C955" s="79" t="s">
        <v>2234</v>
      </c>
      <c r="D955" s="79"/>
      <c r="E955" s="79">
        <v>68427709</v>
      </c>
      <c r="F955" s="93">
        <v>100000</v>
      </c>
      <c r="G955" s="79" t="s">
        <v>113</v>
      </c>
      <c r="H955" s="79" t="s">
        <v>114</v>
      </c>
      <c r="I955" s="79"/>
      <c r="J955" s="79">
        <v>2023</v>
      </c>
      <c r="K955" s="79" t="s">
        <v>2224</v>
      </c>
      <c r="L955" s="79"/>
    </row>
    <row r="956" spans="1:12" hidden="1" x14ac:dyDescent="0.25">
      <c r="A956" s="82">
        <v>44770</v>
      </c>
      <c r="B956" s="79" t="s">
        <v>1554</v>
      </c>
      <c r="C956" s="79" t="s">
        <v>2235</v>
      </c>
      <c r="D956" s="79"/>
      <c r="E956" s="79">
        <v>68427709</v>
      </c>
      <c r="F956" s="93">
        <v>50000</v>
      </c>
      <c r="G956" s="79" t="s">
        <v>113</v>
      </c>
      <c r="H956" s="79" t="s">
        <v>114</v>
      </c>
      <c r="I956" s="79" t="s">
        <v>1700</v>
      </c>
      <c r="J956" s="79">
        <v>2023</v>
      </c>
      <c r="K956" s="79" t="s">
        <v>2224</v>
      </c>
      <c r="L956" s="79"/>
    </row>
    <row r="957" spans="1:12" hidden="1" x14ac:dyDescent="0.25">
      <c r="A957" s="82">
        <v>44770</v>
      </c>
      <c r="B957" s="122" t="s">
        <v>1829</v>
      </c>
      <c r="C957" s="79"/>
      <c r="D957" s="79"/>
      <c r="E957" s="79">
        <v>68427709</v>
      </c>
      <c r="F957" s="93">
        <v>200</v>
      </c>
      <c r="G957" s="79" t="s">
        <v>113</v>
      </c>
      <c r="H957" s="79" t="s">
        <v>114</v>
      </c>
      <c r="I957" s="79" t="s">
        <v>1700</v>
      </c>
      <c r="J957" s="79">
        <v>2023</v>
      </c>
      <c r="K957" s="79" t="s">
        <v>2224</v>
      </c>
      <c r="L957" s="79"/>
    </row>
    <row r="958" spans="1:12" hidden="1" x14ac:dyDescent="0.25">
      <c r="A958" s="82">
        <v>44770</v>
      </c>
      <c r="B958" s="122" t="s">
        <v>1833</v>
      </c>
      <c r="C958" s="79" t="s">
        <v>2236</v>
      </c>
      <c r="D958" s="79"/>
      <c r="E958" s="79">
        <v>68427709</v>
      </c>
      <c r="F958" s="93">
        <v>20000</v>
      </c>
      <c r="G958" s="79" t="s">
        <v>113</v>
      </c>
      <c r="H958" s="79" t="s">
        <v>114</v>
      </c>
      <c r="I958" s="79" t="s">
        <v>1700</v>
      </c>
      <c r="J958" s="79">
        <v>2023</v>
      </c>
      <c r="K958" s="79" t="s">
        <v>2224</v>
      </c>
      <c r="L958" s="79"/>
    </row>
    <row r="959" spans="1:12" hidden="1" x14ac:dyDescent="0.25">
      <c r="A959" s="82">
        <v>44770</v>
      </c>
      <c r="B959" s="122" t="s">
        <v>1834</v>
      </c>
      <c r="C959" s="79" t="s">
        <v>2237</v>
      </c>
      <c r="D959" s="79"/>
      <c r="E959" s="79">
        <v>68427709</v>
      </c>
      <c r="F959" s="93">
        <v>-900</v>
      </c>
      <c r="G959" s="79" t="s">
        <v>113</v>
      </c>
      <c r="H959" s="79" t="s">
        <v>114</v>
      </c>
      <c r="I959" s="79" t="s">
        <v>1700</v>
      </c>
      <c r="J959" s="79">
        <v>2023</v>
      </c>
      <c r="K959" s="79" t="s">
        <v>2224</v>
      </c>
      <c r="L959" s="79"/>
    </row>
    <row r="960" spans="1:12" hidden="1" x14ac:dyDescent="0.25">
      <c r="A960" s="82">
        <v>44770</v>
      </c>
      <c r="B960" s="122" t="s">
        <v>1835</v>
      </c>
      <c r="C960" s="79" t="s">
        <v>2238</v>
      </c>
      <c r="D960" s="79"/>
      <c r="E960" s="79">
        <v>68427709</v>
      </c>
      <c r="F960" s="93">
        <v>153000</v>
      </c>
      <c r="G960" s="79" t="s">
        <v>113</v>
      </c>
      <c r="H960" s="79" t="s">
        <v>114</v>
      </c>
      <c r="I960" s="79" t="s">
        <v>1700</v>
      </c>
      <c r="J960" s="79">
        <v>2023</v>
      </c>
      <c r="K960" s="79" t="s">
        <v>2224</v>
      </c>
      <c r="L960" s="79"/>
    </row>
    <row r="961" spans="1:12" hidden="1" x14ac:dyDescent="0.25">
      <c r="A961" s="82">
        <v>44770</v>
      </c>
      <c r="B961" s="79" t="s">
        <v>639</v>
      </c>
      <c r="C961" s="79" t="s">
        <v>2239</v>
      </c>
      <c r="D961" s="79"/>
      <c r="E961" s="79">
        <v>68427709</v>
      </c>
      <c r="F961" s="93">
        <v>80000</v>
      </c>
      <c r="G961" s="79" t="s">
        <v>113</v>
      </c>
      <c r="H961" s="79" t="s">
        <v>114</v>
      </c>
      <c r="I961" s="79" t="s">
        <v>133</v>
      </c>
      <c r="J961" s="79">
        <v>2023</v>
      </c>
      <c r="K961" s="79" t="s">
        <v>2224</v>
      </c>
      <c r="L961" s="79"/>
    </row>
    <row r="962" spans="1:12" hidden="1" x14ac:dyDescent="0.25">
      <c r="A962" s="82">
        <v>44770</v>
      </c>
      <c r="B962" s="79" t="s">
        <v>1220</v>
      </c>
      <c r="C962" s="79"/>
      <c r="D962" s="79"/>
      <c r="E962" s="79">
        <v>68427709</v>
      </c>
      <c r="F962" s="93">
        <v>-5000</v>
      </c>
      <c r="G962" s="79" t="s">
        <v>113</v>
      </c>
      <c r="H962" s="79" t="s">
        <v>114</v>
      </c>
      <c r="I962" s="79"/>
      <c r="J962" s="79">
        <v>2023</v>
      </c>
      <c r="K962" s="79" t="s">
        <v>2224</v>
      </c>
      <c r="L962" s="79"/>
    </row>
    <row r="963" spans="1:12" hidden="1" x14ac:dyDescent="0.25">
      <c r="A963" s="82">
        <v>44770</v>
      </c>
      <c r="B963" s="79" t="s">
        <v>1838</v>
      </c>
      <c r="C963" s="79" t="s">
        <v>2240</v>
      </c>
      <c r="D963" s="79"/>
      <c r="E963" s="79">
        <v>68427709</v>
      </c>
      <c r="F963" s="93">
        <v>-249480</v>
      </c>
      <c r="G963" s="79" t="s">
        <v>113</v>
      </c>
      <c r="H963" s="79" t="s">
        <v>114</v>
      </c>
      <c r="I963" s="79"/>
      <c r="J963" s="79">
        <v>2023</v>
      </c>
      <c r="K963" s="79" t="s">
        <v>2224</v>
      </c>
      <c r="L963" s="79"/>
    </row>
    <row r="964" spans="1:12" hidden="1" x14ac:dyDescent="0.25">
      <c r="A964" s="82">
        <v>44770</v>
      </c>
      <c r="B964" s="79" t="s">
        <v>2241</v>
      </c>
      <c r="C964" s="79" t="s">
        <v>2242</v>
      </c>
      <c r="D964" s="79"/>
      <c r="E964" s="79">
        <v>68427709</v>
      </c>
      <c r="F964" s="93">
        <v>222000</v>
      </c>
      <c r="G964" s="79" t="s">
        <v>113</v>
      </c>
      <c r="H964" s="79" t="s">
        <v>114</v>
      </c>
      <c r="I964" s="79"/>
      <c r="J964" s="79">
        <v>2023</v>
      </c>
      <c r="K964" s="79" t="s">
        <v>2224</v>
      </c>
      <c r="L964" s="79"/>
    </row>
    <row r="965" spans="1:12" hidden="1" x14ac:dyDescent="0.25">
      <c r="A965" s="82">
        <v>44770</v>
      </c>
      <c r="B965" s="79" t="s">
        <v>1841</v>
      </c>
      <c r="C965" s="79" t="s">
        <v>2243</v>
      </c>
      <c r="D965" s="79"/>
      <c r="E965" s="79">
        <v>68427709</v>
      </c>
      <c r="F965" s="93">
        <v>11040</v>
      </c>
      <c r="G965" s="79" t="s">
        <v>113</v>
      </c>
      <c r="H965" s="79" t="s">
        <v>114</v>
      </c>
      <c r="I965" s="79"/>
      <c r="J965" s="79">
        <v>2023</v>
      </c>
      <c r="K965" s="79" t="s">
        <v>2224</v>
      </c>
      <c r="L965" s="79"/>
    </row>
    <row r="966" spans="1:12" hidden="1" x14ac:dyDescent="0.25">
      <c r="A966" s="82">
        <v>44770</v>
      </c>
      <c r="B966" s="79" t="s">
        <v>2244</v>
      </c>
      <c r="C966" s="79" t="s">
        <v>2243</v>
      </c>
      <c r="D966" s="79"/>
      <c r="E966" s="79">
        <v>68427709</v>
      </c>
      <c r="F966" s="93">
        <v>-11200</v>
      </c>
      <c r="G966" s="79" t="s">
        <v>113</v>
      </c>
      <c r="H966" s="79" t="s">
        <v>114</v>
      </c>
      <c r="I966" s="79"/>
      <c r="J966" s="79">
        <v>2023</v>
      </c>
      <c r="K966" s="79" t="s">
        <v>2224</v>
      </c>
      <c r="L966" s="79"/>
    </row>
    <row r="967" spans="1:12" hidden="1" x14ac:dyDescent="0.25">
      <c r="A967" s="82">
        <v>44770</v>
      </c>
      <c r="B967" s="79" t="s">
        <v>574</v>
      </c>
      <c r="C967" s="79" t="s">
        <v>2245</v>
      </c>
      <c r="D967" s="79"/>
      <c r="E967" s="79">
        <v>68427709</v>
      </c>
      <c r="F967" s="93">
        <v>-150000</v>
      </c>
      <c r="G967" s="79" t="s">
        <v>113</v>
      </c>
      <c r="H967" s="79" t="s">
        <v>114</v>
      </c>
      <c r="I967" s="79"/>
      <c r="J967" s="79">
        <v>2023</v>
      </c>
      <c r="K967" s="79" t="s">
        <v>2224</v>
      </c>
      <c r="L967" s="79"/>
    </row>
    <row r="968" spans="1:12" hidden="1" x14ac:dyDescent="0.25">
      <c r="A968" s="82">
        <v>44770</v>
      </c>
      <c r="B968" s="79" t="s">
        <v>1384</v>
      </c>
      <c r="C968" s="79" t="s">
        <v>2246</v>
      </c>
      <c r="D968" s="79"/>
      <c r="E968" s="79">
        <v>68427709</v>
      </c>
      <c r="F968" s="93">
        <v>-50000</v>
      </c>
      <c r="G968" s="79" t="s">
        <v>113</v>
      </c>
      <c r="H968" s="79" t="s">
        <v>114</v>
      </c>
      <c r="I968" s="79"/>
      <c r="J968" s="79">
        <v>2023</v>
      </c>
      <c r="K968" s="79" t="s">
        <v>2224</v>
      </c>
      <c r="L968" s="79"/>
    </row>
    <row r="969" spans="1:12" hidden="1" x14ac:dyDescent="0.25">
      <c r="A969" s="82">
        <v>44770</v>
      </c>
      <c r="B969" s="79" t="s">
        <v>2247</v>
      </c>
      <c r="C969" s="79" t="s">
        <v>2245</v>
      </c>
      <c r="D969" s="79"/>
      <c r="E969" s="79">
        <v>68427709</v>
      </c>
      <c r="F969" s="93">
        <v>-250000</v>
      </c>
      <c r="G969" s="79" t="s">
        <v>113</v>
      </c>
      <c r="H969" s="79" t="s">
        <v>114</v>
      </c>
      <c r="I969" s="79"/>
      <c r="J969" s="79">
        <v>2023</v>
      </c>
      <c r="K969" s="79" t="s">
        <v>2224</v>
      </c>
      <c r="L969" s="79"/>
    </row>
    <row r="970" spans="1:12" hidden="1" x14ac:dyDescent="0.25">
      <c r="A970" s="82">
        <v>44770</v>
      </c>
      <c r="B970" s="79" t="s">
        <v>2248</v>
      </c>
      <c r="C970" s="79"/>
      <c r="D970" s="79"/>
      <c r="E970" s="79">
        <v>68427709</v>
      </c>
      <c r="F970" s="93">
        <v>3200</v>
      </c>
      <c r="G970" s="79" t="s">
        <v>113</v>
      </c>
      <c r="H970" s="79" t="s">
        <v>114</v>
      </c>
      <c r="I970" s="79"/>
      <c r="J970" s="79">
        <v>2023</v>
      </c>
      <c r="K970" s="79" t="s">
        <v>2224</v>
      </c>
      <c r="L970" s="79"/>
    </row>
    <row r="971" spans="1:12" hidden="1" x14ac:dyDescent="0.25">
      <c r="A971" s="82">
        <v>44770</v>
      </c>
      <c r="B971" s="79" t="s">
        <v>2249</v>
      </c>
      <c r="C971" s="79" t="s">
        <v>2250</v>
      </c>
      <c r="D971" s="79"/>
      <c r="E971" s="79">
        <v>68427709</v>
      </c>
      <c r="F971" s="93">
        <v>30056</v>
      </c>
      <c r="G971" s="79" t="s">
        <v>302</v>
      </c>
      <c r="H971" s="79" t="s">
        <v>114</v>
      </c>
      <c r="I971" s="79"/>
      <c r="J971" s="79">
        <v>2023</v>
      </c>
      <c r="K971" s="79" t="s">
        <v>2224</v>
      </c>
      <c r="L971" s="79" t="s">
        <v>2251</v>
      </c>
    </row>
    <row r="972" spans="1:12" hidden="1" x14ac:dyDescent="0.25">
      <c r="A972" s="82">
        <v>44770</v>
      </c>
      <c r="B972" s="79" t="s">
        <v>2252</v>
      </c>
      <c r="C972" s="79"/>
      <c r="D972" s="79"/>
      <c r="E972" s="79">
        <v>68427709</v>
      </c>
      <c r="F972" s="93">
        <v>80</v>
      </c>
      <c r="G972" s="79" t="s">
        <v>113</v>
      </c>
      <c r="H972" s="79" t="s">
        <v>114</v>
      </c>
      <c r="I972" s="79"/>
      <c r="J972" s="79">
        <v>2023</v>
      </c>
      <c r="K972" s="79" t="s">
        <v>2224</v>
      </c>
      <c r="L972" s="79"/>
    </row>
    <row r="973" spans="1:12" hidden="1" x14ac:dyDescent="0.25">
      <c r="A973" s="82">
        <v>44770</v>
      </c>
      <c r="B973" s="79" t="s">
        <v>2253</v>
      </c>
      <c r="C973" s="79"/>
      <c r="D973" s="79"/>
      <c r="E973" s="79">
        <v>68427709</v>
      </c>
      <c r="F973" s="93">
        <v>1000</v>
      </c>
      <c r="G973" s="79" t="s">
        <v>113</v>
      </c>
      <c r="H973" s="79" t="s">
        <v>114</v>
      </c>
      <c r="I973" s="79"/>
      <c r="J973" s="79">
        <v>2023</v>
      </c>
      <c r="K973" s="79" t="s">
        <v>2224</v>
      </c>
      <c r="L973" s="79"/>
    </row>
    <row r="974" spans="1:12" hidden="1" x14ac:dyDescent="0.25">
      <c r="A974" s="82">
        <v>44770</v>
      </c>
      <c r="B974" s="79" t="s">
        <v>2254</v>
      </c>
      <c r="C974" s="79" t="s">
        <v>2255</v>
      </c>
      <c r="D974" s="79"/>
      <c r="E974" s="79">
        <v>68427709</v>
      </c>
      <c r="F974" s="93">
        <v>9000</v>
      </c>
      <c r="G974" s="79" t="s">
        <v>113</v>
      </c>
      <c r="H974" s="79" t="s">
        <v>114</v>
      </c>
      <c r="I974" s="79"/>
      <c r="J974" s="79">
        <v>2023</v>
      </c>
      <c r="K974" s="79" t="s">
        <v>2224</v>
      </c>
      <c r="L974" s="79"/>
    </row>
    <row r="975" spans="1:12" hidden="1" x14ac:dyDescent="0.25">
      <c r="A975" s="82">
        <v>44770</v>
      </c>
      <c r="B975" s="79" t="s">
        <v>1507</v>
      </c>
      <c r="C975" s="79" t="s">
        <v>2256</v>
      </c>
      <c r="D975" s="79"/>
      <c r="E975" s="79">
        <v>68427709</v>
      </c>
      <c r="F975" s="93">
        <v>75000</v>
      </c>
      <c r="G975" s="79" t="s">
        <v>113</v>
      </c>
      <c r="H975" s="79" t="s">
        <v>114</v>
      </c>
      <c r="I975" s="79"/>
      <c r="J975" s="79">
        <v>2023</v>
      </c>
      <c r="K975" s="79" t="s">
        <v>2224</v>
      </c>
      <c r="L975" s="79"/>
    </row>
    <row r="976" spans="1:12" hidden="1" x14ac:dyDescent="0.25">
      <c r="A976" s="82">
        <v>44770</v>
      </c>
      <c r="B976" s="79" t="s">
        <v>2257</v>
      </c>
      <c r="C976" s="79" t="s">
        <v>2258</v>
      </c>
      <c r="D976" s="79" t="s">
        <v>2259</v>
      </c>
      <c r="E976" s="79">
        <v>68427709</v>
      </c>
      <c r="F976" s="93">
        <v>2500</v>
      </c>
      <c r="G976" s="79" t="s">
        <v>113</v>
      </c>
      <c r="H976" s="79" t="s">
        <v>114</v>
      </c>
      <c r="I976" s="79"/>
      <c r="J976" s="79">
        <v>2023</v>
      </c>
      <c r="K976" s="79" t="s">
        <v>2224</v>
      </c>
      <c r="L976" s="79"/>
    </row>
    <row r="977" spans="1:12" hidden="1" x14ac:dyDescent="0.25">
      <c r="A977" s="82">
        <v>44770</v>
      </c>
      <c r="B977" s="79" t="s">
        <v>2260</v>
      </c>
      <c r="C977" s="79" t="s">
        <v>2261</v>
      </c>
      <c r="D977" s="79" t="s">
        <v>2262</v>
      </c>
      <c r="E977" s="79">
        <v>68427709</v>
      </c>
      <c r="F977" s="93">
        <v>0</v>
      </c>
      <c r="G977" s="79" t="s">
        <v>113</v>
      </c>
      <c r="H977" s="79" t="s">
        <v>114</v>
      </c>
      <c r="I977" s="79"/>
      <c r="J977" s="79">
        <v>2023</v>
      </c>
      <c r="K977" s="79" t="s">
        <v>2224</v>
      </c>
      <c r="L977" s="79"/>
    </row>
    <row r="978" spans="1:12" hidden="1" x14ac:dyDescent="0.25">
      <c r="A978" s="82">
        <v>44770</v>
      </c>
      <c r="B978" s="79" t="s">
        <v>2263</v>
      </c>
      <c r="C978" s="79" t="s">
        <v>2264</v>
      </c>
      <c r="D978" s="79"/>
      <c r="E978" s="79">
        <v>68427709</v>
      </c>
      <c r="F978" s="93">
        <v>-25000</v>
      </c>
      <c r="G978" s="79" t="s">
        <v>302</v>
      </c>
      <c r="H978" s="79" t="s">
        <v>114</v>
      </c>
      <c r="I978" s="79" t="s">
        <v>1700</v>
      </c>
      <c r="J978" s="79">
        <v>2023</v>
      </c>
      <c r="K978" s="79" t="s">
        <v>171</v>
      </c>
      <c r="L978" s="79"/>
    </row>
    <row r="979" spans="1:12" ht="22.35" hidden="1" customHeight="1" x14ac:dyDescent="0.25">
      <c r="A979" s="82">
        <v>44774</v>
      </c>
      <c r="B979" s="79" t="s">
        <v>2265</v>
      </c>
      <c r="C979" s="79" t="s">
        <v>2153</v>
      </c>
      <c r="D979" s="79" t="s">
        <v>352</v>
      </c>
      <c r="E979" s="79">
        <v>68427709</v>
      </c>
      <c r="F979" s="93">
        <v>-100000</v>
      </c>
      <c r="G979" s="79" t="s">
        <v>113</v>
      </c>
      <c r="H979" s="79" t="s">
        <v>114</v>
      </c>
      <c r="I979" s="79" t="s">
        <v>133</v>
      </c>
      <c r="J979" s="79">
        <v>2023</v>
      </c>
      <c r="K979" s="79" t="s">
        <v>1092</v>
      </c>
      <c r="L979" s="79"/>
    </row>
    <row r="980" spans="1:12" hidden="1" x14ac:dyDescent="0.25">
      <c r="A980" s="82">
        <v>44774</v>
      </c>
      <c r="B980" s="79" t="s">
        <v>2266</v>
      </c>
      <c r="C980" s="79" t="s">
        <v>2267</v>
      </c>
      <c r="D980" s="79"/>
      <c r="E980" s="79">
        <v>68427709</v>
      </c>
      <c r="F980" s="93">
        <v>35000</v>
      </c>
      <c r="G980" s="79" t="s">
        <v>113</v>
      </c>
      <c r="H980" s="79" t="s">
        <v>114</v>
      </c>
      <c r="I980" s="79" t="s">
        <v>1990</v>
      </c>
      <c r="J980" s="79">
        <v>2023</v>
      </c>
      <c r="K980" s="79" t="s">
        <v>1788</v>
      </c>
      <c r="L980" s="79"/>
    </row>
    <row r="981" spans="1:12" hidden="1" x14ac:dyDescent="0.25">
      <c r="A981" s="82">
        <v>44774</v>
      </c>
      <c r="B981" s="79" t="s">
        <v>1792</v>
      </c>
      <c r="C981" s="79" t="s">
        <v>2268</v>
      </c>
      <c r="D981" s="79"/>
      <c r="E981" s="79">
        <v>68427709</v>
      </c>
      <c r="F981" s="93">
        <v>-90000</v>
      </c>
      <c r="G981" s="79" t="s">
        <v>113</v>
      </c>
      <c r="H981" s="79" t="s">
        <v>114</v>
      </c>
      <c r="I981" s="79" t="s">
        <v>1700</v>
      </c>
      <c r="J981" s="79">
        <v>2023</v>
      </c>
      <c r="K981" s="79" t="s">
        <v>1788</v>
      </c>
      <c r="L981" s="79"/>
    </row>
    <row r="982" spans="1:12" hidden="1" x14ac:dyDescent="0.25">
      <c r="A982" s="82">
        <v>44774</v>
      </c>
      <c r="B982" s="79" t="s">
        <v>1253</v>
      </c>
      <c r="C982" s="79"/>
      <c r="D982" s="79"/>
      <c r="E982" s="79">
        <v>68427709</v>
      </c>
      <c r="F982" s="93">
        <v>-75000</v>
      </c>
      <c r="G982" s="79" t="s">
        <v>113</v>
      </c>
      <c r="H982" s="79" t="s">
        <v>114</v>
      </c>
      <c r="I982" s="79" t="s">
        <v>1700</v>
      </c>
      <c r="J982" s="79">
        <v>2023</v>
      </c>
      <c r="K982" s="79" t="s">
        <v>1788</v>
      </c>
      <c r="L982" s="79"/>
    </row>
    <row r="983" spans="1:12" hidden="1" x14ac:dyDescent="0.25">
      <c r="A983" s="82">
        <v>44774</v>
      </c>
      <c r="B983" s="79" t="s">
        <v>2269</v>
      </c>
      <c r="C983" s="79" t="s">
        <v>1902</v>
      </c>
      <c r="D983" s="79"/>
      <c r="E983" s="79">
        <v>68427709</v>
      </c>
      <c r="F983" s="93">
        <v>24000</v>
      </c>
      <c r="G983" s="79" t="s">
        <v>113</v>
      </c>
      <c r="H983" s="79" t="s">
        <v>114</v>
      </c>
      <c r="I983" s="79" t="s">
        <v>1700</v>
      </c>
      <c r="J983" s="79">
        <v>2023</v>
      </c>
      <c r="K983" s="79" t="s">
        <v>1788</v>
      </c>
      <c r="L983" s="79"/>
    </row>
    <row r="984" spans="1:12" hidden="1" x14ac:dyDescent="0.25">
      <c r="A984" s="82">
        <v>44774</v>
      </c>
      <c r="B984" s="79" t="s">
        <v>2270</v>
      </c>
      <c r="C984" s="79" t="s">
        <v>1902</v>
      </c>
      <c r="D984" s="79"/>
      <c r="E984" s="79">
        <v>68427709</v>
      </c>
      <c r="F984" s="93">
        <v>60000</v>
      </c>
      <c r="G984" s="79" t="s">
        <v>113</v>
      </c>
      <c r="H984" s="79" t="s">
        <v>114</v>
      </c>
      <c r="I984" s="79" t="s">
        <v>1700</v>
      </c>
      <c r="J984" s="79">
        <v>2023</v>
      </c>
      <c r="K984" s="79" t="s">
        <v>1788</v>
      </c>
      <c r="L984" s="79"/>
    </row>
    <row r="985" spans="1:12" hidden="1" x14ac:dyDescent="0.25">
      <c r="A985" s="82">
        <v>44774</v>
      </c>
      <c r="B985" s="79" t="s">
        <v>2271</v>
      </c>
      <c r="C985" s="79" t="s">
        <v>2272</v>
      </c>
      <c r="D985" s="79" t="s">
        <v>352</v>
      </c>
      <c r="E985" s="79">
        <v>68427709</v>
      </c>
      <c r="F985" s="93">
        <v>125000</v>
      </c>
      <c r="G985" s="79" t="s">
        <v>113</v>
      </c>
      <c r="H985" s="79" t="s">
        <v>114</v>
      </c>
      <c r="I985" s="79" t="s">
        <v>133</v>
      </c>
      <c r="J985" s="79">
        <v>2023</v>
      </c>
      <c r="K985" s="79" t="s">
        <v>1788</v>
      </c>
      <c r="L985" s="79"/>
    </row>
    <row r="986" spans="1:12" hidden="1" x14ac:dyDescent="0.25">
      <c r="A986" s="82">
        <v>44774</v>
      </c>
      <c r="B986" s="79" t="s">
        <v>2273</v>
      </c>
      <c r="C986" s="79" t="s">
        <v>2274</v>
      </c>
      <c r="D986" s="79" t="s">
        <v>352</v>
      </c>
      <c r="E986" s="79">
        <v>68427709</v>
      </c>
      <c r="F986" s="93">
        <v>-120000</v>
      </c>
      <c r="G986" s="79" t="s">
        <v>113</v>
      </c>
      <c r="H986" s="79" t="s">
        <v>114</v>
      </c>
      <c r="I986" s="79" t="s">
        <v>133</v>
      </c>
      <c r="J986" s="79">
        <v>2023</v>
      </c>
      <c r="K986" s="79" t="s">
        <v>1092</v>
      </c>
      <c r="L986" s="79"/>
    </row>
    <row r="987" spans="1:12" hidden="1" x14ac:dyDescent="0.25">
      <c r="A987" s="82">
        <v>44774</v>
      </c>
      <c r="B987" s="150" t="s">
        <v>1484</v>
      </c>
      <c r="C987" s="79" t="s">
        <v>2275</v>
      </c>
      <c r="D987" s="79" t="s">
        <v>352</v>
      </c>
      <c r="E987" s="79">
        <v>68427709</v>
      </c>
      <c r="F987" s="93">
        <v>150000</v>
      </c>
      <c r="G987" s="79" t="s">
        <v>113</v>
      </c>
      <c r="H987" s="79" t="s">
        <v>114</v>
      </c>
      <c r="I987" s="79" t="s">
        <v>133</v>
      </c>
      <c r="J987" s="79">
        <v>2023</v>
      </c>
      <c r="K987" s="79" t="s">
        <v>1092</v>
      </c>
      <c r="L987" s="79"/>
    </row>
    <row r="988" spans="1:12" hidden="1" x14ac:dyDescent="0.25">
      <c r="A988" s="82">
        <v>44774</v>
      </c>
      <c r="B988" s="150" t="s">
        <v>1486</v>
      </c>
      <c r="C988" s="79" t="s">
        <v>2275</v>
      </c>
      <c r="D988" s="79" t="s">
        <v>352</v>
      </c>
      <c r="E988" s="79">
        <v>68427709</v>
      </c>
      <c r="F988" s="93">
        <v>60000</v>
      </c>
      <c r="G988" s="79" t="s">
        <v>113</v>
      </c>
      <c r="H988" s="79" t="s">
        <v>114</v>
      </c>
      <c r="I988" s="79" t="s">
        <v>133</v>
      </c>
      <c r="J988" s="79">
        <v>2023</v>
      </c>
      <c r="K988" s="79" t="s">
        <v>1092</v>
      </c>
      <c r="L988" s="79"/>
    </row>
    <row r="989" spans="1:12" hidden="1" x14ac:dyDescent="0.25">
      <c r="A989" s="82">
        <v>44774</v>
      </c>
      <c r="B989" s="150" t="s">
        <v>2276</v>
      </c>
      <c r="C989" s="79" t="s">
        <v>2275</v>
      </c>
      <c r="D989" s="79" t="s">
        <v>352</v>
      </c>
      <c r="E989" s="79">
        <v>68427709</v>
      </c>
      <c r="F989" s="93">
        <v>-185000</v>
      </c>
      <c r="G989" s="79" t="s">
        <v>113</v>
      </c>
      <c r="H989" s="79" t="s">
        <v>114</v>
      </c>
      <c r="I989" s="79" t="s">
        <v>133</v>
      </c>
      <c r="J989" s="79">
        <v>2023</v>
      </c>
      <c r="K989" s="79" t="s">
        <v>1092</v>
      </c>
      <c r="L989" s="79"/>
    </row>
    <row r="990" spans="1:12" hidden="1" x14ac:dyDescent="0.25">
      <c r="A990" s="82">
        <v>44774</v>
      </c>
      <c r="B990" s="150" t="s">
        <v>1483</v>
      </c>
      <c r="C990" s="79" t="s">
        <v>2275</v>
      </c>
      <c r="D990" s="79" t="s">
        <v>352</v>
      </c>
      <c r="E990" s="79">
        <v>68427709</v>
      </c>
      <c r="F990" s="93">
        <v>-40000</v>
      </c>
      <c r="G990" s="79" t="s">
        <v>113</v>
      </c>
      <c r="H990" s="79" t="s">
        <v>114</v>
      </c>
      <c r="I990" s="79" t="s">
        <v>133</v>
      </c>
      <c r="J990" s="79">
        <v>2023</v>
      </c>
      <c r="K990" s="79" t="s">
        <v>1092</v>
      </c>
      <c r="L990" s="79"/>
    </row>
    <row r="991" spans="1:12" hidden="1" x14ac:dyDescent="0.25">
      <c r="A991" s="82">
        <v>44774</v>
      </c>
      <c r="B991" s="79" t="s">
        <v>2277</v>
      </c>
      <c r="C991" s="79" t="s">
        <v>2278</v>
      </c>
      <c r="D991" s="79"/>
      <c r="E991" s="79">
        <v>68427709</v>
      </c>
      <c r="F991" s="93">
        <v>24000</v>
      </c>
      <c r="G991" s="79" t="s">
        <v>113</v>
      </c>
      <c r="H991" s="79" t="s">
        <v>114</v>
      </c>
      <c r="I991" s="79"/>
      <c r="J991" s="79">
        <v>2023</v>
      </c>
      <c r="K991" s="79" t="s">
        <v>1634</v>
      </c>
      <c r="L991" s="79"/>
    </row>
    <row r="992" spans="1:12" hidden="1" x14ac:dyDescent="0.25">
      <c r="A992" s="82">
        <v>44774</v>
      </c>
      <c r="B992" s="79" t="s">
        <v>1518</v>
      </c>
      <c r="C992" s="79" t="s">
        <v>2279</v>
      </c>
      <c r="D992" s="79"/>
      <c r="E992" s="79">
        <v>68427709</v>
      </c>
      <c r="F992" s="93">
        <v>20000</v>
      </c>
      <c r="G992" s="79" t="s">
        <v>113</v>
      </c>
      <c r="H992" s="79" t="s">
        <v>114</v>
      </c>
      <c r="I992" s="79"/>
      <c r="J992" s="79">
        <v>2023</v>
      </c>
      <c r="K992" s="79" t="s">
        <v>1634</v>
      </c>
      <c r="L992" s="79"/>
    </row>
    <row r="993" spans="1:12" hidden="1" x14ac:dyDescent="0.25">
      <c r="A993" s="82">
        <v>44774</v>
      </c>
      <c r="B993" s="79" t="s">
        <v>2280</v>
      </c>
      <c r="C993" s="79"/>
      <c r="D993" s="79"/>
      <c r="E993" s="79">
        <v>68427709</v>
      </c>
      <c r="F993" s="93">
        <v>2000</v>
      </c>
      <c r="G993" s="79" t="s">
        <v>113</v>
      </c>
      <c r="H993" s="79" t="s">
        <v>114</v>
      </c>
      <c r="I993" s="79"/>
      <c r="J993" s="79">
        <v>2023</v>
      </c>
      <c r="K993" s="79" t="s">
        <v>1634</v>
      </c>
      <c r="L993" s="79"/>
    </row>
    <row r="994" spans="1:12" hidden="1" x14ac:dyDescent="0.25">
      <c r="A994" s="82">
        <v>44774</v>
      </c>
      <c r="B994" s="79" t="s">
        <v>2281</v>
      </c>
      <c r="C994" s="79" t="s">
        <v>2282</v>
      </c>
      <c r="D994" s="79"/>
      <c r="E994" s="79">
        <v>68427709</v>
      </c>
      <c r="F994" s="93">
        <v>25000</v>
      </c>
      <c r="G994" s="79" t="s">
        <v>113</v>
      </c>
      <c r="H994" s="79" t="s">
        <v>114</v>
      </c>
      <c r="I994" s="79"/>
      <c r="J994" s="79">
        <v>2023</v>
      </c>
      <c r="K994" s="79" t="s">
        <v>1634</v>
      </c>
      <c r="L994" s="79"/>
    </row>
    <row r="995" spans="1:12" hidden="1" x14ac:dyDescent="0.25">
      <c r="A995" s="82">
        <v>44774</v>
      </c>
      <c r="B995" s="79" t="s">
        <v>2283</v>
      </c>
      <c r="C995" s="79"/>
      <c r="D995" s="79"/>
      <c r="E995" s="79">
        <v>68427709</v>
      </c>
      <c r="F995" s="93">
        <v>54000</v>
      </c>
      <c r="G995" s="79" t="s">
        <v>113</v>
      </c>
      <c r="H995" s="79" t="s">
        <v>114</v>
      </c>
      <c r="I995" s="79"/>
      <c r="J995" s="79">
        <v>2023</v>
      </c>
      <c r="K995" s="79" t="s">
        <v>1634</v>
      </c>
      <c r="L995" s="79"/>
    </row>
    <row r="996" spans="1:12" hidden="1" x14ac:dyDescent="0.25">
      <c r="A996" s="82">
        <v>44774</v>
      </c>
      <c r="B996" s="79" t="s">
        <v>619</v>
      </c>
      <c r="C996" s="79"/>
      <c r="D996" s="79"/>
      <c r="E996" s="79">
        <v>68427709</v>
      </c>
      <c r="F996" s="93">
        <v>5000</v>
      </c>
      <c r="G996" s="79" t="s">
        <v>113</v>
      </c>
      <c r="H996" s="79" t="s">
        <v>114</v>
      </c>
      <c r="I996" s="79"/>
      <c r="J996" s="79">
        <v>2023</v>
      </c>
      <c r="K996" s="79" t="s">
        <v>1634</v>
      </c>
      <c r="L996" s="79"/>
    </row>
    <row r="997" spans="1:12" hidden="1" x14ac:dyDescent="0.25">
      <c r="A997" s="82">
        <v>44774</v>
      </c>
      <c r="B997" s="79" t="s">
        <v>2284</v>
      </c>
      <c r="C997" s="79" t="s">
        <v>2285</v>
      </c>
      <c r="D997" s="79"/>
      <c r="E997" s="79">
        <v>68427709</v>
      </c>
      <c r="F997" s="93">
        <v>-75000</v>
      </c>
      <c r="G997" s="79" t="s">
        <v>113</v>
      </c>
      <c r="H997" s="79" t="s">
        <v>114</v>
      </c>
      <c r="I997" s="79"/>
      <c r="J997" s="79">
        <v>2023</v>
      </c>
      <c r="K997" s="79" t="s">
        <v>1634</v>
      </c>
      <c r="L997" s="79"/>
    </row>
    <row r="998" spans="1:12" hidden="1" x14ac:dyDescent="0.25">
      <c r="A998" s="82">
        <v>44774</v>
      </c>
      <c r="B998" s="79" t="s">
        <v>909</v>
      </c>
      <c r="C998" s="79" t="s">
        <v>2286</v>
      </c>
      <c r="D998" s="79"/>
      <c r="E998" s="79">
        <v>68427709</v>
      </c>
      <c r="F998" s="93">
        <v>7000</v>
      </c>
      <c r="G998" s="79" t="s">
        <v>113</v>
      </c>
      <c r="H998" s="79" t="s">
        <v>114</v>
      </c>
      <c r="I998" s="79"/>
      <c r="J998" s="79">
        <v>2023</v>
      </c>
      <c r="K998" s="79" t="s">
        <v>1634</v>
      </c>
      <c r="L998" s="79"/>
    </row>
    <row r="999" spans="1:12" hidden="1" x14ac:dyDescent="0.25">
      <c r="A999" s="82">
        <v>44774</v>
      </c>
      <c r="B999" s="79" t="s">
        <v>766</v>
      </c>
      <c r="C999" s="79"/>
      <c r="D999" s="79"/>
      <c r="E999" s="79">
        <v>68427709</v>
      </c>
      <c r="F999" s="93">
        <v>11000</v>
      </c>
      <c r="G999" s="79" t="s">
        <v>113</v>
      </c>
      <c r="H999" s="79" t="s">
        <v>114</v>
      </c>
      <c r="I999" s="79"/>
      <c r="J999" s="79">
        <v>2023</v>
      </c>
      <c r="K999" s="79" t="s">
        <v>1634</v>
      </c>
      <c r="L999" s="79"/>
    </row>
    <row r="1000" spans="1:12" hidden="1" x14ac:dyDescent="0.25">
      <c r="A1000" s="82">
        <v>44774</v>
      </c>
      <c r="B1000" s="79" t="s">
        <v>161</v>
      </c>
      <c r="C1000" s="79" t="s">
        <v>2287</v>
      </c>
      <c r="D1000" s="79"/>
      <c r="E1000" s="79">
        <v>68427709</v>
      </c>
      <c r="F1000" s="93">
        <v>118000</v>
      </c>
      <c r="G1000" s="79" t="s">
        <v>113</v>
      </c>
      <c r="H1000" s="79" t="s">
        <v>114</v>
      </c>
      <c r="I1000" s="79"/>
      <c r="J1000" s="79">
        <v>2023</v>
      </c>
      <c r="K1000" s="79" t="s">
        <v>1634</v>
      </c>
      <c r="L1000" s="79"/>
    </row>
    <row r="1001" spans="1:12" hidden="1" x14ac:dyDescent="0.25">
      <c r="A1001" s="82">
        <v>44774</v>
      </c>
      <c r="B1001" s="79" t="s">
        <v>2288</v>
      </c>
      <c r="C1001" s="79"/>
      <c r="D1001" s="79"/>
      <c r="E1001" s="79">
        <v>68427709</v>
      </c>
      <c r="F1001" s="93">
        <v>2000</v>
      </c>
      <c r="G1001" s="79" t="s">
        <v>113</v>
      </c>
      <c r="H1001" s="79" t="s">
        <v>114</v>
      </c>
      <c r="I1001" s="79"/>
      <c r="J1001" s="79">
        <v>2023</v>
      </c>
      <c r="K1001" s="79" t="s">
        <v>1634</v>
      </c>
      <c r="L1001" s="79"/>
    </row>
    <row r="1002" spans="1:12" hidden="1" x14ac:dyDescent="0.25">
      <c r="A1002" s="82">
        <v>44774</v>
      </c>
      <c r="B1002" s="79" t="s">
        <v>2289</v>
      </c>
      <c r="C1002" s="79" t="s">
        <v>2189</v>
      </c>
      <c r="D1002" s="79"/>
      <c r="E1002" s="79">
        <v>68427709</v>
      </c>
      <c r="F1002" s="93">
        <v>-33000</v>
      </c>
      <c r="G1002" s="79" t="s">
        <v>113</v>
      </c>
      <c r="H1002" s="79" t="s">
        <v>114</v>
      </c>
      <c r="I1002" s="79"/>
      <c r="J1002" s="79">
        <v>2023</v>
      </c>
      <c r="K1002" s="79" t="s">
        <v>1634</v>
      </c>
      <c r="L1002" s="79"/>
    </row>
    <row r="1003" spans="1:12" hidden="1" x14ac:dyDescent="0.25">
      <c r="A1003" s="82">
        <v>44774</v>
      </c>
      <c r="B1003" s="79" t="s">
        <v>1642</v>
      </c>
      <c r="C1003" s="79" t="s">
        <v>2290</v>
      </c>
      <c r="D1003" s="79"/>
      <c r="E1003" s="79">
        <v>68427709</v>
      </c>
      <c r="F1003" s="93">
        <v>-36000</v>
      </c>
      <c r="G1003" s="79" t="s">
        <v>113</v>
      </c>
      <c r="H1003" s="79" t="s">
        <v>114</v>
      </c>
      <c r="I1003" s="79"/>
      <c r="J1003" s="79">
        <v>2023</v>
      </c>
      <c r="K1003" s="79" t="s">
        <v>1634</v>
      </c>
      <c r="L1003" s="79"/>
    </row>
    <row r="1004" spans="1:12" hidden="1" x14ac:dyDescent="0.25">
      <c r="A1004" s="82">
        <v>44774</v>
      </c>
      <c r="B1004" s="79" t="s">
        <v>1729</v>
      </c>
      <c r="C1004" s="79" t="s">
        <v>2291</v>
      </c>
      <c r="D1004" s="79"/>
      <c r="E1004" s="79">
        <v>68427709</v>
      </c>
      <c r="F1004" s="93">
        <v>-5000</v>
      </c>
      <c r="G1004" s="79" t="s">
        <v>113</v>
      </c>
      <c r="H1004" s="79" t="s">
        <v>114</v>
      </c>
      <c r="I1004" s="79"/>
      <c r="J1004" s="79">
        <v>2023</v>
      </c>
      <c r="K1004" s="79" t="s">
        <v>1634</v>
      </c>
      <c r="L1004" s="79"/>
    </row>
    <row r="1005" spans="1:12" hidden="1" x14ac:dyDescent="0.25">
      <c r="A1005" s="82">
        <v>44774</v>
      </c>
      <c r="B1005" s="79" t="s">
        <v>1593</v>
      </c>
      <c r="C1005" s="79" t="s">
        <v>2292</v>
      </c>
      <c r="D1005" s="79"/>
      <c r="E1005" s="79">
        <v>68427709</v>
      </c>
      <c r="F1005" s="93">
        <v>140000</v>
      </c>
      <c r="G1005" s="79" t="s">
        <v>113</v>
      </c>
      <c r="H1005" s="79" t="s">
        <v>114</v>
      </c>
      <c r="I1005" s="79"/>
      <c r="J1005" s="79">
        <v>2023</v>
      </c>
      <c r="K1005" s="79" t="s">
        <v>1634</v>
      </c>
      <c r="L1005" s="79"/>
    </row>
    <row r="1006" spans="1:12" hidden="1" x14ac:dyDescent="0.25">
      <c r="A1006" s="82">
        <v>44774</v>
      </c>
      <c r="B1006" s="79" t="s">
        <v>2293</v>
      </c>
      <c r="C1006" s="79" t="s">
        <v>2294</v>
      </c>
      <c r="D1006" s="79"/>
      <c r="E1006" s="79">
        <v>68427709</v>
      </c>
      <c r="F1006" s="93">
        <v>78000</v>
      </c>
      <c r="G1006" s="79" t="s">
        <v>113</v>
      </c>
      <c r="H1006" s="79" t="s">
        <v>114</v>
      </c>
      <c r="I1006" s="79"/>
      <c r="J1006" s="79">
        <v>2023</v>
      </c>
      <c r="K1006" s="79" t="s">
        <v>1634</v>
      </c>
      <c r="L1006" s="79"/>
    </row>
    <row r="1007" spans="1:12" hidden="1" x14ac:dyDescent="0.25">
      <c r="A1007" s="82">
        <v>44775</v>
      </c>
      <c r="B1007" s="79" t="s">
        <v>774</v>
      </c>
      <c r="C1007" s="79" t="s">
        <v>1744</v>
      </c>
      <c r="D1007" s="79"/>
      <c r="E1007" s="79">
        <v>68427709</v>
      </c>
      <c r="F1007" s="93">
        <v>14000</v>
      </c>
      <c r="G1007" s="79" t="s">
        <v>113</v>
      </c>
      <c r="H1007" s="79" t="s">
        <v>114</v>
      </c>
      <c r="I1007" s="79"/>
      <c r="J1007" s="79">
        <v>2023</v>
      </c>
      <c r="K1007" s="79" t="s">
        <v>2295</v>
      </c>
      <c r="L1007" s="79"/>
    </row>
    <row r="1008" spans="1:12" hidden="1" x14ac:dyDescent="0.25">
      <c r="A1008" s="82">
        <v>44776</v>
      </c>
      <c r="B1008" s="79" t="s">
        <v>1690</v>
      </c>
      <c r="C1008" s="79" t="s">
        <v>562</v>
      </c>
      <c r="D1008" s="79"/>
      <c r="E1008" s="79">
        <v>68427709</v>
      </c>
      <c r="F1008" s="93">
        <v>30000</v>
      </c>
      <c r="G1008" s="79" t="s">
        <v>113</v>
      </c>
      <c r="H1008" s="79" t="s">
        <v>114</v>
      </c>
      <c r="I1008" s="79" t="s">
        <v>1700</v>
      </c>
      <c r="J1008" s="79">
        <v>2023</v>
      </c>
      <c r="K1008" s="79" t="s">
        <v>1588</v>
      </c>
      <c r="L1008" s="79"/>
    </row>
    <row r="1009" spans="1:12" hidden="1" x14ac:dyDescent="0.25">
      <c r="A1009" s="82">
        <v>44782</v>
      </c>
      <c r="B1009" s="79" t="s">
        <v>1542</v>
      </c>
      <c r="C1009" s="79" t="s">
        <v>2181</v>
      </c>
      <c r="D1009" s="79"/>
      <c r="E1009" s="79">
        <v>68427709</v>
      </c>
      <c r="F1009" s="93">
        <v>-27000</v>
      </c>
      <c r="G1009" s="79" t="s">
        <v>113</v>
      </c>
      <c r="H1009" s="79" t="s">
        <v>114</v>
      </c>
      <c r="I1009" s="79" t="s">
        <v>1700</v>
      </c>
      <c r="J1009" s="79">
        <v>2023</v>
      </c>
      <c r="K1009" s="79" t="s">
        <v>1634</v>
      </c>
      <c r="L1009" s="79"/>
    </row>
    <row r="1010" spans="1:12" hidden="1" x14ac:dyDescent="0.25">
      <c r="A1010" s="84"/>
      <c r="B1010" s="84" t="s">
        <v>2296</v>
      </c>
      <c r="C1010" s="84"/>
      <c r="D1010" s="84"/>
      <c r="E1010" s="84"/>
      <c r="F1010" s="121"/>
      <c r="G1010" s="84"/>
      <c r="H1010" s="84"/>
      <c r="I1010" s="84"/>
      <c r="J1010" s="84"/>
      <c r="K1010" s="84"/>
      <c r="L1010" s="84"/>
    </row>
    <row r="1011" spans="1:12" hidden="1" x14ac:dyDescent="0.25">
      <c r="A1011" s="82">
        <v>44902</v>
      </c>
      <c r="B1011" s="79" t="s">
        <v>2297</v>
      </c>
      <c r="C1011" s="79" t="s">
        <v>2298</v>
      </c>
      <c r="D1011" s="79" t="s">
        <v>2299</v>
      </c>
      <c r="E1011" s="79">
        <v>68427709</v>
      </c>
      <c r="F1011" s="93">
        <v>70000</v>
      </c>
      <c r="G1011" s="79" t="s">
        <v>113</v>
      </c>
      <c r="H1011" s="79" t="s">
        <v>114</v>
      </c>
      <c r="I1011" s="79" t="s">
        <v>1700</v>
      </c>
      <c r="J1011" s="79">
        <v>2024</v>
      </c>
      <c r="K1011" s="79" t="s">
        <v>116</v>
      </c>
      <c r="L1011" s="79"/>
    </row>
    <row r="1012" spans="1:12" hidden="1" x14ac:dyDescent="0.25">
      <c r="A1012" s="82">
        <v>44917</v>
      </c>
      <c r="B1012" s="79" t="s">
        <v>2300</v>
      </c>
      <c r="C1012" s="79" t="s">
        <v>2301</v>
      </c>
      <c r="D1012" s="79" t="s">
        <v>323</v>
      </c>
      <c r="E1012" s="79">
        <v>68427709</v>
      </c>
      <c r="F1012" s="93">
        <v>10000</v>
      </c>
      <c r="G1012" s="79" t="s">
        <v>113</v>
      </c>
      <c r="H1012" s="79" t="s">
        <v>114</v>
      </c>
      <c r="I1012" s="79" t="s">
        <v>1700</v>
      </c>
      <c r="J1012" s="79">
        <v>2024</v>
      </c>
      <c r="K1012" s="79" t="s">
        <v>116</v>
      </c>
      <c r="L1012" s="79"/>
    </row>
    <row r="1013" spans="1:12" hidden="1" x14ac:dyDescent="0.25">
      <c r="A1013" s="82">
        <v>44930</v>
      </c>
      <c r="B1013" s="79" t="s">
        <v>2302</v>
      </c>
      <c r="C1013" s="79" t="s">
        <v>2303</v>
      </c>
      <c r="D1013" s="79" t="s">
        <v>135</v>
      </c>
      <c r="E1013" s="79">
        <v>68427709</v>
      </c>
      <c r="F1013" s="93">
        <v>9000</v>
      </c>
      <c r="G1013" s="79" t="s">
        <v>113</v>
      </c>
      <c r="H1013" s="79" t="s">
        <v>114</v>
      </c>
      <c r="I1013" s="79" t="s">
        <v>1700</v>
      </c>
      <c r="J1013" s="79">
        <v>2024</v>
      </c>
      <c r="K1013" s="79" t="s">
        <v>1092</v>
      </c>
      <c r="L1013" s="79"/>
    </row>
    <row r="1014" spans="1:12" hidden="1" x14ac:dyDescent="0.25">
      <c r="A1014" s="82">
        <v>44930</v>
      </c>
      <c r="B1014" s="79" t="s">
        <v>292</v>
      </c>
      <c r="C1014" s="79" t="s">
        <v>2303</v>
      </c>
      <c r="D1014" s="79"/>
      <c r="E1014" s="79">
        <v>68427709</v>
      </c>
      <c r="F1014" s="93">
        <v>-10000</v>
      </c>
      <c r="G1014" s="79" t="s">
        <v>113</v>
      </c>
      <c r="H1014" s="79" t="s">
        <v>114</v>
      </c>
      <c r="I1014" s="79" t="s">
        <v>1700</v>
      </c>
      <c r="J1014" s="79">
        <v>2024</v>
      </c>
      <c r="K1014" s="79" t="s">
        <v>1092</v>
      </c>
      <c r="L1014" s="79"/>
    </row>
    <row r="1015" spans="1:12" hidden="1" x14ac:dyDescent="0.25">
      <c r="A1015" s="82">
        <v>44956</v>
      </c>
      <c r="B1015" s="79" t="s">
        <v>2304</v>
      </c>
      <c r="C1015" s="79" t="s">
        <v>2303</v>
      </c>
      <c r="D1015" s="79"/>
      <c r="E1015" s="79">
        <v>68427709</v>
      </c>
      <c r="F1015" s="93">
        <v>3500</v>
      </c>
      <c r="G1015" s="79" t="s">
        <v>113</v>
      </c>
      <c r="H1015" s="79" t="s">
        <v>114</v>
      </c>
      <c r="I1015" s="79" t="s">
        <v>1700</v>
      </c>
      <c r="J1015" s="79">
        <v>2024</v>
      </c>
      <c r="K1015" s="79" t="s">
        <v>116</v>
      </c>
      <c r="L1015" s="79"/>
    </row>
    <row r="1016" spans="1:12" hidden="1" x14ac:dyDescent="0.25">
      <c r="A1016" s="82">
        <v>45035</v>
      </c>
      <c r="B1016" s="79" t="s">
        <v>2305</v>
      </c>
      <c r="C1016" s="79" t="s">
        <v>2306</v>
      </c>
      <c r="D1016" s="79" t="s">
        <v>2307</v>
      </c>
      <c r="E1016" s="79">
        <v>68427709</v>
      </c>
      <c r="F1016" s="93">
        <v>55000</v>
      </c>
      <c r="G1016" s="79" t="s">
        <v>113</v>
      </c>
      <c r="H1016" s="79" t="s">
        <v>114</v>
      </c>
      <c r="I1016" s="79" t="s">
        <v>1700</v>
      </c>
      <c r="J1016" s="79">
        <v>2024</v>
      </c>
      <c r="K1016" s="79" t="s">
        <v>116</v>
      </c>
      <c r="L1016" s="79" t="s">
        <v>2308</v>
      </c>
    </row>
    <row r="1017" spans="1:12" hidden="1" x14ac:dyDescent="0.25">
      <c r="A1017" s="82">
        <v>45035</v>
      </c>
      <c r="B1017" s="79" t="s">
        <v>2309</v>
      </c>
      <c r="C1017" s="79" t="s">
        <v>2310</v>
      </c>
      <c r="D1017" s="79" t="s">
        <v>277</v>
      </c>
      <c r="E1017" s="79">
        <v>68427709</v>
      </c>
      <c r="F1017" s="93">
        <v>-60000</v>
      </c>
      <c r="G1017" s="79" t="s">
        <v>113</v>
      </c>
      <c r="H1017" s="79" t="s">
        <v>114</v>
      </c>
      <c r="I1017" s="79" t="s">
        <v>948</v>
      </c>
      <c r="J1017" s="79">
        <v>2024</v>
      </c>
      <c r="K1017" s="79" t="s">
        <v>116</v>
      </c>
      <c r="L1017" s="79"/>
    </row>
    <row r="1018" spans="1:12" hidden="1" x14ac:dyDescent="0.25">
      <c r="A1018" s="82">
        <v>45069</v>
      </c>
      <c r="B1018" s="79" t="s">
        <v>2005</v>
      </c>
      <c r="C1018" s="79" t="s">
        <v>2006</v>
      </c>
      <c r="D1018" s="79"/>
      <c r="E1018" s="79">
        <v>68427709</v>
      </c>
      <c r="F1018" s="93">
        <v>-1800</v>
      </c>
      <c r="G1018" s="79" t="s">
        <v>113</v>
      </c>
      <c r="H1018" s="79" t="s">
        <v>114</v>
      </c>
      <c r="I1018" s="79" t="s">
        <v>948</v>
      </c>
      <c r="J1018" s="79">
        <v>2024</v>
      </c>
      <c r="K1018" s="79" t="s">
        <v>116</v>
      </c>
      <c r="L1018" s="79"/>
    </row>
    <row r="1019" spans="1:12" hidden="1" x14ac:dyDescent="0.25">
      <c r="A1019" s="82">
        <v>45069</v>
      </c>
      <c r="B1019" s="79" t="s">
        <v>2007</v>
      </c>
      <c r="C1019" s="79" t="s">
        <v>2008</v>
      </c>
      <c r="D1019" s="79"/>
      <c r="E1019" s="79">
        <v>68427709</v>
      </c>
      <c r="F1019" s="93">
        <v>-1800</v>
      </c>
      <c r="G1019" s="79" t="s">
        <v>113</v>
      </c>
      <c r="H1019" s="79" t="s">
        <v>114</v>
      </c>
      <c r="I1019" s="79" t="s">
        <v>948</v>
      </c>
      <c r="J1019" s="79">
        <v>2024</v>
      </c>
      <c r="K1019" s="79" t="s">
        <v>116</v>
      </c>
      <c r="L1019" s="79"/>
    </row>
    <row r="1020" spans="1:12" hidden="1" x14ac:dyDescent="0.25">
      <c r="A1020" s="82">
        <v>45069</v>
      </c>
      <c r="B1020" s="79" t="s">
        <v>2009</v>
      </c>
      <c r="C1020" s="79" t="s">
        <v>2010</v>
      </c>
      <c r="D1020" s="79"/>
      <c r="E1020" s="79">
        <v>68427709</v>
      </c>
      <c r="F1020" s="93">
        <v>-64800</v>
      </c>
      <c r="G1020" s="79" t="s">
        <v>113</v>
      </c>
      <c r="H1020" s="79" t="s">
        <v>114</v>
      </c>
      <c r="I1020" s="79" t="s">
        <v>948</v>
      </c>
      <c r="J1020" s="79">
        <v>2024</v>
      </c>
      <c r="K1020" s="79" t="s">
        <v>116</v>
      </c>
      <c r="L1020" s="79" t="s">
        <v>1604</v>
      </c>
    </row>
    <row r="1021" spans="1:12" hidden="1" x14ac:dyDescent="0.25">
      <c r="A1021" s="82">
        <v>45069</v>
      </c>
      <c r="B1021" s="79" t="s">
        <v>2011</v>
      </c>
      <c r="C1021" s="79" t="s">
        <v>2012</v>
      </c>
      <c r="D1021" s="79"/>
      <c r="E1021" s="79">
        <v>68427709</v>
      </c>
      <c r="F1021" s="93">
        <v>-21600</v>
      </c>
      <c r="G1021" s="79" t="s">
        <v>113</v>
      </c>
      <c r="H1021" s="79" t="s">
        <v>114</v>
      </c>
      <c r="I1021" s="79" t="s">
        <v>948</v>
      </c>
      <c r="J1021" s="79">
        <v>2024</v>
      </c>
      <c r="K1021" s="79" t="s">
        <v>116</v>
      </c>
      <c r="L1021" s="79" t="s">
        <v>1604</v>
      </c>
    </row>
    <row r="1022" spans="1:12" hidden="1" x14ac:dyDescent="0.25">
      <c r="A1022" s="82">
        <v>45069</v>
      </c>
      <c r="B1022" s="79" t="s">
        <v>2013</v>
      </c>
      <c r="C1022" s="79" t="s">
        <v>2014</v>
      </c>
      <c r="D1022" s="79"/>
      <c r="E1022" s="79">
        <v>68427709</v>
      </c>
      <c r="F1022" s="93">
        <v>-22000</v>
      </c>
      <c r="G1022" s="79" t="s">
        <v>113</v>
      </c>
      <c r="H1022" s="79" t="s">
        <v>114</v>
      </c>
      <c r="I1022" s="79" t="s">
        <v>948</v>
      </c>
      <c r="J1022" s="79">
        <v>2024</v>
      </c>
      <c r="K1022" s="79" t="s">
        <v>116</v>
      </c>
      <c r="L1022" s="79" t="s">
        <v>2311</v>
      </c>
    </row>
    <row r="1023" spans="1:12" hidden="1" x14ac:dyDescent="0.25">
      <c r="A1023" s="82">
        <v>45069</v>
      </c>
      <c r="B1023" s="79" t="s">
        <v>2015</v>
      </c>
      <c r="C1023" s="79" t="s">
        <v>2016</v>
      </c>
      <c r="D1023" s="79"/>
      <c r="E1023" s="79">
        <v>68427709</v>
      </c>
      <c r="F1023" s="93">
        <v>-900</v>
      </c>
      <c r="G1023" s="79" t="s">
        <v>113</v>
      </c>
      <c r="H1023" s="79" t="s">
        <v>114</v>
      </c>
      <c r="I1023" s="79" t="s">
        <v>948</v>
      </c>
      <c r="J1023" s="79">
        <v>2024</v>
      </c>
      <c r="K1023" s="79" t="s">
        <v>116</v>
      </c>
      <c r="L1023" s="79"/>
    </row>
    <row r="1024" spans="1:12" hidden="1" x14ac:dyDescent="0.25">
      <c r="A1024" s="82">
        <v>45069</v>
      </c>
      <c r="B1024" s="79" t="s">
        <v>2017</v>
      </c>
      <c r="C1024" s="79" t="s">
        <v>2018</v>
      </c>
      <c r="D1024" s="79"/>
      <c r="E1024" s="79">
        <v>68427709</v>
      </c>
      <c r="F1024" s="93">
        <v>-75600</v>
      </c>
      <c r="G1024" s="79" t="s">
        <v>113</v>
      </c>
      <c r="H1024" s="79" t="s">
        <v>114</v>
      </c>
      <c r="I1024" s="79" t="s">
        <v>948</v>
      </c>
      <c r="J1024" s="79">
        <v>2024</v>
      </c>
      <c r="K1024" s="79" t="s">
        <v>116</v>
      </c>
      <c r="L1024" s="79" t="s">
        <v>1604</v>
      </c>
    </row>
    <row r="1025" spans="1:12" hidden="1" x14ac:dyDescent="0.25">
      <c r="A1025" s="82">
        <v>45069</v>
      </c>
      <c r="B1025" s="79" t="s">
        <v>2019</v>
      </c>
      <c r="C1025" s="79" t="s">
        <v>2020</v>
      </c>
      <c r="D1025" s="79"/>
      <c r="E1025" s="79">
        <v>68427709</v>
      </c>
      <c r="F1025" s="93">
        <v>-2800</v>
      </c>
      <c r="G1025" s="79" t="s">
        <v>113</v>
      </c>
      <c r="H1025" s="79" t="s">
        <v>114</v>
      </c>
      <c r="I1025" s="79" t="s">
        <v>948</v>
      </c>
      <c r="J1025" s="79">
        <v>2024</v>
      </c>
      <c r="K1025" s="79" t="s">
        <v>116</v>
      </c>
      <c r="L1025" s="79"/>
    </row>
    <row r="1026" spans="1:12" hidden="1" x14ac:dyDescent="0.25">
      <c r="A1026" s="82">
        <v>45069</v>
      </c>
      <c r="B1026" s="79" t="s">
        <v>2021</v>
      </c>
      <c r="C1026" s="79" t="s">
        <v>2022</v>
      </c>
      <c r="D1026" s="79"/>
      <c r="E1026" s="79">
        <v>68427709</v>
      </c>
      <c r="F1026" s="93">
        <v>-400</v>
      </c>
      <c r="G1026" s="79" t="s">
        <v>113</v>
      </c>
      <c r="H1026" s="79" t="s">
        <v>114</v>
      </c>
      <c r="I1026" s="79" t="s">
        <v>948</v>
      </c>
      <c r="J1026" s="79">
        <v>2024</v>
      </c>
      <c r="K1026" s="79" t="s">
        <v>116</v>
      </c>
      <c r="L1026" s="79"/>
    </row>
    <row r="1027" spans="1:12" hidden="1" x14ac:dyDescent="0.25">
      <c r="A1027" s="82">
        <v>45069</v>
      </c>
      <c r="B1027" s="79" t="s">
        <v>2023</v>
      </c>
      <c r="C1027" s="79" t="s">
        <v>2024</v>
      </c>
      <c r="D1027" s="79"/>
      <c r="E1027" s="79">
        <v>68427709</v>
      </c>
      <c r="F1027" s="93">
        <v>-900</v>
      </c>
      <c r="G1027" s="79" t="s">
        <v>113</v>
      </c>
      <c r="H1027" s="79" t="s">
        <v>114</v>
      </c>
      <c r="I1027" s="79" t="s">
        <v>948</v>
      </c>
      <c r="J1027" s="79">
        <v>2024</v>
      </c>
      <c r="K1027" s="79" t="s">
        <v>116</v>
      </c>
      <c r="L1027" s="79"/>
    </row>
    <row r="1028" spans="1:12" hidden="1" x14ac:dyDescent="0.25">
      <c r="A1028" s="82">
        <v>45069</v>
      </c>
      <c r="B1028" s="79" t="s">
        <v>2025</v>
      </c>
      <c r="C1028" s="79" t="s">
        <v>2026</v>
      </c>
      <c r="D1028" s="79"/>
      <c r="E1028" s="79">
        <v>68427709</v>
      </c>
      <c r="F1028" s="93">
        <v>-1400</v>
      </c>
      <c r="G1028" s="79" t="s">
        <v>113</v>
      </c>
      <c r="H1028" s="79" t="s">
        <v>114</v>
      </c>
      <c r="I1028" s="79" t="s">
        <v>948</v>
      </c>
      <c r="J1028" s="79">
        <v>2024</v>
      </c>
      <c r="K1028" s="79" t="s">
        <v>116</v>
      </c>
      <c r="L1028" s="79"/>
    </row>
    <row r="1029" spans="1:12" hidden="1" x14ac:dyDescent="0.25">
      <c r="A1029" s="82">
        <v>45069</v>
      </c>
      <c r="B1029" s="79" t="s">
        <v>2027</v>
      </c>
      <c r="C1029" s="79" t="s">
        <v>2028</v>
      </c>
      <c r="D1029" s="79"/>
      <c r="E1029" s="79">
        <v>68427709</v>
      </c>
      <c r="F1029" s="93">
        <v>-400</v>
      </c>
      <c r="G1029" s="79" t="s">
        <v>113</v>
      </c>
      <c r="H1029" s="79" t="s">
        <v>114</v>
      </c>
      <c r="I1029" s="79" t="s">
        <v>948</v>
      </c>
      <c r="J1029" s="79">
        <v>2024</v>
      </c>
      <c r="K1029" s="79" t="s">
        <v>116</v>
      </c>
      <c r="L1029" s="79"/>
    </row>
    <row r="1030" spans="1:12" hidden="1" x14ac:dyDescent="0.25">
      <c r="A1030" s="82">
        <v>45069</v>
      </c>
      <c r="B1030" s="79" t="s">
        <v>2029</v>
      </c>
      <c r="C1030" s="79" t="s">
        <v>2030</v>
      </c>
      <c r="D1030" s="79"/>
      <c r="E1030" s="79">
        <v>68427709</v>
      </c>
      <c r="F1030" s="93">
        <v>-400</v>
      </c>
      <c r="G1030" s="79" t="s">
        <v>113</v>
      </c>
      <c r="H1030" s="79" t="s">
        <v>114</v>
      </c>
      <c r="I1030" s="79" t="s">
        <v>948</v>
      </c>
      <c r="J1030" s="79">
        <v>2024</v>
      </c>
      <c r="K1030" s="79" t="s">
        <v>116</v>
      </c>
      <c r="L1030" s="79"/>
    </row>
    <row r="1031" spans="1:12" hidden="1" x14ac:dyDescent="0.25">
      <c r="A1031" s="82">
        <v>45069</v>
      </c>
      <c r="B1031" s="79" t="s">
        <v>2031</v>
      </c>
      <c r="C1031" s="79" t="s">
        <v>2032</v>
      </c>
      <c r="D1031" s="79"/>
      <c r="E1031" s="79">
        <v>68427709</v>
      </c>
      <c r="F1031" s="93">
        <v>-900</v>
      </c>
      <c r="G1031" s="79" t="s">
        <v>113</v>
      </c>
      <c r="H1031" s="79" t="s">
        <v>114</v>
      </c>
      <c r="I1031" s="79" t="s">
        <v>948</v>
      </c>
      <c r="J1031" s="79">
        <v>2024</v>
      </c>
      <c r="K1031" s="79" t="s">
        <v>116</v>
      </c>
      <c r="L1031" s="79"/>
    </row>
    <row r="1032" spans="1:12" hidden="1" x14ac:dyDescent="0.25">
      <c r="A1032" s="82">
        <v>45069</v>
      </c>
      <c r="B1032" s="79" t="s">
        <v>2033</v>
      </c>
      <c r="C1032" s="79" t="s">
        <v>2034</v>
      </c>
      <c r="D1032" s="79"/>
      <c r="E1032" s="79">
        <v>68427709</v>
      </c>
      <c r="F1032" s="93">
        <v>-900</v>
      </c>
      <c r="G1032" s="79" t="s">
        <v>113</v>
      </c>
      <c r="H1032" s="79" t="s">
        <v>114</v>
      </c>
      <c r="I1032" s="79" t="s">
        <v>948</v>
      </c>
      <c r="J1032" s="79">
        <v>2024</v>
      </c>
      <c r="K1032" s="79" t="s">
        <v>116</v>
      </c>
      <c r="L1032" s="79"/>
    </row>
    <row r="1033" spans="1:12" hidden="1" x14ac:dyDescent="0.25">
      <c r="A1033" s="82">
        <v>45069</v>
      </c>
      <c r="B1033" s="79" t="s">
        <v>2035</v>
      </c>
      <c r="C1033" s="79" t="s">
        <v>2036</v>
      </c>
      <c r="D1033" s="79"/>
      <c r="E1033" s="79">
        <v>68427709</v>
      </c>
      <c r="F1033" s="93">
        <v>-400</v>
      </c>
      <c r="G1033" s="79" t="s">
        <v>113</v>
      </c>
      <c r="H1033" s="79" t="s">
        <v>114</v>
      </c>
      <c r="I1033" s="79" t="s">
        <v>948</v>
      </c>
      <c r="J1033" s="79">
        <v>2024</v>
      </c>
      <c r="K1033" s="79" t="s">
        <v>116</v>
      </c>
      <c r="L1033" s="79"/>
    </row>
    <row r="1034" spans="1:12" hidden="1" x14ac:dyDescent="0.25">
      <c r="A1034" s="82">
        <v>45069</v>
      </c>
      <c r="B1034" s="79" t="s">
        <v>2037</v>
      </c>
      <c r="C1034" s="79" t="s">
        <v>2038</v>
      </c>
      <c r="D1034" s="79"/>
      <c r="E1034" s="79">
        <v>68427709</v>
      </c>
      <c r="F1034" s="93">
        <v>-900</v>
      </c>
      <c r="G1034" s="79" t="s">
        <v>113</v>
      </c>
      <c r="H1034" s="79" t="s">
        <v>114</v>
      </c>
      <c r="I1034" s="79" t="s">
        <v>948</v>
      </c>
      <c r="J1034" s="79">
        <v>2024</v>
      </c>
      <c r="K1034" s="79" t="s">
        <v>116</v>
      </c>
      <c r="L1034" s="79"/>
    </row>
    <row r="1035" spans="1:12" hidden="1" x14ac:dyDescent="0.25">
      <c r="A1035" s="82">
        <v>45069</v>
      </c>
      <c r="B1035" s="79" t="s">
        <v>2039</v>
      </c>
      <c r="C1035" s="79" t="s">
        <v>2040</v>
      </c>
      <c r="D1035" s="79"/>
      <c r="E1035" s="79">
        <v>68427709</v>
      </c>
      <c r="F1035" s="93">
        <v>-900</v>
      </c>
      <c r="G1035" s="79" t="s">
        <v>113</v>
      </c>
      <c r="H1035" s="79" t="s">
        <v>114</v>
      </c>
      <c r="I1035" s="79" t="s">
        <v>948</v>
      </c>
      <c r="J1035" s="79">
        <v>2024</v>
      </c>
      <c r="K1035" s="79" t="s">
        <v>116</v>
      </c>
      <c r="L1035" s="79"/>
    </row>
    <row r="1036" spans="1:12" hidden="1" x14ac:dyDescent="0.25">
      <c r="A1036" s="82">
        <v>45069</v>
      </c>
      <c r="B1036" s="79" t="s">
        <v>2041</v>
      </c>
      <c r="C1036" s="79" t="s">
        <v>2042</v>
      </c>
      <c r="D1036" s="79"/>
      <c r="E1036" s="79">
        <v>68427709</v>
      </c>
      <c r="F1036" s="93">
        <v>-900</v>
      </c>
      <c r="G1036" s="79" t="s">
        <v>113</v>
      </c>
      <c r="H1036" s="79" t="s">
        <v>114</v>
      </c>
      <c r="I1036" s="79" t="s">
        <v>948</v>
      </c>
      <c r="J1036" s="79">
        <v>2024</v>
      </c>
      <c r="K1036" s="79" t="s">
        <v>116</v>
      </c>
      <c r="L1036" s="79"/>
    </row>
    <row r="1037" spans="1:12" hidden="1" x14ac:dyDescent="0.25">
      <c r="A1037" s="82">
        <v>45069</v>
      </c>
      <c r="B1037" s="79" t="s">
        <v>2043</v>
      </c>
      <c r="C1037" s="79" t="s">
        <v>2044</v>
      </c>
      <c r="D1037" s="79"/>
      <c r="E1037" s="79">
        <v>68427709</v>
      </c>
      <c r="F1037" s="93">
        <v>-400</v>
      </c>
      <c r="G1037" s="79" t="s">
        <v>113</v>
      </c>
      <c r="H1037" s="79" t="s">
        <v>114</v>
      </c>
      <c r="I1037" s="79" t="s">
        <v>948</v>
      </c>
      <c r="J1037" s="79">
        <v>2024</v>
      </c>
      <c r="K1037" s="79" t="s">
        <v>116</v>
      </c>
      <c r="L1037" s="79"/>
    </row>
    <row r="1038" spans="1:12" hidden="1" x14ac:dyDescent="0.25">
      <c r="A1038" s="82">
        <v>45069</v>
      </c>
      <c r="B1038" s="79" t="s">
        <v>2045</v>
      </c>
      <c r="C1038" s="79" t="s">
        <v>2046</v>
      </c>
      <c r="D1038" s="79"/>
      <c r="E1038" s="79">
        <v>68427709</v>
      </c>
      <c r="F1038" s="93">
        <v>-400</v>
      </c>
      <c r="G1038" s="79" t="s">
        <v>113</v>
      </c>
      <c r="H1038" s="79" t="s">
        <v>114</v>
      </c>
      <c r="I1038" s="79" t="s">
        <v>948</v>
      </c>
      <c r="J1038" s="79">
        <v>2024</v>
      </c>
      <c r="K1038" s="79" t="s">
        <v>116</v>
      </c>
      <c r="L1038" s="79"/>
    </row>
    <row r="1039" spans="1:12" hidden="1" x14ac:dyDescent="0.25">
      <c r="A1039" s="82">
        <v>45069</v>
      </c>
      <c r="B1039" s="79" t="s">
        <v>2047</v>
      </c>
      <c r="C1039" s="79" t="s">
        <v>2048</v>
      </c>
      <c r="D1039" s="79"/>
      <c r="E1039" s="79">
        <v>68427709</v>
      </c>
      <c r="F1039" s="93">
        <v>-400</v>
      </c>
      <c r="G1039" s="79" t="s">
        <v>113</v>
      </c>
      <c r="H1039" s="79" t="s">
        <v>114</v>
      </c>
      <c r="I1039" s="79" t="s">
        <v>948</v>
      </c>
      <c r="J1039" s="79">
        <v>2024</v>
      </c>
      <c r="K1039" s="79" t="s">
        <v>116</v>
      </c>
      <c r="L1039" s="79"/>
    </row>
    <row r="1040" spans="1:12" hidden="1" x14ac:dyDescent="0.25">
      <c r="A1040" s="82">
        <v>45069</v>
      </c>
      <c r="B1040" s="79" t="s">
        <v>2049</v>
      </c>
      <c r="C1040" s="79" t="s">
        <v>2050</v>
      </c>
      <c r="D1040" s="79"/>
      <c r="E1040" s="79">
        <v>68427709</v>
      </c>
      <c r="F1040" s="93">
        <v>-400</v>
      </c>
      <c r="G1040" s="79" t="s">
        <v>113</v>
      </c>
      <c r="H1040" s="79" t="s">
        <v>114</v>
      </c>
      <c r="I1040" s="79" t="s">
        <v>948</v>
      </c>
      <c r="J1040" s="79">
        <v>2024</v>
      </c>
      <c r="K1040" s="79" t="s">
        <v>116</v>
      </c>
      <c r="L1040" s="79"/>
    </row>
    <row r="1041" spans="1:12" hidden="1" x14ac:dyDescent="0.25">
      <c r="A1041" s="82">
        <v>45069</v>
      </c>
      <c r="B1041" s="79" t="s">
        <v>2054</v>
      </c>
      <c r="C1041" s="79" t="s">
        <v>2055</v>
      </c>
      <c r="D1041" s="79"/>
      <c r="E1041" s="79">
        <v>68427709</v>
      </c>
      <c r="F1041" s="93">
        <v>-400</v>
      </c>
      <c r="G1041" s="79" t="s">
        <v>113</v>
      </c>
      <c r="H1041" s="79" t="s">
        <v>114</v>
      </c>
      <c r="I1041" s="79" t="s">
        <v>948</v>
      </c>
      <c r="J1041" s="79">
        <v>2024</v>
      </c>
      <c r="K1041" s="79" t="s">
        <v>116</v>
      </c>
      <c r="L1041" s="79"/>
    </row>
    <row r="1042" spans="1:12" hidden="1" x14ac:dyDescent="0.25">
      <c r="A1042" s="82">
        <v>45069</v>
      </c>
      <c r="B1042" s="79" t="s">
        <v>2056</v>
      </c>
      <c r="C1042" s="79" t="s">
        <v>2057</v>
      </c>
      <c r="D1042" s="79"/>
      <c r="E1042" s="79">
        <v>68427709</v>
      </c>
      <c r="F1042" s="93">
        <v>-400</v>
      </c>
      <c r="G1042" s="79" t="s">
        <v>113</v>
      </c>
      <c r="H1042" s="79" t="s">
        <v>114</v>
      </c>
      <c r="I1042" s="79" t="s">
        <v>948</v>
      </c>
      <c r="J1042" s="79">
        <v>2024</v>
      </c>
      <c r="K1042" s="79" t="s">
        <v>116</v>
      </c>
      <c r="L1042" s="79"/>
    </row>
    <row r="1043" spans="1:12" hidden="1" x14ac:dyDescent="0.25">
      <c r="A1043" s="82">
        <v>45069</v>
      </c>
      <c r="B1043" s="79" t="s">
        <v>2058</v>
      </c>
      <c r="C1043" s="79" t="s">
        <v>2059</v>
      </c>
      <c r="D1043" s="79"/>
      <c r="E1043" s="79">
        <v>68427709</v>
      </c>
      <c r="F1043" s="93">
        <v>-900</v>
      </c>
      <c r="G1043" s="79" t="s">
        <v>113</v>
      </c>
      <c r="H1043" s="79" t="s">
        <v>114</v>
      </c>
      <c r="I1043" s="79" t="s">
        <v>948</v>
      </c>
      <c r="J1043" s="79">
        <v>2024</v>
      </c>
      <c r="K1043" s="79" t="s">
        <v>116</v>
      </c>
      <c r="L1043" s="79"/>
    </row>
    <row r="1044" spans="1:12" hidden="1" x14ac:dyDescent="0.25">
      <c r="A1044" s="82">
        <v>45069</v>
      </c>
      <c r="B1044" s="79" t="s">
        <v>2060</v>
      </c>
      <c r="C1044" s="79" t="s">
        <v>2061</v>
      </c>
      <c r="D1044" s="79"/>
      <c r="E1044" s="79">
        <v>68427709</v>
      </c>
      <c r="F1044" s="93">
        <v>-900</v>
      </c>
      <c r="G1044" s="79" t="s">
        <v>113</v>
      </c>
      <c r="H1044" s="79" t="s">
        <v>114</v>
      </c>
      <c r="I1044" s="79" t="s">
        <v>948</v>
      </c>
      <c r="J1044" s="79">
        <v>2024</v>
      </c>
      <c r="K1044" s="79" t="s">
        <v>116</v>
      </c>
      <c r="L1044" s="79"/>
    </row>
    <row r="1045" spans="1:12" hidden="1" x14ac:dyDescent="0.25">
      <c r="A1045" s="82">
        <v>45069</v>
      </c>
      <c r="B1045" s="79" t="s">
        <v>2062</v>
      </c>
      <c r="C1045" s="79" t="s">
        <v>2063</v>
      </c>
      <c r="D1045" s="79"/>
      <c r="E1045" s="79">
        <v>68427709</v>
      </c>
      <c r="F1045" s="93">
        <v>-400</v>
      </c>
      <c r="G1045" s="79" t="s">
        <v>113</v>
      </c>
      <c r="H1045" s="79" t="s">
        <v>114</v>
      </c>
      <c r="I1045" s="79" t="s">
        <v>948</v>
      </c>
      <c r="J1045" s="79">
        <v>2024</v>
      </c>
      <c r="K1045" s="79" t="s">
        <v>116</v>
      </c>
      <c r="L1045" s="79"/>
    </row>
    <row r="1046" spans="1:12" hidden="1" x14ac:dyDescent="0.25">
      <c r="A1046" s="82">
        <v>45069</v>
      </c>
      <c r="B1046" s="79" t="s">
        <v>2064</v>
      </c>
      <c r="C1046" s="79" t="s">
        <v>2065</v>
      </c>
      <c r="D1046" s="79"/>
      <c r="E1046" s="79">
        <v>68427709</v>
      </c>
      <c r="F1046" s="93">
        <v>-1400</v>
      </c>
      <c r="G1046" s="79" t="s">
        <v>113</v>
      </c>
      <c r="H1046" s="79" t="s">
        <v>114</v>
      </c>
      <c r="I1046" s="79" t="s">
        <v>948</v>
      </c>
      <c r="J1046" s="79">
        <v>2024</v>
      </c>
      <c r="K1046" s="79" t="s">
        <v>116</v>
      </c>
      <c r="L1046" s="79"/>
    </row>
    <row r="1047" spans="1:12" hidden="1" x14ac:dyDescent="0.25">
      <c r="A1047" s="82">
        <v>45069</v>
      </c>
      <c r="B1047" s="79" t="s">
        <v>2066</v>
      </c>
      <c r="C1047" s="79" t="s">
        <v>2067</v>
      </c>
      <c r="D1047" s="79"/>
      <c r="E1047" s="79">
        <v>68427709</v>
      </c>
      <c r="F1047" s="93">
        <v>-900</v>
      </c>
      <c r="G1047" s="79" t="s">
        <v>113</v>
      </c>
      <c r="H1047" s="79" t="s">
        <v>114</v>
      </c>
      <c r="I1047" s="79" t="s">
        <v>948</v>
      </c>
      <c r="J1047" s="79">
        <v>2024</v>
      </c>
      <c r="K1047" s="79" t="s">
        <v>116</v>
      </c>
      <c r="L1047" s="79"/>
    </row>
    <row r="1048" spans="1:12" hidden="1" x14ac:dyDescent="0.25">
      <c r="A1048" s="82">
        <v>45069</v>
      </c>
      <c r="B1048" s="79" t="s">
        <v>2068</v>
      </c>
      <c r="C1048" s="79" t="s">
        <v>2069</v>
      </c>
      <c r="D1048" s="79"/>
      <c r="E1048" s="79">
        <v>68427709</v>
      </c>
      <c r="F1048" s="93">
        <v>-1800</v>
      </c>
      <c r="G1048" s="79" t="s">
        <v>113</v>
      </c>
      <c r="H1048" s="79" t="s">
        <v>114</v>
      </c>
      <c r="I1048" s="79" t="s">
        <v>948</v>
      </c>
      <c r="J1048" s="79">
        <v>2024</v>
      </c>
      <c r="K1048" s="79" t="s">
        <v>116</v>
      </c>
      <c r="L1048" s="79"/>
    </row>
    <row r="1049" spans="1:12" hidden="1" x14ac:dyDescent="0.25">
      <c r="A1049" s="82">
        <v>45069</v>
      </c>
      <c r="B1049" s="79" t="s">
        <v>2070</v>
      </c>
      <c r="C1049" s="79" t="s">
        <v>2071</v>
      </c>
      <c r="D1049" s="79"/>
      <c r="E1049" s="79">
        <v>68427709</v>
      </c>
      <c r="F1049" s="93">
        <v>-400</v>
      </c>
      <c r="G1049" s="79" t="s">
        <v>113</v>
      </c>
      <c r="H1049" s="79" t="s">
        <v>114</v>
      </c>
      <c r="I1049" s="79" t="s">
        <v>948</v>
      </c>
      <c r="J1049" s="79">
        <v>2024</v>
      </c>
      <c r="K1049" s="79" t="s">
        <v>116</v>
      </c>
      <c r="L1049" s="79"/>
    </row>
    <row r="1050" spans="1:12" hidden="1" x14ac:dyDescent="0.25">
      <c r="A1050" s="82">
        <v>45069</v>
      </c>
      <c r="B1050" s="79" t="s">
        <v>2072</v>
      </c>
      <c r="C1050" s="79" t="s">
        <v>2073</v>
      </c>
      <c r="D1050" s="79"/>
      <c r="E1050" s="79">
        <v>68427709</v>
      </c>
      <c r="F1050" s="93">
        <v>-400</v>
      </c>
      <c r="G1050" s="79" t="s">
        <v>113</v>
      </c>
      <c r="H1050" s="79" t="s">
        <v>114</v>
      </c>
      <c r="I1050" s="79" t="s">
        <v>948</v>
      </c>
      <c r="J1050" s="79">
        <v>2024</v>
      </c>
      <c r="K1050" s="79" t="s">
        <v>116</v>
      </c>
      <c r="L1050" s="79"/>
    </row>
    <row r="1051" spans="1:12" hidden="1" x14ac:dyDescent="0.25">
      <c r="A1051" s="82">
        <v>45069</v>
      </c>
      <c r="B1051" s="79" t="s">
        <v>2074</v>
      </c>
      <c r="C1051" s="79" t="s">
        <v>2075</v>
      </c>
      <c r="D1051" s="79"/>
      <c r="E1051" s="79">
        <v>68427709</v>
      </c>
      <c r="F1051" s="93">
        <v>-1800</v>
      </c>
      <c r="G1051" s="79" t="s">
        <v>113</v>
      </c>
      <c r="H1051" s="79" t="s">
        <v>114</v>
      </c>
      <c r="I1051" s="79" t="s">
        <v>948</v>
      </c>
      <c r="J1051" s="79">
        <v>2024</v>
      </c>
      <c r="K1051" s="79" t="s">
        <v>116</v>
      </c>
      <c r="L1051" s="79"/>
    </row>
    <row r="1052" spans="1:12" hidden="1" x14ac:dyDescent="0.25">
      <c r="A1052" s="82">
        <v>45069</v>
      </c>
      <c r="B1052" s="79" t="s">
        <v>2076</v>
      </c>
      <c r="C1052" s="79" t="s">
        <v>2077</v>
      </c>
      <c r="D1052" s="79"/>
      <c r="E1052" s="79">
        <v>68427709</v>
      </c>
      <c r="F1052" s="93">
        <v>-4700</v>
      </c>
      <c r="G1052" s="79" t="s">
        <v>113</v>
      </c>
      <c r="H1052" s="79" t="s">
        <v>114</v>
      </c>
      <c r="I1052" s="79" t="s">
        <v>948</v>
      </c>
      <c r="J1052" s="79">
        <v>2024</v>
      </c>
      <c r="K1052" s="79" t="s">
        <v>116</v>
      </c>
      <c r="L1052" s="79"/>
    </row>
    <row r="1053" spans="1:12" hidden="1" x14ac:dyDescent="0.25">
      <c r="A1053" s="82">
        <v>45069</v>
      </c>
      <c r="B1053" s="79" t="s">
        <v>2078</v>
      </c>
      <c r="C1053" s="79" t="s">
        <v>2079</v>
      </c>
      <c r="D1053" s="79"/>
      <c r="E1053" s="79">
        <v>68427709</v>
      </c>
      <c r="F1053" s="93">
        <v>-1800</v>
      </c>
      <c r="G1053" s="79" t="s">
        <v>113</v>
      </c>
      <c r="H1053" s="79" t="s">
        <v>114</v>
      </c>
      <c r="I1053" s="79" t="s">
        <v>948</v>
      </c>
      <c r="J1053" s="79">
        <v>2024</v>
      </c>
      <c r="K1053" s="79" t="s">
        <v>116</v>
      </c>
      <c r="L1053" s="79"/>
    </row>
    <row r="1054" spans="1:12" hidden="1" x14ac:dyDescent="0.25">
      <c r="A1054" s="82">
        <v>45069</v>
      </c>
      <c r="B1054" s="79" t="s">
        <v>2080</v>
      </c>
      <c r="C1054" s="79" t="s">
        <v>2081</v>
      </c>
      <c r="D1054" s="79"/>
      <c r="E1054" s="79">
        <v>68427709</v>
      </c>
      <c r="F1054" s="93">
        <v>-400</v>
      </c>
      <c r="G1054" s="79" t="s">
        <v>113</v>
      </c>
      <c r="H1054" s="79" t="s">
        <v>114</v>
      </c>
      <c r="I1054" s="79" t="s">
        <v>948</v>
      </c>
      <c r="J1054" s="79">
        <v>2024</v>
      </c>
      <c r="K1054" s="79" t="s">
        <v>116</v>
      </c>
      <c r="L1054" s="79"/>
    </row>
    <row r="1055" spans="1:12" hidden="1" x14ac:dyDescent="0.25">
      <c r="A1055" s="82">
        <v>45069</v>
      </c>
      <c r="B1055" s="79" t="s">
        <v>2082</v>
      </c>
      <c r="C1055" s="79" t="s">
        <v>2083</v>
      </c>
      <c r="D1055" s="79"/>
      <c r="E1055" s="79">
        <v>68427709</v>
      </c>
      <c r="F1055" s="93">
        <v>-400</v>
      </c>
      <c r="G1055" s="79" t="s">
        <v>113</v>
      </c>
      <c r="H1055" s="79" t="s">
        <v>114</v>
      </c>
      <c r="I1055" s="79" t="s">
        <v>948</v>
      </c>
      <c r="J1055" s="79">
        <v>2024</v>
      </c>
      <c r="K1055" s="79" t="s">
        <v>116</v>
      </c>
      <c r="L1055" s="79"/>
    </row>
    <row r="1056" spans="1:12" hidden="1" x14ac:dyDescent="0.25">
      <c r="A1056" s="82">
        <v>45069</v>
      </c>
      <c r="B1056" s="79" t="s">
        <v>2084</v>
      </c>
      <c r="C1056" s="79" t="s">
        <v>2085</v>
      </c>
      <c r="D1056" s="79"/>
      <c r="E1056" s="79">
        <v>68427709</v>
      </c>
      <c r="F1056" s="93">
        <v>-1400</v>
      </c>
      <c r="G1056" s="79" t="s">
        <v>113</v>
      </c>
      <c r="H1056" s="79" t="s">
        <v>114</v>
      </c>
      <c r="I1056" s="79" t="s">
        <v>948</v>
      </c>
      <c r="J1056" s="79">
        <v>2024</v>
      </c>
      <c r="K1056" s="79" t="s">
        <v>116</v>
      </c>
      <c r="L1056" s="79"/>
    </row>
    <row r="1057" spans="1:12" hidden="1" x14ac:dyDescent="0.25">
      <c r="A1057" s="82">
        <v>45069</v>
      </c>
      <c r="B1057" s="79" t="s">
        <v>2086</v>
      </c>
      <c r="C1057" s="79" t="s">
        <v>2087</v>
      </c>
      <c r="D1057" s="79"/>
      <c r="E1057" s="79">
        <v>68427709</v>
      </c>
      <c r="F1057" s="93">
        <v>-1400</v>
      </c>
      <c r="G1057" s="79" t="s">
        <v>113</v>
      </c>
      <c r="H1057" s="79" t="s">
        <v>114</v>
      </c>
      <c r="I1057" s="79" t="s">
        <v>948</v>
      </c>
      <c r="J1057" s="79">
        <v>2024</v>
      </c>
      <c r="K1057" s="79" t="s">
        <v>116</v>
      </c>
      <c r="L1057" s="79"/>
    </row>
    <row r="1058" spans="1:12" hidden="1" x14ac:dyDescent="0.25">
      <c r="A1058" s="82">
        <v>45069</v>
      </c>
      <c r="B1058" s="79" t="s">
        <v>2088</v>
      </c>
      <c r="C1058" s="79" t="s">
        <v>2089</v>
      </c>
      <c r="D1058" s="79"/>
      <c r="E1058" s="79">
        <v>68427709</v>
      </c>
      <c r="F1058" s="93">
        <v>-400</v>
      </c>
      <c r="G1058" s="79" t="s">
        <v>113</v>
      </c>
      <c r="H1058" s="79" t="s">
        <v>114</v>
      </c>
      <c r="I1058" s="79" t="s">
        <v>948</v>
      </c>
      <c r="J1058" s="79">
        <v>2024</v>
      </c>
      <c r="K1058" s="79" t="s">
        <v>116</v>
      </c>
      <c r="L1058" s="79"/>
    </row>
    <row r="1059" spans="1:12" hidden="1" x14ac:dyDescent="0.25">
      <c r="A1059" s="82">
        <v>45069</v>
      </c>
      <c r="B1059" s="79" t="s">
        <v>2090</v>
      </c>
      <c r="C1059" s="79" t="s">
        <v>2091</v>
      </c>
      <c r="D1059" s="79"/>
      <c r="E1059" s="79">
        <v>68427709</v>
      </c>
      <c r="F1059" s="93">
        <v>-400</v>
      </c>
      <c r="G1059" s="79" t="s">
        <v>113</v>
      </c>
      <c r="H1059" s="79" t="s">
        <v>114</v>
      </c>
      <c r="I1059" s="79" t="s">
        <v>948</v>
      </c>
      <c r="J1059" s="79">
        <v>2024</v>
      </c>
      <c r="K1059" s="79" t="s">
        <v>116</v>
      </c>
      <c r="L1059" s="79"/>
    </row>
    <row r="1060" spans="1:12" hidden="1" x14ac:dyDescent="0.25">
      <c r="A1060" s="82">
        <v>45069</v>
      </c>
      <c r="B1060" s="79" t="s">
        <v>2092</v>
      </c>
      <c r="C1060" s="79" t="s">
        <v>2093</v>
      </c>
      <c r="D1060" s="79"/>
      <c r="E1060" s="79">
        <v>68427709</v>
      </c>
      <c r="F1060" s="93">
        <v>-900</v>
      </c>
      <c r="G1060" s="79" t="s">
        <v>113</v>
      </c>
      <c r="H1060" s="79" t="s">
        <v>114</v>
      </c>
      <c r="I1060" s="79" t="s">
        <v>948</v>
      </c>
      <c r="J1060" s="79">
        <v>2024</v>
      </c>
      <c r="K1060" s="79" t="s">
        <v>116</v>
      </c>
      <c r="L1060" s="79"/>
    </row>
    <row r="1061" spans="1:12" hidden="1" x14ac:dyDescent="0.25">
      <c r="A1061" s="82">
        <v>45069</v>
      </c>
      <c r="B1061" s="79" t="s">
        <v>2094</v>
      </c>
      <c r="C1061" s="79" t="s">
        <v>2095</v>
      </c>
      <c r="D1061" s="79"/>
      <c r="E1061" s="79">
        <v>68427709</v>
      </c>
      <c r="F1061" s="93">
        <v>-400</v>
      </c>
      <c r="G1061" s="79" t="s">
        <v>113</v>
      </c>
      <c r="H1061" s="79" t="s">
        <v>114</v>
      </c>
      <c r="I1061" s="79" t="s">
        <v>948</v>
      </c>
      <c r="J1061" s="79">
        <v>2024</v>
      </c>
      <c r="K1061" s="79" t="s">
        <v>116</v>
      </c>
      <c r="L1061" s="79"/>
    </row>
    <row r="1062" spans="1:12" hidden="1" x14ac:dyDescent="0.25">
      <c r="A1062" s="82">
        <v>45069</v>
      </c>
      <c r="B1062" s="79" t="s">
        <v>2096</v>
      </c>
      <c r="C1062" s="79" t="s">
        <v>2097</v>
      </c>
      <c r="D1062" s="79"/>
      <c r="E1062" s="79">
        <v>68427709</v>
      </c>
      <c r="F1062" s="93">
        <v>-400</v>
      </c>
      <c r="G1062" s="79" t="s">
        <v>113</v>
      </c>
      <c r="H1062" s="79" t="s">
        <v>114</v>
      </c>
      <c r="I1062" s="79" t="s">
        <v>948</v>
      </c>
      <c r="J1062" s="79">
        <v>2024</v>
      </c>
      <c r="K1062" s="79" t="s">
        <v>116</v>
      </c>
      <c r="L1062" s="79"/>
    </row>
    <row r="1063" spans="1:12" hidden="1" x14ac:dyDescent="0.25">
      <c r="A1063" s="82">
        <v>45070</v>
      </c>
      <c r="B1063" s="79" t="s">
        <v>1266</v>
      </c>
      <c r="C1063" s="79" t="s">
        <v>2312</v>
      </c>
      <c r="D1063" s="79"/>
      <c r="E1063" s="79">
        <v>68427709</v>
      </c>
      <c r="F1063" s="93">
        <v>40000</v>
      </c>
      <c r="G1063" s="79" t="s">
        <v>113</v>
      </c>
      <c r="H1063" s="79" t="s">
        <v>114</v>
      </c>
      <c r="I1063" s="79" t="s">
        <v>133</v>
      </c>
      <c r="J1063" s="79">
        <v>2024</v>
      </c>
      <c r="K1063" s="79" t="s">
        <v>1092</v>
      </c>
      <c r="L1063" s="79"/>
    </row>
    <row r="1064" spans="1:12" hidden="1" x14ac:dyDescent="0.25">
      <c r="A1064" s="82">
        <v>45070</v>
      </c>
      <c r="B1064" s="79" t="s">
        <v>2161</v>
      </c>
      <c r="C1064" s="79" t="s">
        <v>2313</v>
      </c>
      <c r="D1064" s="79"/>
      <c r="E1064" s="79">
        <v>68427709</v>
      </c>
      <c r="F1064" s="93">
        <v>65000</v>
      </c>
      <c r="G1064" s="79" t="s">
        <v>113</v>
      </c>
      <c r="H1064" s="79" t="s">
        <v>114</v>
      </c>
      <c r="I1064" s="79" t="s">
        <v>133</v>
      </c>
      <c r="J1064" s="79">
        <v>2024</v>
      </c>
      <c r="K1064" s="79" t="s">
        <v>1092</v>
      </c>
      <c r="L1064" s="79"/>
    </row>
    <row r="1065" spans="1:12" hidden="1" x14ac:dyDescent="0.25">
      <c r="A1065" s="82">
        <v>45071</v>
      </c>
      <c r="B1065" s="79" t="s">
        <v>2314</v>
      </c>
      <c r="C1065" s="79"/>
      <c r="D1065" s="79"/>
      <c r="E1065" s="79">
        <v>68427709</v>
      </c>
      <c r="F1065" s="93">
        <v>-30000</v>
      </c>
      <c r="G1065" s="79" t="s">
        <v>113</v>
      </c>
      <c r="H1065" s="79" t="s">
        <v>114</v>
      </c>
      <c r="I1065" s="79" t="s">
        <v>133</v>
      </c>
      <c r="J1065" s="79">
        <v>2024</v>
      </c>
      <c r="K1065" s="79" t="s">
        <v>1092</v>
      </c>
      <c r="L1065" s="79" t="s">
        <v>2315</v>
      </c>
    </row>
    <row r="1066" spans="1:12" hidden="1" x14ac:dyDescent="0.25">
      <c r="A1066" s="82">
        <v>45071</v>
      </c>
      <c r="B1066" s="79" t="s">
        <v>1484</v>
      </c>
      <c r="C1066" s="79" t="s">
        <v>2316</v>
      </c>
      <c r="D1066" s="79"/>
      <c r="E1066" s="79">
        <v>68427709</v>
      </c>
      <c r="F1066" s="93">
        <v>0</v>
      </c>
      <c r="G1066" s="79" t="s">
        <v>113</v>
      </c>
      <c r="H1066" s="79" t="s">
        <v>114</v>
      </c>
      <c r="I1066" s="79" t="s">
        <v>133</v>
      </c>
      <c r="J1066" s="79">
        <v>2024</v>
      </c>
      <c r="K1066" s="79" t="s">
        <v>1092</v>
      </c>
      <c r="L1066" s="79" t="s">
        <v>2317</v>
      </c>
    </row>
    <row r="1067" spans="1:12" hidden="1" x14ac:dyDescent="0.25">
      <c r="A1067" s="82">
        <v>45071</v>
      </c>
      <c r="B1067" s="79" t="s">
        <v>2318</v>
      </c>
      <c r="C1067" s="79" t="s">
        <v>2319</v>
      </c>
      <c r="D1067" s="79"/>
      <c r="E1067" s="79">
        <v>68427709</v>
      </c>
      <c r="F1067" s="93">
        <v>-80000</v>
      </c>
      <c r="G1067" s="79" t="s">
        <v>113</v>
      </c>
      <c r="H1067" s="79" t="s">
        <v>114</v>
      </c>
      <c r="I1067" s="79" t="s">
        <v>133</v>
      </c>
      <c r="J1067" s="79">
        <v>2024</v>
      </c>
      <c r="K1067" s="79" t="s">
        <v>1092</v>
      </c>
      <c r="L1067" s="79"/>
    </row>
    <row r="1068" spans="1:12" hidden="1" x14ac:dyDescent="0.25">
      <c r="A1068" s="82">
        <v>45071</v>
      </c>
      <c r="B1068" s="79" t="s">
        <v>2320</v>
      </c>
      <c r="C1068" s="79" t="s">
        <v>2321</v>
      </c>
      <c r="D1068" s="79"/>
      <c r="E1068" s="79">
        <v>68427709</v>
      </c>
      <c r="F1068" s="93">
        <v>100000</v>
      </c>
      <c r="G1068" s="79" t="s">
        <v>113</v>
      </c>
      <c r="H1068" s="79" t="s">
        <v>114</v>
      </c>
      <c r="I1068" s="79" t="s">
        <v>133</v>
      </c>
      <c r="J1068" s="79">
        <v>2024</v>
      </c>
      <c r="K1068" s="79" t="s">
        <v>1092</v>
      </c>
      <c r="L1068" s="79"/>
    </row>
    <row r="1069" spans="1:12" hidden="1" x14ac:dyDescent="0.25">
      <c r="A1069" s="82">
        <v>45070</v>
      </c>
      <c r="B1069" s="79" t="s">
        <v>2322</v>
      </c>
      <c r="C1069" s="79" t="s">
        <v>2323</v>
      </c>
      <c r="D1069" s="79"/>
      <c r="E1069" s="79">
        <v>68427709</v>
      </c>
      <c r="F1069" s="93">
        <v>50000</v>
      </c>
      <c r="G1069" s="79" t="s">
        <v>113</v>
      </c>
      <c r="H1069" s="79" t="s">
        <v>114</v>
      </c>
      <c r="I1069" s="79" t="s">
        <v>133</v>
      </c>
      <c r="J1069" s="79">
        <v>2024</v>
      </c>
      <c r="K1069" s="79" t="s">
        <v>2324</v>
      </c>
      <c r="L1069" s="79"/>
    </row>
    <row r="1070" spans="1:12" s="168" customFormat="1" hidden="1" x14ac:dyDescent="0.25">
      <c r="A1070" s="83">
        <v>45071</v>
      </c>
      <c r="B1070" s="84" t="s">
        <v>1486</v>
      </c>
      <c r="C1070" s="84" t="s">
        <v>2325</v>
      </c>
      <c r="D1070" s="84"/>
      <c r="E1070" s="84">
        <v>68427709</v>
      </c>
      <c r="F1070" s="121">
        <v>-50000</v>
      </c>
      <c r="G1070" s="84" t="s">
        <v>113</v>
      </c>
      <c r="H1070" s="84" t="s">
        <v>114</v>
      </c>
      <c r="I1070" s="84" t="s">
        <v>133</v>
      </c>
      <c r="J1070" s="84">
        <v>2024</v>
      </c>
      <c r="K1070" s="84" t="s">
        <v>1092</v>
      </c>
      <c r="L1070" s="84"/>
    </row>
    <row r="1071" spans="1:12" s="168" customFormat="1" hidden="1" x14ac:dyDescent="0.25">
      <c r="A1071" s="83">
        <v>45071</v>
      </c>
      <c r="B1071" s="84" t="s">
        <v>2202</v>
      </c>
      <c r="C1071" s="84" t="s">
        <v>2326</v>
      </c>
      <c r="D1071" s="84"/>
      <c r="E1071" s="84">
        <v>68427709</v>
      </c>
      <c r="F1071" s="121" t="s">
        <v>1976</v>
      </c>
      <c r="G1071" s="84"/>
      <c r="H1071" s="84"/>
      <c r="I1071" s="84"/>
      <c r="J1071" s="84"/>
      <c r="K1071" s="84"/>
      <c r="L1071" s="84"/>
    </row>
    <row r="1072" spans="1:12" hidden="1" x14ac:dyDescent="0.25">
      <c r="A1072" s="82">
        <v>45070</v>
      </c>
      <c r="B1072" s="79" t="s">
        <v>2327</v>
      </c>
      <c r="C1072" s="79" t="s">
        <v>2328</v>
      </c>
      <c r="D1072" s="79"/>
      <c r="E1072" s="79">
        <v>68427709</v>
      </c>
      <c r="F1072" s="93">
        <v>15000</v>
      </c>
      <c r="G1072" s="79" t="s">
        <v>113</v>
      </c>
      <c r="H1072" s="79" t="s">
        <v>114</v>
      </c>
      <c r="I1072" s="79" t="s">
        <v>1990</v>
      </c>
      <c r="J1072" s="79">
        <v>2024</v>
      </c>
      <c r="K1072" s="79" t="s">
        <v>2158</v>
      </c>
      <c r="L1072" s="79"/>
    </row>
    <row r="1073" spans="1:12" hidden="1" x14ac:dyDescent="0.25">
      <c r="A1073" s="82">
        <v>45070</v>
      </c>
      <c r="B1073" s="79" t="s">
        <v>2329</v>
      </c>
      <c r="C1073" s="79" t="s">
        <v>2330</v>
      </c>
      <c r="D1073" s="79"/>
      <c r="E1073" s="79">
        <v>68427719</v>
      </c>
      <c r="F1073" s="93">
        <v>40000</v>
      </c>
      <c r="G1073" s="79" t="s">
        <v>113</v>
      </c>
      <c r="H1073" s="79" t="s">
        <v>114</v>
      </c>
      <c r="I1073" s="79" t="s">
        <v>1990</v>
      </c>
      <c r="J1073" s="79">
        <v>2024</v>
      </c>
      <c r="K1073" s="79" t="s">
        <v>2331</v>
      </c>
      <c r="L1073" s="79"/>
    </row>
    <row r="1074" spans="1:12" hidden="1" x14ac:dyDescent="0.25">
      <c r="A1074" s="82">
        <v>45070</v>
      </c>
      <c r="B1074" s="79" t="s">
        <v>1784</v>
      </c>
      <c r="C1074" s="79" t="s">
        <v>2332</v>
      </c>
      <c r="D1074" s="79"/>
      <c r="E1074" s="79">
        <v>68427709</v>
      </c>
      <c r="F1074" s="93">
        <v>10000</v>
      </c>
      <c r="G1074" s="79" t="s">
        <v>113</v>
      </c>
      <c r="H1074" s="79" t="s">
        <v>114</v>
      </c>
      <c r="I1074" s="79" t="s">
        <v>1990</v>
      </c>
      <c r="J1074" s="79">
        <v>2024</v>
      </c>
      <c r="K1074" s="79" t="s">
        <v>2158</v>
      </c>
      <c r="L1074" s="79"/>
    </row>
    <row r="1075" spans="1:12" ht="14.1" hidden="1" customHeight="1" x14ac:dyDescent="0.25">
      <c r="A1075" s="82">
        <v>45070</v>
      </c>
      <c r="B1075" s="79" t="s">
        <v>1904</v>
      </c>
      <c r="C1075" s="79" t="s">
        <v>2333</v>
      </c>
      <c r="D1075" s="79"/>
      <c r="E1075" s="79">
        <v>68427709</v>
      </c>
      <c r="F1075" s="93">
        <v>-7000</v>
      </c>
      <c r="G1075" s="79" t="s">
        <v>113</v>
      </c>
      <c r="H1075" s="79" t="s">
        <v>114</v>
      </c>
      <c r="I1075" s="79" t="s">
        <v>1990</v>
      </c>
      <c r="J1075" s="79">
        <v>2024</v>
      </c>
      <c r="K1075" s="79" t="s">
        <v>1092</v>
      </c>
      <c r="L1075" s="79"/>
    </row>
    <row r="1076" spans="1:12" hidden="1" x14ac:dyDescent="0.25">
      <c r="A1076" s="82">
        <v>45070</v>
      </c>
      <c r="B1076" s="79" t="s">
        <v>1904</v>
      </c>
      <c r="C1076" s="79" t="s">
        <v>2333</v>
      </c>
      <c r="D1076" s="79"/>
      <c r="E1076" s="79">
        <v>68427719</v>
      </c>
      <c r="F1076" s="93">
        <v>10000</v>
      </c>
      <c r="G1076" s="79" t="s">
        <v>113</v>
      </c>
      <c r="H1076" s="79" t="s">
        <v>114</v>
      </c>
      <c r="I1076" s="79" t="s">
        <v>1990</v>
      </c>
      <c r="J1076" s="79">
        <v>2024</v>
      </c>
      <c r="K1076" s="79" t="s">
        <v>2158</v>
      </c>
      <c r="L1076" s="79"/>
    </row>
    <row r="1077" spans="1:12" hidden="1" x14ac:dyDescent="0.25">
      <c r="A1077" s="82">
        <v>45070</v>
      </c>
      <c r="B1077" s="79" t="s">
        <v>1739</v>
      </c>
      <c r="C1077" s="79" t="s">
        <v>2334</v>
      </c>
      <c r="D1077" s="79"/>
      <c r="E1077" s="79">
        <v>68427709</v>
      </c>
      <c r="F1077" s="93">
        <v>50000</v>
      </c>
      <c r="G1077" s="79" t="s">
        <v>113</v>
      </c>
      <c r="H1077" s="79" t="s">
        <v>114</v>
      </c>
      <c r="I1077" s="79" t="s">
        <v>1990</v>
      </c>
      <c r="J1077" s="79">
        <v>2024</v>
      </c>
      <c r="K1077" s="79" t="s">
        <v>2142</v>
      </c>
      <c r="L1077" s="79"/>
    </row>
    <row r="1078" spans="1:12" hidden="1" x14ac:dyDescent="0.25">
      <c r="A1078" s="82">
        <v>45070</v>
      </c>
      <c r="B1078" s="79" t="s">
        <v>273</v>
      </c>
      <c r="C1078" s="79" t="s">
        <v>2335</v>
      </c>
      <c r="D1078" s="79"/>
      <c r="E1078" s="79">
        <v>68427709</v>
      </c>
      <c r="F1078" s="93">
        <v>-15000</v>
      </c>
      <c r="G1078" s="79" t="s">
        <v>113</v>
      </c>
      <c r="H1078" s="79" t="s">
        <v>114</v>
      </c>
      <c r="I1078" s="79" t="s">
        <v>1990</v>
      </c>
      <c r="J1078" s="79">
        <v>2024</v>
      </c>
      <c r="K1078" s="79" t="s">
        <v>2142</v>
      </c>
      <c r="L1078" s="79"/>
    </row>
    <row r="1079" spans="1:12" hidden="1" x14ac:dyDescent="0.25">
      <c r="A1079" s="82">
        <v>45070</v>
      </c>
      <c r="B1079" s="79" t="s">
        <v>2336</v>
      </c>
      <c r="C1079" s="79" t="s">
        <v>2337</v>
      </c>
      <c r="D1079" s="79"/>
      <c r="E1079" s="79">
        <v>68427709</v>
      </c>
      <c r="F1079" s="93">
        <v>0</v>
      </c>
      <c r="G1079" s="79" t="s">
        <v>113</v>
      </c>
      <c r="H1079" s="79" t="s">
        <v>114</v>
      </c>
      <c r="I1079" s="79" t="s">
        <v>133</v>
      </c>
      <c r="J1079" s="79">
        <v>2024</v>
      </c>
      <c r="K1079" s="79" t="s">
        <v>2142</v>
      </c>
      <c r="L1079" s="79" t="s">
        <v>2338</v>
      </c>
    </row>
    <row r="1080" spans="1:12" hidden="1" x14ac:dyDescent="0.25">
      <c r="A1080" s="82">
        <v>45070</v>
      </c>
      <c r="B1080" s="79" t="s">
        <v>2339</v>
      </c>
      <c r="C1080" s="79" t="s">
        <v>2340</v>
      </c>
      <c r="D1080" s="79"/>
      <c r="E1080" s="79">
        <v>68427709</v>
      </c>
      <c r="F1080" s="93">
        <v>70000</v>
      </c>
      <c r="G1080" s="79" t="s">
        <v>113</v>
      </c>
      <c r="H1080" s="79" t="s">
        <v>114</v>
      </c>
      <c r="I1080" s="79" t="s">
        <v>133</v>
      </c>
      <c r="J1080" s="79">
        <v>2024</v>
      </c>
      <c r="K1080" s="79" t="s">
        <v>2142</v>
      </c>
      <c r="L1080" s="79"/>
    </row>
    <row r="1081" spans="1:12" hidden="1" x14ac:dyDescent="0.25">
      <c r="A1081" s="82">
        <v>45070</v>
      </c>
      <c r="B1081" s="79" t="s">
        <v>774</v>
      </c>
      <c r="C1081" s="79" t="s">
        <v>2341</v>
      </c>
      <c r="D1081" s="79"/>
      <c r="E1081" s="79">
        <v>68427709</v>
      </c>
      <c r="F1081" s="93">
        <v>9000</v>
      </c>
      <c r="G1081" s="79" t="s">
        <v>113</v>
      </c>
      <c r="H1081" s="79" t="s">
        <v>114</v>
      </c>
      <c r="I1081" s="79" t="s">
        <v>1990</v>
      </c>
      <c r="J1081" s="79">
        <v>2024</v>
      </c>
      <c r="K1081" s="79" t="s">
        <v>2342</v>
      </c>
      <c r="L1081" s="79"/>
    </row>
    <row r="1082" spans="1:12" hidden="1" x14ac:dyDescent="0.25">
      <c r="A1082" s="82">
        <v>45082</v>
      </c>
      <c r="B1082" s="79" t="s">
        <v>2343</v>
      </c>
      <c r="C1082" s="79" t="s">
        <v>2344</v>
      </c>
      <c r="D1082" s="79"/>
      <c r="E1082" s="79">
        <v>68427709</v>
      </c>
      <c r="F1082" s="93">
        <v>-65000</v>
      </c>
      <c r="G1082" s="79" t="s">
        <v>113</v>
      </c>
      <c r="H1082" s="79" t="s">
        <v>114</v>
      </c>
      <c r="I1082" s="79" t="s">
        <v>1990</v>
      </c>
      <c r="J1082" s="79">
        <v>2024</v>
      </c>
      <c r="K1082" s="79" t="s">
        <v>1092</v>
      </c>
      <c r="L1082" s="79"/>
    </row>
    <row r="1083" spans="1:12" hidden="1" x14ac:dyDescent="0.25">
      <c r="A1083" s="82">
        <v>45082</v>
      </c>
      <c r="B1083" s="79" t="s">
        <v>1567</v>
      </c>
      <c r="C1083" s="79" t="s">
        <v>2345</v>
      </c>
      <c r="D1083" s="79"/>
      <c r="E1083" s="79">
        <v>68427709</v>
      </c>
      <c r="F1083" s="93">
        <v>-125000</v>
      </c>
      <c r="G1083" s="79" t="s">
        <v>113</v>
      </c>
      <c r="H1083" s="79" t="s">
        <v>114</v>
      </c>
      <c r="I1083" s="79" t="s">
        <v>1990</v>
      </c>
      <c r="J1083" s="79">
        <v>2024</v>
      </c>
      <c r="K1083" s="79" t="s">
        <v>1092</v>
      </c>
      <c r="L1083" s="79"/>
    </row>
    <row r="1084" spans="1:12" ht="12.6" hidden="1" customHeight="1" x14ac:dyDescent="0.25">
      <c r="A1084" s="82">
        <v>45082</v>
      </c>
      <c r="B1084" s="79" t="s">
        <v>1714</v>
      </c>
      <c r="C1084" s="79" t="s">
        <v>2346</v>
      </c>
      <c r="D1084" s="79"/>
      <c r="E1084" s="79">
        <v>68427709</v>
      </c>
      <c r="F1084" s="93">
        <v>-80000</v>
      </c>
      <c r="G1084" s="79" t="s">
        <v>113</v>
      </c>
      <c r="H1084" s="79" t="s">
        <v>114</v>
      </c>
      <c r="I1084" s="79" t="s">
        <v>1990</v>
      </c>
      <c r="J1084" s="79">
        <v>2024</v>
      </c>
      <c r="K1084" s="79" t="s">
        <v>1092</v>
      </c>
      <c r="L1084" s="79"/>
    </row>
    <row r="1085" spans="1:12" hidden="1" x14ac:dyDescent="0.25">
      <c r="A1085" s="82">
        <v>45082</v>
      </c>
      <c r="B1085" s="79" t="s">
        <v>2347</v>
      </c>
      <c r="C1085" s="79" t="s">
        <v>2348</v>
      </c>
      <c r="D1085" s="79"/>
      <c r="E1085" s="79">
        <v>68427709</v>
      </c>
      <c r="F1085" s="93">
        <v>-28000</v>
      </c>
      <c r="G1085" s="79" t="s">
        <v>113</v>
      </c>
      <c r="H1085" s="79" t="s">
        <v>114</v>
      </c>
      <c r="I1085" s="79" t="s">
        <v>1990</v>
      </c>
      <c r="J1085" s="79">
        <v>2024</v>
      </c>
      <c r="K1085" s="79" t="s">
        <v>1092</v>
      </c>
      <c r="L1085" s="79"/>
    </row>
    <row r="1086" spans="1:12" hidden="1" x14ac:dyDescent="0.25">
      <c r="A1086" s="82">
        <v>45082</v>
      </c>
      <c r="B1086" s="79" t="s">
        <v>2349</v>
      </c>
      <c r="C1086" s="79" t="s">
        <v>2350</v>
      </c>
      <c r="D1086" s="79"/>
      <c r="E1086" s="79">
        <v>68427709</v>
      </c>
      <c r="F1086" s="93">
        <v>155000</v>
      </c>
      <c r="G1086" s="79" t="s">
        <v>113</v>
      </c>
      <c r="H1086" s="79" t="s">
        <v>114</v>
      </c>
      <c r="I1086" s="79" t="s">
        <v>1990</v>
      </c>
      <c r="J1086" s="79">
        <v>2024</v>
      </c>
      <c r="K1086" s="79" t="s">
        <v>1092</v>
      </c>
      <c r="L1086" s="79"/>
    </row>
    <row r="1087" spans="1:12" hidden="1" x14ac:dyDescent="0.25">
      <c r="A1087" s="82">
        <v>45082</v>
      </c>
      <c r="B1087" s="79" t="s">
        <v>625</v>
      </c>
      <c r="C1087" s="79" t="s">
        <v>2351</v>
      </c>
      <c r="D1087" s="79"/>
      <c r="E1087" s="79">
        <v>68427709</v>
      </c>
      <c r="F1087" s="93">
        <v>-142000</v>
      </c>
      <c r="G1087" s="79" t="s">
        <v>113</v>
      </c>
      <c r="H1087" s="79" t="s">
        <v>114</v>
      </c>
      <c r="I1087" s="79" t="s">
        <v>1700</v>
      </c>
      <c r="J1087" s="79">
        <v>2024</v>
      </c>
      <c r="K1087" s="79" t="s">
        <v>1092</v>
      </c>
      <c r="L1087" s="79"/>
    </row>
    <row r="1088" spans="1:12" hidden="1" x14ac:dyDescent="0.25">
      <c r="A1088" s="82">
        <v>45082</v>
      </c>
      <c r="B1088" s="79" t="s">
        <v>2352</v>
      </c>
      <c r="C1088" s="79" t="s">
        <v>2353</v>
      </c>
      <c r="D1088" s="79"/>
      <c r="E1088" s="79">
        <v>68427709</v>
      </c>
      <c r="F1088" s="93">
        <v>35000</v>
      </c>
      <c r="G1088" s="79" t="s">
        <v>113</v>
      </c>
      <c r="H1088" s="79" t="s">
        <v>114</v>
      </c>
      <c r="I1088" s="79" t="s">
        <v>1700</v>
      </c>
      <c r="J1088" s="79">
        <v>2024</v>
      </c>
      <c r="K1088" s="79" t="s">
        <v>1092</v>
      </c>
      <c r="L1088" s="79"/>
    </row>
    <row r="1089" spans="1:12" hidden="1" x14ac:dyDescent="0.25">
      <c r="A1089" s="82">
        <v>45082</v>
      </c>
      <c r="B1089" s="79" t="s">
        <v>2354</v>
      </c>
      <c r="C1089" s="79" t="s">
        <v>133</v>
      </c>
      <c r="D1089" s="79"/>
      <c r="E1089" s="79">
        <v>68427709</v>
      </c>
      <c r="F1089" s="93">
        <v>12500</v>
      </c>
      <c r="G1089" s="79" t="s">
        <v>113</v>
      </c>
      <c r="H1089" s="79" t="s">
        <v>114</v>
      </c>
      <c r="I1089" s="79" t="s">
        <v>133</v>
      </c>
      <c r="J1089" s="79">
        <v>2024</v>
      </c>
      <c r="K1089" s="79" t="s">
        <v>1092</v>
      </c>
      <c r="L1089" s="79"/>
    </row>
    <row r="1090" spans="1:12" hidden="1" x14ac:dyDescent="0.25">
      <c r="A1090" s="82">
        <v>45082</v>
      </c>
      <c r="B1090" s="79" t="s">
        <v>1266</v>
      </c>
      <c r="C1090" s="79" t="s">
        <v>2355</v>
      </c>
      <c r="D1090" s="79"/>
      <c r="E1090" s="79">
        <v>68427709</v>
      </c>
      <c r="F1090" s="93">
        <v>100000</v>
      </c>
      <c r="G1090" s="79" t="s">
        <v>113</v>
      </c>
      <c r="H1090" s="79" t="s">
        <v>114</v>
      </c>
      <c r="I1090" s="79" t="s">
        <v>1700</v>
      </c>
      <c r="J1090" s="79">
        <v>2024</v>
      </c>
      <c r="K1090" s="79" t="s">
        <v>1092</v>
      </c>
      <c r="L1090" s="79"/>
    </row>
    <row r="1091" spans="1:12" hidden="1" x14ac:dyDescent="0.25">
      <c r="A1091" s="82">
        <v>45082</v>
      </c>
      <c r="B1091" s="79" t="s">
        <v>2182</v>
      </c>
      <c r="C1091" s="79"/>
      <c r="D1091" s="79"/>
      <c r="E1091" s="79">
        <v>68427719</v>
      </c>
      <c r="F1091" s="93">
        <v>52500</v>
      </c>
      <c r="G1091" s="79" t="s">
        <v>113</v>
      </c>
      <c r="H1091" s="79" t="s">
        <v>114</v>
      </c>
      <c r="I1091" s="79" t="s">
        <v>1700</v>
      </c>
      <c r="J1091" s="79">
        <v>2024</v>
      </c>
      <c r="K1091" s="79" t="s">
        <v>1919</v>
      </c>
      <c r="L1091" s="79"/>
    </row>
    <row r="1092" spans="1:12" hidden="1" x14ac:dyDescent="0.25">
      <c r="A1092" s="82">
        <v>45082</v>
      </c>
      <c r="B1092" s="79" t="s">
        <v>180</v>
      </c>
      <c r="C1092" s="79" t="s">
        <v>2356</v>
      </c>
      <c r="D1092" s="79"/>
      <c r="E1092" s="79">
        <v>68427719</v>
      </c>
      <c r="F1092" s="93">
        <v>-595000</v>
      </c>
      <c r="G1092" s="79" t="s">
        <v>113</v>
      </c>
      <c r="H1092" s="79" t="s">
        <v>114</v>
      </c>
      <c r="I1092" s="79" t="s">
        <v>1700</v>
      </c>
      <c r="J1092" s="79">
        <v>2024</v>
      </c>
      <c r="K1092" s="79" t="s">
        <v>1919</v>
      </c>
      <c r="L1092" s="79"/>
    </row>
    <row r="1093" spans="1:12" hidden="1" x14ac:dyDescent="0.25">
      <c r="A1093" s="82">
        <v>45082</v>
      </c>
      <c r="B1093" s="79" t="s">
        <v>2357</v>
      </c>
      <c r="C1093" s="79" t="s">
        <v>2358</v>
      </c>
      <c r="D1093" s="79"/>
      <c r="E1093" s="79">
        <v>68427719</v>
      </c>
      <c r="F1093" s="93">
        <v>16000</v>
      </c>
      <c r="G1093" s="79" t="s">
        <v>113</v>
      </c>
      <c r="H1093" s="79" t="s">
        <v>114</v>
      </c>
      <c r="I1093" s="79" t="s">
        <v>1700</v>
      </c>
      <c r="J1093" s="79">
        <v>2024</v>
      </c>
      <c r="K1093" s="79" t="s">
        <v>1919</v>
      </c>
      <c r="L1093" s="79"/>
    </row>
    <row r="1094" spans="1:12" hidden="1" x14ac:dyDescent="0.25">
      <c r="A1094" s="82">
        <v>45082</v>
      </c>
      <c r="B1094" s="79" t="s">
        <v>1898</v>
      </c>
      <c r="C1094" s="79" t="s">
        <v>2359</v>
      </c>
      <c r="D1094" s="79"/>
      <c r="E1094" s="79">
        <v>68427719</v>
      </c>
      <c r="F1094" s="93">
        <v>-45000</v>
      </c>
      <c r="G1094" s="79" t="s">
        <v>113</v>
      </c>
      <c r="H1094" s="79" t="s">
        <v>114</v>
      </c>
      <c r="I1094" s="79" t="s">
        <v>1700</v>
      </c>
      <c r="J1094" s="79">
        <v>2024</v>
      </c>
      <c r="K1094" s="79" t="s">
        <v>1919</v>
      </c>
      <c r="L1094" s="79"/>
    </row>
    <row r="1095" spans="1:12" hidden="1" x14ac:dyDescent="0.25">
      <c r="A1095" s="82">
        <v>45082</v>
      </c>
      <c r="B1095" s="79" t="s">
        <v>1893</v>
      </c>
      <c r="C1095" s="79" t="s">
        <v>2360</v>
      </c>
      <c r="D1095" s="79"/>
      <c r="E1095" s="79">
        <v>68427719</v>
      </c>
      <c r="F1095" s="93">
        <v>-90000</v>
      </c>
      <c r="G1095" s="79" t="s">
        <v>113</v>
      </c>
      <c r="H1095" s="79" t="s">
        <v>114</v>
      </c>
      <c r="I1095" s="79" t="s">
        <v>1700</v>
      </c>
      <c r="J1095" s="79">
        <v>2024</v>
      </c>
      <c r="K1095" s="79" t="s">
        <v>1919</v>
      </c>
      <c r="L1095" s="79"/>
    </row>
    <row r="1096" spans="1:12" hidden="1" x14ac:dyDescent="0.25">
      <c r="A1096" s="82">
        <v>45082</v>
      </c>
      <c r="B1096" s="79" t="s">
        <v>1027</v>
      </c>
      <c r="C1096" s="79"/>
      <c r="D1096" s="79"/>
      <c r="E1096" s="79">
        <v>68427719</v>
      </c>
      <c r="F1096" s="93">
        <v>-409000</v>
      </c>
      <c r="G1096" s="79" t="s">
        <v>113</v>
      </c>
      <c r="H1096" s="79" t="s">
        <v>114</v>
      </c>
      <c r="I1096" s="79" t="s">
        <v>133</v>
      </c>
      <c r="J1096" s="79">
        <v>2024</v>
      </c>
      <c r="K1096" s="79" t="s">
        <v>1919</v>
      </c>
      <c r="L1096" s="79"/>
    </row>
    <row r="1097" spans="1:12" hidden="1" x14ac:dyDescent="0.25">
      <c r="A1097" s="82">
        <v>45082</v>
      </c>
      <c r="B1097" s="79" t="s">
        <v>2361</v>
      </c>
      <c r="C1097" s="79" t="s">
        <v>2362</v>
      </c>
      <c r="D1097" s="79"/>
      <c r="E1097" s="79">
        <v>68427719</v>
      </c>
      <c r="F1097" s="93">
        <v>-330000</v>
      </c>
      <c r="G1097" s="79" t="s">
        <v>113</v>
      </c>
      <c r="H1097" s="79" t="s">
        <v>114</v>
      </c>
      <c r="I1097" s="79" t="s">
        <v>133</v>
      </c>
      <c r="J1097" s="79">
        <v>2024</v>
      </c>
      <c r="K1097" s="79" t="s">
        <v>1919</v>
      </c>
      <c r="L1097" s="79"/>
    </row>
    <row r="1098" spans="1:12" ht="14.1" hidden="1" customHeight="1" x14ac:dyDescent="0.25">
      <c r="A1098" s="82">
        <v>45082</v>
      </c>
      <c r="B1098" s="79" t="s">
        <v>2363</v>
      </c>
      <c r="C1098" s="79" t="s">
        <v>2364</v>
      </c>
      <c r="D1098" s="79"/>
      <c r="E1098" s="79">
        <v>68427719</v>
      </c>
      <c r="F1098" s="93">
        <v>-50000</v>
      </c>
      <c r="G1098" s="79" t="s">
        <v>113</v>
      </c>
      <c r="H1098" s="79" t="s">
        <v>114</v>
      </c>
      <c r="I1098" s="79" t="s">
        <v>133</v>
      </c>
      <c r="J1098" s="79">
        <v>2024</v>
      </c>
      <c r="K1098" s="79" t="s">
        <v>1919</v>
      </c>
      <c r="L1098" s="79"/>
    </row>
    <row r="1099" spans="1:12" hidden="1" x14ac:dyDescent="0.25">
      <c r="A1099" s="82">
        <v>45082</v>
      </c>
      <c r="B1099" s="79" t="s">
        <v>2365</v>
      </c>
      <c r="C1099" s="79" t="s">
        <v>2366</v>
      </c>
      <c r="D1099" s="79"/>
      <c r="E1099" s="79">
        <v>68427719</v>
      </c>
      <c r="F1099" s="93">
        <v>-100000</v>
      </c>
      <c r="G1099" s="79" t="s">
        <v>113</v>
      </c>
      <c r="H1099" s="79" t="s">
        <v>114</v>
      </c>
      <c r="I1099" s="79" t="s">
        <v>133</v>
      </c>
      <c r="J1099" s="79">
        <v>2024</v>
      </c>
      <c r="K1099" s="79" t="s">
        <v>1919</v>
      </c>
      <c r="L1099" s="79"/>
    </row>
    <row r="1100" spans="1:12" hidden="1" x14ac:dyDescent="0.25">
      <c r="A1100" s="82">
        <v>45085</v>
      </c>
      <c r="B1100" s="79" t="s">
        <v>1227</v>
      </c>
      <c r="C1100" s="79" t="s">
        <v>1744</v>
      </c>
      <c r="D1100" s="79"/>
      <c r="E1100" s="79">
        <v>68427709</v>
      </c>
      <c r="F1100" s="93">
        <v>3000</v>
      </c>
      <c r="G1100" s="79" t="s">
        <v>113</v>
      </c>
      <c r="H1100" s="79" t="s">
        <v>114</v>
      </c>
      <c r="I1100" s="79" t="s">
        <v>1700</v>
      </c>
      <c r="J1100" s="79">
        <v>2024</v>
      </c>
      <c r="K1100" s="79" t="s">
        <v>1225</v>
      </c>
      <c r="L1100" s="79"/>
    </row>
    <row r="1101" spans="1:12" hidden="1" x14ac:dyDescent="0.25">
      <c r="A1101" s="82">
        <v>45085</v>
      </c>
      <c r="B1101" s="79" t="s">
        <v>1583</v>
      </c>
      <c r="C1101" s="79" t="s">
        <v>2367</v>
      </c>
      <c r="D1101" s="79"/>
      <c r="E1101" s="79">
        <v>68427709</v>
      </c>
      <c r="F1101" s="93">
        <v>26000</v>
      </c>
      <c r="G1101" s="79" t="s">
        <v>113</v>
      </c>
      <c r="H1101" s="79" t="s">
        <v>114</v>
      </c>
      <c r="I1101" s="79" t="s">
        <v>1700</v>
      </c>
      <c r="J1101" s="79">
        <v>2024</v>
      </c>
      <c r="K1101" s="79" t="s">
        <v>1225</v>
      </c>
      <c r="L1101" s="79"/>
    </row>
    <row r="1102" spans="1:12" hidden="1" x14ac:dyDescent="0.25">
      <c r="A1102" s="82">
        <v>45086</v>
      </c>
      <c r="B1102" s="79" t="s">
        <v>2368</v>
      </c>
      <c r="C1102" s="79" t="s">
        <v>2369</v>
      </c>
      <c r="D1102" s="79"/>
      <c r="E1102" s="79">
        <v>68427709</v>
      </c>
      <c r="F1102" s="93">
        <v>-44000</v>
      </c>
      <c r="G1102" s="79" t="s">
        <v>113</v>
      </c>
      <c r="H1102" s="79" t="s">
        <v>114</v>
      </c>
      <c r="I1102" s="79" t="s">
        <v>1700</v>
      </c>
      <c r="J1102" s="79">
        <v>2024</v>
      </c>
      <c r="K1102" s="79" t="s">
        <v>1283</v>
      </c>
      <c r="L1102" s="79"/>
    </row>
    <row r="1103" spans="1:12" hidden="1" x14ac:dyDescent="0.25">
      <c r="A1103" s="82">
        <v>45086</v>
      </c>
      <c r="B1103" s="79" t="s">
        <v>2370</v>
      </c>
      <c r="C1103" s="79" t="s">
        <v>2371</v>
      </c>
      <c r="D1103" s="79"/>
      <c r="E1103" s="79">
        <v>68427709</v>
      </c>
      <c r="F1103" s="93">
        <v>7000</v>
      </c>
      <c r="G1103" s="79" t="s">
        <v>113</v>
      </c>
      <c r="H1103" s="79" t="s">
        <v>114</v>
      </c>
      <c r="I1103" s="79" t="s">
        <v>1700</v>
      </c>
      <c r="J1103" s="79">
        <v>2024</v>
      </c>
      <c r="K1103" s="79" t="s">
        <v>1283</v>
      </c>
      <c r="L1103" s="79"/>
    </row>
    <row r="1104" spans="1:12" hidden="1" x14ac:dyDescent="0.25">
      <c r="A1104" s="82">
        <v>45086</v>
      </c>
      <c r="B1104" s="79" t="s">
        <v>2372</v>
      </c>
      <c r="C1104" s="79" t="s">
        <v>2373</v>
      </c>
      <c r="D1104" s="79"/>
      <c r="E1104" s="79">
        <v>68427709</v>
      </c>
      <c r="F1104" s="93">
        <v>30500</v>
      </c>
      <c r="G1104" s="79" t="s">
        <v>113</v>
      </c>
      <c r="H1104" s="79" t="s">
        <v>114</v>
      </c>
      <c r="I1104" s="79" t="s">
        <v>1700</v>
      </c>
      <c r="J1104" s="79">
        <v>2024</v>
      </c>
      <c r="K1104" s="79" t="s">
        <v>1283</v>
      </c>
      <c r="L1104" s="79"/>
    </row>
    <row r="1105" spans="1:12" hidden="1" x14ac:dyDescent="0.25">
      <c r="A1105" s="82">
        <v>45086</v>
      </c>
      <c r="B1105" t="s">
        <v>2374</v>
      </c>
      <c r="C1105" s="79"/>
      <c r="D1105" s="79"/>
      <c r="E1105" s="79">
        <v>68427709</v>
      </c>
      <c r="F1105" s="93">
        <v>76000</v>
      </c>
      <c r="G1105" s="79" t="s">
        <v>113</v>
      </c>
      <c r="H1105" s="79" t="s">
        <v>114</v>
      </c>
      <c r="I1105" s="79" t="s">
        <v>1700</v>
      </c>
      <c r="J1105" s="79">
        <v>2024</v>
      </c>
      <c r="K1105" s="79" t="s">
        <v>1283</v>
      </c>
      <c r="L1105" s="79"/>
    </row>
    <row r="1106" spans="1:12" hidden="1" x14ac:dyDescent="0.25">
      <c r="A1106" s="82">
        <v>45086</v>
      </c>
      <c r="B1106" s="79" t="s">
        <v>2375</v>
      </c>
      <c r="C1106" s="79" t="s">
        <v>2376</v>
      </c>
      <c r="D1106" s="79"/>
      <c r="E1106" s="79">
        <v>68427709</v>
      </c>
      <c r="F1106" s="93">
        <v>15000</v>
      </c>
      <c r="G1106" s="79" t="s">
        <v>113</v>
      </c>
      <c r="H1106" s="79" t="s">
        <v>114</v>
      </c>
      <c r="I1106" s="79" t="s">
        <v>1700</v>
      </c>
      <c r="J1106" s="79">
        <v>2024</v>
      </c>
      <c r="K1106" s="79" t="s">
        <v>1283</v>
      </c>
      <c r="L1106" s="79"/>
    </row>
    <row r="1107" spans="1:12" hidden="1" x14ac:dyDescent="0.25">
      <c r="A1107" s="82">
        <v>45086</v>
      </c>
      <c r="B1107" s="79" t="s">
        <v>2377</v>
      </c>
      <c r="C1107" s="79" t="s">
        <v>2378</v>
      </c>
      <c r="D1107" s="79"/>
      <c r="E1107" s="79">
        <v>68427709</v>
      </c>
      <c r="F1107" s="93">
        <v>2200</v>
      </c>
      <c r="G1107" s="79" t="s">
        <v>113</v>
      </c>
      <c r="H1107" s="79" t="s">
        <v>114</v>
      </c>
      <c r="I1107" s="79" t="s">
        <v>1700</v>
      </c>
      <c r="J1107" s="79">
        <v>2024</v>
      </c>
      <c r="K1107" s="79" t="s">
        <v>2379</v>
      </c>
      <c r="L1107" s="79"/>
    </row>
    <row r="1108" spans="1:12" hidden="1" x14ac:dyDescent="0.25">
      <c r="A1108" s="82">
        <v>45086</v>
      </c>
      <c r="B1108" s="79" t="s">
        <v>2380</v>
      </c>
      <c r="C1108" s="79" t="s">
        <v>2381</v>
      </c>
      <c r="D1108" s="79"/>
      <c r="E1108" s="79">
        <v>68427709</v>
      </c>
      <c r="F1108" s="93">
        <v>50000</v>
      </c>
      <c r="G1108" s="79" t="s">
        <v>113</v>
      </c>
      <c r="H1108" s="79" t="s">
        <v>114</v>
      </c>
      <c r="I1108" s="79" t="s">
        <v>1700</v>
      </c>
      <c r="J1108" s="79">
        <v>2024</v>
      </c>
      <c r="K1108" s="79" t="s">
        <v>2379</v>
      </c>
      <c r="L1108" s="79"/>
    </row>
    <row r="1109" spans="1:12" hidden="1" x14ac:dyDescent="0.25">
      <c r="A1109" s="82">
        <v>45086</v>
      </c>
      <c r="B1109" s="79" t="s">
        <v>1317</v>
      </c>
      <c r="C1109" s="79" t="s">
        <v>2382</v>
      </c>
      <c r="D1109" s="79"/>
      <c r="E1109" s="79">
        <v>68427709</v>
      </c>
      <c r="F1109" s="93">
        <v>0</v>
      </c>
      <c r="G1109" s="79" t="s">
        <v>113</v>
      </c>
      <c r="H1109" s="79" t="s">
        <v>114</v>
      </c>
      <c r="I1109" s="79" t="s">
        <v>133</v>
      </c>
      <c r="J1109" s="79">
        <v>2024</v>
      </c>
      <c r="K1109" s="79" t="s">
        <v>1293</v>
      </c>
      <c r="L1109" s="79" t="s">
        <v>2383</v>
      </c>
    </row>
    <row r="1110" spans="1:12" hidden="1" x14ac:dyDescent="0.25">
      <c r="A1110" s="82">
        <v>45086</v>
      </c>
      <c r="B1110" s="79" t="s">
        <v>2384</v>
      </c>
      <c r="C1110" s="79" t="s">
        <v>1828</v>
      </c>
      <c r="D1110" s="79"/>
      <c r="E1110" s="79">
        <v>68427709</v>
      </c>
      <c r="F1110" s="93">
        <v>45000</v>
      </c>
      <c r="G1110" s="79" t="s">
        <v>113</v>
      </c>
      <c r="H1110" s="79" t="s">
        <v>114</v>
      </c>
      <c r="I1110" s="79" t="s">
        <v>1700</v>
      </c>
      <c r="J1110" s="79">
        <v>2024</v>
      </c>
      <c r="K1110" s="79" t="s">
        <v>1293</v>
      </c>
      <c r="L1110" s="79"/>
    </row>
    <row r="1111" spans="1:12" hidden="1" x14ac:dyDescent="0.25">
      <c r="A1111" s="82">
        <v>45086</v>
      </c>
      <c r="B1111" s="79" t="s">
        <v>2385</v>
      </c>
      <c r="C1111" s="79" t="s">
        <v>2386</v>
      </c>
      <c r="D1111" s="79"/>
      <c r="E1111" s="79">
        <v>68427709</v>
      </c>
      <c r="F1111" s="93">
        <v>53500</v>
      </c>
      <c r="G1111" s="79" t="s">
        <v>113</v>
      </c>
      <c r="H1111" s="79" t="s">
        <v>114</v>
      </c>
      <c r="I1111" s="79" t="s">
        <v>1700</v>
      </c>
      <c r="J1111" s="79">
        <v>2024</v>
      </c>
      <c r="K1111" s="79" t="s">
        <v>1293</v>
      </c>
      <c r="L1111" s="79"/>
    </row>
    <row r="1112" spans="1:12" hidden="1" x14ac:dyDescent="0.25">
      <c r="A1112" s="82">
        <v>45089</v>
      </c>
      <c r="B1112" s="79" t="s">
        <v>2167</v>
      </c>
      <c r="C1112" s="79" t="s">
        <v>2387</v>
      </c>
      <c r="D1112" s="79"/>
      <c r="E1112" s="79">
        <v>68427709</v>
      </c>
      <c r="F1112" s="93">
        <v>18000</v>
      </c>
      <c r="G1112" s="79" t="s">
        <v>113</v>
      </c>
      <c r="H1112" s="79" t="s">
        <v>114</v>
      </c>
      <c r="I1112" s="79" t="s">
        <v>1700</v>
      </c>
      <c r="J1112" s="79">
        <v>2024</v>
      </c>
      <c r="K1112" s="79" t="s">
        <v>2388</v>
      </c>
      <c r="L1112" s="79"/>
    </row>
    <row r="1113" spans="1:12" hidden="1" x14ac:dyDescent="0.25">
      <c r="A1113" s="82">
        <v>45091</v>
      </c>
      <c r="B1113" s="79" t="s">
        <v>1620</v>
      </c>
      <c r="C1113" s="79" t="s">
        <v>2389</v>
      </c>
      <c r="D1113" s="79"/>
      <c r="E1113" s="79">
        <v>68427709</v>
      </c>
      <c r="F1113" s="93">
        <v>122000</v>
      </c>
      <c r="G1113" s="79" t="s">
        <v>113</v>
      </c>
      <c r="H1113" s="79" t="s">
        <v>114</v>
      </c>
      <c r="I1113" s="79" t="s">
        <v>1700</v>
      </c>
      <c r="J1113" s="79">
        <v>2024</v>
      </c>
      <c r="K1113" s="79" t="s">
        <v>1634</v>
      </c>
      <c r="L1113" s="79"/>
    </row>
    <row r="1114" spans="1:12" hidden="1" x14ac:dyDescent="0.25">
      <c r="A1114" s="82">
        <v>45091</v>
      </c>
      <c r="B1114" s="79" t="s">
        <v>2277</v>
      </c>
      <c r="C1114" s="79" t="s">
        <v>2390</v>
      </c>
      <c r="D1114" s="79"/>
      <c r="E1114" s="79">
        <v>68427709</v>
      </c>
      <c r="F1114" s="93">
        <v>2000</v>
      </c>
      <c r="G1114" s="79" t="s">
        <v>113</v>
      </c>
      <c r="H1114" s="79" t="s">
        <v>114</v>
      </c>
      <c r="I1114" s="79" t="s">
        <v>1700</v>
      </c>
      <c r="J1114" s="79">
        <v>2024</v>
      </c>
      <c r="K1114" s="79" t="s">
        <v>1634</v>
      </c>
      <c r="L1114" s="79"/>
    </row>
    <row r="1115" spans="1:12" hidden="1" x14ac:dyDescent="0.25">
      <c r="A1115" s="82">
        <v>45091</v>
      </c>
      <c r="B1115" s="79" t="s">
        <v>1912</v>
      </c>
      <c r="C1115" s="79" t="s">
        <v>2391</v>
      </c>
      <c r="D1115" s="79"/>
      <c r="E1115" s="79">
        <v>68427709</v>
      </c>
      <c r="F1115" s="93">
        <v>12000</v>
      </c>
      <c r="G1115" s="79" t="s">
        <v>113</v>
      </c>
      <c r="H1115" s="79" t="s">
        <v>114</v>
      </c>
      <c r="I1115" s="79" t="s">
        <v>1700</v>
      </c>
      <c r="J1115" s="79">
        <v>2024</v>
      </c>
      <c r="K1115" s="79" t="s">
        <v>1634</v>
      </c>
      <c r="L1115" s="79"/>
    </row>
    <row r="1116" spans="1:12" hidden="1" x14ac:dyDescent="0.25">
      <c r="A1116" s="82">
        <v>45091</v>
      </c>
      <c r="B1116" s="79" t="s">
        <v>1518</v>
      </c>
      <c r="C1116" s="79" t="s">
        <v>2392</v>
      </c>
      <c r="D1116" s="79"/>
      <c r="E1116" s="79">
        <v>68427709</v>
      </c>
      <c r="F1116" s="93">
        <v>5000</v>
      </c>
      <c r="G1116" s="79" t="s">
        <v>113</v>
      </c>
      <c r="H1116" s="79" t="s">
        <v>114</v>
      </c>
      <c r="I1116" s="79" t="s">
        <v>1700</v>
      </c>
      <c r="J1116" s="79">
        <v>2024</v>
      </c>
      <c r="K1116" s="79" t="s">
        <v>1634</v>
      </c>
      <c r="L1116" s="79"/>
    </row>
    <row r="1117" spans="1:12" hidden="1" x14ac:dyDescent="0.25">
      <c r="A1117" s="82">
        <v>45091</v>
      </c>
      <c r="B1117" s="79" t="s">
        <v>2280</v>
      </c>
      <c r="C1117" s="79" t="s">
        <v>2392</v>
      </c>
      <c r="D1117" s="79"/>
      <c r="E1117" s="79">
        <v>68427709</v>
      </c>
      <c r="F1117" s="93">
        <v>3000</v>
      </c>
      <c r="G1117" s="79" t="s">
        <v>113</v>
      </c>
      <c r="H1117" s="79" t="s">
        <v>114</v>
      </c>
      <c r="I1117" s="79" t="s">
        <v>1700</v>
      </c>
      <c r="J1117" s="79">
        <v>2024</v>
      </c>
      <c r="K1117" s="79" t="s">
        <v>1634</v>
      </c>
      <c r="L1117" s="79"/>
    </row>
    <row r="1118" spans="1:12" hidden="1" x14ac:dyDescent="0.25">
      <c r="A1118" s="82">
        <v>45091</v>
      </c>
      <c r="B1118" s="79" t="s">
        <v>1909</v>
      </c>
      <c r="C1118" s="79" t="s">
        <v>2393</v>
      </c>
      <c r="D1118" s="79"/>
      <c r="E1118" s="79">
        <v>68427709</v>
      </c>
      <c r="F1118" s="93">
        <v>-12000</v>
      </c>
      <c r="G1118" s="79" t="s">
        <v>113</v>
      </c>
      <c r="H1118" s="79" t="s">
        <v>114</v>
      </c>
      <c r="I1118" s="79" t="s">
        <v>1700</v>
      </c>
      <c r="J1118" s="79">
        <v>2024</v>
      </c>
      <c r="K1118" s="79" t="s">
        <v>1634</v>
      </c>
      <c r="L1118" s="79"/>
    </row>
    <row r="1119" spans="1:12" hidden="1" x14ac:dyDescent="0.25">
      <c r="A1119" s="82">
        <v>45091</v>
      </c>
      <c r="B1119" s="79" t="s">
        <v>2293</v>
      </c>
      <c r="C1119" s="79" t="s">
        <v>2394</v>
      </c>
      <c r="D1119" s="79"/>
      <c r="E1119" s="79">
        <v>68427709</v>
      </c>
      <c r="F1119" s="93">
        <v>22000</v>
      </c>
      <c r="G1119" s="79" t="s">
        <v>113</v>
      </c>
      <c r="H1119" s="79" t="s">
        <v>114</v>
      </c>
      <c r="I1119" s="79" t="s">
        <v>1700</v>
      </c>
      <c r="J1119" s="79">
        <v>2024</v>
      </c>
      <c r="K1119" s="79" t="s">
        <v>1634</v>
      </c>
      <c r="L1119" s="79"/>
    </row>
    <row r="1120" spans="1:12" hidden="1" x14ac:dyDescent="0.25">
      <c r="A1120" s="82">
        <v>45091</v>
      </c>
      <c r="B1120" s="79" t="s">
        <v>1729</v>
      </c>
      <c r="C1120" s="79"/>
      <c r="D1120" s="79"/>
      <c r="E1120" s="79">
        <v>68427709</v>
      </c>
      <c r="F1120" s="93">
        <v>3000</v>
      </c>
      <c r="G1120" s="79" t="s">
        <v>113</v>
      </c>
      <c r="H1120" s="79" t="s">
        <v>114</v>
      </c>
      <c r="I1120" s="79" t="s">
        <v>1700</v>
      </c>
      <c r="J1120" s="79">
        <v>2024</v>
      </c>
      <c r="K1120" s="79" t="s">
        <v>1634</v>
      </c>
      <c r="L1120" s="79"/>
    </row>
    <row r="1121" spans="1:12" hidden="1" x14ac:dyDescent="0.25">
      <c r="A1121" s="82">
        <v>45091</v>
      </c>
      <c r="B1121" s="79" t="s">
        <v>2395</v>
      </c>
      <c r="C1121" s="79" t="s">
        <v>2396</v>
      </c>
      <c r="D1121" s="79"/>
      <c r="E1121" s="79">
        <v>68427709</v>
      </c>
      <c r="F1121" s="93">
        <v>-40000</v>
      </c>
      <c r="G1121" s="79" t="s">
        <v>113</v>
      </c>
      <c r="H1121" s="79" t="s">
        <v>114</v>
      </c>
      <c r="I1121" s="79" t="s">
        <v>1700</v>
      </c>
      <c r="J1121" s="79">
        <v>2024</v>
      </c>
      <c r="K1121" s="79" t="s">
        <v>1634</v>
      </c>
      <c r="L1121" s="79"/>
    </row>
    <row r="1122" spans="1:12" hidden="1" x14ac:dyDescent="0.25">
      <c r="A1122" s="82">
        <v>45091</v>
      </c>
      <c r="B1122" s="79" t="s">
        <v>2288</v>
      </c>
      <c r="C1122" s="79"/>
      <c r="D1122" s="79"/>
      <c r="E1122" s="79">
        <v>68427709</v>
      </c>
      <c r="F1122" s="93">
        <v>3000</v>
      </c>
      <c r="G1122" s="79" t="s">
        <v>113</v>
      </c>
      <c r="H1122" s="79" t="s">
        <v>114</v>
      </c>
      <c r="I1122" s="79" t="s">
        <v>1700</v>
      </c>
      <c r="J1122" s="79">
        <v>2024</v>
      </c>
      <c r="K1122" s="79" t="s">
        <v>1634</v>
      </c>
      <c r="L1122" s="79"/>
    </row>
    <row r="1123" spans="1:12" hidden="1" x14ac:dyDescent="0.25">
      <c r="A1123" s="82">
        <v>45091</v>
      </c>
      <c r="B1123" s="79" t="s">
        <v>2397</v>
      </c>
      <c r="C1123" s="79" t="s">
        <v>2398</v>
      </c>
      <c r="D1123" s="79"/>
      <c r="E1123" s="79">
        <v>68427709</v>
      </c>
      <c r="F1123" s="93">
        <v>72000</v>
      </c>
      <c r="G1123" s="79" t="s">
        <v>113</v>
      </c>
      <c r="H1123" s="79" t="s">
        <v>114</v>
      </c>
      <c r="I1123" s="79" t="s">
        <v>1700</v>
      </c>
      <c r="J1123" s="79">
        <v>2024</v>
      </c>
      <c r="K1123" s="79" t="s">
        <v>1634</v>
      </c>
      <c r="L1123" s="79"/>
    </row>
    <row r="1124" spans="1:12" hidden="1" x14ac:dyDescent="0.25">
      <c r="A1124" s="82">
        <v>45091</v>
      </c>
      <c r="B1124" s="79" t="s">
        <v>2399</v>
      </c>
      <c r="C1124" s="79" t="s">
        <v>2400</v>
      </c>
      <c r="D1124" s="79"/>
      <c r="E1124" s="79">
        <v>68427709</v>
      </c>
      <c r="F1124" s="93">
        <v>-61000</v>
      </c>
      <c r="G1124" s="79" t="s">
        <v>113</v>
      </c>
      <c r="H1124" s="79" t="s">
        <v>114</v>
      </c>
      <c r="I1124" s="79" t="s">
        <v>1700</v>
      </c>
      <c r="J1124" s="79">
        <v>2024</v>
      </c>
      <c r="K1124" s="79" t="s">
        <v>1634</v>
      </c>
      <c r="L1124" s="79"/>
    </row>
    <row r="1125" spans="1:12" hidden="1" x14ac:dyDescent="0.25">
      <c r="A1125" s="82">
        <v>45091</v>
      </c>
      <c r="B1125" s="79" t="s">
        <v>2401</v>
      </c>
      <c r="C1125" s="79" t="s">
        <v>2400</v>
      </c>
      <c r="D1125" s="79"/>
      <c r="E1125" s="79">
        <v>68427709</v>
      </c>
      <c r="F1125" s="93">
        <v>78000</v>
      </c>
      <c r="G1125" s="79" t="s">
        <v>113</v>
      </c>
      <c r="H1125" s="79" t="s">
        <v>114</v>
      </c>
      <c r="I1125" s="79" t="s">
        <v>1700</v>
      </c>
      <c r="J1125" s="79">
        <v>2024</v>
      </c>
      <c r="K1125" s="79" t="s">
        <v>1634</v>
      </c>
      <c r="L1125" s="79"/>
    </row>
    <row r="1126" spans="1:12" hidden="1" x14ac:dyDescent="0.25">
      <c r="A1126" s="82">
        <v>45091</v>
      </c>
      <c r="B1126" s="79" t="s">
        <v>285</v>
      </c>
      <c r="C1126" s="79" t="s">
        <v>2402</v>
      </c>
      <c r="D1126" s="79"/>
      <c r="E1126" s="79">
        <v>68427709</v>
      </c>
      <c r="F1126" s="93">
        <v>0</v>
      </c>
      <c r="G1126" s="79" t="s">
        <v>113</v>
      </c>
      <c r="H1126" s="79" t="s">
        <v>114</v>
      </c>
      <c r="I1126" s="79" t="s">
        <v>1700</v>
      </c>
      <c r="J1126" s="79">
        <v>2024</v>
      </c>
      <c r="K1126" s="79" t="s">
        <v>1634</v>
      </c>
      <c r="L1126" s="79"/>
    </row>
    <row r="1127" spans="1:12" hidden="1" x14ac:dyDescent="0.25">
      <c r="A1127" s="82">
        <v>45091</v>
      </c>
      <c r="B1127" s="79" t="s">
        <v>766</v>
      </c>
      <c r="C1127" t="s">
        <v>2403</v>
      </c>
      <c r="D1127" s="79"/>
      <c r="E1127" s="79">
        <v>68427709</v>
      </c>
      <c r="F1127" s="93">
        <v>92000</v>
      </c>
      <c r="G1127" s="79" t="s">
        <v>113</v>
      </c>
      <c r="H1127" s="79" t="s">
        <v>114</v>
      </c>
      <c r="I1127" s="79" t="s">
        <v>1700</v>
      </c>
      <c r="J1127" s="79">
        <v>2024</v>
      </c>
      <c r="K1127" s="79" t="s">
        <v>1634</v>
      </c>
      <c r="L1127" s="79"/>
    </row>
    <row r="1128" spans="1:12" hidden="1" x14ac:dyDescent="0.25">
      <c r="A1128" s="82">
        <v>45091</v>
      </c>
      <c r="B1128" s="79" t="s">
        <v>2281</v>
      </c>
      <c r="C1128" s="79" t="s">
        <v>2404</v>
      </c>
      <c r="D1128" s="79"/>
      <c r="E1128" s="79">
        <v>68427709</v>
      </c>
      <c r="F1128" s="93">
        <v>40000</v>
      </c>
      <c r="G1128" s="79" t="s">
        <v>113</v>
      </c>
      <c r="H1128" s="79" t="s">
        <v>114</v>
      </c>
      <c r="I1128" s="79" t="s">
        <v>1700</v>
      </c>
      <c r="J1128" s="79">
        <v>2024</v>
      </c>
      <c r="K1128" s="79" t="s">
        <v>1634</v>
      </c>
      <c r="L1128" s="79"/>
    </row>
    <row r="1129" spans="1:12" hidden="1" x14ac:dyDescent="0.25">
      <c r="A1129" s="82">
        <v>45091</v>
      </c>
      <c r="B1129" s="79" t="s">
        <v>2284</v>
      </c>
      <c r="C1129" s="79"/>
      <c r="D1129" s="79"/>
      <c r="E1129" s="79">
        <v>68427709</v>
      </c>
      <c r="F1129" s="93">
        <v>10000</v>
      </c>
      <c r="G1129" s="79" t="s">
        <v>113</v>
      </c>
      <c r="H1129" s="79" t="s">
        <v>114</v>
      </c>
      <c r="I1129" s="79" t="s">
        <v>1700</v>
      </c>
      <c r="J1129" s="79">
        <v>2024</v>
      </c>
      <c r="K1129" s="79" t="s">
        <v>1634</v>
      </c>
      <c r="L1129" s="79"/>
    </row>
    <row r="1130" spans="1:12" hidden="1" x14ac:dyDescent="0.25">
      <c r="A1130" s="82">
        <v>45091</v>
      </c>
      <c r="B1130" s="79" t="s">
        <v>161</v>
      </c>
      <c r="C1130" s="79" t="s">
        <v>2405</v>
      </c>
      <c r="D1130" s="79"/>
      <c r="E1130" s="79">
        <v>68427709</v>
      </c>
      <c r="F1130" s="93">
        <v>-130000</v>
      </c>
      <c r="G1130" s="79" t="s">
        <v>113</v>
      </c>
      <c r="H1130" s="79" t="s">
        <v>114</v>
      </c>
      <c r="I1130" s="79" t="s">
        <v>1700</v>
      </c>
      <c r="J1130" s="79">
        <v>2024</v>
      </c>
      <c r="K1130" s="79" t="s">
        <v>1634</v>
      </c>
      <c r="L1130" s="79"/>
    </row>
    <row r="1131" spans="1:12" hidden="1" x14ac:dyDescent="0.25">
      <c r="A1131" s="82">
        <v>45091</v>
      </c>
      <c r="B1131" s="79" t="s">
        <v>2406</v>
      </c>
      <c r="C1131" s="79" t="s">
        <v>2407</v>
      </c>
      <c r="D1131" s="79"/>
      <c r="E1131" s="79">
        <v>68427709</v>
      </c>
      <c r="F1131" s="93">
        <v>-150000</v>
      </c>
      <c r="G1131" s="79" t="s">
        <v>113</v>
      </c>
      <c r="H1131" s="79" t="s">
        <v>114</v>
      </c>
      <c r="I1131" s="79" t="s">
        <v>1700</v>
      </c>
      <c r="J1131" s="79">
        <v>2024</v>
      </c>
      <c r="K1131" s="79" t="s">
        <v>672</v>
      </c>
      <c r="L1131" s="79"/>
    </row>
    <row r="1132" spans="1:12" hidden="1" x14ac:dyDescent="0.25">
      <c r="A1132" s="82">
        <v>45091</v>
      </c>
      <c r="B1132" s="150" t="s">
        <v>2408</v>
      </c>
      <c r="C1132" s="79" t="s">
        <v>2409</v>
      </c>
      <c r="D1132" s="79"/>
      <c r="E1132" s="79">
        <v>68427709</v>
      </c>
      <c r="F1132" s="93">
        <v>-285000</v>
      </c>
      <c r="G1132" s="79" t="s">
        <v>113</v>
      </c>
      <c r="H1132" s="79" t="s">
        <v>114</v>
      </c>
      <c r="I1132" s="79" t="s">
        <v>1700</v>
      </c>
      <c r="J1132" s="79">
        <v>2024</v>
      </c>
      <c r="K1132" s="79" t="s">
        <v>672</v>
      </c>
      <c r="L1132" s="79"/>
    </row>
    <row r="1133" spans="1:12" hidden="1" x14ac:dyDescent="0.25">
      <c r="A1133" s="82">
        <v>45091</v>
      </c>
      <c r="B1133" s="150" t="s">
        <v>2410</v>
      </c>
      <c r="C1133" s="79" t="s">
        <v>2411</v>
      </c>
      <c r="D1133" s="79"/>
      <c r="E1133" s="79">
        <v>68427709</v>
      </c>
      <c r="F1133" s="93">
        <v>23600</v>
      </c>
      <c r="G1133" s="79" t="s">
        <v>113</v>
      </c>
      <c r="H1133" s="79" t="s">
        <v>114</v>
      </c>
      <c r="I1133" s="79" t="s">
        <v>133</v>
      </c>
      <c r="J1133" s="79">
        <v>2024</v>
      </c>
      <c r="K1133" s="79" t="s">
        <v>672</v>
      </c>
      <c r="L1133" s="79"/>
    </row>
    <row r="1134" spans="1:12" hidden="1" x14ac:dyDescent="0.25">
      <c r="A1134" s="82">
        <v>45091</v>
      </c>
      <c r="B1134" s="79" t="s">
        <v>2187</v>
      </c>
      <c r="C1134" s="79" t="s">
        <v>2412</v>
      </c>
      <c r="D1134" s="79"/>
      <c r="E1134" s="79">
        <v>68427709</v>
      </c>
      <c r="F1134" s="93">
        <v>-99000</v>
      </c>
      <c r="G1134" s="79" t="s">
        <v>113</v>
      </c>
      <c r="H1134" s="79" t="s">
        <v>114</v>
      </c>
      <c r="I1134" s="79" t="s">
        <v>1990</v>
      </c>
      <c r="J1134" s="79">
        <v>2024</v>
      </c>
      <c r="K1134" s="79" t="s">
        <v>672</v>
      </c>
      <c r="L1134" s="79"/>
    </row>
    <row r="1135" spans="1:12" hidden="1" x14ac:dyDescent="0.25">
      <c r="A1135" s="82">
        <v>45091</v>
      </c>
      <c r="B1135" s="79" t="s">
        <v>2413</v>
      </c>
      <c r="C1135" s="79" t="s">
        <v>2414</v>
      </c>
      <c r="D1135" s="79"/>
      <c r="E1135" s="79">
        <v>68427709</v>
      </c>
      <c r="F1135" s="93">
        <v>376000</v>
      </c>
      <c r="G1135" s="79" t="s">
        <v>113</v>
      </c>
      <c r="H1135" s="79" t="s">
        <v>114</v>
      </c>
      <c r="I1135" s="79" t="s">
        <v>1700</v>
      </c>
      <c r="J1135" s="79">
        <v>2024</v>
      </c>
      <c r="K1135" s="79" t="s">
        <v>672</v>
      </c>
      <c r="L1135" s="79"/>
    </row>
    <row r="1136" spans="1:12" ht="16.350000000000001" hidden="1" customHeight="1" x14ac:dyDescent="0.25">
      <c r="A1136" s="82">
        <v>45091</v>
      </c>
      <c r="B1136" s="79" t="s">
        <v>2415</v>
      </c>
      <c r="C1136" s="79" t="s">
        <v>2416</v>
      </c>
      <c r="D1136" s="79"/>
      <c r="E1136" s="79">
        <v>68427709</v>
      </c>
      <c r="F1136" s="93">
        <v>-23200</v>
      </c>
      <c r="G1136" s="79" t="s">
        <v>113</v>
      </c>
      <c r="H1136" s="79" t="s">
        <v>114</v>
      </c>
      <c r="I1136" s="79" t="s">
        <v>1700</v>
      </c>
      <c r="J1136" s="79">
        <v>2024</v>
      </c>
      <c r="K1136" s="79" t="s">
        <v>672</v>
      </c>
      <c r="L1136" s="79"/>
    </row>
    <row r="1137" spans="1:12" hidden="1" x14ac:dyDescent="0.25">
      <c r="A1137" s="82">
        <v>45091</v>
      </c>
      <c r="B1137" s="79" t="s">
        <v>1798</v>
      </c>
      <c r="C1137" s="79" t="s">
        <v>2417</v>
      </c>
      <c r="D1137" s="79"/>
      <c r="E1137" s="79">
        <v>68427709</v>
      </c>
      <c r="F1137" s="93">
        <v>-40000</v>
      </c>
      <c r="G1137" s="79" t="s">
        <v>113</v>
      </c>
      <c r="H1137" s="79" t="s">
        <v>114</v>
      </c>
      <c r="I1137" s="79" t="s">
        <v>1700</v>
      </c>
      <c r="J1137" s="79">
        <v>2024</v>
      </c>
      <c r="K1137" s="79" t="s">
        <v>672</v>
      </c>
      <c r="L1137" s="79"/>
    </row>
    <row r="1138" spans="1:12" hidden="1" x14ac:dyDescent="0.25">
      <c r="A1138" s="82">
        <v>45091</v>
      </c>
      <c r="B1138" s="122" t="s">
        <v>2418</v>
      </c>
      <c r="C1138" s="79" t="s">
        <v>2419</v>
      </c>
      <c r="D1138" s="79"/>
      <c r="E1138" s="79">
        <v>68427709</v>
      </c>
      <c r="F1138" s="93">
        <v>77000</v>
      </c>
      <c r="G1138" s="79" t="s">
        <v>113</v>
      </c>
      <c r="H1138" s="79" t="s">
        <v>114</v>
      </c>
      <c r="I1138" s="79" t="s">
        <v>1700</v>
      </c>
      <c r="J1138" s="79">
        <v>2024</v>
      </c>
      <c r="K1138" s="79" t="s">
        <v>672</v>
      </c>
      <c r="L1138" s="79"/>
    </row>
    <row r="1139" spans="1:12" hidden="1" x14ac:dyDescent="0.25">
      <c r="A1139" s="82">
        <v>45091</v>
      </c>
      <c r="B1139" s="122" t="s">
        <v>2420</v>
      </c>
      <c r="C1139" s="79" t="s">
        <v>2319</v>
      </c>
      <c r="D1139" s="79"/>
      <c r="E1139" s="79">
        <v>68427709</v>
      </c>
      <c r="F1139" s="93">
        <v>-323000</v>
      </c>
      <c r="G1139" s="79" t="s">
        <v>113</v>
      </c>
      <c r="H1139" s="79" t="s">
        <v>114</v>
      </c>
      <c r="I1139" s="79" t="s">
        <v>133</v>
      </c>
      <c r="J1139" s="79">
        <v>2024</v>
      </c>
      <c r="K1139" s="79" t="s">
        <v>672</v>
      </c>
      <c r="L1139" s="79"/>
    </row>
    <row r="1140" spans="1:12" hidden="1" x14ac:dyDescent="0.25">
      <c r="A1140" s="82">
        <v>45091</v>
      </c>
      <c r="B1140" s="122" t="s">
        <v>2421</v>
      </c>
      <c r="C1140" s="79" t="s">
        <v>2422</v>
      </c>
      <c r="D1140" s="79"/>
      <c r="E1140" s="79">
        <v>68427709</v>
      </c>
      <c r="F1140" s="93">
        <v>-45000</v>
      </c>
      <c r="G1140" s="79" t="s">
        <v>113</v>
      </c>
      <c r="H1140" s="79" t="s">
        <v>114</v>
      </c>
      <c r="I1140" s="79" t="s">
        <v>1990</v>
      </c>
      <c r="J1140" s="79">
        <v>2024</v>
      </c>
      <c r="K1140" s="79" t="s">
        <v>672</v>
      </c>
      <c r="L1140" s="79"/>
    </row>
    <row r="1141" spans="1:12" hidden="1" x14ac:dyDescent="0.25">
      <c r="A1141" s="82">
        <v>45091</v>
      </c>
      <c r="B1141" s="122" t="s">
        <v>2423</v>
      </c>
      <c r="C1141" s="79" t="s">
        <v>2424</v>
      </c>
      <c r="D1141" s="79"/>
      <c r="E1141" s="79">
        <v>68427709</v>
      </c>
      <c r="F1141" s="93">
        <v>260000</v>
      </c>
      <c r="G1141" s="79" t="s">
        <v>113</v>
      </c>
      <c r="H1141" s="79" t="s">
        <v>114</v>
      </c>
      <c r="I1141" s="79" t="s">
        <v>1990</v>
      </c>
      <c r="J1141" s="79">
        <v>2024</v>
      </c>
      <c r="K1141" s="79" t="s">
        <v>672</v>
      </c>
      <c r="L1141" s="79"/>
    </row>
    <row r="1142" spans="1:12" hidden="1" x14ac:dyDescent="0.25">
      <c r="A1142" s="82">
        <v>45091</v>
      </c>
      <c r="B1142" s="122" t="s">
        <v>2425</v>
      </c>
      <c r="C1142" s="79" t="s">
        <v>2426</v>
      </c>
      <c r="D1142" s="79"/>
      <c r="E1142" s="79">
        <v>68427709</v>
      </c>
      <c r="F1142" s="93">
        <v>56200</v>
      </c>
      <c r="G1142" s="79" t="s">
        <v>113</v>
      </c>
      <c r="H1142" s="79" t="s">
        <v>114</v>
      </c>
      <c r="I1142" s="79" t="s">
        <v>1990</v>
      </c>
      <c r="J1142" s="79">
        <v>2024</v>
      </c>
      <c r="K1142" s="79" t="s">
        <v>672</v>
      </c>
      <c r="L1142" s="79"/>
    </row>
    <row r="1143" spans="1:12" hidden="1" x14ac:dyDescent="0.25">
      <c r="A1143" s="82">
        <v>45091</v>
      </c>
      <c r="B1143" s="122" t="s">
        <v>2427</v>
      </c>
      <c r="C1143" s="79" t="s">
        <v>2428</v>
      </c>
      <c r="D1143" s="79"/>
      <c r="E1143" s="79">
        <v>68427709</v>
      </c>
      <c r="F1143" s="93">
        <v>105000</v>
      </c>
      <c r="G1143" s="79" t="s">
        <v>113</v>
      </c>
      <c r="H1143" s="79" t="s">
        <v>114</v>
      </c>
      <c r="I1143" s="79" t="s">
        <v>133</v>
      </c>
      <c r="J1143" s="79">
        <v>2024</v>
      </c>
      <c r="K1143" s="79" t="s">
        <v>672</v>
      </c>
      <c r="L1143" s="79"/>
    </row>
    <row r="1144" spans="1:12" hidden="1" x14ac:dyDescent="0.25">
      <c r="A1144" s="82">
        <v>45091</v>
      </c>
      <c r="B1144" s="122" t="s">
        <v>2429</v>
      </c>
      <c r="C1144" s="79" t="s">
        <v>2430</v>
      </c>
      <c r="D1144" s="79"/>
      <c r="E1144" s="79">
        <v>68427709</v>
      </c>
      <c r="F1144" s="93">
        <v>105000</v>
      </c>
      <c r="G1144" s="79" t="s">
        <v>113</v>
      </c>
      <c r="H1144" s="79" t="s">
        <v>114</v>
      </c>
      <c r="I1144" s="79" t="s">
        <v>133</v>
      </c>
      <c r="J1144" s="79">
        <v>2024</v>
      </c>
      <c r="K1144" s="79" t="s">
        <v>672</v>
      </c>
      <c r="L1144" s="79"/>
    </row>
    <row r="1145" spans="1:12" hidden="1" x14ac:dyDescent="0.25">
      <c r="A1145" s="82">
        <v>45091</v>
      </c>
      <c r="B1145" s="122" t="s">
        <v>2431</v>
      </c>
      <c r="C1145" s="79" t="s">
        <v>2432</v>
      </c>
      <c r="D1145" s="79"/>
      <c r="E1145" s="79">
        <v>68427709</v>
      </c>
      <c r="F1145" s="93">
        <v>56200</v>
      </c>
      <c r="G1145" s="79" t="s">
        <v>113</v>
      </c>
      <c r="H1145" s="79" t="s">
        <v>114</v>
      </c>
      <c r="I1145" s="79" t="s">
        <v>1700</v>
      </c>
      <c r="J1145" s="79">
        <v>2024</v>
      </c>
      <c r="K1145" s="79" t="s">
        <v>672</v>
      </c>
      <c r="L1145" s="79"/>
    </row>
    <row r="1146" spans="1:12" hidden="1" x14ac:dyDescent="0.25">
      <c r="A1146" s="82">
        <v>45091</v>
      </c>
      <c r="B1146" s="122" t="s">
        <v>2433</v>
      </c>
      <c r="C1146" s="79" t="s">
        <v>2434</v>
      </c>
      <c r="D1146" s="79"/>
      <c r="E1146" s="79">
        <v>68427709</v>
      </c>
      <c r="F1146" s="93">
        <v>11250</v>
      </c>
      <c r="G1146" s="79" t="s">
        <v>113</v>
      </c>
      <c r="H1146" s="79" t="s">
        <v>114</v>
      </c>
      <c r="I1146" s="79" t="s">
        <v>1700</v>
      </c>
      <c r="J1146" s="79">
        <v>2024</v>
      </c>
      <c r="K1146" s="79" t="s">
        <v>672</v>
      </c>
      <c r="L1146" s="79"/>
    </row>
    <row r="1147" spans="1:12" hidden="1" x14ac:dyDescent="0.25">
      <c r="A1147" s="82">
        <v>45091</v>
      </c>
      <c r="B1147" s="79" t="s">
        <v>2435</v>
      </c>
      <c r="C1147" s="79" t="s">
        <v>2436</v>
      </c>
      <c r="D1147" s="79"/>
      <c r="E1147" s="79">
        <v>68427709</v>
      </c>
      <c r="F1147" s="93">
        <v>40800</v>
      </c>
      <c r="G1147" s="79" t="s">
        <v>113</v>
      </c>
      <c r="H1147" s="79" t="s">
        <v>114</v>
      </c>
      <c r="I1147" s="79" t="s">
        <v>1700</v>
      </c>
      <c r="J1147" s="79">
        <v>2024</v>
      </c>
      <c r="K1147" s="79" t="s">
        <v>672</v>
      </c>
      <c r="L1147" s="79"/>
    </row>
    <row r="1148" spans="1:12" hidden="1" x14ac:dyDescent="0.25">
      <c r="A1148" s="82">
        <v>45091</v>
      </c>
      <c r="B1148" s="79" t="s">
        <v>2437</v>
      </c>
      <c r="C1148" s="79" t="s">
        <v>2438</v>
      </c>
      <c r="D1148" s="79"/>
      <c r="E1148" s="79">
        <v>68427709</v>
      </c>
      <c r="F1148" s="93">
        <v>800</v>
      </c>
      <c r="G1148" s="79" t="s">
        <v>113</v>
      </c>
      <c r="H1148" s="79" t="s">
        <v>114</v>
      </c>
      <c r="I1148" s="79" t="s">
        <v>1700</v>
      </c>
      <c r="J1148" s="79">
        <v>2024</v>
      </c>
      <c r="K1148" s="79" t="s">
        <v>116</v>
      </c>
      <c r="L1148" s="79"/>
    </row>
    <row r="1149" spans="1:12" hidden="1" x14ac:dyDescent="0.25">
      <c r="A1149" s="82">
        <v>45091</v>
      </c>
      <c r="B1149" s="79" t="s">
        <v>2439</v>
      </c>
      <c r="C1149" s="79" t="s">
        <v>2438</v>
      </c>
      <c r="D1149" s="79"/>
      <c r="E1149" s="79">
        <v>68427709</v>
      </c>
      <c r="F1149" s="93">
        <v>46000</v>
      </c>
      <c r="G1149" s="79" t="s">
        <v>113</v>
      </c>
      <c r="H1149" s="79" t="s">
        <v>114</v>
      </c>
      <c r="I1149" s="79" t="s">
        <v>1700</v>
      </c>
      <c r="J1149" s="79">
        <v>2024</v>
      </c>
      <c r="K1149" s="79" t="s">
        <v>116</v>
      </c>
      <c r="L1149" s="79"/>
    </row>
    <row r="1150" spans="1:12" hidden="1" x14ac:dyDescent="0.25">
      <c r="A1150" s="82">
        <v>45091</v>
      </c>
      <c r="B1150" s="79" t="s">
        <v>2440</v>
      </c>
      <c r="C1150" s="79" t="s">
        <v>2438</v>
      </c>
      <c r="D1150" s="79"/>
      <c r="E1150" s="79">
        <v>68427709</v>
      </c>
      <c r="F1150" s="93">
        <v>760</v>
      </c>
      <c r="G1150" s="79" t="s">
        <v>113</v>
      </c>
      <c r="H1150" s="79" t="s">
        <v>114</v>
      </c>
      <c r="I1150" s="79" t="s">
        <v>1700</v>
      </c>
      <c r="J1150" s="79">
        <v>2024</v>
      </c>
      <c r="K1150" s="79" t="s">
        <v>116</v>
      </c>
      <c r="L1150" s="79"/>
    </row>
    <row r="1151" spans="1:12" hidden="1" x14ac:dyDescent="0.25">
      <c r="A1151" s="82">
        <v>45091</v>
      </c>
      <c r="B1151" s="79" t="s">
        <v>2441</v>
      </c>
      <c r="C1151" s="79" t="s">
        <v>2438</v>
      </c>
      <c r="D1151" s="79"/>
      <c r="E1151" s="79">
        <v>68427709</v>
      </c>
      <c r="F1151" s="93">
        <v>1550</v>
      </c>
      <c r="G1151" s="79" t="s">
        <v>113</v>
      </c>
      <c r="H1151" s="79" t="s">
        <v>114</v>
      </c>
      <c r="I1151" s="79" t="s">
        <v>1700</v>
      </c>
      <c r="J1151" s="79">
        <v>2024</v>
      </c>
      <c r="K1151" s="79" t="s">
        <v>116</v>
      </c>
      <c r="L1151" s="79"/>
    </row>
    <row r="1152" spans="1:12" hidden="1" x14ac:dyDescent="0.25">
      <c r="A1152" s="82">
        <v>45091</v>
      </c>
      <c r="B1152" s="79" t="s">
        <v>1614</v>
      </c>
      <c r="C1152" s="79" t="s">
        <v>2438</v>
      </c>
      <c r="D1152" s="79"/>
      <c r="E1152" s="79">
        <v>68427709</v>
      </c>
      <c r="F1152" s="93">
        <v>900</v>
      </c>
      <c r="G1152" s="79" t="s">
        <v>113</v>
      </c>
      <c r="H1152" s="79" t="s">
        <v>114</v>
      </c>
      <c r="I1152" s="79" t="s">
        <v>1700</v>
      </c>
      <c r="J1152" s="79">
        <v>2024</v>
      </c>
      <c r="K1152" s="79" t="s">
        <v>116</v>
      </c>
      <c r="L1152" s="79"/>
    </row>
    <row r="1153" spans="1:12" hidden="1" x14ac:dyDescent="0.25">
      <c r="A1153" s="82">
        <v>45091</v>
      </c>
      <c r="B1153" s="79" t="s">
        <v>2442</v>
      </c>
      <c r="C1153" s="79" t="s">
        <v>2438</v>
      </c>
      <c r="D1153" s="79"/>
      <c r="E1153" s="79">
        <v>68427709</v>
      </c>
      <c r="F1153" s="93">
        <v>2200</v>
      </c>
      <c r="G1153" s="79" t="s">
        <v>113</v>
      </c>
      <c r="H1153" s="79" t="s">
        <v>114</v>
      </c>
      <c r="I1153" s="79" t="s">
        <v>1700</v>
      </c>
      <c r="J1153" s="79">
        <v>2024</v>
      </c>
      <c r="K1153" s="79" t="s">
        <v>116</v>
      </c>
      <c r="L1153" s="79"/>
    </row>
    <row r="1154" spans="1:12" hidden="1" x14ac:dyDescent="0.25">
      <c r="A1154" s="82">
        <v>45091</v>
      </c>
      <c r="B1154" s="79" t="s">
        <v>2443</v>
      </c>
      <c r="C1154" s="79" t="s">
        <v>2438</v>
      </c>
      <c r="D1154" s="79"/>
      <c r="E1154" s="79">
        <v>68427709</v>
      </c>
      <c r="F1154" s="93">
        <v>8500</v>
      </c>
      <c r="G1154" s="79" t="s">
        <v>113</v>
      </c>
      <c r="H1154" s="79" t="s">
        <v>114</v>
      </c>
      <c r="I1154" s="79" t="s">
        <v>1700</v>
      </c>
      <c r="J1154" s="79">
        <v>2024</v>
      </c>
      <c r="K1154" s="79" t="s">
        <v>116</v>
      </c>
      <c r="L1154" s="79"/>
    </row>
    <row r="1155" spans="1:12" hidden="1" x14ac:dyDescent="0.25">
      <c r="A1155" s="82">
        <v>45092</v>
      </c>
      <c r="B1155" s="79" t="s">
        <v>2444</v>
      </c>
      <c r="C1155" s="79"/>
      <c r="D1155" s="79"/>
      <c r="E1155" s="79">
        <v>68427709</v>
      </c>
      <c r="F1155" s="93">
        <v>34700</v>
      </c>
      <c r="G1155" s="79" t="s">
        <v>113</v>
      </c>
      <c r="H1155" s="79" t="s">
        <v>114</v>
      </c>
      <c r="I1155" s="79" t="s">
        <v>1700</v>
      </c>
      <c r="J1155" s="79">
        <v>2024</v>
      </c>
      <c r="K1155" s="79" t="s">
        <v>672</v>
      </c>
      <c r="L1155" s="79"/>
    </row>
    <row r="1156" spans="1:12" hidden="1" x14ac:dyDescent="0.25">
      <c r="A1156" s="82">
        <v>45092</v>
      </c>
      <c r="B1156" s="79" t="s">
        <v>1285</v>
      </c>
      <c r="C1156" s="79" t="s">
        <v>2392</v>
      </c>
      <c r="D1156" s="79"/>
      <c r="E1156" s="79">
        <v>68427709</v>
      </c>
      <c r="F1156" s="93">
        <v>2000</v>
      </c>
      <c r="G1156" s="79" t="s">
        <v>113</v>
      </c>
      <c r="H1156" s="79" t="s">
        <v>114</v>
      </c>
      <c r="I1156" s="79" t="s">
        <v>1700</v>
      </c>
      <c r="J1156" s="79">
        <v>2024</v>
      </c>
      <c r="K1156" s="79" t="s">
        <v>672</v>
      </c>
      <c r="L1156" s="79"/>
    </row>
    <row r="1157" spans="1:12" hidden="1" x14ac:dyDescent="0.25">
      <c r="A1157" s="82">
        <v>45092</v>
      </c>
      <c r="B1157" s="79" t="s">
        <v>2445</v>
      </c>
      <c r="C1157" s="79" t="s">
        <v>2446</v>
      </c>
      <c r="D1157" s="79"/>
      <c r="E1157" s="79">
        <v>68427709</v>
      </c>
      <c r="F1157" s="93">
        <v>40000</v>
      </c>
      <c r="G1157" s="79" t="s">
        <v>113</v>
      </c>
      <c r="H1157" s="79" t="s">
        <v>114</v>
      </c>
      <c r="I1157" s="79" t="s">
        <v>133</v>
      </c>
      <c r="J1157" s="79">
        <v>2024</v>
      </c>
      <c r="K1157" s="79" t="s">
        <v>672</v>
      </c>
      <c r="L1157" s="79"/>
    </row>
    <row r="1158" spans="1:12" hidden="1" x14ac:dyDescent="0.25">
      <c r="A1158" s="82">
        <v>45092</v>
      </c>
      <c r="B1158" s="79" t="s">
        <v>2447</v>
      </c>
      <c r="C1158" s="79" t="s">
        <v>2448</v>
      </c>
      <c r="D1158" s="79"/>
      <c r="E1158" s="79">
        <v>68427709</v>
      </c>
      <c r="F1158" s="93">
        <v>0</v>
      </c>
      <c r="G1158" s="79" t="s">
        <v>113</v>
      </c>
      <c r="H1158" s="79" t="s">
        <v>114</v>
      </c>
      <c r="I1158" s="79" t="s">
        <v>133</v>
      </c>
      <c r="J1158" s="79">
        <v>2024</v>
      </c>
      <c r="K1158" s="79" t="s">
        <v>1788</v>
      </c>
      <c r="L1158" s="79" t="s">
        <v>2449</v>
      </c>
    </row>
    <row r="1159" spans="1:12" hidden="1" x14ac:dyDescent="0.25">
      <c r="A1159" s="82">
        <v>45092</v>
      </c>
      <c r="B1159" s="79" t="s">
        <v>2450</v>
      </c>
      <c r="C1159" s="79" t="s">
        <v>2451</v>
      </c>
      <c r="D1159" s="79"/>
      <c r="E1159" s="79">
        <v>68427709</v>
      </c>
      <c r="F1159" s="93">
        <v>47000</v>
      </c>
      <c r="G1159" s="79" t="s">
        <v>113</v>
      </c>
      <c r="H1159" s="79" t="s">
        <v>114</v>
      </c>
      <c r="I1159" s="79" t="s">
        <v>1700</v>
      </c>
      <c r="J1159" s="79">
        <v>2024</v>
      </c>
      <c r="K1159" s="79" t="s">
        <v>1788</v>
      </c>
      <c r="L1159" s="79"/>
    </row>
    <row r="1160" spans="1:12" hidden="1" x14ac:dyDescent="0.25">
      <c r="A1160" s="82">
        <v>45092</v>
      </c>
      <c r="B1160" s="79" t="s">
        <v>2452</v>
      </c>
      <c r="C1160" s="79" t="s">
        <v>2453</v>
      </c>
      <c r="D1160" s="79"/>
      <c r="E1160" s="79">
        <v>68427709</v>
      </c>
      <c r="F1160" s="93">
        <v>51000</v>
      </c>
      <c r="G1160" s="79" t="s">
        <v>113</v>
      </c>
      <c r="H1160" s="79" t="s">
        <v>114</v>
      </c>
      <c r="I1160" s="79" t="s">
        <v>1700</v>
      </c>
      <c r="J1160" s="79">
        <v>2024</v>
      </c>
      <c r="K1160" s="79" t="s">
        <v>1788</v>
      </c>
      <c r="L1160" s="79"/>
    </row>
    <row r="1161" spans="1:12" hidden="1" x14ac:dyDescent="0.25">
      <c r="A1161" s="82">
        <v>45092</v>
      </c>
      <c r="B1161" s="79" t="s">
        <v>1253</v>
      </c>
      <c r="C1161" s="79" t="s">
        <v>2454</v>
      </c>
      <c r="D1161" s="79"/>
      <c r="E1161" s="79">
        <v>68427709</v>
      </c>
      <c r="F1161" s="93">
        <v>99000</v>
      </c>
      <c r="G1161" s="79" t="s">
        <v>113</v>
      </c>
      <c r="H1161" s="79" t="s">
        <v>114</v>
      </c>
      <c r="I1161" s="79" t="s">
        <v>1700</v>
      </c>
      <c r="J1161" s="79">
        <v>2024</v>
      </c>
      <c r="K1161" s="79" t="s">
        <v>1788</v>
      </c>
      <c r="L1161" s="79"/>
    </row>
    <row r="1162" spans="1:12" hidden="1" x14ac:dyDescent="0.25">
      <c r="A1162" s="82">
        <v>45092</v>
      </c>
      <c r="B1162" s="79" t="s">
        <v>2455</v>
      </c>
      <c r="C1162" s="79" t="s">
        <v>2453</v>
      </c>
      <c r="D1162" s="79"/>
      <c r="E1162" s="79">
        <v>68427709</v>
      </c>
      <c r="F1162" s="93">
        <v>10000</v>
      </c>
      <c r="G1162" s="79" t="s">
        <v>113</v>
      </c>
      <c r="H1162" s="79" t="s">
        <v>114</v>
      </c>
      <c r="I1162" s="79" t="s">
        <v>1700</v>
      </c>
      <c r="J1162" s="79">
        <v>2024</v>
      </c>
      <c r="K1162" s="79" t="s">
        <v>1788</v>
      </c>
      <c r="L1162" s="79"/>
    </row>
    <row r="1163" spans="1:12" hidden="1" x14ac:dyDescent="0.25">
      <c r="A1163" s="82">
        <v>45099</v>
      </c>
      <c r="B1163" s="79" t="s">
        <v>2253</v>
      </c>
      <c r="C1163" s="79" t="s">
        <v>2456</v>
      </c>
      <c r="D1163" s="79"/>
      <c r="E1163" s="79">
        <v>68427709</v>
      </c>
      <c r="F1163" s="93">
        <v>1000</v>
      </c>
      <c r="G1163" s="79" t="s">
        <v>113</v>
      </c>
      <c r="H1163" s="79" t="s">
        <v>114</v>
      </c>
      <c r="I1163" s="79"/>
      <c r="J1163" s="79">
        <v>2024</v>
      </c>
      <c r="K1163" s="79" t="s">
        <v>1203</v>
      </c>
      <c r="L1163" s="79"/>
    </row>
    <row r="1164" spans="1:12" hidden="1" x14ac:dyDescent="0.25">
      <c r="A1164" s="82">
        <v>45099</v>
      </c>
      <c r="B1164" s="79" t="s">
        <v>1352</v>
      </c>
      <c r="C1164" s="79" t="s">
        <v>2457</v>
      </c>
      <c r="D1164" s="79"/>
      <c r="E1164" s="79">
        <v>68427709</v>
      </c>
      <c r="F1164" s="93">
        <v>-30000</v>
      </c>
      <c r="G1164" s="79" t="s">
        <v>113</v>
      </c>
      <c r="H1164" s="79" t="s">
        <v>114</v>
      </c>
      <c r="I1164" s="79"/>
      <c r="J1164" s="79">
        <v>2024</v>
      </c>
      <c r="K1164" s="79" t="s">
        <v>1203</v>
      </c>
      <c r="L1164" s="79"/>
    </row>
    <row r="1165" spans="1:12" hidden="1" x14ac:dyDescent="0.25">
      <c r="A1165" s="82">
        <v>45099</v>
      </c>
      <c r="B1165" s="79" t="s">
        <v>2458</v>
      </c>
      <c r="C1165" s="79" t="s">
        <v>2459</v>
      </c>
      <c r="D1165" s="79"/>
      <c r="E1165" s="79">
        <v>68427709</v>
      </c>
      <c r="F1165" s="93">
        <v>10000</v>
      </c>
      <c r="G1165" s="79" t="s">
        <v>113</v>
      </c>
      <c r="H1165" s="79" t="s">
        <v>114</v>
      </c>
      <c r="I1165" s="79"/>
      <c r="J1165" s="79">
        <v>2024</v>
      </c>
      <c r="K1165" s="79" t="s">
        <v>1203</v>
      </c>
      <c r="L1165" s="79" t="s">
        <v>2460</v>
      </c>
    </row>
    <row r="1166" spans="1:12" hidden="1" x14ac:dyDescent="0.25">
      <c r="A1166" s="82">
        <v>45099</v>
      </c>
      <c r="B1166" s="79" t="s">
        <v>2461</v>
      </c>
      <c r="C1166" s="79" t="s">
        <v>2459</v>
      </c>
      <c r="D1166" s="79"/>
      <c r="E1166" s="79">
        <v>68427709</v>
      </c>
      <c r="F1166" s="93">
        <v>15000</v>
      </c>
      <c r="G1166" s="79" t="s">
        <v>113</v>
      </c>
      <c r="H1166" s="79" t="s">
        <v>114</v>
      </c>
      <c r="I1166" s="79"/>
      <c r="J1166" s="79">
        <v>2024</v>
      </c>
      <c r="K1166" s="79" t="s">
        <v>1203</v>
      </c>
      <c r="L1166" s="79" t="s">
        <v>2460</v>
      </c>
    </row>
    <row r="1167" spans="1:12" hidden="1" x14ac:dyDescent="0.25">
      <c r="A1167" s="82">
        <v>45099</v>
      </c>
      <c r="B1167" s="122" t="s">
        <v>1430</v>
      </c>
      <c r="C1167" s="79" t="s">
        <v>2462</v>
      </c>
      <c r="D1167" s="79"/>
      <c r="E1167" s="79">
        <v>68427709</v>
      </c>
      <c r="F1167" s="93">
        <v>-35000</v>
      </c>
      <c r="G1167" s="79" t="s">
        <v>113</v>
      </c>
      <c r="H1167" s="79" t="s">
        <v>114</v>
      </c>
      <c r="I1167" s="79"/>
      <c r="J1167" s="79">
        <v>2024</v>
      </c>
      <c r="K1167" s="79" t="s">
        <v>1203</v>
      </c>
      <c r="L1167" s="79"/>
    </row>
    <row r="1168" spans="1:12" hidden="1" x14ac:dyDescent="0.25">
      <c r="A1168" s="82">
        <v>45099</v>
      </c>
      <c r="B1168" s="79" t="s">
        <v>2463</v>
      </c>
      <c r="C1168" s="79" t="s">
        <v>2464</v>
      </c>
      <c r="D1168" s="79"/>
      <c r="E1168" s="79">
        <v>68427709</v>
      </c>
      <c r="F1168" s="93">
        <v>-27000</v>
      </c>
      <c r="G1168" s="79" t="s">
        <v>113</v>
      </c>
      <c r="H1168" s="79" t="s">
        <v>114</v>
      </c>
      <c r="I1168" s="79"/>
      <c r="J1168" s="79">
        <v>2024</v>
      </c>
      <c r="K1168" s="79" t="s">
        <v>1203</v>
      </c>
      <c r="L1168" s="79"/>
    </row>
    <row r="1169" spans="1:12" ht="120" hidden="1" x14ac:dyDescent="0.25">
      <c r="A1169" s="82">
        <v>45099</v>
      </c>
      <c r="B1169" s="79" t="s">
        <v>2465</v>
      </c>
      <c r="C1169" s="172" t="s">
        <v>2466</v>
      </c>
      <c r="D1169" s="79"/>
      <c r="E1169" s="79">
        <v>68427709</v>
      </c>
      <c r="F1169" s="93">
        <v>250000</v>
      </c>
      <c r="G1169" s="79" t="s">
        <v>113</v>
      </c>
      <c r="H1169" s="79" t="s">
        <v>114</v>
      </c>
      <c r="I1169" s="79"/>
      <c r="J1169" s="79">
        <v>2024</v>
      </c>
      <c r="K1169" s="79" t="s">
        <v>1203</v>
      </c>
      <c r="L1169" s="79" t="s">
        <v>2460</v>
      </c>
    </row>
    <row r="1170" spans="1:12" hidden="1" x14ac:dyDescent="0.25">
      <c r="A1170" s="82">
        <v>45099</v>
      </c>
      <c r="B1170" s="122" t="s">
        <v>2467</v>
      </c>
      <c r="C1170" s="79" t="s">
        <v>2468</v>
      </c>
      <c r="D1170" s="79"/>
      <c r="E1170" s="79">
        <v>68427709</v>
      </c>
      <c r="F1170" s="93">
        <v>0</v>
      </c>
      <c r="G1170" s="79" t="s">
        <v>113</v>
      </c>
      <c r="H1170" s="79" t="s">
        <v>114</v>
      </c>
      <c r="I1170" s="79"/>
      <c r="J1170" s="79">
        <v>2024</v>
      </c>
      <c r="K1170" s="79" t="s">
        <v>1203</v>
      </c>
      <c r="L1170" s="79" t="s">
        <v>2460</v>
      </c>
    </row>
    <row r="1171" spans="1:12" hidden="1" x14ac:dyDescent="0.25">
      <c r="A1171" s="82">
        <v>45099</v>
      </c>
      <c r="B1171" s="79" t="s">
        <v>2469</v>
      </c>
      <c r="C1171" s="79" t="s">
        <v>2470</v>
      </c>
      <c r="D1171" s="79"/>
      <c r="E1171" s="79">
        <v>68427709</v>
      </c>
      <c r="F1171" s="93">
        <v>1500</v>
      </c>
      <c r="G1171" s="79" t="s">
        <v>113</v>
      </c>
      <c r="H1171" s="79" t="s">
        <v>114</v>
      </c>
      <c r="I1171" s="79"/>
      <c r="J1171" s="79">
        <v>2024</v>
      </c>
      <c r="K1171" s="79" t="s">
        <v>1203</v>
      </c>
      <c r="L1171" s="79"/>
    </row>
    <row r="1172" spans="1:12" hidden="1" x14ac:dyDescent="0.25">
      <c r="A1172" s="82">
        <v>45099</v>
      </c>
      <c r="B1172" s="150" t="s">
        <v>2471</v>
      </c>
      <c r="C1172" s="79" t="s">
        <v>2472</v>
      </c>
      <c r="D1172" s="79"/>
      <c r="E1172" s="79">
        <v>68427709</v>
      </c>
      <c r="F1172" s="93">
        <v>65000</v>
      </c>
      <c r="G1172" s="79" t="s">
        <v>113</v>
      </c>
      <c r="H1172" s="79" t="s">
        <v>114</v>
      </c>
      <c r="I1172" s="79"/>
      <c r="J1172" s="79">
        <v>2024</v>
      </c>
      <c r="K1172" s="79" t="s">
        <v>1203</v>
      </c>
      <c r="L1172" s="79"/>
    </row>
    <row r="1173" spans="1:12" hidden="1" x14ac:dyDescent="0.25">
      <c r="A1173" s="82">
        <v>45099</v>
      </c>
      <c r="B1173" s="79" t="s">
        <v>2228</v>
      </c>
      <c r="C1173" s="79" t="s">
        <v>2473</v>
      </c>
      <c r="D1173" s="79"/>
      <c r="E1173" s="79">
        <v>68427709</v>
      </c>
      <c r="F1173" s="93">
        <v>10000</v>
      </c>
      <c r="G1173" s="79" t="s">
        <v>113</v>
      </c>
      <c r="H1173" s="79" t="s">
        <v>114</v>
      </c>
      <c r="I1173" s="79"/>
      <c r="J1173" s="79">
        <v>2024</v>
      </c>
      <c r="K1173" s="79" t="s">
        <v>1203</v>
      </c>
      <c r="L1173" s="79"/>
    </row>
    <row r="1174" spans="1:12" hidden="1" x14ac:dyDescent="0.25">
      <c r="A1174" s="82">
        <v>45099</v>
      </c>
      <c r="B1174" s="79" t="s">
        <v>590</v>
      </c>
      <c r="C1174" s="79" t="s">
        <v>2474</v>
      </c>
      <c r="D1174" s="79"/>
      <c r="E1174" s="79">
        <v>68427709</v>
      </c>
      <c r="F1174" s="93">
        <v>300000</v>
      </c>
      <c r="G1174" s="79" t="s">
        <v>113</v>
      </c>
      <c r="H1174" s="79" t="s">
        <v>114</v>
      </c>
      <c r="I1174" s="79"/>
      <c r="J1174" s="79">
        <v>2024</v>
      </c>
      <c r="K1174" s="79" t="s">
        <v>1203</v>
      </c>
      <c r="L1174" s="79"/>
    </row>
    <row r="1175" spans="1:12" hidden="1" x14ac:dyDescent="0.25">
      <c r="A1175" s="82">
        <v>45099</v>
      </c>
      <c r="B1175" s="79" t="s">
        <v>2475</v>
      </c>
      <c r="C1175" s="79" t="s">
        <v>2476</v>
      </c>
      <c r="D1175" s="79"/>
      <c r="E1175" s="79">
        <v>68427709</v>
      </c>
      <c r="F1175" s="93">
        <v>150000</v>
      </c>
      <c r="G1175" s="79" t="s">
        <v>113</v>
      </c>
      <c r="H1175" s="79" t="s">
        <v>114</v>
      </c>
      <c r="I1175" s="79"/>
      <c r="J1175" s="79">
        <v>2024</v>
      </c>
      <c r="K1175" s="79" t="s">
        <v>1203</v>
      </c>
      <c r="L1175" s="79"/>
    </row>
    <row r="1176" spans="1:12" hidden="1" x14ac:dyDescent="0.25">
      <c r="A1176" s="82">
        <v>45099</v>
      </c>
      <c r="B1176" s="122" t="s">
        <v>1833</v>
      </c>
      <c r="C1176" s="79" t="s">
        <v>2477</v>
      </c>
      <c r="D1176" s="79"/>
      <c r="E1176" s="79">
        <v>68427709</v>
      </c>
      <c r="F1176" s="93">
        <v>60000</v>
      </c>
      <c r="G1176" s="79" t="s">
        <v>113</v>
      </c>
      <c r="H1176" s="79" t="s">
        <v>114</v>
      </c>
      <c r="I1176" s="79"/>
      <c r="J1176" s="79">
        <v>2024</v>
      </c>
      <c r="K1176" s="79" t="s">
        <v>1203</v>
      </c>
      <c r="L1176" s="79"/>
    </row>
    <row r="1177" spans="1:12" hidden="1" x14ac:dyDescent="0.25">
      <c r="A1177" s="82">
        <v>45099</v>
      </c>
      <c r="B1177" s="122" t="s">
        <v>1834</v>
      </c>
      <c r="C1177" s="79" t="s">
        <v>2478</v>
      </c>
      <c r="D1177" s="79"/>
      <c r="E1177" s="79">
        <v>68427709</v>
      </c>
      <c r="F1177" s="93">
        <v>-8000</v>
      </c>
      <c r="G1177" s="79" t="s">
        <v>113</v>
      </c>
      <c r="H1177" s="79" t="s">
        <v>114</v>
      </c>
      <c r="I1177" s="79"/>
      <c r="J1177" s="79">
        <v>2024</v>
      </c>
      <c r="K1177" s="79" t="s">
        <v>1203</v>
      </c>
      <c r="L1177" s="79"/>
    </row>
    <row r="1178" spans="1:12" hidden="1" x14ac:dyDescent="0.25">
      <c r="A1178" s="82">
        <v>45099</v>
      </c>
      <c r="B1178" s="122" t="s">
        <v>1835</v>
      </c>
      <c r="C1178" s="79" t="s">
        <v>2479</v>
      </c>
      <c r="D1178" s="79"/>
      <c r="E1178" s="79">
        <v>68427709</v>
      </c>
      <c r="F1178" s="93">
        <v>15000</v>
      </c>
      <c r="G1178" s="79" t="s">
        <v>113</v>
      </c>
      <c r="H1178" s="79" t="s">
        <v>114</v>
      </c>
      <c r="I1178" s="79"/>
      <c r="J1178" s="79">
        <v>2024</v>
      </c>
      <c r="K1178" s="79" t="s">
        <v>1203</v>
      </c>
      <c r="L1178" s="79"/>
    </row>
    <row r="1179" spans="1:12" hidden="1" x14ac:dyDescent="0.25">
      <c r="A1179" s="82">
        <v>45099</v>
      </c>
      <c r="B1179" s="79" t="s">
        <v>2480</v>
      </c>
      <c r="C1179" s="79" t="s">
        <v>2481</v>
      </c>
      <c r="D1179" s="79"/>
      <c r="E1179" s="79">
        <v>68427709</v>
      </c>
      <c r="F1179" s="93">
        <v>75000</v>
      </c>
      <c r="G1179" s="79" t="s">
        <v>113</v>
      </c>
      <c r="H1179" s="79" t="s">
        <v>114</v>
      </c>
      <c r="I1179" s="79"/>
      <c r="J1179" s="79">
        <v>2024</v>
      </c>
      <c r="K1179" s="79" t="s">
        <v>1203</v>
      </c>
      <c r="L1179" s="79"/>
    </row>
    <row r="1180" spans="1:12" hidden="1" x14ac:dyDescent="0.25">
      <c r="A1180" s="82">
        <v>45099</v>
      </c>
      <c r="B1180" s="79" t="s">
        <v>2482</v>
      </c>
      <c r="C1180" s="79" t="s">
        <v>2470</v>
      </c>
      <c r="D1180" s="79"/>
      <c r="E1180" s="79">
        <v>68427709</v>
      </c>
      <c r="F1180" s="93">
        <v>15000</v>
      </c>
      <c r="G1180" s="79" t="s">
        <v>113</v>
      </c>
      <c r="H1180" s="79" t="s">
        <v>114</v>
      </c>
      <c r="I1180" s="79"/>
      <c r="J1180" s="79">
        <v>2024</v>
      </c>
      <c r="K1180" s="79" t="s">
        <v>1203</v>
      </c>
      <c r="L1180" s="79"/>
    </row>
    <row r="1181" spans="1:12" hidden="1" x14ac:dyDescent="0.25">
      <c r="A1181" s="82">
        <v>45099</v>
      </c>
      <c r="B1181" s="79" t="s">
        <v>639</v>
      </c>
      <c r="C1181" s="79" t="s">
        <v>2483</v>
      </c>
      <c r="D1181" s="79"/>
      <c r="E1181" s="79">
        <v>68427709</v>
      </c>
      <c r="F1181" s="93">
        <v>-30000</v>
      </c>
      <c r="G1181" s="79" t="s">
        <v>113</v>
      </c>
      <c r="H1181" s="79" t="s">
        <v>114</v>
      </c>
      <c r="I1181" s="79"/>
      <c r="J1181" s="79">
        <v>2024</v>
      </c>
      <c r="K1181" s="79" t="s">
        <v>1203</v>
      </c>
      <c r="L1181" s="79"/>
    </row>
    <row r="1182" spans="1:12" hidden="1" x14ac:dyDescent="0.25">
      <c r="A1182" s="82">
        <v>45099</v>
      </c>
      <c r="B1182" s="231" t="s">
        <v>2260</v>
      </c>
      <c r="C1182" s="79" t="s">
        <v>2484</v>
      </c>
      <c r="D1182" s="79"/>
      <c r="E1182" s="79">
        <v>68427709</v>
      </c>
      <c r="F1182" s="93">
        <v>347000</v>
      </c>
      <c r="G1182" s="79" t="s">
        <v>113</v>
      </c>
      <c r="H1182" s="79" t="s">
        <v>114</v>
      </c>
      <c r="I1182" s="79"/>
      <c r="J1182" s="79">
        <v>2024</v>
      </c>
      <c r="K1182" s="79" t="s">
        <v>1203</v>
      </c>
      <c r="L1182" s="79"/>
    </row>
    <row r="1183" spans="1:12" hidden="1" x14ac:dyDescent="0.25">
      <c r="A1183" s="82">
        <v>45099</v>
      </c>
      <c r="B1183" s="79" t="s">
        <v>1220</v>
      </c>
      <c r="C1183" s="79" t="s">
        <v>2470</v>
      </c>
      <c r="D1183" s="79"/>
      <c r="E1183" s="79">
        <v>68427709</v>
      </c>
      <c r="F1183" s="93">
        <v>1000</v>
      </c>
      <c r="G1183" s="79" t="s">
        <v>113</v>
      </c>
      <c r="H1183" s="79" t="s">
        <v>114</v>
      </c>
      <c r="I1183" s="79"/>
      <c r="J1183" s="79">
        <v>2024</v>
      </c>
      <c r="K1183" s="79" t="s">
        <v>1203</v>
      </c>
      <c r="L1183" s="79"/>
    </row>
    <row r="1184" spans="1:12" hidden="1" x14ac:dyDescent="0.25">
      <c r="A1184" s="82">
        <v>45099</v>
      </c>
      <c r="B1184" s="79" t="s">
        <v>2241</v>
      </c>
      <c r="C1184" s="79" t="s">
        <v>2485</v>
      </c>
      <c r="D1184" s="79"/>
      <c r="E1184" s="79">
        <v>68427709</v>
      </c>
      <c r="F1184" s="93">
        <v>362000</v>
      </c>
      <c r="G1184" s="79" t="s">
        <v>113</v>
      </c>
      <c r="H1184" s="79" t="s">
        <v>114</v>
      </c>
      <c r="I1184" s="79"/>
      <c r="J1184" s="79">
        <v>2024</v>
      </c>
      <c r="K1184" s="79" t="s">
        <v>1203</v>
      </c>
      <c r="L1184" s="79" t="s">
        <v>2486</v>
      </c>
    </row>
    <row r="1185" spans="1:12" hidden="1" x14ac:dyDescent="0.25">
      <c r="A1185" s="82">
        <v>45099</v>
      </c>
      <c r="B1185" s="79" t="s">
        <v>1841</v>
      </c>
      <c r="C1185" s="79" t="s">
        <v>2470</v>
      </c>
      <c r="D1185" s="79"/>
      <c r="E1185" s="79">
        <v>68427709</v>
      </c>
      <c r="F1185" s="93">
        <v>1200</v>
      </c>
      <c r="G1185" s="79" t="s">
        <v>113</v>
      </c>
      <c r="H1185" s="79" t="s">
        <v>114</v>
      </c>
      <c r="I1185" s="79"/>
      <c r="J1185" s="79">
        <v>2024</v>
      </c>
      <c r="K1185" s="79" t="s">
        <v>1203</v>
      </c>
      <c r="L1185" s="79"/>
    </row>
    <row r="1186" spans="1:12" hidden="1" x14ac:dyDescent="0.25">
      <c r="A1186" s="82">
        <v>45099</v>
      </c>
      <c r="B1186" s="79" t="s">
        <v>2244</v>
      </c>
      <c r="C1186" s="79" t="s">
        <v>2470</v>
      </c>
      <c r="D1186" s="79"/>
      <c r="E1186" s="79">
        <v>68427709</v>
      </c>
      <c r="F1186" s="93">
        <v>1000</v>
      </c>
      <c r="G1186" s="79" t="s">
        <v>113</v>
      </c>
      <c r="H1186" s="79" t="s">
        <v>114</v>
      </c>
      <c r="I1186" s="79"/>
      <c r="J1186" s="79">
        <v>2024</v>
      </c>
      <c r="K1186" s="79" t="s">
        <v>1203</v>
      </c>
      <c r="L1186" s="79"/>
    </row>
    <row r="1187" spans="1:12" hidden="1" x14ac:dyDescent="0.25">
      <c r="A1187" s="82">
        <v>45099</v>
      </c>
      <c r="B1187" s="79" t="s">
        <v>1384</v>
      </c>
      <c r="C1187" s="79" t="s">
        <v>2470</v>
      </c>
      <c r="D1187" s="79"/>
      <c r="E1187" s="79">
        <v>68427709</v>
      </c>
      <c r="F1187" s="93">
        <v>15000</v>
      </c>
      <c r="G1187" s="79" t="s">
        <v>113</v>
      </c>
      <c r="H1187" s="79" t="s">
        <v>114</v>
      </c>
      <c r="I1187" s="79"/>
      <c r="J1187" s="79">
        <v>2024</v>
      </c>
      <c r="K1187" s="79" t="s">
        <v>1203</v>
      </c>
      <c r="L1187" s="79"/>
    </row>
    <row r="1188" spans="1:12" hidden="1" x14ac:dyDescent="0.25">
      <c r="A1188" s="82">
        <v>45099</v>
      </c>
      <c r="B1188" s="79" t="s">
        <v>2487</v>
      </c>
      <c r="C1188" s="79" t="s">
        <v>2488</v>
      </c>
      <c r="D1188" s="79"/>
      <c r="E1188" s="79">
        <v>68427709</v>
      </c>
      <c r="F1188" s="93">
        <v>-35000</v>
      </c>
      <c r="G1188" s="79" t="s">
        <v>113</v>
      </c>
      <c r="H1188" s="79" t="s">
        <v>114</v>
      </c>
      <c r="I1188" s="79"/>
      <c r="J1188" s="79">
        <v>2024</v>
      </c>
      <c r="K1188" s="79" t="s">
        <v>1203</v>
      </c>
      <c r="L1188" s="79"/>
    </row>
    <row r="1189" spans="1:12" hidden="1" x14ac:dyDescent="0.25">
      <c r="A1189" s="82">
        <v>45099</v>
      </c>
      <c r="B1189" s="79" t="s">
        <v>637</v>
      </c>
      <c r="C1189" s="79" t="s">
        <v>2489</v>
      </c>
      <c r="D1189" s="79"/>
      <c r="E1189" s="79">
        <v>68427709</v>
      </c>
      <c r="F1189" s="93">
        <v>32000</v>
      </c>
      <c r="G1189" s="79" t="s">
        <v>113</v>
      </c>
      <c r="H1189" s="79" t="s">
        <v>114</v>
      </c>
      <c r="I1189" s="79"/>
      <c r="J1189" s="79">
        <v>2024</v>
      </c>
      <c r="K1189" s="79" t="s">
        <v>1203</v>
      </c>
      <c r="L1189" s="79"/>
    </row>
    <row r="1190" spans="1:12" hidden="1" x14ac:dyDescent="0.25">
      <c r="A1190" s="82">
        <v>45099</v>
      </c>
      <c r="B1190" s="79" t="s">
        <v>966</v>
      </c>
      <c r="C1190" s="79" t="s">
        <v>2490</v>
      </c>
      <c r="D1190" s="79"/>
      <c r="E1190" s="79">
        <v>68427709</v>
      </c>
      <c r="F1190" s="93">
        <v>-140000</v>
      </c>
      <c r="G1190" s="79" t="s">
        <v>113</v>
      </c>
      <c r="H1190" s="79" t="s">
        <v>114</v>
      </c>
      <c r="I1190" s="79"/>
      <c r="J1190" s="79">
        <v>2024</v>
      </c>
      <c r="K1190" s="79" t="s">
        <v>1203</v>
      </c>
      <c r="L1190" s="79"/>
    </row>
    <row r="1191" spans="1:12" hidden="1" x14ac:dyDescent="0.25">
      <c r="A1191" s="82">
        <v>45099</v>
      </c>
      <c r="B1191" s="79" t="s">
        <v>2249</v>
      </c>
      <c r="C1191" s="79" t="s">
        <v>2491</v>
      </c>
      <c r="D1191" s="79"/>
      <c r="E1191" s="79">
        <v>68427709</v>
      </c>
      <c r="F1191" s="93">
        <v>100000</v>
      </c>
      <c r="G1191" s="79" t="s">
        <v>113</v>
      </c>
      <c r="H1191" s="79" t="s">
        <v>114</v>
      </c>
      <c r="I1191" s="79"/>
      <c r="J1191" s="79">
        <v>2024</v>
      </c>
      <c r="K1191" s="79" t="s">
        <v>1203</v>
      </c>
      <c r="L1191" s="79"/>
    </row>
    <row r="1192" spans="1:12" hidden="1" x14ac:dyDescent="0.25">
      <c r="A1192" s="82">
        <v>45099</v>
      </c>
      <c r="B1192" s="79" t="s">
        <v>2492</v>
      </c>
      <c r="C1192" s="79" t="s">
        <v>2493</v>
      </c>
      <c r="D1192" s="79" t="s">
        <v>1633</v>
      </c>
      <c r="E1192" s="79">
        <v>68427709</v>
      </c>
      <c r="F1192" s="93">
        <v>125000</v>
      </c>
      <c r="G1192" s="79" t="s">
        <v>113</v>
      </c>
      <c r="H1192" s="79" t="s">
        <v>114</v>
      </c>
      <c r="I1192" s="79"/>
      <c r="J1192" s="79">
        <v>2024</v>
      </c>
      <c r="K1192" s="79" t="s">
        <v>1203</v>
      </c>
      <c r="L1192" s="79"/>
    </row>
    <row r="1193" spans="1:12" hidden="1" x14ac:dyDescent="0.25">
      <c r="A1193" s="82">
        <v>45099</v>
      </c>
      <c r="B1193" s="79" t="s">
        <v>2494</v>
      </c>
      <c r="C1193" s="79" t="s">
        <v>2495</v>
      </c>
      <c r="D1193" s="79" t="s">
        <v>1633</v>
      </c>
      <c r="E1193" s="79">
        <v>68427709</v>
      </c>
      <c r="F1193" s="93">
        <v>125000</v>
      </c>
      <c r="G1193" s="79" t="s">
        <v>113</v>
      </c>
      <c r="H1193" s="79" t="s">
        <v>114</v>
      </c>
      <c r="I1193" s="79"/>
      <c r="J1193" s="79">
        <v>2024</v>
      </c>
      <c r="K1193" s="79" t="s">
        <v>1203</v>
      </c>
      <c r="L1193" s="79"/>
    </row>
    <row r="1194" spans="1:12" hidden="1" x14ac:dyDescent="0.25">
      <c r="A1194" s="82">
        <v>45099</v>
      </c>
      <c r="B1194" s="231" t="s">
        <v>2496</v>
      </c>
      <c r="C1194" s="79" t="s">
        <v>2497</v>
      </c>
      <c r="D1194" s="79" t="s">
        <v>1633</v>
      </c>
      <c r="E1194" s="79">
        <v>68427709</v>
      </c>
      <c r="F1194" s="93">
        <v>64000</v>
      </c>
      <c r="G1194" s="79" t="s">
        <v>113</v>
      </c>
      <c r="H1194" s="79" t="s">
        <v>114</v>
      </c>
      <c r="I1194" s="79"/>
      <c r="J1194" s="79">
        <v>2024</v>
      </c>
      <c r="K1194" s="79" t="s">
        <v>1203</v>
      </c>
      <c r="L1194" s="79"/>
    </row>
    <row r="1195" spans="1:12" hidden="1" x14ac:dyDescent="0.25">
      <c r="A1195" s="82">
        <v>45099</v>
      </c>
      <c r="B1195" s="122" t="s">
        <v>1430</v>
      </c>
      <c r="C1195" s="79" t="s">
        <v>2498</v>
      </c>
      <c r="D1195" s="79" t="s">
        <v>1633</v>
      </c>
      <c r="E1195" s="79">
        <v>68427709</v>
      </c>
      <c r="F1195" s="93">
        <v>50000</v>
      </c>
      <c r="G1195" s="79" t="s">
        <v>113</v>
      </c>
      <c r="H1195" s="79" t="s">
        <v>114</v>
      </c>
      <c r="I1195" s="79"/>
      <c r="J1195" s="79">
        <v>2024</v>
      </c>
      <c r="K1195" s="79" t="s">
        <v>1203</v>
      </c>
      <c r="L1195" s="79"/>
    </row>
    <row r="1196" spans="1:12" hidden="1" x14ac:dyDescent="0.25">
      <c r="A1196" s="82">
        <v>45099</v>
      </c>
      <c r="B1196" s="122" t="s">
        <v>2499</v>
      </c>
      <c r="C1196" s="79" t="s">
        <v>2500</v>
      </c>
      <c r="D1196" s="79" t="s">
        <v>1633</v>
      </c>
      <c r="E1196" s="79">
        <v>68427709</v>
      </c>
      <c r="F1196" s="93">
        <v>10000</v>
      </c>
      <c r="G1196" s="79" t="s">
        <v>113</v>
      </c>
      <c r="H1196" s="79" t="s">
        <v>114</v>
      </c>
      <c r="I1196" s="79"/>
      <c r="J1196" s="79">
        <v>2024</v>
      </c>
      <c r="K1196" s="79" t="s">
        <v>1203</v>
      </c>
      <c r="L1196" s="79"/>
    </row>
    <row r="1197" spans="1:12" hidden="1" x14ac:dyDescent="0.25">
      <c r="A1197" s="82">
        <v>45099</v>
      </c>
      <c r="B1197" s="79" t="s">
        <v>2501</v>
      </c>
      <c r="C1197" s="79" t="s">
        <v>2502</v>
      </c>
      <c r="D1197" s="79" t="s">
        <v>1633</v>
      </c>
      <c r="E1197" s="79">
        <v>68427709</v>
      </c>
      <c r="F1197" s="93">
        <v>12500</v>
      </c>
      <c r="G1197" s="79" t="s">
        <v>113</v>
      </c>
      <c r="H1197" s="79" t="s">
        <v>114</v>
      </c>
      <c r="I1197" s="79"/>
      <c r="J1197" s="79">
        <v>2024</v>
      </c>
      <c r="K1197" s="79" t="s">
        <v>1203</v>
      </c>
      <c r="L1197" s="79"/>
    </row>
    <row r="1198" spans="1:12" hidden="1" x14ac:dyDescent="0.25">
      <c r="A1198" s="137">
        <v>45099</v>
      </c>
      <c r="B1198" s="79" t="s">
        <v>2198</v>
      </c>
      <c r="C1198" s="79" t="s">
        <v>1741</v>
      </c>
      <c r="D1198" s="138"/>
      <c r="E1198" s="79">
        <v>68427709</v>
      </c>
      <c r="F1198" s="93">
        <v>5000</v>
      </c>
      <c r="G1198" s="79" t="s">
        <v>113</v>
      </c>
      <c r="H1198" s="79" t="s">
        <v>114</v>
      </c>
      <c r="I1198" s="79" t="s">
        <v>1700</v>
      </c>
      <c r="J1198" s="79">
        <v>2024</v>
      </c>
      <c r="K1198" s="79" t="s">
        <v>2324</v>
      </c>
      <c r="L1198" s="79"/>
    </row>
    <row r="1199" spans="1:12" hidden="1" x14ac:dyDescent="0.25">
      <c r="A1199" s="137">
        <v>45099</v>
      </c>
      <c r="B1199" s="79" t="s">
        <v>2503</v>
      </c>
      <c r="C1199" s="79" t="s">
        <v>2504</v>
      </c>
      <c r="D1199" s="138" t="s">
        <v>1633</v>
      </c>
      <c r="E1199" s="79">
        <v>68427709</v>
      </c>
      <c r="F1199" s="93">
        <v>30000</v>
      </c>
      <c r="G1199" s="79" t="s">
        <v>113</v>
      </c>
      <c r="H1199" s="79" t="s">
        <v>114</v>
      </c>
      <c r="I1199" s="79" t="s">
        <v>133</v>
      </c>
      <c r="J1199" s="79">
        <v>2024</v>
      </c>
      <c r="K1199" s="79" t="s">
        <v>2505</v>
      </c>
      <c r="L1199" s="79"/>
    </row>
    <row r="1200" spans="1:12" hidden="1" x14ac:dyDescent="0.25">
      <c r="A1200" s="137">
        <v>45099</v>
      </c>
      <c r="B1200" s="79" t="s">
        <v>2503</v>
      </c>
      <c r="C1200" s="79" t="s">
        <v>2506</v>
      </c>
      <c r="D1200" s="138" t="s">
        <v>1633</v>
      </c>
      <c r="E1200" s="79">
        <v>68427709</v>
      </c>
      <c r="F1200" s="93">
        <v>110000</v>
      </c>
      <c r="G1200" s="79" t="s">
        <v>113</v>
      </c>
      <c r="H1200" s="79" t="s">
        <v>114</v>
      </c>
      <c r="I1200" s="79" t="s">
        <v>133</v>
      </c>
      <c r="J1200" s="79">
        <v>2024</v>
      </c>
      <c r="K1200" s="79" t="s">
        <v>2505</v>
      </c>
      <c r="L1200" s="79"/>
    </row>
    <row r="1201" spans="1:12" hidden="1" x14ac:dyDescent="0.25">
      <c r="A1201" s="137">
        <v>45099</v>
      </c>
      <c r="B1201" s="79" t="s">
        <v>2503</v>
      </c>
      <c r="C1201" s="79" t="s">
        <v>2507</v>
      </c>
      <c r="D1201" s="138" t="s">
        <v>1633</v>
      </c>
      <c r="E1201" s="79">
        <v>68427709</v>
      </c>
      <c r="F1201" s="93">
        <v>162000</v>
      </c>
      <c r="G1201" s="79" t="s">
        <v>113</v>
      </c>
      <c r="H1201" s="79" t="s">
        <v>114</v>
      </c>
      <c r="I1201" s="79" t="s">
        <v>1700</v>
      </c>
      <c r="J1201" s="79">
        <v>2024</v>
      </c>
      <c r="K1201" s="79" t="s">
        <v>2505</v>
      </c>
      <c r="L1201" s="79"/>
    </row>
    <row r="1202" spans="1:12" hidden="1" x14ac:dyDescent="0.25">
      <c r="A1202" s="137">
        <v>45099</v>
      </c>
      <c r="B1202" s="79" t="s">
        <v>2508</v>
      </c>
      <c r="C1202" s="79" t="s">
        <v>2509</v>
      </c>
      <c r="D1202" s="138"/>
      <c r="E1202" s="79">
        <v>68427709</v>
      </c>
      <c r="F1202" s="93">
        <v>65000</v>
      </c>
      <c r="G1202" s="79" t="s">
        <v>113</v>
      </c>
      <c r="H1202" s="79" t="s">
        <v>114</v>
      </c>
      <c r="I1202" s="79" t="s">
        <v>133</v>
      </c>
      <c r="J1202" s="79">
        <v>2024</v>
      </c>
      <c r="K1202" s="79" t="s">
        <v>2158</v>
      </c>
      <c r="L1202" s="79"/>
    </row>
    <row r="1203" spans="1:12" hidden="1" x14ac:dyDescent="0.25">
      <c r="A1203" s="82">
        <v>45099</v>
      </c>
      <c r="B1203" s="22" t="s">
        <v>352</v>
      </c>
      <c r="C1203" s="154" t="s">
        <v>2510</v>
      </c>
      <c r="D1203" s="79"/>
      <c r="E1203" s="79">
        <v>68427709</v>
      </c>
      <c r="F1203" s="93">
        <v>250000</v>
      </c>
      <c r="G1203" s="79" t="s">
        <v>113</v>
      </c>
      <c r="H1203" s="79" t="s">
        <v>114</v>
      </c>
      <c r="I1203" s="79" t="s">
        <v>133</v>
      </c>
      <c r="J1203" s="79">
        <v>2024</v>
      </c>
      <c r="K1203" s="79" t="s">
        <v>1092</v>
      </c>
      <c r="L1203" s="79"/>
    </row>
    <row r="1204" spans="1:12" hidden="1" x14ac:dyDescent="0.25">
      <c r="A1204" s="82">
        <v>45103</v>
      </c>
      <c r="B1204" s="79" t="s">
        <v>2511</v>
      </c>
      <c r="C1204" s="79" t="s">
        <v>2512</v>
      </c>
      <c r="D1204" s="79"/>
      <c r="E1204" s="79">
        <v>68427709</v>
      </c>
      <c r="F1204" s="93">
        <v>-40000</v>
      </c>
      <c r="G1204" s="79" t="s">
        <v>113</v>
      </c>
      <c r="H1204" s="79" t="s">
        <v>114</v>
      </c>
      <c r="I1204" s="79" t="s">
        <v>133</v>
      </c>
      <c r="J1204" s="79">
        <v>2024</v>
      </c>
      <c r="K1204" s="79" t="s">
        <v>1092</v>
      </c>
      <c r="L1204" s="79"/>
    </row>
    <row r="1205" spans="1:12" hidden="1" x14ac:dyDescent="0.25">
      <c r="A1205" s="82">
        <v>45104</v>
      </c>
      <c r="B1205" s="79" t="s">
        <v>1914</v>
      </c>
      <c r="C1205" s="79"/>
      <c r="D1205" s="79" t="s">
        <v>1633</v>
      </c>
      <c r="E1205" s="79">
        <v>68427709</v>
      </c>
      <c r="F1205" s="93">
        <v>42000</v>
      </c>
      <c r="G1205" s="79" t="s">
        <v>113</v>
      </c>
      <c r="H1205" s="79" t="s">
        <v>114</v>
      </c>
      <c r="I1205" s="79" t="s">
        <v>1700</v>
      </c>
      <c r="J1205" s="79">
        <v>2024</v>
      </c>
      <c r="K1205" s="79" t="s">
        <v>672</v>
      </c>
      <c r="L1205" s="79"/>
    </row>
    <row r="1206" spans="1:12" hidden="1" x14ac:dyDescent="0.25">
      <c r="A1206" s="82">
        <v>45105</v>
      </c>
      <c r="B1206" s="79" t="s">
        <v>2202</v>
      </c>
      <c r="C1206" s="79" t="s">
        <v>2513</v>
      </c>
      <c r="D1206" s="79"/>
      <c r="E1206" s="79">
        <v>68427709</v>
      </c>
      <c r="F1206" s="93">
        <v>-30000</v>
      </c>
      <c r="G1206" s="79" t="s">
        <v>113</v>
      </c>
      <c r="H1206" s="79" t="s">
        <v>114</v>
      </c>
      <c r="I1206" s="79" t="s">
        <v>1700</v>
      </c>
      <c r="J1206" s="79">
        <v>2024</v>
      </c>
      <c r="K1206" s="79" t="s">
        <v>1092</v>
      </c>
      <c r="L1206" s="79"/>
    </row>
    <row r="1207" spans="1:12" hidden="1" x14ac:dyDescent="0.25">
      <c r="A1207" s="82">
        <v>45105</v>
      </c>
      <c r="B1207" s="79" t="s">
        <v>2202</v>
      </c>
      <c r="C1207" s="79" t="s">
        <v>2514</v>
      </c>
      <c r="D1207" s="79"/>
      <c r="E1207" s="79">
        <v>68427709</v>
      </c>
      <c r="F1207" s="93">
        <v>-170000</v>
      </c>
      <c r="G1207" s="79" t="s">
        <v>113</v>
      </c>
      <c r="H1207" s="79" t="s">
        <v>114</v>
      </c>
      <c r="I1207" s="79" t="s">
        <v>1700</v>
      </c>
      <c r="J1207" s="79">
        <v>2024</v>
      </c>
      <c r="K1207" s="79" t="s">
        <v>1203</v>
      </c>
      <c r="L1207" s="79"/>
    </row>
    <row r="1208" spans="1:12" hidden="1" x14ac:dyDescent="0.25">
      <c r="A1208" s="82">
        <v>45131</v>
      </c>
      <c r="B1208" s="79" t="s">
        <v>2515</v>
      </c>
      <c r="C1208" s="79" t="s">
        <v>2516</v>
      </c>
      <c r="D1208" s="79"/>
      <c r="E1208" s="79">
        <v>68427709</v>
      </c>
      <c r="F1208" s="93">
        <v>22000</v>
      </c>
      <c r="G1208" s="79" t="s">
        <v>113</v>
      </c>
      <c r="H1208" s="79" t="s">
        <v>114</v>
      </c>
      <c r="I1208" s="79" t="s">
        <v>1700</v>
      </c>
      <c r="J1208" s="79">
        <v>2024</v>
      </c>
      <c r="K1208" s="79" t="s">
        <v>1203</v>
      </c>
      <c r="L1208" s="79"/>
    </row>
    <row r="1209" spans="1:12" hidden="1" x14ac:dyDescent="0.25">
      <c r="A1209" s="82">
        <v>45155</v>
      </c>
      <c r="B1209" s="231" t="s">
        <v>2517</v>
      </c>
      <c r="C1209" s="79"/>
      <c r="D1209" s="79"/>
      <c r="E1209" s="79">
        <v>68427709</v>
      </c>
      <c r="F1209" s="238">
        <v>42000</v>
      </c>
      <c r="G1209" s="79" t="s">
        <v>113</v>
      </c>
      <c r="H1209" s="79" t="s">
        <v>114</v>
      </c>
      <c r="I1209" s="79" t="s">
        <v>1700</v>
      </c>
      <c r="J1209" s="79">
        <v>2024</v>
      </c>
      <c r="K1209" s="79" t="s">
        <v>1634</v>
      </c>
      <c r="L1209" s="79"/>
    </row>
    <row r="1210" spans="1:12" hidden="1" x14ac:dyDescent="0.25">
      <c r="A1210" s="82">
        <v>45155</v>
      </c>
      <c r="B1210" s="79" t="s">
        <v>2518</v>
      </c>
      <c r="C1210" s="79"/>
      <c r="D1210" s="79"/>
      <c r="E1210" s="79">
        <v>68427709</v>
      </c>
      <c r="F1210" s="238">
        <v>23000</v>
      </c>
      <c r="G1210" s="79" t="s">
        <v>113</v>
      </c>
      <c r="H1210" s="79" t="s">
        <v>114</v>
      </c>
      <c r="I1210" s="79" t="s">
        <v>1700</v>
      </c>
      <c r="J1210" s="79">
        <v>2024</v>
      </c>
      <c r="K1210" s="79" t="s">
        <v>1634</v>
      </c>
      <c r="L1210" s="79"/>
    </row>
    <row r="1211" spans="1:12" hidden="1" x14ac:dyDescent="0.25">
      <c r="A1211" s="82">
        <v>45155</v>
      </c>
      <c r="B1211" s="122" t="s">
        <v>2519</v>
      </c>
      <c r="C1211" s="79"/>
      <c r="D1211" s="79"/>
      <c r="E1211" s="79">
        <v>68427709</v>
      </c>
      <c r="F1211" s="238">
        <v>190000</v>
      </c>
      <c r="G1211" s="79" t="s">
        <v>113</v>
      </c>
      <c r="H1211" s="79" t="s">
        <v>114</v>
      </c>
      <c r="I1211" s="79" t="s">
        <v>1700</v>
      </c>
      <c r="J1211" s="79">
        <v>2024</v>
      </c>
      <c r="K1211" s="79" t="s">
        <v>1634</v>
      </c>
      <c r="L1211" s="79"/>
    </row>
    <row r="1212" spans="1:12" hidden="1" x14ac:dyDescent="0.25">
      <c r="A1212" s="82">
        <v>45155</v>
      </c>
      <c r="B1212" s="79" t="s">
        <v>2520</v>
      </c>
      <c r="C1212" s="79"/>
      <c r="D1212" s="79"/>
      <c r="E1212" s="79">
        <v>68427709</v>
      </c>
      <c r="F1212" s="93">
        <v>-90000</v>
      </c>
      <c r="G1212" s="79" t="s">
        <v>113</v>
      </c>
      <c r="H1212" s="79" t="s">
        <v>114</v>
      </c>
      <c r="I1212" s="79" t="s">
        <v>1700</v>
      </c>
      <c r="J1212" s="79">
        <v>2024</v>
      </c>
      <c r="K1212" s="79" t="s">
        <v>2521</v>
      </c>
      <c r="L1212" s="79"/>
    </row>
    <row r="1213" spans="1:12" hidden="1" x14ac:dyDescent="0.25">
      <c r="A1213" s="82">
        <v>45163</v>
      </c>
      <c r="B1213" s="79" t="s">
        <v>2522</v>
      </c>
      <c r="C1213" s="79"/>
      <c r="D1213" s="79"/>
      <c r="E1213" s="79">
        <v>68427709</v>
      </c>
      <c r="F1213" s="173">
        <v>28000</v>
      </c>
      <c r="G1213" s="79" t="s">
        <v>113</v>
      </c>
      <c r="H1213" s="79" t="s">
        <v>114</v>
      </c>
      <c r="I1213" s="79" t="s">
        <v>133</v>
      </c>
      <c r="J1213" s="79">
        <v>2024</v>
      </c>
      <c r="K1213" s="79" t="s">
        <v>1939</v>
      </c>
      <c r="L1213" s="79"/>
    </row>
    <row r="1214" spans="1:12" hidden="1" x14ac:dyDescent="0.25">
      <c r="A1214" s="82">
        <v>45163</v>
      </c>
      <c r="B1214" s="79" t="s">
        <v>2523</v>
      </c>
      <c r="C1214" s="79"/>
      <c r="D1214" s="79"/>
      <c r="E1214" s="79">
        <v>68427709</v>
      </c>
      <c r="F1214" s="173">
        <v>-40000</v>
      </c>
      <c r="G1214" s="79" t="s">
        <v>113</v>
      </c>
      <c r="H1214" s="79" t="s">
        <v>114</v>
      </c>
      <c r="I1214" s="79" t="s">
        <v>133</v>
      </c>
      <c r="J1214" s="79">
        <v>2024</v>
      </c>
      <c r="K1214" s="79" t="s">
        <v>1939</v>
      </c>
      <c r="L1214" s="79"/>
    </row>
    <row r="1215" spans="1:12" hidden="1" x14ac:dyDescent="0.25">
      <c r="A1215" s="82">
        <v>45163</v>
      </c>
      <c r="B1215" s="79" t="s">
        <v>2524</v>
      </c>
      <c r="C1215" s="79"/>
      <c r="D1215" s="79"/>
      <c r="E1215" s="79">
        <v>68427709</v>
      </c>
      <c r="F1215" s="173">
        <v>150000</v>
      </c>
      <c r="G1215" s="79" t="s">
        <v>113</v>
      </c>
      <c r="H1215" s="79" t="s">
        <v>114</v>
      </c>
      <c r="I1215" s="79" t="s">
        <v>1700</v>
      </c>
      <c r="J1215" s="79">
        <v>2024</v>
      </c>
      <c r="K1215" s="79" t="s">
        <v>1939</v>
      </c>
      <c r="L1215" s="79"/>
    </row>
    <row r="1216" spans="1:12" hidden="1" x14ac:dyDescent="0.25">
      <c r="A1216" s="82">
        <v>45163</v>
      </c>
      <c r="B1216" s="79" t="s">
        <v>2525</v>
      </c>
      <c r="C1216" s="79"/>
      <c r="D1216" s="79"/>
      <c r="E1216" s="79">
        <v>68427709</v>
      </c>
      <c r="F1216" s="93">
        <v>235000</v>
      </c>
      <c r="G1216" s="79" t="s">
        <v>113</v>
      </c>
      <c r="H1216" s="79" t="s">
        <v>114</v>
      </c>
      <c r="I1216" s="79" t="s">
        <v>1700</v>
      </c>
      <c r="J1216" s="79">
        <v>2024</v>
      </c>
      <c r="K1216" s="79" t="s">
        <v>116</v>
      </c>
      <c r="L1216" s="79"/>
    </row>
    <row r="1217" spans="1:12" x14ac:dyDescent="0.25">
      <c r="A1217" s="84"/>
      <c r="B1217" s="84" t="s">
        <v>2526</v>
      </c>
      <c r="C1217" s="84"/>
      <c r="D1217" s="84"/>
      <c r="E1217" s="84"/>
      <c r="F1217" s="121"/>
      <c r="G1217" s="84"/>
      <c r="H1217" s="84"/>
      <c r="I1217" s="84"/>
      <c r="J1217" s="84"/>
      <c r="K1217" s="84"/>
      <c r="L1217" s="84"/>
    </row>
    <row r="1218" spans="1:12" hidden="1" x14ac:dyDescent="0.25">
      <c r="A1218" s="82">
        <v>45187</v>
      </c>
      <c r="B1218" s="79" t="s">
        <v>2527</v>
      </c>
      <c r="C1218" s="79" t="s">
        <v>2528</v>
      </c>
      <c r="D1218" s="79"/>
      <c r="E1218" s="79">
        <v>68427709</v>
      </c>
      <c r="F1218" s="93">
        <v>78860</v>
      </c>
      <c r="G1218" s="79" t="s">
        <v>113</v>
      </c>
      <c r="H1218" s="79" t="s">
        <v>114</v>
      </c>
      <c r="I1218" s="79" t="s">
        <v>1700</v>
      </c>
      <c r="J1218" s="79">
        <v>2025</v>
      </c>
      <c r="K1218" s="79" t="s">
        <v>1916</v>
      </c>
      <c r="L1218" s="79"/>
    </row>
    <row r="1219" spans="1:12" hidden="1" x14ac:dyDescent="0.25">
      <c r="A1219" s="82">
        <v>45334</v>
      </c>
      <c r="B1219" s="79" t="s">
        <v>2529</v>
      </c>
      <c r="C1219" s="79" t="s">
        <v>2530</v>
      </c>
      <c r="D1219" s="79"/>
      <c r="E1219" s="79">
        <v>68427709</v>
      </c>
      <c r="F1219" s="93">
        <v>20000</v>
      </c>
      <c r="G1219" s="79" t="s">
        <v>113</v>
      </c>
      <c r="H1219" s="79" t="s">
        <v>114</v>
      </c>
      <c r="I1219" s="79" t="s">
        <v>1700</v>
      </c>
      <c r="J1219" s="79">
        <v>2025</v>
      </c>
      <c r="K1219" s="79" t="s">
        <v>116</v>
      </c>
      <c r="L1219" s="79"/>
    </row>
    <row r="1220" spans="1:12" hidden="1" x14ac:dyDescent="0.25">
      <c r="A1220" s="82">
        <v>45334</v>
      </c>
      <c r="B1220" s="79" t="s">
        <v>2531</v>
      </c>
      <c r="C1220" s="96" t="s">
        <v>2532</v>
      </c>
      <c r="D1220" s="79" t="s">
        <v>900</v>
      </c>
      <c r="E1220" s="79">
        <v>68427709</v>
      </c>
      <c r="F1220" s="93">
        <v>-70000</v>
      </c>
      <c r="G1220" s="79" t="s">
        <v>113</v>
      </c>
      <c r="H1220" s="79" t="s">
        <v>114</v>
      </c>
      <c r="I1220" s="79" t="s">
        <v>1700</v>
      </c>
      <c r="J1220" s="79">
        <v>2025</v>
      </c>
      <c r="K1220" s="79" t="s">
        <v>116</v>
      </c>
      <c r="L1220" s="79"/>
    </row>
    <row r="1221" spans="1:12" hidden="1" x14ac:dyDescent="0.25">
      <c r="A1221" s="82">
        <v>45391</v>
      </c>
      <c r="B1221" s="79" t="s">
        <v>1420</v>
      </c>
      <c r="C1221" s="79" t="s">
        <v>2533</v>
      </c>
      <c r="D1221" s="79"/>
      <c r="E1221" s="79">
        <v>68427709</v>
      </c>
      <c r="F1221" s="93">
        <v>-18000</v>
      </c>
      <c r="G1221" s="79" t="s">
        <v>3573</v>
      </c>
      <c r="H1221" s="79" t="s">
        <v>114</v>
      </c>
      <c r="I1221" s="79" t="s">
        <v>2534</v>
      </c>
      <c r="J1221" s="79">
        <v>2025</v>
      </c>
      <c r="K1221" s="79" t="s">
        <v>1092</v>
      </c>
      <c r="L1221" s="79"/>
    </row>
    <row r="1222" spans="1:12" hidden="1" x14ac:dyDescent="0.25">
      <c r="A1222" s="82">
        <v>45391</v>
      </c>
      <c r="B1222" s="79" t="s">
        <v>1266</v>
      </c>
      <c r="C1222" s="79" t="s">
        <v>2535</v>
      </c>
      <c r="D1222" s="79"/>
      <c r="E1222" s="79">
        <v>68427709</v>
      </c>
      <c r="F1222" s="93">
        <v>0</v>
      </c>
      <c r="G1222" s="79" t="s">
        <v>113</v>
      </c>
      <c r="H1222" s="79" t="s">
        <v>114</v>
      </c>
      <c r="I1222" s="79" t="s">
        <v>1700</v>
      </c>
      <c r="J1222" s="79">
        <v>2025</v>
      </c>
      <c r="K1222" s="79" t="s">
        <v>1092</v>
      </c>
      <c r="L1222" s="79"/>
    </row>
    <row r="1223" spans="1:12" hidden="1" x14ac:dyDescent="0.25">
      <c r="A1223" s="137">
        <v>45391</v>
      </c>
      <c r="B1223" s="79" t="s">
        <v>2536</v>
      </c>
      <c r="C1223" s="138" t="s">
        <v>2537</v>
      </c>
      <c r="D1223" s="79" t="s">
        <v>277</v>
      </c>
      <c r="E1223" s="79">
        <v>68427709</v>
      </c>
      <c r="F1223" s="93">
        <v>-31000</v>
      </c>
      <c r="G1223" s="79" t="s">
        <v>113</v>
      </c>
      <c r="H1223" s="79" t="s">
        <v>114</v>
      </c>
      <c r="I1223" s="79" t="s">
        <v>948</v>
      </c>
      <c r="J1223" s="79">
        <v>2025</v>
      </c>
      <c r="K1223" s="79" t="s">
        <v>116</v>
      </c>
      <c r="L1223" s="79"/>
    </row>
    <row r="1224" spans="1:12" hidden="1" x14ac:dyDescent="0.25">
      <c r="A1224" s="137">
        <v>45393</v>
      </c>
      <c r="B1224" s="79" t="s">
        <v>2538</v>
      </c>
      <c r="C1224" s="138" t="s">
        <v>2539</v>
      </c>
      <c r="D1224" s="79" t="s">
        <v>277</v>
      </c>
      <c r="E1224" s="79">
        <v>68427709</v>
      </c>
      <c r="F1224" s="93">
        <v>-10400</v>
      </c>
      <c r="G1224" s="79" t="s">
        <v>113</v>
      </c>
      <c r="H1224" s="79" t="s">
        <v>114</v>
      </c>
      <c r="I1224" s="79" t="s">
        <v>948</v>
      </c>
      <c r="J1224" s="79">
        <v>2025</v>
      </c>
      <c r="K1224" s="79" t="s">
        <v>116</v>
      </c>
      <c r="L1224" s="79"/>
    </row>
    <row r="1225" spans="1:12" hidden="1" x14ac:dyDescent="0.25">
      <c r="A1225" s="137">
        <v>45393</v>
      </c>
      <c r="B1225" s="79" t="s">
        <v>2540</v>
      </c>
      <c r="C1225" s="138" t="s">
        <v>2541</v>
      </c>
      <c r="D1225" s="79" t="s">
        <v>277</v>
      </c>
      <c r="E1225" s="79">
        <v>68427709</v>
      </c>
      <c r="F1225" s="93">
        <v>-10400</v>
      </c>
      <c r="G1225" s="79" t="s">
        <v>113</v>
      </c>
      <c r="H1225" s="79" t="s">
        <v>114</v>
      </c>
      <c r="I1225" s="79" t="s">
        <v>948</v>
      </c>
      <c r="J1225" s="79">
        <v>2025</v>
      </c>
      <c r="K1225" s="79" t="s">
        <v>116</v>
      </c>
      <c r="L1225" s="79"/>
    </row>
    <row r="1226" spans="1:12" hidden="1" x14ac:dyDescent="0.25">
      <c r="A1226" s="137">
        <v>45425</v>
      </c>
      <c r="B1226" s="79" t="s">
        <v>2542</v>
      </c>
      <c r="C1226" s="138" t="s">
        <v>2543</v>
      </c>
      <c r="D1226" s="79"/>
      <c r="E1226" s="79">
        <v>68427709</v>
      </c>
      <c r="F1226" s="93" t="s">
        <v>1976</v>
      </c>
      <c r="G1226" s="79" t="s">
        <v>797</v>
      </c>
      <c r="H1226" s="79" t="s">
        <v>114</v>
      </c>
      <c r="I1226" s="79" t="s">
        <v>1700</v>
      </c>
      <c r="J1226" s="79">
        <v>2025</v>
      </c>
      <c r="K1226" s="79" t="s">
        <v>2544</v>
      </c>
      <c r="L1226" s="79" t="s">
        <v>2545</v>
      </c>
    </row>
    <row r="1227" spans="1:12" hidden="1" x14ac:dyDescent="0.25">
      <c r="A1227" s="82">
        <v>45426</v>
      </c>
      <c r="B1227" s="79" t="s">
        <v>2546</v>
      </c>
      <c r="C1227" s="79" t="s">
        <v>2547</v>
      </c>
      <c r="D1227" s="79"/>
      <c r="E1227" s="79">
        <v>68427719</v>
      </c>
      <c r="F1227" s="93">
        <v>110000</v>
      </c>
      <c r="G1227" s="79" t="s">
        <v>113</v>
      </c>
      <c r="H1227" s="79" t="s">
        <v>114</v>
      </c>
      <c r="I1227" s="79" t="s">
        <v>1700</v>
      </c>
      <c r="J1227" s="79">
        <v>2025</v>
      </c>
      <c r="K1227" s="79" t="s">
        <v>1075</v>
      </c>
      <c r="L1227" s="79"/>
    </row>
    <row r="1228" spans="1:12" hidden="1" x14ac:dyDescent="0.25">
      <c r="A1228" s="82">
        <v>45426</v>
      </c>
      <c r="B1228" s="79" t="s">
        <v>1131</v>
      </c>
      <c r="C1228" s="79" t="s">
        <v>2548</v>
      </c>
      <c r="D1228" s="79"/>
      <c r="E1228" s="79">
        <v>68427719</v>
      </c>
      <c r="F1228" s="93">
        <v>-24000</v>
      </c>
      <c r="G1228" s="79" t="s">
        <v>113</v>
      </c>
      <c r="H1228" s="79" t="s">
        <v>114</v>
      </c>
      <c r="I1228" s="79" t="s">
        <v>1700</v>
      </c>
      <c r="J1228" s="79">
        <v>2025</v>
      </c>
      <c r="K1228" s="79" t="s">
        <v>1075</v>
      </c>
      <c r="L1228" s="79"/>
    </row>
    <row r="1229" spans="1:12" hidden="1" x14ac:dyDescent="0.25">
      <c r="A1229" s="82">
        <v>45426</v>
      </c>
      <c r="B1229" s="79" t="s">
        <v>2549</v>
      </c>
      <c r="C1229" s="79" t="s">
        <v>2550</v>
      </c>
      <c r="D1229" s="79"/>
      <c r="E1229" s="79">
        <v>68427719</v>
      </c>
      <c r="F1229" s="93">
        <v>24000</v>
      </c>
      <c r="G1229" s="79" t="s">
        <v>113</v>
      </c>
      <c r="H1229" s="79" t="s">
        <v>114</v>
      </c>
      <c r="I1229" s="79" t="s">
        <v>1700</v>
      </c>
      <c r="J1229" s="79">
        <v>2025</v>
      </c>
      <c r="K1229" s="79" t="s">
        <v>1075</v>
      </c>
      <c r="L1229" s="79"/>
    </row>
    <row r="1230" spans="1:12" hidden="1" x14ac:dyDescent="0.25">
      <c r="A1230" s="82">
        <v>45426</v>
      </c>
      <c r="B1230" s="79" t="s">
        <v>2551</v>
      </c>
      <c r="C1230" s="79" t="s">
        <v>2552</v>
      </c>
      <c r="D1230" s="79" t="s">
        <v>3610</v>
      </c>
      <c r="E1230" s="79">
        <v>68427719</v>
      </c>
      <c r="F1230" s="93">
        <v>109000</v>
      </c>
      <c r="G1230" s="79" t="s">
        <v>113</v>
      </c>
      <c r="H1230" s="79" t="s">
        <v>114</v>
      </c>
      <c r="I1230" s="79" t="s">
        <v>1700</v>
      </c>
      <c r="J1230" s="79">
        <v>2025</v>
      </c>
      <c r="K1230" s="79" t="s">
        <v>1075</v>
      </c>
      <c r="L1230" s="79" t="s">
        <v>2553</v>
      </c>
    </row>
    <row r="1231" spans="1:12" hidden="1" x14ac:dyDescent="0.25">
      <c r="A1231" s="82">
        <v>45426</v>
      </c>
      <c r="B1231" s="79" t="s">
        <v>2554</v>
      </c>
      <c r="C1231" s="79" t="s">
        <v>2552</v>
      </c>
      <c r="D1231" s="79" t="s">
        <v>3610</v>
      </c>
      <c r="E1231" s="79">
        <v>68427719</v>
      </c>
      <c r="F1231" s="242">
        <v>125000</v>
      </c>
      <c r="G1231" s="79" t="s">
        <v>113</v>
      </c>
      <c r="H1231" s="79" t="s">
        <v>114</v>
      </c>
      <c r="I1231" s="79" t="s">
        <v>1700</v>
      </c>
      <c r="J1231" s="79">
        <v>2025</v>
      </c>
      <c r="K1231" s="79" t="s">
        <v>1075</v>
      </c>
      <c r="L1231" s="79" t="s">
        <v>2553</v>
      </c>
    </row>
    <row r="1232" spans="1:12" hidden="1" x14ac:dyDescent="0.25">
      <c r="A1232" s="82">
        <v>45426</v>
      </c>
      <c r="B1232" s="79" t="s">
        <v>2230</v>
      </c>
      <c r="C1232" s="79" t="s">
        <v>2555</v>
      </c>
      <c r="D1232" s="79"/>
      <c r="E1232" s="79">
        <v>68427709</v>
      </c>
      <c r="F1232" s="242">
        <v>-120000</v>
      </c>
      <c r="G1232" s="79" t="s">
        <v>3573</v>
      </c>
      <c r="H1232" s="79" t="s">
        <v>114</v>
      </c>
      <c r="I1232" s="79" t="s">
        <v>1700</v>
      </c>
      <c r="J1232" s="79">
        <v>2025</v>
      </c>
      <c r="K1232" s="79" t="s">
        <v>2556</v>
      </c>
      <c r="L1232" s="79"/>
    </row>
    <row r="1233" spans="1:12" hidden="1" x14ac:dyDescent="0.25">
      <c r="A1233" s="82">
        <v>45426</v>
      </c>
      <c r="B1233" s="122" t="s">
        <v>2557</v>
      </c>
      <c r="C1233" s="79" t="s">
        <v>2548</v>
      </c>
      <c r="D1233" s="79"/>
      <c r="E1233" s="79">
        <v>68427709</v>
      </c>
      <c r="F1233" s="93">
        <v>-79000</v>
      </c>
      <c r="G1233" s="79" t="s">
        <v>113</v>
      </c>
      <c r="H1233" s="79" t="s">
        <v>114</v>
      </c>
      <c r="I1233" s="79" t="s">
        <v>1700</v>
      </c>
      <c r="J1233" s="79">
        <v>2025</v>
      </c>
      <c r="K1233" s="79" t="s">
        <v>2556</v>
      </c>
      <c r="L1233" s="79" t="s">
        <v>2558</v>
      </c>
    </row>
    <row r="1234" spans="1:12" hidden="1" x14ac:dyDescent="0.25">
      <c r="A1234" s="82">
        <v>45426</v>
      </c>
      <c r="B1234" s="122" t="s">
        <v>2179</v>
      </c>
      <c r="C1234" s="79" t="s">
        <v>2548</v>
      </c>
      <c r="D1234" s="79"/>
      <c r="E1234" s="79">
        <v>68427709</v>
      </c>
      <c r="F1234" s="93">
        <v>-113000</v>
      </c>
      <c r="G1234" s="79" t="s">
        <v>113</v>
      </c>
      <c r="H1234" s="79" t="s">
        <v>114</v>
      </c>
      <c r="I1234" s="79" t="s">
        <v>1700</v>
      </c>
      <c r="J1234" s="79">
        <v>2025</v>
      </c>
      <c r="K1234" s="79" t="s">
        <v>2556</v>
      </c>
      <c r="L1234" s="79" t="s">
        <v>2558</v>
      </c>
    </row>
    <row r="1235" spans="1:12" hidden="1" x14ac:dyDescent="0.25">
      <c r="A1235" s="82">
        <v>45426</v>
      </c>
      <c r="B1235" s="79" t="s">
        <v>2559</v>
      </c>
      <c r="C1235" s="79" t="s">
        <v>2560</v>
      </c>
      <c r="D1235" s="79"/>
      <c r="E1235" s="79">
        <v>68427709</v>
      </c>
      <c r="F1235" s="242">
        <v>0</v>
      </c>
      <c r="G1235" s="79" t="s">
        <v>113</v>
      </c>
      <c r="H1235" s="79" t="s">
        <v>114</v>
      </c>
      <c r="I1235" s="79" t="s">
        <v>1700</v>
      </c>
      <c r="J1235" s="79">
        <v>2025</v>
      </c>
      <c r="K1235" s="79" t="s">
        <v>116</v>
      </c>
      <c r="L1235" s="79"/>
    </row>
    <row r="1236" spans="1:12" hidden="1" x14ac:dyDescent="0.25">
      <c r="A1236" s="82">
        <v>45426</v>
      </c>
      <c r="B1236" s="79" t="s">
        <v>2561</v>
      </c>
      <c r="C1236" s="79" t="s">
        <v>2560</v>
      </c>
      <c r="D1236" s="79"/>
      <c r="E1236" s="79">
        <v>68427709</v>
      </c>
      <c r="F1236" s="242">
        <v>0</v>
      </c>
      <c r="G1236" s="79" t="s">
        <v>113</v>
      </c>
      <c r="H1236" s="79" t="s">
        <v>114</v>
      </c>
      <c r="I1236" s="79" t="s">
        <v>1700</v>
      </c>
      <c r="J1236" s="79">
        <v>2025</v>
      </c>
      <c r="K1236" s="79" t="s">
        <v>116</v>
      </c>
      <c r="L1236" s="79"/>
    </row>
    <row r="1237" spans="1:12" hidden="1" x14ac:dyDescent="0.25">
      <c r="A1237" s="82">
        <v>45426</v>
      </c>
      <c r="B1237" s="79" t="s">
        <v>2562</v>
      </c>
      <c r="C1237" s="79" t="s">
        <v>2560</v>
      </c>
      <c r="D1237" s="79"/>
      <c r="E1237" s="79">
        <v>68427709</v>
      </c>
      <c r="F1237" s="242">
        <v>0</v>
      </c>
      <c r="G1237" s="79" t="s">
        <v>113</v>
      </c>
      <c r="H1237" s="79" t="s">
        <v>114</v>
      </c>
      <c r="I1237" s="79" t="s">
        <v>1700</v>
      </c>
      <c r="J1237" s="79">
        <v>2025</v>
      </c>
      <c r="K1237" s="79" t="s">
        <v>116</v>
      </c>
      <c r="L1237" s="79"/>
    </row>
    <row r="1238" spans="1:12" hidden="1" x14ac:dyDescent="0.25">
      <c r="A1238" s="82">
        <v>45426</v>
      </c>
      <c r="B1238" s="79" t="s">
        <v>1022</v>
      </c>
      <c r="C1238" s="79" t="s">
        <v>2563</v>
      </c>
      <c r="D1238" s="79"/>
      <c r="E1238" s="79">
        <v>68427719</v>
      </c>
      <c r="F1238" s="242">
        <v>30000</v>
      </c>
      <c r="G1238" s="79" t="s">
        <v>113</v>
      </c>
      <c r="H1238" s="79" t="s">
        <v>114</v>
      </c>
      <c r="I1238" s="79" t="s">
        <v>1700</v>
      </c>
      <c r="J1238" s="79">
        <v>2025</v>
      </c>
      <c r="K1238" s="79" t="s">
        <v>1075</v>
      </c>
      <c r="L1238" s="79"/>
    </row>
    <row r="1239" spans="1:12" hidden="1" x14ac:dyDescent="0.25">
      <c r="A1239" s="82">
        <v>45426</v>
      </c>
      <c r="B1239" s="79" t="s">
        <v>1023</v>
      </c>
      <c r="C1239" s="79" t="s">
        <v>2563</v>
      </c>
      <c r="D1239" s="79"/>
      <c r="E1239" s="79">
        <v>68427719</v>
      </c>
      <c r="F1239" s="242">
        <v>75000</v>
      </c>
      <c r="G1239" s="79" t="s">
        <v>113</v>
      </c>
      <c r="H1239" s="79" t="s">
        <v>114</v>
      </c>
      <c r="I1239" s="79" t="s">
        <v>1700</v>
      </c>
      <c r="J1239" s="79">
        <v>2025</v>
      </c>
      <c r="K1239" s="79" t="s">
        <v>1075</v>
      </c>
      <c r="L1239" s="79"/>
    </row>
    <row r="1240" spans="1:12" hidden="1" x14ac:dyDescent="0.25">
      <c r="A1240" s="82">
        <v>45426</v>
      </c>
      <c r="B1240" s="79" t="s">
        <v>1019</v>
      </c>
      <c r="C1240" s="79" t="s">
        <v>2563</v>
      </c>
      <c r="D1240" s="79"/>
      <c r="E1240" s="79">
        <v>68427719</v>
      </c>
      <c r="F1240" s="242">
        <v>70000</v>
      </c>
      <c r="G1240" s="79" t="s">
        <v>113</v>
      </c>
      <c r="H1240" s="79" t="s">
        <v>114</v>
      </c>
      <c r="I1240" s="79" t="s">
        <v>1700</v>
      </c>
      <c r="J1240" s="79">
        <v>2025</v>
      </c>
      <c r="K1240" s="79" t="s">
        <v>1075</v>
      </c>
      <c r="L1240" s="79"/>
    </row>
    <row r="1241" spans="1:12" hidden="1" x14ac:dyDescent="0.25">
      <c r="A1241" s="82">
        <v>45426</v>
      </c>
      <c r="B1241" s="122" t="s">
        <v>1898</v>
      </c>
      <c r="C1241" s="79" t="s">
        <v>2564</v>
      </c>
      <c r="D1241" s="79"/>
      <c r="E1241" s="79">
        <v>68427719</v>
      </c>
      <c r="F1241" s="242">
        <v>60000</v>
      </c>
      <c r="G1241" s="79" t="s">
        <v>113</v>
      </c>
      <c r="H1241" s="79" t="s">
        <v>114</v>
      </c>
      <c r="I1241" s="79" t="s">
        <v>1700</v>
      </c>
      <c r="J1241" s="79">
        <v>2025</v>
      </c>
      <c r="K1241" s="79" t="s">
        <v>1075</v>
      </c>
      <c r="L1241" s="79"/>
    </row>
    <row r="1242" spans="1:12" hidden="1" x14ac:dyDescent="0.25">
      <c r="A1242" s="82">
        <v>45426</v>
      </c>
      <c r="B1242" s="122" t="s">
        <v>2182</v>
      </c>
      <c r="C1242" s="79" t="s">
        <v>545</v>
      </c>
      <c r="D1242" s="79"/>
      <c r="E1242" s="79">
        <v>68427719</v>
      </c>
      <c r="F1242" s="242">
        <v>55000</v>
      </c>
      <c r="G1242" s="79" t="s">
        <v>113</v>
      </c>
      <c r="H1242" s="79" t="s">
        <v>114</v>
      </c>
      <c r="I1242" s="79" t="s">
        <v>1700</v>
      </c>
      <c r="J1242" s="79">
        <v>2025</v>
      </c>
      <c r="K1242" s="79" t="s">
        <v>1075</v>
      </c>
      <c r="L1242" s="79"/>
    </row>
    <row r="1243" spans="1:12" hidden="1" x14ac:dyDescent="0.25">
      <c r="A1243" s="82">
        <v>45426</v>
      </c>
      <c r="B1243" s="122" t="s">
        <v>2357</v>
      </c>
      <c r="C1243" s="79" t="s">
        <v>2548</v>
      </c>
      <c r="D1243" s="79"/>
      <c r="E1243" s="79">
        <v>68427719</v>
      </c>
      <c r="F1243" s="93">
        <v>-16000</v>
      </c>
      <c r="G1243" s="79" t="s">
        <v>113</v>
      </c>
      <c r="H1243" s="79" t="s">
        <v>114</v>
      </c>
      <c r="I1243" s="79" t="s">
        <v>1700</v>
      </c>
      <c r="J1243" s="79">
        <v>2025</v>
      </c>
      <c r="K1243" s="79" t="s">
        <v>1075</v>
      </c>
      <c r="L1243" s="79"/>
    </row>
    <row r="1244" spans="1:12" hidden="1" x14ac:dyDescent="0.25">
      <c r="A1244" s="82">
        <v>45426</v>
      </c>
      <c r="B1244" s="79" t="s">
        <v>1227</v>
      </c>
      <c r="C1244" s="79" t="s">
        <v>2565</v>
      </c>
      <c r="D1244" s="79"/>
      <c r="E1244" s="79">
        <v>68427709</v>
      </c>
      <c r="F1244" s="242">
        <v>3000</v>
      </c>
      <c r="G1244" s="79" t="s">
        <v>113</v>
      </c>
      <c r="H1244" s="79" t="s">
        <v>114</v>
      </c>
      <c r="I1244" s="79" t="s">
        <v>1700</v>
      </c>
      <c r="J1244" s="79">
        <v>2025</v>
      </c>
      <c r="K1244" s="79" t="s">
        <v>1704</v>
      </c>
      <c r="L1244" s="79"/>
    </row>
    <row r="1245" spans="1:12" hidden="1" x14ac:dyDescent="0.25">
      <c r="A1245" s="82">
        <v>45426</v>
      </c>
      <c r="B1245" s="79" t="s">
        <v>1583</v>
      </c>
      <c r="C1245" s="79" t="s">
        <v>2566</v>
      </c>
      <c r="D1245" s="79"/>
      <c r="E1245" s="79">
        <v>68427709</v>
      </c>
      <c r="F1245" s="242">
        <v>28000</v>
      </c>
      <c r="G1245" s="79" t="s">
        <v>113</v>
      </c>
      <c r="H1245" s="79" t="s">
        <v>114</v>
      </c>
      <c r="I1245" s="79" t="s">
        <v>1700</v>
      </c>
      <c r="J1245" s="79">
        <v>2025</v>
      </c>
      <c r="K1245" s="79" t="s">
        <v>1704</v>
      </c>
      <c r="L1245" s="79"/>
    </row>
    <row r="1246" spans="1:12" hidden="1" x14ac:dyDescent="0.25">
      <c r="A1246" s="82">
        <v>45426</v>
      </c>
      <c r="B1246" s="79" t="s">
        <v>111</v>
      </c>
      <c r="C1246" s="79" t="s">
        <v>2567</v>
      </c>
      <c r="D1246" s="79"/>
      <c r="E1246" s="79">
        <v>68427709</v>
      </c>
      <c r="F1246" s="242" t="s">
        <v>1976</v>
      </c>
      <c r="G1246" s="79" t="s">
        <v>797</v>
      </c>
      <c r="H1246" s="79" t="s">
        <v>114</v>
      </c>
      <c r="I1246" s="79" t="s">
        <v>1700</v>
      </c>
      <c r="J1246" s="79">
        <v>2025</v>
      </c>
      <c r="K1246" s="79" t="s">
        <v>1704</v>
      </c>
      <c r="L1246" s="79" t="s">
        <v>2568</v>
      </c>
    </row>
    <row r="1247" spans="1:12" hidden="1" x14ac:dyDescent="0.25">
      <c r="A1247" s="82">
        <v>45426</v>
      </c>
      <c r="B1247" s="79" t="s">
        <v>1227</v>
      </c>
      <c r="C1247" s="79" t="s">
        <v>2569</v>
      </c>
      <c r="D1247" s="79"/>
      <c r="E1247" s="79">
        <v>68427709</v>
      </c>
      <c r="F1247" s="242">
        <v>0</v>
      </c>
      <c r="G1247" s="79" t="s">
        <v>113</v>
      </c>
      <c r="H1247" s="79" t="s">
        <v>114</v>
      </c>
      <c r="I1247" s="79" t="s">
        <v>2570</v>
      </c>
      <c r="J1247" s="79">
        <v>2025</v>
      </c>
      <c r="K1247" s="79" t="s">
        <v>116</v>
      </c>
      <c r="L1247" s="79"/>
    </row>
    <row r="1248" spans="1:12" hidden="1" x14ac:dyDescent="0.25">
      <c r="A1248" s="82">
        <v>45433</v>
      </c>
      <c r="B1248" s="79" t="s">
        <v>2227</v>
      </c>
      <c r="C1248" s="79" t="s">
        <v>2571</v>
      </c>
      <c r="D1248" s="79"/>
      <c r="E1248" s="79">
        <v>68427709</v>
      </c>
      <c r="F1248" s="242">
        <v>-430000</v>
      </c>
      <c r="G1248" s="79" t="s">
        <v>3573</v>
      </c>
      <c r="H1248" s="79" t="s">
        <v>114</v>
      </c>
      <c r="I1248" s="79" t="s">
        <v>1700</v>
      </c>
      <c r="J1248" s="79">
        <v>2025</v>
      </c>
      <c r="K1248" s="79" t="s">
        <v>1092</v>
      </c>
      <c r="L1248" s="79"/>
    </row>
    <row r="1249" spans="1:12" hidden="1" x14ac:dyDescent="0.25">
      <c r="A1249" s="82">
        <v>45433</v>
      </c>
      <c r="B1249" s="79" t="s">
        <v>2572</v>
      </c>
      <c r="C1249" s="79" t="s">
        <v>2573</v>
      </c>
      <c r="D1249" s="79"/>
      <c r="E1249" s="79">
        <v>68427709</v>
      </c>
      <c r="F1249" s="242">
        <v>385000</v>
      </c>
      <c r="G1249" s="79" t="s">
        <v>113</v>
      </c>
      <c r="H1249" s="79" t="s">
        <v>114</v>
      </c>
      <c r="I1249" s="79" t="s">
        <v>133</v>
      </c>
      <c r="J1249" s="79">
        <v>2025</v>
      </c>
      <c r="K1249" s="79" t="s">
        <v>1092</v>
      </c>
      <c r="L1249" s="79"/>
    </row>
    <row r="1250" spans="1:12" hidden="1" x14ac:dyDescent="0.25">
      <c r="A1250" s="82">
        <v>45433</v>
      </c>
      <c r="B1250" s="96" t="s">
        <v>871</v>
      </c>
      <c r="C1250" s="79" t="s">
        <v>2574</v>
      </c>
      <c r="D1250" s="79"/>
      <c r="E1250" s="79">
        <v>68427709</v>
      </c>
      <c r="F1250" s="242">
        <v>-407000</v>
      </c>
      <c r="G1250" s="79" t="s">
        <v>113</v>
      </c>
      <c r="H1250" s="79" t="s">
        <v>114</v>
      </c>
      <c r="I1250" s="79" t="s">
        <v>2534</v>
      </c>
      <c r="J1250" s="79">
        <v>2025</v>
      </c>
      <c r="K1250" s="79" t="s">
        <v>1092</v>
      </c>
      <c r="L1250" s="79"/>
    </row>
    <row r="1251" spans="1:12" hidden="1" x14ac:dyDescent="0.25">
      <c r="A1251" s="82">
        <v>45433</v>
      </c>
      <c r="B1251" s="79" t="s">
        <v>2575</v>
      </c>
      <c r="C1251" s="79" t="s">
        <v>2576</v>
      </c>
      <c r="D1251" s="79"/>
      <c r="E1251" s="79">
        <v>68427709</v>
      </c>
      <c r="F1251" s="242">
        <v>-103000</v>
      </c>
      <c r="G1251" s="79" t="s">
        <v>113</v>
      </c>
      <c r="H1251" s="79" t="s">
        <v>114</v>
      </c>
      <c r="I1251" s="79" t="s">
        <v>133</v>
      </c>
      <c r="J1251" s="79">
        <v>2025</v>
      </c>
      <c r="K1251" s="79" t="s">
        <v>1092</v>
      </c>
      <c r="L1251" s="79"/>
    </row>
    <row r="1252" spans="1:12" hidden="1" x14ac:dyDescent="0.25">
      <c r="A1252" s="82">
        <v>45433</v>
      </c>
      <c r="B1252" s="79" t="s">
        <v>1486</v>
      </c>
      <c r="C1252" s="79" t="s">
        <v>2577</v>
      </c>
      <c r="D1252" s="79"/>
      <c r="E1252" s="79">
        <v>68427709</v>
      </c>
      <c r="F1252" s="242">
        <v>-180000</v>
      </c>
      <c r="G1252" s="79" t="s">
        <v>113</v>
      </c>
      <c r="H1252" s="79" t="s">
        <v>114</v>
      </c>
      <c r="I1252" s="79" t="s">
        <v>133</v>
      </c>
      <c r="J1252" s="79">
        <v>2025</v>
      </c>
      <c r="K1252" s="79" t="s">
        <v>1092</v>
      </c>
      <c r="L1252" s="79"/>
    </row>
    <row r="1253" spans="1:12" hidden="1" x14ac:dyDescent="0.25">
      <c r="A1253" s="82">
        <v>45433</v>
      </c>
      <c r="B1253" s="96" t="s">
        <v>1483</v>
      </c>
      <c r="C1253" s="79" t="s">
        <v>2577</v>
      </c>
      <c r="D1253" s="79"/>
      <c r="E1253" s="79">
        <v>68427709</v>
      </c>
      <c r="F1253" s="242">
        <v>-45000</v>
      </c>
      <c r="G1253" s="79" t="s">
        <v>113</v>
      </c>
      <c r="H1253" s="79" t="s">
        <v>114</v>
      </c>
      <c r="I1253" s="79" t="s">
        <v>133</v>
      </c>
      <c r="J1253" s="79">
        <v>2025</v>
      </c>
      <c r="K1253" s="79" t="s">
        <v>1092</v>
      </c>
      <c r="L1253" s="79"/>
    </row>
    <row r="1254" spans="1:12" hidden="1" x14ac:dyDescent="0.25">
      <c r="A1254" s="82">
        <v>45433</v>
      </c>
      <c r="B1254" s="79" t="s">
        <v>2578</v>
      </c>
      <c r="C1254" s="79" t="s">
        <v>2579</v>
      </c>
      <c r="D1254" s="79"/>
      <c r="E1254" s="79">
        <v>68427709</v>
      </c>
      <c r="F1254" s="242">
        <v>-200000</v>
      </c>
      <c r="G1254" s="79" t="s">
        <v>113</v>
      </c>
      <c r="H1254" s="79" t="s">
        <v>114</v>
      </c>
      <c r="I1254" s="79" t="s">
        <v>133</v>
      </c>
      <c r="J1254" s="79">
        <v>2025</v>
      </c>
      <c r="K1254" s="79" t="s">
        <v>1092</v>
      </c>
      <c r="L1254" s="79"/>
    </row>
    <row r="1255" spans="1:12" hidden="1" x14ac:dyDescent="0.25">
      <c r="A1255" s="82">
        <v>45433</v>
      </c>
      <c r="B1255" s="79" t="s">
        <v>2580</v>
      </c>
      <c r="C1255" s="79" t="s">
        <v>2581</v>
      </c>
      <c r="D1255" s="79"/>
      <c r="E1255" s="79">
        <v>68427709</v>
      </c>
      <c r="F1255" s="93">
        <v>-100000</v>
      </c>
      <c r="G1255" s="79" t="s">
        <v>113</v>
      </c>
      <c r="H1255" s="79" t="s">
        <v>114</v>
      </c>
      <c r="I1255" s="79" t="s">
        <v>133</v>
      </c>
      <c r="J1255" s="79">
        <v>2025</v>
      </c>
      <c r="K1255" s="79" t="s">
        <v>1092</v>
      </c>
      <c r="L1255" s="79"/>
    </row>
    <row r="1256" spans="1:12" hidden="1" x14ac:dyDescent="0.25">
      <c r="A1256" s="82">
        <v>45433</v>
      </c>
      <c r="B1256" s="79" t="s">
        <v>2508</v>
      </c>
      <c r="C1256" s="79" t="s">
        <v>2582</v>
      </c>
      <c r="D1256" s="79"/>
      <c r="E1256" s="79">
        <v>68427709</v>
      </c>
      <c r="F1256" s="93">
        <v>-27000</v>
      </c>
      <c r="G1256" s="82" t="s">
        <v>113</v>
      </c>
      <c r="H1256" s="79" t="s">
        <v>114</v>
      </c>
      <c r="I1256" s="79" t="s">
        <v>133</v>
      </c>
      <c r="J1256" s="79">
        <v>2025</v>
      </c>
      <c r="K1256" s="79" t="s">
        <v>1092</v>
      </c>
      <c r="L1256" s="79"/>
    </row>
    <row r="1257" spans="1:12" hidden="1" x14ac:dyDescent="0.25">
      <c r="A1257" s="82">
        <v>45433</v>
      </c>
      <c r="B1257" s="79" t="s">
        <v>2583</v>
      </c>
      <c r="C1257" s="79" t="s">
        <v>3707</v>
      </c>
      <c r="D1257" s="79"/>
      <c r="E1257" s="79">
        <v>68427709</v>
      </c>
      <c r="F1257" s="242">
        <v>61500</v>
      </c>
      <c r="G1257" s="82" t="s">
        <v>113</v>
      </c>
      <c r="H1257" s="79" t="s">
        <v>114</v>
      </c>
      <c r="I1257" s="79" t="s">
        <v>133</v>
      </c>
      <c r="J1257" s="79">
        <v>2025</v>
      </c>
      <c r="K1257" s="79" t="s">
        <v>1092</v>
      </c>
      <c r="L1257" s="79"/>
    </row>
    <row r="1258" spans="1:12" hidden="1" x14ac:dyDescent="0.25">
      <c r="A1258" s="82">
        <v>45433</v>
      </c>
      <c r="B1258" s="79" t="s">
        <v>2584</v>
      </c>
      <c r="C1258" s="79" t="s">
        <v>2585</v>
      </c>
      <c r="D1258" s="79"/>
      <c r="E1258" s="79">
        <v>68427709</v>
      </c>
      <c r="F1258" s="93">
        <v>-30000</v>
      </c>
      <c r="G1258" s="82" t="s">
        <v>113</v>
      </c>
      <c r="H1258" s="79" t="s">
        <v>114</v>
      </c>
      <c r="I1258" s="79" t="s">
        <v>1700</v>
      </c>
      <c r="J1258" s="79">
        <v>2025</v>
      </c>
      <c r="K1258" s="79" t="s">
        <v>1092</v>
      </c>
      <c r="L1258" s="79"/>
    </row>
    <row r="1259" spans="1:12" hidden="1" x14ac:dyDescent="0.25">
      <c r="A1259" s="82">
        <v>45433</v>
      </c>
      <c r="B1259" s="79" t="s">
        <v>2586</v>
      </c>
      <c r="C1259" s="79" t="s">
        <v>2585</v>
      </c>
      <c r="D1259" s="79"/>
      <c r="E1259" s="79">
        <v>68427709</v>
      </c>
      <c r="F1259" s="93">
        <v>-87000</v>
      </c>
      <c r="G1259" s="82" t="s">
        <v>113</v>
      </c>
      <c r="H1259" s="79" t="s">
        <v>114</v>
      </c>
      <c r="I1259" s="79" t="s">
        <v>133</v>
      </c>
      <c r="J1259" s="79">
        <v>2025</v>
      </c>
      <c r="K1259" s="79" t="s">
        <v>1092</v>
      </c>
      <c r="L1259" s="79"/>
    </row>
    <row r="1260" spans="1:12" hidden="1" x14ac:dyDescent="0.25">
      <c r="A1260" s="82">
        <v>45433</v>
      </c>
      <c r="B1260" s="79" t="s">
        <v>2587</v>
      </c>
      <c r="C1260" s="79" t="s">
        <v>2588</v>
      </c>
      <c r="D1260" s="79"/>
      <c r="E1260" s="79">
        <v>68427709</v>
      </c>
      <c r="F1260" s="242">
        <v>130000</v>
      </c>
      <c r="G1260" s="82" t="s">
        <v>113</v>
      </c>
      <c r="H1260" s="79" t="s">
        <v>114</v>
      </c>
      <c r="I1260" s="79" t="s">
        <v>1700</v>
      </c>
      <c r="J1260" s="79">
        <v>2025</v>
      </c>
      <c r="K1260" s="79" t="s">
        <v>1916</v>
      </c>
      <c r="L1260" s="79" t="s">
        <v>2589</v>
      </c>
    </row>
    <row r="1261" spans="1:12" hidden="1" x14ac:dyDescent="0.25">
      <c r="A1261" s="82">
        <v>45434</v>
      </c>
      <c r="B1261" s="79" t="s">
        <v>2590</v>
      </c>
      <c r="C1261" s="79" t="s">
        <v>2548</v>
      </c>
      <c r="D1261" s="79"/>
      <c r="E1261" s="79">
        <v>68427709</v>
      </c>
      <c r="F1261" s="93">
        <v>-23000</v>
      </c>
      <c r="G1261" s="82" t="s">
        <v>113</v>
      </c>
      <c r="H1261" s="79" t="s">
        <v>114</v>
      </c>
      <c r="I1261" s="79" t="s">
        <v>1700</v>
      </c>
      <c r="J1261" s="79">
        <v>2025</v>
      </c>
      <c r="K1261" s="122" t="s">
        <v>2591</v>
      </c>
      <c r="L1261" s="79"/>
    </row>
    <row r="1262" spans="1:12" hidden="1" x14ac:dyDescent="0.25">
      <c r="A1262" s="82">
        <v>45434</v>
      </c>
      <c r="B1262" s="79" t="s">
        <v>2370</v>
      </c>
      <c r="C1262" s="79" t="s">
        <v>2392</v>
      </c>
      <c r="D1262" s="79"/>
      <c r="E1262" s="79">
        <v>68427709</v>
      </c>
      <c r="F1262" s="242">
        <v>7500</v>
      </c>
      <c r="G1262" s="82" t="s">
        <v>113</v>
      </c>
      <c r="H1262" s="79" t="s">
        <v>114</v>
      </c>
      <c r="I1262" s="79" t="s">
        <v>1700</v>
      </c>
      <c r="J1262" s="79">
        <v>2025</v>
      </c>
      <c r="K1262" s="122" t="s">
        <v>2591</v>
      </c>
      <c r="L1262" s="79"/>
    </row>
    <row r="1263" spans="1:12" hidden="1" x14ac:dyDescent="0.25">
      <c r="A1263" s="82">
        <v>45434</v>
      </c>
      <c r="B1263" s="79" t="s">
        <v>853</v>
      </c>
      <c r="C1263" s="79" t="s">
        <v>2592</v>
      </c>
      <c r="D1263" s="79"/>
      <c r="E1263" s="79">
        <v>68427709</v>
      </c>
      <c r="F1263" s="93">
        <v>-200000</v>
      </c>
      <c r="G1263" s="82" t="s">
        <v>113</v>
      </c>
      <c r="H1263" s="79" t="s">
        <v>114</v>
      </c>
      <c r="I1263" s="79" t="s">
        <v>1700</v>
      </c>
      <c r="J1263" s="79">
        <v>2025</v>
      </c>
      <c r="K1263" s="122" t="s">
        <v>2591</v>
      </c>
      <c r="L1263" s="79" t="s">
        <v>2593</v>
      </c>
    </row>
    <row r="1264" spans="1:12" hidden="1" x14ac:dyDescent="0.25">
      <c r="A1264" s="82">
        <v>45434</v>
      </c>
      <c r="B1264" s="79" t="s">
        <v>2594</v>
      </c>
      <c r="C1264" s="79" t="s">
        <v>2548</v>
      </c>
      <c r="D1264" s="79"/>
      <c r="E1264" s="79">
        <v>68427709</v>
      </c>
      <c r="F1264" s="93">
        <v>-10000</v>
      </c>
      <c r="G1264" s="82" t="s">
        <v>113</v>
      </c>
      <c r="H1264" s="79" t="s">
        <v>114</v>
      </c>
      <c r="I1264" s="79" t="s">
        <v>1700</v>
      </c>
      <c r="J1264" s="79">
        <v>2025</v>
      </c>
      <c r="K1264" s="122" t="s">
        <v>2591</v>
      </c>
      <c r="L1264" s="79"/>
    </row>
    <row r="1265" spans="1:12" hidden="1" x14ac:dyDescent="0.25">
      <c r="A1265" s="137">
        <v>45434</v>
      </c>
      <c r="B1265" s="79" t="s">
        <v>2595</v>
      </c>
      <c r="C1265" s="79" t="s">
        <v>2548</v>
      </c>
      <c r="D1265" s="79"/>
      <c r="E1265" s="79">
        <v>68427709</v>
      </c>
      <c r="F1265" s="93">
        <v>-157000</v>
      </c>
      <c r="G1265" s="82" t="s">
        <v>113</v>
      </c>
      <c r="H1265" s="79" t="s">
        <v>114</v>
      </c>
      <c r="I1265" s="79" t="s">
        <v>1700</v>
      </c>
      <c r="J1265" s="79">
        <v>2025</v>
      </c>
      <c r="K1265" s="122" t="s">
        <v>2591</v>
      </c>
      <c r="L1265" s="79"/>
    </row>
    <row r="1266" spans="1:12" hidden="1" x14ac:dyDescent="0.25">
      <c r="A1266" s="137">
        <v>45434</v>
      </c>
      <c r="B1266" s="79" t="s">
        <v>1991</v>
      </c>
      <c r="C1266" s="79" t="s">
        <v>2596</v>
      </c>
      <c r="D1266" s="79"/>
      <c r="E1266" s="79">
        <v>68427709</v>
      </c>
      <c r="F1266" s="93">
        <v>-15000</v>
      </c>
      <c r="G1266" s="82" t="s">
        <v>113</v>
      </c>
      <c r="H1266" s="79" t="s">
        <v>114</v>
      </c>
      <c r="I1266" s="79" t="s">
        <v>1700</v>
      </c>
      <c r="J1266" s="79">
        <v>2025</v>
      </c>
      <c r="K1266" s="122" t="s">
        <v>2591</v>
      </c>
      <c r="L1266" s="79"/>
    </row>
    <row r="1267" spans="1:12" hidden="1" x14ac:dyDescent="0.25">
      <c r="A1267" s="137">
        <v>45434</v>
      </c>
      <c r="B1267" s="79" t="s">
        <v>2597</v>
      </c>
      <c r="C1267" s="79" t="s">
        <v>2598</v>
      </c>
      <c r="D1267" s="79"/>
      <c r="E1267" s="79">
        <v>68427709</v>
      </c>
      <c r="F1267" s="242">
        <v>25000</v>
      </c>
      <c r="G1267" s="82" t="s">
        <v>113</v>
      </c>
      <c r="H1267" s="79" t="s">
        <v>114</v>
      </c>
      <c r="I1267" s="79" t="s">
        <v>1700</v>
      </c>
      <c r="J1267" s="79">
        <v>2025</v>
      </c>
      <c r="K1267" s="122" t="s">
        <v>2591</v>
      </c>
      <c r="L1267" s="79"/>
    </row>
    <row r="1268" spans="1:12" hidden="1" x14ac:dyDescent="0.25">
      <c r="A1268" s="137">
        <v>45434</v>
      </c>
      <c r="B1268" s="79" t="s">
        <v>2599</v>
      </c>
      <c r="C1268" s="79" t="s">
        <v>2600</v>
      </c>
      <c r="D1268" s="79"/>
      <c r="E1268" s="79">
        <v>68427709</v>
      </c>
      <c r="F1268" s="242">
        <v>65000</v>
      </c>
      <c r="G1268" s="82" t="s">
        <v>113</v>
      </c>
      <c r="H1268" s="79" t="s">
        <v>114</v>
      </c>
      <c r="I1268" s="79" t="s">
        <v>1700</v>
      </c>
      <c r="J1268" s="79">
        <v>2025</v>
      </c>
      <c r="K1268" s="122" t="s">
        <v>2591</v>
      </c>
      <c r="L1268" s="79"/>
    </row>
    <row r="1269" spans="1:12" hidden="1" x14ac:dyDescent="0.25">
      <c r="A1269" s="137">
        <v>45434</v>
      </c>
      <c r="B1269" s="79" t="s">
        <v>2601</v>
      </c>
      <c r="C1269" s="79" t="s">
        <v>2602</v>
      </c>
      <c r="D1269" s="79"/>
      <c r="E1269" s="79">
        <v>68427709</v>
      </c>
      <c r="F1269" s="242">
        <v>35000</v>
      </c>
      <c r="G1269" s="82" t="s">
        <v>113</v>
      </c>
      <c r="H1269" s="79" t="s">
        <v>114</v>
      </c>
      <c r="I1269" s="79" t="s">
        <v>1700</v>
      </c>
      <c r="J1269" s="79">
        <v>2025</v>
      </c>
      <c r="K1269" s="122" t="s">
        <v>2591</v>
      </c>
      <c r="L1269" s="79"/>
    </row>
    <row r="1270" spans="1:12" hidden="1" x14ac:dyDescent="0.25">
      <c r="A1270" s="137">
        <v>45434</v>
      </c>
      <c r="B1270" s="79" t="s">
        <v>2603</v>
      </c>
      <c r="C1270" s="79" t="s">
        <v>2604</v>
      </c>
      <c r="D1270" s="79"/>
      <c r="E1270" s="79">
        <v>68427709</v>
      </c>
      <c r="F1270" s="242">
        <v>70000</v>
      </c>
      <c r="G1270" s="82" t="s">
        <v>113</v>
      </c>
      <c r="H1270" s="79" t="s">
        <v>114</v>
      </c>
      <c r="I1270" s="79" t="s">
        <v>1700</v>
      </c>
      <c r="J1270" s="79">
        <v>2025</v>
      </c>
      <c r="K1270" s="122" t="s">
        <v>2591</v>
      </c>
      <c r="L1270" s="79"/>
    </row>
    <row r="1271" spans="1:12" hidden="1" x14ac:dyDescent="0.25">
      <c r="A1271" s="137">
        <v>45434</v>
      </c>
      <c r="B1271" s="79" t="s">
        <v>2605</v>
      </c>
      <c r="C1271" s="79" t="s">
        <v>2604</v>
      </c>
      <c r="D1271" s="79"/>
      <c r="E1271" s="79">
        <v>68427709</v>
      </c>
      <c r="F1271" s="242">
        <v>30000</v>
      </c>
      <c r="G1271" s="82" t="s">
        <v>113</v>
      </c>
      <c r="H1271" s="79" t="s">
        <v>114</v>
      </c>
      <c r="I1271" s="79" t="s">
        <v>1700</v>
      </c>
      <c r="J1271" s="79">
        <v>2025</v>
      </c>
      <c r="K1271" s="122" t="s">
        <v>2591</v>
      </c>
      <c r="L1271" s="79" t="s">
        <v>2593</v>
      </c>
    </row>
    <row r="1272" spans="1:12" hidden="1" x14ac:dyDescent="0.25">
      <c r="A1272" s="137">
        <v>45434</v>
      </c>
      <c r="B1272" s="79" t="s">
        <v>1266</v>
      </c>
      <c r="C1272" s="79" t="s">
        <v>2392</v>
      </c>
      <c r="D1272" s="79"/>
      <c r="E1272" s="79">
        <v>68427709</v>
      </c>
      <c r="F1272" s="242">
        <v>44000</v>
      </c>
      <c r="G1272" s="82" t="s">
        <v>113</v>
      </c>
      <c r="H1272" s="79" t="s">
        <v>114</v>
      </c>
      <c r="I1272" s="79" t="s">
        <v>1700</v>
      </c>
      <c r="J1272" s="79">
        <v>2025</v>
      </c>
      <c r="K1272" s="122" t="s">
        <v>2591</v>
      </c>
      <c r="L1272" s="79" t="s">
        <v>2593</v>
      </c>
    </row>
    <row r="1273" spans="1:12" hidden="1" x14ac:dyDescent="0.25">
      <c r="A1273" s="137">
        <v>45434</v>
      </c>
      <c r="B1273" s="79" t="s">
        <v>1299</v>
      </c>
      <c r="C1273" s="79" t="s">
        <v>2606</v>
      </c>
      <c r="D1273" s="79"/>
      <c r="E1273" s="79">
        <v>68427709</v>
      </c>
      <c r="F1273" s="93">
        <v>-95000</v>
      </c>
      <c r="G1273" s="82" t="s">
        <v>113</v>
      </c>
      <c r="H1273" s="79" t="s">
        <v>114</v>
      </c>
      <c r="I1273" s="79" t="s">
        <v>1700</v>
      </c>
      <c r="J1273" s="79">
        <v>2025</v>
      </c>
      <c r="K1273" s="79" t="s">
        <v>2607</v>
      </c>
      <c r="L1273" s="79"/>
    </row>
    <row r="1274" spans="1:12" hidden="1" x14ac:dyDescent="0.25">
      <c r="A1274" s="137">
        <v>45434</v>
      </c>
      <c r="B1274" s="79" t="s">
        <v>2608</v>
      </c>
      <c r="C1274" s="79" t="s">
        <v>2609</v>
      </c>
      <c r="D1274" s="79"/>
      <c r="E1274" s="79">
        <v>68427709</v>
      </c>
      <c r="F1274" s="242">
        <v>22000</v>
      </c>
      <c r="G1274" s="82" t="s">
        <v>113</v>
      </c>
      <c r="H1274" s="79" t="s">
        <v>114</v>
      </c>
      <c r="I1274" s="79" t="s">
        <v>1700</v>
      </c>
      <c r="J1274" s="79">
        <v>2025</v>
      </c>
      <c r="K1274" s="79" t="s">
        <v>2610</v>
      </c>
      <c r="L1274" s="79"/>
    </row>
    <row r="1275" spans="1:12" hidden="1" x14ac:dyDescent="0.25">
      <c r="A1275" s="137">
        <v>45434</v>
      </c>
      <c r="B1275" s="79" t="s">
        <v>1292</v>
      </c>
      <c r="C1275" s="79" t="s">
        <v>1857</v>
      </c>
      <c r="D1275" s="79"/>
      <c r="E1275" s="79">
        <v>68427709</v>
      </c>
      <c r="F1275" s="242" t="s">
        <v>1976</v>
      </c>
      <c r="G1275" s="82" t="s">
        <v>797</v>
      </c>
      <c r="H1275" s="79" t="s">
        <v>114</v>
      </c>
      <c r="I1275" s="79" t="s">
        <v>1700</v>
      </c>
      <c r="J1275" s="79">
        <v>2025</v>
      </c>
      <c r="K1275" s="79" t="s">
        <v>2607</v>
      </c>
      <c r="L1275" s="79" t="s">
        <v>2611</v>
      </c>
    </row>
    <row r="1276" spans="1:12" hidden="1" x14ac:dyDescent="0.25">
      <c r="A1276" s="137">
        <v>45434</v>
      </c>
      <c r="B1276" s="79" t="s">
        <v>2612</v>
      </c>
      <c r="C1276" s="79" t="s">
        <v>2613</v>
      </c>
      <c r="D1276" s="79"/>
      <c r="E1276" s="79">
        <v>68427709</v>
      </c>
      <c r="F1276" s="242" t="s">
        <v>1976</v>
      </c>
      <c r="G1276" s="82" t="s">
        <v>797</v>
      </c>
      <c r="H1276" s="79" t="s">
        <v>114</v>
      </c>
      <c r="I1276" s="79" t="s">
        <v>1700</v>
      </c>
      <c r="J1276" s="79">
        <v>2025</v>
      </c>
      <c r="K1276" s="79" t="s">
        <v>2614</v>
      </c>
      <c r="L1276" s="79" t="s">
        <v>2615</v>
      </c>
    </row>
    <row r="1277" spans="1:12" hidden="1" x14ac:dyDescent="0.25">
      <c r="A1277" s="137">
        <v>45434</v>
      </c>
      <c r="B1277" s="79" t="s">
        <v>2616</v>
      </c>
      <c r="C1277" s="79" t="s">
        <v>2617</v>
      </c>
      <c r="D1277" s="79"/>
      <c r="E1277" s="79">
        <v>68427709</v>
      </c>
      <c r="F1277" s="242" t="s">
        <v>1976</v>
      </c>
      <c r="G1277" s="82" t="s">
        <v>797</v>
      </c>
      <c r="H1277" s="79" t="s">
        <v>114</v>
      </c>
      <c r="I1277" s="79" t="s">
        <v>1700</v>
      </c>
      <c r="J1277" s="79">
        <v>2025</v>
      </c>
      <c r="K1277" s="79" t="s">
        <v>2618</v>
      </c>
      <c r="L1277" s="79" t="s">
        <v>2619</v>
      </c>
    </row>
    <row r="1278" spans="1:12" hidden="1" x14ac:dyDescent="0.25">
      <c r="A1278" s="137">
        <v>45434</v>
      </c>
      <c r="B1278" s="79" t="s">
        <v>2620</v>
      </c>
      <c r="C1278" s="79" t="s">
        <v>2621</v>
      </c>
      <c r="D1278" s="79"/>
      <c r="E1278" s="79">
        <v>68427709</v>
      </c>
      <c r="F1278" s="242" t="s">
        <v>1976</v>
      </c>
      <c r="G1278" s="82" t="s">
        <v>797</v>
      </c>
      <c r="H1278" s="79" t="s">
        <v>114</v>
      </c>
      <c r="I1278" s="79" t="s">
        <v>1700</v>
      </c>
      <c r="J1278" s="79">
        <v>2025</v>
      </c>
      <c r="K1278" s="79" t="s">
        <v>2607</v>
      </c>
      <c r="L1278" s="79" t="s">
        <v>2622</v>
      </c>
    </row>
    <row r="1279" spans="1:12" hidden="1" x14ac:dyDescent="0.25">
      <c r="A1279" s="137">
        <v>45435</v>
      </c>
      <c r="B1279" s="122" t="s">
        <v>2623</v>
      </c>
      <c r="C1279" s="79" t="s">
        <v>2624</v>
      </c>
      <c r="D1279" s="79"/>
      <c r="E1279" s="79">
        <v>68427709</v>
      </c>
      <c r="F1279" s="93">
        <v>-11250</v>
      </c>
      <c r="G1279" s="82" t="s">
        <v>113</v>
      </c>
      <c r="H1279" s="79" t="s">
        <v>114</v>
      </c>
      <c r="I1279" s="79" t="s">
        <v>1700</v>
      </c>
      <c r="J1279" s="79">
        <v>2025</v>
      </c>
      <c r="K1279" s="79" t="s">
        <v>1916</v>
      </c>
      <c r="L1279" s="79"/>
    </row>
    <row r="1280" spans="1:12" hidden="1" x14ac:dyDescent="0.25">
      <c r="A1280" s="137">
        <v>45435</v>
      </c>
      <c r="B1280" s="235" t="s">
        <v>2421</v>
      </c>
      <c r="C1280" s="79" t="s">
        <v>2625</v>
      </c>
      <c r="D1280" s="79"/>
      <c r="E1280" s="79">
        <v>68427709</v>
      </c>
      <c r="F1280" s="93">
        <v>-70000</v>
      </c>
      <c r="G1280" s="82" t="s">
        <v>113</v>
      </c>
      <c r="H1280" s="79" t="s">
        <v>114</v>
      </c>
      <c r="I1280" s="79" t="s">
        <v>1700</v>
      </c>
      <c r="J1280" s="79">
        <v>2025</v>
      </c>
      <c r="K1280" s="79" t="s">
        <v>1916</v>
      </c>
      <c r="L1280" s="79"/>
    </row>
    <row r="1281" spans="1:12" hidden="1" x14ac:dyDescent="0.25">
      <c r="A1281" s="137">
        <v>45435</v>
      </c>
      <c r="B1281" s="79" t="s">
        <v>2191</v>
      </c>
      <c r="C1281" s="138" t="s">
        <v>2626</v>
      </c>
      <c r="D1281" s="79"/>
      <c r="E1281" s="79">
        <v>68427709</v>
      </c>
      <c r="F1281" s="93">
        <v>-307000</v>
      </c>
      <c r="G1281" s="82" t="s">
        <v>113</v>
      </c>
      <c r="H1281" s="79" t="s">
        <v>114</v>
      </c>
      <c r="I1281" s="79" t="s">
        <v>1700</v>
      </c>
      <c r="J1281" s="79">
        <v>2025</v>
      </c>
      <c r="K1281" s="79" t="s">
        <v>1916</v>
      </c>
      <c r="L1281" s="79"/>
    </row>
    <row r="1282" spans="1:12" hidden="1" x14ac:dyDescent="0.25">
      <c r="A1282" s="137">
        <v>45435</v>
      </c>
      <c r="B1282" s="79" t="s">
        <v>2627</v>
      </c>
      <c r="C1282" s="138" t="s">
        <v>2628</v>
      </c>
      <c r="D1282" s="79"/>
      <c r="E1282" s="79">
        <v>68427709</v>
      </c>
      <c r="F1282" s="242">
        <v>300000</v>
      </c>
      <c r="G1282" s="82" t="s">
        <v>113</v>
      </c>
      <c r="H1282" s="79" t="s">
        <v>114</v>
      </c>
      <c r="I1282" s="79" t="s">
        <v>1700</v>
      </c>
      <c r="J1282" s="79">
        <v>2025</v>
      </c>
      <c r="K1282" s="79" t="s">
        <v>1916</v>
      </c>
      <c r="L1282" s="79"/>
    </row>
    <row r="1283" spans="1:12" hidden="1" x14ac:dyDescent="0.25">
      <c r="A1283" s="137">
        <v>45435</v>
      </c>
      <c r="B1283" s="79" t="s">
        <v>1914</v>
      </c>
      <c r="C1283" s="138" t="s">
        <v>2629</v>
      </c>
      <c r="D1283" s="79"/>
      <c r="E1283" s="79">
        <v>68427709</v>
      </c>
      <c r="F1283" s="93">
        <v>-162000</v>
      </c>
      <c r="G1283" s="82" t="s">
        <v>113</v>
      </c>
      <c r="H1283" s="79" t="s">
        <v>114</v>
      </c>
      <c r="I1283" s="79" t="s">
        <v>1700</v>
      </c>
      <c r="J1283" s="79">
        <v>2025</v>
      </c>
      <c r="K1283" s="79" t="s">
        <v>1916</v>
      </c>
      <c r="L1283" s="79"/>
    </row>
    <row r="1284" spans="1:12" hidden="1" x14ac:dyDescent="0.25">
      <c r="A1284" s="137">
        <v>45435</v>
      </c>
      <c r="B1284" s="79" t="s">
        <v>2630</v>
      </c>
      <c r="C1284" s="138" t="s">
        <v>2631</v>
      </c>
      <c r="D1284" s="79"/>
      <c r="E1284" s="79">
        <v>68427709</v>
      </c>
      <c r="F1284" s="93">
        <f>-307000</f>
        <v>-307000</v>
      </c>
      <c r="G1284" s="82" t="s">
        <v>113</v>
      </c>
      <c r="H1284" s="79" t="s">
        <v>114</v>
      </c>
      <c r="I1284" s="79" t="s">
        <v>1700</v>
      </c>
      <c r="J1284" s="79">
        <v>2025</v>
      </c>
      <c r="K1284" s="79" t="s">
        <v>1916</v>
      </c>
      <c r="L1284" s="79"/>
    </row>
    <row r="1285" spans="1:12" hidden="1" x14ac:dyDescent="0.25">
      <c r="A1285" s="137">
        <v>45435</v>
      </c>
      <c r="B1285" s="79" t="s">
        <v>2632</v>
      </c>
      <c r="C1285" s="138" t="s">
        <v>2633</v>
      </c>
      <c r="D1285" s="79"/>
      <c r="E1285" s="79">
        <v>68427709</v>
      </c>
      <c r="F1285" s="242">
        <v>26000</v>
      </c>
      <c r="G1285" s="82" t="s">
        <v>113</v>
      </c>
      <c r="H1285" s="79" t="s">
        <v>114</v>
      </c>
      <c r="I1285" s="79" t="s">
        <v>1700</v>
      </c>
      <c r="J1285" s="79">
        <v>2025</v>
      </c>
      <c r="K1285" s="79" t="s">
        <v>1916</v>
      </c>
      <c r="L1285" s="79" t="s">
        <v>2634</v>
      </c>
    </row>
    <row r="1286" spans="1:12" hidden="1" x14ac:dyDescent="0.25">
      <c r="A1286" s="137">
        <v>45435</v>
      </c>
      <c r="B1286" s="79" t="s">
        <v>2635</v>
      </c>
      <c r="C1286" s="138" t="s">
        <v>2633</v>
      </c>
      <c r="D1286" s="79"/>
      <c r="E1286" s="79">
        <v>68427709</v>
      </c>
      <c r="F1286" s="93">
        <v>-28100</v>
      </c>
      <c r="G1286" s="82" t="s">
        <v>113</v>
      </c>
      <c r="H1286" s="79" t="s">
        <v>114</v>
      </c>
      <c r="I1286" s="79" t="s">
        <v>1700</v>
      </c>
      <c r="J1286" s="79">
        <v>2025</v>
      </c>
      <c r="K1286" s="79" t="s">
        <v>1916</v>
      </c>
      <c r="L1286" s="79"/>
    </row>
    <row r="1287" spans="1:12" hidden="1" x14ac:dyDescent="0.25">
      <c r="A1287" s="137">
        <v>45435</v>
      </c>
      <c r="B1287" s="122" t="s">
        <v>2429</v>
      </c>
      <c r="C1287" s="138" t="s">
        <v>2636</v>
      </c>
      <c r="D1287" s="79"/>
      <c r="E1287" s="79">
        <v>68427709</v>
      </c>
      <c r="F1287" s="242">
        <v>0</v>
      </c>
      <c r="G1287" s="79" t="s">
        <v>113</v>
      </c>
      <c r="H1287" s="79" t="s">
        <v>114</v>
      </c>
      <c r="I1287" s="79" t="s">
        <v>2570</v>
      </c>
      <c r="J1287" s="79">
        <v>2025</v>
      </c>
      <c r="K1287" s="79" t="s">
        <v>1916</v>
      </c>
      <c r="L1287" s="79"/>
    </row>
    <row r="1288" spans="1:12" hidden="1" x14ac:dyDescent="0.25">
      <c r="A1288" s="137">
        <v>45435</v>
      </c>
      <c r="B1288" s="22" t="s">
        <v>2431</v>
      </c>
      <c r="C1288" s="139"/>
      <c r="D1288" s="139"/>
      <c r="E1288" s="139">
        <v>68427709</v>
      </c>
      <c r="F1288" s="243" t="s">
        <v>1976</v>
      </c>
      <c r="G1288" s="175" t="s">
        <v>797</v>
      </c>
      <c r="H1288" s="139" t="s">
        <v>114</v>
      </c>
      <c r="I1288" s="139" t="s">
        <v>1700</v>
      </c>
      <c r="J1288" s="139">
        <v>2025</v>
      </c>
      <c r="K1288" s="139" t="s">
        <v>1916</v>
      </c>
      <c r="L1288" s="139"/>
    </row>
    <row r="1289" spans="1:12" hidden="1" x14ac:dyDescent="0.25">
      <c r="A1289" s="137">
        <v>45435</v>
      </c>
      <c r="B1289" s="79" t="s">
        <v>2638</v>
      </c>
      <c r="C1289" s="79" t="s">
        <v>2639</v>
      </c>
      <c r="D1289" s="79"/>
      <c r="E1289" s="79">
        <v>68427709</v>
      </c>
      <c r="F1289" s="242">
        <v>300000</v>
      </c>
      <c r="G1289" s="82" t="s">
        <v>113</v>
      </c>
      <c r="H1289" s="79" t="s">
        <v>114</v>
      </c>
      <c r="I1289" s="79" t="s">
        <v>1700</v>
      </c>
      <c r="J1289" s="79">
        <v>2025</v>
      </c>
      <c r="K1289" s="79" t="s">
        <v>1916</v>
      </c>
      <c r="L1289" s="79"/>
    </row>
    <row r="1290" spans="1:12" hidden="1" x14ac:dyDescent="0.25">
      <c r="A1290" s="137">
        <v>45435</v>
      </c>
      <c r="B1290" s="150" t="s">
        <v>2640</v>
      </c>
      <c r="C1290" s="79" t="s">
        <v>2641</v>
      </c>
      <c r="D1290" s="79"/>
      <c r="E1290" s="79">
        <v>68427709</v>
      </c>
      <c r="F1290" s="242">
        <v>70000</v>
      </c>
      <c r="G1290" s="82" t="s">
        <v>113</v>
      </c>
      <c r="H1290" s="79" t="s">
        <v>114</v>
      </c>
      <c r="I1290" s="79" t="s">
        <v>1700</v>
      </c>
      <c r="J1290" s="79">
        <v>2025</v>
      </c>
      <c r="K1290" s="79" t="s">
        <v>1916</v>
      </c>
      <c r="L1290" s="79"/>
    </row>
    <row r="1291" spans="1:12" hidden="1" x14ac:dyDescent="0.25">
      <c r="A1291" s="137">
        <v>45435</v>
      </c>
      <c r="B1291" s="79" t="s">
        <v>2642</v>
      </c>
      <c r="C1291" s="79" t="s">
        <v>2643</v>
      </c>
      <c r="D1291" s="79"/>
      <c r="E1291" s="79">
        <v>68427709</v>
      </c>
      <c r="F1291" s="93">
        <v>-8000</v>
      </c>
      <c r="G1291" s="82" t="s">
        <v>113</v>
      </c>
      <c r="H1291" s="79" t="s">
        <v>114</v>
      </c>
      <c r="I1291" s="79" t="s">
        <v>1700</v>
      </c>
      <c r="J1291" s="79">
        <v>2025</v>
      </c>
      <c r="K1291" s="79" t="s">
        <v>227</v>
      </c>
      <c r="L1291" s="79"/>
    </row>
    <row r="1292" spans="1:12" hidden="1" x14ac:dyDescent="0.25">
      <c r="A1292" s="137">
        <v>45435</v>
      </c>
      <c r="B1292" s="79" t="s">
        <v>2644</v>
      </c>
      <c r="C1292" s="79"/>
      <c r="D1292" s="79"/>
      <c r="E1292" s="79">
        <v>68427709</v>
      </c>
      <c r="F1292" s="242" t="s">
        <v>1976</v>
      </c>
      <c r="G1292" s="82" t="s">
        <v>113</v>
      </c>
      <c r="H1292" s="79" t="s">
        <v>114</v>
      </c>
      <c r="I1292" s="79" t="s">
        <v>1700</v>
      </c>
      <c r="J1292" s="79">
        <v>2025</v>
      </c>
      <c r="K1292" s="79" t="s">
        <v>1916</v>
      </c>
      <c r="L1292" s="79"/>
    </row>
    <row r="1293" spans="1:12" hidden="1" x14ac:dyDescent="0.25">
      <c r="A1293" s="137">
        <v>45435</v>
      </c>
      <c r="B1293" s="79" t="s">
        <v>2645</v>
      </c>
      <c r="C1293" s="79" t="s">
        <v>2646</v>
      </c>
      <c r="D1293" s="79"/>
      <c r="E1293" s="79">
        <v>68427709</v>
      </c>
      <c r="F1293" s="242" t="s">
        <v>2647</v>
      </c>
      <c r="G1293" s="82" t="s">
        <v>797</v>
      </c>
      <c r="H1293" s="79" t="s">
        <v>114</v>
      </c>
      <c r="I1293" s="79" t="s">
        <v>993</v>
      </c>
      <c r="J1293" s="79">
        <v>2025</v>
      </c>
      <c r="K1293" s="79" t="s">
        <v>1092</v>
      </c>
      <c r="L1293" s="79" t="s">
        <v>2648</v>
      </c>
    </row>
    <row r="1294" spans="1:12" hidden="1" x14ac:dyDescent="0.25">
      <c r="A1294" s="137">
        <v>45439</v>
      </c>
      <c r="B1294" s="79" t="s">
        <v>1001</v>
      </c>
      <c r="C1294" s="79" t="s">
        <v>2649</v>
      </c>
      <c r="D1294" s="79"/>
      <c r="E1294" s="79">
        <v>68427709</v>
      </c>
      <c r="F1294" s="242" t="s">
        <v>1976</v>
      </c>
      <c r="G1294" s="82" t="s">
        <v>797</v>
      </c>
      <c r="H1294" s="79" t="s">
        <v>114</v>
      </c>
      <c r="I1294" s="79" t="s">
        <v>1700</v>
      </c>
      <c r="J1294" s="79">
        <v>2025</v>
      </c>
      <c r="K1294" s="79" t="s">
        <v>1788</v>
      </c>
      <c r="L1294" s="79"/>
    </row>
    <row r="1295" spans="1:12" hidden="1" x14ac:dyDescent="0.25">
      <c r="A1295" s="137">
        <v>45435</v>
      </c>
      <c r="B1295" s="79" t="s">
        <v>463</v>
      </c>
      <c r="C1295" s="79" t="s">
        <v>2650</v>
      </c>
      <c r="D1295" s="79"/>
      <c r="E1295" s="79">
        <v>68427709</v>
      </c>
      <c r="F1295" s="242" t="s">
        <v>1976</v>
      </c>
      <c r="G1295" s="82" t="s">
        <v>797</v>
      </c>
      <c r="H1295" s="79" t="s">
        <v>114</v>
      </c>
      <c r="I1295" s="79" t="s">
        <v>1700</v>
      </c>
      <c r="J1295" s="79">
        <v>2025</v>
      </c>
      <c r="K1295" s="79" t="s">
        <v>1788</v>
      </c>
      <c r="L1295" s="79"/>
    </row>
    <row r="1296" spans="1:12" hidden="1" x14ac:dyDescent="0.25">
      <c r="A1296" s="137">
        <v>45439</v>
      </c>
      <c r="B1296" s="79" t="s">
        <v>2452</v>
      </c>
      <c r="C1296" s="79" t="s">
        <v>2651</v>
      </c>
      <c r="D1296" s="79"/>
      <c r="E1296" s="79">
        <v>68427709</v>
      </c>
      <c r="F1296" s="242" t="s">
        <v>1976</v>
      </c>
      <c r="G1296" s="82" t="s">
        <v>797</v>
      </c>
      <c r="H1296" s="79" t="s">
        <v>114</v>
      </c>
      <c r="I1296" s="79" t="s">
        <v>1700</v>
      </c>
      <c r="J1296" s="79">
        <v>2025</v>
      </c>
      <c r="K1296" s="79" t="s">
        <v>1788</v>
      </c>
      <c r="L1296" s="79"/>
    </row>
    <row r="1297" spans="1:12" x14ac:dyDescent="0.25">
      <c r="A1297" s="137">
        <v>45439</v>
      </c>
      <c r="B1297" s="79" t="s">
        <v>981</v>
      </c>
      <c r="C1297" s="79" t="s">
        <v>2392</v>
      </c>
      <c r="D1297" s="79"/>
      <c r="E1297" s="79">
        <v>68427709</v>
      </c>
      <c r="F1297" s="242">
        <v>1500</v>
      </c>
      <c r="G1297" s="82" t="s">
        <v>113</v>
      </c>
      <c r="H1297" s="79" t="s">
        <v>114</v>
      </c>
      <c r="I1297" s="79" t="s">
        <v>1700</v>
      </c>
      <c r="J1297" s="79">
        <v>2025</v>
      </c>
      <c r="K1297" s="79" t="s">
        <v>2652</v>
      </c>
      <c r="L1297" s="79"/>
    </row>
    <row r="1298" spans="1:12" x14ac:dyDescent="0.25">
      <c r="A1298" s="137">
        <v>45439</v>
      </c>
      <c r="B1298" s="79" t="s">
        <v>2465</v>
      </c>
      <c r="C1298" s="79" t="s">
        <v>2653</v>
      </c>
      <c r="D1298" s="79"/>
      <c r="E1298" s="79">
        <v>68427709</v>
      </c>
      <c r="F1298" s="242">
        <v>-229000</v>
      </c>
      <c r="G1298" s="82" t="s">
        <v>113</v>
      </c>
      <c r="H1298" s="79" t="s">
        <v>114</v>
      </c>
      <c r="I1298" s="79" t="s">
        <v>1700</v>
      </c>
      <c r="J1298" s="79">
        <v>2025</v>
      </c>
      <c r="K1298" s="79" t="s">
        <v>2652</v>
      </c>
      <c r="L1298" s="79"/>
    </row>
    <row r="1299" spans="1:12" x14ac:dyDescent="0.25">
      <c r="A1299" s="137">
        <v>45439</v>
      </c>
      <c r="B1299" s="79" t="s">
        <v>2654</v>
      </c>
      <c r="C1299" s="79" t="s">
        <v>2392</v>
      </c>
      <c r="D1299" s="79"/>
      <c r="E1299" s="79">
        <v>68427709</v>
      </c>
      <c r="F1299" s="242">
        <v>300</v>
      </c>
      <c r="G1299" s="82" t="s">
        <v>113</v>
      </c>
      <c r="H1299" s="79" t="s">
        <v>114</v>
      </c>
      <c r="I1299" s="79" t="s">
        <v>1700</v>
      </c>
      <c r="J1299" s="79">
        <v>2025</v>
      </c>
      <c r="K1299" s="79" t="s">
        <v>2652</v>
      </c>
      <c r="L1299" s="79"/>
    </row>
    <row r="1300" spans="1:12" x14ac:dyDescent="0.25">
      <c r="A1300" s="137">
        <v>45439</v>
      </c>
      <c r="B1300" s="79" t="s">
        <v>950</v>
      </c>
      <c r="C1300" s="79" t="s">
        <v>2655</v>
      </c>
      <c r="D1300" s="79"/>
      <c r="E1300" s="79">
        <v>68427709</v>
      </c>
      <c r="F1300" s="242">
        <v>30000</v>
      </c>
      <c r="G1300" s="82" t="s">
        <v>113</v>
      </c>
      <c r="H1300" s="79" t="s">
        <v>114</v>
      </c>
      <c r="I1300" s="79" t="s">
        <v>1700</v>
      </c>
      <c r="J1300" s="79">
        <v>2025</v>
      </c>
      <c r="K1300" s="79" t="s">
        <v>2652</v>
      </c>
      <c r="L1300" s="79"/>
    </row>
    <row r="1301" spans="1:12" x14ac:dyDescent="0.25">
      <c r="A1301" s="137">
        <v>45439</v>
      </c>
      <c r="B1301" s="79" t="s">
        <v>2656</v>
      </c>
      <c r="C1301" s="79"/>
      <c r="D1301" s="79"/>
      <c r="E1301" s="79">
        <v>68427709</v>
      </c>
      <c r="F1301" s="242">
        <v>112000</v>
      </c>
      <c r="G1301" s="82" t="s">
        <v>113</v>
      </c>
      <c r="H1301" s="79" t="s">
        <v>114</v>
      </c>
      <c r="I1301" s="79" t="s">
        <v>1700</v>
      </c>
      <c r="J1301" s="79">
        <v>2025</v>
      </c>
      <c r="K1301" s="79" t="s">
        <v>2652</v>
      </c>
      <c r="L1301" s="79"/>
    </row>
    <row r="1302" spans="1:12" x14ac:dyDescent="0.25">
      <c r="A1302" s="137">
        <v>45439</v>
      </c>
      <c r="B1302" s="79" t="s">
        <v>2657</v>
      </c>
      <c r="C1302" s="79"/>
      <c r="D1302" s="79"/>
      <c r="E1302" s="79">
        <v>68427709</v>
      </c>
      <c r="F1302" s="242">
        <v>11000</v>
      </c>
      <c r="G1302" s="82" t="s">
        <v>113</v>
      </c>
      <c r="H1302" s="79" t="s">
        <v>114</v>
      </c>
      <c r="I1302" s="79" t="s">
        <v>1700</v>
      </c>
      <c r="J1302" s="79">
        <v>2025</v>
      </c>
      <c r="K1302" s="79" t="s">
        <v>2652</v>
      </c>
      <c r="L1302" s="79"/>
    </row>
    <row r="1303" spans="1:12" x14ac:dyDescent="0.25">
      <c r="A1303" s="137">
        <v>45439</v>
      </c>
      <c r="B1303" s="79" t="s">
        <v>2658</v>
      </c>
      <c r="C1303" s="79"/>
      <c r="D1303" s="79"/>
      <c r="E1303" s="79">
        <v>68427709</v>
      </c>
      <c r="F1303" s="242">
        <v>46200</v>
      </c>
      <c r="G1303" s="82" t="s">
        <v>113</v>
      </c>
      <c r="H1303" s="79" t="s">
        <v>114</v>
      </c>
      <c r="I1303" s="79" t="s">
        <v>1700</v>
      </c>
      <c r="J1303" s="79">
        <v>2025</v>
      </c>
      <c r="K1303" s="79" t="s">
        <v>2652</v>
      </c>
      <c r="L1303" s="79"/>
    </row>
    <row r="1304" spans="1:12" x14ac:dyDescent="0.25">
      <c r="A1304" s="137">
        <v>45439</v>
      </c>
      <c r="B1304" s="79" t="s">
        <v>2659</v>
      </c>
      <c r="C1304" s="79" t="s">
        <v>2660</v>
      </c>
      <c r="D1304" s="79"/>
      <c r="E1304" s="79">
        <v>68427709</v>
      </c>
      <c r="F1304" s="242">
        <v>140000</v>
      </c>
      <c r="G1304" s="82" t="s">
        <v>113</v>
      </c>
      <c r="H1304" s="79" t="s">
        <v>114</v>
      </c>
      <c r="I1304" s="79" t="s">
        <v>1700</v>
      </c>
      <c r="J1304" s="79">
        <v>2025</v>
      </c>
      <c r="K1304" s="79" t="s">
        <v>2652</v>
      </c>
      <c r="L1304" s="79"/>
    </row>
    <row r="1305" spans="1:12" x14ac:dyDescent="0.25">
      <c r="A1305" s="137">
        <v>45439</v>
      </c>
      <c r="B1305" s="84" t="s">
        <v>3662</v>
      </c>
      <c r="C1305" s="79"/>
      <c r="D1305" s="79"/>
      <c r="E1305" s="79">
        <v>68427709</v>
      </c>
      <c r="F1305" s="121">
        <v>87600</v>
      </c>
      <c r="G1305" s="82" t="s">
        <v>797</v>
      </c>
      <c r="H1305" s="79" t="s">
        <v>114</v>
      </c>
      <c r="I1305" s="79" t="s">
        <v>133</v>
      </c>
      <c r="J1305" s="79">
        <v>2025</v>
      </c>
      <c r="K1305" s="79" t="s">
        <v>2652</v>
      </c>
      <c r="L1305" s="84" t="s">
        <v>3718</v>
      </c>
    </row>
    <row r="1306" spans="1:12" x14ac:dyDescent="0.25">
      <c r="A1306" s="137">
        <v>45439</v>
      </c>
      <c r="B1306" s="79" t="s">
        <v>2661</v>
      </c>
      <c r="C1306" s="79"/>
      <c r="D1306" s="79"/>
      <c r="E1306" s="79">
        <v>68427709</v>
      </c>
      <c r="F1306" s="242">
        <v>95000</v>
      </c>
      <c r="G1306" s="82" t="s">
        <v>113</v>
      </c>
      <c r="H1306" s="79" t="s">
        <v>114</v>
      </c>
      <c r="I1306" s="79" t="s">
        <v>1700</v>
      </c>
      <c r="J1306" s="79">
        <v>2025</v>
      </c>
      <c r="K1306" s="79" t="s">
        <v>2652</v>
      </c>
      <c r="L1306" s="79"/>
    </row>
    <row r="1307" spans="1:12" x14ac:dyDescent="0.25">
      <c r="A1307" s="137">
        <v>45439</v>
      </c>
      <c r="B1307" s="79" t="s">
        <v>3572</v>
      </c>
      <c r="C1307" s="79"/>
      <c r="D1307" s="79"/>
      <c r="E1307" s="79">
        <v>68427709</v>
      </c>
      <c r="F1307" s="242" t="s">
        <v>1976</v>
      </c>
      <c r="G1307" s="82" t="s">
        <v>797</v>
      </c>
      <c r="H1307" s="79" t="s">
        <v>114</v>
      </c>
      <c r="I1307" s="79" t="s">
        <v>133</v>
      </c>
      <c r="J1307" s="79">
        <v>2025</v>
      </c>
      <c r="K1307" s="79" t="s">
        <v>2652</v>
      </c>
      <c r="L1307" s="79"/>
    </row>
    <row r="1308" spans="1:12" x14ac:dyDescent="0.25">
      <c r="A1308" s="137">
        <v>45439</v>
      </c>
      <c r="B1308" s="79" t="s">
        <v>2662</v>
      </c>
      <c r="C1308" s="79"/>
      <c r="D1308" s="79"/>
      <c r="E1308" s="79">
        <v>68427709</v>
      </c>
      <c r="F1308" s="242" t="s">
        <v>1976</v>
      </c>
      <c r="G1308" s="82" t="s">
        <v>797</v>
      </c>
      <c r="H1308" s="79" t="s">
        <v>114</v>
      </c>
      <c r="I1308" s="79" t="s">
        <v>133</v>
      </c>
      <c r="J1308" s="79">
        <v>2025</v>
      </c>
      <c r="K1308" s="79" t="s">
        <v>2652</v>
      </c>
      <c r="L1308" s="79" t="s">
        <v>2663</v>
      </c>
    </row>
    <row r="1309" spans="1:12" x14ac:dyDescent="0.25">
      <c r="A1309" s="137">
        <v>45439</v>
      </c>
      <c r="B1309" s="79" t="s">
        <v>2664</v>
      </c>
      <c r="C1309" s="79"/>
      <c r="D1309" s="79"/>
      <c r="E1309" s="79">
        <v>68427709</v>
      </c>
      <c r="F1309" s="242">
        <v>12000</v>
      </c>
      <c r="G1309" s="82" t="s">
        <v>113</v>
      </c>
      <c r="H1309" s="79" t="s">
        <v>114</v>
      </c>
      <c r="I1309" s="79" t="s">
        <v>1700</v>
      </c>
      <c r="J1309" s="79">
        <v>2025</v>
      </c>
      <c r="K1309" s="79" t="s">
        <v>2652</v>
      </c>
      <c r="L1309" s="79"/>
    </row>
    <row r="1310" spans="1:12" x14ac:dyDescent="0.25">
      <c r="A1310" s="137">
        <v>45439</v>
      </c>
      <c r="B1310" s="79" t="s">
        <v>2665</v>
      </c>
      <c r="C1310" s="79"/>
      <c r="D1310" s="79"/>
      <c r="E1310" s="79">
        <v>68427709</v>
      </c>
      <c r="F1310" s="242" t="s">
        <v>1976</v>
      </c>
      <c r="G1310" s="82" t="s">
        <v>797</v>
      </c>
      <c r="H1310" s="79" t="s">
        <v>114</v>
      </c>
      <c r="I1310" s="79" t="s">
        <v>1700</v>
      </c>
      <c r="J1310" s="79">
        <v>2025</v>
      </c>
      <c r="K1310" s="79" t="s">
        <v>2652</v>
      </c>
      <c r="L1310" s="79"/>
    </row>
    <row r="1311" spans="1:12" x14ac:dyDescent="0.25">
      <c r="A1311" s="137">
        <v>45439</v>
      </c>
      <c r="B1311" s="79" t="s">
        <v>2666</v>
      </c>
      <c r="C1311" s="79"/>
      <c r="D1311" s="79"/>
      <c r="E1311" s="79">
        <v>68427709</v>
      </c>
      <c r="F1311" s="242">
        <v>300000</v>
      </c>
      <c r="G1311" s="82" t="s">
        <v>113</v>
      </c>
      <c r="H1311" s="79" t="s">
        <v>114</v>
      </c>
      <c r="I1311" s="79" t="s">
        <v>2534</v>
      </c>
      <c r="J1311" s="79">
        <v>2025</v>
      </c>
      <c r="K1311" s="79" t="s">
        <v>2652</v>
      </c>
      <c r="L1311" s="79" t="s">
        <v>2667</v>
      </c>
    </row>
    <row r="1312" spans="1:12" hidden="1" x14ac:dyDescent="0.25">
      <c r="A1312" s="137">
        <v>45447</v>
      </c>
      <c r="B1312" s="79" t="s">
        <v>2668</v>
      </c>
      <c r="C1312" s="79" t="s">
        <v>2669</v>
      </c>
      <c r="D1312" s="79" t="s">
        <v>3608</v>
      </c>
      <c r="E1312" s="79">
        <v>68427709</v>
      </c>
      <c r="F1312" s="242">
        <v>370000</v>
      </c>
      <c r="G1312" s="82" t="s">
        <v>113</v>
      </c>
      <c r="H1312" s="79" t="s">
        <v>114</v>
      </c>
      <c r="I1312" s="79" t="s">
        <v>1700</v>
      </c>
      <c r="J1312" s="79">
        <v>2025</v>
      </c>
      <c r="K1312" s="79" t="s">
        <v>2670</v>
      </c>
      <c r="L1312" s="79" t="s">
        <v>2671</v>
      </c>
    </row>
    <row r="1313" spans="1:17" hidden="1" x14ac:dyDescent="0.25">
      <c r="A1313" s="137">
        <v>45447</v>
      </c>
      <c r="B1313" s="79" t="s">
        <v>2672</v>
      </c>
      <c r="C1313" s="79" t="s">
        <v>2673</v>
      </c>
      <c r="D1313" s="79" t="s">
        <v>3608</v>
      </c>
      <c r="E1313" s="79">
        <v>68427709</v>
      </c>
      <c r="F1313" s="242">
        <v>210000</v>
      </c>
      <c r="G1313" s="82" t="s">
        <v>113</v>
      </c>
      <c r="H1313" s="79" t="s">
        <v>114</v>
      </c>
      <c r="I1313" s="79" t="s">
        <v>2534</v>
      </c>
      <c r="J1313" s="79">
        <v>2025</v>
      </c>
      <c r="K1313" s="79" t="s">
        <v>2670</v>
      </c>
      <c r="L1313" s="79"/>
    </row>
    <row r="1314" spans="1:17" hidden="1" x14ac:dyDescent="0.25">
      <c r="A1314" s="82">
        <v>45447</v>
      </c>
      <c r="B1314" s="79" t="s">
        <v>2674</v>
      </c>
      <c r="C1314" s="79" t="s">
        <v>2675</v>
      </c>
      <c r="D1314" s="79"/>
      <c r="E1314" s="79">
        <v>68427709</v>
      </c>
      <c r="F1314" s="242">
        <v>40000</v>
      </c>
      <c r="G1314" s="82" t="s">
        <v>113</v>
      </c>
      <c r="H1314" s="79" t="s">
        <v>114</v>
      </c>
      <c r="I1314" s="79" t="s">
        <v>1700</v>
      </c>
      <c r="J1314" s="79">
        <v>2025</v>
      </c>
      <c r="K1314" s="79" t="s">
        <v>2676</v>
      </c>
      <c r="L1314" s="79" t="s">
        <v>2677</v>
      </c>
    </row>
    <row r="1315" spans="1:17" hidden="1" x14ac:dyDescent="0.25">
      <c r="A1315" s="82">
        <v>45447</v>
      </c>
      <c r="B1315" s="79" t="s">
        <v>2678</v>
      </c>
      <c r="C1315" s="79" t="s">
        <v>2679</v>
      </c>
      <c r="D1315" s="79" t="s">
        <v>277</v>
      </c>
      <c r="E1315" s="79">
        <v>68427709</v>
      </c>
      <c r="F1315" s="242">
        <v>-200000</v>
      </c>
      <c r="G1315" s="82" t="s">
        <v>113</v>
      </c>
      <c r="H1315" s="79" t="s">
        <v>114</v>
      </c>
      <c r="I1315" s="79" t="s">
        <v>948</v>
      </c>
      <c r="J1315" s="79">
        <v>2025</v>
      </c>
      <c r="K1315" s="79" t="s">
        <v>2676</v>
      </c>
      <c r="L1315" s="79"/>
    </row>
    <row r="1316" spans="1:17" hidden="1" x14ac:dyDescent="0.25">
      <c r="A1316" s="82">
        <v>45447</v>
      </c>
      <c r="B1316" s="79" t="s">
        <v>2249</v>
      </c>
      <c r="C1316" s="79" t="s">
        <v>2680</v>
      </c>
      <c r="D1316" s="79" t="s">
        <v>277</v>
      </c>
      <c r="E1316" s="79">
        <v>68427709</v>
      </c>
      <c r="F1316" s="242">
        <v>-100000</v>
      </c>
      <c r="G1316" s="82" t="s">
        <v>113</v>
      </c>
      <c r="H1316" s="79" t="s">
        <v>114</v>
      </c>
      <c r="I1316" s="79" t="s">
        <v>948</v>
      </c>
      <c r="J1316" s="79">
        <v>2025</v>
      </c>
      <c r="K1316" s="79" t="s">
        <v>2676</v>
      </c>
      <c r="L1316" s="79"/>
      <c r="M1316" s="152"/>
      <c r="N1316" s="152"/>
      <c r="O1316" s="152"/>
      <c r="P1316" s="244"/>
      <c r="Q1316" s="152"/>
    </row>
    <row r="1317" spans="1:17" hidden="1" x14ac:dyDescent="0.25">
      <c r="A1317" s="82">
        <v>45454</v>
      </c>
      <c r="B1317" s="79" t="s">
        <v>1620</v>
      </c>
      <c r="C1317" s="79" t="s">
        <v>2681</v>
      </c>
      <c r="D1317" s="79"/>
      <c r="E1317" s="79">
        <v>68427709</v>
      </c>
      <c r="F1317" s="242">
        <v>70000</v>
      </c>
      <c r="G1317" s="82" t="s">
        <v>113</v>
      </c>
      <c r="H1317" s="79" t="s">
        <v>114</v>
      </c>
      <c r="I1317" s="79" t="s">
        <v>1700</v>
      </c>
      <c r="J1317" s="79">
        <v>2025</v>
      </c>
      <c r="K1317" s="79" t="s">
        <v>1623</v>
      </c>
      <c r="L1317" s="79"/>
    </row>
    <row r="1318" spans="1:17" hidden="1" x14ac:dyDescent="0.25">
      <c r="A1318" s="82">
        <v>45454</v>
      </c>
      <c r="B1318" s="79" t="s">
        <v>2277</v>
      </c>
      <c r="C1318" s="79" t="s">
        <v>2682</v>
      </c>
      <c r="D1318" s="79"/>
      <c r="E1318" s="79">
        <v>68427709</v>
      </c>
      <c r="F1318" s="242">
        <v>4000</v>
      </c>
      <c r="G1318" s="82" t="s">
        <v>113</v>
      </c>
      <c r="H1318" s="79" t="s">
        <v>114</v>
      </c>
      <c r="I1318" s="79" t="s">
        <v>1700</v>
      </c>
      <c r="J1318" s="79">
        <v>2025</v>
      </c>
      <c r="K1318" s="79" t="s">
        <v>1623</v>
      </c>
      <c r="L1318" s="79"/>
    </row>
    <row r="1319" spans="1:17" hidden="1" x14ac:dyDescent="0.25">
      <c r="A1319" s="82">
        <v>45454</v>
      </c>
      <c r="B1319" s="79" t="s">
        <v>619</v>
      </c>
      <c r="C1319" s="79" t="s">
        <v>2683</v>
      </c>
      <c r="D1319" s="79"/>
      <c r="E1319" s="79">
        <v>68427709</v>
      </c>
      <c r="F1319" s="242">
        <v>-1000</v>
      </c>
      <c r="G1319" s="82" t="s">
        <v>113</v>
      </c>
      <c r="H1319" s="79" t="s">
        <v>114</v>
      </c>
      <c r="I1319" s="79" t="s">
        <v>1700</v>
      </c>
      <c r="J1319" s="79">
        <v>2025</v>
      </c>
      <c r="K1319" s="79" t="s">
        <v>1623</v>
      </c>
      <c r="L1319" s="79"/>
    </row>
    <row r="1320" spans="1:17" hidden="1" x14ac:dyDescent="0.25">
      <c r="A1320" s="82">
        <v>45454</v>
      </c>
      <c r="B1320" s="79" t="s">
        <v>2642</v>
      </c>
      <c r="C1320" s="79" t="s">
        <v>2684</v>
      </c>
      <c r="D1320" s="79"/>
      <c r="E1320" s="79">
        <v>68427709</v>
      </c>
      <c r="F1320" s="242">
        <v>-8000</v>
      </c>
      <c r="G1320" s="82" t="s">
        <v>3573</v>
      </c>
      <c r="H1320" s="79" t="s">
        <v>114</v>
      </c>
      <c r="I1320" s="79" t="s">
        <v>1700</v>
      </c>
      <c r="J1320" s="79">
        <v>2025</v>
      </c>
      <c r="K1320" s="79" t="s">
        <v>1623</v>
      </c>
      <c r="L1320" s="79"/>
    </row>
    <row r="1321" spans="1:17" hidden="1" x14ac:dyDescent="0.25">
      <c r="A1321" s="82">
        <v>45454</v>
      </c>
      <c r="B1321" s="79" t="s">
        <v>1518</v>
      </c>
      <c r="C1321" s="79" t="s">
        <v>2685</v>
      </c>
      <c r="D1321" s="79"/>
      <c r="E1321" s="79">
        <v>68427709</v>
      </c>
      <c r="F1321" s="242">
        <v>12000</v>
      </c>
      <c r="G1321" s="82" t="s">
        <v>113</v>
      </c>
      <c r="H1321" s="79" t="s">
        <v>114</v>
      </c>
      <c r="I1321" s="79" t="s">
        <v>1700</v>
      </c>
      <c r="J1321" s="79">
        <v>2025</v>
      </c>
      <c r="K1321" s="79" t="s">
        <v>1623</v>
      </c>
      <c r="L1321" s="79"/>
    </row>
    <row r="1322" spans="1:17" hidden="1" x14ac:dyDescent="0.25">
      <c r="A1322" s="82">
        <v>45454</v>
      </c>
      <c r="B1322" s="79" t="s">
        <v>2280</v>
      </c>
      <c r="C1322" s="79" t="s">
        <v>2686</v>
      </c>
      <c r="D1322" s="79"/>
      <c r="E1322" s="79">
        <v>68427709</v>
      </c>
      <c r="F1322" s="242">
        <v>5000</v>
      </c>
      <c r="G1322" s="82" t="s">
        <v>113</v>
      </c>
      <c r="H1322" s="79" t="s">
        <v>114</v>
      </c>
      <c r="I1322" s="79" t="s">
        <v>1700</v>
      </c>
      <c r="J1322" s="79">
        <v>2025</v>
      </c>
      <c r="K1322" s="79" t="s">
        <v>1623</v>
      </c>
      <c r="L1322" s="79"/>
    </row>
    <row r="1323" spans="1:17" hidden="1" x14ac:dyDescent="0.25">
      <c r="A1323" s="82">
        <v>45454</v>
      </c>
      <c r="B1323" s="79" t="s">
        <v>1909</v>
      </c>
      <c r="C1323" s="79" t="s">
        <v>1604</v>
      </c>
      <c r="D1323" s="79"/>
      <c r="E1323" s="79">
        <v>68427709</v>
      </c>
      <c r="F1323" s="242">
        <v>-40000</v>
      </c>
      <c r="G1323" s="82" t="s">
        <v>113</v>
      </c>
      <c r="H1323" s="79" t="s">
        <v>114</v>
      </c>
      <c r="I1323" s="79" t="s">
        <v>1700</v>
      </c>
      <c r="J1323" s="79">
        <v>2025</v>
      </c>
      <c r="K1323" s="79" t="s">
        <v>1623</v>
      </c>
      <c r="L1323" s="79"/>
    </row>
    <row r="1324" spans="1:17" hidden="1" x14ac:dyDescent="0.25">
      <c r="A1324" s="82">
        <v>45454</v>
      </c>
      <c r="B1324" s="79" t="s">
        <v>2293</v>
      </c>
      <c r="C1324" s="79" t="s">
        <v>2687</v>
      </c>
      <c r="D1324" s="79"/>
      <c r="E1324" s="79">
        <v>68427709</v>
      </c>
      <c r="F1324" s="242">
        <v>-31500</v>
      </c>
      <c r="G1324" s="82" t="s">
        <v>113</v>
      </c>
      <c r="H1324" s="79" t="s">
        <v>114</v>
      </c>
      <c r="I1324" s="79" t="s">
        <v>1700</v>
      </c>
      <c r="J1324" s="79">
        <v>2025</v>
      </c>
      <c r="K1324" s="79" t="s">
        <v>1623</v>
      </c>
      <c r="L1324" s="79"/>
    </row>
    <row r="1325" spans="1:17" hidden="1" x14ac:dyDescent="0.25">
      <c r="A1325" s="82">
        <v>45454</v>
      </c>
      <c r="B1325" s="79" t="s">
        <v>1729</v>
      </c>
      <c r="C1325" s="79" t="s">
        <v>2688</v>
      </c>
      <c r="D1325" s="79"/>
      <c r="E1325" s="79">
        <v>68427709</v>
      </c>
      <c r="F1325" s="242">
        <v>3000</v>
      </c>
      <c r="G1325" s="82" t="s">
        <v>113</v>
      </c>
      <c r="H1325" s="79" t="s">
        <v>114</v>
      </c>
      <c r="I1325" s="79" t="s">
        <v>1700</v>
      </c>
      <c r="J1325" s="79">
        <v>2025</v>
      </c>
      <c r="K1325" s="79" t="s">
        <v>1623</v>
      </c>
      <c r="L1325" s="79"/>
    </row>
    <row r="1326" spans="1:17" hidden="1" x14ac:dyDescent="0.25">
      <c r="A1326" s="82">
        <v>45454</v>
      </c>
      <c r="B1326" s="79" t="s">
        <v>2689</v>
      </c>
      <c r="C1326" s="79" t="s">
        <v>1604</v>
      </c>
      <c r="D1326" s="79"/>
      <c r="E1326" s="79">
        <v>68427709</v>
      </c>
      <c r="F1326" s="242">
        <v>-24000</v>
      </c>
      <c r="G1326" s="82" t="s">
        <v>113</v>
      </c>
      <c r="H1326" s="79" t="s">
        <v>114</v>
      </c>
      <c r="I1326" s="79" t="s">
        <v>1700</v>
      </c>
      <c r="J1326" s="79">
        <v>2025</v>
      </c>
      <c r="K1326" s="79" t="s">
        <v>1623</v>
      </c>
      <c r="L1326" s="79"/>
    </row>
    <row r="1327" spans="1:17" hidden="1" x14ac:dyDescent="0.25">
      <c r="A1327" s="82">
        <v>45454</v>
      </c>
      <c r="B1327" s="79" t="s">
        <v>2395</v>
      </c>
      <c r="C1327" s="79" t="s">
        <v>2690</v>
      </c>
      <c r="D1327" s="79"/>
      <c r="E1327" s="79">
        <v>68427709</v>
      </c>
      <c r="F1327" s="242">
        <v>75000</v>
      </c>
      <c r="G1327" s="82" t="s">
        <v>113</v>
      </c>
      <c r="H1327" s="79" t="s">
        <v>114</v>
      </c>
      <c r="I1327" s="79" t="s">
        <v>1700</v>
      </c>
      <c r="J1327" s="79">
        <v>2025</v>
      </c>
      <c r="K1327" s="79" t="s">
        <v>1623</v>
      </c>
      <c r="L1327" s="79"/>
    </row>
    <row r="1328" spans="1:17" hidden="1" x14ac:dyDescent="0.25">
      <c r="A1328" s="82">
        <v>45454</v>
      </c>
      <c r="B1328" s="79" t="s">
        <v>2691</v>
      </c>
      <c r="C1328" s="79" t="s">
        <v>2692</v>
      </c>
      <c r="D1328" s="79"/>
      <c r="E1328" s="79">
        <v>68427709</v>
      </c>
      <c r="F1328" s="242">
        <v>2000</v>
      </c>
      <c r="G1328" s="82" t="s">
        <v>113</v>
      </c>
      <c r="H1328" s="79" t="s">
        <v>114</v>
      </c>
      <c r="I1328" s="79" t="s">
        <v>1700</v>
      </c>
      <c r="J1328" s="79">
        <v>2025</v>
      </c>
      <c r="K1328" s="79" t="s">
        <v>1623</v>
      </c>
      <c r="L1328" s="79"/>
    </row>
    <row r="1329" spans="1:12" hidden="1" x14ac:dyDescent="0.25">
      <c r="A1329" s="82">
        <v>45454</v>
      </c>
      <c r="B1329" s="79" t="s">
        <v>2289</v>
      </c>
      <c r="C1329" s="79" t="s">
        <v>2693</v>
      </c>
      <c r="D1329" s="79"/>
      <c r="E1329" s="79">
        <v>68427709</v>
      </c>
      <c r="F1329" s="242">
        <v>5399.9999999999982</v>
      </c>
      <c r="G1329" s="82" t="s">
        <v>113</v>
      </c>
      <c r="H1329" s="79" t="s">
        <v>114</v>
      </c>
      <c r="I1329" s="79" t="s">
        <v>1700</v>
      </c>
      <c r="J1329" s="79">
        <v>2025</v>
      </c>
      <c r="K1329" s="79" t="s">
        <v>1623</v>
      </c>
      <c r="L1329" s="79"/>
    </row>
    <row r="1330" spans="1:12" hidden="1" x14ac:dyDescent="0.25">
      <c r="A1330" s="82">
        <v>45454</v>
      </c>
      <c r="B1330" s="79" t="s">
        <v>2397</v>
      </c>
      <c r="C1330" s="79" t="s">
        <v>2694</v>
      </c>
      <c r="D1330" s="79"/>
      <c r="E1330" s="79">
        <v>68427709</v>
      </c>
      <c r="F1330" s="93">
        <v>-432000</v>
      </c>
      <c r="G1330" s="82" t="s">
        <v>113</v>
      </c>
      <c r="H1330" s="79" t="s">
        <v>114</v>
      </c>
      <c r="I1330" s="79" t="s">
        <v>1700</v>
      </c>
      <c r="J1330" s="79">
        <v>2025</v>
      </c>
      <c r="K1330" s="79" t="s">
        <v>1623</v>
      </c>
      <c r="L1330" s="79"/>
    </row>
    <row r="1331" spans="1:12" hidden="1" x14ac:dyDescent="0.25">
      <c r="A1331" s="82">
        <v>45454</v>
      </c>
      <c r="B1331" s="79" t="s">
        <v>2695</v>
      </c>
      <c r="C1331" s="79" t="s">
        <v>2696</v>
      </c>
      <c r="D1331" s="79"/>
      <c r="E1331" s="79">
        <v>68427709</v>
      </c>
      <c r="F1331" s="242">
        <v>78000</v>
      </c>
      <c r="G1331" s="82" t="s">
        <v>113</v>
      </c>
      <c r="H1331" s="79" t="s">
        <v>114</v>
      </c>
      <c r="I1331" s="79" t="s">
        <v>1700</v>
      </c>
      <c r="J1331" s="79">
        <v>2025</v>
      </c>
      <c r="K1331" s="79" t="s">
        <v>1623</v>
      </c>
      <c r="L1331" s="79"/>
    </row>
    <row r="1332" spans="1:12" hidden="1" x14ac:dyDescent="0.25">
      <c r="A1332" s="82">
        <v>45454</v>
      </c>
      <c r="B1332" s="79" t="s">
        <v>766</v>
      </c>
      <c r="C1332" s="79" t="s">
        <v>2697</v>
      </c>
      <c r="D1332" s="79"/>
      <c r="E1332" s="79">
        <v>68427709</v>
      </c>
      <c r="F1332" s="242">
        <v>55000</v>
      </c>
      <c r="G1332" s="82" t="s">
        <v>113</v>
      </c>
      <c r="H1332" s="79" t="s">
        <v>114</v>
      </c>
      <c r="I1332" s="79" t="s">
        <v>1700</v>
      </c>
      <c r="J1332" s="79">
        <v>2025</v>
      </c>
      <c r="K1332" s="79" t="s">
        <v>1623</v>
      </c>
      <c r="L1332" s="79"/>
    </row>
    <row r="1333" spans="1:12" hidden="1" x14ac:dyDescent="0.25">
      <c r="A1333" s="82">
        <v>45454</v>
      </c>
      <c r="B1333" s="79" t="s">
        <v>2281</v>
      </c>
      <c r="C1333" s="79" t="s">
        <v>2698</v>
      </c>
      <c r="D1333" s="79"/>
      <c r="E1333" s="79">
        <v>68427709</v>
      </c>
      <c r="F1333" s="242">
        <v>11000</v>
      </c>
      <c r="G1333" s="82" t="s">
        <v>113</v>
      </c>
      <c r="H1333" s="79" t="s">
        <v>114</v>
      </c>
      <c r="I1333" s="79" t="s">
        <v>1700</v>
      </c>
      <c r="J1333" s="79">
        <v>2025</v>
      </c>
      <c r="K1333" s="79" t="s">
        <v>1623</v>
      </c>
      <c r="L1333" s="79"/>
    </row>
    <row r="1334" spans="1:12" hidden="1" x14ac:dyDescent="0.25">
      <c r="A1334" s="82">
        <v>45454</v>
      </c>
      <c r="B1334" s="79" t="s">
        <v>2699</v>
      </c>
      <c r="C1334" s="79" t="s">
        <v>1604</v>
      </c>
      <c r="D1334" s="79"/>
      <c r="E1334" s="79">
        <v>68427709</v>
      </c>
      <c r="F1334" s="242">
        <v>-76000</v>
      </c>
      <c r="G1334" s="82" t="s">
        <v>113</v>
      </c>
      <c r="H1334" s="79" t="s">
        <v>114</v>
      </c>
      <c r="I1334" s="79" t="s">
        <v>1700</v>
      </c>
      <c r="J1334" s="79">
        <v>2025</v>
      </c>
      <c r="K1334" s="79" t="s">
        <v>1623</v>
      </c>
      <c r="L1334" s="79"/>
    </row>
    <row r="1335" spans="1:12" hidden="1" x14ac:dyDescent="0.25">
      <c r="A1335" s="82">
        <v>45454</v>
      </c>
      <c r="B1335" s="79" t="s">
        <v>2700</v>
      </c>
      <c r="C1335" s="79" t="s">
        <v>2701</v>
      </c>
      <c r="D1335" s="79"/>
      <c r="E1335" s="79">
        <v>68427709</v>
      </c>
      <c r="F1335" s="242">
        <v>-5000</v>
      </c>
      <c r="G1335" s="82" t="s">
        <v>113</v>
      </c>
      <c r="H1335" s="79" t="s">
        <v>114</v>
      </c>
      <c r="I1335" s="79" t="s">
        <v>1700</v>
      </c>
      <c r="J1335" s="79">
        <v>2025</v>
      </c>
      <c r="K1335" s="79" t="s">
        <v>1623</v>
      </c>
      <c r="L1335" s="79"/>
    </row>
    <row r="1336" spans="1:12" hidden="1" x14ac:dyDescent="0.25">
      <c r="A1336" s="82">
        <v>45454</v>
      </c>
      <c r="B1336" s="79" t="s">
        <v>2702</v>
      </c>
      <c r="C1336" s="79" t="s">
        <v>2703</v>
      </c>
      <c r="D1336" s="79"/>
      <c r="E1336" s="79">
        <v>68427709</v>
      </c>
      <c r="F1336" s="242">
        <v>-33300.000000000015</v>
      </c>
      <c r="G1336" s="82" t="s">
        <v>113</v>
      </c>
      <c r="H1336" s="79" t="s">
        <v>114</v>
      </c>
      <c r="I1336" s="79" t="s">
        <v>1700</v>
      </c>
      <c r="J1336" s="79">
        <v>2025</v>
      </c>
      <c r="K1336" s="79" t="s">
        <v>1623</v>
      </c>
      <c r="L1336" s="79"/>
    </row>
    <row r="1337" spans="1:12" hidden="1" x14ac:dyDescent="0.25">
      <c r="A1337" s="82">
        <v>45454</v>
      </c>
      <c r="B1337" s="79" t="s">
        <v>2517</v>
      </c>
      <c r="C1337" s="79" t="s">
        <v>2704</v>
      </c>
      <c r="D1337" s="79"/>
      <c r="E1337" s="79">
        <v>68427709</v>
      </c>
      <c r="F1337" s="242">
        <v>-20000</v>
      </c>
      <c r="G1337" s="82" t="s">
        <v>113</v>
      </c>
      <c r="H1337" s="79" t="s">
        <v>114</v>
      </c>
      <c r="I1337" s="79" t="s">
        <v>1700</v>
      </c>
      <c r="J1337" s="79">
        <v>2025</v>
      </c>
      <c r="K1337" s="79" t="s">
        <v>1623</v>
      </c>
      <c r="L1337" s="79"/>
    </row>
    <row r="1338" spans="1:12" hidden="1" x14ac:dyDescent="0.25">
      <c r="A1338" s="82">
        <v>45454</v>
      </c>
      <c r="B1338" s="79" t="s">
        <v>2518</v>
      </c>
      <c r="C1338" s="79" t="s">
        <v>2705</v>
      </c>
      <c r="D1338" s="79"/>
      <c r="E1338" s="79">
        <v>68427709</v>
      </c>
      <c r="F1338" s="242">
        <v>-8000</v>
      </c>
      <c r="G1338" s="82" t="s">
        <v>113</v>
      </c>
      <c r="H1338" s="79" t="s">
        <v>114</v>
      </c>
      <c r="I1338" s="79" t="s">
        <v>1700</v>
      </c>
      <c r="J1338" s="79">
        <v>2025</v>
      </c>
      <c r="K1338" s="79" t="s">
        <v>1623</v>
      </c>
      <c r="L1338" s="79"/>
    </row>
    <row r="1339" spans="1:12" hidden="1" x14ac:dyDescent="0.25">
      <c r="A1339" s="82">
        <v>45454</v>
      </c>
      <c r="B1339" s="79" t="s">
        <v>2519</v>
      </c>
      <c r="C1339" s="79" t="s">
        <v>2706</v>
      </c>
      <c r="D1339" s="79"/>
      <c r="E1339" s="79">
        <v>68427709</v>
      </c>
      <c r="F1339" s="242">
        <v>170000</v>
      </c>
      <c r="G1339" s="82" t="s">
        <v>113</v>
      </c>
      <c r="H1339" s="79" t="s">
        <v>114</v>
      </c>
      <c r="I1339" s="79" t="s">
        <v>1700</v>
      </c>
      <c r="J1339" s="79">
        <v>2025</v>
      </c>
      <c r="K1339" s="79" t="s">
        <v>1623</v>
      </c>
      <c r="L1339" s="79"/>
    </row>
    <row r="1340" spans="1:12" hidden="1" x14ac:dyDescent="0.25">
      <c r="A1340" s="82">
        <v>45454</v>
      </c>
      <c r="B1340" s="79" t="s">
        <v>2707</v>
      </c>
      <c r="C1340" s="79" t="s">
        <v>2708</v>
      </c>
      <c r="D1340" s="79" t="s">
        <v>3601</v>
      </c>
      <c r="E1340" s="79">
        <v>68427709</v>
      </c>
      <c r="F1340" s="242">
        <v>30000</v>
      </c>
      <c r="G1340" s="82" t="s">
        <v>113</v>
      </c>
      <c r="H1340" s="79" t="s">
        <v>114</v>
      </c>
      <c r="I1340" s="79" t="s">
        <v>1700</v>
      </c>
      <c r="J1340" s="79">
        <v>2025</v>
      </c>
      <c r="K1340" s="79" t="s">
        <v>1623</v>
      </c>
      <c r="L1340" s="79"/>
    </row>
    <row r="1341" spans="1:12" hidden="1" x14ac:dyDescent="0.25">
      <c r="A1341" s="82">
        <v>45454</v>
      </c>
      <c r="B1341" s="79" t="s">
        <v>2709</v>
      </c>
      <c r="C1341" s="79" t="s">
        <v>2710</v>
      </c>
      <c r="D1341" s="79"/>
      <c r="E1341" s="79">
        <v>68427709</v>
      </c>
      <c r="F1341" s="242">
        <v>73000</v>
      </c>
      <c r="G1341" s="82" t="s">
        <v>113</v>
      </c>
      <c r="H1341" s="79" t="s">
        <v>114</v>
      </c>
      <c r="I1341" s="79" t="s">
        <v>1700</v>
      </c>
      <c r="J1341" s="79">
        <v>2025</v>
      </c>
      <c r="K1341" s="79" t="s">
        <v>1623</v>
      </c>
      <c r="L1341" s="79"/>
    </row>
    <row r="1342" spans="1:12" hidden="1" x14ac:dyDescent="0.25">
      <c r="A1342" s="82">
        <v>45454</v>
      </c>
      <c r="B1342" s="79" t="s">
        <v>2711</v>
      </c>
      <c r="C1342" s="79" t="s">
        <v>2712</v>
      </c>
      <c r="D1342" s="79"/>
      <c r="E1342" s="79">
        <v>68427709</v>
      </c>
      <c r="F1342" s="242">
        <v>0</v>
      </c>
      <c r="G1342" s="79" t="s">
        <v>113</v>
      </c>
      <c r="H1342" s="79" t="s">
        <v>114</v>
      </c>
      <c r="I1342" s="79" t="s">
        <v>2570</v>
      </c>
      <c r="J1342" s="79">
        <v>2025</v>
      </c>
      <c r="K1342" s="79" t="s">
        <v>1623</v>
      </c>
      <c r="L1342" s="79"/>
    </row>
    <row r="1343" spans="1:12" hidden="1" x14ac:dyDescent="0.25">
      <c r="A1343" s="82">
        <v>45454</v>
      </c>
      <c r="B1343" s="79" t="s">
        <v>2713</v>
      </c>
      <c r="C1343" s="79" t="s">
        <v>2714</v>
      </c>
      <c r="D1343" s="79"/>
      <c r="E1343" s="79">
        <v>68427709</v>
      </c>
      <c r="F1343" s="242">
        <v>0</v>
      </c>
      <c r="G1343" s="79" t="s">
        <v>113</v>
      </c>
      <c r="H1343" s="79" t="s">
        <v>114</v>
      </c>
      <c r="I1343" s="79" t="s">
        <v>2570</v>
      </c>
      <c r="J1343" s="79">
        <v>2025</v>
      </c>
      <c r="K1343" s="79" t="s">
        <v>1623</v>
      </c>
      <c r="L1343" s="79"/>
    </row>
    <row r="1344" spans="1:12" hidden="1" x14ac:dyDescent="0.25">
      <c r="A1344" s="82">
        <v>45454</v>
      </c>
      <c r="B1344" s="79" t="s">
        <v>2715</v>
      </c>
      <c r="C1344" s="182" t="s">
        <v>2716</v>
      </c>
      <c r="D1344" s="79"/>
      <c r="E1344" s="79">
        <v>68427709</v>
      </c>
      <c r="F1344" s="242">
        <v>0</v>
      </c>
      <c r="G1344" s="79" t="s">
        <v>113</v>
      </c>
      <c r="H1344" s="79" t="s">
        <v>114</v>
      </c>
      <c r="I1344" s="79" t="s">
        <v>2570</v>
      </c>
      <c r="J1344" s="79">
        <v>2025</v>
      </c>
      <c r="K1344" s="79" t="s">
        <v>1623</v>
      </c>
      <c r="L1344" s="79"/>
    </row>
    <row r="1345" spans="1:12" hidden="1" x14ac:dyDescent="0.25">
      <c r="A1345" s="82">
        <v>45454</v>
      </c>
      <c r="B1345" s="79" t="s">
        <v>2717</v>
      </c>
      <c r="C1345" s="231" t="s">
        <v>2718</v>
      </c>
      <c r="D1345" s="79" t="s">
        <v>2719</v>
      </c>
      <c r="E1345" s="79">
        <v>68427709</v>
      </c>
      <c r="F1345" s="242">
        <v>94000</v>
      </c>
      <c r="G1345" s="82" t="s">
        <v>797</v>
      </c>
      <c r="H1345" s="79" t="s">
        <v>114</v>
      </c>
      <c r="I1345" s="79" t="s">
        <v>1700</v>
      </c>
      <c r="J1345" s="79">
        <v>2025</v>
      </c>
      <c r="K1345" s="79" t="s">
        <v>2676</v>
      </c>
      <c r="L1345" s="79"/>
    </row>
    <row r="1346" spans="1:12" hidden="1" x14ac:dyDescent="0.25">
      <c r="A1346" s="82">
        <v>45454</v>
      </c>
      <c r="B1346" s="96" t="s">
        <v>2439</v>
      </c>
      <c r="C1346" s="182" t="s">
        <v>2720</v>
      </c>
      <c r="D1346" s="79"/>
      <c r="E1346" s="79">
        <v>68427709</v>
      </c>
      <c r="F1346" s="242">
        <v>-94000</v>
      </c>
      <c r="G1346" s="82" t="s">
        <v>797</v>
      </c>
      <c r="H1346" s="79" t="s">
        <v>114</v>
      </c>
      <c r="I1346" s="79" t="s">
        <v>1700</v>
      </c>
      <c r="J1346" s="79">
        <v>2025</v>
      </c>
      <c r="K1346" s="79" t="s">
        <v>2676</v>
      </c>
      <c r="L1346" s="79"/>
    </row>
    <row r="1347" spans="1:12" hidden="1" x14ac:dyDescent="0.25">
      <c r="A1347" s="82">
        <v>45457</v>
      </c>
      <c r="B1347" s="79" t="s">
        <v>3564</v>
      </c>
      <c r="C1347" s="182" t="s">
        <v>3565</v>
      </c>
      <c r="D1347" s="79"/>
      <c r="E1347" s="79">
        <v>68427709</v>
      </c>
      <c r="F1347" s="242">
        <v>130000</v>
      </c>
      <c r="G1347" s="82" t="s">
        <v>113</v>
      </c>
      <c r="H1347" s="79" t="s">
        <v>114</v>
      </c>
      <c r="I1347" s="79" t="s">
        <v>133</v>
      </c>
      <c r="J1347" s="79">
        <v>2025</v>
      </c>
      <c r="K1347" s="79" t="s">
        <v>3566</v>
      </c>
      <c r="L1347" s="79"/>
    </row>
    <row r="1348" spans="1:12" hidden="1" x14ac:dyDescent="0.25">
      <c r="A1348" s="82">
        <v>45457</v>
      </c>
      <c r="B1348" s="79" t="s">
        <v>3567</v>
      </c>
      <c r="C1348" s="182" t="s">
        <v>3568</v>
      </c>
      <c r="D1348" s="79"/>
      <c r="E1348" s="79">
        <v>68427709</v>
      </c>
      <c r="F1348" s="242">
        <v>-150000</v>
      </c>
      <c r="G1348" s="82" t="s">
        <v>113</v>
      </c>
      <c r="H1348" s="79" t="s">
        <v>114</v>
      </c>
      <c r="I1348" s="79" t="s">
        <v>1700</v>
      </c>
      <c r="J1348" s="79">
        <v>2025</v>
      </c>
      <c r="K1348" s="79" t="s">
        <v>3566</v>
      </c>
      <c r="L1348" s="79"/>
    </row>
    <row r="1349" spans="1:12" hidden="1" x14ac:dyDescent="0.25">
      <c r="A1349" s="82">
        <v>45457</v>
      </c>
      <c r="B1349" s="79" t="s">
        <v>3569</v>
      </c>
      <c r="C1349" s="79" t="s">
        <v>3570</v>
      </c>
      <c r="D1349" s="79"/>
      <c r="E1349" s="79">
        <v>68427709</v>
      </c>
      <c r="F1349" s="242">
        <v>-23000</v>
      </c>
      <c r="G1349" s="82" t="s">
        <v>113</v>
      </c>
      <c r="H1349" s="79" t="s">
        <v>114</v>
      </c>
      <c r="I1349" s="79" t="s">
        <v>1700</v>
      </c>
      <c r="J1349" s="79">
        <v>2025</v>
      </c>
      <c r="K1349" s="79" t="s">
        <v>3566</v>
      </c>
      <c r="L1349" s="79"/>
    </row>
    <row r="1350" spans="1:12" hidden="1" x14ac:dyDescent="0.25">
      <c r="A1350" s="82">
        <v>45457</v>
      </c>
      <c r="B1350" s="79" t="s">
        <v>3708</v>
      </c>
      <c r="C1350" s="79" t="s">
        <v>3571</v>
      </c>
      <c r="D1350" s="79"/>
      <c r="E1350" s="79">
        <v>68427709</v>
      </c>
      <c r="F1350" s="242">
        <v>60000</v>
      </c>
      <c r="G1350" s="82" t="s">
        <v>113</v>
      </c>
      <c r="H1350" s="79" t="s">
        <v>114</v>
      </c>
      <c r="I1350" s="79" t="s">
        <v>1700</v>
      </c>
      <c r="J1350" s="79">
        <v>2025</v>
      </c>
      <c r="K1350" s="79" t="s">
        <v>3566</v>
      </c>
      <c r="L1350" s="79"/>
    </row>
    <row r="1351" spans="1:12" hidden="1" x14ac:dyDescent="0.25">
      <c r="A1351" s="82">
        <v>45463</v>
      </c>
      <c r="B1351" s="79" t="s">
        <v>1352</v>
      </c>
      <c r="C1351" s="79"/>
      <c r="D1351" s="79"/>
      <c r="E1351" s="79">
        <v>68427709</v>
      </c>
      <c r="F1351" s="242">
        <v>-173600</v>
      </c>
      <c r="G1351" s="82" t="s">
        <v>113</v>
      </c>
      <c r="H1351" s="79" t="s">
        <v>114</v>
      </c>
      <c r="I1351" s="79" t="s">
        <v>948</v>
      </c>
      <c r="J1351" s="79">
        <v>2025</v>
      </c>
      <c r="K1351" s="79" t="s">
        <v>2224</v>
      </c>
      <c r="L1351" s="79"/>
    </row>
    <row r="1352" spans="1:12" hidden="1" x14ac:dyDescent="0.25">
      <c r="A1352" s="82">
        <v>45463</v>
      </c>
      <c r="B1352" s="79" t="s">
        <v>1373</v>
      </c>
      <c r="C1352" s="79"/>
      <c r="D1352" s="79"/>
      <c r="E1352" s="79">
        <v>68427709</v>
      </c>
      <c r="F1352" s="242">
        <v>-10000</v>
      </c>
      <c r="G1352" s="82" t="s">
        <v>113</v>
      </c>
      <c r="H1352" s="79" t="s">
        <v>114</v>
      </c>
      <c r="I1352" s="79" t="s">
        <v>948</v>
      </c>
      <c r="J1352" s="79">
        <v>2025</v>
      </c>
      <c r="K1352" s="79" t="s">
        <v>2224</v>
      </c>
      <c r="L1352" s="79"/>
    </row>
    <row r="1353" spans="1:12" hidden="1" x14ac:dyDescent="0.25">
      <c r="A1353" s="82">
        <v>45463</v>
      </c>
      <c r="B1353" s="79" t="s">
        <v>3574</v>
      </c>
      <c r="C1353" s="79"/>
      <c r="D1353" s="79"/>
      <c r="E1353" s="79">
        <v>68427709</v>
      </c>
      <c r="F1353" s="242">
        <v>-47500</v>
      </c>
      <c r="G1353" s="82" t="s">
        <v>113</v>
      </c>
      <c r="H1353" s="79" t="s">
        <v>114</v>
      </c>
      <c r="I1353" s="79" t="s">
        <v>948</v>
      </c>
      <c r="J1353" s="79">
        <v>2025</v>
      </c>
      <c r="K1353" s="79" t="s">
        <v>2224</v>
      </c>
      <c r="L1353" s="79"/>
    </row>
    <row r="1354" spans="1:12" hidden="1" x14ac:dyDescent="0.25">
      <c r="A1354" s="82">
        <v>45463</v>
      </c>
      <c r="B1354" s="79" t="s">
        <v>2829</v>
      </c>
      <c r="C1354" s="79"/>
      <c r="D1354" s="79"/>
      <c r="E1354" s="79">
        <v>68427709</v>
      </c>
      <c r="F1354" s="242">
        <v>2000</v>
      </c>
      <c r="G1354" s="82" t="s">
        <v>113</v>
      </c>
      <c r="H1354" s="79" t="s">
        <v>114</v>
      </c>
      <c r="I1354" s="79" t="s">
        <v>948</v>
      </c>
      <c r="J1354" s="79">
        <v>2025</v>
      </c>
      <c r="K1354" s="79" t="s">
        <v>2224</v>
      </c>
      <c r="L1354" s="79"/>
    </row>
    <row r="1355" spans="1:12" hidden="1" x14ac:dyDescent="0.25">
      <c r="A1355" s="82">
        <v>45463</v>
      </c>
      <c r="B1355" s="79" t="s">
        <v>2463</v>
      </c>
      <c r="C1355" s="79"/>
      <c r="D1355" s="79"/>
      <c r="E1355" s="79">
        <v>68427709</v>
      </c>
      <c r="F1355" s="242">
        <v>-19000</v>
      </c>
      <c r="G1355" s="82" t="s">
        <v>113</v>
      </c>
      <c r="H1355" s="79" t="s">
        <v>114</v>
      </c>
      <c r="I1355" s="79" t="s">
        <v>948</v>
      </c>
      <c r="J1355" s="79">
        <v>2025</v>
      </c>
      <c r="K1355" s="79" t="s">
        <v>2224</v>
      </c>
      <c r="L1355" s="79"/>
    </row>
    <row r="1356" spans="1:12" hidden="1" x14ac:dyDescent="0.25">
      <c r="A1356" s="82">
        <v>45463</v>
      </c>
      <c r="B1356" s="79" t="s">
        <v>983</v>
      </c>
      <c r="C1356" s="79"/>
      <c r="D1356" s="79"/>
      <c r="E1356" s="79">
        <v>68427709</v>
      </c>
      <c r="F1356" s="242">
        <v>-50000</v>
      </c>
      <c r="G1356" s="82" t="s">
        <v>113</v>
      </c>
      <c r="H1356" s="79" t="s">
        <v>114</v>
      </c>
      <c r="I1356" s="79" t="s">
        <v>948</v>
      </c>
      <c r="J1356" s="79">
        <v>2025</v>
      </c>
      <c r="K1356" s="79" t="s">
        <v>2224</v>
      </c>
      <c r="L1356" s="79"/>
    </row>
    <row r="1357" spans="1:12" hidden="1" x14ac:dyDescent="0.25">
      <c r="A1357" s="82">
        <v>45463</v>
      </c>
      <c r="B1357" s="79" t="s">
        <v>2252</v>
      </c>
      <c r="C1357" s="79"/>
      <c r="D1357" s="79"/>
      <c r="E1357" s="79">
        <v>68427709</v>
      </c>
      <c r="F1357" s="242">
        <v>-25000</v>
      </c>
      <c r="G1357" s="82" t="s">
        <v>113</v>
      </c>
      <c r="H1357" s="79" t="s">
        <v>114</v>
      </c>
      <c r="I1357" s="79" t="s">
        <v>948</v>
      </c>
      <c r="J1357" s="79">
        <v>2025</v>
      </c>
      <c r="K1357" s="79" t="s">
        <v>2224</v>
      </c>
      <c r="L1357" s="79"/>
    </row>
    <row r="1358" spans="1:12" hidden="1" x14ac:dyDescent="0.25">
      <c r="A1358" s="82">
        <v>45463</v>
      </c>
      <c r="B1358" s="79" t="s">
        <v>2831</v>
      </c>
      <c r="C1358" s="79"/>
      <c r="D1358" s="79"/>
      <c r="E1358" s="79">
        <v>68427709</v>
      </c>
      <c r="F1358" s="242">
        <v>-25000</v>
      </c>
      <c r="G1358" s="82" t="s">
        <v>113</v>
      </c>
      <c r="H1358" s="79" t="s">
        <v>114</v>
      </c>
      <c r="I1358" s="79" t="s">
        <v>948</v>
      </c>
      <c r="J1358" s="79">
        <v>2025</v>
      </c>
      <c r="K1358" s="79" t="s">
        <v>2224</v>
      </c>
      <c r="L1358" s="79"/>
    </row>
    <row r="1359" spans="1:12" hidden="1" x14ac:dyDescent="0.25">
      <c r="A1359" s="82">
        <v>45463</v>
      </c>
      <c r="B1359" s="79" t="s">
        <v>2832</v>
      </c>
      <c r="C1359" s="79"/>
      <c r="D1359" s="79"/>
      <c r="E1359" s="79">
        <v>68427709</v>
      </c>
      <c r="F1359" s="242">
        <v>-24920</v>
      </c>
      <c r="G1359" s="82" t="s">
        <v>113</v>
      </c>
      <c r="H1359" s="79" t="s">
        <v>114</v>
      </c>
      <c r="I1359" s="79" t="s">
        <v>948</v>
      </c>
      <c r="J1359" s="79">
        <v>2025</v>
      </c>
      <c r="K1359" s="79" t="s">
        <v>2224</v>
      </c>
      <c r="L1359" s="79"/>
    </row>
    <row r="1360" spans="1:12" hidden="1" x14ac:dyDescent="0.25">
      <c r="A1360" s="82">
        <v>45463</v>
      </c>
      <c r="B1360" s="79" t="s">
        <v>2249</v>
      </c>
      <c r="C1360" s="79"/>
      <c r="D1360" s="79"/>
      <c r="E1360" s="79">
        <v>68427709</v>
      </c>
      <c r="F1360" s="242">
        <v>25200</v>
      </c>
      <c r="G1360" s="82" t="s">
        <v>3573</v>
      </c>
      <c r="H1360" s="79" t="s">
        <v>114</v>
      </c>
      <c r="I1360" s="79" t="s">
        <v>948</v>
      </c>
      <c r="J1360" s="79">
        <v>2025</v>
      </c>
      <c r="K1360" s="79" t="s">
        <v>2224</v>
      </c>
      <c r="L1360" s="79"/>
    </row>
    <row r="1361" spans="1:12" hidden="1" x14ac:dyDescent="0.25">
      <c r="A1361" s="82">
        <v>45463</v>
      </c>
      <c r="B1361" s="79" t="s">
        <v>2469</v>
      </c>
      <c r="C1361" s="79"/>
      <c r="D1361" s="79"/>
      <c r="E1361" s="79">
        <v>68427709</v>
      </c>
      <c r="F1361" s="242">
        <v>-21500</v>
      </c>
      <c r="G1361" s="82" t="s">
        <v>113</v>
      </c>
      <c r="H1361" s="79" t="s">
        <v>114</v>
      </c>
      <c r="I1361" s="79" t="s">
        <v>948</v>
      </c>
      <c r="J1361" s="79">
        <v>2025</v>
      </c>
      <c r="K1361" s="79" t="s">
        <v>2224</v>
      </c>
      <c r="L1361" s="79"/>
    </row>
    <row r="1362" spans="1:12" hidden="1" x14ac:dyDescent="0.25">
      <c r="A1362" s="82">
        <v>45463</v>
      </c>
      <c r="B1362" s="79" t="s">
        <v>2248</v>
      </c>
      <c r="C1362" s="79"/>
      <c r="D1362" s="79"/>
      <c r="E1362" s="79">
        <v>68427709</v>
      </c>
      <c r="F1362" s="242">
        <v>-50000</v>
      </c>
      <c r="G1362" s="82" t="s">
        <v>113</v>
      </c>
      <c r="H1362" s="79" t="s">
        <v>114</v>
      </c>
      <c r="I1362" s="79" t="s">
        <v>1700</v>
      </c>
      <c r="J1362" s="79">
        <v>2025</v>
      </c>
      <c r="K1362" s="79" t="s">
        <v>2224</v>
      </c>
      <c r="L1362" s="79"/>
    </row>
    <row r="1363" spans="1:12" hidden="1" x14ac:dyDescent="0.25">
      <c r="A1363" s="82">
        <v>45463</v>
      </c>
      <c r="B1363" s="79" t="s">
        <v>1871</v>
      </c>
      <c r="C1363" s="79"/>
      <c r="D1363" s="79"/>
      <c r="E1363" s="79">
        <v>68427709</v>
      </c>
      <c r="F1363" s="242">
        <v>5000</v>
      </c>
      <c r="G1363" s="82" t="s">
        <v>113</v>
      </c>
      <c r="H1363" s="79" t="s">
        <v>114</v>
      </c>
      <c r="I1363" s="79" t="s">
        <v>1700</v>
      </c>
      <c r="J1363" s="79">
        <v>2025</v>
      </c>
      <c r="K1363" s="79" t="s">
        <v>2224</v>
      </c>
      <c r="L1363" s="79"/>
    </row>
    <row r="1364" spans="1:12" hidden="1" x14ac:dyDescent="0.25">
      <c r="A1364" s="82">
        <v>45463</v>
      </c>
      <c r="B1364" s="79" t="s">
        <v>2955</v>
      </c>
      <c r="C1364" s="79" t="s">
        <v>3603</v>
      </c>
      <c r="D1364" s="79"/>
      <c r="E1364" s="79">
        <v>68427709</v>
      </c>
      <c r="F1364" s="242">
        <v>-30000</v>
      </c>
      <c r="G1364" s="82" t="s">
        <v>113</v>
      </c>
      <c r="H1364" s="79" t="s">
        <v>114</v>
      </c>
      <c r="I1364" s="79" t="s">
        <v>1700</v>
      </c>
      <c r="J1364" s="79">
        <v>2025</v>
      </c>
      <c r="K1364" s="79" t="s">
        <v>2224</v>
      </c>
      <c r="L1364" s="79"/>
    </row>
    <row r="1365" spans="1:12" hidden="1" x14ac:dyDescent="0.25">
      <c r="A1365" s="82">
        <v>45463</v>
      </c>
      <c r="B1365" s="79" t="s">
        <v>2957</v>
      </c>
      <c r="C1365" s="79" t="s">
        <v>3612</v>
      </c>
      <c r="D1365" s="79"/>
      <c r="E1365" s="79">
        <v>68427709</v>
      </c>
      <c r="F1365" s="242">
        <v>-180000</v>
      </c>
      <c r="G1365" s="82" t="s">
        <v>113</v>
      </c>
      <c r="H1365" s="79" t="s">
        <v>114</v>
      </c>
      <c r="I1365" s="79" t="s">
        <v>1700</v>
      </c>
      <c r="J1365" s="79">
        <v>2025</v>
      </c>
      <c r="K1365" s="79" t="s">
        <v>2224</v>
      </c>
      <c r="L1365" s="79"/>
    </row>
    <row r="1366" spans="1:12" hidden="1" x14ac:dyDescent="0.25">
      <c r="A1366" s="82">
        <v>45463</v>
      </c>
      <c r="B1366" s="79" t="s">
        <v>2982</v>
      </c>
      <c r="C1366" s="79"/>
      <c r="D1366" s="79"/>
      <c r="E1366" s="79">
        <v>68427709</v>
      </c>
      <c r="F1366" s="242">
        <v>-23544</v>
      </c>
      <c r="G1366" s="82" t="s">
        <v>113</v>
      </c>
      <c r="H1366" s="79" t="s">
        <v>114</v>
      </c>
      <c r="I1366" s="247" t="s">
        <v>948</v>
      </c>
      <c r="J1366" s="79">
        <v>2025</v>
      </c>
      <c r="K1366" s="79" t="s">
        <v>2224</v>
      </c>
      <c r="L1366" s="79"/>
    </row>
    <row r="1367" spans="1:12" hidden="1" x14ac:dyDescent="0.25">
      <c r="A1367" s="82">
        <v>45463</v>
      </c>
      <c r="B1367" s="79" t="s">
        <v>584</v>
      </c>
      <c r="C1367" s="79" t="s">
        <v>1604</v>
      </c>
      <c r="D1367" s="79"/>
      <c r="E1367" s="79">
        <v>68427709</v>
      </c>
      <c r="F1367" s="242">
        <v>-54000</v>
      </c>
      <c r="G1367" s="82" t="s">
        <v>113</v>
      </c>
      <c r="H1367" s="79" t="s">
        <v>114</v>
      </c>
      <c r="I1367" s="247" t="s">
        <v>1700</v>
      </c>
      <c r="J1367" s="79">
        <v>2025</v>
      </c>
      <c r="K1367" s="79" t="s">
        <v>2224</v>
      </c>
      <c r="L1367" s="79"/>
    </row>
    <row r="1368" spans="1:12" hidden="1" x14ac:dyDescent="0.25">
      <c r="A1368" s="82">
        <v>45463</v>
      </c>
      <c r="B1368" s="79" t="s">
        <v>2254</v>
      </c>
      <c r="C1368" s="79" t="s">
        <v>3607</v>
      </c>
      <c r="D1368" s="79"/>
      <c r="E1368" s="79">
        <v>68427709</v>
      </c>
      <c r="F1368" s="242">
        <v>-2000</v>
      </c>
      <c r="G1368" s="82" t="s">
        <v>113</v>
      </c>
      <c r="H1368" s="79" t="s">
        <v>114</v>
      </c>
      <c r="I1368" s="247" t="s">
        <v>1700</v>
      </c>
      <c r="J1368" s="79">
        <v>2025</v>
      </c>
      <c r="K1368" s="79" t="s">
        <v>2224</v>
      </c>
      <c r="L1368" s="79"/>
    </row>
    <row r="1369" spans="1:12" hidden="1" x14ac:dyDescent="0.25">
      <c r="A1369" s="82">
        <v>45463</v>
      </c>
      <c r="B1369" s="79" t="s">
        <v>2471</v>
      </c>
      <c r="C1369" s="79"/>
      <c r="D1369" s="79" t="s">
        <v>3602</v>
      </c>
      <c r="E1369" s="79">
        <v>68427709</v>
      </c>
      <c r="F1369" s="242">
        <v>315000</v>
      </c>
      <c r="G1369" s="82" t="s">
        <v>113</v>
      </c>
      <c r="H1369" s="79" t="s">
        <v>114</v>
      </c>
      <c r="I1369" s="247" t="s">
        <v>948</v>
      </c>
      <c r="J1369" s="79">
        <v>2025</v>
      </c>
      <c r="K1369" s="79" t="s">
        <v>2224</v>
      </c>
      <c r="L1369" s="79"/>
    </row>
    <row r="1370" spans="1:12" hidden="1" x14ac:dyDescent="0.25">
      <c r="A1370" s="82">
        <v>45463</v>
      </c>
      <c r="B1370" s="79" t="s">
        <v>591</v>
      </c>
      <c r="C1370" s="79"/>
      <c r="D1370" s="79"/>
      <c r="E1370" s="79">
        <v>68427709</v>
      </c>
      <c r="F1370" s="242">
        <v>-25000</v>
      </c>
      <c r="G1370" s="82" t="s">
        <v>113</v>
      </c>
      <c r="H1370" s="79" t="s">
        <v>114</v>
      </c>
      <c r="I1370" s="247" t="s">
        <v>948</v>
      </c>
      <c r="J1370" s="79">
        <v>2025</v>
      </c>
      <c r="K1370" s="79" t="s">
        <v>2224</v>
      </c>
      <c r="L1370" s="79"/>
    </row>
    <row r="1371" spans="1:12" hidden="1" x14ac:dyDescent="0.25">
      <c r="A1371" s="82">
        <v>45463</v>
      </c>
      <c r="B1371" s="79" t="s">
        <v>590</v>
      </c>
      <c r="C1371" s="79" t="s">
        <v>3604</v>
      </c>
      <c r="D1371" s="79"/>
      <c r="E1371" s="79">
        <v>68427709</v>
      </c>
      <c r="F1371" s="242">
        <v>1300000</v>
      </c>
      <c r="G1371" s="82" t="s">
        <v>113</v>
      </c>
      <c r="H1371" s="79" t="s">
        <v>114</v>
      </c>
      <c r="I1371" s="247" t="s">
        <v>948</v>
      </c>
      <c r="J1371" s="79">
        <v>2025</v>
      </c>
      <c r="K1371" s="79" t="s">
        <v>2224</v>
      </c>
      <c r="L1371" s="79"/>
    </row>
    <row r="1372" spans="1:12" hidden="1" x14ac:dyDescent="0.25">
      <c r="A1372" s="82">
        <v>45463</v>
      </c>
      <c r="B1372" s="79" t="s">
        <v>1824</v>
      </c>
      <c r="C1372" s="79"/>
      <c r="D1372" s="79"/>
      <c r="E1372" s="79">
        <v>68427709</v>
      </c>
      <c r="F1372" s="242">
        <v>100000</v>
      </c>
      <c r="G1372" s="82" t="s">
        <v>113</v>
      </c>
      <c r="H1372" s="79" t="s">
        <v>114</v>
      </c>
      <c r="I1372" s="247" t="s">
        <v>948</v>
      </c>
      <c r="J1372" s="79">
        <v>2025</v>
      </c>
      <c r="K1372" s="79" t="s">
        <v>2224</v>
      </c>
      <c r="L1372" s="79"/>
    </row>
    <row r="1373" spans="1:12" hidden="1" x14ac:dyDescent="0.25">
      <c r="A1373" s="82">
        <v>45463</v>
      </c>
      <c r="B1373" s="79" t="s">
        <v>2227</v>
      </c>
      <c r="C1373" s="79"/>
      <c r="D1373" s="79"/>
      <c r="E1373" s="79">
        <v>68427709</v>
      </c>
      <c r="F1373" s="242">
        <v>-10000</v>
      </c>
      <c r="G1373" s="82" t="s">
        <v>797</v>
      </c>
      <c r="H1373" s="79" t="s">
        <v>114</v>
      </c>
      <c r="I1373" s="247" t="s">
        <v>948</v>
      </c>
      <c r="J1373" s="79">
        <v>2025</v>
      </c>
      <c r="K1373" s="79" t="s">
        <v>2224</v>
      </c>
      <c r="L1373" s="79"/>
    </row>
    <row r="1374" spans="1:12" hidden="1" x14ac:dyDescent="0.25">
      <c r="A1374" s="82">
        <v>45463</v>
      </c>
      <c r="B1374" s="79" t="s">
        <v>586</v>
      </c>
      <c r="C1374" s="79"/>
      <c r="D1374" s="79"/>
      <c r="E1374" s="79">
        <v>68427709</v>
      </c>
      <c r="F1374" s="242">
        <v>75000</v>
      </c>
      <c r="G1374" s="82" t="s">
        <v>113</v>
      </c>
      <c r="H1374" s="79" t="s">
        <v>114</v>
      </c>
      <c r="I1374" s="247" t="s">
        <v>948</v>
      </c>
      <c r="J1374" s="79">
        <v>2025</v>
      </c>
      <c r="K1374" s="79" t="s">
        <v>2224</v>
      </c>
      <c r="L1374" s="79"/>
    </row>
    <row r="1375" spans="1:12" hidden="1" x14ac:dyDescent="0.25">
      <c r="A1375" s="82">
        <v>45463</v>
      </c>
      <c r="B1375" s="79" t="s">
        <v>1833</v>
      </c>
      <c r="C1375" s="79" t="s">
        <v>3606</v>
      </c>
      <c r="D1375" s="79"/>
      <c r="E1375" s="79">
        <v>68427709</v>
      </c>
      <c r="F1375" s="242">
        <v>-30000</v>
      </c>
      <c r="G1375" s="82" t="s">
        <v>113</v>
      </c>
      <c r="H1375" s="79" t="s">
        <v>114</v>
      </c>
      <c r="I1375" s="247" t="s">
        <v>948</v>
      </c>
      <c r="J1375" s="79">
        <v>2025</v>
      </c>
      <c r="K1375" s="79" t="s">
        <v>2224</v>
      </c>
      <c r="L1375" s="79"/>
    </row>
    <row r="1376" spans="1:12" hidden="1" x14ac:dyDescent="0.25">
      <c r="A1376" s="82">
        <v>45463</v>
      </c>
      <c r="B1376" s="79" t="s">
        <v>1834</v>
      </c>
      <c r="C1376" s="79"/>
      <c r="D1376" s="79"/>
      <c r="E1376" s="79">
        <v>68427709</v>
      </c>
      <c r="F1376" s="242">
        <v>-25000</v>
      </c>
      <c r="G1376" s="82" t="s">
        <v>113</v>
      </c>
      <c r="H1376" s="79" t="s">
        <v>114</v>
      </c>
      <c r="I1376" s="247" t="s">
        <v>948</v>
      </c>
      <c r="J1376" s="79">
        <v>2025</v>
      </c>
      <c r="K1376" s="79" t="s">
        <v>2224</v>
      </c>
      <c r="L1376" s="79"/>
    </row>
    <row r="1377" spans="1:12" hidden="1" x14ac:dyDescent="0.25">
      <c r="A1377" s="82">
        <v>45463</v>
      </c>
      <c r="B1377" s="79" t="s">
        <v>1835</v>
      </c>
      <c r="C1377" s="79"/>
      <c r="D1377" s="79"/>
      <c r="E1377" s="79">
        <v>68427709</v>
      </c>
      <c r="F1377" s="242">
        <v>30000</v>
      </c>
      <c r="G1377" s="82" t="s">
        <v>113</v>
      </c>
      <c r="H1377" s="79" t="s">
        <v>114</v>
      </c>
      <c r="I1377" s="247" t="s">
        <v>948</v>
      </c>
      <c r="J1377" s="79">
        <v>2025</v>
      </c>
      <c r="K1377" s="79" t="s">
        <v>2224</v>
      </c>
      <c r="L1377" s="79"/>
    </row>
    <row r="1378" spans="1:12" hidden="1" x14ac:dyDescent="0.25">
      <c r="A1378" s="82">
        <v>45463</v>
      </c>
      <c r="B1378" s="79" t="s">
        <v>3694</v>
      </c>
      <c r="C1378" s="79"/>
      <c r="D1378" s="79"/>
      <c r="E1378" s="79">
        <v>68427709</v>
      </c>
      <c r="F1378" s="242">
        <v>15000</v>
      </c>
      <c r="G1378" s="82" t="s">
        <v>113</v>
      </c>
      <c r="H1378" s="79" t="s">
        <v>114</v>
      </c>
      <c r="I1378" s="247" t="s">
        <v>948</v>
      </c>
      <c r="J1378" s="79">
        <v>2025</v>
      </c>
      <c r="K1378" s="79" t="s">
        <v>2224</v>
      </c>
      <c r="L1378" s="79" t="s">
        <v>3695</v>
      </c>
    </row>
    <row r="1379" spans="1:12" hidden="1" x14ac:dyDescent="0.25">
      <c r="A1379" s="82">
        <v>45463</v>
      </c>
      <c r="B1379" s="79" t="s">
        <v>1507</v>
      </c>
      <c r="C1379" s="79" t="s">
        <v>3605</v>
      </c>
      <c r="D1379" s="79"/>
      <c r="E1379" s="79">
        <v>68427709</v>
      </c>
      <c r="F1379" s="242">
        <v>-75000</v>
      </c>
      <c r="G1379" s="82" t="s">
        <v>113</v>
      </c>
      <c r="H1379" s="79" t="s">
        <v>114</v>
      </c>
      <c r="I1379" s="247" t="s">
        <v>1700</v>
      </c>
      <c r="J1379" s="79">
        <v>2025</v>
      </c>
      <c r="K1379" s="79" t="s">
        <v>2224</v>
      </c>
      <c r="L1379" s="79"/>
    </row>
    <row r="1380" spans="1:12" hidden="1" x14ac:dyDescent="0.25">
      <c r="A1380" s="82">
        <v>45463</v>
      </c>
      <c r="B1380" s="79" t="s">
        <v>3074</v>
      </c>
      <c r="C1380" s="79"/>
      <c r="D1380" s="79"/>
      <c r="E1380" s="79">
        <v>68427709</v>
      </c>
      <c r="F1380" s="242">
        <v>-107500</v>
      </c>
      <c r="G1380" s="82" t="s">
        <v>113</v>
      </c>
      <c r="H1380" s="79" t="s">
        <v>114</v>
      </c>
      <c r="I1380" s="247" t="s">
        <v>948</v>
      </c>
      <c r="J1380" s="79">
        <v>2025</v>
      </c>
      <c r="K1380" s="79" t="s">
        <v>2224</v>
      </c>
      <c r="L1380" s="79"/>
    </row>
    <row r="1381" spans="1:12" hidden="1" x14ac:dyDescent="0.25">
      <c r="A1381" s="82">
        <v>45463</v>
      </c>
      <c r="B1381" s="79" t="s">
        <v>639</v>
      </c>
      <c r="C1381" s="79"/>
      <c r="D1381" s="79" t="s">
        <v>3601</v>
      </c>
      <c r="E1381" s="79">
        <v>68427709</v>
      </c>
      <c r="F1381" s="242">
        <v>200000</v>
      </c>
      <c r="G1381" s="82" t="s">
        <v>113</v>
      </c>
      <c r="H1381" s="79" t="s">
        <v>114</v>
      </c>
      <c r="I1381" s="247" t="s">
        <v>133</v>
      </c>
      <c r="J1381" s="79">
        <v>2025</v>
      </c>
      <c r="K1381" s="79" t="s">
        <v>2224</v>
      </c>
      <c r="L1381" s="79"/>
    </row>
    <row r="1382" spans="1:12" hidden="1" x14ac:dyDescent="0.25">
      <c r="A1382" s="82">
        <v>45463</v>
      </c>
      <c r="B1382" s="79" t="s">
        <v>2260</v>
      </c>
      <c r="C1382" s="79" t="s">
        <v>3693</v>
      </c>
      <c r="D1382" s="79"/>
      <c r="E1382" s="79">
        <v>68427709</v>
      </c>
      <c r="F1382" s="242">
        <v>-7000</v>
      </c>
      <c r="G1382" s="82" t="s">
        <v>113</v>
      </c>
      <c r="H1382" s="79" t="s">
        <v>114</v>
      </c>
      <c r="I1382" s="247" t="s">
        <v>1700</v>
      </c>
      <c r="J1382" s="79">
        <v>2025</v>
      </c>
      <c r="K1382" s="79" t="s">
        <v>2224</v>
      </c>
      <c r="L1382" s="79"/>
    </row>
    <row r="1383" spans="1:12" hidden="1" x14ac:dyDescent="0.25">
      <c r="A1383" s="82">
        <v>45463</v>
      </c>
      <c r="B1383" s="79" t="s">
        <v>1220</v>
      </c>
      <c r="C1383" s="79"/>
      <c r="D1383" s="79"/>
      <c r="E1383" s="79">
        <v>68427709</v>
      </c>
      <c r="F1383" s="242">
        <v>-21000</v>
      </c>
      <c r="G1383" s="82" t="s">
        <v>113</v>
      </c>
      <c r="H1383" s="79" t="s">
        <v>114</v>
      </c>
      <c r="I1383" s="247" t="s">
        <v>133</v>
      </c>
      <c r="J1383" s="79">
        <v>2025</v>
      </c>
      <c r="K1383" s="79" t="s">
        <v>2224</v>
      </c>
      <c r="L1383" s="79"/>
    </row>
    <row r="1384" spans="1:12" hidden="1" x14ac:dyDescent="0.25">
      <c r="A1384" s="82">
        <v>45463</v>
      </c>
      <c r="B1384" s="79" t="s">
        <v>2241</v>
      </c>
      <c r="C1384" s="79"/>
      <c r="D1384" s="79"/>
      <c r="E1384" s="79">
        <v>68427709</v>
      </c>
      <c r="F1384" s="242">
        <v>-34000</v>
      </c>
      <c r="G1384" s="82" t="s">
        <v>113</v>
      </c>
      <c r="H1384" s="79" t="s">
        <v>114</v>
      </c>
      <c r="I1384" s="247" t="s">
        <v>133</v>
      </c>
      <c r="J1384" s="79">
        <v>2025</v>
      </c>
      <c r="K1384" s="79" t="s">
        <v>2224</v>
      </c>
      <c r="L1384" s="79"/>
    </row>
    <row r="1385" spans="1:12" hidden="1" x14ac:dyDescent="0.25">
      <c r="A1385" s="82">
        <v>45463</v>
      </c>
      <c r="B1385" s="79" t="s">
        <v>1841</v>
      </c>
      <c r="C1385" s="79"/>
      <c r="D1385" s="79"/>
      <c r="E1385" s="79">
        <v>68427709</v>
      </c>
      <c r="F1385" s="242">
        <v>-11200</v>
      </c>
      <c r="G1385" s="82" t="s">
        <v>113</v>
      </c>
      <c r="H1385" s="79" t="s">
        <v>114</v>
      </c>
      <c r="I1385" s="247" t="s">
        <v>133</v>
      </c>
      <c r="J1385" s="79">
        <v>2025</v>
      </c>
      <c r="K1385" s="79" t="s">
        <v>2224</v>
      </c>
      <c r="L1385" s="79"/>
    </row>
    <row r="1386" spans="1:12" hidden="1" x14ac:dyDescent="0.25">
      <c r="A1386" s="82">
        <v>45463</v>
      </c>
      <c r="B1386" s="79" t="s">
        <v>2244</v>
      </c>
      <c r="C1386" s="79"/>
      <c r="D1386" s="79"/>
      <c r="E1386" s="79">
        <v>68427709</v>
      </c>
      <c r="F1386" s="242">
        <v>-21000</v>
      </c>
      <c r="G1386" s="82" t="s">
        <v>113</v>
      </c>
      <c r="H1386" s="79" t="s">
        <v>114</v>
      </c>
      <c r="I1386" s="247" t="s">
        <v>133</v>
      </c>
      <c r="J1386" s="79">
        <v>2025</v>
      </c>
      <c r="K1386" s="79" t="s">
        <v>2224</v>
      </c>
      <c r="L1386" s="79"/>
    </row>
    <row r="1387" spans="1:12" hidden="1" x14ac:dyDescent="0.25">
      <c r="A1387" s="82">
        <v>45463</v>
      </c>
      <c r="B1387" s="79" t="s">
        <v>1384</v>
      </c>
      <c r="C1387" s="79"/>
      <c r="D1387" s="79"/>
      <c r="E1387" s="79">
        <v>68427709</v>
      </c>
      <c r="F1387" s="242">
        <v>16000</v>
      </c>
      <c r="G1387" s="82" t="s">
        <v>113</v>
      </c>
      <c r="H1387" s="79" t="s">
        <v>114</v>
      </c>
      <c r="I1387" s="247" t="s">
        <v>948</v>
      </c>
      <c r="J1387" s="79">
        <v>2025</v>
      </c>
      <c r="K1387" s="79" t="s">
        <v>2224</v>
      </c>
      <c r="L1387" s="79"/>
    </row>
    <row r="1388" spans="1:12" hidden="1" x14ac:dyDescent="0.25">
      <c r="A1388" s="82">
        <v>45463</v>
      </c>
      <c r="B1388" s="79" t="s">
        <v>2487</v>
      </c>
      <c r="C1388" s="79"/>
      <c r="D1388" s="79"/>
      <c r="E1388" s="79">
        <v>68427709</v>
      </c>
      <c r="F1388" s="242">
        <v>-35000</v>
      </c>
      <c r="G1388" s="82" t="s">
        <v>113</v>
      </c>
      <c r="H1388" s="79" t="s">
        <v>114</v>
      </c>
      <c r="I1388" s="247" t="s">
        <v>1700</v>
      </c>
      <c r="J1388" s="79">
        <v>2025</v>
      </c>
      <c r="K1388" s="79" t="s">
        <v>2224</v>
      </c>
      <c r="L1388" s="79"/>
    </row>
    <row r="1389" spans="1:12" hidden="1" x14ac:dyDescent="0.25">
      <c r="A1389" s="82">
        <v>45463</v>
      </c>
      <c r="B1389" s="79" t="s">
        <v>3216</v>
      </c>
      <c r="C1389" s="79"/>
      <c r="D1389" s="79" t="s">
        <v>3608</v>
      </c>
      <c r="E1389" s="79">
        <v>68427709</v>
      </c>
      <c r="F1389" s="242">
        <v>25000</v>
      </c>
      <c r="G1389" s="82" t="s">
        <v>3573</v>
      </c>
      <c r="H1389" s="79" t="s">
        <v>114</v>
      </c>
      <c r="I1389" s="247" t="s">
        <v>1700</v>
      </c>
      <c r="J1389" s="79">
        <v>2025</v>
      </c>
      <c r="K1389" s="79" t="s">
        <v>2224</v>
      </c>
      <c r="L1389" s="79" t="s">
        <v>3704</v>
      </c>
    </row>
    <row r="1390" spans="1:12" hidden="1" x14ac:dyDescent="0.25">
      <c r="A1390" s="82">
        <v>45463</v>
      </c>
      <c r="B1390" s="79" t="s">
        <v>2496</v>
      </c>
      <c r="C1390" s="79"/>
      <c r="D1390" s="79" t="s">
        <v>3601</v>
      </c>
      <c r="E1390" s="79">
        <v>68427709</v>
      </c>
      <c r="F1390" s="242">
        <v>-4000</v>
      </c>
      <c r="G1390" s="82" t="s">
        <v>113</v>
      </c>
      <c r="H1390" s="79" t="s">
        <v>114</v>
      </c>
      <c r="I1390" s="247" t="s">
        <v>133</v>
      </c>
      <c r="J1390" s="79">
        <v>2025</v>
      </c>
      <c r="K1390" s="79" t="s">
        <v>2224</v>
      </c>
      <c r="L1390" s="79"/>
    </row>
    <row r="1391" spans="1:12" hidden="1" x14ac:dyDescent="0.25">
      <c r="A1391" s="82">
        <v>45463</v>
      </c>
      <c r="B1391" s="79" t="s">
        <v>3575</v>
      </c>
      <c r="C1391" s="79"/>
      <c r="D1391" s="79" t="s">
        <v>3609</v>
      </c>
      <c r="E1391" s="79">
        <v>68427709</v>
      </c>
      <c r="F1391" s="242">
        <v>110000</v>
      </c>
      <c r="G1391" s="82" t="s">
        <v>113</v>
      </c>
      <c r="H1391" s="79" t="s">
        <v>114</v>
      </c>
      <c r="I1391" s="247" t="s">
        <v>1700</v>
      </c>
      <c r="J1391" s="79">
        <v>2025</v>
      </c>
      <c r="K1391" s="79" t="s">
        <v>2224</v>
      </c>
      <c r="L1391" s="79"/>
    </row>
    <row r="1392" spans="1:12" hidden="1" x14ac:dyDescent="0.25">
      <c r="A1392" s="82">
        <v>45463</v>
      </c>
      <c r="B1392" s="79" t="s">
        <v>3576</v>
      </c>
      <c r="C1392" s="79"/>
      <c r="D1392" s="79" t="s">
        <v>3601</v>
      </c>
      <c r="E1392" s="79">
        <v>68427709</v>
      </c>
      <c r="F1392" s="242">
        <v>36000</v>
      </c>
      <c r="G1392" s="82" t="s">
        <v>113</v>
      </c>
      <c r="H1392" s="79" t="s">
        <v>114</v>
      </c>
      <c r="I1392" s="247" t="s">
        <v>1700</v>
      </c>
      <c r="J1392" s="79">
        <v>2025</v>
      </c>
      <c r="K1392" s="79" t="s">
        <v>2224</v>
      </c>
      <c r="L1392" s="79"/>
    </row>
    <row r="1393" spans="1:12" hidden="1" x14ac:dyDescent="0.25">
      <c r="A1393" s="82">
        <v>45463</v>
      </c>
      <c r="B1393" s="79" t="s">
        <v>3577</v>
      </c>
      <c r="C1393" s="79"/>
      <c r="D1393" s="79" t="s">
        <v>3601</v>
      </c>
      <c r="E1393" s="79">
        <v>68427709</v>
      </c>
      <c r="F1393" s="242">
        <v>400000</v>
      </c>
      <c r="G1393" s="82" t="s">
        <v>113</v>
      </c>
      <c r="H1393" s="79" t="s">
        <v>114</v>
      </c>
      <c r="I1393" s="247" t="s">
        <v>948</v>
      </c>
      <c r="J1393" s="79">
        <v>2025</v>
      </c>
      <c r="K1393" s="79" t="s">
        <v>2224</v>
      </c>
      <c r="L1393" s="79"/>
    </row>
    <row r="1394" spans="1:12" hidden="1" x14ac:dyDescent="0.25">
      <c r="A1394" s="82">
        <v>45463</v>
      </c>
      <c r="B1394" s="79" t="s">
        <v>3578</v>
      </c>
      <c r="C1394" s="79"/>
      <c r="D1394" s="79" t="s">
        <v>3601</v>
      </c>
      <c r="E1394" s="79">
        <v>68427709</v>
      </c>
      <c r="F1394" s="242">
        <v>35000</v>
      </c>
      <c r="G1394" s="82" t="s">
        <v>113</v>
      </c>
      <c r="H1394" s="79" t="s">
        <v>114</v>
      </c>
      <c r="I1394" s="247" t="s">
        <v>133</v>
      </c>
      <c r="J1394" s="79">
        <v>2025</v>
      </c>
      <c r="K1394" s="79" t="s">
        <v>2224</v>
      </c>
      <c r="L1394" s="79"/>
    </row>
    <row r="1395" spans="1:12" hidden="1" x14ac:dyDescent="0.25">
      <c r="A1395" s="82">
        <v>45463</v>
      </c>
      <c r="B1395" s="79" t="s">
        <v>3579</v>
      </c>
      <c r="C1395" s="79"/>
      <c r="D1395" s="79" t="s">
        <v>3601</v>
      </c>
      <c r="E1395" s="79">
        <v>68427709</v>
      </c>
      <c r="F1395" s="242">
        <v>10000</v>
      </c>
      <c r="G1395" s="82" t="s">
        <v>113</v>
      </c>
      <c r="H1395" s="79" t="s">
        <v>114</v>
      </c>
      <c r="I1395" s="247" t="s">
        <v>133</v>
      </c>
      <c r="J1395" s="79">
        <v>2025</v>
      </c>
      <c r="K1395" s="79" t="s">
        <v>2224</v>
      </c>
      <c r="L1395" s="79"/>
    </row>
    <row r="1396" spans="1:12" hidden="1" x14ac:dyDescent="0.25">
      <c r="A1396" s="82">
        <v>45463</v>
      </c>
      <c r="B1396" s="79" t="s">
        <v>3580</v>
      </c>
      <c r="C1396" s="79"/>
      <c r="D1396" s="79" t="s">
        <v>3601</v>
      </c>
      <c r="E1396" s="79">
        <v>68427709</v>
      </c>
      <c r="F1396" s="242">
        <v>15000</v>
      </c>
      <c r="G1396" s="82" t="s">
        <v>113</v>
      </c>
      <c r="H1396" s="79" t="s">
        <v>114</v>
      </c>
      <c r="I1396" s="247" t="s">
        <v>133</v>
      </c>
      <c r="J1396" s="79">
        <v>2025</v>
      </c>
      <c r="K1396" s="79" t="s">
        <v>2224</v>
      </c>
      <c r="L1396" s="79"/>
    </row>
    <row r="1397" spans="1:12" hidden="1" x14ac:dyDescent="0.25">
      <c r="A1397" s="82">
        <v>45463</v>
      </c>
      <c r="B1397" s="79" t="s">
        <v>3581</v>
      </c>
      <c r="C1397" s="79"/>
      <c r="D1397" s="79" t="s">
        <v>3601</v>
      </c>
      <c r="E1397" s="79">
        <v>68427709</v>
      </c>
      <c r="F1397" s="242">
        <v>2500</v>
      </c>
      <c r="G1397" s="82" t="s">
        <v>113</v>
      </c>
      <c r="H1397" s="79" t="s">
        <v>114</v>
      </c>
      <c r="I1397" s="247" t="s">
        <v>133</v>
      </c>
      <c r="J1397" s="79">
        <v>2025</v>
      </c>
      <c r="K1397" s="79" t="s">
        <v>2224</v>
      </c>
      <c r="L1397" s="79"/>
    </row>
    <row r="1398" spans="1:12" hidden="1" x14ac:dyDescent="0.25">
      <c r="A1398" s="82">
        <v>45463</v>
      </c>
      <c r="B1398" s="79" t="s">
        <v>3582</v>
      </c>
      <c r="C1398" s="79"/>
      <c r="D1398" s="79" t="s">
        <v>3601</v>
      </c>
      <c r="E1398" s="79">
        <v>68427709</v>
      </c>
      <c r="F1398" s="242">
        <v>36000</v>
      </c>
      <c r="G1398" s="82" t="s">
        <v>113</v>
      </c>
      <c r="H1398" s="79" t="s">
        <v>114</v>
      </c>
      <c r="I1398" s="247" t="s">
        <v>133</v>
      </c>
      <c r="J1398" s="79">
        <v>2025</v>
      </c>
      <c r="K1398" s="79" t="s">
        <v>2224</v>
      </c>
      <c r="L1398" s="79"/>
    </row>
    <row r="1399" spans="1:12" hidden="1" x14ac:dyDescent="0.25">
      <c r="A1399" s="82">
        <v>45463</v>
      </c>
      <c r="B1399" s="79" t="s">
        <v>3583</v>
      </c>
      <c r="C1399" s="79"/>
      <c r="D1399" s="79" t="s">
        <v>3601</v>
      </c>
      <c r="E1399" s="79">
        <v>68427709</v>
      </c>
      <c r="F1399" s="242">
        <v>40000</v>
      </c>
      <c r="G1399" s="82" t="s">
        <v>113</v>
      </c>
      <c r="H1399" s="79" t="s">
        <v>114</v>
      </c>
      <c r="I1399" s="247" t="s">
        <v>948</v>
      </c>
      <c r="J1399" s="79">
        <v>2025</v>
      </c>
      <c r="K1399" s="79" t="s">
        <v>2224</v>
      </c>
      <c r="L1399" s="79"/>
    </row>
    <row r="1400" spans="1:12" hidden="1" x14ac:dyDescent="0.25">
      <c r="A1400" s="82">
        <v>45463</v>
      </c>
      <c r="B1400" s="79" t="s">
        <v>3584</v>
      </c>
      <c r="C1400" s="79"/>
      <c r="D1400" s="79" t="s">
        <v>3601</v>
      </c>
      <c r="E1400" s="79">
        <v>68427709</v>
      </c>
      <c r="F1400" s="242">
        <v>194400</v>
      </c>
      <c r="G1400" s="82" t="s">
        <v>113</v>
      </c>
      <c r="H1400" s="79" t="s">
        <v>114</v>
      </c>
      <c r="I1400" s="247" t="s">
        <v>133</v>
      </c>
      <c r="J1400" s="79">
        <v>2025</v>
      </c>
      <c r="K1400" s="79" t="s">
        <v>2224</v>
      </c>
      <c r="L1400" s="79"/>
    </row>
    <row r="1401" spans="1:12" hidden="1" x14ac:dyDescent="0.25">
      <c r="A1401" s="82">
        <v>45463</v>
      </c>
      <c r="B1401" s="79" t="s">
        <v>3585</v>
      </c>
      <c r="C1401" s="79"/>
      <c r="D1401" s="79" t="s">
        <v>3601</v>
      </c>
      <c r="E1401" s="79">
        <v>68427709</v>
      </c>
      <c r="F1401" s="242">
        <v>200000</v>
      </c>
      <c r="G1401" s="82" t="s">
        <v>113</v>
      </c>
      <c r="H1401" s="79" t="s">
        <v>114</v>
      </c>
      <c r="I1401" s="247" t="s">
        <v>948</v>
      </c>
      <c r="J1401" s="79">
        <v>2025</v>
      </c>
      <c r="K1401" s="79" t="s">
        <v>2224</v>
      </c>
      <c r="L1401" s="79"/>
    </row>
    <row r="1402" spans="1:12" hidden="1" x14ac:dyDescent="0.25">
      <c r="A1402" s="82">
        <v>45463</v>
      </c>
      <c r="B1402" s="79" t="s">
        <v>3586</v>
      </c>
      <c r="C1402" s="79"/>
      <c r="D1402" s="79" t="s">
        <v>3601</v>
      </c>
      <c r="E1402" s="79">
        <v>68427709</v>
      </c>
      <c r="F1402" s="242">
        <v>150000</v>
      </c>
      <c r="G1402" s="82" t="s">
        <v>113</v>
      </c>
      <c r="H1402" s="79" t="s">
        <v>114</v>
      </c>
      <c r="I1402" s="247" t="s">
        <v>133</v>
      </c>
      <c r="J1402" s="79">
        <v>2025</v>
      </c>
      <c r="K1402" s="79" t="s">
        <v>2224</v>
      </c>
      <c r="L1402" s="79"/>
    </row>
    <row r="1403" spans="1:12" hidden="1" x14ac:dyDescent="0.25">
      <c r="A1403" s="82">
        <v>45463</v>
      </c>
      <c r="B1403" s="79" t="s">
        <v>3587</v>
      </c>
      <c r="C1403" s="79"/>
      <c r="D1403" s="79" t="s">
        <v>3601</v>
      </c>
      <c r="E1403" s="79">
        <v>68427709</v>
      </c>
      <c r="F1403" s="242">
        <v>97200</v>
      </c>
      <c r="G1403" s="82" t="s">
        <v>113</v>
      </c>
      <c r="H1403" s="79" t="s">
        <v>114</v>
      </c>
      <c r="I1403" s="247" t="s">
        <v>948</v>
      </c>
      <c r="J1403" s="79">
        <v>2025</v>
      </c>
      <c r="K1403" s="79" t="s">
        <v>2224</v>
      </c>
      <c r="L1403" s="79"/>
    </row>
    <row r="1404" spans="1:12" hidden="1" x14ac:dyDescent="0.25">
      <c r="A1404" s="82">
        <v>45463</v>
      </c>
      <c r="B1404" s="79" t="s">
        <v>3588</v>
      </c>
      <c r="C1404" s="79"/>
      <c r="D1404" s="79" t="s">
        <v>3601</v>
      </c>
      <c r="E1404" s="79">
        <v>68427709</v>
      </c>
      <c r="F1404" s="242">
        <v>31560</v>
      </c>
      <c r="G1404" s="82" t="s">
        <v>113</v>
      </c>
      <c r="H1404" s="79" t="s">
        <v>114</v>
      </c>
      <c r="I1404" s="247" t="s">
        <v>133</v>
      </c>
      <c r="J1404" s="79">
        <v>2025</v>
      </c>
      <c r="K1404" s="79" t="s">
        <v>2224</v>
      </c>
      <c r="L1404" s="79"/>
    </row>
    <row r="1405" spans="1:12" hidden="1" x14ac:dyDescent="0.25">
      <c r="A1405" s="82">
        <v>45463</v>
      </c>
      <c r="B1405" s="79" t="s">
        <v>3589</v>
      </c>
      <c r="C1405" s="79"/>
      <c r="D1405" s="79" t="s">
        <v>3601</v>
      </c>
      <c r="E1405" s="79">
        <v>68427709</v>
      </c>
      <c r="F1405" s="242">
        <v>43528.800000000003</v>
      </c>
      <c r="G1405" s="82" t="s">
        <v>113</v>
      </c>
      <c r="H1405" s="79" t="s">
        <v>114</v>
      </c>
      <c r="I1405" s="247" t="s">
        <v>948</v>
      </c>
      <c r="J1405" s="79">
        <v>2025</v>
      </c>
      <c r="K1405" s="79" t="s">
        <v>2224</v>
      </c>
      <c r="L1405" s="79"/>
    </row>
    <row r="1406" spans="1:12" hidden="1" x14ac:dyDescent="0.25">
      <c r="A1406" s="82">
        <v>45463</v>
      </c>
      <c r="B1406" s="79" t="s">
        <v>3590</v>
      </c>
      <c r="C1406" s="79"/>
      <c r="D1406" s="79" t="s">
        <v>3601</v>
      </c>
      <c r="E1406" s="79">
        <v>68427709</v>
      </c>
      <c r="F1406" s="242">
        <v>42000</v>
      </c>
      <c r="G1406" s="82" t="s">
        <v>113</v>
      </c>
      <c r="H1406" s="79" t="s">
        <v>114</v>
      </c>
      <c r="I1406" s="247" t="s">
        <v>133</v>
      </c>
      <c r="J1406" s="79">
        <v>2025</v>
      </c>
      <c r="K1406" s="79" t="s">
        <v>2224</v>
      </c>
      <c r="L1406" s="79"/>
    </row>
    <row r="1407" spans="1:12" hidden="1" x14ac:dyDescent="0.25">
      <c r="A1407" s="82">
        <v>45463</v>
      </c>
      <c r="B1407" s="79" t="s">
        <v>3591</v>
      </c>
      <c r="C1407" s="79"/>
      <c r="D1407" s="79" t="s">
        <v>3601</v>
      </c>
      <c r="E1407" s="79">
        <v>68427709</v>
      </c>
      <c r="F1407" s="242">
        <v>50000</v>
      </c>
      <c r="G1407" s="82" t="s">
        <v>113</v>
      </c>
      <c r="H1407" s="79" t="s">
        <v>114</v>
      </c>
      <c r="I1407" s="247" t="s">
        <v>1700</v>
      </c>
      <c r="J1407" s="79">
        <v>2025</v>
      </c>
      <c r="K1407" s="79" t="s">
        <v>2224</v>
      </c>
      <c r="L1407" s="79"/>
    </row>
    <row r="1408" spans="1:12" hidden="1" x14ac:dyDescent="0.25">
      <c r="A1408" s="82">
        <v>45463</v>
      </c>
      <c r="B1408" s="79" t="s">
        <v>3592</v>
      </c>
      <c r="C1408" s="79"/>
      <c r="D1408" s="79" t="s">
        <v>3601</v>
      </c>
      <c r="E1408" s="79">
        <v>68427709</v>
      </c>
      <c r="F1408" s="242">
        <v>4967.28</v>
      </c>
      <c r="G1408" s="82" t="s">
        <v>113</v>
      </c>
      <c r="H1408" s="79" t="s">
        <v>114</v>
      </c>
      <c r="I1408" s="247" t="s">
        <v>1700</v>
      </c>
      <c r="J1408" s="79">
        <v>2025</v>
      </c>
      <c r="K1408" s="79" t="s">
        <v>2224</v>
      </c>
      <c r="L1408" s="79"/>
    </row>
    <row r="1409" spans="1:12" hidden="1" x14ac:dyDescent="0.25">
      <c r="A1409" s="82">
        <v>45463</v>
      </c>
      <c r="B1409" s="79" t="s">
        <v>3593</v>
      </c>
      <c r="C1409" s="79"/>
      <c r="D1409" s="79" t="s">
        <v>3601</v>
      </c>
      <c r="E1409" s="79">
        <v>68427709</v>
      </c>
      <c r="F1409" s="242">
        <v>600</v>
      </c>
      <c r="G1409" s="82" t="s">
        <v>113</v>
      </c>
      <c r="H1409" s="79" t="s">
        <v>114</v>
      </c>
      <c r="I1409" s="247" t="s">
        <v>1700</v>
      </c>
      <c r="J1409" s="79">
        <v>2025</v>
      </c>
      <c r="K1409" s="79" t="s">
        <v>2224</v>
      </c>
      <c r="L1409" s="79"/>
    </row>
    <row r="1410" spans="1:12" hidden="1" x14ac:dyDescent="0.25">
      <c r="A1410" s="82">
        <v>45463</v>
      </c>
      <c r="B1410" s="79" t="s">
        <v>3594</v>
      </c>
      <c r="C1410" s="79"/>
      <c r="D1410" s="79" t="s">
        <v>3601</v>
      </c>
      <c r="E1410" s="79">
        <v>68427709</v>
      </c>
      <c r="F1410" s="242">
        <v>96000</v>
      </c>
      <c r="G1410" s="82" t="s">
        <v>113</v>
      </c>
      <c r="H1410" s="79" t="s">
        <v>114</v>
      </c>
      <c r="I1410" s="247" t="s">
        <v>133</v>
      </c>
      <c r="J1410" s="79">
        <v>2025</v>
      </c>
      <c r="K1410" s="79" t="s">
        <v>2224</v>
      </c>
      <c r="L1410" s="79"/>
    </row>
    <row r="1411" spans="1:12" hidden="1" x14ac:dyDescent="0.25">
      <c r="A1411" s="82">
        <v>45463</v>
      </c>
      <c r="B1411" s="79" t="s">
        <v>3595</v>
      </c>
      <c r="C1411" s="79"/>
      <c r="D1411" s="79" t="s">
        <v>3601</v>
      </c>
      <c r="E1411" s="79">
        <v>68427709</v>
      </c>
      <c r="F1411" s="242">
        <v>40000</v>
      </c>
      <c r="G1411" s="82" t="s">
        <v>113</v>
      </c>
      <c r="H1411" s="79" t="s">
        <v>114</v>
      </c>
      <c r="I1411" s="247" t="s">
        <v>1700</v>
      </c>
      <c r="J1411" s="79">
        <v>2025</v>
      </c>
      <c r="K1411" s="79" t="s">
        <v>2224</v>
      </c>
      <c r="L1411" s="79"/>
    </row>
    <row r="1412" spans="1:12" hidden="1" x14ac:dyDescent="0.25">
      <c r="A1412" s="82">
        <v>45463</v>
      </c>
      <c r="B1412" s="79" t="s">
        <v>3596</v>
      </c>
      <c r="C1412" s="79"/>
      <c r="D1412" s="79" t="s">
        <v>3601</v>
      </c>
      <c r="E1412" s="79">
        <v>68427709</v>
      </c>
      <c r="F1412" s="242">
        <v>7000</v>
      </c>
      <c r="G1412" s="82" t="s">
        <v>113</v>
      </c>
      <c r="H1412" s="79" t="s">
        <v>114</v>
      </c>
      <c r="I1412" s="247" t="s">
        <v>948</v>
      </c>
      <c r="J1412" s="79">
        <v>2025</v>
      </c>
      <c r="K1412" s="79" t="s">
        <v>2224</v>
      </c>
      <c r="L1412" s="79"/>
    </row>
    <row r="1413" spans="1:12" hidden="1" x14ac:dyDescent="0.25">
      <c r="A1413" s="82">
        <v>45463</v>
      </c>
      <c r="B1413" s="79" t="s">
        <v>3597</v>
      </c>
      <c r="C1413" s="79"/>
      <c r="D1413" s="79" t="s">
        <v>3601</v>
      </c>
      <c r="E1413" s="79">
        <v>68427709</v>
      </c>
      <c r="F1413" s="242">
        <v>120000</v>
      </c>
      <c r="G1413" s="82" t="s">
        <v>113</v>
      </c>
      <c r="H1413" s="79" t="s">
        <v>114</v>
      </c>
      <c r="I1413" s="247" t="s">
        <v>948</v>
      </c>
      <c r="J1413" s="79">
        <v>2025</v>
      </c>
      <c r="K1413" s="79" t="s">
        <v>2224</v>
      </c>
      <c r="L1413" s="79"/>
    </row>
    <row r="1414" spans="1:12" hidden="1" x14ac:dyDescent="0.25">
      <c r="A1414" s="82">
        <v>45463</v>
      </c>
      <c r="B1414" s="79" t="s">
        <v>3598</v>
      </c>
      <c r="C1414" s="79"/>
      <c r="D1414" s="79" t="s">
        <v>3601</v>
      </c>
      <c r="E1414" s="79">
        <v>68427709</v>
      </c>
      <c r="F1414" s="242">
        <v>20000</v>
      </c>
      <c r="G1414" s="82" t="s">
        <v>113</v>
      </c>
      <c r="H1414" s="79" t="s">
        <v>114</v>
      </c>
      <c r="I1414" s="247" t="s">
        <v>1700</v>
      </c>
      <c r="J1414" s="79">
        <v>2025</v>
      </c>
      <c r="K1414" s="79" t="s">
        <v>2224</v>
      </c>
      <c r="L1414" s="79"/>
    </row>
    <row r="1415" spans="1:12" hidden="1" x14ac:dyDescent="0.25">
      <c r="A1415" s="82">
        <v>45463</v>
      </c>
      <c r="B1415" s="79" t="s">
        <v>3599</v>
      </c>
      <c r="C1415" s="79"/>
      <c r="D1415" s="79" t="s">
        <v>3611</v>
      </c>
      <c r="E1415" s="79">
        <v>68427709</v>
      </c>
      <c r="F1415" s="242">
        <v>350000</v>
      </c>
      <c r="G1415" s="82" t="s">
        <v>113</v>
      </c>
      <c r="H1415" s="79" t="s">
        <v>114</v>
      </c>
      <c r="I1415" s="247" t="s">
        <v>948</v>
      </c>
      <c r="J1415" s="79">
        <v>2025</v>
      </c>
      <c r="K1415" s="79" t="s">
        <v>2224</v>
      </c>
      <c r="L1415" s="79"/>
    </row>
    <row r="1416" spans="1:12" hidden="1" x14ac:dyDescent="0.25">
      <c r="A1416" s="82">
        <v>45463</v>
      </c>
      <c r="B1416" s="79" t="s">
        <v>3600</v>
      </c>
      <c r="C1416" s="79"/>
      <c r="D1416" s="79" t="s">
        <v>3611</v>
      </c>
      <c r="E1416" s="79">
        <v>68427709</v>
      </c>
      <c r="F1416" s="242">
        <v>60000</v>
      </c>
      <c r="G1416" s="82" t="s">
        <v>113</v>
      </c>
      <c r="H1416" s="79" t="s">
        <v>114</v>
      </c>
      <c r="I1416" s="247" t="s">
        <v>948</v>
      </c>
      <c r="J1416" s="79">
        <v>2025</v>
      </c>
      <c r="K1416" s="79" t="s">
        <v>2224</v>
      </c>
      <c r="L1416" s="79"/>
    </row>
    <row r="1417" spans="1:12" hidden="1" x14ac:dyDescent="0.25">
      <c r="A1417" s="82">
        <v>45464</v>
      </c>
      <c r="B1417" s="79" t="s">
        <v>3613</v>
      </c>
      <c r="C1417" s="79" t="s">
        <v>3614</v>
      </c>
      <c r="D1417" s="79" t="s">
        <v>321</v>
      </c>
      <c r="E1417" s="79">
        <v>68427709</v>
      </c>
      <c r="F1417" s="242">
        <v>40000</v>
      </c>
      <c r="G1417" s="82" t="s">
        <v>113</v>
      </c>
      <c r="H1417" s="79" t="s">
        <v>114</v>
      </c>
      <c r="I1417" s="247" t="s">
        <v>948</v>
      </c>
      <c r="J1417" s="79">
        <v>2025</v>
      </c>
      <c r="K1417" s="79" t="s">
        <v>2224</v>
      </c>
      <c r="L1417" s="79"/>
    </row>
    <row r="1418" spans="1:12" hidden="1" x14ac:dyDescent="0.25">
      <c r="A1418" s="82">
        <v>45464</v>
      </c>
      <c r="B1418" s="79" t="s">
        <v>3615</v>
      </c>
      <c r="C1418" s="79" t="s">
        <v>3616</v>
      </c>
      <c r="D1418" s="79" t="s">
        <v>321</v>
      </c>
      <c r="E1418" s="79">
        <v>68427709</v>
      </c>
      <c r="F1418" s="242">
        <v>-34000</v>
      </c>
      <c r="G1418" s="82" t="s">
        <v>113</v>
      </c>
      <c r="H1418" s="79" t="s">
        <v>114</v>
      </c>
      <c r="I1418" s="247" t="s">
        <v>948</v>
      </c>
      <c r="J1418" s="79">
        <v>2025</v>
      </c>
      <c r="K1418" s="79" t="s">
        <v>2224</v>
      </c>
      <c r="L1418" s="79"/>
    </row>
    <row r="1419" spans="1:12" hidden="1" x14ac:dyDescent="0.25">
      <c r="A1419" s="82">
        <v>45464</v>
      </c>
      <c r="B1419" s="79" t="s">
        <v>3638</v>
      </c>
      <c r="C1419" s="79" t="s">
        <v>3639</v>
      </c>
      <c r="D1419" s="79" t="s">
        <v>3601</v>
      </c>
      <c r="E1419" s="79">
        <v>68427709</v>
      </c>
      <c r="F1419" s="242">
        <v>172000</v>
      </c>
      <c r="G1419" s="82" t="s">
        <v>113</v>
      </c>
      <c r="H1419" s="79" t="s">
        <v>114</v>
      </c>
      <c r="I1419" s="247" t="s">
        <v>1700</v>
      </c>
      <c r="J1419" s="79">
        <v>2025</v>
      </c>
      <c r="K1419" s="79" t="s">
        <v>2224</v>
      </c>
      <c r="L1419" s="79"/>
    </row>
    <row r="1420" spans="1:12" hidden="1" x14ac:dyDescent="0.25">
      <c r="A1420" s="82">
        <v>45464</v>
      </c>
      <c r="B1420" s="79" t="s">
        <v>3644</v>
      </c>
      <c r="C1420" s="79"/>
      <c r="D1420" s="79" t="s">
        <v>3601</v>
      </c>
      <c r="E1420" s="79">
        <v>68427709</v>
      </c>
      <c r="F1420" s="242">
        <v>3700</v>
      </c>
      <c r="G1420" s="82" t="s">
        <v>113</v>
      </c>
      <c r="H1420" s="79" t="s">
        <v>114</v>
      </c>
      <c r="I1420" s="247" t="s">
        <v>1700</v>
      </c>
      <c r="J1420" s="79">
        <v>2025</v>
      </c>
      <c r="K1420" s="79" t="s">
        <v>2224</v>
      </c>
      <c r="L1420" s="79"/>
    </row>
    <row r="1421" spans="1:12" hidden="1" x14ac:dyDescent="0.25">
      <c r="A1421" s="82">
        <v>45464</v>
      </c>
      <c r="B1421" s="79" t="s">
        <v>3647</v>
      </c>
      <c r="C1421" s="79" t="s">
        <v>3648</v>
      </c>
      <c r="D1421" s="79" t="s">
        <v>3601</v>
      </c>
      <c r="E1421" s="79">
        <v>68427709</v>
      </c>
      <c r="F1421" s="242">
        <v>14300</v>
      </c>
      <c r="G1421" s="82" t="s">
        <v>113</v>
      </c>
      <c r="H1421" s="79" t="s">
        <v>114</v>
      </c>
      <c r="I1421" s="247" t="s">
        <v>1700</v>
      </c>
      <c r="J1421" s="79">
        <v>2025</v>
      </c>
      <c r="K1421" s="79" t="s">
        <v>2224</v>
      </c>
      <c r="L1421" s="79"/>
    </row>
    <row r="1422" spans="1:12" hidden="1" x14ac:dyDescent="0.25">
      <c r="A1422" s="82">
        <v>45464</v>
      </c>
      <c r="B1422" s="79" t="s">
        <v>3652</v>
      </c>
      <c r="C1422" s="79" t="s">
        <v>3653</v>
      </c>
      <c r="D1422" s="79" t="s">
        <v>3601</v>
      </c>
      <c r="E1422" s="79">
        <v>68427709</v>
      </c>
      <c r="F1422" s="242">
        <v>12000</v>
      </c>
      <c r="G1422" s="82" t="s">
        <v>113</v>
      </c>
      <c r="H1422" s="79" t="s">
        <v>114</v>
      </c>
      <c r="I1422" s="247" t="s">
        <v>133</v>
      </c>
      <c r="J1422" s="79">
        <v>2025</v>
      </c>
      <c r="K1422" s="79" t="s">
        <v>2224</v>
      </c>
      <c r="L1422" s="79"/>
    </row>
    <row r="1423" spans="1:12" hidden="1" x14ac:dyDescent="0.25">
      <c r="A1423" s="82">
        <v>45464</v>
      </c>
      <c r="B1423" s="79" t="s">
        <v>3661</v>
      </c>
      <c r="C1423" s="79" t="s">
        <v>3662</v>
      </c>
      <c r="D1423" s="79" t="s">
        <v>3601</v>
      </c>
      <c r="E1423" s="79">
        <v>68427709</v>
      </c>
      <c r="F1423" s="242">
        <v>87000</v>
      </c>
      <c r="G1423" s="82" t="s">
        <v>113</v>
      </c>
      <c r="H1423" s="79" t="s">
        <v>114</v>
      </c>
      <c r="I1423" s="247" t="s">
        <v>1700</v>
      </c>
      <c r="J1423" s="79">
        <v>2025</v>
      </c>
      <c r="K1423" s="79" t="s">
        <v>2224</v>
      </c>
      <c r="L1423" s="79"/>
    </row>
    <row r="1424" spans="1:12" hidden="1" x14ac:dyDescent="0.25">
      <c r="A1424" s="82">
        <v>45464</v>
      </c>
      <c r="B1424" s="79" t="s">
        <v>3670</v>
      </c>
      <c r="C1424" s="79" t="s">
        <v>3671</v>
      </c>
      <c r="D1424" s="79" t="s">
        <v>3601</v>
      </c>
      <c r="E1424" s="79">
        <v>68427709</v>
      </c>
      <c r="F1424" s="242">
        <v>900</v>
      </c>
      <c r="G1424" s="82" t="s">
        <v>113</v>
      </c>
      <c r="H1424" s="79" t="s">
        <v>114</v>
      </c>
      <c r="I1424" s="247" t="s">
        <v>948</v>
      </c>
      <c r="J1424" s="79">
        <v>2025</v>
      </c>
      <c r="K1424" s="79" t="s">
        <v>2224</v>
      </c>
      <c r="L1424" s="79"/>
    </row>
    <row r="1425" spans="1:12" hidden="1" x14ac:dyDescent="0.25">
      <c r="A1425" s="82">
        <v>45463</v>
      </c>
      <c r="B1425" s="79"/>
      <c r="C1425" s="79"/>
      <c r="D1425" s="79"/>
      <c r="E1425" s="79"/>
      <c r="F1425" s="242"/>
      <c r="G1425" s="79"/>
      <c r="H1425" s="79"/>
      <c r="I1425" s="247"/>
      <c r="J1425" s="79"/>
      <c r="K1425" s="79"/>
      <c r="L1425" s="79"/>
    </row>
    <row r="1426" spans="1:12" hidden="1" x14ac:dyDescent="0.25">
      <c r="A1426" s="82">
        <v>45463</v>
      </c>
      <c r="B1426" s="79"/>
      <c r="C1426" s="79"/>
      <c r="D1426" s="79"/>
      <c r="E1426" s="79"/>
      <c r="F1426" s="242"/>
      <c r="G1426" s="79"/>
      <c r="H1426" s="79"/>
      <c r="I1426" s="247"/>
      <c r="J1426" s="79"/>
      <c r="K1426" s="79"/>
      <c r="L1426" s="79"/>
    </row>
    <row r="1427" spans="1:12" hidden="1" x14ac:dyDescent="0.25">
      <c r="A1427" s="82">
        <v>45463</v>
      </c>
      <c r="B1427" s="79"/>
      <c r="C1427" s="79"/>
      <c r="D1427" s="79"/>
      <c r="E1427" s="79"/>
      <c r="F1427" s="242"/>
      <c r="G1427" s="79"/>
      <c r="H1427" s="79"/>
      <c r="I1427" s="247"/>
      <c r="J1427" s="79"/>
      <c r="K1427" s="79"/>
      <c r="L1427" s="79"/>
    </row>
    <row r="1428" spans="1:12" hidden="1" x14ac:dyDescent="0.25">
      <c r="A1428" s="82">
        <v>45463</v>
      </c>
      <c r="B1428" s="79"/>
      <c r="C1428" s="79"/>
      <c r="D1428" s="79"/>
      <c r="E1428" s="79"/>
      <c r="F1428" s="242"/>
      <c r="G1428" s="79"/>
      <c r="H1428" s="79"/>
      <c r="I1428" s="247"/>
      <c r="J1428" s="79"/>
      <c r="K1428" s="79"/>
      <c r="L1428" s="79"/>
    </row>
    <row r="1429" spans="1:12" hidden="1" x14ac:dyDescent="0.25">
      <c r="A1429" s="82">
        <v>45463</v>
      </c>
      <c r="B1429" s="79"/>
      <c r="C1429" s="79"/>
      <c r="D1429" s="79"/>
      <c r="E1429" s="79"/>
      <c r="F1429" s="242"/>
      <c r="G1429" s="79"/>
      <c r="H1429" s="79"/>
      <c r="I1429" s="247"/>
      <c r="J1429" s="79"/>
      <c r="K1429" s="79"/>
      <c r="L1429" s="79"/>
    </row>
    <row r="1430" spans="1:12" hidden="1" x14ac:dyDescent="0.25">
      <c r="A1430" s="82">
        <v>45463</v>
      </c>
      <c r="B1430" s="79"/>
      <c r="C1430" s="79"/>
      <c r="D1430" s="79"/>
      <c r="E1430" s="79"/>
      <c r="F1430" s="242"/>
      <c r="G1430" s="79"/>
      <c r="H1430" s="79"/>
      <c r="I1430" s="247"/>
      <c r="J1430" s="79"/>
      <c r="K1430" s="79"/>
      <c r="L1430" s="79"/>
    </row>
    <row r="1431" spans="1:12" hidden="1" x14ac:dyDescent="0.25">
      <c r="A1431" s="82">
        <v>45463</v>
      </c>
      <c r="B1431" s="79"/>
      <c r="C1431" s="79"/>
      <c r="D1431" s="79"/>
      <c r="E1431" s="79"/>
      <c r="F1431" s="242"/>
      <c r="G1431" s="79"/>
      <c r="H1431" s="79"/>
      <c r="I1431" s="247"/>
      <c r="J1431" s="79"/>
      <c r="K1431" s="79"/>
      <c r="L1431" s="79"/>
    </row>
    <row r="1432" spans="1:12" hidden="1" x14ac:dyDescent="0.25">
      <c r="A1432" s="82">
        <v>45464</v>
      </c>
      <c r="B1432" s="79" t="s">
        <v>3681</v>
      </c>
      <c r="C1432" s="79" t="s">
        <v>3682</v>
      </c>
      <c r="D1432" s="79" t="s">
        <v>3601</v>
      </c>
      <c r="E1432" s="79">
        <v>68427709</v>
      </c>
      <c r="F1432" s="242">
        <v>127000</v>
      </c>
      <c r="G1432" s="82" t="s">
        <v>113</v>
      </c>
      <c r="H1432" s="79" t="s">
        <v>114</v>
      </c>
      <c r="I1432" s="247" t="s">
        <v>1700</v>
      </c>
      <c r="J1432" s="79">
        <v>2025</v>
      </c>
      <c r="K1432" s="79" t="s">
        <v>2224</v>
      </c>
      <c r="L1432" s="79"/>
    </row>
    <row r="1433" spans="1:12" hidden="1" x14ac:dyDescent="0.25">
      <c r="A1433" s="82">
        <v>45467</v>
      </c>
      <c r="B1433" s="79" t="s">
        <v>3714</v>
      </c>
      <c r="C1433" s="79"/>
      <c r="D1433" s="79"/>
      <c r="E1433" s="79">
        <v>68427709</v>
      </c>
      <c r="F1433" s="242">
        <v>46500</v>
      </c>
      <c r="G1433" s="82" t="s">
        <v>113</v>
      </c>
      <c r="H1433" s="79" t="s">
        <v>114</v>
      </c>
      <c r="I1433" s="247" t="s">
        <v>948</v>
      </c>
      <c r="J1433" s="79">
        <v>2025</v>
      </c>
      <c r="K1433" s="79" t="s">
        <v>2933</v>
      </c>
      <c r="L1433" s="79"/>
    </row>
    <row r="1434" spans="1:12" hidden="1" x14ac:dyDescent="0.25">
      <c r="A1434" s="82">
        <v>45467</v>
      </c>
      <c r="B1434" s="79" t="s">
        <v>3715</v>
      </c>
      <c r="C1434" s="79"/>
      <c r="D1434" s="79"/>
      <c r="E1434" s="79">
        <v>68427709</v>
      </c>
      <c r="F1434" s="242">
        <v>16400</v>
      </c>
      <c r="G1434" s="82" t="s">
        <v>113</v>
      </c>
      <c r="H1434" s="79" t="s">
        <v>114</v>
      </c>
      <c r="I1434" s="247" t="s">
        <v>133</v>
      </c>
      <c r="J1434" s="79">
        <v>2025</v>
      </c>
      <c r="K1434" s="79" t="s">
        <v>2933</v>
      </c>
      <c r="L1434" s="79"/>
    </row>
    <row r="1435" spans="1:12" hidden="1" x14ac:dyDescent="0.25">
      <c r="A1435" s="82">
        <v>45464</v>
      </c>
      <c r="B1435" s="79"/>
      <c r="C1435" s="79"/>
      <c r="D1435" s="79"/>
      <c r="E1435" s="79">
        <v>68427709</v>
      </c>
      <c r="F1435" s="242"/>
      <c r="G1435" s="82" t="s">
        <v>797</v>
      </c>
      <c r="H1435" s="79" t="s">
        <v>114</v>
      </c>
      <c r="I1435" s="247"/>
      <c r="J1435" s="79">
        <v>2025</v>
      </c>
      <c r="K1435" s="79" t="s">
        <v>2224</v>
      </c>
      <c r="L1435" s="79"/>
    </row>
    <row r="1436" spans="1:12" hidden="1" x14ac:dyDescent="0.25">
      <c r="A1436" s="79"/>
      <c r="B1436" s="79"/>
      <c r="C1436" s="79"/>
      <c r="D1436" s="79"/>
      <c r="E1436" s="79">
        <v>68427709</v>
      </c>
      <c r="F1436" s="242"/>
      <c r="G1436" s="79"/>
      <c r="H1436" s="79"/>
      <c r="I1436" s="247"/>
      <c r="J1436" s="79">
        <v>2025</v>
      </c>
      <c r="K1436" s="79" t="s">
        <v>2224</v>
      </c>
      <c r="L1436" s="79"/>
    </row>
    <row r="1437" spans="1:12" hidden="1" x14ac:dyDescent="0.25">
      <c r="A1437" s="79"/>
      <c r="B1437" s="79"/>
      <c r="C1437" s="79"/>
      <c r="D1437" s="79"/>
      <c r="E1437" s="79">
        <v>68427709</v>
      </c>
      <c r="F1437" s="242"/>
      <c r="G1437" s="79"/>
      <c r="H1437" s="79"/>
      <c r="I1437" s="247"/>
      <c r="J1437" s="79">
        <v>2025</v>
      </c>
      <c r="K1437" s="79" t="s">
        <v>2224</v>
      </c>
      <c r="L1437" s="79"/>
    </row>
    <row r="1438" spans="1:12" hidden="1" x14ac:dyDescent="0.25">
      <c r="A1438" s="79"/>
      <c r="B1438" s="79"/>
      <c r="C1438" s="79"/>
      <c r="D1438" s="79"/>
      <c r="E1438" s="79">
        <v>68427709</v>
      </c>
      <c r="F1438" s="242"/>
      <c r="G1438" s="79"/>
      <c r="H1438" s="79"/>
      <c r="I1438" s="247"/>
      <c r="J1438" s="79"/>
      <c r="K1438" s="79"/>
      <c r="L1438" s="79"/>
    </row>
    <row r="1439" spans="1:12" x14ac:dyDescent="0.25">
      <c r="A1439" s="79"/>
      <c r="B1439" s="79"/>
      <c r="C1439" s="79"/>
      <c r="D1439" s="79"/>
      <c r="E1439" s="79"/>
      <c r="F1439" s="242"/>
      <c r="G1439" s="79"/>
      <c r="H1439" s="79"/>
      <c r="I1439" s="247"/>
      <c r="J1439" s="79"/>
      <c r="K1439" s="79"/>
      <c r="L1439" s="79"/>
    </row>
    <row r="1440" spans="1:12" x14ac:dyDescent="0.25">
      <c r="A1440" s="79"/>
      <c r="B1440" s="79"/>
      <c r="C1440" s="79"/>
      <c r="D1440" s="79"/>
      <c r="E1440" s="79"/>
      <c r="F1440" s="242"/>
      <c r="G1440" s="79"/>
      <c r="H1440" s="79"/>
      <c r="I1440" s="247"/>
      <c r="J1440" s="79"/>
      <c r="K1440" s="79"/>
      <c r="L1440" s="79"/>
    </row>
    <row r="1441" spans="1:12" x14ac:dyDescent="0.25">
      <c r="A1441" s="79"/>
      <c r="B1441" s="79"/>
      <c r="C1441" s="79"/>
      <c r="D1441" s="79"/>
      <c r="E1441" s="79"/>
      <c r="F1441" s="242"/>
      <c r="G1441" s="79"/>
      <c r="H1441" s="79"/>
      <c r="I1441" s="247"/>
      <c r="J1441" s="79"/>
      <c r="K1441" s="79"/>
      <c r="L1441" s="79"/>
    </row>
    <row r="1442" spans="1:12" x14ac:dyDescent="0.25">
      <c r="A1442" s="79"/>
      <c r="B1442" s="79"/>
      <c r="C1442" s="79"/>
      <c r="D1442" s="79"/>
      <c r="E1442" s="79"/>
      <c r="F1442" s="242"/>
      <c r="G1442" s="79"/>
      <c r="H1442" s="79"/>
      <c r="I1442" s="247"/>
      <c r="J1442" s="79"/>
      <c r="K1442" s="79"/>
      <c r="L1442" s="79"/>
    </row>
    <row r="1443" spans="1:12" x14ac:dyDescent="0.25">
      <c r="A1443" s="79"/>
      <c r="B1443" s="79"/>
      <c r="C1443" s="79"/>
      <c r="D1443" s="79"/>
      <c r="E1443" s="79"/>
      <c r="F1443" s="242"/>
      <c r="G1443" s="79"/>
      <c r="H1443" s="79"/>
      <c r="I1443" s="247"/>
      <c r="J1443" s="79"/>
      <c r="K1443" s="79"/>
      <c r="L1443" s="79"/>
    </row>
    <row r="1444" spans="1:12" x14ac:dyDescent="0.25">
      <c r="A1444" s="79"/>
      <c r="B1444" s="79"/>
      <c r="C1444" s="79"/>
      <c r="D1444" s="79"/>
      <c r="E1444" s="79"/>
      <c r="F1444" s="242"/>
      <c r="G1444" s="79"/>
      <c r="H1444" s="79"/>
      <c r="I1444" s="247"/>
      <c r="J1444" s="79"/>
      <c r="K1444" s="79"/>
      <c r="L1444" s="79"/>
    </row>
    <row r="1445" spans="1:12" x14ac:dyDescent="0.25">
      <c r="A1445" s="79"/>
      <c r="B1445" s="79"/>
      <c r="C1445" s="79"/>
      <c r="D1445" s="79"/>
      <c r="E1445" s="79"/>
      <c r="F1445" s="242"/>
      <c r="G1445" s="79"/>
      <c r="H1445" s="79"/>
      <c r="I1445" s="247"/>
      <c r="J1445" s="79"/>
      <c r="K1445" s="79"/>
      <c r="L1445" s="79"/>
    </row>
    <row r="1446" spans="1:12" x14ac:dyDescent="0.25">
      <c r="A1446" s="79"/>
      <c r="B1446" s="79"/>
      <c r="C1446" s="79"/>
      <c r="D1446" s="79"/>
      <c r="E1446" s="79"/>
      <c r="F1446" s="242"/>
      <c r="G1446" s="79"/>
      <c r="H1446" s="79"/>
      <c r="I1446" s="247"/>
      <c r="J1446" s="79"/>
      <c r="K1446" s="79"/>
      <c r="L1446" s="79"/>
    </row>
    <row r="1447" spans="1:12" x14ac:dyDescent="0.25">
      <c r="A1447" s="79"/>
      <c r="B1447" s="79"/>
      <c r="C1447" s="79"/>
      <c r="D1447" s="79"/>
      <c r="E1447" s="79"/>
      <c r="F1447" s="242"/>
      <c r="G1447" s="79"/>
      <c r="H1447" s="79"/>
      <c r="I1447" s="247"/>
      <c r="J1447" s="79"/>
      <c r="K1447" s="79"/>
      <c r="L1447" s="79"/>
    </row>
    <row r="1448" spans="1:12" x14ac:dyDescent="0.25">
      <c r="A1448" s="79"/>
      <c r="B1448" s="79"/>
      <c r="C1448" s="79"/>
      <c r="D1448" s="79"/>
      <c r="E1448" s="79"/>
      <c r="F1448" s="242"/>
      <c r="G1448" s="79"/>
      <c r="H1448" s="79"/>
      <c r="I1448" s="247"/>
      <c r="J1448" s="79"/>
      <c r="K1448" s="79"/>
      <c r="L1448" s="79"/>
    </row>
    <row r="1449" spans="1:12" x14ac:dyDescent="0.25">
      <c r="A1449" s="79"/>
      <c r="B1449" s="79"/>
      <c r="C1449" s="79"/>
      <c r="D1449" s="79"/>
      <c r="E1449" s="79"/>
      <c r="F1449" s="242"/>
      <c r="G1449" s="79"/>
      <c r="H1449" s="79"/>
      <c r="I1449" s="247"/>
      <c r="J1449" s="79"/>
      <c r="K1449" s="79"/>
      <c r="L1449" s="79"/>
    </row>
    <row r="1450" spans="1:12" x14ac:dyDescent="0.25">
      <c r="A1450" s="79"/>
      <c r="B1450" s="79"/>
      <c r="C1450" s="79"/>
      <c r="D1450" s="79"/>
      <c r="E1450" s="79"/>
      <c r="F1450" s="242"/>
      <c r="G1450" s="79"/>
      <c r="H1450" s="79"/>
      <c r="I1450" s="247"/>
      <c r="J1450" s="79"/>
      <c r="K1450" s="79"/>
      <c r="L1450" s="79"/>
    </row>
    <row r="1451" spans="1:12" x14ac:dyDescent="0.25">
      <c r="A1451" s="79"/>
      <c r="B1451" s="79"/>
      <c r="C1451" s="79"/>
      <c r="D1451" s="79"/>
      <c r="E1451" s="79"/>
      <c r="F1451" s="242"/>
      <c r="G1451" s="79"/>
      <c r="H1451" s="79"/>
      <c r="I1451" s="247"/>
      <c r="J1451" s="79"/>
      <c r="K1451" s="79"/>
      <c r="L1451" s="79"/>
    </row>
    <row r="1452" spans="1:12" x14ac:dyDescent="0.25">
      <c r="A1452" s="79"/>
      <c r="B1452" s="79"/>
      <c r="C1452" s="79"/>
      <c r="D1452" s="79"/>
      <c r="E1452" s="79"/>
      <c r="F1452" s="242"/>
      <c r="G1452" s="79"/>
      <c r="H1452" s="79"/>
      <c r="I1452" s="247"/>
      <c r="J1452" s="79"/>
      <c r="K1452" s="79"/>
      <c r="L1452" s="79"/>
    </row>
    <row r="1453" spans="1:12" x14ac:dyDescent="0.25">
      <c r="A1453" s="79"/>
      <c r="B1453" s="79"/>
      <c r="C1453" s="79"/>
      <c r="D1453" s="79"/>
      <c r="E1453" s="79"/>
      <c r="F1453" s="242"/>
      <c r="G1453" s="79"/>
      <c r="H1453" s="79"/>
      <c r="I1453" s="247"/>
      <c r="J1453" s="79"/>
      <c r="K1453" s="79"/>
      <c r="L1453" s="79"/>
    </row>
    <row r="1454" spans="1:12" x14ac:dyDescent="0.25">
      <c r="A1454" s="79"/>
      <c r="B1454" s="79"/>
      <c r="C1454" s="79"/>
      <c r="D1454" s="79"/>
      <c r="E1454" s="79"/>
      <c r="F1454" s="79"/>
      <c r="G1454" s="79"/>
      <c r="H1454" s="79"/>
      <c r="I1454" s="247"/>
      <c r="J1454" s="79"/>
      <c r="K1454" s="79"/>
      <c r="L1454" s="79"/>
    </row>
    <row r="1455" spans="1:12" x14ac:dyDescent="0.25">
      <c r="A1455" s="79"/>
      <c r="B1455" s="79"/>
      <c r="C1455" s="79"/>
      <c r="D1455" s="79"/>
      <c r="E1455" s="79"/>
      <c r="F1455" s="79"/>
      <c r="G1455" s="79"/>
      <c r="H1455" s="79"/>
      <c r="I1455" s="247"/>
      <c r="J1455" s="79"/>
      <c r="K1455" s="79"/>
      <c r="L1455" s="79"/>
    </row>
    <row r="1456" spans="1:12" x14ac:dyDescent="0.25">
      <c r="A1456" s="79"/>
      <c r="B1456" s="79"/>
      <c r="C1456" s="79"/>
      <c r="D1456" s="79"/>
      <c r="E1456" s="79"/>
      <c r="F1456" s="79"/>
      <c r="G1456" s="79"/>
      <c r="H1456" s="79"/>
      <c r="I1456" s="247"/>
      <c r="J1456" s="79"/>
      <c r="K1456" s="79"/>
      <c r="L1456" s="79"/>
    </row>
    <row r="1457" spans="1:24" x14ac:dyDescent="0.25">
      <c r="A1457" s="79"/>
      <c r="B1457" s="79"/>
      <c r="C1457" s="79"/>
      <c r="D1457" s="79"/>
      <c r="E1457" s="79"/>
      <c r="F1457" s="79"/>
      <c r="G1457" s="79"/>
      <c r="H1457" s="79"/>
      <c r="I1457" s="247"/>
      <c r="J1457" s="79"/>
      <c r="K1457" s="79"/>
      <c r="L1457" s="79"/>
    </row>
    <row r="1458" spans="1:24" x14ac:dyDescent="0.25">
      <c r="A1458" s="79"/>
      <c r="B1458" s="79"/>
      <c r="C1458" s="79"/>
      <c r="D1458" s="79"/>
      <c r="E1458" s="79"/>
      <c r="F1458" s="79"/>
      <c r="G1458" s="79"/>
      <c r="H1458" s="79"/>
      <c r="I1458" s="247"/>
      <c r="J1458" s="79"/>
      <c r="K1458" s="79"/>
      <c r="L1458" s="79"/>
    </row>
    <row r="1462" spans="1:24" x14ac:dyDescent="0.25">
      <c r="N1462" t="s">
        <v>2723</v>
      </c>
      <c r="O1462" t="s">
        <v>2728</v>
      </c>
      <c r="P1462" t="s">
        <v>3617</v>
      </c>
      <c r="Q1462" t="s">
        <v>2739</v>
      </c>
      <c r="R1462" t="s">
        <v>3618</v>
      </c>
      <c r="S1462" t="s">
        <v>3619</v>
      </c>
      <c r="T1462" t="s">
        <v>3620</v>
      </c>
      <c r="U1462" s="246" t="s">
        <v>3621</v>
      </c>
      <c r="V1462" t="s">
        <v>3622</v>
      </c>
      <c r="W1462" t="s">
        <v>3620</v>
      </c>
      <c r="X1462" t="s">
        <v>3621</v>
      </c>
    </row>
    <row r="1463" spans="1:24" x14ac:dyDescent="0.25">
      <c r="N1463" s="168" t="s">
        <v>3623</v>
      </c>
      <c r="O1463" t="s">
        <v>603</v>
      </c>
      <c r="P1463" t="s">
        <v>3624</v>
      </c>
      <c r="Q1463" t="s">
        <v>3625</v>
      </c>
      <c r="R1463" t="s">
        <v>3626</v>
      </c>
      <c r="T1463">
        <v>1</v>
      </c>
      <c r="U1463" s="246" t="s">
        <v>3627</v>
      </c>
      <c r="V1463" t="s">
        <v>3628</v>
      </c>
      <c r="W1463">
        <v>0</v>
      </c>
      <c r="X1463" t="s">
        <v>3629</v>
      </c>
    </row>
    <row r="1464" spans="1:24" x14ac:dyDescent="0.25">
      <c r="N1464" s="168"/>
      <c r="Q1464" t="s">
        <v>3692</v>
      </c>
      <c r="U1464" s="246"/>
    </row>
    <row r="1465" spans="1:24" x14ac:dyDescent="0.25">
      <c r="N1465" s="168" t="s">
        <v>435</v>
      </c>
      <c r="O1465" t="s">
        <v>603</v>
      </c>
      <c r="P1465" t="s">
        <v>3630</v>
      </c>
      <c r="Q1465" t="s">
        <v>3631</v>
      </c>
      <c r="R1465" s="41">
        <v>45292</v>
      </c>
      <c r="T1465">
        <v>20</v>
      </c>
      <c r="U1465" s="246" t="s">
        <v>3632</v>
      </c>
      <c r="V1465" t="s">
        <v>3633</v>
      </c>
      <c r="W1465">
        <v>20</v>
      </c>
      <c r="X1465" t="s">
        <v>3632</v>
      </c>
    </row>
    <row r="1466" spans="1:24" x14ac:dyDescent="0.25">
      <c r="N1466" s="168" t="s">
        <v>435</v>
      </c>
      <c r="O1466" t="s">
        <v>603</v>
      </c>
      <c r="P1466" t="s">
        <v>3634</v>
      </c>
      <c r="Q1466" t="s">
        <v>3631</v>
      </c>
      <c r="R1466" s="41">
        <v>45292</v>
      </c>
      <c r="T1466">
        <v>1</v>
      </c>
      <c r="U1466" s="246" t="s">
        <v>3635</v>
      </c>
      <c r="V1466" t="s">
        <v>3636</v>
      </c>
      <c r="W1466">
        <v>1</v>
      </c>
      <c r="X1466" t="s">
        <v>3635</v>
      </c>
    </row>
    <row r="1467" spans="1:24" x14ac:dyDescent="0.25">
      <c r="N1467" s="168" t="s">
        <v>435</v>
      </c>
      <c r="O1467" t="s">
        <v>3637</v>
      </c>
      <c r="P1467" t="s">
        <v>3638</v>
      </c>
      <c r="Q1467" t="s">
        <v>3639</v>
      </c>
      <c r="R1467" s="41">
        <v>45665</v>
      </c>
      <c r="S1467" t="s">
        <v>3640</v>
      </c>
      <c r="T1467">
        <v>1000</v>
      </c>
      <c r="U1467" s="246" t="s">
        <v>3641</v>
      </c>
      <c r="V1467" t="s">
        <v>3642</v>
      </c>
      <c r="W1467">
        <v>1825</v>
      </c>
      <c r="X1467" t="s">
        <v>3643</v>
      </c>
    </row>
    <row r="1468" spans="1:24" x14ac:dyDescent="0.25">
      <c r="N1468" s="168" t="s">
        <v>435</v>
      </c>
      <c r="O1468" t="s">
        <v>3637</v>
      </c>
      <c r="P1468" t="s">
        <v>3644</v>
      </c>
      <c r="R1468" s="41">
        <v>45665</v>
      </c>
      <c r="T1468">
        <v>2</v>
      </c>
      <c r="U1468" s="246" t="s">
        <v>3645</v>
      </c>
      <c r="V1468" t="s">
        <v>3646</v>
      </c>
      <c r="W1468">
        <v>2</v>
      </c>
      <c r="X1468" t="s">
        <v>3645</v>
      </c>
    </row>
    <row r="1469" spans="1:24" x14ac:dyDescent="0.25">
      <c r="N1469" s="168" t="s">
        <v>435</v>
      </c>
      <c r="O1469" t="s">
        <v>3637</v>
      </c>
      <c r="P1469" t="s">
        <v>3647</v>
      </c>
      <c r="Q1469" t="s">
        <v>3648</v>
      </c>
      <c r="R1469" s="41">
        <v>45665</v>
      </c>
      <c r="T1469">
        <v>2</v>
      </c>
      <c r="U1469" s="246" t="s">
        <v>3649</v>
      </c>
      <c r="V1469" t="s">
        <v>3650</v>
      </c>
      <c r="W1469">
        <v>2</v>
      </c>
      <c r="X1469" t="s">
        <v>3649</v>
      </c>
    </row>
    <row r="1470" spans="1:24" x14ac:dyDescent="0.25">
      <c r="N1470" s="168" t="s">
        <v>3651</v>
      </c>
      <c r="O1470" t="s">
        <v>3637</v>
      </c>
      <c r="P1470" t="s">
        <v>3652</v>
      </c>
      <c r="Q1470" t="s">
        <v>3653</v>
      </c>
      <c r="R1470" s="41">
        <v>45659</v>
      </c>
      <c r="T1470">
        <v>1</v>
      </c>
      <c r="U1470" s="246" t="s">
        <v>3654</v>
      </c>
      <c r="V1470" t="s">
        <v>3655</v>
      </c>
      <c r="W1470">
        <v>1</v>
      </c>
      <c r="X1470" t="s">
        <v>3656</v>
      </c>
    </row>
    <row r="1471" spans="1:24" x14ac:dyDescent="0.25">
      <c r="N1471" s="168" t="s">
        <v>435</v>
      </c>
      <c r="O1471" t="s">
        <v>3657</v>
      </c>
      <c r="P1471" t="s">
        <v>3658</v>
      </c>
      <c r="Q1471" t="s">
        <v>3659</v>
      </c>
      <c r="R1471" t="s">
        <v>3660</v>
      </c>
      <c r="T1471" t="s">
        <v>3626</v>
      </c>
      <c r="U1471" s="246"/>
    </row>
    <row r="1472" spans="1:24" x14ac:dyDescent="0.25">
      <c r="N1472" s="168" t="s">
        <v>435</v>
      </c>
      <c r="O1472" t="s">
        <v>3661</v>
      </c>
      <c r="P1472" t="s">
        <v>3662</v>
      </c>
      <c r="R1472" t="s">
        <v>3663</v>
      </c>
      <c r="T1472">
        <v>1625</v>
      </c>
      <c r="U1472" s="246" t="s">
        <v>3664</v>
      </c>
      <c r="V1472" t="s">
        <v>3665</v>
      </c>
      <c r="W1472">
        <v>1825</v>
      </c>
      <c r="X1472" t="s">
        <v>3666</v>
      </c>
    </row>
    <row r="1473" spans="14:24" x14ac:dyDescent="0.25">
      <c r="N1473" s="168" t="s">
        <v>435</v>
      </c>
      <c r="O1473" t="s">
        <v>558</v>
      </c>
      <c r="P1473" t="s">
        <v>3667</v>
      </c>
      <c r="Q1473" t="s">
        <v>3668</v>
      </c>
      <c r="R1473" t="s">
        <v>3669</v>
      </c>
      <c r="U1473" s="246"/>
    </row>
    <row r="1474" spans="14:24" x14ac:dyDescent="0.25">
      <c r="N1474" s="168" t="s">
        <v>435</v>
      </c>
      <c r="O1474" t="s">
        <v>3670</v>
      </c>
      <c r="P1474" t="s">
        <v>3671</v>
      </c>
      <c r="Q1474" t="s">
        <v>3673</v>
      </c>
      <c r="R1474" t="s">
        <v>3675</v>
      </c>
      <c r="T1474">
        <v>1</v>
      </c>
      <c r="U1474" s="246" t="s">
        <v>3676</v>
      </c>
      <c r="V1474" t="s">
        <v>3677</v>
      </c>
      <c r="W1474">
        <v>1</v>
      </c>
      <c r="X1474" t="s">
        <v>3676</v>
      </c>
    </row>
    <row r="1475" spans="14:24" x14ac:dyDescent="0.25">
      <c r="P1475" t="s">
        <v>3672</v>
      </c>
      <c r="Q1475" t="s">
        <v>3674</v>
      </c>
      <c r="U1475" s="246"/>
    </row>
    <row r="1476" spans="14:24" x14ac:dyDescent="0.25">
      <c r="N1476" s="168" t="s">
        <v>3678</v>
      </c>
      <c r="O1476" s="168" t="s">
        <v>603</v>
      </c>
      <c r="P1476" t="s">
        <v>3679</v>
      </c>
      <c r="Q1476" t="s">
        <v>3680</v>
      </c>
      <c r="R1476" t="s">
        <v>3669</v>
      </c>
      <c r="U1476" s="246"/>
    </row>
    <row r="1477" spans="14:24" x14ac:dyDescent="0.25">
      <c r="N1477" s="168" t="s">
        <v>435</v>
      </c>
      <c r="O1477" s="168" t="s">
        <v>3681</v>
      </c>
      <c r="P1477" t="s">
        <v>3682</v>
      </c>
      <c r="Q1477" t="s">
        <v>3683</v>
      </c>
      <c r="R1477" t="s">
        <v>3669</v>
      </c>
      <c r="T1477">
        <v>2</v>
      </c>
      <c r="U1477" s="246" t="s">
        <v>3685</v>
      </c>
      <c r="V1477" t="s">
        <v>3686</v>
      </c>
      <c r="W1477">
        <v>2</v>
      </c>
      <c r="X1477" t="s">
        <v>3685</v>
      </c>
    </row>
    <row r="1478" spans="14:24" x14ac:dyDescent="0.25">
      <c r="Q1478" t="s">
        <v>3684</v>
      </c>
      <c r="U1478" s="246"/>
    </row>
    <row r="1479" spans="14:24" x14ac:dyDescent="0.25">
      <c r="N1479" t="s">
        <v>3687</v>
      </c>
      <c r="O1479" t="s">
        <v>603</v>
      </c>
      <c r="P1479" t="s">
        <v>3688</v>
      </c>
      <c r="Q1479" t="s">
        <v>3689</v>
      </c>
      <c r="R1479" s="41">
        <v>45658</v>
      </c>
      <c r="T1479">
        <v>1</v>
      </c>
      <c r="U1479" s="246" t="s">
        <v>3690</v>
      </c>
      <c r="V1479" t="s">
        <v>3691</v>
      </c>
      <c r="W1479">
        <v>1</v>
      </c>
      <c r="X1479" t="s">
        <v>3690</v>
      </c>
    </row>
  </sheetData>
  <autoFilter ref="A1217:AA1438" xr:uid="{00000000-0001-0000-0400-000000000000}">
    <filterColumn colId="10">
      <filters>
        <filter val="Diego"/>
      </filters>
    </filterColumn>
  </autoFilter>
  <sortState xmlns:xlrd2="http://schemas.microsoft.com/office/spreadsheetml/2017/richdata2" ref="B356:F356">
    <sortCondition descending="1" ref="B355"/>
  </sortState>
  <dataValidations disablePrompts="1" count="1">
    <dataValidation type="list" allowBlank="1" showInputMessage="1" showErrorMessage="1" sqref="I2:I198 I202 I362 I364 I368" xr:uid="{00000000-0002-0000-0400-000000000000}">
      <formula1>"Maintenance,Support,Hardware/NW,Hosting,Subscription,Other,License"</formula1>
    </dataValidation>
  </dataValidations>
  <pageMargins left="0.7" right="0.7" top="0.75" bottom="0.75" header="0.3" footer="0.3"/>
  <pageSetup orientation="portrait" r:id="rId1"/>
  <customProperties>
    <customPr name="_pios_id" r:id="rId2"/>
    <customPr name="EpmWorksheetKeyString_GUID"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filterMode="1">
    <tabColor rgb="FF92D050"/>
  </sheetPr>
  <dimension ref="A1:XFB409"/>
  <sheetViews>
    <sheetView showGridLines="0" tabSelected="1" topLeftCell="G1" zoomScale="95" zoomScaleNormal="70" workbookViewId="0">
      <pane xSplit="1" ySplit="1" topLeftCell="H21" activePane="bottomRight" state="frozen"/>
      <selection activeCell="G1" sqref="G1"/>
      <selection pane="topRight" activeCell="H1" sqref="H1"/>
      <selection pane="bottomLeft" activeCell="G2" sqref="G2"/>
      <selection pane="bottomRight" activeCell="R51" sqref="L51:R51"/>
    </sheetView>
  </sheetViews>
  <sheetFormatPr defaultColWidth="24.42578125" defaultRowHeight="15" x14ac:dyDescent="0.25"/>
  <cols>
    <col min="1" max="1" width="9" bestFit="1" customWidth="1"/>
    <col min="2" max="2" width="12.42578125" customWidth="1"/>
    <col min="3" max="3" width="11.5703125" customWidth="1"/>
    <col min="4" max="5" width="24.42578125" customWidth="1"/>
    <col min="6" max="6" width="29.5703125" customWidth="1"/>
    <col min="7" max="7" width="24.42578125" customWidth="1"/>
    <col min="8" max="8" width="47.7109375" customWidth="1"/>
    <col min="9" max="9" width="27.5703125" customWidth="1"/>
    <col min="10" max="10" width="11.42578125" customWidth="1"/>
    <col min="11" max="11" width="12.5703125" customWidth="1"/>
    <col min="12" max="12" width="24.42578125" customWidth="1"/>
    <col min="13" max="14" width="24.42578125" style="21" customWidth="1"/>
    <col min="15" max="16" width="24.42578125" customWidth="1"/>
    <col min="17" max="17" width="15.5703125" customWidth="1"/>
    <col min="18" max="18" width="20.5703125" customWidth="1"/>
    <col min="19" max="19" width="14.42578125" style="1" customWidth="1"/>
    <col min="20" max="21" width="15.42578125" style="1" customWidth="1"/>
    <col min="22" max="22" width="15.5703125" style="1" customWidth="1"/>
    <col min="23" max="23" width="11.5703125" bestFit="1" customWidth="1"/>
    <col min="24" max="24" width="33" customWidth="1"/>
    <col min="26" max="26" width="10.42578125" bestFit="1" customWidth="1"/>
    <col min="27" max="27" width="17.5703125" bestFit="1" customWidth="1"/>
    <col min="28" max="28" width="13.42578125" bestFit="1" customWidth="1"/>
    <col min="29" max="29" width="9.42578125" bestFit="1" customWidth="1"/>
    <col min="30" max="30" width="48.5703125" bestFit="1" customWidth="1"/>
  </cols>
  <sheetData>
    <row r="1" spans="1:30" x14ac:dyDescent="0.25">
      <c r="A1" s="94" t="s">
        <v>105</v>
      </c>
      <c r="B1" s="30" t="s">
        <v>2721</v>
      </c>
      <c r="C1" s="30" t="s">
        <v>2722</v>
      </c>
      <c r="D1" s="4" t="s">
        <v>103</v>
      </c>
      <c r="E1" s="94" t="s">
        <v>10</v>
      </c>
      <c r="F1" s="94" t="s">
        <v>2723</v>
      </c>
      <c r="G1" s="94" t="s">
        <v>2724</v>
      </c>
      <c r="H1" s="94" t="s">
        <v>11</v>
      </c>
      <c r="I1" s="94" t="s">
        <v>2725</v>
      </c>
      <c r="J1" s="94" t="s">
        <v>2726</v>
      </c>
      <c r="K1" s="94" t="s">
        <v>2727</v>
      </c>
      <c r="L1" s="94" t="s">
        <v>2728</v>
      </c>
      <c r="M1" s="94" t="s">
        <v>2729</v>
      </c>
      <c r="N1" s="94" t="s">
        <v>2730</v>
      </c>
      <c r="O1" s="94" t="s">
        <v>2731</v>
      </c>
      <c r="P1" s="94" t="s">
        <v>2732</v>
      </c>
      <c r="Q1" s="94" t="s">
        <v>2733</v>
      </c>
      <c r="R1" s="99" t="s">
        <v>2734</v>
      </c>
      <c r="S1" s="3" t="s">
        <v>2735</v>
      </c>
      <c r="T1" s="3" t="s">
        <v>2736</v>
      </c>
      <c r="U1" s="3" t="s">
        <v>3696</v>
      </c>
      <c r="V1" s="3" t="s">
        <v>2737</v>
      </c>
      <c r="W1" s="4" t="s">
        <v>2738</v>
      </c>
      <c r="X1" s="2" t="s">
        <v>2739</v>
      </c>
      <c r="Y1" s="30" t="s">
        <v>2303</v>
      </c>
      <c r="Z1" s="30" t="s">
        <v>2740</v>
      </c>
      <c r="AA1" s="4" t="s">
        <v>2741</v>
      </c>
      <c r="AB1" s="4" t="s">
        <v>2742</v>
      </c>
      <c r="AC1" s="4" t="s">
        <v>2743</v>
      </c>
      <c r="AD1" s="4" t="s">
        <v>2744</v>
      </c>
    </row>
    <row r="2" spans="1:30" hidden="1" x14ac:dyDescent="0.25">
      <c r="A2" t="s">
        <v>2745</v>
      </c>
      <c r="B2" t="str">
        <f t="shared" ref="B2:B58" si="0">IF(T2=U2,"No Change",IF(AND(U2&lt;&gt;0,U2&lt;T2),"Decrease",IF(AND(U2&lt;&gt;0,T2=0),"New",IF(AND(T2&lt;&gt;0,U2=0),"Decommissioned","Increase"))))</f>
        <v>No Change</v>
      </c>
      <c r="C2" t="s">
        <v>2746</v>
      </c>
      <c r="D2">
        <v>68427709</v>
      </c>
      <c r="E2" s="101" t="s">
        <v>51</v>
      </c>
      <c r="F2" s="26" t="s">
        <v>52</v>
      </c>
      <c r="G2" s="26" t="s">
        <v>42</v>
      </c>
      <c r="H2" s="26" t="s">
        <v>2747</v>
      </c>
      <c r="I2">
        <v>0</v>
      </c>
      <c r="J2" t="s">
        <v>2748</v>
      </c>
      <c r="K2" s="26">
        <v>166350</v>
      </c>
      <c r="L2" s="26" t="s">
        <v>2749</v>
      </c>
      <c r="M2" s="28">
        <v>5400945798</v>
      </c>
      <c r="N2" s="28">
        <v>10</v>
      </c>
      <c r="O2" s="26" t="s">
        <v>2676</v>
      </c>
      <c r="P2" s="26" t="s">
        <v>2544</v>
      </c>
      <c r="Q2" s="26" t="s">
        <v>2750</v>
      </c>
      <c r="R2" s="96" t="s">
        <v>2751</v>
      </c>
      <c r="S2" s="7">
        <v>175000</v>
      </c>
      <c r="T2" s="7">
        <v>175000</v>
      </c>
      <c r="U2" s="7">
        <v>175000</v>
      </c>
      <c r="V2" s="7">
        <f t="shared" ref="V2:V58" si="1">U2-T2</f>
        <v>0</v>
      </c>
      <c r="W2" s="5">
        <f t="shared" ref="W2:W30" si="2">IF(B2="New",1,IFERROR(V2/T2,0))</f>
        <v>0</v>
      </c>
      <c r="X2" s="6"/>
      <c r="Y2" s="33">
        <f>SUMPRODUCT((BIdetails!$J$5:$J$3000=M2)*(BIdetails!$K$5:$K$3000=N2)*(BIdetails!$M$5:$M$3000))</f>
        <v>0</v>
      </c>
      <c r="Z2" s="34">
        <f t="shared" ref="Z2:Z61" si="3">IF(U2=0,"",(Y2/U2))</f>
        <v>0</v>
      </c>
      <c r="AA2" s="31" t="s">
        <v>649</v>
      </c>
      <c r="AB2" s="31" t="s">
        <v>2752</v>
      </c>
      <c r="AC2" s="31"/>
      <c r="AD2" s="31"/>
    </row>
    <row r="3" spans="1:30" hidden="1" x14ac:dyDescent="0.25">
      <c r="A3" t="s">
        <v>2745</v>
      </c>
      <c r="B3" t="str">
        <f t="shared" si="0"/>
        <v>Increase</v>
      </c>
      <c r="D3">
        <v>68427709</v>
      </c>
      <c r="E3" s="95" t="s">
        <v>53</v>
      </c>
      <c r="F3" t="s">
        <v>54</v>
      </c>
      <c r="G3" s="96" t="s">
        <v>42</v>
      </c>
      <c r="H3" s="96" t="s">
        <v>1620</v>
      </c>
      <c r="J3" t="s">
        <v>2753</v>
      </c>
      <c r="K3">
        <v>210633</v>
      </c>
      <c r="L3" s="96" t="s">
        <v>2754</v>
      </c>
      <c r="M3">
        <v>5400949579</v>
      </c>
      <c r="N3" s="21">
        <v>20</v>
      </c>
      <c r="O3" s="96" t="s">
        <v>2676</v>
      </c>
      <c r="P3" s="96" t="s">
        <v>2755</v>
      </c>
      <c r="Q3" t="s">
        <v>2756</v>
      </c>
      <c r="R3" t="s">
        <v>2757</v>
      </c>
      <c r="S3" s="7">
        <v>360000</v>
      </c>
      <c r="T3" s="7">
        <v>482000</v>
      </c>
      <c r="U3" s="7">
        <v>552000</v>
      </c>
      <c r="V3" s="7">
        <f t="shared" si="1"/>
        <v>70000</v>
      </c>
      <c r="W3" s="5">
        <f t="shared" si="2"/>
        <v>0.14522821576763487</v>
      </c>
      <c r="X3" s="6"/>
      <c r="Y3" s="33">
        <f>SUMPRODUCT((BIdetails!$J$5:$J$3000=M3)*(BIdetails!$K$5:$K$3000=N3)*(BIdetails!$M$5:$M$3000))</f>
        <v>0</v>
      </c>
      <c r="Z3" s="34">
        <f t="shared" si="3"/>
        <v>0</v>
      </c>
      <c r="AA3" s="31" t="s">
        <v>2758</v>
      </c>
      <c r="AB3" s="31" t="s">
        <v>2759</v>
      </c>
      <c r="AC3" s="31"/>
      <c r="AD3" s="31"/>
    </row>
    <row r="4" spans="1:30" hidden="1" x14ac:dyDescent="0.25">
      <c r="A4" t="s">
        <v>2745</v>
      </c>
      <c r="B4" t="str">
        <f t="shared" si="0"/>
        <v>Increase</v>
      </c>
      <c r="D4">
        <v>68427709</v>
      </c>
      <c r="E4" s="95" t="s">
        <v>53</v>
      </c>
      <c r="F4" t="s">
        <v>54</v>
      </c>
      <c r="G4" t="s">
        <v>42</v>
      </c>
      <c r="H4" s="26" t="s">
        <v>2277</v>
      </c>
      <c r="J4" t="s">
        <v>2760</v>
      </c>
      <c r="K4">
        <v>210633</v>
      </c>
      <c r="L4" s="96" t="s">
        <v>2761</v>
      </c>
      <c r="M4">
        <v>5400945790</v>
      </c>
      <c r="N4" s="21">
        <v>20</v>
      </c>
      <c r="O4" s="26" t="s">
        <v>2676</v>
      </c>
      <c r="P4" s="26" t="s">
        <v>2755</v>
      </c>
      <c r="Q4" t="s">
        <v>2762</v>
      </c>
      <c r="R4" t="s">
        <v>2757</v>
      </c>
      <c r="S4" s="7">
        <v>24000</v>
      </c>
      <c r="T4" s="7">
        <v>26000</v>
      </c>
      <c r="U4" s="7">
        <v>30000</v>
      </c>
      <c r="V4" s="7">
        <f t="shared" si="1"/>
        <v>4000</v>
      </c>
      <c r="W4" s="5">
        <f t="shared" si="2"/>
        <v>0.15384615384615385</v>
      </c>
      <c r="X4" s="123"/>
      <c r="Y4" s="33">
        <f>SUMPRODUCT((BIdetails!$J$5:$J$3000=M4)*(BIdetails!$K$5:$K$3000=N4)*(BIdetails!$M$5:$M$3000))</f>
        <v>0</v>
      </c>
      <c r="Z4" s="34">
        <f t="shared" si="3"/>
        <v>0</v>
      </c>
      <c r="AA4" s="31"/>
      <c r="AB4" s="31"/>
      <c r="AC4" s="31"/>
      <c r="AD4" s="31"/>
    </row>
    <row r="5" spans="1:30" hidden="1" x14ac:dyDescent="0.25">
      <c r="A5" t="s">
        <v>2745</v>
      </c>
      <c r="B5" t="str">
        <f t="shared" si="0"/>
        <v>Decrease</v>
      </c>
      <c r="C5" t="s">
        <v>2763</v>
      </c>
      <c r="D5">
        <v>68427709</v>
      </c>
      <c r="E5" s="95" t="s">
        <v>53</v>
      </c>
      <c r="F5" t="s">
        <v>54</v>
      </c>
      <c r="G5" t="s">
        <v>42</v>
      </c>
      <c r="H5" s="26" t="s">
        <v>619</v>
      </c>
      <c r="I5">
        <v>0</v>
      </c>
      <c r="J5" t="s">
        <v>2764</v>
      </c>
      <c r="K5" s="151">
        <v>197617</v>
      </c>
      <c r="L5" s="26" t="s">
        <v>2765</v>
      </c>
      <c r="M5" s="21">
        <v>5400860691</v>
      </c>
      <c r="N5" s="21">
        <v>30</v>
      </c>
      <c r="O5" s="26" t="s">
        <v>2676</v>
      </c>
      <c r="P5" s="26" t="s">
        <v>2766</v>
      </c>
      <c r="Q5" t="s">
        <v>2767</v>
      </c>
      <c r="R5" t="s">
        <v>2768</v>
      </c>
      <c r="S5" s="7">
        <v>55000</v>
      </c>
      <c r="T5" s="7">
        <v>67000</v>
      </c>
      <c r="U5" s="7">
        <v>66000</v>
      </c>
      <c r="V5" s="7">
        <f t="shared" si="1"/>
        <v>-1000</v>
      </c>
      <c r="W5" s="5">
        <f t="shared" si="2"/>
        <v>-1.4925373134328358E-2</v>
      </c>
      <c r="X5" s="6"/>
      <c r="Y5" s="33">
        <f>SUMPRODUCT((BIdetails!$J$5:$J$3000=M5)*(BIdetails!$K$5:$K$3000=N5)*(BIdetails!$M$5:$M$3000))</f>
        <v>0</v>
      </c>
      <c r="Z5" s="34">
        <f t="shared" si="3"/>
        <v>0</v>
      </c>
      <c r="AA5" s="31"/>
      <c r="AB5" s="31"/>
      <c r="AC5" s="31"/>
      <c r="AD5" s="31"/>
    </row>
    <row r="6" spans="1:30" hidden="1" x14ac:dyDescent="0.25">
      <c r="A6" t="s">
        <v>2745</v>
      </c>
      <c r="B6" t="str">
        <f t="shared" si="0"/>
        <v>No Change</v>
      </c>
      <c r="D6">
        <v>68427709</v>
      </c>
      <c r="E6" s="95" t="s">
        <v>41</v>
      </c>
      <c r="F6" s="96" t="s">
        <v>57</v>
      </c>
      <c r="G6" s="96" t="s">
        <v>42</v>
      </c>
      <c r="H6" s="96" t="s">
        <v>2339</v>
      </c>
      <c r="J6" t="s">
        <v>2769</v>
      </c>
      <c r="K6">
        <v>187516</v>
      </c>
      <c r="L6" s="96" t="s">
        <v>603</v>
      </c>
      <c r="M6" s="97"/>
      <c r="N6" s="97"/>
      <c r="O6" s="96" t="s">
        <v>1734</v>
      </c>
      <c r="P6" s="26" t="s">
        <v>1734</v>
      </c>
      <c r="Q6" t="s">
        <v>2762</v>
      </c>
      <c r="R6" t="s">
        <v>2751</v>
      </c>
      <c r="S6" s="7">
        <v>30000</v>
      </c>
      <c r="T6" s="7">
        <v>100000</v>
      </c>
      <c r="U6" s="7">
        <v>100000</v>
      </c>
      <c r="V6" s="7">
        <f t="shared" si="1"/>
        <v>0</v>
      </c>
      <c r="W6" s="5">
        <f t="shared" si="2"/>
        <v>0</v>
      </c>
      <c r="X6" s="6"/>
      <c r="Y6" s="33">
        <f>SUMPRODUCT((BIdetails!$J$5:$J$3000=M6)*(BIdetails!$K$5:$K$3000=N6)*(BIdetails!$M$5:$M$3000))</f>
        <v>0</v>
      </c>
      <c r="Z6" s="34">
        <f t="shared" si="3"/>
        <v>0</v>
      </c>
      <c r="AA6" s="31"/>
      <c r="AB6" s="31"/>
      <c r="AC6" s="31"/>
      <c r="AD6" s="31"/>
    </row>
    <row r="7" spans="1:30" hidden="1" x14ac:dyDescent="0.25">
      <c r="A7" t="s">
        <v>2745</v>
      </c>
      <c r="B7" t="str">
        <f t="shared" si="0"/>
        <v>Decrease</v>
      </c>
      <c r="C7" t="s">
        <v>2770</v>
      </c>
      <c r="D7">
        <v>68427709</v>
      </c>
      <c r="E7" s="95" t="s">
        <v>41</v>
      </c>
      <c r="F7" s="96" t="s">
        <v>57</v>
      </c>
      <c r="G7" s="96" t="s">
        <v>42</v>
      </c>
      <c r="H7" s="96" t="s">
        <v>871</v>
      </c>
      <c r="I7" t="s">
        <v>2771</v>
      </c>
      <c r="J7" t="s">
        <v>2772</v>
      </c>
      <c r="K7">
        <v>187516</v>
      </c>
      <c r="L7" s="96" t="s">
        <v>603</v>
      </c>
      <c r="M7" s="248">
        <v>5401023508</v>
      </c>
      <c r="N7" s="97">
        <v>110</v>
      </c>
      <c r="O7" s="96" t="s">
        <v>2676</v>
      </c>
      <c r="P7" s="96" t="s">
        <v>2773</v>
      </c>
      <c r="Q7" s="96" t="s">
        <v>2750</v>
      </c>
      <c r="R7" s="96" t="s">
        <v>2751</v>
      </c>
      <c r="S7" s="7">
        <v>1361000</v>
      </c>
      <c r="T7" s="7">
        <v>1331000</v>
      </c>
      <c r="U7" s="7">
        <v>924000</v>
      </c>
      <c r="V7" s="7">
        <f t="shared" si="1"/>
        <v>-407000</v>
      </c>
      <c r="W7" s="5">
        <f t="shared" si="2"/>
        <v>-0.30578512396694213</v>
      </c>
      <c r="X7" s="6" t="s">
        <v>3699</v>
      </c>
      <c r="Y7" s="33">
        <f>SUMPRODUCT((BIdetails!$J$5:$J$3000=M7)*(BIdetails!$K$5:$K$3000=N7)*(BIdetails!$M$5:$M$3000))</f>
        <v>0</v>
      </c>
      <c r="Z7" s="34">
        <f t="shared" si="3"/>
        <v>0</v>
      </c>
      <c r="AA7" s="31" t="s">
        <v>649</v>
      </c>
      <c r="AB7" s="31" t="s">
        <v>2752</v>
      </c>
      <c r="AC7" s="31" t="s">
        <v>2774</v>
      </c>
      <c r="AD7" s="31"/>
    </row>
    <row r="8" spans="1:30" ht="15.6" hidden="1" customHeight="1" x14ac:dyDescent="0.25">
      <c r="A8" t="s">
        <v>2745</v>
      </c>
      <c r="B8" t="str">
        <f t="shared" si="0"/>
        <v>No Change</v>
      </c>
      <c r="C8" t="s">
        <v>2770</v>
      </c>
      <c r="D8">
        <v>68427709</v>
      </c>
      <c r="E8" s="95" t="s">
        <v>41</v>
      </c>
      <c r="F8" s="96" t="s">
        <v>57</v>
      </c>
      <c r="G8" s="96" t="s">
        <v>42</v>
      </c>
      <c r="H8" s="96" t="s">
        <v>1484</v>
      </c>
      <c r="I8" t="s">
        <v>2771</v>
      </c>
      <c r="J8" t="s">
        <v>2772</v>
      </c>
      <c r="K8">
        <v>187516</v>
      </c>
      <c r="L8" s="96" t="s">
        <v>603</v>
      </c>
      <c r="M8" s="248">
        <v>5401023508</v>
      </c>
      <c r="N8" s="97">
        <v>70</v>
      </c>
      <c r="O8" s="96" t="s">
        <v>2676</v>
      </c>
      <c r="P8" s="96" t="s">
        <v>2773</v>
      </c>
      <c r="Q8" s="96" t="s">
        <v>2750</v>
      </c>
      <c r="R8" s="96" t="s">
        <v>2751</v>
      </c>
      <c r="S8" s="7">
        <v>650000</v>
      </c>
      <c r="T8" s="7">
        <v>650000</v>
      </c>
      <c r="U8" s="7">
        <v>650000</v>
      </c>
      <c r="V8" s="7">
        <f t="shared" si="1"/>
        <v>0</v>
      </c>
      <c r="W8" s="5">
        <f t="shared" si="2"/>
        <v>0</v>
      </c>
      <c r="X8" s="6"/>
      <c r="Y8" s="33">
        <f>SUMPRODUCT((BIdetails!$J$5:$J$3000=M8)*(BIdetails!$K$5:$K$3000=N8)*(BIdetails!$M$5:$M$3000))</f>
        <v>0</v>
      </c>
      <c r="Z8" s="34">
        <f t="shared" si="3"/>
        <v>0</v>
      </c>
      <c r="AA8" s="31" t="s">
        <v>649</v>
      </c>
      <c r="AB8" s="31" t="s">
        <v>2752</v>
      </c>
      <c r="AC8" s="31" t="s">
        <v>2774</v>
      </c>
      <c r="AD8" s="31"/>
    </row>
    <row r="9" spans="1:30" hidden="1" x14ac:dyDescent="0.25">
      <c r="A9" t="s">
        <v>2745</v>
      </c>
      <c r="B9" t="str">
        <f t="shared" si="0"/>
        <v>No Change</v>
      </c>
      <c r="C9" t="s">
        <v>2770</v>
      </c>
      <c r="D9">
        <v>68427709</v>
      </c>
      <c r="E9" s="95" t="s">
        <v>41</v>
      </c>
      <c r="F9" s="96" t="s">
        <v>57</v>
      </c>
      <c r="G9" s="96" t="s">
        <v>42</v>
      </c>
      <c r="H9" s="96" t="s">
        <v>2276</v>
      </c>
      <c r="I9" t="s">
        <v>2771</v>
      </c>
      <c r="J9" t="s">
        <v>2772</v>
      </c>
      <c r="K9">
        <v>187516</v>
      </c>
      <c r="L9" s="96" t="s">
        <v>603</v>
      </c>
      <c r="M9" s="248">
        <v>5401023508</v>
      </c>
      <c r="N9" s="21">
        <v>50</v>
      </c>
      <c r="O9" s="96" t="s">
        <v>2676</v>
      </c>
      <c r="P9" s="96" t="s">
        <v>2773</v>
      </c>
      <c r="Q9" s="96" t="s">
        <v>2750</v>
      </c>
      <c r="R9" s="96" t="s">
        <v>2751</v>
      </c>
      <c r="S9" s="7">
        <v>120000</v>
      </c>
      <c r="T9" s="7">
        <v>120000</v>
      </c>
      <c r="U9" s="7">
        <v>120000</v>
      </c>
      <c r="V9" s="7">
        <f t="shared" si="1"/>
        <v>0</v>
      </c>
      <c r="W9" s="5">
        <f t="shared" si="2"/>
        <v>0</v>
      </c>
      <c r="X9" s="6"/>
      <c r="Y9" s="33">
        <f>SUMPRODUCT((BIdetails!$J$5:$J$3000=M9)*(BIdetails!$K$5:$K$3000=N9)*(BIdetails!$M$5:$M$3000))</f>
        <v>0</v>
      </c>
      <c r="Z9" s="34">
        <f t="shared" si="3"/>
        <v>0</v>
      </c>
      <c r="AA9" s="31" t="s">
        <v>649</v>
      </c>
      <c r="AB9" s="31" t="s">
        <v>2752</v>
      </c>
      <c r="AC9" s="31" t="s">
        <v>2774</v>
      </c>
      <c r="AD9" s="31"/>
    </row>
    <row r="10" spans="1:30" hidden="1" x14ac:dyDescent="0.25">
      <c r="A10" t="s">
        <v>2745</v>
      </c>
      <c r="B10" t="str">
        <f t="shared" si="0"/>
        <v>Decrease</v>
      </c>
      <c r="C10" t="s">
        <v>2770</v>
      </c>
      <c r="D10">
        <v>68427709</v>
      </c>
      <c r="E10" s="95" t="s">
        <v>41</v>
      </c>
      <c r="F10" s="96" t="s">
        <v>57</v>
      </c>
      <c r="G10" s="96" t="s">
        <v>42</v>
      </c>
      <c r="H10" s="96" t="s">
        <v>2575</v>
      </c>
      <c r="I10" t="s">
        <v>2771</v>
      </c>
      <c r="J10" t="s">
        <v>2772</v>
      </c>
      <c r="K10">
        <v>187516</v>
      </c>
      <c r="L10" s="96" t="s">
        <v>603</v>
      </c>
      <c r="M10" s="248">
        <v>5401023508</v>
      </c>
      <c r="N10" s="97">
        <v>10</v>
      </c>
      <c r="O10" s="96" t="s">
        <v>2676</v>
      </c>
      <c r="P10" s="96" t="s">
        <v>2773</v>
      </c>
      <c r="Q10" s="96" t="s">
        <v>2750</v>
      </c>
      <c r="R10" s="96" t="s">
        <v>2751</v>
      </c>
      <c r="S10" s="7">
        <v>500000</v>
      </c>
      <c r="T10" s="7">
        <v>460000</v>
      </c>
      <c r="U10" s="7">
        <v>357000</v>
      </c>
      <c r="V10" s="7">
        <f t="shared" si="1"/>
        <v>-103000</v>
      </c>
      <c r="W10" s="5">
        <f t="shared" si="2"/>
        <v>-0.22391304347826088</v>
      </c>
      <c r="X10" s="6" t="s">
        <v>3700</v>
      </c>
      <c r="Y10" s="33">
        <f>SUMPRODUCT((BIdetails!$J$5:$J$3000=M10)*(BIdetails!$K$5:$K$3000=N10)*(BIdetails!$M$5:$M$3000))</f>
        <v>0</v>
      </c>
      <c r="Z10" s="34">
        <f t="shared" si="3"/>
        <v>0</v>
      </c>
      <c r="AA10" s="31" t="s">
        <v>649</v>
      </c>
      <c r="AB10" s="31" t="s">
        <v>2752</v>
      </c>
      <c r="AC10" s="31" t="s">
        <v>2774</v>
      </c>
      <c r="AD10" s="31"/>
    </row>
    <row r="11" spans="1:30" hidden="1" x14ac:dyDescent="0.25">
      <c r="A11" t="s">
        <v>2745</v>
      </c>
      <c r="B11" t="str">
        <f t="shared" si="0"/>
        <v>Increase</v>
      </c>
      <c r="C11" t="s">
        <v>2770</v>
      </c>
      <c r="D11">
        <v>68427709</v>
      </c>
      <c r="E11" s="95" t="s">
        <v>41</v>
      </c>
      <c r="F11" s="96" t="s">
        <v>57</v>
      </c>
      <c r="G11" s="96" t="s">
        <v>42</v>
      </c>
      <c r="H11" s="96" t="s">
        <v>2775</v>
      </c>
      <c r="I11" t="s">
        <v>2771</v>
      </c>
      <c r="J11" t="s">
        <v>2772</v>
      </c>
      <c r="K11">
        <v>187516</v>
      </c>
      <c r="L11" s="96" t="s">
        <v>603</v>
      </c>
      <c r="M11" s="248">
        <v>5401023508</v>
      </c>
      <c r="N11" s="97">
        <v>40</v>
      </c>
      <c r="O11" s="96" t="s">
        <v>2676</v>
      </c>
      <c r="P11" s="96" t="s">
        <v>2773</v>
      </c>
      <c r="Q11" s="96" t="s">
        <v>2750</v>
      </c>
      <c r="R11" s="96" t="s">
        <v>2751</v>
      </c>
      <c r="S11" s="7">
        <v>675000</v>
      </c>
      <c r="T11" s="7">
        <v>675000</v>
      </c>
      <c r="U11" s="7">
        <v>736500</v>
      </c>
      <c r="V11" s="7">
        <f t="shared" si="1"/>
        <v>61500</v>
      </c>
      <c r="W11" s="5">
        <f t="shared" si="2"/>
        <v>9.1111111111111115E-2</v>
      </c>
      <c r="X11" s="6" t="s">
        <v>3706</v>
      </c>
      <c r="Y11" s="33">
        <f>SUMPRODUCT((BIdetails!$J$5:$J$3000=M11)*(BIdetails!$K$5:$K$3000=N11)*(BIdetails!$M$5:$M$3000))</f>
        <v>0</v>
      </c>
      <c r="Z11" s="34">
        <f t="shared" si="3"/>
        <v>0</v>
      </c>
      <c r="AA11" s="31" t="s">
        <v>649</v>
      </c>
      <c r="AB11" s="31" t="s">
        <v>2752</v>
      </c>
      <c r="AC11" s="31" t="s">
        <v>2774</v>
      </c>
      <c r="AD11" s="31"/>
    </row>
    <row r="12" spans="1:30" hidden="1" x14ac:dyDescent="0.25">
      <c r="A12" t="s">
        <v>2745</v>
      </c>
      <c r="B12" t="str">
        <f t="shared" si="0"/>
        <v>No Change</v>
      </c>
      <c r="C12" t="s">
        <v>2770</v>
      </c>
      <c r="D12">
        <v>68427709</v>
      </c>
      <c r="E12" s="95" t="s">
        <v>41</v>
      </c>
      <c r="F12" s="96" t="s">
        <v>57</v>
      </c>
      <c r="G12" s="96" t="s">
        <v>42</v>
      </c>
      <c r="H12" s="96" t="s">
        <v>2776</v>
      </c>
      <c r="I12" t="s">
        <v>2771</v>
      </c>
      <c r="J12" t="s">
        <v>2772</v>
      </c>
      <c r="K12">
        <v>187516</v>
      </c>
      <c r="L12" s="96" t="s">
        <v>603</v>
      </c>
      <c r="M12" s="248">
        <v>5401023508</v>
      </c>
      <c r="N12" s="97">
        <v>130</v>
      </c>
      <c r="O12" s="96" t="s">
        <v>2676</v>
      </c>
      <c r="P12" s="96" t="s">
        <v>2773</v>
      </c>
      <c r="Q12" s="96" t="s">
        <v>2750</v>
      </c>
      <c r="R12" s="96" t="s">
        <v>2751</v>
      </c>
      <c r="S12" s="7">
        <v>69000</v>
      </c>
      <c r="T12" s="7">
        <v>69000</v>
      </c>
      <c r="U12" s="7">
        <v>69000</v>
      </c>
      <c r="V12" s="7">
        <f t="shared" si="1"/>
        <v>0</v>
      </c>
      <c r="W12" s="5">
        <f t="shared" si="2"/>
        <v>0</v>
      </c>
      <c r="X12" s="6"/>
      <c r="Y12" s="33">
        <f>SUMPRODUCT((BIdetails!$J$5:$J$3000=M12)*(BIdetails!$K$5:$K$3000=N12)*(BIdetails!$M$5:$M$3000))</f>
        <v>0</v>
      </c>
      <c r="Z12" s="34">
        <f t="shared" si="3"/>
        <v>0</v>
      </c>
      <c r="AA12" s="31" t="s">
        <v>649</v>
      </c>
      <c r="AB12" s="31" t="s">
        <v>2752</v>
      </c>
      <c r="AC12" s="31" t="s">
        <v>2774</v>
      </c>
      <c r="AD12" s="31"/>
    </row>
    <row r="13" spans="1:30" hidden="1" x14ac:dyDescent="0.25">
      <c r="A13" t="s">
        <v>2745</v>
      </c>
      <c r="B13" t="str">
        <f t="shared" si="0"/>
        <v>No Change</v>
      </c>
      <c r="C13" t="s">
        <v>2770</v>
      </c>
      <c r="D13">
        <v>68427709</v>
      </c>
      <c r="E13" s="95" t="s">
        <v>41</v>
      </c>
      <c r="F13" s="96" t="s">
        <v>57</v>
      </c>
      <c r="G13" s="96" t="s">
        <v>42</v>
      </c>
      <c r="H13" s="96" t="s">
        <v>2777</v>
      </c>
      <c r="I13" t="s">
        <v>2771</v>
      </c>
      <c r="J13" t="s">
        <v>2772</v>
      </c>
      <c r="K13">
        <v>187516</v>
      </c>
      <c r="L13" s="96" t="s">
        <v>603</v>
      </c>
      <c r="M13" s="248">
        <v>5401023508</v>
      </c>
      <c r="N13" s="21">
        <v>90</v>
      </c>
      <c r="O13" s="96" t="s">
        <v>2676</v>
      </c>
      <c r="P13" s="96" t="s">
        <v>2324</v>
      </c>
      <c r="Q13" s="96" t="s">
        <v>2750</v>
      </c>
      <c r="R13" s="96" t="s">
        <v>2751</v>
      </c>
      <c r="S13" s="7">
        <v>200000</v>
      </c>
      <c r="T13" s="7">
        <v>250000</v>
      </c>
      <c r="U13" s="7">
        <v>250000</v>
      </c>
      <c r="V13" s="7">
        <f t="shared" si="1"/>
        <v>0</v>
      </c>
      <c r="W13" s="5">
        <f t="shared" si="2"/>
        <v>0</v>
      </c>
      <c r="X13" s="6"/>
      <c r="Y13" s="33">
        <f>SUMPRODUCT((BIdetails!$J$5:$J$3000=M13)*(BIdetails!$K$5:$K$3000=N13)*(BIdetails!$M$5:$M$3000))</f>
        <v>0</v>
      </c>
      <c r="Z13" s="34">
        <f t="shared" si="3"/>
        <v>0</v>
      </c>
      <c r="AA13" s="31" t="s">
        <v>649</v>
      </c>
      <c r="AB13" s="31" t="s">
        <v>2752</v>
      </c>
      <c r="AC13" s="31" t="s">
        <v>2774</v>
      </c>
      <c r="AD13" s="31"/>
    </row>
    <row r="14" spans="1:30" hidden="1" x14ac:dyDescent="0.25">
      <c r="A14" t="s">
        <v>2745</v>
      </c>
      <c r="B14" t="str">
        <f t="shared" si="0"/>
        <v>No Change</v>
      </c>
      <c r="C14" t="s">
        <v>2770</v>
      </c>
      <c r="D14">
        <v>68427709</v>
      </c>
      <c r="E14" s="95" t="s">
        <v>41</v>
      </c>
      <c r="F14" s="96" t="s">
        <v>57</v>
      </c>
      <c r="G14" s="96" t="s">
        <v>42</v>
      </c>
      <c r="H14" s="96" t="s">
        <v>2778</v>
      </c>
      <c r="I14" t="s">
        <v>2771</v>
      </c>
      <c r="J14" t="s">
        <v>2772</v>
      </c>
      <c r="K14">
        <v>187516</v>
      </c>
      <c r="L14" s="96" t="s">
        <v>603</v>
      </c>
      <c r="M14" s="248">
        <v>5401023508</v>
      </c>
      <c r="N14" s="97">
        <v>20</v>
      </c>
      <c r="O14" s="96" t="s">
        <v>2676</v>
      </c>
      <c r="P14" s="96" t="s">
        <v>2773</v>
      </c>
      <c r="Q14" s="96" t="s">
        <v>2750</v>
      </c>
      <c r="R14" s="96" t="s">
        <v>2751</v>
      </c>
      <c r="S14" s="7">
        <v>65000</v>
      </c>
      <c r="T14" s="7">
        <v>65000</v>
      </c>
      <c r="U14" s="7">
        <v>65000</v>
      </c>
      <c r="V14" s="7">
        <f t="shared" si="1"/>
        <v>0</v>
      </c>
      <c r="W14" s="5">
        <f t="shared" si="2"/>
        <v>0</v>
      </c>
      <c r="X14" s="6"/>
      <c r="Y14" s="33">
        <f>SUMPRODUCT((BIdetails!$J$5:$J$3000=M14)*(BIdetails!$K$5:$K$3000=N14)*(BIdetails!$M$5:$M$3000))</f>
        <v>0</v>
      </c>
      <c r="Z14" s="34">
        <f t="shared" si="3"/>
        <v>0</v>
      </c>
      <c r="AA14" s="31"/>
      <c r="AB14" s="31"/>
      <c r="AC14" s="31"/>
      <c r="AD14" s="31"/>
    </row>
    <row r="15" spans="1:30" hidden="1" x14ac:dyDescent="0.25">
      <c r="A15" t="s">
        <v>2745</v>
      </c>
      <c r="B15" t="str">
        <f t="shared" si="0"/>
        <v>No Change</v>
      </c>
      <c r="C15" t="s">
        <v>2770</v>
      </c>
      <c r="D15">
        <v>68427709</v>
      </c>
      <c r="E15" s="95" t="s">
        <v>41</v>
      </c>
      <c r="F15" s="96" t="s">
        <v>57</v>
      </c>
      <c r="G15" s="96" t="s">
        <v>42</v>
      </c>
      <c r="H15" s="96" t="s">
        <v>2779</v>
      </c>
      <c r="I15" t="s">
        <v>2771</v>
      </c>
      <c r="J15" t="s">
        <v>2772</v>
      </c>
      <c r="K15">
        <v>187516</v>
      </c>
      <c r="L15" s="96" t="s">
        <v>603</v>
      </c>
      <c r="M15" s="248">
        <v>5401023508</v>
      </c>
      <c r="N15" s="97">
        <v>190</v>
      </c>
      <c r="O15" s="96" t="s">
        <v>2676</v>
      </c>
      <c r="P15" s="96" t="s">
        <v>2773</v>
      </c>
      <c r="Q15" s="96" t="s">
        <v>2750</v>
      </c>
      <c r="R15" s="96" t="s">
        <v>2751</v>
      </c>
      <c r="S15" s="7">
        <v>100000</v>
      </c>
      <c r="T15" s="7">
        <v>100000</v>
      </c>
      <c r="U15" s="7">
        <v>100000</v>
      </c>
      <c r="V15" s="7">
        <f t="shared" si="1"/>
        <v>0</v>
      </c>
      <c r="W15" s="5">
        <f t="shared" si="2"/>
        <v>0</v>
      </c>
      <c r="X15" s="6"/>
      <c r="Y15" s="33">
        <f>SUMPRODUCT((BIdetails!$J$5:$J$3000=M15)*(BIdetails!$K$5:$K$3000=N15)*(BIdetails!$M$5:$M$3000))</f>
        <v>0</v>
      </c>
      <c r="Z15" s="34">
        <f t="shared" si="3"/>
        <v>0</v>
      </c>
      <c r="AA15" s="31" t="s">
        <v>649</v>
      </c>
      <c r="AB15" s="31" t="s">
        <v>2752</v>
      </c>
      <c r="AC15" s="31" t="s">
        <v>2774</v>
      </c>
      <c r="AD15" s="31"/>
    </row>
    <row r="16" spans="1:30" hidden="1" x14ac:dyDescent="0.25">
      <c r="A16" t="s">
        <v>2745</v>
      </c>
      <c r="B16" t="str">
        <f t="shared" si="0"/>
        <v>No Change</v>
      </c>
      <c r="C16" t="s">
        <v>2780</v>
      </c>
      <c r="D16">
        <v>68427709</v>
      </c>
      <c r="E16" s="95" t="s">
        <v>41</v>
      </c>
      <c r="F16" t="s">
        <v>57</v>
      </c>
      <c r="G16" t="s">
        <v>42</v>
      </c>
      <c r="H16" t="s">
        <v>2781</v>
      </c>
      <c r="I16" t="s">
        <v>2771</v>
      </c>
      <c r="J16" t="s">
        <v>2772</v>
      </c>
      <c r="K16">
        <v>187516</v>
      </c>
      <c r="L16" t="s">
        <v>603</v>
      </c>
      <c r="M16" s="217"/>
      <c r="O16" s="26" t="s">
        <v>2676</v>
      </c>
      <c r="P16" s="26" t="s">
        <v>2676</v>
      </c>
      <c r="Q16" s="26" t="s">
        <v>2750</v>
      </c>
      <c r="R16" t="s">
        <v>2751</v>
      </c>
      <c r="S16" s="7">
        <v>100000</v>
      </c>
      <c r="T16" s="7">
        <v>100000</v>
      </c>
      <c r="U16" s="7">
        <v>100000</v>
      </c>
      <c r="V16" s="7">
        <f t="shared" si="1"/>
        <v>0</v>
      </c>
      <c r="W16" s="5">
        <f t="shared" si="2"/>
        <v>0</v>
      </c>
      <c r="X16" s="6"/>
      <c r="Y16" s="33">
        <f>SUMPRODUCT((BIdetails!$J$5:$J$3000=M16)*(BIdetails!$K$5:$K$3000=N16)*(BIdetails!$M$5:$M$3000))</f>
        <v>0</v>
      </c>
      <c r="Z16" s="34">
        <f t="shared" si="3"/>
        <v>0</v>
      </c>
      <c r="AA16" s="31"/>
      <c r="AB16" s="31"/>
      <c r="AC16" s="31"/>
      <c r="AD16" s="31"/>
    </row>
    <row r="17" spans="1:30" hidden="1" x14ac:dyDescent="0.25">
      <c r="A17" t="s">
        <v>2745</v>
      </c>
      <c r="B17" t="str">
        <f t="shared" si="0"/>
        <v>No Change</v>
      </c>
      <c r="C17" t="s">
        <v>2770</v>
      </c>
      <c r="D17">
        <v>68427709</v>
      </c>
      <c r="E17" s="95" t="s">
        <v>41</v>
      </c>
      <c r="F17" s="96" t="s">
        <v>57</v>
      </c>
      <c r="G17" s="96" t="s">
        <v>42</v>
      </c>
      <c r="H17" t="s">
        <v>2782</v>
      </c>
      <c r="I17" t="s">
        <v>2771</v>
      </c>
      <c r="J17" t="s">
        <v>2772</v>
      </c>
      <c r="K17">
        <v>187516</v>
      </c>
      <c r="L17" t="s">
        <v>603</v>
      </c>
      <c r="M17">
        <v>5401023508</v>
      </c>
      <c r="N17" s="21">
        <v>140</v>
      </c>
      <c r="O17" s="26" t="s">
        <v>2676</v>
      </c>
      <c r="P17" s="26" t="s">
        <v>2676</v>
      </c>
      <c r="Q17" s="26" t="s">
        <v>2750</v>
      </c>
      <c r="R17" t="s">
        <v>2751</v>
      </c>
      <c r="S17" s="7">
        <v>305000</v>
      </c>
      <c r="T17" s="7">
        <v>305000</v>
      </c>
      <c r="U17" s="7">
        <v>305000</v>
      </c>
      <c r="V17" s="7">
        <f t="shared" si="1"/>
        <v>0</v>
      </c>
      <c r="W17" s="5">
        <f t="shared" si="2"/>
        <v>0</v>
      </c>
      <c r="X17" s="123"/>
      <c r="Y17" s="33">
        <f>SUMPRODUCT((BIdetails!$J$5:$J$3000=M17)*(BIdetails!$K$5:$K$3000=N17)*(BIdetails!$M$5:$M$3000))</f>
        <v>0</v>
      </c>
      <c r="Z17" s="34">
        <f t="shared" si="3"/>
        <v>0</v>
      </c>
      <c r="AA17" s="31"/>
      <c r="AB17" s="31"/>
      <c r="AC17" s="31"/>
      <c r="AD17" s="31"/>
    </row>
    <row r="18" spans="1:30" hidden="1" x14ac:dyDescent="0.25">
      <c r="A18" t="s">
        <v>2745</v>
      </c>
      <c r="B18" t="str">
        <f t="shared" si="0"/>
        <v>No Change</v>
      </c>
      <c r="D18">
        <v>68427709</v>
      </c>
      <c r="E18" s="95" t="s">
        <v>41</v>
      </c>
      <c r="F18" s="96" t="s">
        <v>57</v>
      </c>
      <c r="G18" s="96" t="s">
        <v>42</v>
      </c>
      <c r="H18" s="96" t="s">
        <v>2786</v>
      </c>
      <c r="J18" t="s">
        <v>2772</v>
      </c>
      <c r="K18">
        <v>187516</v>
      </c>
      <c r="L18" s="96" t="s">
        <v>603</v>
      </c>
      <c r="M18" s="97">
        <v>5401023610</v>
      </c>
      <c r="N18" s="97">
        <v>10</v>
      </c>
      <c r="O18" s="96" t="s">
        <v>2676</v>
      </c>
      <c r="P18" s="26" t="s">
        <v>2676</v>
      </c>
      <c r="Q18" t="s">
        <v>2762</v>
      </c>
      <c r="R18" t="s">
        <v>2751</v>
      </c>
      <c r="S18" s="7">
        <v>128000</v>
      </c>
      <c r="T18" s="7">
        <v>128000</v>
      </c>
      <c r="U18" s="7">
        <v>128000</v>
      </c>
      <c r="V18" s="7">
        <f t="shared" si="1"/>
        <v>0</v>
      </c>
      <c r="W18" s="5">
        <f t="shared" si="2"/>
        <v>0</v>
      </c>
      <c r="X18" s="6"/>
      <c r="Y18" s="33">
        <f>SUMPRODUCT((BIdetails!$J$5:$J$3000=M18)*(BIdetails!$K$5:$K$3000=N18)*(BIdetails!$M$5:$M$3000))</f>
        <v>0</v>
      </c>
      <c r="Z18" s="34">
        <f t="shared" si="3"/>
        <v>0</v>
      </c>
      <c r="AA18" s="31" t="s">
        <v>2758</v>
      </c>
      <c r="AB18" s="31" t="s">
        <v>2752</v>
      </c>
      <c r="AC18" s="31"/>
      <c r="AD18" s="31"/>
    </row>
    <row r="19" spans="1:30" hidden="1" x14ac:dyDescent="0.25">
      <c r="A19" t="s">
        <v>2745</v>
      </c>
      <c r="B19" t="str">
        <f t="shared" si="0"/>
        <v>No Change</v>
      </c>
      <c r="D19">
        <v>68427709</v>
      </c>
      <c r="E19" s="95" t="s">
        <v>41</v>
      </c>
      <c r="F19" s="96" t="s">
        <v>57</v>
      </c>
      <c r="G19" s="96" t="s">
        <v>42</v>
      </c>
      <c r="H19" s="26" t="s">
        <v>2787</v>
      </c>
      <c r="I19" t="s">
        <v>2771</v>
      </c>
      <c r="J19" t="s">
        <v>2772</v>
      </c>
      <c r="K19">
        <v>187516</v>
      </c>
      <c r="L19" s="26" t="s">
        <v>603</v>
      </c>
      <c r="O19" s="26" t="s">
        <v>2676</v>
      </c>
      <c r="P19" s="26" t="s">
        <v>2784</v>
      </c>
      <c r="Q19" t="s">
        <v>2750</v>
      </c>
      <c r="R19" t="s">
        <v>2751</v>
      </c>
      <c r="S19" s="7">
        <v>110000</v>
      </c>
      <c r="T19" s="7">
        <v>110000</v>
      </c>
      <c r="U19" s="7">
        <v>110000</v>
      </c>
      <c r="V19" s="7">
        <f t="shared" si="1"/>
        <v>0</v>
      </c>
      <c r="W19" s="5">
        <f t="shared" si="2"/>
        <v>0</v>
      </c>
      <c r="X19" s="123"/>
      <c r="Y19" s="33">
        <f>SUMPRODUCT((BIdetails!$J$5:$J$3000=M19)*(BIdetails!$K$5:$K$3000=N19)*(BIdetails!$M$5:$M$3000))</f>
        <v>0</v>
      </c>
      <c r="Z19" s="34">
        <f t="shared" si="3"/>
        <v>0</v>
      </c>
      <c r="AA19" s="31" t="s">
        <v>649</v>
      </c>
      <c r="AB19" s="31" t="s">
        <v>2752</v>
      </c>
      <c r="AC19" s="31" t="s">
        <v>2788</v>
      </c>
      <c r="AD19" s="31"/>
    </row>
    <row r="20" spans="1:30" hidden="1" x14ac:dyDescent="0.25">
      <c r="A20" t="s">
        <v>2745</v>
      </c>
      <c r="B20" t="str">
        <f t="shared" si="0"/>
        <v>No Change</v>
      </c>
      <c r="D20">
        <v>68427709</v>
      </c>
      <c r="E20" s="95" t="s">
        <v>41</v>
      </c>
      <c r="F20" s="96" t="s">
        <v>57</v>
      </c>
      <c r="G20" s="96" t="s">
        <v>42</v>
      </c>
      <c r="H20" s="26" t="s">
        <v>2789</v>
      </c>
      <c r="J20" t="s">
        <v>2772</v>
      </c>
      <c r="K20">
        <v>187516</v>
      </c>
      <c r="L20" s="96" t="s">
        <v>603</v>
      </c>
      <c r="M20" s="217">
        <v>5400976834</v>
      </c>
      <c r="N20" s="21">
        <v>10</v>
      </c>
      <c r="O20" s="26" t="s">
        <v>2676</v>
      </c>
      <c r="P20" s="26" t="s">
        <v>2676</v>
      </c>
      <c r="Q20" t="s">
        <v>2762</v>
      </c>
      <c r="R20" t="s">
        <v>2751</v>
      </c>
      <c r="S20" s="7">
        <v>25000</v>
      </c>
      <c r="T20" s="7">
        <v>25000</v>
      </c>
      <c r="U20" s="7">
        <v>25000</v>
      </c>
      <c r="V20" s="7">
        <f t="shared" si="1"/>
        <v>0</v>
      </c>
      <c r="W20" s="5">
        <f t="shared" si="2"/>
        <v>0</v>
      </c>
      <c r="X20" s="123"/>
      <c r="Y20" s="33">
        <f>SUMPRODUCT((BIdetails!$J$5:$J$3000=M20)*(BIdetails!$K$5:$K$3000=N20)*(BIdetails!$M$5:$M$3000))</f>
        <v>0</v>
      </c>
      <c r="Z20" s="34">
        <f t="shared" si="3"/>
        <v>0</v>
      </c>
      <c r="AA20" s="31" t="s">
        <v>2758</v>
      </c>
      <c r="AB20" s="31" t="s">
        <v>2752</v>
      </c>
      <c r="AC20" s="31" t="s">
        <v>2788</v>
      </c>
      <c r="AD20" s="31"/>
    </row>
    <row r="21" spans="1:30" x14ac:dyDescent="0.25">
      <c r="A21" t="s">
        <v>2745</v>
      </c>
      <c r="B21" t="str">
        <f t="shared" si="0"/>
        <v>No Change</v>
      </c>
      <c r="D21">
        <v>68427709</v>
      </c>
      <c r="E21" s="95" t="s">
        <v>41</v>
      </c>
      <c r="F21" s="96" t="s">
        <v>57</v>
      </c>
      <c r="G21" s="96" t="s">
        <v>42</v>
      </c>
      <c r="H21" s="96" t="s">
        <v>2790</v>
      </c>
      <c r="I21" t="s">
        <v>2771</v>
      </c>
      <c r="J21" t="s">
        <v>2772</v>
      </c>
      <c r="K21">
        <v>187516</v>
      </c>
      <c r="L21" s="96" t="s">
        <v>603</v>
      </c>
      <c r="M21" s="97"/>
      <c r="N21" s="97"/>
      <c r="O21" t="s">
        <v>2652</v>
      </c>
      <c r="P21" s="96" t="s">
        <v>2652</v>
      </c>
      <c r="Q21" s="235" t="s">
        <v>2750</v>
      </c>
      <c r="R21" s="96" t="s">
        <v>40</v>
      </c>
      <c r="S21" s="7">
        <v>50000</v>
      </c>
      <c r="T21" s="7">
        <v>150000</v>
      </c>
      <c r="U21" s="7">
        <v>150000</v>
      </c>
      <c r="V21" s="7">
        <f t="shared" si="1"/>
        <v>0</v>
      </c>
      <c r="W21" s="5">
        <f t="shared" si="2"/>
        <v>0</v>
      </c>
      <c r="X21" s="6"/>
      <c r="Y21" s="33">
        <f>SUMPRODUCT((BIdetails!$J$5:$J$3000=M21)*(BIdetails!$K$5:$K$3000=N21)*(BIdetails!$M$5:$M$3000))</f>
        <v>0</v>
      </c>
      <c r="Z21" s="34">
        <f t="shared" si="3"/>
        <v>0</v>
      </c>
      <c r="AA21" s="31"/>
      <c r="AB21" s="31"/>
      <c r="AC21" s="31"/>
      <c r="AD21" s="31"/>
    </row>
    <row r="22" spans="1:30" hidden="1" x14ac:dyDescent="0.25">
      <c r="A22" t="s">
        <v>2745</v>
      </c>
      <c r="B22" t="str">
        <f t="shared" si="0"/>
        <v>Decommissioned</v>
      </c>
      <c r="C22" t="s">
        <v>2770</v>
      </c>
      <c r="D22">
        <v>68427709</v>
      </c>
      <c r="E22" s="95" t="s">
        <v>41</v>
      </c>
      <c r="F22" s="96" t="s">
        <v>57</v>
      </c>
      <c r="G22" s="96" t="s">
        <v>42</v>
      </c>
      <c r="H22" s="96" t="s">
        <v>1486</v>
      </c>
      <c r="J22" t="s">
        <v>2791</v>
      </c>
      <c r="K22">
        <v>187516</v>
      </c>
      <c r="L22" s="96" t="s">
        <v>603</v>
      </c>
      <c r="M22" s="248">
        <v>5401023508</v>
      </c>
      <c r="N22" s="97">
        <v>80</v>
      </c>
      <c r="O22" s="96" t="s">
        <v>2676</v>
      </c>
      <c r="P22" s="96" t="s">
        <v>2773</v>
      </c>
      <c r="Q22" s="96" t="s">
        <v>2762</v>
      </c>
      <c r="R22" s="96" t="s">
        <v>2751</v>
      </c>
      <c r="S22" s="7">
        <v>230000</v>
      </c>
      <c r="T22" s="7">
        <v>180000</v>
      </c>
      <c r="U22" s="7">
        <v>0</v>
      </c>
      <c r="V22" s="7">
        <f t="shared" si="1"/>
        <v>-180000</v>
      </c>
      <c r="W22" s="5">
        <f t="shared" si="2"/>
        <v>-1</v>
      </c>
      <c r="X22" s="6" t="s">
        <v>3701</v>
      </c>
      <c r="Y22" s="33">
        <f>SUMPRODUCT((BIdetails!$J$5:$J$3000=M22)*(BIdetails!$K$5:$K$3000=N22)*(BIdetails!$M$5:$M$3000))</f>
        <v>0</v>
      </c>
      <c r="Z22" s="34" t="str">
        <f t="shared" si="3"/>
        <v/>
      </c>
      <c r="AA22" s="31" t="s">
        <v>649</v>
      </c>
      <c r="AB22" s="31" t="s">
        <v>2752</v>
      </c>
      <c r="AC22" s="31" t="s">
        <v>2774</v>
      </c>
      <c r="AD22" s="31"/>
    </row>
    <row r="23" spans="1:30" hidden="1" x14ac:dyDescent="0.25">
      <c r="A23" t="s">
        <v>2745</v>
      </c>
      <c r="B23" t="str">
        <f t="shared" si="0"/>
        <v>Decommissioned</v>
      </c>
      <c r="C23" t="s">
        <v>2770</v>
      </c>
      <c r="D23">
        <v>68427709</v>
      </c>
      <c r="E23" s="95" t="s">
        <v>41</v>
      </c>
      <c r="F23" s="96" t="s">
        <v>57</v>
      </c>
      <c r="G23" s="96" t="s">
        <v>42</v>
      </c>
      <c r="H23" s="96" t="s">
        <v>1483</v>
      </c>
      <c r="J23" t="s">
        <v>2791</v>
      </c>
      <c r="K23">
        <v>187516</v>
      </c>
      <c r="L23" s="96" t="s">
        <v>603</v>
      </c>
      <c r="M23" s="248">
        <v>5401023508</v>
      </c>
      <c r="N23" s="21">
        <v>60</v>
      </c>
      <c r="O23" s="96" t="s">
        <v>2676</v>
      </c>
      <c r="P23" s="96" t="s">
        <v>2773</v>
      </c>
      <c r="Q23" s="96" t="s">
        <v>2762</v>
      </c>
      <c r="R23" s="96" t="s">
        <v>2751</v>
      </c>
      <c r="S23" s="7">
        <v>45000</v>
      </c>
      <c r="T23" s="7">
        <v>45000</v>
      </c>
      <c r="U23" s="7">
        <v>0</v>
      </c>
      <c r="V23" s="7">
        <f t="shared" si="1"/>
        <v>-45000</v>
      </c>
      <c r="W23" s="5">
        <f t="shared" si="2"/>
        <v>-1</v>
      </c>
      <c r="X23" s="6" t="s">
        <v>3701</v>
      </c>
      <c r="Y23" s="33">
        <f>SUMPRODUCT((BIdetails!$J$5:$J$3000=M23)*(BIdetails!$K$5:$K$3000=N23)*(BIdetails!$M$5:$M$3000))</f>
        <v>0</v>
      </c>
      <c r="Z23" s="34" t="str">
        <f t="shared" si="3"/>
        <v/>
      </c>
      <c r="AA23" s="31" t="s">
        <v>649</v>
      </c>
      <c r="AB23" s="31" t="s">
        <v>2752</v>
      </c>
      <c r="AC23" s="31" t="s">
        <v>2774</v>
      </c>
      <c r="AD23" s="31"/>
    </row>
    <row r="24" spans="1:30" hidden="1" x14ac:dyDescent="0.25">
      <c r="A24" t="s">
        <v>2745</v>
      </c>
      <c r="B24" t="str">
        <f t="shared" si="0"/>
        <v>Decrease</v>
      </c>
      <c r="C24" t="s">
        <v>2770</v>
      </c>
      <c r="D24">
        <v>68427709</v>
      </c>
      <c r="E24" s="95" t="s">
        <v>41</v>
      </c>
      <c r="F24" s="96" t="s">
        <v>57</v>
      </c>
      <c r="G24" s="96" t="s">
        <v>42</v>
      </c>
      <c r="H24" s="96" t="s">
        <v>2578</v>
      </c>
      <c r="I24">
        <v>0</v>
      </c>
      <c r="J24" t="s">
        <v>2791</v>
      </c>
      <c r="K24">
        <v>187516</v>
      </c>
      <c r="L24" s="96" t="s">
        <v>603</v>
      </c>
      <c r="M24" s="248">
        <v>5401023508</v>
      </c>
      <c r="N24" s="97">
        <v>30</v>
      </c>
      <c r="O24" s="96" t="s">
        <v>2676</v>
      </c>
      <c r="P24" s="96" t="s">
        <v>2773</v>
      </c>
      <c r="Q24" s="96" t="s">
        <v>2762</v>
      </c>
      <c r="R24" s="96" t="s">
        <v>2751</v>
      </c>
      <c r="S24" s="7">
        <v>300000</v>
      </c>
      <c r="T24" s="7">
        <v>270000</v>
      </c>
      <c r="U24" s="7">
        <v>70000</v>
      </c>
      <c r="V24" s="7">
        <f t="shared" si="1"/>
        <v>-200000</v>
      </c>
      <c r="W24" s="5">
        <f t="shared" si="2"/>
        <v>-0.7407407407407407</v>
      </c>
      <c r="X24" s="6" t="s">
        <v>3702</v>
      </c>
      <c r="Y24" s="33">
        <f>SUMPRODUCT((BIdetails!$J$5:$J$3000=M24)*(BIdetails!$K$5:$K$3000=N24)*(BIdetails!$M$5:$M$3000))</f>
        <v>0</v>
      </c>
      <c r="Z24" s="34">
        <f t="shared" si="3"/>
        <v>0</v>
      </c>
      <c r="AA24" s="31" t="s">
        <v>649</v>
      </c>
      <c r="AB24" s="31" t="s">
        <v>2752</v>
      </c>
      <c r="AC24" s="31" t="s">
        <v>2774</v>
      </c>
      <c r="AD24" s="31"/>
    </row>
    <row r="25" spans="1:30" hidden="1" x14ac:dyDescent="0.25">
      <c r="A25" t="s">
        <v>2783</v>
      </c>
      <c r="B25" t="str">
        <f t="shared" si="0"/>
        <v>No Change</v>
      </c>
      <c r="C25" t="s">
        <v>2770</v>
      </c>
      <c r="D25">
        <v>68427709</v>
      </c>
      <c r="E25" s="95" t="s">
        <v>41</v>
      </c>
      <c r="F25" s="96" t="s">
        <v>57</v>
      </c>
      <c r="G25" s="96" t="s">
        <v>42</v>
      </c>
      <c r="H25" t="s">
        <v>2792</v>
      </c>
      <c r="I25">
        <v>0</v>
      </c>
      <c r="J25" t="s">
        <v>2791</v>
      </c>
      <c r="K25">
        <v>187516</v>
      </c>
      <c r="L25" s="96" t="s">
        <v>603</v>
      </c>
      <c r="O25" s="96" t="s">
        <v>2676</v>
      </c>
      <c r="P25" s="96" t="s">
        <v>2676</v>
      </c>
      <c r="Q25" s="96" t="s">
        <v>2762</v>
      </c>
      <c r="R25" s="96" t="s">
        <v>2751</v>
      </c>
      <c r="S25" s="7">
        <v>80000</v>
      </c>
      <c r="T25" s="7">
        <v>0</v>
      </c>
      <c r="U25" s="7">
        <v>0</v>
      </c>
      <c r="V25" s="7">
        <f t="shared" si="1"/>
        <v>0</v>
      </c>
      <c r="W25" s="5">
        <f t="shared" si="2"/>
        <v>0</v>
      </c>
      <c r="X25" s="6"/>
      <c r="Y25" s="33">
        <f>SUMPRODUCT((BIdetails!$J$5:$J$3000=M25)*(BIdetails!$K$5:$K$3000=N25)*(BIdetails!$M$5:$M$3000))</f>
        <v>0</v>
      </c>
      <c r="Z25" s="34" t="str">
        <f t="shared" si="3"/>
        <v/>
      </c>
      <c r="AA25" s="31" t="s">
        <v>2758</v>
      </c>
      <c r="AB25" s="31" t="s">
        <v>2752</v>
      </c>
      <c r="AC25" s="31" t="s">
        <v>2785</v>
      </c>
      <c r="AD25" s="31"/>
    </row>
    <row r="26" spans="1:30" hidden="1" x14ac:dyDescent="0.25">
      <c r="A26" t="s">
        <v>2745</v>
      </c>
      <c r="B26" t="str">
        <f t="shared" si="0"/>
        <v>No Change</v>
      </c>
      <c r="D26">
        <v>68427709</v>
      </c>
      <c r="E26" s="95" t="s">
        <v>41</v>
      </c>
      <c r="F26" s="96" t="s">
        <v>57</v>
      </c>
      <c r="G26" s="96" t="s">
        <v>42</v>
      </c>
      <c r="H26" s="96" t="s">
        <v>1727</v>
      </c>
      <c r="J26" t="s">
        <v>2791</v>
      </c>
      <c r="K26">
        <v>187516</v>
      </c>
      <c r="L26" s="96" t="s">
        <v>603</v>
      </c>
      <c r="M26" s="21">
        <v>5401023508</v>
      </c>
      <c r="N26" s="21">
        <v>60</v>
      </c>
      <c r="O26" s="96" t="s">
        <v>2676</v>
      </c>
      <c r="P26" s="96" t="s">
        <v>2314</v>
      </c>
      <c r="Q26" t="s">
        <v>2762</v>
      </c>
      <c r="R26" s="96" t="s">
        <v>2793</v>
      </c>
      <c r="S26" s="7">
        <v>260000</v>
      </c>
      <c r="T26" s="7">
        <v>300000</v>
      </c>
      <c r="U26" s="7">
        <v>300000</v>
      </c>
      <c r="V26" s="7">
        <f t="shared" si="1"/>
        <v>0</v>
      </c>
      <c r="W26" s="5">
        <f t="shared" si="2"/>
        <v>0</v>
      </c>
      <c r="X26" s="6"/>
      <c r="Y26" s="33">
        <f>SUMPRODUCT((BIdetails!$J$5:$J$3000=M26)*(BIdetails!$K$5:$K$3000=N26)*(BIdetails!$M$5:$M$3000))</f>
        <v>0</v>
      </c>
      <c r="Z26" s="34">
        <f t="shared" si="3"/>
        <v>0</v>
      </c>
      <c r="AA26" s="31" t="s">
        <v>649</v>
      </c>
      <c r="AB26" s="31" t="s">
        <v>2752</v>
      </c>
      <c r="AC26" s="31" t="s">
        <v>2788</v>
      </c>
      <c r="AD26" s="31"/>
    </row>
    <row r="27" spans="1:30" hidden="1" x14ac:dyDescent="0.25">
      <c r="A27" t="s">
        <v>2745</v>
      </c>
      <c r="B27" t="str">
        <f t="shared" si="0"/>
        <v>No Change</v>
      </c>
      <c r="C27" t="s">
        <v>2794</v>
      </c>
      <c r="D27">
        <v>68427709</v>
      </c>
      <c r="E27" s="95" t="s">
        <v>53</v>
      </c>
      <c r="F27" t="s">
        <v>54</v>
      </c>
      <c r="G27" t="s">
        <v>42</v>
      </c>
      <c r="H27" t="s">
        <v>471</v>
      </c>
      <c r="I27" t="s">
        <v>2795</v>
      </c>
      <c r="J27" t="s">
        <v>2796</v>
      </c>
      <c r="K27">
        <v>187516</v>
      </c>
      <c r="L27" t="s">
        <v>603</v>
      </c>
      <c r="M27" s="21">
        <v>5401023574</v>
      </c>
      <c r="N27" s="21">
        <v>10</v>
      </c>
      <c r="O27" t="s">
        <v>2676</v>
      </c>
      <c r="P27" s="26" t="s">
        <v>2324</v>
      </c>
      <c r="Q27" t="s">
        <v>2762</v>
      </c>
      <c r="R27" t="s">
        <v>2751</v>
      </c>
      <c r="S27" s="7">
        <v>80000</v>
      </c>
      <c r="T27" s="7">
        <v>80000</v>
      </c>
      <c r="U27" s="7">
        <v>80000</v>
      </c>
      <c r="V27" s="7">
        <f t="shared" si="1"/>
        <v>0</v>
      </c>
      <c r="W27" s="5">
        <f t="shared" si="2"/>
        <v>0</v>
      </c>
      <c r="X27" s="6"/>
      <c r="Y27" s="33">
        <f>SUMPRODUCT((BIdetails!$J$5:$J$3000=M27)*(BIdetails!$K$5:$K$3000=N27)*(BIdetails!$M$5:$M$3000))</f>
        <v>0</v>
      </c>
      <c r="Z27" s="34">
        <f t="shared" si="3"/>
        <v>0</v>
      </c>
      <c r="AA27" s="31"/>
      <c r="AB27" s="31"/>
      <c r="AC27" s="31"/>
      <c r="AD27" s="31"/>
    </row>
    <row r="28" spans="1:30" hidden="1" x14ac:dyDescent="0.25">
      <c r="A28" t="s">
        <v>2745</v>
      </c>
      <c r="B28" t="str">
        <f t="shared" si="0"/>
        <v>Increase</v>
      </c>
      <c r="C28" t="s">
        <v>2797</v>
      </c>
      <c r="D28">
        <v>68427719</v>
      </c>
      <c r="E28" s="95" t="s">
        <v>41</v>
      </c>
      <c r="F28" s="96" t="s">
        <v>57</v>
      </c>
      <c r="G28" t="s">
        <v>42</v>
      </c>
      <c r="H28" t="s">
        <v>1022</v>
      </c>
      <c r="I28">
        <v>0</v>
      </c>
      <c r="J28" t="s">
        <v>2798</v>
      </c>
      <c r="L28" s="96" t="s">
        <v>2799</v>
      </c>
      <c r="M28" s="248"/>
      <c r="N28" s="97"/>
      <c r="O28" s="96" t="s">
        <v>2610</v>
      </c>
      <c r="P28" s="96" t="s">
        <v>2610</v>
      </c>
      <c r="Q28" t="s">
        <v>2800</v>
      </c>
      <c r="R28" t="s">
        <v>2801</v>
      </c>
      <c r="S28" s="7">
        <v>300000</v>
      </c>
      <c r="T28" s="7">
        <v>200000</v>
      </c>
      <c r="U28" s="7">
        <v>230000</v>
      </c>
      <c r="V28" s="7">
        <f t="shared" si="1"/>
        <v>30000</v>
      </c>
      <c r="W28" s="5">
        <f t="shared" si="2"/>
        <v>0.15</v>
      </c>
      <c r="X28" s="6"/>
      <c r="Y28" s="33">
        <f>SUMPRODUCT((BIdetails!$J$5:$J$3000=M28)*(BIdetails!$K$5:$K$3000=N28)*(BIdetails!$M$5:$M$3000))</f>
        <v>0</v>
      </c>
      <c r="Z28" s="34">
        <f t="shared" si="3"/>
        <v>0</v>
      </c>
      <c r="AA28" s="31" t="s">
        <v>649</v>
      </c>
      <c r="AB28" s="31" t="s">
        <v>2752</v>
      </c>
      <c r="AC28" s="31" t="s">
        <v>2774</v>
      </c>
      <c r="AD28" s="31"/>
    </row>
    <row r="29" spans="1:30" hidden="1" x14ac:dyDescent="0.25">
      <c r="A29" t="s">
        <v>2745</v>
      </c>
      <c r="B29" t="str">
        <f t="shared" si="0"/>
        <v>Increase</v>
      </c>
      <c r="C29" t="s">
        <v>2770</v>
      </c>
      <c r="D29">
        <v>68427709</v>
      </c>
      <c r="E29" s="95" t="s">
        <v>41</v>
      </c>
      <c r="F29" s="96" t="s">
        <v>57</v>
      </c>
      <c r="G29" s="96" t="s">
        <v>42</v>
      </c>
      <c r="H29" s="96" t="s">
        <v>2640</v>
      </c>
      <c r="I29">
        <v>0</v>
      </c>
      <c r="J29" t="s">
        <v>2802</v>
      </c>
      <c r="K29">
        <v>187516</v>
      </c>
      <c r="L29" s="96" t="s">
        <v>603</v>
      </c>
      <c r="M29">
        <v>5401023508</v>
      </c>
      <c r="N29" s="97">
        <v>100</v>
      </c>
      <c r="O29" s="96" t="s">
        <v>2676</v>
      </c>
      <c r="P29" s="96" t="s">
        <v>2314</v>
      </c>
      <c r="Q29" t="s">
        <v>2762</v>
      </c>
      <c r="R29" s="96" t="s">
        <v>2793</v>
      </c>
      <c r="S29" s="7">
        <v>136000</v>
      </c>
      <c r="T29" s="7">
        <v>136000</v>
      </c>
      <c r="U29" s="7">
        <v>206000</v>
      </c>
      <c r="V29" s="7">
        <f t="shared" si="1"/>
        <v>70000</v>
      </c>
      <c r="W29" s="5">
        <f t="shared" si="2"/>
        <v>0.51470588235294112</v>
      </c>
      <c r="X29" s="6"/>
      <c r="Y29" s="33">
        <f>SUMPRODUCT((BIdetails!$J$5:$J$3000=M29)*(BIdetails!$K$5:$K$3000=N29)*(BIdetails!$M$5:$M$3000))</f>
        <v>0</v>
      </c>
      <c r="Z29" s="34">
        <f t="shared" si="3"/>
        <v>0</v>
      </c>
      <c r="AA29" s="31"/>
      <c r="AB29" s="31"/>
      <c r="AC29" s="31"/>
      <c r="AD29" s="31"/>
    </row>
    <row r="30" spans="1:30" hidden="1" x14ac:dyDescent="0.25">
      <c r="A30" t="s">
        <v>2745</v>
      </c>
      <c r="B30" t="str">
        <f t="shared" si="0"/>
        <v>Increase</v>
      </c>
      <c r="C30" t="s">
        <v>2797</v>
      </c>
      <c r="D30">
        <v>68427719</v>
      </c>
      <c r="E30" s="95" t="s">
        <v>41</v>
      </c>
      <c r="F30" s="96" t="s">
        <v>57</v>
      </c>
      <c r="G30" t="s">
        <v>42</v>
      </c>
      <c r="H30" t="s">
        <v>1023</v>
      </c>
      <c r="I30">
        <v>0</v>
      </c>
      <c r="J30" t="s">
        <v>2803</v>
      </c>
      <c r="K30">
        <v>210046</v>
      </c>
      <c r="L30" t="s">
        <v>2804</v>
      </c>
      <c r="M30" s="21">
        <v>5401020917</v>
      </c>
      <c r="N30" s="21">
        <v>10</v>
      </c>
      <c r="O30" s="96" t="s">
        <v>2610</v>
      </c>
      <c r="P30" s="96" t="s">
        <v>2610</v>
      </c>
      <c r="Q30" t="s">
        <v>2805</v>
      </c>
      <c r="R30" t="s">
        <v>2801</v>
      </c>
      <c r="S30" s="7">
        <v>700000</v>
      </c>
      <c r="T30" s="7">
        <v>650000</v>
      </c>
      <c r="U30" s="7">
        <v>725000</v>
      </c>
      <c r="V30" s="7">
        <f t="shared" si="1"/>
        <v>75000</v>
      </c>
      <c r="W30" s="5">
        <f t="shared" si="2"/>
        <v>0.11538461538461539</v>
      </c>
      <c r="X30" s="6"/>
      <c r="Y30" s="33">
        <f>SUMPRODUCT((BIdetails!$J$5:$J$3000=M30)*(BIdetails!$K$5:$K$3000=N30)*(BIdetails!$M$5:$M$3000))</f>
        <v>0</v>
      </c>
      <c r="Z30" s="34">
        <f t="shared" si="3"/>
        <v>0</v>
      </c>
      <c r="AA30" s="31"/>
      <c r="AB30" s="31"/>
      <c r="AC30" s="31"/>
      <c r="AD30" s="31"/>
    </row>
    <row r="31" spans="1:30" hidden="1" x14ac:dyDescent="0.25">
      <c r="A31" t="s">
        <v>2745</v>
      </c>
      <c r="B31" t="str">
        <f t="shared" si="0"/>
        <v>No Change</v>
      </c>
      <c r="C31" t="s">
        <v>2806</v>
      </c>
      <c r="D31">
        <v>68427709</v>
      </c>
      <c r="E31" s="95" t="s">
        <v>53</v>
      </c>
      <c r="F31" t="s">
        <v>54</v>
      </c>
      <c r="G31" t="s">
        <v>42</v>
      </c>
      <c r="H31" t="s">
        <v>2253</v>
      </c>
      <c r="I31" t="s">
        <v>2795</v>
      </c>
      <c r="J31" t="s">
        <v>2807</v>
      </c>
      <c r="K31">
        <v>187516</v>
      </c>
      <c r="L31" t="s">
        <v>603</v>
      </c>
      <c r="M31" s="21">
        <v>5400965893</v>
      </c>
      <c r="N31" s="21">
        <v>30</v>
      </c>
      <c r="O31" t="s">
        <v>2224</v>
      </c>
      <c r="P31" s="26" t="s">
        <v>2808</v>
      </c>
      <c r="Q31" t="s">
        <v>2762</v>
      </c>
      <c r="R31" t="s">
        <v>2809</v>
      </c>
      <c r="S31" s="7">
        <v>6000</v>
      </c>
      <c r="T31" s="7">
        <v>7000</v>
      </c>
      <c r="U31" s="7">
        <v>7000</v>
      </c>
      <c r="V31" s="7">
        <f t="shared" si="1"/>
        <v>0</v>
      </c>
      <c r="W31" s="5">
        <f t="shared" ref="W31:W58" si="4">IF(B31="New",1,IFERROR(V31/T31,0))</f>
        <v>0</v>
      </c>
      <c r="X31" s="6"/>
      <c r="Y31" s="33">
        <f>SUMPRODUCT((BIdetails!$J$5:$J$3000=M31)*(BIdetails!$K$5:$K$3000=N31)*(BIdetails!$M$5:$M$3000))</f>
        <v>0</v>
      </c>
      <c r="Z31" s="34">
        <f t="shared" si="3"/>
        <v>0</v>
      </c>
      <c r="AA31" s="31"/>
      <c r="AB31" s="31"/>
      <c r="AC31" s="31"/>
      <c r="AD31" s="31"/>
    </row>
    <row r="32" spans="1:30" hidden="1" x14ac:dyDescent="0.25">
      <c r="A32" t="s">
        <v>2745</v>
      </c>
      <c r="B32" t="str">
        <f t="shared" si="0"/>
        <v>No Change</v>
      </c>
      <c r="D32">
        <v>68427709</v>
      </c>
      <c r="E32" s="95" t="s">
        <v>41</v>
      </c>
      <c r="F32" s="96" t="s">
        <v>57</v>
      </c>
      <c r="G32" s="96" t="s">
        <v>42</v>
      </c>
      <c r="H32" s="96" t="s">
        <v>2447</v>
      </c>
      <c r="I32">
        <v>0</v>
      </c>
      <c r="J32" t="s">
        <v>2810</v>
      </c>
      <c r="K32">
        <v>187516</v>
      </c>
      <c r="L32" s="96" t="s">
        <v>603</v>
      </c>
      <c r="M32" s="248">
        <v>5401023508</v>
      </c>
      <c r="N32" s="97">
        <v>170</v>
      </c>
      <c r="O32" s="96" t="s">
        <v>2676</v>
      </c>
      <c r="P32" s="96" t="s">
        <v>1788</v>
      </c>
      <c r="Q32" s="96" t="s">
        <v>2750</v>
      </c>
      <c r="R32" s="96" t="s">
        <v>2751</v>
      </c>
      <c r="S32" s="7">
        <v>470000</v>
      </c>
      <c r="T32" s="7">
        <v>470000</v>
      </c>
      <c r="U32" s="7">
        <v>470000</v>
      </c>
      <c r="V32" s="7">
        <f t="shared" si="1"/>
        <v>0</v>
      </c>
      <c r="W32" s="5">
        <f t="shared" si="4"/>
        <v>0</v>
      </c>
      <c r="X32" s="6"/>
      <c r="Y32" s="33">
        <f>SUMPRODUCT((BIdetails!$J$5:$J$3000=M32)*(BIdetails!$K$5:$K$3000=N32)*(BIdetails!$M$5:$M$3000))</f>
        <v>0</v>
      </c>
      <c r="Z32" s="34">
        <f t="shared" si="3"/>
        <v>0</v>
      </c>
      <c r="AA32" s="31"/>
      <c r="AB32" s="31"/>
      <c r="AC32" s="31"/>
      <c r="AD32" s="31"/>
    </row>
    <row r="33" spans="1:60" hidden="1" x14ac:dyDescent="0.25">
      <c r="A33" t="s">
        <v>2745</v>
      </c>
      <c r="B33" t="str">
        <f t="shared" si="0"/>
        <v>Increase</v>
      </c>
      <c r="C33" t="s">
        <v>2770</v>
      </c>
      <c r="D33">
        <v>68427709</v>
      </c>
      <c r="E33" s="95" t="s">
        <v>41</v>
      </c>
      <c r="F33" s="96" t="s">
        <v>57</v>
      </c>
      <c r="G33" s="96" t="s">
        <v>42</v>
      </c>
      <c r="H33" t="s">
        <v>882</v>
      </c>
      <c r="I33">
        <v>0</v>
      </c>
      <c r="J33" t="s">
        <v>2811</v>
      </c>
      <c r="K33">
        <v>187516</v>
      </c>
      <c r="L33" s="96" t="s">
        <v>603</v>
      </c>
      <c r="M33">
        <v>5401023508</v>
      </c>
      <c r="N33" s="21">
        <v>120</v>
      </c>
      <c r="O33" s="96" t="s">
        <v>2676</v>
      </c>
      <c r="P33" s="96" t="s">
        <v>2324</v>
      </c>
      <c r="Q33" s="96" t="s">
        <v>2762</v>
      </c>
      <c r="R33" s="96" t="s">
        <v>2751</v>
      </c>
      <c r="S33" s="7">
        <v>100000</v>
      </c>
      <c r="T33" s="7">
        <v>100000</v>
      </c>
      <c r="U33" s="7">
        <v>310000</v>
      </c>
      <c r="V33" s="7">
        <f t="shared" si="1"/>
        <v>210000</v>
      </c>
      <c r="W33" s="5">
        <f t="shared" si="4"/>
        <v>2.1</v>
      </c>
      <c r="X33" s="6"/>
      <c r="Y33" s="33">
        <f>SUMPRODUCT((BIdetails!$J$5:$J$3000=M33)*(BIdetails!$K$5:$K$3000=N33)*(BIdetails!$M$5:$M$3000))</f>
        <v>0</v>
      </c>
      <c r="Z33" s="34">
        <f t="shared" si="3"/>
        <v>0</v>
      </c>
      <c r="AA33" s="31"/>
      <c r="AB33" s="31"/>
      <c r="AC33" s="31"/>
      <c r="AD33" s="31"/>
    </row>
    <row r="34" spans="1:60" hidden="1" x14ac:dyDescent="0.25">
      <c r="A34" t="s">
        <v>2745</v>
      </c>
      <c r="B34" t="str">
        <f t="shared" si="0"/>
        <v>Increase</v>
      </c>
      <c r="C34" t="s">
        <v>2797</v>
      </c>
      <c r="D34">
        <v>68427719</v>
      </c>
      <c r="E34" s="95" t="s">
        <v>41</v>
      </c>
      <c r="F34" s="96" t="s">
        <v>57</v>
      </c>
      <c r="G34" t="s">
        <v>42</v>
      </c>
      <c r="H34" t="s">
        <v>1019</v>
      </c>
      <c r="I34">
        <v>0</v>
      </c>
      <c r="J34" t="s">
        <v>2812</v>
      </c>
      <c r="L34" s="96" t="s">
        <v>2799</v>
      </c>
      <c r="M34" s="248"/>
      <c r="N34" s="97"/>
      <c r="O34" s="96" t="s">
        <v>2610</v>
      </c>
      <c r="P34" s="96" t="s">
        <v>2610</v>
      </c>
      <c r="Q34" t="s">
        <v>2813</v>
      </c>
      <c r="R34" t="s">
        <v>2801</v>
      </c>
      <c r="S34" s="7">
        <v>955000</v>
      </c>
      <c r="T34" s="7">
        <v>625000</v>
      </c>
      <c r="U34" s="7">
        <v>695000</v>
      </c>
      <c r="V34" s="7">
        <f t="shared" si="1"/>
        <v>70000</v>
      </c>
      <c r="W34" s="5">
        <f t="shared" si="4"/>
        <v>0.112</v>
      </c>
      <c r="X34" s="6"/>
      <c r="Y34" s="33">
        <f>SUMPRODUCT((BIdetails!$J$5:$J$3000=M34)*(BIdetails!$K$5:$K$3000=N34)*(BIdetails!$M$5:$M$3000))</f>
        <v>0</v>
      </c>
      <c r="Z34" s="34">
        <f t="shared" si="3"/>
        <v>0</v>
      </c>
      <c r="AA34" s="31"/>
      <c r="AB34" s="31"/>
      <c r="AC34" s="31"/>
      <c r="AD34" s="31"/>
    </row>
    <row r="35" spans="1:60" hidden="1" x14ac:dyDescent="0.25">
      <c r="A35" t="s">
        <v>2745</v>
      </c>
      <c r="B35" t="str">
        <f t="shared" si="0"/>
        <v>Decommissioned</v>
      </c>
      <c r="C35" t="s">
        <v>2770</v>
      </c>
      <c r="D35">
        <v>68427709</v>
      </c>
      <c r="E35" s="95" t="s">
        <v>41</v>
      </c>
      <c r="F35" s="96" t="s">
        <v>57</v>
      </c>
      <c r="G35" s="96" t="s">
        <v>42</v>
      </c>
      <c r="H35" t="s">
        <v>2642</v>
      </c>
      <c r="I35">
        <v>0</v>
      </c>
      <c r="J35" t="s">
        <v>2814</v>
      </c>
      <c r="K35">
        <v>187516</v>
      </c>
      <c r="L35" s="96" t="s">
        <v>603</v>
      </c>
      <c r="O35" s="96" t="s">
        <v>2676</v>
      </c>
      <c r="P35" s="26" t="s">
        <v>227</v>
      </c>
      <c r="Q35" s="96" t="s">
        <v>2767</v>
      </c>
      <c r="R35" s="96" t="s">
        <v>2768</v>
      </c>
      <c r="S35" s="7">
        <v>8000</v>
      </c>
      <c r="T35" s="7">
        <v>8000</v>
      </c>
      <c r="U35" s="7">
        <v>0</v>
      </c>
      <c r="V35" s="7">
        <f t="shared" si="1"/>
        <v>-8000</v>
      </c>
      <c r="W35" s="5">
        <f t="shared" si="4"/>
        <v>-1</v>
      </c>
      <c r="X35" s="6"/>
      <c r="Y35" s="33">
        <f>SUMPRODUCT((BIdetails!$J$5:$J$3000=M35)*(BIdetails!$K$5:$K$3000=N35)*(BIdetails!$M$5:$M$3000))</f>
        <v>0</v>
      </c>
      <c r="Z35" s="34" t="str">
        <f t="shared" si="3"/>
        <v/>
      </c>
      <c r="AA35" s="31"/>
      <c r="AB35" s="31"/>
      <c r="AC35" s="31"/>
      <c r="AD35" s="31"/>
    </row>
    <row r="36" spans="1:60" hidden="1" x14ac:dyDescent="0.25">
      <c r="A36" t="s">
        <v>2745</v>
      </c>
      <c r="B36" t="str">
        <f t="shared" si="0"/>
        <v>No Change</v>
      </c>
      <c r="C36" t="s">
        <v>2815</v>
      </c>
      <c r="D36">
        <v>68427709</v>
      </c>
      <c r="E36" s="95" t="s">
        <v>41</v>
      </c>
      <c r="F36" t="s">
        <v>57</v>
      </c>
      <c r="G36" t="s">
        <v>42</v>
      </c>
      <c r="H36" t="s">
        <v>2816</v>
      </c>
      <c r="I36">
        <v>0</v>
      </c>
      <c r="J36" t="s">
        <v>2817</v>
      </c>
      <c r="K36">
        <v>187516</v>
      </c>
      <c r="L36" s="26" t="s">
        <v>603</v>
      </c>
      <c r="M36" s="217">
        <v>5401023508</v>
      </c>
      <c r="N36" s="21">
        <v>180</v>
      </c>
      <c r="O36" s="26" t="s">
        <v>2676</v>
      </c>
      <c r="P36" s="26" t="s">
        <v>2773</v>
      </c>
      <c r="Q36" s="215" t="s">
        <v>2762</v>
      </c>
      <c r="R36" t="s">
        <v>2751</v>
      </c>
      <c r="S36" s="7">
        <v>100000</v>
      </c>
      <c r="T36" s="7">
        <v>140000</v>
      </c>
      <c r="U36" s="7">
        <v>140000</v>
      </c>
      <c r="V36" s="7">
        <f t="shared" si="1"/>
        <v>0</v>
      </c>
      <c r="W36" s="5">
        <f t="shared" si="4"/>
        <v>0</v>
      </c>
      <c r="X36" s="6"/>
      <c r="Y36" s="33">
        <f>SUMPRODUCT((BIdetails!$J$5:$J$3000=M36)*(BIdetails!$K$5:$K$3000=N36)*(BIdetails!$M$5:$M$3000))</f>
        <v>0</v>
      </c>
      <c r="Z36" s="34">
        <f t="shared" si="3"/>
        <v>0</v>
      </c>
      <c r="AA36" s="31" t="s">
        <v>2758</v>
      </c>
      <c r="AB36" s="31" t="s">
        <v>2752</v>
      </c>
      <c r="AC36" s="31" t="s">
        <v>2788</v>
      </c>
      <c r="AD36" s="31"/>
      <c r="AF36" s="23"/>
      <c r="AG36" s="23"/>
      <c r="AH36" s="23"/>
      <c r="AI36" s="1"/>
      <c r="AJ36" s="1"/>
      <c r="AK36" s="1"/>
      <c r="AL36" s="25"/>
      <c r="AO36" s="23"/>
      <c r="AP36" s="23"/>
      <c r="AQ36" s="23"/>
      <c r="AR36" s="23"/>
      <c r="AS36" s="23"/>
      <c r="AT36" s="23"/>
      <c r="AU36" s="24"/>
      <c r="AV36" s="23"/>
      <c r="AW36" s="23"/>
      <c r="AX36" s="23"/>
      <c r="AY36" s="1"/>
      <c r="AZ36" s="1"/>
      <c r="BA36" s="1"/>
      <c r="BB36" s="25"/>
      <c r="BE36" s="23"/>
      <c r="BF36" s="23"/>
      <c r="BG36" s="23"/>
      <c r="BH36" s="23"/>
    </row>
    <row r="37" spans="1:60" x14ac:dyDescent="0.25">
      <c r="A37" t="s">
        <v>2745</v>
      </c>
      <c r="B37" t="str">
        <f t="shared" si="0"/>
        <v>No Change</v>
      </c>
      <c r="D37">
        <v>68427709</v>
      </c>
      <c r="E37" s="95" t="s">
        <v>41</v>
      </c>
      <c r="F37" s="96" t="s">
        <v>57</v>
      </c>
      <c r="G37" s="96" t="s">
        <v>42</v>
      </c>
      <c r="H37" s="96" t="s">
        <v>2818</v>
      </c>
      <c r="J37" t="s">
        <v>2819</v>
      </c>
      <c r="K37">
        <v>187516</v>
      </c>
      <c r="L37" s="26" t="s">
        <v>603</v>
      </c>
      <c r="M37" s="219">
        <v>5401001779</v>
      </c>
      <c r="N37" s="97">
        <v>10</v>
      </c>
      <c r="O37" t="s">
        <v>2652</v>
      </c>
      <c r="P37" s="96" t="s">
        <v>2652</v>
      </c>
      <c r="Q37" t="s">
        <v>2762</v>
      </c>
      <c r="R37" s="96" t="s">
        <v>40</v>
      </c>
      <c r="S37" s="7">
        <v>130000</v>
      </c>
      <c r="T37" s="7">
        <v>130000</v>
      </c>
      <c r="U37" s="7">
        <v>130000</v>
      </c>
      <c r="V37" s="7">
        <f t="shared" si="1"/>
        <v>0</v>
      </c>
      <c r="W37" s="5">
        <f t="shared" si="4"/>
        <v>0</v>
      </c>
      <c r="X37" s="6"/>
      <c r="Y37" s="33">
        <f>SUMPRODUCT((BIdetails!$J$5:$J$3000=M37)*(BIdetails!$K$5:$K$3000=N37)*(BIdetails!$M$5:$M$3000))</f>
        <v>0</v>
      </c>
      <c r="Z37" s="34">
        <f t="shared" si="3"/>
        <v>0</v>
      </c>
      <c r="AA37" s="31"/>
      <c r="AB37" s="31"/>
      <c r="AC37" s="31"/>
      <c r="AD37" s="31"/>
    </row>
    <row r="38" spans="1:60" hidden="1" x14ac:dyDescent="0.25">
      <c r="A38" t="s">
        <v>2745</v>
      </c>
      <c r="B38" t="str">
        <f t="shared" si="0"/>
        <v>Increase</v>
      </c>
      <c r="D38">
        <v>68427709</v>
      </c>
      <c r="E38" s="95" t="s">
        <v>53</v>
      </c>
      <c r="F38" t="s">
        <v>54</v>
      </c>
      <c r="G38" t="s">
        <v>42</v>
      </c>
      <c r="H38" t="s">
        <v>1782</v>
      </c>
      <c r="I38" t="s">
        <v>2795</v>
      </c>
      <c r="J38" t="s">
        <v>2820</v>
      </c>
      <c r="K38" s="95">
        <v>210312</v>
      </c>
      <c r="L38" s="96" t="s">
        <v>1312</v>
      </c>
      <c r="M38">
        <v>5400935485</v>
      </c>
      <c r="N38" s="21">
        <v>10</v>
      </c>
      <c r="O38" s="26" t="s">
        <v>2676</v>
      </c>
      <c r="P38" s="26" t="s">
        <v>2324</v>
      </c>
      <c r="Q38" t="s">
        <v>2762</v>
      </c>
      <c r="R38" t="s">
        <v>2751</v>
      </c>
      <c r="S38" s="7">
        <v>100000</v>
      </c>
      <c r="T38" s="7">
        <v>100000</v>
      </c>
      <c r="U38" s="7">
        <v>470000</v>
      </c>
      <c r="V38" s="7">
        <f t="shared" si="1"/>
        <v>370000</v>
      </c>
      <c r="W38" s="5">
        <f t="shared" si="4"/>
        <v>3.7</v>
      </c>
      <c r="X38" s="6"/>
      <c r="Y38" s="33">
        <f>SUMPRODUCT((BIdetails!$J$5:$J$3000=M38)*(BIdetails!$K$5:$K$3000=N38)*(BIdetails!$M$5:$M$3000))</f>
        <v>0</v>
      </c>
      <c r="Z38" s="34">
        <f t="shared" si="3"/>
        <v>0</v>
      </c>
      <c r="AA38" s="31" t="s">
        <v>2758</v>
      </c>
      <c r="AB38" s="31"/>
      <c r="AC38" s="31"/>
      <c r="AD38" s="31"/>
    </row>
    <row r="39" spans="1:60" hidden="1" x14ac:dyDescent="0.25">
      <c r="A39" t="s">
        <v>2745</v>
      </c>
      <c r="B39" t="str">
        <f t="shared" si="0"/>
        <v>Decrease</v>
      </c>
      <c r="D39">
        <v>68427709</v>
      </c>
      <c r="E39" s="95" t="s">
        <v>21</v>
      </c>
      <c r="F39" t="s">
        <v>61</v>
      </c>
      <c r="G39" t="s">
        <v>23</v>
      </c>
      <c r="H39" t="s">
        <v>1352</v>
      </c>
      <c r="I39" t="s">
        <v>2262</v>
      </c>
      <c r="J39" t="s">
        <v>2821</v>
      </c>
      <c r="K39">
        <v>187516</v>
      </c>
      <c r="L39" s="26" t="s">
        <v>603</v>
      </c>
      <c r="M39" s="21">
        <v>5401023608</v>
      </c>
      <c r="N39" s="21">
        <v>10</v>
      </c>
      <c r="O39" s="26" t="s">
        <v>2224</v>
      </c>
      <c r="P39" s="26" t="s">
        <v>2224</v>
      </c>
      <c r="Q39" t="s">
        <v>2822</v>
      </c>
      <c r="R39" t="s">
        <v>2809</v>
      </c>
      <c r="S39" s="7">
        <v>380000</v>
      </c>
      <c r="T39" s="7">
        <v>350000</v>
      </c>
      <c r="U39" s="7">
        <v>176400</v>
      </c>
      <c r="V39" s="7">
        <f t="shared" si="1"/>
        <v>-173600</v>
      </c>
      <c r="W39" s="5">
        <f t="shared" si="4"/>
        <v>-0.496</v>
      </c>
      <c r="X39" s="6"/>
      <c r="Y39" s="33">
        <f>SUMPRODUCT((BIdetails!$J$5:$J$3000=M39)*(BIdetails!$K$5:$K$3000=N39)*(BIdetails!$M$5:$M$3000))</f>
        <v>0</v>
      </c>
      <c r="Z39" s="34">
        <f t="shared" si="3"/>
        <v>0</v>
      </c>
      <c r="AA39" s="31" t="s">
        <v>649</v>
      </c>
      <c r="AB39" s="31" t="s">
        <v>2752</v>
      </c>
      <c r="AC39" s="31" t="s">
        <v>2774</v>
      </c>
      <c r="AD39" s="31"/>
    </row>
    <row r="40" spans="1:60" hidden="1" x14ac:dyDescent="0.25">
      <c r="A40" t="s">
        <v>2745</v>
      </c>
      <c r="B40" t="str">
        <f t="shared" si="0"/>
        <v>Decrease</v>
      </c>
      <c r="D40">
        <v>68427709</v>
      </c>
      <c r="E40" s="95" t="s">
        <v>36</v>
      </c>
      <c r="F40" t="s">
        <v>37</v>
      </c>
      <c r="G40" t="s">
        <v>31</v>
      </c>
      <c r="H40" t="s">
        <v>1373</v>
      </c>
      <c r="I40" t="s">
        <v>2262</v>
      </c>
      <c r="J40" t="s">
        <v>2821</v>
      </c>
      <c r="K40">
        <v>187516</v>
      </c>
      <c r="L40" t="s">
        <v>603</v>
      </c>
      <c r="O40" s="26" t="s">
        <v>2224</v>
      </c>
      <c r="P40" s="26" t="s">
        <v>2224</v>
      </c>
      <c r="Q40" t="s">
        <v>2822</v>
      </c>
      <c r="R40" t="s">
        <v>2809</v>
      </c>
      <c r="S40" s="7">
        <v>20000</v>
      </c>
      <c r="T40" s="7">
        <v>20000</v>
      </c>
      <c r="U40" s="7">
        <v>10000</v>
      </c>
      <c r="V40" s="7">
        <f t="shared" si="1"/>
        <v>-10000</v>
      </c>
      <c r="W40" s="5">
        <f t="shared" si="4"/>
        <v>-0.5</v>
      </c>
      <c r="X40" s="6"/>
      <c r="Y40" s="33">
        <f>SUMPRODUCT((BIdetails!$J$5:$J$3000=M40)*(BIdetails!$K$5:$K$3000=N40)*(BIdetails!$M$5:$M$3000))</f>
        <v>0</v>
      </c>
      <c r="Z40" s="34">
        <f t="shared" si="3"/>
        <v>0</v>
      </c>
      <c r="AA40" s="31" t="s">
        <v>649</v>
      </c>
      <c r="AB40" s="31" t="s">
        <v>2752</v>
      </c>
      <c r="AC40" s="31" t="s">
        <v>2774</v>
      </c>
      <c r="AD40" s="31"/>
    </row>
    <row r="41" spans="1:60" hidden="1" x14ac:dyDescent="0.25">
      <c r="A41" t="s">
        <v>2745</v>
      </c>
      <c r="B41" t="str">
        <f t="shared" si="0"/>
        <v>No Change</v>
      </c>
      <c r="C41" t="s">
        <v>2823</v>
      </c>
      <c r="D41">
        <v>68427709</v>
      </c>
      <c r="E41" s="95" t="s">
        <v>34</v>
      </c>
      <c r="F41" t="s">
        <v>35</v>
      </c>
      <c r="G41" t="s">
        <v>31</v>
      </c>
      <c r="H41" t="s">
        <v>2824</v>
      </c>
      <c r="I41" t="s">
        <v>2825</v>
      </c>
      <c r="J41" t="s">
        <v>2826</v>
      </c>
      <c r="K41">
        <v>187516</v>
      </c>
      <c r="L41" t="s">
        <v>603</v>
      </c>
      <c r="O41" s="26" t="s">
        <v>2224</v>
      </c>
      <c r="P41" s="26" t="s">
        <v>2224</v>
      </c>
      <c r="Q41" t="s">
        <v>2762</v>
      </c>
      <c r="R41" t="s">
        <v>2809</v>
      </c>
      <c r="S41" s="7">
        <v>40000</v>
      </c>
      <c r="T41" s="7">
        <v>50000</v>
      </c>
      <c r="U41" s="7">
        <v>50000</v>
      </c>
      <c r="V41" s="7">
        <f t="shared" si="1"/>
        <v>0</v>
      </c>
      <c r="W41" s="5">
        <f t="shared" si="4"/>
        <v>0</v>
      </c>
      <c r="X41" s="237"/>
      <c r="Y41" s="33">
        <f>SUMPRODUCT((BIdetails!$J$5:$J$3000=M41)*(BIdetails!$K$5:$K$3000=N41)*(BIdetails!$M$5:$M$3000))</f>
        <v>0</v>
      </c>
      <c r="Z41" s="34">
        <f t="shared" si="3"/>
        <v>0</v>
      </c>
      <c r="AA41" s="31" t="s">
        <v>649</v>
      </c>
      <c r="AB41" s="31" t="s">
        <v>2752</v>
      </c>
      <c r="AC41" s="31" t="s">
        <v>2774</v>
      </c>
      <c r="AD41" s="31"/>
    </row>
    <row r="42" spans="1:60" hidden="1" x14ac:dyDescent="0.25">
      <c r="A42" t="s">
        <v>2745</v>
      </c>
      <c r="B42" t="str">
        <f t="shared" si="0"/>
        <v>Decrease</v>
      </c>
      <c r="C42" t="s">
        <v>2823</v>
      </c>
      <c r="D42">
        <v>68427709</v>
      </c>
      <c r="E42" s="95" t="s">
        <v>34</v>
      </c>
      <c r="F42" t="s">
        <v>35</v>
      </c>
      <c r="G42" t="s">
        <v>31</v>
      </c>
      <c r="H42" t="s">
        <v>2827</v>
      </c>
      <c r="I42" t="s">
        <v>2825</v>
      </c>
      <c r="J42" t="s">
        <v>2826</v>
      </c>
      <c r="K42">
        <v>187516</v>
      </c>
      <c r="L42" t="s">
        <v>603</v>
      </c>
      <c r="O42" s="26" t="s">
        <v>2224</v>
      </c>
      <c r="P42" s="26" t="s">
        <v>2224</v>
      </c>
      <c r="Q42" t="s">
        <v>2762</v>
      </c>
      <c r="R42" t="s">
        <v>2809</v>
      </c>
      <c r="S42" s="7">
        <v>85000</v>
      </c>
      <c r="T42" s="7">
        <v>100000</v>
      </c>
      <c r="U42" s="7">
        <v>52500</v>
      </c>
      <c r="V42" s="7">
        <f t="shared" si="1"/>
        <v>-47500</v>
      </c>
      <c r="W42" s="5">
        <f t="shared" si="4"/>
        <v>-0.47499999999999998</v>
      </c>
      <c r="X42" s="237"/>
      <c r="Y42" s="33">
        <f>SUMPRODUCT((BIdetails!$J$5:$J$3000=M42)*(BIdetails!$K$5:$K$3000=N42)*(BIdetails!$M$5:$M$3000))</f>
        <v>0</v>
      </c>
      <c r="Z42" s="34">
        <f t="shared" si="3"/>
        <v>0</v>
      </c>
      <c r="AA42" s="31" t="s">
        <v>649</v>
      </c>
      <c r="AB42" s="31" t="s">
        <v>2752</v>
      </c>
      <c r="AC42" s="31" t="s">
        <v>2774</v>
      </c>
      <c r="AD42" s="31"/>
    </row>
    <row r="43" spans="1:60" hidden="1" x14ac:dyDescent="0.25">
      <c r="A43" t="s">
        <v>2745</v>
      </c>
      <c r="B43" t="str">
        <f t="shared" si="0"/>
        <v>No Change</v>
      </c>
      <c r="C43" t="s">
        <v>2828</v>
      </c>
      <c r="D43">
        <v>68427709</v>
      </c>
      <c r="E43" s="95" t="s">
        <v>53</v>
      </c>
      <c r="F43" t="s">
        <v>54</v>
      </c>
      <c r="G43" t="s">
        <v>42</v>
      </c>
      <c r="H43" s="26" t="s">
        <v>1430</v>
      </c>
      <c r="I43" t="s">
        <v>2825</v>
      </c>
      <c r="J43" t="s">
        <v>2826</v>
      </c>
      <c r="K43">
        <v>187516</v>
      </c>
      <c r="L43" t="s">
        <v>603</v>
      </c>
      <c r="M43"/>
      <c r="O43" s="26" t="s">
        <v>2224</v>
      </c>
      <c r="P43" s="26" t="s">
        <v>2224</v>
      </c>
      <c r="Q43" t="s">
        <v>2762</v>
      </c>
      <c r="R43" t="s">
        <v>2809</v>
      </c>
      <c r="S43" s="7">
        <v>95000</v>
      </c>
      <c r="T43" s="7">
        <v>60000</v>
      </c>
      <c r="U43" s="7">
        <v>60000</v>
      </c>
      <c r="V43" s="7">
        <f t="shared" si="1"/>
        <v>0</v>
      </c>
      <c r="W43" s="5">
        <f t="shared" si="4"/>
        <v>0</v>
      </c>
      <c r="X43" s="123"/>
      <c r="Y43" s="33">
        <f>SUMPRODUCT((BIdetails!$J$5:$J$3000=M43)*(BIdetails!$K$5:$K$3000=N43)*(BIdetails!$M$5:$M$3000))</f>
        <v>0</v>
      </c>
      <c r="Z43" s="34">
        <f t="shared" si="3"/>
        <v>0</v>
      </c>
      <c r="AA43" s="31"/>
      <c r="AB43" s="31"/>
      <c r="AC43" s="31"/>
      <c r="AD43" s="31"/>
    </row>
    <row r="44" spans="1:60" hidden="1" x14ac:dyDescent="0.25">
      <c r="A44" t="s">
        <v>2745</v>
      </c>
      <c r="B44" t="str">
        <f t="shared" si="0"/>
        <v>Increase</v>
      </c>
      <c r="C44" t="s">
        <v>2823</v>
      </c>
      <c r="D44">
        <v>68427709</v>
      </c>
      <c r="E44" s="95" t="s">
        <v>14</v>
      </c>
      <c r="F44" t="s">
        <v>15</v>
      </c>
      <c r="G44" t="s">
        <v>16</v>
      </c>
      <c r="H44" t="s">
        <v>2829</v>
      </c>
      <c r="I44" t="s">
        <v>2259</v>
      </c>
      <c r="J44" t="s">
        <v>2830</v>
      </c>
      <c r="K44">
        <v>187516</v>
      </c>
      <c r="L44" t="s">
        <v>603</v>
      </c>
      <c r="M44" s="21">
        <v>5401023605</v>
      </c>
      <c r="N44" s="21">
        <v>10</v>
      </c>
      <c r="O44" t="s">
        <v>2224</v>
      </c>
      <c r="P44" t="s">
        <v>2808</v>
      </c>
      <c r="Q44" t="s">
        <v>2762</v>
      </c>
      <c r="R44" t="s">
        <v>2809</v>
      </c>
      <c r="S44" s="7">
        <v>98000</v>
      </c>
      <c r="T44" s="7">
        <v>98000</v>
      </c>
      <c r="U44" s="7">
        <v>100000</v>
      </c>
      <c r="V44" s="7">
        <f t="shared" si="1"/>
        <v>2000</v>
      </c>
      <c r="W44" s="5">
        <f t="shared" si="4"/>
        <v>2.0408163265306121E-2</v>
      </c>
      <c r="X44" s="6"/>
      <c r="Y44" s="33">
        <f>SUMPRODUCT((BIdetails!$J$5:$J$3000=M44)*(BIdetails!$K$5:$K$3000=N44)*(BIdetails!$M$5:$M$3000))</f>
        <v>0</v>
      </c>
      <c r="Z44" s="34">
        <f t="shared" si="3"/>
        <v>0</v>
      </c>
      <c r="AA44" s="31" t="s">
        <v>649</v>
      </c>
      <c r="AB44" s="31" t="s">
        <v>2752</v>
      </c>
      <c r="AC44" s="31" t="s">
        <v>2774</v>
      </c>
      <c r="AD44" s="31"/>
    </row>
    <row r="45" spans="1:60" hidden="1" x14ac:dyDescent="0.25">
      <c r="A45" t="s">
        <v>2745</v>
      </c>
      <c r="B45" t="str">
        <f t="shared" si="0"/>
        <v>Decrease</v>
      </c>
      <c r="C45" t="s">
        <v>2823</v>
      </c>
      <c r="D45">
        <v>68427709</v>
      </c>
      <c r="E45" s="95" t="s">
        <v>14</v>
      </c>
      <c r="F45" t="s">
        <v>15</v>
      </c>
      <c r="G45" t="s">
        <v>16</v>
      </c>
      <c r="H45" t="s">
        <v>2463</v>
      </c>
      <c r="I45" t="s">
        <v>2259</v>
      </c>
      <c r="J45" t="s">
        <v>2830</v>
      </c>
      <c r="K45">
        <v>187516</v>
      </c>
      <c r="L45" t="s">
        <v>603</v>
      </c>
      <c r="M45" s="21">
        <v>5401023610</v>
      </c>
      <c r="N45" s="21">
        <v>10</v>
      </c>
      <c r="O45" t="s">
        <v>2224</v>
      </c>
      <c r="P45" t="s">
        <v>2808</v>
      </c>
      <c r="Q45" t="s">
        <v>2762</v>
      </c>
      <c r="R45" t="s">
        <v>2809</v>
      </c>
      <c r="S45" s="7">
        <v>67000</v>
      </c>
      <c r="T45" s="7">
        <v>40000</v>
      </c>
      <c r="U45" s="7">
        <v>21000</v>
      </c>
      <c r="V45" s="7">
        <f t="shared" si="1"/>
        <v>-19000</v>
      </c>
      <c r="W45" s="5">
        <f t="shared" si="4"/>
        <v>-0.47499999999999998</v>
      </c>
      <c r="X45" s="6"/>
      <c r="Y45" s="33">
        <f>SUMPRODUCT((BIdetails!$J$5:$J$3000=M45)*(BIdetails!$K$5:$K$3000=N45)*(BIdetails!$M$5:$M$3000))</f>
        <v>0</v>
      </c>
      <c r="Z45" s="34">
        <f t="shared" si="3"/>
        <v>0</v>
      </c>
      <c r="AA45" s="31" t="s">
        <v>649</v>
      </c>
      <c r="AB45" s="31" t="s">
        <v>2752</v>
      </c>
      <c r="AC45" s="31" t="s">
        <v>2774</v>
      </c>
      <c r="AD45" s="31"/>
    </row>
    <row r="46" spans="1:60" hidden="1" x14ac:dyDescent="0.25">
      <c r="A46" t="s">
        <v>2745</v>
      </c>
      <c r="B46" t="str">
        <f t="shared" si="0"/>
        <v>Decrease</v>
      </c>
      <c r="C46" t="s">
        <v>2823</v>
      </c>
      <c r="D46">
        <v>68427709</v>
      </c>
      <c r="E46" s="95" t="s">
        <v>14</v>
      </c>
      <c r="F46" t="s">
        <v>15</v>
      </c>
      <c r="G46" t="s">
        <v>16</v>
      </c>
      <c r="H46" t="s">
        <v>983</v>
      </c>
      <c r="I46" t="s">
        <v>2259</v>
      </c>
      <c r="J46" t="s">
        <v>2830</v>
      </c>
      <c r="K46">
        <v>187516</v>
      </c>
      <c r="L46" t="s">
        <v>603</v>
      </c>
      <c r="M46" s="21">
        <v>5401023605</v>
      </c>
      <c r="N46" s="21">
        <v>10</v>
      </c>
      <c r="O46" t="s">
        <v>2224</v>
      </c>
      <c r="P46" t="s">
        <v>2808</v>
      </c>
      <c r="Q46" t="s">
        <v>2762</v>
      </c>
      <c r="R46" t="s">
        <v>2809</v>
      </c>
      <c r="S46" s="7">
        <v>100000</v>
      </c>
      <c r="T46" s="7">
        <v>100000</v>
      </c>
      <c r="U46" s="7">
        <v>50000</v>
      </c>
      <c r="V46" s="7">
        <f t="shared" si="1"/>
        <v>-50000</v>
      </c>
      <c r="W46" s="5">
        <f t="shared" si="4"/>
        <v>-0.5</v>
      </c>
      <c r="X46" s="6"/>
      <c r="Y46" s="33">
        <f>SUMPRODUCT((BIdetails!$J$5:$J$3000=M46)*(BIdetails!$K$5:$K$3000=N46)*(BIdetails!$M$5:$M$3000))</f>
        <v>0</v>
      </c>
      <c r="Z46" s="34">
        <f t="shared" si="3"/>
        <v>0</v>
      </c>
      <c r="AA46" s="31" t="s">
        <v>649</v>
      </c>
      <c r="AB46" s="31" t="s">
        <v>2752</v>
      </c>
      <c r="AC46" s="31" t="s">
        <v>2774</v>
      </c>
      <c r="AD46" s="31"/>
    </row>
    <row r="47" spans="1:60" hidden="1" x14ac:dyDescent="0.25">
      <c r="B47" t="str">
        <f t="shared" si="0"/>
        <v>Decrease</v>
      </c>
      <c r="C47" t="s">
        <v>2823</v>
      </c>
      <c r="D47">
        <v>68427709</v>
      </c>
      <c r="E47" s="95" t="s">
        <v>34</v>
      </c>
      <c r="F47" t="s">
        <v>35</v>
      </c>
      <c r="G47" t="s">
        <v>31</v>
      </c>
      <c r="H47" t="s">
        <v>2252</v>
      </c>
      <c r="I47" t="s">
        <v>2259</v>
      </c>
      <c r="J47" t="s">
        <v>2830</v>
      </c>
      <c r="K47">
        <v>187516</v>
      </c>
      <c r="L47" t="s">
        <v>603</v>
      </c>
      <c r="O47" s="26" t="s">
        <v>2224</v>
      </c>
      <c r="P47" s="26" t="s">
        <v>2224</v>
      </c>
      <c r="Q47" t="s">
        <v>2762</v>
      </c>
      <c r="R47" t="s">
        <v>2809</v>
      </c>
      <c r="S47" s="7">
        <v>50000</v>
      </c>
      <c r="T47" s="7">
        <v>50000</v>
      </c>
      <c r="U47" s="7">
        <v>25000</v>
      </c>
      <c r="V47" s="7">
        <f t="shared" si="1"/>
        <v>-25000</v>
      </c>
      <c r="W47" s="5">
        <f t="shared" si="4"/>
        <v>-0.5</v>
      </c>
      <c r="X47" s="6"/>
      <c r="Y47" s="33">
        <f>SUMPRODUCT((BIdetails!$J$5:$J$3000=M47)*(BIdetails!$K$5:$K$3000=N47)*(BIdetails!$M$5:$M$3000))</f>
        <v>0</v>
      </c>
      <c r="Z47" s="34">
        <f t="shared" si="3"/>
        <v>0</v>
      </c>
      <c r="AA47" s="31" t="s">
        <v>649</v>
      </c>
      <c r="AB47" s="31" t="s">
        <v>2752</v>
      </c>
      <c r="AC47" s="31" t="s">
        <v>2774</v>
      </c>
      <c r="AD47" s="31"/>
    </row>
    <row r="48" spans="1:60" hidden="1" x14ac:dyDescent="0.25">
      <c r="A48" t="s">
        <v>2745</v>
      </c>
      <c r="B48" t="str">
        <f t="shared" si="0"/>
        <v>Decrease</v>
      </c>
      <c r="C48" t="s">
        <v>2823</v>
      </c>
      <c r="D48">
        <v>68427709</v>
      </c>
      <c r="E48" s="95" t="s">
        <v>36</v>
      </c>
      <c r="F48" t="s">
        <v>37</v>
      </c>
      <c r="G48" t="s">
        <v>31</v>
      </c>
      <c r="H48" t="s">
        <v>2831</v>
      </c>
      <c r="I48" t="s">
        <v>2259</v>
      </c>
      <c r="J48" t="s">
        <v>2830</v>
      </c>
      <c r="K48">
        <v>187516</v>
      </c>
      <c r="L48" t="s">
        <v>603</v>
      </c>
      <c r="O48" s="26" t="s">
        <v>2224</v>
      </c>
      <c r="P48" s="26" t="s">
        <v>2224</v>
      </c>
      <c r="Q48" t="s">
        <v>2762</v>
      </c>
      <c r="R48" t="s">
        <v>2809</v>
      </c>
      <c r="S48" s="7">
        <v>28000</v>
      </c>
      <c r="T48" s="7">
        <v>50000</v>
      </c>
      <c r="U48" s="7">
        <v>25000</v>
      </c>
      <c r="V48" s="7">
        <f t="shared" si="1"/>
        <v>-25000</v>
      </c>
      <c r="W48" s="5">
        <f t="shared" si="4"/>
        <v>-0.5</v>
      </c>
      <c r="X48" s="237"/>
      <c r="Y48" s="33">
        <f>SUMPRODUCT((BIdetails!$J$5:$J$3000=M48)*(BIdetails!$K$5:$K$3000=N48)*(BIdetails!$M$5:$M$3000))</f>
        <v>0</v>
      </c>
      <c r="Z48" s="34">
        <f t="shared" si="3"/>
        <v>0</v>
      </c>
      <c r="AA48" s="31" t="s">
        <v>649</v>
      </c>
      <c r="AB48" s="31" t="s">
        <v>2752</v>
      </c>
      <c r="AC48" s="31" t="s">
        <v>2774</v>
      </c>
      <c r="AD48" s="31"/>
    </row>
    <row r="49" spans="1:30" hidden="1" x14ac:dyDescent="0.25">
      <c r="A49" t="s">
        <v>2745</v>
      </c>
      <c r="B49" t="str">
        <f t="shared" si="0"/>
        <v>Decrease</v>
      </c>
      <c r="C49" t="s">
        <v>2823</v>
      </c>
      <c r="D49">
        <v>68427709</v>
      </c>
      <c r="E49" s="95" t="s">
        <v>36</v>
      </c>
      <c r="F49" t="s">
        <v>37</v>
      </c>
      <c r="G49" t="s">
        <v>31</v>
      </c>
      <c r="H49" t="s">
        <v>2832</v>
      </c>
      <c r="I49" t="s">
        <v>2259</v>
      </c>
      <c r="J49" t="s">
        <v>2830</v>
      </c>
      <c r="K49">
        <v>187516</v>
      </c>
      <c r="L49" t="s">
        <v>603</v>
      </c>
      <c r="O49" s="26" t="s">
        <v>2224</v>
      </c>
      <c r="P49" s="26" t="s">
        <v>2224</v>
      </c>
      <c r="Q49" t="s">
        <v>2762</v>
      </c>
      <c r="R49" t="s">
        <v>2809</v>
      </c>
      <c r="S49" s="7">
        <v>49920</v>
      </c>
      <c r="T49" s="7">
        <v>49920</v>
      </c>
      <c r="U49" s="7">
        <v>25000</v>
      </c>
      <c r="V49" s="7">
        <f t="shared" si="1"/>
        <v>-24920</v>
      </c>
      <c r="W49" s="5">
        <f t="shared" si="4"/>
        <v>-0.49919871794871795</v>
      </c>
      <c r="X49" s="6"/>
      <c r="Y49" s="33">
        <f>SUMPRODUCT((BIdetails!$J$5:$J$3000=M49)*(BIdetails!$K$5:$K$3000=N49)*(BIdetails!$M$5:$M$3000))</f>
        <v>0</v>
      </c>
      <c r="Z49" s="34">
        <f t="shared" si="3"/>
        <v>0</v>
      </c>
      <c r="AA49" s="31" t="s">
        <v>649</v>
      </c>
      <c r="AB49" s="31" t="s">
        <v>2752</v>
      </c>
      <c r="AC49" s="31" t="s">
        <v>2774</v>
      </c>
      <c r="AD49" s="31"/>
    </row>
    <row r="50" spans="1:30" x14ac:dyDescent="0.25">
      <c r="A50" t="s">
        <v>2745</v>
      </c>
      <c r="B50" t="str">
        <f t="shared" si="0"/>
        <v>Increase</v>
      </c>
      <c r="C50" t="s">
        <v>2833</v>
      </c>
      <c r="D50">
        <v>68427709</v>
      </c>
      <c r="E50" s="95" t="s">
        <v>38</v>
      </c>
      <c r="F50" t="s">
        <v>40</v>
      </c>
      <c r="G50" t="s">
        <v>40</v>
      </c>
      <c r="H50" t="s">
        <v>981</v>
      </c>
      <c r="I50" t="s">
        <v>2259</v>
      </c>
      <c r="J50" t="s">
        <v>2830</v>
      </c>
      <c r="K50">
        <v>187516</v>
      </c>
      <c r="L50" t="s">
        <v>603</v>
      </c>
      <c r="M50" s="21">
        <v>5400881922</v>
      </c>
      <c r="N50" s="21">
        <v>10</v>
      </c>
      <c r="O50" t="s">
        <v>2652</v>
      </c>
      <c r="P50" t="s">
        <v>2652</v>
      </c>
      <c r="Q50" t="s">
        <v>2762</v>
      </c>
      <c r="R50" t="s">
        <v>40</v>
      </c>
      <c r="S50" s="7">
        <v>30000</v>
      </c>
      <c r="T50" s="7">
        <v>30000</v>
      </c>
      <c r="U50" s="7">
        <v>31500</v>
      </c>
      <c r="V50" s="7">
        <f t="shared" si="1"/>
        <v>1500</v>
      </c>
      <c r="W50" s="5">
        <f t="shared" si="4"/>
        <v>0.05</v>
      </c>
      <c r="X50" s="6"/>
      <c r="Y50" s="33">
        <f>SUMPRODUCT((BIdetails!$J$5:$J$3000=M50)*(BIdetails!$K$5:$K$3000=N50)*(BIdetails!$M$5:$M$3000))</f>
        <v>0</v>
      </c>
      <c r="Z50" s="34">
        <f t="shared" si="3"/>
        <v>0</v>
      </c>
      <c r="AA50" s="31" t="s">
        <v>649</v>
      </c>
      <c r="AB50" s="31" t="s">
        <v>2752</v>
      </c>
      <c r="AC50" s="31" t="s">
        <v>2774</v>
      </c>
      <c r="AD50" s="31"/>
    </row>
    <row r="51" spans="1:30" x14ac:dyDescent="0.25">
      <c r="A51" t="s">
        <v>2745</v>
      </c>
      <c r="B51" t="str">
        <f t="shared" si="0"/>
        <v>No Change</v>
      </c>
      <c r="C51" t="s">
        <v>2834</v>
      </c>
      <c r="D51">
        <v>68427709</v>
      </c>
      <c r="E51" s="95" t="s">
        <v>38</v>
      </c>
      <c r="F51" t="s">
        <v>40</v>
      </c>
      <c r="G51" t="s">
        <v>40</v>
      </c>
      <c r="H51" t="s">
        <v>2835</v>
      </c>
      <c r="I51" t="s">
        <v>2259</v>
      </c>
      <c r="J51" t="s">
        <v>2830</v>
      </c>
      <c r="K51">
        <v>187516</v>
      </c>
      <c r="L51" s="26" t="s">
        <v>603</v>
      </c>
      <c r="O51" t="s">
        <v>2652</v>
      </c>
      <c r="P51" t="s">
        <v>2652</v>
      </c>
      <c r="Q51" t="s">
        <v>2762</v>
      </c>
      <c r="R51" t="s">
        <v>40</v>
      </c>
      <c r="S51" s="7">
        <v>200000</v>
      </c>
      <c r="T51" s="7">
        <v>200000</v>
      </c>
      <c r="U51" s="7">
        <v>200000</v>
      </c>
      <c r="V51" s="7">
        <f t="shared" si="1"/>
        <v>0</v>
      </c>
      <c r="W51" s="5">
        <f t="shared" si="4"/>
        <v>0</v>
      </c>
      <c r="X51" s="6"/>
      <c r="Y51" s="33">
        <f>SUMPRODUCT((BIdetails!$J$5:$J$3000=M51)*(BIdetails!$K$5:$K$3000=N51)*(BIdetails!$M$5:$M$3000))</f>
        <v>0</v>
      </c>
      <c r="Z51" s="34">
        <f t="shared" si="3"/>
        <v>0</v>
      </c>
      <c r="AA51" s="31" t="s">
        <v>649</v>
      </c>
      <c r="AB51" s="31" t="s">
        <v>2752</v>
      </c>
      <c r="AC51" s="31" t="s">
        <v>2774</v>
      </c>
      <c r="AD51" s="31"/>
    </row>
    <row r="52" spans="1:30" x14ac:dyDescent="0.25">
      <c r="A52" t="s">
        <v>2745</v>
      </c>
      <c r="B52" t="str">
        <f t="shared" si="0"/>
        <v>No Change</v>
      </c>
      <c r="D52">
        <v>68427709</v>
      </c>
      <c r="E52" s="95" t="s">
        <v>38</v>
      </c>
      <c r="F52" t="s">
        <v>40</v>
      </c>
      <c r="G52" s="96" t="s">
        <v>40</v>
      </c>
      <c r="H52" t="s">
        <v>2465</v>
      </c>
      <c r="I52" t="s">
        <v>2259</v>
      </c>
      <c r="J52" t="s">
        <v>2830</v>
      </c>
      <c r="K52">
        <v>187516</v>
      </c>
      <c r="L52" s="96" t="s">
        <v>603</v>
      </c>
      <c r="M52" s="97">
        <v>5400840950</v>
      </c>
      <c r="N52" s="97">
        <v>50</v>
      </c>
      <c r="O52" s="96" t="s">
        <v>2652</v>
      </c>
      <c r="P52" s="26" t="s">
        <v>2652</v>
      </c>
      <c r="Q52" t="s">
        <v>2762</v>
      </c>
      <c r="R52" t="s">
        <v>40</v>
      </c>
      <c r="S52" s="7">
        <v>229000</v>
      </c>
      <c r="T52" s="7">
        <v>479000</v>
      </c>
      <c r="U52" s="261">
        <v>479000</v>
      </c>
      <c r="V52" s="7">
        <f t="shared" si="1"/>
        <v>0</v>
      </c>
      <c r="W52" s="5">
        <f t="shared" si="4"/>
        <v>0</v>
      </c>
      <c r="X52" s="237"/>
      <c r="Y52" s="33">
        <f>SUMPRODUCT((BIdetails!$J$5:$J$3000=M52)*(BIdetails!$K$5:$K$3000=N52)*(BIdetails!$M$5:$M$3000))</f>
        <v>0</v>
      </c>
      <c r="Z52" s="34">
        <f t="shared" si="3"/>
        <v>0</v>
      </c>
      <c r="AA52" s="31" t="s">
        <v>649</v>
      </c>
      <c r="AB52" s="31" t="s">
        <v>2752</v>
      </c>
      <c r="AC52" s="31" t="s">
        <v>2774</v>
      </c>
      <c r="AD52" s="31"/>
    </row>
    <row r="53" spans="1:30" x14ac:dyDescent="0.25">
      <c r="A53" t="s">
        <v>2745</v>
      </c>
      <c r="B53" t="str">
        <f t="shared" si="0"/>
        <v>No Change</v>
      </c>
      <c r="D53">
        <v>68427709</v>
      </c>
      <c r="E53" s="95" t="s">
        <v>38</v>
      </c>
      <c r="F53" t="s">
        <v>40</v>
      </c>
      <c r="G53" t="s">
        <v>40</v>
      </c>
      <c r="H53" s="26" t="s">
        <v>2467</v>
      </c>
      <c r="I53" t="s">
        <v>2259</v>
      </c>
      <c r="J53" t="s">
        <v>2830</v>
      </c>
      <c r="K53">
        <v>187516</v>
      </c>
      <c r="L53" s="96" t="s">
        <v>603</v>
      </c>
      <c r="M53" s="21">
        <v>5400912390</v>
      </c>
      <c r="N53" s="21">
        <v>10</v>
      </c>
      <c r="O53" t="s">
        <v>2652</v>
      </c>
      <c r="P53" s="96" t="s">
        <v>2652</v>
      </c>
      <c r="Q53" t="s">
        <v>2762</v>
      </c>
      <c r="R53" s="96" t="s">
        <v>40</v>
      </c>
      <c r="S53" s="7">
        <v>141000</v>
      </c>
      <c r="T53" s="7">
        <v>141000</v>
      </c>
      <c r="U53" s="7">
        <v>141000</v>
      </c>
      <c r="V53" s="7">
        <f t="shared" si="1"/>
        <v>0</v>
      </c>
      <c r="W53" s="5">
        <f t="shared" si="4"/>
        <v>0</v>
      </c>
      <c r="X53" s="237"/>
      <c r="Y53" s="33">
        <f>SUMPRODUCT((BIdetails!$J$5:$J$3000=M53)*(BIdetails!$K$5:$K$3000=N53)*(BIdetails!$M$5:$M$3000))</f>
        <v>0</v>
      </c>
      <c r="Z53" s="34">
        <f t="shared" si="3"/>
        <v>0</v>
      </c>
      <c r="AA53" s="31"/>
      <c r="AB53" s="31"/>
      <c r="AC53" s="31"/>
      <c r="AD53" s="31"/>
    </row>
    <row r="54" spans="1:30" hidden="1" x14ac:dyDescent="0.25">
      <c r="A54" t="s">
        <v>2745</v>
      </c>
      <c r="B54" t="str">
        <f t="shared" si="0"/>
        <v>No Change</v>
      </c>
      <c r="C54" t="s">
        <v>2770</v>
      </c>
      <c r="D54">
        <v>68427709</v>
      </c>
      <c r="E54" s="95" t="s">
        <v>41</v>
      </c>
      <c r="F54" s="96" t="s">
        <v>57</v>
      </c>
      <c r="G54" s="96" t="s">
        <v>42</v>
      </c>
      <c r="H54" t="s">
        <v>1386</v>
      </c>
      <c r="I54" t="s">
        <v>2771</v>
      </c>
      <c r="J54" t="s">
        <v>2836</v>
      </c>
      <c r="K54">
        <v>187516</v>
      </c>
      <c r="L54" s="26" t="s">
        <v>603</v>
      </c>
      <c r="M54" s="217"/>
      <c r="O54" s="26" t="s">
        <v>2676</v>
      </c>
      <c r="P54" s="26" t="s">
        <v>2773</v>
      </c>
      <c r="Q54" t="s">
        <v>2750</v>
      </c>
      <c r="R54" t="s">
        <v>2751</v>
      </c>
      <c r="S54" s="7">
        <v>50000</v>
      </c>
      <c r="T54" s="7">
        <v>50000</v>
      </c>
      <c r="U54" s="7">
        <v>50000</v>
      </c>
      <c r="V54" s="7">
        <f t="shared" si="1"/>
        <v>0</v>
      </c>
      <c r="W54" s="5">
        <f t="shared" si="4"/>
        <v>0</v>
      </c>
      <c r="X54" s="123"/>
      <c r="Y54" s="33">
        <f>SUMPRODUCT((BIdetails!$J$5:$J$3000=M54)*(BIdetails!$K$5:$K$3000=N54)*(BIdetails!$M$5:$M$3000))</f>
        <v>0</v>
      </c>
      <c r="Z54" s="34">
        <f t="shared" si="3"/>
        <v>0</v>
      </c>
      <c r="AA54" s="31" t="s">
        <v>649</v>
      </c>
      <c r="AB54" s="31" t="s">
        <v>2752</v>
      </c>
      <c r="AC54" s="31" t="s">
        <v>2774</v>
      </c>
      <c r="AD54" s="31"/>
    </row>
    <row r="55" spans="1:30" hidden="1" x14ac:dyDescent="0.25">
      <c r="A55" t="s">
        <v>2745</v>
      </c>
      <c r="B55" t="str">
        <f t="shared" si="0"/>
        <v>No Change</v>
      </c>
      <c r="D55">
        <v>68427709</v>
      </c>
      <c r="E55" s="95" t="s">
        <v>26</v>
      </c>
      <c r="F55" t="s">
        <v>27</v>
      </c>
      <c r="G55" s="26" t="s">
        <v>42</v>
      </c>
      <c r="H55" s="26" t="s">
        <v>1859</v>
      </c>
      <c r="I55" t="s">
        <v>2837</v>
      </c>
      <c r="J55" t="s">
        <v>2838</v>
      </c>
      <c r="K55">
        <v>187516</v>
      </c>
      <c r="L55" s="96" t="s">
        <v>603</v>
      </c>
      <c r="M55" s="217"/>
      <c r="O55" s="26" t="s">
        <v>2224</v>
      </c>
      <c r="P55" s="26" t="s">
        <v>2224</v>
      </c>
      <c r="Q55" t="s">
        <v>2762</v>
      </c>
      <c r="R55" t="s">
        <v>2809</v>
      </c>
      <c r="S55" s="7">
        <v>50000</v>
      </c>
      <c r="T55" s="7">
        <v>50000</v>
      </c>
      <c r="U55" s="7">
        <v>50000</v>
      </c>
      <c r="V55" s="7">
        <f t="shared" si="1"/>
        <v>0</v>
      </c>
      <c r="W55" s="5">
        <f t="shared" si="4"/>
        <v>0</v>
      </c>
      <c r="X55" s="123"/>
      <c r="Y55" s="33">
        <f>SUMPRODUCT((BIdetails!$J$5:$J$3000=M55)*(BIdetails!$K$5:$K$3000=N55)*(BIdetails!$M$5:$M$3000))</f>
        <v>0</v>
      </c>
      <c r="Z55" s="34">
        <f t="shared" si="3"/>
        <v>0</v>
      </c>
      <c r="AA55" s="31"/>
      <c r="AB55" s="31"/>
      <c r="AC55" s="31"/>
      <c r="AD55" s="31"/>
    </row>
    <row r="56" spans="1:30" hidden="1" x14ac:dyDescent="0.25">
      <c r="A56" t="s">
        <v>2745</v>
      </c>
      <c r="B56" t="str">
        <f t="shared" si="0"/>
        <v>No Change</v>
      </c>
      <c r="D56">
        <v>68427709</v>
      </c>
      <c r="E56" s="95" t="s">
        <v>26</v>
      </c>
      <c r="F56" t="s">
        <v>27</v>
      </c>
      <c r="G56" s="26" t="s">
        <v>42</v>
      </c>
      <c r="H56" s="26" t="s">
        <v>1863</v>
      </c>
      <c r="I56" t="s">
        <v>2837</v>
      </c>
      <c r="J56" t="s">
        <v>2838</v>
      </c>
      <c r="K56">
        <v>187516</v>
      </c>
      <c r="L56" s="96" t="s">
        <v>603</v>
      </c>
      <c r="M56" s="217"/>
      <c r="O56" s="26" t="s">
        <v>2224</v>
      </c>
      <c r="P56" s="26" t="s">
        <v>2224</v>
      </c>
      <c r="Q56" t="s">
        <v>2762</v>
      </c>
      <c r="R56" t="s">
        <v>2809</v>
      </c>
      <c r="S56" s="7">
        <v>80000</v>
      </c>
      <c r="T56" s="7">
        <v>80000</v>
      </c>
      <c r="U56" s="7">
        <v>80000</v>
      </c>
      <c r="V56" s="7">
        <f t="shared" si="1"/>
        <v>0</v>
      </c>
      <c r="W56" s="5">
        <f t="shared" si="4"/>
        <v>0</v>
      </c>
      <c r="X56" s="123"/>
      <c r="Y56" s="33">
        <f>SUMPRODUCT((BIdetails!$J$5:$J$3000=M56)*(BIdetails!$K$5:$K$3000=N56)*(BIdetails!$M$5:$M$3000))</f>
        <v>0</v>
      </c>
      <c r="Z56" s="34">
        <f t="shared" si="3"/>
        <v>0</v>
      </c>
      <c r="AA56" s="31" t="s">
        <v>649</v>
      </c>
      <c r="AB56" s="31" t="s">
        <v>2752</v>
      </c>
      <c r="AC56" s="31" t="s">
        <v>2774</v>
      </c>
      <c r="AD56" s="31"/>
    </row>
    <row r="57" spans="1:30" hidden="1" x14ac:dyDescent="0.25">
      <c r="A57" t="s">
        <v>2745</v>
      </c>
      <c r="B57" t="str">
        <f t="shared" si="0"/>
        <v>No Change</v>
      </c>
      <c r="C57" t="s">
        <v>2823</v>
      </c>
      <c r="D57">
        <v>68427709</v>
      </c>
      <c r="E57" s="95" t="s">
        <v>41</v>
      </c>
      <c r="F57" s="96" t="s">
        <v>57</v>
      </c>
      <c r="G57" s="96" t="s">
        <v>42</v>
      </c>
      <c r="H57" t="s">
        <v>2839</v>
      </c>
      <c r="I57">
        <v>0</v>
      </c>
      <c r="J57" t="s">
        <v>2769</v>
      </c>
      <c r="K57">
        <v>187516</v>
      </c>
      <c r="L57" t="s">
        <v>2840</v>
      </c>
      <c r="M57" s="21">
        <v>5400853128</v>
      </c>
      <c r="N57" s="21">
        <v>10</v>
      </c>
      <c r="O57" s="26" t="s">
        <v>1734</v>
      </c>
      <c r="P57" s="26" t="s">
        <v>1734</v>
      </c>
      <c r="Q57" t="s">
        <v>2762</v>
      </c>
      <c r="R57" t="s">
        <v>2751</v>
      </c>
      <c r="S57" s="7">
        <v>700000</v>
      </c>
      <c r="T57" s="7">
        <v>700000</v>
      </c>
      <c r="U57" s="7">
        <v>700000</v>
      </c>
      <c r="V57" s="7">
        <f>U57-T57</f>
        <v>0</v>
      </c>
      <c r="W57" s="5">
        <f t="shared" si="4"/>
        <v>0</v>
      </c>
      <c r="X57" s="123"/>
      <c r="Y57" s="33">
        <f>SUMPRODUCT((BIdetails!$J$5:$J$3000=M57)*(BIdetails!$K$5:$K$3000=N57)*(BIdetails!$M$5:$M$3000))</f>
        <v>0</v>
      </c>
      <c r="Z57" s="34">
        <f t="shared" si="3"/>
        <v>0</v>
      </c>
      <c r="AA57" s="31" t="s">
        <v>2758</v>
      </c>
      <c r="AB57" s="31" t="s">
        <v>2752</v>
      </c>
      <c r="AC57" s="31" t="s">
        <v>2774</v>
      </c>
      <c r="AD57" s="31"/>
    </row>
    <row r="58" spans="1:30" hidden="1" x14ac:dyDescent="0.25">
      <c r="A58" t="s">
        <v>2745</v>
      </c>
      <c r="B58" t="str">
        <f t="shared" si="0"/>
        <v>No Change</v>
      </c>
      <c r="D58">
        <v>68427709</v>
      </c>
      <c r="E58" s="95" t="s">
        <v>53</v>
      </c>
      <c r="F58" t="s">
        <v>54</v>
      </c>
      <c r="G58" t="s">
        <v>42</v>
      </c>
      <c r="H58" t="s">
        <v>2841</v>
      </c>
      <c r="I58" t="s">
        <v>2795</v>
      </c>
      <c r="J58" t="s">
        <v>2842</v>
      </c>
      <c r="K58">
        <v>187516</v>
      </c>
      <c r="L58" t="s">
        <v>603</v>
      </c>
      <c r="M58" s="21">
        <v>5401023574</v>
      </c>
      <c r="N58" s="21">
        <v>10</v>
      </c>
      <c r="O58" s="26" t="s">
        <v>2676</v>
      </c>
      <c r="P58" s="26" t="s">
        <v>2324</v>
      </c>
      <c r="Q58" t="s">
        <v>2762</v>
      </c>
      <c r="R58" t="s">
        <v>2751</v>
      </c>
      <c r="S58" s="7">
        <v>50000</v>
      </c>
      <c r="T58" s="7">
        <v>50000</v>
      </c>
      <c r="U58" s="7">
        <v>50000</v>
      </c>
      <c r="V58" s="7">
        <f t="shared" si="1"/>
        <v>0</v>
      </c>
      <c r="W58" s="5">
        <f t="shared" si="4"/>
        <v>0</v>
      </c>
      <c r="X58" s="6"/>
      <c r="Y58" s="33">
        <f>SUMPRODUCT((BIdetails!$J$5:$J$3000=M58)*(BIdetails!$K$5:$K$3000=N58)*(BIdetails!$M$5:$M$3000))</f>
        <v>0</v>
      </c>
      <c r="Z58" s="34">
        <f t="shared" si="3"/>
        <v>0</v>
      </c>
      <c r="AA58" s="31"/>
      <c r="AB58" s="31"/>
      <c r="AC58" s="31"/>
      <c r="AD58" s="31"/>
    </row>
    <row r="59" spans="1:30" hidden="1" x14ac:dyDescent="0.25">
      <c r="A59" t="s">
        <v>2745</v>
      </c>
      <c r="B59" t="str">
        <f t="shared" ref="B59:B119" si="5">IF(T59=U59,"No Change",IF(AND(U59&lt;&gt;0,U59&lt;T59),"Decrease",IF(AND(U59&lt;&gt;0,T59=0),"New",IF(AND(T59&lt;&gt;0,U59=0),"Decommissioned","Increase"))))</f>
        <v>Decrease</v>
      </c>
      <c r="D59">
        <v>68427709</v>
      </c>
      <c r="E59" s="95" t="s">
        <v>49</v>
      </c>
      <c r="F59" t="s">
        <v>50</v>
      </c>
      <c r="G59" t="s">
        <v>42</v>
      </c>
      <c r="H59" t="s">
        <v>2630</v>
      </c>
      <c r="J59" t="s">
        <v>2843</v>
      </c>
      <c r="K59">
        <v>187516</v>
      </c>
      <c r="L59" s="96" t="s">
        <v>2844</v>
      </c>
      <c r="O59" t="s">
        <v>2676</v>
      </c>
      <c r="P59" s="96" t="s">
        <v>2314</v>
      </c>
      <c r="Q59" t="s">
        <v>2762</v>
      </c>
      <c r="R59" t="s">
        <v>2793</v>
      </c>
      <c r="S59" s="7">
        <v>432000</v>
      </c>
      <c r="T59" s="7">
        <v>432000</v>
      </c>
      <c r="U59" s="7">
        <v>125000</v>
      </c>
      <c r="V59" s="7">
        <f t="shared" ref="V59:V119" si="6">U59-T59</f>
        <v>-307000</v>
      </c>
      <c r="W59" s="5">
        <f t="shared" ref="W59:W70" si="7">IF(B59="New",1,IFERROR(V59/T59,0))</f>
        <v>-0.71064814814814814</v>
      </c>
      <c r="X59" s="6"/>
      <c r="Y59" s="33">
        <f>SUMPRODUCT((BIdetails!$J$5:$J$3000=M59)*(BIdetails!$K$5:$K$3000=N59)*(BIdetails!$M$5:$M$3000))</f>
        <v>0</v>
      </c>
      <c r="Z59" s="34">
        <f t="shared" si="3"/>
        <v>0</v>
      </c>
      <c r="AA59" s="31"/>
      <c r="AB59" s="31"/>
      <c r="AC59" s="31"/>
      <c r="AD59" s="31"/>
    </row>
    <row r="60" spans="1:30" hidden="1" x14ac:dyDescent="0.25">
      <c r="A60" t="s">
        <v>2745</v>
      </c>
      <c r="B60" t="str">
        <f t="shared" si="5"/>
        <v>Increase</v>
      </c>
      <c r="C60" t="s">
        <v>2845</v>
      </c>
      <c r="D60">
        <v>68427709</v>
      </c>
      <c r="E60" s="95" t="s">
        <v>49</v>
      </c>
      <c r="F60" t="s">
        <v>50</v>
      </c>
      <c r="G60" s="96" t="s">
        <v>42</v>
      </c>
      <c r="H60" s="96" t="s">
        <v>1518</v>
      </c>
      <c r="I60">
        <v>0</v>
      </c>
      <c r="J60" t="s">
        <v>2019</v>
      </c>
      <c r="K60" s="96">
        <v>115995</v>
      </c>
      <c r="L60" s="96" t="s">
        <v>2846</v>
      </c>
      <c r="M60" s="97">
        <v>5400996763</v>
      </c>
      <c r="N60" s="97">
        <v>10</v>
      </c>
      <c r="O60" s="96" t="s">
        <v>2676</v>
      </c>
      <c r="P60" s="26" t="s">
        <v>2847</v>
      </c>
      <c r="Q60" s="215" t="s">
        <v>2756</v>
      </c>
      <c r="R60" s="96" t="s">
        <v>2757</v>
      </c>
      <c r="S60" s="7">
        <v>155000</v>
      </c>
      <c r="T60" s="7">
        <v>160000</v>
      </c>
      <c r="U60" s="7">
        <v>172000</v>
      </c>
      <c r="V60" s="7">
        <f t="shared" si="6"/>
        <v>12000</v>
      </c>
      <c r="W60" s="5">
        <f t="shared" si="7"/>
        <v>7.4999999999999997E-2</v>
      </c>
      <c r="X60" s="6"/>
      <c r="Y60" s="33">
        <f>SUMPRODUCT((BIdetails!$J$5:$J$3000=M60)*(BIdetails!$K$5:$K$3000=N60)*(BIdetails!$M$5:$M$3000))</f>
        <v>0</v>
      </c>
      <c r="Z60" s="34">
        <f t="shared" si="3"/>
        <v>0</v>
      </c>
      <c r="AA60" s="31" t="s">
        <v>649</v>
      </c>
      <c r="AB60" s="31" t="s">
        <v>2752</v>
      </c>
      <c r="AC60" s="31" t="s">
        <v>2774</v>
      </c>
      <c r="AD60" s="31"/>
    </row>
    <row r="61" spans="1:30" hidden="1" x14ac:dyDescent="0.25">
      <c r="A61" t="s">
        <v>2745</v>
      </c>
      <c r="B61" t="str">
        <f t="shared" si="5"/>
        <v>Increase</v>
      </c>
      <c r="C61" t="s">
        <v>2848</v>
      </c>
      <c r="D61">
        <v>68427709</v>
      </c>
      <c r="E61" s="95" t="s">
        <v>49</v>
      </c>
      <c r="F61" t="s">
        <v>50</v>
      </c>
      <c r="G61" s="96" t="s">
        <v>42</v>
      </c>
      <c r="H61" s="96" t="s">
        <v>2280</v>
      </c>
      <c r="I61">
        <v>0</v>
      </c>
      <c r="J61" t="s">
        <v>2019</v>
      </c>
      <c r="K61" s="96">
        <v>115995</v>
      </c>
      <c r="L61" s="26" t="s">
        <v>2846</v>
      </c>
      <c r="M61" s="249">
        <v>5401014598</v>
      </c>
      <c r="N61" s="21">
        <v>10</v>
      </c>
      <c r="O61" s="26" t="s">
        <v>2676</v>
      </c>
      <c r="P61" s="26" t="s">
        <v>2847</v>
      </c>
      <c r="Q61" s="215" t="s">
        <v>2756</v>
      </c>
      <c r="R61" s="96" t="s">
        <v>2757</v>
      </c>
      <c r="S61" s="7">
        <v>42000</v>
      </c>
      <c r="T61" s="7">
        <v>45000</v>
      </c>
      <c r="U61" s="7">
        <v>50000</v>
      </c>
      <c r="V61" s="7">
        <f t="shared" si="6"/>
        <v>5000</v>
      </c>
      <c r="W61" s="5">
        <f t="shared" si="7"/>
        <v>0.1111111111111111</v>
      </c>
      <c r="X61" s="123"/>
      <c r="Y61" s="33">
        <f>SUMPRODUCT((BIdetails!$J$5:$J$3000=M61)*(BIdetails!$K$5:$K$3000=N61)*(BIdetails!$M$5:$M$3000))</f>
        <v>0</v>
      </c>
      <c r="Z61" s="34">
        <f t="shared" si="3"/>
        <v>0</v>
      </c>
      <c r="AA61" s="31" t="s">
        <v>2758</v>
      </c>
      <c r="AB61" s="31" t="s">
        <v>2849</v>
      </c>
      <c r="AC61" s="31" t="s">
        <v>2785</v>
      </c>
      <c r="AD61" s="31"/>
    </row>
    <row r="62" spans="1:30" hidden="1" x14ac:dyDescent="0.25">
      <c r="A62" t="s">
        <v>2783</v>
      </c>
      <c r="B62" t="str">
        <f t="shared" si="5"/>
        <v>New</v>
      </c>
      <c r="D62">
        <v>68427709</v>
      </c>
      <c r="E62" s="95" t="s">
        <v>53</v>
      </c>
      <c r="F62" t="s">
        <v>54</v>
      </c>
      <c r="G62" t="s">
        <v>42</v>
      </c>
      <c r="H62" t="s">
        <v>2343</v>
      </c>
      <c r="I62">
        <v>0</v>
      </c>
      <c r="J62" t="s">
        <v>2850</v>
      </c>
      <c r="K62" s="26">
        <v>193714</v>
      </c>
      <c r="L62" s="26" t="s">
        <v>2343</v>
      </c>
      <c r="O62" s="26" t="s">
        <v>2676</v>
      </c>
      <c r="P62" s="26" t="s">
        <v>2591</v>
      </c>
      <c r="Q62" t="s">
        <v>2762</v>
      </c>
      <c r="R62" t="s">
        <v>2851</v>
      </c>
      <c r="S62" s="7">
        <v>65000</v>
      </c>
      <c r="T62" s="7">
        <v>0</v>
      </c>
      <c r="U62" s="7">
        <v>65000</v>
      </c>
      <c r="V62" s="7">
        <f t="shared" si="6"/>
        <v>65000</v>
      </c>
      <c r="W62" s="5">
        <f t="shared" si="7"/>
        <v>1</v>
      </c>
      <c r="X62" s="6"/>
      <c r="Y62" s="33">
        <f>SUMPRODUCT((BIdetails!$J$5:$J$3000=M62)*(BIdetails!$K$5:$K$3000=N62)*(BIdetails!$M$5:$M$3000))</f>
        <v>0</v>
      </c>
      <c r="Z62" s="34">
        <f t="shared" ref="Z62:Z124" si="8">IF(U62=0,"",(Y62/U62))</f>
        <v>0</v>
      </c>
      <c r="AA62" s="31"/>
      <c r="AB62" s="31"/>
      <c r="AC62" s="31"/>
      <c r="AD62" s="31"/>
    </row>
    <row r="63" spans="1:30" hidden="1" x14ac:dyDescent="0.25">
      <c r="A63" t="s">
        <v>2745</v>
      </c>
      <c r="B63" t="str">
        <f t="shared" si="5"/>
        <v>Increase</v>
      </c>
      <c r="D63">
        <v>68427709</v>
      </c>
      <c r="E63" s="95" t="s">
        <v>53</v>
      </c>
      <c r="F63" t="s">
        <v>54</v>
      </c>
      <c r="G63" t="s">
        <v>42</v>
      </c>
      <c r="H63" t="s">
        <v>1227</v>
      </c>
      <c r="I63">
        <v>0</v>
      </c>
      <c r="J63" t="s">
        <v>2852</v>
      </c>
      <c r="K63">
        <v>204773</v>
      </c>
      <c r="L63" t="s">
        <v>2853</v>
      </c>
      <c r="M63" s="21">
        <v>5401038265</v>
      </c>
      <c r="N63" s="21">
        <v>10</v>
      </c>
      <c r="O63" s="26" t="s">
        <v>2676</v>
      </c>
      <c r="P63" s="26" t="s">
        <v>1225</v>
      </c>
      <c r="Q63" s="215" t="s">
        <v>2854</v>
      </c>
      <c r="R63" t="s">
        <v>2855</v>
      </c>
      <c r="S63" s="7">
        <v>294000</v>
      </c>
      <c r="T63" s="7">
        <v>297000</v>
      </c>
      <c r="U63" s="7">
        <v>300000</v>
      </c>
      <c r="V63" s="7">
        <f t="shared" si="6"/>
        <v>3000</v>
      </c>
      <c r="W63" s="5">
        <f t="shared" si="7"/>
        <v>1.0101010101010102E-2</v>
      </c>
      <c r="X63" s="6"/>
      <c r="Y63" s="33">
        <f>SUMPRODUCT((BIdetails!$J$5:$J$3000=M63)*(BIdetails!$K$5:$K$3000=N63)*(BIdetails!$M$5:$M$3000))</f>
        <v>0</v>
      </c>
      <c r="Z63" s="34">
        <f t="shared" si="8"/>
        <v>0</v>
      </c>
      <c r="AA63" s="31"/>
      <c r="AB63" s="31"/>
      <c r="AC63" s="31"/>
      <c r="AD63" s="31"/>
    </row>
    <row r="64" spans="1:30" hidden="1" x14ac:dyDescent="0.25">
      <c r="A64" t="s">
        <v>2745</v>
      </c>
      <c r="B64" t="str">
        <f t="shared" si="5"/>
        <v>Decommissioned</v>
      </c>
      <c r="C64" t="s">
        <v>2856</v>
      </c>
      <c r="D64">
        <v>68427709</v>
      </c>
      <c r="E64" s="95" t="s">
        <v>49</v>
      </c>
      <c r="F64" t="s">
        <v>50</v>
      </c>
      <c r="G64" s="96" t="s">
        <v>42</v>
      </c>
      <c r="H64" s="96" t="s">
        <v>1909</v>
      </c>
      <c r="I64">
        <v>0</v>
      </c>
      <c r="J64" t="s">
        <v>2857</v>
      </c>
      <c r="K64" s="96">
        <v>178449</v>
      </c>
      <c r="L64" s="96" t="s">
        <v>2858</v>
      </c>
      <c r="M64"/>
      <c r="N64" s="97">
        <v>10</v>
      </c>
      <c r="O64" s="96" t="s">
        <v>2676</v>
      </c>
      <c r="P64" s="96" t="s">
        <v>227</v>
      </c>
      <c r="Q64" s="96" t="s">
        <v>2762</v>
      </c>
      <c r="R64" s="96" t="s">
        <v>2757</v>
      </c>
      <c r="S64" s="7">
        <v>52000</v>
      </c>
      <c r="T64" s="7">
        <v>40000</v>
      </c>
      <c r="U64" s="7">
        <v>0</v>
      </c>
      <c r="V64" s="7">
        <f t="shared" si="6"/>
        <v>-40000</v>
      </c>
      <c r="W64" s="5">
        <f t="shared" si="7"/>
        <v>-1</v>
      </c>
      <c r="X64" s="6"/>
      <c r="Y64" s="33">
        <f>SUMPRODUCT((BIdetails!$J$5:$J$3000=M64)*(BIdetails!$K$5:$K$3000=N64)*(BIdetails!$M$5:$M$3000))</f>
        <v>0</v>
      </c>
      <c r="Z64" s="34" t="str">
        <f t="shared" si="8"/>
        <v/>
      </c>
      <c r="AA64" s="31"/>
      <c r="AB64" s="31"/>
      <c r="AC64" s="31"/>
      <c r="AD64" s="31"/>
    </row>
    <row r="65" spans="1:30" hidden="1" x14ac:dyDescent="0.25">
      <c r="A65" t="s">
        <v>2745</v>
      </c>
      <c r="B65" t="str">
        <f t="shared" si="5"/>
        <v>No Change</v>
      </c>
      <c r="C65" t="s">
        <v>2859</v>
      </c>
      <c r="D65">
        <v>68427709</v>
      </c>
      <c r="E65" s="95" t="s">
        <v>53</v>
      </c>
      <c r="F65" t="s">
        <v>54</v>
      </c>
      <c r="G65" t="s">
        <v>42</v>
      </c>
      <c r="H65" s="26" t="s">
        <v>2860</v>
      </c>
      <c r="I65">
        <v>0</v>
      </c>
      <c r="J65" t="s">
        <v>2092</v>
      </c>
      <c r="K65">
        <v>200133</v>
      </c>
      <c r="L65" s="26" t="s">
        <v>1292</v>
      </c>
      <c r="M65" s="218">
        <v>5400942942</v>
      </c>
      <c r="N65" s="21">
        <v>30</v>
      </c>
      <c r="O65" s="26" t="s">
        <v>2676</v>
      </c>
      <c r="P65" s="26" t="s">
        <v>2861</v>
      </c>
      <c r="Q65" t="s">
        <v>2862</v>
      </c>
      <c r="R65" t="s">
        <v>850</v>
      </c>
      <c r="S65" s="7">
        <v>380000</v>
      </c>
      <c r="T65" s="7">
        <v>380000</v>
      </c>
      <c r="U65" s="7">
        <v>380000</v>
      </c>
      <c r="V65" s="7">
        <f t="shared" si="6"/>
        <v>0</v>
      </c>
      <c r="W65" s="5">
        <f t="shared" si="7"/>
        <v>0</v>
      </c>
      <c r="X65" s="123"/>
      <c r="Y65" s="33">
        <f>SUMPRODUCT((BIdetails!$J$5:$J$3000=M65)*(BIdetails!$K$5:$K$3000=N65)*(BIdetails!$M$5:$M$3000))</f>
        <v>0</v>
      </c>
      <c r="Z65" s="34">
        <f t="shared" si="8"/>
        <v>0</v>
      </c>
      <c r="AA65" s="31" t="s">
        <v>2758</v>
      </c>
      <c r="AB65" s="31" t="s">
        <v>2849</v>
      </c>
      <c r="AC65" s="31" t="s">
        <v>2785</v>
      </c>
      <c r="AD65" s="31"/>
    </row>
    <row r="66" spans="1:30" hidden="1" x14ac:dyDescent="0.25">
      <c r="A66" t="s">
        <v>2745</v>
      </c>
      <c r="B66" t="str">
        <f t="shared" si="5"/>
        <v>Decommissioned</v>
      </c>
      <c r="C66" t="s">
        <v>2863</v>
      </c>
      <c r="D66">
        <v>68427709</v>
      </c>
      <c r="E66" s="101" t="s">
        <v>53</v>
      </c>
      <c r="F66" s="26" t="s">
        <v>54</v>
      </c>
      <c r="G66" s="26" t="s">
        <v>42</v>
      </c>
      <c r="H66" s="26" t="s">
        <v>2590</v>
      </c>
      <c r="I66">
        <v>0</v>
      </c>
      <c r="J66" t="s">
        <v>2864</v>
      </c>
      <c r="K66" s="26">
        <v>168949</v>
      </c>
      <c r="L66" s="26" t="s">
        <v>2220</v>
      </c>
      <c r="M66" s="28"/>
      <c r="N66" s="28">
        <v>30</v>
      </c>
      <c r="O66" s="26" t="s">
        <v>2676</v>
      </c>
      <c r="P66" s="26" t="s">
        <v>1283</v>
      </c>
      <c r="Q66" s="26" t="s">
        <v>2762</v>
      </c>
      <c r="R66" s="26" t="s">
        <v>2851</v>
      </c>
      <c r="S66" s="7">
        <v>67000</v>
      </c>
      <c r="T66" s="7">
        <v>23000</v>
      </c>
      <c r="U66" s="7">
        <v>0</v>
      </c>
      <c r="V66" s="7">
        <f t="shared" si="6"/>
        <v>-23000</v>
      </c>
      <c r="W66" s="5">
        <f t="shared" si="7"/>
        <v>-1</v>
      </c>
      <c r="X66" s="6"/>
      <c r="Y66" s="33">
        <f>SUMPRODUCT((BIdetails!$J$5:$J$3000=M66)*(BIdetails!$K$5:$K$3000=N66)*(BIdetails!$M$5:$M$3000))</f>
        <v>0</v>
      </c>
      <c r="Z66" s="34" t="str">
        <f t="shared" si="8"/>
        <v/>
      </c>
      <c r="AA66" s="31"/>
      <c r="AB66" s="31"/>
      <c r="AC66" s="31"/>
      <c r="AD66" s="31"/>
    </row>
    <row r="67" spans="1:30" hidden="1" x14ac:dyDescent="0.25">
      <c r="A67" t="s">
        <v>2745</v>
      </c>
      <c r="B67" t="str">
        <f t="shared" si="5"/>
        <v>Decommissioned</v>
      </c>
      <c r="C67" t="s">
        <v>2865</v>
      </c>
      <c r="D67">
        <v>68427709</v>
      </c>
      <c r="E67" s="95" t="s">
        <v>53</v>
      </c>
      <c r="F67" t="s">
        <v>54</v>
      </c>
      <c r="G67" t="s">
        <v>42</v>
      </c>
      <c r="H67" t="s">
        <v>521</v>
      </c>
      <c r="I67" t="s">
        <v>2795</v>
      </c>
      <c r="J67" t="s">
        <v>2866</v>
      </c>
      <c r="K67" s="26">
        <v>198049</v>
      </c>
      <c r="L67" t="s">
        <v>2867</v>
      </c>
      <c r="M67" s="217">
        <v>5400867960</v>
      </c>
      <c r="N67" s="21">
        <v>30</v>
      </c>
      <c r="O67" s="26" t="s">
        <v>2676</v>
      </c>
      <c r="P67" s="26" t="s">
        <v>2868</v>
      </c>
      <c r="Q67" t="s">
        <v>2762</v>
      </c>
      <c r="R67" t="s">
        <v>2751</v>
      </c>
      <c r="S67" s="7">
        <v>120000</v>
      </c>
      <c r="T67" s="7">
        <v>30000</v>
      </c>
      <c r="U67" s="7">
        <v>0</v>
      </c>
      <c r="V67" s="7">
        <f t="shared" si="6"/>
        <v>-30000</v>
      </c>
      <c r="W67" s="5">
        <f t="shared" si="7"/>
        <v>-1</v>
      </c>
      <c r="X67" s="123"/>
      <c r="Y67" s="33">
        <f>SUMPRODUCT((BIdetails!$J$5:$J$3000=M67)*(BIdetails!$K$5:$K$3000=N67)*(BIdetails!$M$5:$M$3000))</f>
        <v>0</v>
      </c>
      <c r="Z67" s="34" t="str">
        <f t="shared" si="8"/>
        <v/>
      </c>
      <c r="AA67" s="31"/>
      <c r="AB67" s="31"/>
      <c r="AC67" s="31"/>
      <c r="AD67" s="31"/>
    </row>
    <row r="68" spans="1:30" hidden="1" x14ac:dyDescent="0.25">
      <c r="A68" t="s">
        <v>2745</v>
      </c>
      <c r="B68" t="str">
        <f t="shared" si="5"/>
        <v>Increase</v>
      </c>
      <c r="C68" t="s">
        <v>2869</v>
      </c>
      <c r="D68">
        <v>68427719</v>
      </c>
      <c r="E68" s="95" t="s">
        <v>49</v>
      </c>
      <c r="F68" t="s">
        <v>50</v>
      </c>
      <c r="G68" t="s">
        <v>42</v>
      </c>
      <c r="H68" t="s">
        <v>2870</v>
      </c>
      <c r="I68">
        <v>0</v>
      </c>
      <c r="J68" t="s">
        <v>2803</v>
      </c>
      <c r="K68">
        <v>188873</v>
      </c>
      <c r="L68" t="s">
        <v>2871</v>
      </c>
      <c r="M68">
        <v>5400962069</v>
      </c>
      <c r="N68" s="21">
        <v>20</v>
      </c>
      <c r="O68" s="96" t="s">
        <v>2610</v>
      </c>
      <c r="P68" s="96" t="s">
        <v>2610</v>
      </c>
      <c r="Q68" t="s">
        <v>2805</v>
      </c>
      <c r="R68" t="s">
        <v>2801</v>
      </c>
      <c r="S68" s="7">
        <v>1700000</v>
      </c>
      <c r="T68" s="7">
        <v>1291000</v>
      </c>
      <c r="U68" s="7">
        <v>1400000</v>
      </c>
      <c r="V68" s="7">
        <f t="shared" si="6"/>
        <v>109000</v>
      </c>
      <c r="W68" s="5">
        <f t="shared" si="7"/>
        <v>8.4430673896204497E-2</v>
      </c>
      <c r="X68" s="6"/>
      <c r="Y68" s="33">
        <f>SUMPRODUCT((BIdetails!$J$5:$J$3000=M68)*(BIdetails!$K$5:$K$3000=N68)*(BIdetails!$M$5:$M$3000))</f>
        <v>0</v>
      </c>
      <c r="Z68" s="34">
        <f t="shared" si="8"/>
        <v>0</v>
      </c>
      <c r="AA68" s="31"/>
      <c r="AB68" s="31"/>
      <c r="AC68" s="31"/>
      <c r="AD68" s="31"/>
    </row>
    <row r="69" spans="1:30" hidden="1" x14ac:dyDescent="0.25">
      <c r="A69" t="s">
        <v>2745</v>
      </c>
      <c r="B69" t="str">
        <f t="shared" si="5"/>
        <v>Increase</v>
      </c>
      <c r="D69">
        <v>68427709</v>
      </c>
      <c r="E69" s="95" t="s">
        <v>53</v>
      </c>
      <c r="F69" t="s">
        <v>54</v>
      </c>
      <c r="G69" t="s">
        <v>42</v>
      </c>
      <c r="H69" t="s">
        <v>2370</v>
      </c>
      <c r="J69" t="s">
        <v>2872</v>
      </c>
      <c r="K69" s="96">
        <v>209152</v>
      </c>
      <c r="L69" t="s">
        <v>2873</v>
      </c>
      <c r="M69" s="21">
        <v>5400938430</v>
      </c>
      <c r="N69" s="21">
        <v>20</v>
      </c>
      <c r="O69" t="s">
        <v>2676</v>
      </c>
      <c r="P69" s="26" t="s">
        <v>1283</v>
      </c>
      <c r="Q69" t="s">
        <v>2762</v>
      </c>
      <c r="R69" t="s">
        <v>2851</v>
      </c>
      <c r="S69" s="7">
        <v>150000</v>
      </c>
      <c r="T69" s="7">
        <v>157000</v>
      </c>
      <c r="U69" s="7">
        <v>164500</v>
      </c>
      <c r="V69" s="7">
        <f t="shared" si="6"/>
        <v>7500</v>
      </c>
      <c r="W69" s="5">
        <f t="shared" si="7"/>
        <v>4.7770700636942678E-2</v>
      </c>
      <c r="X69" s="6"/>
      <c r="Y69" s="33">
        <f>SUMPRODUCT((BIdetails!$J$5:$J$3000=M69)*(BIdetails!$K$5:$K$3000=N69)*(BIdetails!$M$5:$M$3000))</f>
        <v>0</v>
      </c>
      <c r="Z69" s="34">
        <f t="shared" si="8"/>
        <v>0</v>
      </c>
      <c r="AA69" s="31"/>
      <c r="AB69" s="31"/>
      <c r="AC69" s="31"/>
      <c r="AD69" s="31"/>
    </row>
    <row r="70" spans="1:30" hidden="1" x14ac:dyDescent="0.25">
      <c r="A70" t="s">
        <v>2745</v>
      </c>
      <c r="B70" t="str">
        <f t="shared" si="5"/>
        <v>No Change</v>
      </c>
      <c r="C70" t="s">
        <v>2874</v>
      </c>
      <c r="D70">
        <v>68427709</v>
      </c>
      <c r="E70" s="95" t="s">
        <v>53</v>
      </c>
      <c r="F70" t="s">
        <v>54</v>
      </c>
      <c r="G70" t="s">
        <v>42</v>
      </c>
      <c r="H70" t="s">
        <v>2875</v>
      </c>
      <c r="I70" t="s">
        <v>2795</v>
      </c>
      <c r="J70" t="s">
        <v>2876</v>
      </c>
      <c r="K70">
        <v>189448</v>
      </c>
      <c r="L70" t="s">
        <v>2877</v>
      </c>
      <c r="M70" s="21">
        <v>5401041462</v>
      </c>
      <c r="N70" s="21">
        <v>20</v>
      </c>
      <c r="O70" t="s">
        <v>2676</v>
      </c>
      <c r="P70" s="26" t="s">
        <v>2158</v>
      </c>
      <c r="Q70" t="s">
        <v>2762</v>
      </c>
      <c r="R70" s="26" t="s">
        <v>2751</v>
      </c>
      <c r="S70" s="7">
        <v>135000</v>
      </c>
      <c r="T70" s="7">
        <v>150000</v>
      </c>
      <c r="U70" s="7">
        <v>150000</v>
      </c>
      <c r="V70" s="7">
        <f t="shared" si="6"/>
        <v>0</v>
      </c>
      <c r="W70" s="5">
        <f t="shared" si="7"/>
        <v>0</v>
      </c>
      <c r="X70" s="6"/>
      <c r="Y70" s="33">
        <f>SUMPRODUCT((BIdetails!$J$5:$J$3000=M70)*(BIdetails!$K$5:$K$3000=N70)*(BIdetails!$M$5:$M$3000))</f>
        <v>0</v>
      </c>
      <c r="Z70" s="34">
        <f t="shared" si="8"/>
        <v>0</v>
      </c>
      <c r="AA70" s="31"/>
      <c r="AB70" s="31"/>
      <c r="AC70" s="31"/>
      <c r="AD70" s="31"/>
    </row>
    <row r="71" spans="1:30" hidden="1" x14ac:dyDescent="0.25">
      <c r="A71" t="s">
        <v>2745</v>
      </c>
      <c r="B71" t="str">
        <f t="shared" si="5"/>
        <v>No Change</v>
      </c>
      <c r="C71" t="s">
        <v>2780</v>
      </c>
      <c r="D71">
        <v>68427709</v>
      </c>
      <c r="E71" s="95" t="s">
        <v>34</v>
      </c>
      <c r="F71" t="s">
        <v>35</v>
      </c>
      <c r="G71" t="s">
        <v>31</v>
      </c>
      <c r="H71" t="s">
        <v>2006</v>
      </c>
      <c r="J71" t="s">
        <v>2005</v>
      </c>
      <c r="K71">
        <v>120252</v>
      </c>
      <c r="L71" t="s">
        <v>461</v>
      </c>
      <c r="M71" s="21">
        <v>5401023588</v>
      </c>
      <c r="N71" s="21">
        <v>10</v>
      </c>
      <c r="O71" s="26" t="s">
        <v>2676</v>
      </c>
      <c r="P71" s="26" t="s">
        <v>2676</v>
      </c>
      <c r="Q71" t="s">
        <v>2762</v>
      </c>
      <c r="R71" t="s">
        <v>2809</v>
      </c>
      <c r="S71" s="7">
        <v>43200</v>
      </c>
      <c r="T71" s="7">
        <v>41400</v>
      </c>
      <c r="U71" s="7">
        <v>41400</v>
      </c>
      <c r="V71" s="7">
        <f t="shared" si="6"/>
        <v>0</v>
      </c>
      <c r="W71" s="5">
        <f>IF(B72="New",1,IFERROR(V71/T71,0))</f>
        <v>0</v>
      </c>
      <c r="X71" s="123"/>
      <c r="Y71" s="33">
        <f>SUMPRODUCT((BIdetails!$J$5:$J$3000=M71)*(BIdetails!$K$5:$K$3000=N71)*(BIdetails!$M$5:$M$3000))</f>
        <v>0</v>
      </c>
      <c r="Z71" s="34">
        <f t="shared" si="8"/>
        <v>0</v>
      </c>
      <c r="AA71" s="31"/>
      <c r="AB71" s="31"/>
      <c r="AC71" s="31"/>
      <c r="AD71" s="31"/>
    </row>
    <row r="72" spans="1:30" hidden="1" x14ac:dyDescent="0.25">
      <c r="A72" t="s">
        <v>2745</v>
      </c>
      <c r="B72" t="str">
        <f t="shared" si="5"/>
        <v>No Change</v>
      </c>
      <c r="C72" t="s">
        <v>2780</v>
      </c>
      <c r="D72">
        <v>68427709</v>
      </c>
      <c r="E72" s="95" t="s">
        <v>34</v>
      </c>
      <c r="F72" t="s">
        <v>35</v>
      </c>
      <c r="G72" t="s">
        <v>31</v>
      </c>
      <c r="H72" t="s">
        <v>2008</v>
      </c>
      <c r="J72" t="s">
        <v>2007</v>
      </c>
      <c r="K72">
        <v>120252</v>
      </c>
      <c r="L72" t="s">
        <v>461</v>
      </c>
      <c r="M72" s="21">
        <v>5401023588</v>
      </c>
      <c r="N72" s="21">
        <v>10</v>
      </c>
      <c r="O72" s="26" t="s">
        <v>2676</v>
      </c>
      <c r="P72" s="26" t="s">
        <v>2676</v>
      </c>
      <c r="Q72" t="s">
        <v>2762</v>
      </c>
      <c r="R72" t="s">
        <v>2809</v>
      </c>
      <c r="S72" s="7">
        <v>43200</v>
      </c>
      <c r="T72" s="7">
        <v>41400</v>
      </c>
      <c r="U72" s="7">
        <v>41400</v>
      </c>
      <c r="V72" s="7">
        <f t="shared" si="6"/>
        <v>0</v>
      </c>
      <c r="W72" s="5">
        <f t="shared" ref="W72:W130" si="9">IF(B72="New",1,IFERROR(V72/T72,0))</f>
        <v>0</v>
      </c>
      <c r="X72" s="123"/>
      <c r="Y72" s="33">
        <f>SUMPRODUCT((BIdetails!$J$5:$J$3000=M72)*(BIdetails!$K$5:$K$3000=N72)*(BIdetails!$M$5:$M$3000))</f>
        <v>0</v>
      </c>
      <c r="Z72" s="34">
        <f t="shared" si="8"/>
        <v>0</v>
      </c>
      <c r="AA72" s="31"/>
      <c r="AB72" s="31"/>
      <c r="AC72" s="31"/>
      <c r="AD72" s="31"/>
    </row>
    <row r="73" spans="1:30" hidden="1" x14ac:dyDescent="0.25">
      <c r="A73" t="s">
        <v>2783</v>
      </c>
      <c r="B73" t="str">
        <f t="shared" si="5"/>
        <v>No Change</v>
      </c>
      <c r="C73" t="s">
        <v>2780</v>
      </c>
      <c r="D73">
        <v>68427709</v>
      </c>
      <c r="E73" s="95" t="s">
        <v>34</v>
      </c>
      <c r="F73" t="s">
        <v>35</v>
      </c>
      <c r="G73" t="s">
        <v>31</v>
      </c>
      <c r="H73" t="s">
        <v>2010</v>
      </c>
      <c r="J73" t="s">
        <v>2009</v>
      </c>
      <c r="K73">
        <v>120252</v>
      </c>
      <c r="L73" t="s">
        <v>461</v>
      </c>
      <c r="O73" s="26" t="s">
        <v>2676</v>
      </c>
      <c r="P73" s="26" t="s">
        <v>2676</v>
      </c>
      <c r="Q73" t="s">
        <v>2762</v>
      </c>
      <c r="R73" t="s">
        <v>2809</v>
      </c>
      <c r="S73" s="7">
        <v>64800</v>
      </c>
      <c r="T73" s="7">
        <v>0</v>
      </c>
      <c r="U73" s="7">
        <v>0</v>
      </c>
      <c r="V73" s="7">
        <f t="shared" si="6"/>
        <v>0</v>
      </c>
      <c r="W73" s="5">
        <f t="shared" si="9"/>
        <v>0</v>
      </c>
      <c r="X73" s="123"/>
      <c r="Y73" s="33">
        <f>SUMPRODUCT((BIdetails!$J$5:$J$3000=M73)*(BIdetails!$K$5:$K$3000=N73)*(BIdetails!$M$5:$M$3000))</f>
        <v>0</v>
      </c>
      <c r="Z73" s="34" t="str">
        <f t="shared" si="8"/>
        <v/>
      </c>
      <c r="AA73" s="31"/>
      <c r="AB73" s="31"/>
      <c r="AC73" s="31"/>
      <c r="AD73" s="31"/>
    </row>
    <row r="74" spans="1:30" hidden="1" x14ac:dyDescent="0.25">
      <c r="A74" t="s">
        <v>2783</v>
      </c>
      <c r="B74" t="str">
        <f t="shared" si="5"/>
        <v>No Change</v>
      </c>
      <c r="C74" t="s">
        <v>2780</v>
      </c>
      <c r="D74">
        <v>68427709</v>
      </c>
      <c r="E74" s="95" t="s">
        <v>34</v>
      </c>
      <c r="F74" t="s">
        <v>35</v>
      </c>
      <c r="G74" t="s">
        <v>31</v>
      </c>
      <c r="H74" t="s">
        <v>2012</v>
      </c>
      <c r="J74" t="s">
        <v>2011</v>
      </c>
      <c r="K74">
        <v>120252</v>
      </c>
      <c r="L74" t="s">
        <v>461</v>
      </c>
      <c r="O74" s="26" t="s">
        <v>2676</v>
      </c>
      <c r="P74" s="26" t="s">
        <v>2676</v>
      </c>
      <c r="Q74" t="s">
        <v>2762</v>
      </c>
      <c r="R74" t="s">
        <v>2809</v>
      </c>
      <c r="S74" s="7">
        <v>21600</v>
      </c>
      <c r="T74" s="7">
        <v>0</v>
      </c>
      <c r="U74" s="7">
        <v>0</v>
      </c>
      <c r="V74" s="7">
        <f t="shared" si="6"/>
        <v>0</v>
      </c>
      <c r="W74" s="5">
        <f t="shared" si="9"/>
        <v>0</v>
      </c>
      <c r="X74" s="123"/>
      <c r="Y74" s="33">
        <f>SUMPRODUCT((BIdetails!$J$5:$J$3000=M74)*(BIdetails!$K$5:$K$3000=N74)*(BIdetails!$M$5:$M$3000))</f>
        <v>0</v>
      </c>
      <c r="Z74" s="34" t="str">
        <f t="shared" si="8"/>
        <v/>
      </c>
      <c r="AA74" s="31"/>
      <c r="AB74" s="31"/>
      <c r="AC74" s="31"/>
      <c r="AD74" s="31"/>
    </row>
    <row r="75" spans="1:30" ht="15" hidden="1" customHeight="1" x14ac:dyDescent="0.25">
      <c r="A75" t="s">
        <v>2745</v>
      </c>
      <c r="B75" t="str">
        <f t="shared" si="5"/>
        <v>No Change</v>
      </c>
      <c r="C75" t="s">
        <v>2780</v>
      </c>
      <c r="D75">
        <v>68427709</v>
      </c>
      <c r="E75" s="95" t="s">
        <v>34</v>
      </c>
      <c r="F75" t="s">
        <v>35</v>
      </c>
      <c r="G75" t="s">
        <v>31</v>
      </c>
      <c r="H75" t="s">
        <v>2014</v>
      </c>
      <c r="J75" t="s">
        <v>2013</v>
      </c>
      <c r="K75">
        <v>120252</v>
      </c>
      <c r="L75" t="s">
        <v>461</v>
      </c>
      <c r="M75" s="21">
        <v>5401023588</v>
      </c>
      <c r="N75" s="21">
        <v>10</v>
      </c>
      <c r="O75" s="26" t="s">
        <v>2676</v>
      </c>
      <c r="P75" s="26" t="s">
        <v>2676</v>
      </c>
      <c r="Q75" t="s">
        <v>2762</v>
      </c>
      <c r="R75" t="s">
        <v>2809</v>
      </c>
      <c r="S75" s="7">
        <v>32400</v>
      </c>
      <c r="T75" s="7">
        <v>10400</v>
      </c>
      <c r="U75" s="7">
        <v>10400</v>
      </c>
      <c r="V75" s="7">
        <f t="shared" si="6"/>
        <v>0</v>
      </c>
      <c r="W75" s="5">
        <f t="shared" si="9"/>
        <v>0</v>
      </c>
      <c r="X75" s="123"/>
      <c r="Y75" s="33">
        <f>SUMPRODUCT((BIdetails!$J$5:$J$3000=M75)*(BIdetails!$K$5:$K$3000=N75)*(BIdetails!$M$5:$M$3000))</f>
        <v>0</v>
      </c>
      <c r="Z75" s="34">
        <f t="shared" si="8"/>
        <v>0</v>
      </c>
      <c r="AA75" s="31"/>
      <c r="AB75" s="31"/>
      <c r="AC75" s="31"/>
      <c r="AD75" s="31"/>
    </row>
    <row r="76" spans="1:30" hidden="1" x14ac:dyDescent="0.25">
      <c r="A76" t="s">
        <v>2745</v>
      </c>
      <c r="B76" t="str">
        <f t="shared" si="5"/>
        <v>No Change</v>
      </c>
      <c r="C76" t="s">
        <v>2780</v>
      </c>
      <c r="D76">
        <v>68427709</v>
      </c>
      <c r="E76" s="95" t="s">
        <v>34</v>
      </c>
      <c r="F76" t="s">
        <v>35</v>
      </c>
      <c r="G76" t="s">
        <v>31</v>
      </c>
      <c r="H76" t="s">
        <v>2016</v>
      </c>
      <c r="J76" t="s">
        <v>2015</v>
      </c>
      <c r="K76">
        <v>120252</v>
      </c>
      <c r="L76" t="s">
        <v>461</v>
      </c>
      <c r="M76" s="21">
        <v>5401023588</v>
      </c>
      <c r="N76" s="21">
        <v>10</v>
      </c>
      <c r="O76" s="26" t="s">
        <v>2676</v>
      </c>
      <c r="P76" s="26" t="s">
        <v>2676</v>
      </c>
      <c r="Q76" t="s">
        <v>2762</v>
      </c>
      <c r="R76" t="s">
        <v>2809</v>
      </c>
      <c r="S76" s="7">
        <v>21600</v>
      </c>
      <c r="T76" s="7">
        <v>20700</v>
      </c>
      <c r="U76" s="7">
        <v>20700</v>
      </c>
      <c r="V76" s="7">
        <f t="shared" si="6"/>
        <v>0</v>
      </c>
      <c r="W76" s="5">
        <f t="shared" si="9"/>
        <v>0</v>
      </c>
      <c r="X76" s="123"/>
      <c r="Y76" s="33">
        <f>SUMPRODUCT((BIdetails!$J$5:$J$3000=M76)*(BIdetails!$K$5:$K$3000=N76)*(BIdetails!$M$5:$M$3000))</f>
        <v>0</v>
      </c>
      <c r="Z76" s="34">
        <f t="shared" si="8"/>
        <v>0</v>
      </c>
      <c r="AA76" s="31"/>
      <c r="AB76" s="31"/>
      <c r="AC76" s="31"/>
      <c r="AD76" s="31"/>
    </row>
    <row r="77" spans="1:30" hidden="1" x14ac:dyDescent="0.25">
      <c r="A77" t="s">
        <v>2783</v>
      </c>
      <c r="B77" t="str">
        <f t="shared" si="5"/>
        <v>No Change</v>
      </c>
      <c r="C77" t="s">
        <v>2780</v>
      </c>
      <c r="D77">
        <v>68427709</v>
      </c>
      <c r="E77" s="95" t="s">
        <v>34</v>
      </c>
      <c r="F77" t="s">
        <v>35</v>
      </c>
      <c r="G77" t="s">
        <v>31</v>
      </c>
      <c r="H77" t="s">
        <v>2018</v>
      </c>
      <c r="J77" t="s">
        <v>2017</v>
      </c>
      <c r="K77">
        <v>120252</v>
      </c>
      <c r="L77" t="s">
        <v>461</v>
      </c>
      <c r="O77" s="26" t="s">
        <v>2676</v>
      </c>
      <c r="P77" s="26" t="s">
        <v>2676</v>
      </c>
      <c r="Q77" t="s">
        <v>2762</v>
      </c>
      <c r="R77" t="s">
        <v>2809</v>
      </c>
      <c r="S77" s="7">
        <v>75600</v>
      </c>
      <c r="T77" s="7">
        <v>0</v>
      </c>
      <c r="U77" s="7">
        <v>0</v>
      </c>
      <c r="V77" s="7">
        <f t="shared" si="6"/>
        <v>0</v>
      </c>
      <c r="W77" s="5">
        <f t="shared" si="9"/>
        <v>0</v>
      </c>
      <c r="X77" s="123"/>
      <c r="Y77" s="33">
        <f>SUMPRODUCT((BIdetails!$J$5:$J$3000=M77)*(BIdetails!$K$5:$K$3000=N77)*(BIdetails!$M$5:$M$3000))</f>
        <v>0</v>
      </c>
      <c r="Z77" s="34" t="str">
        <f t="shared" si="8"/>
        <v/>
      </c>
      <c r="AA77" s="31"/>
      <c r="AB77" s="31"/>
      <c r="AC77" s="31"/>
      <c r="AD77" s="31"/>
    </row>
    <row r="78" spans="1:30" hidden="1" x14ac:dyDescent="0.25">
      <c r="A78" t="s">
        <v>2745</v>
      </c>
      <c r="B78" t="str">
        <f t="shared" si="5"/>
        <v>No Change</v>
      </c>
      <c r="C78" t="s">
        <v>2780</v>
      </c>
      <c r="D78">
        <v>68427709</v>
      </c>
      <c r="E78" s="95" t="s">
        <v>34</v>
      </c>
      <c r="F78" t="s">
        <v>35</v>
      </c>
      <c r="G78" t="s">
        <v>31</v>
      </c>
      <c r="H78" t="s">
        <v>2020</v>
      </c>
      <c r="J78" t="s">
        <v>2019</v>
      </c>
      <c r="K78">
        <v>120252</v>
      </c>
      <c r="L78" t="s">
        <v>461</v>
      </c>
      <c r="M78" s="21">
        <v>5401023588</v>
      </c>
      <c r="N78" s="21">
        <v>10</v>
      </c>
      <c r="O78" s="26" t="s">
        <v>2676</v>
      </c>
      <c r="P78" s="26" t="s">
        <v>2676</v>
      </c>
      <c r="Q78" t="s">
        <v>2762</v>
      </c>
      <c r="R78" t="s">
        <v>2809</v>
      </c>
      <c r="S78" s="7">
        <v>64800</v>
      </c>
      <c r="T78" s="7">
        <v>62000</v>
      </c>
      <c r="U78" s="7">
        <v>62000</v>
      </c>
      <c r="V78" s="7">
        <f t="shared" si="6"/>
        <v>0</v>
      </c>
      <c r="W78" s="5">
        <f t="shared" si="9"/>
        <v>0</v>
      </c>
      <c r="X78" s="123"/>
      <c r="Y78" s="33">
        <f>SUMPRODUCT((BIdetails!$J$5:$J$3000=M78)*(BIdetails!$K$5:$K$3000=N78)*(BIdetails!$M$5:$M$3000))</f>
        <v>0</v>
      </c>
      <c r="Z78" s="34">
        <f t="shared" si="8"/>
        <v>0</v>
      </c>
      <c r="AA78" s="31"/>
      <c r="AB78" s="31"/>
      <c r="AC78" s="31"/>
      <c r="AD78" s="31"/>
    </row>
    <row r="79" spans="1:30" hidden="1" x14ac:dyDescent="0.25">
      <c r="A79" t="s">
        <v>2745</v>
      </c>
      <c r="B79" t="str">
        <f t="shared" si="5"/>
        <v>No Change</v>
      </c>
      <c r="C79" t="s">
        <v>2780</v>
      </c>
      <c r="D79">
        <v>68427709</v>
      </c>
      <c r="E79" s="95" t="s">
        <v>34</v>
      </c>
      <c r="F79" t="s">
        <v>35</v>
      </c>
      <c r="G79" t="s">
        <v>31</v>
      </c>
      <c r="H79" t="s">
        <v>2022</v>
      </c>
      <c r="J79" t="s">
        <v>2021</v>
      </c>
      <c r="K79">
        <v>120252</v>
      </c>
      <c r="L79" t="s">
        <v>461</v>
      </c>
      <c r="M79" s="21">
        <v>5401023588</v>
      </c>
      <c r="N79" s="21">
        <v>10</v>
      </c>
      <c r="O79" s="26" t="s">
        <v>2676</v>
      </c>
      <c r="P79" s="26" t="s">
        <v>2676</v>
      </c>
      <c r="Q79" t="s">
        <v>2762</v>
      </c>
      <c r="R79" t="s">
        <v>2809</v>
      </c>
      <c r="S79" s="7">
        <v>10800</v>
      </c>
      <c r="T79" s="7">
        <v>10400</v>
      </c>
      <c r="U79" s="7">
        <v>10400</v>
      </c>
      <c r="V79" s="7">
        <f t="shared" si="6"/>
        <v>0</v>
      </c>
      <c r="W79" s="5">
        <f t="shared" si="9"/>
        <v>0</v>
      </c>
      <c r="X79" s="123"/>
      <c r="Y79" s="33">
        <f>SUMPRODUCT((BIdetails!$J$5:$J$3000=M79)*(BIdetails!$K$5:$K$3000=N79)*(BIdetails!$M$5:$M$3000))</f>
        <v>0</v>
      </c>
      <c r="Z79" s="34">
        <f t="shared" si="8"/>
        <v>0</v>
      </c>
      <c r="AA79" s="31"/>
      <c r="AB79" s="31"/>
      <c r="AC79" s="31"/>
      <c r="AD79" s="31"/>
    </row>
    <row r="80" spans="1:30" hidden="1" x14ac:dyDescent="0.25">
      <c r="A80" t="s">
        <v>2745</v>
      </c>
      <c r="B80" t="str">
        <f t="shared" si="5"/>
        <v>No Change</v>
      </c>
      <c r="C80" t="s">
        <v>2780</v>
      </c>
      <c r="D80">
        <v>68427709</v>
      </c>
      <c r="E80" s="95" t="s">
        <v>34</v>
      </c>
      <c r="F80" t="s">
        <v>35</v>
      </c>
      <c r="G80" t="s">
        <v>31</v>
      </c>
      <c r="H80" t="s">
        <v>2024</v>
      </c>
      <c r="J80" t="s">
        <v>2023</v>
      </c>
      <c r="K80">
        <v>120252</v>
      </c>
      <c r="L80" t="s">
        <v>461</v>
      </c>
      <c r="M80" s="21">
        <v>5401023588</v>
      </c>
      <c r="N80" s="21">
        <v>10</v>
      </c>
      <c r="O80" s="26" t="s">
        <v>2676</v>
      </c>
      <c r="P80" s="26" t="s">
        <v>2676</v>
      </c>
      <c r="Q80" t="s">
        <v>2762</v>
      </c>
      <c r="R80" t="s">
        <v>2809</v>
      </c>
      <c r="S80" s="7">
        <v>21600</v>
      </c>
      <c r="T80" s="7">
        <v>20700</v>
      </c>
      <c r="U80" s="7">
        <v>20700</v>
      </c>
      <c r="V80" s="7">
        <f t="shared" si="6"/>
        <v>0</v>
      </c>
      <c r="W80" s="5">
        <f t="shared" si="9"/>
        <v>0</v>
      </c>
      <c r="X80" s="123"/>
      <c r="Y80" s="33">
        <f>SUMPRODUCT((BIdetails!$J$5:$J$3000=M80)*(BIdetails!$K$5:$K$3000=N80)*(BIdetails!$M$5:$M$3000))</f>
        <v>0</v>
      </c>
      <c r="Z80" s="34">
        <f t="shared" si="8"/>
        <v>0</v>
      </c>
      <c r="AA80" s="31"/>
      <c r="AB80" s="31"/>
      <c r="AC80" s="31"/>
      <c r="AD80" s="31"/>
    </row>
    <row r="81" spans="1:30" hidden="1" x14ac:dyDescent="0.25">
      <c r="A81" t="s">
        <v>2745</v>
      </c>
      <c r="B81" t="str">
        <f t="shared" si="5"/>
        <v>Decommissioned</v>
      </c>
      <c r="C81" t="s">
        <v>2780</v>
      </c>
      <c r="D81">
        <v>68427709</v>
      </c>
      <c r="E81" s="95" t="s">
        <v>34</v>
      </c>
      <c r="F81" t="s">
        <v>35</v>
      </c>
      <c r="G81" t="s">
        <v>31</v>
      </c>
      <c r="H81" t="s">
        <v>2026</v>
      </c>
      <c r="J81" t="s">
        <v>2025</v>
      </c>
      <c r="K81">
        <v>120252</v>
      </c>
      <c r="L81" t="s">
        <v>461</v>
      </c>
      <c r="M81" s="21">
        <v>5401023588</v>
      </c>
      <c r="N81" s="21">
        <v>10</v>
      </c>
      <c r="O81" s="26" t="s">
        <v>2676</v>
      </c>
      <c r="P81" s="26" t="s">
        <v>2676</v>
      </c>
      <c r="Q81" t="s">
        <v>2762</v>
      </c>
      <c r="R81" t="s">
        <v>2809</v>
      </c>
      <c r="S81" s="7">
        <v>32400</v>
      </c>
      <c r="T81" s="7">
        <v>31000</v>
      </c>
      <c r="U81" s="7">
        <v>0</v>
      </c>
      <c r="V81" s="7">
        <f t="shared" si="6"/>
        <v>-31000</v>
      </c>
      <c r="W81" s="5">
        <f t="shared" si="9"/>
        <v>-1</v>
      </c>
      <c r="X81" s="123"/>
      <c r="Y81" s="33">
        <f>SUMPRODUCT((BIdetails!$J$5:$J$3000=M81)*(BIdetails!$K$5:$K$3000=N81)*(BIdetails!$M$5:$M$3000))</f>
        <v>0</v>
      </c>
      <c r="Z81" s="34" t="str">
        <f t="shared" si="8"/>
        <v/>
      </c>
      <c r="AA81" s="31"/>
      <c r="AB81" s="31"/>
      <c r="AC81" s="31"/>
      <c r="AD81" s="31"/>
    </row>
    <row r="82" spans="1:30" hidden="1" x14ac:dyDescent="0.25">
      <c r="A82" t="s">
        <v>2745</v>
      </c>
      <c r="B82" t="str">
        <f t="shared" si="5"/>
        <v>No Change</v>
      </c>
      <c r="C82" t="s">
        <v>2780</v>
      </c>
      <c r="D82">
        <v>68427709</v>
      </c>
      <c r="E82" s="95" t="s">
        <v>34</v>
      </c>
      <c r="F82" t="s">
        <v>35</v>
      </c>
      <c r="G82" t="s">
        <v>31</v>
      </c>
      <c r="H82" t="s">
        <v>3698</v>
      </c>
      <c r="J82" t="s">
        <v>2027</v>
      </c>
      <c r="K82">
        <v>120252</v>
      </c>
      <c r="L82" t="s">
        <v>461</v>
      </c>
      <c r="M82" s="21">
        <v>5401023588</v>
      </c>
      <c r="N82" s="21">
        <v>10</v>
      </c>
      <c r="O82" s="26" t="s">
        <v>2676</v>
      </c>
      <c r="P82" s="26" t="s">
        <v>2676</v>
      </c>
      <c r="Q82" t="s">
        <v>2762</v>
      </c>
      <c r="R82" t="s">
        <v>2809</v>
      </c>
      <c r="S82" s="7">
        <v>10800</v>
      </c>
      <c r="T82" s="7">
        <v>10400</v>
      </c>
      <c r="U82" s="7">
        <v>10400</v>
      </c>
      <c r="V82" s="7">
        <f t="shared" si="6"/>
        <v>0</v>
      </c>
      <c r="W82" s="5">
        <f t="shared" si="9"/>
        <v>0</v>
      </c>
      <c r="X82" s="123"/>
      <c r="Y82" s="33">
        <f>SUMPRODUCT((BIdetails!$J$5:$J$3000=M82)*(BIdetails!$K$5:$K$3000=N82)*(BIdetails!$M$5:$M$3000))</f>
        <v>0</v>
      </c>
      <c r="Z82" s="34">
        <f t="shared" si="8"/>
        <v>0</v>
      </c>
      <c r="AA82" s="31"/>
      <c r="AB82" s="31"/>
      <c r="AC82" s="31"/>
      <c r="AD82" s="31"/>
    </row>
    <row r="83" spans="1:30" hidden="1" x14ac:dyDescent="0.25">
      <c r="A83" t="s">
        <v>2745</v>
      </c>
      <c r="B83" t="str">
        <f t="shared" si="5"/>
        <v>No Change</v>
      </c>
      <c r="C83" t="s">
        <v>2780</v>
      </c>
      <c r="D83">
        <v>68427709</v>
      </c>
      <c r="E83" s="95" t="s">
        <v>34</v>
      </c>
      <c r="F83" t="s">
        <v>35</v>
      </c>
      <c r="G83" t="s">
        <v>31</v>
      </c>
      <c r="H83" t="s">
        <v>2030</v>
      </c>
      <c r="J83" t="s">
        <v>2029</v>
      </c>
      <c r="K83">
        <v>120252</v>
      </c>
      <c r="L83" t="s">
        <v>461</v>
      </c>
      <c r="M83" s="21">
        <v>5401023588</v>
      </c>
      <c r="N83" s="21">
        <v>10</v>
      </c>
      <c r="O83" s="26" t="s">
        <v>2676</v>
      </c>
      <c r="P83" s="26" t="s">
        <v>2676</v>
      </c>
      <c r="Q83" t="s">
        <v>2762</v>
      </c>
      <c r="R83" t="s">
        <v>2809</v>
      </c>
      <c r="S83" s="7">
        <v>10800</v>
      </c>
      <c r="T83" s="7">
        <v>10400</v>
      </c>
      <c r="U83" s="7">
        <v>10400</v>
      </c>
      <c r="V83" s="7">
        <f t="shared" si="6"/>
        <v>0</v>
      </c>
      <c r="W83" s="5">
        <f t="shared" si="9"/>
        <v>0</v>
      </c>
      <c r="X83" s="123"/>
      <c r="Y83" s="33">
        <f>SUMPRODUCT((BIdetails!$J$5:$J$3000=M83)*(BIdetails!$K$5:$K$3000=N83)*(BIdetails!$M$5:$M$3000))</f>
        <v>0</v>
      </c>
      <c r="Z83" s="34">
        <f t="shared" si="8"/>
        <v>0</v>
      </c>
      <c r="AA83" s="31"/>
      <c r="AB83" s="31"/>
      <c r="AC83" s="31"/>
      <c r="AD83" s="31"/>
    </row>
    <row r="84" spans="1:30" hidden="1" x14ac:dyDescent="0.25">
      <c r="A84" t="s">
        <v>2745</v>
      </c>
      <c r="B84" t="str">
        <f t="shared" si="5"/>
        <v>No Change</v>
      </c>
      <c r="C84" t="s">
        <v>2780</v>
      </c>
      <c r="D84">
        <v>68427709</v>
      </c>
      <c r="E84" s="95" t="s">
        <v>34</v>
      </c>
      <c r="F84" t="s">
        <v>35</v>
      </c>
      <c r="G84" t="s">
        <v>31</v>
      </c>
      <c r="H84" t="s">
        <v>2032</v>
      </c>
      <c r="J84" t="s">
        <v>2031</v>
      </c>
      <c r="K84">
        <v>120252</v>
      </c>
      <c r="L84" t="s">
        <v>461</v>
      </c>
      <c r="M84" s="21">
        <v>5401023588</v>
      </c>
      <c r="N84" s="21">
        <v>10</v>
      </c>
      <c r="O84" s="26" t="s">
        <v>2676</v>
      </c>
      <c r="P84" s="26" t="s">
        <v>2676</v>
      </c>
      <c r="Q84" t="s">
        <v>2762</v>
      </c>
      <c r="R84" t="s">
        <v>2809</v>
      </c>
      <c r="S84" s="7">
        <v>21600</v>
      </c>
      <c r="T84" s="7">
        <v>20700</v>
      </c>
      <c r="U84" s="7">
        <v>20700</v>
      </c>
      <c r="V84" s="7">
        <f t="shared" si="6"/>
        <v>0</v>
      </c>
      <c r="W84" s="5">
        <f t="shared" si="9"/>
        <v>0</v>
      </c>
      <c r="X84" s="123"/>
      <c r="Y84" s="33">
        <f>SUMPRODUCT((BIdetails!$J$5:$J$3000=M84)*(BIdetails!$K$5:$K$3000=N84)*(BIdetails!$M$5:$M$3000))</f>
        <v>0</v>
      </c>
      <c r="Z84" s="34">
        <f t="shared" si="8"/>
        <v>0</v>
      </c>
      <c r="AA84" s="31"/>
      <c r="AB84" s="31"/>
      <c r="AC84" s="31"/>
      <c r="AD84" s="31"/>
    </row>
    <row r="85" spans="1:30" hidden="1" x14ac:dyDescent="0.25">
      <c r="A85" t="s">
        <v>2745</v>
      </c>
      <c r="B85" t="str">
        <f t="shared" si="5"/>
        <v>No Change</v>
      </c>
      <c r="C85" t="s">
        <v>2780</v>
      </c>
      <c r="D85">
        <v>68427709</v>
      </c>
      <c r="E85" s="95" t="s">
        <v>34</v>
      </c>
      <c r="F85" t="s">
        <v>35</v>
      </c>
      <c r="G85" t="s">
        <v>31</v>
      </c>
      <c r="H85" t="s">
        <v>2034</v>
      </c>
      <c r="J85" t="s">
        <v>2033</v>
      </c>
      <c r="K85">
        <v>120252</v>
      </c>
      <c r="L85" t="s">
        <v>461</v>
      </c>
      <c r="M85" s="21">
        <v>5401023588</v>
      </c>
      <c r="N85" s="21">
        <v>10</v>
      </c>
      <c r="O85" s="26" t="s">
        <v>2676</v>
      </c>
      <c r="P85" s="26" t="s">
        <v>2676</v>
      </c>
      <c r="Q85" t="s">
        <v>2762</v>
      </c>
      <c r="R85" t="s">
        <v>2809</v>
      </c>
      <c r="S85" s="7">
        <v>21600</v>
      </c>
      <c r="T85" s="7">
        <v>20700</v>
      </c>
      <c r="U85" s="7">
        <v>20700</v>
      </c>
      <c r="V85" s="7">
        <f t="shared" si="6"/>
        <v>0</v>
      </c>
      <c r="W85" s="5">
        <f t="shared" si="9"/>
        <v>0</v>
      </c>
      <c r="X85" s="123"/>
      <c r="Y85" s="33">
        <f>SUMPRODUCT((BIdetails!$J$5:$J$3000=M85)*(BIdetails!$K$5:$K$3000=N85)*(BIdetails!$M$5:$M$3000))</f>
        <v>0</v>
      </c>
      <c r="Z85" s="34">
        <f t="shared" si="8"/>
        <v>0</v>
      </c>
      <c r="AA85" s="31"/>
      <c r="AB85" s="31"/>
      <c r="AC85" s="31"/>
      <c r="AD85" s="31"/>
    </row>
    <row r="86" spans="1:30" hidden="1" x14ac:dyDescent="0.25">
      <c r="A86" t="s">
        <v>2745</v>
      </c>
      <c r="B86" t="str">
        <f t="shared" si="5"/>
        <v>No Change</v>
      </c>
      <c r="C86" t="s">
        <v>2780</v>
      </c>
      <c r="D86">
        <v>68427709</v>
      </c>
      <c r="E86" s="95" t="s">
        <v>34</v>
      </c>
      <c r="F86" t="s">
        <v>35</v>
      </c>
      <c r="G86" t="s">
        <v>31</v>
      </c>
      <c r="H86" t="s">
        <v>2036</v>
      </c>
      <c r="J86" t="s">
        <v>2035</v>
      </c>
      <c r="K86">
        <v>120252</v>
      </c>
      <c r="L86" t="s">
        <v>461</v>
      </c>
      <c r="M86" s="21">
        <v>5401023588</v>
      </c>
      <c r="N86" s="21">
        <v>10</v>
      </c>
      <c r="O86" s="26" t="s">
        <v>2676</v>
      </c>
      <c r="P86" s="26" t="s">
        <v>2676</v>
      </c>
      <c r="Q86" t="s">
        <v>2762</v>
      </c>
      <c r="R86" t="s">
        <v>2809</v>
      </c>
      <c r="S86" s="7">
        <v>10800</v>
      </c>
      <c r="T86" s="7">
        <v>10400</v>
      </c>
      <c r="U86" s="7">
        <v>10400</v>
      </c>
      <c r="V86" s="7">
        <f t="shared" si="6"/>
        <v>0</v>
      </c>
      <c r="W86" s="5">
        <f t="shared" si="9"/>
        <v>0</v>
      </c>
      <c r="X86" s="123"/>
      <c r="Y86" s="33">
        <f>SUMPRODUCT((BIdetails!$J$5:$J$3000=M86)*(BIdetails!$K$5:$K$3000=N86)*(BIdetails!$M$5:$M$3000))</f>
        <v>0</v>
      </c>
      <c r="Z86" s="34">
        <f t="shared" si="8"/>
        <v>0</v>
      </c>
      <c r="AA86" s="31"/>
      <c r="AB86" s="31"/>
      <c r="AC86" s="31"/>
      <c r="AD86" s="31"/>
    </row>
    <row r="87" spans="1:30" hidden="1" x14ac:dyDescent="0.25">
      <c r="A87" t="s">
        <v>2745</v>
      </c>
      <c r="B87" t="str">
        <f t="shared" si="5"/>
        <v>No Change</v>
      </c>
      <c r="C87" t="s">
        <v>2780</v>
      </c>
      <c r="D87">
        <v>68427709</v>
      </c>
      <c r="E87" s="95" t="s">
        <v>34</v>
      </c>
      <c r="F87" t="s">
        <v>35</v>
      </c>
      <c r="G87" t="s">
        <v>31</v>
      </c>
      <c r="H87" t="s">
        <v>2038</v>
      </c>
      <c r="J87" t="s">
        <v>2037</v>
      </c>
      <c r="K87">
        <v>120252</v>
      </c>
      <c r="L87" t="s">
        <v>461</v>
      </c>
      <c r="M87" s="21">
        <v>5401023588</v>
      </c>
      <c r="N87" s="21">
        <v>10</v>
      </c>
      <c r="O87" s="26" t="s">
        <v>2676</v>
      </c>
      <c r="P87" s="26" t="s">
        <v>2676</v>
      </c>
      <c r="Q87" t="s">
        <v>2762</v>
      </c>
      <c r="R87" t="s">
        <v>2809</v>
      </c>
      <c r="S87" s="7">
        <v>21600</v>
      </c>
      <c r="T87" s="7">
        <v>20700</v>
      </c>
      <c r="U87" s="7">
        <v>20700</v>
      </c>
      <c r="V87" s="7">
        <f t="shared" si="6"/>
        <v>0</v>
      </c>
      <c r="W87" s="5">
        <f t="shared" si="9"/>
        <v>0</v>
      </c>
      <c r="X87" s="123"/>
      <c r="Y87" s="33">
        <f>SUMPRODUCT((BIdetails!$J$5:$J$3000=M87)*(BIdetails!$K$5:$K$3000=N87)*(BIdetails!$M$5:$M$3000))</f>
        <v>0</v>
      </c>
      <c r="Z87" s="34">
        <f t="shared" si="8"/>
        <v>0</v>
      </c>
      <c r="AA87" s="31"/>
      <c r="AB87" s="31"/>
      <c r="AC87" s="31"/>
      <c r="AD87" s="31"/>
    </row>
    <row r="88" spans="1:30" hidden="1" x14ac:dyDescent="0.25">
      <c r="A88" t="s">
        <v>2745</v>
      </c>
      <c r="B88" t="str">
        <f t="shared" si="5"/>
        <v>No Change</v>
      </c>
      <c r="C88" t="s">
        <v>2780</v>
      </c>
      <c r="D88">
        <v>68427709</v>
      </c>
      <c r="E88" s="95" t="s">
        <v>34</v>
      </c>
      <c r="F88" t="s">
        <v>35</v>
      </c>
      <c r="G88" t="s">
        <v>31</v>
      </c>
      <c r="H88" t="s">
        <v>2040</v>
      </c>
      <c r="J88" t="s">
        <v>2039</v>
      </c>
      <c r="K88">
        <v>120252</v>
      </c>
      <c r="L88" t="s">
        <v>461</v>
      </c>
      <c r="M88" s="21">
        <v>5401023588</v>
      </c>
      <c r="N88" s="21">
        <v>10</v>
      </c>
      <c r="O88" s="26" t="s">
        <v>2676</v>
      </c>
      <c r="P88" s="26" t="s">
        <v>2676</v>
      </c>
      <c r="Q88" t="s">
        <v>2762</v>
      </c>
      <c r="R88" t="s">
        <v>2809</v>
      </c>
      <c r="S88" s="7">
        <v>21600</v>
      </c>
      <c r="T88" s="7">
        <v>20700</v>
      </c>
      <c r="U88" s="7">
        <v>20700</v>
      </c>
      <c r="V88" s="7">
        <f t="shared" si="6"/>
        <v>0</v>
      </c>
      <c r="W88" s="5">
        <f t="shared" si="9"/>
        <v>0</v>
      </c>
      <c r="X88" s="123"/>
      <c r="Y88" s="33">
        <f>SUMPRODUCT((BIdetails!$J$5:$J$3000=M88)*(BIdetails!$K$5:$K$3000=N88)*(BIdetails!$M$5:$M$3000))</f>
        <v>0</v>
      </c>
      <c r="Z88" s="34">
        <f t="shared" si="8"/>
        <v>0</v>
      </c>
      <c r="AA88" s="31"/>
      <c r="AB88" s="31"/>
      <c r="AC88" s="31"/>
      <c r="AD88" s="31"/>
    </row>
    <row r="89" spans="1:30" hidden="1" x14ac:dyDescent="0.25">
      <c r="A89" t="s">
        <v>2745</v>
      </c>
      <c r="B89" t="str">
        <f t="shared" si="5"/>
        <v>No Change</v>
      </c>
      <c r="C89" t="s">
        <v>2780</v>
      </c>
      <c r="D89">
        <v>68427709</v>
      </c>
      <c r="E89" s="95" t="s">
        <v>34</v>
      </c>
      <c r="F89" t="s">
        <v>35</v>
      </c>
      <c r="G89" t="s">
        <v>31</v>
      </c>
      <c r="H89" t="s">
        <v>2042</v>
      </c>
      <c r="J89" t="s">
        <v>2041</v>
      </c>
      <c r="K89">
        <v>120252</v>
      </c>
      <c r="L89" t="s">
        <v>461</v>
      </c>
      <c r="M89" s="21">
        <v>5401023588</v>
      </c>
      <c r="N89" s="21">
        <v>10</v>
      </c>
      <c r="O89" s="26" t="s">
        <v>2676</v>
      </c>
      <c r="P89" s="26" t="s">
        <v>2676</v>
      </c>
      <c r="Q89" t="s">
        <v>2762</v>
      </c>
      <c r="R89" t="s">
        <v>2809</v>
      </c>
      <c r="S89" s="7">
        <v>21600</v>
      </c>
      <c r="T89" s="7">
        <v>20700</v>
      </c>
      <c r="U89" s="7">
        <v>20700</v>
      </c>
      <c r="V89" s="7">
        <f t="shared" si="6"/>
        <v>0</v>
      </c>
      <c r="W89" s="5">
        <f t="shared" si="9"/>
        <v>0</v>
      </c>
      <c r="X89" s="123"/>
      <c r="Y89" s="33">
        <f>SUMPRODUCT((BIdetails!$J$5:$J$3000=M89)*(BIdetails!$K$5:$K$3000=N89)*(BIdetails!$M$5:$M$3000))</f>
        <v>0</v>
      </c>
      <c r="Z89" s="34">
        <f t="shared" si="8"/>
        <v>0</v>
      </c>
      <c r="AA89" s="31"/>
      <c r="AB89" s="31"/>
      <c r="AC89" s="31"/>
      <c r="AD89" s="31"/>
    </row>
    <row r="90" spans="1:30" hidden="1" x14ac:dyDescent="0.25">
      <c r="A90" t="s">
        <v>2745</v>
      </c>
      <c r="B90" t="str">
        <f t="shared" si="5"/>
        <v>No Change</v>
      </c>
      <c r="C90" t="s">
        <v>2780</v>
      </c>
      <c r="D90">
        <v>68427709</v>
      </c>
      <c r="E90" s="95" t="s">
        <v>34</v>
      </c>
      <c r="F90" t="s">
        <v>35</v>
      </c>
      <c r="G90" t="s">
        <v>31</v>
      </c>
      <c r="H90" t="s">
        <v>2044</v>
      </c>
      <c r="J90" t="s">
        <v>2043</v>
      </c>
      <c r="K90">
        <v>120252</v>
      </c>
      <c r="L90" t="s">
        <v>461</v>
      </c>
      <c r="M90" s="21">
        <v>5401023588</v>
      </c>
      <c r="N90" s="21">
        <v>10</v>
      </c>
      <c r="O90" s="26" t="s">
        <v>2676</v>
      </c>
      <c r="P90" s="26" t="s">
        <v>2676</v>
      </c>
      <c r="Q90" t="s">
        <v>2762</v>
      </c>
      <c r="R90" t="s">
        <v>2809</v>
      </c>
      <c r="S90" s="7">
        <v>10800</v>
      </c>
      <c r="T90" s="7">
        <v>10400</v>
      </c>
      <c r="U90" s="7">
        <v>10400</v>
      </c>
      <c r="V90" s="7">
        <f t="shared" si="6"/>
        <v>0</v>
      </c>
      <c r="W90" s="5">
        <f t="shared" si="9"/>
        <v>0</v>
      </c>
      <c r="X90" s="123"/>
      <c r="Y90" s="33">
        <f>SUMPRODUCT((BIdetails!$J$5:$J$3000=M90)*(BIdetails!$K$5:$K$3000=N90)*(BIdetails!$M$5:$M$3000))</f>
        <v>0</v>
      </c>
      <c r="Z90" s="34">
        <f t="shared" si="8"/>
        <v>0</v>
      </c>
      <c r="AA90" s="31"/>
      <c r="AB90" s="31"/>
      <c r="AC90" s="31"/>
      <c r="AD90" s="31"/>
    </row>
    <row r="91" spans="1:30" hidden="1" x14ac:dyDescent="0.25">
      <c r="A91" t="s">
        <v>2745</v>
      </c>
      <c r="B91" t="str">
        <f t="shared" si="5"/>
        <v>No Change</v>
      </c>
      <c r="C91" t="s">
        <v>2780</v>
      </c>
      <c r="D91">
        <v>68427709</v>
      </c>
      <c r="E91" s="95" t="s">
        <v>34</v>
      </c>
      <c r="F91" t="s">
        <v>35</v>
      </c>
      <c r="G91" t="s">
        <v>31</v>
      </c>
      <c r="H91" t="s">
        <v>2046</v>
      </c>
      <c r="J91" t="s">
        <v>2045</v>
      </c>
      <c r="K91">
        <v>120252</v>
      </c>
      <c r="L91" t="s">
        <v>461</v>
      </c>
      <c r="M91" s="21">
        <v>5401023588</v>
      </c>
      <c r="N91" s="21">
        <v>10</v>
      </c>
      <c r="O91" s="26" t="s">
        <v>2676</v>
      </c>
      <c r="P91" s="26" t="s">
        <v>2676</v>
      </c>
      <c r="Q91" t="s">
        <v>2762</v>
      </c>
      <c r="R91" t="s">
        <v>2809</v>
      </c>
      <c r="S91" s="7">
        <v>10800</v>
      </c>
      <c r="T91" s="7">
        <v>10400</v>
      </c>
      <c r="U91" s="7">
        <v>10400</v>
      </c>
      <c r="V91" s="7">
        <f t="shared" si="6"/>
        <v>0</v>
      </c>
      <c r="W91" s="5">
        <f t="shared" si="9"/>
        <v>0</v>
      </c>
      <c r="X91" s="123"/>
      <c r="Y91" s="33">
        <f>SUMPRODUCT((BIdetails!$J$5:$J$3000=M91)*(BIdetails!$K$5:$K$3000=N91)*(BIdetails!$M$5:$M$3000))</f>
        <v>0</v>
      </c>
      <c r="Z91" s="34">
        <f t="shared" si="8"/>
        <v>0</v>
      </c>
      <c r="AA91" s="31"/>
      <c r="AB91" s="31"/>
      <c r="AC91" s="31"/>
      <c r="AD91" s="31"/>
    </row>
    <row r="92" spans="1:30" hidden="1" x14ac:dyDescent="0.25">
      <c r="A92" t="s">
        <v>2745</v>
      </c>
      <c r="B92" t="str">
        <f t="shared" si="5"/>
        <v>No Change</v>
      </c>
      <c r="C92" t="s">
        <v>2780</v>
      </c>
      <c r="D92">
        <v>68427709</v>
      </c>
      <c r="E92" s="95" t="s">
        <v>34</v>
      </c>
      <c r="F92" t="s">
        <v>35</v>
      </c>
      <c r="G92" t="s">
        <v>31</v>
      </c>
      <c r="H92" t="s">
        <v>2048</v>
      </c>
      <c r="J92" t="s">
        <v>2047</v>
      </c>
      <c r="K92">
        <v>120252</v>
      </c>
      <c r="L92" t="s">
        <v>461</v>
      </c>
      <c r="M92" s="21">
        <v>5401023588</v>
      </c>
      <c r="N92" s="21">
        <v>10</v>
      </c>
      <c r="O92" s="26" t="s">
        <v>2676</v>
      </c>
      <c r="P92" s="26" t="s">
        <v>2676</v>
      </c>
      <c r="Q92" t="s">
        <v>2762</v>
      </c>
      <c r="R92" t="s">
        <v>2809</v>
      </c>
      <c r="S92" s="7">
        <v>10800</v>
      </c>
      <c r="T92" s="7">
        <v>10400</v>
      </c>
      <c r="U92" s="7">
        <v>10400</v>
      </c>
      <c r="V92" s="7">
        <f t="shared" si="6"/>
        <v>0</v>
      </c>
      <c r="W92" s="5">
        <f t="shared" si="9"/>
        <v>0</v>
      </c>
      <c r="X92" s="123"/>
      <c r="Y92" s="33">
        <f>SUMPRODUCT((BIdetails!$J$5:$J$3000=M92)*(BIdetails!$K$5:$K$3000=N92)*(BIdetails!$M$5:$M$3000))</f>
        <v>0</v>
      </c>
      <c r="Z92" s="34">
        <f t="shared" si="8"/>
        <v>0</v>
      </c>
      <c r="AA92" s="31"/>
      <c r="AB92" s="31"/>
      <c r="AC92" s="31"/>
      <c r="AD92" s="31"/>
    </row>
    <row r="93" spans="1:30" hidden="1" x14ac:dyDescent="0.25">
      <c r="A93" t="s">
        <v>2745</v>
      </c>
      <c r="B93" t="str">
        <f t="shared" si="5"/>
        <v>Decommissioned</v>
      </c>
      <c r="C93" t="s">
        <v>2780</v>
      </c>
      <c r="D93">
        <v>68427709</v>
      </c>
      <c r="E93" s="95" t="s">
        <v>34</v>
      </c>
      <c r="F93" t="s">
        <v>35</v>
      </c>
      <c r="G93" t="s">
        <v>31</v>
      </c>
      <c r="H93" t="s">
        <v>2050</v>
      </c>
      <c r="J93" t="s">
        <v>2049</v>
      </c>
      <c r="K93">
        <v>120252</v>
      </c>
      <c r="L93" t="s">
        <v>461</v>
      </c>
      <c r="M93" s="21">
        <v>5401023588</v>
      </c>
      <c r="N93" s="21">
        <v>10</v>
      </c>
      <c r="O93" s="26" t="s">
        <v>2676</v>
      </c>
      <c r="P93" s="26" t="s">
        <v>2676</v>
      </c>
      <c r="Q93" t="s">
        <v>2762</v>
      </c>
      <c r="R93" t="s">
        <v>2809</v>
      </c>
      <c r="S93" s="7">
        <v>10800</v>
      </c>
      <c r="T93" s="7">
        <v>10400</v>
      </c>
      <c r="U93" s="7">
        <v>0</v>
      </c>
      <c r="V93" s="7">
        <f t="shared" si="6"/>
        <v>-10400</v>
      </c>
      <c r="W93" s="5">
        <f t="shared" si="9"/>
        <v>-1</v>
      </c>
      <c r="X93" s="123"/>
      <c r="Y93" s="33">
        <f>SUMPRODUCT((BIdetails!$J$5:$J$3000=M93)*(BIdetails!$K$5:$K$3000=N93)*(BIdetails!$M$5:$M$3000))</f>
        <v>0</v>
      </c>
      <c r="Z93" s="34" t="str">
        <f t="shared" si="8"/>
        <v/>
      </c>
      <c r="AA93" s="31"/>
      <c r="AB93" s="31"/>
      <c r="AC93" s="31"/>
      <c r="AD93" s="31"/>
    </row>
    <row r="94" spans="1:30" hidden="1" x14ac:dyDescent="0.25">
      <c r="A94" t="s">
        <v>2745</v>
      </c>
      <c r="B94" t="str">
        <f t="shared" si="5"/>
        <v>No Change</v>
      </c>
      <c r="C94" t="s">
        <v>2780</v>
      </c>
      <c r="D94">
        <v>68427709</v>
      </c>
      <c r="E94" s="95" t="s">
        <v>34</v>
      </c>
      <c r="F94" t="s">
        <v>35</v>
      </c>
      <c r="G94" t="s">
        <v>31</v>
      </c>
      <c r="H94" t="s">
        <v>2055</v>
      </c>
      <c r="J94" t="s">
        <v>2054</v>
      </c>
      <c r="K94">
        <v>120252</v>
      </c>
      <c r="L94" t="s">
        <v>461</v>
      </c>
      <c r="M94" s="21">
        <v>5401023588</v>
      </c>
      <c r="N94" s="21">
        <v>10</v>
      </c>
      <c r="O94" s="26" t="s">
        <v>2676</v>
      </c>
      <c r="P94" s="26" t="s">
        <v>2676</v>
      </c>
      <c r="Q94" t="s">
        <v>2762</v>
      </c>
      <c r="R94" t="s">
        <v>2809</v>
      </c>
      <c r="S94" s="7">
        <v>10800</v>
      </c>
      <c r="T94" s="7">
        <v>10400</v>
      </c>
      <c r="U94" s="7">
        <v>10400</v>
      </c>
      <c r="V94" s="7">
        <f t="shared" si="6"/>
        <v>0</v>
      </c>
      <c r="W94" s="5">
        <f t="shared" si="9"/>
        <v>0</v>
      </c>
      <c r="X94" s="123"/>
      <c r="Y94" s="33">
        <f>SUMPRODUCT((BIdetails!$J$5:$J$3000=M94)*(BIdetails!$K$5:$K$3000=N94)*(BIdetails!$M$5:$M$3000))</f>
        <v>0</v>
      </c>
      <c r="Z94" s="34">
        <f t="shared" si="8"/>
        <v>0</v>
      </c>
      <c r="AA94" s="31"/>
      <c r="AB94" s="31"/>
      <c r="AC94" s="31"/>
      <c r="AD94" s="31"/>
    </row>
    <row r="95" spans="1:30" hidden="1" x14ac:dyDescent="0.25">
      <c r="A95" t="s">
        <v>2745</v>
      </c>
      <c r="B95" t="str">
        <f t="shared" si="5"/>
        <v>No Change</v>
      </c>
      <c r="C95" t="s">
        <v>2780</v>
      </c>
      <c r="D95">
        <v>68427709</v>
      </c>
      <c r="E95" s="95" t="s">
        <v>34</v>
      </c>
      <c r="F95" t="s">
        <v>35</v>
      </c>
      <c r="G95" t="s">
        <v>31</v>
      </c>
      <c r="H95" t="s">
        <v>2057</v>
      </c>
      <c r="J95" t="s">
        <v>2056</v>
      </c>
      <c r="K95">
        <v>120252</v>
      </c>
      <c r="L95" t="s">
        <v>461</v>
      </c>
      <c r="M95" s="21">
        <v>5401023588</v>
      </c>
      <c r="N95" s="21">
        <v>10</v>
      </c>
      <c r="O95" s="26" t="s">
        <v>2676</v>
      </c>
      <c r="P95" s="26" t="s">
        <v>2676</v>
      </c>
      <c r="Q95" t="s">
        <v>2762</v>
      </c>
      <c r="R95" t="s">
        <v>2809</v>
      </c>
      <c r="S95" s="7">
        <v>10800</v>
      </c>
      <c r="T95" s="7">
        <v>10400</v>
      </c>
      <c r="U95" s="7">
        <v>10400</v>
      </c>
      <c r="V95" s="7">
        <f t="shared" si="6"/>
        <v>0</v>
      </c>
      <c r="W95" s="5">
        <f t="shared" si="9"/>
        <v>0</v>
      </c>
      <c r="X95" s="123"/>
      <c r="Y95" s="33">
        <f>SUMPRODUCT((BIdetails!$J$5:$J$3000=M95)*(BIdetails!$K$5:$K$3000=N95)*(BIdetails!$M$5:$M$3000))</f>
        <v>0</v>
      </c>
      <c r="Z95" s="34">
        <f t="shared" si="8"/>
        <v>0</v>
      </c>
      <c r="AA95" s="31"/>
      <c r="AB95" s="31"/>
      <c r="AC95" s="31"/>
      <c r="AD95" s="31"/>
    </row>
    <row r="96" spans="1:30" hidden="1" x14ac:dyDescent="0.25">
      <c r="A96" t="s">
        <v>2745</v>
      </c>
      <c r="B96" t="str">
        <f t="shared" si="5"/>
        <v>No Change</v>
      </c>
      <c r="C96" t="s">
        <v>2780</v>
      </c>
      <c r="D96">
        <v>68427709</v>
      </c>
      <c r="E96" s="95" t="s">
        <v>34</v>
      </c>
      <c r="F96" t="s">
        <v>35</v>
      </c>
      <c r="G96" t="s">
        <v>31</v>
      </c>
      <c r="H96" t="s">
        <v>2059</v>
      </c>
      <c r="J96" t="s">
        <v>2058</v>
      </c>
      <c r="K96">
        <v>120252</v>
      </c>
      <c r="L96" t="s">
        <v>461</v>
      </c>
      <c r="M96" s="21">
        <v>5401023588</v>
      </c>
      <c r="N96" s="21">
        <v>10</v>
      </c>
      <c r="O96" s="26" t="s">
        <v>2676</v>
      </c>
      <c r="P96" s="26" t="s">
        <v>2676</v>
      </c>
      <c r="Q96" t="s">
        <v>2762</v>
      </c>
      <c r="R96" t="s">
        <v>2809</v>
      </c>
      <c r="S96" s="7">
        <v>21600</v>
      </c>
      <c r="T96" s="7">
        <v>20700</v>
      </c>
      <c r="U96" s="7">
        <v>20700</v>
      </c>
      <c r="V96" s="7">
        <f t="shared" si="6"/>
        <v>0</v>
      </c>
      <c r="W96" s="5">
        <f t="shared" si="9"/>
        <v>0</v>
      </c>
      <c r="X96" s="123"/>
      <c r="Y96" s="33">
        <f>SUMPRODUCT((BIdetails!$J$5:$J$3000=M96)*(BIdetails!$K$5:$K$3000=N96)*(BIdetails!$M$5:$M$3000))</f>
        <v>0</v>
      </c>
      <c r="Z96" s="34">
        <f t="shared" si="8"/>
        <v>0</v>
      </c>
      <c r="AA96" s="31"/>
      <c r="AB96" s="31"/>
      <c r="AC96" s="31"/>
      <c r="AD96" s="31"/>
    </row>
    <row r="97" spans="1:30" hidden="1" x14ac:dyDescent="0.25">
      <c r="A97" t="s">
        <v>2745</v>
      </c>
      <c r="B97" t="str">
        <f t="shared" si="5"/>
        <v>No Change</v>
      </c>
      <c r="C97" t="s">
        <v>2780</v>
      </c>
      <c r="D97">
        <v>68427709</v>
      </c>
      <c r="E97" s="95" t="s">
        <v>34</v>
      </c>
      <c r="F97" t="s">
        <v>35</v>
      </c>
      <c r="G97" t="s">
        <v>31</v>
      </c>
      <c r="H97" t="s">
        <v>2061</v>
      </c>
      <c r="J97" t="s">
        <v>2060</v>
      </c>
      <c r="K97">
        <v>120252</v>
      </c>
      <c r="L97" t="s">
        <v>461</v>
      </c>
      <c r="M97" s="21">
        <v>5401023588</v>
      </c>
      <c r="N97" s="21">
        <v>10</v>
      </c>
      <c r="O97" s="26" t="s">
        <v>2676</v>
      </c>
      <c r="P97" s="26" t="s">
        <v>2676</v>
      </c>
      <c r="Q97" t="s">
        <v>2762</v>
      </c>
      <c r="R97" t="s">
        <v>2809</v>
      </c>
      <c r="S97" s="7">
        <v>21600</v>
      </c>
      <c r="T97" s="7">
        <v>20700</v>
      </c>
      <c r="U97" s="7">
        <v>20700</v>
      </c>
      <c r="V97" s="7">
        <f t="shared" si="6"/>
        <v>0</v>
      </c>
      <c r="W97" s="5">
        <f t="shared" si="9"/>
        <v>0</v>
      </c>
      <c r="X97" s="123"/>
      <c r="Y97" s="33">
        <f>SUMPRODUCT((BIdetails!$J$5:$J$3000=M97)*(BIdetails!$K$5:$K$3000=N97)*(BIdetails!$M$5:$M$3000))</f>
        <v>0</v>
      </c>
      <c r="Z97" s="34">
        <f t="shared" si="8"/>
        <v>0</v>
      </c>
      <c r="AA97" s="31"/>
      <c r="AB97" s="31"/>
      <c r="AC97" s="31"/>
      <c r="AD97" s="31"/>
    </row>
    <row r="98" spans="1:30" hidden="1" x14ac:dyDescent="0.25">
      <c r="A98" t="s">
        <v>2745</v>
      </c>
      <c r="B98" t="str">
        <f t="shared" si="5"/>
        <v>No Change</v>
      </c>
      <c r="C98" t="s">
        <v>2780</v>
      </c>
      <c r="D98">
        <v>68427709</v>
      </c>
      <c r="E98" s="95" t="s">
        <v>34</v>
      </c>
      <c r="F98" t="s">
        <v>35</v>
      </c>
      <c r="G98" t="s">
        <v>31</v>
      </c>
      <c r="H98" t="s">
        <v>2063</v>
      </c>
      <c r="J98" t="s">
        <v>2062</v>
      </c>
      <c r="K98">
        <v>120252</v>
      </c>
      <c r="L98" t="s">
        <v>461</v>
      </c>
      <c r="M98" s="21">
        <v>5401023588</v>
      </c>
      <c r="N98" s="21">
        <v>10</v>
      </c>
      <c r="O98" s="26" t="s">
        <v>2676</v>
      </c>
      <c r="P98" s="26" t="s">
        <v>2676</v>
      </c>
      <c r="Q98" t="s">
        <v>2762</v>
      </c>
      <c r="R98" t="s">
        <v>2809</v>
      </c>
      <c r="S98" s="7">
        <v>10800</v>
      </c>
      <c r="T98" s="7">
        <v>10400</v>
      </c>
      <c r="U98" s="7">
        <v>10400</v>
      </c>
      <c r="V98" s="7">
        <f t="shared" si="6"/>
        <v>0</v>
      </c>
      <c r="W98" s="5">
        <f t="shared" si="9"/>
        <v>0</v>
      </c>
      <c r="X98" s="123"/>
      <c r="Y98" s="33">
        <f>SUMPRODUCT((BIdetails!$J$5:$J$3000=M98)*(BIdetails!$K$5:$K$3000=N98)*(BIdetails!$M$5:$M$3000))</f>
        <v>0</v>
      </c>
      <c r="Z98" s="34">
        <f t="shared" si="8"/>
        <v>0</v>
      </c>
      <c r="AA98" s="31"/>
      <c r="AB98" s="31"/>
      <c r="AC98" s="31"/>
      <c r="AD98" s="31"/>
    </row>
    <row r="99" spans="1:30" hidden="1" x14ac:dyDescent="0.25">
      <c r="A99" t="s">
        <v>2745</v>
      </c>
      <c r="B99" t="str">
        <f t="shared" si="5"/>
        <v>No Change</v>
      </c>
      <c r="C99" t="s">
        <v>2780</v>
      </c>
      <c r="D99">
        <v>68427709</v>
      </c>
      <c r="E99" s="95" t="s">
        <v>34</v>
      </c>
      <c r="F99" t="s">
        <v>35</v>
      </c>
      <c r="G99" t="s">
        <v>31</v>
      </c>
      <c r="H99" t="s">
        <v>2065</v>
      </c>
      <c r="J99" t="s">
        <v>2064</v>
      </c>
      <c r="K99">
        <v>120252</v>
      </c>
      <c r="L99" t="s">
        <v>461</v>
      </c>
      <c r="M99" s="21">
        <v>5401023588</v>
      </c>
      <c r="N99" s="21">
        <v>10</v>
      </c>
      <c r="O99" s="26" t="s">
        <v>2676</v>
      </c>
      <c r="P99" s="26" t="s">
        <v>2676</v>
      </c>
      <c r="Q99" t="s">
        <v>2762</v>
      </c>
      <c r="R99" t="s">
        <v>2809</v>
      </c>
      <c r="S99" s="7">
        <v>32400</v>
      </c>
      <c r="T99" s="7">
        <v>31000</v>
      </c>
      <c r="U99" s="7">
        <v>31000</v>
      </c>
      <c r="V99" s="7">
        <f t="shared" si="6"/>
        <v>0</v>
      </c>
      <c r="W99" s="5">
        <f t="shared" si="9"/>
        <v>0</v>
      </c>
      <c r="X99" s="123"/>
      <c r="Y99" s="33">
        <f>SUMPRODUCT((BIdetails!$J$5:$J$3000=M99)*(BIdetails!$K$5:$K$3000=N99)*(BIdetails!$M$5:$M$3000))</f>
        <v>0</v>
      </c>
      <c r="Z99" s="34">
        <f t="shared" si="8"/>
        <v>0</v>
      </c>
      <c r="AA99" s="31"/>
      <c r="AB99" s="31"/>
      <c r="AC99" s="31"/>
      <c r="AD99" s="31"/>
    </row>
    <row r="100" spans="1:30" hidden="1" x14ac:dyDescent="0.25">
      <c r="A100" t="s">
        <v>2745</v>
      </c>
      <c r="B100" t="str">
        <f t="shared" si="5"/>
        <v>No Change</v>
      </c>
      <c r="C100" t="s">
        <v>2780</v>
      </c>
      <c r="D100">
        <v>68427709</v>
      </c>
      <c r="E100" s="95" t="s">
        <v>34</v>
      </c>
      <c r="F100" t="s">
        <v>35</v>
      </c>
      <c r="G100" t="s">
        <v>31</v>
      </c>
      <c r="H100" t="s">
        <v>2067</v>
      </c>
      <c r="J100" t="s">
        <v>2066</v>
      </c>
      <c r="K100">
        <v>120252</v>
      </c>
      <c r="L100" t="s">
        <v>461</v>
      </c>
      <c r="M100" s="21">
        <v>5401023588</v>
      </c>
      <c r="N100" s="21">
        <v>10</v>
      </c>
      <c r="O100" s="26" t="s">
        <v>2676</v>
      </c>
      <c r="P100" s="26" t="s">
        <v>2676</v>
      </c>
      <c r="Q100" t="s">
        <v>2762</v>
      </c>
      <c r="R100" t="s">
        <v>2809</v>
      </c>
      <c r="S100" s="7">
        <v>21600</v>
      </c>
      <c r="T100" s="7">
        <v>20700</v>
      </c>
      <c r="U100" s="7">
        <v>20700</v>
      </c>
      <c r="V100" s="7">
        <f t="shared" si="6"/>
        <v>0</v>
      </c>
      <c r="W100" s="5">
        <f t="shared" si="9"/>
        <v>0</v>
      </c>
      <c r="X100" s="123"/>
      <c r="Y100" s="33">
        <f>SUMPRODUCT((BIdetails!$J$5:$J$3000=M100)*(BIdetails!$K$5:$K$3000=N100)*(BIdetails!$M$5:$M$3000))</f>
        <v>0</v>
      </c>
      <c r="Z100" s="34">
        <f t="shared" si="8"/>
        <v>0</v>
      </c>
      <c r="AA100" s="31"/>
      <c r="AB100" s="31"/>
      <c r="AC100" s="31"/>
      <c r="AD100" s="31"/>
    </row>
    <row r="101" spans="1:30" hidden="1" x14ac:dyDescent="0.25">
      <c r="A101" t="s">
        <v>2745</v>
      </c>
      <c r="B101" t="str">
        <f t="shared" si="5"/>
        <v>No Change</v>
      </c>
      <c r="C101" t="s">
        <v>2780</v>
      </c>
      <c r="D101">
        <v>68427709</v>
      </c>
      <c r="E101" s="95" t="s">
        <v>34</v>
      </c>
      <c r="F101" t="s">
        <v>35</v>
      </c>
      <c r="G101" t="s">
        <v>31</v>
      </c>
      <c r="H101" t="s">
        <v>2069</v>
      </c>
      <c r="J101" t="s">
        <v>2068</v>
      </c>
      <c r="K101">
        <v>120252</v>
      </c>
      <c r="L101" t="s">
        <v>461</v>
      </c>
      <c r="M101" s="21">
        <v>5401023588</v>
      </c>
      <c r="N101" s="21">
        <v>10</v>
      </c>
      <c r="O101" s="26" t="s">
        <v>2676</v>
      </c>
      <c r="P101" s="26" t="s">
        <v>2676</v>
      </c>
      <c r="Q101" t="s">
        <v>2762</v>
      </c>
      <c r="R101" t="s">
        <v>2809</v>
      </c>
      <c r="S101" s="7">
        <v>43200</v>
      </c>
      <c r="T101" s="7">
        <v>41400</v>
      </c>
      <c r="U101" s="7">
        <v>41400</v>
      </c>
      <c r="V101" s="7">
        <f t="shared" si="6"/>
        <v>0</v>
      </c>
      <c r="W101" s="5">
        <f t="shared" si="9"/>
        <v>0</v>
      </c>
      <c r="X101" s="123"/>
      <c r="Y101" s="33">
        <f>SUMPRODUCT((BIdetails!$J$5:$J$3000=M101)*(BIdetails!$K$5:$K$3000=N101)*(BIdetails!$M$5:$M$3000))</f>
        <v>0</v>
      </c>
      <c r="Z101" s="34">
        <f t="shared" si="8"/>
        <v>0</v>
      </c>
      <c r="AA101" s="31"/>
      <c r="AB101" s="31"/>
      <c r="AC101" s="31"/>
      <c r="AD101" s="31"/>
    </row>
    <row r="102" spans="1:30" hidden="1" x14ac:dyDescent="0.25">
      <c r="A102" t="s">
        <v>2745</v>
      </c>
      <c r="B102" t="str">
        <f t="shared" si="5"/>
        <v>No Change</v>
      </c>
      <c r="C102" t="s">
        <v>2780</v>
      </c>
      <c r="D102">
        <v>68427709</v>
      </c>
      <c r="E102" s="95" t="s">
        <v>34</v>
      </c>
      <c r="F102" t="s">
        <v>35</v>
      </c>
      <c r="G102" t="s">
        <v>31</v>
      </c>
      <c r="H102" t="s">
        <v>2071</v>
      </c>
      <c r="J102" t="s">
        <v>2070</v>
      </c>
      <c r="K102">
        <v>120252</v>
      </c>
      <c r="L102" t="s">
        <v>461</v>
      </c>
      <c r="M102" s="21">
        <v>5401023588</v>
      </c>
      <c r="N102" s="21">
        <v>10</v>
      </c>
      <c r="O102" s="26" t="s">
        <v>2676</v>
      </c>
      <c r="P102" s="26" t="s">
        <v>2676</v>
      </c>
      <c r="Q102" s="26" t="s">
        <v>2750</v>
      </c>
      <c r="R102" t="s">
        <v>2809</v>
      </c>
      <c r="S102" s="7">
        <v>10800</v>
      </c>
      <c r="T102" s="7">
        <v>10400</v>
      </c>
      <c r="U102" s="7">
        <v>10400</v>
      </c>
      <c r="V102" s="7">
        <f t="shared" si="6"/>
        <v>0</v>
      </c>
      <c r="W102" s="5">
        <f t="shared" si="9"/>
        <v>0</v>
      </c>
      <c r="X102" s="123"/>
      <c r="Y102" s="33">
        <f>SUMPRODUCT((BIdetails!$J$5:$J$3000=M102)*(BIdetails!$K$5:$K$3000=N102)*(BIdetails!$M$5:$M$3000))</f>
        <v>0</v>
      </c>
      <c r="Z102" s="34">
        <f t="shared" si="8"/>
        <v>0</v>
      </c>
      <c r="AA102" s="31"/>
      <c r="AB102" s="31"/>
      <c r="AC102" s="31"/>
      <c r="AD102" s="31"/>
    </row>
    <row r="103" spans="1:30" hidden="1" x14ac:dyDescent="0.25">
      <c r="A103" t="s">
        <v>2745</v>
      </c>
      <c r="B103" t="str">
        <f t="shared" si="5"/>
        <v>No Change</v>
      </c>
      <c r="C103" t="s">
        <v>2780</v>
      </c>
      <c r="D103">
        <v>68427709</v>
      </c>
      <c r="E103" s="95" t="s">
        <v>34</v>
      </c>
      <c r="F103" t="s">
        <v>35</v>
      </c>
      <c r="G103" t="s">
        <v>31</v>
      </c>
      <c r="H103" t="s">
        <v>2073</v>
      </c>
      <c r="J103" t="s">
        <v>2072</v>
      </c>
      <c r="K103">
        <v>120252</v>
      </c>
      <c r="L103" t="s">
        <v>461</v>
      </c>
      <c r="M103" s="21">
        <v>5401023588</v>
      </c>
      <c r="N103" s="21">
        <v>10</v>
      </c>
      <c r="O103" s="26" t="s">
        <v>2676</v>
      </c>
      <c r="P103" s="26" t="s">
        <v>2676</v>
      </c>
      <c r="Q103" t="s">
        <v>2762</v>
      </c>
      <c r="R103" t="s">
        <v>2809</v>
      </c>
      <c r="S103" s="7">
        <v>10800</v>
      </c>
      <c r="T103" s="7">
        <v>10400</v>
      </c>
      <c r="U103" s="7">
        <v>10400</v>
      </c>
      <c r="V103" s="7">
        <f t="shared" si="6"/>
        <v>0</v>
      </c>
      <c r="W103" s="5">
        <f t="shared" si="9"/>
        <v>0</v>
      </c>
      <c r="X103" s="123"/>
      <c r="Y103" s="33">
        <f>SUMPRODUCT((BIdetails!$J$5:$J$3000=M103)*(BIdetails!$K$5:$K$3000=N103)*(BIdetails!$M$5:$M$3000))</f>
        <v>0</v>
      </c>
      <c r="Z103" s="34">
        <f t="shared" si="8"/>
        <v>0</v>
      </c>
      <c r="AA103" s="31"/>
      <c r="AB103" s="31"/>
      <c r="AC103" s="31"/>
      <c r="AD103" s="31"/>
    </row>
    <row r="104" spans="1:30" hidden="1" x14ac:dyDescent="0.25">
      <c r="A104" t="s">
        <v>2745</v>
      </c>
      <c r="B104" t="str">
        <f t="shared" si="5"/>
        <v>No Change</v>
      </c>
      <c r="C104" t="s">
        <v>2780</v>
      </c>
      <c r="D104">
        <v>68427709</v>
      </c>
      <c r="E104" s="95" t="s">
        <v>34</v>
      </c>
      <c r="F104" t="s">
        <v>35</v>
      </c>
      <c r="G104" t="s">
        <v>31</v>
      </c>
      <c r="H104" t="s">
        <v>2075</v>
      </c>
      <c r="J104" t="s">
        <v>2074</v>
      </c>
      <c r="K104">
        <v>120252</v>
      </c>
      <c r="L104" t="s">
        <v>461</v>
      </c>
      <c r="M104" s="21">
        <v>5401023588</v>
      </c>
      <c r="N104" s="21">
        <v>10</v>
      </c>
      <c r="O104" s="26" t="s">
        <v>2676</v>
      </c>
      <c r="P104" s="26" t="s">
        <v>2676</v>
      </c>
      <c r="Q104" t="s">
        <v>2762</v>
      </c>
      <c r="R104" t="s">
        <v>2809</v>
      </c>
      <c r="S104" s="7">
        <v>43200</v>
      </c>
      <c r="T104" s="7">
        <v>41400</v>
      </c>
      <c r="U104" s="7">
        <v>41400</v>
      </c>
      <c r="V104" s="7">
        <f t="shared" si="6"/>
        <v>0</v>
      </c>
      <c r="W104" s="5">
        <f t="shared" si="9"/>
        <v>0</v>
      </c>
      <c r="X104" s="123"/>
      <c r="Y104" s="33">
        <f>SUMPRODUCT((BIdetails!$J$5:$J$3000=M104)*(BIdetails!$K$5:$K$3000=N104)*(BIdetails!$M$5:$M$3000))</f>
        <v>0</v>
      </c>
      <c r="Z104" s="34">
        <f t="shared" si="8"/>
        <v>0</v>
      </c>
      <c r="AA104" s="31"/>
      <c r="AB104" s="31"/>
      <c r="AC104" s="31"/>
      <c r="AD104" s="31"/>
    </row>
    <row r="105" spans="1:30" hidden="1" x14ac:dyDescent="0.25">
      <c r="A105" t="s">
        <v>2745</v>
      </c>
      <c r="B105" t="str">
        <f t="shared" si="5"/>
        <v>No Change</v>
      </c>
      <c r="C105" t="s">
        <v>2780</v>
      </c>
      <c r="D105">
        <v>68427709</v>
      </c>
      <c r="E105" s="95" t="s">
        <v>34</v>
      </c>
      <c r="F105" t="s">
        <v>35</v>
      </c>
      <c r="G105" t="s">
        <v>31</v>
      </c>
      <c r="H105" t="s">
        <v>2077</v>
      </c>
      <c r="J105" t="s">
        <v>2076</v>
      </c>
      <c r="K105">
        <v>120252</v>
      </c>
      <c r="L105" t="s">
        <v>461</v>
      </c>
      <c r="M105" s="21">
        <v>5401023588</v>
      </c>
      <c r="N105" s="21">
        <v>10</v>
      </c>
      <c r="O105" s="26" t="s">
        <v>2676</v>
      </c>
      <c r="P105" s="26" t="s">
        <v>2676</v>
      </c>
      <c r="Q105" t="s">
        <v>2762</v>
      </c>
      <c r="R105" t="s">
        <v>2809</v>
      </c>
      <c r="S105" s="7">
        <v>108000</v>
      </c>
      <c r="T105" s="7">
        <v>103300</v>
      </c>
      <c r="U105" s="7">
        <v>103300</v>
      </c>
      <c r="V105" s="7">
        <f t="shared" si="6"/>
        <v>0</v>
      </c>
      <c r="W105" s="5">
        <f t="shared" si="9"/>
        <v>0</v>
      </c>
      <c r="X105" s="123"/>
      <c r="Y105" s="33">
        <f>SUMPRODUCT((BIdetails!$J$5:$J$3000=M105)*(BIdetails!$K$5:$K$3000=N105)*(BIdetails!$M$5:$M$3000))</f>
        <v>0</v>
      </c>
      <c r="Z105" s="34">
        <f t="shared" si="8"/>
        <v>0</v>
      </c>
      <c r="AA105" s="31"/>
      <c r="AB105" s="31"/>
      <c r="AC105" s="31"/>
      <c r="AD105" s="31"/>
    </row>
    <row r="106" spans="1:30" hidden="1" x14ac:dyDescent="0.25">
      <c r="A106" t="s">
        <v>2745</v>
      </c>
      <c r="B106" t="str">
        <f t="shared" si="5"/>
        <v>No Change</v>
      </c>
      <c r="C106" t="s">
        <v>2780</v>
      </c>
      <c r="D106">
        <v>68427709</v>
      </c>
      <c r="E106" s="95" t="s">
        <v>34</v>
      </c>
      <c r="F106" t="s">
        <v>35</v>
      </c>
      <c r="G106" t="s">
        <v>31</v>
      </c>
      <c r="H106" t="s">
        <v>2079</v>
      </c>
      <c r="J106" t="s">
        <v>2078</v>
      </c>
      <c r="K106">
        <v>120252</v>
      </c>
      <c r="L106" t="s">
        <v>461</v>
      </c>
      <c r="M106" s="21">
        <v>5401023588</v>
      </c>
      <c r="N106" s="21">
        <v>10</v>
      </c>
      <c r="O106" s="26" t="s">
        <v>2676</v>
      </c>
      <c r="P106" s="26" t="s">
        <v>2676</v>
      </c>
      <c r="Q106" t="s">
        <v>2762</v>
      </c>
      <c r="R106" t="s">
        <v>2809</v>
      </c>
      <c r="S106" s="7">
        <v>43200</v>
      </c>
      <c r="T106" s="7">
        <v>41400</v>
      </c>
      <c r="U106" s="7">
        <v>41400</v>
      </c>
      <c r="V106" s="7">
        <f t="shared" si="6"/>
        <v>0</v>
      </c>
      <c r="W106" s="5">
        <f t="shared" si="9"/>
        <v>0</v>
      </c>
      <c r="X106" s="123"/>
      <c r="Y106" s="33">
        <f>SUMPRODUCT((BIdetails!$J$5:$J$3000=M106)*(BIdetails!$K$5:$K$3000=N106)*(BIdetails!$M$5:$M$3000))</f>
        <v>0</v>
      </c>
      <c r="Z106" s="34">
        <f t="shared" si="8"/>
        <v>0</v>
      </c>
      <c r="AA106" s="31"/>
      <c r="AB106" s="31"/>
      <c r="AC106" s="31"/>
      <c r="AD106" s="31"/>
    </row>
    <row r="107" spans="1:30" hidden="1" x14ac:dyDescent="0.25">
      <c r="A107" t="s">
        <v>2745</v>
      </c>
      <c r="B107" t="str">
        <f t="shared" si="5"/>
        <v>No Change</v>
      </c>
      <c r="C107" t="s">
        <v>2780</v>
      </c>
      <c r="D107">
        <v>68427709</v>
      </c>
      <c r="E107" s="95" t="s">
        <v>34</v>
      </c>
      <c r="F107" t="s">
        <v>35</v>
      </c>
      <c r="G107" t="s">
        <v>31</v>
      </c>
      <c r="H107" t="s">
        <v>2081</v>
      </c>
      <c r="J107" t="s">
        <v>2080</v>
      </c>
      <c r="K107">
        <v>120252</v>
      </c>
      <c r="L107" t="s">
        <v>461</v>
      </c>
      <c r="M107" s="21">
        <v>5401023588</v>
      </c>
      <c r="N107" s="21">
        <v>10</v>
      </c>
      <c r="O107" s="26" t="s">
        <v>2676</v>
      </c>
      <c r="P107" s="26" t="s">
        <v>2676</v>
      </c>
      <c r="Q107" t="s">
        <v>2762</v>
      </c>
      <c r="R107" t="s">
        <v>2809</v>
      </c>
      <c r="S107" s="7">
        <v>10800</v>
      </c>
      <c r="T107" s="7">
        <v>10400</v>
      </c>
      <c r="U107" s="7">
        <v>10400</v>
      </c>
      <c r="V107" s="7">
        <f t="shared" si="6"/>
        <v>0</v>
      </c>
      <c r="W107" s="5">
        <f t="shared" si="9"/>
        <v>0</v>
      </c>
      <c r="X107" s="123"/>
      <c r="Y107" s="33">
        <f>SUMPRODUCT((BIdetails!$J$5:$J$3000=M107)*(BIdetails!$K$5:$K$3000=N107)*(BIdetails!$M$5:$M$3000))</f>
        <v>0</v>
      </c>
      <c r="Z107" s="34">
        <f t="shared" si="8"/>
        <v>0</v>
      </c>
      <c r="AA107" s="31"/>
      <c r="AB107" s="31"/>
      <c r="AC107" s="31"/>
      <c r="AD107" s="31"/>
    </row>
    <row r="108" spans="1:30" hidden="1" x14ac:dyDescent="0.25">
      <c r="A108" t="s">
        <v>2745</v>
      </c>
      <c r="B108" t="str">
        <f t="shared" si="5"/>
        <v>No Change</v>
      </c>
      <c r="C108" t="s">
        <v>2780</v>
      </c>
      <c r="D108">
        <v>68427709</v>
      </c>
      <c r="E108" s="95" t="s">
        <v>34</v>
      </c>
      <c r="F108" t="s">
        <v>35</v>
      </c>
      <c r="G108" t="s">
        <v>31</v>
      </c>
      <c r="H108" t="s">
        <v>2083</v>
      </c>
      <c r="J108" t="s">
        <v>2082</v>
      </c>
      <c r="K108">
        <v>120252</v>
      </c>
      <c r="L108" t="s">
        <v>461</v>
      </c>
      <c r="M108" s="21">
        <v>5401023588</v>
      </c>
      <c r="N108" s="21">
        <v>10</v>
      </c>
      <c r="O108" s="26" t="s">
        <v>2676</v>
      </c>
      <c r="P108" s="26" t="s">
        <v>2676</v>
      </c>
      <c r="Q108" t="s">
        <v>2762</v>
      </c>
      <c r="R108" t="s">
        <v>2809</v>
      </c>
      <c r="S108" s="7">
        <v>10800</v>
      </c>
      <c r="T108" s="7">
        <v>10400</v>
      </c>
      <c r="U108" s="7">
        <v>10400</v>
      </c>
      <c r="V108" s="7">
        <f t="shared" si="6"/>
        <v>0</v>
      </c>
      <c r="W108" s="5">
        <f t="shared" si="9"/>
        <v>0</v>
      </c>
      <c r="X108" s="123"/>
      <c r="Y108" s="33">
        <f>SUMPRODUCT((BIdetails!$J$5:$J$3000=M108)*(BIdetails!$K$5:$K$3000=N108)*(BIdetails!$M$5:$M$3000))</f>
        <v>0</v>
      </c>
      <c r="Z108" s="34">
        <f t="shared" si="8"/>
        <v>0</v>
      </c>
      <c r="AA108" s="31"/>
      <c r="AB108" s="31"/>
      <c r="AC108" s="31"/>
      <c r="AD108" s="31"/>
    </row>
    <row r="109" spans="1:30" hidden="1" x14ac:dyDescent="0.25">
      <c r="A109" t="s">
        <v>2745</v>
      </c>
      <c r="B109" t="str">
        <f t="shared" si="5"/>
        <v>No Change</v>
      </c>
      <c r="C109" t="s">
        <v>2780</v>
      </c>
      <c r="D109">
        <v>68427709</v>
      </c>
      <c r="E109" s="95" t="s">
        <v>34</v>
      </c>
      <c r="F109" t="s">
        <v>35</v>
      </c>
      <c r="G109" t="s">
        <v>31</v>
      </c>
      <c r="H109" t="s">
        <v>2085</v>
      </c>
      <c r="J109" t="s">
        <v>2084</v>
      </c>
      <c r="K109">
        <v>120252</v>
      </c>
      <c r="L109" t="s">
        <v>461</v>
      </c>
      <c r="M109" s="21">
        <v>5401023588</v>
      </c>
      <c r="N109" s="21">
        <v>10</v>
      </c>
      <c r="O109" s="26" t="s">
        <v>2676</v>
      </c>
      <c r="P109" s="26" t="s">
        <v>2676</v>
      </c>
      <c r="Q109" t="s">
        <v>2762</v>
      </c>
      <c r="R109" t="s">
        <v>2809</v>
      </c>
      <c r="S109" s="7">
        <v>32400</v>
      </c>
      <c r="T109" s="7">
        <v>31000</v>
      </c>
      <c r="U109" s="7">
        <v>31000</v>
      </c>
      <c r="V109" s="7">
        <f t="shared" si="6"/>
        <v>0</v>
      </c>
      <c r="W109" s="5">
        <f t="shared" si="9"/>
        <v>0</v>
      </c>
      <c r="X109" s="123"/>
      <c r="Y109" s="33">
        <f>SUMPRODUCT((BIdetails!$J$5:$J$3000=M109)*(BIdetails!$K$5:$K$3000=N109)*(BIdetails!$M$5:$M$3000))</f>
        <v>0</v>
      </c>
      <c r="Z109" s="34">
        <f t="shared" si="8"/>
        <v>0</v>
      </c>
      <c r="AA109" s="31"/>
      <c r="AB109" s="31"/>
      <c r="AC109" s="31"/>
      <c r="AD109" s="31"/>
    </row>
    <row r="110" spans="1:30" hidden="1" x14ac:dyDescent="0.25">
      <c r="A110" t="s">
        <v>2745</v>
      </c>
      <c r="B110" t="str">
        <f t="shared" si="5"/>
        <v>No Change</v>
      </c>
      <c r="C110" t="s">
        <v>2780</v>
      </c>
      <c r="D110">
        <v>68427709</v>
      </c>
      <c r="E110" s="95" t="s">
        <v>34</v>
      </c>
      <c r="F110" t="s">
        <v>35</v>
      </c>
      <c r="G110" t="s">
        <v>31</v>
      </c>
      <c r="H110" t="s">
        <v>2087</v>
      </c>
      <c r="J110" t="s">
        <v>2086</v>
      </c>
      <c r="K110">
        <v>120252</v>
      </c>
      <c r="L110" t="s">
        <v>461</v>
      </c>
      <c r="M110" s="21">
        <v>5401023588</v>
      </c>
      <c r="N110" s="21">
        <v>10</v>
      </c>
      <c r="O110" s="26" t="s">
        <v>2676</v>
      </c>
      <c r="P110" s="26" t="s">
        <v>2676</v>
      </c>
      <c r="Q110" t="s">
        <v>2762</v>
      </c>
      <c r="R110" t="s">
        <v>2809</v>
      </c>
      <c r="S110" s="7">
        <v>32400</v>
      </c>
      <c r="T110" s="7">
        <v>31000</v>
      </c>
      <c r="U110" s="7">
        <v>31000</v>
      </c>
      <c r="V110" s="7">
        <f t="shared" si="6"/>
        <v>0</v>
      </c>
      <c r="W110" s="5">
        <f t="shared" si="9"/>
        <v>0</v>
      </c>
      <c r="X110" s="123"/>
      <c r="Y110" s="33">
        <f>SUMPRODUCT((BIdetails!$J$5:$J$3000=M110)*(BIdetails!$K$5:$K$3000=N110)*(BIdetails!$M$5:$M$3000))</f>
        <v>0</v>
      </c>
      <c r="Z110" s="34">
        <f t="shared" si="8"/>
        <v>0</v>
      </c>
      <c r="AA110" s="31"/>
      <c r="AB110" s="31"/>
      <c r="AC110" s="31"/>
      <c r="AD110" s="31"/>
    </row>
    <row r="111" spans="1:30" hidden="1" x14ac:dyDescent="0.25">
      <c r="A111" t="s">
        <v>2745</v>
      </c>
      <c r="B111" t="str">
        <f t="shared" si="5"/>
        <v>No Change</v>
      </c>
      <c r="C111" t="s">
        <v>2780</v>
      </c>
      <c r="D111">
        <v>68427709</v>
      </c>
      <c r="E111" s="95" t="s">
        <v>34</v>
      </c>
      <c r="F111" t="s">
        <v>35</v>
      </c>
      <c r="G111" t="s">
        <v>31</v>
      </c>
      <c r="H111" t="s">
        <v>2089</v>
      </c>
      <c r="J111" t="s">
        <v>2088</v>
      </c>
      <c r="K111">
        <v>120252</v>
      </c>
      <c r="L111" t="s">
        <v>461</v>
      </c>
      <c r="M111" s="21">
        <v>5401023588</v>
      </c>
      <c r="N111" s="21">
        <v>10</v>
      </c>
      <c r="O111" s="26" t="s">
        <v>2676</v>
      </c>
      <c r="P111" s="26" t="s">
        <v>2676</v>
      </c>
      <c r="Q111" t="s">
        <v>2762</v>
      </c>
      <c r="R111" t="s">
        <v>2809</v>
      </c>
      <c r="S111" s="7">
        <v>10800</v>
      </c>
      <c r="T111" s="7">
        <v>10400</v>
      </c>
      <c r="U111" s="7">
        <v>10400</v>
      </c>
      <c r="V111" s="7">
        <f t="shared" si="6"/>
        <v>0</v>
      </c>
      <c r="W111" s="5">
        <f t="shared" si="9"/>
        <v>0</v>
      </c>
      <c r="X111" s="123"/>
      <c r="Y111" s="33">
        <f>SUMPRODUCT((BIdetails!$J$5:$J$3000=M111)*(BIdetails!$K$5:$K$3000=N111)*(BIdetails!$M$5:$M$3000))</f>
        <v>0</v>
      </c>
      <c r="Z111" s="34">
        <f t="shared" si="8"/>
        <v>0</v>
      </c>
      <c r="AA111" s="31"/>
      <c r="AB111" s="31"/>
      <c r="AC111" s="31"/>
      <c r="AD111" s="31"/>
    </row>
    <row r="112" spans="1:30" hidden="1" x14ac:dyDescent="0.25">
      <c r="A112" t="s">
        <v>2745</v>
      </c>
      <c r="B112" t="str">
        <f t="shared" si="5"/>
        <v>No Change</v>
      </c>
      <c r="C112" t="s">
        <v>2780</v>
      </c>
      <c r="D112">
        <v>68427709</v>
      </c>
      <c r="E112" s="95" t="s">
        <v>34</v>
      </c>
      <c r="F112" t="s">
        <v>35</v>
      </c>
      <c r="G112" t="s">
        <v>31</v>
      </c>
      <c r="H112" t="s">
        <v>2091</v>
      </c>
      <c r="J112" t="s">
        <v>2090</v>
      </c>
      <c r="K112">
        <v>120252</v>
      </c>
      <c r="L112" t="s">
        <v>461</v>
      </c>
      <c r="M112" s="21">
        <v>5401023588</v>
      </c>
      <c r="N112" s="21">
        <v>10</v>
      </c>
      <c r="O112" s="26" t="s">
        <v>2676</v>
      </c>
      <c r="P112" s="26" t="s">
        <v>2676</v>
      </c>
      <c r="Q112" t="s">
        <v>2762</v>
      </c>
      <c r="R112" t="s">
        <v>2809</v>
      </c>
      <c r="S112" s="7">
        <v>10800</v>
      </c>
      <c r="T112" s="7">
        <v>10400</v>
      </c>
      <c r="U112" s="7">
        <v>10400</v>
      </c>
      <c r="V112" s="7">
        <f t="shared" si="6"/>
        <v>0</v>
      </c>
      <c r="W112" s="5">
        <f t="shared" si="9"/>
        <v>0</v>
      </c>
      <c r="X112" s="123"/>
      <c r="Y112" s="33">
        <f>SUMPRODUCT((BIdetails!$J$5:$J$3000=M112)*(BIdetails!$K$5:$K$3000=N112)*(BIdetails!$M$5:$M$3000))</f>
        <v>0</v>
      </c>
      <c r="Z112" s="34">
        <f t="shared" si="8"/>
        <v>0</v>
      </c>
      <c r="AA112" s="31"/>
      <c r="AB112" s="31"/>
      <c r="AC112" s="31"/>
      <c r="AD112" s="31"/>
    </row>
    <row r="113" spans="1:30" hidden="1" x14ac:dyDescent="0.25">
      <c r="A113" t="s">
        <v>2745</v>
      </c>
      <c r="B113" t="str">
        <f t="shared" si="5"/>
        <v>No Change</v>
      </c>
      <c r="C113" t="s">
        <v>2780</v>
      </c>
      <c r="D113">
        <v>68427709</v>
      </c>
      <c r="E113" s="95" t="s">
        <v>34</v>
      </c>
      <c r="F113" t="s">
        <v>35</v>
      </c>
      <c r="G113" t="s">
        <v>31</v>
      </c>
      <c r="H113" t="s">
        <v>2093</v>
      </c>
      <c r="J113" t="s">
        <v>2092</v>
      </c>
      <c r="K113">
        <v>120252</v>
      </c>
      <c r="L113" t="s">
        <v>461</v>
      </c>
      <c r="M113" s="21">
        <v>5401023588</v>
      </c>
      <c r="N113" s="21">
        <v>10</v>
      </c>
      <c r="O113" s="26" t="s">
        <v>2676</v>
      </c>
      <c r="P113" s="26" t="s">
        <v>2676</v>
      </c>
      <c r="Q113" t="s">
        <v>2762</v>
      </c>
      <c r="R113" t="s">
        <v>2809</v>
      </c>
      <c r="S113" s="7">
        <v>21600</v>
      </c>
      <c r="T113" s="7">
        <v>20700</v>
      </c>
      <c r="U113" s="7">
        <v>20700</v>
      </c>
      <c r="V113" s="7">
        <f t="shared" si="6"/>
        <v>0</v>
      </c>
      <c r="W113" s="5">
        <f t="shared" si="9"/>
        <v>0</v>
      </c>
      <c r="X113" s="123"/>
      <c r="Y113" s="33">
        <f>SUMPRODUCT((BIdetails!$J$5:$J$3000=M113)*(BIdetails!$K$5:$K$3000=N113)*(BIdetails!$M$5:$M$3000))</f>
        <v>0</v>
      </c>
      <c r="Z113" s="34">
        <f t="shared" si="8"/>
        <v>0</v>
      </c>
      <c r="AA113" s="31"/>
      <c r="AB113" s="31"/>
      <c r="AC113" s="31"/>
      <c r="AD113" s="31"/>
    </row>
    <row r="114" spans="1:30" hidden="1" x14ac:dyDescent="0.25">
      <c r="A114" t="s">
        <v>2745</v>
      </c>
      <c r="B114" t="str">
        <f t="shared" si="5"/>
        <v>No Change</v>
      </c>
      <c r="C114" t="s">
        <v>2780</v>
      </c>
      <c r="D114">
        <v>68427709</v>
      </c>
      <c r="E114" s="95" t="s">
        <v>34</v>
      </c>
      <c r="F114" t="s">
        <v>35</v>
      </c>
      <c r="G114" t="s">
        <v>31</v>
      </c>
      <c r="H114" t="s">
        <v>2095</v>
      </c>
      <c r="J114" t="s">
        <v>2094</v>
      </c>
      <c r="K114">
        <v>120252</v>
      </c>
      <c r="L114" t="s">
        <v>461</v>
      </c>
      <c r="M114" s="21">
        <v>5401023588</v>
      </c>
      <c r="N114" s="21">
        <v>10</v>
      </c>
      <c r="O114" s="26" t="s">
        <v>2676</v>
      </c>
      <c r="P114" s="26" t="s">
        <v>2676</v>
      </c>
      <c r="Q114" t="s">
        <v>2762</v>
      </c>
      <c r="R114" t="s">
        <v>2809</v>
      </c>
      <c r="S114" s="7">
        <v>10800</v>
      </c>
      <c r="T114" s="7">
        <v>10400</v>
      </c>
      <c r="U114" s="7">
        <v>10400</v>
      </c>
      <c r="V114" s="7">
        <f t="shared" si="6"/>
        <v>0</v>
      </c>
      <c r="W114" s="5">
        <f t="shared" si="9"/>
        <v>0</v>
      </c>
      <c r="X114" s="123"/>
      <c r="Y114" s="33">
        <f>SUMPRODUCT((BIdetails!$J$5:$J$3000=M114)*(BIdetails!$K$5:$K$3000=N114)*(BIdetails!$M$5:$M$3000))</f>
        <v>0</v>
      </c>
      <c r="Z114" s="34">
        <f t="shared" si="8"/>
        <v>0</v>
      </c>
      <c r="AA114" s="31"/>
      <c r="AB114" s="31"/>
      <c r="AC114" s="31"/>
      <c r="AD114" s="31"/>
    </row>
    <row r="115" spans="1:30" hidden="1" x14ac:dyDescent="0.25">
      <c r="A115" t="s">
        <v>2745</v>
      </c>
      <c r="B115" t="str">
        <f t="shared" si="5"/>
        <v>Decommissioned</v>
      </c>
      <c r="C115" t="s">
        <v>2780</v>
      </c>
      <c r="D115">
        <v>68427709</v>
      </c>
      <c r="E115" s="95" t="s">
        <v>34</v>
      </c>
      <c r="F115" t="s">
        <v>35</v>
      </c>
      <c r="G115" t="s">
        <v>31</v>
      </c>
      <c r="H115" t="s">
        <v>2097</v>
      </c>
      <c r="J115" t="s">
        <v>2096</v>
      </c>
      <c r="K115">
        <v>120252</v>
      </c>
      <c r="L115" t="s">
        <v>461</v>
      </c>
      <c r="M115" s="21">
        <v>5401023588</v>
      </c>
      <c r="N115" s="21">
        <v>10</v>
      </c>
      <c r="O115" t="s">
        <v>2676</v>
      </c>
      <c r="P115" s="96" t="s">
        <v>2676</v>
      </c>
      <c r="Q115" t="s">
        <v>2762</v>
      </c>
      <c r="R115" t="s">
        <v>2809</v>
      </c>
      <c r="S115" s="7">
        <v>10800</v>
      </c>
      <c r="T115" s="7">
        <v>10400</v>
      </c>
      <c r="U115" s="7">
        <v>0</v>
      </c>
      <c r="V115" s="7">
        <f t="shared" si="6"/>
        <v>-10400</v>
      </c>
      <c r="W115" s="5">
        <f t="shared" si="9"/>
        <v>-1</v>
      </c>
      <c r="X115" s="123"/>
      <c r="Y115" s="33">
        <f>SUMPRODUCT((BIdetails!$J$5:$J$3000=M115)*(BIdetails!$K$5:$K$3000=N115)*(BIdetails!$M$5:$M$3000))</f>
        <v>0</v>
      </c>
      <c r="Z115" s="34" t="str">
        <f t="shared" si="8"/>
        <v/>
      </c>
      <c r="AA115" s="31"/>
      <c r="AB115" s="31"/>
      <c r="AC115" s="31"/>
      <c r="AD115" s="31"/>
    </row>
    <row r="116" spans="1:30" hidden="1" x14ac:dyDescent="0.25">
      <c r="A116" t="s">
        <v>2745</v>
      </c>
      <c r="B116" t="str">
        <f t="shared" si="5"/>
        <v>No Change</v>
      </c>
      <c r="D116">
        <v>68427709</v>
      </c>
      <c r="E116" s="95" t="s">
        <v>49</v>
      </c>
      <c r="F116" t="s">
        <v>50</v>
      </c>
      <c r="G116" t="s">
        <v>42</v>
      </c>
      <c r="H116" t="s">
        <v>2878</v>
      </c>
      <c r="I116">
        <v>0</v>
      </c>
      <c r="J116" t="s">
        <v>2879</v>
      </c>
      <c r="K116" s="96">
        <v>120252</v>
      </c>
      <c r="L116" t="s">
        <v>461</v>
      </c>
      <c r="M116" s="21">
        <v>5401023593</v>
      </c>
      <c r="N116" s="21">
        <v>10</v>
      </c>
      <c r="O116" t="s">
        <v>2676</v>
      </c>
      <c r="P116" s="96" t="s">
        <v>227</v>
      </c>
      <c r="Q116" s="215" t="s">
        <v>2767</v>
      </c>
      <c r="R116" t="s">
        <v>2768</v>
      </c>
      <c r="S116" s="7">
        <v>5300</v>
      </c>
      <c r="T116" s="7">
        <v>5300</v>
      </c>
      <c r="U116" s="7">
        <v>5300</v>
      </c>
      <c r="V116" s="7">
        <f t="shared" si="6"/>
        <v>0</v>
      </c>
      <c r="W116" s="5">
        <f t="shared" si="9"/>
        <v>0</v>
      </c>
      <c r="X116" s="39"/>
      <c r="Y116" s="33">
        <f>SUMPRODUCT((BIdetails!$J$5:$J$3000=M116)*(BIdetails!$K$5:$K$3000=N116)*(BIdetails!$M$5:$M$3000))</f>
        <v>0</v>
      </c>
      <c r="Z116" s="34">
        <f t="shared" si="8"/>
        <v>0</v>
      </c>
      <c r="AA116" s="31" t="s">
        <v>649</v>
      </c>
      <c r="AB116" s="31" t="s">
        <v>2752</v>
      </c>
      <c r="AC116" s="31" t="s">
        <v>2774</v>
      </c>
      <c r="AD116" s="31"/>
    </row>
    <row r="117" spans="1:30" hidden="1" x14ac:dyDescent="0.25">
      <c r="A117" t="s">
        <v>2745</v>
      </c>
      <c r="B117" t="str">
        <f t="shared" si="5"/>
        <v>Decommissioned</v>
      </c>
      <c r="C117" t="s">
        <v>2780</v>
      </c>
      <c r="D117">
        <v>68427709</v>
      </c>
      <c r="E117" s="95" t="s">
        <v>34</v>
      </c>
      <c r="F117" t="s">
        <v>35</v>
      </c>
      <c r="G117" t="s">
        <v>31</v>
      </c>
      <c r="H117" t="s">
        <v>2249</v>
      </c>
      <c r="I117" t="s">
        <v>2825</v>
      </c>
      <c r="J117" t="s">
        <v>2826</v>
      </c>
      <c r="K117">
        <v>120252</v>
      </c>
      <c r="L117" t="s">
        <v>461</v>
      </c>
      <c r="M117">
        <v>5401023588</v>
      </c>
      <c r="N117" s="21">
        <v>10</v>
      </c>
      <c r="O117" s="26" t="s">
        <v>2224</v>
      </c>
      <c r="P117" s="26" t="s">
        <v>2224</v>
      </c>
      <c r="Q117" t="s">
        <v>2762</v>
      </c>
      <c r="R117" t="s">
        <v>2809</v>
      </c>
      <c r="S117" s="7">
        <v>0</v>
      </c>
      <c r="T117" s="7">
        <v>100000</v>
      </c>
      <c r="U117" s="7">
        <v>0</v>
      </c>
      <c r="V117" s="7">
        <f t="shared" si="6"/>
        <v>-100000</v>
      </c>
      <c r="W117" s="5">
        <f t="shared" si="9"/>
        <v>-1</v>
      </c>
      <c r="X117" s="6"/>
      <c r="Y117" s="33">
        <f>SUMPRODUCT((BIdetails!$J$5:$J$3000=M117)*(BIdetails!$K$5:$K$3000=N117)*(BIdetails!$M$5:$M$3000))</f>
        <v>0</v>
      </c>
      <c r="Z117" s="34" t="str">
        <f t="shared" si="8"/>
        <v/>
      </c>
      <c r="AA117" s="31"/>
      <c r="AB117" s="31"/>
      <c r="AC117" s="31"/>
      <c r="AD117" s="31"/>
    </row>
    <row r="118" spans="1:30" hidden="1" x14ac:dyDescent="0.25">
      <c r="A118" t="s">
        <v>2745</v>
      </c>
      <c r="B118" t="str">
        <f t="shared" si="5"/>
        <v>Decrease</v>
      </c>
      <c r="C118" t="s">
        <v>2780</v>
      </c>
      <c r="D118">
        <v>68427709</v>
      </c>
      <c r="E118" s="95" t="s">
        <v>34</v>
      </c>
      <c r="F118" t="s">
        <v>35</v>
      </c>
      <c r="G118" t="s">
        <v>31</v>
      </c>
      <c r="H118" t="s">
        <v>2469</v>
      </c>
      <c r="I118" t="s">
        <v>2825</v>
      </c>
      <c r="J118" t="s">
        <v>2826</v>
      </c>
      <c r="K118">
        <v>120252</v>
      </c>
      <c r="L118" t="s">
        <v>461</v>
      </c>
      <c r="M118">
        <v>5401023591</v>
      </c>
      <c r="N118" s="21">
        <v>10</v>
      </c>
      <c r="O118" s="26" t="s">
        <v>2224</v>
      </c>
      <c r="P118" s="26" t="s">
        <v>2224</v>
      </c>
      <c r="Q118" t="s">
        <v>2762</v>
      </c>
      <c r="R118" t="s">
        <v>2809</v>
      </c>
      <c r="S118" s="7">
        <v>60000</v>
      </c>
      <c r="T118" s="7">
        <v>61500</v>
      </c>
      <c r="U118" s="7">
        <v>40000</v>
      </c>
      <c r="V118" s="7">
        <f t="shared" si="6"/>
        <v>-21500</v>
      </c>
      <c r="W118" s="5">
        <f t="shared" si="9"/>
        <v>-0.34959349593495936</v>
      </c>
      <c r="X118" s="6"/>
      <c r="Y118" s="33">
        <f>SUMPRODUCT((BIdetails!$J$5:$J$3000=M118)*(BIdetails!$K$5:$K$3000=N118)*(BIdetails!$M$5:$M$3000))</f>
        <v>0</v>
      </c>
      <c r="Z118" s="34">
        <f t="shared" si="8"/>
        <v>0</v>
      </c>
      <c r="AA118" s="31" t="s">
        <v>649</v>
      </c>
      <c r="AB118" s="31" t="s">
        <v>2752</v>
      </c>
      <c r="AC118" s="31" t="s">
        <v>2774</v>
      </c>
      <c r="AD118" s="31"/>
    </row>
    <row r="119" spans="1:30" hidden="1" x14ac:dyDescent="0.25">
      <c r="A119" t="s">
        <v>2783</v>
      </c>
      <c r="B119" t="str">
        <f t="shared" si="5"/>
        <v>No Change</v>
      </c>
      <c r="C119" t="s">
        <v>2780</v>
      </c>
      <c r="D119">
        <v>68427709</v>
      </c>
      <c r="E119" s="95" t="s">
        <v>34</v>
      </c>
      <c r="F119" t="s">
        <v>35</v>
      </c>
      <c r="G119" t="s">
        <v>31</v>
      </c>
      <c r="H119" t="s">
        <v>2309</v>
      </c>
      <c r="I119" t="s">
        <v>2825</v>
      </c>
      <c r="J119" t="s">
        <v>2826</v>
      </c>
      <c r="K119">
        <v>120252</v>
      </c>
      <c r="L119" t="s">
        <v>461</v>
      </c>
      <c r="N119" s="21">
        <v>10</v>
      </c>
      <c r="O119" s="96" t="s">
        <v>2676</v>
      </c>
      <c r="P119" s="96" t="s">
        <v>2676</v>
      </c>
      <c r="Q119" t="s">
        <v>2762</v>
      </c>
      <c r="R119" t="s">
        <v>2751</v>
      </c>
      <c r="S119" s="7">
        <v>60000</v>
      </c>
      <c r="T119" s="7">
        <v>0</v>
      </c>
      <c r="U119" s="7">
        <v>0</v>
      </c>
      <c r="V119" s="7">
        <f t="shared" si="6"/>
        <v>0</v>
      </c>
      <c r="W119" s="5">
        <f t="shared" si="9"/>
        <v>0</v>
      </c>
      <c r="X119" s="6"/>
      <c r="Y119" s="33">
        <f>SUMPRODUCT((BIdetails!$J$5:$J$3000=M119)*(BIdetails!$K$5:$K$3000=N119)*(BIdetails!$M$5:$M$3000))</f>
        <v>0</v>
      </c>
      <c r="Z119" s="34" t="str">
        <f t="shared" si="8"/>
        <v/>
      </c>
      <c r="AA119" s="31" t="s">
        <v>649</v>
      </c>
      <c r="AB119" s="31" t="s">
        <v>2752</v>
      </c>
      <c r="AC119" s="31" t="s">
        <v>2774</v>
      </c>
      <c r="AD119" s="31"/>
    </row>
    <row r="120" spans="1:30" hidden="1" x14ac:dyDescent="0.25">
      <c r="A120" t="s">
        <v>2745</v>
      </c>
      <c r="B120" t="str">
        <f t="shared" ref="B120:B166" si="10">IF(T120=U120,"No Change",IF(AND(U120&lt;&gt;0,U120&lt;T120),"Decrease",IF(AND(U120&lt;&gt;0,T120=0),"New",IF(AND(T120&lt;&gt;0,U120=0),"Decommissioned","Increase"))))</f>
        <v>No Change</v>
      </c>
      <c r="C120" t="s">
        <v>2780</v>
      </c>
      <c r="D120">
        <v>68427709</v>
      </c>
      <c r="E120" s="95" t="s">
        <v>29</v>
      </c>
      <c r="F120" t="s">
        <v>30</v>
      </c>
      <c r="G120" s="96" t="s">
        <v>31</v>
      </c>
      <c r="H120" s="96" t="s">
        <v>278</v>
      </c>
      <c r="I120" t="s">
        <v>2880</v>
      </c>
      <c r="J120" t="s">
        <v>2881</v>
      </c>
      <c r="K120" s="96">
        <v>120252</v>
      </c>
      <c r="L120" t="s">
        <v>461</v>
      </c>
      <c r="M120">
        <v>5401023592</v>
      </c>
      <c r="N120" s="36">
        <v>10</v>
      </c>
      <c r="O120" s="96" t="s">
        <v>2676</v>
      </c>
      <c r="P120" s="96" t="s">
        <v>2676</v>
      </c>
      <c r="Q120" s="96" t="s">
        <v>2750</v>
      </c>
      <c r="R120" s="96" t="s">
        <v>2751</v>
      </c>
      <c r="S120" s="7">
        <v>60000</v>
      </c>
      <c r="T120" s="7">
        <v>60000</v>
      </c>
      <c r="U120" s="7">
        <v>60000</v>
      </c>
      <c r="V120" s="7">
        <f t="shared" ref="V120:V166" si="11">U120-T120</f>
        <v>0</v>
      </c>
      <c r="W120" s="5">
        <f t="shared" si="9"/>
        <v>0</v>
      </c>
      <c r="X120" s="6"/>
      <c r="Y120" s="33">
        <f>SUMPRODUCT((BIdetails!$J$5:$J$3000=M120)*(BIdetails!$K$5:$K$3000=N120)*(BIdetails!$M$5:$M$3000))</f>
        <v>0</v>
      </c>
      <c r="Z120" s="34">
        <f t="shared" si="8"/>
        <v>0</v>
      </c>
      <c r="AA120" s="31"/>
      <c r="AB120" s="31"/>
      <c r="AC120" s="31"/>
      <c r="AD120" s="31"/>
    </row>
    <row r="121" spans="1:30" hidden="1" x14ac:dyDescent="0.25">
      <c r="A121" t="s">
        <v>2745</v>
      </c>
      <c r="B121" t="str">
        <f t="shared" si="10"/>
        <v>Decrease</v>
      </c>
      <c r="C121" t="s">
        <v>2780</v>
      </c>
      <c r="D121">
        <v>68427709</v>
      </c>
      <c r="E121" s="95" t="s">
        <v>29</v>
      </c>
      <c r="F121" t="s">
        <v>30</v>
      </c>
      <c r="G121" s="96" t="s">
        <v>31</v>
      </c>
      <c r="H121" s="96" t="s">
        <v>2882</v>
      </c>
      <c r="I121" t="s">
        <v>2771</v>
      </c>
      <c r="J121" t="s">
        <v>2836</v>
      </c>
      <c r="K121" s="96">
        <v>120252</v>
      </c>
      <c r="L121" s="96" t="s">
        <v>461</v>
      </c>
      <c r="M121">
        <v>5401023590</v>
      </c>
      <c r="N121" s="97">
        <v>10</v>
      </c>
      <c r="O121" s="96" t="s">
        <v>2676</v>
      </c>
      <c r="P121" s="96" t="s">
        <v>2676</v>
      </c>
      <c r="Q121" s="96" t="s">
        <v>2750</v>
      </c>
      <c r="R121" s="96" t="s">
        <v>2751</v>
      </c>
      <c r="S121" s="7">
        <v>2100000</v>
      </c>
      <c r="T121" s="7">
        <v>2100000</v>
      </c>
      <c r="U121" s="7">
        <v>1900000</v>
      </c>
      <c r="V121" s="7">
        <f t="shared" si="11"/>
        <v>-200000</v>
      </c>
      <c r="W121" s="5">
        <f t="shared" si="9"/>
        <v>-9.5238095238095233E-2</v>
      </c>
      <c r="X121" s="6"/>
      <c r="Y121" s="33">
        <f>SUMPRODUCT((BIdetails!$J$5:$J$3000=M121)*(BIdetails!$K$5:$K$3000=N121)*(BIdetails!$M$5:$M$3000))</f>
        <v>0</v>
      </c>
      <c r="Z121" s="34">
        <f t="shared" si="8"/>
        <v>0</v>
      </c>
      <c r="AA121" s="31" t="s">
        <v>649</v>
      </c>
      <c r="AB121" s="31" t="s">
        <v>2752</v>
      </c>
      <c r="AC121" s="31" t="s">
        <v>2774</v>
      </c>
      <c r="AD121" s="31"/>
    </row>
    <row r="122" spans="1:30" hidden="1" x14ac:dyDescent="0.25">
      <c r="A122" t="s">
        <v>2745</v>
      </c>
      <c r="B122" t="str">
        <f t="shared" si="10"/>
        <v>No Change</v>
      </c>
      <c r="D122">
        <v>68427709</v>
      </c>
      <c r="E122" s="95" t="s">
        <v>29</v>
      </c>
      <c r="F122" t="s">
        <v>30</v>
      </c>
      <c r="G122" s="96" t="s">
        <v>31</v>
      </c>
      <c r="H122" s="96" t="s">
        <v>2883</v>
      </c>
      <c r="I122" t="s">
        <v>2771</v>
      </c>
      <c r="J122" t="s">
        <v>2836</v>
      </c>
      <c r="K122" s="96">
        <v>120252</v>
      </c>
      <c r="L122" s="96" t="s">
        <v>461</v>
      </c>
      <c r="O122" s="26" t="s">
        <v>2676</v>
      </c>
      <c r="P122" s="26" t="s">
        <v>2784</v>
      </c>
      <c r="Q122" t="s">
        <v>2750</v>
      </c>
      <c r="R122" s="96" t="s">
        <v>2751</v>
      </c>
      <c r="S122" s="7">
        <v>100000</v>
      </c>
      <c r="T122" s="7">
        <v>100000</v>
      </c>
      <c r="U122" s="7">
        <v>100000</v>
      </c>
      <c r="V122" s="7">
        <f t="shared" si="11"/>
        <v>0</v>
      </c>
      <c r="W122" s="5">
        <f t="shared" si="9"/>
        <v>0</v>
      </c>
      <c r="X122" s="123"/>
      <c r="Y122" s="33">
        <f>SUMPRODUCT((BIdetails!$J$5:$J$3000=M122)*(BIdetails!$K$5:$K$3000=N122)*(BIdetails!$M$5:$M$3000))</f>
        <v>0</v>
      </c>
      <c r="Z122" s="34">
        <f t="shared" si="8"/>
        <v>0</v>
      </c>
      <c r="AA122" s="31"/>
      <c r="AB122" s="31"/>
      <c r="AC122" s="31"/>
      <c r="AD122" s="31"/>
    </row>
    <row r="123" spans="1:30" hidden="1" x14ac:dyDescent="0.25">
      <c r="A123" t="s">
        <v>2745</v>
      </c>
      <c r="B123" t="str">
        <f t="shared" si="10"/>
        <v>No Change</v>
      </c>
      <c r="C123" t="s">
        <v>2884</v>
      </c>
      <c r="D123">
        <v>68427709</v>
      </c>
      <c r="E123" s="95" t="s">
        <v>53</v>
      </c>
      <c r="F123" t="s">
        <v>54</v>
      </c>
      <c r="G123" s="96" t="s">
        <v>42</v>
      </c>
      <c r="H123" t="s">
        <v>2450</v>
      </c>
      <c r="I123">
        <v>0</v>
      </c>
      <c r="J123" t="s">
        <v>2810</v>
      </c>
      <c r="K123" s="26">
        <v>209478</v>
      </c>
      <c r="L123" s="26" t="s">
        <v>2885</v>
      </c>
      <c r="M123" s="217">
        <v>5400912153</v>
      </c>
      <c r="N123" s="21">
        <v>30</v>
      </c>
      <c r="O123" s="26" t="s">
        <v>2676</v>
      </c>
      <c r="P123" s="26" t="s">
        <v>1788</v>
      </c>
      <c r="Q123" s="96" t="s">
        <v>2750</v>
      </c>
      <c r="R123" t="s">
        <v>2886</v>
      </c>
      <c r="S123" s="7">
        <v>305000</v>
      </c>
      <c r="T123" s="7">
        <v>352000</v>
      </c>
      <c r="U123" s="7">
        <v>352000</v>
      </c>
      <c r="V123" s="7">
        <f t="shared" si="11"/>
        <v>0</v>
      </c>
      <c r="W123" s="5">
        <f t="shared" si="9"/>
        <v>0</v>
      </c>
      <c r="X123" s="6"/>
      <c r="Y123" s="33">
        <f>SUMPRODUCT((BIdetails!$J$5:$J$3000=M123)*(BIdetails!$K$5:$K$3000=N123)*(BIdetails!$M$5:$M$3000))</f>
        <v>0</v>
      </c>
      <c r="Z123" s="34">
        <f t="shared" si="8"/>
        <v>0</v>
      </c>
      <c r="AA123" s="31" t="s">
        <v>2758</v>
      </c>
      <c r="AB123" s="31" t="s">
        <v>2752</v>
      </c>
      <c r="AC123" s="31"/>
      <c r="AD123" s="31"/>
    </row>
    <row r="124" spans="1:30" hidden="1" x14ac:dyDescent="0.25">
      <c r="A124" t="s">
        <v>2745</v>
      </c>
      <c r="B124" t="str">
        <f t="shared" si="10"/>
        <v>No Change</v>
      </c>
      <c r="C124" t="s">
        <v>2887</v>
      </c>
      <c r="D124">
        <v>68427709</v>
      </c>
      <c r="E124" s="95" t="s">
        <v>53</v>
      </c>
      <c r="F124" t="s">
        <v>54</v>
      </c>
      <c r="G124" t="s">
        <v>42</v>
      </c>
      <c r="H124" t="s">
        <v>1001</v>
      </c>
      <c r="I124">
        <v>0</v>
      </c>
      <c r="J124" t="s">
        <v>2810</v>
      </c>
      <c r="K124" s="26">
        <v>209478</v>
      </c>
      <c r="L124" s="26" t="s">
        <v>2885</v>
      </c>
      <c r="M124" s="21">
        <v>5400912153</v>
      </c>
      <c r="N124" s="21">
        <v>30</v>
      </c>
      <c r="O124" t="s">
        <v>2676</v>
      </c>
      <c r="P124" s="26" t="s">
        <v>1788</v>
      </c>
      <c r="Q124" s="96" t="s">
        <v>2750</v>
      </c>
      <c r="R124" t="s">
        <v>2886</v>
      </c>
      <c r="S124" s="7">
        <v>157000</v>
      </c>
      <c r="T124" s="7">
        <v>157000</v>
      </c>
      <c r="U124" s="7">
        <v>157000</v>
      </c>
      <c r="V124" s="7">
        <f t="shared" si="11"/>
        <v>0</v>
      </c>
      <c r="W124" s="5">
        <f t="shared" si="9"/>
        <v>0</v>
      </c>
      <c r="X124" s="6"/>
      <c r="Y124" s="33">
        <f>SUMPRODUCT((BIdetails!$J$5:$J$3000=M124)*(BIdetails!$K$5:$K$3000=N124)*(BIdetails!$M$5:$M$3000))</f>
        <v>0</v>
      </c>
      <c r="Z124" s="34">
        <f t="shared" si="8"/>
        <v>0</v>
      </c>
      <c r="AA124" s="31"/>
      <c r="AB124" s="31"/>
      <c r="AC124" s="31"/>
      <c r="AD124" s="31"/>
    </row>
    <row r="125" spans="1:30" hidden="1" x14ac:dyDescent="0.25">
      <c r="A125" t="s">
        <v>2745</v>
      </c>
      <c r="B125" t="str">
        <f t="shared" si="10"/>
        <v>No Change</v>
      </c>
      <c r="D125">
        <v>68427709</v>
      </c>
      <c r="E125" s="95" t="s">
        <v>53</v>
      </c>
      <c r="F125" t="s">
        <v>54</v>
      </c>
      <c r="G125" s="96" t="s">
        <v>42</v>
      </c>
      <c r="H125" s="26" t="s">
        <v>1795</v>
      </c>
      <c r="J125" t="s">
        <v>2888</v>
      </c>
      <c r="K125" s="26">
        <v>209478</v>
      </c>
      <c r="L125" s="26" t="s">
        <v>2885</v>
      </c>
      <c r="M125" s="21">
        <v>5400917805</v>
      </c>
      <c r="N125" s="21">
        <v>30</v>
      </c>
      <c r="O125" s="26" t="s">
        <v>2676</v>
      </c>
      <c r="P125" s="26" t="s">
        <v>1788</v>
      </c>
      <c r="Q125" t="s">
        <v>2762</v>
      </c>
      <c r="R125" t="s">
        <v>2886</v>
      </c>
      <c r="S125" s="7">
        <v>160000</v>
      </c>
      <c r="T125" s="7">
        <v>160000</v>
      </c>
      <c r="U125" s="7">
        <v>160000</v>
      </c>
      <c r="V125" s="7">
        <f t="shared" si="11"/>
        <v>0</v>
      </c>
      <c r="W125" s="5">
        <f t="shared" si="9"/>
        <v>0</v>
      </c>
      <c r="X125" s="123"/>
      <c r="Y125" s="33">
        <f>SUMPRODUCT((BIdetails!$J$5:$J$3000=M125)*(BIdetails!$K$5:$K$3000=N125)*(BIdetails!$M$5:$M$3000))</f>
        <v>0</v>
      </c>
      <c r="Z125" s="34">
        <f t="shared" ref="Z125:Z183" si="12">IF(U125=0,"",(Y125/U125))</f>
        <v>0</v>
      </c>
      <c r="AA125" s="31"/>
      <c r="AB125" s="31"/>
      <c r="AC125" s="31"/>
      <c r="AD125" s="31"/>
    </row>
    <row r="126" spans="1:30" hidden="1" x14ac:dyDescent="0.25">
      <c r="A126" t="s">
        <v>2745</v>
      </c>
      <c r="B126" t="str">
        <f t="shared" si="10"/>
        <v>Decommissioned</v>
      </c>
      <c r="D126">
        <v>68427709</v>
      </c>
      <c r="E126" s="95" t="s">
        <v>53</v>
      </c>
      <c r="F126" t="s">
        <v>54</v>
      </c>
      <c r="G126" s="96" t="s">
        <v>42</v>
      </c>
      <c r="H126" s="26" t="s">
        <v>1914</v>
      </c>
      <c r="J126" t="s">
        <v>2889</v>
      </c>
      <c r="K126" s="26">
        <v>207943</v>
      </c>
      <c r="L126" s="26" t="s">
        <v>90</v>
      </c>
      <c r="M126" s="21">
        <v>5400994224</v>
      </c>
      <c r="N126" s="21">
        <v>10</v>
      </c>
      <c r="O126" s="26" t="s">
        <v>2676</v>
      </c>
      <c r="P126" s="26" t="s">
        <v>2314</v>
      </c>
      <c r="Q126" t="s">
        <v>2767</v>
      </c>
      <c r="R126" t="s">
        <v>321</v>
      </c>
      <c r="S126" s="7">
        <v>120000</v>
      </c>
      <c r="T126" s="7">
        <v>162000</v>
      </c>
      <c r="U126" s="7">
        <v>0</v>
      </c>
      <c r="V126" s="7">
        <f t="shared" si="11"/>
        <v>-162000</v>
      </c>
      <c r="W126" s="5">
        <f t="shared" si="9"/>
        <v>-1</v>
      </c>
      <c r="X126" s="123"/>
      <c r="Y126" s="33">
        <f>SUMPRODUCT((BIdetails!$J$5:$J$3000=M126)*(BIdetails!$K$5:$K$3000=N126)*(BIdetails!$M$5:$M$3000))</f>
        <v>0</v>
      </c>
      <c r="Z126" s="34" t="str">
        <f t="shared" si="12"/>
        <v/>
      </c>
      <c r="AA126" s="31"/>
      <c r="AB126" s="31"/>
      <c r="AC126" s="31"/>
      <c r="AD126" s="31"/>
    </row>
    <row r="127" spans="1:30" hidden="1" x14ac:dyDescent="0.25">
      <c r="A127" t="s">
        <v>2745</v>
      </c>
      <c r="B127" t="str">
        <f t="shared" si="10"/>
        <v>No Change</v>
      </c>
      <c r="C127" t="s">
        <v>2890</v>
      </c>
      <c r="D127" s="215">
        <v>68427709</v>
      </c>
      <c r="E127" s="95" t="s">
        <v>53</v>
      </c>
      <c r="F127" t="s">
        <v>54</v>
      </c>
      <c r="G127" t="s">
        <v>42</v>
      </c>
      <c r="H127" s="29" t="s">
        <v>2891</v>
      </c>
      <c r="I127">
        <v>0</v>
      </c>
      <c r="J127" t="s">
        <v>2892</v>
      </c>
      <c r="K127">
        <v>208651</v>
      </c>
      <c r="L127" t="s">
        <v>2893</v>
      </c>
      <c r="M127">
        <v>5401001826</v>
      </c>
      <c r="N127" s="21">
        <v>10</v>
      </c>
      <c r="O127" s="26" t="s">
        <v>2676</v>
      </c>
      <c r="P127" s="26" t="s">
        <v>2158</v>
      </c>
      <c r="Q127" t="s">
        <v>2813</v>
      </c>
      <c r="R127" s="96" t="s">
        <v>2801</v>
      </c>
      <c r="S127" s="7">
        <v>23000</v>
      </c>
      <c r="T127" s="7">
        <v>23000</v>
      </c>
      <c r="U127" s="7">
        <v>23000</v>
      </c>
      <c r="V127" s="7">
        <f t="shared" si="11"/>
        <v>0</v>
      </c>
      <c r="W127" s="5">
        <f t="shared" si="9"/>
        <v>0</v>
      </c>
      <c r="X127" s="123"/>
      <c r="Y127" s="33">
        <f>SUMPRODUCT((BIdetails!$J$5:$J$3000=M127)*(BIdetails!$K$5:$K$3000=N127)*(BIdetails!$M$5:$M$3000))</f>
        <v>0</v>
      </c>
      <c r="Z127" s="34">
        <f t="shared" si="12"/>
        <v>0</v>
      </c>
      <c r="AA127" s="31"/>
      <c r="AB127" s="31"/>
      <c r="AC127" s="31"/>
      <c r="AD127" s="31"/>
    </row>
    <row r="128" spans="1:30" hidden="1" x14ac:dyDescent="0.25">
      <c r="A128" t="s">
        <v>2745</v>
      </c>
      <c r="B128" t="str">
        <f t="shared" si="10"/>
        <v>No Change</v>
      </c>
      <c r="C128" t="s">
        <v>2894</v>
      </c>
      <c r="D128">
        <v>68427709</v>
      </c>
      <c r="E128" s="95" t="s">
        <v>53</v>
      </c>
      <c r="F128" t="s">
        <v>54</v>
      </c>
      <c r="G128" t="s">
        <v>42</v>
      </c>
      <c r="H128" t="s">
        <v>668</v>
      </c>
      <c r="I128" t="s">
        <v>2795</v>
      </c>
      <c r="J128" t="s">
        <v>2895</v>
      </c>
      <c r="K128">
        <v>198968</v>
      </c>
      <c r="L128" t="s">
        <v>2896</v>
      </c>
      <c r="M128" s="21">
        <v>5400941634</v>
      </c>
      <c r="N128" s="21">
        <v>10</v>
      </c>
      <c r="O128" s="26" t="s">
        <v>2676</v>
      </c>
      <c r="P128" s="26" t="s">
        <v>2324</v>
      </c>
      <c r="Q128" t="s">
        <v>2762</v>
      </c>
      <c r="R128" t="s">
        <v>2751</v>
      </c>
      <c r="S128" s="7">
        <v>4000</v>
      </c>
      <c r="T128" s="7">
        <v>9000</v>
      </c>
      <c r="U128" s="7">
        <v>9000</v>
      </c>
      <c r="V128" s="7">
        <f t="shared" si="11"/>
        <v>0</v>
      </c>
      <c r="W128" s="5">
        <f t="shared" si="9"/>
        <v>0</v>
      </c>
      <c r="X128" s="6"/>
      <c r="Y128" s="33">
        <f>SUMPRODUCT((BIdetails!$J$5:$J$3000=M128)*(BIdetails!$K$5:$K$3000=N128)*(BIdetails!$M$5:$M$3000))</f>
        <v>0</v>
      </c>
      <c r="Z128" s="34">
        <f t="shared" si="12"/>
        <v>0</v>
      </c>
      <c r="AA128" s="31" t="s">
        <v>2758</v>
      </c>
      <c r="AB128" s="31" t="s">
        <v>2849</v>
      </c>
      <c r="AC128" s="31" t="s">
        <v>2785</v>
      </c>
      <c r="AD128" s="31"/>
    </row>
    <row r="129" spans="1:30" hidden="1" x14ac:dyDescent="0.25">
      <c r="A129" t="s">
        <v>2745</v>
      </c>
      <c r="B129" t="str">
        <f t="shared" si="10"/>
        <v>Decrease</v>
      </c>
      <c r="C129" t="s">
        <v>2897</v>
      </c>
      <c r="D129">
        <v>68427709</v>
      </c>
      <c r="E129" s="95" t="s">
        <v>26</v>
      </c>
      <c r="F129" t="s">
        <v>27</v>
      </c>
      <c r="G129" t="s">
        <v>28</v>
      </c>
      <c r="H129" t="s">
        <v>2248</v>
      </c>
      <c r="I129" t="s">
        <v>2837</v>
      </c>
      <c r="J129" t="s">
        <v>2898</v>
      </c>
      <c r="K129">
        <v>129450</v>
      </c>
      <c r="L129" t="s">
        <v>572</v>
      </c>
      <c r="M129" s="21">
        <v>5401024382</v>
      </c>
      <c r="N129" s="21">
        <v>10</v>
      </c>
      <c r="O129" s="26" t="s">
        <v>2224</v>
      </c>
      <c r="P129" s="26" t="s">
        <v>2224</v>
      </c>
      <c r="Q129" t="s">
        <v>2762</v>
      </c>
      <c r="R129" t="s">
        <v>2809</v>
      </c>
      <c r="S129" s="7">
        <v>200000</v>
      </c>
      <c r="T129" s="7">
        <v>200000</v>
      </c>
      <c r="U129" s="7">
        <v>150000</v>
      </c>
      <c r="V129" s="7">
        <f t="shared" si="11"/>
        <v>-50000</v>
      </c>
      <c r="W129" s="5">
        <f t="shared" si="9"/>
        <v>-0.25</v>
      </c>
      <c r="X129" s="6"/>
      <c r="Y129" s="33">
        <f>SUMPRODUCT((BIdetails!$J$5:$J$3000=M129)*(BIdetails!$K$5:$K$3000=N129)*(BIdetails!$M$5:$M$3000))</f>
        <v>0</v>
      </c>
      <c r="Z129" s="34">
        <f t="shared" si="12"/>
        <v>0</v>
      </c>
      <c r="AA129" s="31"/>
      <c r="AB129" s="31"/>
      <c r="AC129" s="31"/>
      <c r="AD129" s="31"/>
    </row>
    <row r="130" spans="1:30" hidden="1" x14ac:dyDescent="0.25">
      <c r="A130" t="s">
        <v>2745</v>
      </c>
      <c r="B130" t="str">
        <f t="shared" si="10"/>
        <v>No Change</v>
      </c>
      <c r="C130" t="s">
        <v>2897</v>
      </c>
      <c r="D130">
        <v>68427709</v>
      </c>
      <c r="E130" s="95" t="s">
        <v>26</v>
      </c>
      <c r="F130" t="s">
        <v>27</v>
      </c>
      <c r="G130" t="s">
        <v>28</v>
      </c>
      <c r="H130" t="s">
        <v>2899</v>
      </c>
      <c r="I130" t="s">
        <v>2837</v>
      </c>
      <c r="J130" t="s">
        <v>2898</v>
      </c>
      <c r="K130">
        <v>129450</v>
      </c>
      <c r="L130" t="s">
        <v>572</v>
      </c>
      <c r="M130">
        <v>5401024382</v>
      </c>
      <c r="N130" s="21">
        <v>10</v>
      </c>
      <c r="O130" s="26" t="s">
        <v>2224</v>
      </c>
      <c r="P130" s="26" t="s">
        <v>2224</v>
      </c>
      <c r="Q130" t="s">
        <v>2762</v>
      </c>
      <c r="R130" t="s">
        <v>2809</v>
      </c>
      <c r="S130" s="7">
        <v>24960</v>
      </c>
      <c r="T130" s="7">
        <v>24960</v>
      </c>
      <c r="U130" s="7">
        <v>24960</v>
      </c>
      <c r="V130" s="7">
        <f t="shared" si="11"/>
        <v>0</v>
      </c>
      <c r="W130" s="5">
        <f t="shared" si="9"/>
        <v>0</v>
      </c>
      <c r="X130" s="6"/>
      <c r="Y130" s="33">
        <f>SUMPRODUCT((BIdetails!$J$5:$J$3000=M130)*(BIdetails!$K$5:$K$3000=N130)*(BIdetails!$M$5:$M$3000))</f>
        <v>0</v>
      </c>
      <c r="Z130" s="34">
        <f t="shared" si="12"/>
        <v>0</v>
      </c>
      <c r="AA130" s="31" t="s">
        <v>649</v>
      </c>
      <c r="AB130" s="31" t="s">
        <v>2752</v>
      </c>
      <c r="AC130" s="31" t="s">
        <v>2774</v>
      </c>
      <c r="AD130" s="31"/>
    </row>
    <row r="131" spans="1:30" hidden="1" x14ac:dyDescent="0.25">
      <c r="A131" t="s">
        <v>2745</v>
      </c>
      <c r="B131" t="str">
        <f t="shared" si="10"/>
        <v>Decrease</v>
      </c>
      <c r="C131" t="s">
        <v>2900</v>
      </c>
      <c r="D131">
        <v>68427709</v>
      </c>
      <c r="E131" s="95" t="s">
        <v>53</v>
      </c>
      <c r="F131" t="s">
        <v>54</v>
      </c>
      <c r="G131" t="s">
        <v>42</v>
      </c>
      <c r="H131" t="s">
        <v>2293</v>
      </c>
      <c r="I131">
        <v>0</v>
      </c>
      <c r="J131" t="s">
        <v>2901</v>
      </c>
      <c r="K131">
        <v>197093</v>
      </c>
      <c r="L131" t="s">
        <v>2902</v>
      </c>
      <c r="M131" s="21">
        <v>5400912389</v>
      </c>
      <c r="N131" s="21">
        <v>30</v>
      </c>
      <c r="O131" t="s">
        <v>2676</v>
      </c>
      <c r="P131" s="26" t="s">
        <v>2766</v>
      </c>
      <c r="Q131" t="s">
        <v>2903</v>
      </c>
      <c r="R131" s="26" t="s">
        <v>2768</v>
      </c>
      <c r="S131" s="7">
        <v>177000</v>
      </c>
      <c r="T131" s="7">
        <v>199000</v>
      </c>
      <c r="U131" s="7">
        <v>167500</v>
      </c>
      <c r="V131" s="7">
        <f t="shared" si="11"/>
        <v>-31500</v>
      </c>
      <c r="W131" s="5">
        <f t="shared" ref="W131:W178" si="13">IF(B131="New",1,IFERROR(V131/T131,0))</f>
        <v>-0.15829145728643215</v>
      </c>
      <c r="X131" s="6"/>
      <c r="Y131" s="33">
        <f>SUMPRODUCT((BIdetails!$J$5:$J$3000=M131)*(BIdetails!$K$5:$K$3000=N131)*(BIdetails!$M$5:$M$3000))</f>
        <v>0</v>
      </c>
      <c r="Z131" s="34">
        <f t="shared" si="12"/>
        <v>0</v>
      </c>
      <c r="AA131" s="31"/>
      <c r="AB131" s="31"/>
      <c r="AC131" s="31"/>
      <c r="AD131" s="31"/>
    </row>
    <row r="132" spans="1:30" hidden="1" x14ac:dyDescent="0.25">
      <c r="A132" t="s">
        <v>2745</v>
      </c>
      <c r="B132" t="str">
        <f t="shared" si="10"/>
        <v>Increase</v>
      </c>
      <c r="D132">
        <v>68427709</v>
      </c>
      <c r="E132" s="95" t="s">
        <v>53</v>
      </c>
      <c r="F132" t="s">
        <v>54</v>
      </c>
      <c r="G132" s="96" t="s">
        <v>42</v>
      </c>
      <c r="H132" s="26" t="s">
        <v>1729</v>
      </c>
      <c r="J132" t="s">
        <v>2029</v>
      </c>
      <c r="K132">
        <v>167422</v>
      </c>
      <c r="L132" t="s">
        <v>2904</v>
      </c>
      <c r="M132" s="21">
        <v>5401017907</v>
      </c>
      <c r="N132" s="21">
        <v>10</v>
      </c>
      <c r="O132" s="26" t="s">
        <v>2676</v>
      </c>
      <c r="P132" s="26" t="s">
        <v>2766</v>
      </c>
      <c r="Q132" t="s">
        <v>2767</v>
      </c>
      <c r="R132" t="s">
        <v>2768</v>
      </c>
      <c r="S132" s="7">
        <v>27000</v>
      </c>
      <c r="T132" s="7">
        <v>30000</v>
      </c>
      <c r="U132" s="7">
        <v>33000</v>
      </c>
      <c r="V132" s="7">
        <f t="shared" si="11"/>
        <v>3000</v>
      </c>
      <c r="W132" s="5">
        <f t="shared" si="13"/>
        <v>0.1</v>
      </c>
      <c r="X132" s="6"/>
      <c r="Y132" s="33">
        <f>SUMPRODUCT((BIdetails!$J$5:$J$3000=M132)*(BIdetails!$K$5:$K$3000=N132)*(BIdetails!$M$5:$M$3000))</f>
        <v>0</v>
      </c>
      <c r="Z132" s="34">
        <f t="shared" si="12"/>
        <v>0</v>
      </c>
      <c r="AA132" s="31"/>
      <c r="AB132" s="31"/>
      <c r="AC132" s="31"/>
      <c r="AD132" s="31"/>
    </row>
    <row r="133" spans="1:30" hidden="1" x14ac:dyDescent="0.25">
      <c r="A133" t="s">
        <v>2745</v>
      </c>
      <c r="B133" t="str">
        <f t="shared" si="10"/>
        <v>No Change</v>
      </c>
      <c r="C133" t="s">
        <v>2905</v>
      </c>
      <c r="D133">
        <v>68427719</v>
      </c>
      <c r="E133" s="95" t="s">
        <v>49</v>
      </c>
      <c r="F133" t="s">
        <v>50</v>
      </c>
      <c r="G133" t="s">
        <v>42</v>
      </c>
      <c r="H133" t="s">
        <v>1893</v>
      </c>
      <c r="I133">
        <v>0</v>
      </c>
      <c r="J133" t="s">
        <v>2798</v>
      </c>
      <c r="K133">
        <v>193275</v>
      </c>
      <c r="L133" t="s">
        <v>2906</v>
      </c>
      <c r="M133" s="21">
        <v>5400972346</v>
      </c>
      <c r="N133" s="21">
        <v>70</v>
      </c>
      <c r="O133" s="96" t="s">
        <v>2610</v>
      </c>
      <c r="P133" s="96" t="s">
        <v>2610</v>
      </c>
      <c r="Q133" t="s">
        <v>2800</v>
      </c>
      <c r="R133" s="96" t="s">
        <v>2801</v>
      </c>
      <c r="S133" s="7">
        <v>352000</v>
      </c>
      <c r="T133" s="7">
        <v>262000</v>
      </c>
      <c r="U133" s="7">
        <v>262000</v>
      </c>
      <c r="V133" s="7">
        <f t="shared" si="11"/>
        <v>0</v>
      </c>
      <c r="W133" s="5">
        <f t="shared" si="13"/>
        <v>0</v>
      </c>
      <c r="X133" s="6"/>
      <c r="Y133" s="33">
        <f>SUMPRODUCT((BIdetails!$J$5:$J$3000=M133)*(BIdetails!$K$5:$K$3000=N133)*(BIdetails!$M$5:$M$3000))</f>
        <v>0</v>
      </c>
      <c r="Z133" s="34">
        <f t="shared" si="12"/>
        <v>0</v>
      </c>
      <c r="AA133" s="31" t="s">
        <v>2758</v>
      </c>
      <c r="AB133" s="31" t="s">
        <v>2849</v>
      </c>
      <c r="AC133" s="31" t="s">
        <v>2785</v>
      </c>
      <c r="AD133" s="31"/>
    </row>
    <row r="134" spans="1:30" hidden="1" x14ac:dyDescent="0.25">
      <c r="A134" t="s">
        <v>2745</v>
      </c>
      <c r="B134" t="str">
        <f t="shared" si="10"/>
        <v>No Change</v>
      </c>
      <c r="C134" t="s">
        <v>2907</v>
      </c>
      <c r="D134">
        <v>68427719</v>
      </c>
      <c r="E134" s="95" t="s">
        <v>41</v>
      </c>
      <c r="F134" s="96" t="s">
        <v>57</v>
      </c>
      <c r="G134" s="96" t="s">
        <v>42</v>
      </c>
      <c r="H134" s="96" t="s">
        <v>2908</v>
      </c>
      <c r="I134" s="96">
        <v>0</v>
      </c>
      <c r="J134" s="96" t="s">
        <v>2909</v>
      </c>
      <c r="K134" s="96">
        <v>196055</v>
      </c>
      <c r="L134" s="96" t="s">
        <v>1263</v>
      </c>
      <c r="M134">
        <v>5401019020</v>
      </c>
      <c r="N134" s="21">
        <v>10</v>
      </c>
      <c r="O134" s="96" t="s">
        <v>2676</v>
      </c>
      <c r="P134" s="96" t="s">
        <v>2170</v>
      </c>
      <c r="Q134" s="96" t="s">
        <v>2762</v>
      </c>
      <c r="R134" t="s">
        <v>2801</v>
      </c>
      <c r="S134" s="7">
        <v>165000</v>
      </c>
      <c r="T134" s="7">
        <v>165000</v>
      </c>
      <c r="U134" s="7">
        <v>165000</v>
      </c>
      <c r="V134" s="7">
        <f t="shared" si="11"/>
        <v>0</v>
      </c>
      <c r="W134" s="5">
        <f t="shared" si="13"/>
        <v>0</v>
      </c>
      <c r="X134" s="6"/>
      <c r="Y134" s="33">
        <f>SUMPRODUCT((BIdetails!$J$5:$J$3000=M134)*(BIdetails!$K$5:$K$3000=N134)*(BIdetails!$M$5:$M$3000))</f>
        <v>0</v>
      </c>
      <c r="Z134" s="34">
        <f t="shared" si="12"/>
        <v>0</v>
      </c>
      <c r="AA134" s="31"/>
      <c r="AB134" s="31"/>
      <c r="AC134" s="31"/>
      <c r="AD134" s="31"/>
    </row>
    <row r="135" spans="1:30" hidden="1" x14ac:dyDescent="0.25">
      <c r="A135" t="s">
        <v>2745</v>
      </c>
      <c r="B135" t="str">
        <f t="shared" si="10"/>
        <v>No Change</v>
      </c>
      <c r="C135" t="s">
        <v>2910</v>
      </c>
      <c r="D135">
        <v>68427709</v>
      </c>
      <c r="E135" s="95" t="s">
        <v>49</v>
      </c>
      <c r="F135" t="s">
        <v>50</v>
      </c>
      <c r="G135" t="s">
        <v>42</v>
      </c>
      <c r="H135" t="s">
        <v>2911</v>
      </c>
      <c r="I135">
        <v>0</v>
      </c>
      <c r="J135" t="s">
        <v>2912</v>
      </c>
      <c r="K135">
        <v>169060</v>
      </c>
      <c r="L135" t="s">
        <v>2913</v>
      </c>
      <c r="M135" s="21">
        <v>5401024578</v>
      </c>
      <c r="N135" s="21">
        <v>10</v>
      </c>
      <c r="O135" t="s">
        <v>2676</v>
      </c>
      <c r="P135" t="s">
        <v>1788</v>
      </c>
      <c r="Q135" t="s">
        <v>2762</v>
      </c>
      <c r="R135" t="s">
        <v>2886</v>
      </c>
      <c r="S135" s="7">
        <v>2000</v>
      </c>
      <c r="T135" s="7">
        <v>2000</v>
      </c>
      <c r="U135" s="7">
        <v>2000</v>
      </c>
      <c r="V135" s="7">
        <f t="shared" si="11"/>
        <v>0</v>
      </c>
      <c r="W135" s="5">
        <f t="shared" si="13"/>
        <v>0</v>
      </c>
      <c r="X135" s="6"/>
      <c r="Y135" s="33">
        <f>SUMPRODUCT((BIdetails!$J$5:$J$3000=M135)*(BIdetails!$K$5:$K$3000=N135)*(BIdetails!$M$5:$M$3000))</f>
        <v>0</v>
      </c>
      <c r="Z135" s="34">
        <f t="shared" si="12"/>
        <v>0</v>
      </c>
      <c r="AA135" s="31"/>
      <c r="AB135" s="31"/>
      <c r="AC135" s="31"/>
      <c r="AD135" s="31"/>
    </row>
    <row r="136" spans="1:30" hidden="1" x14ac:dyDescent="0.25">
      <c r="A136" t="s">
        <v>2745</v>
      </c>
      <c r="B136" t="str">
        <f t="shared" si="10"/>
        <v>No Change</v>
      </c>
      <c r="D136">
        <v>68427709</v>
      </c>
      <c r="E136" s="95" t="s">
        <v>53</v>
      </c>
      <c r="F136" t="s">
        <v>54</v>
      </c>
      <c r="G136" t="s">
        <v>42</v>
      </c>
      <c r="H136" t="s">
        <v>1281</v>
      </c>
      <c r="I136">
        <v>0</v>
      </c>
      <c r="J136" t="s">
        <v>2914</v>
      </c>
      <c r="K136">
        <v>143600</v>
      </c>
      <c r="L136" s="96" t="s">
        <v>80</v>
      </c>
      <c r="M136">
        <v>5400978055</v>
      </c>
      <c r="N136" s="21">
        <v>20</v>
      </c>
      <c r="O136" s="26" t="s">
        <v>2676</v>
      </c>
      <c r="P136" s="26" t="s">
        <v>1283</v>
      </c>
      <c r="Q136" t="s">
        <v>2767</v>
      </c>
      <c r="R136" t="s">
        <v>2915</v>
      </c>
      <c r="S136" s="7">
        <v>45000</v>
      </c>
      <c r="T136" s="7">
        <v>45000</v>
      </c>
      <c r="U136" s="7">
        <v>45000</v>
      </c>
      <c r="V136" s="7">
        <f t="shared" si="11"/>
        <v>0</v>
      </c>
      <c r="W136" s="5">
        <f t="shared" si="13"/>
        <v>0</v>
      </c>
      <c r="X136" s="6"/>
      <c r="Y136" s="33">
        <f>SUMPRODUCT((BIdetails!$J$5:$J$3000=M136)*(BIdetails!$K$5:$K$3000=N136)*(BIdetails!$M$5:$M$3000))</f>
        <v>0</v>
      </c>
      <c r="Z136" s="34">
        <f t="shared" si="12"/>
        <v>0</v>
      </c>
      <c r="AA136" s="31"/>
      <c r="AB136" s="31"/>
      <c r="AC136" s="31"/>
      <c r="AD136" s="31"/>
    </row>
    <row r="137" spans="1:30" hidden="1" x14ac:dyDescent="0.25">
      <c r="A137" t="s">
        <v>2745</v>
      </c>
      <c r="B137" t="str">
        <f t="shared" si="10"/>
        <v>Increase</v>
      </c>
      <c r="D137">
        <v>68427719</v>
      </c>
      <c r="E137" s="95" t="s">
        <v>53</v>
      </c>
      <c r="F137" t="s">
        <v>54</v>
      </c>
      <c r="G137" s="96" t="s">
        <v>42</v>
      </c>
      <c r="H137" s="26" t="s">
        <v>1898</v>
      </c>
      <c r="J137" t="s">
        <v>2916</v>
      </c>
      <c r="K137" s="26">
        <v>192010</v>
      </c>
      <c r="L137" s="26" t="s">
        <v>1898</v>
      </c>
      <c r="M137" s="21">
        <v>5400982329</v>
      </c>
      <c r="N137" s="21">
        <v>10</v>
      </c>
      <c r="O137" s="96" t="s">
        <v>2610</v>
      </c>
      <c r="P137" s="96" t="s">
        <v>2610</v>
      </c>
      <c r="Q137" t="s">
        <v>2813</v>
      </c>
      <c r="R137" t="s">
        <v>2801</v>
      </c>
      <c r="S137" s="7">
        <v>105000</v>
      </c>
      <c r="T137" s="7">
        <v>60000</v>
      </c>
      <c r="U137" s="7">
        <v>120000</v>
      </c>
      <c r="V137" s="7">
        <f t="shared" si="11"/>
        <v>60000</v>
      </c>
      <c r="W137" s="5">
        <f t="shared" si="13"/>
        <v>1</v>
      </c>
      <c r="X137" s="123"/>
      <c r="Y137" s="33">
        <f>SUMPRODUCT((BIdetails!$J$5:$J$3000=M137)*(BIdetails!$K$5:$K$3000=N137)*(BIdetails!$M$5:$M$3000))</f>
        <v>0</v>
      </c>
      <c r="Z137" s="34">
        <f t="shared" si="12"/>
        <v>0</v>
      </c>
      <c r="AA137" s="31"/>
      <c r="AB137" s="31"/>
      <c r="AC137" s="31"/>
      <c r="AD137" s="31"/>
    </row>
    <row r="138" spans="1:30" hidden="1" x14ac:dyDescent="0.25">
      <c r="A138" t="s">
        <v>2745</v>
      </c>
      <c r="B138" t="str">
        <f t="shared" si="10"/>
        <v>Increase</v>
      </c>
      <c r="C138" t="s">
        <v>2917</v>
      </c>
      <c r="D138">
        <v>68427709</v>
      </c>
      <c r="E138" s="95" t="s">
        <v>53</v>
      </c>
      <c r="F138" s="96" t="s">
        <v>54</v>
      </c>
      <c r="G138" s="96" t="s">
        <v>42</v>
      </c>
      <c r="H138" s="96" t="s">
        <v>2918</v>
      </c>
      <c r="I138">
        <v>0</v>
      </c>
      <c r="J138" t="s">
        <v>2011</v>
      </c>
      <c r="K138" s="96">
        <v>168291</v>
      </c>
      <c r="L138" s="96" t="s">
        <v>2919</v>
      </c>
      <c r="M138">
        <v>5400970737</v>
      </c>
      <c r="N138" s="97">
        <v>10</v>
      </c>
      <c r="O138" s="96" t="s">
        <v>2676</v>
      </c>
      <c r="P138" s="26" t="s">
        <v>1225</v>
      </c>
      <c r="Q138" s="96" t="s">
        <v>2762</v>
      </c>
      <c r="R138" s="96" t="s">
        <v>2855</v>
      </c>
      <c r="S138" s="7">
        <v>250000</v>
      </c>
      <c r="T138" s="7">
        <v>276000</v>
      </c>
      <c r="U138" s="7">
        <v>304000</v>
      </c>
      <c r="V138" s="7">
        <f t="shared" si="11"/>
        <v>28000</v>
      </c>
      <c r="W138" s="5">
        <f t="shared" si="13"/>
        <v>0.10144927536231885</v>
      </c>
      <c r="X138" s="6"/>
      <c r="Y138" s="33">
        <f>SUMPRODUCT((BIdetails!$J$5:$J$3000=M138)*(BIdetails!$K$5:$K$3000=N138)*(BIdetails!$M$5:$M$3000))</f>
        <v>0</v>
      </c>
      <c r="Z138" s="34">
        <f t="shared" si="12"/>
        <v>0</v>
      </c>
      <c r="AA138" s="31" t="s">
        <v>2758</v>
      </c>
      <c r="AB138" s="31" t="s">
        <v>2920</v>
      </c>
      <c r="AC138" s="31" t="s">
        <v>2788</v>
      </c>
      <c r="AD138" s="31"/>
    </row>
    <row r="139" spans="1:30" hidden="1" x14ac:dyDescent="0.25">
      <c r="A139" t="s">
        <v>2783</v>
      </c>
      <c r="B139" t="str">
        <f t="shared" si="10"/>
        <v>No Change</v>
      </c>
      <c r="D139">
        <v>68427709</v>
      </c>
      <c r="E139" s="95" t="s">
        <v>53</v>
      </c>
      <c r="F139" t="s">
        <v>54</v>
      </c>
      <c r="G139" s="96" t="s">
        <v>42</v>
      </c>
      <c r="H139" s="96" t="s">
        <v>1567</v>
      </c>
      <c r="J139" t="s">
        <v>2921</v>
      </c>
      <c r="K139" s="196">
        <v>205719</v>
      </c>
      <c r="L139" s="196" t="s">
        <v>1567</v>
      </c>
      <c r="N139" s="21">
        <v>70</v>
      </c>
      <c r="O139" s="96" t="s">
        <v>2676</v>
      </c>
      <c r="P139" s="96" t="s">
        <v>2922</v>
      </c>
      <c r="Q139" t="s">
        <v>2762</v>
      </c>
      <c r="R139" s="96" t="s">
        <v>2851</v>
      </c>
      <c r="S139" s="7">
        <v>125000</v>
      </c>
      <c r="T139" s="7">
        <v>0</v>
      </c>
      <c r="U139" s="7">
        <v>0</v>
      </c>
      <c r="V139" s="7">
        <f t="shared" si="11"/>
        <v>0</v>
      </c>
      <c r="W139" s="5">
        <f t="shared" si="13"/>
        <v>0</v>
      </c>
      <c r="X139" s="6"/>
      <c r="Y139" s="33">
        <f>SUMPRODUCT((BIdetails!$J$5:$J$3000=M139)*(BIdetails!$K$5:$K$3000=N139)*(BIdetails!$M$5:$M$3000))</f>
        <v>0</v>
      </c>
      <c r="Z139" s="34" t="str">
        <f t="shared" si="12"/>
        <v/>
      </c>
      <c r="AA139" s="31"/>
      <c r="AB139" s="31"/>
      <c r="AC139" s="31"/>
      <c r="AD139" s="31"/>
    </row>
    <row r="140" spans="1:30" hidden="1" x14ac:dyDescent="0.25">
      <c r="A140" t="s">
        <v>2745</v>
      </c>
      <c r="B140" t="str">
        <f t="shared" si="10"/>
        <v>No Change</v>
      </c>
      <c r="D140">
        <v>68427709</v>
      </c>
      <c r="E140" s="95" t="s">
        <v>53</v>
      </c>
      <c r="F140" t="s">
        <v>54</v>
      </c>
      <c r="G140" s="96" t="s">
        <v>42</v>
      </c>
      <c r="H140" s="26" t="s">
        <v>1717</v>
      </c>
      <c r="J140" t="s">
        <v>1718</v>
      </c>
      <c r="K140">
        <v>208269</v>
      </c>
      <c r="L140" s="96" t="s">
        <v>92</v>
      </c>
      <c r="M140" s="21">
        <v>5400934222</v>
      </c>
      <c r="N140" s="21">
        <v>20</v>
      </c>
      <c r="O140" s="26" t="s">
        <v>2676</v>
      </c>
      <c r="P140" s="26" t="s">
        <v>1283</v>
      </c>
      <c r="Q140" t="s">
        <v>2762</v>
      </c>
      <c r="R140" t="s">
        <v>2851</v>
      </c>
      <c r="S140" s="7">
        <v>12500</v>
      </c>
      <c r="T140" s="7">
        <v>12500</v>
      </c>
      <c r="U140" s="7">
        <v>12500</v>
      </c>
      <c r="V140" s="7">
        <f t="shared" si="11"/>
        <v>0</v>
      </c>
      <c r="W140" s="5">
        <f t="shared" si="13"/>
        <v>0</v>
      </c>
      <c r="X140" s="123"/>
      <c r="Y140" s="33">
        <f>SUMPRODUCT((BIdetails!$J$5:$J$3000=M140)*(BIdetails!$K$5:$K$3000=N140)*(BIdetails!$M$5:$M$3000))</f>
        <v>0</v>
      </c>
      <c r="Z140" s="34">
        <f t="shared" si="12"/>
        <v>0</v>
      </c>
      <c r="AA140" s="31"/>
      <c r="AB140" s="31"/>
      <c r="AC140" s="31"/>
      <c r="AD140" s="31"/>
    </row>
    <row r="141" spans="1:30" hidden="1" x14ac:dyDescent="0.25">
      <c r="A141" t="s">
        <v>2783</v>
      </c>
      <c r="B141" t="str">
        <f t="shared" si="10"/>
        <v>No Change</v>
      </c>
      <c r="C141" t="s">
        <v>2923</v>
      </c>
      <c r="D141">
        <v>68427709</v>
      </c>
      <c r="E141" s="95" t="s">
        <v>53</v>
      </c>
      <c r="F141" s="26" t="s">
        <v>54</v>
      </c>
      <c r="G141" s="26" t="s">
        <v>42</v>
      </c>
      <c r="H141" s="26" t="s">
        <v>2924</v>
      </c>
      <c r="I141">
        <v>0</v>
      </c>
      <c r="J141" t="s">
        <v>2925</v>
      </c>
      <c r="K141" s="26">
        <v>193327</v>
      </c>
      <c r="L141" s="26" t="s">
        <v>2926</v>
      </c>
      <c r="M141" s="28"/>
      <c r="N141" s="28">
        <v>10</v>
      </c>
      <c r="O141" s="26" t="s">
        <v>2676</v>
      </c>
      <c r="P141" s="26" t="s">
        <v>2591</v>
      </c>
      <c r="Q141" s="26" t="s">
        <v>2762</v>
      </c>
      <c r="R141" s="26" t="s">
        <v>2851</v>
      </c>
      <c r="S141" s="7">
        <v>80000</v>
      </c>
      <c r="T141" s="7">
        <v>0</v>
      </c>
      <c r="U141" s="7">
        <v>0</v>
      </c>
      <c r="V141" s="7">
        <f t="shared" si="11"/>
        <v>0</v>
      </c>
      <c r="W141" s="5">
        <f t="shared" si="13"/>
        <v>0</v>
      </c>
      <c r="X141" s="6"/>
      <c r="Y141" s="33">
        <f>SUMPRODUCT((BIdetails!$J$5:$J$3000=M141)*(BIdetails!$K$5:$K$3000=N141)*(BIdetails!$M$5:$M$3000))</f>
        <v>0</v>
      </c>
      <c r="Z141" s="34" t="str">
        <f t="shared" si="12"/>
        <v/>
      </c>
      <c r="AA141" s="31" t="s">
        <v>2758</v>
      </c>
      <c r="AB141" s="31" t="s">
        <v>2752</v>
      </c>
      <c r="AC141" s="31" t="s">
        <v>2785</v>
      </c>
      <c r="AD141" s="31"/>
    </row>
    <row r="142" spans="1:30" hidden="1" x14ac:dyDescent="0.25">
      <c r="A142" t="s">
        <v>2745</v>
      </c>
      <c r="B142" t="str">
        <f t="shared" si="10"/>
        <v>No Change</v>
      </c>
      <c r="C142" t="s">
        <v>2927</v>
      </c>
      <c r="D142">
        <v>68427709</v>
      </c>
      <c r="E142" s="95" t="s">
        <v>49</v>
      </c>
      <c r="F142" t="s">
        <v>50</v>
      </c>
      <c r="G142" s="26" t="s">
        <v>42</v>
      </c>
      <c r="H142" s="26" t="s">
        <v>2928</v>
      </c>
      <c r="I142">
        <v>0</v>
      </c>
      <c r="J142" t="s">
        <v>2070</v>
      </c>
      <c r="K142" s="26">
        <v>189205</v>
      </c>
      <c r="L142" s="26" t="s">
        <v>74</v>
      </c>
      <c r="M142" s="28">
        <v>5401006892</v>
      </c>
      <c r="N142" s="28">
        <v>10</v>
      </c>
      <c r="O142" s="26" t="s">
        <v>2676</v>
      </c>
      <c r="P142" s="26" t="s">
        <v>1225</v>
      </c>
      <c r="Q142" s="26" t="s">
        <v>2750</v>
      </c>
      <c r="R142" s="26" t="s">
        <v>2855</v>
      </c>
      <c r="S142" s="7">
        <v>60000</v>
      </c>
      <c r="T142" s="7">
        <v>60000</v>
      </c>
      <c r="U142" s="7">
        <v>60000</v>
      </c>
      <c r="V142" s="7">
        <f t="shared" si="11"/>
        <v>0</v>
      </c>
      <c r="W142" s="5">
        <f t="shared" si="13"/>
        <v>0</v>
      </c>
      <c r="X142" s="6"/>
      <c r="Y142" s="33">
        <f>SUMPRODUCT((BIdetails!$J$5:$J$3000=M142)*(BIdetails!$K$5:$K$3000=N142)*(BIdetails!$M$5:$M$3000))</f>
        <v>0</v>
      </c>
      <c r="Z142" s="34">
        <f t="shared" si="12"/>
        <v>0</v>
      </c>
      <c r="AA142" s="31" t="s">
        <v>2758</v>
      </c>
      <c r="AB142" s="31" t="s">
        <v>2752</v>
      </c>
      <c r="AC142" s="31" t="s">
        <v>2785</v>
      </c>
      <c r="AD142" s="31"/>
    </row>
    <row r="143" spans="1:30" hidden="1" x14ac:dyDescent="0.25">
      <c r="A143" t="s">
        <v>2745</v>
      </c>
      <c r="B143" t="str">
        <f t="shared" si="10"/>
        <v>Increase</v>
      </c>
      <c r="D143">
        <v>68427709</v>
      </c>
      <c r="E143" s="95" t="s">
        <v>21</v>
      </c>
      <c r="F143" t="s">
        <v>22</v>
      </c>
      <c r="G143" t="s">
        <v>23</v>
      </c>
      <c r="H143" t="s">
        <v>1871</v>
      </c>
      <c r="I143" t="s">
        <v>2259</v>
      </c>
      <c r="J143" t="s">
        <v>2830</v>
      </c>
      <c r="K143">
        <v>210591</v>
      </c>
      <c r="L143" t="s">
        <v>2929</v>
      </c>
      <c r="M143" s="21">
        <v>5400990192</v>
      </c>
      <c r="N143" s="21">
        <v>10</v>
      </c>
      <c r="O143" s="26" t="s">
        <v>2224</v>
      </c>
      <c r="P143" s="26" t="s">
        <v>2224</v>
      </c>
      <c r="Q143" t="s">
        <v>2762</v>
      </c>
      <c r="R143" t="s">
        <v>2809</v>
      </c>
      <c r="S143" s="7">
        <v>35000</v>
      </c>
      <c r="T143" s="7">
        <v>35000</v>
      </c>
      <c r="U143" s="7">
        <v>40000</v>
      </c>
      <c r="V143" s="7">
        <f t="shared" si="11"/>
        <v>5000</v>
      </c>
      <c r="W143" s="5">
        <f t="shared" si="13"/>
        <v>0.14285714285714285</v>
      </c>
      <c r="X143" s="123"/>
      <c r="Y143" s="33">
        <f>SUMPRODUCT((BIdetails!$J$5:$J$3000=M143)*(BIdetails!$K$5:$K$3000=N143)*(BIdetails!$M$5:$M$3000))</f>
        <v>0</v>
      </c>
      <c r="Z143" s="34">
        <f t="shared" si="12"/>
        <v>0</v>
      </c>
      <c r="AA143" s="31" t="s">
        <v>649</v>
      </c>
      <c r="AB143" s="31" t="s">
        <v>2752</v>
      </c>
      <c r="AC143" s="31" t="s">
        <v>2774</v>
      </c>
      <c r="AD143" s="31"/>
    </row>
    <row r="144" spans="1:30" hidden="1" x14ac:dyDescent="0.25">
      <c r="A144" t="s">
        <v>2745</v>
      </c>
      <c r="B144" t="str">
        <f t="shared" si="10"/>
        <v>No Change</v>
      </c>
      <c r="C144" t="s">
        <v>2930</v>
      </c>
      <c r="D144">
        <v>68427709</v>
      </c>
      <c r="E144" s="95" t="s">
        <v>53</v>
      </c>
      <c r="F144" t="s">
        <v>54</v>
      </c>
      <c r="G144" t="s">
        <v>42</v>
      </c>
      <c r="H144" s="26" t="s">
        <v>956</v>
      </c>
      <c r="I144">
        <v>0</v>
      </c>
      <c r="J144" t="s">
        <v>2931</v>
      </c>
      <c r="K144" s="151">
        <v>212793</v>
      </c>
      <c r="L144" s="26" t="s">
        <v>2932</v>
      </c>
      <c r="M144" s="217">
        <v>5401006578</v>
      </c>
      <c r="N144" s="21">
        <v>10</v>
      </c>
      <c r="O144" s="26" t="s">
        <v>2676</v>
      </c>
      <c r="P144" s="26" t="s">
        <v>2933</v>
      </c>
      <c r="Q144" t="s">
        <v>2762</v>
      </c>
      <c r="R144" t="s">
        <v>2751</v>
      </c>
      <c r="S144" s="7">
        <v>27000</v>
      </c>
      <c r="T144" s="7">
        <v>27000</v>
      </c>
      <c r="U144" s="7">
        <v>27000</v>
      </c>
      <c r="V144" s="7">
        <f t="shared" si="11"/>
        <v>0</v>
      </c>
      <c r="W144" s="5">
        <f t="shared" si="13"/>
        <v>0</v>
      </c>
      <c r="X144" s="6"/>
      <c r="Y144" s="33">
        <f>SUMPRODUCT((BIdetails!$J$5:$J$3000=M144)*(BIdetails!$K$5:$K$3000=N144)*(BIdetails!$M$5:$M$3000))</f>
        <v>0</v>
      </c>
      <c r="Z144" s="34">
        <f t="shared" si="12"/>
        <v>0</v>
      </c>
      <c r="AA144" s="31"/>
      <c r="AB144" s="31"/>
      <c r="AC144" s="31"/>
      <c r="AD144" s="31"/>
    </row>
    <row r="145" spans="1:30" hidden="1" x14ac:dyDescent="0.25">
      <c r="A145" t="s">
        <v>2783</v>
      </c>
      <c r="B145" t="str">
        <f t="shared" si="10"/>
        <v>No Change</v>
      </c>
      <c r="C145" t="s">
        <v>2934</v>
      </c>
      <c r="D145">
        <v>68427709</v>
      </c>
      <c r="E145" s="95" t="s">
        <v>49</v>
      </c>
      <c r="F145" t="s">
        <v>50</v>
      </c>
      <c r="G145" s="96" t="s">
        <v>42</v>
      </c>
      <c r="H145" t="s">
        <v>2935</v>
      </c>
      <c r="I145">
        <v>0</v>
      </c>
      <c r="J145" t="s">
        <v>2925</v>
      </c>
      <c r="K145" s="153">
        <v>198740</v>
      </c>
      <c r="L145" s="96" t="s">
        <v>2936</v>
      </c>
      <c r="M145" s="97"/>
      <c r="N145" s="97">
        <v>10</v>
      </c>
      <c r="O145" t="s">
        <v>2676</v>
      </c>
      <c r="P145" t="s">
        <v>2591</v>
      </c>
      <c r="Q145" t="s">
        <v>2762</v>
      </c>
      <c r="R145" s="96" t="s">
        <v>2851</v>
      </c>
      <c r="S145" s="7">
        <v>28000</v>
      </c>
      <c r="T145" s="7">
        <v>0</v>
      </c>
      <c r="U145" s="7">
        <v>0</v>
      </c>
      <c r="V145" s="7">
        <f t="shared" si="11"/>
        <v>0</v>
      </c>
      <c r="W145" s="5">
        <f t="shared" si="13"/>
        <v>0</v>
      </c>
      <c r="X145" s="6"/>
      <c r="Y145" s="33">
        <f>SUMPRODUCT((BIdetails!$J$5:$J$3000=M145)*(BIdetails!$K$5:$K$3000=N145)*(BIdetails!$M$5:$M$3000))</f>
        <v>0</v>
      </c>
      <c r="Z145" s="34" t="str">
        <f t="shared" si="12"/>
        <v/>
      </c>
      <c r="AA145" s="31" t="s">
        <v>2758</v>
      </c>
      <c r="AB145" s="31" t="s">
        <v>2752</v>
      </c>
      <c r="AC145" s="31" t="s">
        <v>2785</v>
      </c>
      <c r="AD145" s="31"/>
    </row>
    <row r="146" spans="1:30" hidden="1" x14ac:dyDescent="0.25">
      <c r="A146" t="s">
        <v>2745</v>
      </c>
      <c r="B146" t="str">
        <f t="shared" si="10"/>
        <v>Decommissioned</v>
      </c>
      <c r="D146">
        <v>68427709</v>
      </c>
      <c r="E146" s="95" t="s">
        <v>49</v>
      </c>
      <c r="F146" t="s">
        <v>50</v>
      </c>
      <c r="G146" s="96" t="s">
        <v>42</v>
      </c>
      <c r="H146" s="27" t="s">
        <v>2689</v>
      </c>
      <c r="I146">
        <v>0</v>
      </c>
      <c r="J146" t="s">
        <v>2937</v>
      </c>
      <c r="K146">
        <v>179303</v>
      </c>
      <c r="L146" s="27" t="s">
        <v>344</v>
      </c>
      <c r="M146" s="21">
        <v>5401026864</v>
      </c>
      <c r="N146" s="21">
        <v>10</v>
      </c>
      <c r="O146" s="26" t="s">
        <v>2676</v>
      </c>
      <c r="P146" t="s">
        <v>2755</v>
      </c>
      <c r="Q146" t="s">
        <v>2762</v>
      </c>
      <c r="R146" t="s">
        <v>2757</v>
      </c>
      <c r="S146" s="7">
        <v>24000</v>
      </c>
      <c r="T146" s="7">
        <v>24000</v>
      </c>
      <c r="U146" s="7">
        <v>0</v>
      </c>
      <c r="V146" s="7">
        <f t="shared" si="11"/>
        <v>-24000</v>
      </c>
      <c r="W146" s="5">
        <f t="shared" si="13"/>
        <v>-1</v>
      </c>
      <c r="X146" s="123"/>
      <c r="Y146" s="33">
        <f>SUMPRODUCT((BIdetails!$J$5:$J$3000=M146)*(BIdetails!$K$5:$K$3000=N146)*(BIdetails!$M$5:$M$3000))</f>
        <v>0</v>
      </c>
      <c r="Z146" s="34" t="str">
        <f t="shared" si="12"/>
        <v/>
      </c>
      <c r="AA146" s="31"/>
      <c r="AB146" s="31"/>
      <c r="AC146" s="31"/>
      <c r="AD146" s="31"/>
    </row>
    <row r="147" spans="1:30" hidden="1" x14ac:dyDescent="0.25">
      <c r="A147" t="s">
        <v>2745</v>
      </c>
      <c r="B147" t="str">
        <f t="shared" si="10"/>
        <v>Decommissioned</v>
      </c>
      <c r="C147" t="s">
        <v>2938</v>
      </c>
      <c r="D147">
        <v>68427709</v>
      </c>
      <c r="E147" s="95" t="s">
        <v>53</v>
      </c>
      <c r="F147" t="s">
        <v>54</v>
      </c>
      <c r="G147" t="s">
        <v>42</v>
      </c>
      <c r="H147" t="s">
        <v>2191</v>
      </c>
      <c r="I147">
        <v>0</v>
      </c>
      <c r="J147" t="s">
        <v>2939</v>
      </c>
      <c r="K147">
        <v>188862</v>
      </c>
      <c r="L147" t="s">
        <v>87</v>
      </c>
      <c r="M147" s="21">
        <v>5401025057</v>
      </c>
      <c r="N147" s="21">
        <v>10</v>
      </c>
      <c r="O147" t="s">
        <v>2676</v>
      </c>
      <c r="P147" s="26" t="s">
        <v>2314</v>
      </c>
      <c r="Q147" t="s">
        <v>2762</v>
      </c>
      <c r="R147" s="26" t="s">
        <v>2793</v>
      </c>
      <c r="S147" s="7">
        <v>298000</v>
      </c>
      <c r="T147" s="7">
        <v>307000</v>
      </c>
      <c r="U147" s="7">
        <v>0</v>
      </c>
      <c r="V147" s="7">
        <f t="shared" si="11"/>
        <v>-307000</v>
      </c>
      <c r="W147" s="5">
        <f t="shared" si="13"/>
        <v>-1</v>
      </c>
      <c r="X147" s="6"/>
      <c r="Y147" s="33">
        <f>SUMPRODUCT((BIdetails!$J$5:$J$3000=M147)*(BIdetails!$K$5:$K$3000=N147)*(BIdetails!$M$5:$M$3000))</f>
        <v>0</v>
      </c>
      <c r="Z147" s="34" t="str">
        <f t="shared" si="12"/>
        <v/>
      </c>
      <c r="AA147" s="31"/>
      <c r="AB147" s="31"/>
      <c r="AC147" s="31"/>
      <c r="AD147" s="31"/>
    </row>
    <row r="148" spans="1:30" hidden="1" x14ac:dyDescent="0.25">
      <c r="A148" t="s">
        <v>2745</v>
      </c>
      <c r="B148" t="str">
        <f t="shared" si="10"/>
        <v>Decommissioned</v>
      </c>
      <c r="C148" t="s">
        <v>2940</v>
      </c>
      <c r="D148">
        <v>68427709</v>
      </c>
      <c r="E148" s="95" t="s">
        <v>53</v>
      </c>
      <c r="F148" s="26" t="s">
        <v>54</v>
      </c>
      <c r="G148" s="26" t="s">
        <v>42</v>
      </c>
      <c r="H148" s="26" t="s">
        <v>2557</v>
      </c>
      <c r="I148">
        <v>0</v>
      </c>
      <c r="J148" t="s">
        <v>2791</v>
      </c>
      <c r="K148" s="26">
        <v>166095</v>
      </c>
      <c r="L148" s="26" t="s">
        <v>2941</v>
      </c>
      <c r="M148" s="28">
        <v>5401024378</v>
      </c>
      <c r="N148" s="28">
        <v>20</v>
      </c>
      <c r="O148" s="26" t="s">
        <v>2676</v>
      </c>
      <c r="P148" s="26" t="s">
        <v>2314</v>
      </c>
      <c r="Q148" s="26" t="s">
        <v>2762</v>
      </c>
      <c r="R148" s="26" t="s">
        <v>2793</v>
      </c>
      <c r="S148" s="7">
        <v>79000</v>
      </c>
      <c r="T148" s="7">
        <v>79000</v>
      </c>
      <c r="U148" s="7">
        <v>0</v>
      </c>
      <c r="V148" s="7">
        <f t="shared" si="11"/>
        <v>-79000</v>
      </c>
      <c r="W148" s="5">
        <f t="shared" si="13"/>
        <v>-1</v>
      </c>
      <c r="X148" s="6"/>
      <c r="Y148" s="33">
        <f>SUMPRODUCT((BIdetails!$J$5:$J$3000=M148)*(BIdetails!$K$5:$K$3000=N148)*(BIdetails!$M$5:$M$3000))</f>
        <v>0</v>
      </c>
      <c r="Z148" s="34" t="str">
        <f t="shared" si="12"/>
        <v/>
      </c>
      <c r="AA148" s="31" t="s">
        <v>2758</v>
      </c>
      <c r="AB148" s="31" t="s">
        <v>2849</v>
      </c>
      <c r="AC148" s="31" t="s">
        <v>2785</v>
      </c>
      <c r="AD148" s="31"/>
    </row>
    <row r="149" spans="1:30" hidden="1" x14ac:dyDescent="0.25">
      <c r="A149" t="s">
        <v>2745</v>
      </c>
      <c r="B149" t="str">
        <f t="shared" si="10"/>
        <v>Decommissioned</v>
      </c>
      <c r="C149" t="s">
        <v>2942</v>
      </c>
      <c r="D149">
        <v>68427709</v>
      </c>
      <c r="E149" s="95" t="s">
        <v>53</v>
      </c>
      <c r="F149" s="26" t="s">
        <v>54</v>
      </c>
      <c r="G149" s="26" t="s">
        <v>42</v>
      </c>
      <c r="H149" s="26" t="s">
        <v>2179</v>
      </c>
      <c r="I149">
        <v>0</v>
      </c>
      <c r="J149" t="s">
        <v>2943</v>
      </c>
      <c r="K149" s="26">
        <v>166095</v>
      </c>
      <c r="L149" s="26" t="s">
        <v>2941</v>
      </c>
      <c r="M149" s="28">
        <v>5401024378</v>
      </c>
      <c r="N149" s="28">
        <v>10</v>
      </c>
      <c r="O149" s="26" t="s">
        <v>2676</v>
      </c>
      <c r="P149" s="26" t="s">
        <v>2170</v>
      </c>
      <c r="Q149" s="26" t="s">
        <v>2762</v>
      </c>
      <c r="R149" s="26" t="s">
        <v>2801</v>
      </c>
      <c r="S149" s="7">
        <v>113000</v>
      </c>
      <c r="T149" s="7">
        <v>113000</v>
      </c>
      <c r="U149" s="7">
        <v>0</v>
      </c>
      <c r="V149" s="7">
        <f t="shared" si="11"/>
        <v>-113000</v>
      </c>
      <c r="W149" s="5">
        <f t="shared" si="13"/>
        <v>-1</v>
      </c>
      <c r="X149" s="6"/>
      <c r="Y149" s="33">
        <f>SUMPRODUCT((BIdetails!$J$5:$J$3000=M149)*(BIdetails!$K$5:$K$3000=N149)*(BIdetails!$M$5:$M$3000))</f>
        <v>0</v>
      </c>
      <c r="Z149" s="34" t="str">
        <f t="shared" si="12"/>
        <v/>
      </c>
      <c r="AA149" s="31" t="s">
        <v>2758</v>
      </c>
      <c r="AB149" s="31" t="s">
        <v>2849</v>
      </c>
      <c r="AC149" s="31" t="s">
        <v>2785</v>
      </c>
      <c r="AD149" s="31"/>
    </row>
    <row r="150" spans="1:30" hidden="1" x14ac:dyDescent="0.25">
      <c r="A150" t="s">
        <v>2745</v>
      </c>
      <c r="B150" t="str">
        <f t="shared" si="10"/>
        <v>No Change</v>
      </c>
      <c r="D150">
        <v>68427709</v>
      </c>
      <c r="E150" s="95" t="s">
        <v>21</v>
      </c>
      <c r="F150" t="s">
        <v>61</v>
      </c>
      <c r="G150" t="s">
        <v>23</v>
      </c>
      <c r="H150" t="s">
        <v>1377</v>
      </c>
      <c r="I150" t="s">
        <v>2259</v>
      </c>
      <c r="J150" t="s">
        <v>2830</v>
      </c>
      <c r="L150" t="s">
        <v>1377</v>
      </c>
      <c r="M150" s="21">
        <v>5401023599</v>
      </c>
      <c r="N150" s="21">
        <v>10</v>
      </c>
      <c r="O150" s="26" t="s">
        <v>2224</v>
      </c>
      <c r="P150" s="26" t="s">
        <v>2224</v>
      </c>
      <c r="Q150" t="s">
        <v>2762</v>
      </c>
      <c r="R150" t="s">
        <v>2809</v>
      </c>
      <c r="S150" s="7">
        <v>150000</v>
      </c>
      <c r="T150" s="7">
        <v>150000</v>
      </c>
      <c r="U150" s="7">
        <v>150000</v>
      </c>
      <c r="V150" s="7">
        <f t="shared" si="11"/>
        <v>0</v>
      </c>
      <c r="W150" s="5">
        <f t="shared" si="13"/>
        <v>0</v>
      </c>
      <c r="X150" s="6"/>
      <c r="Y150" s="33">
        <f>SUMPRODUCT((BIdetails!$J$5:$J$3000=M150)*(BIdetails!$K$5:$K$3000=N150)*(BIdetails!$M$5:$M$3000))</f>
        <v>0</v>
      </c>
      <c r="Z150" s="34">
        <f t="shared" si="12"/>
        <v>0</v>
      </c>
      <c r="AA150" s="31" t="s">
        <v>649</v>
      </c>
      <c r="AB150" s="31" t="s">
        <v>2752</v>
      </c>
      <c r="AC150" s="31" t="s">
        <v>2774</v>
      </c>
      <c r="AD150" s="31"/>
    </row>
    <row r="151" spans="1:30" hidden="1" x14ac:dyDescent="0.25">
      <c r="A151" t="s">
        <v>2745</v>
      </c>
      <c r="B151" t="str">
        <f t="shared" si="10"/>
        <v>No Change</v>
      </c>
      <c r="C151" t="s">
        <v>2944</v>
      </c>
      <c r="D151">
        <v>68427709</v>
      </c>
      <c r="E151" s="100" t="s">
        <v>51</v>
      </c>
      <c r="F151" t="s">
        <v>52</v>
      </c>
      <c r="G151" t="s">
        <v>42</v>
      </c>
      <c r="H151" t="s">
        <v>2945</v>
      </c>
      <c r="I151" t="s">
        <v>2771</v>
      </c>
      <c r="J151" t="s">
        <v>2946</v>
      </c>
      <c r="K151">
        <v>205005</v>
      </c>
      <c r="L151" t="s">
        <v>79</v>
      </c>
      <c r="M151">
        <v>5401032431</v>
      </c>
      <c r="N151" s="21">
        <v>10</v>
      </c>
      <c r="O151" t="s">
        <v>2676</v>
      </c>
      <c r="P151" s="96" t="s">
        <v>2784</v>
      </c>
      <c r="Q151" t="s">
        <v>2750</v>
      </c>
      <c r="R151" s="96" t="s">
        <v>2751</v>
      </c>
      <c r="S151" s="7">
        <v>20500</v>
      </c>
      <c r="T151" s="7">
        <v>24000</v>
      </c>
      <c r="U151" s="7">
        <v>24000</v>
      </c>
      <c r="V151" s="7">
        <f t="shared" si="11"/>
        <v>0</v>
      </c>
      <c r="W151" s="5">
        <f t="shared" si="13"/>
        <v>0</v>
      </c>
      <c r="X151" s="6"/>
      <c r="Y151" s="33">
        <f>SUMPRODUCT((BIdetails!$J$5:$J$3000=M151)*(BIdetails!$K$5:$K$3000=N151)*(BIdetails!$M$5:$M$3000))</f>
        <v>0</v>
      </c>
      <c r="Z151" s="34">
        <f t="shared" si="12"/>
        <v>0</v>
      </c>
      <c r="AA151" s="31" t="s">
        <v>2947</v>
      </c>
      <c r="AB151" s="31" t="s">
        <v>2920</v>
      </c>
      <c r="AC151" s="31" t="s">
        <v>2788</v>
      </c>
      <c r="AD151" s="31"/>
    </row>
    <row r="152" spans="1:30" hidden="1" x14ac:dyDescent="0.25">
      <c r="A152" t="s">
        <v>2745</v>
      </c>
      <c r="B152" t="str">
        <f t="shared" si="10"/>
        <v>Decrease</v>
      </c>
      <c r="C152" t="s">
        <v>2948</v>
      </c>
      <c r="D152">
        <v>68427709</v>
      </c>
      <c r="E152" s="95" t="s">
        <v>53</v>
      </c>
      <c r="F152" t="s">
        <v>54</v>
      </c>
      <c r="G152" t="s">
        <v>42</v>
      </c>
      <c r="H152" s="26" t="s">
        <v>612</v>
      </c>
      <c r="I152">
        <v>0</v>
      </c>
      <c r="J152" t="s">
        <v>2949</v>
      </c>
      <c r="K152" s="26">
        <v>197331</v>
      </c>
      <c r="L152" s="26" t="s">
        <v>614</v>
      </c>
      <c r="M152" s="217">
        <v>5401018982</v>
      </c>
      <c r="N152" s="21">
        <v>20</v>
      </c>
      <c r="O152" s="26" t="s">
        <v>2676</v>
      </c>
      <c r="P152" s="26" t="s">
        <v>2922</v>
      </c>
      <c r="Q152" t="s">
        <v>2762</v>
      </c>
      <c r="R152" t="s">
        <v>2851</v>
      </c>
      <c r="S152" s="7">
        <v>225000</v>
      </c>
      <c r="T152" s="7">
        <v>240000</v>
      </c>
      <c r="U152" s="7">
        <v>40000</v>
      </c>
      <c r="V152" s="7">
        <f t="shared" si="11"/>
        <v>-200000</v>
      </c>
      <c r="W152" s="5">
        <f t="shared" si="13"/>
        <v>-0.83333333333333337</v>
      </c>
      <c r="X152" s="6"/>
      <c r="Y152" s="33">
        <f>SUMPRODUCT((BIdetails!$J$5:$J$3000=M152)*(BIdetails!$K$5:$K$3000=N152)*(BIdetails!$M$5:$M$3000))</f>
        <v>0</v>
      </c>
      <c r="Z152" s="34">
        <f t="shared" si="12"/>
        <v>0</v>
      </c>
      <c r="AA152" s="31"/>
      <c r="AB152" s="31"/>
      <c r="AC152" s="31"/>
      <c r="AD152" s="31"/>
    </row>
    <row r="153" spans="1:30" hidden="1" x14ac:dyDescent="0.25">
      <c r="A153" t="s">
        <v>2783</v>
      </c>
      <c r="B153" t="str">
        <f t="shared" si="10"/>
        <v>No Change</v>
      </c>
      <c r="C153" t="s">
        <v>2950</v>
      </c>
      <c r="D153">
        <v>68427709</v>
      </c>
      <c r="E153" s="95" t="s">
        <v>53</v>
      </c>
      <c r="F153" t="s">
        <v>54</v>
      </c>
      <c r="G153" t="s">
        <v>42</v>
      </c>
      <c r="H153" s="26" t="s">
        <v>2951</v>
      </c>
      <c r="I153" s="27">
        <v>0</v>
      </c>
      <c r="J153" t="s">
        <v>2952</v>
      </c>
      <c r="K153">
        <v>198518</v>
      </c>
      <c r="L153" s="101" t="s">
        <v>2953</v>
      </c>
      <c r="N153" s="21">
        <v>10</v>
      </c>
      <c r="O153" s="26" t="s">
        <v>2676</v>
      </c>
      <c r="P153" s="26" t="s">
        <v>2591</v>
      </c>
      <c r="Q153" t="s">
        <v>2762</v>
      </c>
      <c r="R153" t="s">
        <v>2851</v>
      </c>
      <c r="S153" s="7">
        <v>142000</v>
      </c>
      <c r="T153" s="7">
        <v>0</v>
      </c>
      <c r="U153" s="7">
        <v>0</v>
      </c>
      <c r="V153" s="7">
        <f t="shared" si="11"/>
        <v>0</v>
      </c>
      <c r="W153" s="5">
        <f t="shared" si="13"/>
        <v>0</v>
      </c>
      <c r="X153" s="6"/>
      <c r="Y153" s="33">
        <f>SUMPRODUCT((BIdetails!$J$5:$J$3000=M153)*(BIdetails!$K$5:$K$3000=N153)*(BIdetails!$M$5:$M$3000))</f>
        <v>0</v>
      </c>
      <c r="Z153" s="34" t="str">
        <f t="shared" si="12"/>
        <v/>
      </c>
      <c r="AA153" s="31"/>
      <c r="AB153" s="31"/>
      <c r="AC153" s="31"/>
      <c r="AD153" s="31"/>
    </row>
    <row r="154" spans="1:30" hidden="1" x14ac:dyDescent="0.25">
      <c r="A154" t="s">
        <v>2745</v>
      </c>
      <c r="B154" t="str">
        <f t="shared" si="10"/>
        <v>Decommissioned</v>
      </c>
      <c r="C154" t="s">
        <v>2954</v>
      </c>
      <c r="D154">
        <v>68427709</v>
      </c>
      <c r="E154" s="95" t="s">
        <v>26</v>
      </c>
      <c r="F154" t="s">
        <v>27</v>
      </c>
      <c r="G154" t="s">
        <v>28</v>
      </c>
      <c r="H154" t="s">
        <v>2955</v>
      </c>
      <c r="I154" t="s">
        <v>2837</v>
      </c>
      <c r="J154" t="s">
        <v>2076</v>
      </c>
      <c r="K154">
        <v>192033</v>
      </c>
      <c r="L154" t="s">
        <v>2956</v>
      </c>
      <c r="M154" s="21">
        <v>5400985298</v>
      </c>
      <c r="N154" s="21">
        <v>10</v>
      </c>
      <c r="O154" s="26" t="s">
        <v>2224</v>
      </c>
      <c r="P154" s="26" t="s">
        <v>2224</v>
      </c>
      <c r="Q154" t="s">
        <v>2762</v>
      </c>
      <c r="R154" t="s">
        <v>2809</v>
      </c>
      <c r="S154" s="7">
        <v>30000</v>
      </c>
      <c r="T154" s="7">
        <v>30000</v>
      </c>
      <c r="U154" s="7">
        <v>0</v>
      </c>
      <c r="V154" s="7">
        <f t="shared" si="11"/>
        <v>-30000</v>
      </c>
      <c r="W154" s="5">
        <f t="shared" si="13"/>
        <v>-1</v>
      </c>
      <c r="X154" s="6"/>
      <c r="Y154" s="33">
        <f>SUMPRODUCT((BIdetails!$J$5:$J$3000=M154)*(BIdetails!$K$5:$K$3000=N154)*(BIdetails!$M$5:$M$3000))</f>
        <v>0</v>
      </c>
      <c r="Z154" s="34" t="str">
        <f t="shared" si="12"/>
        <v/>
      </c>
      <c r="AA154" s="31" t="s">
        <v>649</v>
      </c>
      <c r="AB154" s="31" t="s">
        <v>2752</v>
      </c>
      <c r="AC154" s="31" t="s">
        <v>2774</v>
      </c>
      <c r="AD154" s="31"/>
    </row>
    <row r="155" spans="1:30" hidden="1" x14ac:dyDescent="0.25">
      <c r="A155" t="s">
        <v>2745</v>
      </c>
      <c r="B155" t="str">
        <f t="shared" si="10"/>
        <v>Decommissioned</v>
      </c>
      <c r="C155" t="s">
        <v>2954</v>
      </c>
      <c r="D155">
        <v>68427709</v>
      </c>
      <c r="E155" s="95" t="s">
        <v>26</v>
      </c>
      <c r="F155" t="s">
        <v>27</v>
      </c>
      <c r="G155" t="s">
        <v>28</v>
      </c>
      <c r="H155" t="s">
        <v>2957</v>
      </c>
      <c r="I155" t="s">
        <v>2837</v>
      </c>
      <c r="J155" t="s">
        <v>2076</v>
      </c>
      <c r="K155">
        <v>192033</v>
      </c>
      <c r="L155" t="s">
        <v>2956</v>
      </c>
      <c r="M155" s="21">
        <v>5400985298</v>
      </c>
      <c r="N155" s="21">
        <v>10</v>
      </c>
      <c r="O155" s="26" t="s">
        <v>2224</v>
      </c>
      <c r="P155" s="26" t="s">
        <v>2224</v>
      </c>
      <c r="Q155" t="s">
        <v>2762</v>
      </c>
      <c r="R155" t="s">
        <v>2809</v>
      </c>
      <c r="S155" s="7">
        <v>180000</v>
      </c>
      <c r="T155" s="7">
        <v>180000</v>
      </c>
      <c r="U155" s="7">
        <v>0</v>
      </c>
      <c r="V155" s="7">
        <f t="shared" si="11"/>
        <v>-180000</v>
      </c>
      <c r="W155" s="5">
        <f t="shared" si="13"/>
        <v>-1</v>
      </c>
      <c r="X155" s="6"/>
      <c r="Y155" s="33">
        <f>SUMPRODUCT((BIdetails!$J$5:$J$3000=M155)*(BIdetails!$K$5:$K$3000=N155)*(BIdetails!$M$5:$M$3000))</f>
        <v>0</v>
      </c>
      <c r="Z155" s="34" t="str">
        <f t="shared" si="12"/>
        <v/>
      </c>
      <c r="AA155" s="31" t="s">
        <v>649</v>
      </c>
      <c r="AB155" s="31" t="s">
        <v>2752</v>
      </c>
      <c r="AC155" s="31" t="s">
        <v>2774</v>
      </c>
      <c r="AD155" s="31"/>
    </row>
    <row r="156" spans="1:30" hidden="1" x14ac:dyDescent="0.25">
      <c r="A156" t="s">
        <v>2745</v>
      </c>
      <c r="B156" t="str">
        <f t="shared" si="10"/>
        <v>No Change</v>
      </c>
      <c r="D156">
        <v>68427709</v>
      </c>
      <c r="E156" s="95" t="s">
        <v>53</v>
      </c>
      <c r="F156" t="s">
        <v>54</v>
      </c>
      <c r="G156" t="s">
        <v>42</v>
      </c>
      <c r="H156" s="26" t="s">
        <v>2167</v>
      </c>
      <c r="J156" t="s">
        <v>2958</v>
      </c>
      <c r="K156" s="26">
        <v>207958</v>
      </c>
      <c r="L156" s="26" t="s">
        <v>91</v>
      </c>
      <c r="M156" s="217">
        <v>5401024588</v>
      </c>
      <c r="N156" s="21">
        <v>10</v>
      </c>
      <c r="O156" s="26" t="s">
        <v>2676</v>
      </c>
      <c r="P156" s="26" t="s">
        <v>2544</v>
      </c>
      <c r="Q156" s="26" t="s">
        <v>2750</v>
      </c>
      <c r="R156" t="s">
        <v>2959</v>
      </c>
      <c r="S156" s="7">
        <v>63000</v>
      </c>
      <c r="T156" s="7">
        <v>81000</v>
      </c>
      <c r="U156" s="7">
        <v>81000</v>
      </c>
      <c r="V156" s="7">
        <f t="shared" si="11"/>
        <v>0</v>
      </c>
      <c r="W156" s="5">
        <f t="shared" si="13"/>
        <v>0</v>
      </c>
      <c r="X156" s="123"/>
      <c r="Y156" s="33">
        <f>SUMPRODUCT((BIdetails!$J$5:$J$3000=M156)*(BIdetails!$K$5:$K$3000=N156)*(BIdetails!$M$5:$M$3000))</f>
        <v>0</v>
      </c>
      <c r="Z156" s="34">
        <f t="shared" si="12"/>
        <v>0</v>
      </c>
      <c r="AA156" s="31"/>
      <c r="AB156" s="31"/>
      <c r="AC156" s="31"/>
      <c r="AD156" s="31"/>
    </row>
    <row r="157" spans="1:30" hidden="1" x14ac:dyDescent="0.25">
      <c r="A157" t="s">
        <v>2745</v>
      </c>
      <c r="B157" t="str">
        <f t="shared" si="10"/>
        <v>No Change</v>
      </c>
      <c r="D157">
        <v>68427709</v>
      </c>
      <c r="E157" s="95" t="s">
        <v>53</v>
      </c>
      <c r="F157" t="s">
        <v>54</v>
      </c>
      <c r="G157" t="s">
        <v>42</v>
      </c>
      <c r="H157" t="s">
        <v>2960</v>
      </c>
      <c r="I157">
        <v>0</v>
      </c>
      <c r="J157" t="s">
        <v>2961</v>
      </c>
      <c r="K157">
        <v>204439</v>
      </c>
      <c r="L157" s="26" t="s">
        <v>2962</v>
      </c>
      <c r="M157" s="21">
        <v>5401011379</v>
      </c>
      <c r="N157" s="21">
        <v>10</v>
      </c>
      <c r="O157" s="26" t="s">
        <v>2676</v>
      </c>
      <c r="P157" s="26" t="s">
        <v>2314</v>
      </c>
      <c r="Q157" t="s">
        <v>2767</v>
      </c>
      <c r="R157" t="s">
        <v>321</v>
      </c>
      <c r="S157" s="7">
        <v>32000</v>
      </c>
      <c r="T157" s="7">
        <v>32000</v>
      </c>
      <c r="U157" s="7">
        <v>32000</v>
      </c>
      <c r="V157" s="7">
        <f t="shared" si="11"/>
        <v>0</v>
      </c>
      <c r="W157" s="5">
        <f t="shared" si="13"/>
        <v>0</v>
      </c>
      <c r="X157" s="123"/>
      <c r="Y157" s="33">
        <f>SUMPRODUCT((BIdetails!$J$5:$J$3000=M157)*(BIdetails!$K$5:$K$3000=N157)*(BIdetails!$M$5:$M$3000))</f>
        <v>0</v>
      </c>
      <c r="Z157" s="34">
        <f t="shared" si="12"/>
        <v>0</v>
      </c>
      <c r="AA157" s="31"/>
      <c r="AB157" s="31"/>
      <c r="AC157" s="31"/>
      <c r="AD157" s="31"/>
    </row>
    <row r="158" spans="1:30" hidden="1" x14ac:dyDescent="0.25">
      <c r="A158" t="s">
        <v>2745</v>
      </c>
      <c r="B158" t="str">
        <f t="shared" si="10"/>
        <v>No Change</v>
      </c>
      <c r="C158" t="s">
        <v>2963</v>
      </c>
      <c r="D158">
        <v>68427709</v>
      </c>
      <c r="E158" s="95" t="s">
        <v>51</v>
      </c>
      <c r="F158" t="s">
        <v>52</v>
      </c>
      <c r="G158" t="s">
        <v>42</v>
      </c>
      <c r="H158" t="s">
        <v>2964</v>
      </c>
      <c r="I158">
        <v>0</v>
      </c>
      <c r="J158" t="s">
        <v>2965</v>
      </c>
      <c r="K158">
        <v>167392</v>
      </c>
      <c r="L158" t="s">
        <v>2966</v>
      </c>
      <c r="M158" s="21">
        <v>5401014593</v>
      </c>
      <c r="N158" s="21">
        <v>10</v>
      </c>
      <c r="O158" t="s">
        <v>2676</v>
      </c>
      <c r="P158" s="96" t="s">
        <v>2544</v>
      </c>
      <c r="Q158" t="s">
        <v>2750</v>
      </c>
      <c r="R158" s="96" t="s">
        <v>2959</v>
      </c>
      <c r="S158" s="7">
        <v>82000</v>
      </c>
      <c r="T158" s="7">
        <v>82000</v>
      </c>
      <c r="U158" s="7">
        <v>82000</v>
      </c>
      <c r="V158" s="7">
        <f t="shared" si="11"/>
        <v>0</v>
      </c>
      <c r="W158" s="5">
        <f t="shared" si="13"/>
        <v>0</v>
      </c>
      <c r="X158" s="6"/>
      <c r="Y158" s="33">
        <f>SUMPRODUCT((BIdetails!$J$5:$J$3000=M158)*(BIdetails!$K$5:$K$3000=N158)*(BIdetails!$M$5:$M$3000))</f>
        <v>0</v>
      </c>
      <c r="Z158" s="34">
        <f t="shared" si="12"/>
        <v>0</v>
      </c>
      <c r="AA158" s="31" t="s">
        <v>2758</v>
      </c>
      <c r="AB158" s="31" t="s">
        <v>2849</v>
      </c>
      <c r="AC158" s="31" t="s">
        <v>2785</v>
      </c>
      <c r="AD158" s="31"/>
    </row>
    <row r="159" spans="1:30" hidden="1" x14ac:dyDescent="0.25">
      <c r="A159" t="s">
        <v>2745</v>
      </c>
      <c r="B159" t="str">
        <f t="shared" si="10"/>
        <v>Decommissioned</v>
      </c>
      <c r="C159" t="s">
        <v>2967</v>
      </c>
      <c r="D159">
        <v>68427709</v>
      </c>
      <c r="E159" s="95" t="s">
        <v>49</v>
      </c>
      <c r="F159" t="s">
        <v>50</v>
      </c>
      <c r="G159" t="s">
        <v>42</v>
      </c>
      <c r="H159" t="s">
        <v>2594</v>
      </c>
      <c r="I159">
        <v>0</v>
      </c>
      <c r="J159" t="s">
        <v>2968</v>
      </c>
      <c r="K159">
        <v>3000002</v>
      </c>
      <c r="L159" t="s">
        <v>2969</v>
      </c>
      <c r="M159">
        <v>5401018969</v>
      </c>
      <c r="N159" s="21">
        <v>20</v>
      </c>
      <c r="O159" t="s">
        <v>2676</v>
      </c>
      <c r="P159" t="s">
        <v>2922</v>
      </c>
      <c r="Q159" t="s">
        <v>2762</v>
      </c>
      <c r="R159" s="96" t="s">
        <v>2851</v>
      </c>
      <c r="S159" s="7">
        <v>10000</v>
      </c>
      <c r="T159" s="7">
        <v>10000</v>
      </c>
      <c r="U159" s="7">
        <v>0</v>
      </c>
      <c r="V159" s="7">
        <f t="shared" si="11"/>
        <v>-10000</v>
      </c>
      <c r="W159" s="5">
        <f t="shared" si="13"/>
        <v>-1</v>
      </c>
      <c r="X159" s="6"/>
      <c r="Y159" s="33">
        <f>SUMPRODUCT((BIdetails!$J$5:$J$3000=M159)*(BIdetails!$K$5:$K$3000=N159)*(BIdetails!$M$5:$M$3000))</f>
        <v>0</v>
      </c>
      <c r="Z159" s="34" t="str">
        <f t="shared" si="12"/>
        <v/>
      </c>
      <c r="AA159" s="31"/>
      <c r="AB159" s="31"/>
      <c r="AC159" s="31"/>
      <c r="AD159" s="31"/>
    </row>
    <row r="160" spans="1:30" hidden="1" x14ac:dyDescent="0.25">
      <c r="A160" t="s">
        <v>2745</v>
      </c>
      <c r="B160" t="str">
        <f t="shared" si="10"/>
        <v>Decommissioned</v>
      </c>
      <c r="C160" t="s">
        <v>2967</v>
      </c>
      <c r="D160">
        <v>68427709</v>
      </c>
      <c r="E160" s="95" t="s">
        <v>53</v>
      </c>
      <c r="F160" t="s">
        <v>54</v>
      </c>
      <c r="G160" t="s">
        <v>42</v>
      </c>
      <c r="H160" t="s">
        <v>2595</v>
      </c>
      <c r="I160">
        <v>0</v>
      </c>
      <c r="J160" t="s">
        <v>2968</v>
      </c>
      <c r="K160">
        <v>3000002</v>
      </c>
      <c r="L160" t="s">
        <v>2969</v>
      </c>
      <c r="M160">
        <v>5401018969</v>
      </c>
      <c r="N160" s="21">
        <v>10</v>
      </c>
      <c r="O160" t="s">
        <v>2676</v>
      </c>
      <c r="P160" s="26" t="s">
        <v>2922</v>
      </c>
      <c r="Q160" t="s">
        <v>2762</v>
      </c>
      <c r="R160" s="26" t="s">
        <v>2851</v>
      </c>
      <c r="S160" s="7">
        <v>147000</v>
      </c>
      <c r="T160" s="7">
        <v>157000</v>
      </c>
      <c r="U160" s="7">
        <v>0</v>
      </c>
      <c r="V160" s="7">
        <f t="shared" si="11"/>
        <v>-157000</v>
      </c>
      <c r="W160" s="5">
        <f t="shared" si="13"/>
        <v>-1</v>
      </c>
      <c r="X160" s="6"/>
      <c r="Y160" s="33">
        <f>SUMPRODUCT((BIdetails!$J$5:$J$3000=M160)*(BIdetails!$K$5:$K$3000=N160)*(BIdetails!$M$5:$M$3000))</f>
        <v>0</v>
      </c>
      <c r="Z160" s="34" t="str">
        <f t="shared" si="12"/>
        <v/>
      </c>
      <c r="AA160" s="31"/>
      <c r="AB160" s="31"/>
      <c r="AC160" s="31"/>
      <c r="AD160" s="31"/>
    </row>
    <row r="161" spans="1:30" hidden="1" x14ac:dyDescent="0.25">
      <c r="A161" t="s">
        <v>2745</v>
      </c>
      <c r="B161" t="str">
        <f t="shared" si="10"/>
        <v>No Change</v>
      </c>
      <c r="C161" t="s">
        <v>2970</v>
      </c>
      <c r="D161">
        <v>68427709</v>
      </c>
      <c r="E161" s="95" t="s">
        <v>49</v>
      </c>
      <c r="F161" t="s">
        <v>50</v>
      </c>
      <c r="G161" t="s">
        <v>42</v>
      </c>
      <c r="H161" t="s">
        <v>2971</v>
      </c>
      <c r="I161" t="s">
        <v>2795</v>
      </c>
      <c r="J161" t="s">
        <v>2972</v>
      </c>
      <c r="K161">
        <v>193174</v>
      </c>
      <c r="L161" t="s">
        <v>273</v>
      </c>
      <c r="M161">
        <v>5400861908</v>
      </c>
      <c r="N161" s="21">
        <v>30</v>
      </c>
      <c r="O161" t="s">
        <v>1734</v>
      </c>
      <c r="P161" s="26" t="s">
        <v>1734</v>
      </c>
      <c r="Q161" t="s">
        <v>2762</v>
      </c>
      <c r="R161" t="s">
        <v>2751</v>
      </c>
      <c r="S161" s="7">
        <v>95000</v>
      </c>
      <c r="T161" s="7">
        <v>80000</v>
      </c>
      <c r="U161" s="7">
        <v>80000</v>
      </c>
      <c r="V161" s="7">
        <f t="shared" si="11"/>
        <v>0</v>
      </c>
      <c r="W161" s="5">
        <f t="shared" si="13"/>
        <v>0</v>
      </c>
      <c r="X161" s="6"/>
      <c r="Y161" s="33">
        <f>SUMPRODUCT((BIdetails!$J$5:$J$3000=M161)*(BIdetails!$K$5:$K$3000=N161)*(BIdetails!$M$5:$M$3000))</f>
        <v>0</v>
      </c>
      <c r="Z161" s="34">
        <f t="shared" si="12"/>
        <v>0</v>
      </c>
      <c r="AA161" s="31"/>
      <c r="AB161" s="31"/>
      <c r="AC161" s="31"/>
      <c r="AD161" s="31"/>
    </row>
    <row r="162" spans="1:30" hidden="1" x14ac:dyDescent="0.25">
      <c r="A162" t="s">
        <v>2745</v>
      </c>
      <c r="B162" t="str">
        <f t="shared" si="10"/>
        <v>No Change</v>
      </c>
      <c r="C162" t="s">
        <v>2973</v>
      </c>
      <c r="D162">
        <v>68427709</v>
      </c>
      <c r="E162" s="95" t="s">
        <v>49</v>
      </c>
      <c r="F162" t="s">
        <v>50</v>
      </c>
      <c r="G162" t="s">
        <v>42</v>
      </c>
      <c r="H162" t="s">
        <v>2974</v>
      </c>
      <c r="I162" t="s">
        <v>2795</v>
      </c>
      <c r="J162" t="s">
        <v>2975</v>
      </c>
      <c r="K162">
        <v>166304</v>
      </c>
      <c r="L162" t="s">
        <v>60</v>
      </c>
      <c r="M162" s="21">
        <v>5400995538</v>
      </c>
      <c r="N162" s="21">
        <v>10</v>
      </c>
      <c r="O162" t="s">
        <v>2676</v>
      </c>
      <c r="P162" s="26" t="s">
        <v>2676</v>
      </c>
      <c r="Q162" t="s">
        <v>2762</v>
      </c>
      <c r="R162" t="s">
        <v>2751</v>
      </c>
      <c r="S162" s="7">
        <v>20000</v>
      </c>
      <c r="T162" s="7">
        <v>30000</v>
      </c>
      <c r="U162" s="7">
        <v>30000</v>
      </c>
      <c r="V162" s="7">
        <f t="shared" si="11"/>
        <v>0</v>
      </c>
      <c r="W162" s="5">
        <f t="shared" si="13"/>
        <v>0</v>
      </c>
      <c r="X162" s="6"/>
      <c r="Y162" s="33">
        <f>SUMPRODUCT((BIdetails!$J$5:$J$3000=M162)*(BIdetails!$K$5:$K$3000=N162)*(BIdetails!$M$5:$M$3000))</f>
        <v>0</v>
      </c>
      <c r="Z162" s="34">
        <f t="shared" si="12"/>
        <v>0</v>
      </c>
      <c r="AA162" s="31" t="s">
        <v>649</v>
      </c>
      <c r="AB162" s="31" t="s">
        <v>2752</v>
      </c>
      <c r="AC162" s="31" t="s">
        <v>2774</v>
      </c>
      <c r="AD162" s="31"/>
    </row>
    <row r="163" spans="1:30" hidden="1" x14ac:dyDescent="0.25">
      <c r="A163" t="s">
        <v>2745</v>
      </c>
      <c r="B163" t="str">
        <f t="shared" si="10"/>
        <v>No Change</v>
      </c>
      <c r="C163" t="s">
        <v>2976</v>
      </c>
      <c r="D163">
        <v>68427709</v>
      </c>
      <c r="E163" s="95" t="s">
        <v>53</v>
      </c>
      <c r="F163" t="s">
        <v>54</v>
      </c>
      <c r="G163" t="s">
        <v>42</v>
      </c>
      <c r="H163" t="s">
        <v>2377</v>
      </c>
      <c r="I163">
        <v>0</v>
      </c>
      <c r="J163" t="s">
        <v>2977</v>
      </c>
      <c r="K163">
        <v>168847</v>
      </c>
      <c r="L163" t="s">
        <v>2978</v>
      </c>
      <c r="M163" s="21">
        <v>5400972348</v>
      </c>
      <c r="N163" s="21">
        <v>10</v>
      </c>
      <c r="O163" t="s">
        <v>2676</v>
      </c>
      <c r="P163" s="26" t="s">
        <v>2922</v>
      </c>
      <c r="Q163" t="s">
        <v>2762</v>
      </c>
      <c r="R163" s="26" t="s">
        <v>2851</v>
      </c>
      <c r="S163" s="7">
        <v>12100</v>
      </c>
      <c r="T163" s="7">
        <v>14300</v>
      </c>
      <c r="U163" s="7">
        <v>14300</v>
      </c>
      <c r="V163" s="7">
        <f t="shared" si="11"/>
        <v>0</v>
      </c>
      <c r="W163" s="5">
        <f t="shared" si="13"/>
        <v>0</v>
      </c>
      <c r="X163" s="6"/>
      <c r="Y163" s="33">
        <f>SUMPRODUCT((BIdetails!$J$5:$J$3000=M163)*(BIdetails!$K$5:$K$3000=N163)*(BIdetails!$M$5:$M$3000))</f>
        <v>0</v>
      </c>
      <c r="Z163" s="34">
        <f t="shared" si="12"/>
        <v>0</v>
      </c>
      <c r="AA163" s="31"/>
      <c r="AB163" s="31"/>
      <c r="AC163" s="31"/>
      <c r="AD163" s="31"/>
    </row>
    <row r="164" spans="1:30" hidden="1" x14ac:dyDescent="0.25">
      <c r="A164" t="s">
        <v>2745</v>
      </c>
      <c r="B164" t="str">
        <f t="shared" si="10"/>
        <v>Increase</v>
      </c>
      <c r="D164">
        <v>68427709</v>
      </c>
      <c r="E164" s="95" t="s">
        <v>53</v>
      </c>
      <c r="F164" t="s">
        <v>54</v>
      </c>
      <c r="G164" s="96" t="s">
        <v>42</v>
      </c>
      <c r="H164" t="s">
        <v>1593</v>
      </c>
      <c r="J164" t="s">
        <v>2979</v>
      </c>
      <c r="K164" s="96">
        <v>200670</v>
      </c>
      <c r="L164" s="96" t="s">
        <v>2980</v>
      </c>
      <c r="M164" s="21">
        <v>5400910709</v>
      </c>
      <c r="N164" s="21">
        <v>10</v>
      </c>
      <c r="O164" s="96" t="s">
        <v>2676</v>
      </c>
      <c r="P164" s="96" t="s">
        <v>2766</v>
      </c>
      <c r="Q164" t="s">
        <v>2767</v>
      </c>
      <c r="R164" t="s">
        <v>2768</v>
      </c>
      <c r="S164" s="7">
        <v>450000</v>
      </c>
      <c r="T164" s="7">
        <v>410000</v>
      </c>
      <c r="U164" s="7">
        <v>485000</v>
      </c>
      <c r="V164" s="7">
        <f t="shared" si="11"/>
        <v>75000</v>
      </c>
      <c r="W164" s="5">
        <f t="shared" si="13"/>
        <v>0.18292682926829268</v>
      </c>
      <c r="X164" s="123"/>
      <c r="Y164" s="33">
        <f>SUMPRODUCT((BIdetails!$J$5:$J$3000=M164)*(BIdetails!$K$5:$K$3000=N164)*(BIdetails!$M$5:$M$3000))</f>
        <v>0</v>
      </c>
      <c r="Z164" s="34">
        <f t="shared" si="12"/>
        <v>0</v>
      </c>
      <c r="AA164" s="31"/>
      <c r="AB164" s="31"/>
      <c r="AC164" s="31"/>
      <c r="AD164" s="31"/>
    </row>
    <row r="165" spans="1:30" hidden="1" x14ac:dyDescent="0.25">
      <c r="A165" t="s">
        <v>2745</v>
      </c>
      <c r="B165" t="str">
        <f t="shared" si="10"/>
        <v>Decrease</v>
      </c>
      <c r="C165" t="s">
        <v>2981</v>
      </c>
      <c r="D165">
        <v>68427709</v>
      </c>
      <c r="E165" s="95" t="s">
        <v>34</v>
      </c>
      <c r="F165" t="s">
        <v>35</v>
      </c>
      <c r="G165" t="s">
        <v>31</v>
      </c>
      <c r="H165" t="s">
        <v>2982</v>
      </c>
      <c r="I165" t="s">
        <v>2259</v>
      </c>
      <c r="J165" t="s">
        <v>2830</v>
      </c>
      <c r="L165" t="s">
        <v>1853</v>
      </c>
      <c r="O165" s="26" t="s">
        <v>2224</v>
      </c>
      <c r="P165" s="26" t="s">
        <v>2224</v>
      </c>
      <c r="Q165" t="s">
        <v>2762</v>
      </c>
      <c r="R165" t="s">
        <v>2809</v>
      </c>
      <c r="S165" s="7">
        <v>48544</v>
      </c>
      <c r="T165" s="7">
        <v>48544</v>
      </c>
      <c r="U165" s="7">
        <v>25000</v>
      </c>
      <c r="V165" s="7">
        <f t="shared" si="11"/>
        <v>-23544</v>
      </c>
      <c r="W165" s="5">
        <f t="shared" si="13"/>
        <v>-0.48500329597890574</v>
      </c>
      <c r="X165" s="6"/>
      <c r="Y165" s="33">
        <f>SUMPRODUCT((BIdetails!$J$5:$J$3000=M165)*(BIdetails!$K$5:$K$3000=N165)*(BIdetails!$M$5:$M$3000))</f>
        <v>0</v>
      </c>
      <c r="Z165" s="34">
        <f t="shared" si="12"/>
        <v>0</v>
      </c>
      <c r="AA165" s="31" t="s">
        <v>649</v>
      </c>
      <c r="AB165" s="31" t="s">
        <v>2752</v>
      </c>
      <c r="AC165" s="31" t="s">
        <v>2774</v>
      </c>
      <c r="AD165" s="31"/>
    </row>
    <row r="166" spans="1:30" hidden="1" x14ac:dyDescent="0.25">
      <c r="A166" t="s">
        <v>2745</v>
      </c>
      <c r="B166" t="str">
        <f t="shared" si="10"/>
        <v>No Change</v>
      </c>
      <c r="D166">
        <v>68427709</v>
      </c>
      <c r="E166" s="95" t="s">
        <v>36</v>
      </c>
      <c r="F166" t="s">
        <v>37</v>
      </c>
      <c r="G166" t="s">
        <v>31</v>
      </c>
      <c r="H166" t="s">
        <v>1378</v>
      </c>
      <c r="I166" t="s">
        <v>2259</v>
      </c>
      <c r="J166" t="s">
        <v>2830</v>
      </c>
      <c r="L166" t="s">
        <v>1379</v>
      </c>
      <c r="M166"/>
      <c r="O166" s="26" t="s">
        <v>2224</v>
      </c>
      <c r="P166" s="26" t="s">
        <v>2224</v>
      </c>
      <c r="Q166" t="s">
        <v>2762</v>
      </c>
      <c r="R166" t="s">
        <v>2809</v>
      </c>
      <c r="S166" s="7">
        <v>25000</v>
      </c>
      <c r="T166" s="7">
        <v>25000</v>
      </c>
      <c r="U166" s="7">
        <v>25000</v>
      </c>
      <c r="V166" s="7">
        <f t="shared" si="11"/>
        <v>0</v>
      </c>
      <c r="W166" s="5">
        <f t="shared" si="13"/>
        <v>0</v>
      </c>
      <c r="X166" s="92"/>
      <c r="Y166" s="33">
        <f>SUMPRODUCT((BIdetails!$J$5:$J$3000=M166)*(BIdetails!$K$5:$K$3000=N166)*(BIdetails!$M$5:$M$3000))</f>
        <v>0</v>
      </c>
      <c r="Z166" s="34">
        <f t="shared" si="12"/>
        <v>0</v>
      </c>
      <c r="AA166" s="31" t="s">
        <v>649</v>
      </c>
      <c r="AB166" s="31" t="s">
        <v>2752</v>
      </c>
      <c r="AC166" s="31" t="s">
        <v>2774</v>
      </c>
      <c r="AD166" s="31"/>
    </row>
    <row r="167" spans="1:30" hidden="1" x14ac:dyDescent="0.25">
      <c r="A167" t="s">
        <v>2745</v>
      </c>
      <c r="B167" t="str">
        <f t="shared" ref="B167:B222" si="14">IF(T167=U167,"No Change",IF(AND(U167&lt;&gt;0,U167&lt;T167),"Decrease",IF(AND(U167&lt;&gt;0,T167=0),"New",IF(AND(T167&lt;&gt;0,U167=0),"Decommissioned","Increase"))))</f>
        <v>No Change</v>
      </c>
      <c r="D167">
        <v>68427709</v>
      </c>
      <c r="E167" s="95" t="s">
        <v>53</v>
      </c>
      <c r="F167" t="s">
        <v>54</v>
      </c>
      <c r="G167" t="s">
        <v>42</v>
      </c>
      <c r="H167" t="s">
        <v>1961</v>
      </c>
      <c r="J167" t="s">
        <v>2983</v>
      </c>
      <c r="K167">
        <v>209378</v>
      </c>
      <c r="L167" s="96" t="s">
        <v>95</v>
      </c>
      <c r="M167" s="21">
        <v>5400909342</v>
      </c>
      <c r="N167" s="21">
        <v>40</v>
      </c>
      <c r="O167" t="s">
        <v>2676</v>
      </c>
      <c r="P167" s="96" t="s">
        <v>227</v>
      </c>
      <c r="Q167" t="s">
        <v>2767</v>
      </c>
      <c r="R167" t="s">
        <v>2915</v>
      </c>
      <c r="S167" s="7">
        <v>329000</v>
      </c>
      <c r="T167" s="7">
        <v>329000</v>
      </c>
      <c r="U167" s="7">
        <v>329000</v>
      </c>
      <c r="V167" s="7">
        <f t="shared" ref="V167:V222" si="15">U167-T167</f>
        <v>0</v>
      </c>
      <c r="W167" s="5">
        <f t="shared" si="13"/>
        <v>0</v>
      </c>
      <c r="X167" s="6"/>
      <c r="Y167" s="33">
        <f>SUMPRODUCT((BIdetails!$J$5:$J$3000=M167)*(BIdetails!$K$5:$K$3000=N167)*(BIdetails!$M$5:$M$3000))</f>
        <v>0</v>
      </c>
      <c r="Z167" s="34">
        <f t="shared" si="12"/>
        <v>0</v>
      </c>
      <c r="AA167" s="31"/>
      <c r="AB167" s="31"/>
      <c r="AC167" s="31"/>
      <c r="AD167" s="31"/>
    </row>
    <row r="168" spans="1:30" hidden="1" x14ac:dyDescent="0.25">
      <c r="A168" t="s">
        <v>2745</v>
      </c>
      <c r="B168" t="str">
        <f t="shared" si="14"/>
        <v>Increase</v>
      </c>
      <c r="C168" t="s">
        <v>2984</v>
      </c>
      <c r="D168">
        <v>68427709</v>
      </c>
      <c r="E168" s="95" t="s">
        <v>53</v>
      </c>
      <c r="F168" s="26" t="s">
        <v>54</v>
      </c>
      <c r="G168" s="26" t="s">
        <v>42</v>
      </c>
      <c r="H168" s="26" t="s">
        <v>2691</v>
      </c>
      <c r="I168">
        <v>0</v>
      </c>
      <c r="J168" t="s">
        <v>2015</v>
      </c>
      <c r="K168" s="26">
        <v>212341</v>
      </c>
      <c r="L168" s="26" t="s">
        <v>78</v>
      </c>
      <c r="M168" s="28">
        <v>5400997187</v>
      </c>
      <c r="N168" s="28">
        <v>10</v>
      </c>
      <c r="O168" s="26" t="s">
        <v>2676</v>
      </c>
      <c r="P168" s="26" t="s">
        <v>227</v>
      </c>
      <c r="Q168" s="234" t="s">
        <v>2767</v>
      </c>
      <c r="R168" s="26" t="s">
        <v>2985</v>
      </c>
      <c r="S168" s="7">
        <v>16000</v>
      </c>
      <c r="T168" s="7">
        <v>16000</v>
      </c>
      <c r="U168" s="7">
        <v>18000</v>
      </c>
      <c r="V168" s="7">
        <f t="shared" si="15"/>
        <v>2000</v>
      </c>
      <c r="W168" s="5">
        <f t="shared" si="13"/>
        <v>0.125</v>
      </c>
      <c r="X168" s="6"/>
      <c r="Y168" s="33">
        <f>SUMPRODUCT((BIdetails!$J$5:$J$3000=M168)*(BIdetails!$K$5:$K$3000=N168)*(BIdetails!$M$5:$M$3000))</f>
        <v>0</v>
      </c>
      <c r="Z168" s="34">
        <f t="shared" si="12"/>
        <v>0</v>
      </c>
      <c r="AA168" s="31"/>
      <c r="AB168" s="31"/>
      <c r="AC168" s="31"/>
      <c r="AD168" s="31"/>
    </row>
    <row r="169" spans="1:30" hidden="1" x14ac:dyDescent="0.25">
      <c r="A169" t="s">
        <v>2745</v>
      </c>
      <c r="B169" t="str">
        <f t="shared" si="14"/>
        <v>Increase</v>
      </c>
      <c r="D169">
        <v>68427709</v>
      </c>
      <c r="E169" s="95" t="s">
        <v>53</v>
      </c>
      <c r="F169" t="s">
        <v>54</v>
      </c>
      <c r="G169" s="96" t="s">
        <v>42</v>
      </c>
      <c r="H169" s="96" t="s">
        <v>2289</v>
      </c>
      <c r="J169" t="s">
        <v>2986</v>
      </c>
      <c r="K169" s="96">
        <v>205988</v>
      </c>
      <c r="L169" s="96" t="s">
        <v>89</v>
      </c>
      <c r="M169">
        <v>5401017893</v>
      </c>
      <c r="N169" s="21">
        <v>10</v>
      </c>
      <c r="O169" s="96" t="s">
        <v>2676</v>
      </c>
      <c r="P169" s="96" t="s">
        <v>2766</v>
      </c>
      <c r="Q169" t="s">
        <v>2767</v>
      </c>
      <c r="R169" t="s">
        <v>2768</v>
      </c>
      <c r="S169" s="7">
        <v>52000</v>
      </c>
      <c r="T169" s="7">
        <v>52000</v>
      </c>
      <c r="U169" s="7">
        <v>57400</v>
      </c>
      <c r="V169" s="7">
        <f t="shared" si="15"/>
        <v>5400</v>
      </c>
      <c r="W169" s="5">
        <f t="shared" si="13"/>
        <v>0.10384615384615385</v>
      </c>
      <c r="X169" s="6"/>
      <c r="Y169" s="33">
        <f>SUMPRODUCT((BIdetails!$J$5:$J$3000=M169)*(BIdetails!$K$5:$K$3000=N169)*(BIdetails!$M$5:$M$3000))</f>
        <v>0</v>
      </c>
      <c r="Z169" s="34">
        <f t="shared" si="12"/>
        <v>0</v>
      </c>
      <c r="AA169" s="31"/>
      <c r="AB169" s="31"/>
      <c r="AC169" s="31"/>
      <c r="AD169" s="31"/>
    </row>
    <row r="170" spans="1:30" x14ac:dyDescent="0.25">
      <c r="A170" t="s">
        <v>2745</v>
      </c>
      <c r="B170" t="str">
        <f t="shared" si="14"/>
        <v>No Change</v>
      </c>
      <c r="C170" t="s">
        <v>2987</v>
      </c>
      <c r="D170">
        <v>68427709</v>
      </c>
      <c r="E170" s="95" t="s">
        <v>38</v>
      </c>
      <c r="F170" t="s">
        <v>40</v>
      </c>
      <c r="G170" t="s">
        <v>40</v>
      </c>
      <c r="H170" t="s">
        <v>1768</v>
      </c>
      <c r="J170" t="s">
        <v>2988</v>
      </c>
      <c r="K170" s="26">
        <v>152539</v>
      </c>
      <c r="L170" s="26" t="s">
        <v>66</v>
      </c>
      <c r="M170" s="217">
        <v>5400922801</v>
      </c>
      <c r="N170" s="21">
        <v>20</v>
      </c>
      <c r="O170" t="s">
        <v>2652</v>
      </c>
      <c r="P170" t="s">
        <v>2652</v>
      </c>
      <c r="Q170" t="s">
        <v>2762</v>
      </c>
      <c r="R170" t="s">
        <v>40</v>
      </c>
      <c r="S170" s="7">
        <v>45000</v>
      </c>
      <c r="T170" s="7">
        <v>45000</v>
      </c>
      <c r="U170" s="7">
        <v>45000</v>
      </c>
      <c r="V170" s="7">
        <f t="shared" si="15"/>
        <v>0</v>
      </c>
      <c r="W170" s="5">
        <f t="shared" si="13"/>
        <v>0</v>
      </c>
      <c r="X170" s="6"/>
      <c r="Y170" s="33">
        <f>SUMPRODUCT((BIdetails!$J$5:$J$3000=M170)*(BIdetails!$K$5:$K$3000=N170)*(BIdetails!$M$5:$M$3000))</f>
        <v>0</v>
      </c>
      <c r="Z170" s="34">
        <f t="shared" si="12"/>
        <v>0</v>
      </c>
      <c r="AA170" s="31" t="s">
        <v>649</v>
      </c>
      <c r="AB170" s="31" t="s">
        <v>2752</v>
      </c>
      <c r="AC170" s="31" t="s">
        <v>2774</v>
      </c>
      <c r="AD170" s="31"/>
    </row>
    <row r="171" spans="1:30" hidden="1" x14ac:dyDescent="0.25">
      <c r="A171" t="s">
        <v>2745</v>
      </c>
      <c r="B171" t="str">
        <f t="shared" si="14"/>
        <v>Decommissioned</v>
      </c>
      <c r="C171" t="s">
        <v>2989</v>
      </c>
      <c r="D171">
        <v>68427709</v>
      </c>
      <c r="E171" s="95" t="s">
        <v>53</v>
      </c>
      <c r="F171" t="s">
        <v>54</v>
      </c>
      <c r="G171" s="26" t="s">
        <v>42</v>
      </c>
      <c r="H171" t="s">
        <v>584</v>
      </c>
      <c r="I171" t="s">
        <v>2795</v>
      </c>
      <c r="J171" t="s">
        <v>2990</v>
      </c>
      <c r="K171" s="26">
        <v>152539</v>
      </c>
      <c r="L171" s="26" t="s">
        <v>66</v>
      </c>
      <c r="M171"/>
      <c r="O171" s="26" t="s">
        <v>2224</v>
      </c>
      <c r="P171" s="26" t="s">
        <v>2808</v>
      </c>
      <c r="Q171" t="s">
        <v>2762</v>
      </c>
      <c r="R171" t="s">
        <v>2809</v>
      </c>
      <c r="S171" s="7">
        <v>54000</v>
      </c>
      <c r="T171" s="7">
        <v>54000</v>
      </c>
      <c r="U171" s="7">
        <v>0</v>
      </c>
      <c r="V171" s="7">
        <f t="shared" si="15"/>
        <v>-54000</v>
      </c>
      <c r="W171" s="5">
        <f t="shared" si="13"/>
        <v>-1</v>
      </c>
      <c r="X171" s="22"/>
      <c r="Y171" s="33">
        <f>SUMPRODUCT((BIdetails!$J$5:$J$3000=M171)*(BIdetails!$K$5:$K$3000=N171)*(BIdetails!$M$5:$M$3000))</f>
        <v>0</v>
      </c>
      <c r="Z171" s="34" t="str">
        <f t="shared" si="12"/>
        <v/>
      </c>
      <c r="AA171" s="31" t="s">
        <v>2758</v>
      </c>
      <c r="AB171" s="31" t="s">
        <v>2849</v>
      </c>
      <c r="AC171" s="31" t="s">
        <v>2785</v>
      </c>
      <c r="AD171" s="31"/>
    </row>
    <row r="172" spans="1:30" hidden="1" x14ac:dyDescent="0.25">
      <c r="A172" t="s">
        <v>2745</v>
      </c>
      <c r="B172" t="str">
        <f t="shared" si="14"/>
        <v>No Change</v>
      </c>
      <c r="C172" t="s">
        <v>2991</v>
      </c>
      <c r="D172">
        <v>68427709</v>
      </c>
      <c r="E172" s="95" t="s">
        <v>53</v>
      </c>
      <c r="F172" t="s">
        <v>54</v>
      </c>
      <c r="G172" t="s">
        <v>42</v>
      </c>
      <c r="H172" t="s">
        <v>1856</v>
      </c>
      <c r="I172">
        <v>0</v>
      </c>
      <c r="J172" t="s">
        <v>2992</v>
      </c>
      <c r="K172" s="26">
        <v>152539</v>
      </c>
      <c r="L172" s="26" t="s">
        <v>66</v>
      </c>
      <c r="M172" s="21">
        <v>5400945464</v>
      </c>
      <c r="N172" s="21">
        <v>20</v>
      </c>
      <c r="O172" t="s">
        <v>2224</v>
      </c>
      <c r="P172" s="26" t="s">
        <v>2808</v>
      </c>
      <c r="Q172" t="s">
        <v>2762</v>
      </c>
      <c r="R172" t="s">
        <v>2809</v>
      </c>
      <c r="S172" s="7">
        <v>200000</v>
      </c>
      <c r="T172" s="7">
        <v>200000</v>
      </c>
      <c r="U172" s="7">
        <v>200000</v>
      </c>
      <c r="V172" s="7">
        <f t="shared" si="15"/>
        <v>0</v>
      </c>
      <c r="W172" s="5">
        <f t="shared" si="13"/>
        <v>0</v>
      </c>
      <c r="X172" s="6"/>
      <c r="Y172" s="33">
        <f>SUMPRODUCT((BIdetails!$J$5:$J$3000=M172)*(BIdetails!$K$5:$K$3000=N172)*(BIdetails!$M$5:$M$3000))</f>
        <v>0</v>
      </c>
      <c r="Z172" s="34">
        <f t="shared" si="12"/>
        <v>0</v>
      </c>
      <c r="AA172" s="31"/>
      <c r="AB172" s="31"/>
      <c r="AC172" s="31"/>
      <c r="AD172" s="31"/>
    </row>
    <row r="173" spans="1:30" hidden="1" x14ac:dyDescent="0.25">
      <c r="A173" t="s">
        <v>2745</v>
      </c>
      <c r="B173" t="str">
        <f t="shared" si="14"/>
        <v>No Change</v>
      </c>
      <c r="C173" t="s">
        <v>2993</v>
      </c>
      <c r="D173">
        <v>68427709</v>
      </c>
      <c r="E173" s="95" t="s">
        <v>53</v>
      </c>
      <c r="F173" s="26" t="s">
        <v>54</v>
      </c>
      <c r="G173" s="26" t="s">
        <v>42</v>
      </c>
      <c r="H173" s="26" t="s">
        <v>2283</v>
      </c>
      <c r="I173">
        <v>0</v>
      </c>
      <c r="J173" t="s">
        <v>2994</v>
      </c>
      <c r="K173" s="26">
        <v>127376</v>
      </c>
      <c r="L173" s="26" t="s">
        <v>2995</v>
      </c>
      <c r="M173" s="28">
        <v>5401006905</v>
      </c>
      <c r="N173" s="28">
        <v>20</v>
      </c>
      <c r="O173" s="26" t="s">
        <v>2676</v>
      </c>
      <c r="P173" s="26" t="s">
        <v>1283</v>
      </c>
      <c r="Q173" s="26" t="s">
        <v>2750</v>
      </c>
      <c r="R173" s="26" t="s">
        <v>2757</v>
      </c>
      <c r="S173" s="7">
        <v>126000</v>
      </c>
      <c r="T173" s="7">
        <v>126000</v>
      </c>
      <c r="U173" s="7">
        <v>126000</v>
      </c>
      <c r="V173" s="7">
        <f t="shared" si="15"/>
        <v>0</v>
      </c>
      <c r="W173" s="5">
        <f t="shared" si="13"/>
        <v>0</v>
      </c>
      <c r="X173" s="6"/>
      <c r="Y173" s="33">
        <f>SUMPRODUCT((BIdetails!$J$5:$J$3000=M173)*(BIdetails!$K$5:$K$3000=N173)*(BIdetails!$M$5:$M$3000))</f>
        <v>0</v>
      </c>
      <c r="Z173" s="34">
        <f t="shared" si="12"/>
        <v>0</v>
      </c>
      <c r="AA173" s="31"/>
      <c r="AB173" s="31"/>
      <c r="AC173" s="31"/>
      <c r="AD173" s="31"/>
    </row>
    <row r="174" spans="1:30" hidden="1" x14ac:dyDescent="0.25">
      <c r="A174" t="s">
        <v>2745</v>
      </c>
      <c r="B174" t="str">
        <f t="shared" si="14"/>
        <v>No Change</v>
      </c>
      <c r="C174" t="s">
        <v>2993</v>
      </c>
      <c r="D174">
        <v>68427709</v>
      </c>
      <c r="E174" s="95" t="s">
        <v>53</v>
      </c>
      <c r="F174" s="26" t="s">
        <v>54</v>
      </c>
      <c r="G174" s="26" t="s">
        <v>42</v>
      </c>
      <c r="H174" s="26" t="s">
        <v>2996</v>
      </c>
      <c r="I174">
        <v>0</v>
      </c>
      <c r="J174" t="s">
        <v>2994</v>
      </c>
      <c r="K174" s="26">
        <v>127376</v>
      </c>
      <c r="L174" s="26" t="s">
        <v>2995</v>
      </c>
      <c r="M174" s="28">
        <v>5401006905</v>
      </c>
      <c r="N174" s="28">
        <v>10</v>
      </c>
      <c r="O174" s="26" t="s">
        <v>2676</v>
      </c>
      <c r="P174" s="26" t="s">
        <v>1283</v>
      </c>
      <c r="Q174" s="26" t="s">
        <v>2750</v>
      </c>
      <c r="R174" s="26" t="s">
        <v>2915</v>
      </c>
      <c r="S174" s="7">
        <v>36000</v>
      </c>
      <c r="T174" s="7">
        <v>36000</v>
      </c>
      <c r="U174" s="7">
        <v>36000</v>
      </c>
      <c r="V174" s="7">
        <f t="shared" si="15"/>
        <v>0</v>
      </c>
      <c r="W174" s="5">
        <f t="shared" si="13"/>
        <v>0</v>
      </c>
      <c r="X174" s="6"/>
      <c r="Y174" s="33">
        <f>SUMPRODUCT((BIdetails!$J$5:$J$3000=M174)*(BIdetails!$K$5:$K$3000=N174)*(BIdetails!$M$5:$M$3000))</f>
        <v>0</v>
      </c>
      <c r="Z174" s="34">
        <f t="shared" si="12"/>
        <v>0</v>
      </c>
      <c r="AA174" s="31" t="s">
        <v>2997</v>
      </c>
      <c r="AB174" s="31" t="s">
        <v>2752</v>
      </c>
      <c r="AC174" s="31" t="s">
        <v>2774</v>
      </c>
      <c r="AD174" s="31"/>
    </row>
    <row r="175" spans="1:30" hidden="1" x14ac:dyDescent="0.25">
      <c r="A175" t="s">
        <v>2745</v>
      </c>
      <c r="B175" t="str">
        <f t="shared" si="14"/>
        <v>No Change</v>
      </c>
      <c r="C175" t="s">
        <v>2998</v>
      </c>
      <c r="D175">
        <v>68427709</v>
      </c>
      <c r="E175" s="95" t="s">
        <v>49</v>
      </c>
      <c r="F175" t="s">
        <v>50</v>
      </c>
      <c r="G175" s="26" t="s">
        <v>42</v>
      </c>
      <c r="H175" s="26" t="s">
        <v>2999</v>
      </c>
      <c r="I175">
        <v>0</v>
      </c>
      <c r="J175" t="s">
        <v>2068</v>
      </c>
      <c r="K175" s="26">
        <v>188831</v>
      </c>
      <c r="L175" s="26" t="s">
        <v>211</v>
      </c>
      <c r="M175">
        <v>5401024595</v>
      </c>
      <c r="N175" s="28">
        <v>10</v>
      </c>
      <c r="O175" s="26" t="s">
        <v>2676</v>
      </c>
      <c r="P175" s="26" t="s">
        <v>1283</v>
      </c>
      <c r="Q175" s="26" t="s">
        <v>2767</v>
      </c>
      <c r="R175" s="26" t="s">
        <v>2915</v>
      </c>
      <c r="S175" s="7">
        <v>200000</v>
      </c>
      <c r="T175" s="7">
        <v>200000</v>
      </c>
      <c r="U175" s="7">
        <v>200000</v>
      </c>
      <c r="V175" s="7">
        <f t="shared" si="15"/>
        <v>0</v>
      </c>
      <c r="W175" s="5">
        <f t="shared" si="13"/>
        <v>0</v>
      </c>
      <c r="X175" s="6"/>
      <c r="Y175" s="33">
        <f>SUMPRODUCT((BIdetails!$J$5:$J$3000=M175)*(BIdetails!$K$5:$K$3000=N175)*(BIdetails!$M$5:$M$3000))</f>
        <v>0</v>
      </c>
      <c r="Z175" s="34">
        <f t="shared" si="12"/>
        <v>0</v>
      </c>
      <c r="AA175" s="31" t="s">
        <v>2758</v>
      </c>
      <c r="AB175" s="31" t="s">
        <v>2752</v>
      </c>
      <c r="AC175" s="31" t="s">
        <v>2774</v>
      </c>
      <c r="AD175" s="31"/>
    </row>
    <row r="176" spans="1:30" x14ac:dyDescent="0.25">
      <c r="A176" t="s">
        <v>2745</v>
      </c>
      <c r="B176" t="str">
        <f t="shared" si="14"/>
        <v>No Change</v>
      </c>
      <c r="D176">
        <v>68427709</v>
      </c>
      <c r="E176" s="95" t="s">
        <v>38</v>
      </c>
      <c r="F176" t="s">
        <v>40</v>
      </c>
      <c r="G176" t="s">
        <v>40</v>
      </c>
      <c r="H176" s="26" t="s">
        <v>3000</v>
      </c>
      <c r="I176" t="s">
        <v>2259</v>
      </c>
      <c r="J176" t="s">
        <v>2830</v>
      </c>
      <c r="K176" s="26"/>
      <c r="L176" t="s">
        <v>3001</v>
      </c>
      <c r="M176" s="217">
        <v>5400913325</v>
      </c>
      <c r="N176" s="21">
        <v>20</v>
      </c>
      <c r="O176" t="s">
        <v>2652</v>
      </c>
      <c r="P176" s="96" t="s">
        <v>2652</v>
      </c>
      <c r="Q176" t="s">
        <v>2762</v>
      </c>
      <c r="R176" s="96" t="s">
        <v>40</v>
      </c>
      <c r="S176" s="7">
        <v>250000</v>
      </c>
      <c r="T176" s="7">
        <v>250000</v>
      </c>
      <c r="U176" s="7">
        <v>250000</v>
      </c>
      <c r="V176" s="7">
        <f t="shared" si="15"/>
        <v>0</v>
      </c>
      <c r="W176" s="5">
        <f t="shared" si="13"/>
        <v>0</v>
      </c>
      <c r="X176" s="123"/>
      <c r="Y176" s="33">
        <f>SUMPRODUCT((BIdetails!$J$5:$J$3000=M176)*(BIdetails!$K$5:$K$3000=N176)*(BIdetails!$M$5:$M$3000))</f>
        <v>0</v>
      </c>
      <c r="Z176" s="34">
        <f t="shared" si="12"/>
        <v>0</v>
      </c>
      <c r="AA176" s="31"/>
      <c r="AB176" s="31"/>
      <c r="AC176" s="31"/>
      <c r="AD176" s="31"/>
    </row>
    <row r="177" spans="1:16382" hidden="1" x14ac:dyDescent="0.25">
      <c r="A177" t="s">
        <v>2745</v>
      </c>
      <c r="B177" t="str">
        <f t="shared" si="14"/>
        <v>Decommissioned</v>
      </c>
      <c r="C177" t="s">
        <v>3002</v>
      </c>
      <c r="D177">
        <v>68427709</v>
      </c>
      <c r="E177" s="95" t="s">
        <v>49</v>
      </c>
      <c r="F177" t="s">
        <v>50</v>
      </c>
      <c r="G177" s="96" t="s">
        <v>42</v>
      </c>
      <c r="H177" s="26" t="s">
        <v>845</v>
      </c>
      <c r="I177" t="s">
        <v>2795</v>
      </c>
      <c r="J177" t="s">
        <v>2866</v>
      </c>
      <c r="K177" s="26">
        <v>199492</v>
      </c>
      <c r="L177" s="26" t="s">
        <v>3003</v>
      </c>
      <c r="M177"/>
      <c r="N177" s="21">
        <v>10</v>
      </c>
      <c r="O177" s="26" t="s">
        <v>2676</v>
      </c>
      <c r="P177" s="26" t="s">
        <v>3004</v>
      </c>
      <c r="Q177" t="s">
        <v>2762</v>
      </c>
      <c r="R177" t="s">
        <v>2751</v>
      </c>
      <c r="S177" s="7">
        <v>87000</v>
      </c>
      <c r="T177" s="7">
        <v>87000</v>
      </c>
      <c r="U177" s="7">
        <v>0</v>
      </c>
      <c r="V177" s="7">
        <f t="shared" si="15"/>
        <v>-87000</v>
      </c>
      <c r="W177" s="5">
        <f t="shared" si="13"/>
        <v>-1</v>
      </c>
      <c r="X177" s="123"/>
      <c r="Y177" s="33">
        <f>SUMPRODUCT((BIdetails!$J$5:$J$3000=M177)*(BIdetails!$K$5:$K$3000=N177)*(BIdetails!$M$5:$M$3000))</f>
        <v>0</v>
      </c>
      <c r="Z177" s="34" t="str">
        <f t="shared" si="12"/>
        <v/>
      </c>
      <c r="AA177" s="31" t="s">
        <v>2758</v>
      </c>
      <c r="AB177" s="31" t="s">
        <v>2920</v>
      </c>
      <c r="AC177" s="31" t="s">
        <v>2788</v>
      </c>
      <c r="AD177" s="31"/>
    </row>
    <row r="178" spans="1:16382" hidden="1" x14ac:dyDescent="0.25">
      <c r="A178" t="s">
        <v>2745</v>
      </c>
      <c r="B178" t="str">
        <f t="shared" si="14"/>
        <v>No Change</v>
      </c>
      <c r="C178" t="s">
        <v>3005</v>
      </c>
      <c r="D178">
        <v>68427709</v>
      </c>
      <c r="E178" s="95" t="s">
        <v>49</v>
      </c>
      <c r="F178" s="26" t="s">
        <v>54</v>
      </c>
      <c r="G178" s="26" t="s">
        <v>42</v>
      </c>
      <c r="H178" s="26" t="s">
        <v>3006</v>
      </c>
      <c r="I178">
        <v>0</v>
      </c>
      <c r="J178" t="s">
        <v>3007</v>
      </c>
      <c r="K178" s="26">
        <v>210231</v>
      </c>
      <c r="L178" s="26" t="s">
        <v>3008</v>
      </c>
      <c r="M178" s="21">
        <v>5401024377</v>
      </c>
      <c r="N178" s="28">
        <v>10</v>
      </c>
      <c r="O178" s="26" t="s">
        <v>2676</v>
      </c>
      <c r="P178" s="26" t="s">
        <v>145</v>
      </c>
      <c r="Q178" s="26" t="s">
        <v>2762</v>
      </c>
      <c r="R178" s="26" t="s">
        <v>2751</v>
      </c>
      <c r="S178" s="7">
        <v>6000</v>
      </c>
      <c r="T178" s="7">
        <v>6000</v>
      </c>
      <c r="U178" s="7">
        <v>6000</v>
      </c>
      <c r="V178" s="7">
        <f t="shared" si="15"/>
        <v>0</v>
      </c>
      <c r="W178" s="5">
        <f t="shared" si="13"/>
        <v>0</v>
      </c>
      <c r="X178" s="6"/>
      <c r="Y178" s="33">
        <f>SUMPRODUCT((BIdetails!$J$5:$J$3000=M178)*(BIdetails!$K$5:$K$3000=N178)*(BIdetails!$M$5:$M$3000))</f>
        <v>0</v>
      </c>
      <c r="Z178" s="34">
        <f t="shared" si="12"/>
        <v>0</v>
      </c>
      <c r="AA178" s="31" t="s">
        <v>2758</v>
      </c>
      <c r="AB178" s="31" t="s">
        <v>2849</v>
      </c>
      <c r="AC178" s="31" t="s">
        <v>2785</v>
      </c>
      <c r="AD178" s="31"/>
    </row>
    <row r="179" spans="1:16382" hidden="1" x14ac:dyDescent="0.25">
      <c r="A179" t="s">
        <v>2745</v>
      </c>
      <c r="B179" t="str">
        <f t="shared" si="14"/>
        <v>No Change</v>
      </c>
      <c r="C179" t="s">
        <v>3009</v>
      </c>
      <c r="D179">
        <v>68427709</v>
      </c>
      <c r="E179" s="100" t="s">
        <v>49</v>
      </c>
      <c r="F179" s="96" t="s">
        <v>50</v>
      </c>
      <c r="G179" s="96" t="s">
        <v>42</v>
      </c>
      <c r="H179" t="s">
        <v>3010</v>
      </c>
      <c r="I179" t="s">
        <v>2771</v>
      </c>
      <c r="J179" s="27" t="s">
        <v>2772</v>
      </c>
      <c r="K179">
        <v>142582</v>
      </c>
      <c r="L179" t="s">
        <v>71</v>
      </c>
      <c r="M179" s="21">
        <v>5401023799</v>
      </c>
      <c r="N179" s="21">
        <v>10</v>
      </c>
      <c r="O179" s="96" t="s">
        <v>2676</v>
      </c>
      <c r="P179" s="96" t="s">
        <v>2861</v>
      </c>
      <c r="Q179" s="26" t="s">
        <v>2750</v>
      </c>
      <c r="R179" s="96" t="s">
        <v>850</v>
      </c>
      <c r="S179" s="7">
        <v>1716000</v>
      </c>
      <c r="T179" s="7">
        <v>1716000</v>
      </c>
      <c r="U179" s="7">
        <v>1716000</v>
      </c>
      <c r="V179" s="7">
        <f t="shared" si="15"/>
        <v>0</v>
      </c>
      <c r="W179" s="5">
        <f t="shared" ref="W179:W234" si="16">IF(B179="New",1,IFERROR(V179/T179,0))</f>
        <v>0</v>
      </c>
      <c r="X179" s="6"/>
      <c r="Y179" s="33">
        <f>SUMPRODUCT((BIdetails!$J$5:$J$3000=M179)*(BIdetails!$K$5:$K$3000=N179)*(BIdetails!$M$5:$M$3000))</f>
        <v>0</v>
      </c>
      <c r="Z179" s="34">
        <f t="shared" si="12"/>
        <v>0</v>
      </c>
      <c r="AA179" s="31" t="s">
        <v>2758</v>
      </c>
      <c r="AB179" s="31" t="s">
        <v>2752</v>
      </c>
      <c r="AC179" s="31" t="s">
        <v>2785</v>
      </c>
      <c r="AD179" s="31"/>
    </row>
    <row r="180" spans="1:16382" hidden="1" x14ac:dyDescent="0.25">
      <c r="A180" t="s">
        <v>2745</v>
      </c>
      <c r="B180" t="str">
        <f t="shared" si="14"/>
        <v>Increase</v>
      </c>
      <c r="C180" t="s">
        <v>3009</v>
      </c>
      <c r="D180">
        <v>68427719</v>
      </c>
      <c r="E180" s="100" t="s">
        <v>49</v>
      </c>
      <c r="F180" s="96" t="s">
        <v>50</v>
      </c>
      <c r="G180" s="96" t="s">
        <v>42</v>
      </c>
      <c r="H180" t="s">
        <v>3011</v>
      </c>
      <c r="I180">
        <v>0</v>
      </c>
      <c r="J180" t="s">
        <v>3012</v>
      </c>
      <c r="K180">
        <v>142582</v>
      </c>
      <c r="L180" s="26" t="s">
        <v>71</v>
      </c>
      <c r="M180" s="97">
        <v>5401023573</v>
      </c>
      <c r="N180" s="97">
        <v>10</v>
      </c>
      <c r="O180" s="96" t="s">
        <v>2861</v>
      </c>
      <c r="P180" s="96" t="s">
        <v>2170</v>
      </c>
      <c r="Q180" s="96" t="s">
        <v>2813</v>
      </c>
      <c r="R180" s="96" t="s">
        <v>2801</v>
      </c>
      <c r="S180" s="7">
        <v>215000</v>
      </c>
      <c r="T180" s="7">
        <v>215000</v>
      </c>
      <c r="U180" s="7">
        <v>237000</v>
      </c>
      <c r="V180" s="7">
        <f t="shared" si="15"/>
        <v>22000</v>
      </c>
      <c r="W180" s="5">
        <f t="shared" si="16"/>
        <v>0.10232558139534884</v>
      </c>
      <c r="X180" s="6"/>
      <c r="Y180" s="33">
        <f>SUMPRODUCT((BIdetails!$J$5:$J$3000=M180)*(BIdetails!$K$5:$K$3000=N180)*(BIdetails!$M$5:$M$3000))</f>
        <v>0</v>
      </c>
      <c r="Z180" s="34">
        <f t="shared" si="12"/>
        <v>0</v>
      </c>
      <c r="AA180" s="31" t="s">
        <v>2758</v>
      </c>
      <c r="AB180" s="31" t="s">
        <v>2849</v>
      </c>
      <c r="AC180" s="31" t="s">
        <v>2785</v>
      </c>
      <c r="AD180" s="31"/>
    </row>
    <row r="181" spans="1:16382" hidden="1" x14ac:dyDescent="0.25">
      <c r="A181" t="s">
        <v>2745</v>
      </c>
      <c r="B181" t="str">
        <f t="shared" si="14"/>
        <v>Increase</v>
      </c>
      <c r="C181" t="s">
        <v>3013</v>
      </c>
      <c r="D181">
        <v>68427709</v>
      </c>
      <c r="E181" s="95" t="s">
        <v>49</v>
      </c>
      <c r="F181" t="s">
        <v>50</v>
      </c>
      <c r="G181" t="s">
        <v>42</v>
      </c>
      <c r="H181" t="s">
        <v>2522</v>
      </c>
      <c r="I181">
        <v>0</v>
      </c>
      <c r="J181" t="s">
        <v>2078</v>
      </c>
      <c r="K181">
        <v>191793</v>
      </c>
      <c r="L181" t="s">
        <v>3014</v>
      </c>
      <c r="M181">
        <v>5401023517</v>
      </c>
      <c r="N181" s="21">
        <v>10</v>
      </c>
      <c r="O181" t="s">
        <v>2676</v>
      </c>
      <c r="P181" t="s">
        <v>1939</v>
      </c>
      <c r="Q181" t="s">
        <v>3015</v>
      </c>
      <c r="R181" t="s">
        <v>3016</v>
      </c>
      <c r="S181" s="7">
        <v>280000</v>
      </c>
      <c r="T181" s="7">
        <v>308000</v>
      </c>
      <c r="U181" s="7">
        <v>438000</v>
      </c>
      <c r="V181" s="7">
        <f t="shared" si="15"/>
        <v>130000</v>
      </c>
      <c r="W181" s="5">
        <f t="shared" si="16"/>
        <v>0.42207792207792205</v>
      </c>
      <c r="X181" s="6"/>
      <c r="Y181" s="33">
        <f>SUMPRODUCT((BIdetails!$J$5:$J$3000=M181)*(BIdetails!$K$5:$K$3000=N181)*(BIdetails!$M$5:$M$3000))</f>
        <v>0</v>
      </c>
      <c r="Z181" s="34">
        <f t="shared" si="12"/>
        <v>0</v>
      </c>
      <c r="AA181" s="31"/>
      <c r="AB181" s="31"/>
      <c r="AC181" s="31"/>
      <c r="AD181" s="31"/>
    </row>
    <row r="182" spans="1:16382" hidden="1" x14ac:dyDescent="0.25">
      <c r="A182" t="s">
        <v>2745</v>
      </c>
      <c r="B182" t="str">
        <f t="shared" si="14"/>
        <v>No Change</v>
      </c>
      <c r="C182" t="s">
        <v>3013</v>
      </c>
      <c r="D182">
        <v>68427709</v>
      </c>
      <c r="E182" s="95" t="s">
        <v>49</v>
      </c>
      <c r="F182" t="s">
        <v>50</v>
      </c>
      <c r="G182" t="s">
        <v>42</v>
      </c>
      <c r="H182" t="s">
        <v>2523</v>
      </c>
      <c r="I182">
        <v>0</v>
      </c>
      <c r="J182" t="s">
        <v>2078</v>
      </c>
      <c r="K182">
        <v>191793</v>
      </c>
      <c r="L182" t="s">
        <v>3014</v>
      </c>
      <c r="M182" s="21">
        <v>5401023517</v>
      </c>
      <c r="N182" s="21">
        <v>10</v>
      </c>
      <c r="O182" t="s">
        <v>2676</v>
      </c>
      <c r="P182" t="s">
        <v>1939</v>
      </c>
      <c r="Q182" t="s">
        <v>3015</v>
      </c>
      <c r="R182" t="s">
        <v>3016</v>
      </c>
      <c r="S182" s="7">
        <v>100000</v>
      </c>
      <c r="T182" s="7">
        <v>60000</v>
      </c>
      <c r="U182" s="7">
        <v>60000</v>
      </c>
      <c r="V182" s="7">
        <f t="shared" si="15"/>
        <v>0</v>
      </c>
      <c r="W182" s="5">
        <f t="shared" si="16"/>
        <v>0</v>
      </c>
      <c r="X182" s="6"/>
      <c r="Y182" s="33">
        <f>SUMPRODUCT((BIdetails!$J$5:$J$3000=M182)*(BIdetails!$K$5:$K$3000=N182)*(BIdetails!$M$5:$M$3000))</f>
        <v>0</v>
      </c>
      <c r="Z182" s="34">
        <f t="shared" si="12"/>
        <v>0</v>
      </c>
      <c r="AA182" s="31" t="s">
        <v>649</v>
      </c>
      <c r="AB182" s="31" t="s">
        <v>2752</v>
      </c>
      <c r="AC182" s="31" t="s">
        <v>2774</v>
      </c>
      <c r="AD182" s="31"/>
    </row>
    <row r="183" spans="1:16382" hidden="1" x14ac:dyDescent="0.25">
      <c r="A183" t="s">
        <v>2745</v>
      </c>
      <c r="B183" t="str">
        <f t="shared" si="14"/>
        <v>Decrease</v>
      </c>
      <c r="C183" t="s">
        <v>3017</v>
      </c>
      <c r="D183">
        <v>68427709</v>
      </c>
      <c r="E183" s="100" t="s">
        <v>49</v>
      </c>
      <c r="F183" s="96" t="s">
        <v>50</v>
      </c>
      <c r="G183" s="26" t="s">
        <v>42</v>
      </c>
      <c r="H183" t="s">
        <v>2524</v>
      </c>
      <c r="I183">
        <v>0</v>
      </c>
      <c r="J183" t="s">
        <v>2078</v>
      </c>
      <c r="K183">
        <v>191793</v>
      </c>
      <c r="L183" t="s">
        <v>3014</v>
      </c>
      <c r="M183">
        <v>5400904702</v>
      </c>
      <c r="N183" s="21">
        <v>30</v>
      </c>
      <c r="O183" t="s">
        <v>2676</v>
      </c>
      <c r="P183" s="26" t="s">
        <v>1939</v>
      </c>
      <c r="Q183" t="s">
        <v>3015</v>
      </c>
      <c r="R183" s="96" t="s">
        <v>3016</v>
      </c>
      <c r="S183" s="7">
        <v>152000</v>
      </c>
      <c r="T183" s="7">
        <v>302000</v>
      </c>
      <c r="U183" s="7">
        <v>152000</v>
      </c>
      <c r="V183" s="7">
        <f t="shared" si="15"/>
        <v>-150000</v>
      </c>
      <c r="W183" s="5">
        <f t="shared" si="16"/>
        <v>-0.49668874172185429</v>
      </c>
      <c r="X183" s="6"/>
      <c r="Y183" s="33">
        <f>SUMPRODUCT((BIdetails!$J$5:$J$3000=M183)*(BIdetails!$K$5:$K$3000=N183)*(BIdetails!$M$5:$M$3000))</f>
        <v>0</v>
      </c>
      <c r="Z183" s="34">
        <f t="shared" si="12"/>
        <v>0</v>
      </c>
      <c r="AA183" s="31"/>
      <c r="AB183" s="31"/>
      <c r="AC183" s="31"/>
      <c r="AD183" s="31"/>
    </row>
    <row r="184" spans="1:16382" hidden="1" x14ac:dyDescent="0.25">
      <c r="A184" t="s">
        <v>2745</v>
      </c>
      <c r="B184" t="str">
        <f t="shared" si="14"/>
        <v>No Change</v>
      </c>
      <c r="D184" s="215">
        <v>68427709</v>
      </c>
      <c r="E184" s="95" t="s">
        <v>53</v>
      </c>
      <c r="F184" t="s">
        <v>54</v>
      </c>
      <c r="G184" s="96" t="s">
        <v>42</v>
      </c>
      <c r="H184" s="26" t="s">
        <v>1904</v>
      </c>
      <c r="I184" t="s">
        <v>2795</v>
      </c>
      <c r="J184" t="s">
        <v>3018</v>
      </c>
      <c r="K184" s="26">
        <v>208176</v>
      </c>
      <c r="L184" s="26" t="s">
        <v>1904</v>
      </c>
      <c r="M184" s="217">
        <v>5400990793</v>
      </c>
      <c r="N184" s="21">
        <v>10</v>
      </c>
      <c r="O184" s="26" t="s">
        <v>2676</v>
      </c>
      <c r="P184" s="26" t="s">
        <v>2158</v>
      </c>
      <c r="Q184" t="s">
        <v>2762</v>
      </c>
      <c r="R184" t="s">
        <v>2751</v>
      </c>
      <c r="S184" s="7">
        <v>7000</v>
      </c>
      <c r="T184" s="7">
        <v>10000</v>
      </c>
      <c r="U184" s="7">
        <v>10000</v>
      </c>
      <c r="V184" s="7">
        <f t="shared" si="15"/>
        <v>0</v>
      </c>
      <c r="W184" s="5">
        <f t="shared" si="16"/>
        <v>0</v>
      </c>
      <c r="X184" s="123"/>
      <c r="Y184" s="33">
        <f>SUMPRODUCT((BIdetails!$J$5:$J$3000=M184)*(BIdetails!$K$5:$K$3000=N184)*(BIdetails!$M$5:$M$3000))</f>
        <v>0</v>
      </c>
      <c r="Z184" s="34">
        <f t="shared" ref="Z184:Z246" si="17">IF(U184=0,"",(Y184/U184))</f>
        <v>0</v>
      </c>
      <c r="AA184" s="31"/>
      <c r="AB184" s="31"/>
      <c r="AC184" s="31"/>
      <c r="AD184" s="31"/>
    </row>
    <row r="185" spans="1:16382" hidden="1" x14ac:dyDescent="0.25">
      <c r="A185" t="s">
        <v>2745</v>
      </c>
      <c r="B185" t="str">
        <f t="shared" si="14"/>
        <v>Decrease</v>
      </c>
      <c r="D185">
        <v>68427709</v>
      </c>
      <c r="E185" s="95" t="s">
        <v>53</v>
      </c>
      <c r="F185" t="s">
        <v>54</v>
      </c>
      <c r="G185" t="s">
        <v>42</v>
      </c>
      <c r="H185" t="s">
        <v>2254</v>
      </c>
      <c r="I185">
        <v>0</v>
      </c>
      <c r="J185" t="s">
        <v>3019</v>
      </c>
      <c r="K185">
        <v>167606</v>
      </c>
      <c r="L185" t="s">
        <v>83</v>
      </c>
      <c r="M185" s="21">
        <v>5401032327</v>
      </c>
      <c r="N185" s="21">
        <v>10</v>
      </c>
      <c r="O185" t="s">
        <v>2224</v>
      </c>
      <c r="P185" s="26" t="s">
        <v>2808</v>
      </c>
      <c r="Q185" t="s">
        <v>2762</v>
      </c>
      <c r="R185" t="s">
        <v>2809</v>
      </c>
      <c r="S185" s="7">
        <v>25000</v>
      </c>
      <c r="T185" s="7">
        <v>25000</v>
      </c>
      <c r="U185" s="7">
        <v>23000</v>
      </c>
      <c r="V185" s="7">
        <f t="shared" si="15"/>
        <v>-2000</v>
      </c>
      <c r="W185" s="5">
        <f t="shared" si="16"/>
        <v>-0.08</v>
      </c>
      <c r="X185" s="6"/>
      <c r="Y185" s="33">
        <f>SUMPRODUCT((BIdetails!$J$5:$J$3000=M185)*(BIdetails!$K$5:$K$3000=N185)*(BIdetails!$M$5:$M$3000))</f>
        <v>0</v>
      </c>
      <c r="Z185" s="34">
        <f t="shared" si="17"/>
        <v>0</v>
      </c>
      <c r="AA185" s="31"/>
      <c r="AB185" s="31"/>
      <c r="AC185" s="31"/>
      <c r="AD185" s="31"/>
    </row>
    <row r="186" spans="1:16382" x14ac:dyDescent="0.25">
      <c r="A186" t="s">
        <v>2745</v>
      </c>
      <c r="B186" t="str">
        <f t="shared" si="14"/>
        <v>No Change</v>
      </c>
      <c r="C186" t="s">
        <v>3020</v>
      </c>
      <c r="D186">
        <v>68427709</v>
      </c>
      <c r="E186" s="95" t="s">
        <v>49</v>
      </c>
      <c r="F186" t="s">
        <v>50</v>
      </c>
      <c r="G186" t="s">
        <v>42</v>
      </c>
      <c r="H186" t="s">
        <v>3021</v>
      </c>
      <c r="I186" t="s">
        <v>2771</v>
      </c>
      <c r="J186" t="s">
        <v>3022</v>
      </c>
      <c r="K186">
        <v>121208</v>
      </c>
      <c r="L186" t="s">
        <v>497</v>
      </c>
      <c r="M186" s="218">
        <v>5401018997</v>
      </c>
      <c r="N186" s="218">
        <v>10</v>
      </c>
      <c r="O186" t="s">
        <v>2652</v>
      </c>
      <c r="P186" s="26" t="s">
        <v>2652</v>
      </c>
      <c r="Q186" t="s">
        <v>2750</v>
      </c>
      <c r="R186" t="s">
        <v>40</v>
      </c>
      <c r="S186" s="7">
        <v>35000</v>
      </c>
      <c r="T186" s="7">
        <v>35000</v>
      </c>
      <c r="U186" s="7">
        <v>35000</v>
      </c>
      <c r="V186" s="7">
        <f t="shared" si="15"/>
        <v>0</v>
      </c>
      <c r="W186" s="5">
        <f t="shared" si="16"/>
        <v>0</v>
      </c>
      <c r="X186" s="6"/>
      <c r="Y186" s="33">
        <f>SUMPRODUCT((BIdetails!$J$5:$J$3000=M186)*(BIdetails!$K$5:$K$3000=N186)*(BIdetails!$M$5:$M$3000))</f>
        <v>0</v>
      </c>
      <c r="Z186" s="34">
        <f t="shared" si="17"/>
        <v>0</v>
      </c>
      <c r="AA186" s="31" t="s">
        <v>2758</v>
      </c>
      <c r="AB186" s="31" t="s">
        <v>2849</v>
      </c>
      <c r="AC186" s="31" t="s">
        <v>2785</v>
      </c>
      <c r="AD186" s="31"/>
    </row>
    <row r="187" spans="1:16382" x14ac:dyDescent="0.25">
      <c r="A187" t="s">
        <v>2745</v>
      </c>
      <c r="B187" t="str">
        <f t="shared" si="14"/>
        <v>No Change</v>
      </c>
      <c r="C187" t="s">
        <v>3020</v>
      </c>
      <c r="D187">
        <v>68427709</v>
      </c>
      <c r="E187" s="95" t="s">
        <v>49</v>
      </c>
      <c r="F187" t="s">
        <v>50</v>
      </c>
      <c r="G187" t="s">
        <v>42</v>
      </c>
      <c r="H187" t="s">
        <v>3023</v>
      </c>
      <c r="I187" t="s">
        <v>2771</v>
      </c>
      <c r="J187" t="s">
        <v>3022</v>
      </c>
      <c r="K187">
        <v>121208</v>
      </c>
      <c r="L187" t="s">
        <v>497</v>
      </c>
      <c r="M187" s="218"/>
      <c r="N187" s="218">
        <v>10</v>
      </c>
      <c r="O187" t="s">
        <v>2652</v>
      </c>
      <c r="P187" s="26" t="s">
        <v>2652</v>
      </c>
      <c r="Q187" t="s">
        <v>2750</v>
      </c>
      <c r="R187" t="s">
        <v>40</v>
      </c>
      <c r="S187" s="7">
        <v>60000</v>
      </c>
      <c r="T187" s="7">
        <v>60000</v>
      </c>
      <c r="U187" s="7">
        <v>60000</v>
      </c>
      <c r="V187" s="7">
        <f t="shared" si="15"/>
        <v>0</v>
      </c>
      <c r="W187" s="5">
        <f t="shared" si="16"/>
        <v>0</v>
      </c>
      <c r="X187" s="6"/>
      <c r="Y187" s="33">
        <f>SUMPRODUCT((BIdetails!$J$5:$J$3000=M187)*(BIdetails!$K$5:$K$3000=N187)*(BIdetails!$M$5:$M$3000))</f>
        <v>0</v>
      </c>
      <c r="Z187" s="34">
        <f t="shared" si="17"/>
        <v>0</v>
      </c>
      <c r="AA187" s="31" t="s">
        <v>2758</v>
      </c>
      <c r="AB187" s="31" t="s">
        <v>2752</v>
      </c>
      <c r="AC187" s="31" t="s">
        <v>2788</v>
      </c>
      <c r="AD187" s="31"/>
    </row>
    <row r="188" spans="1:16382" hidden="1" x14ac:dyDescent="0.25">
      <c r="A188" t="s">
        <v>2745</v>
      </c>
      <c r="B188" t="str">
        <f t="shared" si="14"/>
        <v>No Change</v>
      </c>
      <c r="D188">
        <v>68427719</v>
      </c>
      <c r="E188" s="95" t="s">
        <v>53</v>
      </c>
      <c r="F188" t="s">
        <v>54</v>
      </c>
      <c r="G188" s="96" t="s">
        <v>42</v>
      </c>
      <c r="H188" s="26" t="s">
        <v>1920</v>
      </c>
      <c r="J188" t="s">
        <v>3024</v>
      </c>
      <c r="K188" s="26">
        <v>210828</v>
      </c>
      <c r="L188" s="96" t="s">
        <v>3025</v>
      </c>
      <c r="M188" s="217">
        <v>5401010161</v>
      </c>
      <c r="N188" s="21">
        <v>10</v>
      </c>
      <c r="O188" s="26" t="s">
        <v>2676</v>
      </c>
      <c r="P188" s="26" t="s">
        <v>2170</v>
      </c>
      <c r="Q188" t="s">
        <v>2813</v>
      </c>
      <c r="R188" t="s">
        <v>2801</v>
      </c>
      <c r="S188" s="7">
        <v>2980</v>
      </c>
      <c r="T188" s="7">
        <v>2980</v>
      </c>
      <c r="U188" s="7">
        <v>2980</v>
      </c>
      <c r="V188" s="7">
        <f t="shared" si="15"/>
        <v>0</v>
      </c>
      <c r="W188" s="5">
        <f t="shared" si="16"/>
        <v>0</v>
      </c>
      <c r="X188" s="123"/>
      <c r="Y188" s="33">
        <f>SUMPRODUCT((BIdetails!$J$5:$J$3000=M188)*(BIdetails!$K$5:$K$3000=N188)*(BIdetails!$M$5:$M$3000))</f>
        <v>0</v>
      </c>
      <c r="Z188" s="34">
        <f t="shared" si="17"/>
        <v>0</v>
      </c>
      <c r="AA188" s="31"/>
      <c r="AB188" s="31"/>
      <c r="AC188" s="31"/>
      <c r="AD188" s="31"/>
    </row>
    <row r="189" spans="1:16382" hidden="1" x14ac:dyDescent="0.25">
      <c r="A189" t="s">
        <v>2745</v>
      </c>
      <c r="B189" t="str">
        <f t="shared" si="14"/>
        <v>No Change</v>
      </c>
      <c r="C189" t="s">
        <v>3026</v>
      </c>
      <c r="D189">
        <v>68427709</v>
      </c>
      <c r="E189" s="95" t="s">
        <v>53</v>
      </c>
      <c r="F189" s="26" t="s">
        <v>54</v>
      </c>
      <c r="G189" s="26" t="s">
        <v>42</v>
      </c>
      <c r="H189" s="26" t="s">
        <v>2288</v>
      </c>
      <c r="I189">
        <v>0</v>
      </c>
      <c r="J189" t="s">
        <v>3027</v>
      </c>
      <c r="K189" s="26">
        <v>156247</v>
      </c>
      <c r="L189" s="26" t="s">
        <v>3028</v>
      </c>
      <c r="M189" s="28">
        <v>5401004143</v>
      </c>
      <c r="N189" s="28">
        <v>10</v>
      </c>
      <c r="O189" s="26" t="s">
        <v>2676</v>
      </c>
      <c r="P189" s="26" t="s">
        <v>227</v>
      </c>
      <c r="Q189" s="234" t="s">
        <v>2767</v>
      </c>
      <c r="R189" s="26" t="s">
        <v>2768</v>
      </c>
      <c r="S189" s="7">
        <v>30000</v>
      </c>
      <c r="T189" s="7">
        <v>33000</v>
      </c>
      <c r="U189" s="7">
        <v>33000</v>
      </c>
      <c r="V189" s="7">
        <f t="shared" si="15"/>
        <v>0</v>
      </c>
      <c r="W189" s="5">
        <f t="shared" si="16"/>
        <v>0</v>
      </c>
      <c r="X189" s="6"/>
      <c r="Y189" s="33">
        <f>SUMPRODUCT((BIdetails!$J$5:$J$3000=M189)*(BIdetails!$K$5:$K$3000=N189)*(BIdetails!$M$5:$M$3000))</f>
        <v>0</v>
      </c>
      <c r="Z189" s="34">
        <f t="shared" si="17"/>
        <v>0</v>
      </c>
      <c r="AA189" s="31"/>
      <c r="AB189" s="31"/>
      <c r="AC189" s="31"/>
      <c r="AD189" s="31"/>
    </row>
    <row r="190" spans="1:16382" hidden="1" x14ac:dyDescent="0.25">
      <c r="A190" t="s">
        <v>2783</v>
      </c>
      <c r="B190" t="str">
        <f t="shared" si="14"/>
        <v>No Change</v>
      </c>
      <c r="C190" t="s">
        <v>3029</v>
      </c>
      <c r="D190">
        <v>68427709</v>
      </c>
      <c r="E190" s="95" t="s">
        <v>53</v>
      </c>
      <c r="F190" t="s">
        <v>54</v>
      </c>
      <c r="G190" t="s">
        <v>42</v>
      </c>
      <c r="H190" t="s">
        <v>2187</v>
      </c>
      <c r="I190">
        <v>0</v>
      </c>
      <c r="J190" t="s">
        <v>3030</v>
      </c>
      <c r="K190" s="26">
        <v>197081</v>
      </c>
      <c r="L190" s="26" t="s">
        <v>390</v>
      </c>
      <c r="M190"/>
      <c r="O190" s="26" t="s">
        <v>2676</v>
      </c>
      <c r="P190" s="26" t="s">
        <v>2314</v>
      </c>
      <c r="Q190" t="s">
        <v>2767</v>
      </c>
      <c r="R190" t="s">
        <v>321</v>
      </c>
      <c r="S190" s="7">
        <v>99000</v>
      </c>
      <c r="T190" s="7">
        <v>0</v>
      </c>
      <c r="U190" s="7">
        <v>0</v>
      </c>
      <c r="V190" s="7">
        <f t="shared" si="15"/>
        <v>0</v>
      </c>
      <c r="W190" s="5">
        <f t="shared" si="16"/>
        <v>0</v>
      </c>
      <c r="X190" s="123"/>
      <c r="Y190" s="33">
        <f>SUMPRODUCT((BIdetails!$J$5:$J$3000=M190)*(BIdetails!$K$5:$K$3000=N190)*(BIdetails!$M$5:$M$3000))</f>
        <v>0</v>
      </c>
      <c r="Z190" s="34" t="str">
        <f t="shared" si="17"/>
        <v/>
      </c>
      <c r="AA190" s="31" t="s">
        <v>3031</v>
      </c>
      <c r="AB190" s="31" t="s">
        <v>2752</v>
      </c>
      <c r="AC190" s="31" t="s">
        <v>2785</v>
      </c>
      <c r="AD190" s="31"/>
    </row>
    <row r="191" spans="1:16382" hidden="1" x14ac:dyDescent="0.25">
      <c r="A191" t="s">
        <v>2783</v>
      </c>
      <c r="B191" t="str">
        <f t="shared" si="14"/>
        <v>No Change</v>
      </c>
      <c r="C191" t="s">
        <v>3032</v>
      </c>
      <c r="D191">
        <v>68427709</v>
      </c>
      <c r="E191" s="95" t="s">
        <v>53</v>
      </c>
      <c r="F191" t="s">
        <v>54</v>
      </c>
      <c r="G191" t="s">
        <v>42</v>
      </c>
      <c r="H191" t="s">
        <v>2415</v>
      </c>
      <c r="I191">
        <v>0</v>
      </c>
      <c r="J191" t="s">
        <v>3033</v>
      </c>
      <c r="K191" s="26">
        <v>197081</v>
      </c>
      <c r="L191" s="26" t="s">
        <v>390</v>
      </c>
      <c r="M191"/>
      <c r="O191" s="26" t="s">
        <v>2676</v>
      </c>
      <c r="P191" s="26" t="s">
        <v>2314</v>
      </c>
      <c r="Q191" t="s">
        <v>2767</v>
      </c>
      <c r="R191" t="s">
        <v>321</v>
      </c>
      <c r="S191" s="7">
        <v>23200</v>
      </c>
      <c r="T191" s="7">
        <v>0</v>
      </c>
      <c r="U191" s="7">
        <v>0</v>
      </c>
      <c r="V191" s="7">
        <f t="shared" si="15"/>
        <v>0</v>
      </c>
      <c r="W191" s="5">
        <f t="shared" si="16"/>
        <v>0</v>
      </c>
      <c r="X191" s="123"/>
      <c r="Y191" s="33">
        <f>SUMPRODUCT((BIdetails!$J$5:$J$3000=M191)*(BIdetails!$K$5:$K$3000=N191)*(BIdetails!$M$5:$M$3000))</f>
        <v>0</v>
      </c>
      <c r="Z191" s="34" t="str">
        <f t="shared" si="17"/>
        <v/>
      </c>
      <c r="AA191" s="31"/>
      <c r="AB191" s="31"/>
      <c r="AC191" s="31"/>
      <c r="AD191" s="31"/>
    </row>
    <row r="192" spans="1:16382" x14ac:dyDescent="0.25">
      <c r="A192" t="s">
        <v>2745</v>
      </c>
      <c r="B192" t="str">
        <f t="shared" si="14"/>
        <v>No Change</v>
      </c>
      <c r="D192">
        <v>68427709</v>
      </c>
      <c r="E192" s="95" t="s">
        <v>38</v>
      </c>
      <c r="F192" t="s">
        <v>40</v>
      </c>
      <c r="G192" t="s">
        <v>40</v>
      </c>
      <c r="H192" s="26" t="s">
        <v>2125</v>
      </c>
      <c r="I192" t="s">
        <v>2259</v>
      </c>
      <c r="J192" t="s">
        <v>2830</v>
      </c>
      <c r="K192" s="26">
        <v>209773</v>
      </c>
      <c r="L192" s="26" t="s">
        <v>68</v>
      </c>
      <c r="M192" s="21">
        <v>5401041896</v>
      </c>
      <c r="N192" s="21">
        <v>10</v>
      </c>
      <c r="O192" t="s">
        <v>2652</v>
      </c>
      <c r="P192" s="96" t="s">
        <v>2652</v>
      </c>
      <c r="Q192" t="s">
        <v>2762</v>
      </c>
      <c r="R192" s="96" t="s">
        <v>40</v>
      </c>
      <c r="S192" s="7">
        <v>74000</v>
      </c>
      <c r="T192" s="7">
        <v>74000</v>
      </c>
      <c r="U192" s="7">
        <v>74000</v>
      </c>
      <c r="V192" s="7">
        <f t="shared" si="15"/>
        <v>0</v>
      </c>
      <c r="W192" s="5">
        <f t="shared" si="16"/>
        <v>0</v>
      </c>
      <c r="X192" s="123"/>
      <c r="Y192" s="33">
        <f>SUMPRODUCT((BIdetails!$J$5:$J$3000=M192)*(BIdetails!$K$5:$K$3000=N192)*(BIdetails!$M$5:$M$3000))</f>
        <v>0</v>
      </c>
      <c r="Z192" s="34">
        <f t="shared" si="17"/>
        <v>0</v>
      </c>
      <c r="AA192" s="31"/>
      <c r="AB192" s="31"/>
      <c r="AC192" s="31"/>
      <c r="AD192" s="31"/>
      <c r="BI192" s="23"/>
      <c r="BJ192" s="23"/>
      <c r="BK192" s="24"/>
      <c r="BL192" s="23"/>
      <c r="BM192" s="23"/>
      <c r="BN192" s="23"/>
      <c r="BO192" s="1"/>
      <c r="BP192" s="1"/>
      <c r="BQ192" s="1"/>
      <c r="BR192" s="25"/>
      <c r="BU192" s="23"/>
      <c r="BV192" s="23"/>
      <c r="BW192" s="23"/>
      <c r="BX192" s="23"/>
      <c r="BY192" s="23"/>
      <c r="BZ192" s="23"/>
      <c r="CA192" s="24"/>
      <c r="CB192" s="23"/>
      <c r="CC192" s="23"/>
      <c r="CD192" s="23"/>
      <c r="CE192" s="1"/>
      <c r="CF192" s="1"/>
      <c r="CG192" s="1"/>
      <c r="CH192" s="25"/>
      <c r="CK192" s="23"/>
      <c r="CL192" s="23"/>
      <c r="CM192" s="23"/>
      <c r="CN192" s="23"/>
      <c r="CO192" s="23"/>
      <c r="CP192" s="23"/>
      <c r="CQ192" s="24"/>
      <c r="CR192" s="23"/>
      <c r="CS192" s="23"/>
      <c r="CT192" s="23"/>
      <c r="CU192" s="1"/>
      <c r="CV192" s="1"/>
      <c r="CW192" s="1"/>
      <c r="CX192" s="25"/>
      <c r="DA192" s="23"/>
      <c r="DB192" s="23"/>
      <c r="DC192" s="23"/>
      <c r="DD192" s="23"/>
      <c r="DE192" s="23"/>
      <c r="DF192" s="23"/>
      <c r="DG192" s="24"/>
      <c r="DH192" s="23"/>
      <c r="DI192" s="23"/>
      <c r="DJ192" s="23"/>
      <c r="DK192" s="1"/>
      <c r="DL192" s="1"/>
      <c r="DM192" s="1"/>
      <c r="DN192" s="25"/>
      <c r="DQ192" s="23"/>
      <c r="DR192" s="23"/>
      <c r="DS192" s="23"/>
      <c r="DT192" s="23"/>
      <c r="DU192" s="23"/>
      <c r="DV192" s="23"/>
      <c r="DW192" s="24"/>
      <c r="DX192" s="23"/>
      <c r="DY192" s="23"/>
      <c r="DZ192" s="23"/>
      <c r="EA192" s="1"/>
      <c r="EB192" s="1"/>
      <c r="EC192" s="1"/>
      <c r="ED192" s="25"/>
      <c r="EG192" s="23"/>
      <c r="EH192" s="23"/>
      <c r="EI192" s="23"/>
      <c r="EJ192" s="23"/>
      <c r="EK192" s="23"/>
      <c r="EL192" s="23"/>
      <c r="EM192" s="24"/>
      <c r="EN192" s="23"/>
      <c r="EO192" s="23"/>
      <c r="EP192" s="23"/>
      <c r="EQ192" s="1"/>
      <c r="ER192" s="1"/>
      <c r="ES192" s="1"/>
      <c r="ET192" s="25"/>
      <c r="EW192" s="23"/>
      <c r="EX192" s="23"/>
      <c r="EY192" s="23"/>
      <c r="EZ192" s="23"/>
      <c r="FA192" s="23"/>
      <c r="FB192" s="23"/>
      <c r="FC192" s="24"/>
      <c r="FD192" s="23"/>
      <c r="FE192" s="23"/>
      <c r="FF192" s="23"/>
      <c r="FG192" s="1"/>
      <c r="FH192" s="1"/>
      <c r="FI192" s="1"/>
      <c r="FJ192" s="25"/>
      <c r="FM192" s="23"/>
      <c r="FN192" s="23"/>
      <c r="FO192" s="23"/>
      <c r="FP192" s="23"/>
      <c r="FQ192" s="23"/>
      <c r="FR192" s="23"/>
      <c r="FS192" s="24"/>
      <c r="FT192" s="23"/>
      <c r="FU192" s="23"/>
      <c r="FV192" s="23"/>
      <c r="FW192" s="1"/>
      <c r="FX192" s="1"/>
      <c r="FY192" s="1"/>
      <c r="FZ192" s="25"/>
      <c r="GC192" s="23"/>
      <c r="GD192" s="23"/>
      <c r="GE192" s="23"/>
      <c r="GF192" s="23"/>
      <c r="GG192" s="23"/>
      <c r="GH192" s="23"/>
      <c r="GI192" s="24"/>
      <c r="GJ192" s="23"/>
      <c r="GK192" s="23"/>
      <c r="GL192" s="23"/>
      <c r="GM192" s="1"/>
      <c r="GN192" s="1"/>
      <c r="GO192" s="1"/>
      <c r="GP192" s="25"/>
      <c r="GS192" s="23"/>
      <c r="GT192" s="23"/>
      <c r="GU192" s="23"/>
      <c r="GV192" s="23"/>
      <c r="GW192" s="23"/>
      <c r="GX192" s="23"/>
      <c r="GY192" s="24"/>
      <c r="GZ192" s="23"/>
      <c r="HA192" s="23"/>
      <c r="HB192" s="23"/>
      <c r="HC192" s="1"/>
      <c r="HD192" s="1"/>
      <c r="HE192" s="1"/>
      <c r="HF192" s="25"/>
      <c r="HI192" s="23"/>
      <c r="HJ192" s="23"/>
      <c r="HK192" s="23"/>
      <c r="HL192" s="23"/>
      <c r="HM192" s="23"/>
      <c r="HN192" s="23"/>
      <c r="HO192" s="24"/>
      <c r="HP192" s="23"/>
      <c r="HQ192" s="23"/>
      <c r="HR192" s="23"/>
      <c r="HS192" s="1"/>
      <c r="HT192" s="1"/>
      <c r="HU192" s="1"/>
      <c r="HV192" s="25"/>
      <c r="HY192" s="23"/>
      <c r="HZ192" s="23"/>
      <c r="IA192" s="23"/>
      <c r="IB192" s="23"/>
      <c r="IC192" s="23"/>
      <c r="ID192" s="23"/>
      <c r="IE192" s="24"/>
      <c r="IF192" s="23"/>
      <c r="IG192" s="23"/>
      <c r="IH192" s="23"/>
      <c r="II192" s="1"/>
      <c r="IJ192" s="1"/>
      <c r="IK192" s="1"/>
      <c r="IL192" s="25"/>
      <c r="IO192" s="23"/>
      <c r="IP192" s="23"/>
      <c r="IQ192" s="23"/>
      <c r="IR192" s="23"/>
      <c r="IS192" s="23"/>
      <c r="IT192" s="23"/>
      <c r="IU192" s="24"/>
      <c r="IV192" s="23"/>
      <c r="IW192" s="23"/>
      <c r="IX192" s="23"/>
      <c r="IY192" s="1"/>
      <c r="IZ192" s="1"/>
      <c r="JA192" s="1"/>
      <c r="JB192" s="25"/>
      <c r="JE192" s="23"/>
      <c r="JF192" s="23"/>
      <c r="JG192" s="23"/>
      <c r="JH192" s="23"/>
      <c r="JI192" s="23"/>
      <c r="JJ192" s="23"/>
      <c r="JK192" s="24"/>
      <c r="JL192" s="23"/>
      <c r="JM192" s="23"/>
      <c r="JN192" s="23"/>
      <c r="JO192" s="1"/>
      <c r="JP192" s="1"/>
      <c r="JQ192" s="1"/>
      <c r="JR192" s="25"/>
      <c r="JU192" s="23"/>
      <c r="JV192" s="23"/>
      <c r="JW192" s="23"/>
      <c r="JX192" s="23"/>
      <c r="JY192" s="23"/>
      <c r="JZ192" s="23"/>
      <c r="KA192" s="24"/>
      <c r="KB192" s="23"/>
      <c r="KC192" s="23"/>
      <c r="KD192" s="23"/>
      <c r="KE192" s="1"/>
      <c r="KF192" s="1"/>
      <c r="KG192" s="1"/>
      <c r="KH192" s="25"/>
      <c r="KK192" s="23"/>
      <c r="KL192" s="23"/>
      <c r="KM192" s="23"/>
      <c r="KN192" s="23"/>
      <c r="KO192" s="23"/>
      <c r="KP192" s="23"/>
      <c r="KQ192" s="24"/>
      <c r="KR192" s="23"/>
      <c r="KS192" s="23"/>
      <c r="KT192" s="23"/>
      <c r="KU192" s="1"/>
      <c r="KV192" s="1"/>
      <c r="KW192" s="1"/>
      <c r="KX192" s="25"/>
      <c r="LA192" s="23"/>
      <c r="LB192" s="23"/>
      <c r="LC192" s="23"/>
      <c r="LD192" s="23"/>
      <c r="LE192" s="23"/>
      <c r="LF192" s="23"/>
      <c r="LG192" s="24"/>
      <c r="LH192" s="23"/>
      <c r="LI192" s="23"/>
      <c r="LJ192" s="23"/>
      <c r="LK192" s="1"/>
      <c r="LL192" s="1"/>
      <c r="LM192" s="1"/>
      <c r="LN192" s="25"/>
      <c r="LQ192" s="23"/>
      <c r="LR192" s="23"/>
      <c r="LS192" s="23"/>
      <c r="LT192" s="23"/>
      <c r="LU192" s="23"/>
      <c r="LV192" s="23"/>
      <c r="LW192" s="24"/>
      <c r="LX192" s="23"/>
      <c r="LY192" s="23"/>
      <c r="LZ192" s="23"/>
      <c r="MA192" s="1"/>
      <c r="MB192" s="1"/>
      <c r="MC192" s="1"/>
      <c r="MD192" s="25"/>
      <c r="MG192" s="23"/>
      <c r="MH192" s="23"/>
      <c r="MI192" s="23"/>
      <c r="MJ192" s="23"/>
      <c r="MK192" s="23"/>
      <c r="ML192" s="23"/>
      <c r="MM192" s="24"/>
      <c r="MN192" s="23"/>
      <c r="MO192" s="23"/>
      <c r="MP192" s="23"/>
      <c r="MQ192" s="1"/>
      <c r="MR192" s="1"/>
      <c r="MS192" s="1"/>
      <c r="MT192" s="25"/>
      <c r="MW192" s="23"/>
      <c r="MX192" s="23"/>
      <c r="MY192" s="23"/>
      <c r="MZ192" s="23"/>
      <c r="NA192" s="23"/>
      <c r="NB192" s="23"/>
      <c r="NC192" s="24"/>
      <c r="ND192" s="23"/>
      <c r="NE192" s="23"/>
      <c r="NF192" s="23"/>
      <c r="NG192" s="1"/>
      <c r="NH192" s="1"/>
      <c r="NI192" s="1"/>
      <c r="NJ192" s="25"/>
      <c r="NM192" s="23"/>
      <c r="NN192" s="23"/>
      <c r="NO192" s="23"/>
      <c r="NP192" s="23"/>
      <c r="NQ192" s="23"/>
      <c r="NR192" s="23"/>
      <c r="NS192" s="24"/>
      <c r="NT192" s="23"/>
      <c r="NU192" s="23"/>
      <c r="NV192" s="23"/>
      <c r="NW192" s="1"/>
      <c r="NX192" s="1"/>
      <c r="NY192" s="1"/>
      <c r="NZ192" s="25"/>
      <c r="OC192" s="23"/>
      <c r="OD192" s="23"/>
      <c r="OE192" s="23"/>
      <c r="OF192" s="23"/>
      <c r="OG192" s="23"/>
      <c r="OH192" s="23"/>
      <c r="OI192" s="24"/>
      <c r="OJ192" s="23"/>
      <c r="OK192" s="23"/>
      <c r="OL192" s="23"/>
      <c r="OM192" s="1"/>
      <c r="ON192" s="1"/>
      <c r="OO192" s="1"/>
      <c r="OP192" s="25"/>
      <c r="OS192" s="23"/>
      <c r="OT192" s="23"/>
      <c r="OU192" s="23"/>
      <c r="OV192" s="23"/>
      <c r="OW192" s="23"/>
      <c r="OX192" s="23"/>
      <c r="OY192" s="24"/>
      <c r="OZ192" s="23"/>
      <c r="PA192" s="23"/>
      <c r="PB192" s="23"/>
      <c r="PC192" s="1"/>
      <c r="PD192" s="1"/>
      <c r="PE192" s="1"/>
      <c r="PF192" s="25"/>
      <c r="PI192" s="23"/>
      <c r="PJ192" s="23"/>
      <c r="PK192" s="23"/>
      <c r="PL192" s="23"/>
      <c r="PM192" s="23"/>
      <c r="PN192" s="23"/>
      <c r="PO192" s="24"/>
      <c r="PP192" s="23"/>
      <c r="PQ192" s="23"/>
      <c r="PR192" s="23"/>
      <c r="PS192" s="1"/>
      <c r="PT192" s="1"/>
      <c r="PU192" s="1"/>
      <c r="PV192" s="25"/>
      <c r="PY192" s="23"/>
      <c r="PZ192" s="23"/>
      <c r="QA192" s="23"/>
      <c r="QB192" s="23"/>
      <c r="QC192" s="23"/>
      <c r="QD192" s="23"/>
      <c r="QE192" s="24"/>
      <c r="QF192" s="23"/>
      <c r="QG192" s="23"/>
      <c r="QH192" s="23"/>
      <c r="QI192" s="1"/>
      <c r="QJ192" s="1"/>
      <c r="QK192" s="1"/>
      <c r="QL192" s="25"/>
      <c r="QO192" s="23"/>
      <c r="QP192" s="23"/>
      <c r="QQ192" s="23"/>
      <c r="QR192" s="23"/>
      <c r="QS192" s="23"/>
      <c r="QT192" s="23"/>
      <c r="QU192" s="24"/>
      <c r="QV192" s="23"/>
      <c r="QW192" s="23"/>
      <c r="QX192" s="23"/>
      <c r="QY192" s="1"/>
      <c r="QZ192" s="1"/>
      <c r="RA192" s="1"/>
      <c r="RB192" s="25"/>
      <c r="RE192" s="23"/>
      <c r="RF192" s="23"/>
      <c r="RG192" s="23"/>
      <c r="RH192" s="23"/>
      <c r="RI192" s="23"/>
      <c r="RJ192" s="23"/>
      <c r="RK192" s="24"/>
      <c r="RL192" s="23"/>
      <c r="RM192" s="23"/>
      <c r="RN192" s="23"/>
      <c r="RO192" s="1"/>
      <c r="RP192" s="1"/>
      <c r="RQ192" s="1"/>
      <c r="RR192" s="25"/>
      <c r="RU192" s="23"/>
      <c r="RV192" s="23"/>
      <c r="RW192" s="23"/>
      <c r="RX192" s="23"/>
      <c r="RY192" s="23"/>
      <c r="RZ192" s="23"/>
      <c r="SA192" s="24"/>
      <c r="SB192" s="23"/>
      <c r="SC192" s="23"/>
      <c r="SD192" s="23"/>
      <c r="SE192" s="1"/>
      <c r="SF192" s="1"/>
      <c r="SG192" s="1"/>
      <c r="SH192" s="25"/>
      <c r="SK192" s="23"/>
      <c r="SL192" s="23"/>
      <c r="SM192" s="23"/>
      <c r="SN192" s="23"/>
      <c r="SO192" s="23"/>
      <c r="SP192" s="23"/>
      <c r="SQ192" s="24"/>
      <c r="SR192" s="23"/>
      <c r="SS192" s="23"/>
      <c r="ST192" s="23"/>
      <c r="SU192" s="1"/>
      <c r="SV192" s="1"/>
      <c r="SW192" s="1"/>
      <c r="SX192" s="25"/>
      <c r="TA192" s="23"/>
      <c r="TB192" s="23"/>
      <c r="TC192" s="23"/>
      <c r="TD192" s="23"/>
      <c r="TE192" s="23"/>
      <c r="TF192" s="23"/>
      <c r="TG192" s="24"/>
      <c r="TH192" s="23"/>
      <c r="TI192" s="23"/>
      <c r="TJ192" s="23"/>
      <c r="TK192" s="1"/>
      <c r="TL192" s="1"/>
      <c r="TM192" s="1"/>
      <c r="TN192" s="25"/>
      <c r="TQ192" s="23"/>
      <c r="TR192" s="23"/>
      <c r="TS192" s="23"/>
      <c r="TT192" s="23"/>
      <c r="TU192" s="23"/>
      <c r="TV192" s="23"/>
      <c r="TW192" s="24"/>
      <c r="TX192" s="23"/>
      <c r="TY192" s="23"/>
      <c r="TZ192" s="23"/>
      <c r="UA192" s="1"/>
      <c r="UB192" s="1"/>
      <c r="UC192" s="1"/>
      <c r="UD192" s="25"/>
      <c r="UG192" s="23"/>
      <c r="UH192" s="23"/>
      <c r="UI192" s="23"/>
      <c r="UJ192" s="23"/>
      <c r="UK192" s="23"/>
      <c r="UL192" s="23"/>
      <c r="UM192" s="24"/>
      <c r="UN192" s="23"/>
      <c r="UO192" s="23"/>
      <c r="UP192" s="23"/>
      <c r="UQ192" s="1"/>
      <c r="UR192" s="1"/>
      <c r="US192" s="1"/>
      <c r="UT192" s="25"/>
      <c r="UW192" s="23"/>
      <c r="UX192" s="23"/>
      <c r="UY192" s="23"/>
      <c r="UZ192" s="23"/>
      <c r="VA192" s="23"/>
      <c r="VB192" s="23"/>
      <c r="VC192" s="24"/>
      <c r="VD192" s="23"/>
      <c r="VE192" s="23"/>
      <c r="VF192" s="23"/>
      <c r="VG192" s="1"/>
      <c r="VH192" s="1"/>
      <c r="VI192" s="1"/>
      <c r="VJ192" s="25"/>
      <c r="VM192" s="23"/>
      <c r="VN192" s="23"/>
      <c r="VO192" s="23"/>
      <c r="VP192" s="23"/>
      <c r="VQ192" s="23"/>
      <c r="VR192" s="23"/>
      <c r="VS192" s="24"/>
      <c r="VT192" s="23"/>
      <c r="VU192" s="23"/>
      <c r="VV192" s="23"/>
      <c r="VW192" s="1"/>
      <c r="VX192" s="1"/>
      <c r="VY192" s="1"/>
      <c r="VZ192" s="25"/>
      <c r="WC192" s="23"/>
      <c r="WD192" s="23"/>
      <c r="WE192" s="23"/>
      <c r="WF192" s="23"/>
      <c r="WG192" s="23"/>
      <c r="WH192" s="23"/>
      <c r="WI192" s="24"/>
      <c r="WJ192" s="23"/>
      <c r="WK192" s="23"/>
      <c r="WL192" s="23"/>
      <c r="WM192" s="1"/>
      <c r="WN192" s="1"/>
      <c r="WO192" s="1"/>
      <c r="WP192" s="25"/>
      <c r="WS192" s="23"/>
      <c r="WT192" s="23"/>
      <c r="WU192" s="23"/>
      <c r="WV192" s="23"/>
      <c r="WW192" s="23"/>
      <c r="WX192" s="23"/>
      <c r="WY192" s="24"/>
      <c r="WZ192" s="23"/>
      <c r="XA192" s="23"/>
      <c r="XB192" s="23"/>
      <c r="XC192" s="1"/>
      <c r="XD192" s="1"/>
      <c r="XE192" s="1"/>
      <c r="XF192" s="25"/>
      <c r="XI192" s="23"/>
      <c r="XJ192" s="23"/>
      <c r="XK192" s="23"/>
      <c r="XL192" s="23"/>
      <c r="XM192" s="23"/>
      <c r="XN192" s="23"/>
      <c r="XO192" s="24"/>
      <c r="XP192" s="23"/>
      <c r="XQ192" s="23"/>
      <c r="XR192" s="23"/>
      <c r="XS192" s="1"/>
      <c r="XT192" s="1"/>
      <c r="XU192" s="1"/>
      <c r="XV192" s="25"/>
      <c r="XY192" s="23"/>
      <c r="XZ192" s="23"/>
      <c r="YA192" s="23"/>
      <c r="YB192" s="23"/>
      <c r="YC192" s="23"/>
      <c r="YD192" s="23"/>
      <c r="YE192" s="24"/>
      <c r="YF192" s="23"/>
      <c r="YG192" s="23"/>
      <c r="YH192" s="23"/>
      <c r="YI192" s="1"/>
      <c r="YJ192" s="1"/>
      <c r="YK192" s="1"/>
      <c r="YL192" s="25"/>
      <c r="YO192" s="23"/>
      <c r="YP192" s="23"/>
      <c r="YQ192" s="23"/>
      <c r="YR192" s="23"/>
      <c r="YS192" s="23"/>
      <c r="YT192" s="23"/>
      <c r="YU192" s="24"/>
      <c r="YV192" s="23"/>
      <c r="YW192" s="23"/>
      <c r="YX192" s="23"/>
      <c r="YY192" s="1"/>
      <c r="YZ192" s="1"/>
      <c r="ZA192" s="1"/>
      <c r="ZB192" s="25"/>
      <c r="ZE192" s="23"/>
      <c r="ZF192" s="23"/>
      <c r="ZG192" s="23"/>
      <c r="ZH192" s="23"/>
      <c r="ZI192" s="23"/>
      <c r="ZJ192" s="23"/>
      <c r="ZK192" s="24"/>
      <c r="ZL192" s="23"/>
      <c r="ZM192" s="23"/>
      <c r="ZN192" s="23"/>
      <c r="ZO192" s="1"/>
      <c r="ZP192" s="1"/>
      <c r="ZQ192" s="1"/>
      <c r="ZR192" s="25"/>
      <c r="ZU192" s="23"/>
      <c r="ZV192" s="23"/>
      <c r="ZW192" s="23"/>
      <c r="ZX192" s="23"/>
      <c r="ZY192" s="23"/>
      <c r="ZZ192" s="23"/>
      <c r="AAA192" s="24"/>
      <c r="AAB192" s="23"/>
      <c r="AAC192" s="23"/>
      <c r="AAD192" s="23"/>
      <c r="AAE192" s="1"/>
      <c r="AAF192" s="1"/>
      <c r="AAG192" s="1"/>
      <c r="AAH192" s="25"/>
      <c r="AAK192" s="23"/>
      <c r="AAL192" s="23"/>
      <c r="AAM192" s="23"/>
      <c r="AAN192" s="23"/>
      <c r="AAO192" s="23"/>
      <c r="AAP192" s="23"/>
      <c r="AAQ192" s="24"/>
      <c r="AAR192" s="23"/>
      <c r="AAS192" s="23"/>
      <c r="AAT192" s="23"/>
      <c r="AAU192" s="1"/>
      <c r="AAV192" s="1"/>
      <c r="AAW192" s="1"/>
      <c r="AAX192" s="25"/>
      <c r="ABA192" s="23"/>
      <c r="ABB192" s="23"/>
      <c r="ABC192" s="23"/>
      <c r="ABD192" s="23"/>
      <c r="ABE192" s="23"/>
      <c r="ABF192" s="23"/>
      <c r="ABG192" s="24"/>
      <c r="ABH192" s="23"/>
      <c r="ABI192" s="23"/>
      <c r="ABJ192" s="23"/>
      <c r="ABK192" s="1"/>
      <c r="ABL192" s="1"/>
      <c r="ABM192" s="1"/>
      <c r="ABN192" s="25"/>
      <c r="ABQ192" s="23"/>
      <c r="ABR192" s="23"/>
      <c r="ABS192" s="23"/>
      <c r="ABT192" s="23"/>
      <c r="ABU192" s="23"/>
      <c r="ABV192" s="23"/>
      <c r="ABW192" s="24"/>
      <c r="ABX192" s="23"/>
      <c r="ABY192" s="23"/>
      <c r="ABZ192" s="23"/>
      <c r="ACA192" s="1"/>
      <c r="ACB192" s="1"/>
      <c r="ACC192" s="1"/>
      <c r="ACD192" s="25"/>
      <c r="ACG192" s="23"/>
      <c r="ACH192" s="23"/>
      <c r="ACI192" s="23"/>
      <c r="ACJ192" s="23"/>
      <c r="ACK192" s="23"/>
      <c r="ACL192" s="23"/>
      <c r="ACM192" s="24"/>
      <c r="ACN192" s="23"/>
      <c r="ACO192" s="23"/>
      <c r="ACP192" s="23"/>
      <c r="ACQ192" s="1"/>
      <c r="ACR192" s="1"/>
      <c r="ACS192" s="1"/>
      <c r="ACT192" s="25"/>
      <c r="ACW192" s="23"/>
      <c r="ACX192" s="23"/>
      <c r="ACY192" s="23"/>
      <c r="ACZ192" s="23"/>
      <c r="ADA192" s="23"/>
      <c r="ADB192" s="23"/>
      <c r="ADC192" s="24"/>
      <c r="ADD192" s="23"/>
      <c r="ADE192" s="23"/>
      <c r="ADF192" s="23"/>
      <c r="ADG192" s="1"/>
      <c r="ADH192" s="1"/>
      <c r="ADI192" s="1"/>
      <c r="ADJ192" s="25"/>
      <c r="ADM192" s="23"/>
      <c r="ADN192" s="23"/>
      <c r="ADO192" s="23"/>
      <c r="ADP192" s="23"/>
      <c r="ADQ192" s="23"/>
      <c r="ADR192" s="23"/>
      <c r="ADS192" s="24"/>
      <c r="ADT192" s="23"/>
      <c r="ADU192" s="23"/>
      <c r="ADV192" s="23"/>
      <c r="ADW192" s="1"/>
      <c r="ADX192" s="1"/>
      <c r="ADY192" s="1"/>
      <c r="ADZ192" s="25"/>
      <c r="AEC192" s="23"/>
      <c r="AED192" s="23"/>
      <c r="AEE192" s="23"/>
      <c r="AEF192" s="23"/>
      <c r="AEG192" s="23"/>
      <c r="AEH192" s="23"/>
      <c r="AEI192" s="24"/>
      <c r="AEJ192" s="23"/>
      <c r="AEK192" s="23"/>
      <c r="AEL192" s="23"/>
      <c r="AEM192" s="1"/>
      <c r="AEN192" s="1"/>
      <c r="AEO192" s="1"/>
      <c r="AEP192" s="25"/>
      <c r="AES192" s="23"/>
      <c r="AET192" s="23"/>
      <c r="AEU192" s="23"/>
      <c r="AEV192" s="23"/>
      <c r="AEW192" s="23"/>
      <c r="AEX192" s="23"/>
      <c r="AEY192" s="24"/>
      <c r="AEZ192" s="23"/>
      <c r="AFA192" s="23"/>
      <c r="AFB192" s="23"/>
      <c r="AFC192" s="1"/>
      <c r="AFD192" s="1"/>
      <c r="AFE192" s="1"/>
      <c r="AFF192" s="25"/>
      <c r="AFI192" s="23"/>
      <c r="AFJ192" s="23"/>
      <c r="AFK192" s="23"/>
      <c r="AFL192" s="23"/>
      <c r="AFM192" s="23"/>
      <c r="AFN192" s="23"/>
      <c r="AFO192" s="24"/>
      <c r="AFP192" s="23"/>
      <c r="AFQ192" s="23"/>
      <c r="AFR192" s="23"/>
      <c r="AFS192" s="1"/>
      <c r="AFT192" s="1"/>
      <c r="AFU192" s="1"/>
      <c r="AFV192" s="25"/>
      <c r="AFY192" s="23"/>
      <c r="AFZ192" s="23"/>
      <c r="AGA192" s="23"/>
      <c r="AGB192" s="23"/>
      <c r="AGC192" s="23"/>
      <c r="AGD192" s="23"/>
      <c r="AGE192" s="24"/>
      <c r="AGF192" s="23"/>
      <c r="AGG192" s="23"/>
      <c r="AGH192" s="23"/>
      <c r="AGI192" s="1"/>
      <c r="AGJ192" s="1"/>
      <c r="AGK192" s="1"/>
      <c r="AGL192" s="25"/>
      <c r="AGO192" s="23"/>
      <c r="AGP192" s="23"/>
      <c r="AGQ192" s="23"/>
      <c r="AGR192" s="23"/>
      <c r="AGS192" s="23"/>
      <c r="AGT192" s="23"/>
      <c r="AGU192" s="24"/>
      <c r="AGV192" s="23"/>
      <c r="AGW192" s="23"/>
      <c r="AGX192" s="23"/>
      <c r="AGY192" s="1"/>
      <c r="AGZ192" s="1"/>
      <c r="AHA192" s="1"/>
      <c r="AHB192" s="25"/>
      <c r="AHE192" s="23"/>
      <c r="AHF192" s="23"/>
      <c r="AHG192" s="23"/>
      <c r="AHH192" s="23"/>
      <c r="AHI192" s="23"/>
      <c r="AHJ192" s="23"/>
      <c r="AHK192" s="24"/>
      <c r="AHL192" s="23"/>
      <c r="AHM192" s="23"/>
      <c r="AHN192" s="23"/>
      <c r="AHO192" s="1"/>
      <c r="AHP192" s="1"/>
      <c r="AHQ192" s="1"/>
      <c r="AHR192" s="25"/>
      <c r="AHU192" s="23"/>
      <c r="AHV192" s="23"/>
      <c r="AHW192" s="23"/>
      <c r="AHX192" s="23"/>
      <c r="AHY192" s="23"/>
      <c r="AHZ192" s="23"/>
      <c r="AIA192" s="24"/>
      <c r="AIB192" s="23"/>
      <c r="AIC192" s="23"/>
      <c r="AID192" s="23"/>
      <c r="AIE192" s="1"/>
      <c r="AIF192" s="1"/>
      <c r="AIG192" s="1"/>
      <c r="AIH192" s="25"/>
      <c r="AIK192" s="23"/>
      <c r="AIL192" s="23"/>
      <c r="AIM192" s="23"/>
      <c r="AIN192" s="23"/>
      <c r="AIO192" s="23"/>
      <c r="AIP192" s="23"/>
      <c r="AIQ192" s="24"/>
      <c r="AIR192" s="23"/>
      <c r="AIS192" s="23"/>
      <c r="AIT192" s="23"/>
      <c r="AIU192" s="1"/>
      <c r="AIV192" s="1"/>
      <c r="AIW192" s="1"/>
      <c r="AIX192" s="25"/>
      <c r="AJA192" s="23"/>
      <c r="AJB192" s="23"/>
      <c r="AJC192" s="23"/>
      <c r="AJD192" s="23"/>
      <c r="AJE192" s="23"/>
      <c r="AJF192" s="23"/>
      <c r="AJG192" s="24"/>
      <c r="AJH192" s="23"/>
      <c r="AJI192" s="23"/>
      <c r="AJJ192" s="23"/>
      <c r="AJK192" s="1"/>
      <c r="AJL192" s="1"/>
      <c r="AJM192" s="1"/>
      <c r="AJN192" s="25"/>
      <c r="AJQ192" s="23"/>
      <c r="AJR192" s="23"/>
      <c r="AJS192" s="23"/>
      <c r="AJT192" s="23"/>
      <c r="AJU192" s="23"/>
      <c r="AJV192" s="23"/>
      <c r="AJW192" s="24"/>
      <c r="AJX192" s="23"/>
      <c r="AJY192" s="23"/>
      <c r="AJZ192" s="23"/>
      <c r="AKA192" s="1"/>
      <c r="AKB192" s="1"/>
      <c r="AKC192" s="1"/>
      <c r="AKD192" s="25"/>
      <c r="AKG192" s="23"/>
      <c r="AKH192" s="23"/>
      <c r="AKI192" s="23"/>
      <c r="AKJ192" s="23"/>
      <c r="AKK192" s="23"/>
      <c r="AKL192" s="23"/>
      <c r="AKM192" s="24"/>
      <c r="AKN192" s="23"/>
      <c r="AKO192" s="23"/>
      <c r="AKP192" s="23"/>
      <c r="AKQ192" s="1"/>
      <c r="AKR192" s="1"/>
      <c r="AKS192" s="1"/>
      <c r="AKT192" s="25"/>
      <c r="AKW192" s="23"/>
      <c r="AKX192" s="23"/>
      <c r="AKY192" s="23"/>
      <c r="AKZ192" s="23"/>
      <c r="ALA192" s="23"/>
      <c r="ALB192" s="23"/>
      <c r="ALC192" s="24"/>
      <c r="ALD192" s="23"/>
      <c r="ALE192" s="23"/>
      <c r="ALF192" s="23"/>
      <c r="ALG192" s="1"/>
      <c r="ALH192" s="1"/>
      <c r="ALI192" s="1"/>
      <c r="ALJ192" s="25"/>
      <c r="ALM192" s="23"/>
      <c r="ALN192" s="23"/>
      <c r="ALO192" s="23"/>
      <c r="ALP192" s="23"/>
      <c r="ALQ192" s="23"/>
      <c r="ALR192" s="23"/>
      <c r="ALS192" s="24"/>
      <c r="ALT192" s="23"/>
      <c r="ALU192" s="23"/>
      <c r="ALV192" s="23"/>
      <c r="ALW192" s="1"/>
      <c r="ALX192" s="1"/>
      <c r="ALY192" s="1"/>
      <c r="ALZ192" s="25"/>
      <c r="AMC192" s="23"/>
      <c r="AMD192" s="23"/>
      <c r="AME192" s="23"/>
      <c r="AMF192" s="23"/>
      <c r="AMG192" s="23"/>
      <c r="AMH192" s="23"/>
      <c r="AMI192" s="24"/>
      <c r="AMJ192" s="23"/>
      <c r="AMK192" s="23"/>
      <c r="AML192" s="23"/>
      <c r="AMM192" s="1"/>
      <c r="AMN192" s="1"/>
      <c r="AMO192" s="1"/>
      <c r="AMP192" s="25"/>
      <c r="AMS192" s="23"/>
      <c r="AMT192" s="23"/>
      <c r="AMU192" s="23"/>
      <c r="AMV192" s="23"/>
      <c r="AMW192" s="23"/>
      <c r="AMX192" s="23"/>
      <c r="AMY192" s="24"/>
      <c r="AMZ192" s="23"/>
      <c r="ANA192" s="23"/>
      <c r="ANB192" s="23"/>
      <c r="ANC192" s="1"/>
      <c r="AND192" s="1"/>
      <c r="ANE192" s="1"/>
      <c r="ANF192" s="25"/>
      <c r="ANI192" s="23"/>
      <c r="ANJ192" s="23"/>
      <c r="ANK192" s="23"/>
      <c r="ANL192" s="23"/>
      <c r="ANM192" s="23"/>
      <c r="ANN192" s="23"/>
      <c r="ANO192" s="24"/>
      <c r="ANP192" s="23"/>
      <c r="ANQ192" s="23"/>
      <c r="ANR192" s="23"/>
      <c r="ANS192" s="1"/>
      <c r="ANT192" s="1"/>
      <c r="ANU192" s="1"/>
      <c r="ANV192" s="25"/>
      <c r="ANY192" s="23"/>
      <c r="ANZ192" s="23"/>
      <c r="AOA192" s="23"/>
      <c r="AOB192" s="23"/>
      <c r="AOC192" s="23"/>
      <c r="AOD192" s="23"/>
      <c r="AOE192" s="24"/>
      <c r="AOF192" s="23"/>
      <c r="AOG192" s="23"/>
      <c r="AOH192" s="23"/>
      <c r="AOI192" s="1"/>
      <c r="AOJ192" s="1"/>
      <c r="AOK192" s="1"/>
      <c r="AOL192" s="25"/>
      <c r="AOO192" s="23"/>
      <c r="AOP192" s="23"/>
      <c r="AOQ192" s="23"/>
      <c r="AOR192" s="23"/>
      <c r="AOS192" s="23"/>
      <c r="AOT192" s="23"/>
      <c r="AOU192" s="24"/>
      <c r="AOV192" s="23"/>
      <c r="AOW192" s="23"/>
      <c r="AOX192" s="23"/>
      <c r="AOY192" s="1"/>
      <c r="AOZ192" s="1"/>
      <c r="APA192" s="1"/>
      <c r="APB192" s="25"/>
      <c r="APE192" s="23"/>
      <c r="APF192" s="23"/>
      <c r="APG192" s="23"/>
      <c r="APH192" s="23"/>
      <c r="API192" s="23"/>
      <c r="APJ192" s="23"/>
      <c r="APK192" s="24"/>
      <c r="APL192" s="23"/>
      <c r="APM192" s="23"/>
      <c r="APN192" s="23"/>
      <c r="APO192" s="1"/>
      <c r="APP192" s="1"/>
      <c r="APQ192" s="1"/>
      <c r="APR192" s="25"/>
      <c r="APU192" s="23"/>
      <c r="APV192" s="23"/>
      <c r="APW192" s="23"/>
      <c r="APX192" s="23"/>
      <c r="APY192" s="23"/>
      <c r="APZ192" s="23"/>
      <c r="AQA192" s="24"/>
      <c r="AQB192" s="23"/>
      <c r="AQC192" s="23"/>
      <c r="AQD192" s="23"/>
      <c r="AQE192" s="1"/>
      <c r="AQF192" s="1"/>
      <c r="AQG192" s="1"/>
      <c r="AQH192" s="25"/>
      <c r="AQK192" s="23"/>
      <c r="AQL192" s="23"/>
      <c r="AQM192" s="23"/>
      <c r="AQN192" s="23"/>
      <c r="AQO192" s="23"/>
      <c r="AQP192" s="23"/>
      <c r="AQQ192" s="24"/>
      <c r="AQR192" s="23"/>
      <c r="AQS192" s="23"/>
      <c r="AQT192" s="23"/>
      <c r="AQU192" s="1"/>
      <c r="AQV192" s="1"/>
      <c r="AQW192" s="1"/>
      <c r="AQX192" s="25"/>
      <c r="ARA192" s="23"/>
      <c r="ARB192" s="23"/>
      <c r="ARC192" s="23"/>
      <c r="ARD192" s="23"/>
      <c r="ARE192" s="23"/>
      <c r="ARF192" s="23"/>
      <c r="ARG192" s="24"/>
      <c r="ARH192" s="23"/>
      <c r="ARI192" s="23"/>
      <c r="ARJ192" s="23"/>
      <c r="ARK192" s="1"/>
      <c r="ARL192" s="1"/>
      <c r="ARM192" s="1"/>
      <c r="ARN192" s="25"/>
      <c r="ARQ192" s="23"/>
      <c r="ARR192" s="23"/>
      <c r="ARS192" s="23"/>
      <c r="ART192" s="23"/>
      <c r="ARU192" s="23"/>
      <c r="ARV192" s="23"/>
      <c r="ARW192" s="24"/>
      <c r="ARX192" s="23"/>
      <c r="ARY192" s="23"/>
      <c r="ARZ192" s="23"/>
      <c r="ASA192" s="1"/>
      <c r="ASB192" s="1"/>
      <c r="ASC192" s="1"/>
      <c r="ASD192" s="25"/>
      <c r="ASG192" s="23"/>
      <c r="ASH192" s="23"/>
      <c r="ASI192" s="23"/>
      <c r="ASJ192" s="23"/>
      <c r="ASK192" s="23"/>
      <c r="ASL192" s="23"/>
      <c r="ASM192" s="24"/>
      <c r="ASN192" s="23"/>
      <c r="ASO192" s="23"/>
      <c r="ASP192" s="23"/>
      <c r="ASQ192" s="1"/>
      <c r="ASR192" s="1"/>
      <c r="ASS192" s="1"/>
      <c r="AST192" s="25"/>
      <c r="ASW192" s="23"/>
      <c r="ASX192" s="23"/>
      <c r="ASY192" s="23"/>
      <c r="ASZ192" s="23"/>
      <c r="ATA192" s="23"/>
      <c r="ATB192" s="23"/>
      <c r="ATC192" s="24"/>
      <c r="ATD192" s="23"/>
      <c r="ATE192" s="23"/>
      <c r="ATF192" s="23"/>
      <c r="ATG192" s="1"/>
      <c r="ATH192" s="1"/>
      <c r="ATI192" s="1"/>
      <c r="ATJ192" s="25"/>
      <c r="ATM192" s="23"/>
      <c r="ATN192" s="23"/>
      <c r="ATO192" s="23"/>
      <c r="ATP192" s="23"/>
      <c r="ATQ192" s="23"/>
      <c r="ATR192" s="23"/>
      <c r="ATS192" s="24"/>
      <c r="ATT192" s="23"/>
      <c r="ATU192" s="23"/>
      <c r="ATV192" s="23"/>
      <c r="ATW192" s="1"/>
      <c r="ATX192" s="1"/>
      <c r="ATY192" s="1"/>
      <c r="ATZ192" s="25"/>
      <c r="AUC192" s="23"/>
      <c r="AUD192" s="23"/>
      <c r="AUE192" s="23"/>
      <c r="AUF192" s="23"/>
      <c r="AUG192" s="23"/>
      <c r="AUH192" s="23"/>
      <c r="AUI192" s="24"/>
      <c r="AUJ192" s="23"/>
      <c r="AUK192" s="23"/>
      <c r="AUL192" s="23"/>
      <c r="AUM192" s="1"/>
      <c r="AUN192" s="1"/>
      <c r="AUO192" s="1"/>
      <c r="AUP192" s="25"/>
      <c r="AUS192" s="23"/>
      <c r="AUT192" s="23"/>
      <c r="AUU192" s="23"/>
      <c r="AUV192" s="23"/>
      <c r="AUW192" s="23"/>
      <c r="AUX192" s="23"/>
      <c r="AUY192" s="24"/>
      <c r="AUZ192" s="23"/>
      <c r="AVA192" s="23"/>
      <c r="AVB192" s="23"/>
      <c r="AVC192" s="1"/>
      <c r="AVD192" s="1"/>
      <c r="AVE192" s="1"/>
      <c r="AVF192" s="25"/>
      <c r="AVI192" s="23"/>
      <c r="AVJ192" s="23"/>
      <c r="AVK192" s="23"/>
      <c r="AVL192" s="23"/>
      <c r="AVM192" s="23"/>
      <c r="AVN192" s="23"/>
      <c r="AVO192" s="24"/>
      <c r="AVP192" s="23"/>
      <c r="AVQ192" s="23"/>
      <c r="AVR192" s="23"/>
      <c r="AVS192" s="1"/>
      <c r="AVT192" s="1"/>
      <c r="AVU192" s="1"/>
      <c r="AVV192" s="25"/>
      <c r="AVY192" s="23"/>
      <c r="AVZ192" s="23"/>
      <c r="AWA192" s="23"/>
      <c r="AWB192" s="23"/>
      <c r="AWC192" s="23"/>
      <c r="AWD192" s="23"/>
      <c r="AWE192" s="24"/>
      <c r="AWF192" s="23"/>
      <c r="AWG192" s="23"/>
      <c r="AWH192" s="23"/>
      <c r="AWI192" s="1"/>
      <c r="AWJ192" s="1"/>
      <c r="AWK192" s="1"/>
      <c r="AWL192" s="25"/>
      <c r="AWO192" s="23"/>
      <c r="AWP192" s="23"/>
      <c r="AWQ192" s="23"/>
      <c r="AWR192" s="23"/>
      <c r="AWS192" s="23"/>
      <c r="AWT192" s="23"/>
      <c r="AWU192" s="24"/>
      <c r="AWV192" s="23"/>
      <c r="AWW192" s="23"/>
      <c r="AWX192" s="23"/>
      <c r="AWY192" s="1"/>
      <c r="AWZ192" s="1"/>
      <c r="AXA192" s="1"/>
      <c r="AXB192" s="25"/>
      <c r="AXE192" s="23"/>
      <c r="AXF192" s="23"/>
      <c r="AXG192" s="23"/>
      <c r="AXH192" s="23"/>
      <c r="AXI192" s="23"/>
      <c r="AXJ192" s="23"/>
      <c r="AXK192" s="24"/>
      <c r="AXL192" s="23"/>
      <c r="AXM192" s="23"/>
      <c r="AXN192" s="23"/>
      <c r="AXO192" s="1"/>
      <c r="AXP192" s="1"/>
      <c r="AXQ192" s="1"/>
      <c r="AXR192" s="25"/>
      <c r="AXU192" s="23"/>
      <c r="AXV192" s="23"/>
      <c r="AXW192" s="23"/>
      <c r="AXX192" s="23"/>
      <c r="AXY192" s="23"/>
      <c r="AXZ192" s="23"/>
      <c r="AYA192" s="24"/>
      <c r="AYB192" s="23"/>
      <c r="AYC192" s="23"/>
      <c r="AYD192" s="23"/>
      <c r="AYE192" s="1"/>
      <c r="AYF192" s="1"/>
      <c r="AYG192" s="1"/>
      <c r="AYH192" s="25"/>
      <c r="AYK192" s="23"/>
      <c r="AYL192" s="23"/>
      <c r="AYM192" s="23"/>
      <c r="AYN192" s="23"/>
      <c r="AYO192" s="23"/>
      <c r="AYP192" s="23"/>
      <c r="AYQ192" s="24"/>
      <c r="AYR192" s="23"/>
      <c r="AYS192" s="23"/>
      <c r="AYT192" s="23"/>
      <c r="AYU192" s="1"/>
      <c r="AYV192" s="1"/>
      <c r="AYW192" s="1"/>
      <c r="AYX192" s="25"/>
      <c r="AZA192" s="23"/>
      <c r="AZB192" s="23"/>
      <c r="AZC192" s="23"/>
      <c r="AZD192" s="23"/>
      <c r="AZE192" s="23"/>
      <c r="AZF192" s="23"/>
      <c r="AZG192" s="24"/>
      <c r="AZH192" s="23"/>
      <c r="AZI192" s="23"/>
      <c r="AZJ192" s="23"/>
      <c r="AZK192" s="1"/>
      <c r="AZL192" s="1"/>
      <c r="AZM192" s="1"/>
      <c r="AZN192" s="25"/>
      <c r="AZQ192" s="23"/>
      <c r="AZR192" s="23"/>
      <c r="AZS192" s="23"/>
      <c r="AZT192" s="23"/>
      <c r="AZU192" s="23"/>
      <c r="AZV192" s="23"/>
      <c r="AZW192" s="24"/>
      <c r="AZX192" s="23"/>
      <c r="AZY192" s="23"/>
      <c r="AZZ192" s="23"/>
      <c r="BAA192" s="1"/>
      <c r="BAB192" s="1"/>
      <c r="BAC192" s="1"/>
      <c r="BAD192" s="25"/>
      <c r="BAG192" s="23"/>
      <c r="BAH192" s="23"/>
      <c r="BAI192" s="23"/>
      <c r="BAJ192" s="23"/>
      <c r="BAK192" s="23"/>
      <c r="BAL192" s="23"/>
      <c r="BAM192" s="24"/>
      <c r="BAN192" s="23"/>
      <c r="BAO192" s="23"/>
      <c r="BAP192" s="23"/>
      <c r="BAQ192" s="1"/>
      <c r="BAR192" s="1"/>
      <c r="BAS192" s="1"/>
      <c r="BAT192" s="25"/>
      <c r="BAW192" s="23"/>
      <c r="BAX192" s="23"/>
      <c r="BAY192" s="23"/>
      <c r="BAZ192" s="23"/>
      <c r="BBA192" s="23"/>
      <c r="BBB192" s="23"/>
      <c r="BBC192" s="24"/>
      <c r="BBD192" s="23"/>
      <c r="BBE192" s="23"/>
      <c r="BBF192" s="23"/>
      <c r="BBG192" s="1"/>
      <c r="BBH192" s="1"/>
      <c r="BBI192" s="1"/>
      <c r="BBJ192" s="25"/>
      <c r="BBM192" s="23"/>
      <c r="BBN192" s="23"/>
      <c r="BBO192" s="23"/>
      <c r="BBP192" s="23"/>
      <c r="BBQ192" s="23"/>
      <c r="BBR192" s="23"/>
      <c r="BBS192" s="24"/>
      <c r="BBT192" s="23"/>
      <c r="BBU192" s="23"/>
      <c r="BBV192" s="23"/>
      <c r="BBW192" s="1"/>
      <c r="BBX192" s="1"/>
      <c r="BBY192" s="1"/>
      <c r="BBZ192" s="25"/>
      <c r="BCC192" s="23"/>
      <c r="BCD192" s="23"/>
      <c r="BCE192" s="23"/>
      <c r="BCF192" s="23"/>
      <c r="BCG192" s="23"/>
      <c r="BCH192" s="23"/>
      <c r="BCI192" s="24"/>
      <c r="BCJ192" s="23"/>
      <c r="BCK192" s="23"/>
      <c r="BCL192" s="23"/>
      <c r="BCM192" s="1"/>
      <c r="BCN192" s="1"/>
      <c r="BCO192" s="1"/>
      <c r="BCP192" s="25"/>
      <c r="BCS192" s="23"/>
      <c r="BCT192" s="23"/>
      <c r="BCU192" s="23"/>
      <c r="BCV192" s="23"/>
      <c r="BCW192" s="23"/>
      <c r="BCX192" s="23"/>
      <c r="BCY192" s="24"/>
      <c r="BCZ192" s="23"/>
      <c r="BDA192" s="23"/>
      <c r="BDB192" s="23"/>
      <c r="BDC192" s="1"/>
      <c r="BDD192" s="1"/>
      <c r="BDE192" s="1"/>
      <c r="BDF192" s="25"/>
      <c r="BDI192" s="23"/>
      <c r="BDJ192" s="23"/>
      <c r="BDK192" s="23"/>
      <c r="BDL192" s="23"/>
      <c r="BDM192" s="23"/>
      <c r="BDN192" s="23"/>
      <c r="BDO192" s="24"/>
      <c r="BDP192" s="23"/>
      <c r="BDQ192" s="23"/>
      <c r="BDR192" s="23"/>
      <c r="BDS192" s="1"/>
      <c r="BDT192" s="1"/>
      <c r="BDU192" s="1"/>
      <c r="BDV192" s="25"/>
      <c r="BDY192" s="23"/>
      <c r="BDZ192" s="23"/>
      <c r="BEA192" s="23"/>
      <c r="BEB192" s="23"/>
      <c r="BEC192" s="23"/>
      <c r="BED192" s="23"/>
      <c r="BEE192" s="24"/>
      <c r="BEF192" s="23"/>
      <c r="BEG192" s="23"/>
      <c r="BEH192" s="23"/>
      <c r="BEI192" s="1"/>
      <c r="BEJ192" s="1"/>
      <c r="BEK192" s="1"/>
      <c r="BEL192" s="25"/>
      <c r="BEO192" s="23"/>
      <c r="BEP192" s="23"/>
      <c r="BEQ192" s="23"/>
      <c r="BER192" s="23"/>
      <c r="BES192" s="23"/>
      <c r="BET192" s="23"/>
      <c r="BEU192" s="24"/>
      <c r="BEV192" s="23"/>
      <c r="BEW192" s="23"/>
      <c r="BEX192" s="23"/>
      <c r="BEY192" s="1"/>
      <c r="BEZ192" s="1"/>
      <c r="BFA192" s="1"/>
      <c r="BFB192" s="25"/>
      <c r="BFE192" s="23"/>
      <c r="BFF192" s="23"/>
      <c r="BFG192" s="23"/>
      <c r="BFH192" s="23"/>
      <c r="BFI192" s="23"/>
      <c r="BFJ192" s="23"/>
      <c r="BFK192" s="24"/>
      <c r="BFL192" s="23"/>
      <c r="BFM192" s="23"/>
      <c r="BFN192" s="23"/>
      <c r="BFO192" s="1"/>
      <c r="BFP192" s="1"/>
      <c r="BFQ192" s="1"/>
      <c r="BFR192" s="25"/>
      <c r="BFU192" s="23"/>
      <c r="BFV192" s="23"/>
      <c r="BFW192" s="23"/>
      <c r="BFX192" s="23"/>
      <c r="BFY192" s="23"/>
      <c r="BFZ192" s="23"/>
      <c r="BGA192" s="24"/>
      <c r="BGB192" s="23"/>
      <c r="BGC192" s="23"/>
      <c r="BGD192" s="23"/>
      <c r="BGE192" s="1"/>
      <c r="BGF192" s="1"/>
      <c r="BGG192" s="1"/>
      <c r="BGH192" s="25"/>
      <c r="BGK192" s="23"/>
      <c r="BGL192" s="23"/>
      <c r="BGM192" s="23"/>
      <c r="BGN192" s="23"/>
      <c r="BGO192" s="23"/>
      <c r="BGP192" s="23"/>
      <c r="BGQ192" s="24"/>
      <c r="BGR192" s="23"/>
      <c r="BGS192" s="23"/>
      <c r="BGT192" s="23"/>
      <c r="BGU192" s="1"/>
      <c r="BGV192" s="1"/>
      <c r="BGW192" s="1"/>
      <c r="BGX192" s="25"/>
      <c r="BHA192" s="23"/>
      <c r="BHB192" s="23"/>
      <c r="BHC192" s="23"/>
      <c r="BHD192" s="23"/>
      <c r="BHE192" s="23"/>
      <c r="BHF192" s="23"/>
      <c r="BHG192" s="24"/>
      <c r="BHH192" s="23"/>
      <c r="BHI192" s="23"/>
      <c r="BHJ192" s="23"/>
      <c r="BHK192" s="1"/>
      <c r="BHL192" s="1"/>
      <c r="BHM192" s="1"/>
      <c r="BHN192" s="25"/>
      <c r="BHQ192" s="23"/>
      <c r="BHR192" s="23"/>
      <c r="BHS192" s="23"/>
      <c r="BHT192" s="23"/>
      <c r="BHU192" s="23"/>
      <c r="BHV192" s="23"/>
      <c r="BHW192" s="24"/>
      <c r="BHX192" s="23"/>
      <c r="BHY192" s="23"/>
      <c r="BHZ192" s="23"/>
      <c r="BIA192" s="1"/>
      <c r="BIB192" s="1"/>
      <c r="BIC192" s="1"/>
      <c r="BID192" s="25"/>
      <c r="BIG192" s="23"/>
      <c r="BIH192" s="23"/>
      <c r="BII192" s="23"/>
      <c r="BIJ192" s="23"/>
      <c r="BIK192" s="23"/>
      <c r="BIL192" s="23"/>
      <c r="BIM192" s="24"/>
      <c r="BIN192" s="23"/>
      <c r="BIO192" s="23"/>
      <c r="BIP192" s="23"/>
      <c r="BIQ192" s="1"/>
      <c r="BIR192" s="1"/>
      <c r="BIS192" s="1"/>
      <c r="BIT192" s="25"/>
      <c r="BIW192" s="23"/>
      <c r="BIX192" s="23"/>
      <c r="BIY192" s="23"/>
      <c r="BIZ192" s="23"/>
      <c r="BJA192" s="23"/>
      <c r="BJB192" s="23"/>
      <c r="BJC192" s="24"/>
      <c r="BJD192" s="23"/>
      <c r="BJE192" s="23"/>
      <c r="BJF192" s="23"/>
      <c r="BJG192" s="1"/>
      <c r="BJH192" s="1"/>
      <c r="BJI192" s="1"/>
      <c r="BJJ192" s="25"/>
      <c r="BJM192" s="23"/>
      <c r="BJN192" s="23"/>
      <c r="BJO192" s="23"/>
      <c r="BJP192" s="23"/>
      <c r="BJQ192" s="23"/>
      <c r="BJR192" s="23"/>
      <c r="BJS192" s="24"/>
      <c r="BJT192" s="23"/>
      <c r="BJU192" s="23"/>
      <c r="BJV192" s="23"/>
      <c r="BJW192" s="1"/>
      <c r="BJX192" s="1"/>
      <c r="BJY192" s="1"/>
      <c r="BJZ192" s="25"/>
      <c r="BKC192" s="23"/>
      <c r="BKD192" s="23"/>
      <c r="BKE192" s="23"/>
      <c r="BKF192" s="23"/>
      <c r="BKG192" s="23"/>
      <c r="BKH192" s="23"/>
      <c r="BKI192" s="24"/>
      <c r="BKJ192" s="23"/>
      <c r="BKK192" s="23"/>
      <c r="BKL192" s="23"/>
      <c r="BKM192" s="1"/>
      <c r="BKN192" s="1"/>
      <c r="BKO192" s="1"/>
      <c r="BKP192" s="25"/>
      <c r="BKS192" s="23"/>
      <c r="BKT192" s="23"/>
      <c r="BKU192" s="23"/>
      <c r="BKV192" s="23"/>
      <c r="BKW192" s="23"/>
      <c r="BKX192" s="23"/>
      <c r="BKY192" s="24"/>
      <c r="BKZ192" s="23"/>
      <c r="BLA192" s="23"/>
      <c r="BLB192" s="23"/>
      <c r="BLC192" s="1"/>
      <c r="BLD192" s="1"/>
      <c r="BLE192" s="1"/>
      <c r="BLF192" s="25"/>
      <c r="BLI192" s="23"/>
      <c r="BLJ192" s="23"/>
      <c r="BLK192" s="23"/>
      <c r="BLL192" s="23"/>
      <c r="BLM192" s="23"/>
      <c r="BLN192" s="23"/>
      <c r="BLO192" s="24"/>
      <c r="BLP192" s="23"/>
      <c r="BLQ192" s="23"/>
      <c r="BLR192" s="23"/>
      <c r="BLS192" s="1"/>
      <c r="BLT192" s="1"/>
      <c r="BLU192" s="1"/>
      <c r="BLV192" s="25"/>
      <c r="BLY192" s="23"/>
      <c r="BLZ192" s="23"/>
      <c r="BMA192" s="23"/>
      <c r="BMB192" s="23"/>
      <c r="BMC192" s="23"/>
      <c r="BMD192" s="23"/>
      <c r="BME192" s="24"/>
      <c r="BMF192" s="23"/>
      <c r="BMG192" s="23"/>
      <c r="BMH192" s="23"/>
      <c r="BMI192" s="1"/>
      <c r="BMJ192" s="1"/>
      <c r="BMK192" s="1"/>
      <c r="BML192" s="25"/>
      <c r="BMO192" s="23"/>
      <c r="BMP192" s="23"/>
      <c r="BMQ192" s="23"/>
      <c r="BMR192" s="23"/>
      <c r="BMS192" s="23"/>
      <c r="BMT192" s="23"/>
      <c r="BMU192" s="24"/>
      <c r="BMV192" s="23"/>
      <c r="BMW192" s="23"/>
      <c r="BMX192" s="23"/>
      <c r="BMY192" s="1"/>
      <c r="BMZ192" s="1"/>
      <c r="BNA192" s="1"/>
      <c r="BNB192" s="25"/>
      <c r="BNE192" s="23"/>
      <c r="BNF192" s="23"/>
      <c r="BNG192" s="23"/>
      <c r="BNH192" s="23"/>
      <c r="BNI192" s="23"/>
      <c r="BNJ192" s="23"/>
      <c r="BNK192" s="24"/>
      <c r="BNL192" s="23"/>
      <c r="BNM192" s="23"/>
      <c r="BNN192" s="23"/>
      <c r="BNO192" s="1"/>
      <c r="BNP192" s="1"/>
      <c r="BNQ192" s="1"/>
      <c r="BNR192" s="25"/>
      <c r="BNU192" s="23"/>
      <c r="BNV192" s="23"/>
      <c r="BNW192" s="23"/>
      <c r="BNX192" s="23"/>
      <c r="BNY192" s="23"/>
      <c r="BNZ192" s="23"/>
      <c r="BOA192" s="24"/>
      <c r="BOB192" s="23"/>
      <c r="BOC192" s="23"/>
      <c r="BOD192" s="23"/>
      <c r="BOE192" s="1"/>
      <c r="BOF192" s="1"/>
      <c r="BOG192" s="1"/>
      <c r="BOH192" s="25"/>
      <c r="BOK192" s="23"/>
      <c r="BOL192" s="23"/>
      <c r="BOM192" s="23"/>
      <c r="BON192" s="23"/>
      <c r="BOO192" s="23"/>
      <c r="BOP192" s="23"/>
      <c r="BOQ192" s="24"/>
      <c r="BOR192" s="23"/>
      <c r="BOS192" s="23"/>
      <c r="BOT192" s="23"/>
      <c r="BOU192" s="1"/>
      <c r="BOV192" s="1"/>
      <c r="BOW192" s="1"/>
      <c r="BOX192" s="25"/>
      <c r="BPA192" s="23"/>
      <c r="BPB192" s="23"/>
      <c r="BPC192" s="23"/>
      <c r="BPD192" s="23"/>
      <c r="BPE192" s="23"/>
      <c r="BPF192" s="23"/>
      <c r="BPG192" s="24"/>
      <c r="BPH192" s="23"/>
      <c r="BPI192" s="23"/>
      <c r="BPJ192" s="23"/>
      <c r="BPK192" s="1"/>
      <c r="BPL192" s="1"/>
      <c r="BPM192" s="1"/>
      <c r="BPN192" s="25"/>
      <c r="BPQ192" s="23"/>
      <c r="BPR192" s="23"/>
      <c r="BPS192" s="23"/>
      <c r="BPT192" s="23"/>
      <c r="BPU192" s="23"/>
      <c r="BPV192" s="23"/>
      <c r="BPW192" s="24"/>
      <c r="BPX192" s="23"/>
      <c r="BPY192" s="23"/>
      <c r="BPZ192" s="23"/>
      <c r="BQA192" s="1"/>
      <c r="BQB192" s="1"/>
      <c r="BQC192" s="1"/>
      <c r="BQD192" s="25"/>
      <c r="BQG192" s="23"/>
      <c r="BQH192" s="23"/>
      <c r="BQI192" s="23"/>
      <c r="BQJ192" s="23"/>
      <c r="BQK192" s="23"/>
      <c r="BQL192" s="23"/>
      <c r="BQM192" s="24"/>
      <c r="BQN192" s="23"/>
      <c r="BQO192" s="23"/>
      <c r="BQP192" s="23"/>
      <c r="BQQ192" s="1"/>
      <c r="BQR192" s="1"/>
      <c r="BQS192" s="1"/>
      <c r="BQT192" s="25"/>
      <c r="BQW192" s="23"/>
      <c r="BQX192" s="23"/>
      <c r="BQY192" s="23"/>
      <c r="BQZ192" s="23"/>
      <c r="BRA192" s="23"/>
      <c r="BRB192" s="23"/>
      <c r="BRC192" s="24"/>
      <c r="BRD192" s="23"/>
      <c r="BRE192" s="23"/>
      <c r="BRF192" s="23"/>
      <c r="BRG192" s="1"/>
      <c r="BRH192" s="1"/>
      <c r="BRI192" s="1"/>
      <c r="BRJ192" s="25"/>
      <c r="BRM192" s="23"/>
      <c r="BRN192" s="23"/>
      <c r="BRO192" s="23"/>
      <c r="BRP192" s="23"/>
      <c r="BRQ192" s="23"/>
      <c r="BRR192" s="23"/>
      <c r="BRS192" s="24"/>
      <c r="BRT192" s="23"/>
      <c r="BRU192" s="23"/>
      <c r="BRV192" s="23"/>
      <c r="BRW192" s="1"/>
      <c r="BRX192" s="1"/>
      <c r="BRY192" s="1"/>
      <c r="BRZ192" s="25"/>
      <c r="BSC192" s="23"/>
      <c r="BSD192" s="23"/>
      <c r="BSE192" s="23"/>
      <c r="BSF192" s="23"/>
      <c r="BSG192" s="23"/>
      <c r="BSH192" s="23"/>
      <c r="BSI192" s="24"/>
      <c r="BSJ192" s="23"/>
      <c r="BSK192" s="23"/>
      <c r="BSL192" s="23"/>
      <c r="BSM192" s="1"/>
      <c r="BSN192" s="1"/>
      <c r="BSO192" s="1"/>
      <c r="BSP192" s="25"/>
      <c r="BSS192" s="23"/>
      <c r="BST192" s="23"/>
      <c r="BSU192" s="23"/>
      <c r="BSV192" s="23"/>
      <c r="BSW192" s="23"/>
      <c r="BSX192" s="23"/>
      <c r="BSY192" s="24"/>
      <c r="BSZ192" s="23"/>
      <c r="BTA192" s="23"/>
      <c r="BTB192" s="23"/>
      <c r="BTC192" s="1"/>
      <c r="BTD192" s="1"/>
      <c r="BTE192" s="1"/>
      <c r="BTF192" s="25"/>
      <c r="BTI192" s="23"/>
      <c r="BTJ192" s="23"/>
      <c r="BTK192" s="23"/>
      <c r="BTL192" s="23"/>
      <c r="BTM192" s="23"/>
      <c r="BTN192" s="23"/>
      <c r="BTO192" s="24"/>
      <c r="BTP192" s="23"/>
      <c r="BTQ192" s="23"/>
      <c r="BTR192" s="23"/>
      <c r="BTS192" s="1"/>
      <c r="BTT192" s="1"/>
      <c r="BTU192" s="1"/>
      <c r="BTV192" s="25"/>
      <c r="BTY192" s="23"/>
      <c r="BTZ192" s="23"/>
      <c r="BUA192" s="23"/>
      <c r="BUB192" s="23"/>
      <c r="BUC192" s="23"/>
      <c r="BUD192" s="23"/>
      <c r="BUE192" s="24"/>
      <c r="BUF192" s="23"/>
      <c r="BUG192" s="23"/>
      <c r="BUH192" s="23"/>
      <c r="BUI192" s="1"/>
      <c r="BUJ192" s="1"/>
      <c r="BUK192" s="1"/>
      <c r="BUL192" s="25"/>
      <c r="BUO192" s="23"/>
      <c r="BUP192" s="23"/>
      <c r="BUQ192" s="23"/>
      <c r="BUR192" s="23"/>
      <c r="BUS192" s="23"/>
      <c r="BUT192" s="23"/>
      <c r="BUU192" s="24"/>
      <c r="BUV192" s="23"/>
      <c r="BUW192" s="23"/>
      <c r="BUX192" s="23"/>
      <c r="BUY192" s="1"/>
      <c r="BUZ192" s="1"/>
      <c r="BVA192" s="1"/>
      <c r="BVB192" s="25"/>
      <c r="BVE192" s="23"/>
      <c r="BVF192" s="23"/>
      <c r="BVG192" s="23"/>
      <c r="BVH192" s="23"/>
      <c r="BVI192" s="23"/>
      <c r="BVJ192" s="23"/>
      <c r="BVK192" s="24"/>
      <c r="BVL192" s="23"/>
      <c r="BVM192" s="23"/>
      <c r="BVN192" s="23"/>
      <c r="BVO192" s="1"/>
      <c r="BVP192" s="1"/>
      <c r="BVQ192" s="1"/>
      <c r="BVR192" s="25"/>
      <c r="BVU192" s="23"/>
      <c r="BVV192" s="23"/>
      <c r="BVW192" s="23"/>
      <c r="BVX192" s="23"/>
      <c r="BVY192" s="23"/>
      <c r="BVZ192" s="23"/>
      <c r="BWA192" s="24"/>
      <c r="BWB192" s="23"/>
      <c r="BWC192" s="23"/>
      <c r="BWD192" s="23"/>
      <c r="BWE192" s="1"/>
      <c r="BWF192" s="1"/>
      <c r="BWG192" s="1"/>
      <c r="BWH192" s="25"/>
      <c r="BWK192" s="23"/>
      <c r="BWL192" s="23"/>
      <c r="BWM192" s="23"/>
      <c r="BWN192" s="23"/>
      <c r="BWO192" s="23"/>
      <c r="BWP192" s="23"/>
      <c r="BWQ192" s="24"/>
      <c r="BWR192" s="23"/>
      <c r="BWS192" s="23"/>
      <c r="BWT192" s="23"/>
      <c r="BWU192" s="1"/>
      <c r="BWV192" s="1"/>
      <c r="BWW192" s="1"/>
      <c r="BWX192" s="25"/>
      <c r="BXA192" s="23"/>
      <c r="BXB192" s="23"/>
      <c r="BXC192" s="23"/>
      <c r="BXD192" s="23"/>
      <c r="BXE192" s="23"/>
      <c r="BXF192" s="23"/>
      <c r="BXG192" s="24"/>
      <c r="BXH192" s="23"/>
      <c r="BXI192" s="23"/>
      <c r="BXJ192" s="23"/>
      <c r="BXK192" s="1"/>
      <c r="BXL192" s="1"/>
      <c r="BXM192" s="1"/>
      <c r="BXN192" s="25"/>
      <c r="BXQ192" s="23"/>
      <c r="BXR192" s="23"/>
      <c r="BXS192" s="23"/>
      <c r="BXT192" s="23"/>
      <c r="BXU192" s="23"/>
      <c r="BXV192" s="23"/>
      <c r="BXW192" s="24"/>
      <c r="BXX192" s="23"/>
      <c r="BXY192" s="23"/>
      <c r="BXZ192" s="23"/>
      <c r="BYA192" s="1"/>
      <c r="BYB192" s="1"/>
      <c r="BYC192" s="1"/>
      <c r="BYD192" s="25"/>
      <c r="BYG192" s="23"/>
      <c r="BYH192" s="23"/>
      <c r="BYI192" s="23"/>
      <c r="BYJ192" s="23"/>
      <c r="BYK192" s="23"/>
      <c r="BYL192" s="23"/>
      <c r="BYM192" s="24"/>
      <c r="BYN192" s="23"/>
      <c r="BYO192" s="23"/>
      <c r="BYP192" s="23"/>
      <c r="BYQ192" s="1"/>
      <c r="BYR192" s="1"/>
      <c r="BYS192" s="1"/>
      <c r="BYT192" s="25"/>
      <c r="BYW192" s="23"/>
      <c r="BYX192" s="23"/>
      <c r="BYY192" s="23"/>
      <c r="BYZ192" s="23"/>
      <c r="BZA192" s="23"/>
      <c r="BZB192" s="23"/>
      <c r="BZC192" s="24"/>
      <c r="BZD192" s="23"/>
      <c r="BZE192" s="23"/>
      <c r="BZF192" s="23"/>
      <c r="BZG192" s="1"/>
      <c r="BZH192" s="1"/>
      <c r="BZI192" s="1"/>
      <c r="BZJ192" s="25"/>
      <c r="BZM192" s="23"/>
      <c r="BZN192" s="23"/>
      <c r="BZO192" s="23"/>
      <c r="BZP192" s="23"/>
      <c r="BZQ192" s="23"/>
      <c r="BZR192" s="23"/>
      <c r="BZS192" s="24"/>
      <c r="BZT192" s="23"/>
      <c r="BZU192" s="23"/>
      <c r="BZV192" s="23"/>
      <c r="BZW192" s="1"/>
      <c r="BZX192" s="1"/>
      <c r="BZY192" s="1"/>
      <c r="BZZ192" s="25"/>
      <c r="CAC192" s="23"/>
      <c r="CAD192" s="23"/>
      <c r="CAE192" s="23"/>
      <c r="CAF192" s="23"/>
      <c r="CAG192" s="23"/>
      <c r="CAH192" s="23"/>
      <c r="CAI192" s="24"/>
      <c r="CAJ192" s="23"/>
      <c r="CAK192" s="23"/>
      <c r="CAL192" s="23"/>
      <c r="CAM192" s="1"/>
      <c r="CAN192" s="1"/>
      <c r="CAO192" s="1"/>
      <c r="CAP192" s="25"/>
      <c r="CAS192" s="23"/>
      <c r="CAT192" s="23"/>
      <c r="CAU192" s="23"/>
      <c r="CAV192" s="23"/>
      <c r="CAW192" s="23"/>
      <c r="CAX192" s="23"/>
      <c r="CAY192" s="24"/>
      <c r="CAZ192" s="23"/>
      <c r="CBA192" s="23"/>
      <c r="CBB192" s="23"/>
      <c r="CBC192" s="1"/>
      <c r="CBD192" s="1"/>
      <c r="CBE192" s="1"/>
      <c r="CBF192" s="25"/>
      <c r="CBI192" s="23"/>
      <c r="CBJ192" s="23"/>
      <c r="CBK192" s="23"/>
      <c r="CBL192" s="23"/>
      <c r="CBM192" s="23"/>
      <c r="CBN192" s="23"/>
      <c r="CBO192" s="24"/>
      <c r="CBP192" s="23"/>
      <c r="CBQ192" s="23"/>
      <c r="CBR192" s="23"/>
      <c r="CBS192" s="1"/>
      <c r="CBT192" s="1"/>
      <c r="CBU192" s="1"/>
      <c r="CBV192" s="25"/>
      <c r="CBY192" s="23"/>
      <c r="CBZ192" s="23"/>
      <c r="CCA192" s="23"/>
      <c r="CCB192" s="23"/>
      <c r="CCC192" s="23"/>
      <c r="CCD192" s="23"/>
      <c r="CCE192" s="24"/>
      <c r="CCF192" s="23"/>
      <c r="CCG192" s="23"/>
      <c r="CCH192" s="23"/>
      <c r="CCI192" s="1"/>
      <c r="CCJ192" s="1"/>
      <c r="CCK192" s="1"/>
      <c r="CCL192" s="25"/>
      <c r="CCO192" s="23"/>
      <c r="CCP192" s="23"/>
      <c r="CCQ192" s="23"/>
      <c r="CCR192" s="23"/>
      <c r="CCS192" s="23"/>
      <c r="CCT192" s="23"/>
      <c r="CCU192" s="24"/>
      <c r="CCV192" s="23"/>
      <c r="CCW192" s="23"/>
      <c r="CCX192" s="23"/>
      <c r="CCY192" s="1"/>
      <c r="CCZ192" s="1"/>
      <c r="CDA192" s="1"/>
      <c r="CDB192" s="25"/>
      <c r="CDE192" s="23"/>
      <c r="CDF192" s="23"/>
      <c r="CDG192" s="23"/>
      <c r="CDH192" s="23"/>
      <c r="CDI192" s="23"/>
      <c r="CDJ192" s="23"/>
      <c r="CDK192" s="24"/>
      <c r="CDL192" s="23"/>
      <c r="CDM192" s="23"/>
      <c r="CDN192" s="23"/>
      <c r="CDO192" s="1"/>
      <c r="CDP192" s="1"/>
      <c r="CDQ192" s="1"/>
      <c r="CDR192" s="25"/>
      <c r="CDU192" s="23"/>
      <c r="CDV192" s="23"/>
      <c r="CDW192" s="23"/>
      <c r="CDX192" s="23"/>
      <c r="CDY192" s="23"/>
      <c r="CDZ192" s="23"/>
      <c r="CEA192" s="24"/>
      <c r="CEB192" s="23"/>
      <c r="CEC192" s="23"/>
      <c r="CED192" s="23"/>
      <c r="CEE192" s="1"/>
      <c r="CEF192" s="1"/>
      <c r="CEG192" s="1"/>
      <c r="CEH192" s="25"/>
      <c r="CEK192" s="23"/>
      <c r="CEL192" s="23"/>
      <c r="CEM192" s="23"/>
      <c r="CEN192" s="23"/>
      <c r="CEO192" s="23"/>
      <c r="CEP192" s="23"/>
      <c r="CEQ192" s="24"/>
      <c r="CER192" s="23"/>
      <c r="CES192" s="23"/>
      <c r="CET192" s="23"/>
      <c r="CEU192" s="1"/>
      <c r="CEV192" s="1"/>
      <c r="CEW192" s="1"/>
      <c r="CEX192" s="25"/>
      <c r="CFA192" s="23"/>
      <c r="CFB192" s="23"/>
      <c r="CFC192" s="23"/>
      <c r="CFD192" s="23"/>
      <c r="CFE192" s="23"/>
      <c r="CFF192" s="23"/>
      <c r="CFG192" s="24"/>
      <c r="CFH192" s="23"/>
      <c r="CFI192" s="23"/>
      <c r="CFJ192" s="23"/>
      <c r="CFK192" s="1"/>
      <c r="CFL192" s="1"/>
      <c r="CFM192" s="1"/>
      <c r="CFN192" s="25"/>
      <c r="CFQ192" s="23"/>
      <c r="CFR192" s="23"/>
      <c r="CFS192" s="23"/>
      <c r="CFT192" s="23"/>
      <c r="CFU192" s="23"/>
      <c r="CFV192" s="23"/>
      <c r="CFW192" s="24"/>
      <c r="CFX192" s="23"/>
      <c r="CFY192" s="23"/>
      <c r="CFZ192" s="23"/>
      <c r="CGA192" s="1"/>
      <c r="CGB192" s="1"/>
      <c r="CGC192" s="1"/>
      <c r="CGD192" s="25"/>
      <c r="CGG192" s="23"/>
      <c r="CGH192" s="23"/>
      <c r="CGI192" s="23"/>
      <c r="CGJ192" s="23"/>
      <c r="CGK192" s="23"/>
      <c r="CGL192" s="23"/>
      <c r="CGM192" s="24"/>
      <c r="CGN192" s="23"/>
      <c r="CGO192" s="23"/>
      <c r="CGP192" s="23"/>
      <c r="CGQ192" s="1"/>
      <c r="CGR192" s="1"/>
      <c r="CGS192" s="1"/>
      <c r="CGT192" s="25"/>
      <c r="CGW192" s="23"/>
      <c r="CGX192" s="23"/>
      <c r="CGY192" s="23"/>
      <c r="CGZ192" s="23"/>
      <c r="CHA192" s="23"/>
      <c r="CHB192" s="23"/>
      <c r="CHC192" s="24"/>
      <c r="CHD192" s="23"/>
      <c r="CHE192" s="23"/>
      <c r="CHF192" s="23"/>
      <c r="CHG192" s="1"/>
      <c r="CHH192" s="1"/>
      <c r="CHI192" s="1"/>
      <c r="CHJ192" s="25"/>
      <c r="CHM192" s="23"/>
      <c r="CHN192" s="23"/>
      <c r="CHO192" s="23"/>
      <c r="CHP192" s="23"/>
      <c r="CHQ192" s="23"/>
      <c r="CHR192" s="23"/>
      <c r="CHS192" s="24"/>
      <c r="CHT192" s="23"/>
      <c r="CHU192" s="23"/>
      <c r="CHV192" s="23"/>
      <c r="CHW192" s="1"/>
      <c r="CHX192" s="1"/>
      <c r="CHY192" s="1"/>
      <c r="CHZ192" s="25"/>
      <c r="CIC192" s="23"/>
      <c r="CID192" s="23"/>
      <c r="CIE192" s="23"/>
      <c r="CIF192" s="23"/>
      <c r="CIG192" s="23"/>
      <c r="CIH192" s="23"/>
      <c r="CII192" s="24"/>
      <c r="CIJ192" s="23"/>
      <c r="CIK192" s="23"/>
      <c r="CIL192" s="23"/>
      <c r="CIM192" s="1"/>
      <c r="CIN192" s="1"/>
      <c r="CIO192" s="1"/>
      <c r="CIP192" s="25"/>
      <c r="CIS192" s="23"/>
      <c r="CIT192" s="23"/>
      <c r="CIU192" s="23"/>
      <c r="CIV192" s="23"/>
      <c r="CIW192" s="23"/>
      <c r="CIX192" s="23"/>
      <c r="CIY192" s="24"/>
      <c r="CIZ192" s="23"/>
      <c r="CJA192" s="23"/>
      <c r="CJB192" s="23"/>
      <c r="CJC192" s="1"/>
      <c r="CJD192" s="1"/>
      <c r="CJE192" s="1"/>
      <c r="CJF192" s="25"/>
      <c r="CJI192" s="23"/>
      <c r="CJJ192" s="23"/>
      <c r="CJK192" s="23"/>
      <c r="CJL192" s="23"/>
      <c r="CJM192" s="23"/>
      <c r="CJN192" s="23"/>
      <c r="CJO192" s="24"/>
      <c r="CJP192" s="23"/>
      <c r="CJQ192" s="23"/>
      <c r="CJR192" s="23"/>
      <c r="CJS192" s="1"/>
      <c r="CJT192" s="1"/>
      <c r="CJU192" s="1"/>
      <c r="CJV192" s="25"/>
      <c r="CJY192" s="23"/>
      <c r="CJZ192" s="23"/>
      <c r="CKA192" s="23"/>
      <c r="CKB192" s="23"/>
      <c r="CKC192" s="23"/>
      <c r="CKD192" s="23"/>
      <c r="CKE192" s="24"/>
      <c r="CKF192" s="23"/>
      <c r="CKG192" s="23"/>
      <c r="CKH192" s="23"/>
      <c r="CKI192" s="1"/>
      <c r="CKJ192" s="1"/>
      <c r="CKK192" s="1"/>
      <c r="CKL192" s="25"/>
      <c r="CKO192" s="23"/>
      <c r="CKP192" s="23"/>
      <c r="CKQ192" s="23"/>
      <c r="CKR192" s="23"/>
      <c r="CKS192" s="23"/>
      <c r="CKT192" s="23"/>
      <c r="CKU192" s="24"/>
      <c r="CKV192" s="23"/>
      <c r="CKW192" s="23"/>
      <c r="CKX192" s="23"/>
      <c r="CKY192" s="1"/>
      <c r="CKZ192" s="1"/>
      <c r="CLA192" s="1"/>
      <c r="CLB192" s="25"/>
      <c r="CLE192" s="23"/>
      <c r="CLF192" s="23"/>
      <c r="CLG192" s="23"/>
      <c r="CLH192" s="23"/>
      <c r="CLI192" s="23"/>
      <c r="CLJ192" s="23"/>
      <c r="CLK192" s="24"/>
      <c r="CLL192" s="23"/>
      <c r="CLM192" s="23"/>
      <c r="CLN192" s="23"/>
      <c r="CLO192" s="1"/>
      <c r="CLP192" s="1"/>
      <c r="CLQ192" s="1"/>
      <c r="CLR192" s="25"/>
      <c r="CLU192" s="23"/>
      <c r="CLV192" s="23"/>
      <c r="CLW192" s="23"/>
      <c r="CLX192" s="23"/>
      <c r="CLY192" s="23"/>
      <c r="CLZ192" s="23"/>
      <c r="CMA192" s="24"/>
      <c r="CMB192" s="23"/>
      <c r="CMC192" s="23"/>
      <c r="CMD192" s="23"/>
      <c r="CME192" s="1"/>
      <c r="CMF192" s="1"/>
      <c r="CMG192" s="1"/>
      <c r="CMH192" s="25"/>
      <c r="CMK192" s="23"/>
      <c r="CML192" s="23"/>
      <c r="CMM192" s="23"/>
      <c r="CMN192" s="23"/>
      <c r="CMO192" s="23"/>
      <c r="CMP192" s="23"/>
      <c r="CMQ192" s="24"/>
      <c r="CMR192" s="23"/>
      <c r="CMS192" s="23"/>
      <c r="CMT192" s="23"/>
      <c r="CMU192" s="1"/>
      <c r="CMV192" s="1"/>
      <c r="CMW192" s="1"/>
      <c r="CMX192" s="25"/>
      <c r="CNA192" s="23"/>
      <c r="CNB192" s="23"/>
      <c r="CNC192" s="23"/>
      <c r="CND192" s="23"/>
      <c r="CNE192" s="23"/>
      <c r="CNF192" s="23"/>
      <c r="CNG192" s="24"/>
      <c r="CNH192" s="23"/>
      <c r="CNI192" s="23"/>
      <c r="CNJ192" s="23"/>
      <c r="CNK192" s="1"/>
      <c r="CNL192" s="1"/>
      <c r="CNM192" s="1"/>
      <c r="CNN192" s="25"/>
      <c r="CNQ192" s="23"/>
      <c r="CNR192" s="23"/>
      <c r="CNS192" s="23"/>
      <c r="CNT192" s="23"/>
      <c r="CNU192" s="23"/>
      <c r="CNV192" s="23"/>
      <c r="CNW192" s="24"/>
      <c r="CNX192" s="23"/>
      <c r="CNY192" s="23"/>
      <c r="CNZ192" s="23"/>
      <c r="COA192" s="1"/>
      <c r="COB192" s="1"/>
      <c r="COC192" s="1"/>
      <c r="COD192" s="25"/>
      <c r="COG192" s="23"/>
      <c r="COH192" s="23"/>
      <c r="COI192" s="23"/>
      <c r="COJ192" s="23"/>
      <c r="COK192" s="23"/>
      <c r="COL192" s="23"/>
      <c r="COM192" s="24"/>
      <c r="CON192" s="23"/>
      <c r="COO192" s="23"/>
      <c r="COP192" s="23"/>
      <c r="COQ192" s="1"/>
      <c r="COR192" s="1"/>
      <c r="COS192" s="1"/>
      <c r="COT192" s="25"/>
      <c r="COW192" s="23"/>
      <c r="COX192" s="23"/>
      <c r="COY192" s="23"/>
      <c r="COZ192" s="23"/>
      <c r="CPA192" s="23"/>
      <c r="CPB192" s="23"/>
      <c r="CPC192" s="24"/>
      <c r="CPD192" s="23"/>
      <c r="CPE192" s="23"/>
      <c r="CPF192" s="23"/>
      <c r="CPG192" s="1"/>
      <c r="CPH192" s="1"/>
      <c r="CPI192" s="1"/>
      <c r="CPJ192" s="25"/>
      <c r="CPM192" s="23"/>
      <c r="CPN192" s="23"/>
      <c r="CPO192" s="23"/>
      <c r="CPP192" s="23"/>
      <c r="CPQ192" s="23"/>
      <c r="CPR192" s="23"/>
      <c r="CPS192" s="24"/>
      <c r="CPT192" s="23"/>
      <c r="CPU192" s="23"/>
      <c r="CPV192" s="23"/>
      <c r="CPW192" s="1"/>
      <c r="CPX192" s="1"/>
      <c r="CPY192" s="1"/>
      <c r="CPZ192" s="25"/>
      <c r="CQC192" s="23"/>
      <c r="CQD192" s="23"/>
      <c r="CQE192" s="23"/>
      <c r="CQF192" s="23"/>
      <c r="CQG192" s="23"/>
      <c r="CQH192" s="23"/>
      <c r="CQI192" s="24"/>
      <c r="CQJ192" s="23"/>
      <c r="CQK192" s="23"/>
      <c r="CQL192" s="23"/>
      <c r="CQM192" s="1"/>
      <c r="CQN192" s="1"/>
      <c r="CQO192" s="1"/>
      <c r="CQP192" s="25"/>
      <c r="CQS192" s="23"/>
      <c r="CQT192" s="23"/>
      <c r="CQU192" s="23"/>
      <c r="CQV192" s="23"/>
      <c r="CQW192" s="23"/>
      <c r="CQX192" s="23"/>
      <c r="CQY192" s="24"/>
      <c r="CQZ192" s="23"/>
      <c r="CRA192" s="23"/>
      <c r="CRB192" s="23"/>
      <c r="CRC192" s="1"/>
      <c r="CRD192" s="1"/>
      <c r="CRE192" s="1"/>
      <c r="CRF192" s="25"/>
      <c r="CRI192" s="23"/>
      <c r="CRJ192" s="23"/>
      <c r="CRK192" s="23"/>
      <c r="CRL192" s="23"/>
      <c r="CRM192" s="23"/>
      <c r="CRN192" s="23"/>
      <c r="CRO192" s="24"/>
      <c r="CRP192" s="23"/>
      <c r="CRQ192" s="23"/>
      <c r="CRR192" s="23"/>
      <c r="CRS192" s="1"/>
      <c r="CRT192" s="1"/>
      <c r="CRU192" s="1"/>
      <c r="CRV192" s="25"/>
      <c r="CRY192" s="23"/>
      <c r="CRZ192" s="23"/>
      <c r="CSA192" s="23"/>
      <c r="CSB192" s="23"/>
      <c r="CSC192" s="23"/>
      <c r="CSD192" s="23"/>
      <c r="CSE192" s="24"/>
      <c r="CSF192" s="23"/>
      <c r="CSG192" s="23"/>
      <c r="CSH192" s="23"/>
      <c r="CSI192" s="1"/>
      <c r="CSJ192" s="1"/>
      <c r="CSK192" s="1"/>
      <c r="CSL192" s="25"/>
      <c r="CSO192" s="23"/>
      <c r="CSP192" s="23"/>
      <c r="CSQ192" s="23"/>
      <c r="CSR192" s="23"/>
      <c r="CSS192" s="23"/>
      <c r="CST192" s="23"/>
      <c r="CSU192" s="24"/>
      <c r="CSV192" s="23"/>
      <c r="CSW192" s="23"/>
      <c r="CSX192" s="23"/>
      <c r="CSY192" s="1"/>
      <c r="CSZ192" s="1"/>
      <c r="CTA192" s="1"/>
      <c r="CTB192" s="25"/>
      <c r="CTE192" s="23"/>
      <c r="CTF192" s="23"/>
      <c r="CTG192" s="23"/>
      <c r="CTH192" s="23"/>
      <c r="CTI192" s="23"/>
      <c r="CTJ192" s="23"/>
      <c r="CTK192" s="24"/>
      <c r="CTL192" s="23"/>
      <c r="CTM192" s="23"/>
      <c r="CTN192" s="23"/>
      <c r="CTO192" s="1"/>
      <c r="CTP192" s="1"/>
      <c r="CTQ192" s="1"/>
      <c r="CTR192" s="25"/>
      <c r="CTU192" s="23"/>
      <c r="CTV192" s="23"/>
      <c r="CTW192" s="23"/>
      <c r="CTX192" s="23"/>
      <c r="CTY192" s="23"/>
      <c r="CTZ192" s="23"/>
      <c r="CUA192" s="24"/>
      <c r="CUB192" s="23"/>
      <c r="CUC192" s="23"/>
      <c r="CUD192" s="23"/>
      <c r="CUE192" s="1"/>
      <c r="CUF192" s="1"/>
      <c r="CUG192" s="1"/>
      <c r="CUH192" s="25"/>
      <c r="CUK192" s="23"/>
      <c r="CUL192" s="23"/>
      <c r="CUM192" s="23"/>
      <c r="CUN192" s="23"/>
      <c r="CUO192" s="23"/>
      <c r="CUP192" s="23"/>
      <c r="CUQ192" s="24"/>
      <c r="CUR192" s="23"/>
      <c r="CUS192" s="23"/>
      <c r="CUT192" s="23"/>
      <c r="CUU192" s="1"/>
      <c r="CUV192" s="1"/>
      <c r="CUW192" s="1"/>
      <c r="CUX192" s="25"/>
      <c r="CVA192" s="23"/>
      <c r="CVB192" s="23"/>
      <c r="CVC192" s="23"/>
      <c r="CVD192" s="23"/>
      <c r="CVE192" s="23"/>
      <c r="CVF192" s="23"/>
      <c r="CVG192" s="24"/>
      <c r="CVH192" s="23"/>
      <c r="CVI192" s="23"/>
      <c r="CVJ192" s="23"/>
      <c r="CVK192" s="1"/>
      <c r="CVL192" s="1"/>
      <c r="CVM192" s="1"/>
      <c r="CVN192" s="25"/>
      <c r="CVQ192" s="23"/>
      <c r="CVR192" s="23"/>
      <c r="CVS192" s="23"/>
      <c r="CVT192" s="23"/>
      <c r="CVU192" s="23"/>
      <c r="CVV192" s="23"/>
      <c r="CVW192" s="24"/>
      <c r="CVX192" s="23"/>
      <c r="CVY192" s="23"/>
      <c r="CVZ192" s="23"/>
      <c r="CWA192" s="1"/>
      <c r="CWB192" s="1"/>
      <c r="CWC192" s="1"/>
      <c r="CWD192" s="25"/>
      <c r="CWG192" s="23"/>
      <c r="CWH192" s="23"/>
      <c r="CWI192" s="23"/>
      <c r="CWJ192" s="23"/>
      <c r="CWK192" s="23"/>
      <c r="CWL192" s="23"/>
      <c r="CWM192" s="24"/>
      <c r="CWN192" s="23"/>
      <c r="CWO192" s="23"/>
      <c r="CWP192" s="23"/>
      <c r="CWQ192" s="1"/>
      <c r="CWR192" s="1"/>
      <c r="CWS192" s="1"/>
      <c r="CWT192" s="25"/>
      <c r="CWW192" s="23"/>
      <c r="CWX192" s="23"/>
      <c r="CWY192" s="23"/>
      <c r="CWZ192" s="23"/>
      <c r="CXA192" s="23"/>
      <c r="CXB192" s="23"/>
      <c r="CXC192" s="24"/>
      <c r="CXD192" s="23"/>
      <c r="CXE192" s="23"/>
      <c r="CXF192" s="23"/>
      <c r="CXG192" s="1"/>
      <c r="CXH192" s="1"/>
      <c r="CXI192" s="1"/>
      <c r="CXJ192" s="25"/>
      <c r="CXM192" s="23"/>
      <c r="CXN192" s="23"/>
      <c r="CXO192" s="23"/>
      <c r="CXP192" s="23"/>
      <c r="CXQ192" s="23"/>
      <c r="CXR192" s="23"/>
      <c r="CXS192" s="24"/>
      <c r="CXT192" s="23"/>
      <c r="CXU192" s="23"/>
      <c r="CXV192" s="23"/>
      <c r="CXW192" s="1"/>
      <c r="CXX192" s="1"/>
      <c r="CXY192" s="1"/>
      <c r="CXZ192" s="25"/>
      <c r="CYC192" s="23"/>
      <c r="CYD192" s="23"/>
      <c r="CYE192" s="23"/>
      <c r="CYF192" s="23"/>
      <c r="CYG192" s="23"/>
      <c r="CYH192" s="23"/>
      <c r="CYI192" s="24"/>
      <c r="CYJ192" s="23"/>
      <c r="CYK192" s="23"/>
      <c r="CYL192" s="23"/>
      <c r="CYM192" s="1"/>
      <c r="CYN192" s="1"/>
      <c r="CYO192" s="1"/>
      <c r="CYP192" s="25"/>
      <c r="CYS192" s="23"/>
      <c r="CYT192" s="23"/>
      <c r="CYU192" s="23"/>
      <c r="CYV192" s="23"/>
      <c r="CYW192" s="23"/>
      <c r="CYX192" s="23"/>
      <c r="CYY192" s="24"/>
      <c r="CYZ192" s="23"/>
      <c r="CZA192" s="23"/>
      <c r="CZB192" s="23"/>
      <c r="CZC192" s="1"/>
      <c r="CZD192" s="1"/>
      <c r="CZE192" s="1"/>
      <c r="CZF192" s="25"/>
      <c r="CZI192" s="23"/>
      <c r="CZJ192" s="23"/>
      <c r="CZK192" s="23"/>
      <c r="CZL192" s="23"/>
      <c r="CZM192" s="23"/>
      <c r="CZN192" s="23"/>
      <c r="CZO192" s="24"/>
      <c r="CZP192" s="23"/>
      <c r="CZQ192" s="23"/>
      <c r="CZR192" s="23"/>
      <c r="CZS192" s="1"/>
      <c r="CZT192" s="1"/>
      <c r="CZU192" s="1"/>
      <c r="CZV192" s="25"/>
      <c r="CZY192" s="23"/>
      <c r="CZZ192" s="23"/>
      <c r="DAA192" s="23"/>
      <c r="DAB192" s="23"/>
      <c r="DAC192" s="23"/>
      <c r="DAD192" s="23"/>
      <c r="DAE192" s="24"/>
      <c r="DAF192" s="23"/>
      <c r="DAG192" s="23"/>
      <c r="DAH192" s="23"/>
      <c r="DAI192" s="1"/>
      <c r="DAJ192" s="1"/>
      <c r="DAK192" s="1"/>
      <c r="DAL192" s="25"/>
      <c r="DAO192" s="23"/>
      <c r="DAP192" s="23"/>
      <c r="DAQ192" s="23"/>
      <c r="DAR192" s="23"/>
      <c r="DAS192" s="23"/>
      <c r="DAT192" s="23"/>
      <c r="DAU192" s="24"/>
      <c r="DAV192" s="23"/>
      <c r="DAW192" s="23"/>
      <c r="DAX192" s="23"/>
      <c r="DAY192" s="1"/>
      <c r="DAZ192" s="1"/>
      <c r="DBA192" s="1"/>
      <c r="DBB192" s="25"/>
      <c r="DBE192" s="23"/>
      <c r="DBF192" s="23"/>
      <c r="DBG192" s="23"/>
      <c r="DBH192" s="23"/>
      <c r="DBI192" s="23"/>
      <c r="DBJ192" s="23"/>
      <c r="DBK192" s="24"/>
      <c r="DBL192" s="23"/>
      <c r="DBM192" s="23"/>
      <c r="DBN192" s="23"/>
      <c r="DBO192" s="1"/>
      <c r="DBP192" s="1"/>
      <c r="DBQ192" s="1"/>
      <c r="DBR192" s="25"/>
      <c r="DBU192" s="23"/>
      <c r="DBV192" s="23"/>
      <c r="DBW192" s="23"/>
      <c r="DBX192" s="23"/>
      <c r="DBY192" s="23"/>
      <c r="DBZ192" s="23"/>
      <c r="DCA192" s="24"/>
      <c r="DCB192" s="23"/>
      <c r="DCC192" s="23"/>
      <c r="DCD192" s="23"/>
      <c r="DCE192" s="1"/>
      <c r="DCF192" s="1"/>
      <c r="DCG192" s="1"/>
      <c r="DCH192" s="25"/>
      <c r="DCK192" s="23"/>
      <c r="DCL192" s="23"/>
      <c r="DCM192" s="23"/>
      <c r="DCN192" s="23"/>
      <c r="DCO192" s="23"/>
      <c r="DCP192" s="23"/>
      <c r="DCQ192" s="24"/>
      <c r="DCR192" s="23"/>
      <c r="DCS192" s="23"/>
      <c r="DCT192" s="23"/>
      <c r="DCU192" s="1"/>
      <c r="DCV192" s="1"/>
      <c r="DCW192" s="1"/>
      <c r="DCX192" s="25"/>
      <c r="DDA192" s="23"/>
      <c r="DDB192" s="23"/>
      <c r="DDC192" s="23"/>
      <c r="DDD192" s="23"/>
      <c r="DDE192" s="23"/>
      <c r="DDF192" s="23"/>
      <c r="DDG192" s="24"/>
      <c r="DDH192" s="23"/>
      <c r="DDI192" s="23"/>
      <c r="DDJ192" s="23"/>
      <c r="DDK192" s="1"/>
      <c r="DDL192" s="1"/>
      <c r="DDM192" s="1"/>
      <c r="DDN192" s="25"/>
      <c r="DDQ192" s="23"/>
      <c r="DDR192" s="23"/>
      <c r="DDS192" s="23"/>
      <c r="DDT192" s="23"/>
      <c r="DDU192" s="23"/>
      <c r="DDV192" s="23"/>
      <c r="DDW192" s="24"/>
      <c r="DDX192" s="23"/>
      <c r="DDY192" s="23"/>
      <c r="DDZ192" s="23"/>
      <c r="DEA192" s="1"/>
      <c r="DEB192" s="1"/>
      <c r="DEC192" s="1"/>
      <c r="DED192" s="25"/>
      <c r="DEG192" s="23"/>
      <c r="DEH192" s="23"/>
      <c r="DEI192" s="23"/>
      <c r="DEJ192" s="23"/>
      <c r="DEK192" s="23"/>
      <c r="DEL192" s="23"/>
      <c r="DEM192" s="24"/>
      <c r="DEN192" s="23"/>
      <c r="DEO192" s="23"/>
      <c r="DEP192" s="23"/>
      <c r="DEQ192" s="1"/>
      <c r="DER192" s="1"/>
      <c r="DES192" s="1"/>
      <c r="DET192" s="25"/>
      <c r="DEW192" s="23"/>
      <c r="DEX192" s="23"/>
      <c r="DEY192" s="23"/>
      <c r="DEZ192" s="23"/>
      <c r="DFA192" s="23"/>
      <c r="DFB192" s="23"/>
      <c r="DFC192" s="24"/>
      <c r="DFD192" s="23"/>
      <c r="DFE192" s="23"/>
      <c r="DFF192" s="23"/>
      <c r="DFG192" s="1"/>
      <c r="DFH192" s="1"/>
      <c r="DFI192" s="1"/>
      <c r="DFJ192" s="25"/>
      <c r="DFM192" s="23"/>
      <c r="DFN192" s="23"/>
      <c r="DFO192" s="23"/>
      <c r="DFP192" s="23"/>
      <c r="DFQ192" s="23"/>
      <c r="DFR192" s="23"/>
      <c r="DFS192" s="24"/>
      <c r="DFT192" s="23"/>
      <c r="DFU192" s="23"/>
      <c r="DFV192" s="23"/>
      <c r="DFW192" s="1"/>
      <c r="DFX192" s="1"/>
      <c r="DFY192" s="1"/>
      <c r="DFZ192" s="25"/>
      <c r="DGC192" s="23"/>
      <c r="DGD192" s="23"/>
      <c r="DGE192" s="23"/>
      <c r="DGF192" s="23"/>
      <c r="DGG192" s="23"/>
      <c r="DGH192" s="23"/>
      <c r="DGI192" s="24"/>
      <c r="DGJ192" s="23"/>
      <c r="DGK192" s="23"/>
      <c r="DGL192" s="23"/>
      <c r="DGM192" s="1"/>
      <c r="DGN192" s="1"/>
      <c r="DGO192" s="1"/>
      <c r="DGP192" s="25"/>
      <c r="DGS192" s="23"/>
      <c r="DGT192" s="23"/>
      <c r="DGU192" s="23"/>
      <c r="DGV192" s="23"/>
      <c r="DGW192" s="23"/>
      <c r="DGX192" s="23"/>
      <c r="DGY192" s="24"/>
      <c r="DGZ192" s="23"/>
      <c r="DHA192" s="23"/>
      <c r="DHB192" s="23"/>
      <c r="DHC192" s="1"/>
      <c r="DHD192" s="1"/>
      <c r="DHE192" s="1"/>
      <c r="DHF192" s="25"/>
      <c r="DHI192" s="23"/>
      <c r="DHJ192" s="23"/>
      <c r="DHK192" s="23"/>
      <c r="DHL192" s="23"/>
      <c r="DHM192" s="23"/>
      <c r="DHN192" s="23"/>
      <c r="DHO192" s="24"/>
      <c r="DHP192" s="23"/>
      <c r="DHQ192" s="23"/>
      <c r="DHR192" s="23"/>
      <c r="DHS192" s="1"/>
      <c r="DHT192" s="1"/>
      <c r="DHU192" s="1"/>
      <c r="DHV192" s="25"/>
      <c r="DHY192" s="23"/>
      <c r="DHZ192" s="23"/>
      <c r="DIA192" s="23"/>
      <c r="DIB192" s="23"/>
      <c r="DIC192" s="23"/>
      <c r="DID192" s="23"/>
      <c r="DIE192" s="24"/>
      <c r="DIF192" s="23"/>
      <c r="DIG192" s="23"/>
      <c r="DIH192" s="23"/>
      <c r="DII192" s="1"/>
      <c r="DIJ192" s="1"/>
      <c r="DIK192" s="1"/>
      <c r="DIL192" s="25"/>
      <c r="DIO192" s="23"/>
      <c r="DIP192" s="23"/>
      <c r="DIQ192" s="23"/>
      <c r="DIR192" s="23"/>
      <c r="DIS192" s="23"/>
      <c r="DIT192" s="23"/>
      <c r="DIU192" s="24"/>
      <c r="DIV192" s="23"/>
      <c r="DIW192" s="23"/>
      <c r="DIX192" s="23"/>
      <c r="DIY192" s="1"/>
      <c r="DIZ192" s="1"/>
      <c r="DJA192" s="1"/>
      <c r="DJB192" s="25"/>
      <c r="DJE192" s="23"/>
      <c r="DJF192" s="23"/>
      <c r="DJG192" s="23"/>
      <c r="DJH192" s="23"/>
      <c r="DJI192" s="23"/>
      <c r="DJJ192" s="23"/>
      <c r="DJK192" s="24"/>
      <c r="DJL192" s="23"/>
      <c r="DJM192" s="23"/>
      <c r="DJN192" s="23"/>
      <c r="DJO192" s="1"/>
      <c r="DJP192" s="1"/>
      <c r="DJQ192" s="1"/>
      <c r="DJR192" s="25"/>
      <c r="DJU192" s="23"/>
      <c r="DJV192" s="23"/>
      <c r="DJW192" s="23"/>
      <c r="DJX192" s="23"/>
      <c r="DJY192" s="23"/>
      <c r="DJZ192" s="23"/>
      <c r="DKA192" s="24"/>
      <c r="DKB192" s="23"/>
      <c r="DKC192" s="23"/>
      <c r="DKD192" s="23"/>
      <c r="DKE192" s="1"/>
      <c r="DKF192" s="1"/>
      <c r="DKG192" s="1"/>
      <c r="DKH192" s="25"/>
      <c r="DKK192" s="23"/>
      <c r="DKL192" s="23"/>
      <c r="DKM192" s="23"/>
      <c r="DKN192" s="23"/>
      <c r="DKO192" s="23"/>
      <c r="DKP192" s="23"/>
      <c r="DKQ192" s="24"/>
      <c r="DKR192" s="23"/>
      <c r="DKS192" s="23"/>
      <c r="DKT192" s="23"/>
      <c r="DKU192" s="1"/>
      <c r="DKV192" s="1"/>
      <c r="DKW192" s="1"/>
      <c r="DKX192" s="25"/>
      <c r="DLA192" s="23"/>
      <c r="DLB192" s="23"/>
      <c r="DLC192" s="23"/>
      <c r="DLD192" s="23"/>
      <c r="DLE192" s="23"/>
      <c r="DLF192" s="23"/>
      <c r="DLG192" s="24"/>
      <c r="DLH192" s="23"/>
      <c r="DLI192" s="23"/>
      <c r="DLJ192" s="23"/>
      <c r="DLK192" s="1"/>
      <c r="DLL192" s="1"/>
      <c r="DLM192" s="1"/>
      <c r="DLN192" s="25"/>
      <c r="DLQ192" s="23"/>
      <c r="DLR192" s="23"/>
      <c r="DLS192" s="23"/>
      <c r="DLT192" s="23"/>
      <c r="DLU192" s="23"/>
      <c r="DLV192" s="23"/>
      <c r="DLW192" s="24"/>
      <c r="DLX192" s="23"/>
      <c r="DLY192" s="23"/>
      <c r="DLZ192" s="23"/>
      <c r="DMA192" s="1"/>
      <c r="DMB192" s="1"/>
      <c r="DMC192" s="1"/>
      <c r="DMD192" s="25"/>
      <c r="DMG192" s="23"/>
      <c r="DMH192" s="23"/>
      <c r="DMI192" s="23"/>
      <c r="DMJ192" s="23"/>
      <c r="DMK192" s="23"/>
      <c r="DML192" s="23"/>
      <c r="DMM192" s="24"/>
      <c r="DMN192" s="23"/>
      <c r="DMO192" s="23"/>
      <c r="DMP192" s="23"/>
      <c r="DMQ192" s="1"/>
      <c r="DMR192" s="1"/>
      <c r="DMS192" s="1"/>
      <c r="DMT192" s="25"/>
      <c r="DMW192" s="23"/>
      <c r="DMX192" s="23"/>
      <c r="DMY192" s="23"/>
      <c r="DMZ192" s="23"/>
      <c r="DNA192" s="23"/>
      <c r="DNB192" s="23"/>
      <c r="DNC192" s="24"/>
      <c r="DND192" s="23"/>
      <c r="DNE192" s="23"/>
      <c r="DNF192" s="23"/>
      <c r="DNG192" s="1"/>
      <c r="DNH192" s="1"/>
      <c r="DNI192" s="1"/>
      <c r="DNJ192" s="25"/>
      <c r="DNM192" s="23"/>
      <c r="DNN192" s="23"/>
      <c r="DNO192" s="23"/>
      <c r="DNP192" s="23"/>
      <c r="DNQ192" s="23"/>
      <c r="DNR192" s="23"/>
      <c r="DNS192" s="24"/>
      <c r="DNT192" s="23"/>
      <c r="DNU192" s="23"/>
      <c r="DNV192" s="23"/>
      <c r="DNW192" s="1"/>
      <c r="DNX192" s="1"/>
      <c r="DNY192" s="1"/>
      <c r="DNZ192" s="25"/>
      <c r="DOC192" s="23"/>
      <c r="DOD192" s="23"/>
      <c r="DOE192" s="23"/>
      <c r="DOF192" s="23"/>
      <c r="DOG192" s="23"/>
      <c r="DOH192" s="23"/>
      <c r="DOI192" s="24"/>
      <c r="DOJ192" s="23"/>
      <c r="DOK192" s="23"/>
      <c r="DOL192" s="23"/>
      <c r="DOM192" s="1"/>
      <c r="DON192" s="1"/>
      <c r="DOO192" s="1"/>
      <c r="DOP192" s="25"/>
      <c r="DOS192" s="23"/>
      <c r="DOT192" s="23"/>
      <c r="DOU192" s="23"/>
      <c r="DOV192" s="23"/>
      <c r="DOW192" s="23"/>
      <c r="DOX192" s="23"/>
      <c r="DOY192" s="24"/>
      <c r="DOZ192" s="23"/>
      <c r="DPA192" s="23"/>
      <c r="DPB192" s="23"/>
      <c r="DPC192" s="1"/>
      <c r="DPD192" s="1"/>
      <c r="DPE192" s="1"/>
      <c r="DPF192" s="25"/>
      <c r="DPI192" s="23"/>
      <c r="DPJ192" s="23"/>
      <c r="DPK192" s="23"/>
      <c r="DPL192" s="23"/>
      <c r="DPM192" s="23"/>
      <c r="DPN192" s="23"/>
      <c r="DPO192" s="24"/>
      <c r="DPP192" s="23"/>
      <c r="DPQ192" s="23"/>
      <c r="DPR192" s="23"/>
      <c r="DPS192" s="1"/>
      <c r="DPT192" s="1"/>
      <c r="DPU192" s="1"/>
      <c r="DPV192" s="25"/>
      <c r="DPY192" s="23"/>
      <c r="DPZ192" s="23"/>
      <c r="DQA192" s="23"/>
      <c r="DQB192" s="23"/>
      <c r="DQC192" s="23"/>
      <c r="DQD192" s="23"/>
      <c r="DQE192" s="24"/>
      <c r="DQF192" s="23"/>
      <c r="DQG192" s="23"/>
      <c r="DQH192" s="23"/>
      <c r="DQI192" s="1"/>
      <c r="DQJ192" s="1"/>
      <c r="DQK192" s="1"/>
      <c r="DQL192" s="25"/>
      <c r="DQO192" s="23"/>
      <c r="DQP192" s="23"/>
      <c r="DQQ192" s="23"/>
      <c r="DQR192" s="23"/>
      <c r="DQS192" s="23"/>
      <c r="DQT192" s="23"/>
      <c r="DQU192" s="24"/>
      <c r="DQV192" s="23"/>
      <c r="DQW192" s="23"/>
      <c r="DQX192" s="23"/>
      <c r="DQY192" s="1"/>
      <c r="DQZ192" s="1"/>
      <c r="DRA192" s="1"/>
      <c r="DRB192" s="25"/>
      <c r="DRE192" s="23"/>
      <c r="DRF192" s="23"/>
      <c r="DRG192" s="23"/>
      <c r="DRH192" s="23"/>
      <c r="DRI192" s="23"/>
      <c r="DRJ192" s="23"/>
      <c r="DRK192" s="24"/>
      <c r="DRL192" s="23"/>
      <c r="DRM192" s="23"/>
      <c r="DRN192" s="23"/>
      <c r="DRO192" s="1"/>
      <c r="DRP192" s="1"/>
      <c r="DRQ192" s="1"/>
      <c r="DRR192" s="25"/>
      <c r="DRU192" s="23"/>
      <c r="DRV192" s="23"/>
      <c r="DRW192" s="23"/>
      <c r="DRX192" s="23"/>
      <c r="DRY192" s="23"/>
      <c r="DRZ192" s="23"/>
      <c r="DSA192" s="24"/>
      <c r="DSB192" s="23"/>
      <c r="DSC192" s="23"/>
      <c r="DSD192" s="23"/>
      <c r="DSE192" s="1"/>
      <c r="DSF192" s="1"/>
      <c r="DSG192" s="1"/>
      <c r="DSH192" s="25"/>
      <c r="DSK192" s="23"/>
      <c r="DSL192" s="23"/>
      <c r="DSM192" s="23"/>
      <c r="DSN192" s="23"/>
      <c r="DSO192" s="23"/>
      <c r="DSP192" s="23"/>
      <c r="DSQ192" s="24"/>
      <c r="DSR192" s="23"/>
      <c r="DSS192" s="23"/>
      <c r="DST192" s="23"/>
      <c r="DSU192" s="1"/>
      <c r="DSV192" s="1"/>
      <c r="DSW192" s="1"/>
      <c r="DSX192" s="25"/>
      <c r="DTA192" s="23"/>
      <c r="DTB192" s="23"/>
      <c r="DTC192" s="23"/>
      <c r="DTD192" s="23"/>
      <c r="DTE192" s="23"/>
      <c r="DTF192" s="23"/>
      <c r="DTG192" s="24"/>
      <c r="DTH192" s="23"/>
      <c r="DTI192" s="23"/>
      <c r="DTJ192" s="23"/>
      <c r="DTK192" s="1"/>
      <c r="DTL192" s="1"/>
      <c r="DTM192" s="1"/>
      <c r="DTN192" s="25"/>
      <c r="DTQ192" s="23"/>
      <c r="DTR192" s="23"/>
      <c r="DTS192" s="23"/>
      <c r="DTT192" s="23"/>
      <c r="DTU192" s="23"/>
      <c r="DTV192" s="23"/>
      <c r="DTW192" s="24"/>
      <c r="DTX192" s="23"/>
      <c r="DTY192" s="23"/>
      <c r="DTZ192" s="23"/>
      <c r="DUA192" s="1"/>
      <c r="DUB192" s="1"/>
      <c r="DUC192" s="1"/>
      <c r="DUD192" s="25"/>
      <c r="DUG192" s="23"/>
      <c r="DUH192" s="23"/>
      <c r="DUI192" s="23"/>
      <c r="DUJ192" s="23"/>
      <c r="DUK192" s="23"/>
      <c r="DUL192" s="23"/>
      <c r="DUM192" s="24"/>
      <c r="DUN192" s="23"/>
      <c r="DUO192" s="23"/>
      <c r="DUP192" s="23"/>
      <c r="DUQ192" s="1"/>
      <c r="DUR192" s="1"/>
      <c r="DUS192" s="1"/>
      <c r="DUT192" s="25"/>
      <c r="DUW192" s="23"/>
      <c r="DUX192" s="23"/>
      <c r="DUY192" s="23"/>
      <c r="DUZ192" s="23"/>
      <c r="DVA192" s="23"/>
      <c r="DVB192" s="23"/>
      <c r="DVC192" s="24"/>
      <c r="DVD192" s="23"/>
      <c r="DVE192" s="23"/>
      <c r="DVF192" s="23"/>
      <c r="DVG192" s="1"/>
      <c r="DVH192" s="1"/>
      <c r="DVI192" s="1"/>
      <c r="DVJ192" s="25"/>
      <c r="DVM192" s="23"/>
      <c r="DVN192" s="23"/>
      <c r="DVO192" s="23"/>
      <c r="DVP192" s="23"/>
      <c r="DVQ192" s="23"/>
      <c r="DVR192" s="23"/>
      <c r="DVS192" s="24"/>
      <c r="DVT192" s="23"/>
      <c r="DVU192" s="23"/>
      <c r="DVV192" s="23"/>
      <c r="DVW192" s="1"/>
      <c r="DVX192" s="1"/>
      <c r="DVY192" s="1"/>
      <c r="DVZ192" s="25"/>
      <c r="DWC192" s="23"/>
      <c r="DWD192" s="23"/>
      <c r="DWE192" s="23"/>
      <c r="DWF192" s="23"/>
      <c r="DWG192" s="23"/>
      <c r="DWH192" s="23"/>
      <c r="DWI192" s="24"/>
      <c r="DWJ192" s="23"/>
      <c r="DWK192" s="23"/>
      <c r="DWL192" s="23"/>
      <c r="DWM192" s="1"/>
      <c r="DWN192" s="1"/>
      <c r="DWO192" s="1"/>
      <c r="DWP192" s="25"/>
      <c r="DWS192" s="23"/>
      <c r="DWT192" s="23"/>
      <c r="DWU192" s="23"/>
      <c r="DWV192" s="23"/>
      <c r="DWW192" s="23"/>
      <c r="DWX192" s="23"/>
      <c r="DWY192" s="24"/>
      <c r="DWZ192" s="23"/>
      <c r="DXA192" s="23"/>
      <c r="DXB192" s="23"/>
      <c r="DXC192" s="1"/>
      <c r="DXD192" s="1"/>
      <c r="DXE192" s="1"/>
      <c r="DXF192" s="25"/>
      <c r="DXI192" s="23"/>
      <c r="DXJ192" s="23"/>
      <c r="DXK192" s="23"/>
      <c r="DXL192" s="23"/>
      <c r="DXM192" s="23"/>
      <c r="DXN192" s="23"/>
      <c r="DXO192" s="24"/>
      <c r="DXP192" s="23"/>
      <c r="DXQ192" s="23"/>
      <c r="DXR192" s="23"/>
      <c r="DXS192" s="1"/>
      <c r="DXT192" s="1"/>
      <c r="DXU192" s="1"/>
      <c r="DXV192" s="25"/>
      <c r="DXY192" s="23"/>
      <c r="DXZ192" s="23"/>
      <c r="DYA192" s="23"/>
      <c r="DYB192" s="23"/>
      <c r="DYC192" s="23"/>
      <c r="DYD192" s="23"/>
      <c r="DYE192" s="24"/>
      <c r="DYF192" s="23"/>
      <c r="DYG192" s="23"/>
      <c r="DYH192" s="23"/>
      <c r="DYI192" s="1"/>
      <c r="DYJ192" s="1"/>
      <c r="DYK192" s="1"/>
      <c r="DYL192" s="25"/>
      <c r="DYO192" s="23"/>
      <c r="DYP192" s="23"/>
      <c r="DYQ192" s="23"/>
      <c r="DYR192" s="23"/>
      <c r="DYS192" s="23"/>
      <c r="DYT192" s="23"/>
      <c r="DYU192" s="24"/>
      <c r="DYV192" s="23"/>
      <c r="DYW192" s="23"/>
      <c r="DYX192" s="23"/>
      <c r="DYY192" s="1"/>
      <c r="DYZ192" s="1"/>
      <c r="DZA192" s="1"/>
      <c r="DZB192" s="25"/>
      <c r="DZE192" s="23"/>
      <c r="DZF192" s="23"/>
      <c r="DZG192" s="23"/>
      <c r="DZH192" s="23"/>
      <c r="DZI192" s="23"/>
      <c r="DZJ192" s="23"/>
      <c r="DZK192" s="24"/>
      <c r="DZL192" s="23"/>
      <c r="DZM192" s="23"/>
      <c r="DZN192" s="23"/>
      <c r="DZO192" s="1"/>
      <c r="DZP192" s="1"/>
      <c r="DZQ192" s="1"/>
      <c r="DZR192" s="25"/>
      <c r="DZU192" s="23"/>
      <c r="DZV192" s="23"/>
      <c r="DZW192" s="23"/>
      <c r="DZX192" s="23"/>
      <c r="DZY192" s="23"/>
      <c r="DZZ192" s="23"/>
      <c r="EAA192" s="24"/>
      <c r="EAB192" s="23"/>
      <c r="EAC192" s="23"/>
      <c r="EAD192" s="23"/>
      <c r="EAE192" s="1"/>
      <c r="EAF192" s="1"/>
      <c r="EAG192" s="1"/>
      <c r="EAH192" s="25"/>
      <c r="EAK192" s="23"/>
      <c r="EAL192" s="23"/>
      <c r="EAM192" s="23"/>
      <c r="EAN192" s="23"/>
      <c r="EAO192" s="23"/>
      <c r="EAP192" s="23"/>
      <c r="EAQ192" s="24"/>
      <c r="EAR192" s="23"/>
      <c r="EAS192" s="23"/>
      <c r="EAT192" s="23"/>
      <c r="EAU192" s="1"/>
      <c r="EAV192" s="1"/>
      <c r="EAW192" s="1"/>
      <c r="EAX192" s="25"/>
      <c r="EBA192" s="23"/>
      <c r="EBB192" s="23"/>
      <c r="EBC192" s="23"/>
      <c r="EBD192" s="23"/>
      <c r="EBE192" s="23"/>
      <c r="EBF192" s="23"/>
      <c r="EBG192" s="24"/>
      <c r="EBH192" s="23"/>
      <c r="EBI192" s="23"/>
      <c r="EBJ192" s="23"/>
      <c r="EBK192" s="1"/>
      <c r="EBL192" s="1"/>
      <c r="EBM192" s="1"/>
      <c r="EBN192" s="25"/>
      <c r="EBQ192" s="23"/>
      <c r="EBR192" s="23"/>
      <c r="EBS192" s="23"/>
      <c r="EBT192" s="23"/>
      <c r="EBU192" s="23"/>
      <c r="EBV192" s="23"/>
      <c r="EBW192" s="24"/>
      <c r="EBX192" s="23"/>
      <c r="EBY192" s="23"/>
      <c r="EBZ192" s="23"/>
      <c r="ECA192" s="1"/>
      <c r="ECB192" s="1"/>
      <c r="ECC192" s="1"/>
      <c r="ECD192" s="25"/>
      <c r="ECG192" s="23"/>
      <c r="ECH192" s="23"/>
      <c r="ECI192" s="23"/>
      <c r="ECJ192" s="23"/>
      <c r="ECK192" s="23"/>
      <c r="ECL192" s="23"/>
      <c r="ECM192" s="24"/>
      <c r="ECN192" s="23"/>
      <c r="ECO192" s="23"/>
      <c r="ECP192" s="23"/>
      <c r="ECQ192" s="1"/>
      <c r="ECR192" s="1"/>
      <c r="ECS192" s="1"/>
      <c r="ECT192" s="25"/>
      <c r="ECW192" s="23"/>
      <c r="ECX192" s="23"/>
      <c r="ECY192" s="23"/>
      <c r="ECZ192" s="23"/>
      <c r="EDA192" s="23"/>
      <c r="EDB192" s="23"/>
      <c r="EDC192" s="24"/>
      <c r="EDD192" s="23"/>
      <c r="EDE192" s="23"/>
      <c r="EDF192" s="23"/>
      <c r="EDG192" s="1"/>
      <c r="EDH192" s="1"/>
      <c r="EDI192" s="1"/>
      <c r="EDJ192" s="25"/>
      <c r="EDM192" s="23"/>
      <c r="EDN192" s="23"/>
      <c r="EDO192" s="23"/>
      <c r="EDP192" s="23"/>
      <c r="EDQ192" s="23"/>
      <c r="EDR192" s="23"/>
      <c r="EDS192" s="24"/>
      <c r="EDT192" s="23"/>
      <c r="EDU192" s="23"/>
      <c r="EDV192" s="23"/>
      <c r="EDW192" s="1"/>
      <c r="EDX192" s="1"/>
      <c r="EDY192" s="1"/>
      <c r="EDZ192" s="25"/>
      <c r="EEC192" s="23"/>
      <c r="EED192" s="23"/>
      <c r="EEE192" s="23"/>
      <c r="EEF192" s="23"/>
      <c r="EEG192" s="23"/>
      <c r="EEH192" s="23"/>
      <c r="EEI192" s="24"/>
      <c r="EEJ192" s="23"/>
      <c r="EEK192" s="23"/>
      <c r="EEL192" s="23"/>
      <c r="EEM192" s="1"/>
      <c r="EEN192" s="1"/>
      <c r="EEO192" s="1"/>
      <c r="EEP192" s="25"/>
      <c r="EES192" s="23"/>
      <c r="EET192" s="23"/>
      <c r="EEU192" s="23"/>
      <c r="EEV192" s="23"/>
      <c r="EEW192" s="23"/>
      <c r="EEX192" s="23"/>
      <c r="EEY192" s="24"/>
      <c r="EEZ192" s="23"/>
      <c r="EFA192" s="23"/>
      <c r="EFB192" s="23"/>
      <c r="EFC192" s="1"/>
      <c r="EFD192" s="1"/>
      <c r="EFE192" s="1"/>
      <c r="EFF192" s="25"/>
      <c r="EFI192" s="23"/>
      <c r="EFJ192" s="23"/>
      <c r="EFK192" s="23"/>
      <c r="EFL192" s="23"/>
      <c r="EFM192" s="23"/>
      <c r="EFN192" s="23"/>
      <c r="EFO192" s="24"/>
      <c r="EFP192" s="23"/>
      <c r="EFQ192" s="23"/>
      <c r="EFR192" s="23"/>
      <c r="EFS192" s="1"/>
      <c r="EFT192" s="1"/>
      <c r="EFU192" s="1"/>
      <c r="EFV192" s="25"/>
      <c r="EFY192" s="23"/>
      <c r="EFZ192" s="23"/>
      <c r="EGA192" s="23"/>
      <c r="EGB192" s="23"/>
      <c r="EGC192" s="23"/>
      <c r="EGD192" s="23"/>
      <c r="EGE192" s="24"/>
      <c r="EGF192" s="23"/>
      <c r="EGG192" s="23"/>
      <c r="EGH192" s="23"/>
      <c r="EGI192" s="1"/>
      <c r="EGJ192" s="1"/>
      <c r="EGK192" s="1"/>
      <c r="EGL192" s="25"/>
      <c r="EGO192" s="23"/>
      <c r="EGP192" s="23"/>
      <c r="EGQ192" s="23"/>
      <c r="EGR192" s="23"/>
      <c r="EGS192" s="23"/>
      <c r="EGT192" s="23"/>
      <c r="EGU192" s="24"/>
      <c r="EGV192" s="23"/>
      <c r="EGW192" s="23"/>
      <c r="EGX192" s="23"/>
      <c r="EGY192" s="1"/>
      <c r="EGZ192" s="1"/>
      <c r="EHA192" s="1"/>
      <c r="EHB192" s="25"/>
      <c r="EHE192" s="23"/>
      <c r="EHF192" s="23"/>
      <c r="EHG192" s="23"/>
      <c r="EHH192" s="23"/>
      <c r="EHI192" s="23"/>
      <c r="EHJ192" s="23"/>
      <c r="EHK192" s="24"/>
      <c r="EHL192" s="23"/>
      <c r="EHM192" s="23"/>
      <c r="EHN192" s="23"/>
      <c r="EHO192" s="1"/>
      <c r="EHP192" s="1"/>
      <c r="EHQ192" s="1"/>
      <c r="EHR192" s="25"/>
      <c r="EHU192" s="23"/>
      <c r="EHV192" s="23"/>
      <c r="EHW192" s="23"/>
      <c r="EHX192" s="23"/>
      <c r="EHY192" s="23"/>
      <c r="EHZ192" s="23"/>
      <c r="EIA192" s="24"/>
      <c r="EIB192" s="23"/>
      <c r="EIC192" s="23"/>
      <c r="EID192" s="23"/>
      <c r="EIE192" s="1"/>
      <c r="EIF192" s="1"/>
      <c r="EIG192" s="1"/>
      <c r="EIH192" s="25"/>
      <c r="EIK192" s="23"/>
      <c r="EIL192" s="23"/>
      <c r="EIM192" s="23"/>
      <c r="EIN192" s="23"/>
      <c r="EIO192" s="23"/>
      <c r="EIP192" s="23"/>
      <c r="EIQ192" s="24"/>
      <c r="EIR192" s="23"/>
      <c r="EIS192" s="23"/>
      <c r="EIT192" s="23"/>
      <c r="EIU192" s="1"/>
      <c r="EIV192" s="1"/>
      <c r="EIW192" s="1"/>
      <c r="EIX192" s="25"/>
      <c r="EJA192" s="23"/>
      <c r="EJB192" s="23"/>
      <c r="EJC192" s="23"/>
      <c r="EJD192" s="23"/>
      <c r="EJE192" s="23"/>
      <c r="EJF192" s="23"/>
      <c r="EJG192" s="24"/>
      <c r="EJH192" s="23"/>
      <c r="EJI192" s="23"/>
      <c r="EJJ192" s="23"/>
      <c r="EJK192" s="1"/>
      <c r="EJL192" s="1"/>
      <c r="EJM192" s="1"/>
      <c r="EJN192" s="25"/>
      <c r="EJQ192" s="23"/>
      <c r="EJR192" s="23"/>
      <c r="EJS192" s="23"/>
      <c r="EJT192" s="23"/>
      <c r="EJU192" s="23"/>
      <c r="EJV192" s="23"/>
      <c r="EJW192" s="24"/>
      <c r="EJX192" s="23"/>
      <c r="EJY192" s="23"/>
      <c r="EJZ192" s="23"/>
      <c r="EKA192" s="1"/>
      <c r="EKB192" s="1"/>
      <c r="EKC192" s="1"/>
      <c r="EKD192" s="25"/>
      <c r="EKG192" s="23"/>
      <c r="EKH192" s="23"/>
      <c r="EKI192" s="23"/>
      <c r="EKJ192" s="23"/>
      <c r="EKK192" s="23"/>
      <c r="EKL192" s="23"/>
      <c r="EKM192" s="24"/>
      <c r="EKN192" s="23"/>
      <c r="EKO192" s="23"/>
      <c r="EKP192" s="23"/>
      <c r="EKQ192" s="1"/>
      <c r="EKR192" s="1"/>
      <c r="EKS192" s="1"/>
      <c r="EKT192" s="25"/>
      <c r="EKW192" s="23"/>
      <c r="EKX192" s="23"/>
      <c r="EKY192" s="23"/>
      <c r="EKZ192" s="23"/>
      <c r="ELA192" s="23"/>
      <c r="ELB192" s="23"/>
      <c r="ELC192" s="24"/>
      <c r="ELD192" s="23"/>
      <c r="ELE192" s="23"/>
      <c r="ELF192" s="23"/>
      <c r="ELG192" s="1"/>
      <c r="ELH192" s="1"/>
      <c r="ELI192" s="1"/>
      <c r="ELJ192" s="25"/>
      <c r="ELM192" s="23"/>
      <c r="ELN192" s="23"/>
      <c r="ELO192" s="23"/>
      <c r="ELP192" s="23"/>
      <c r="ELQ192" s="23"/>
      <c r="ELR192" s="23"/>
      <c r="ELS192" s="24"/>
      <c r="ELT192" s="23"/>
      <c r="ELU192" s="23"/>
      <c r="ELV192" s="23"/>
      <c r="ELW192" s="1"/>
      <c r="ELX192" s="1"/>
      <c r="ELY192" s="1"/>
      <c r="ELZ192" s="25"/>
      <c r="EMC192" s="23"/>
      <c r="EMD192" s="23"/>
      <c r="EME192" s="23"/>
      <c r="EMF192" s="23"/>
      <c r="EMG192" s="23"/>
      <c r="EMH192" s="23"/>
      <c r="EMI192" s="24"/>
      <c r="EMJ192" s="23"/>
      <c r="EMK192" s="23"/>
      <c r="EML192" s="23"/>
      <c r="EMM192" s="1"/>
      <c r="EMN192" s="1"/>
      <c r="EMO192" s="1"/>
      <c r="EMP192" s="25"/>
      <c r="EMS192" s="23"/>
      <c r="EMT192" s="23"/>
      <c r="EMU192" s="23"/>
      <c r="EMV192" s="23"/>
      <c r="EMW192" s="23"/>
      <c r="EMX192" s="23"/>
      <c r="EMY192" s="24"/>
      <c r="EMZ192" s="23"/>
      <c r="ENA192" s="23"/>
      <c r="ENB192" s="23"/>
      <c r="ENC192" s="1"/>
      <c r="END192" s="1"/>
      <c r="ENE192" s="1"/>
      <c r="ENF192" s="25"/>
      <c r="ENI192" s="23"/>
      <c r="ENJ192" s="23"/>
      <c r="ENK192" s="23"/>
      <c r="ENL192" s="23"/>
      <c r="ENM192" s="23"/>
      <c r="ENN192" s="23"/>
      <c r="ENO192" s="24"/>
      <c r="ENP192" s="23"/>
      <c r="ENQ192" s="23"/>
      <c r="ENR192" s="23"/>
      <c r="ENS192" s="1"/>
      <c r="ENT192" s="1"/>
      <c r="ENU192" s="1"/>
      <c r="ENV192" s="25"/>
      <c r="ENY192" s="23"/>
      <c r="ENZ192" s="23"/>
      <c r="EOA192" s="23"/>
      <c r="EOB192" s="23"/>
      <c r="EOC192" s="23"/>
      <c r="EOD192" s="23"/>
      <c r="EOE192" s="24"/>
      <c r="EOF192" s="23"/>
      <c r="EOG192" s="23"/>
      <c r="EOH192" s="23"/>
      <c r="EOI192" s="1"/>
      <c r="EOJ192" s="1"/>
      <c r="EOK192" s="1"/>
      <c r="EOL192" s="25"/>
      <c r="EOO192" s="23"/>
      <c r="EOP192" s="23"/>
      <c r="EOQ192" s="23"/>
      <c r="EOR192" s="23"/>
      <c r="EOS192" s="23"/>
      <c r="EOT192" s="23"/>
      <c r="EOU192" s="24"/>
      <c r="EOV192" s="23"/>
      <c r="EOW192" s="23"/>
      <c r="EOX192" s="23"/>
      <c r="EOY192" s="1"/>
      <c r="EOZ192" s="1"/>
      <c r="EPA192" s="1"/>
      <c r="EPB192" s="25"/>
      <c r="EPE192" s="23"/>
      <c r="EPF192" s="23"/>
      <c r="EPG192" s="23"/>
      <c r="EPH192" s="23"/>
      <c r="EPI192" s="23"/>
      <c r="EPJ192" s="23"/>
      <c r="EPK192" s="24"/>
      <c r="EPL192" s="23"/>
      <c r="EPM192" s="23"/>
      <c r="EPN192" s="23"/>
      <c r="EPO192" s="1"/>
      <c r="EPP192" s="1"/>
      <c r="EPQ192" s="1"/>
      <c r="EPR192" s="25"/>
      <c r="EPU192" s="23"/>
      <c r="EPV192" s="23"/>
      <c r="EPW192" s="23"/>
      <c r="EPX192" s="23"/>
      <c r="EPY192" s="23"/>
      <c r="EPZ192" s="23"/>
      <c r="EQA192" s="24"/>
      <c r="EQB192" s="23"/>
      <c r="EQC192" s="23"/>
      <c r="EQD192" s="23"/>
      <c r="EQE192" s="1"/>
      <c r="EQF192" s="1"/>
      <c r="EQG192" s="1"/>
      <c r="EQH192" s="25"/>
      <c r="EQK192" s="23"/>
      <c r="EQL192" s="23"/>
      <c r="EQM192" s="23"/>
      <c r="EQN192" s="23"/>
      <c r="EQO192" s="23"/>
      <c r="EQP192" s="23"/>
      <c r="EQQ192" s="24"/>
      <c r="EQR192" s="23"/>
      <c r="EQS192" s="23"/>
      <c r="EQT192" s="23"/>
      <c r="EQU192" s="1"/>
      <c r="EQV192" s="1"/>
      <c r="EQW192" s="1"/>
      <c r="EQX192" s="25"/>
      <c r="ERA192" s="23"/>
      <c r="ERB192" s="23"/>
      <c r="ERC192" s="23"/>
      <c r="ERD192" s="23"/>
      <c r="ERE192" s="23"/>
      <c r="ERF192" s="23"/>
      <c r="ERG192" s="24"/>
      <c r="ERH192" s="23"/>
      <c r="ERI192" s="23"/>
      <c r="ERJ192" s="23"/>
      <c r="ERK192" s="1"/>
      <c r="ERL192" s="1"/>
      <c r="ERM192" s="1"/>
      <c r="ERN192" s="25"/>
      <c r="ERQ192" s="23"/>
      <c r="ERR192" s="23"/>
      <c r="ERS192" s="23"/>
      <c r="ERT192" s="23"/>
      <c r="ERU192" s="23"/>
      <c r="ERV192" s="23"/>
      <c r="ERW192" s="24"/>
      <c r="ERX192" s="23"/>
      <c r="ERY192" s="23"/>
      <c r="ERZ192" s="23"/>
      <c r="ESA192" s="1"/>
      <c r="ESB192" s="1"/>
      <c r="ESC192" s="1"/>
      <c r="ESD192" s="25"/>
      <c r="ESG192" s="23"/>
      <c r="ESH192" s="23"/>
      <c r="ESI192" s="23"/>
      <c r="ESJ192" s="23"/>
      <c r="ESK192" s="23"/>
      <c r="ESL192" s="23"/>
      <c r="ESM192" s="24"/>
      <c r="ESN192" s="23"/>
      <c r="ESO192" s="23"/>
      <c r="ESP192" s="23"/>
      <c r="ESQ192" s="1"/>
      <c r="ESR192" s="1"/>
      <c r="ESS192" s="1"/>
      <c r="EST192" s="25"/>
      <c r="ESW192" s="23"/>
      <c r="ESX192" s="23"/>
      <c r="ESY192" s="23"/>
      <c r="ESZ192" s="23"/>
      <c r="ETA192" s="23"/>
      <c r="ETB192" s="23"/>
      <c r="ETC192" s="24"/>
      <c r="ETD192" s="23"/>
      <c r="ETE192" s="23"/>
      <c r="ETF192" s="23"/>
      <c r="ETG192" s="1"/>
      <c r="ETH192" s="1"/>
      <c r="ETI192" s="1"/>
      <c r="ETJ192" s="25"/>
      <c r="ETM192" s="23"/>
      <c r="ETN192" s="23"/>
      <c r="ETO192" s="23"/>
      <c r="ETP192" s="23"/>
      <c r="ETQ192" s="23"/>
      <c r="ETR192" s="23"/>
      <c r="ETS192" s="24"/>
      <c r="ETT192" s="23"/>
      <c r="ETU192" s="23"/>
      <c r="ETV192" s="23"/>
      <c r="ETW192" s="1"/>
      <c r="ETX192" s="1"/>
      <c r="ETY192" s="1"/>
      <c r="ETZ192" s="25"/>
      <c r="EUC192" s="23"/>
      <c r="EUD192" s="23"/>
      <c r="EUE192" s="23"/>
      <c r="EUF192" s="23"/>
      <c r="EUG192" s="23"/>
      <c r="EUH192" s="23"/>
      <c r="EUI192" s="24"/>
      <c r="EUJ192" s="23"/>
      <c r="EUK192" s="23"/>
      <c r="EUL192" s="23"/>
      <c r="EUM192" s="1"/>
      <c r="EUN192" s="1"/>
      <c r="EUO192" s="1"/>
      <c r="EUP192" s="25"/>
      <c r="EUS192" s="23"/>
      <c r="EUT192" s="23"/>
      <c r="EUU192" s="23"/>
      <c r="EUV192" s="23"/>
      <c r="EUW192" s="23"/>
      <c r="EUX192" s="23"/>
      <c r="EUY192" s="24"/>
      <c r="EUZ192" s="23"/>
      <c r="EVA192" s="23"/>
      <c r="EVB192" s="23"/>
      <c r="EVC192" s="1"/>
      <c r="EVD192" s="1"/>
      <c r="EVE192" s="1"/>
      <c r="EVF192" s="25"/>
      <c r="EVI192" s="23"/>
      <c r="EVJ192" s="23"/>
      <c r="EVK192" s="23"/>
      <c r="EVL192" s="23"/>
      <c r="EVM192" s="23"/>
      <c r="EVN192" s="23"/>
      <c r="EVO192" s="24"/>
      <c r="EVP192" s="23"/>
      <c r="EVQ192" s="23"/>
      <c r="EVR192" s="23"/>
      <c r="EVS192" s="1"/>
      <c r="EVT192" s="1"/>
      <c r="EVU192" s="1"/>
      <c r="EVV192" s="25"/>
      <c r="EVY192" s="23"/>
      <c r="EVZ192" s="23"/>
      <c r="EWA192" s="23"/>
      <c r="EWB192" s="23"/>
      <c r="EWC192" s="23"/>
      <c r="EWD192" s="23"/>
      <c r="EWE192" s="24"/>
      <c r="EWF192" s="23"/>
      <c r="EWG192" s="23"/>
      <c r="EWH192" s="23"/>
      <c r="EWI192" s="1"/>
      <c r="EWJ192" s="1"/>
      <c r="EWK192" s="1"/>
      <c r="EWL192" s="25"/>
      <c r="EWO192" s="23"/>
      <c r="EWP192" s="23"/>
      <c r="EWQ192" s="23"/>
      <c r="EWR192" s="23"/>
      <c r="EWS192" s="23"/>
      <c r="EWT192" s="23"/>
      <c r="EWU192" s="24"/>
      <c r="EWV192" s="23"/>
      <c r="EWW192" s="23"/>
      <c r="EWX192" s="23"/>
      <c r="EWY192" s="1"/>
      <c r="EWZ192" s="1"/>
      <c r="EXA192" s="1"/>
      <c r="EXB192" s="25"/>
      <c r="EXE192" s="23"/>
      <c r="EXF192" s="23"/>
      <c r="EXG192" s="23"/>
      <c r="EXH192" s="23"/>
      <c r="EXI192" s="23"/>
      <c r="EXJ192" s="23"/>
      <c r="EXK192" s="24"/>
      <c r="EXL192" s="23"/>
      <c r="EXM192" s="23"/>
      <c r="EXN192" s="23"/>
      <c r="EXO192" s="1"/>
      <c r="EXP192" s="1"/>
      <c r="EXQ192" s="1"/>
      <c r="EXR192" s="25"/>
      <c r="EXU192" s="23"/>
      <c r="EXV192" s="23"/>
      <c r="EXW192" s="23"/>
      <c r="EXX192" s="23"/>
      <c r="EXY192" s="23"/>
      <c r="EXZ192" s="23"/>
      <c r="EYA192" s="24"/>
      <c r="EYB192" s="23"/>
      <c r="EYC192" s="23"/>
      <c r="EYD192" s="23"/>
      <c r="EYE192" s="1"/>
      <c r="EYF192" s="1"/>
      <c r="EYG192" s="1"/>
      <c r="EYH192" s="25"/>
      <c r="EYK192" s="23"/>
      <c r="EYL192" s="23"/>
      <c r="EYM192" s="23"/>
      <c r="EYN192" s="23"/>
      <c r="EYO192" s="23"/>
      <c r="EYP192" s="23"/>
      <c r="EYQ192" s="24"/>
      <c r="EYR192" s="23"/>
      <c r="EYS192" s="23"/>
      <c r="EYT192" s="23"/>
      <c r="EYU192" s="1"/>
      <c r="EYV192" s="1"/>
      <c r="EYW192" s="1"/>
      <c r="EYX192" s="25"/>
      <c r="EZA192" s="23"/>
      <c r="EZB192" s="23"/>
      <c r="EZC192" s="23"/>
      <c r="EZD192" s="23"/>
      <c r="EZE192" s="23"/>
      <c r="EZF192" s="23"/>
      <c r="EZG192" s="24"/>
      <c r="EZH192" s="23"/>
      <c r="EZI192" s="23"/>
      <c r="EZJ192" s="23"/>
      <c r="EZK192" s="1"/>
      <c r="EZL192" s="1"/>
      <c r="EZM192" s="1"/>
      <c r="EZN192" s="25"/>
      <c r="EZQ192" s="23"/>
      <c r="EZR192" s="23"/>
      <c r="EZS192" s="23"/>
      <c r="EZT192" s="23"/>
      <c r="EZU192" s="23"/>
      <c r="EZV192" s="23"/>
      <c r="EZW192" s="24"/>
      <c r="EZX192" s="23"/>
      <c r="EZY192" s="23"/>
      <c r="EZZ192" s="23"/>
      <c r="FAA192" s="1"/>
      <c r="FAB192" s="1"/>
      <c r="FAC192" s="1"/>
      <c r="FAD192" s="25"/>
      <c r="FAG192" s="23"/>
      <c r="FAH192" s="23"/>
      <c r="FAI192" s="23"/>
      <c r="FAJ192" s="23"/>
      <c r="FAK192" s="23"/>
      <c r="FAL192" s="23"/>
      <c r="FAM192" s="24"/>
      <c r="FAN192" s="23"/>
      <c r="FAO192" s="23"/>
      <c r="FAP192" s="23"/>
      <c r="FAQ192" s="1"/>
      <c r="FAR192" s="1"/>
      <c r="FAS192" s="1"/>
      <c r="FAT192" s="25"/>
      <c r="FAW192" s="23"/>
      <c r="FAX192" s="23"/>
      <c r="FAY192" s="23"/>
      <c r="FAZ192" s="23"/>
      <c r="FBA192" s="23"/>
      <c r="FBB192" s="23"/>
      <c r="FBC192" s="24"/>
      <c r="FBD192" s="23"/>
      <c r="FBE192" s="23"/>
      <c r="FBF192" s="23"/>
      <c r="FBG192" s="1"/>
      <c r="FBH192" s="1"/>
      <c r="FBI192" s="1"/>
      <c r="FBJ192" s="25"/>
      <c r="FBM192" s="23"/>
      <c r="FBN192" s="23"/>
      <c r="FBO192" s="23"/>
      <c r="FBP192" s="23"/>
      <c r="FBQ192" s="23"/>
      <c r="FBR192" s="23"/>
      <c r="FBS192" s="24"/>
      <c r="FBT192" s="23"/>
      <c r="FBU192" s="23"/>
      <c r="FBV192" s="23"/>
      <c r="FBW192" s="1"/>
      <c r="FBX192" s="1"/>
      <c r="FBY192" s="1"/>
      <c r="FBZ192" s="25"/>
      <c r="FCC192" s="23"/>
      <c r="FCD192" s="23"/>
      <c r="FCE192" s="23"/>
      <c r="FCF192" s="23"/>
      <c r="FCG192" s="23"/>
      <c r="FCH192" s="23"/>
      <c r="FCI192" s="24"/>
      <c r="FCJ192" s="23"/>
      <c r="FCK192" s="23"/>
      <c r="FCL192" s="23"/>
      <c r="FCM192" s="1"/>
      <c r="FCN192" s="1"/>
      <c r="FCO192" s="1"/>
      <c r="FCP192" s="25"/>
      <c r="FCS192" s="23"/>
      <c r="FCT192" s="23"/>
      <c r="FCU192" s="23"/>
      <c r="FCV192" s="23"/>
      <c r="FCW192" s="23"/>
      <c r="FCX192" s="23"/>
      <c r="FCY192" s="24"/>
      <c r="FCZ192" s="23"/>
      <c r="FDA192" s="23"/>
      <c r="FDB192" s="23"/>
      <c r="FDC192" s="1"/>
      <c r="FDD192" s="1"/>
      <c r="FDE192" s="1"/>
      <c r="FDF192" s="25"/>
      <c r="FDI192" s="23"/>
      <c r="FDJ192" s="23"/>
      <c r="FDK192" s="23"/>
      <c r="FDL192" s="23"/>
      <c r="FDM192" s="23"/>
      <c r="FDN192" s="23"/>
      <c r="FDO192" s="24"/>
      <c r="FDP192" s="23"/>
      <c r="FDQ192" s="23"/>
      <c r="FDR192" s="23"/>
      <c r="FDS192" s="1"/>
      <c r="FDT192" s="1"/>
      <c r="FDU192" s="1"/>
      <c r="FDV192" s="25"/>
      <c r="FDY192" s="23"/>
      <c r="FDZ192" s="23"/>
      <c r="FEA192" s="23"/>
      <c r="FEB192" s="23"/>
      <c r="FEC192" s="23"/>
      <c r="FED192" s="23"/>
      <c r="FEE192" s="24"/>
      <c r="FEF192" s="23"/>
      <c r="FEG192" s="23"/>
      <c r="FEH192" s="23"/>
      <c r="FEI192" s="1"/>
      <c r="FEJ192" s="1"/>
      <c r="FEK192" s="1"/>
      <c r="FEL192" s="25"/>
      <c r="FEO192" s="23"/>
      <c r="FEP192" s="23"/>
      <c r="FEQ192" s="23"/>
      <c r="FER192" s="23"/>
      <c r="FES192" s="23"/>
      <c r="FET192" s="23"/>
      <c r="FEU192" s="24"/>
      <c r="FEV192" s="23"/>
      <c r="FEW192" s="23"/>
      <c r="FEX192" s="23"/>
      <c r="FEY192" s="1"/>
      <c r="FEZ192" s="1"/>
      <c r="FFA192" s="1"/>
      <c r="FFB192" s="25"/>
      <c r="FFE192" s="23"/>
      <c r="FFF192" s="23"/>
      <c r="FFG192" s="23"/>
      <c r="FFH192" s="23"/>
      <c r="FFI192" s="23"/>
      <c r="FFJ192" s="23"/>
      <c r="FFK192" s="24"/>
      <c r="FFL192" s="23"/>
      <c r="FFM192" s="23"/>
      <c r="FFN192" s="23"/>
      <c r="FFO192" s="1"/>
      <c r="FFP192" s="1"/>
      <c r="FFQ192" s="1"/>
      <c r="FFR192" s="25"/>
      <c r="FFU192" s="23"/>
      <c r="FFV192" s="23"/>
      <c r="FFW192" s="23"/>
      <c r="FFX192" s="23"/>
      <c r="FFY192" s="23"/>
      <c r="FFZ192" s="23"/>
      <c r="FGA192" s="24"/>
      <c r="FGB192" s="23"/>
      <c r="FGC192" s="23"/>
      <c r="FGD192" s="23"/>
      <c r="FGE192" s="1"/>
      <c r="FGF192" s="1"/>
      <c r="FGG192" s="1"/>
      <c r="FGH192" s="25"/>
      <c r="FGK192" s="23"/>
      <c r="FGL192" s="23"/>
      <c r="FGM192" s="23"/>
      <c r="FGN192" s="23"/>
      <c r="FGO192" s="23"/>
      <c r="FGP192" s="23"/>
      <c r="FGQ192" s="24"/>
      <c r="FGR192" s="23"/>
      <c r="FGS192" s="23"/>
      <c r="FGT192" s="23"/>
      <c r="FGU192" s="1"/>
      <c r="FGV192" s="1"/>
      <c r="FGW192" s="1"/>
      <c r="FGX192" s="25"/>
      <c r="FHA192" s="23"/>
      <c r="FHB192" s="23"/>
      <c r="FHC192" s="23"/>
      <c r="FHD192" s="23"/>
      <c r="FHE192" s="23"/>
      <c r="FHF192" s="23"/>
      <c r="FHG192" s="24"/>
      <c r="FHH192" s="23"/>
      <c r="FHI192" s="23"/>
      <c r="FHJ192" s="23"/>
      <c r="FHK192" s="1"/>
      <c r="FHL192" s="1"/>
      <c r="FHM192" s="1"/>
      <c r="FHN192" s="25"/>
      <c r="FHQ192" s="23"/>
      <c r="FHR192" s="23"/>
      <c r="FHS192" s="23"/>
      <c r="FHT192" s="23"/>
      <c r="FHU192" s="23"/>
      <c r="FHV192" s="23"/>
      <c r="FHW192" s="24"/>
      <c r="FHX192" s="23"/>
      <c r="FHY192" s="23"/>
      <c r="FHZ192" s="23"/>
      <c r="FIA192" s="1"/>
      <c r="FIB192" s="1"/>
      <c r="FIC192" s="1"/>
      <c r="FID192" s="25"/>
      <c r="FIG192" s="23"/>
      <c r="FIH192" s="23"/>
      <c r="FII192" s="23"/>
      <c r="FIJ192" s="23"/>
      <c r="FIK192" s="23"/>
      <c r="FIL192" s="23"/>
      <c r="FIM192" s="24"/>
      <c r="FIN192" s="23"/>
      <c r="FIO192" s="23"/>
      <c r="FIP192" s="23"/>
      <c r="FIQ192" s="1"/>
      <c r="FIR192" s="1"/>
      <c r="FIS192" s="1"/>
      <c r="FIT192" s="25"/>
      <c r="FIW192" s="23"/>
      <c r="FIX192" s="23"/>
      <c r="FIY192" s="23"/>
      <c r="FIZ192" s="23"/>
      <c r="FJA192" s="23"/>
      <c r="FJB192" s="23"/>
      <c r="FJC192" s="24"/>
      <c r="FJD192" s="23"/>
      <c r="FJE192" s="23"/>
      <c r="FJF192" s="23"/>
      <c r="FJG192" s="1"/>
      <c r="FJH192" s="1"/>
      <c r="FJI192" s="1"/>
      <c r="FJJ192" s="25"/>
      <c r="FJM192" s="23"/>
      <c r="FJN192" s="23"/>
      <c r="FJO192" s="23"/>
      <c r="FJP192" s="23"/>
      <c r="FJQ192" s="23"/>
      <c r="FJR192" s="23"/>
      <c r="FJS192" s="24"/>
      <c r="FJT192" s="23"/>
      <c r="FJU192" s="23"/>
      <c r="FJV192" s="23"/>
      <c r="FJW192" s="1"/>
      <c r="FJX192" s="1"/>
      <c r="FJY192" s="1"/>
      <c r="FJZ192" s="25"/>
      <c r="FKC192" s="23"/>
      <c r="FKD192" s="23"/>
      <c r="FKE192" s="23"/>
      <c r="FKF192" s="23"/>
      <c r="FKG192" s="23"/>
      <c r="FKH192" s="23"/>
      <c r="FKI192" s="24"/>
      <c r="FKJ192" s="23"/>
      <c r="FKK192" s="23"/>
      <c r="FKL192" s="23"/>
      <c r="FKM192" s="1"/>
      <c r="FKN192" s="1"/>
      <c r="FKO192" s="1"/>
      <c r="FKP192" s="25"/>
      <c r="FKS192" s="23"/>
      <c r="FKT192" s="23"/>
      <c r="FKU192" s="23"/>
      <c r="FKV192" s="23"/>
      <c r="FKW192" s="23"/>
      <c r="FKX192" s="23"/>
      <c r="FKY192" s="24"/>
      <c r="FKZ192" s="23"/>
      <c r="FLA192" s="23"/>
      <c r="FLB192" s="23"/>
      <c r="FLC192" s="1"/>
      <c r="FLD192" s="1"/>
      <c r="FLE192" s="1"/>
      <c r="FLF192" s="25"/>
      <c r="FLI192" s="23"/>
      <c r="FLJ192" s="23"/>
      <c r="FLK192" s="23"/>
      <c r="FLL192" s="23"/>
      <c r="FLM192" s="23"/>
      <c r="FLN192" s="23"/>
      <c r="FLO192" s="24"/>
      <c r="FLP192" s="23"/>
      <c r="FLQ192" s="23"/>
      <c r="FLR192" s="23"/>
      <c r="FLS192" s="1"/>
      <c r="FLT192" s="1"/>
      <c r="FLU192" s="1"/>
      <c r="FLV192" s="25"/>
      <c r="FLY192" s="23"/>
      <c r="FLZ192" s="23"/>
      <c r="FMA192" s="23"/>
      <c r="FMB192" s="23"/>
      <c r="FMC192" s="23"/>
      <c r="FMD192" s="23"/>
      <c r="FME192" s="24"/>
      <c r="FMF192" s="23"/>
      <c r="FMG192" s="23"/>
      <c r="FMH192" s="23"/>
      <c r="FMI192" s="1"/>
      <c r="FMJ192" s="1"/>
      <c r="FMK192" s="1"/>
      <c r="FML192" s="25"/>
      <c r="FMO192" s="23"/>
      <c r="FMP192" s="23"/>
      <c r="FMQ192" s="23"/>
      <c r="FMR192" s="23"/>
      <c r="FMS192" s="23"/>
      <c r="FMT192" s="23"/>
      <c r="FMU192" s="24"/>
      <c r="FMV192" s="23"/>
      <c r="FMW192" s="23"/>
      <c r="FMX192" s="23"/>
      <c r="FMY192" s="1"/>
      <c r="FMZ192" s="1"/>
      <c r="FNA192" s="1"/>
      <c r="FNB192" s="25"/>
      <c r="FNE192" s="23"/>
      <c r="FNF192" s="23"/>
      <c r="FNG192" s="23"/>
      <c r="FNH192" s="23"/>
      <c r="FNI192" s="23"/>
      <c r="FNJ192" s="23"/>
      <c r="FNK192" s="24"/>
      <c r="FNL192" s="23"/>
      <c r="FNM192" s="23"/>
      <c r="FNN192" s="23"/>
      <c r="FNO192" s="1"/>
      <c r="FNP192" s="1"/>
      <c r="FNQ192" s="1"/>
      <c r="FNR192" s="25"/>
      <c r="FNU192" s="23"/>
      <c r="FNV192" s="23"/>
      <c r="FNW192" s="23"/>
      <c r="FNX192" s="23"/>
      <c r="FNY192" s="23"/>
      <c r="FNZ192" s="23"/>
      <c r="FOA192" s="24"/>
      <c r="FOB192" s="23"/>
      <c r="FOC192" s="23"/>
      <c r="FOD192" s="23"/>
      <c r="FOE192" s="1"/>
      <c r="FOF192" s="1"/>
      <c r="FOG192" s="1"/>
      <c r="FOH192" s="25"/>
      <c r="FOK192" s="23"/>
      <c r="FOL192" s="23"/>
      <c r="FOM192" s="23"/>
      <c r="FON192" s="23"/>
      <c r="FOO192" s="23"/>
      <c r="FOP192" s="23"/>
      <c r="FOQ192" s="24"/>
      <c r="FOR192" s="23"/>
      <c r="FOS192" s="23"/>
      <c r="FOT192" s="23"/>
      <c r="FOU192" s="1"/>
      <c r="FOV192" s="1"/>
      <c r="FOW192" s="1"/>
      <c r="FOX192" s="25"/>
      <c r="FPA192" s="23"/>
      <c r="FPB192" s="23"/>
      <c r="FPC192" s="23"/>
      <c r="FPD192" s="23"/>
      <c r="FPE192" s="23"/>
      <c r="FPF192" s="23"/>
      <c r="FPG192" s="24"/>
      <c r="FPH192" s="23"/>
      <c r="FPI192" s="23"/>
      <c r="FPJ192" s="23"/>
      <c r="FPK192" s="1"/>
      <c r="FPL192" s="1"/>
      <c r="FPM192" s="1"/>
      <c r="FPN192" s="25"/>
      <c r="FPQ192" s="23"/>
      <c r="FPR192" s="23"/>
      <c r="FPS192" s="23"/>
      <c r="FPT192" s="23"/>
      <c r="FPU192" s="23"/>
      <c r="FPV192" s="23"/>
      <c r="FPW192" s="24"/>
      <c r="FPX192" s="23"/>
      <c r="FPY192" s="23"/>
      <c r="FPZ192" s="23"/>
      <c r="FQA192" s="1"/>
      <c r="FQB192" s="1"/>
      <c r="FQC192" s="1"/>
      <c r="FQD192" s="25"/>
      <c r="FQG192" s="23"/>
      <c r="FQH192" s="23"/>
      <c r="FQI192" s="23"/>
      <c r="FQJ192" s="23"/>
      <c r="FQK192" s="23"/>
      <c r="FQL192" s="23"/>
      <c r="FQM192" s="24"/>
      <c r="FQN192" s="23"/>
      <c r="FQO192" s="23"/>
      <c r="FQP192" s="23"/>
      <c r="FQQ192" s="1"/>
      <c r="FQR192" s="1"/>
      <c r="FQS192" s="1"/>
      <c r="FQT192" s="25"/>
      <c r="FQW192" s="23"/>
      <c r="FQX192" s="23"/>
      <c r="FQY192" s="23"/>
      <c r="FQZ192" s="23"/>
      <c r="FRA192" s="23"/>
      <c r="FRB192" s="23"/>
      <c r="FRC192" s="24"/>
      <c r="FRD192" s="23"/>
      <c r="FRE192" s="23"/>
      <c r="FRF192" s="23"/>
      <c r="FRG192" s="1"/>
      <c r="FRH192" s="1"/>
      <c r="FRI192" s="1"/>
      <c r="FRJ192" s="25"/>
      <c r="FRM192" s="23"/>
      <c r="FRN192" s="23"/>
      <c r="FRO192" s="23"/>
      <c r="FRP192" s="23"/>
      <c r="FRQ192" s="23"/>
      <c r="FRR192" s="23"/>
      <c r="FRS192" s="24"/>
      <c r="FRT192" s="23"/>
      <c r="FRU192" s="23"/>
      <c r="FRV192" s="23"/>
      <c r="FRW192" s="1"/>
      <c r="FRX192" s="1"/>
      <c r="FRY192" s="1"/>
      <c r="FRZ192" s="25"/>
      <c r="FSC192" s="23"/>
      <c r="FSD192" s="23"/>
      <c r="FSE192" s="23"/>
      <c r="FSF192" s="23"/>
      <c r="FSG192" s="23"/>
      <c r="FSH192" s="23"/>
      <c r="FSI192" s="24"/>
      <c r="FSJ192" s="23"/>
      <c r="FSK192" s="23"/>
      <c r="FSL192" s="23"/>
      <c r="FSM192" s="1"/>
      <c r="FSN192" s="1"/>
      <c r="FSO192" s="1"/>
      <c r="FSP192" s="25"/>
      <c r="FSS192" s="23"/>
      <c r="FST192" s="23"/>
      <c r="FSU192" s="23"/>
      <c r="FSV192" s="23"/>
      <c r="FSW192" s="23"/>
      <c r="FSX192" s="23"/>
      <c r="FSY192" s="24"/>
      <c r="FSZ192" s="23"/>
      <c r="FTA192" s="23"/>
      <c r="FTB192" s="23"/>
      <c r="FTC192" s="1"/>
      <c r="FTD192" s="1"/>
      <c r="FTE192" s="1"/>
      <c r="FTF192" s="25"/>
      <c r="FTI192" s="23"/>
      <c r="FTJ192" s="23"/>
      <c r="FTK192" s="23"/>
      <c r="FTL192" s="23"/>
      <c r="FTM192" s="23"/>
      <c r="FTN192" s="23"/>
      <c r="FTO192" s="24"/>
      <c r="FTP192" s="23"/>
      <c r="FTQ192" s="23"/>
      <c r="FTR192" s="23"/>
      <c r="FTS192" s="1"/>
      <c r="FTT192" s="1"/>
      <c r="FTU192" s="1"/>
      <c r="FTV192" s="25"/>
      <c r="FTY192" s="23"/>
      <c r="FTZ192" s="23"/>
      <c r="FUA192" s="23"/>
      <c r="FUB192" s="23"/>
      <c r="FUC192" s="23"/>
      <c r="FUD192" s="23"/>
      <c r="FUE192" s="24"/>
      <c r="FUF192" s="23"/>
      <c r="FUG192" s="23"/>
      <c r="FUH192" s="23"/>
      <c r="FUI192" s="1"/>
      <c r="FUJ192" s="1"/>
      <c r="FUK192" s="1"/>
      <c r="FUL192" s="25"/>
      <c r="FUO192" s="23"/>
      <c r="FUP192" s="23"/>
      <c r="FUQ192" s="23"/>
      <c r="FUR192" s="23"/>
      <c r="FUS192" s="23"/>
      <c r="FUT192" s="23"/>
      <c r="FUU192" s="24"/>
      <c r="FUV192" s="23"/>
      <c r="FUW192" s="23"/>
      <c r="FUX192" s="23"/>
      <c r="FUY192" s="1"/>
      <c r="FUZ192" s="1"/>
      <c r="FVA192" s="1"/>
      <c r="FVB192" s="25"/>
      <c r="FVE192" s="23"/>
      <c r="FVF192" s="23"/>
      <c r="FVG192" s="23"/>
      <c r="FVH192" s="23"/>
      <c r="FVI192" s="23"/>
      <c r="FVJ192" s="23"/>
      <c r="FVK192" s="24"/>
      <c r="FVL192" s="23"/>
      <c r="FVM192" s="23"/>
      <c r="FVN192" s="23"/>
      <c r="FVO192" s="1"/>
      <c r="FVP192" s="1"/>
      <c r="FVQ192" s="1"/>
      <c r="FVR192" s="25"/>
      <c r="FVU192" s="23"/>
      <c r="FVV192" s="23"/>
      <c r="FVW192" s="23"/>
      <c r="FVX192" s="23"/>
      <c r="FVY192" s="23"/>
      <c r="FVZ192" s="23"/>
      <c r="FWA192" s="24"/>
      <c r="FWB192" s="23"/>
      <c r="FWC192" s="23"/>
      <c r="FWD192" s="23"/>
      <c r="FWE192" s="1"/>
      <c r="FWF192" s="1"/>
      <c r="FWG192" s="1"/>
      <c r="FWH192" s="25"/>
      <c r="FWK192" s="23"/>
      <c r="FWL192" s="23"/>
      <c r="FWM192" s="23"/>
      <c r="FWN192" s="23"/>
      <c r="FWO192" s="23"/>
      <c r="FWP192" s="23"/>
      <c r="FWQ192" s="24"/>
      <c r="FWR192" s="23"/>
      <c r="FWS192" s="23"/>
      <c r="FWT192" s="23"/>
      <c r="FWU192" s="1"/>
      <c r="FWV192" s="1"/>
      <c r="FWW192" s="1"/>
      <c r="FWX192" s="25"/>
      <c r="FXA192" s="23"/>
      <c r="FXB192" s="23"/>
      <c r="FXC192" s="23"/>
      <c r="FXD192" s="23"/>
      <c r="FXE192" s="23"/>
      <c r="FXF192" s="23"/>
      <c r="FXG192" s="24"/>
      <c r="FXH192" s="23"/>
      <c r="FXI192" s="23"/>
      <c r="FXJ192" s="23"/>
      <c r="FXK192" s="1"/>
      <c r="FXL192" s="1"/>
      <c r="FXM192" s="1"/>
      <c r="FXN192" s="25"/>
      <c r="FXQ192" s="23"/>
      <c r="FXR192" s="23"/>
      <c r="FXS192" s="23"/>
      <c r="FXT192" s="23"/>
      <c r="FXU192" s="23"/>
      <c r="FXV192" s="23"/>
      <c r="FXW192" s="24"/>
      <c r="FXX192" s="23"/>
      <c r="FXY192" s="23"/>
      <c r="FXZ192" s="23"/>
      <c r="FYA192" s="1"/>
      <c r="FYB192" s="1"/>
      <c r="FYC192" s="1"/>
      <c r="FYD192" s="25"/>
      <c r="FYG192" s="23"/>
      <c r="FYH192" s="23"/>
      <c r="FYI192" s="23"/>
      <c r="FYJ192" s="23"/>
      <c r="FYK192" s="23"/>
      <c r="FYL192" s="23"/>
      <c r="FYM192" s="24"/>
      <c r="FYN192" s="23"/>
      <c r="FYO192" s="23"/>
      <c r="FYP192" s="23"/>
      <c r="FYQ192" s="1"/>
      <c r="FYR192" s="1"/>
      <c r="FYS192" s="1"/>
      <c r="FYT192" s="25"/>
      <c r="FYW192" s="23"/>
      <c r="FYX192" s="23"/>
      <c r="FYY192" s="23"/>
      <c r="FYZ192" s="23"/>
      <c r="FZA192" s="23"/>
      <c r="FZB192" s="23"/>
      <c r="FZC192" s="24"/>
      <c r="FZD192" s="23"/>
      <c r="FZE192" s="23"/>
      <c r="FZF192" s="23"/>
      <c r="FZG192" s="1"/>
      <c r="FZH192" s="1"/>
      <c r="FZI192" s="1"/>
      <c r="FZJ192" s="25"/>
      <c r="FZM192" s="23"/>
      <c r="FZN192" s="23"/>
      <c r="FZO192" s="23"/>
      <c r="FZP192" s="23"/>
      <c r="FZQ192" s="23"/>
      <c r="FZR192" s="23"/>
      <c r="FZS192" s="24"/>
      <c r="FZT192" s="23"/>
      <c r="FZU192" s="23"/>
      <c r="FZV192" s="23"/>
      <c r="FZW192" s="1"/>
      <c r="FZX192" s="1"/>
      <c r="FZY192" s="1"/>
      <c r="FZZ192" s="25"/>
      <c r="GAC192" s="23"/>
      <c r="GAD192" s="23"/>
      <c r="GAE192" s="23"/>
      <c r="GAF192" s="23"/>
      <c r="GAG192" s="23"/>
      <c r="GAH192" s="23"/>
      <c r="GAI192" s="24"/>
      <c r="GAJ192" s="23"/>
      <c r="GAK192" s="23"/>
      <c r="GAL192" s="23"/>
      <c r="GAM192" s="1"/>
      <c r="GAN192" s="1"/>
      <c r="GAO192" s="1"/>
      <c r="GAP192" s="25"/>
      <c r="GAS192" s="23"/>
      <c r="GAT192" s="23"/>
      <c r="GAU192" s="23"/>
      <c r="GAV192" s="23"/>
      <c r="GAW192" s="23"/>
      <c r="GAX192" s="23"/>
      <c r="GAY192" s="24"/>
      <c r="GAZ192" s="23"/>
      <c r="GBA192" s="23"/>
      <c r="GBB192" s="23"/>
      <c r="GBC192" s="1"/>
      <c r="GBD192" s="1"/>
      <c r="GBE192" s="1"/>
      <c r="GBF192" s="25"/>
      <c r="GBI192" s="23"/>
      <c r="GBJ192" s="23"/>
      <c r="GBK192" s="23"/>
      <c r="GBL192" s="23"/>
      <c r="GBM192" s="23"/>
      <c r="GBN192" s="23"/>
      <c r="GBO192" s="24"/>
      <c r="GBP192" s="23"/>
      <c r="GBQ192" s="23"/>
      <c r="GBR192" s="23"/>
      <c r="GBS192" s="1"/>
      <c r="GBT192" s="1"/>
      <c r="GBU192" s="1"/>
      <c r="GBV192" s="25"/>
      <c r="GBY192" s="23"/>
      <c r="GBZ192" s="23"/>
      <c r="GCA192" s="23"/>
      <c r="GCB192" s="23"/>
      <c r="GCC192" s="23"/>
      <c r="GCD192" s="23"/>
      <c r="GCE192" s="24"/>
      <c r="GCF192" s="23"/>
      <c r="GCG192" s="23"/>
      <c r="GCH192" s="23"/>
      <c r="GCI192" s="1"/>
      <c r="GCJ192" s="1"/>
      <c r="GCK192" s="1"/>
      <c r="GCL192" s="25"/>
      <c r="GCO192" s="23"/>
      <c r="GCP192" s="23"/>
      <c r="GCQ192" s="23"/>
      <c r="GCR192" s="23"/>
      <c r="GCS192" s="23"/>
      <c r="GCT192" s="23"/>
      <c r="GCU192" s="24"/>
      <c r="GCV192" s="23"/>
      <c r="GCW192" s="23"/>
      <c r="GCX192" s="23"/>
      <c r="GCY192" s="1"/>
      <c r="GCZ192" s="1"/>
      <c r="GDA192" s="1"/>
      <c r="GDB192" s="25"/>
      <c r="GDE192" s="23"/>
      <c r="GDF192" s="23"/>
      <c r="GDG192" s="23"/>
      <c r="GDH192" s="23"/>
      <c r="GDI192" s="23"/>
      <c r="GDJ192" s="23"/>
      <c r="GDK192" s="24"/>
      <c r="GDL192" s="23"/>
      <c r="GDM192" s="23"/>
      <c r="GDN192" s="23"/>
      <c r="GDO192" s="1"/>
      <c r="GDP192" s="1"/>
      <c r="GDQ192" s="1"/>
      <c r="GDR192" s="25"/>
      <c r="GDU192" s="23"/>
      <c r="GDV192" s="23"/>
      <c r="GDW192" s="23"/>
      <c r="GDX192" s="23"/>
      <c r="GDY192" s="23"/>
      <c r="GDZ192" s="23"/>
      <c r="GEA192" s="24"/>
      <c r="GEB192" s="23"/>
      <c r="GEC192" s="23"/>
      <c r="GED192" s="23"/>
      <c r="GEE192" s="1"/>
      <c r="GEF192" s="1"/>
      <c r="GEG192" s="1"/>
      <c r="GEH192" s="25"/>
      <c r="GEK192" s="23"/>
      <c r="GEL192" s="23"/>
      <c r="GEM192" s="23"/>
      <c r="GEN192" s="23"/>
      <c r="GEO192" s="23"/>
      <c r="GEP192" s="23"/>
      <c r="GEQ192" s="24"/>
      <c r="GER192" s="23"/>
      <c r="GES192" s="23"/>
      <c r="GET192" s="23"/>
      <c r="GEU192" s="1"/>
      <c r="GEV192" s="1"/>
      <c r="GEW192" s="1"/>
      <c r="GEX192" s="25"/>
      <c r="GFA192" s="23"/>
      <c r="GFB192" s="23"/>
      <c r="GFC192" s="23"/>
      <c r="GFD192" s="23"/>
      <c r="GFE192" s="23"/>
      <c r="GFF192" s="23"/>
      <c r="GFG192" s="24"/>
      <c r="GFH192" s="23"/>
      <c r="GFI192" s="23"/>
      <c r="GFJ192" s="23"/>
      <c r="GFK192" s="1"/>
      <c r="GFL192" s="1"/>
      <c r="GFM192" s="1"/>
      <c r="GFN192" s="25"/>
      <c r="GFQ192" s="23"/>
      <c r="GFR192" s="23"/>
      <c r="GFS192" s="23"/>
      <c r="GFT192" s="23"/>
      <c r="GFU192" s="23"/>
      <c r="GFV192" s="23"/>
      <c r="GFW192" s="24"/>
      <c r="GFX192" s="23"/>
      <c r="GFY192" s="23"/>
      <c r="GFZ192" s="23"/>
      <c r="GGA192" s="1"/>
      <c r="GGB192" s="1"/>
      <c r="GGC192" s="1"/>
      <c r="GGD192" s="25"/>
      <c r="GGG192" s="23"/>
      <c r="GGH192" s="23"/>
      <c r="GGI192" s="23"/>
      <c r="GGJ192" s="23"/>
      <c r="GGK192" s="23"/>
      <c r="GGL192" s="23"/>
      <c r="GGM192" s="24"/>
      <c r="GGN192" s="23"/>
      <c r="GGO192" s="23"/>
      <c r="GGP192" s="23"/>
      <c r="GGQ192" s="1"/>
      <c r="GGR192" s="1"/>
      <c r="GGS192" s="1"/>
      <c r="GGT192" s="25"/>
      <c r="GGW192" s="23"/>
      <c r="GGX192" s="23"/>
      <c r="GGY192" s="23"/>
      <c r="GGZ192" s="23"/>
      <c r="GHA192" s="23"/>
      <c r="GHB192" s="23"/>
      <c r="GHC192" s="24"/>
      <c r="GHD192" s="23"/>
      <c r="GHE192" s="23"/>
      <c r="GHF192" s="23"/>
      <c r="GHG192" s="1"/>
      <c r="GHH192" s="1"/>
      <c r="GHI192" s="1"/>
      <c r="GHJ192" s="25"/>
      <c r="GHM192" s="23"/>
      <c r="GHN192" s="23"/>
      <c r="GHO192" s="23"/>
      <c r="GHP192" s="23"/>
      <c r="GHQ192" s="23"/>
      <c r="GHR192" s="23"/>
      <c r="GHS192" s="24"/>
      <c r="GHT192" s="23"/>
      <c r="GHU192" s="23"/>
      <c r="GHV192" s="23"/>
      <c r="GHW192" s="1"/>
      <c r="GHX192" s="1"/>
      <c r="GHY192" s="1"/>
      <c r="GHZ192" s="25"/>
      <c r="GIC192" s="23"/>
      <c r="GID192" s="23"/>
      <c r="GIE192" s="23"/>
      <c r="GIF192" s="23"/>
      <c r="GIG192" s="23"/>
      <c r="GIH192" s="23"/>
      <c r="GII192" s="24"/>
      <c r="GIJ192" s="23"/>
      <c r="GIK192" s="23"/>
      <c r="GIL192" s="23"/>
      <c r="GIM192" s="1"/>
      <c r="GIN192" s="1"/>
      <c r="GIO192" s="1"/>
      <c r="GIP192" s="25"/>
      <c r="GIS192" s="23"/>
      <c r="GIT192" s="23"/>
      <c r="GIU192" s="23"/>
      <c r="GIV192" s="23"/>
      <c r="GIW192" s="23"/>
      <c r="GIX192" s="23"/>
      <c r="GIY192" s="24"/>
      <c r="GIZ192" s="23"/>
      <c r="GJA192" s="23"/>
      <c r="GJB192" s="23"/>
      <c r="GJC192" s="1"/>
      <c r="GJD192" s="1"/>
      <c r="GJE192" s="1"/>
      <c r="GJF192" s="25"/>
      <c r="GJI192" s="23"/>
      <c r="GJJ192" s="23"/>
      <c r="GJK192" s="23"/>
      <c r="GJL192" s="23"/>
      <c r="GJM192" s="23"/>
      <c r="GJN192" s="23"/>
      <c r="GJO192" s="24"/>
      <c r="GJP192" s="23"/>
      <c r="GJQ192" s="23"/>
      <c r="GJR192" s="23"/>
      <c r="GJS192" s="1"/>
      <c r="GJT192" s="1"/>
      <c r="GJU192" s="1"/>
      <c r="GJV192" s="25"/>
      <c r="GJY192" s="23"/>
      <c r="GJZ192" s="23"/>
      <c r="GKA192" s="23"/>
      <c r="GKB192" s="23"/>
      <c r="GKC192" s="23"/>
      <c r="GKD192" s="23"/>
      <c r="GKE192" s="24"/>
      <c r="GKF192" s="23"/>
      <c r="GKG192" s="23"/>
      <c r="GKH192" s="23"/>
      <c r="GKI192" s="1"/>
      <c r="GKJ192" s="1"/>
      <c r="GKK192" s="1"/>
      <c r="GKL192" s="25"/>
      <c r="GKO192" s="23"/>
      <c r="GKP192" s="23"/>
      <c r="GKQ192" s="23"/>
      <c r="GKR192" s="23"/>
      <c r="GKS192" s="23"/>
      <c r="GKT192" s="23"/>
      <c r="GKU192" s="24"/>
      <c r="GKV192" s="23"/>
      <c r="GKW192" s="23"/>
      <c r="GKX192" s="23"/>
      <c r="GKY192" s="1"/>
      <c r="GKZ192" s="1"/>
      <c r="GLA192" s="1"/>
      <c r="GLB192" s="25"/>
      <c r="GLE192" s="23"/>
      <c r="GLF192" s="23"/>
      <c r="GLG192" s="23"/>
      <c r="GLH192" s="23"/>
      <c r="GLI192" s="23"/>
      <c r="GLJ192" s="23"/>
      <c r="GLK192" s="24"/>
      <c r="GLL192" s="23"/>
      <c r="GLM192" s="23"/>
      <c r="GLN192" s="23"/>
      <c r="GLO192" s="1"/>
      <c r="GLP192" s="1"/>
      <c r="GLQ192" s="1"/>
      <c r="GLR192" s="25"/>
      <c r="GLU192" s="23"/>
      <c r="GLV192" s="23"/>
      <c r="GLW192" s="23"/>
      <c r="GLX192" s="23"/>
      <c r="GLY192" s="23"/>
      <c r="GLZ192" s="23"/>
      <c r="GMA192" s="24"/>
      <c r="GMB192" s="23"/>
      <c r="GMC192" s="23"/>
      <c r="GMD192" s="23"/>
      <c r="GME192" s="1"/>
      <c r="GMF192" s="1"/>
      <c r="GMG192" s="1"/>
      <c r="GMH192" s="25"/>
      <c r="GMK192" s="23"/>
      <c r="GML192" s="23"/>
      <c r="GMM192" s="23"/>
      <c r="GMN192" s="23"/>
      <c r="GMO192" s="23"/>
      <c r="GMP192" s="23"/>
      <c r="GMQ192" s="24"/>
      <c r="GMR192" s="23"/>
      <c r="GMS192" s="23"/>
      <c r="GMT192" s="23"/>
      <c r="GMU192" s="1"/>
      <c r="GMV192" s="1"/>
      <c r="GMW192" s="1"/>
      <c r="GMX192" s="25"/>
      <c r="GNA192" s="23"/>
      <c r="GNB192" s="23"/>
      <c r="GNC192" s="23"/>
      <c r="GND192" s="23"/>
      <c r="GNE192" s="23"/>
      <c r="GNF192" s="23"/>
      <c r="GNG192" s="24"/>
      <c r="GNH192" s="23"/>
      <c r="GNI192" s="23"/>
      <c r="GNJ192" s="23"/>
      <c r="GNK192" s="1"/>
      <c r="GNL192" s="1"/>
      <c r="GNM192" s="1"/>
      <c r="GNN192" s="25"/>
      <c r="GNQ192" s="23"/>
      <c r="GNR192" s="23"/>
      <c r="GNS192" s="23"/>
      <c r="GNT192" s="23"/>
      <c r="GNU192" s="23"/>
      <c r="GNV192" s="23"/>
      <c r="GNW192" s="24"/>
      <c r="GNX192" s="23"/>
      <c r="GNY192" s="23"/>
      <c r="GNZ192" s="23"/>
      <c r="GOA192" s="1"/>
      <c r="GOB192" s="1"/>
      <c r="GOC192" s="1"/>
      <c r="GOD192" s="25"/>
      <c r="GOG192" s="23"/>
      <c r="GOH192" s="23"/>
      <c r="GOI192" s="23"/>
      <c r="GOJ192" s="23"/>
      <c r="GOK192" s="23"/>
      <c r="GOL192" s="23"/>
      <c r="GOM192" s="24"/>
      <c r="GON192" s="23"/>
      <c r="GOO192" s="23"/>
      <c r="GOP192" s="23"/>
      <c r="GOQ192" s="1"/>
      <c r="GOR192" s="1"/>
      <c r="GOS192" s="1"/>
      <c r="GOT192" s="25"/>
      <c r="GOW192" s="23"/>
      <c r="GOX192" s="23"/>
      <c r="GOY192" s="23"/>
      <c r="GOZ192" s="23"/>
      <c r="GPA192" s="23"/>
      <c r="GPB192" s="23"/>
      <c r="GPC192" s="24"/>
      <c r="GPD192" s="23"/>
      <c r="GPE192" s="23"/>
      <c r="GPF192" s="23"/>
      <c r="GPG192" s="1"/>
      <c r="GPH192" s="1"/>
      <c r="GPI192" s="1"/>
      <c r="GPJ192" s="25"/>
      <c r="GPM192" s="23"/>
      <c r="GPN192" s="23"/>
      <c r="GPO192" s="23"/>
      <c r="GPP192" s="23"/>
      <c r="GPQ192" s="23"/>
      <c r="GPR192" s="23"/>
      <c r="GPS192" s="24"/>
      <c r="GPT192" s="23"/>
      <c r="GPU192" s="23"/>
      <c r="GPV192" s="23"/>
      <c r="GPW192" s="1"/>
      <c r="GPX192" s="1"/>
      <c r="GPY192" s="1"/>
      <c r="GPZ192" s="25"/>
      <c r="GQC192" s="23"/>
      <c r="GQD192" s="23"/>
      <c r="GQE192" s="23"/>
      <c r="GQF192" s="23"/>
      <c r="GQG192" s="23"/>
      <c r="GQH192" s="23"/>
      <c r="GQI192" s="24"/>
      <c r="GQJ192" s="23"/>
      <c r="GQK192" s="23"/>
      <c r="GQL192" s="23"/>
      <c r="GQM192" s="1"/>
      <c r="GQN192" s="1"/>
      <c r="GQO192" s="1"/>
      <c r="GQP192" s="25"/>
      <c r="GQS192" s="23"/>
      <c r="GQT192" s="23"/>
      <c r="GQU192" s="23"/>
      <c r="GQV192" s="23"/>
      <c r="GQW192" s="23"/>
      <c r="GQX192" s="23"/>
      <c r="GQY192" s="24"/>
      <c r="GQZ192" s="23"/>
      <c r="GRA192" s="23"/>
      <c r="GRB192" s="23"/>
      <c r="GRC192" s="1"/>
      <c r="GRD192" s="1"/>
      <c r="GRE192" s="1"/>
      <c r="GRF192" s="25"/>
      <c r="GRI192" s="23"/>
      <c r="GRJ192" s="23"/>
      <c r="GRK192" s="23"/>
      <c r="GRL192" s="23"/>
      <c r="GRM192" s="23"/>
      <c r="GRN192" s="23"/>
      <c r="GRO192" s="24"/>
      <c r="GRP192" s="23"/>
      <c r="GRQ192" s="23"/>
      <c r="GRR192" s="23"/>
      <c r="GRS192" s="1"/>
      <c r="GRT192" s="1"/>
      <c r="GRU192" s="1"/>
      <c r="GRV192" s="25"/>
      <c r="GRY192" s="23"/>
      <c r="GRZ192" s="23"/>
      <c r="GSA192" s="23"/>
      <c r="GSB192" s="23"/>
      <c r="GSC192" s="23"/>
      <c r="GSD192" s="23"/>
      <c r="GSE192" s="24"/>
      <c r="GSF192" s="23"/>
      <c r="GSG192" s="23"/>
      <c r="GSH192" s="23"/>
      <c r="GSI192" s="1"/>
      <c r="GSJ192" s="1"/>
      <c r="GSK192" s="1"/>
      <c r="GSL192" s="25"/>
      <c r="GSO192" s="23"/>
      <c r="GSP192" s="23"/>
      <c r="GSQ192" s="23"/>
      <c r="GSR192" s="23"/>
      <c r="GSS192" s="23"/>
      <c r="GST192" s="23"/>
      <c r="GSU192" s="24"/>
      <c r="GSV192" s="23"/>
      <c r="GSW192" s="23"/>
      <c r="GSX192" s="23"/>
      <c r="GSY192" s="1"/>
      <c r="GSZ192" s="1"/>
      <c r="GTA192" s="1"/>
      <c r="GTB192" s="25"/>
      <c r="GTE192" s="23"/>
      <c r="GTF192" s="23"/>
      <c r="GTG192" s="23"/>
      <c r="GTH192" s="23"/>
      <c r="GTI192" s="23"/>
      <c r="GTJ192" s="23"/>
      <c r="GTK192" s="24"/>
      <c r="GTL192" s="23"/>
      <c r="GTM192" s="23"/>
      <c r="GTN192" s="23"/>
      <c r="GTO192" s="1"/>
      <c r="GTP192" s="1"/>
      <c r="GTQ192" s="1"/>
      <c r="GTR192" s="25"/>
      <c r="GTU192" s="23"/>
      <c r="GTV192" s="23"/>
      <c r="GTW192" s="23"/>
      <c r="GTX192" s="23"/>
      <c r="GTY192" s="23"/>
      <c r="GTZ192" s="23"/>
      <c r="GUA192" s="24"/>
      <c r="GUB192" s="23"/>
      <c r="GUC192" s="23"/>
      <c r="GUD192" s="23"/>
      <c r="GUE192" s="1"/>
      <c r="GUF192" s="1"/>
      <c r="GUG192" s="1"/>
      <c r="GUH192" s="25"/>
      <c r="GUK192" s="23"/>
      <c r="GUL192" s="23"/>
      <c r="GUM192" s="23"/>
      <c r="GUN192" s="23"/>
      <c r="GUO192" s="23"/>
      <c r="GUP192" s="23"/>
      <c r="GUQ192" s="24"/>
      <c r="GUR192" s="23"/>
      <c r="GUS192" s="23"/>
      <c r="GUT192" s="23"/>
      <c r="GUU192" s="1"/>
      <c r="GUV192" s="1"/>
      <c r="GUW192" s="1"/>
      <c r="GUX192" s="25"/>
      <c r="GVA192" s="23"/>
      <c r="GVB192" s="23"/>
      <c r="GVC192" s="23"/>
      <c r="GVD192" s="23"/>
      <c r="GVE192" s="23"/>
      <c r="GVF192" s="23"/>
      <c r="GVG192" s="24"/>
      <c r="GVH192" s="23"/>
      <c r="GVI192" s="23"/>
      <c r="GVJ192" s="23"/>
      <c r="GVK192" s="1"/>
      <c r="GVL192" s="1"/>
      <c r="GVM192" s="1"/>
      <c r="GVN192" s="25"/>
      <c r="GVQ192" s="23"/>
      <c r="GVR192" s="23"/>
      <c r="GVS192" s="23"/>
      <c r="GVT192" s="23"/>
      <c r="GVU192" s="23"/>
      <c r="GVV192" s="23"/>
      <c r="GVW192" s="24"/>
      <c r="GVX192" s="23"/>
      <c r="GVY192" s="23"/>
      <c r="GVZ192" s="23"/>
      <c r="GWA192" s="1"/>
      <c r="GWB192" s="1"/>
      <c r="GWC192" s="1"/>
      <c r="GWD192" s="25"/>
      <c r="GWG192" s="23"/>
      <c r="GWH192" s="23"/>
      <c r="GWI192" s="23"/>
      <c r="GWJ192" s="23"/>
      <c r="GWK192" s="23"/>
      <c r="GWL192" s="23"/>
      <c r="GWM192" s="24"/>
      <c r="GWN192" s="23"/>
      <c r="GWO192" s="23"/>
      <c r="GWP192" s="23"/>
      <c r="GWQ192" s="1"/>
      <c r="GWR192" s="1"/>
      <c r="GWS192" s="1"/>
      <c r="GWT192" s="25"/>
      <c r="GWW192" s="23"/>
      <c r="GWX192" s="23"/>
      <c r="GWY192" s="23"/>
      <c r="GWZ192" s="23"/>
      <c r="GXA192" s="23"/>
      <c r="GXB192" s="23"/>
      <c r="GXC192" s="24"/>
      <c r="GXD192" s="23"/>
      <c r="GXE192" s="23"/>
      <c r="GXF192" s="23"/>
      <c r="GXG192" s="1"/>
      <c r="GXH192" s="1"/>
      <c r="GXI192" s="1"/>
      <c r="GXJ192" s="25"/>
      <c r="GXM192" s="23"/>
      <c r="GXN192" s="23"/>
      <c r="GXO192" s="23"/>
      <c r="GXP192" s="23"/>
      <c r="GXQ192" s="23"/>
      <c r="GXR192" s="23"/>
      <c r="GXS192" s="24"/>
      <c r="GXT192" s="23"/>
      <c r="GXU192" s="23"/>
      <c r="GXV192" s="23"/>
      <c r="GXW192" s="1"/>
      <c r="GXX192" s="1"/>
      <c r="GXY192" s="1"/>
      <c r="GXZ192" s="25"/>
      <c r="GYC192" s="23"/>
      <c r="GYD192" s="23"/>
      <c r="GYE192" s="23"/>
      <c r="GYF192" s="23"/>
      <c r="GYG192" s="23"/>
      <c r="GYH192" s="23"/>
      <c r="GYI192" s="24"/>
      <c r="GYJ192" s="23"/>
      <c r="GYK192" s="23"/>
      <c r="GYL192" s="23"/>
      <c r="GYM192" s="1"/>
      <c r="GYN192" s="1"/>
      <c r="GYO192" s="1"/>
      <c r="GYP192" s="25"/>
      <c r="GYS192" s="23"/>
      <c r="GYT192" s="23"/>
      <c r="GYU192" s="23"/>
      <c r="GYV192" s="23"/>
      <c r="GYW192" s="23"/>
      <c r="GYX192" s="23"/>
      <c r="GYY192" s="24"/>
      <c r="GYZ192" s="23"/>
      <c r="GZA192" s="23"/>
      <c r="GZB192" s="23"/>
      <c r="GZC192" s="1"/>
      <c r="GZD192" s="1"/>
      <c r="GZE192" s="1"/>
      <c r="GZF192" s="25"/>
      <c r="GZI192" s="23"/>
      <c r="GZJ192" s="23"/>
      <c r="GZK192" s="23"/>
      <c r="GZL192" s="23"/>
      <c r="GZM192" s="23"/>
      <c r="GZN192" s="23"/>
      <c r="GZO192" s="24"/>
      <c r="GZP192" s="23"/>
      <c r="GZQ192" s="23"/>
      <c r="GZR192" s="23"/>
      <c r="GZS192" s="1"/>
      <c r="GZT192" s="1"/>
      <c r="GZU192" s="1"/>
      <c r="GZV192" s="25"/>
      <c r="GZY192" s="23"/>
      <c r="GZZ192" s="23"/>
      <c r="HAA192" s="23"/>
      <c r="HAB192" s="23"/>
      <c r="HAC192" s="23"/>
      <c r="HAD192" s="23"/>
      <c r="HAE192" s="24"/>
      <c r="HAF192" s="23"/>
      <c r="HAG192" s="23"/>
      <c r="HAH192" s="23"/>
      <c r="HAI192" s="1"/>
      <c r="HAJ192" s="1"/>
      <c r="HAK192" s="1"/>
      <c r="HAL192" s="25"/>
      <c r="HAO192" s="23"/>
      <c r="HAP192" s="23"/>
      <c r="HAQ192" s="23"/>
      <c r="HAR192" s="23"/>
      <c r="HAS192" s="23"/>
      <c r="HAT192" s="23"/>
      <c r="HAU192" s="24"/>
      <c r="HAV192" s="23"/>
      <c r="HAW192" s="23"/>
      <c r="HAX192" s="23"/>
      <c r="HAY192" s="1"/>
      <c r="HAZ192" s="1"/>
      <c r="HBA192" s="1"/>
      <c r="HBB192" s="25"/>
      <c r="HBE192" s="23"/>
      <c r="HBF192" s="23"/>
      <c r="HBG192" s="23"/>
      <c r="HBH192" s="23"/>
      <c r="HBI192" s="23"/>
      <c r="HBJ192" s="23"/>
      <c r="HBK192" s="24"/>
      <c r="HBL192" s="23"/>
      <c r="HBM192" s="23"/>
      <c r="HBN192" s="23"/>
      <c r="HBO192" s="1"/>
      <c r="HBP192" s="1"/>
      <c r="HBQ192" s="1"/>
      <c r="HBR192" s="25"/>
      <c r="HBU192" s="23"/>
      <c r="HBV192" s="23"/>
      <c r="HBW192" s="23"/>
      <c r="HBX192" s="23"/>
      <c r="HBY192" s="23"/>
      <c r="HBZ192" s="23"/>
      <c r="HCA192" s="24"/>
      <c r="HCB192" s="23"/>
      <c r="HCC192" s="23"/>
      <c r="HCD192" s="23"/>
      <c r="HCE192" s="1"/>
      <c r="HCF192" s="1"/>
      <c r="HCG192" s="1"/>
      <c r="HCH192" s="25"/>
      <c r="HCK192" s="23"/>
      <c r="HCL192" s="23"/>
      <c r="HCM192" s="23"/>
      <c r="HCN192" s="23"/>
      <c r="HCO192" s="23"/>
      <c r="HCP192" s="23"/>
      <c r="HCQ192" s="24"/>
      <c r="HCR192" s="23"/>
      <c r="HCS192" s="23"/>
      <c r="HCT192" s="23"/>
      <c r="HCU192" s="1"/>
      <c r="HCV192" s="1"/>
      <c r="HCW192" s="1"/>
      <c r="HCX192" s="25"/>
      <c r="HDA192" s="23"/>
      <c r="HDB192" s="23"/>
      <c r="HDC192" s="23"/>
      <c r="HDD192" s="23"/>
      <c r="HDE192" s="23"/>
      <c r="HDF192" s="23"/>
      <c r="HDG192" s="24"/>
      <c r="HDH192" s="23"/>
      <c r="HDI192" s="23"/>
      <c r="HDJ192" s="23"/>
      <c r="HDK192" s="1"/>
      <c r="HDL192" s="1"/>
      <c r="HDM192" s="1"/>
      <c r="HDN192" s="25"/>
      <c r="HDQ192" s="23"/>
      <c r="HDR192" s="23"/>
      <c r="HDS192" s="23"/>
      <c r="HDT192" s="23"/>
      <c r="HDU192" s="23"/>
      <c r="HDV192" s="23"/>
      <c r="HDW192" s="24"/>
      <c r="HDX192" s="23"/>
      <c r="HDY192" s="23"/>
      <c r="HDZ192" s="23"/>
      <c r="HEA192" s="1"/>
      <c r="HEB192" s="1"/>
      <c r="HEC192" s="1"/>
      <c r="HED192" s="25"/>
      <c r="HEG192" s="23"/>
      <c r="HEH192" s="23"/>
      <c r="HEI192" s="23"/>
      <c r="HEJ192" s="23"/>
      <c r="HEK192" s="23"/>
      <c r="HEL192" s="23"/>
      <c r="HEM192" s="24"/>
      <c r="HEN192" s="23"/>
      <c r="HEO192" s="23"/>
      <c r="HEP192" s="23"/>
      <c r="HEQ192" s="1"/>
      <c r="HER192" s="1"/>
      <c r="HES192" s="1"/>
      <c r="HET192" s="25"/>
      <c r="HEW192" s="23"/>
      <c r="HEX192" s="23"/>
      <c r="HEY192" s="23"/>
      <c r="HEZ192" s="23"/>
      <c r="HFA192" s="23"/>
      <c r="HFB192" s="23"/>
      <c r="HFC192" s="24"/>
      <c r="HFD192" s="23"/>
      <c r="HFE192" s="23"/>
      <c r="HFF192" s="23"/>
      <c r="HFG192" s="1"/>
      <c r="HFH192" s="1"/>
      <c r="HFI192" s="1"/>
      <c r="HFJ192" s="25"/>
      <c r="HFM192" s="23"/>
      <c r="HFN192" s="23"/>
      <c r="HFO192" s="23"/>
      <c r="HFP192" s="23"/>
      <c r="HFQ192" s="23"/>
      <c r="HFR192" s="23"/>
      <c r="HFS192" s="24"/>
      <c r="HFT192" s="23"/>
      <c r="HFU192" s="23"/>
      <c r="HFV192" s="23"/>
      <c r="HFW192" s="1"/>
      <c r="HFX192" s="1"/>
      <c r="HFY192" s="1"/>
      <c r="HFZ192" s="25"/>
      <c r="HGC192" s="23"/>
      <c r="HGD192" s="23"/>
      <c r="HGE192" s="23"/>
      <c r="HGF192" s="23"/>
      <c r="HGG192" s="23"/>
      <c r="HGH192" s="23"/>
      <c r="HGI192" s="24"/>
      <c r="HGJ192" s="23"/>
      <c r="HGK192" s="23"/>
      <c r="HGL192" s="23"/>
      <c r="HGM192" s="1"/>
      <c r="HGN192" s="1"/>
      <c r="HGO192" s="1"/>
      <c r="HGP192" s="25"/>
      <c r="HGS192" s="23"/>
      <c r="HGT192" s="23"/>
      <c r="HGU192" s="23"/>
      <c r="HGV192" s="23"/>
      <c r="HGW192" s="23"/>
      <c r="HGX192" s="23"/>
      <c r="HGY192" s="24"/>
      <c r="HGZ192" s="23"/>
      <c r="HHA192" s="23"/>
      <c r="HHB192" s="23"/>
      <c r="HHC192" s="1"/>
      <c r="HHD192" s="1"/>
      <c r="HHE192" s="1"/>
      <c r="HHF192" s="25"/>
      <c r="HHI192" s="23"/>
      <c r="HHJ192" s="23"/>
      <c r="HHK192" s="23"/>
      <c r="HHL192" s="23"/>
      <c r="HHM192" s="23"/>
      <c r="HHN192" s="23"/>
      <c r="HHO192" s="24"/>
      <c r="HHP192" s="23"/>
      <c r="HHQ192" s="23"/>
      <c r="HHR192" s="23"/>
      <c r="HHS192" s="1"/>
      <c r="HHT192" s="1"/>
      <c r="HHU192" s="1"/>
      <c r="HHV192" s="25"/>
      <c r="HHY192" s="23"/>
      <c r="HHZ192" s="23"/>
      <c r="HIA192" s="23"/>
      <c r="HIB192" s="23"/>
      <c r="HIC192" s="23"/>
      <c r="HID192" s="23"/>
      <c r="HIE192" s="24"/>
      <c r="HIF192" s="23"/>
      <c r="HIG192" s="23"/>
      <c r="HIH192" s="23"/>
      <c r="HII192" s="1"/>
      <c r="HIJ192" s="1"/>
      <c r="HIK192" s="1"/>
      <c r="HIL192" s="25"/>
      <c r="HIO192" s="23"/>
      <c r="HIP192" s="23"/>
      <c r="HIQ192" s="23"/>
      <c r="HIR192" s="23"/>
      <c r="HIS192" s="23"/>
      <c r="HIT192" s="23"/>
      <c r="HIU192" s="24"/>
      <c r="HIV192" s="23"/>
      <c r="HIW192" s="23"/>
      <c r="HIX192" s="23"/>
      <c r="HIY192" s="1"/>
      <c r="HIZ192" s="1"/>
      <c r="HJA192" s="1"/>
      <c r="HJB192" s="25"/>
      <c r="HJE192" s="23"/>
      <c r="HJF192" s="23"/>
      <c r="HJG192" s="23"/>
      <c r="HJH192" s="23"/>
      <c r="HJI192" s="23"/>
      <c r="HJJ192" s="23"/>
      <c r="HJK192" s="24"/>
      <c r="HJL192" s="23"/>
      <c r="HJM192" s="23"/>
      <c r="HJN192" s="23"/>
      <c r="HJO192" s="1"/>
      <c r="HJP192" s="1"/>
      <c r="HJQ192" s="1"/>
      <c r="HJR192" s="25"/>
      <c r="HJU192" s="23"/>
      <c r="HJV192" s="23"/>
      <c r="HJW192" s="23"/>
      <c r="HJX192" s="23"/>
      <c r="HJY192" s="23"/>
      <c r="HJZ192" s="23"/>
      <c r="HKA192" s="24"/>
      <c r="HKB192" s="23"/>
      <c r="HKC192" s="23"/>
      <c r="HKD192" s="23"/>
      <c r="HKE192" s="1"/>
      <c r="HKF192" s="1"/>
      <c r="HKG192" s="1"/>
      <c r="HKH192" s="25"/>
      <c r="HKK192" s="23"/>
      <c r="HKL192" s="23"/>
      <c r="HKM192" s="23"/>
      <c r="HKN192" s="23"/>
      <c r="HKO192" s="23"/>
      <c r="HKP192" s="23"/>
      <c r="HKQ192" s="24"/>
      <c r="HKR192" s="23"/>
      <c r="HKS192" s="23"/>
      <c r="HKT192" s="23"/>
      <c r="HKU192" s="1"/>
      <c r="HKV192" s="1"/>
      <c r="HKW192" s="1"/>
      <c r="HKX192" s="25"/>
      <c r="HLA192" s="23"/>
      <c r="HLB192" s="23"/>
      <c r="HLC192" s="23"/>
      <c r="HLD192" s="23"/>
      <c r="HLE192" s="23"/>
      <c r="HLF192" s="23"/>
      <c r="HLG192" s="24"/>
      <c r="HLH192" s="23"/>
      <c r="HLI192" s="23"/>
      <c r="HLJ192" s="23"/>
      <c r="HLK192" s="1"/>
      <c r="HLL192" s="1"/>
      <c r="HLM192" s="1"/>
      <c r="HLN192" s="25"/>
      <c r="HLQ192" s="23"/>
      <c r="HLR192" s="23"/>
      <c r="HLS192" s="23"/>
      <c r="HLT192" s="23"/>
      <c r="HLU192" s="23"/>
      <c r="HLV192" s="23"/>
      <c r="HLW192" s="24"/>
      <c r="HLX192" s="23"/>
      <c r="HLY192" s="23"/>
      <c r="HLZ192" s="23"/>
      <c r="HMA192" s="1"/>
      <c r="HMB192" s="1"/>
      <c r="HMC192" s="1"/>
      <c r="HMD192" s="25"/>
      <c r="HMG192" s="23"/>
      <c r="HMH192" s="23"/>
      <c r="HMI192" s="23"/>
      <c r="HMJ192" s="23"/>
      <c r="HMK192" s="23"/>
      <c r="HML192" s="23"/>
      <c r="HMM192" s="24"/>
      <c r="HMN192" s="23"/>
      <c r="HMO192" s="23"/>
      <c r="HMP192" s="23"/>
      <c r="HMQ192" s="1"/>
      <c r="HMR192" s="1"/>
      <c r="HMS192" s="1"/>
      <c r="HMT192" s="25"/>
      <c r="HMW192" s="23"/>
      <c r="HMX192" s="23"/>
      <c r="HMY192" s="23"/>
      <c r="HMZ192" s="23"/>
      <c r="HNA192" s="23"/>
      <c r="HNB192" s="23"/>
      <c r="HNC192" s="24"/>
      <c r="HND192" s="23"/>
      <c r="HNE192" s="23"/>
      <c r="HNF192" s="23"/>
      <c r="HNG192" s="1"/>
      <c r="HNH192" s="1"/>
      <c r="HNI192" s="1"/>
      <c r="HNJ192" s="25"/>
      <c r="HNM192" s="23"/>
      <c r="HNN192" s="23"/>
      <c r="HNO192" s="23"/>
      <c r="HNP192" s="23"/>
      <c r="HNQ192" s="23"/>
      <c r="HNR192" s="23"/>
      <c r="HNS192" s="24"/>
      <c r="HNT192" s="23"/>
      <c r="HNU192" s="23"/>
      <c r="HNV192" s="23"/>
      <c r="HNW192" s="1"/>
      <c r="HNX192" s="1"/>
      <c r="HNY192" s="1"/>
      <c r="HNZ192" s="25"/>
      <c r="HOC192" s="23"/>
      <c r="HOD192" s="23"/>
      <c r="HOE192" s="23"/>
      <c r="HOF192" s="23"/>
      <c r="HOG192" s="23"/>
      <c r="HOH192" s="23"/>
      <c r="HOI192" s="24"/>
      <c r="HOJ192" s="23"/>
      <c r="HOK192" s="23"/>
      <c r="HOL192" s="23"/>
      <c r="HOM192" s="1"/>
      <c r="HON192" s="1"/>
      <c r="HOO192" s="1"/>
      <c r="HOP192" s="25"/>
      <c r="HOS192" s="23"/>
      <c r="HOT192" s="23"/>
      <c r="HOU192" s="23"/>
      <c r="HOV192" s="23"/>
      <c r="HOW192" s="23"/>
      <c r="HOX192" s="23"/>
      <c r="HOY192" s="24"/>
      <c r="HOZ192" s="23"/>
      <c r="HPA192" s="23"/>
      <c r="HPB192" s="23"/>
      <c r="HPC192" s="1"/>
      <c r="HPD192" s="1"/>
      <c r="HPE192" s="1"/>
      <c r="HPF192" s="25"/>
      <c r="HPI192" s="23"/>
      <c r="HPJ192" s="23"/>
      <c r="HPK192" s="23"/>
      <c r="HPL192" s="23"/>
      <c r="HPM192" s="23"/>
      <c r="HPN192" s="23"/>
      <c r="HPO192" s="24"/>
      <c r="HPP192" s="23"/>
      <c r="HPQ192" s="23"/>
      <c r="HPR192" s="23"/>
      <c r="HPS192" s="1"/>
      <c r="HPT192" s="1"/>
      <c r="HPU192" s="1"/>
      <c r="HPV192" s="25"/>
      <c r="HPY192" s="23"/>
      <c r="HPZ192" s="23"/>
      <c r="HQA192" s="23"/>
      <c r="HQB192" s="23"/>
      <c r="HQC192" s="23"/>
      <c r="HQD192" s="23"/>
      <c r="HQE192" s="24"/>
      <c r="HQF192" s="23"/>
      <c r="HQG192" s="23"/>
      <c r="HQH192" s="23"/>
      <c r="HQI192" s="1"/>
      <c r="HQJ192" s="1"/>
      <c r="HQK192" s="1"/>
      <c r="HQL192" s="25"/>
      <c r="HQO192" s="23"/>
      <c r="HQP192" s="23"/>
      <c r="HQQ192" s="23"/>
      <c r="HQR192" s="23"/>
      <c r="HQS192" s="23"/>
      <c r="HQT192" s="23"/>
      <c r="HQU192" s="24"/>
      <c r="HQV192" s="23"/>
      <c r="HQW192" s="23"/>
      <c r="HQX192" s="23"/>
      <c r="HQY192" s="1"/>
      <c r="HQZ192" s="1"/>
      <c r="HRA192" s="1"/>
      <c r="HRB192" s="25"/>
      <c r="HRE192" s="23"/>
      <c r="HRF192" s="23"/>
      <c r="HRG192" s="23"/>
      <c r="HRH192" s="23"/>
      <c r="HRI192" s="23"/>
      <c r="HRJ192" s="23"/>
      <c r="HRK192" s="24"/>
      <c r="HRL192" s="23"/>
      <c r="HRM192" s="23"/>
      <c r="HRN192" s="23"/>
      <c r="HRO192" s="1"/>
      <c r="HRP192" s="1"/>
      <c r="HRQ192" s="1"/>
      <c r="HRR192" s="25"/>
      <c r="HRU192" s="23"/>
      <c r="HRV192" s="23"/>
      <c r="HRW192" s="23"/>
      <c r="HRX192" s="23"/>
      <c r="HRY192" s="23"/>
      <c r="HRZ192" s="23"/>
      <c r="HSA192" s="24"/>
      <c r="HSB192" s="23"/>
      <c r="HSC192" s="23"/>
      <c r="HSD192" s="23"/>
      <c r="HSE192" s="1"/>
      <c r="HSF192" s="1"/>
      <c r="HSG192" s="1"/>
      <c r="HSH192" s="25"/>
      <c r="HSK192" s="23"/>
      <c r="HSL192" s="23"/>
      <c r="HSM192" s="23"/>
      <c r="HSN192" s="23"/>
      <c r="HSO192" s="23"/>
      <c r="HSP192" s="23"/>
      <c r="HSQ192" s="24"/>
      <c r="HSR192" s="23"/>
      <c r="HSS192" s="23"/>
      <c r="HST192" s="23"/>
      <c r="HSU192" s="1"/>
      <c r="HSV192" s="1"/>
      <c r="HSW192" s="1"/>
      <c r="HSX192" s="25"/>
      <c r="HTA192" s="23"/>
      <c r="HTB192" s="23"/>
      <c r="HTC192" s="23"/>
      <c r="HTD192" s="23"/>
      <c r="HTE192" s="23"/>
      <c r="HTF192" s="23"/>
      <c r="HTG192" s="24"/>
      <c r="HTH192" s="23"/>
      <c r="HTI192" s="23"/>
      <c r="HTJ192" s="23"/>
      <c r="HTK192" s="1"/>
      <c r="HTL192" s="1"/>
      <c r="HTM192" s="1"/>
      <c r="HTN192" s="25"/>
      <c r="HTQ192" s="23"/>
      <c r="HTR192" s="23"/>
      <c r="HTS192" s="23"/>
      <c r="HTT192" s="23"/>
      <c r="HTU192" s="23"/>
      <c r="HTV192" s="23"/>
      <c r="HTW192" s="24"/>
      <c r="HTX192" s="23"/>
      <c r="HTY192" s="23"/>
      <c r="HTZ192" s="23"/>
      <c r="HUA192" s="1"/>
      <c r="HUB192" s="1"/>
      <c r="HUC192" s="1"/>
      <c r="HUD192" s="25"/>
      <c r="HUG192" s="23"/>
      <c r="HUH192" s="23"/>
      <c r="HUI192" s="23"/>
      <c r="HUJ192" s="23"/>
      <c r="HUK192" s="23"/>
      <c r="HUL192" s="23"/>
      <c r="HUM192" s="24"/>
      <c r="HUN192" s="23"/>
      <c r="HUO192" s="23"/>
      <c r="HUP192" s="23"/>
      <c r="HUQ192" s="1"/>
      <c r="HUR192" s="1"/>
      <c r="HUS192" s="1"/>
      <c r="HUT192" s="25"/>
      <c r="HUW192" s="23"/>
      <c r="HUX192" s="23"/>
      <c r="HUY192" s="23"/>
      <c r="HUZ192" s="23"/>
      <c r="HVA192" s="23"/>
      <c r="HVB192" s="23"/>
      <c r="HVC192" s="24"/>
      <c r="HVD192" s="23"/>
      <c r="HVE192" s="23"/>
      <c r="HVF192" s="23"/>
      <c r="HVG192" s="1"/>
      <c r="HVH192" s="1"/>
      <c r="HVI192" s="1"/>
      <c r="HVJ192" s="25"/>
      <c r="HVM192" s="23"/>
      <c r="HVN192" s="23"/>
      <c r="HVO192" s="23"/>
      <c r="HVP192" s="23"/>
      <c r="HVQ192" s="23"/>
      <c r="HVR192" s="23"/>
      <c r="HVS192" s="24"/>
      <c r="HVT192" s="23"/>
      <c r="HVU192" s="23"/>
      <c r="HVV192" s="23"/>
      <c r="HVW192" s="1"/>
      <c r="HVX192" s="1"/>
      <c r="HVY192" s="1"/>
      <c r="HVZ192" s="25"/>
      <c r="HWC192" s="23"/>
      <c r="HWD192" s="23"/>
      <c r="HWE192" s="23"/>
      <c r="HWF192" s="23"/>
      <c r="HWG192" s="23"/>
      <c r="HWH192" s="23"/>
      <c r="HWI192" s="24"/>
      <c r="HWJ192" s="23"/>
      <c r="HWK192" s="23"/>
      <c r="HWL192" s="23"/>
      <c r="HWM192" s="1"/>
      <c r="HWN192" s="1"/>
      <c r="HWO192" s="1"/>
      <c r="HWP192" s="25"/>
      <c r="HWS192" s="23"/>
      <c r="HWT192" s="23"/>
      <c r="HWU192" s="23"/>
      <c r="HWV192" s="23"/>
      <c r="HWW192" s="23"/>
      <c r="HWX192" s="23"/>
      <c r="HWY192" s="24"/>
      <c r="HWZ192" s="23"/>
      <c r="HXA192" s="23"/>
      <c r="HXB192" s="23"/>
      <c r="HXC192" s="1"/>
      <c r="HXD192" s="1"/>
      <c r="HXE192" s="1"/>
      <c r="HXF192" s="25"/>
      <c r="HXI192" s="23"/>
      <c r="HXJ192" s="23"/>
      <c r="HXK192" s="23"/>
      <c r="HXL192" s="23"/>
      <c r="HXM192" s="23"/>
      <c r="HXN192" s="23"/>
      <c r="HXO192" s="24"/>
      <c r="HXP192" s="23"/>
      <c r="HXQ192" s="23"/>
      <c r="HXR192" s="23"/>
      <c r="HXS192" s="1"/>
      <c r="HXT192" s="1"/>
      <c r="HXU192" s="1"/>
      <c r="HXV192" s="25"/>
      <c r="HXY192" s="23"/>
      <c r="HXZ192" s="23"/>
      <c r="HYA192" s="23"/>
      <c r="HYB192" s="23"/>
      <c r="HYC192" s="23"/>
      <c r="HYD192" s="23"/>
      <c r="HYE192" s="24"/>
      <c r="HYF192" s="23"/>
      <c r="HYG192" s="23"/>
      <c r="HYH192" s="23"/>
      <c r="HYI192" s="1"/>
      <c r="HYJ192" s="1"/>
      <c r="HYK192" s="1"/>
      <c r="HYL192" s="25"/>
      <c r="HYO192" s="23"/>
      <c r="HYP192" s="23"/>
      <c r="HYQ192" s="23"/>
      <c r="HYR192" s="23"/>
      <c r="HYS192" s="23"/>
      <c r="HYT192" s="23"/>
      <c r="HYU192" s="24"/>
      <c r="HYV192" s="23"/>
      <c r="HYW192" s="23"/>
      <c r="HYX192" s="23"/>
      <c r="HYY192" s="1"/>
      <c r="HYZ192" s="1"/>
      <c r="HZA192" s="1"/>
      <c r="HZB192" s="25"/>
      <c r="HZE192" s="23"/>
      <c r="HZF192" s="23"/>
      <c r="HZG192" s="23"/>
      <c r="HZH192" s="23"/>
      <c r="HZI192" s="23"/>
      <c r="HZJ192" s="23"/>
      <c r="HZK192" s="24"/>
      <c r="HZL192" s="23"/>
      <c r="HZM192" s="23"/>
      <c r="HZN192" s="23"/>
      <c r="HZO192" s="1"/>
      <c r="HZP192" s="1"/>
      <c r="HZQ192" s="1"/>
      <c r="HZR192" s="25"/>
      <c r="HZU192" s="23"/>
      <c r="HZV192" s="23"/>
      <c r="HZW192" s="23"/>
      <c r="HZX192" s="23"/>
      <c r="HZY192" s="23"/>
      <c r="HZZ192" s="23"/>
      <c r="IAA192" s="24"/>
      <c r="IAB192" s="23"/>
      <c r="IAC192" s="23"/>
      <c r="IAD192" s="23"/>
      <c r="IAE192" s="1"/>
      <c r="IAF192" s="1"/>
      <c r="IAG192" s="1"/>
      <c r="IAH192" s="25"/>
      <c r="IAK192" s="23"/>
      <c r="IAL192" s="23"/>
      <c r="IAM192" s="23"/>
      <c r="IAN192" s="23"/>
      <c r="IAO192" s="23"/>
      <c r="IAP192" s="23"/>
      <c r="IAQ192" s="24"/>
      <c r="IAR192" s="23"/>
      <c r="IAS192" s="23"/>
      <c r="IAT192" s="23"/>
      <c r="IAU192" s="1"/>
      <c r="IAV192" s="1"/>
      <c r="IAW192" s="1"/>
      <c r="IAX192" s="25"/>
      <c r="IBA192" s="23"/>
      <c r="IBB192" s="23"/>
      <c r="IBC192" s="23"/>
      <c r="IBD192" s="23"/>
      <c r="IBE192" s="23"/>
      <c r="IBF192" s="23"/>
      <c r="IBG192" s="24"/>
      <c r="IBH192" s="23"/>
      <c r="IBI192" s="23"/>
      <c r="IBJ192" s="23"/>
      <c r="IBK192" s="1"/>
      <c r="IBL192" s="1"/>
      <c r="IBM192" s="1"/>
      <c r="IBN192" s="25"/>
      <c r="IBQ192" s="23"/>
      <c r="IBR192" s="23"/>
      <c r="IBS192" s="23"/>
      <c r="IBT192" s="23"/>
      <c r="IBU192" s="23"/>
      <c r="IBV192" s="23"/>
      <c r="IBW192" s="24"/>
      <c r="IBX192" s="23"/>
      <c r="IBY192" s="23"/>
      <c r="IBZ192" s="23"/>
      <c r="ICA192" s="1"/>
      <c r="ICB192" s="1"/>
      <c r="ICC192" s="1"/>
      <c r="ICD192" s="25"/>
      <c r="ICG192" s="23"/>
      <c r="ICH192" s="23"/>
      <c r="ICI192" s="23"/>
      <c r="ICJ192" s="23"/>
      <c r="ICK192" s="23"/>
      <c r="ICL192" s="23"/>
      <c r="ICM192" s="24"/>
      <c r="ICN192" s="23"/>
      <c r="ICO192" s="23"/>
      <c r="ICP192" s="23"/>
      <c r="ICQ192" s="1"/>
      <c r="ICR192" s="1"/>
      <c r="ICS192" s="1"/>
      <c r="ICT192" s="25"/>
      <c r="ICW192" s="23"/>
      <c r="ICX192" s="23"/>
      <c r="ICY192" s="23"/>
      <c r="ICZ192" s="23"/>
      <c r="IDA192" s="23"/>
      <c r="IDB192" s="23"/>
      <c r="IDC192" s="24"/>
      <c r="IDD192" s="23"/>
      <c r="IDE192" s="23"/>
      <c r="IDF192" s="23"/>
      <c r="IDG192" s="1"/>
      <c r="IDH192" s="1"/>
      <c r="IDI192" s="1"/>
      <c r="IDJ192" s="25"/>
      <c r="IDM192" s="23"/>
      <c r="IDN192" s="23"/>
      <c r="IDO192" s="23"/>
      <c r="IDP192" s="23"/>
      <c r="IDQ192" s="23"/>
      <c r="IDR192" s="23"/>
      <c r="IDS192" s="24"/>
      <c r="IDT192" s="23"/>
      <c r="IDU192" s="23"/>
      <c r="IDV192" s="23"/>
      <c r="IDW192" s="1"/>
      <c r="IDX192" s="1"/>
      <c r="IDY192" s="1"/>
      <c r="IDZ192" s="25"/>
      <c r="IEC192" s="23"/>
      <c r="IED192" s="23"/>
      <c r="IEE192" s="23"/>
      <c r="IEF192" s="23"/>
      <c r="IEG192" s="23"/>
      <c r="IEH192" s="23"/>
      <c r="IEI192" s="24"/>
      <c r="IEJ192" s="23"/>
      <c r="IEK192" s="23"/>
      <c r="IEL192" s="23"/>
      <c r="IEM192" s="1"/>
      <c r="IEN192" s="1"/>
      <c r="IEO192" s="1"/>
      <c r="IEP192" s="25"/>
      <c r="IES192" s="23"/>
      <c r="IET192" s="23"/>
      <c r="IEU192" s="23"/>
      <c r="IEV192" s="23"/>
      <c r="IEW192" s="23"/>
      <c r="IEX192" s="23"/>
      <c r="IEY192" s="24"/>
      <c r="IEZ192" s="23"/>
      <c r="IFA192" s="23"/>
      <c r="IFB192" s="23"/>
      <c r="IFC192" s="1"/>
      <c r="IFD192" s="1"/>
      <c r="IFE192" s="1"/>
      <c r="IFF192" s="25"/>
      <c r="IFI192" s="23"/>
      <c r="IFJ192" s="23"/>
      <c r="IFK192" s="23"/>
      <c r="IFL192" s="23"/>
      <c r="IFM192" s="23"/>
      <c r="IFN192" s="23"/>
      <c r="IFO192" s="24"/>
      <c r="IFP192" s="23"/>
      <c r="IFQ192" s="23"/>
      <c r="IFR192" s="23"/>
      <c r="IFS192" s="1"/>
      <c r="IFT192" s="1"/>
      <c r="IFU192" s="1"/>
      <c r="IFV192" s="25"/>
      <c r="IFY192" s="23"/>
      <c r="IFZ192" s="23"/>
      <c r="IGA192" s="23"/>
      <c r="IGB192" s="23"/>
      <c r="IGC192" s="23"/>
      <c r="IGD192" s="23"/>
      <c r="IGE192" s="24"/>
      <c r="IGF192" s="23"/>
      <c r="IGG192" s="23"/>
      <c r="IGH192" s="23"/>
      <c r="IGI192" s="1"/>
      <c r="IGJ192" s="1"/>
      <c r="IGK192" s="1"/>
      <c r="IGL192" s="25"/>
      <c r="IGO192" s="23"/>
      <c r="IGP192" s="23"/>
      <c r="IGQ192" s="23"/>
      <c r="IGR192" s="23"/>
      <c r="IGS192" s="23"/>
      <c r="IGT192" s="23"/>
      <c r="IGU192" s="24"/>
      <c r="IGV192" s="23"/>
      <c r="IGW192" s="23"/>
      <c r="IGX192" s="23"/>
      <c r="IGY192" s="1"/>
      <c r="IGZ192" s="1"/>
      <c r="IHA192" s="1"/>
      <c r="IHB192" s="25"/>
      <c r="IHE192" s="23"/>
      <c r="IHF192" s="23"/>
      <c r="IHG192" s="23"/>
      <c r="IHH192" s="23"/>
      <c r="IHI192" s="23"/>
      <c r="IHJ192" s="23"/>
      <c r="IHK192" s="24"/>
      <c r="IHL192" s="23"/>
      <c r="IHM192" s="23"/>
      <c r="IHN192" s="23"/>
      <c r="IHO192" s="1"/>
      <c r="IHP192" s="1"/>
      <c r="IHQ192" s="1"/>
      <c r="IHR192" s="25"/>
      <c r="IHU192" s="23"/>
      <c r="IHV192" s="23"/>
      <c r="IHW192" s="23"/>
      <c r="IHX192" s="23"/>
      <c r="IHY192" s="23"/>
      <c r="IHZ192" s="23"/>
      <c r="IIA192" s="24"/>
      <c r="IIB192" s="23"/>
      <c r="IIC192" s="23"/>
      <c r="IID192" s="23"/>
      <c r="IIE192" s="1"/>
      <c r="IIF192" s="1"/>
      <c r="IIG192" s="1"/>
      <c r="IIH192" s="25"/>
      <c r="IIK192" s="23"/>
      <c r="IIL192" s="23"/>
      <c r="IIM192" s="23"/>
      <c r="IIN192" s="23"/>
      <c r="IIO192" s="23"/>
      <c r="IIP192" s="23"/>
      <c r="IIQ192" s="24"/>
      <c r="IIR192" s="23"/>
      <c r="IIS192" s="23"/>
      <c r="IIT192" s="23"/>
      <c r="IIU192" s="1"/>
      <c r="IIV192" s="1"/>
      <c r="IIW192" s="1"/>
      <c r="IIX192" s="25"/>
      <c r="IJA192" s="23"/>
      <c r="IJB192" s="23"/>
      <c r="IJC192" s="23"/>
      <c r="IJD192" s="23"/>
      <c r="IJE192" s="23"/>
      <c r="IJF192" s="23"/>
      <c r="IJG192" s="24"/>
      <c r="IJH192" s="23"/>
      <c r="IJI192" s="23"/>
      <c r="IJJ192" s="23"/>
      <c r="IJK192" s="1"/>
      <c r="IJL192" s="1"/>
      <c r="IJM192" s="1"/>
      <c r="IJN192" s="25"/>
      <c r="IJQ192" s="23"/>
      <c r="IJR192" s="23"/>
      <c r="IJS192" s="23"/>
      <c r="IJT192" s="23"/>
      <c r="IJU192" s="23"/>
      <c r="IJV192" s="23"/>
      <c r="IJW192" s="24"/>
      <c r="IJX192" s="23"/>
      <c r="IJY192" s="23"/>
      <c r="IJZ192" s="23"/>
      <c r="IKA192" s="1"/>
      <c r="IKB192" s="1"/>
      <c r="IKC192" s="1"/>
      <c r="IKD192" s="25"/>
      <c r="IKG192" s="23"/>
      <c r="IKH192" s="23"/>
      <c r="IKI192" s="23"/>
      <c r="IKJ192" s="23"/>
      <c r="IKK192" s="23"/>
      <c r="IKL192" s="23"/>
      <c r="IKM192" s="24"/>
      <c r="IKN192" s="23"/>
      <c r="IKO192" s="23"/>
      <c r="IKP192" s="23"/>
      <c r="IKQ192" s="1"/>
      <c r="IKR192" s="1"/>
      <c r="IKS192" s="1"/>
      <c r="IKT192" s="25"/>
      <c r="IKW192" s="23"/>
      <c r="IKX192" s="23"/>
      <c r="IKY192" s="23"/>
      <c r="IKZ192" s="23"/>
      <c r="ILA192" s="23"/>
      <c r="ILB192" s="23"/>
      <c r="ILC192" s="24"/>
      <c r="ILD192" s="23"/>
      <c r="ILE192" s="23"/>
      <c r="ILF192" s="23"/>
      <c r="ILG192" s="1"/>
      <c r="ILH192" s="1"/>
      <c r="ILI192" s="1"/>
      <c r="ILJ192" s="25"/>
      <c r="ILM192" s="23"/>
      <c r="ILN192" s="23"/>
      <c r="ILO192" s="23"/>
      <c r="ILP192" s="23"/>
      <c r="ILQ192" s="23"/>
      <c r="ILR192" s="23"/>
      <c r="ILS192" s="24"/>
      <c r="ILT192" s="23"/>
      <c r="ILU192" s="23"/>
      <c r="ILV192" s="23"/>
      <c r="ILW192" s="1"/>
      <c r="ILX192" s="1"/>
      <c r="ILY192" s="1"/>
      <c r="ILZ192" s="25"/>
      <c r="IMC192" s="23"/>
      <c r="IMD192" s="23"/>
      <c r="IME192" s="23"/>
      <c r="IMF192" s="23"/>
      <c r="IMG192" s="23"/>
      <c r="IMH192" s="23"/>
      <c r="IMI192" s="24"/>
      <c r="IMJ192" s="23"/>
      <c r="IMK192" s="23"/>
      <c r="IML192" s="23"/>
      <c r="IMM192" s="1"/>
      <c r="IMN192" s="1"/>
      <c r="IMO192" s="1"/>
      <c r="IMP192" s="25"/>
      <c r="IMS192" s="23"/>
      <c r="IMT192" s="23"/>
      <c r="IMU192" s="23"/>
      <c r="IMV192" s="23"/>
      <c r="IMW192" s="23"/>
      <c r="IMX192" s="23"/>
      <c r="IMY192" s="24"/>
      <c r="IMZ192" s="23"/>
      <c r="INA192" s="23"/>
      <c r="INB192" s="23"/>
      <c r="INC192" s="1"/>
      <c r="IND192" s="1"/>
      <c r="INE192" s="1"/>
      <c r="INF192" s="25"/>
      <c r="INI192" s="23"/>
      <c r="INJ192" s="23"/>
      <c r="INK192" s="23"/>
      <c r="INL192" s="23"/>
      <c r="INM192" s="23"/>
      <c r="INN192" s="23"/>
      <c r="INO192" s="24"/>
      <c r="INP192" s="23"/>
      <c r="INQ192" s="23"/>
      <c r="INR192" s="23"/>
      <c r="INS192" s="1"/>
      <c r="INT192" s="1"/>
      <c r="INU192" s="1"/>
      <c r="INV192" s="25"/>
      <c r="INY192" s="23"/>
      <c r="INZ192" s="23"/>
      <c r="IOA192" s="23"/>
      <c r="IOB192" s="23"/>
      <c r="IOC192" s="23"/>
      <c r="IOD192" s="23"/>
      <c r="IOE192" s="24"/>
      <c r="IOF192" s="23"/>
      <c r="IOG192" s="23"/>
      <c r="IOH192" s="23"/>
      <c r="IOI192" s="1"/>
      <c r="IOJ192" s="1"/>
      <c r="IOK192" s="1"/>
      <c r="IOL192" s="25"/>
      <c r="IOO192" s="23"/>
      <c r="IOP192" s="23"/>
      <c r="IOQ192" s="23"/>
      <c r="IOR192" s="23"/>
      <c r="IOS192" s="23"/>
      <c r="IOT192" s="23"/>
      <c r="IOU192" s="24"/>
      <c r="IOV192" s="23"/>
      <c r="IOW192" s="23"/>
      <c r="IOX192" s="23"/>
      <c r="IOY192" s="1"/>
      <c r="IOZ192" s="1"/>
      <c r="IPA192" s="1"/>
      <c r="IPB192" s="25"/>
      <c r="IPE192" s="23"/>
      <c r="IPF192" s="23"/>
      <c r="IPG192" s="23"/>
      <c r="IPH192" s="23"/>
      <c r="IPI192" s="23"/>
      <c r="IPJ192" s="23"/>
      <c r="IPK192" s="24"/>
      <c r="IPL192" s="23"/>
      <c r="IPM192" s="23"/>
      <c r="IPN192" s="23"/>
      <c r="IPO192" s="1"/>
      <c r="IPP192" s="1"/>
      <c r="IPQ192" s="1"/>
      <c r="IPR192" s="25"/>
      <c r="IPU192" s="23"/>
      <c r="IPV192" s="23"/>
      <c r="IPW192" s="23"/>
      <c r="IPX192" s="23"/>
      <c r="IPY192" s="23"/>
      <c r="IPZ192" s="23"/>
      <c r="IQA192" s="24"/>
      <c r="IQB192" s="23"/>
      <c r="IQC192" s="23"/>
      <c r="IQD192" s="23"/>
      <c r="IQE192" s="1"/>
      <c r="IQF192" s="1"/>
      <c r="IQG192" s="1"/>
      <c r="IQH192" s="25"/>
      <c r="IQK192" s="23"/>
      <c r="IQL192" s="23"/>
      <c r="IQM192" s="23"/>
      <c r="IQN192" s="23"/>
      <c r="IQO192" s="23"/>
      <c r="IQP192" s="23"/>
      <c r="IQQ192" s="24"/>
      <c r="IQR192" s="23"/>
      <c r="IQS192" s="23"/>
      <c r="IQT192" s="23"/>
      <c r="IQU192" s="1"/>
      <c r="IQV192" s="1"/>
      <c r="IQW192" s="1"/>
      <c r="IQX192" s="25"/>
      <c r="IRA192" s="23"/>
      <c r="IRB192" s="23"/>
      <c r="IRC192" s="23"/>
      <c r="IRD192" s="23"/>
      <c r="IRE192" s="23"/>
      <c r="IRF192" s="23"/>
      <c r="IRG192" s="24"/>
      <c r="IRH192" s="23"/>
      <c r="IRI192" s="23"/>
      <c r="IRJ192" s="23"/>
      <c r="IRK192" s="1"/>
      <c r="IRL192" s="1"/>
      <c r="IRM192" s="1"/>
      <c r="IRN192" s="25"/>
      <c r="IRQ192" s="23"/>
      <c r="IRR192" s="23"/>
      <c r="IRS192" s="23"/>
      <c r="IRT192" s="23"/>
      <c r="IRU192" s="23"/>
      <c r="IRV192" s="23"/>
      <c r="IRW192" s="24"/>
      <c r="IRX192" s="23"/>
      <c r="IRY192" s="23"/>
      <c r="IRZ192" s="23"/>
      <c r="ISA192" s="1"/>
      <c r="ISB192" s="1"/>
      <c r="ISC192" s="1"/>
      <c r="ISD192" s="25"/>
      <c r="ISG192" s="23"/>
      <c r="ISH192" s="23"/>
      <c r="ISI192" s="23"/>
      <c r="ISJ192" s="23"/>
      <c r="ISK192" s="23"/>
      <c r="ISL192" s="23"/>
      <c r="ISM192" s="24"/>
      <c r="ISN192" s="23"/>
      <c r="ISO192" s="23"/>
      <c r="ISP192" s="23"/>
      <c r="ISQ192" s="1"/>
      <c r="ISR192" s="1"/>
      <c r="ISS192" s="1"/>
      <c r="IST192" s="25"/>
      <c r="ISW192" s="23"/>
      <c r="ISX192" s="23"/>
      <c r="ISY192" s="23"/>
      <c r="ISZ192" s="23"/>
      <c r="ITA192" s="23"/>
      <c r="ITB192" s="23"/>
      <c r="ITC192" s="24"/>
      <c r="ITD192" s="23"/>
      <c r="ITE192" s="23"/>
      <c r="ITF192" s="23"/>
      <c r="ITG192" s="1"/>
      <c r="ITH192" s="1"/>
      <c r="ITI192" s="1"/>
      <c r="ITJ192" s="25"/>
      <c r="ITM192" s="23"/>
      <c r="ITN192" s="23"/>
      <c r="ITO192" s="23"/>
      <c r="ITP192" s="23"/>
      <c r="ITQ192" s="23"/>
      <c r="ITR192" s="23"/>
      <c r="ITS192" s="24"/>
      <c r="ITT192" s="23"/>
      <c r="ITU192" s="23"/>
      <c r="ITV192" s="23"/>
      <c r="ITW192" s="1"/>
      <c r="ITX192" s="1"/>
      <c r="ITY192" s="1"/>
      <c r="ITZ192" s="25"/>
      <c r="IUC192" s="23"/>
      <c r="IUD192" s="23"/>
      <c r="IUE192" s="23"/>
      <c r="IUF192" s="23"/>
      <c r="IUG192" s="23"/>
      <c r="IUH192" s="23"/>
      <c r="IUI192" s="24"/>
      <c r="IUJ192" s="23"/>
      <c r="IUK192" s="23"/>
      <c r="IUL192" s="23"/>
      <c r="IUM192" s="1"/>
      <c r="IUN192" s="1"/>
      <c r="IUO192" s="1"/>
      <c r="IUP192" s="25"/>
      <c r="IUS192" s="23"/>
      <c r="IUT192" s="23"/>
      <c r="IUU192" s="23"/>
      <c r="IUV192" s="23"/>
      <c r="IUW192" s="23"/>
      <c r="IUX192" s="23"/>
      <c r="IUY192" s="24"/>
      <c r="IUZ192" s="23"/>
      <c r="IVA192" s="23"/>
      <c r="IVB192" s="23"/>
      <c r="IVC192" s="1"/>
      <c r="IVD192" s="1"/>
      <c r="IVE192" s="1"/>
      <c r="IVF192" s="25"/>
      <c r="IVI192" s="23"/>
      <c r="IVJ192" s="23"/>
      <c r="IVK192" s="23"/>
      <c r="IVL192" s="23"/>
      <c r="IVM192" s="23"/>
      <c r="IVN192" s="23"/>
      <c r="IVO192" s="24"/>
      <c r="IVP192" s="23"/>
      <c r="IVQ192" s="23"/>
      <c r="IVR192" s="23"/>
      <c r="IVS192" s="1"/>
      <c r="IVT192" s="1"/>
      <c r="IVU192" s="1"/>
      <c r="IVV192" s="25"/>
      <c r="IVY192" s="23"/>
      <c r="IVZ192" s="23"/>
      <c r="IWA192" s="23"/>
      <c r="IWB192" s="23"/>
      <c r="IWC192" s="23"/>
      <c r="IWD192" s="23"/>
      <c r="IWE192" s="24"/>
      <c r="IWF192" s="23"/>
      <c r="IWG192" s="23"/>
      <c r="IWH192" s="23"/>
      <c r="IWI192" s="1"/>
      <c r="IWJ192" s="1"/>
      <c r="IWK192" s="1"/>
      <c r="IWL192" s="25"/>
      <c r="IWO192" s="23"/>
      <c r="IWP192" s="23"/>
      <c r="IWQ192" s="23"/>
      <c r="IWR192" s="23"/>
      <c r="IWS192" s="23"/>
      <c r="IWT192" s="23"/>
      <c r="IWU192" s="24"/>
      <c r="IWV192" s="23"/>
      <c r="IWW192" s="23"/>
      <c r="IWX192" s="23"/>
      <c r="IWY192" s="1"/>
      <c r="IWZ192" s="1"/>
      <c r="IXA192" s="1"/>
      <c r="IXB192" s="25"/>
      <c r="IXE192" s="23"/>
      <c r="IXF192" s="23"/>
      <c r="IXG192" s="23"/>
      <c r="IXH192" s="23"/>
      <c r="IXI192" s="23"/>
      <c r="IXJ192" s="23"/>
      <c r="IXK192" s="24"/>
      <c r="IXL192" s="23"/>
      <c r="IXM192" s="23"/>
      <c r="IXN192" s="23"/>
      <c r="IXO192" s="1"/>
      <c r="IXP192" s="1"/>
      <c r="IXQ192" s="1"/>
      <c r="IXR192" s="25"/>
      <c r="IXU192" s="23"/>
      <c r="IXV192" s="23"/>
      <c r="IXW192" s="23"/>
      <c r="IXX192" s="23"/>
      <c r="IXY192" s="23"/>
      <c r="IXZ192" s="23"/>
      <c r="IYA192" s="24"/>
      <c r="IYB192" s="23"/>
      <c r="IYC192" s="23"/>
      <c r="IYD192" s="23"/>
      <c r="IYE192" s="1"/>
      <c r="IYF192" s="1"/>
      <c r="IYG192" s="1"/>
      <c r="IYH192" s="25"/>
      <c r="IYK192" s="23"/>
      <c r="IYL192" s="23"/>
      <c r="IYM192" s="23"/>
      <c r="IYN192" s="23"/>
      <c r="IYO192" s="23"/>
      <c r="IYP192" s="23"/>
      <c r="IYQ192" s="24"/>
      <c r="IYR192" s="23"/>
      <c r="IYS192" s="23"/>
      <c r="IYT192" s="23"/>
      <c r="IYU192" s="1"/>
      <c r="IYV192" s="1"/>
      <c r="IYW192" s="1"/>
      <c r="IYX192" s="25"/>
      <c r="IZA192" s="23"/>
      <c r="IZB192" s="23"/>
      <c r="IZC192" s="23"/>
      <c r="IZD192" s="23"/>
      <c r="IZE192" s="23"/>
      <c r="IZF192" s="23"/>
      <c r="IZG192" s="24"/>
      <c r="IZH192" s="23"/>
      <c r="IZI192" s="23"/>
      <c r="IZJ192" s="23"/>
      <c r="IZK192" s="1"/>
      <c r="IZL192" s="1"/>
      <c r="IZM192" s="1"/>
      <c r="IZN192" s="25"/>
      <c r="IZQ192" s="23"/>
      <c r="IZR192" s="23"/>
      <c r="IZS192" s="23"/>
      <c r="IZT192" s="23"/>
      <c r="IZU192" s="23"/>
      <c r="IZV192" s="23"/>
      <c r="IZW192" s="24"/>
      <c r="IZX192" s="23"/>
      <c r="IZY192" s="23"/>
      <c r="IZZ192" s="23"/>
      <c r="JAA192" s="1"/>
      <c r="JAB192" s="1"/>
      <c r="JAC192" s="1"/>
      <c r="JAD192" s="25"/>
      <c r="JAG192" s="23"/>
      <c r="JAH192" s="23"/>
      <c r="JAI192" s="23"/>
      <c r="JAJ192" s="23"/>
      <c r="JAK192" s="23"/>
      <c r="JAL192" s="23"/>
      <c r="JAM192" s="24"/>
      <c r="JAN192" s="23"/>
      <c r="JAO192" s="23"/>
      <c r="JAP192" s="23"/>
      <c r="JAQ192" s="1"/>
      <c r="JAR192" s="1"/>
      <c r="JAS192" s="1"/>
      <c r="JAT192" s="25"/>
      <c r="JAW192" s="23"/>
      <c r="JAX192" s="23"/>
      <c r="JAY192" s="23"/>
      <c r="JAZ192" s="23"/>
      <c r="JBA192" s="23"/>
      <c r="JBB192" s="23"/>
      <c r="JBC192" s="24"/>
      <c r="JBD192" s="23"/>
      <c r="JBE192" s="23"/>
      <c r="JBF192" s="23"/>
      <c r="JBG192" s="1"/>
      <c r="JBH192" s="1"/>
      <c r="JBI192" s="1"/>
      <c r="JBJ192" s="25"/>
      <c r="JBM192" s="23"/>
      <c r="JBN192" s="23"/>
      <c r="JBO192" s="23"/>
      <c r="JBP192" s="23"/>
      <c r="JBQ192" s="23"/>
      <c r="JBR192" s="23"/>
      <c r="JBS192" s="24"/>
      <c r="JBT192" s="23"/>
      <c r="JBU192" s="23"/>
      <c r="JBV192" s="23"/>
      <c r="JBW192" s="1"/>
      <c r="JBX192" s="1"/>
      <c r="JBY192" s="1"/>
      <c r="JBZ192" s="25"/>
      <c r="JCC192" s="23"/>
      <c r="JCD192" s="23"/>
      <c r="JCE192" s="23"/>
      <c r="JCF192" s="23"/>
      <c r="JCG192" s="23"/>
      <c r="JCH192" s="23"/>
      <c r="JCI192" s="24"/>
      <c r="JCJ192" s="23"/>
      <c r="JCK192" s="23"/>
      <c r="JCL192" s="23"/>
      <c r="JCM192" s="1"/>
      <c r="JCN192" s="1"/>
      <c r="JCO192" s="1"/>
      <c r="JCP192" s="25"/>
      <c r="JCS192" s="23"/>
      <c r="JCT192" s="23"/>
      <c r="JCU192" s="23"/>
      <c r="JCV192" s="23"/>
      <c r="JCW192" s="23"/>
      <c r="JCX192" s="23"/>
      <c r="JCY192" s="24"/>
      <c r="JCZ192" s="23"/>
      <c r="JDA192" s="23"/>
      <c r="JDB192" s="23"/>
      <c r="JDC192" s="1"/>
      <c r="JDD192" s="1"/>
      <c r="JDE192" s="1"/>
      <c r="JDF192" s="25"/>
      <c r="JDI192" s="23"/>
      <c r="JDJ192" s="23"/>
      <c r="JDK192" s="23"/>
      <c r="JDL192" s="23"/>
      <c r="JDM192" s="23"/>
      <c r="JDN192" s="23"/>
      <c r="JDO192" s="24"/>
      <c r="JDP192" s="23"/>
      <c r="JDQ192" s="23"/>
      <c r="JDR192" s="23"/>
      <c r="JDS192" s="1"/>
      <c r="JDT192" s="1"/>
      <c r="JDU192" s="1"/>
      <c r="JDV192" s="25"/>
      <c r="JDY192" s="23"/>
      <c r="JDZ192" s="23"/>
      <c r="JEA192" s="23"/>
      <c r="JEB192" s="23"/>
      <c r="JEC192" s="23"/>
      <c r="JED192" s="23"/>
      <c r="JEE192" s="24"/>
      <c r="JEF192" s="23"/>
      <c r="JEG192" s="23"/>
      <c r="JEH192" s="23"/>
      <c r="JEI192" s="1"/>
      <c r="JEJ192" s="1"/>
      <c r="JEK192" s="1"/>
      <c r="JEL192" s="25"/>
      <c r="JEO192" s="23"/>
      <c r="JEP192" s="23"/>
      <c r="JEQ192" s="23"/>
      <c r="JER192" s="23"/>
      <c r="JES192" s="23"/>
      <c r="JET192" s="23"/>
      <c r="JEU192" s="24"/>
      <c r="JEV192" s="23"/>
      <c r="JEW192" s="23"/>
      <c r="JEX192" s="23"/>
      <c r="JEY192" s="1"/>
      <c r="JEZ192" s="1"/>
      <c r="JFA192" s="1"/>
      <c r="JFB192" s="25"/>
      <c r="JFE192" s="23"/>
      <c r="JFF192" s="23"/>
      <c r="JFG192" s="23"/>
      <c r="JFH192" s="23"/>
      <c r="JFI192" s="23"/>
      <c r="JFJ192" s="23"/>
      <c r="JFK192" s="24"/>
      <c r="JFL192" s="23"/>
      <c r="JFM192" s="23"/>
      <c r="JFN192" s="23"/>
      <c r="JFO192" s="1"/>
      <c r="JFP192" s="1"/>
      <c r="JFQ192" s="1"/>
      <c r="JFR192" s="25"/>
      <c r="JFU192" s="23"/>
      <c r="JFV192" s="23"/>
      <c r="JFW192" s="23"/>
      <c r="JFX192" s="23"/>
      <c r="JFY192" s="23"/>
      <c r="JFZ192" s="23"/>
      <c r="JGA192" s="24"/>
      <c r="JGB192" s="23"/>
      <c r="JGC192" s="23"/>
      <c r="JGD192" s="23"/>
      <c r="JGE192" s="1"/>
      <c r="JGF192" s="1"/>
      <c r="JGG192" s="1"/>
      <c r="JGH192" s="25"/>
      <c r="JGK192" s="23"/>
      <c r="JGL192" s="23"/>
      <c r="JGM192" s="23"/>
      <c r="JGN192" s="23"/>
      <c r="JGO192" s="23"/>
      <c r="JGP192" s="23"/>
      <c r="JGQ192" s="24"/>
      <c r="JGR192" s="23"/>
      <c r="JGS192" s="23"/>
      <c r="JGT192" s="23"/>
      <c r="JGU192" s="1"/>
      <c r="JGV192" s="1"/>
      <c r="JGW192" s="1"/>
      <c r="JGX192" s="25"/>
      <c r="JHA192" s="23"/>
      <c r="JHB192" s="23"/>
      <c r="JHC192" s="23"/>
      <c r="JHD192" s="23"/>
      <c r="JHE192" s="23"/>
      <c r="JHF192" s="23"/>
      <c r="JHG192" s="24"/>
      <c r="JHH192" s="23"/>
      <c r="JHI192" s="23"/>
      <c r="JHJ192" s="23"/>
      <c r="JHK192" s="1"/>
      <c r="JHL192" s="1"/>
      <c r="JHM192" s="1"/>
      <c r="JHN192" s="25"/>
      <c r="JHQ192" s="23"/>
      <c r="JHR192" s="23"/>
      <c r="JHS192" s="23"/>
      <c r="JHT192" s="23"/>
      <c r="JHU192" s="23"/>
      <c r="JHV192" s="23"/>
      <c r="JHW192" s="24"/>
      <c r="JHX192" s="23"/>
      <c r="JHY192" s="23"/>
      <c r="JHZ192" s="23"/>
      <c r="JIA192" s="1"/>
      <c r="JIB192" s="1"/>
      <c r="JIC192" s="1"/>
      <c r="JID192" s="25"/>
      <c r="JIG192" s="23"/>
      <c r="JIH192" s="23"/>
      <c r="JII192" s="23"/>
      <c r="JIJ192" s="23"/>
      <c r="JIK192" s="23"/>
      <c r="JIL192" s="23"/>
      <c r="JIM192" s="24"/>
      <c r="JIN192" s="23"/>
      <c r="JIO192" s="23"/>
      <c r="JIP192" s="23"/>
      <c r="JIQ192" s="1"/>
      <c r="JIR192" s="1"/>
      <c r="JIS192" s="1"/>
      <c r="JIT192" s="25"/>
      <c r="JIW192" s="23"/>
      <c r="JIX192" s="23"/>
      <c r="JIY192" s="23"/>
      <c r="JIZ192" s="23"/>
      <c r="JJA192" s="23"/>
      <c r="JJB192" s="23"/>
      <c r="JJC192" s="24"/>
      <c r="JJD192" s="23"/>
      <c r="JJE192" s="23"/>
      <c r="JJF192" s="23"/>
      <c r="JJG192" s="1"/>
      <c r="JJH192" s="1"/>
      <c r="JJI192" s="1"/>
      <c r="JJJ192" s="25"/>
      <c r="JJM192" s="23"/>
      <c r="JJN192" s="23"/>
      <c r="JJO192" s="23"/>
      <c r="JJP192" s="23"/>
      <c r="JJQ192" s="23"/>
      <c r="JJR192" s="23"/>
      <c r="JJS192" s="24"/>
      <c r="JJT192" s="23"/>
      <c r="JJU192" s="23"/>
      <c r="JJV192" s="23"/>
      <c r="JJW192" s="1"/>
      <c r="JJX192" s="1"/>
      <c r="JJY192" s="1"/>
      <c r="JJZ192" s="25"/>
      <c r="JKC192" s="23"/>
      <c r="JKD192" s="23"/>
      <c r="JKE192" s="23"/>
      <c r="JKF192" s="23"/>
      <c r="JKG192" s="23"/>
      <c r="JKH192" s="23"/>
      <c r="JKI192" s="24"/>
      <c r="JKJ192" s="23"/>
      <c r="JKK192" s="23"/>
      <c r="JKL192" s="23"/>
      <c r="JKM192" s="1"/>
      <c r="JKN192" s="1"/>
      <c r="JKO192" s="1"/>
      <c r="JKP192" s="25"/>
      <c r="JKS192" s="23"/>
      <c r="JKT192" s="23"/>
      <c r="JKU192" s="23"/>
      <c r="JKV192" s="23"/>
      <c r="JKW192" s="23"/>
      <c r="JKX192" s="23"/>
      <c r="JKY192" s="24"/>
      <c r="JKZ192" s="23"/>
      <c r="JLA192" s="23"/>
      <c r="JLB192" s="23"/>
      <c r="JLC192" s="1"/>
      <c r="JLD192" s="1"/>
      <c r="JLE192" s="1"/>
      <c r="JLF192" s="25"/>
      <c r="JLI192" s="23"/>
      <c r="JLJ192" s="23"/>
      <c r="JLK192" s="23"/>
      <c r="JLL192" s="23"/>
      <c r="JLM192" s="23"/>
      <c r="JLN192" s="23"/>
      <c r="JLO192" s="24"/>
      <c r="JLP192" s="23"/>
      <c r="JLQ192" s="23"/>
      <c r="JLR192" s="23"/>
      <c r="JLS192" s="1"/>
      <c r="JLT192" s="1"/>
      <c r="JLU192" s="1"/>
      <c r="JLV192" s="25"/>
      <c r="JLY192" s="23"/>
      <c r="JLZ192" s="23"/>
      <c r="JMA192" s="23"/>
      <c r="JMB192" s="23"/>
      <c r="JMC192" s="23"/>
      <c r="JMD192" s="23"/>
      <c r="JME192" s="24"/>
      <c r="JMF192" s="23"/>
      <c r="JMG192" s="23"/>
      <c r="JMH192" s="23"/>
      <c r="JMI192" s="1"/>
      <c r="JMJ192" s="1"/>
      <c r="JMK192" s="1"/>
      <c r="JML192" s="25"/>
      <c r="JMO192" s="23"/>
      <c r="JMP192" s="23"/>
      <c r="JMQ192" s="23"/>
      <c r="JMR192" s="23"/>
      <c r="JMS192" s="23"/>
      <c r="JMT192" s="23"/>
      <c r="JMU192" s="24"/>
      <c r="JMV192" s="23"/>
      <c r="JMW192" s="23"/>
      <c r="JMX192" s="23"/>
      <c r="JMY192" s="1"/>
      <c r="JMZ192" s="1"/>
      <c r="JNA192" s="1"/>
      <c r="JNB192" s="25"/>
      <c r="JNE192" s="23"/>
      <c r="JNF192" s="23"/>
      <c r="JNG192" s="23"/>
      <c r="JNH192" s="23"/>
      <c r="JNI192" s="23"/>
      <c r="JNJ192" s="23"/>
      <c r="JNK192" s="24"/>
      <c r="JNL192" s="23"/>
      <c r="JNM192" s="23"/>
      <c r="JNN192" s="23"/>
      <c r="JNO192" s="1"/>
      <c r="JNP192" s="1"/>
      <c r="JNQ192" s="1"/>
      <c r="JNR192" s="25"/>
      <c r="JNU192" s="23"/>
      <c r="JNV192" s="23"/>
      <c r="JNW192" s="23"/>
      <c r="JNX192" s="23"/>
      <c r="JNY192" s="23"/>
      <c r="JNZ192" s="23"/>
      <c r="JOA192" s="24"/>
      <c r="JOB192" s="23"/>
      <c r="JOC192" s="23"/>
      <c r="JOD192" s="23"/>
      <c r="JOE192" s="1"/>
      <c r="JOF192" s="1"/>
      <c r="JOG192" s="1"/>
      <c r="JOH192" s="25"/>
      <c r="JOK192" s="23"/>
      <c r="JOL192" s="23"/>
      <c r="JOM192" s="23"/>
      <c r="JON192" s="23"/>
      <c r="JOO192" s="23"/>
      <c r="JOP192" s="23"/>
      <c r="JOQ192" s="24"/>
      <c r="JOR192" s="23"/>
      <c r="JOS192" s="23"/>
      <c r="JOT192" s="23"/>
      <c r="JOU192" s="1"/>
      <c r="JOV192" s="1"/>
      <c r="JOW192" s="1"/>
      <c r="JOX192" s="25"/>
      <c r="JPA192" s="23"/>
      <c r="JPB192" s="23"/>
      <c r="JPC192" s="23"/>
      <c r="JPD192" s="23"/>
      <c r="JPE192" s="23"/>
      <c r="JPF192" s="23"/>
      <c r="JPG192" s="24"/>
      <c r="JPH192" s="23"/>
      <c r="JPI192" s="23"/>
      <c r="JPJ192" s="23"/>
      <c r="JPK192" s="1"/>
      <c r="JPL192" s="1"/>
      <c r="JPM192" s="1"/>
      <c r="JPN192" s="25"/>
      <c r="JPQ192" s="23"/>
      <c r="JPR192" s="23"/>
      <c r="JPS192" s="23"/>
      <c r="JPT192" s="23"/>
      <c r="JPU192" s="23"/>
      <c r="JPV192" s="23"/>
      <c r="JPW192" s="24"/>
      <c r="JPX192" s="23"/>
      <c r="JPY192" s="23"/>
      <c r="JPZ192" s="23"/>
      <c r="JQA192" s="1"/>
      <c r="JQB192" s="1"/>
      <c r="JQC192" s="1"/>
      <c r="JQD192" s="25"/>
      <c r="JQG192" s="23"/>
      <c r="JQH192" s="23"/>
      <c r="JQI192" s="23"/>
      <c r="JQJ192" s="23"/>
      <c r="JQK192" s="23"/>
      <c r="JQL192" s="23"/>
      <c r="JQM192" s="24"/>
      <c r="JQN192" s="23"/>
      <c r="JQO192" s="23"/>
      <c r="JQP192" s="23"/>
      <c r="JQQ192" s="1"/>
      <c r="JQR192" s="1"/>
      <c r="JQS192" s="1"/>
      <c r="JQT192" s="25"/>
      <c r="JQW192" s="23"/>
      <c r="JQX192" s="23"/>
      <c r="JQY192" s="23"/>
      <c r="JQZ192" s="23"/>
      <c r="JRA192" s="23"/>
      <c r="JRB192" s="23"/>
      <c r="JRC192" s="24"/>
      <c r="JRD192" s="23"/>
      <c r="JRE192" s="23"/>
      <c r="JRF192" s="23"/>
      <c r="JRG192" s="1"/>
      <c r="JRH192" s="1"/>
      <c r="JRI192" s="1"/>
      <c r="JRJ192" s="25"/>
      <c r="JRM192" s="23"/>
      <c r="JRN192" s="23"/>
      <c r="JRO192" s="23"/>
      <c r="JRP192" s="23"/>
      <c r="JRQ192" s="23"/>
      <c r="JRR192" s="23"/>
      <c r="JRS192" s="24"/>
      <c r="JRT192" s="23"/>
      <c r="JRU192" s="23"/>
      <c r="JRV192" s="23"/>
      <c r="JRW192" s="1"/>
      <c r="JRX192" s="1"/>
      <c r="JRY192" s="1"/>
      <c r="JRZ192" s="25"/>
      <c r="JSC192" s="23"/>
      <c r="JSD192" s="23"/>
      <c r="JSE192" s="23"/>
      <c r="JSF192" s="23"/>
      <c r="JSG192" s="23"/>
      <c r="JSH192" s="23"/>
      <c r="JSI192" s="24"/>
      <c r="JSJ192" s="23"/>
      <c r="JSK192" s="23"/>
      <c r="JSL192" s="23"/>
      <c r="JSM192" s="1"/>
      <c r="JSN192" s="1"/>
      <c r="JSO192" s="1"/>
      <c r="JSP192" s="25"/>
      <c r="JSS192" s="23"/>
      <c r="JST192" s="23"/>
      <c r="JSU192" s="23"/>
      <c r="JSV192" s="23"/>
      <c r="JSW192" s="23"/>
      <c r="JSX192" s="23"/>
      <c r="JSY192" s="24"/>
      <c r="JSZ192" s="23"/>
      <c r="JTA192" s="23"/>
      <c r="JTB192" s="23"/>
      <c r="JTC192" s="1"/>
      <c r="JTD192" s="1"/>
      <c r="JTE192" s="1"/>
      <c r="JTF192" s="25"/>
      <c r="JTI192" s="23"/>
      <c r="JTJ192" s="23"/>
      <c r="JTK192" s="23"/>
      <c r="JTL192" s="23"/>
      <c r="JTM192" s="23"/>
      <c r="JTN192" s="23"/>
      <c r="JTO192" s="24"/>
      <c r="JTP192" s="23"/>
      <c r="JTQ192" s="23"/>
      <c r="JTR192" s="23"/>
      <c r="JTS192" s="1"/>
      <c r="JTT192" s="1"/>
      <c r="JTU192" s="1"/>
      <c r="JTV192" s="25"/>
      <c r="JTY192" s="23"/>
      <c r="JTZ192" s="23"/>
      <c r="JUA192" s="23"/>
      <c r="JUB192" s="23"/>
      <c r="JUC192" s="23"/>
      <c r="JUD192" s="23"/>
      <c r="JUE192" s="24"/>
      <c r="JUF192" s="23"/>
      <c r="JUG192" s="23"/>
      <c r="JUH192" s="23"/>
      <c r="JUI192" s="1"/>
      <c r="JUJ192" s="1"/>
      <c r="JUK192" s="1"/>
      <c r="JUL192" s="25"/>
      <c r="JUO192" s="23"/>
      <c r="JUP192" s="23"/>
      <c r="JUQ192" s="23"/>
      <c r="JUR192" s="23"/>
      <c r="JUS192" s="23"/>
      <c r="JUT192" s="23"/>
      <c r="JUU192" s="24"/>
      <c r="JUV192" s="23"/>
      <c r="JUW192" s="23"/>
      <c r="JUX192" s="23"/>
      <c r="JUY192" s="1"/>
      <c r="JUZ192" s="1"/>
      <c r="JVA192" s="1"/>
      <c r="JVB192" s="25"/>
      <c r="JVE192" s="23"/>
      <c r="JVF192" s="23"/>
      <c r="JVG192" s="23"/>
      <c r="JVH192" s="23"/>
      <c r="JVI192" s="23"/>
      <c r="JVJ192" s="23"/>
      <c r="JVK192" s="24"/>
      <c r="JVL192" s="23"/>
      <c r="JVM192" s="23"/>
      <c r="JVN192" s="23"/>
      <c r="JVO192" s="1"/>
      <c r="JVP192" s="1"/>
      <c r="JVQ192" s="1"/>
      <c r="JVR192" s="25"/>
      <c r="JVU192" s="23"/>
      <c r="JVV192" s="23"/>
      <c r="JVW192" s="23"/>
      <c r="JVX192" s="23"/>
      <c r="JVY192" s="23"/>
      <c r="JVZ192" s="23"/>
      <c r="JWA192" s="24"/>
      <c r="JWB192" s="23"/>
      <c r="JWC192" s="23"/>
      <c r="JWD192" s="23"/>
      <c r="JWE192" s="1"/>
      <c r="JWF192" s="1"/>
      <c r="JWG192" s="1"/>
      <c r="JWH192" s="25"/>
      <c r="JWK192" s="23"/>
      <c r="JWL192" s="23"/>
      <c r="JWM192" s="23"/>
      <c r="JWN192" s="23"/>
      <c r="JWO192" s="23"/>
      <c r="JWP192" s="23"/>
      <c r="JWQ192" s="24"/>
      <c r="JWR192" s="23"/>
      <c r="JWS192" s="23"/>
      <c r="JWT192" s="23"/>
      <c r="JWU192" s="1"/>
      <c r="JWV192" s="1"/>
      <c r="JWW192" s="1"/>
      <c r="JWX192" s="25"/>
      <c r="JXA192" s="23"/>
      <c r="JXB192" s="23"/>
      <c r="JXC192" s="23"/>
      <c r="JXD192" s="23"/>
      <c r="JXE192" s="23"/>
      <c r="JXF192" s="23"/>
      <c r="JXG192" s="24"/>
      <c r="JXH192" s="23"/>
      <c r="JXI192" s="23"/>
      <c r="JXJ192" s="23"/>
      <c r="JXK192" s="1"/>
      <c r="JXL192" s="1"/>
      <c r="JXM192" s="1"/>
      <c r="JXN192" s="25"/>
      <c r="JXQ192" s="23"/>
      <c r="JXR192" s="23"/>
      <c r="JXS192" s="23"/>
      <c r="JXT192" s="23"/>
      <c r="JXU192" s="23"/>
      <c r="JXV192" s="23"/>
      <c r="JXW192" s="24"/>
      <c r="JXX192" s="23"/>
      <c r="JXY192" s="23"/>
      <c r="JXZ192" s="23"/>
      <c r="JYA192" s="1"/>
      <c r="JYB192" s="1"/>
      <c r="JYC192" s="1"/>
      <c r="JYD192" s="25"/>
      <c r="JYG192" s="23"/>
      <c r="JYH192" s="23"/>
      <c r="JYI192" s="23"/>
      <c r="JYJ192" s="23"/>
      <c r="JYK192" s="23"/>
      <c r="JYL192" s="23"/>
      <c r="JYM192" s="24"/>
      <c r="JYN192" s="23"/>
      <c r="JYO192" s="23"/>
      <c r="JYP192" s="23"/>
      <c r="JYQ192" s="1"/>
      <c r="JYR192" s="1"/>
      <c r="JYS192" s="1"/>
      <c r="JYT192" s="25"/>
      <c r="JYW192" s="23"/>
      <c r="JYX192" s="23"/>
      <c r="JYY192" s="23"/>
      <c r="JYZ192" s="23"/>
      <c r="JZA192" s="23"/>
      <c r="JZB192" s="23"/>
      <c r="JZC192" s="24"/>
      <c r="JZD192" s="23"/>
      <c r="JZE192" s="23"/>
      <c r="JZF192" s="23"/>
      <c r="JZG192" s="1"/>
      <c r="JZH192" s="1"/>
      <c r="JZI192" s="1"/>
      <c r="JZJ192" s="25"/>
      <c r="JZM192" s="23"/>
      <c r="JZN192" s="23"/>
      <c r="JZO192" s="23"/>
      <c r="JZP192" s="23"/>
      <c r="JZQ192" s="23"/>
      <c r="JZR192" s="23"/>
      <c r="JZS192" s="24"/>
      <c r="JZT192" s="23"/>
      <c r="JZU192" s="23"/>
      <c r="JZV192" s="23"/>
      <c r="JZW192" s="1"/>
      <c r="JZX192" s="1"/>
      <c r="JZY192" s="1"/>
      <c r="JZZ192" s="25"/>
      <c r="KAC192" s="23"/>
      <c r="KAD192" s="23"/>
      <c r="KAE192" s="23"/>
      <c r="KAF192" s="23"/>
      <c r="KAG192" s="23"/>
      <c r="KAH192" s="23"/>
      <c r="KAI192" s="24"/>
      <c r="KAJ192" s="23"/>
      <c r="KAK192" s="23"/>
      <c r="KAL192" s="23"/>
      <c r="KAM192" s="1"/>
      <c r="KAN192" s="1"/>
      <c r="KAO192" s="1"/>
      <c r="KAP192" s="25"/>
      <c r="KAS192" s="23"/>
      <c r="KAT192" s="23"/>
      <c r="KAU192" s="23"/>
      <c r="KAV192" s="23"/>
      <c r="KAW192" s="23"/>
      <c r="KAX192" s="23"/>
      <c r="KAY192" s="24"/>
      <c r="KAZ192" s="23"/>
      <c r="KBA192" s="23"/>
      <c r="KBB192" s="23"/>
      <c r="KBC192" s="1"/>
      <c r="KBD192" s="1"/>
      <c r="KBE192" s="1"/>
      <c r="KBF192" s="25"/>
      <c r="KBI192" s="23"/>
      <c r="KBJ192" s="23"/>
      <c r="KBK192" s="23"/>
      <c r="KBL192" s="23"/>
      <c r="KBM192" s="23"/>
      <c r="KBN192" s="23"/>
      <c r="KBO192" s="24"/>
      <c r="KBP192" s="23"/>
      <c r="KBQ192" s="23"/>
      <c r="KBR192" s="23"/>
      <c r="KBS192" s="1"/>
      <c r="KBT192" s="1"/>
      <c r="KBU192" s="1"/>
      <c r="KBV192" s="25"/>
      <c r="KBY192" s="23"/>
      <c r="KBZ192" s="23"/>
      <c r="KCA192" s="23"/>
      <c r="KCB192" s="23"/>
      <c r="KCC192" s="23"/>
      <c r="KCD192" s="23"/>
      <c r="KCE192" s="24"/>
      <c r="KCF192" s="23"/>
      <c r="KCG192" s="23"/>
      <c r="KCH192" s="23"/>
      <c r="KCI192" s="1"/>
      <c r="KCJ192" s="1"/>
      <c r="KCK192" s="1"/>
      <c r="KCL192" s="25"/>
      <c r="KCO192" s="23"/>
      <c r="KCP192" s="23"/>
      <c r="KCQ192" s="23"/>
      <c r="KCR192" s="23"/>
      <c r="KCS192" s="23"/>
      <c r="KCT192" s="23"/>
      <c r="KCU192" s="24"/>
      <c r="KCV192" s="23"/>
      <c r="KCW192" s="23"/>
      <c r="KCX192" s="23"/>
      <c r="KCY192" s="1"/>
      <c r="KCZ192" s="1"/>
      <c r="KDA192" s="1"/>
      <c r="KDB192" s="25"/>
      <c r="KDE192" s="23"/>
      <c r="KDF192" s="23"/>
      <c r="KDG192" s="23"/>
      <c r="KDH192" s="23"/>
      <c r="KDI192" s="23"/>
      <c r="KDJ192" s="23"/>
      <c r="KDK192" s="24"/>
      <c r="KDL192" s="23"/>
      <c r="KDM192" s="23"/>
      <c r="KDN192" s="23"/>
      <c r="KDO192" s="1"/>
      <c r="KDP192" s="1"/>
      <c r="KDQ192" s="1"/>
      <c r="KDR192" s="25"/>
      <c r="KDU192" s="23"/>
      <c r="KDV192" s="23"/>
      <c r="KDW192" s="23"/>
      <c r="KDX192" s="23"/>
      <c r="KDY192" s="23"/>
      <c r="KDZ192" s="23"/>
      <c r="KEA192" s="24"/>
      <c r="KEB192" s="23"/>
      <c r="KEC192" s="23"/>
      <c r="KED192" s="23"/>
      <c r="KEE192" s="1"/>
      <c r="KEF192" s="1"/>
      <c r="KEG192" s="1"/>
      <c r="KEH192" s="25"/>
      <c r="KEK192" s="23"/>
      <c r="KEL192" s="23"/>
      <c r="KEM192" s="23"/>
      <c r="KEN192" s="23"/>
      <c r="KEO192" s="23"/>
      <c r="KEP192" s="23"/>
      <c r="KEQ192" s="24"/>
      <c r="KER192" s="23"/>
      <c r="KES192" s="23"/>
      <c r="KET192" s="23"/>
      <c r="KEU192" s="1"/>
      <c r="KEV192" s="1"/>
      <c r="KEW192" s="1"/>
      <c r="KEX192" s="25"/>
      <c r="KFA192" s="23"/>
      <c r="KFB192" s="23"/>
      <c r="KFC192" s="23"/>
      <c r="KFD192" s="23"/>
      <c r="KFE192" s="23"/>
      <c r="KFF192" s="23"/>
      <c r="KFG192" s="24"/>
      <c r="KFH192" s="23"/>
      <c r="KFI192" s="23"/>
      <c r="KFJ192" s="23"/>
      <c r="KFK192" s="1"/>
      <c r="KFL192" s="1"/>
      <c r="KFM192" s="1"/>
      <c r="KFN192" s="25"/>
      <c r="KFQ192" s="23"/>
      <c r="KFR192" s="23"/>
      <c r="KFS192" s="23"/>
      <c r="KFT192" s="23"/>
      <c r="KFU192" s="23"/>
      <c r="KFV192" s="23"/>
      <c r="KFW192" s="24"/>
      <c r="KFX192" s="23"/>
      <c r="KFY192" s="23"/>
      <c r="KFZ192" s="23"/>
      <c r="KGA192" s="1"/>
      <c r="KGB192" s="1"/>
      <c r="KGC192" s="1"/>
      <c r="KGD192" s="25"/>
      <c r="KGG192" s="23"/>
      <c r="KGH192" s="23"/>
      <c r="KGI192" s="23"/>
      <c r="KGJ192" s="23"/>
      <c r="KGK192" s="23"/>
      <c r="KGL192" s="23"/>
      <c r="KGM192" s="24"/>
      <c r="KGN192" s="23"/>
      <c r="KGO192" s="23"/>
      <c r="KGP192" s="23"/>
      <c r="KGQ192" s="1"/>
      <c r="KGR192" s="1"/>
      <c r="KGS192" s="1"/>
      <c r="KGT192" s="25"/>
      <c r="KGW192" s="23"/>
      <c r="KGX192" s="23"/>
      <c r="KGY192" s="23"/>
      <c r="KGZ192" s="23"/>
      <c r="KHA192" s="23"/>
      <c r="KHB192" s="23"/>
      <c r="KHC192" s="24"/>
      <c r="KHD192" s="23"/>
      <c r="KHE192" s="23"/>
      <c r="KHF192" s="23"/>
      <c r="KHG192" s="1"/>
      <c r="KHH192" s="1"/>
      <c r="KHI192" s="1"/>
      <c r="KHJ192" s="25"/>
      <c r="KHM192" s="23"/>
      <c r="KHN192" s="23"/>
      <c r="KHO192" s="23"/>
      <c r="KHP192" s="23"/>
      <c r="KHQ192" s="23"/>
      <c r="KHR192" s="23"/>
      <c r="KHS192" s="24"/>
      <c r="KHT192" s="23"/>
      <c r="KHU192" s="23"/>
      <c r="KHV192" s="23"/>
      <c r="KHW192" s="1"/>
      <c r="KHX192" s="1"/>
      <c r="KHY192" s="1"/>
      <c r="KHZ192" s="25"/>
      <c r="KIC192" s="23"/>
      <c r="KID192" s="23"/>
      <c r="KIE192" s="23"/>
      <c r="KIF192" s="23"/>
      <c r="KIG192" s="23"/>
      <c r="KIH192" s="23"/>
      <c r="KII192" s="24"/>
      <c r="KIJ192" s="23"/>
      <c r="KIK192" s="23"/>
      <c r="KIL192" s="23"/>
      <c r="KIM192" s="1"/>
      <c r="KIN192" s="1"/>
      <c r="KIO192" s="1"/>
      <c r="KIP192" s="25"/>
      <c r="KIS192" s="23"/>
      <c r="KIT192" s="23"/>
      <c r="KIU192" s="23"/>
      <c r="KIV192" s="23"/>
      <c r="KIW192" s="23"/>
      <c r="KIX192" s="23"/>
      <c r="KIY192" s="24"/>
      <c r="KIZ192" s="23"/>
      <c r="KJA192" s="23"/>
      <c r="KJB192" s="23"/>
      <c r="KJC192" s="1"/>
      <c r="KJD192" s="1"/>
      <c r="KJE192" s="1"/>
      <c r="KJF192" s="25"/>
      <c r="KJI192" s="23"/>
      <c r="KJJ192" s="23"/>
      <c r="KJK192" s="23"/>
      <c r="KJL192" s="23"/>
      <c r="KJM192" s="23"/>
      <c r="KJN192" s="23"/>
      <c r="KJO192" s="24"/>
      <c r="KJP192" s="23"/>
      <c r="KJQ192" s="23"/>
      <c r="KJR192" s="23"/>
      <c r="KJS192" s="1"/>
      <c r="KJT192" s="1"/>
      <c r="KJU192" s="1"/>
      <c r="KJV192" s="25"/>
      <c r="KJY192" s="23"/>
      <c r="KJZ192" s="23"/>
      <c r="KKA192" s="23"/>
      <c r="KKB192" s="23"/>
      <c r="KKC192" s="23"/>
      <c r="KKD192" s="23"/>
      <c r="KKE192" s="24"/>
      <c r="KKF192" s="23"/>
      <c r="KKG192" s="23"/>
      <c r="KKH192" s="23"/>
      <c r="KKI192" s="1"/>
      <c r="KKJ192" s="1"/>
      <c r="KKK192" s="1"/>
      <c r="KKL192" s="25"/>
      <c r="KKO192" s="23"/>
      <c r="KKP192" s="23"/>
      <c r="KKQ192" s="23"/>
      <c r="KKR192" s="23"/>
      <c r="KKS192" s="23"/>
      <c r="KKT192" s="23"/>
      <c r="KKU192" s="24"/>
      <c r="KKV192" s="23"/>
      <c r="KKW192" s="23"/>
      <c r="KKX192" s="23"/>
      <c r="KKY192" s="1"/>
      <c r="KKZ192" s="1"/>
      <c r="KLA192" s="1"/>
      <c r="KLB192" s="25"/>
      <c r="KLE192" s="23"/>
      <c r="KLF192" s="23"/>
      <c r="KLG192" s="23"/>
      <c r="KLH192" s="23"/>
      <c r="KLI192" s="23"/>
      <c r="KLJ192" s="23"/>
      <c r="KLK192" s="24"/>
      <c r="KLL192" s="23"/>
      <c r="KLM192" s="23"/>
      <c r="KLN192" s="23"/>
      <c r="KLO192" s="1"/>
      <c r="KLP192" s="1"/>
      <c r="KLQ192" s="1"/>
      <c r="KLR192" s="25"/>
      <c r="KLU192" s="23"/>
      <c r="KLV192" s="23"/>
      <c r="KLW192" s="23"/>
      <c r="KLX192" s="23"/>
      <c r="KLY192" s="23"/>
      <c r="KLZ192" s="23"/>
      <c r="KMA192" s="24"/>
      <c r="KMB192" s="23"/>
      <c r="KMC192" s="23"/>
      <c r="KMD192" s="23"/>
      <c r="KME192" s="1"/>
      <c r="KMF192" s="1"/>
      <c r="KMG192" s="1"/>
      <c r="KMH192" s="25"/>
      <c r="KMK192" s="23"/>
      <c r="KML192" s="23"/>
      <c r="KMM192" s="23"/>
      <c r="KMN192" s="23"/>
      <c r="KMO192" s="23"/>
      <c r="KMP192" s="23"/>
      <c r="KMQ192" s="24"/>
      <c r="KMR192" s="23"/>
      <c r="KMS192" s="23"/>
      <c r="KMT192" s="23"/>
      <c r="KMU192" s="1"/>
      <c r="KMV192" s="1"/>
      <c r="KMW192" s="1"/>
      <c r="KMX192" s="25"/>
      <c r="KNA192" s="23"/>
      <c r="KNB192" s="23"/>
      <c r="KNC192" s="23"/>
      <c r="KND192" s="23"/>
      <c r="KNE192" s="23"/>
      <c r="KNF192" s="23"/>
      <c r="KNG192" s="24"/>
      <c r="KNH192" s="23"/>
      <c r="KNI192" s="23"/>
      <c r="KNJ192" s="23"/>
      <c r="KNK192" s="1"/>
      <c r="KNL192" s="1"/>
      <c r="KNM192" s="1"/>
      <c r="KNN192" s="25"/>
      <c r="KNQ192" s="23"/>
      <c r="KNR192" s="23"/>
      <c r="KNS192" s="23"/>
      <c r="KNT192" s="23"/>
      <c r="KNU192" s="23"/>
      <c r="KNV192" s="23"/>
      <c r="KNW192" s="24"/>
      <c r="KNX192" s="23"/>
      <c r="KNY192" s="23"/>
      <c r="KNZ192" s="23"/>
      <c r="KOA192" s="1"/>
      <c r="KOB192" s="1"/>
      <c r="KOC192" s="1"/>
      <c r="KOD192" s="25"/>
      <c r="KOG192" s="23"/>
      <c r="KOH192" s="23"/>
      <c r="KOI192" s="23"/>
      <c r="KOJ192" s="23"/>
      <c r="KOK192" s="23"/>
      <c r="KOL192" s="23"/>
      <c r="KOM192" s="24"/>
      <c r="KON192" s="23"/>
      <c r="KOO192" s="23"/>
      <c r="KOP192" s="23"/>
      <c r="KOQ192" s="1"/>
      <c r="KOR192" s="1"/>
      <c r="KOS192" s="1"/>
      <c r="KOT192" s="25"/>
      <c r="KOW192" s="23"/>
      <c r="KOX192" s="23"/>
      <c r="KOY192" s="23"/>
      <c r="KOZ192" s="23"/>
      <c r="KPA192" s="23"/>
      <c r="KPB192" s="23"/>
      <c r="KPC192" s="24"/>
      <c r="KPD192" s="23"/>
      <c r="KPE192" s="23"/>
      <c r="KPF192" s="23"/>
      <c r="KPG192" s="1"/>
      <c r="KPH192" s="1"/>
      <c r="KPI192" s="1"/>
      <c r="KPJ192" s="25"/>
      <c r="KPM192" s="23"/>
      <c r="KPN192" s="23"/>
      <c r="KPO192" s="23"/>
      <c r="KPP192" s="23"/>
      <c r="KPQ192" s="23"/>
      <c r="KPR192" s="23"/>
      <c r="KPS192" s="24"/>
      <c r="KPT192" s="23"/>
      <c r="KPU192" s="23"/>
      <c r="KPV192" s="23"/>
      <c r="KPW192" s="1"/>
      <c r="KPX192" s="1"/>
      <c r="KPY192" s="1"/>
      <c r="KPZ192" s="25"/>
      <c r="KQC192" s="23"/>
      <c r="KQD192" s="23"/>
      <c r="KQE192" s="23"/>
      <c r="KQF192" s="23"/>
      <c r="KQG192" s="23"/>
      <c r="KQH192" s="23"/>
      <c r="KQI192" s="24"/>
      <c r="KQJ192" s="23"/>
      <c r="KQK192" s="23"/>
      <c r="KQL192" s="23"/>
      <c r="KQM192" s="1"/>
      <c r="KQN192" s="1"/>
      <c r="KQO192" s="1"/>
      <c r="KQP192" s="25"/>
      <c r="KQS192" s="23"/>
      <c r="KQT192" s="23"/>
      <c r="KQU192" s="23"/>
      <c r="KQV192" s="23"/>
      <c r="KQW192" s="23"/>
      <c r="KQX192" s="23"/>
      <c r="KQY192" s="24"/>
      <c r="KQZ192" s="23"/>
      <c r="KRA192" s="23"/>
      <c r="KRB192" s="23"/>
      <c r="KRC192" s="1"/>
      <c r="KRD192" s="1"/>
      <c r="KRE192" s="1"/>
      <c r="KRF192" s="25"/>
      <c r="KRI192" s="23"/>
      <c r="KRJ192" s="23"/>
      <c r="KRK192" s="23"/>
      <c r="KRL192" s="23"/>
      <c r="KRM192" s="23"/>
      <c r="KRN192" s="23"/>
      <c r="KRO192" s="24"/>
      <c r="KRP192" s="23"/>
      <c r="KRQ192" s="23"/>
      <c r="KRR192" s="23"/>
      <c r="KRS192" s="1"/>
      <c r="KRT192" s="1"/>
      <c r="KRU192" s="1"/>
      <c r="KRV192" s="25"/>
      <c r="KRY192" s="23"/>
      <c r="KRZ192" s="23"/>
      <c r="KSA192" s="23"/>
      <c r="KSB192" s="23"/>
      <c r="KSC192" s="23"/>
      <c r="KSD192" s="23"/>
      <c r="KSE192" s="24"/>
      <c r="KSF192" s="23"/>
      <c r="KSG192" s="23"/>
      <c r="KSH192" s="23"/>
      <c r="KSI192" s="1"/>
      <c r="KSJ192" s="1"/>
      <c r="KSK192" s="1"/>
      <c r="KSL192" s="25"/>
      <c r="KSO192" s="23"/>
      <c r="KSP192" s="23"/>
      <c r="KSQ192" s="23"/>
      <c r="KSR192" s="23"/>
      <c r="KSS192" s="23"/>
      <c r="KST192" s="23"/>
      <c r="KSU192" s="24"/>
      <c r="KSV192" s="23"/>
      <c r="KSW192" s="23"/>
      <c r="KSX192" s="23"/>
      <c r="KSY192" s="1"/>
      <c r="KSZ192" s="1"/>
      <c r="KTA192" s="1"/>
      <c r="KTB192" s="25"/>
      <c r="KTE192" s="23"/>
      <c r="KTF192" s="23"/>
      <c r="KTG192" s="23"/>
      <c r="KTH192" s="23"/>
      <c r="KTI192" s="23"/>
      <c r="KTJ192" s="23"/>
      <c r="KTK192" s="24"/>
      <c r="KTL192" s="23"/>
      <c r="KTM192" s="23"/>
      <c r="KTN192" s="23"/>
      <c r="KTO192" s="1"/>
      <c r="KTP192" s="1"/>
      <c r="KTQ192" s="1"/>
      <c r="KTR192" s="25"/>
      <c r="KTU192" s="23"/>
      <c r="KTV192" s="23"/>
      <c r="KTW192" s="23"/>
      <c r="KTX192" s="23"/>
      <c r="KTY192" s="23"/>
      <c r="KTZ192" s="23"/>
      <c r="KUA192" s="24"/>
      <c r="KUB192" s="23"/>
      <c r="KUC192" s="23"/>
      <c r="KUD192" s="23"/>
      <c r="KUE192" s="1"/>
      <c r="KUF192" s="1"/>
      <c r="KUG192" s="1"/>
      <c r="KUH192" s="25"/>
      <c r="KUK192" s="23"/>
      <c r="KUL192" s="23"/>
      <c r="KUM192" s="23"/>
      <c r="KUN192" s="23"/>
      <c r="KUO192" s="23"/>
      <c r="KUP192" s="23"/>
      <c r="KUQ192" s="24"/>
      <c r="KUR192" s="23"/>
      <c r="KUS192" s="23"/>
      <c r="KUT192" s="23"/>
      <c r="KUU192" s="1"/>
      <c r="KUV192" s="1"/>
      <c r="KUW192" s="1"/>
      <c r="KUX192" s="25"/>
      <c r="KVA192" s="23"/>
      <c r="KVB192" s="23"/>
      <c r="KVC192" s="23"/>
      <c r="KVD192" s="23"/>
      <c r="KVE192" s="23"/>
      <c r="KVF192" s="23"/>
      <c r="KVG192" s="24"/>
      <c r="KVH192" s="23"/>
      <c r="KVI192" s="23"/>
      <c r="KVJ192" s="23"/>
      <c r="KVK192" s="1"/>
      <c r="KVL192" s="1"/>
      <c r="KVM192" s="1"/>
      <c r="KVN192" s="25"/>
      <c r="KVQ192" s="23"/>
      <c r="KVR192" s="23"/>
      <c r="KVS192" s="23"/>
      <c r="KVT192" s="23"/>
      <c r="KVU192" s="23"/>
      <c r="KVV192" s="23"/>
      <c r="KVW192" s="24"/>
      <c r="KVX192" s="23"/>
      <c r="KVY192" s="23"/>
      <c r="KVZ192" s="23"/>
      <c r="KWA192" s="1"/>
      <c r="KWB192" s="1"/>
      <c r="KWC192" s="1"/>
      <c r="KWD192" s="25"/>
      <c r="KWG192" s="23"/>
      <c r="KWH192" s="23"/>
      <c r="KWI192" s="23"/>
      <c r="KWJ192" s="23"/>
      <c r="KWK192" s="23"/>
      <c r="KWL192" s="23"/>
      <c r="KWM192" s="24"/>
      <c r="KWN192" s="23"/>
      <c r="KWO192" s="23"/>
      <c r="KWP192" s="23"/>
      <c r="KWQ192" s="1"/>
      <c r="KWR192" s="1"/>
      <c r="KWS192" s="1"/>
      <c r="KWT192" s="25"/>
      <c r="KWW192" s="23"/>
      <c r="KWX192" s="23"/>
      <c r="KWY192" s="23"/>
      <c r="KWZ192" s="23"/>
      <c r="KXA192" s="23"/>
      <c r="KXB192" s="23"/>
      <c r="KXC192" s="24"/>
      <c r="KXD192" s="23"/>
      <c r="KXE192" s="23"/>
      <c r="KXF192" s="23"/>
      <c r="KXG192" s="1"/>
      <c r="KXH192" s="1"/>
      <c r="KXI192" s="1"/>
      <c r="KXJ192" s="25"/>
      <c r="KXM192" s="23"/>
      <c r="KXN192" s="23"/>
      <c r="KXO192" s="23"/>
      <c r="KXP192" s="23"/>
      <c r="KXQ192" s="23"/>
      <c r="KXR192" s="23"/>
      <c r="KXS192" s="24"/>
      <c r="KXT192" s="23"/>
      <c r="KXU192" s="23"/>
      <c r="KXV192" s="23"/>
      <c r="KXW192" s="1"/>
      <c r="KXX192" s="1"/>
      <c r="KXY192" s="1"/>
      <c r="KXZ192" s="25"/>
      <c r="KYC192" s="23"/>
      <c r="KYD192" s="23"/>
      <c r="KYE192" s="23"/>
      <c r="KYF192" s="23"/>
      <c r="KYG192" s="23"/>
      <c r="KYH192" s="23"/>
      <c r="KYI192" s="24"/>
      <c r="KYJ192" s="23"/>
      <c r="KYK192" s="23"/>
      <c r="KYL192" s="23"/>
      <c r="KYM192" s="1"/>
      <c r="KYN192" s="1"/>
      <c r="KYO192" s="1"/>
      <c r="KYP192" s="25"/>
      <c r="KYS192" s="23"/>
      <c r="KYT192" s="23"/>
      <c r="KYU192" s="23"/>
      <c r="KYV192" s="23"/>
      <c r="KYW192" s="23"/>
      <c r="KYX192" s="23"/>
      <c r="KYY192" s="24"/>
      <c r="KYZ192" s="23"/>
      <c r="KZA192" s="23"/>
      <c r="KZB192" s="23"/>
      <c r="KZC192" s="1"/>
      <c r="KZD192" s="1"/>
      <c r="KZE192" s="1"/>
      <c r="KZF192" s="25"/>
      <c r="KZI192" s="23"/>
      <c r="KZJ192" s="23"/>
      <c r="KZK192" s="23"/>
      <c r="KZL192" s="23"/>
      <c r="KZM192" s="23"/>
      <c r="KZN192" s="23"/>
      <c r="KZO192" s="24"/>
      <c r="KZP192" s="23"/>
      <c r="KZQ192" s="23"/>
      <c r="KZR192" s="23"/>
      <c r="KZS192" s="1"/>
      <c r="KZT192" s="1"/>
      <c r="KZU192" s="1"/>
      <c r="KZV192" s="25"/>
      <c r="KZY192" s="23"/>
      <c r="KZZ192" s="23"/>
      <c r="LAA192" s="23"/>
      <c r="LAB192" s="23"/>
      <c r="LAC192" s="23"/>
      <c r="LAD192" s="23"/>
      <c r="LAE192" s="24"/>
      <c r="LAF192" s="23"/>
      <c r="LAG192" s="23"/>
      <c r="LAH192" s="23"/>
      <c r="LAI192" s="1"/>
      <c r="LAJ192" s="1"/>
      <c r="LAK192" s="1"/>
      <c r="LAL192" s="25"/>
      <c r="LAO192" s="23"/>
      <c r="LAP192" s="23"/>
      <c r="LAQ192" s="23"/>
      <c r="LAR192" s="23"/>
      <c r="LAS192" s="23"/>
      <c r="LAT192" s="23"/>
      <c r="LAU192" s="24"/>
      <c r="LAV192" s="23"/>
      <c r="LAW192" s="23"/>
      <c r="LAX192" s="23"/>
      <c r="LAY192" s="1"/>
      <c r="LAZ192" s="1"/>
      <c r="LBA192" s="1"/>
      <c r="LBB192" s="25"/>
      <c r="LBE192" s="23"/>
      <c r="LBF192" s="23"/>
      <c r="LBG192" s="23"/>
      <c r="LBH192" s="23"/>
      <c r="LBI192" s="23"/>
      <c r="LBJ192" s="23"/>
      <c r="LBK192" s="24"/>
      <c r="LBL192" s="23"/>
      <c r="LBM192" s="23"/>
      <c r="LBN192" s="23"/>
      <c r="LBO192" s="1"/>
      <c r="LBP192" s="1"/>
      <c r="LBQ192" s="1"/>
      <c r="LBR192" s="25"/>
      <c r="LBU192" s="23"/>
      <c r="LBV192" s="23"/>
      <c r="LBW192" s="23"/>
      <c r="LBX192" s="23"/>
      <c r="LBY192" s="23"/>
      <c r="LBZ192" s="23"/>
      <c r="LCA192" s="24"/>
      <c r="LCB192" s="23"/>
      <c r="LCC192" s="23"/>
      <c r="LCD192" s="23"/>
      <c r="LCE192" s="1"/>
      <c r="LCF192" s="1"/>
      <c r="LCG192" s="1"/>
      <c r="LCH192" s="25"/>
      <c r="LCK192" s="23"/>
      <c r="LCL192" s="23"/>
      <c r="LCM192" s="23"/>
      <c r="LCN192" s="23"/>
      <c r="LCO192" s="23"/>
      <c r="LCP192" s="23"/>
      <c r="LCQ192" s="24"/>
      <c r="LCR192" s="23"/>
      <c r="LCS192" s="23"/>
      <c r="LCT192" s="23"/>
      <c r="LCU192" s="1"/>
      <c r="LCV192" s="1"/>
      <c r="LCW192" s="1"/>
      <c r="LCX192" s="25"/>
      <c r="LDA192" s="23"/>
      <c r="LDB192" s="23"/>
      <c r="LDC192" s="23"/>
      <c r="LDD192" s="23"/>
      <c r="LDE192" s="23"/>
      <c r="LDF192" s="23"/>
      <c r="LDG192" s="24"/>
      <c r="LDH192" s="23"/>
      <c r="LDI192" s="23"/>
      <c r="LDJ192" s="23"/>
      <c r="LDK192" s="1"/>
      <c r="LDL192" s="1"/>
      <c r="LDM192" s="1"/>
      <c r="LDN192" s="25"/>
      <c r="LDQ192" s="23"/>
      <c r="LDR192" s="23"/>
      <c r="LDS192" s="23"/>
      <c r="LDT192" s="23"/>
      <c r="LDU192" s="23"/>
      <c r="LDV192" s="23"/>
      <c r="LDW192" s="24"/>
      <c r="LDX192" s="23"/>
      <c r="LDY192" s="23"/>
      <c r="LDZ192" s="23"/>
      <c r="LEA192" s="1"/>
      <c r="LEB192" s="1"/>
      <c r="LEC192" s="1"/>
      <c r="LED192" s="25"/>
      <c r="LEG192" s="23"/>
      <c r="LEH192" s="23"/>
      <c r="LEI192" s="23"/>
      <c r="LEJ192" s="23"/>
      <c r="LEK192" s="23"/>
      <c r="LEL192" s="23"/>
      <c r="LEM192" s="24"/>
      <c r="LEN192" s="23"/>
      <c r="LEO192" s="23"/>
      <c r="LEP192" s="23"/>
      <c r="LEQ192" s="1"/>
      <c r="LER192" s="1"/>
      <c r="LES192" s="1"/>
      <c r="LET192" s="25"/>
      <c r="LEW192" s="23"/>
      <c r="LEX192" s="23"/>
      <c r="LEY192" s="23"/>
      <c r="LEZ192" s="23"/>
      <c r="LFA192" s="23"/>
      <c r="LFB192" s="23"/>
      <c r="LFC192" s="24"/>
      <c r="LFD192" s="23"/>
      <c r="LFE192" s="23"/>
      <c r="LFF192" s="23"/>
      <c r="LFG192" s="1"/>
      <c r="LFH192" s="1"/>
      <c r="LFI192" s="1"/>
      <c r="LFJ192" s="25"/>
      <c r="LFM192" s="23"/>
      <c r="LFN192" s="23"/>
      <c r="LFO192" s="23"/>
      <c r="LFP192" s="23"/>
      <c r="LFQ192" s="23"/>
      <c r="LFR192" s="23"/>
      <c r="LFS192" s="24"/>
      <c r="LFT192" s="23"/>
      <c r="LFU192" s="23"/>
      <c r="LFV192" s="23"/>
      <c r="LFW192" s="1"/>
      <c r="LFX192" s="1"/>
      <c r="LFY192" s="1"/>
      <c r="LFZ192" s="25"/>
      <c r="LGC192" s="23"/>
      <c r="LGD192" s="23"/>
      <c r="LGE192" s="23"/>
      <c r="LGF192" s="23"/>
      <c r="LGG192" s="23"/>
      <c r="LGH192" s="23"/>
      <c r="LGI192" s="24"/>
      <c r="LGJ192" s="23"/>
      <c r="LGK192" s="23"/>
      <c r="LGL192" s="23"/>
      <c r="LGM192" s="1"/>
      <c r="LGN192" s="1"/>
      <c r="LGO192" s="1"/>
      <c r="LGP192" s="25"/>
      <c r="LGS192" s="23"/>
      <c r="LGT192" s="23"/>
      <c r="LGU192" s="23"/>
      <c r="LGV192" s="23"/>
      <c r="LGW192" s="23"/>
      <c r="LGX192" s="23"/>
      <c r="LGY192" s="24"/>
      <c r="LGZ192" s="23"/>
      <c r="LHA192" s="23"/>
      <c r="LHB192" s="23"/>
      <c r="LHC192" s="1"/>
      <c r="LHD192" s="1"/>
      <c r="LHE192" s="1"/>
      <c r="LHF192" s="25"/>
      <c r="LHI192" s="23"/>
      <c r="LHJ192" s="23"/>
      <c r="LHK192" s="23"/>
      <c r="LHL192" s="23"/>
      <c r="LHM192" s="23"/>
      <c r="LHN192" s="23"/>
      <c r="LHO192" s="24"/>
      <c r="LHP192" s="23"/>
      <c r="LHQ192" s="23"/>
      <c r="LHR192" s="23"/>
      <c r="LHS192" s="1"/>
      <c r="LHT192" s="1"/>
      <c r="LHU192" s="1"/>
      <c r="LHV192" s="25"/>
      <c r="LHY192" s="23"/>
      <c r="LHZ192" s="23"/>
      <c r="LIA192" s="23"/>
      <c r="LIB192" s="23"/>
      <c r="LIC192" s="23"/>
      <c r="LID192" s="23"/>
      <c r="LIE192" s="24"/>
      <c r="LIF192" s="23"/>
      <c r="LIG192" s="23"/>
      <c r="LIH192" s="23"/>
      <c r="LII192" s="1"/>
      <c r="LIJ192" s="1"/>
      <c r="LIK192" s="1"/>
      <c r="LIL192" s="25"/>
      <c r="LIO192" s="23"/>
      <c r="LIP192" s="23"/>
      <c r="LIQ192" s="23"/>
      <c r="LIR192" s="23"/>
      <c r="LIS192" s="23"/>
      <c r="LIT192" s="23"/>
      <c r="LIU192" s="24"/>
      <c r="LIV192" s="23"/>
      <c r="LIW192" s="23"/>
      <c r="LIX192" s="23"/>
      <c r="LIY192" s="1"/>
      <c r="LIZ192" s="1"/>
      <c r="LJA192" s="1"/>
      <c r="LJB192" s="25"/>
      <c r="LJE192" s="23"/>
      <c r="LJF192" s="23"/>
      <c r="LJG192" s="23"/>
      <c r="LJH192" s="23"/>
      <c r="LJI192" s="23"/>
      <c r="LJJ192" s="23"/>
      <c r="LJK192" s="24"/>
      <c r="LJL192" s="23"/>
      <c r="LJM192" s="23"/>
      <c r="LJN192" s="23"/>
      <c r="LJO192" s="1"/>
      <c r="LJP192" s="1"/>
      <c r="LJQ192" s="1"/>
      <c r="LJR192" s="25"/>
      <c r="LJU192" s="23"/>
      <c r="LJV192" s="23"/>
      <c r="LJW192" s="23"/>
      <c r="LJX192" s="23"/>
      <c r="LJY192" s="23"/>
      <c r="LJZ192" s="23"/>
      <c r="LKA192" s="24"/>
      <c r="LKB192" s="23"/>
      <c r="LKC192" s="23"/>
      <c r="LKD192" s="23"/>
      <c r="LKE192" s="1"/>
      <c r="LKF192" s="1"/>
      <c r="LKG192" s="1"/>
      <c r="LKH192" s="25"/>
      <c r="LKK192" s="23"/>
      <c r="LKL192" s="23"/>
      <c r="LKM192" s="23"/>
      <c r="LKN192" s="23"/>
      <c r="LKO192" s="23"/>
      <c r="LKP192" s="23"/>
      <c r="LKQ192" s="24"/>
      <c r="LKR192" s="23"/>
      <c r="LKS192" s="23"/>
      <c r="LKT192" s="23"/>
      <c r="LKU192" s="1"/>
      <c r="LKV192" s="1"/>
      <c r="LKW192" s="1"/>
      <c r="LKX192" s="25"/>
      <c r="LLA192" s="23"/>
      <c r="LLB192" s="23"/>
      <c r="LLC192" s="23"/>
      <c r="LLD192" s="23"/>
      <c r="LLE192" s="23"/>
      <c r="LLF192" s="23"/>
      <c r="LLG192" s="24"/>
      <c r="LLH192" s="23"/>
      <c r="LLI192" s="23"/>
      <c r="LLJ192" s="23"/>
      <c r="LLK192" s="1"/>
      <c r="LLL192" s="1"/>
      <c r="LLM192" s="1"/>
      <c r="LLN192" s="25"/>
      <c r="LLQ192" s="23"/>
      <c r="LLR192" s="23"/>
      <c r="LLS192" s="23"/>
      <c r="LLT192" s="23"/>
      <c r="LLU192" s="23"/>
      <c r="LLV192" s="23"/>
      <c r="LLW192" s="24"/>
      <c r="LLX192" s="23"/>
      <c r="LLY192" s="23"/>
      <c r="LLZ192" s="23"/>
      <c r="LMA192" s="1"/>
      <c r="LMB192" s="1"/>
      <c r="LMC192" s="1"/>
      <c r="LMD192" s="25"/>
      <c r="LMG192" s="23"/>
      <c r="LMH192" s="23"/>
      <c r="LMI192" s="23"/>
      <c r="LMJ192" s="23"/>
      <c r="LMK192" s="23"/>
      <c r="LML192" s="23"/>
      <c r="LMM192" s="24"/>
      <c r="LMN192" s="23"/>
      <c r="LMO192" s="23"/>
      <c r="LMP192" s="23"/>
      <c r="LMQ192" s="1"/>
      <c r="LMR192" s="1"/>
      <c r="LMS192" s="1"/>
      <c r="LMT192" s="25"/>
      <c r="LMW192" s="23"/>
      <c r="LMX192" s="23"/>
      <c r="LMY192" s="23"/>
      <c r="LMZ192" s="23"/>
      <c r="LNA192" s="23"/>
      <c r="LNB192" s="23"/>
      <c r="LNC192" s="24"/>
      <c r="LND192" s="23"/>
      <c r="LNE192" s="23"/>
      <c r="LNF192" s="23"/>
      <c r="LNG192" s="1"/>
      <c r="LNH192" s="1"/>
      <c r="LNI192" s="1"/>
      <c r="LNJ192" s="25"/>
      <c r="LNM192" s="23"/>
      <c r="LNN192" s="23"/>
      <c r="LNO192" s="23"/>
      <c r="LNP192" s="23"/>
      <c r="LNQ192" s="23"/>
      <c r="LNR192" s="23"/>
      <c r="LNS192" s="24"/>
      <c r="LNT192" s="23"/>
      <c r="LNU192" s="23"/>
      <c r="LNV192" s="23"/>
      <c r="LNW192" s="1"/>
      <c r="LNX192" s="1"/>
      <c r="LNY192" s="1"/>
      <c r="LNZ192" s="25"/>
      <c r="LOC192" s="23"/>
      <c r="LOD192" s="23"/>
      <c r="LOE192" s="23"/>
      <c r="LOF192" s="23"/>
      <c r="LOG192" s="23"/>
      <c r="LOH192" s="23"/>
      <c r="LOI192" s="24"/>
      <c r="LOJ192" s="23"/>
      <c r="LOK192" s="23"/>
      <c r="LOL192" s="23"/>
      <c r="LOM192" s="1"/>
      <c r="LON192" s="1"/>
      <c r="LOO192" s="1"/>
      <c r="LOP192" s="25"/>
      <c r="LOS192" s="23"/>
      <c r="LOT192" s="23"/>
      <c r="LOU192" s="23"/>
      <c r="LOV192" s="23"/>
      <c r="LOW192" s="23"/>
      <c r="LOX192" s="23"/>
      <c r="LOY192" s="24"/>
      <c r="LOZ192" s="23"/>
      <c r="LPA192" s="23"/>
      <c r="LPB192" s="23"/>
      <c r="LPC192" s="1"/>
      <c r="LPD192" s="1"/>
      <c r="LPE192" s="1"/>
      <c r="LPF192" s="25"/>
      <c r="LPI192" s="23"/>
      <c r="LPJ192" s="23"/>
      <c r="LPK192" s="23"/>
      <c r="LPL192" s="23"/>
      <c r="LPM192" s="23"/>
      <c r="LPN192" s="23"/>
      <c r="LPO192" s="24"/>
      <c r="LPP192" s="23"/>
      <c r="LPQ192" s="23"/>
      <c r="LPR192" s="23"/>
      <c r="LPS192" s="1"/>
      <c r="LPT192" s="1"/>
      <c r="LPU192" s="1"/>
      <c r="LPV192" s="25"/>
      <c r="LPY192" s="23"/>
      <c r="LPZ192" s="23"/>
      <c r="LQA192" s="23"/>
      <c r="LQB192" s="23"/>
      <c r="LQC192" s="23"/>
      <c r="LQD192" s="23"/>
      <c r="LQE192" s="24"/>
      <c r="LQF192" s="23"/>
      <c r="LQG192" s="23"/>
      <c r="LQH192" s="23"/>
      <c r="LQI192" s="1"/>
      <c r="LQJ192" s="1"/>
      <c r="LQK192" s="1"/>
      <c r="LQL192" s="25"/>
      <c r="LQO192" s="23"/>
      <c r="LQP192" s="23"/>
      <c r="LQQ192" s="23"/>
      <c r="LQR192" s="23"/>
      <c r="LQS192" s="23"/>
      <c r="LQT192" s="23"/>
      <c r="LQU192" s="24"/>
      <c r="LQV192" s="23"/>
      <c r="LQW192" s="23"/>
      <c r="LQX192" s="23"/>
      <c r="LQY192" s="1"/>
      <c r="LQZ192" s="1"/>
      <c r="LRA192" s="1"/>
      <c r="LRB192" s="25"/>
      <c r="LRE192" s="23"/>
      <c r="LRF192" s="23"/>
      <c r="LRG192" s="23"/>
      <c r="LRH192" s="23"/>
      <c r="LRI192" s="23"/>
      <c r="LRJ192" s="23"/>
      <c r="LRK192" s="24"/>
      <c r="LRL192" s="23"/>
      <c r="LRM192" s="23"/>
      <c r="LRN192" s="23"/>
      <c r="LRO192" s="1"/>
      <c r="LRP192" s="1"/>
      <c r="LRQ192" s="1"/>
      <c r="LRR192" s="25"/>
      <c r="LRU192" s="23"/>
      <c r="LRV192" s="23"/>
      <c r="LRW192" s="23"/>
      <c r="LRX192" s="23"/>
      <c r="LRY192" s="23"/>
      <c r="LRZ192" s="23"/>
      <c r="LSA192" s="24"/>
      <c r="LSB192" s="23"/>
      <c r="LSC192" s="23"/>
      <c r="LSD192" s="23"/>
      <c r="LSE192" s="1"/>
      <c r="LSF192" s="1"/>
      <c r="LSG192" s="1"/>
      <c r="LSH192" s="25"/>
      <c r="LSK192" s="23"/>
      <c r="LSL192" s="23"/>
      <c r="LSM192" s="23"/>
      <c r="LSN192" s="23"/>
      <c r="LSO192" s="23"/>
      <c r="LSP192" s="23"/>
      <c r="LSQ192" s="24"/>
      <c r="LSR192" s="23"/>
      <c r="LSS192" s="23"/>
      <c r="LST192" s="23"/>
      <c r="LSU192" s="1"/>
      <c r="LSV192" s="1"/>
      <c r="LSW192" s="1"/>
      <c r="LSX192" s="25"/>
      <c r="LTA192" s="23"/>
      <c r="LTB192" s="23"/>
      <c r="LTC192" s="23"/>
      <c r="LTD192" s="23"/>
      <c r="LTE192" s="23"/>
      <c r="LTF192" s="23"/>
      <c r="LTG192" s="24"/>
      <c r="LTH192" s="23"/>
      <c r="LTI192" s="23"/>
      <c r="LTJ192" s="23"/>
      <c r="LTK192" s="1"/>
      <c r="LTL192" s="1"/>
      <c r="LTM192" s="1"/>
      <c r="LTN192" s="25"/>
      <c r="LTQ192" s="23"/>
      <c r="LTR192" s="23"/>
      <c r="LTS192" s="23"/>
      <c r="LTT192" s="23"/>
      <c r="LTU192" s="23"/>
      <c r="LTV192" s="23"/>
      <c r="LTW192" s="24"/>
      <c r="LTX192" s="23"/>
      <c r="LTY192" s="23"/>
      <c r="LTZ192" s="23"/>
      <c r="LUA192" s="1"/>
      <c r="LUB192" s="1"/>
      <c r="LUC192" s="1"/>
      <c r="LUD192" s="25"/>
      <c r="LUG192" s="23"/>
      <c r="LUH192" s="23"/>
      <c r="LUI192" s="23"/>
      <c r="LUJ192" s="23"/>
      <c r="LUK192" s="23"/>
      <c r="LUL192" s="23"/>
      <c r="LUM192" s="24"/>
      <c r="LUN192" s="23"/>
      <c r="LUO192" s="23"/>
      <c r="LUP192" s="23"/>
      <c r="LUQ192" s="1"/>
      <c r="LUR192" s="1"/>
      <c r="LUS192" s="1"/>
      <c r="LUT192" s="25"/>
      <c r="LUW192" s="23"/>
      <c r="LUX192" s="23"/>
      <c r="LUY192" s="23"/>
      <c r="LUZ192" s="23"/>
      <c r="LVA192" s="23"/>
      <c r="LVB192" s="23"/>
      <c r="LVC192" s="24"/>
      <c r="LVD192" s="23"/>
      <c r="LVE192" s="23"/>
      <c r="LVF192" s="23"/>
      <c r="LVG192" s="1"/>
      <c r="LVH192" s="1"/>
      <c r="LVI192" s="1"/>
      <c r="LVJ192" s="25"/>
      <c r="LVM192" s="23"/>
      <c r="LVN192" s="23"/>
      <c r="LVO192" s="23"/>
      <c r="LVP192" s="23"/>
      <c r="LVQ192" s="23"/>
      <c r="LVR192" s="23"/>
      <c r="LVS192" s="24"/>
      <c r="LVT192" s="23"/>
      <c r="LVU192" s="23"/>
      <c r="LVV192" s="23"/>
      <c r="LVW192" s="1"/>
      <c r="LVX192" s="1"/>
      <c r="LVY192" s="1"/>
      <c r="LVZ192" s="25"/>
      <c r="LWC192" s="23"/>
      <c r="LWD192" s="23"/>
      <c r="LWE192" s="23"/>
      <c r="LWF192" s="23"/>
      <c r="LWG192" s="23"/>
      <c r="LWH192" s="23"/>
      <c r="LWI192" s="24"/>
      <c r="LWJ192" s="23"/>
      <c r="LWK192" s="23"/>
      <c r="LWL192" s="23"/>
      <c r="LWM192" s="1"/>
      <c r="LWN192" s="1"/>
      <c r="LWO192" s="1"/>
      <c r="LWP192" s="25"/>
      <c r="LWS192" s="23"/>
      <c r="LWT192" s="23"/>
      <c r="LWU192" s="23"/>
      <c r="LWV192" s="23"/>
      <c r="LWW192" s="23"/>
      <c r="LWX192" s="23"/>
      <c r="LWY192" s="24"/>
      <c r="LWZ192" s="23"/>
      <c r="LXA192" s="23"/>
      <c r="LXB192" s="23"/>
      <c r="LXC192" s="1"/>
      <c r="LXD192" s="1"/>
      <c r="LXE192" s="1"/>
      <c r="LXF192" s="25"/>
      <c r="LXI192" s="23"/>
      <c r="LXJ192" s="23"/>
      <c r="LXK192" s="23"/>
      <c r="LXL192" s="23"/>
      <c r="LXM192" s="23"/>
      <c r="LXN192" s="23"/>
      <c r="LXO192" s="24"/>
      <c r="LXP192" s="23"/>
      <c r="LXQ192" s="23"/>
      <c r="LXR192" s="23"/>
      <c r="LXS192" s="1"/>
      <c r="LXT192" s="1"/>
      <c r="LXU192" s="1"/>
      <c r="LXV192" s="25"/>
      <c r="LXY192" s="23"/>
      <c r="LXZ192" s="23"/>
      <c r="LYA192" s="23"/>
      <c r="LYB192" s="23"/>
      <c r="LYC192" s="23"/>
      <c r="LYD192" s="23"/>
      <c r="LYE192" s="24"/>
      <c r="LYF192" s="23"/>
      <c r="LYG192" s="23"/>
      <c r="LYH192" s="23"/>
      <c r="LYI192" s="1"/>
      <c r="LYJ192" s="1"/>
      <c r="LYK192" s="1"/>
      <c r="LYL192" s="25"/>
      <c r="LYO192" s="23"/>
      <c r="LYP192" s="23"/>
      <c r="LYQ192" s="23"/>
      <c r="LYR192" s="23"/>
      <c r="LYS192" s="23"/>
      <c r="LYT192" s="23"/>
      <c r="LYU192" s="24"/>
      <c r="LYV192" s="23"/>
      <c r="LYW192" s="23"/>
      <c r="LYX192" s="23"/>
      <c r="LYY192" s="1"/>
      <c r="LYZ192" s="1"/>
      <c r="LZA192" s="1"/>
      <c r="LZB192" s="25"/>
      <c r="LZE192" s="23"/>
      <c r="LZF192" s="23"/>
      <c r="LZG192" s="23"/>
      <c r="LZH192" s="23"/>
      <c r="LZI192" s="23"/>
      <c r="LZJ192" s="23"/>
      <c r="LZK192" s="24"/>
      <c r="LZL192" s="23"/>
      <c r="LZM192" s="23"/>
      <c r="LZN192" s="23"/>
      <c r="LZO192" s="1"/>
      <c r="LZP192" s="1"/>
      <c r="LZQ192" s="1"/>
      <c r="LZR192" s="25"/>
      <c r="LZU192" s="23"/>
      <c r="LZV192" s="23"/>
      <c r="LZW192" s="23"/>
      <c r="LZX192" s="23"/>
      <c r="LZY192" s="23"/>
      <c r="LZZ192" s="23"/>
      <c r="MAA192" s="24"/>
      <c r="MAB192" s="23"/>
      <c r="MAC192" s="23"/>
      <c r="MAD192" s="23"/>
      <c r="MAE192" s="1"/>
      <c r="MAF192" s="1"/>
      <c r="MAG192" s="1"/>
      <c r="MAH192" s="25"/>
      <c r="MAK192" s="23"/>
      <c r="MAL192" s="23"/>
      <c r="MAM192" s="23"/>
      <c r="MAN192" s="23"/>
      <c r="MAO192" s="23"/>
      <c r="MAP192" s="23"/>
      <c r="MAQ192" s="24"/>
      <c r="MAR192" s="23"/>
      <c r="MAS192" s="23"/>
      <c r="MAT192" s="23"/>
      <c r="MAU192" s="1"/>
      <c r="MAV192" s="1"/>
      <c r="MAW192" s="1"/>
      <c r="MAX192" s="25"/>
      <c r="MBA192" s="23"/>
      <c r="MBB192" s="23"/>
      <c r="MBC192" s="23"/>
      <c r="MBD192" s="23"/>
      <c r="MBE192" s="23"/>
      <c r="MBF192" s="23"/>
      <c r="MBG192" s="24"/>
      <c r="MBH192" s="23"/>
      <c r="MBI192" s="23"/>
      <c r="MBJ192" s="23"/>
      <c r="MBK192" s="1"/>
      <c r="MBL192" s="1"/>
      <c r="MBM192" s="1"/>
      <c r="MBN192" s="25"/>
      <c r="MBQ192" s="23"/>
      <c r="MBR192" s="23"/>
      <c r="MBS192" s="23"/>
      <c r="MBT192" s="23"/>
      <c r="MBU192" s="23"/>
      <c r="MBV192" s="23"/>
      <c r="MBW192" s="24"/>
      <c r="MBX192" s="23"/>
      <c r="MBY192" s="23"/>
      <c r="MBZ192" s="23"/>
      <c r="MCA192" s="1"/>
      <c r="MCB192" s="1"/>
      <c r="MCC192" s="1"/>
      <c r="MCD192" s="25"/>
      <c r="MCG192" s="23"/>
      <c r="MCH192" s="23"/>
      <c r="MCI192" s="23"/>
      <c r="MCJ192" s="23"/>
      <c r="MCK192" s="23"/>
      <c r="MCL192" s="23"/>
      <c r="MCM192" s="24"/>
      <c r="MCN192" s="23"/>
      <c r="MCO192" s="23"/>
      <c r="MCP192" s="23"/>
      <c r="MCQ192" s="1"/>
      <c r="MCR192" s="1"/>
      <c r="MCS192" s="1"/>
      <c r="MCT192" s="25"/>
      <c r="MCW192" s="23"/>
      <c r="MCX192" s="23"/>
      <c r="MCY192" s="23"/>
      <c r="MCZ192" s="23"/>
      <c r="MDA192" s="23"/>
      <c r="MDB192" s="23"/>
      <c r="MDC192" s="24"/>
      <c r="MDD192" s="23"/>
      <c r="MDE192" s="23"/>
      <c r="MDF192" s="23"/>
      <c r="MDG192" s="1"/>
      <c r="MDH192" s="1"/>
      <c r="MDI192" s="1"/>
      <c r="MDJ192" s="25"/>
      <c r="MDM192" s="23"/>
      <c r="MDN192" s="23"/>
      <c r="MDO192" s="23"/>
      <c r="MDP192" s="23"/>
      <c r="MDQ192" s="23"/>
      <c r="MDR192" s="23"/>
      <c r="MDS192" s="24"/>
      <c r="MDT192" s="23"/>
      <c r="MDU192" s="23"/>
      <c r="MDV192" s="23"/>
      <c r="MDW192" s="1"/>
      <c r="MDX192" s="1"/>
      <c r="MDY192" s="1"/>
      <c r="MDZ192" s="25"/>
      <c r="MEC192" s="23"/>
      <c r="MED192" s="23"/>
      <c r="MEE192" s="23"/>
      <c r="MEF192" s="23"/>
      <c r="MEG192" s="23"/>
      <c r="MEH192" s="23"/>
      <c r="MEI192" s="24"/>
      <c r="MEJ192" s="23"/>
      <c r="MEK192" s="23"/>
      <c r="MEL192" s="23"/>
      <c r="MEM192" s="1"/>
      <c r="MEN192" s="1"/>
      <c r="MEO192" s="1"/>
      <c r="MEP192" s="25"/>
      <c r="MES192" s="23"/>
      <c r="MET192" s="23"/>
      <c r="MEU192" s="23"/>
      <c r="MEV192" s="23"/>
      <c r="MEW192" s="23"/>
      <c r="MEX192" s="23"/>
      <c r="MEY192" s="24"/>
      <c r="MEZ192" s="23"/>
      <c r="MFA192" s="23"/>
      <c r="MFB192" s="23"/>
      <c r="MFC192" s="1"/>
      <c r="MFD192" s="1"/>
      <c r="MFE192" s="1"/>
      <c r="MFF192" s="25"/>
      <c r="MFI192" s="23"/>
      <c r="MFJ192" s="23"/>
      <c r="MFK192" s="23"/>
      <c r="MFL192" s="23"/>
      <c r="MFM192" s="23"/>
      <c r="MFN192" s="23"/>
      <c r="MFO192" s="24"/>
      <c r="MFP192" s="23"/>
      <c r="MFQ192" s="23"/>
      <c r="MFR192" s="23"/>
      <c r="MFS192" s="1"/>
      <c r="MFT192" s="1"/>
      <c r="MFU192" s="1"/>
      <c r="MFV192" s="25"/>
      <c r="MFY192" s="23"/>
      <c r="MFZ192" s="23"/>
      <c r="MGA192" s="23"/>
      <c r="MGB192" s="23"/>
      <c r="MGC192" s="23"/>
      <c r="MGD192" s="23"/>
      <c r="MGE192" s="24"/>
      <c r="MGF192" s="23"/>
      <c r="MGG192" s="23"/>
      <c r="MGH192" s="23"/>
      <c r="MGI192" s="1"/>
      <c r="MGJ192" s="1"/>
      <c r="MGK192" s="1"/>
      <c r="MGL192" s="25"/>
      <c r="MGO192" s="23"/>
      <c r="MGP192" s="23"/>
      <c r="MGQ192" s="23"/>
      <c r="MGR192" s="23"/>
      <c r="MGS192" s="23"/>
      <c r="MGT192" s="23"/>
      <c r="MGU192" s="24"/>
      <c r="MGV192" s="23"/>
      <c r="MGW192" s="23"/>
      <c r="MGX192" s="23"/>
      <c r="MGY192" s="1"/>
      <c r="MGZ192" s="1"/>
      <c r="MHA192" s="1"/>
      <c r="MHB192" s="25"/>
      <c r="MHE192" s="23"/>
      <c r="MHF192" s="23"/>
      <c r="MHG192" s="23"/>
      <c r="MHH192" s="23"/>
      <c r="MHI192" s="23"/>
      <c r="MHJ192" s="23"/>
      <c r="MHK192" s="24"/>
      <c r="MHL192" s="23"/>
      <c r="MHM192" s="23"/>
      <c r="MHN192" s="23"/>
      <c r="MHO192" s="1"/>
      <c r="MHP192" s="1"/>
      <c r="MHQ192" s="1"/>
      <c r="MHR192" s="25"/>
      <c r="MHU192" s="23"/>
      <c r="MHV192" s="23"/>
      <c r="MHW192" s="23"/>
      <c r="MHX192" s="23"/>
      <c r="MHY192" s="23"/>
      <c r="MHZ192" s="23"/>
      <c r="MIA192" s="24"/>
      <c r="MIB192" s="23"/>
      <c r="MIC192" s="23"/>
      <c r="MID192" s="23"/>
      <c r="MIE192" s="1"/>
      <c r="MIF192" s="1"/>
      <c r="MIG192" s="1"/>
      <c r="MIH192" s="25"/>
      <c r="MIK192" s="23"/>
      <c r="MIL192" s="23"/>
      <c r="MIM192" s="23"/>
      <c r="MIN192" s="23"/>
      <c r="MIO192" s="23"/>
      <c r="MIP192" s="23"/>
      <c r="MIQ192" s="24"/>
      <c r="MIR192" s="23"/>
      <c r="MIS192" s="23"/>
      <c r="MIT192" s="23"/>
      <c r="MIU192" s="1"/>
      <c r="MIV192" s="1"/>
      <c r="MIW192" s="1"/>
      <c r="MIX192" s="25"/>
      <c r="MJA192" s="23"/>
      <c r="MJB192" s="23"/>
      <c r="MJC192" s="23"/>
      <c r="MJD192" s="23"/>
      <c r="MJE192" s="23"/>
      <c r="MJF192" s="23"/>
      <c r="MJG192" s="24"/>
      <c r="MJH192" s="23"/>
      <c r="MJI192" s="23"/>
      <c r="MJJ192" s="23"/>
      <c r="MJK192" s="1"/>
      <c r="MJL192" s="1"/>
      <c r="MJM192" s="1"/>
      <c r="MJN192" s="25"/>
      <c r="MJQ192" s="23"/>
      <c r="MJR192" s="23"/>
      <c r="MJS192" s="23"/>
      <c r="MJT192" s="23"/>
      <c r="MJU192" s="23"/>
      <c r="MJV192" s="23"/>
      <c r="MJW192" s="24"/>
      <c r="MJX192" s="23"/>
      <c r="MJY192" s="23"/>
      <c r="MJZ192" s="23"/>
      <c r="MKA192" s="1"/>
      <c r="MKB192" s="1"/>
      <c r="MKC192" s="1"/>
      <c r="MKD192" s="25"/>
      <c r="MKG192" s="23"/>
      <c r="MKH192" s="23"/>
      <c r="MKI192" s="23"/>
      <c r="MKJ192" s="23"/>
      <c r="MKK192" s="23"/>
      <c r="MKL192" s="23"/>
      <c r="MKM192" s="24"/>
      <c r="MKN192" s="23"/>
      <c r="MKO192" s="23"/>
      <c r="MKP192" s="23"/>
      <c r="MKQ192" s="1"/>
      <c r="MKR192" s="1"/>
      <c r="MKS192" s="1"/>
      <c r="MKT192" s="25"/>
      <c r="MKW192" s="23"/>
      <c r="MKX192" s="23"/>
      <c r="MKY192" s="23"/>
      <c r="MKZ192" s="23"/>
      <c r="MLA192" s="23"/>
      <c r="MLB192" s="23"/>
      <c r="MLC192" s="24"/>
      <c r="MLD192" s="23"/>
      <c r="MLE192" s="23"/>
      <c r="MLF192" s="23"/>
      <c r="MLG192" s="1"/>
      <c r="MLH192" s="1"/>
      <c r="MLI192" s="1"/>
      <c r="MLJ192" s="25"/>
      <c r="MLM192" s="23"/>
      <c r="MLN192" s="23"/>
      <c r="MLO192" s="23"/>
      <c r="MLP192" s="23"/>
      <c r="MLQ192" s="23"/>
      <c r="MLR192" s="23"/>
      <c r="MLS192" s="24"/>
      <c r="MLT192" s="23"/>
      <c r="MLU192" s="23"/>
      <c r="MLV192" s="23"/>
      <c r="MLW192" s="1"/>
      <c r="MLX192" s="1"/>
      <c r="MLY192" s="1"/>
      <c r="MLZ192" s="25"/>
      <c r="MMC192" s="23"/>
      <c r="MMD192" s="23"/>
      <c r="MME192" s="23"/>
      <c r="MMF192" s="23"/>
      <c r="MMG192" s="23"/>
      <c r="MMH192" s="23"/>
      <c r="MMI192" s="24"/>
      <c r="MMJ192" s="23"/>
      <c r="MMK192" s="23"/>
      <c r="MML192" s="23"/>
      <c r="MMM192" s="1"/>
      <c r="MMN192" s="1"/>
      <c r="MMO192" s="1"/>
      <c r="MMP192" s="25"/>
      <c r="MMS192" s="23"/>
      <c r="MMT192" s="23"/>
      <c r="MMU192" s="23"/>
      <c r="MMV192" s="23"/>
      <c r="MMW192" s="23"/>
      <c r="MMX192" s="23"/>
      <c r="MMY192" s="24"/>
      <c r="MMZ192" s="23"/>
      <c r="MNA192" s="23"/>
      <c r="MNB192" s="23"/>
      <c r="MNC192" s="1"/>
      <c r="MND192" s="1"/>
      <c r="MNE192" s="1"/>
      <c r="MNF192" s="25"/>
      <c r="MNI192" s="23"/>
      <c r="MNJ192" s="23"/>
      <c r="MNK192" s="23"/>
      <c r="MNL192" s="23"/>
      <c r="MNM192" s="23"/>
      <c r="MNN192" s="23"/>
      <c r="MNO192" s="24"/>
      <c r="MNP192" s="23"/>
      <c r="MNQ192" s="23"/>
      <c r="MNR192" s="23"/>
      <c r="MNS192" s="1"/>
      <c r="MNT192" s="1"/>
      <c r="MNU192" s="1"/>
      <c r="MNV192" s="25"/>
      <c r="MNY192" s="23"/>
      <c r="MNZ192" s="23"/>
      <c r="MOA192" s="23"/>
      <c r="MOB192" s="23"/>
      <c r="MOC192" s="23"/>
      <c r="MOD192" s="23"/>
      <c r="MOE192" s="24"/>
      <c r="MOF192" s="23"/>
      <c r="MOG192" s="23"/>
      <c r="MOH192" s="23"/>
      <c r="MOI192" s="1"/>
      <c r="MOJ192" s="1"/>
      <c r="MOK192" s="1"/>
      <c r="MOL192" s="25"/>
      <c r="MOO192" s="23"/>
      <c r="MOP192" s="23"/>
      <c r="MOQ192" s="23"/>
      <c r="MOR192" s="23"/>
      <c r="MOS192" s="23"/>
      <c r="MOT192" s="23"/>
      <c r="MOU192" s="24"/>
      <c r="MOV192" s="23"/>
      <c r="MOW192" s="23"/>
      <c r="MOX192" s="23"/>
      <c r="MOY192" s="1"/>
      <c r="MOZ192" s="1"/>
      <c r="MPA192" s="1"/>
      <c r="MPB192" s="25"/>
      <c r="MPE192" s="23"/>
      <c r="MPF192" s="23"/>
      <c r="MPG192" s="23"/>
      <c r="MPH192" s="23"/>
      <c r="MPI192" s="23"/>
      <c r="MPJ192" s="23"/>
      <c r="MPK192" s="24"/>
      <c r="MPL192" s="23"/>
      <c r="MPM192" s="23"/>
      <c r="MPN192" s="23"/>
      <c r="MPO192" s="1"/>
      <c r="MPP192" s="1"/>
      <c r="MPQ192" s="1"/>
      <c r="MPR192" s="25"/>
      <c r="MPU192" s="23"/>
      <c r="MPV192" s="23"/>
      <c r="MPW192" s="23"/>
      <c r="MPX192" s="23"/>
      <c r="MPY192" s="23"/>
      <c r="MPZ192" s="23"/>
      <c r="MQA192" s="24"/>
      <c r="MQB192" s="23"/>
      <c r="MQC192" s="23"/>
      <c r="MQD192" s="23"/>
      <c r="MQE192" s="1"/>
      <c r="MQF192" s="1"/>
      <c r="MQG192" s="1"/>
      <c r="MQH192" s="25"/>
      <c r="MQK192" s="23"/>
      <c r="MQL192" s="23"/>
      <c r="MQM192" s="23"/>
      <c r="MQN192" s="23"/>
      <c r="MQO192" s="23"/>
      <c r="MQP192" s="23"/>
      <c r="MQQ192" s="24"/>
      <c r="MQR192" s="23"/>
      <c r="MQS192" s="23"/>
      <c r="MQT192" s="23"/>
      <c r="MQU192" s="1"/>
      <c r="MQV192" s="1"/>
      <c r="MQW192" s="1"/>
      <c r="MQX192" s="25"/>
      <c r="MRA192" s="23"/>
      <c r="MRB192" s="23"/>
      <c r="MRC192" s="23"/>
      <c r="MRD192" s="23"/>
      <c r="MRE192" s="23"/>
      <c r="MRF192" s="23"/>
      <c r="MRG192" s="24"/>
      <c r="MRH192" s="23"/>
      <c r="MRI192" s="23"/>
      <c r="MRJ192" s="23"/>
      <c r="MRK192" s="1"/>
      <c r="MRL192" s="1"/>
      <c r="MRM192" s="1"/>
      <c r="MRN192" s="25"/>
      <c r="MRQ192" s="23"/>
      <c r="MRR192" s="23"/>
      <c r="MRS192" s="23"/>
      <c r="MRT192" s="23"/>
      <c r="MRU192" s="23"/>
      <c r="MRV192" s="23"/>
      <c r="MRW192" s="24"/>
      <c r="MRX192" s="23"/>
      <c r="MRY192" s="23"/>
      <c r="MRZ192" s="23"/>
      <c r="MSA192" s="1"/>
      <c r="MSB192" s="1"/>
      <c r="MSC192" s="1"/>
      <c r="MSD192" s="25"/>
      <c r="MSG192" s="23"/>
      <c r="MSH192" s="23"/>
      <c r="MSI192" s="23"/>
      <c r="MSJ192" s="23"/>
      <c r="MSK192" s="23"/>
      <c r="MSL192" s="23"/>
      <c r="MSM192" s="24"/>
      <c r="MSN192" s="23"/>
      <c r="MSO192" s="23"/>
      <c r="MSP192" s="23"/>
      <c r="MSQ192" s="1"/>
      <c r="MSR192" s="1"/>
      <c r="MSS192" s="1"/>
      <c r="MST192" s="25"/>
      <c r="MSW192" s="23"/>
      <c r="MSX192" s="23"/>
      <c r="MSY192" s="23"/>
      <c r="MSZ192" s="23"/>
      <c r="MTA192" s="23"/>
      <c r="MTB192" s="23"/>
      <c r="MTC192" s="24"/>
      <c r="MTD192" s="23"/>
      <c r="MTE192" s="23"/>
      <c r="MTF192" s="23"/>
      <c r="MTG192" s="1"/>
      <c r="MTH192" s="1"/>
      <c r="MTI192" s="1"/>
      <c r="MTJ192" s="25"/>
      <c r="MTM192" s="23"/>
      <c r="MTN192" s="23"/>
      <c r="MTO192" s="23"/>
      <c r="MTP192" s="23"/>
      <c r="MTQ192" s="23"/>
      <c r="MTR192" s="23"/>
      <c r="MTS192" s="24"/>
      <c r="MTT192" s="23"/>
      <c r="MTU192" s="23"/>
      <c r="MTV192" s="23"/>
      <c r="MTW192" s="1"/>
      <c r="MTX192" s="1"/>
      <c r="MTY192" s="1"/>
      <c r="MTZ192" s="25"/>
      <c r="MUC192" s="23"/>
      <c r="MUD192" s="23"/>
      <c r="MUE192" s="23"/>
      <c r="MUF192" s="23"/>
      <c r="MUG192" s="23"/>
      <c r="MUH192" s="23"/>
      <c r="MUI192" s="24"/>
      <c r="MUJ192" s="23"/>
      <c r="MUK192" s="23"/>
      <c r="MUL192" s="23"/>
      <c r="MUM192" s="1"/>
      <c r="MUN192" s="1"/>
      <c r="MUO192" s="1"/>
      <c r="MUP192" s="25"/>
      <c r="MUS192" s="23"/>
      <c r="MUT192" s="23"/>
      <c r="MUU192" s="23"/>
      <c r="MUV192" s="23"/>
      <c r="MUW192" s="23"/>
      <c r="MUX192" s="23"/>
      <c r="MUY192" s="24"/>
      <c r="MUZ192" s="23"/>
      <c r="MVA192" s="23"/>
      <c r="MVB192" s="23"/>
      <c r="MVC192" s="1"/>
      <c r="MVD192" s="1"/>
      <c r="MVE192" s="1"/>
      <c r="MVF192" s="25"/>
      <c r="MVI192" s="23"/>
      <c r="MVJ192" s="23"/>
      <c r="MVK192" s="23"/>
      <c r="MVL192" s="23"/>
      <c r="MVM192" s="23"/>
      <c r="MVN192" s="23"/>
      <c r="MVO192" s="24"/>
      <c r="MVP192" s="23"/>
      <c r="MVQ192" s="23"/>
      <c r="MVR192" s="23"/>
      <c r="MVS192" s="1"/>
      <c r="MVT192" s="1"/>
      <c r="MVU192" s="1"/>
      <c r="MVV192" s="25"/>
      <c r="MVY192" s="23"/>
      <c r="MVZ192" s="23"/>
      <c r="MWA192" s="23"/>
      <c r="MWB192" s="23"/>
      <c r="MWC192" s="23"/>
      <c r="MWD192" s="23"/>
      <c r="MWE192" s="24"/>
      <c r="MWF192" s="23"/>
      <c r="MWG192" s="23"/>
      <c r="MWH192" s="23"/>
      <c r="MWI192" s="1"/>
      <c r="MWJ192" s="1"/>
      <c r="MWK192" s="1"/>
      <c r="MWL192" s="25"/>
      <c r="MWO192" s="23"/>
      <c r="MWP192" s="23"/>
      <c r="MWQ192" s="23"/>
      <c r="MWR192" s="23"/>
      <c r="MWS192" s="23"/>
      <c r="MWT192" s="23"/>
      <c r="MWU192" s="24"/>
      <c r="MWV192" s="23"/>
      <c r="MWW192" s="23"/>
      <c r="MWX192" s="23"/>
      <c r="MWY192" s="1"/>
      <c r="MWZ192" s="1"/>
      <c r="MXA192" s="1"/>
      <c r="MXB192" s="25"/>
      <c r="MXE192" s="23"/>
      <c r="MXF192" s="23"/>
      <c r="MXG192" s="23"/>
      <c r="MXH192" s="23"/>
      <c r="MXI192" s="23"/>
      <c r="MXJ192" s="23"/>
      <c r="MXK192" s="24"/>
      <c r="MXL192" s="23"/>
      <c r="MXM192" s="23"/>
      <c r="MXN192" s="23"/>
      <c r="MXO192" s="1"/>
      <c r="MXP192" s="1"/>
      <c r="MXQ192" s="1"/>
      <c r="MXR192" s="25"/>
      <c r="MXU192" s="23"/>
      <c r="MXV192" s="23"/>
      <c r="MXW192" s="23"/>
      <c r="MXX192" s="23"/>
      <c r="MXY192" s="23"/>
      <c r="MXZ192" s="23"/>
      <c r="MYA192" s="24"/>
      <c r="MYB192" s="23"/>
      <c r="MYC192" s="23"/>
      <c r="MYD192" s="23"/>
      <c r="MYE192" s="1"/>
      <c r="MYF192" s="1"/>
      <c r="MYG192" s="1"/>
      <c r="MYH192" s="25"/>
      <c r="MYK192" s="23"/>
      <c r="MYL192" s="23"/>
      <c r="MYM192" s="23"/>
      <c r="MYN192" s="23"/>
      <c r="MYO192" s="23"/>
      <c r="MYP192" s="23"/>
      <c r="MYQ192" s="24"/>
      <c r="MYR192" s="23"/>
      <c r="MYS192" s="23"/>
      <c r="MYT192" s="23"/>
      <c r="MYU192" s="1"/>
      <c r="MYV192" s="1"/>
      <c r="MYW192" s="1"/>
      <c r="MYX192" s="25"/>
      <c r="MZA192" s="23"/>
      <c r="MZB192" s="23"/>
      <c r="MZC192" s="23"/>
      <c r="MZD192" s="23"/>
      <c r="MZE192" s="23"/>
      <c r="MZF192" s="23"/>
      <c r="MZG192" s="24"/>
      <c r="MZH192" s="23"/>
      <c r="MZI192" s="23"/>
      <c r="MZJ192" s="23"/>
      <c r="MZK192" s="1"/>
      <c r="MZL192" s="1"/>
      <c r="MZM192" s="1"/>
      <c r="MZN192" s="25"/>
      <c r="MZQ192" s="23"/>
      <c r="MZR192" s="23"/>
      <c r="MZS192" s="23"/>
      <c r="MZT192" s="23"/>
      <c r="MZU192" s="23"/>
      <c r="MZV192" s="23"/>
      <c r="MZW192" s="24"/>
      <c r="MZX192" s="23"/>
      <c r="MZY192" s="23"/>
      <c r="MZZ192" s="23"/>
      <c r="NAA192" s="1"/>
      <c r="NAB192" s="1"/>
      <c r="NAC192" s="1"/>
      <c r="NAD192" s="25"/>
      <c r="NAG192" s="23"/>
      <c r="NAH192" s="23"/>
      <c r="NAI192" s="23"/>
      <c r="NAJ192" s="23"/>
      <c r="NAK192" s="23"/>
      <c r="NAL192" s="23"/>
      <c r="NAM192" s="24"/>
      <c r="NAN192" s="23"/>
      <c r="NAO192" s="23"/>
      <c r="NAP192" s="23"/>
      <c r="NAQ192" s="1"/>
      <c r="NAR192" s="1"/>
      <c r="NAS192" s="1"/>
      <c r="NAT192" s="25"/>
      <c r="NAW192" s="23"/>
      <c r="NAX192" s="23"/>
      <c r="NAY192" s="23"/>
      <c r="NAZ192" s="23"/>
      <c r="NBA192" s="23"/>
      <c r="NBB192" s="23"/>
      <c r="NBC192" s="24"/>
      <c r="NBD192" s="23"/>
      <c r="NBE192" s="23"/>
      <c r="NBF192" s="23"/>
      <c r="NBG192" s="1"/>
      <c r="NBH192" s="1"/>
      <c r="NBI192" s="1"/>
      <c r="NBJ192" s="25"/>
      <c r="NBM192" s="23"/>
      <c r="NBN192" s="23"/>
      <c r="NBO192" s="23"/>
      <c r="NBP192" s="23"/>
      <c r="NBQ192" s="23"/>
      <c r="NBR192" s="23"/>
      <c r="NBS192" s="24"/>
      <c r="NBT192" s="23"/>
      <c r="NBU192" s="23"/>
      <c r="NBV192" s="23"/>
      <c r="NBW192" s="1"/>
      <c r="NBX192" s="1"/>
      <c r="NBY192" s="1"/>
      <c r="NBZ192" s="25"/>
      <c r="NCC192" s="23"/>
      <c r="NCD192" s="23"/>
      <c r="NCE192" s="23"/>
      <c r="NCF192" s="23"/>
      <c r="NCG192" s="23"/>
      <c r="NCH192" s="23"/>
      <c r="NCI192" s="24"/>
      <c r="NCJ192" s="23"/>
      <c r="NCK192" s="23"/>
      <c r="NCL192" s="23"/>
      <c r="NCM192" s="1"/>
      <c r="NCN192" s="1"/>
      <c r="NCO192" s="1"/>
      <c r="NCP192" s="25"/>
      <c r="NCS192" s="23"/>
      <c r="NCT192" s="23"/>
      <c r="NCU192" s="23"/>
      <c r="NCV192" s="23"/>
      <c r="NCW192" s="23"/>
      <c r="NCX192" s="23"/>
      <c r="NCY192" s="24"/>
      <c r="NCZ192" s="23"/>
      <c r="NDA192" s="23"/>
      <c r="NDB192" s="23"/>
      <c r="NDC192" s="1"/>
      <c r="NDD192" s="1"/>
      <c r="NDE192" s="1"/>
      <c r="NDF192" s="25"/>
      <c r="NDI192" s="23"/>
      <c r="NDJ192" s="23"/>
      <c r="NDK192" s="23"/>
      <c r="NDL192" s="23"/>
      <c r="NDM192" s="23"/>
      <c r="NDN192" s="23"/>
      <c r="NDO192" s="24"/>
      <c r="NDP192" s="23"/>
      <c r="NDQ192" s="23"/>
      <c r="NDR192" s="23"/>
      <c r="NDS192" s="1"/>
      <c r="NDT192" s="1"/>
      <c r="NDU192" s="1"/>
      <c r="NDV192" s="25"/>
      <c r="NDY192" s="23"/>
      <c r="NDZ192" s="23"/>
      <c r="NEA192" s="23"/>
      <c r="NEB192" s="23"/>
      <c r="NEC192" s="23"/>
      <c r="NED192" s="23"/>
      <c r="NEE192" s="24"/>
      <c r="NEF192" s="23"/>
      <c r="NEG192" s="23"/>
      <c r="NEH192" s="23"/>
      <c r="NEI192" s="1"/>
      <c r="NEJ192" s="1"/>
      <c r="NEK192" s="1"/>
      <c r="NEL192" s="25"/>
      <c r="NEO192" s="23"/>
      <c r="NEP192" s="23"/>
      <c r="NEQ192" s="23"/>
      <c r="NER192" s="23"/>
      <c r="NES192" s="23"/>
      <c r="NET192" s="23"/>
      <c r="NEU192" s="24"/>
      <c r="NEV192" s="23"/>
      <c r="NEW192" s="23"/>
      <c r="NEX192" s="23"/>
      <c r="NEY192" s="1"/>
      <c r="NEZ192" s="1"/>
      <c r="NFA192" s="1"/>
      <c r="NFB192" s="25"/>
      <c r="NFE192" s="23"/>
      <c r="NFF192" s="23"/>
      <c r="NFG192" s="23"/>
      <c r="NFH192" s="23"/>
      <c r="NFI192" s="23"/>
      <c r="NFJ192" s="23"/>
      <c r="NFK192" s="24"/>
      <c r="NFL192" s="23"/>
      <c r="NFM192" s="23"/>
      <c r="NFN192" s="23"/>
      <c r="NFO192" s="1"/>
      <c r="NFP192" s="1"/>
      <c r="NFQ192" s="1"/>
      <c r="NFR192" s="25"/>
      <c r="NFU192" s="23"/>
      <c r="NFV192" s="23"/>
      <c r="NFW192" s="23"/>
      <c r="NFX192" s="23"/>
      <c r="NFY192" s="23"/>
      <c r="NFZ192" s="23"/>
      <c r="NGA192" s="24"/>
      <c r="NGB192" s="23"/>
      <c r="NGC192" s="23"/>
      <c r="NGD192" s="23"/>
      <c r="NGE192" s="1"/>
      <c r="NGF192" s="1"/>
      <c r="NGG192" s="1"/>
      <c r="NGH192" s="25"/>
      <c r="NGK192" s="23"/>
      <c r="NGL192" s="23"/>
      <c r="NGM192" s="23"/>
      <c r="NGN192" s="23"/>
      <c r="NGO192" s="23"/>
      <c r="NGP192" s="23"/>
      <c r="NGQ192" s="24"/>
      <c r="NGR192" s="23"/>
      <c r="NGS192" s="23"/>
      <c r="NGT192" s="23"/>
      <c r="NGU192" s="1"/>
      <c r="NGV192" s="1"/>
      <c r="NGW192" s="1"/>
      <c r="NGX192" s="25"/>
      <c r="NHA192" s="23"/>
      <c r="NHB192" s="23"/>
      <c r="NHC192" s="23"/>
      <c r="NHD192" s="23"/>
      <c r="NHE192" s="23"/>
      <c r="NHF192" s="23"/>
      <c r="NHG192" s="24"/>
      <c r="NHH192" s="23"/>
      <c r="NHI192" s="23"/>
      <c r="NHJ192" s="23"/>
      <c r="NHK192" s="1"/>
      <c r="NHL192" s="1"/>
      <c r="NHM192" s="1"/>
      <c r="NHN192" s="25"/>
      <c r="NHQ192" s="23"/>
      <c r="NHR192" s="23"/>
      <c r="NHS192" s="23"/>
      <c r="NHT192" s="23"/>
      <c r="NHU192" s="23"/>
      <c r="NHV192" s="23"/>
      <c r="NHW192" s="24"/>
      <c r="NHX192" s="23"/>
      <c r="NHY192" s="23"/>
      <c r="NHZ192" s="23"/>
      <c r="NIA192" s="1"/>
      <c r="NIB192" s="1"/>
      <c r="NIC192" s="1"/>
      <c r="NID192" s="25"/>
      <c r="NIG192" s="23"/>
      <c r="NIH192" s="23"/>
      <c r="NII192" s="23"/>
      <c r="NIJ192" s="23"/>
      <c r="NIK192" s="23"/>
      <c r="NIL192" s="23"/>
      <c r="NIM192" s="24"/>
      <c r="NIN192" s="23"/>
      <c r="NIO192" s="23"/>
      <c r="NIP192" s="23"/>
      <c r="NIQ192" s="1"/>
      <c r="NIR192" s="1"/>
      <c r="NIS192" s="1"/>
      <c r="NIT192" s="25"/>
      <c r="NIW192" s="23"/>
      <c r="NIX192" s="23"/>
      <c r="NIY192" s="23"/>
      <c r="NIZ192" s="23"/>
      <c r="NJA192" s="23"/>
      <c r="NJB192" s="23"/>
      <c r="NJC192" s="24"/>
      <c r="NJD192" s="23"/>
      <c r="NJE192" s="23"/>
      <c r="NJF192" s="23"/>
      <c r="NJG192" s="1"/>
      <c r="NJH192" s="1"/>
      <c r="NJI192" s="1"/>
      <c r="NJJ192" s="25"/>
      <c r="NJM192" s="23"/>
      <c r="NJN192" s="23"/>
      <c r="NJO192" s="23"/>
      <c r="NJP192" s="23"/>
      <c r="NJQ192" s="23"/>
      <c r="NJR192" s="23"/>
      <c r="NJS192" s="24"/>
      <c r="NJT192" s="23"/>
      <c r="NJU192" s="23"/>
      <c r="NJV192" s="23"/>
      <c r="NJW192" s="1"/>
      <c r="NJX192" s="1"/>
      <c r="NJY192" s="1"/>
      <c r="NJZ192" s="25"/>
      <c r="NKC192" s="23"/>
      <c r="NKD192" s="23"/>
      <c r="NKE192" s="23"/>
      <c r="NKF192" s="23"/>
      <c r="NKG192" s="23"/>
      <c r="NKH192" s="23"/>
      <c r="NKI192" s="24"/>
      <c r="NKJ192" s="23"/>
      <c r="NKK192" s="23"/>
      <c r="NKL192" s="23"/>
      <c r="NKM192" s="1"/>
      <c r="NKN192" s="1"/>
      <c r="NKO192" s="1"/>
      <c r="NKP192" s="25"/>
      <c r="NKS192" s="23"/>
      <c r="NKT192" s="23"/>
      <c r="NKU192" s="23"/>
      <c r="NKV192" s="23"/>
      <c r="NKW192" s="23"/>
      <c r="NKX192" s="23"/>
      <c r="NKY192" s="24"/>
      <c r="NKZ192" s="23"/>
      <c r="NLA192" s="23"/>
      <c r="NLB192" s="23"/>
      <c r="NLC192" s="1"/>
      <c r="NLD192" s="1"/>
      <c r="NLE192" s="1"/>
      <c r="NLF192" s="25"/>
      <c r="NLI192" s="23"/>
      <c r="NLJ192" s="23"/>
      <c r="NLK192" s="23"/>
      <c r="NLL192" s="23"/>
      <c r="NLM192" s="23"/>
      <c r="NLN192" s="23"/>
      <c r="NLO192" s="24"/>
      <c r="NLP192" s="23"/>
      <c r="NLQ192" s="23"/>
      <c r="NLR192" s="23"/>
      <c r="NLS192" s="1"/>
      <c r="NLT192" s="1"/>
      <c r="NLU192" s="1"/>
      <c r="NLV192" s="25"/>
      <c r="NLY192" s="23"/>
      <c r="NLZ192" s="23"/>
      <c r="NMA192" s="23"/>
      <c r="NMB192" s="23"/>
      <c r="NMC192" s="23"/>
      <c r="NMD192" s="23"/>
      <c r="NME192" s="24"/>
      <c r="NMF192" s="23"/>
      <c r="NMG192" s="23"/>
      <c r="NMH192" s="23"/>
      <c r="NMI192" s="1"/>
      <c r="NMJ192" s="1"/>
      <c r="NMK192" s="1"/>
      <c r="NML192" s="25"/>
      <c r="NMO192" s="23"/>
      <c r="NMP192" s="23"/>
      <c r="NMQ192" s="23"/>
      <c r="NMR192" s="23"/>
      <c r="NMS192" s="23"/>
      <c r="NMT192" s="23"/>
      <c r="NMU192" s="24"/>
      <c r="NMV192" s="23"/>
      <c r="NMW192" s="23"/>
      <c r="NMX192" s="23"/>
      <c r="NMY192" s="1"/>
      <c r="NMZ192" s="1"/>
      <c r="NNA192" s="1"/>
      <c r="NNB192" s="25"/>
      <c r="NNE192" s="23"/>
      <c r="NNF192" s="23"/>
      <c r="NNG192" s="23"/>
      <c r="NNH192" s="23"/>
      <c r="NNI192" s="23"/>
      <c r="NNJ192" s="23"/>
      <c r="NNK192" s="24"/>
      <c r="NNL192" s="23"/>
      <c r="NNM192" s="23"/>
      <c r="NNN192" s="23"/>
      <c r="NNO192" s="1"/>
      <c r="NNP192" s="1"/>
      <c r="NNQ192" s="1"/>
      <c r="NNR192" s="25"/>
      <c r="NNU192" s="23"/>
      <c r="NNV192" s="23"/>
      <c r="NNW192" s="23"/>
      <c r="NNX192" s="23"/>
      <c r="NNY192" s="23"/>
      <c r="NNZ192" s="23"/>
      <c r="NOA192" s="24"/>
      <c r="NOB192" s="23"/>
      <c r="NOC192" s="23"/>
      <c r="NOD192" s="23"/>
      <c r="NOE192" s="1"/>
      <c r="NOF192" s="1"/>
      <c r="NOG192" s="1"/>
      <c r="NOH192" s="25"/>
      <c r="NOK192" s="23"/>
      <c r="NOL192" s="23"/>
      <c r="NOM192" s="23"/>
      <c r="NON192" s="23"/>
      <c r="NOO192" s="23"/>
      <c r="NOP192" s="23"/>
      <c r="NOQ192" s="24"/>
      <c r="NOR192" s="23"/>
      <c r="NOS192" s="23"/>
      <c r="NOT192" s="23"/>
      <c r="NOU192" s="1"/>
      <c r="NOV192" s="1"/>
      <c r="NOW192" s="1"/>
      <c r="NOX192" s="25"/>
      <c r="NPA192" s="23"/>
      <c r="NPB192" s="23"/>
      <c r="NPC192" s="23"/>
      <c r="NPD192" s="23"/>
      <c r="NPE192" s="23"/>
      <c r="NPF192" s="23"/>
      <c r="NPG192" s="24"/>
      <c r="NPH192" s="23"/>
      <c r="NPI192" s="23"/>
      <c r="NPJ192" s="23"/>
      <c r="NPK192" s="1"/>
      <c r="NPL192" s="1"/>
      <c r="NPM192" s="1"/>
      <c r="NPN192" s="25"/>
      <c r="NPQ192" s="23"/>
      <c r="NPR192" s="23"/>
      <c r="NPS192" s="23"/>
      <c r="NPT192" s="23"/>
      <c r="NPU192" s="23"/>
      <c r="NPV192" s="23"/>
      <c r="NPW192" s="24"/>
      <c r="NPX192" s="23"/>
      <c r="NPY192" s="23"/>
      <c r="NPZ192" s="23"/>
      <c r="NQA192" s="1"/>
      <c r="NQB192" s="1"/>
      <c r="NQC192" s="1"/>
      <c r="NQD192" s="25"/>
      <c r="NQG192" s="23"/>
      <c r="NQH192" s="23"/>
      <c r="NQI192" s="23"/>
      <c r="NQJ192" s="23"/>
      <c r="NQK192" s="23"/>
      <c r="NQL192" s="23"/>
      <c r="NQM192" s="24"/>
      <c r="NQN192" s="23"/>
      <c r="NQO192" s="23"/>
      <c r="NQP192" s="23"/>
      <c r="NQQ192" s="1"/>
      <c r="NQR192" s="1"/>
      <c r="NQS192" s="1"/>
      <c r="NQT192" s="25"/>
      <c r="NQW192" s="23"/>
      <c r="NQX192" s="23"/>
      <c r="NQY192" s="23"/>
      <c r="NQZ192" s="23"/>
      <c r="NRA192" s="23"/>
      <c r="NRB192" s="23"/>
      <c r="NRC192" s="24"/>
      <c r="NRD192" s="23"/>
      <c r="NRE192" s="23"/>
      <c r="NRF192" s="23"/>
      <c r="NRG192" s="1"/>
      <c r="NRH192" s="1"/>
      <c r="NRI192" s="1"/>
      <c r="NRJ192" s="25"/>
      <c r="NRM192" s="23"/>
      <c r="NRN192" s="23"/>
      <c r="NRO192" s="23"/>
      <c r="NRP192" s="23"/>
      <c r="NRQ192" s="23"/>
      <c r="NRR192" s="23"/>
      <c r="NRS192" s="24"/>
      <c r="NRT192" s="23"/>
      <c r="NRU192" s="23"/>
      <c r="NRV192" s="23"/>
      <c r="NRW192" s="1"/>
      <c r="NRX192" s="1"/>
      <c r="NRY192" s="1"/>
      <c r="NRZ192" s="25"/>
      <c r="NSC192" s="23"/>
      <c r="NSD192" s="23"/>
      <c r="NSE192" s="23"/>
      <c r="NSF192" s="23"/>
      <c r="NSG192" s="23"/>
      <c r="NSH192" s="23"/>
      <c r="NSI192" s="24"/>
      <c r="NSJ192" s="23"/>
      <c r="NSK192" s="23"/>
      <c r="NSL192" s="23"/>
      <c r="NSM192" s="1"/>
      <c r="NSN192" s="1"/>
      <c r="NSO192" s="1"/>
      <c r="NSP192" s="25"/>
      <c r="NSS192" s="23"/>
      <c r="NST192" s="23"/>
      <c r="NSU192" s="23"/>
      <c r="NSV192" s="23"/>
      <c r="NSW192" s="23"/>
      <c r="NSX192" s="23"/>
      <c r="NSY192" s="24"/>
      <c r="NSZ192" s="23"/>
      <c r="NTA192" s="23"/>
      <c r="NTB192" s="23"/>
      <c r="NTC192" s="1"/>
      <c r="NTD192" s="1"/>
      <c r="NTE192" s="1"/>
      <c r="NTF192" s="25"/>
      <c r="NTI192" s="23"/>
      <c r="NTJ192" s="23"/>
      <c r="NTK192" s="23"/>
      <c r="NTL192" s="23"/>
      <c r="NTM192" s="23"/>
      <c r="NTN192" s="23"/>
      <c r="NTO192" s="24"/>
      <c r="NTP192" s="23"/>
      <c r="NTQ192" s="23"/>
      <c r="NTR192" s="23"/>
      <c r="NTS192" s="1"/>
      <c r="NTT192" s="1"/>
      <c r="NTU192" s="1"/>
      <c r="NTV192" s="25"/>
      <c r="NTY192" s="23"/>
      <c r="NTZ192" s="23"/>
      <c r="NUA192" s="23"/>
      <c r="NUB192" s="23"/>
      <c r="NUC192" s="23"/>
      <c r="NUD192" s="23"/>
      <c r="NUE192" s="24"/>
      <c r="NUF192" s="23"/>
      <c r="NUG192" s="23"/>
      <c r="NUH192" s="23"/>
      <c r="NUI192" s="1"/>
      <c r="NUJ192" s="1"/>
      <c r="NUK192" s="1"/>
      <c r="NUL192" s="25"/>
      <c r="NUO192" s="23"/>
      <c r="NUP192" s="23"/>
      <c r="NUQ192" s="23"/>
      <c r="NUR192" s="23"/>
      <c r="NUS192" s="23"/>
      <c r="NUT192" s="23"/>
      <c r="NUU192" s="24"/>
      <c r="NUV192" s="23"/>
      <c r="NUW192" s="23"/>
      <c r="NUX192" s="23"/>
      <c r="NUY192" s="1"/>
      <c r="NUZ192" s="1"/>
      <c r="NVA192" s="1"/>
      <c r="NVB192" s="25"/>
      <c r="NVE192" s="23"/>
      <c r="NVF192" s="23"/>
      <c r="NVG192" s="23"/>
      <c r="NVH192" s="23"/>
      <c r="NVI192" s="23"/>
      <c r="NVJ192" s="23"/>
      <c r="NVK192" s="24"/>
      <c r="NVL192" s="23"/>
      <c r="NVM192" s="23"/>
      <c r="NVN192" s="23"/>
      <c r="NVO192" s="1"/>
      <c r="NVP192" s="1"/>
      <c r="NVQ192" s="1"/>
      <c r="NVR192" s="25"/>
      <c r="NVU192" s="23"/>
      <c r="NVV192" s="23"/>
      <c r="NVW192" s="23"/>
      <c r="NVX192" s="23"/>
      <c r="NVY192" s="23"/>
      <c r="NVZ192" s="23"/>
      <c r="NWA192" s="24"/>
      <c r="NWB192" s="23"/>
      <c r="NWC192" s="23"/>
      <c r="NWD192" s="23"/>
      <c r="NWE192" s="1"/>
      <c r="NWF192" s="1"/>
      <c r="NWG192" s="1"/>
      <c r="NWH192" s="25"/>
      <c r="NWK192" s="23"/>
      <c r="NWL192" s="23"/>
      <c r="NWM192" s="23"/>
      <c r="NWN192" s="23"/>
      <c r="NWO192" s="23"/>
      <c r="NWP192" s="23"/>
      <c r="NWQ192" s="24"/>
      <c r="NWR192" s="23"/>
      <c r="NWS192" s="23"/>
      <c r="NWT192" s="23"/>
      <c r="NWU192" s="1"/>
      <c r="NWV192" s="1"/>
      <c r="NWW192" s="1"/>
      <c r="NWX192" s="25"/>
      <c r="NXA192" s="23"/>
      <c r="NXB192" s="23"/>
      <c r="NXC192" s="23"/>
      <c r="NXD192" s="23"/>
      <c r="NXE192" s="23"/>
      <c r="NXF192" s="23"/>
      <c r="NXG192" s="24"/>
      <c r="NXH192" s="23"/>
      <c r="NXI192" s="23"/>
      <c r="NXJ192" s="23"/>
      <c r="NXK192" s="1"/>
      <c r="NXL192" s="1"/>
      <c r="NXM192" s="1"/>
      <c r="NXN192" s="25"/>
      <c r="NXQ192" s="23"/>
      <c r="NXR192" s="23"/>
      <c r="NXS192" s="23"/>
      <c r="NXT192" s="23"/>
      <c r="NXU192" s="23"/>
      <c r="NXV192" s="23"/>
      <c r="NXW192" s="24"/>
      <c r="NXX192" s="23"/>
      <c r="NXY192" s="23"/>
      <c r="NXZ192" s="23"/>
      <c r="NYA192" s="1"/>
      <c r="NYB192" s="1"/>
      <c r="NYC192" s="1"/>
      <c r="NYD192" s="25"/>
      <c r="NYG192" s="23"/>
      <c r="NYH192" s="23"/>
      <c r="NYI192" s="23"/>
      <c r="NYJ192" s="23"/>
      <c r="NYK192" s="23"/>
      <c r="NYL192" s="23"/>
      <c r="NYM192" s="24"/>
      <c r="NYN192" s="23"/>
      <c r="NYO192" s="23"/>
      <c r="NYP192" s="23"/>
      <c r="NYQ192" s="1"/>
      <c r="NYR192" s="1"/>
      <c r="NYS192" s="1"/>
      <c r="NYT192" s="25"/>
      <c r="NYW192" s="23"/>
      <c r="NYX192" s="23"/>
      <c r="NYY192" s="23"/>
      <c r="NYZ192" s="23"/>
      <c r="NZA192" s="23"/>
      <c r="NZB192" s="23"/>
      <c r="NZC192" s="24"/>
      <c r="NZD192" s="23"/>
      <c r="NZE192" s="23"/>
      <c r="NZF192" s="23"/>
      <c r="NZG192" s="1"/>
      <c r="NZH192" s="1"/>
      <c r="NZI192" s="1"/>
      <c r="NZJ192" s="25"/>
      <c r="NZM192" s="23"/>
      <c r="NZN192" s="23"/>
      <c r="NZO192" s="23"/>
      <c r="NZP192" s="23"/>
      <c r="NZQ192" s="23"/>
      <c r="NZR192" s="23"/>
      <c r="NZS192" s="24"/>
      <c r="NZT192" s="23"/>
      <c r="NZU192" s="23"/>
      <c r="NZV192" s="23"/>
      <c r="NZW192" s="1"/>
      <c r="NZX192" s="1"/>
      <c r="NZY192" s="1"/>
      <c r="NZZ192" s="25"/>
      <c r="OAC192" s="23"/>
      <c r="OAD192" s="23"/>
      <c r="OAE192" s="23"/>
      <c r="OAF192" s="23"/>
      <c r="OAG192" s="23"/>
      <c r="OAH192" s="23"/>
      <c r="OAI192" s="24"/>
      <c r="OAJ192" s="23"/>
      <c r="OAK192" s="23"/>
      <c r="OAL192" s="23"/>
      <c r="OAM192" s="1"/>
      <c r="OAN192" s="1"/>
      <c r="OAO192" s="1"/>
      <c r="OAP192" s="25"/>
      <c r="OAS192" s="23"/>
      <c r="OAT192" s="23"/>
      <c r="OAU192" s="23"/>
      <c r="OAV192" s="23"/>
      <c r="OAW192" s="23"/>
      <c r="OAX192" s="23"/>
      <c r="OAY192" s="24"/>
      <c r="OAZ192" s="23"/>
      <c r="OBA192" s="23"/>
      <c r="OBB192" s="23"/>
      <c r="OBC192" s="1"/>
      <c r="OBD192" s="1"/>
      <c r="OBE192" s="1"/>
      <c r="OBF192" s="25"/>
      <c r="OBI192" s="23"/>
      <c r="OBJ192" s="23"/>
      <c r="OBK192" s="23"/>
      <c r="OBL192" s="23"/>
      <c r="OBM192" s="23"/>
      <c r="OBN192" s="23"/>
      <c r="OBO192" s="24"/>
      <c r="OBP192" s="23"/>
      <c r="OBQ192" s="23"/>
      <c r="OBR192" s="23"/>
      <c r="OBS192" s="1"/>
      <c r="OBT192" s="1"/>
      <c r="OBU192" s="1"/>
      <c r="OBV192" s="25"/>
      <c r="OBY192" s="23"/>
      <c r="OBZ192" s="23"/>
      <c r="OCA192" s="23"/>
      <c r="OCB192" s="23"/>
      <c r="OCC192" s="23"/>
      <c r="OCD192" s="23"/>
      <c r="OCE192" s="24"/>
      <c r="OCF192" s="23"/>
      <c r="OCG192" s="23"/>
      <c r="OCH192" s="23"/>
      <c r="OCI192" s="1"/>
      <c r="OCJ192" s="1"/>
      <c r="OCK192" s="1"/>
      <c r="OCL192" s="25"/>
      <c r="OCO192" s="23"/>
      <c r="OCP192" s="23"/>
      <c r="OCQ192" s="23"/>
      <c r="OCR192" s="23"/>
      <c r="OCS192" s="23"/>
      <c r="OCT192" s="23"/>
      <c r="OCU192" s="24"/>
      <c r="OCV192" s="23"/>
      <c r="OCW192" s="23"/>
      <c r="OCX192" s="23"/>
      <c r="OCY192" s="1"/>
      <c r="OCZ192" s="1"/>
      <c r="ODA192" s="1"/>
      <c r="ODB192" s="25"/>
      <c r="ODE192" s="23"/>
      <c r="ODF192" s="23"/>
      <c r="ODG192" s="23"/>
      <c r="ODH192" s="23"/>
      <c r="ODI192" s="23"/>
      <c r="ODJ192" s="23"/>
      <c r="ODK192" s="24"/>
      <c r="ODL192" s="23"/>
      <c r="ODM192" s="23"/>
      <c r="ODN192" s="23"/>
      <c r="ODO192" s="1"/>
      <c r="ODP192" s="1"/>
      <c r="ODQ192" s="1"/>
      <c r="ODR192" s="25"/>
      <c r="ODU192" s="23"/>
      <c r="ODV192" s="23"/>
      <c r="ODW192" s="23"/>
      <c r="ODX192" s="23"/>
      <c r="ODY192" s="23"/>
      <c r="ODZ192" s="23"/>
      <c r="OEA192" s="24"/>
      <c r="OEB192" s="23"/>
      <c r="OEC192" s="23"/>
      <c r="OED192" s="23"/>
      <c r="OEE192" s="1"/>
      <c r="OEF192" s="1"/>
      <c r="OEG192" s="1"/>
      <c r="OEH192" s="25"/>
      <c r="OEK192" s="23"/>
      <c r="OEL192" s="23"/>
      <c r="OEM192" s="23"/>
      <c r="OEN192" s="23"/>
      <c r="OEO192" s="23"/>
      <c r="OEP192" s="23"/>
      <c r="OEQ192" s="24"/>
      <c r="OER192" s="23"/>
      <c r="OES192" s="23"/>
      <c r="OET192" s="23"/>
      <c r="OEU192" s="1"/>
      <c r="OEV192" s="1"/>
      <c r="OEW192" s="1"/>
      <c r="OEX192" s="25"/>
      <c r="OFA192" s="23"/>
      <c r="OFB192" s="23"/>
      <c r="OFC192" s="23"/>
      <c r="OFD192" s="23"/>
      <c r="OFE192" s="23"/>
      <c r="OFF192" s="23"/>
      <c r="OFG192" s="24"/>
      <c r="OFH192" s="23"/>
      <c r="OFI192" s="23"/>
      <c r="OFJ192" s="23"/>
      <c r="OFK192" s="1"/>
      <c r="OFL192" s="1"/>
      <c r="OFM192" s="1"/>
      <c r="OFN192" s="25"/>
      <c r="OFQ192" s="23"/>
      <c r="OFR192" s="23"/>
      <c r="OFS192" s="23"/>
      <c r="OFT192" s="23"/>
      <c r="OFU192" s="23"/>
      <c r="OFV192" s="23"/>
      <c r="OFW192" s="24"/>
      <c r="OFX192" s="23"/>
      <c r="OFY192" s="23"/>
      <c r="OFZ192" s="23"/>
      <c r="OGA192" s="1"/>
      <c r="OGB192" s="1"/>
      <c r="OGC192" s="1"/>
      <c r="OGD192" s="25"/>
      <c r="OGG192" s="23"/>
      <c r="OGH192" s="23"/>
      <c r="OGI192" s="23"/>
      <c r="OGJ192" s="23"/>
      <c r="OGK192" s="23"/>
      <c r="OGL192" s="23"/>
      <c r="OGM192" s="24"/>
      <c r="OGN192" s="23"/>
      <c r="OGO192" s="23"/>
      <c r="OGP192" s="23"/>
      <c r="OGQ192" s="1"/>
      <c r="OGR192" s="1"/>
      <c r="OGS192" s="1"/>
      <c r="OGT192" s="25"/>
      <c r="OGW192" s="23"/>
      <c r="OGX192" s="23"/>
      <c r="OGY192" s="23"/>
      <c r="OGZ192" s="23"/>
      <c r="OHA192" s="23"/>
      <c r="OHB192" s="23"/>
      <c r="OHC192" s="24"/>
      <c r="OHD192" s="23"/>
      <c r="OHE192" s="23"/>
      <c r="OHF192" s="23"/>
      <c r="OHG192" s="1"/>
      <c r="OHH192" s="1"/>
      <c r="OHI192" s="1"/>
      <c r="OHJ192" s="25"/>
      <c r="OHM192" s="23"/>
      <c r="OHN192" s="23"/>
      <c r="OHO192" s="23"/>
      <c r="OHP192" s="23"/>
      <c r="OHQ192" s="23"/>
      <c r="OHR192" s="23"/>
      <c r="OHS192" s="24"/>
      <c r="OHT192" s="23"/>
      <c r="OHU192" s="23"/>
      <c r="OHV192" s="23"/>
      <c r="OHW192" s="1"/>
      <c r="OHX192" s="1"/>
      <c r="OHY192" s="1"/>
      <c r="OHZ192" s="25"/>
      <c r="OIC192" s="23"/>
      <c r="OID192" s="23"/>
      <c r="OIE192" s="23"/>
      <c r="OIF192" s="23"/>
      <c r="OIG192" s="23"/>
      <c r="OIH192" s="23"/>
      <c r="OII192" s="24"/>
      <c r="OIJ192" s="23"/>
      <c r="OIK192" s="23"/>
      <c r="OIL192" s="23"/>
      <c r="OIM192" s="1"/>
      <c r="OIN192" s="1"/>
      <c r="OIO192" s="1"/>
      <c r="OIP192" s="25"/>
      <c r="OIS192" s="23"/>
      <c r="OIT192" s="23"/>
      <c r="OIU192" s="23"/>
      <c r="OIV192" s="23"/>
      <c r="OIW192" s="23"/>
      <c r="OIX192" s="23"/>
      <c r="OIY192" s="24"/>
      <c r="OIZ192" s="23"/>
      <c r="OJA192" s="23"/>
      <c r="OJB192" s="23"/>
      <c r="OJC192" s="1"/>
      <c r="OJD192" s="1"/>
      <c r="OJE192" s="1"/>
      <c r="OJF192" s="25"/>
      <c r="OJI192" s="23"/>
      <c r="OJJ192" s="23"/>
      <c r="OJK192" s="23"/>
      <c r="OJL192" s="23"/>
      <c r="OJM192" s="23"/>
      <c r="OJN192" s="23"/>
      <c r="OJO192" s="24"/>
      <c r="OJP192" s="23"/>
      <c r="OJQ192" s="23"/>
      <c r="OJR192" s="23"/>
      <c r="OJS192" s="1"/>
      <c r="OJT192" s="1"/>
      <c r="OJU192" s="1"/>
      <c r="OJV192" s="25"/>
      <c r="OJY192" s="23"/>
      <c r="OJZ192" s="23"/>
      <c r="OKA192" s="23"/>
      <c r="OKB192" s="23"/>
      <c r="OKC192" s="23"/>
      <c r="OKD192" s="23"/>
      <c r="OKE192" s="24"/>
      <c r="OKF192" s="23"/>
      <c r="OKG192" s="23"/>
      <c r="OKH192" s="23"/>
      <c r="OKI192" s="1"/>
      <c r="OKJ192" s="1"/>
      <c r="OKK192" s="1"/>
      <c r="OKL192" s="25"/>
      <c r="OKO192" s="23"/>
      <c r="OKP192" s="23"/>
      <c r="OKQ192" s="23"/>
      <c r="OKR192" s="23"/>
      <c r="OKS192" s="23"/>
      <c r="OKT192" s="23"/>
      <c r="OKU192" s="24"/>
      <c r="OKV192" s="23"/>
      <c r="OKW192" s="23"/>
      <c r="OKX192" s="23"/>
      <c r="OKY192" s="1"/>
      <c r="OKZ192" s="1"/>
      <c r="OLA192" s="1"/>
      <c r="OLB192" s="25"/>
      <c r="OLE192" s="23"/>
      <c r="OLF192" s="23"/>
      <c r="OLG192" s="23"/>
      <c r="OLH192" s="23"/>
      <c r="OLI192" s="23"/>
      <c r="OLJ192" s="23"/>
      <c r="OLK192" s="24"/>
      <c r="OLL192" s="23"/>
      <c r="OLM192" s="23"/>
      <c r="OLN192" s="23"/>
      <c r="OLO192" s="1"/>
      <c r="OLP192" s="1"/>
      <c r="OLQ192" s="1"/>
      <c r="OLR192" s="25"/>
      <c r="OLU192" s="23"/>
      <c r="OLV192" s="23"/>
      <c r="OLW192" s="23"/>
      <c r="OLX192" s="23"/>
      <c r="OLY192" s="23"/>
      <c r="OLZ192" s="23"/>
      <c r="OMA192" s="24"/>
      <c r="OMB192" s="23"/>
      <c r="OMC192" s="23"/>
      <c r="OMD192" s="23"/>
      <c r="OME192" s="1"/>
      <c r="OMF192" s="1"/>
      <c r="OMG192" s="1"/>
      <c r="OMH192" s="25"/>
      <c r="OMK192" s="23"/>
      <c r="OML192" s="23"/>
      <c r="OMM192" s="23"/>
      <c r="OMN192" s="23"/>
      <c r="OMO192" s="23"/>
      <c r="OMP192" s="23"/>
      <c r="OMQ192" s="24"/>
      <c r="OMR192" s="23"/>
      <c r="OMS192" s="23"/>
      <c r="OMT192" s="23"/>
      <c r="OMU192" s="1"/>
      <c r="OMV192" s="1"/>
      <c r="OMW192" s="1"/>
      <c r="OMX192" s="25"/>
      <c r="ONA192" s="23"/>
      <c r="ONB192" s="23"/>
      <c r="ONC192" s="23"/>
      <c r="OND192" s="23"/>
      <c r="ONE192" s="23"/>
      <c r="ONF192" s="23"/>
      <c r="ONG192" s="24"/>
      <c r="ONH192" s="23"/>
      <c r="ONI192" s="23"/>
      <c r="ONJ192" s="23"/>
      <c r="ONK192" s="1"/>
      <c r="ONL192" s="1"/>
      <c r="ONM192" s="1"/>
      <c r="ONN192" s="25"/>
      <c r="ONQ192" s="23"/>
      <c r="ONR192" s="23"/>
      <c r="ONS192" s="23"/>
      <c r="ONT192" s="23"/>
      <c r="ONU192" s="23"/>
      <c r="ONV192" s="23"/>
      <c r="ONW192" s="24"/>
      <c r="ONX192" s="23"/>
      <c r="ONY192" s="23"/>
      <c r="ONZ192" s="23"/>
      <c r="OOA192" s="1"/>
      <c r="OOB192" s="1"/>
      <c r="OOC192" s="1"/>
      <c r="OOD192" s="25"/>
      <c r="OOG192" s="23"/>
      <c r="OOH192" s="23"/>
      <c r="OOI192" s="23"/>
      <c r="OOJ192" s="23"/>
      <c r="OOK192" s="23"/>
      <c r="OOL192" s="23"/>
      <c r="OOM192" s="24"/>
      <c r="OON192" s="23"/>
      <c r="OOO192" s="23"/>
      <c r="OOP192" s="23"/>
      <c r="OOQ192" s="1"/>
      <c r="OOR192" s="1"/>
      <c r="OOS192" s="1"/>
      <c r="OOT192" s="25"/>
      <c r="OOW192" s="23"/>
      <c r="OOX192" s="23"/>
      <c r="OOY192" s="23"/>
      <c r="OOZ192" s="23"/>
      <c r="OPA192" s="23"/>
      <c r="OPB192" s="23"/>
      <c r="OPC192" s="24"/>
      <c r="OPD192" s="23"/>
      <c r="OPE192" s="23"/>
      <c r="OPF192" s="23"/>
      <c r="OPG192" s="1"/>
      <c r="OPH192" s="1"/>
      <c r="OPI192" s="1"/>
      <c r="OPJ192" s="25"/>
      <c r="OPM192" s="23"/>
      <c r="OPN192" s="23"/>
      <c r="OPO192" s="23"/>
      <c r="OPP192" s="23"/>
      <c r="OPQ192" s="23"/>
      <c r="OPR192" s="23"/>
      <c r="OPS192" s="24"/>
      <c r="OPT192" s="23"/>
      <c r="OPU192" s="23"/>
      <c r="OPV192" s="23"/>
      <c r="OPW192" s="1"/>
      <c r="OPX192" s="1"/>
      <c r="OPY192" s="1"/>
      <c r="OPZ192" s="25"/>
      <c r="OQC192" s="23"/>
      <c r="OQD192" s="23"/>
      <c r="OQE192" s="23"/>
      <c r="OQF192" s="23"/>
      <c r="OQG192" s="23"/>
      <c r="OQH192" s="23"/>
      <c r="OQI192" s="24"/>
      <c r="OQJ192" s="23"/>
      <c r="OQK192" s="23"/>
      <c r="OQL192" s="23"/>
      <c r="OQM192" s="1"/>
      <c r="OQN192" s="1"/>
      <c r="OQO192" s="1"/>
      <c r="OQP192" s="25"/>
      <c r="OQS192" s="23"/>
      <c r="OQT192" s="23"/>
      <c r="OQU192" s="23"/>
      <c r="OQV192" s="23"/>
      <c r="OQW192" s="23"/>
      <c r="OQX192" s="23"/>
      <c r="OQY192" s="24"/>
      <c r="OQZ192" s="23"/>
      <c r="ORA192" s="23"/>
      <c r="ORB192" s="23"/>
      <c r="ORC192" s="1"/>
      <c r="ORD192" s="1"/>
      <c r="ORE192" s="1"/>
      <c r="ORF192" s="25"/>
      <c r="ORI192" s="23"/>
      <c r="ORJ192" s="23"/>
      <c r="ORK192" s="23"/>
      <c r="ORL192" s="23"/>
      <c r="ORM192" s="23"/>
      <c r="ORN192" s="23"/>
      <c r="ORO192" s="24"/>
      <c r="ORP192" s="23"/>
      <c r="ORQ192" s="23"/>
      <c r="ORR192" s="23"/>
      <c r="ORS192" s="1"/>
      <c r="ORT192" s="1"/>
      <c r="ORU192" s="1"/>
      <c r="ORV192" s="25"/>
      <c r="ORY192" s="23"/>
      <c r="ORZ192" s="23"/>
      <c r="OSA192" s="23"/>
      <c r="OSB192" s="23"/>
      <c r="OSC192" s="23"/>
      <c r="OSD192" s="23"/>
      <c r="OSE192" s="24"/>
      <c r="OSF192" s="23"/>
      <c r="OSG192" s="23"/>
      <c r="OSH192" s="23"/>
      <c r="OSI192" s="1"/>
      <c r="OSJ192" s="1"/>
      <c r="OSK192" s="1"/>
      <c r="OSL192" s="25"/>
      <c r="OSO192" s="23"/>
      <c r="OSP192" s="23"/>
      <c r="OSQ192" s="23"/>
      <c r="OSR192" s="23"/>
      <c r="OSS192" s="23"/>
      <c r="OST192" s="23"/>
      <c r="OSU192" s="24"/>
      <c r="OSV192" s="23"/>
      <c r="OSW192" s="23"/>
      <c r="OSX192" s="23"/>
      <c r="OSY192" s="1"/>
      <c r="OSZ192" s="1"/>
      <c r="OTA192" s="1"/>
      <c r="OTB192" s="25"/>
      <c r="OTE192" s="23"/>
      <c r="OTF192" s="23"/>
      <c r="OTG192" s="23"/>
      <c r="OTH192" s="23"/>
      <c r="OTI192" s="23"/>
      <c r="OTJ192" s="23"/>
      <c r="OTK192" s="24"/>
      <c r="OTL192" s="23"/>
      <c r="OTM192" s="23"/>
      <c r="OTN192" s="23"/>
      <c r="OTO192" s="1"/>
      <c r="OTP192" s="1"/>
      <c r="OTQ192" s="1"/>
      <c r="OTR192" s="25"/>
      <c r="OTU192" s="23"/>
      <c r="OTV192" s="23"/>
      <c r="OTW192" s="23"/>
      <c r="OTX192" s="23"/>
      <c r="OTY192" s="23"/>
      <c r="OTZ192" s="23"/>
      <c r="OUA192" s="24"/>
      <c r="OUB192" s="23"/>
      <c r="OUC192" s="23"/>
      <c r="OUD192" s="23"/>
      <c r="OUE192" s="1"/>
      <c r="OUF192" s="1"/>
      <c r="OUG192" s="1"/>
      <c r="OUH192" s="25"/>
      <c r="OUK192" s="23"/>
      <c r="OUL192" s="23"/>
      <c r="OUM192" s="23"/>
      <c r="OUN192" s="23"/>
      <c r="OUO192" s="23"/>
      <c r="OUP192" s="23"/>
      <c r="OUQ192" s="24"/>
      <c r="OUR192" s="23"/>
      <c r="OUS192" s="23"/>
      <c r="OUT192" s="23"/>
      <c r="OUU192" s="1"/>
      <c r="OUV192" s="1"/>
      <c r="OUW192" s="1"/>
      <c r="OUX192" s="25"/>
      <c r="OVA192" s="23"/>
      <c r="OVB192" s="23"/>
      <c r="OVC192" s="23"/>
      <c r="OVD192" s="23"/>
      <c r="OVE192" s="23"/>
      <c r="OVF192" s="23"/>
      <c r="OVG192" s="24"/>
      <c r="OVH192" s="23"/>
      <c r="OVI192" s="23"/>
      <c r="OVJ192" s="23"/>
      <c r="OVK192" s="1"/>
      <c r="OVL192" s="1"/>
      <c r="OVM192" s="1"/>
      <c r="OVN192" s="25"/>
      <c r="OVQ192" s="23"/>
      <c r="OVR192" s="23"/>
      <c r="OVS192" s="23"/>
      <c r="OVT192" s="23"/>
      <c r="OVU192" s="23"/>
      <c r="OVV192" s="23"/>
      <c r="OVW192" s="24"/>
      <c r="OVX192" s="23"/>
      <c r="OVY192" s="23"/>
      <c r="OVZ192" s="23"/>
      <c r="OWA192" s="1"/>
      <c r="OWB192" s="1"/>
      <c r="OWC192" s="1"/>
      <c r="OWD192" s="25"/>
      <c r="OWG192" s="23"/>
      <c r="OWH192" s="23"/>
      <c r="OWI192" s="23"/>
      <c r="OWJ192" s="23"/>
      <c r="OWK192" s="23"/>
      <c r="OWL192" s="23"/>
      <c r="OWM192" s="24"/>
      <c r="OWN192" s="23"/>
      <c r="OWO192" s="23"/>
      <c r="OWP192" s="23"/>
      <c r="OWQ192" s="1"/>
      <c r="OWR192" s="1"/>
      <c r="OWS192" s="1"/>
      <c r="OWT192" s="25"/>
      <c r="OWW192" s="23"/>
      <c r="OWX192" s="23"/>
      <c r="OWY192" s="23"/>
      <c r="OWZ192" s="23"/>
      <c r="OXA192" s="23"/>
      <c r="OXB192" s="23"/>
      <c r="OXC192" s="24"/>
      <c r="OXD192" s="23"/>
      <c r="OXE192" s="23"/>
      <c r="OXF192" s="23"/>
      <c r="OXG192" s="1"/>
      <c r="OXH192" s="1"/>
      <c r="OXI192" s="1"/>
      <c r="OXJ192" s="25"/>
      <c r="OXM192" s="23"/>
      <c r="OXN192" s="23"/>
      <c r="OXO192" s="23"/>
      <c r="OXP192" s="23"/>
      <c r="OXQ192" s="23"/>
      <c r="OXR192" s="23"/>
      <c r="OXS192" s="24"/>
      <c r="OXT192" s="23"/>
      <c r="OXU192" s="23"/>
      <c r="OXV192" s="23"/>
      <c r="OXW192" s="1"/>
      <c r="OXX192" s="1"/>
      <c r="OXY192" s="1"/>
      <c r="OXZ192" s="25"/>
      <c r="OYC192" s="23"/>
      <c r="OYD192" s="23"/>
      <c r="OYE192" s="23"/>
      <c r="OYF192" s="23"/>
      <c r="OYG192" s="23"/>
      <c r="OYH192" s="23"/>
      <c r="OYI192" s="24"/>
      <c r="OYJ192" s="23"/>
      <c r="OYK192" s="23"/>
      <c r="OYL192" s="23"/>
      <c r="OYM192" s="1"/>
      <c r="OYN192" s="1"/>
      <c r="OYO192" s="1"/>
      <c r="OYP192" s="25"/>
      <c r="OYS192" s="23"/>
      <c r="OYT192" s="23"/>
      <c r="OYU192" s="23"/>
      <c r="OYV192" s="23"/>
      <c r="OYW192" s="23"/>
      <c r="OYX192" s="23"/>
      <c r="OYY192" s="24"/>
      <c r="OYZ192" s="23"/>
      <c r="OZA192" s="23"/>
      <c r="OZB192" s="23"/>
      <c r="OZC192" s="1"/>
      <c r="OZD192" s="1"/>
      <c r="OZE192" s="1"/>
      <c r="OZF192" s="25"/>
      <c r="OZI192" s="23"/>
      <c r="OZJ192" s="23"/>
      <c r="OZK192" s="23"/>
      <c r="OZL192" s="23"/>
      <c r="OZM192" s="23"/>
      <c r="OZN192" s="23"/>
      <c r="OZO192" s="24"/>
      <c r="OZP192" s="23"/>
      <c r="OZQ192" s="23"/>
      <c r="OZR192" s="23"/>
      <c r="OZS192" s="1"/>
      <c r="OZT192" s="1"/>
      <c r="OZU192" s="1"/>
      <c r="OZV192" s="25"/>
      <c r="OZY192" s="23"/>
      <c r="OZZ192" s="23"/>
      <c r="PAA192" s="23"/>
      <c r="PAB192" s="23"/>
      <c r="PAC192" s="23"/>
      <c r="PAD192" s="23"/>
      <c r="PAE192" s="24"/>
      <c r="PAF192" s="23"/>
      <c r="PAG192" s="23"/>
      <c r="PAH192" s="23"/>
      <c r="PAI192" s="1"/>
      <c r="PAJ192" s="1"/>
      <c r="PAK192" s="1"/>
      <c r="PAL192" s="25"/>
      <c r="PAO192" s="23"/>
      <c r="PAP192" s="23"/>
      <c r="PAQ192" s="23"/>
      <c r="PAR192" s="23"/>
      <c r="PAS192" s="23"/>
      <c r="PAT192" s="23"/>
      <c r="PAU192" s="24"/>
      <c r="PAV192" s="23"/>
      <c r="PAW192" s="23"/>
      <c r="PAX192" s="23"/>
      <c r="PAY192" s="1"/>
      <c r="PAZ192" s="1"/>
      <c r="PBA192" s="1"/>
      <c r="PBB192" s="25"/>
      <c r="PBE192" s="23"/>
      <c r="PBF192" s="23"/>
      <c r="PBG192" s="23"/>
      <c r="PBH192" s="23"/>
      <c r="PBI192" s="23"/>
      <c r="PBJ192" s="23"/>
      <c r="PBK192" s="24"/>
      <c r="PBL192" s="23"/>
      <c r="PBM192" s="23"/>
      <c r="PBN192" s="23"/>
      <c r="PBO192" s="1"/>
      <c r="PBP192" s="1"/>
      <c r="PBQ192" s="1"/>
      <c r="PBR192" s="25"/>
      <c r="PBU192" s="23"/>
      <c r="PBV192" s="23"/>
      <c r="PBW192" s="23"/>
      <c r="PBX192" s="23"/>
      <c r="PBY192" s="23"/>
      <c r="PBZ192" s="23"/>
      <c r="PCA192" s="24"/>
      <c r="PCB192" s="23"/>
      <c r="PCC192" s="23"/>
      <c r="PCD192" s="23"/>
      <c r="PCE192" s="1"/>
      <c r="PCF192" s="1"/>
      <c r="PCG192" s="1"/>
      <c r="PCH192" s="25"/>
      <c r="PCK192" s="23"/>
      <c r="PCL192" s="23"/>
      <c r="PCM192" s="23"/>
      <c r="PCN192" s="23"/>
      <c r="PCO192" s="23"/>
      <c r="PCP192" s="23"/>
      <c r="PCQ192" s="24"/>
      <c r="PCR192" s="23"/>
      <c r="PCS192" s="23"/>
      <c r="PCT192" s="23"/>
      <c r="PCU192" s="1"/>
      <c r="PCV192" s="1"/>
      <c r="PCW192" s="1"/>
      <c r="PCX192" s="25"/>
      <c r="PDA192" s="23"/>
      <c r="PDB192" s="23"/>
      <c r="PDC192" s="23"/>
      <c r="PDD192" s="23"/>
      <c r="PDE192" s="23"/>
      <c r="PDF192" s="23"/>
      <c r="PDG192" s="24"/>
      <c r="PDH192" s="23"/>
      <c r="PDI192" s="23"/>
      <c r="PDJ192" s="23"/>
      <c r="PDK192" s="1"/>
      <c r="PDL192" s="1"/>
      <c r="PDM192" s="1"/>
      <c r="PDN192" s="25"/>
      <c r="PDQ192" s="23"/>
      <c r="PDR192" s="23"/>
      <c r="PDS192" s="23"/>
      <c r="PDT192" s="23"/>
      <c r="PDU192" s="23"/>
      <c r="PDV192" s="23"/>
      <c r="PDW192" s="24"/>
      <c r="PDX192" s="23"/>
      <c r="PDY192" s="23"/>
      <c r="PDZ192" s="23"/>
      <c r="PEA192" s="1"/>
      <c r="PEB192" s="1"/>
      <c r="PEC192" s="1"/>
      <c r="PED192" s="25"/>
      <c r="PEG192" s="23"/>
      <c r="PEH192" s="23"/>
      <c r="PEI192" s="23"/>
      <c r="PEJ192" s="23"/>
      <c r="PEK192" s="23"/>
      <c r="PEL192" s="23"/>
      <c r="PEM192" s="24"/>
      <c r="PEN192" s="23"/>
      <c r="PEO192" s="23"/>
      <c r="PEP192" s="23"/>
      <c r="PEQ192" s="1"/>
      <c r="PER192" s="1"/>
      <c r="PES192" s="1"/>
      <c r="PET192" s="25"/>
      <c r="PEW192" s="23"/>
      <c r="PEX192" s="23"/>
      <c r="PEY192" s="23"/>
      <c r="PEZ192" s="23"/>
      <c r="PFA192" s="23"/>
      <c r="PFB192" s="23"/>
      <c r="PFC192" s="24"/>
      <c r="PFD192" s="23"/>
      <c r="PFE192" s="23"/>
      <c r="PFF192" s="23"/>
      <c r="PFG192" s="1"/>
      <c r="PFH192" s="1"/>
      <c r="PFI192" s="1"/>
      <c r="PFJ192" s="25"/>
      <c r="PFM192" s="23"/>
      <c r="PFN192" s="23"/>
      <c r="PFO192" s="23"/>
      <c r="PFP192" s="23"/>
      <c r="PFQ192" s="23"/>
      <c r="PFR192" s="23"/>
      <c r="PFS192" s="24"/>
      <c r="PFT192" s="23"/>
      <c r="PFU192" s="23"/>
      <c r="PFV192" s="23"/>
      <c r="PFW192" s="1"/>
      <c r="PFX192" s="1"/>
      <c r="PFY192" s="1"/>
      <c r="PFZ192" s="25"/>
      <c r="PGC192" s="23"/>
      <c r="PGD192" s="23"/>
      <c r="PGE192" s="23"/>
      <c r="PGF192" s="23"/>
      <c r="PGG192" s="23"/>
      <c r="PGH192" s="23"/>
      <c r="PGI192" s="24"/>
      <c r="PGJ192" s="23"/>
      <c r="PGK192" s="23"/>
      <c r="PGL192" s="23"/>
      <c r="PGM192" s="1"/>
      <c r="PGN192" s="1"/>
      <c r="PGO192" s="1"/>
      <c r="PGP192" s="25"/>
      <c r="PGS192" s="23"/>
      <c r="PGT192" s="23"/>
      <c r="PGU192" s="23"/>
      <c r="PGV192" s="23"/>
      <c r="PGW192" s="23"/>
      <c r="PGX192" s="23"/>
      <c r="PGY192" s="24"/>
      <c r="PGZ192" s="23"/>
      <c r="PHA192" s="23"/>
      <c r="PHB192" s="23"/>
      <c r="PHC192" s="1"/>
      <c r="PHD192" s="1"/>
      <c r="PHE192" s="1"/>
      <c r="PHF192" s="25"/>
      <c r="PHI192" s="23"/>
      <c r="PHJ192" s="23"/>
      <c r="PHK192" s="23"/>
      <c r="PHL192" s="23"/>
      <c r="PHM192" s="23"/>
      <c r="PHN192" s="23"/>
      <c r="PHO192" s="24"/>
      <c r="PHP192" s="23"/>
      <c r="PHQ192" s="23"/>
      <c r="PHR192" s="23"/>
      <c r="PHS192" s="1"/>
      <c r="PHT192" s="1"/>
      <c r="PHU192" s="1"/>
      <c r="PHV192" s="25"/>
      <c r="PHY192" s="23"/>
      <c r="PHZ192" s="23"/>
      <c r="PIA192" s="23"/>
      <c r="PIB192" s="23"/>
      <c r="PIC192" s="23"/>
      <c r="PID192" s="23"/>
      <c r="PIE192" s="24"/>
      <c r="PIF192" s="23"/>
      <c r="PIG192" s="23"/>
      <c r="PIH192" s="23"/>
      <c r="PII192" s="1"/>
      <c r="PIJ192" s="1"/>
      <c r="PIK192" s="1"/>
      <c r="PIL192" s="25"/>
      <c r="PIO192" s="23"/>
      <c r="PIP192" s="23"/>
      <c r="PIQ192" s="23"/>
      <c r="PIR192" s="23"/>
      <c r="PIS192" s="23"/>
      <c r="PIT192" s="23"/>
      <c r="PIU192" s="24"/>
      <c r="PIV192" s="23"/>
      <c r="PIW192" s="23"/>
      <c r="PIX192" s="23"/>
      <c r="PIY192" s="1"/>
      <c r="PIZ192" s="1"/>
      <c r="PJA192" s="1"/>
      <c r="PJB192" s="25"/>
      <c r="PJE192" s="23"/>
      <c r="PJF192" s="23"/>
      <c r="PJG192" s="23"/>
      <c r="PJH192" s="23"/>
      <c r="PJI192" s="23"/>
      <c r="PJJ192" s="23"/>
      <c r="PJK192" s="24"/>
      <c r="PJL192" s="23"/>
      <c r="PJM192" s="23"/>
      <c r="PJN192" s="23"/>
      <c r="PJO192" s="1"/>
      <c r="PJP192" s="1"/>
      <c r="PJQ192" s="1"/>
      <c r="PJR192" s="25"/>
      <c r="PJU192" s="23"/>
      <c r="PJV192" s="23"/>
      <c r="PJW192" s="23"/>
      <c r="PJX192" s="23"/>
      <c r="PJY192" s="23"/>
      <c r="PJZ192" s="23"/>
      <c r="PKA192" s="24"/>
      <c r="PKB192" s="23"/>
      <c r="PKC192" s="23"/>
      <c r="PKD192" s="23"/>
      <c r="PKE192" s="1"/>
      <c r="PKF192" s="1"/>
      <c r="PKG192" s="1"/>
      <c r="PKH192" s="25"/>
      <c r="PKK192" s="23"/>
      <c r="PKL192" s="23"/>
      <c r="PKM192" s="23"/>
      <c r="PKN192" s="23"/>
      <c r="PKO192" s="23"/>
      <c r="PKP192" s="23"/>
      <c r="PKQ192" s="24"/>
      <c r="PKR192" s="23"/>
      <c r="PKS192" s="23"/>
      <c r="PKT192" s="23"/>
      <c r="PKU192" s="1"/>
      <c r="PKV192" s="1"/>
      <c r="PKW192" s="1"/>
      <c r="PKX192" s="25"/>
      <c r="PLA192" s="23"/>
      <c r="PLB192" s="23"/>
      <c r="PLC192" s="23"/>
      <c r="PLD192" s="23"/>
      <c r="PLE192" s="23"/>
      <c r="PLF192" s="23"/>
      <c r="PLG192" s="24"/>
      <c r="PLH192" s="23"/>
      <c r="PLI192" s="23"/>
      <c r="PLJ192" s="23"/>
      <c r="PLK192" s="1"/>
      <c r="PLL192" s="1"/>
      <c r="PLM192" s="1"/>
      <c r="PLN192" s="25"/>
      <c r="PLQ192" s="23"/>
      <c r="PLR192" s="23"/>
      <c r="PLS192" s="23"/>
      <c r="PLT192" s="23"/>
      <c r="PLU192" s="23"/>
      <c r="PLV192" s="23"/>
      <c r="PLW192" s="24"/>
      <c r="PLX192" s="23"/>
      <c r="PLY192" s="23"/>
      <c r="PLZ192" s="23"/>
      <c r="PMA192" s="1"/>
      <c r="PMB192" s="1"/>
      <c r="PMC192" s="1"/>
      <c r="PMD192" s="25"/>
      <c r="PMG192" s="23"/>
      <c r="PMH192" s="23"/>
      <c r="PMI192" s="23"/>
      <c r="PMJ192" s="23"/>
      <c r="PMK192" s="23"/>
      <c r="PML192" s="23"/>
      <c r="PMM192" s="24"/>
      <c r="PMN192" s="23"/>
      <c r="PMO192" s="23"/>
      <c r="PMP192" s="23"/>
      <c r="PMQ192" s="1"/>
      <c r="PMR192" s="1"/>
      <c r="PMS192" s="1"/>
      <c r="PMT192" s="25"/>
      <c r="PMW192" s="23"/>
      <c r="PMX192" s="23"/>
      <c r="PMY192" s="23"/>
      <c r="PMZ192" s="23"/>
      <c r="PNA192" s="23"/>
      <c r="PNB192" s="23"/>
      <c r="PNC192" s="24"/>
      <c r="PND192" s="23"/>
      <c r="PNE192" s="23"/>
      <c r="PNF192" s="23"/>
      <c r="PNG192" s="1"/>
      <c r="PNH192" s="1"/>
      <c r="PNI192" s="1"/>
      <c r="PNJ192" s="25"/>
      <c r="PNM192" s="23"/>
      <c r="PNN192" s="23"/>
      <c r="PNO192" s="23"/>
      <c r="PNP192" s="23"/>
      <c r="PNQ192" s="23"/>
      <c r="PNR192" s="23"/>
      <c r="PNS192" s="24"/>
      <c r="PNT192" s="23"/>
      <c r="PNU192" s="23"/>
      <c r="PNV192" s="23"/>
      <c r="PNW192" s="1"/>
      <c r="PNX192" s="1"/>
      <c r="PNY192" s="1"/>
      <c r="PNZ192" s="25"/>
      <c r="POC192" s="23"/>
      <c r="POD192" s="23"/>
      <c r="POE192" s="23"/>
      <c r="POF192" s="23"/>
      <c r="POG192" s="23"/>
      <c r="POH192" s="23"/>
      <c r="POI192" s="24"/>
      <c r="POJ192" s="23"/>
      <c r="POK192" s="23"/>
      <c r="POL192" s="23"/>
      <c r="POM192" s="1"/>
      <c r="PON192" s="1"/>
      <c r="POO192" s="1"/>
      <c r="POP192" s="25"/>
      <c r="POS192" s="23"/>
      <c r="POT192" s="23"/>
      <c r="POU192" s="23"/>
      <c r="POV192" s="23"/>
      <c r="POW192" s="23"/>
      <c r="POX192" s="23"/>
      <c r="POY192" s="24"/>
      <c r="POZ192" s="23"/>
      <c r="PPA192" s="23"/>
      <c r="PPB192" s="23"/>
      <c r="PPC192" s="1"/>
      <c r="PPD192" s="1"/>
      <c r="PPE192" s="1"/>
      <c r="PPF192" s="25"/>
      <c r="PPI192" s="23"/>
      <c r="PPJ192" s="23"/>
      <c r="PPK192" s="23"/>
      <c r="PPL192" s="23"/>
      <c r="PPM192" s="23"/>
      <c r="PPN192" s="23"/>
      <c r="PPO192" s="24"/>
      <c r="PPP192" s="23"/>
      <c r="PPQ192" s="23"/>
      <c r="PPR192" s="23"/>
      <c r="PPS192" s="1"/>
      <c r="PPT192" s="1"/>
      <c r="PPU192" s="1"/>
      <c r="PPV192" s="25"/>
      <c r="PPY192" s="23"/>
      <c r="PPZ192" s="23"/>
      <c r="PQA192" s="23"/>
      <c r="PQB192" s="23"/>
      <c r="PQC192" s="23"/>
      <c r="PQD192" s="23"/>
      <c r="PQE192" s="24"/>
      <c r="PQF192" s="23"/>
      <c r="PQG192" s="23"/>
      <c r="PQH192" s="23"/>
      <c r="PQI192" s="1"/>
      <c r="PQJ192" s="1"/>
      <c r="PQK192" s="1"/>
      <c r="PQL192" s="25"/>
      <c r="PQO192" s="23"/>
      <c r="PQP192" s="23"/>
      <c r="PQQ192" s="23"/>
      <c r="PQR192" s="23"/>
      <c r="PQS192" s="23"/>
      <c r="PQT192" s="23"/>
      <c r="PQU192" s="24"/>
      <c r="PQV192" s="23"/>
      <c r="PQW192" s="23"/>
      <c r="PQX192" s="23"/>
      <c r="PQY192" s="1"/>
      <c r="PQZ192" s="1"/>
      <c r="PRA192" s="1"/>
      <c r="PRB192" s="25"/>
      <c r="PRE192" s="23"/>
      <c r="PRF192" s="23"/>
      <c r="PRG192" s="23"/>
      <c r="PRH192" s="23"/>
      <c r="PRI192" s="23"/>
      <c r="PRJ192" s="23"/>
      <c r="PRK192" s="24"/>
      <c r="PRL192" s="23"/>
      <c r="PRM192" s="23"/>
      <c r="PRN192" s="23"/>
      <c r="PRO192" s="1"/>
      <c r="PRP192" s="1"/>
      <c r="PRQ192" s="1"/>
      <c r="PRR192" s="25"/>
      <c r="PRU192" s="23"/>
      <c r="PRV192" s="23"/>
      <c r="PRW192" s="23"/>
      <c r="PRX192" s="23"/>
      <c r="PRY192" s="23"/>
      <c r="PRZ192" s="23"/>
      <c r="PSA192" s="24"/>
      <c r="PSB192" s="23"/>
      <c r="PSC192" s="23"/>
      <c r="PSD192" s="23"/>
      <c r="PSE192" s="1"/>
      <c r="PSF192" s="1"/>
      <c r="PSG192" s="1"/>
      <c r="PSH192" s="25"/>
      <c r="PSK192" s="23"/>
      <c r="PSL192" s="23"/>
      <c r="PSM192" s="23"/>
      <c r="PSN192" s="23"/>
      <c r="PSO192" s="23"/>
      <c r="PSP192" s="23"/>
      <c r="PSQ192" s="24"/>
      <c r="PSR192" s="23"/>
      <c r="PSS192" s="23"/>
      <c r="PST192" s="23"/>
      <c r="PSU192" s="1"/>
      <c r="PSV192" s="1"/>
      <c r="PSW192" s="1"/>
      <c r="PSX192" s="25"/>
      <c r="PTA192" s="23"/>
      <c r="PTB192" s="23"/>
      <c r="PTC192" s="23"/>
      <c r="PTD192" s="23"/>
      <c r="PTE192" s="23"/>
      <c r="PTF192" s="23"/>
      <c r="PTG192" s="24"/>
      <c r="PTH192" s="23"/>
      <c r="PTI192" s="23"/>
      <c r="PTJ192" s="23"/>
      <c r="PTK192" s="1"/>
      <c r="PTL192" s="1"/>
      <c r="PTM192" s="1"/>
      <c r="PTN192" s="25"/>
      <c r="PTQ192" s="23"/>
      <c r="PTR192" s="23"/>
      <c r="PTS192" s="23"/>
      <c r="PTT192" s="23"/>
      <c r="PTU192" s="23"/>
      <c r="PTV192" s="23"/>
      <c r="PTW192" s="24"/>
      <c r="PTX192" s="23"/>
      <c r="PTY192" s="23"/>
      <c r="PTZ192" s="23"/>
      <c r="PUA192" s="1"/>
      <c r="PUB192" s="1"/>
      <c r="PUC192" s="1"/>
      <c r="PUD192" s="25"/>
      <c r="PUG192" s="23"/>
      <c r="PUH192" s="23"/>
      <c r="PUI192" s="23"/>
      <c r="PUJ192" s="23"/>
      <c r="PUK192" s="23"/>
      <c r="PUL192" s="23"/>
      <c r="PUM192" s="24"/>
      <c r="PUN192" s="23"/>
      <c r="PUO192" s="23"/>
      <c r="PUP192" s="23"/>
      <c r="PUQ192" s="1"/>
      <c r="PUR192" s="1"/>
      <c r="PUS192" s="1"/>
      <c r="PUT192" s="25"/>
      <c r="PUW192" s="23"/>
      <c r="PUX192" s="23"/>
      <c r="PUY192" s="23"/>
      <c r="PUZ192" s="23"/>
      <c r="PVA192" s="23"/>
      <c r="PVB192" s="23"/>
      <c r="PVC192" s="24"/>
      <c r="PVD192" s="23"/>
      <c r="PVE192" s="23"/>
      <c r="PVF192" s="23"/>
      <c r="PVG192" s="1"/>
      <c r="PVH192" s="1"/>
      <c r="PVI192" s="1"/>
      <c r="PVJ192" s="25"/>
      <c r="PVM192" s="23"/>
      <c r="PVN192" s="23"/>
      <c r="PVO192" s="23"/>
      <c r="PVP192" s="23"/>
      <c r="PVQ192" s="23"/>
      <c r="PVR192" s="23"/>
      <c r="PVS192" s="24"/>
      <c r="PVT192" s="23"/>
      <c r="PVU192" s="23"/>
      <c r="PVV192" s="23"/>
      <c r="PVW192" s="1"/>
      <c r="PVX192" s="1"/>
      <c r="PVY192" s="1"/>
      <c r="PVZ192" s="25"/>
      <c r="PWC192" s="23"/>
      <c r="PWD192" s="23"/>
      <c r="PWE192" s="23"/>
      <c r="PWF192" s="23"/>
      <c r="PWG192" s="23"/>
      <c r="PWH192" s="23"/>
      <c r="PWI192" s="24"/>
      <c r="PWJ192" s="23"/>
      <c r="PWK192" s="23"/>
      <c r="PWL192" s="23"/>
      <c r="PWM192" s="1"/>
      <c r="PWN192" s="1"/>
      <c r="PWO192" s="1"/>
      <c r="PWP192" s="25"/>
      <c r="PWS192" s="23"/>
      <c r="PWT192" s="23"/>
      <c r="PWU192" s="23"/>
      <c r="PWV192" s="23"/>
      <c r="PWW192" s="23"/>
      <c r="PWX192" s="23"/>
      <c r="PWY192" s="24"/>
      <c r="PWZ192" s="23"/>
      <c r="PXA192" s="23"/>
      <c r="PXB192" s="23"/>
      <c r="PXC192" s="1"/>
      <c r="PXD192" s="1"/>
      <c r="PXE192" s="1"/>
      <c r="PXF192" s="25"/>
      <c r="PXI192" s="23"/>
      <c r="PXJ192" s="23"/>
      <c r="PXK192" s="23"/>
      <c r="PXL192" s="23"/>
      <c r="PXM192" s="23"/>
      <c r="PXN192" s="23"/>
      <c r="PXO192" s="24"/>
      <c r="PXP192" s="23"/>
      <c r="PXQ192" s="23"/>
      <c r="PXR192" s="23"/>
      <c r="PXS192" s="1"/>
      <c r="PXT192" s="1"/>
      <c r="PXU192" s="1"/>
      <c r="PXV192" s="25"/>
      <c r="PXY192" s="23"/>
      <c r="PXZ192" s="23"/>
      <c r="PYA192" s="23"/>
      <c r="PYB192" s="23"/>
      <c r="PYC192" s="23"/>
      <c r="PYD192" s="23"/>
      <c r="PYE192" s="24"/>
      <c r="PYF192" s="23"/>
      <c r="PYG192" s="23"/>
      <c r="PYH192" s="23"/>
      <c r="PYI192" s="1"/>
      <c r="PYJ192" s="1"/>
      <c r="PYK192" s="1"/>
      <c r="PYL192" s="25"/>
      <c r="PYO192" s="23"/>
      <c r="PYP192" s="23"/>
      <c r="PYQ192" s="23"/>
      <c r="PYR192" s="23"/>
      <c r="PYS192" s="23"/>
      <c r="PYT192" s="23"/>
      <c r="PYU192" s="24"/>
      <c r="PYV192" s="23"/>
      <c r="PYW192" s="23"/>
      <c r="PYX192" s="23"/>
      <c r="PYY192" s="1"/>
      <c r="PYZ192" s="1"/>
      <c r="PZA192" s="1"/>
      <c r="PZB192" s="25"/>
      <c r="PZE192" s="23"/>
      <c r="PZF192" s="23"/>
      <c r="PZG192" s="23"/>
      <c r="PZH192" s="23"/>
      <c r="PZI192" s="23"/>
      <c r="PZJ192" s="23"/>
      <c r="PZK192" s="24"/>
      <c r="PZL192" s="23"/>
      <c r="PZM192" s="23"/>
      <c r="PZN192" s="23"/>
      <c r="PZO192" s="1"/>
      <c r="PZP192" s="1"/>
      <c r="PZQ192" s="1"/>
      <c r="PZR192" s="25"/>
      <c r="PZU192" s="23"/>
      <c r="PZV192" s="23"/>
      <c r="PZW192" s="23"/>
      <c r="PZX192" s="23"/>
      <c r="PZY192" s="23"/>
      <c r="PZZ192" s="23"/>
      <c r="QAA192" s="24"/>
      <c r="QAB192" s="23"/>
      <c r="QAC192" s="23"/>
      <c r="QAD192" s="23"/>
      <c r="QAE192" s="1"/>
      <c r="QAF192" s="1"/>
      <c r="QAG192" s="1"/>
      <c r="QAH192" s="25"/>
      <c r="QAK192" s="23"/>
      <c r="QAL192" s="23"/>
      <c r="QAM192" s="23"/>
      <c r="QAN192" s="23"/>
      <c r="QAO192" s="23"/>
      <c r="QAP192" s="23"/>
      <c r="QAQ192" s="24"/>
      <c r="QAR192" s="23"/>
      <c r="QAS192" s="23"/>
      <c r="QAT192" s="23"/>
      <c r="QAU192" s="1"/>
      <c r="QAV192" s="1"/>
      <c r="QAW192" s="1"/>
      <c r="QAX192" s="25"/>
      <c r="QBA192" s="23"/>
      <c r="QBB192" s="23"/>
      <c r="QBC192" s="23"/>
      <c r="QBD192" s="23"/>
      <c r="QBE192" s="23"/>
      <c r="QBF192" s="23"/>
      <c r="QBG192" s="24"/>
      <c r="QBH192" s="23"/>
      <c r="QBI192" s="23"/>
      <c r="QBJ192" s="23"/>
      <c r="QBK192" s="1"/>
      <c r="QBL192" s="1"/>
      <c r="QBM192" s="1"/>
      <c r="QBN192" s="25"/>
      <c r="QBQ192" s="23"/>
      <c r="QBR192" s="23"/>
      <c r="QBS192" s="23"/>
      <c r="QBT192" s="23"/>
      <c r="QBU192" s="23"/>
      <c r="QBV192" s="23"/>
      <c r="QBW192" s="24"/>
      <c r="QBX192" s="23"/>
      <c r="QBY192" s="23"/>
      <c r="QBZ192" s="23"/>
      <c r="QCA192" s="1"/>
      <c r="QCB192" s="1"/>
      <c r="QCC192" s="1"/>
      <c r="QCD192" s="25"/>
      <c r="QCG192" s="23"/>
      <c r="QCH192" s="23"/>
      <c r="QCI192" s="23"/>
      <c r="QCJ192" s="23"/>
      <c r="QCK192" s="23"/>
      <c r="QCL192" s="23"/>
      <c r="QCM192" s="24"/>
      <c r="QCN192" s="23"/>
      <c r="QCO192" s="23"/>
      <c r="QCP192" s="23"/>
      <c r="QCQ192" s="1"/>
      <c r="QCR192" s="1"/>
      <c r="QCS192" s="1"/>
      <c r="QCT192" s="25"/>
      <c r="QCW192" s="23"/>
      <c r="QCX192" s="23"/>
      <c r="QCY192" s="23"/>
      <c r="QCZ192" s="23"/>
      <c r="QDA192" s="23"/>
      <c r="QDB192" s="23"/>
      <c r="QDC192" s="24"/>
      <c r="QDD192" s="23"/>
      <c r="QDE192" s="23"/>
      <c r="QDF192" s="23"/>
      <c r="QDG192" s="1"/>
      <c r="QDH192" s="1"/>
      <c r="QDI192" s="1"/>
      <c r="QDJ192" s="25"/>
      <c r="QDM192" s="23"/>
      <c r="QDN192" s="23"/>
      <c r="QDO192" s="23"/>
      <c r="QDP192" s="23"/>
      <c r="QDQ192" s="23"/>
      <c r="QDR192" s="23"/>
      <c r="QDS192" s="24"/>
      <c r="QDT192" s="23"/>
      <c r="QDU192" s="23"/>
      <c r="QDV192" s="23"/>
      <c r="QDW192" s="1"/>
      <c r="QDX192" s="1"/>
      <c r="QDY192" s="1"/>
      <c r="QDZ192" s="25"/>
      <c r="QEC192" s="23"/>
      <c r="QED192" s="23"/>
      <c r="QEE192" s="23"/>
      <c r="QEF192" s="23"/>
      <c r="QEG192" s="23"/>
      <c r="QEH192" s="23"/>
      <c r="QEI192" s="24"/>
      <c r="QEJ192" s="23"/>
      <c r="QEK192" s="23"/>
      <c r="QEL192" s="23"/>
      <c r="QEM192" s="1"/>
      <c r="QEN192" s="1"/>
      <c r="QEO192" s="1"/>
      <c r="QEP192" s="25"/>
      <c r="QES192" s="23"/>
      <c r="QET192" s="23"/>
      <c r="QEU192" s="23"/>
      <c r="QEV192" s="23"/>
      <c r="QEW192" s="23"/>
      <c r="QEX192" s="23"/>
      <c r="QEY192" s="24"/>
      <c r="QEZ192" s="23"/>
      <c r="QFA192" s="23"/>
      <c r="QFB192" s="23"/>
      <c r="QFC192" s="1"/>
      <c r="QFD192" s="1"/>
      <c r="QFE192" s="1"/>
      <c r="QFF192" s="25"/>
      <c r="QFI192" s="23"/>
      <c r="QFJ192" s="23"/>
      <c r="QFK192" s="23"/>
      <c r="QFL192" s="23"/>
      <c r="QFM192" s="23"/>
      <c r="QFN192" s="23"/>
      <c r="QFO192" s="24"/>
      <c r="QFP192" s="23"/>
      <c r="QFQ192" s="23"/>
      <c r="QFR192" s="23"/>
      <c r="QFS192" s="1"/>
      <c r="QFT192" s="1"/>
      <c r="QFU192" s="1"/>
      <c r="QFV192" s="25"/>
      <c r="QFY192" s="23"/>
      <c r="QFZ192" s="23"/>
      <c r="QGA192" s="23"/>
      <c r="QGB192" s="23"/>
      <c r="QGC192" s="23"/>
      <c r="QGD192" s="23"/>
      <c r="QGE192" s="24"/>
      <c r="QGF192" s="23"/>
      <c r="QGG192" s="23"/>
      <c r="QGH192" s="23"/>
      <c r="QGI192" s="1"/>
      <c r="QGJ192" s="1"/>
      <c r="QGK192" s="1"/>
      <c r="QGL192" s="25"/>
      <c r="QGO192" s="23"/>
      <c r="QGP192" s="23"/>
      <c r="QGQ192" s="23"/>
      <c r="QGR192" s="23"/>
      <c r="QGS192" s="23"/>
      <c r="QGT192" s="23"/>
      <c r="QGU192" s="24"/>
      <c r="QGV192" s="23"/>
      <c r="QGW192" s="23"/>
      <c r="QGX192" s="23"/>
      <c r="QGY192" s="1"/>
      <c r="QGZ192" s="1"/>
      <c r="QHA192" s="1"/>
      <c r="QHB192" s="25"/>
      <c r="QHE192" s="23"/>
      <c r="QHF192" s="23"/>
      <c r="QHG192" s="23"/>
      <c r="QHH192" s="23"/>
      <c r="QHI192" s="23"/>
      <c r="QHJ192" s="23"/>
      <c r="QHK192" s="24"/>
      <c r="QHL192" s="23"/>
      <c r="QHM192" s="23"/>
      <c r="QHN192" s="23"/>
      <c r="QHO192" s="1"/>
      <c r="QHP192" s="1"/>
      <c r="QHQ192" s="1"/>
      <c r="QHR192" s="25"/>
      <c r="QHU192" s="23"/>
      <c r="QHV192" s="23"/>
      <c r="QHW192" s="23"/>
      <c r="QHX192" s="23"/>
      <c r="QHY192" s="23"/>
      <c r="QHZ192" s="23"/>
      <c r="QIA192" s="24"/>
      <c r="QIB192" s="23"/>
      <c r="QIC192" s="23"/>
      <c r="QID192" s="23"/>
      <c r="QIE192" s="1"/>
      <c r="QIF192" s="1"/>
      <c r="QIG192" s="1"/>
      <c r="QIH192" s="25"/>
      <c r="QIK192" s="23"/>
      <c r="QIL192" s="23"/>
      <c r="QIM192" s="23"/>
      <c r="QIN192" s="23"/>
      <c r="QIO192" s="23"/>
      <c r="QIP192" s="23"/>
      <c r="QIQ192" s="24"/>
      <c r="QIR192" s="23"/>
      <c r="QIS192" s="23"/>
      <c r="QIT192" s="23"/>
      <c r="QIU192" s="1"/>
      <c r="QIV192" s="1"/>
      <c r="QIW192" s="1"/>
      <c r="QIX192" s="25"/>
      <c r="QJA192" s="23"/>
      <c r="QJB192" s="23"/>
      <c r="QJC192" s="23"/>
      <c r="QJD192" s="23"/>
      <c r="QJE192" s="23"/>
      <c r="QJF192" s="23"/>
      <c r="QJG192" s="24"/>
      <c r="QJH192" s="23"/>
      <c r="QJI192" s="23"/>
      <c r="QJJ192" s="23"/>
      <c r="QJK192" s="1"/>
      <c r="QJL192" s="1"/>
      <c r="QJM192" s="1"/>
      <c r="QJN192" s="25"/>
      <c r="QJQ192" s="23"/>
      <c r="QJR192" s="23"/>
      <c r="QJS192" s="23"/>
      <c r="QJT192" s="23"/>
      <c r="QJU192" s="23"/>
      <c r="QJV192" s="23"/>
      <c r="QJW192" s="24"/>
      <c r="QJX192" s="23"/>
      <c r="QJY192" s="23"/>
      <c r="QJZ192" s="23"/>
      <c r="QKA192" s="1"/>
      <c r="QKB192" s="1"/>
      <c r="QKC192" s="1"/>
      <c r="QKD192" s="25"/>
      <c r="QKG192" s="23"/>
      <c r="QKH192" s="23"/>
      <c r="QKI192" s="23"/>
      <c r="QKJ192" s="23"/>
      <c r="QKK192" s="23"/>
      <c r="QKL192" s="23"/>
      <c r="QKM192" s="24"/>
      <c r="QKN192" s="23"/>
      <c r="QKO192" s="23"/>
      <c r="QKP192" s="23"/>
      <c r="QKQ192" s="1"/>
      <c r="QKR192" s="1"/>
      <c r="QKS192" s="1"/>
      <c r="QKT192" s="25"/>
      <c r="QKW192" s="23"/>
      <c r="QKX192" s="23"/>
      <c r="QKY192" s="23"/>
      <c r="QKZ192" s="23"/>
      <c r="QLA192" s="23"/>
      <c r="QLB192" s="23"/>
      <c r="QLC192" s="24"/>
      <c r="QLD192" s="23"/>
      <c r="QLE192" s="23"/>
      <c r="QLF192" s="23"/>
      <c r="QLG192" s="1"/>
      <c r="QLH192" s="1"/>
      <c r="QLI192" s="1"/>
      <c r="QLJ192" s="25"/>
      <c r="QLM192" s="23"/>
      <c r="QLN192" s="23"/>
      <c r="QLO192" s="23"/>
      <c r="QLP192" s="23"/>
      <c r="QLQ192" s="23"/>
      <c r="QLR192" s="23"/>
      <c r="QLS192" s="24"/>
      <c r="QLT192" s="23"/>
      <c r="QLU192" s="23"/>
      <c r="QLV192" s="23"/>
      <c r="QLW192" s="1"/>
      <c r="QLX192" s="1"/>
      <c r="QLY192" s="1"/>
      <c r="QLZ192" s="25"/>
      <c r="QMC192" s="23"/>
      <c r="QMD192" s="23"/>
      <c r="QME192" s="23"/>
      <c r="QMF192" s="23"/>
      <c r="QMG192" s="23"/>
      <c r="QMH192" s="23"/>
      <c r="QMI192" s="24"/>
      <c r="QMJ192" s="23"/>
      <c r="QMK192" s="23"/>
      <c r="QML192" s="23"/>
      <c r="QMM192" s="1"/>
      <c r="QMN192" s="1"/>
      <c r="QMO192" s="1"/>
      <c r="QMP192" s="25"/>
      <c r="QMS192" s="23"/>
      <c r="QMT192" s="23"/>
      <c r="QMU192" s="23"/>
      <c r="QMV192" s="23"/>
      <c r="QMW192" s="23"/>
      <c r="QMX192" s="23"/>
      <c r="QMY192" s="24"/>
      <c r="QMZ192" s="23"/>
      <c r="QNA192" s="23"/>
      <c r="QNB192" s="23"/>
      <c r="QNC192" s="1"/>
      <c r="QND192" s="1"/>
      <c r="QNE192" s="1"/>
      <c r="QNF192" s="25"/>
      <c r="QNI192" s="23"/>
      <c r="QNJ192" s="23"/>
      <c r="QNK192" s="23"/>
      <c r="QNL192" s="23"/>
      <c r="QNM192" s="23"/>
      <c r="QNN192" s="23"/>
      <c r="QNO192" s="24"/>
      <c r="QNP192" s="23"/>
      <c r="QNQ192" s="23"/>
      <c r="QNR192" s="23"/>
      <c r="QNS192" s="1"/>
      <c r="QNT192" s="1"/>
      <c r="QNU192" s="1"/>
      <c r="QNV192" s="25"/>
      <c r="QNY192" s="23"/>
      <c r="QNZ192" s="23"/>
      <c r="QOA192" s="23"/>
      <c r="QOB192" s="23"/>
      <c r="QOC192" s="23"/>
      <c r="QOD192" s="23"/>
      <c r="QOE192" s="24"/>
      <c r="QOF192" s="23"/>
      <c r="QOG192" s="23"/>
      <c r="QOH192" s="23"/>
      <c r="QOI192" s="1"/>
      <c r="QOJ192" s="1"/>
      <c r="QOK192" s="1"/>
      <c r="QOL192" s="25"/>
      <c r="QOO192" s="23"/>
      <c r="QOP192" s="23"/>
      <c r="QOQ192" s="23"/>
      <c r="QOR192" s="23"/>
      <c r="QOS192" s="23"/>
      <c r="QOT192" s="23"/>
      <c r="QOU192" s="24"/>
      <c r="QOV192" s="23"/>
      <c r="QOW192" s="23"/>
      <c r="QOX192" s="23"/>
      <c r="QOY192" s="1"/>
      <c r="QOZ192" s="1"/>
      <c r="QPA192" s="1"/>
      <c r="QPB192" s="25"/>
      <c r="QPE192" s="23"/>
      <c r="QPF192" s="23"/>
      <c r="QPG192" s="23"/>
      <c r="QPH192" s="23"/>
      <c r="QPI192" s="23"/>
      <c r="QPJ192" s="23"/>
      <c r="QPK192" s="24"/>
      <c r="QPL192" s="23"/>
      <c r="QPM192" s="23"/>
      <c r="QPN192" s="23"/>
      <c r="QPO192" s="1"/>
      <c r="QPP192" s="1"/>
      <c r="QPQ192" s="1"/>
      <c r="QPR192" s="25"/>
      <c r="QPU192" s="23"/>
      <c r="QPV192" s="23"/>
      <c r="QPW192" s="23"/>
      <c r="QPX192" s="23"/>
      <c r="QPY192" s="23"/>
      <c r="QPZ192" s="23"/>
      <c r="QQA192" s="24"/>
      <c r="QQB192" s="23"/>
      <c r="QQC192" s="23"/>
      <c r="QQD192" s="23"/>
      <c r="QQE192" s="1"/>
      <c r="QQF192" s="1"/>
      <c r="QQG192" s="1"/>
      <c r="QQH192" s="25"/>
      <c r="QQK192" s="23"/>
      <c r="QQL192" s="23"/>
      <c r="QQM192" s="23"/>
      <c r="QQN192" s="23"/>
      <c r="QQO192" s="23"/>
      <c r="QQP192" s="23"/>
      <c r="QQQ192" s="24"/>
      <c r="QQR192" s="23"/>
      <c r="QQS192" s="23"/>
      <c r="QQT192" s="23"/>
      <c r="QQU192" s="1"/>
      <c r="QQV192" s="1"/>
      <c r="QQW192" s="1"/>
      <c r="QQX192" s="25"/>
      <c r="QRA192" s="23"/>
      <c r="QRB192" s="23"/>
      <c r="QRC192" s="23"/>
      <c r="QRD192" s="23"/>
      <c r="QRE192" s="23"/>
      <c r="QRF192" s="23"/>
      <c r="QRG192" s="24"/>
      <c r="QRH192" s="23"/>
      <c r="QRI192" s="23"/>
      <c r="QRJ192" s="23"/>
      <c r="QRK192" s="1"/>
      <c r="QRL192" s="1"/>
      <c r="QRM192" s="1"/>
      <c r="QRN192" s="25"/>
      <c r="QRQ192" s="23"/>
      <c r="QRR192" s="23"/>
      <c r="QRS192" s="23"/>
      <c r="QRT192" s="23"/>
      <c r="QRU192" s="23"/>
      <c r="QRV192" s="23"/>
      <c r="QRW192" s="24"/>
      <c r="QRX192" s="23"/>
      <c r="QRY192" s="23"/>
      <c r="QRZ192" s="23"/>
      <c r="QSA192" s="1"/>
      <c r="QSB192" s="1"/>
      <c r="QSC192" s="1"/>
      <c r="QSD192" s="25"/>
      <c r="QSG192" s="23"/>
      <c r="QSH192" s="23"/>
      <c r="QSI192" s="23"/>
      <c r="QSJ192" s="23"/>
      <c r="QSK192" s="23"/>
      <c r="QSL192" s="23"/>
      <c r="QSM192" s="24"/>
      <c r="QSN192" s="23"/>
      <c r="QSO192" s="23"/>
      <c r="QSP192" s="23"/>
      <c r="QSQ192" s="1"/>
      <c r="QSR192" s="1"/>
      <c r="QSS192" s="1"/>
      <c r="QST192" s="25"/>
      <c r="QSW192" s="23"/>
      <c r="QSX192" s="23"/>
      <c r="QSY192" s="23"/>
      <c r="QSZ192" s="23"/>
      <c r="QTA192" s="23"/>
      <c r="QTB192" s="23"/>
      <c r="QTC192" s="24"/>
      <c r="QTD192" s="23"/>
      <c r="QTE192" s="23"/>
      <c r="QTF192" s="23"/>
      <c r="QTG192" s="1"/>
      <c r="QTH192" s="1"/>
      <c r="QTI192" s="1"/>
      <c r="QTJ192" s="25"/>
      <c r="QTM192" s="23"/>
      <c r="QTN192" s="23"/>
      <c r="QTO192" s="23"/>
      <c r="QTP192" s="23"/>
      <c r="QTQ192" s="23"/>
      <c r="QTR192" s="23"/>
      <c r="QTS192" s="24"/>
      <c r="QTT192" s="23"/>
      <c r="QTU192" s="23"/>
      <c r="QTV192" s="23"/>
      <c r="QTW192" s="1"/>
      <c r="QTX192" s="1"/>
      <c r="QTY192" s="1"/>
      <c r="QTZ192" s="25"/>
      <c r="QUC192" s="23"/>
      <c r="QUD192" s="23"/>
      <c r="QUE192" s="23"/>
      <c r="QUF192" s="23"/>
      <c r="QUG192" s="23"/>
      <c r="QUH192" s="23"/>
      <c r="QUI192" s="24"/>
      <c r="QUJ192" s="23"/>
      <c r="QUK192" s="23"/>
      <c r="QUL192" s="23"/>
      <c r="QUM192" s="1"/>
      <c r="QUN192" s="1"/>
      <c r="QUO192" s="1"/>
      <c r="QUP192" s="25"/>
      <c r="QUS192" s="23"/>
      <c r="QUT192" s="23"/>
      <c r="QUU192" s="23"/>
      <c r="QUV192" s="23"/>
      <c r="QUW192" s="23"/>
      <c r="QUX192" s="23"/>
      <c r="QUY192" s="24"/>
      <c r="QUZ192" s="23"/>
      <c r="QVA192" s="23"/>
      <c r="QVB192" s="23"/>
      <c r="QVC192" s="1"/>
      <c r="QVD192" s="1"/>
      <c r="QVE192" s="1"/>
      <c r="QVF192" s="25"/>
      <c r="QVI192" s="23"/>
      <c r="QVJ192" s="23"/>
      <c r="QVK192" s="23"/>
      <c r="QVL192" s="23"/>
      <c r="QVM192" s="23"/>
      <c r="QVN192" s="23"/>
      <c r="QVO192" s="24"/>
      <c r="QVP192" s="23"/>
      <c r="QVQ192" s="23"/>
      <c r="QVR192" s="23"/>
      <c r="QVS192" s="1"/>
      <c r="QVT192" s="1"/>
      <c r="QVU192" s="1"/>
      <c r="QVV192" s="25"/>
      <c r="QVY192" s="23"/>
      <c r="QVZ192" s="23"/>
      <c r="QWA192" s="23"/>
      <c r="QWB192" s="23"/>
      <c r="QWC192" s="23"/>
      <c r="QWD192" s="23"/>
      <c r="QWE192" s="24"/>
      <c r="QWF192" s="23"/>
      <c r="QWG192" s="23"/>
      <c r="QWH192" s="23"/>
      <c r="QWI192" s="1"/>
      <c r="QWJ192" s="1"/>
      <c r="QWK192" s="1"/>
      <c r="QWL192" s="25"/>
      <c r="QWO192" s="23"/>
      <c r="QWP192" s="23"/>
      <c r="QWQ192" s="23"/>
      <c r="QWR192" s="23"/>
      <c r="QWS192" s="23"/>
      <c r="QWT192" s="23"/>
      <c r="QWU192" s="24"/>
      <c r="QWV192" s="23"/>
      <c r="QWW192" s="23"/>
      <c r="QWX192" s="23"/>
      <c r="QWY192" s="1"/>
      <c r="QWZ192" s="1"/>
      <c r="QXA192" s="1"/>
      <c r="QXB192" s="25"/>
      <c r="QXE192" s="23"/>
      <c r="QXF192" s="23"/>
      <c r="QXG192" s="23"/>
      <c r="QXH192" s="23"/>
      <c r="QXI192" s="23"/>
      <c r="QXJ192" s="23"/>
      <c r="QXK192" s="24"/>
      <c r="QXL192" s="23"/>
      <c r="QXM192" s="23"/>
      <c r="QXN192" s="23"/>
      <c r="QXO192" s="1"/>
      <c r="QXP192" s="1"/>
      <c r="QXQ192" s="1"/>
      <c r="QXR192" s="25"/>
      <c r="QXU192" s="23"/>
      <c r="QXV192" s="23"/>
      <c r="QXW192" s="23"/>
      <c r="QXX192" s="23"/>
      <c r="QXY192" s="23"/>
      <c r="QXZ192" s="23"/>
      <c r="QYA192" s="24"/>
      <c r="QYB192" s="23"/>
      <c r="QYC192" s="23"/>
      <c r="QYD192" s="23"/>
      <c r="QYE192" s="1"/>
      <c r="QYF192" s="1"/>
      <c r="QYG192" s="1"/>
      <c r="QYH192" s="25"/>
      <c r="QYK192" s="23"/>
      <c r="QYL192" s="23"/>
      <c r="QYM192" s="23"/>
      <c r="QYN192" s="23"/>
      <c r="QYO192" s="23"/>
      <c r="QYP192" s="23"/>
      <c r="QYQ192" s="24"/>
      <c r="QYR192" s="23"/>
      <c r="QYS192" s="23"/>
      <c r="QYT192" s="23"/>
      <c r="QYU192" s="1"/>
      <c r="QYV192" s="1"/>
      <c r="QYW192" s="1"/>
      <c r="QYX192" s="25"/>
      <c r="QZA192" s="23"/>
      <c r="QZB192" s="23"/>
      <c r="QZC192" s="23"/>
      <c r="QZD192" s="23"/>
      <c r="QZE192" s="23"/>
      <c r="QZF192" s="23"/>
      <c r="QZG192" s="24"/>
      <c r="QZH192" s="23"/>
      <c r="QZI192" s="23"/>
      <c r="QZJ192" s="23"/>
      <c r="QZK192" s="1"/>
      <c r="QZL192" s="1"/>
      <c r="QZM192" s="1"/>
      <c r="QZN192" s="25"/>
      <c r="QZQ192" s="23"/>
      <c r="QZR192" s="23"/>
      <c r="QZS192" s="23"/>
      <c r="QZT192" s="23"/>
      <c r="QZU192" s="23"/>
      <c r="QZV192" s="23"/>
      <c r="QZW192" s="24"/>
      <c r="QZX192" s="23"/>
      <c r="QZY192" s="23"/>
      <c r="QZZ192" s="23"/>
      <c r="RAA192" s="1"/>
      <c r="RAB192" s="1"/>
      <c r="RAC192" s="1"/>
      <c r="RAD192" s="25"/>
      <c r="RAG192" s="23"/>
      <c r="RAH192" s="23"/>
      <c r="RAI192" s="23"/>
      <c r="RAJ192" s="23"/>
      <c r="RAK192" s="23"/>
      <c r="RAL192" s="23"/>
      <c r="RAM192" s="24"/>
      <c r="RAN192" s="23"/>
      <c r="RAO192" s="23"/>
      <c r="RAP192" s="23"/>
      <c r="RAQ192" s="1"/>
      <c r="RAR192" s="1"/>
      <c r="RAS192" s="1"/>
      <c r="RAT192" s="25"/>
      <c r="RAW192" s="23"/>
      <c r="RAX192" s="23"/>
      <c r="RAY192" s="23"/>
      <c r="RAZ192" s="23"/>
      <c r="RBA192" s="23"/>
      <c r="RBB192" s="23"/>
      <c r="RBC192" s="24"/>
      <c r="RBD192" s="23"/>
      <c r="RBE192" s="23"/>
      <c r="RBF192" s="23"/>
      <c r="RBG192" s="1"/>
      <c r="RBH192" s="1"/>
      <c r="RBI192" s="1"/>
      <c r="RBJ192" s="25"/>
      <c r="RBM192" s="23"/>
      <c r="RBN192" s="23"/>
      <c r="RBO192" s="23"/>
      <c r="RBP192" s="23"/>
      <c r="RBQ192" s="23"/>
      <c r="RBR192" s="23"/>
      <c r="RBS192" s="24"/>
      <c r="RBT192" s="23"/>
      <c r="RBU192" s="23"/>
      <c r="RBV192" s="23"/>
      <c r="RBW192" s="1"/>
      <c r="RBX192" s="1"/>
      <c r="RBY192" s="1"/>
      <c r="RBZ192" s="25"/>
      <c r="RCC192" s="23"/>
      <c r="RCD192" s="23"/>
      <c r="RCE192" s="23"/>
      <c r="RCF192" s="23"/>
      <c r="RCG192" s="23"/>
      <c r="RCH192" s="23"/>
      <c r="RCI192" s="24"/>
      <c r="RCJ192" s="23"/>
      <c r="RCK192" s="23"/>
      <c r="RCL192" s="23"/>
      <c r="RCM192" s="1"/>
      <c r="RCN192" s="1"/>
      <c r="RCO192" s="1"/>
      <c r="RCP192" s="25"/>
      <c r="RCS192" s="23"/>
      <c r="RCT192" s="23"/>
      <c r="RCU192" s="23"/>
      <c r="RCV192" s="23"/>
      <c r="RCW192" s="23"/>
      <c r="RCX192" s="23"/>
      <c r="RCY192" s="24"/>
      <c r="RCZ192" s="23"/>
      <c r="RDA192" s="23"/>
      <c r="RDB192" s="23"/>
      <c r="RDC192" s="1"/>
      <c r="RDD192" s="1"/>
      <c r="RDE192" s="1"/>
      <c r="RDF192" s="25"/>
      <c r="RDI192" s="23"/>
      <c r="RDJ192" s="23"/>
      <c r="RDK192" s="23"/>
      <c r="RDL192" s="23"/>
      <c r="RDM192" s="23"/>
      <c r="RDN192" s="23"/>
      <c r="RDO192" s="24"/>
      <c r="RDP192" s="23"/>
      <c r="RDQ192" s="23"/>
      <c r="RDR192" s="23"/>
      <c r="RDS192" s="1"/>
      <c r="RDT192" s="1"/>
      <c r="RDU192" s="1"/>
      <c r="RDV192" s="25"/>
      <c r="RDY192" s="23"/>
      <c r="RDZ192" s="23"/>
      <c r="REA192" s="23"/>
      <c r="REB192" s="23"/>
      <c r="REC192" s="23"/>
      <c r="RED192" s="23"/>
      <c r="REE192" s="24"/>
      <c r="REF192" s="23"/>
      <c r="REG192" s="23"/>
      <c r="REH192" s="23"/>
      <c r="REI192" s="1"/>
      <c r="REJ192" s="1"/>
      <c r="REK192" s="1"/>
      <c r="REL192" s="25"/>
      <c r="REO192" s="23"/>
      <c r="REP192" s="23"/>
      <c r="REQ192" s="23"/>
      <c r="RER192" s="23"/>
      <c r="RES192" s="23"/>
      <c r="RET192" s="23"/>
      <c r="REU192" s="24"/>
      <c r="REV192" s="23"/>
      <c r="REW192" s="23"/>
      <c r="REX192" s="23"/>
      <c r="REY192" s="1"/>
      <c r="REZ192" s="1"/>
      <c r="RFA192" s="1"/>
      <c r="RFB192" s="25"/>
      <c r="RFE192" s="23"/>
      <c r="RFF192" s="23"/>
      <c r="RFG192" s="23"/>
      <c r="RFH192" s="23"/>
      <c r="RFI192" s="23"/>
      <c r="RFJ192" s="23"/>
      <c r="RFK192" s="24"/>
      <c r="RFL192" s="23"/>
      <c r="RFM192" s="23"/>
      <c r="RFN192" s="23"/>
      <c r="RFO192" s="1"/>
      <c r="RFP192" s="1"/>
      <c r="RFQ192" s="1"/>
      <c r="RFR192" s="25"/>
      <c r="RFU192" s="23"/>
      <c r="RFV192" s="23"/>
      <c r="RFW192" s="23"/>
      <c r="RFX192" s="23"/>
      <c r="RFY192" s="23"/>
      <c r="RFZ192" s="23"/>
      <c r="RGA192" s="24"/>
      <c r="RGB192" s="23"/>
      <c r="RGC192" s="23"/>
      <c r="RGD192" s="23"/>
      <c r="RGE192" s="1"/>
      <c r="RGF192" s="1"/>
      <c r="RGG192" s="1"/>
      <c r="RGH192" s="25"/>
      <c r="RGK192" s="23"/>
      <c r="RGL192" s="23"/>
      <c r="RGM192" s="23"/>
      <c r="RGN192" s="23"/>
      <c r="RGO192" s="23"/>
      <c r="RGP192" s="23"/>
      <c r="RGQ192" s="24"/>
      <c r="RGR192" s="23"/>
      <c r="RGS192" s="23"/>
      <c r="RGT192" s="23"/>
      <c r="RGU192" s="1"/>
      <c r="RGV192" s="1"/>
      <c r="RGW192" s="1"/>
      <c r="RGX192" s="25"/>
      <c r="RHA192" s="23"/>
      <c r="RHB192" s="23"/>
      <c r="RHC192" s="23"/>
      <c r="RHD192" s="23"/>
      <c r="RHE192" s="23"/>
      <c r="RHF192" s="23"/>
      <c r="RHG192" s="24"/>
      <c r="RHH192" s="23"/>
      <c r="RHI192" s="23"/>
      <c r="RHJ192" s="23"/>
      <c r="RHK192" s="1"/>
      <c r="RHL192" s="1"/>
      <c r="RHM192" s="1"/>
      <c r="RHN192" s="25"/>
      <c r="RHQ192" s="23"/>
      <c r="RHR192" s="23"/>
      <c r="RHS192" s="23"/>
      <c r="RHT192" s="23"/>
      <c r="RHU192" s="23"/>
      <c r="RHV192" s="23"/>
      <c r="RHW192" s="24"/>
      <c r="RHX192" s="23"/>
      <c r="RHY192" s="23"/>
      <c r="RHZ192" s="23"/>
      <c r="RIA192" s="1"/>
      <c r="RIB192" s="1"/>
      <c r="RIC192" s="1"/>
      <c r="RID192" s="25"/>
      <c r="RIG192" s="23"/>
      <c r="RIH192" s="23"/>
      <c r="RII192" s="23"/>
      <c r="RIJ192" s="23"/>
      <c r="RIK192" s="23"/>
      <c r="RIL192" s="23"/>
      <c r="RIM192" s="24"/>
      <c r="RIN192" s="23"/>
      <c r="RIO192" s="23"/>
      <c r="RIP192" s="23"/>
      <c r="RIQ192" s="1"/>
      <c r="RIR192" s="1"/>
      <c r="RIS192" s="1"/>
      <c r="RIT192" s="25"/>
      <c r="RIW192" s="23"/>
      <c r="RIX192" s="23"/>
      <c r="RIY192" s="23"/>
      <c r="RIZ192" s="23"/>
      <c r="RJA192" s="23"/>
      <c r="RJB192" s="23"/>
      <c r="RJC192" s="24"/>
      <c r="RJD192" s="23"/>
      <c r="RJE192" s="23"/>
      <c r="RJF192" s="23"/>
      <c r="RJG192" s="1"/>
      <c r="RJH192" s="1"/>
      <c r="RJI192" s="1"/>
      <c r="RJJ192" s="25"/>
      <c r="RJM192" s="23"/>
      <c r="RJN192" s="23"/>
      <c r="RJO192" s="23"/>
      <c r="RJP192" s="23"/>
      <c r="RJQ192" s="23"/>
      <c r="RJR192" s="23"/>
      <c r="RJS192" s="24"/>
      <c r="RJT192" s="23"/>
      <c r="RJU192" s="23"/>
      <c r="RJV192" s="23"/>
      <c r="RJW192" s="1"/>
      <c r="RJX192" s="1"/>
      <c r="RJY192" s="1"/>
      <c r="RJZ192" s="25"/>
      <c r="RKC192" s="23"/>
      <c r="RKD192" s="23"/>
      <c r="RKE192" s="23"/>
      <c r="RKF192" s="23"/>
      <c r="RKG192" s="23"/>
      <c r="RKH192" s="23"/>
      <c r="RKI192" s="24"/>
      <c r="RKJ192" s="23"/>
      <c r="RKK192" s="23"/>
      <c r="RKL192" s="23"/>
      <c r="RKM192" s="1"/>
      <c r="RKN192" s="1"/>
      <c r="RKO192" s="1"/>
      <c r="RKP192" s="25"/>
      <c r="RKS192" s="23"/>
      <c r="RKT192" s="23"/>
      <c r="RKU192" s="23"/>
      <c r="RKV192" s="23"/>
      <c r="RKW192" s="23"/>
      <c r="RKX192" s="23"/>
      <c r="RKY192" s="24"/>
      <c r="RKZ192" s="23"/>
      <c r="RLA192" s="23"/>
      <c r="RLB192" s="23"/>
      <c r="RLC192" s="1"/>
      <c r="RLD192" s="1"/>
      <c r="RLE192" s="1"/>
      <c r="RLF192" s="25"/>
      <c r="RLI192" s="23"/>
      <c r="RLJ192" s="23"/>
      <c r="RLK192" s="23"/>
      <c r="RLL192" s="23"/>
      <c r="RLM192" s="23"/>
      <c r="RLN192" s="23"/>
      <c r="RLO192" s="24"/>
      <c r="RLP192" s="23"/>
      <c r="RLQ192" s="23"/>
      <c r="RLR192" s="23"/>
      <c r="RLS192" s="1"/>
      <c r="RLT192" s="1"/>
      <c r="RLU192" s="1"/>
      <c r="RLV192" s="25"/>
      <c r="RLY192" s="23"/>
      <c r="RLZ192" s="23"/>
      <c r="RMA192" s="23"/>
      <c r="RMB192" s="23"/>
      <c r="RMC192" s="23"/>
      <c r="RMD192" s="23"/>
      <c r="RME192" s="24"/>
      <c r="RMF192" s="23"/>
      <c r="RMG192" s="23"/>
      <c r="RMH192" s="23"/>
      <c r="RMI192" s="1"/>
      <c r="RMJ192" s="1"/>
      <c r="RMK192" s="1"/>
      <c r="RML192" s="25"/>
      <c r="RMO192" s="23"/>
      <c r="RMP192" s="23"/>
      <c r="RMQ192" s="23"/>
      <c r="RMR192" s="23"/>
      <c r="RMS192" s="23"/>
      <c r="RMT192" s="23"/>
      <c r="RMU192" s="24"/>
      <c r="RMV192" s="23"/>
      <c r="RMW192" s="23"/>
      <c r="RMX192" s="23"/>
      <c r="RMY192" s="1"/>
      <c r="RMZ192" s="1"/>
      <c r="RNA192" s="1"/>
      <c r="RNB192" s="25"/>
      <c r="RNE192" s="23"/>
      <c r="RNF192" s="23"/>
      <c r="RNG192" s="23"/>
      <c r="RNH192" s="23"/>
      <c r="RNI192" s="23"/>
      <c r="RNJ192" s="23"/>
      <c r="RNK192" s="24"/>
      <c r="RNL192" s="23"/>
      <c r="RNM192" s="23"/>
      <c r="RNN192" s="23"/>
      <c r="RNO192" s="1"/>
      <c r="RNP192" s="1"/>
      <c r="RNQ192" s="1"/>
      <c r="RNR192" s="25"/>
      <c r="RNU192" s="23"/>
      <c r="RNV192" s="23"/>
      <c r="RNW192" s="23"/>
      <c r="RNX192" s="23"/>
      <c r="RNY192" s="23"/>
      <c r="RNZ192" s="23"/>
      <c r="ROA192" s="24"/>
      <c r="ROB192" s="23"/>
      <c r="ROC192" s="23"/>
      <c r="ROD192" s="23"/>
      <c r="ROE192" s="1"/>
      <c r="ROF192" s="1"/>
      <c r="ROG192" s="1"/>
      <c r="ROH192" s="25"/>
      <c r="ROK192" s="23"/>
      <c r="ROL192" s="23"/>
      <c r="ROM192" s="23"/>
      <c r="RON192" s="23"/>
      <c r="ROO192" s="23"/>
      <c r="ROP192" s="23"/>
      <c r="ROQ192" s="24"/>
      <c r="ROR192" s="23"/>
      <c r="ROS192" s="23"/>
      <c r="ROT192" s="23"/>
      <c r="ROU192" s="1"/>
      <c r="ROV192" s="1"/>
      <c r="ROW192" s="1"/>
      <c r="ROX192" s="25"/>
      <c r="RPA192" s="23"/>
      <c r="RPB192" s="23"/>
      <c r="RPC192" s="23"/>
      <c r="RPD192" s="23"/>
      <c r="RPE192" s="23"/>
      <c r="RPF192" s="23"/>
      <c r="RPG192" s="24"/>
      <c r="RPH192" s="23"/>
      <c r="RPI192" s="23"/>
      <c r="RPJ192" s="23"/>
      <c r="RPK192" s="1"/>
      <c r="RPL192" s="1"/>
      <c r="RPM192" s="1"/>
      <c r="RPN192" s="25"/>
      <c r="RPQ192" s="23"/>
      <c r="RPR192" s="23"/>
      <c r="RPS192" s="23"/>
      <c r="RPT192" s="23"/>
      <c r="RPU192" s="23"/>
      <c r="RPV192" s="23"/>
      <c r="RPW192" s="24"/>
      <c r="RPX192" s="23"/>
      <c r="RPY192" s="23"/>
      <c r="RPZ192" s="23"/>
      <c r="RQA192" s="1"/>
      <c r="RQB192" s="1"/>
      <c r="RQC192" s="1"/>
      <c r="RQD192" s="25"/>
      <c r="RQG192" s="23"/>
      <c r="RQH192" s="23"/>
      <c r="RQI192" s="23"/>
      <c r="RQJ192" s="23"/>
      <c r="RQK192" s="23"/>
      <c r="RQL192" s="23"/>
      <c r="RQM192" s="24"/>
      <c r="RQN192" s="23"/>
      <c r="RQO192" s="23"/>
      <c r="RQP192" s="23"/>
      <c r="RQQ192" s="1"/>
      <c r="RQR192" s="1"/>
      <c r="RQS192" s="1"/>
      <c r="RQT192" s="25"/>
      <c r="RQW192" s="23"/>
      <c r="RQX192" s="23"/>
      <c r="RQY192" s="23"/>
      <c r="RQZ192" s="23"/>
      <c r="RRA192" s="23"/>
      <c r="RRB192" s="23"/>
      <c r="RRC192" s="24"/>
      <c r="RRD192" s="23"/>
      <c r="RRE192" s="23"/>
      <c r="RRF192" s="23"/>
      <c r="RRG192" s="1"/>
      <c r="RRH192" s="1"/>
      <c r="RRI192" s="1"/>
      <c r="RRJ192" s="25"/>
      <c r="RRM192" s="23"/>
      <c r="RRN192" s="23"/>
      <c r="RRO192" s="23"/>
      <c r="RRP192" s="23"/>
      <c r="RRQ192" s="23"/>
      <c r="RRR192" s="23"/>
      <c r="RRS192" s="24"/>
      <c r="RRT192" s="23"/>
      <c r="RRU192" s="23"/>
      <c r="RRV192" s="23"/>
      <c r="RRW192" s="1"/>
      <c r="RRX192" s="1"/>
      <c r="RRY192" s="1"/>
      <c r="RRZ192" s="25"/>
      <c r="RSC192" s="23"/>
      <c r="RSD192" s="23"/>
      <c r="RSE192" s="23"/>
      <c r="RSF192" s="23"/>
      <c r="RSG192" s="23"/>
      <c r="RSH192" s="23"/>
      <c r="RSI192" s="24"/>
      <c r="RSJ192" s="23"/>
      <c r="RSK192" s="23"/>
      <c r="RSL192" s="23"/>
      <c r="RSM192" s="1"/>
      <c r="RSN192" s="1"/>
      <c r="RSO192" s="1"/>
      <c r="RSP192" s="25"/>
      <c r="RSS192" s="23"/>
      <c r="RST192" s="23"/>
      <c r="RSU192" s="23"/>
      <c r="RSV192" s="23"/>
      <c r="RSW192" s="23"/>
      <c r="RSX192" s="23"/>
      <c r="RSY192" s="24"/>
      <c r="RSZ192" s="23"/>
      <c r="RTA192" s="23"/>
      <c r="RTB192" s="23"/>
      <c r="RTC192" s="1"/>
      <c r="RTD192" s="1"/>
      <c r="RTE192" s="1"/>
      <c r="RTF192" s="25"/>
      <c r="RTI192" s="23"/>
      <c r="RTJ192" s="23"/>
      <c r="RTK192" s="23"/>
      <c r="RTL192" s="23"/>
      <c r="RTM192" s="23"/>
      <c r="RTN192" s="23"/>
      <c r="RTO192" s="24"/>
      <c r="RTP192" s="23"/>
      <c r="RTQ192" s="23"/>
      <c r="RTR192" s="23"/>
      <c r="RTS192" s="1"/>
      <c r="RTT192" s="1"/>
      <c r="RTU192" s="1"/>
      <c r="RTV192" s="25"/>
      <c r="RTY192" s="23"/>
      <c r="RTZ192" s="23"/>
      <c r="RUA192" s="23"/>
      <c r="RUB192" s="23"/>
      <c r="RUC192" s="23"/>
      <c r="RUD192" s="23"/>
      <c r="RUE192" s="24"/>
      <c r="RUF192" s="23"/>
      <c r="RUG192" s="23"/>
      <c r="RUH192" s="23"/>
      <c r="RUI192" s="1"/>
      <c r="RUJ192" s="1"/>
      <c r="RUK192" s="1"/>
      <c r="RUL192" s="25"/>
      <c r="RUO192" s="23"/>
      <c r="RUP192" s="23"/>
      <c r="RUQ192" s="23"/>
      <c r="RUR192" s="23"/>
      <c r="RUS192" s="23"/>
      <c r="RUT192" s="23"/>
      <c r="RUU192" s="24"/>
      <c r="RUV192" s="23"/>
      <c r="RUW192" s="23"/>
      <c r="RUX192" s="23"/>
      <c r="RUY192" s="1"/>
      <c r="RUZ192" s="1"/>
      <c r="RVA192" s="1"/>
      <c r="RVB192" s="25"/>
      <c r="RVE192" s="23"/>
      <c r="RVF192" s="23"/>
      <c r="RVG192" s="23"/>
      <c r="RVH192" s="23"/>
      <c r="RVI192" s="23"/>
      <c r="RVJ192" s="23"/>
      <c r="RVK192" s="24"/>
      <c r="RVL192" s="23"/>
      <c r="RVM192" s="23"/>
      <c r="RVN192" s="23"/>
      <c r="RVO192" s="1"/>
      <c r="RVP192" s="1"/>
      <c r="RVQ192" s="1"/>
      <c r="RVR192" s="25"/>
      <c r="RVU192" s="23"/>
      <c r="RVV192" s="23"/>
      <c r="RVW192" s="23"/>
      <c r="RVX192" s="23"/>
      <c r="RVY192" s="23"/>
      <c r="RVZ192" s="23"/>
      <c r="RWA192" s="24"/>
      <c r="RWB192" s="23"/>
      <c r="RWC192" s="23"/>
      <c r="RWD192" s="23"/>
      <c r="RWE192" s="1"/>
      <c r="RWF192" s="1"/>
      <c r="RWG192" s="1"/>
      <c r="RWH192" s="25"/>
      <c r="RWK192" s="23"/>
      <c r="RWL192" s="23"/>
      <c r="RWM192" s="23"/>
      <c r="RWN192" s="23"/>
      <c r="RWO192" s="23"/>
      <c r="RWP192" s="23"/>
      <c r="RWQ192" s="24"/>
      <c r="RWR192" s="23"/>
      <c r="RWS192" s="23"/>
      <c r="RWT192" s="23"/>
      <c r="RWU192" s="1"/>
      <c r="RWV192" s="1"/>
      <c r="RWW192" s="1"/>
      <c r="RWX192" s="25"/>
      <c r="RXA192" s="23"/>
      <c r="RXB192" s="23"/>
      <c r="RXC192" s="23"/>
      <c r="RXD192" s="23"/>
      <c r="RXE192" s="23"/>
      <c r="RXF192" s="23"/>
      <c r="RXG192" s="24"/>
      <c r="RXH192" s="23"/>
      <c r="RXI192" s="23"/>
      <c r="RXJ192" s="23"/>
      <c r="RXK192" s="1"/>
      <c r="RXL192" s="1"/>
      <c r="RXM192" s="1"/>
      <c r="RXN192" s="25"/>
      <c r="RXQ192" s="23"/>
      <c r="RXR192" s="23"/>
      <c r="RXS192" s="23"/>
      <c r="RXT192" s="23"/>
      <c r="RXU192" s="23"/>
      <c r="RXV192" s="23"/>
      <c r="RXW192" s="24"/>
      <c r="RXX192" s="23"/>
      <c r="RXY192" s="23"/>
      <c r="RXZ192" s="23"/>
      <c r="RYA192" s="1"/>
      <c r="RYB192" s="1"/>
      <c r="RYC192" s="1"/>
      <c r="RYD192" s="25"/>
      <c r="RYG192" s="23"/>
      <c r="RYH192" s="23"/>
      <c r="RYI192" s="23"/>
      <c r="RYJ192" s="23"/>
      <c r="RYK192" s="23"/>
      <c r="RYL192" s="23"/>
      <c r="RYM192" s="24"/>
      <c r="RYN192" s="23"/>
      <c r="RYO192" s="23"/>
      <c r="RYP192" s="23"/>
      <c r="RYQ192" s="1"/>
      <c r="RYR192" s="1"/>
      <c r="RYS192" s="1"/>
      <c r="RYT192" s="25"/>
      <c r="RYW192" s="23"/>
      <c r="RYX192" s="23"/>
      <c r="RYY192" s="23"/>
      <c r="RYZ192" s="23"/>
      <c r="RZA192" s="23"/>
      <c r="RZB192" s="23"/>
      <c r="RZC192" s="24"/>
      <c r="RZD192" s="23"/>
      <c r="RZE192" s="23"/>
      <c r="RZF192" s="23"/>
      <c r="RZG192" s="1"/>
      <c r="RZH192" s="1"/>
      <c r="RZI192" s="1"/>
      <c r="RZJ192" s="25"/>
      <c r="RZM192" s="23"/>
      <c r="RZN192" s="23"/>
      <c r="RZO192" s="23"/>
      <c r="RZP192" s="23"/>
      <c r="RZQ192" s="23"/>
      <c r="RZR192" s="23"/>
      <c r="RZS192" s="24"/>
      <c r="RZT192" s="23"/>
      <c r="RZU192" s="23"/>
      <c r="RZV192" s="23"/>
      <c r="RZW192" s="1"/>
      <c r="RZX192" s="1"/>
      <c r="RZY192" s="1"/>
      <c r="RZZ192" s="25"/>
      <c r="SAC192" s="23"/>
      <c r="SAD192" s="23"/>
      <c r="SAE192" s="23"/>
      <c r="SAF192" s="23"/>
      <c r="SAG192" s="23"/>
      <c r="SAH192" s="23"/>
      <c r="SAI192" s="24"/>
      <c r="SAJ192" s="23"/>
      <c r="SAK192" s="23"/>
      <c r="SAL192" s="23"/>
      <c r="SAM192" s="1"/>
      <c r="SAN192" s="1"/>
      <c r="SAO192" s="1"/>
      <c r="SAP192" s="25"/>
      <c r="SAS192" s="23"/>
      <c r="SAT192" s="23"/>
      <c r="SAU192" s="23"/>
      <c r="SAV192" s="23"/>
      <c r="SAW192" s="23"/>
      <c r="SAX192" s="23"/>
      <c r="SAY192" s="24"/>
      <c r="SAZ192" s="23"/>
      <c r="SBA192" s="23"/>
      <c r="SBB192" s="23"/>
      <c r="SBC192" s="1"/>
      <c r="SBD192" s="1"/>
      <c r="SBE192" s="1"/>
      <c r="SBF192" s="25"/>
      <c r="SBI192" s="23"/>
      <c r="SBJ192" s="23"/>
      <c r="SBK192" s="23"/>
      <c r="SBL192" s="23"/>
      <c r="SBM192" s="23"/>
      <c r="SBN192" s="23"/>
      <c r="SBO192" s="24"/>
      <c r="SBP192" s="23"/>
      <c r="SBQ192" s="23"/>
      <c r="SBR192" s="23"/>
      <c r="SBS192" s="1"/>
      <c r="SBT192" s="1"/>
      <c r="SBU192" s="1"/>
      <c r="SBV192" s="25"/>
      <c r="SBY192" s="23"/>
      <c r="SBZ192" s="23"/>
      <c r="SCA192" s="23"/>
      <c r="SCB192" s="23"/>
      <c r="SCC192" s="23"/>
      <c r="SCD192" s="23"/>
      <c r="SCE192" s="24"/>
      <c r="SCF192" s="23"/>
      <c r="SCG192" s="23"/>
      <c r="SCH192" s="23"/>
      <c r="SCI192" s="1"/>
      <c r="SCJ192" s="1"/>
      <c r="SCK192" s="1"/>
      <c r="SCL192" s="25"/>
      <c r="SCO192" s="23"/>
      <c r="SCP192" s="23"/>
      <c r="SCQ192" s="23"/>
      <c r="SCR192" s="23"/>
      <c r="SCS192" s="23"/>
      <c r="SCT192" s="23"/>
      <c r="SCU192" s="24"/>
      <c r="SCV192" s="23"/>
      <c r="SCW192" s="23"/>
      <c r="SCX192" s="23"/>
      <c r="SCY192" s="1"/>
      <c r="SCZ192" s="1"/>
      <c r="SDA192" s="1"/>
      <c r="SDB192" s="25"/>
      <c r="SDE192" s="23"/>
      <c r="SDF192" s="23"/>
      <c r="SDG192" s="23"/>
      <c r="SDH192" s="23"/>
      <c r="SDI192" s="23"/>
      <c r="SDJ192" s="23"/>
      <c r="SDK192" s="24"/>
      <c r="SDL192" s="23"/>
      <c r="SDM192" s="23"/>
      <c r="SDN192" s="23"/>
      <c r="SDO192" s="1"/>
      <c r="SDP192" s="1"/>
      <c r="SDQ192" s="1"/>
      <c r="SDR192" s="25"/>
      <c r="SDU192" s="23"/>
      <c r="SDV192" s="23"/>
      <c r="SDW192" s="23"/>
      <c r="SDX192" s="23"/>
      <c r="SDY192" s="23"/>
      <c r="SDZ192" s="23"/>
      <c r="SEA192" s="24"/>
      <c r="SEB192" s="23"/>
      <c r="SEC192" s="23"/>
      <c r="SED192" s="23"/>
      <c r="SEE192" s="1"/>
      <c r="SEF192" s="1"/>
      <c r="SEG192" s="1"/>
      <c r="SEH192" s="25"/>
      <c r="SEK192" s="23"/>
      <c r="SEL192" s="23"/>
      <c r="SEM192" s="23"/>
      <c r="SEN192" s="23"/>
      <c r="SEO192" s="23"/>
      <c r="SEP192" s="23"/>
      <c r="SEQ192" s="24"/>
      <c r="SER192" s="23"/>
      <c r="SES192" s="23"/>
      <c r="SET192" s="23"/>
      <c r="SEU192" s="1"/>
      <c r="SEV192" s="1"/>
      <c r="SEW192" s="1"/>
      <c r="SEX192" s="25"/>
      <c r="SFA192" s="23"/>
      <c r="SFB192" s="23"/>
      <c r="SFC192" s="23"/>
      <c r="SFD192" s="23"/>
      <c r="SFE192" s="23"/>
      <c r="SFF192" s="23"/>
      <c r="SFG192" s="24"/>
      <c r="SFH192" s="23"/>
      <c r="SFI192" s="23"/>
      <c r="SFJ192" s="23"/>
      <c r="SFK192" s="1"/>
      <c r="SFL192" s="1"/>
      <c r="SFM192" s="1"/>
      <c r="SFN192" s="25"/>
      <c r="SFQ192" s="23"/>
      <c r="SFR192" s="23"/>
      <c r="SFS192" s="23"/>
      <c r="SFT192" s="23"/>
      <c r="SFU192" s="23"/>
      <c r="SFV192" s="23"/>
      <c r="SFW192" s="24"/>
      <c r="SFX192" s="23"/>
      <c r="SFY192" s="23"/>
      <c r="SFZ192" s="23"/>
      <c r="SGA192" s="1"/>
      <c r="SGB192" s="1"/>
      <c r="SGC192" s="1"/>
      <c r="SGD192" s="25"/>
      <c r="SGG192" s="23"/>
      <c r="SGH192" s="23"/>
      <c r="SGI192" s="23"/>
      <c r="SGJ192" s="23"/>
      <c r="SGK192" s="23"/>
      <c r="SGL192" s="23"/>
      <c r="SGM192" s="24"/>
      <c r="SGN192" s="23"/>
      <c r="SGO192" s="23"/>
      <c r="SGP192" s="23"/>
      <c r="SGQ192" s="1"/>
      <c r="SGR192" s="1"/>
      <c r="SGS192" s="1"/>
      <c r="SGT192" s="25"/>
      <c r="SGW192" s="23"/>
      <c r="SGX192" s="23"/>
      <c r="SGY192" s="23"/>
      <c r="SGZ192" s="23"/>
      <c r="SHA192" s="23"/>
      <c r="SHB192" s="23"/>
      <c r="SHC192" s="24"/>
      <c r="SHD192" s="23"/>
      <c r="SHE192" s="23"/>
      <c r="SHF192" s="23"/>
      <c r="SHG192" s="1"/>
      <c r="SHH192" s="1"/>
      <c r="SHI192" s="1"/>
      <c r="SHJ192" s="25"/>
      <c r="SHM192" s="23"/>
      <c r="SHN192" s="23"/>
      <c r="SHO192" s="23"/>
      <c r="SHP192" s="23"/>
      <c r="SHQ192" s="23"/>
      <c r="SHR192" s="23"/>
      <c r="SHS192" s="24"/>
      <c r="SHT192" s="23"/>
      <c r="SHU192" s="23"/>
      <c r="SHV192" s="23"/>
      <c r="SHW192" s="1"/>
      <c r="SHX192" s="1"/>
      <c r="SHY192" s="1"/>
      <c r="SHZ192" s="25"/>
      <c r="SIC192" s="23"/>
      <c r="SID192" s="23"/>
      <c r="SIE192" s="23"/>
      <c r="SIF192" s="23"/>
      <c r="SIG192" s="23"/>
      <c r="SIH192" s="23"/>
      <c r="SII192" s="24"/>
      <c r="SIJ192" s="23"/>
      <c r="SIK192" s="23"/>
      <c r="SIL192" s="23"/>
      <c r="SIM192" s="1"/>
      <c r="SIN192" s="1"/>
      <c r="SIO192" s="1"/>
      <c r="SIP192" s="25"/>
      <c r="SIS192" s="23"/>
      <c r="SIT192" s="23"/>
      <c r="SIU192" s="23"/>
      <c r="SIV192" s="23"/>
      <c r="SIW192" s="23"/>
      <c r="SIX192" s="23"/>
      <c r="SIY192" s="24"/>
      <c r="SIZ192" s="23"/>
      <c r="SJA192" s="23"/>
      <c r="SJB192" s="23"/>
      <c r="SJC192" s="1"/>
      <c r="SJD192" s="1"/>
      <c r="SJE192" s="1"/>
      <c r="SJF192" s="25"/>
      <c r="SJI192" s="23"/>
      <c r="SJJ192" s="23"/>
      <c r="SJK192" s="23"/>
      <c r="SJL192" s="23"/>
      <c r="SJM192" s="23"/>
      <c r="SJN192" s="23"/>
      <c r="SJO192" s="24"/>
      <c r="SJP192" s="23"/>
      <c r="SJQ192" s="23"/>
      <c r="SJR192" s="23"/>
      <c r="SJS192" s="1"/>
      <c r="SJT192" s="1"/>
      <c r="SJU192" s="1"/>
      <c r="SJV192" s="25"/>
      <c r="SJY192" s="23"/>
      <c r="SJZ192" s="23"/>
      <c r="SKA192" s="23"/>
      <c r="SKB192" s="23"/>
      <c r="SKC192" s="23"/>
      <c r="SKD192" s="23"/>
      <c r="SKE192" s="24"/>
      <c r="SKF192" s="23"/>
      <c r="SKG192" s="23"/>
      <c r="SKH192" s="23"/>
      <c r="SKI192" s="1"/>
      <c r="SKJ192" s="1"/>
      <c r="SKK192" s="1"/>
      <c r="SKL192" s="25"/>
      <c r="SKO192" s="23"/>
      <c r="SKP192" s="23"/>
      <c r="SKQ192" s="23"/>
      <c r="SKR192" s="23"/>
      <c r="SKS192" s="23"/>
      <c r="SKT192" s="23"/>
      <c r="SKU192" s="24"/>
      <c r="SKV192" s="23"/>
      <c r="SKW192" s="23"/>
      <c r="SKX192" s="23"/>
      <c r="SKY192" s="1"/>
      <c r="SKZ192" s="1"/>
      <c r="SLA192" s="1"/>
      <c r="SLB192" s="25"/>
      <c r="SLE192" s="23"/>
      <c r="SLF192" s="23"/>
      <c r="SLG192" s="23"/>
      <c r="SLH192" s="23"/>
      <c r="SLI192" s="23"/>
      <c r="SLJ192" s="23"/>
      <c r="SLK192" s="24"/>
      <c r="SLL192" s="23"/>
      <c r="SLM192" s="23"/>
      <c r="SLN192" s="23"/>
      <c r="SLO192" s="1"/>
      <c r="SLP192" s="1"/>
      <c r="SLQ192" s="1"/>
      <c r="SLR192" s="25"/>
      <c r="SLU192" s="23"/>
      <c r="SLV192" s="23"/>
      <c r="SLW192" s="23"/>
      <c r="SLX192" s="23"/>
      <c r="SLY192" s="23"/>
      <c r="SLZ192" s="23"/>
      <c r="SMA192" s="24"/>
      <c r="SMB192" s="23"/>
      <c r="SMC192" s="23"/>
      <c r="SMD192" s="23"/>
      <c r="SME192" s="1"/>
      <c r="SMF192" s="1"/>
      <c r="SMG192" s="1"/>
      <c r="SMH192" s="25"/>
      <c r="SMK192" s="23"/>
      <c r="SML192" s="23"/>
      <c r="SMM192" s="23"/>
      <c r="SMN192" s="23"/>
      <c r="SMO192" s="23"/>
      <c r="SMP192" s="23"/>
      <c r="SMQ192" s="24"/>
      <c r="SMR192" s="23"/>
      <c r="SMS192" s="23"/>
      <c r="SMT192" s="23"/>
      <c r="SMU192" s="1"/>
      <c r="SMV192" s="1"/>
      <c r="SMW192" s="1"/>
      <c r="SMX192" s="25"/>
      <c r="SNA192" s="23"/>
      <c r="SNB192" s="23"/>
      <c r="SNC192" s="23"/>
      <c r="SND192" s="23"/>
      <c r="SNE192" s="23"/>
      <c r="SNF192" s="23"/>
      <c r="SNG192" s="24"/>
      <c r="SNH192" s="23"/>
      <c r="SNI192" s="23"/>
      <c r="SNJ192" s="23"/>
      <c r="SNK192" s="1"/>
      <c r="SNL192" s="1"/>
      <c r="SNM192" s="1"/>
      <c r="SNN192" s="25"/>
      <c r="SNQ192" s="23"/>
      <c r="SNR192" s="23"/>
      <c r="SNS192" s="23"/>
      <c r="SNT192" s="23"/>
      <c r="SNU192" s="23"/>
      <c r="SNV192" s="23"/>
      <c r="SNW192" s="24"/>
      <c r="SNX192" s="23"/>
      <c r="SNY192" s="23"/>
      <c r="SNZ192" s="23"/>
      <c r="SOA192" s="1"/>
      <c r="SOB192" s="1"/>
      <c r="SOC192" s="1"/>
      <c r="SOD192" s="25"/>
      <c r="SOG192" s="23"/>
      <c r="SOH192" s="23"/>
      <c r="SOI192" s="23"/>
      <c r="SOJ192" s="23"/>
      <c r="SOK192" s="23"/>
      <c r="SOL192" s="23"/>
      <c r="SOM192" s="24"/>
      <c r="SON192" s="23"/>
      <c r="SOO192" s="23"/>
      <c r="SOP192" s="23"/>
      <c r="SOQ192" s="1"/>
      <c r="SOR192" s="1"/>
      <c r="SOS192" s="1"/>
      <c r="SOT192" s="25"/>
      <c r="SOW192" s="23"/>
      <c r="SOX192" s="23"/>
      <c r="SOY192" s="23"/>
      <c r="SOZ192" s="23"/>
      <c r="SPA192" s="23"/>
      <c r="SPB192" s="23"/>
      <c r="SPC192" s="24"/>
      <c r="SPD192" s="23"/>
      <c r="SPE192" s="23"/>
      <c r="SPF192" s="23"/>
      <c r="SPG192" s="1"/>
      <c r="SPH192" s="1"/>
      <c r="SPI192" s="1"/>
      <c r="SPJ192" s="25"/>
      <c r="SPM192" s="23"/>
      <c r="SPN192" s="23"/>
      <c r="SPO192" s="23"/>
      <c r="SPP192" s="23"/>
      <c r="SPQ192" s="23"/>
      <c r="SPR192" s="23"/>
      <c r="SPS192" s="24"/>
      <c r="SPT192" s="23"/>
      <c r="SPU192" s="23"/>
      <c r="SPV192" s="23"/>
      <c r="SPW192" s="1"/>
      <c r="SPX192" s="1"/>
      <c r="SPY192" s="1"/>
      <c r="SPZ192" s="25"/>
      <c r="SQC192" s="23"/>
      <c r="SQD192" s="23"/>
      <c r="SQE192" s="23"/>
      <c r="SQF192" s="23"/>
      <c r="SQG192" s="23"/>
      <c r="SQH192" s="23"/>
      <c r="SQI192" s="24"/>
      <c r="SQJ192" s="23"/>
      <c r="SQK192" s="23"/>
      <c r="SQL192" s="23"/>
      <c r="SQM192" s="1"/>
      <c r="SQN192" s="1"/>
      <c r="SQO192" s="1"/>
      <c r="SQP192" s="25"/>
      <c r="SQS192" s="23"/>
      <c r="SQT192" s="23"/>
      <c r="SQU192" s="23"/>
      <c r="SQV192" s="23"/>
      <c r="SQW192" s="23"/>
      <c r="SQX192" s="23"/>
      <c r="SQY192" s="24"/>
      <c r="SQZ192" s="23"/>
      <c r="SRA192" s="23"/>
      <c r="SRB192" s="23"/>
      <c r="SRC192" s="1"/>
      <c r="SRD192" s="1"/>
      <c r="SRE192" s="1"/>
      <c r="SRF192" s="25"/>
      <c r="SRI192" s="23"/>
      <c r="SRJ192" s="23"/>
      <c r="SRK192" s="23"/>
      <c r="SRL192" s="23"/>
      <c r="SRM192" s="23"/>
      <c r="SRN192" s="23"/>
      <c r="SRO192" s="24"/>
      <c r="SRP192" s="23"/>
      <c r="SRQ192" s="23"/>
      <c r="SRR192" s="23"/>
      <c r="SRS192" s="1"/>
      <c r="SRT192" s="1"/>
      <c r="SRU192" s="1"/>
      <c r="SRV192" s="25"/>
      <c r="SRY192" s="23"/>
      <c r="SRZ192" s="23"/>
      <c r="SSA192" s="23"/>
      <c r="SSB192" s="23"/>
      <c r="SSC192" s="23"/>
      <c r="SSD192" s="23"/>
      <c r="SSE192" s="24"/>
      <c r="SSF192" s="23"/>
      <c r="SSG192" s="23"/>
      <c r="SSH192" s="23"/>
      <c r="SSI192" s="1"/>
      <c r="SSJ192" s="1"/>
      <c r="SSK192" s="1"/>
      <c r="SSL192" s="25"/>
      <c r="SSO192" s="23"/>
      <c r="SSP192" s="23"/>
      <c r="SSQ192" s="23"/>
      <c r="SSR192" s="23"/>
      <c r="SSS192" s="23"/>
      <c r="SST192" s="23"/>
      <c r="SSU192" s="24"/>
      <c r="SSV192" s="23"/>
      <c r="SSW192" s="23"/>
      <c r="SSX192" s="23"/>
      <c r="SSY192" s="1"/>
      <c r="SSZ192" s="1"/>
      <c r="STA192" s="1"/>
      <c r="STB192" s="25"/>
      <c r="STE192" s="23"/>
      <c r="STF192" s="23"/>
      <c r="STG192" s="23"/>
      <c r="STH192" s="23"/>
      <c r="STI192" s="23"/>
      <c r="STJ192" s="23"/>
      <c r="STK192" s="24"/>
      <c r="STL192" s="23"/>
      <c r="STM192" s="23"/>
      <c r="STN192" s="23"/>
      <c r="STO192" s="1"/>
      <c r="STP192" s="1"/>
      <c r="STQ192" s="1"/>
      <c r="STR192" s="25"/>
      <c r="STU192" s="23"/>
      <c r="STV192" s="23"/>
      <c r="STW192" s="23"/>
      <c r="STX192" s="23"/>
      <c r="STY192" s="23"/>
      <c r="STZ192" s="23"/>
      <c r="SUA192" s="24"/>
      <c r="SUB192" s="23"/>
      <c r="SUC192" s="23"/>
      <c r="SUD192" s="23"/>
      <c r="SUE192" s="1"/>
      <c r="SUF192" s="1"/>
      <c r="SUG192" s="1"/>
      <c r="SUH192" s="25"/>
      <c r="SUK192" s="23"/>
      <c r="SUL192" s="23"/>
      <c r="SUM192" s="23"/>
      <c r="SUN192" s="23"/>
      <c r="SUO192" s="23"/>
      <c r="SUP192" s="23"/>
      <c r="SUQ192" s="24"/>
      <c r="SUR192" s="23"/>
      <c r="SUS192" s="23"/>
      <c r="SUT192" s="23"/>
      <c r="SUU192" s="1"/>
      <c r="SUV192" s="1"/>
      <c r="SUW192" s="1"/>
      <c r="SUX192" s="25"/>
      <c r="SVA192" s="23"/>
      <c r="SVB192" s="23"/>
      <c r="SVC192" s="23"/>
      <c r="SVD192" s="23"/>
      <c r="SVE192" s="23"/>
      <c r="SVF192" s="23"/>
      <c r="SVG192" s="24"/>
      <c r="SVH192" s="23"/>
      <c r="SVI192" s="23"/>
      <c r="SVJ192" s="23"/>
      <c r="SVK192" s="1"/>
      <c r="SVL192" s="1"/>
      <c r="SVM192" s="1"/>
      <c r="SVN192" s="25"/>
      <c r="SVQ192" s="23"/>
      <c r="SVR192" s="23"/>
      <c r="SVS192" s="23"/>
      <c r="SVT192" s="23"/>
      <c r="SVU192" s="23"/>
      <c r="SVV192" s="23"/>
      <c r="SVW192" s="24"/>
      <c r="SVX192" s="23"/>
      <c r="SVY192" s="23"/>
      <c r="SVZ192" s="23"/>
      <c r="SWA192" s="1"/>
      <c r="SWB192" s="1"/>
      <c r="SWC192" s="1"/>
      <c r="SWD192" s="25"/>
      <c r="SWG192" s="23"/>
      <c r="SWH192" s="23"/>
      <c r="SWI192" s="23"/>
      <c r="SWJ192" s="23"/>
      <c r="SWK192" s="23"/>
      <c r="SWL192" s="23"/>
      <c r="SWM192" s="24"/>
      <c r="SWN192" s="23"/>
      <c r="SWO192" s="23"/>
      <c r="SWP192" s="23"/>
      <c r="SWQ192" s="1"/>
      <c r="SWR192" s="1"/>
      <c r="SWS192" s="1"/>
      <c r="SWT192" s="25"/>
      <c r="SWW192" s="23"/>
      <c r="SWX192" s="23"/>
      <c r="SWY192" s="23"/>
      <c r="SWZ192" s="23"/>
      <c r="SXA192" s="23"/>
      <c r="SXB192" s="23"/>
      <c r="SXC192" s="24"/>
      <c r="SXD192" s="23"/>
      <c r="SXE192" s="23"/>
      <c r="SXF192" s="23"/>
      <c r="SXG192" s="1"/>
      <c r="SXH192" s="1"/>
      <c r="SXI192" s="1"/>
      <c r="SXJ192" s="25"/>
      <c r="SXM192" s="23"/>
      <c r="SXN192" s="23"/>
      <c r="SXO192" s="23"/>
      <c r="SXP192" s="23"/>
      <c r="SXQ192" s="23"/>
      <c r="SXR192" s="23"/>
      <c r="SXS192" s="24"/>
      <c r="SXT192" s="23"/>
      <c r="SXU192" s="23"/>
      <c r="SXV192" s="23"/>
      <c r="SXW192" s="1"/>
      <c r="SXX192" s="1"/>
      <c r="SXY192" s="1"/>
      <c r="SXZ192" s="25"/>
      <c r="SYC192" s="23"/>
      <c r="SYD192" s="23"/>
      <c r="SYE192" s="23"/>
      <c r="SYF192" s="23"/>
      <c r="SYG192" s="23"/>
      <c r="SYH192" s="23"/>
      <c r="SYI192" s="24"/>
      <c r="SYJ192" s="23"/>
      <c r="SYK192" s="23"/>
      <c r="SYL192" s="23"/>
      <c r="SYM192" s="1"/>
      <c r="SYN192" s="1"/>
      <c r="SYO192" s="1"/>
      <c r="SYP192" s="25"/>
      <c r="SYS192" s="23"/>
      <c r="SYT192" s="23"/>
      <c r="SYU192" s="23"/>
      <c r="SYV192" s="23"/>
      <c r="SYW192" s="23"/>
      <c r="SYX192" s="23"/>
      <c r="SYY192" s="24"/>
      <c r="SYZ192" s="23"/>
      <c r="SZA192" s="23"/>
      <c r="SZB192" s="23"/>
      <c r="SZC192" s="1"/>
      <c r="SZD192" s="1"/>
      <c r="SZE192" s="1"/>
      <c r="SZF192" s="25"/>
      <c r="SZI192" s="23"/>
      <c r="SZJ192" s="23"/>
      <c r="SZK192" s="23"/>
      <c r="SZL192" s="23"/>
      <c r="SZM192" s="23"/>
      <c r="SZN192" s="23"/>
      <c r="SZO192" s="24"/>
      <c r="SZP192" s="23"/>
      <c r="SZQ192" s="23"/>
      <c r="SZR192" s="23"/>
      <c r="SZS192" s="1"/>
      <c r="SZT192" s="1"/>
      <c r="SZU192" s="1"/>
      <c r="SZV192" s="25"/>
      <c r="SZY192" s="23"/>
      <c r="SZZ192" s="23"/>
      <c r="TAA192" s="23"/>
      <c r="TAB192" s="23"/>
      <c r="TAC192" s="23"/>
      <c r="TAD192" s="23"/>
      <c r="TAE192" s="24"/>
      <c r="TAF192" s="23"/>
      <c r="TAG192" s="23"/>
      <c r="TAH192" s="23"/>
      <c r="TAI192" s="1"/>
      <c r="TAJ192" s="1"/>
      <c r="TAK192" s="1"/>
      <c r="TAL192" s="25"/>
      <c r="TAO192" s="23"/>
      <c r="TAP192" s="23"/>
      <c r="TAQ192" s="23"/>
      <c r="TAR192" s="23"/>
      <c r="TAS192" s="23"/>
      <c r="TAT192" s="23"/>
      <c r="TAU192" s="24"/>
      <c r="TAV192" s="23"/>
      <c r="TAW192" s="23"/>
      <c r="TAX192" s="23"/>
      <c r="TAY192" s="1"/>
      <c r="TAZ192" s="1"/>
      <c r="TBA192" s="1"/>
      <c r="TBB192" s="25"/>
      <c r="TBE192" s="23"/>
      <c r="TBF192" s="23"/>
      <c r="TBG192" s="23"/>
      <c r="TBH192" s="23"/>
      <c r="TBI192" s="23"/>
      <c r="TBJ192" s="23"/>
      <c r="TBK192" s="24"/>
      <c r="TBL192" s="23"/>
      <c r="TBM192" s="23"/>
      <c r="TBN192" s="23"/>
      <c r="TBO192" s="1"/>
      <c r="TBP192" s="1"/>
      <c r="TBQ192" s="1"/>
      <c r="TBR192" s="25"/>
      <c r="TBU192" s="23"/>
      <c r="TBV192" s="23"/>
      <c r="TBW192" s="23"/>
      <c r="TBX192" s="23"/>
      <c r="TBY192" s="23"/>
      <c r="TBZ192" s="23"/>
      <c r="TCA192" s="24"/>
      <c r="TCB192" s="23"/>
      <c r="TCC192" s="23"/>
      <c r="TCD192" s="23"/>
      <c r="TCE192" s="1"/>
      <c r="TCF192" s="1"/>
      <c r="TCG192" s="1"/>
      <c r="TCH192" s="25"/>
      <c r="TCK192" s="23"/>
      <c r="TCL192" s="23"/>
      <c r="TCM192" s="23"/>
      <c r="TCN192" s="23"/>
      <c r="TCO192" s="23"/>
      <c r="TCP192" s="23"/>
      <c r="TCQ192" s="24"/>
      <c r="TCR192" s="23"/>
      <c r="TCS192" s="23"/>
      <c r="TCT192" s="23"/>
      <c r="TCU192" s="1"/>
      <c r="TCV192" s="1"/>
      <c r="TCW192" s="1"/>
      <c r="TCX192" s="25"/>
      <c r="TDA192" s="23"/>
      <c r="TDB192" s="23"/>
      <c r="TDC192" s="23"/>
      <c r="TDD192" s="23"/>
      <c r="TDE192" s="23"/>
      <c r="TDF192" s="23"/>
      <c r="TDG192" s="24"/>
      <c r="TDH192" s="23"/>
      <c r="TDI192" s="23"/>
      <c r="TDJ192" s="23"/>
      <c r="TDK192" s="1"/>
      <c r="TDL192" s="1"/>
      <c r="TDM192" s="1"/>
      <c r="TDN192" s="25"/>
      <c r="TDQ192" s="23"/>
      <c r="TDR192" s="23"/>
      <c r="TDS192" s="23"/>
      <c r="TDT192" s="23"/>
      <c r="TDU192" s="23"/>
      <c r="TDV192" s="23"/>
      <c r="TDW192" s="24"/>
      <c r="TDX192" s="23"/>
      <c r="TDY192" s="23"/>
      <c r="TDZ192" s="23"/>
      <c r="TEA192" s="1"/>
      <c r="TEB192" s="1"/>
      <c r="TEC192" s="1"/>
      <c r="TED192" s="25"/>
      <c r="TEG192" s="23"/>
      <c r="TEH192" s="23"/>
      <c r="TEI192" s="23"/>
      <c r="TEJ192" s="23"/>
      <c r="TEK192" s="23"/>
      <c r="TEL192" s="23"/>
      <c r="TEM192" s="24"/>
      <c r="TEN192" s="23"/>
      <c r="TEO192" s="23"/>
      <c r="TEP192" s="23"/>
      <c r="TEQ192" s="1"/>
      <c r="TER192" s="1"/>
      <c r="TES192" s="1"/>
      <c r="TET192" s="25"/>
      <c r="TEW192" s="23"/>
      <c r="TEX192" s="23"/>
      <c r="TEY192" s="23"/>
      <c r="TEZ192" s="23"/>
      <c r="TFA192" s="23"/>
      <c r="TFB192" s="23"/>
      <c r="TFC192" s="24"/>
      <c r="TFD192" s="23"/>
      <c r="TFE192" s="23"/>
      <c r="TFF192" s="23"/>
      <c r="TFG192" s="1"/>
      <c r="TFH192" s="1"/>
      <c r="TFI192" s="1"/>
      <c r="TFJ192" s="25"/>
      <c r="TFM192" s="23"/>
      <c r="TFN192" s="23"/>
      <c r="TFO192" s="23"/>
      <c r="TFP192" s="23"/>
      <c r="TFQ192" s="23"/>
      <c r="TFR192" s="23"/>
      <c r="TFS192" s="24"/>
      <c r="TFT192" s="23"/>
      <c r="TFU192" s="23"/>
      <c r="TFV192" s="23"/>
      <c r="TFW192" s="1"/>
      <c r="TFX192" s="1"/>
      <c r="TFY192" s="1"/>
      <c r="TFZ192" s="25"/>
      <c r="TGC192" s="23"/>
      <c r="TGD192" s="23"/>
      <c r="TGE192" s="23"/>
      <c r="TGF192" s="23"/>
      <c r="TGG192" s="23"/>
      <c r="TGH192" s="23"/>
      <c r="TGI192" s="24"/>
      <c r="TGJ192" s="23"/>
      <c r="TGK192" s="23"/>
      <c r="TGL192" s="23"/>
      <c r="TGM192" s="1"/>
      <c r="TGN192" s="1"/>
      <c r="TGO192" s="1"/>
      <c r="TGP192" s="25"/>
      <c r="TGS192" s="23"/>
      <c r="TGT192" s="23"/>
      <c r="TGU192" s="23"/>
      <c r="TGV192" s="23"/>
      <c r="TGW192" s="23"/>
      <c r="TGX192" s="23"/>
      <c r="TGY192" s="24"/>
      <c r="TGZ192" s="23"/>
      <c r="THA192" s="23"/>
      <c r="THB192" s="23"/>
      <c r="THC192" s="1"/>
      <c r="THD192" s="1"/>
      <c r="THE192" s="1"/>
      <c r="THF192" s="25"/>
      <c r="THI192" s="23"/>
      <c r="THJ192" s="23"/>
      <c r="THK192" s="23"/>
      <c r="THL192" s="23"/>
      <c r="THM192" s="23"/>
      <c r="THN192" s="23"/>
      <c r="THO192" s="24"/>
      <c r="THP192" s="23"/>
      <c r="THQ192" s="23"/>
      <c r="THR192" s="23"/>
      <c r="THS192" s="1"/>
      <c r="THT192" s="1"/>
      <c r="THU192" s="1"/>
      <c r="THV192" s="25"/>
      <c r="THY192" s="23"/>
      <c r="THZ192" s="23"/>
      <c r="TIA192" s="23"/>
      <c r="TIB192" s="23"/>
      <c r="TIC192" s="23"/>
      <c r="TID192" s="23"/>
      <c r="TIE192" s="24"/>
      <c r="TIF192" s="23"/>
      <c r="TIG192" s="23"/>
      <c r="TIH192" s="23"/>
      <c r="TII192" s="1"/>
      <c r="TIJ192" s="1"/>
      <c r="TIK192" s="1"/>
      <c r="TIL192" s="25"/>
      <c r="TIO192" s="23"/>
      <c r="TIP192" s="23"/>
      <c r="TIQ192" s="23"/>
      <c r="TIR192" s="23"/>
      <c r="TIS192" s="23"/>
      <c r="TIT192" s="23"/>
      <c r="TIU192" s="24"/>
      <c r="TIV192" s="23"/>
      <c r="TIW192" s="23"/>
      <c r="TIX192" s="23"/>
      <c r="TIY192" s="1"/>
      <c r="TIZ192" s="1"/>
      <c r="TJA192" s="1"/>
      <c r="TJB192" s="25"/>
      <c r="TJE192" s="23"/>
      <c r="TJF192" s="23"/>
      <c r="TJG192" s="23"/>
      <c r="TJH192" s="23"/>
      <c r="TJI192" s="23"/>
      <c r="TJJ192" s="23"/>
      <c r="TJK192" s="24"/>
      <c r="TJL192" s="23"/>
      <c r="TJM192" s="23"/>
      <c r="TJN192" s="23"/>
      <c r="TJO192" s="1"/>
      <c r="TJP192" s="1"/>
      <c r="TJQ192" s="1"/>
      <c r="TJR192" s="25"/>
      <c r="TJU192" s="23"/>
      <c r="TJV192" s="23"/>
      <c r="TJW192" s="23"/>
      <c r="TJX192" s="23"/>
      <c r="TJY192" s="23"/>
      <c r="TJZ192" s="23"/>
      <c r="TKA192" s="24"/>
      <c r="TKB192" s="23"/>
      <c r="TKC192" s="23"/>
      <c r="TKD192" s="23"/>
      <c r="TKE192" s="1"/>
      <c r="TKF192" s="1"/>
      <c r="TKG192" s="1"/>
      <c r="TKH192" s="25"/>
      <c r="TKK192" s="23"/>
      <c r="TKL192" s="23"/>
      <c r="TKM192" s="23"/>
      <c r="TKN192" s="23"/>
      <c r="TKO192" s="23"/>
      <c r="TKP192" s="23"/>
      <c r="TKQ192" s="24"/>
      <c r="TKR192" s="23"/>
      <c r="TKS192" s="23"/>
      <c r="TKT192" s="23"/>
      <c r="TKU192" s="1"/>
      <c r="TKV192" s="1"/>
      <c r="TKW192" s="1"/>
      <c r="TKX192" s="25"/>
      <c r="TLA192" s="23"/>
      <c r="TLB192" s="23"/>
      <c r="TLC192" s="23"/>
      <c r="TLD192" s="23"/>
      <c r="TLE192" s="23"/>
      <c r="TLF192" s="23"/>
      <c r="TLG192" s="24"/>
      <c r="TLH192" s="23"/>
      <c r="TLI192" s="23"/>
      <c r="TLJ192" s="23"/>
      <c r="TLK192" s="1"/>
      <c r="TLL192" s="1"/>
      <c r="TLM192" s="1"/>
      <c r="TLN192" s="25"/>
      <c r="TLQ192" s="23"/>
      <c r="TLR192" s="23"/>
      <c r="TLS192" s="23"/>
      <c r="TLT192" s="23"/>
      <c r="TLU192" s="23"/>
      <c r="TLV192" s="23"/>
      <c r="TLW192" s="24"/>
      <c r="TLX192" s="23"/>
      <c r="TLY192" s="23"/>
      <c r="TLZ192" s="23"/>
      <c r="TMA192" s="1"/>
      <c r="TMB192" s="1"/>
      <c r="TMC192" s="1"/>
      <c r="TMD192" s="25"/>
      <c r="TMG192" s="23"/>
      <c r="TMH192" s="23"/>
      <c r="TMI192" s="23"/>
      <c r="TMJ192" s="23"/>
      <c r="TMK192" s="23"/>
      <c r="TML192" s="23"/>
      <c r="TMM192" s="24"/>
      <c r="TMN192" s="23"/>
      <c r="TMO192" s="23"/>
      <c r="TMP192" s="23"/>
      <c r="TMQ192" s="1"/>
      <c r="TMR192" s="1"/>
      <c r="TMS192" s="1"/>
      <c r="TMT192" s="25"/>
      <c r="TMW192" s="23"/>
      <c r="TMX192" s="23"/>
      <c r="TMY192" s="23"/>
      <c r="TMZ192" s="23"/>
      <c r="TNA192" s="23"/>
      <c r="TNB192" s="23"/>
      <c r="TNC192" s="24"/>
      <c r="TND192" s="23"/>
      <c r="TNE192" s="23"/>
      <c r="TNF192" s="23"/>
      <c r="TNG192" s="1"/>
      <c r="TNH192" s="1"/>
      <c r="TNI192" s="1"/>
      <c r="TNJ192" s="25"/>
      <c r="TNM192" s="23"/>
      <c r="TNN192" s="23"/>
      <c r="TNO192" s="23"/>
      <c r="TNP192" s="23"/>
      <c r="TNQ192" s="23"/>
      <c r="TNR192" s="23"/>
      <c r="TNS192" s="24"/>
      <c r="TNT192" s="23"/>
      <c r="TNU192" s="23"/>
      <c r="TNV192" s="23"/>
      <c r="TNW192" s="1"/>
      <c r="TNX192" s="1"/>
      <c r="TNY192" s="1"/>
      <c r="TNZ192" s="25"/>
      <c r="TOC192" s="23"/>
      <c r="TOD192" s="23"/>
      <c r="TOE192" s="23"/>
      <c r="TOF192" s="23"/>
      <c r="TOG192" s="23"/>
      <c r="TOH192" s="23"/>
      <c r="TOI192" s="24"/>
      <c r="TOJ192" s="23"/>
      <c r="TOK192" s="23"/>
      <c r="TOL192" s="23"/>
      <c r="TOM192" s="1"/>
      <c r="TON192" s="1"/>
      <c r="TOO192" s="1"/>
      <c r="TOP192" s="25"/>
      <c r="TOS192" s="23"/>
      <c r="TOT192" s="23"/>
      <c r="TOU192" s="23"/>
      <c r="TOV192" s="23"/>
      <c r="TOW192" s="23"/>
      <c r="TOX192" s="23"/>
      <c r="TOY192" s="24"/>
      <c r="TOZ192" s="23"/>
      <c r="TPA192" s="23"/>
      <c r="TPB192" s="23"/>
      <c r="TPC192" s="1"/>
      <c r="TPD192" s="1"/>
      <c r="TPE192" s="1"/>
      <c r="TPF192" s="25"/>
      <c r="TPI192" s="23"/>
      <c r="TPJ192" s="23"/>
      <c r="TPK192" s="23"/>
      <c r="TPL192" s="23"/>
      <c r="TPM192" s="23"/>
      <c r="TPN192" s="23"/>
      <c r="TPO192" s="24"/>
      <c r="TPP192" s="23"/>
      <c r="TPQ192" s="23"/>
      <c r="TPR192" s="23"/>
      <c r="TPS192" s="1"/>
      <c r="TPT192" s="1"/>
      <c r="TPU192" s="1"/>
      <c r="TPV192" s="25"/>
      <c r="TPY192" s="23"/>
      <c r="TPZ192" s="23"/>
      <c r="TQA192" s="23"/>
      <c r="TQB192" s="23"/>
      <c r="TQC192" s="23"/>
      <c r="TQD192" s="23"/>
      <c r="TQE192" s="24"/>
      <c r="TQF192" s="23"/>
      <c r="TQG192" s="23"/>
      <c r="TQH192" s="23"/>
      <c r="TQI192" s="1"/>
      <c r="TQJ192" s="1"/>
      <c r="TQK192" s="1"/>
      <c r="TQL192" s="25"/>
      <c r="TQO192" s="23"/>
      <c r="TQP192" s="23"/>
      <c r="TQQ192" s="23"/>
      <c r="TQR192" s="23"/>
      <c r="TQS192" s="23"/>
      <c r="TQT192" s="23"/>
      <c r="TQU192" s="24"/>
      <c r="TQV192" s="23"/>
      <c r="TQW192" s="23"/>
      <c r="TQX192" s="23"/>
      <c r="TQY192" s="1"/>
      <c r="TQZ192" s="1"/>
      <c r="TRA192" s="1"/>
      <c r="TRB192" s="25"/>
      <c r="TRE192" s="23"/>
      <c r="TRF192" s="23"/>
      <c r="TRG192" s="23"/>
      <c r="TRH192" s="23"/>
      <c r="TRI192" s="23"/>
      <c r="TRJ192" s="23"/>
      <c r="TRK192" s="24"/>
      <c r="TRL192" s="23"/>
      <c r="TRM192" s="23"/>
      <c r="TRN192" s="23"/>
      <c r="TRO192" s="1"/>
      <c r="TRP192" s="1"/>
      <c r="TRQ192" s="1"/>
      <c r="TRR192" s="25"/>
      <c r="TRU192" s="23"/>
      <c r="TRV192" s="23"/>
      <c r="TRW192" s="23"/>
      <c r="TRX192" s="23"/>
      <c r="TRY192" s="23"/>
      <c r="TRZ192" s="23"/>
      <c r="TSA192" s="24"/>
      <c r="TSB192" s="23"/>
      <c r="TSC192" s="23"/>
      <c r="TSD192" s="23"/>
      <c r="TSE192" s="1"/>
      <c r="TSF192" s="1"/>
      <c r="TSG192" s="1"/>
      <c r="TSH192" s="25"/>
      <c r="TSK192" s="23"/>
      <c r="TSL192" s="23"/>
      <c r="TSM192" s="23"/>
      <c r="TSN192" s="23"/>
      <c r="TSO192" s="23"/>
      <c r="TSP192" s="23"/>
      <c r="TSQ192" s="24"/>
      <c r="TSR192" s="23"/>
      <c r="TSS192" s="23"/>
      <c r="TST192" s="23"/>
      <c r="TSU192" s="1"/>
      <c r="TSV192" s="1"/>
      <c r="TSW192" s="1"/>
      <c r="TSX192" s="25"/>
      <c r="TTA192" s="23"/>
      <c r="TTB192" s="23"/>
      <c r="TTC192" s="23"/>
      <c r="TTD192" s="23"/>
      <c r="TTE192" s="23"/>
      <c r="TTF192" s="23"/>
      <c r="TTG192" s="24"/>
      <c r="TTH192" s="23"/>
      <c r="TTI192" s="23"/>
      <c r="TTJ192" s="23"/>
      <c r="TTK192" s="1"/>
      <c r="TTL192" s="1"/>
      <c r="TTM192" s="1"/>
      <c r="TTN192" s="25"/>
      <c r="TTQ192" s="23"/>
      <c r="TTR192" s="23"/>
      <c r="TTS192" s="23"/>
      <c r="TTT192" s="23"/>
      <c r="TTU192" s="23"/>
      <c r="TTV192" s="23"/>
      <c r="TTW192" s="24"/>
      <c r="TTX192" s="23"/>
      <c r="TTY192" s="23"/>
      <c r="TTZ192" s="23"/>
      <c r="TUA192" s="1"/>
      <c r="TUB192" s="1"/>
      <c r="TUC192" s="1"/>
      <c r="TUD192" s="25"/>
      <c r="TUG192" s="23"/>
      <c r="TUH192" s="23"/>
      <c r="TUI192" s="23"/>
      <c r="TUJ192" s="23"/>
      <c r="TUK192" s="23"/>
      <c r="TUL192" s="23"/>
      <c r="TUM192" s="24"/>
      <c r="TUN192" s="23"/>
      <c r="TUO192" s="23"/>
      <c r="TUP192" s="23"/>
      <c r="TUQ192" s="1"/>
      <c r="TUR192" s="1"/>
      <c r="TUS192" s="1"/>
      <c r="TUT192" s="25"/>
      <c r="TUW192" s="23"/>
      <c r="TUX192" s="23"/>
      <c r="TUY192" s="23"/>
      <c r="TUZ192" s="23"/>
      <c r="TVA192" s="23"/>
      <c r="TVB192" s="23"/>
      <c r="TVC192" s="24"/>
      <c r="TVD192" s="23"/>
      <c r="TVE192" s="23"/>
      <c r="TVF192" s="23"/>
      <c r="TVG192" s="1"/>
      <c r="TVH192" s="1"/>
      <c r="TVI192" s="1"/>
      <c r="TVJ192" s="25"/>
      <c r="TVM192" s="23"/>
      <c r="TVN192" s="23"/>
      <c r="TVO192" s="23"/>
      <c r="TVP192" s="23"/>
      <c r="TVQ192" s="23"/>
      <c r="TVR192" s="23"/>
      <c r="TVS192" s="24"/>
      <c r="TVT192" s="23"/>
      <c r="TVU192" s="23"/>
      <c r="TVV192" s="23"/>
      <c r="TVW192" s="1"/>
      <c r="TVX192" s="1"/>
      <c r="TVY192" s="1"/>
      <c r="TVZ192" s="25"/>
      <c r="TWC192" s="23"/>
      <c r="TWD192" s="23"/>
      <c r="TWE192" s="23"/>
      <c r="TWF192" s="23"/>
      <c r="TWG192" s="23"/>
      <c r="TWH192" s="23"/>
      <c r="TWI192" s="24"/>
      <c r="TWJ192" s="23"/>
      <c r="TWK192" s="23"/>
      <c r="TWL192" s="23"/>
      <c r="TWM192" s="1"/>
      <c r="TWN192" s="1"/>
      <c r="TWO192" s="1"/>
      <c r="TWP192" s="25"/>
      <c r="TWS192" s="23"/>
      <c r="TWT192" s="23"/>
      <c r="TWU192" s="23"/>
      <c r="TWV192" s="23"/>
      <c r="TWW192" s="23"/>
      <c r="TWX192" s="23"/>
      <c r="TWY192" s="24"/>
      <c r="TWZ192" s="23"/>
      <c r="TXA192" s="23"/>
      <c r="TXB192" s="23"/>
      <c r="TXC192" s="1"/>
      <c r="TXD192" s="1"/>
      <c r="TXE192" s="1"/>
      <c r="TXF192" s="25"/>
      <c r="TXI192" s="23"/>
      <c r="TXJ192" s="23"/>
      <c r="TXK192" s="23"/>
      <c r="TXL192" s="23"/>
      <c r="TXM192" s="23"/>
      <c r="TXN192" s="23"/>
      <c r="TXO192" s="24"/>
      <c r="TXP192" s="23"/>
      <c r="TXQ192" s="23"/>
      <c r="TXR192" s="23"/>
      <c r="TXS192" s="1"/>
      <c r="TXT192" s="1"/>
      <c r="TXU192" s="1"/>
      <c r="TXV192" s="25"/>
      <c r="TXY192" s="23"/>
      <c r="TXZ192" s="23"/>
      <c r="TYA192" s="23"/>
      <c r="TYB192" s="23"/>
      <c r="TYC192" s="23"/>
      <c r="TYD192" s="23"/>
      <c r="TYE192" s="24"/>
      <c r="TYF192" s="23"/>
      <c r="TYG192" s="23"/>
      <c r="TYH192" s="23"/>
      <c r="TYI192" s="1"/>
      <c r="TYJ192" s="1"/>
      <c r="TYK192" s="1"/>
      <c r="TYL192" s="25"/>
      <c r="TYO192" s="23"/>
      <c r="TYP192" s="23"/>
      <c r="TYQ192" s="23"/>
      <c r="TYR192" s="23"/>
      <c r="TYS192" s="23"/>
      <c r="TYT192" s="23"/>
      <c r="TYU192" s="24"/>
      <c r="TYV192" s="23"/>
      <c r="TYW192" s="23"/>
      <c r="TYX192" s="23"/>
      <c r="TYY192" s="1"/>
      <c r="TYZ192" s="1"/>
      <c r="TZA192" s="1"/>
      <c r="TZB192" s="25"/>
      <c r="TZE192" s="23"/>
      <c r="TZF192" s="23"/>
      <c r="TZG192" s="23"/>
      <c r="TZH192" s="23"/>
      <c r="TZI192" s="23"/>
      <c r="TZJ192" s="23"/>
      <c r="TZK192" s="24"/>
      <c r="TZL192" s="23"/>
      <c r="TZM192" s="23"/>
      <c r="TZN192" s="23"/>
      <c r="TZO192" s="1"/>
      <c r="TZP192" s="1"/>
      <c r="TZQ192" s="1"/>
      <c r="TZR192" s="25"/>
      <c r="TZU192" s="23"/>
      <c r="TZV192" s="23"/>
      <c r="TZW192" s="23"/>
      <c r="TZX192" s="23"/>
      <c r="TZY192" s="23"/>
      <c r="TZZ192" s="23"/>
      <c r="UAA192" s="24"/>
      <c r="UAB192" s="23"/>
      <c r="UAC192" s="23"/>
      <c r="UAD192" s="23"/>
      <c r="UAE192" s="1"/>
      <c r="UAF192" s="1"/>
      <c r="UAG192" s="1"/>
      <c r="UAH192" s="25"/>
      <c r="UAK192" s="23"/>
      <c r="UAL192" s="23"/>
      <c r="UAM192" s="23"/>
      <c r="UAN192" s="23"/>
      <c r="UAO192" s="23"/>
      <c r="UAP192" s="23"/>
      <c r="UAQ192" s="24"/>
      <c r="UAR192" s="23"/>
      <c r="UAS192" s="23"/>
      <c r="UAT192" s="23"/>
      <c r="UAU192" s="1"/>
      <c r="UAV192" s="1"/>
      <c r="UAW192" s="1"/>
      <c r="UAX192" s="25"/>
      <c r="UBA192" s="23"/>
      <c r="UBB192" s="23"/>
      <c r="UBC192" s="23"/>
      <c r="UBD192" s="23"/>
      <c r="UBE192" s="23"/>
      <c r="UBF192" s="23"/>
      <c r="UBG192" s="24"/>
      <c r="UBH192" s="23"/>
      <c r="UBI192" s="23"/>
      <c r="UBJ192" s="23"/>
      <c r="UBK192" s="1"/>
      <c r="UBL192" s="1"/>
      <c r="UBM192" s="1"/>
      <c r="UBN192" s="25"/>
      <c r="UBQ192" s="23"/>
      <c r="UBR192" s="23"/>
      <c r="UBS192" s="23"/>
      <c r="UBT192" s="23"/>
      <c r="UBU192" s="23"/>
      <c r="UBV192" s="23"/>
      <c r="UBW192" s="24"/>
      <c r="UBX192" s="23"/>
      <c r="UBY192" s="23"/>
      <c r="UBZ192" s="23"/>
      <c r="UCA192" s="1"/>
      <c r="UCB192" s="1"/>
      <c r="UCC192" s="1"/>
      <c r="UCD192" s="25"/>
      <c r="UCG192" s="23"/>
      <c r="UCH192" s="23"/>
      <c r="UCI192" s="23"/>
      <c r="UCJ192" s="23"/>
      <c r="UCK192" s="23"/>
      <c r="UCL192" s="23"/>
      <c r="UCM192" s="24"/>
      <c r="UCN192" s="23"/>
      <c r="UCO192" s="23"/>
      <c r="UCP192" s="23"/>
      <c r="UCQ192" s="1"/>
      <c r="UCR192" s="1"/>
      <c r="UCS192" s="1"/>
      <c r="UCT192" s="25"/>
      <c r="UCW192" s="23"/>
      <c r="UCX192" s="23"/>
      <c r="UCY192" s="23"/>
      <c r="UCZ192" s="23"/>
      <c r="UDA192" s="23"/>
      <c r="UDB192" s="23"/>
      <c r="UDC192" s="24"/>
      <c r="UDD192" s="23"/>
      <c r="UDE192" s="23"/>
      <c r="UDF192" s="23"/>
      <c r="UDG192" s="1"/>
      <c r="UDH192" s="1"/>
      <c r="UDI192" s="1"/>
      <c r="UDJ192" s="25"/>
      <c r="UDM192" s="23"/>
      <c r="UDN192" s="23"/>
      <c r="UDO192" s="23"/>
      <c r="UDP192" s="23"/>
      <c r="UDQ192" s="23"/>
      <c r="UDR192" s="23"/>
      <c r="UDS192" s="24"/>
      <c r="UDT192" s="23"/>
      <c r="UDU192" s="23"/>
      <c r="UDV192" s="23"/>
      <c r="UDW192" s="1"/>
      <c r="UDX192" s="1"/>
      <c r="UDY192" s="1"/>
      <c r="UDZ192" s="25"/>
      <c r="UEC192" s="23"/>
      <c r="UED192" s="23"/>
      <c r="UEE192" s="23"/>
      <c r="UEF192" s="23"/>
      <c r="UEG192" s="23"/>
      <c r="UEH192" s="23"/>
      <c r="UEI192" s="24"/>
      <c r="UEJ192" s="23"/>
      <c r="UEK192" s="23"/>
      <c r="UEL192" s="23"/>
      <c r="UEM192" s="1"/>
      <c r="UEN192" s="1"/>
      <c r="UEO192" s="1"/>
      <c r="UEP192" s="25"/>
      <c r="UES192" s="23"/>
      <c r="UET192" s="23"/>
      <c r="UEU192" s="23"/>
      <c r="UEV192" s="23"/>
      <c r="UEW192" s="23"/>
      <c r="UEX192" s="23"/>
      <c r="UEY192" s="24"/>
      <c r="UEZ192" s="23"/>
      <c r="UFA192" s="23"/>
      <c r="UFB192" s="23"/>
      <c r="UFC192" s="1"/>
      <c r="UFD192" s="1"/>
      <c r="UFE192" s="1"/>
      <c r="UFF192" s="25"/>
      <c r="UFI192" s="23"/>
      <c r="UFJ192" s="23"/>
      <c r="UFK192" s="23"/>
      <c r="UFL192" s="23"/>
      <c r="UFM192" s="23"/>
      <c r="UFN192" s="23"/>
      <c r="UFO192" s="24"/>
      <c r="UFP192" s="23"/>
      <c r="UFQ192" s="23"/>
      <c r="UFR192" s="23"/>
      <c r="UFS192" s="1"/>
      <c r="UFT192" s="1"/>
      <c r="UFU192" s="1"/>
      <c r="UFV192" s="25"/>
      <c r="UFY192" s="23"/>
      <c r="UFZ192" s="23"/>
      <c r="UGA192" s="23"/>
      <c r="UGB192" s="23"/>
      <c r="UGC192" s="23"/>
      <c r="UGD192" s="23"/>
      <c r="UGE192" s="24"/>
      <c r="UGF192" s="23"/>
      <c r="UGG192" s="23"/>
      <c r="UGH192" s="23"/>
      <c r="UGI192" s="1"/>
      <c r="UGJ192" s="1"/>
      <c r="UGK192" s="1"/>
      <c r="UGL192" s="25"/>
      <c r="UGO192" s="23"/>
      <c r="UGP192" s="23"/>
      <c r="UGQ192" s="23"/>
      <c r="UGR192" s="23"/>
      <c r="UGS192" s="23"/>
      <c r="UGT192" s="23"/>
      <c r="UGU192" s="24"/>
      <c r="UGV192" s="23"/>
      <c r="UGW192" s="23"/>
      <c r="UGX192" s="23"/>
      <c r="UGY192" s="1"/>
      <c r="UGZ192" s="1"/>
      <c r="UHA192" s="1"/>
      <c r="UHB192" s="25"/>
      <c r="UHE192" s="23"/>
      <c r="UHF192" s="23"/>
      <c r="UHG192" s="23"/>
      <c r="UHH192" s="23"/>
      <c r="UHI192" s="23"/>
      <c r="UHJ192" s="23"/>
      <c r="UHK192" s="24"/>
      <c r="UHL192" s="23"/>
      <c r="UHM192" s="23"/>
      <c r="UHN192" s="23"/>
      <c r="UHO192" s="1"/>
      <c r="UHP192" s="1"/>
      <c r="UHQ192" s="1"/>
      <c r="UHR192" s="25"/>
      <c r="UHU192" s="23"/>
      <c r="UHV192" s="23"/>
      <c r="UHW192" s="23"/>
      <c r="UHX192" s="23"/>
      <c r="UHY192" s="23"/>
      <c r="UHZ192" s="23"/>
      <c r="UIA192" s="24"/>
      <c r="UIB192" s="23"/>
      <c r="UIC192" s="23"/>
      <c r="UID192" s="23"/>
      <c r="UIE192" s="1"/>
      <c r="UIF192" s="1"/>
      <c r="UIG192" s="1"/>
      <c r="UIH192" s="25"/>
      <c r="UIK192" s="23"/>
      <c r="UIL192" s="23"/>
      <c r="UIM192" s="23"/>
      <c r="UIN192" s="23"/>
      <c r="UIO192" s="23"/>
      <c r="UIP192" s="23"/>
      <c r="UIQ192" s="24"/>
      <c r="UIR192" s="23"/>
      <c r="UIS192" s="23"/>
      <c r="UIT192" s="23"/>
      <c r="UIU192" s="1"/>
      <c r="UIV192" s="1"/>
      <c r="UIW192" s="1"/>
      <c r="UIX192" s="25"/>
      <c r="UJA192" s="23"/>
      <c r="UJB192" s="23"/>
      <c r="UJC192" s="23"/>
      <c r="UJD192" s="23"/>
      <c r="UJE192" s="23"/>
      <c r="UJF192" s="23"/>
      <c r="UJG192" s="24"/>
      <c r="UJH192" s="23"/>
      <c r="UJI192" s="23"/>
      <c r="UJJ192" s="23"/>
      <c r="UJK192" s="1"/>
      <c r="UJL192" s="1"/>
      <c r="UJM192" s="1"/>
      <c r="UJN192" s="25"/>
      <c r="UJQ192" s="23"/>
      <c r="UJR192" s="23"/>
      <c r="UJS192" s="23"/>
      <c r="UJT192" s="23"/>
      <c r="UJU192" s="23"/>
      <c r="UJV192" s="23"/>
      <c r="UJW192" s="24"/>
      <c r="UJX192" s="23"/>
      <c r="UJY192" s="23"/>
      <c r="UJZ192" s="23"/>
      <c r="UKA192" s="1"/>
      <c r="UKB192" s="1"/>
      <c r="UKC192" s="1"/>
      <c r="UKD192" s="25"/>
      <c r="UKG192" s="23"/>
      <c r="UKH192" s="23"/>
      <c r="UKI192" s="23"/>
      <c r="UKJ192" s="23"/>
      <c r="UKK192" s="23"/>
      <c r="UKL192" s="23"/>
      <c r="UKM192" s="24"/>
      <c r="UKN192" s="23"/>
      <c r="UKO192" s="23"/>
      <c r="UKP192" s="23"/>
      <c r="UKQ192" s="1"/>
      <c r="UKR192" s="1"/>
      <c r="UKS192" s="1"/>
      <c r="UKT192" s="25"/>
      <c r="UKW192" s="23"/>
      <c r="UKX192" s="23"/>
      <c r="UKY192" s="23"/>
      <c r="UKZ192" s="23"/>
      <c r="ULA192" s="23"/>
      <c r="ULB192" s="23"/>
      <c r="ULC192" s="24"/>
      <c r="ULD192" s="23"/>
      <c r="ULE192" s="23"/>
      <c r="ULF192" s="23"/>
      <c r="ULG192" s="1"/>
      <c r="ULH192" s="1"/>
      <c r="ULI192" s="1"/>
      <c r="ULJ192" s="25"/>
      <c r="ULM192" s="23"/>
      <c r="ULN192" s="23"/>
      <c r="ULO192" s="23"/>
      <c r="ULP192" s="23"/>
      <c r="ULQ192" s="23"/>
      <c r="ULR192" s="23"/>
      <c r="ULS192" s="24"/>
      <c r="ULT192" s="23"/>
      <c r="ULU192" s="23"/>
      <c r="ULV192" s="23"/>
      <c r="ULW192" s="1"/>
      <c r="ULX192" s="1"/>
      <c r="ULY192" s="1"/>
      <c r="ULZ192" s="25"/>
      <c r="UMC192" s="23"/>
      <c r="UMD192" s="23"/>
      <c r="UME192" s="23"/>
      <c r="UMF192" s="23"/>
      <c r="UMG192" s="23"/>
      <c r="UMH192" s="23"/>
      <c r="UMI192" s="24"/>
      <c r="UMJ192" s="23"/>
      <c r="UMK192" s="23"/>
      <c r="UML192" s="23"/>
      <c r="UMM192" s="1"/>
      <c r="UMN192" s="1"/>
      <c r="UMO192" s="1"/>
      <c r="UMP192" s="25"/>
      <c r="UMS192" s="23"/>
      <c r="UMT192" s="23"/>
      <c r="UMU192" s="23"/>
      <c r="UMV192" s="23"/>
      <c r="UMW192" s="23"/>
      <c r="UMX192" s="23"/>
      <c r="UMY192" s="24"/>
      <c r="UMZ192" s="23"/>
      <c r="UNA192" s="23"/>
      <c r="UNB192" s="23"/>
      <c r="UNC192" s="1"/>
      <c r="UND192" s="1"/>
      <c r="UNE192" s="1"/>
      <c r="UNF192" s="25"/>
      <c r="UNI192" s="23"/>
      <c r="UNJ192" s="23"/>
      <c r="UNK192" s="23"/>
      <c r="UNL192" s="23"/>
      <c r="UNM192" s="23"/>
      <c r="UNN192" s="23"/>
      <c r="UNO192" s="24"/>
      <c r="UNP192" s="23"/>
      <c r="UNQ192" s="23"/>
      <c r="UNR192" s="23"/>
      <c r="UNS192" s="1"/>
      <c r="UNT192" s="1"/>
      <c r="UNU192" s="1"/>
      <c r="UNV192" s="25"/>
      <c r="UNY192" s="23"/>
      <c r="UNZ192" s="23"/>
      <c r="UOA192" s="23"/>
      <c r="UOB192" s="23"/>
      <c r="UOC192" s="23"/>
      <c r="UOD192" s="23"/>
      <c r="UOE192" s="24"/>
      <c r="UOF192" s="23"/>
      <c r="UOG192" s="23"/>
      <c r="UOH192" s="23"/>
      <c r="UOI192" s="1"/>
      <c r="UOJ192" s="1"/>
      <c r="UOK192" s="1"/>
      <c r="UOL192" s="25"/>
      <c r="UOO192" s="23"/>
      <c r="UOP192" s="23"/>
      <c r="UOQ192" s="23"/>
      <c r="UOR192" s="23"/>
      <c r="UOS192" s="23"/>
      <c r="UOT192" s="23"/>
      <c r="UOU192" s="24"/>
      <c r="UOV192" s="23"/>
      <c r="UOW192" s="23"/>
      <c r="UOX192" s="23"/>
      <c r="UOY192" s="1"/>
      <c r="UOZ192" s="1"/>
      <c r="UPA192" s="1"/>
      <c r="UPB192" s="25"/>
      <c r="UPE192" s="23"/>
      <c r="UPF192" s="23"/>
      <c r="UPG192" s="23"/>
      <c r="UPH192" s="23"/>
      <c r="UPI192" s="23"/>
      <c r="UPJ192" s="23"/>
      <c r="UPK192" s="24"/>
      <c r="UPL192" s="23"/>
      <c r="UPM192" s="23"/>
      <c r="UPN192" s="23"/>
      <c r="UPO192" s="1"/>
      <c r="UPP192" s="1"/>
      <c r="UPQ192" s="1"/>
      <c r="UPR192" s="25"/>
      <c r="UPU192" s="23"/>
      <c r="UPV192" s="23"/>
      <c r="UPW192" s="23"/>
      <c r="UPX192" s="23"/>
      <c r="UPY192" s="23"/>
      <c r="UPZ192" s="23"/>
      <c r="UQA192" s="24"/>
      <c r="UQB192" s="23"/>
      <c r="UQC192" s="23"/>
      <c r="UQD192" s="23"/>
      <c r="UQE192" s="1"/>
      <c r="UQF192" s="1"/>
      <c r="UQG192" s="1"/>
      <c r="UQH192" s="25"/>
      <c r="UQK192" s="23"/>
      <c r="UQL192" s="23"/>
      <c r="UQM192" s="23"/>
      <c r="UQN192" s="23"/>
      <c r="UQO192" s="23"/>
      <c r="UQP192" s="23"/>
      <c r="UQQ192" s="24"/>
      <c r="UQR192" s="23"/>
      <c r="UQS192" s="23"/>
      <c r="UQT192" s="23"/>
      <c r="UQU192" s="1"/>
      <c r="UQV192" s="1"/>
      <c r="UQW192" s="1"/>
      <c r="UQX192" s="25"/>
      <c r="URA192" s="23"/>
      <c r="URB192" s="23"/>
      <c r="URC192" s="23"/>
      <c r="URD192" s="23"/>
      <c r="URE192" s="23"/>
      <c r="URF192" s="23"/>
      <c r="URG192" s="24"/>
      <c r="URH192" s="23"/>
      <c r="URI192" s="23"/>
      <c r="URJ192" s="23"/>
      <c r="URK192" s="1"/>
      <c r="URL192" s="1"/>
      <c r="URM192" s="1"/>
      <c r="URN192" s="25"/>
      <c r="URQ192" s="23"/>
      <c r="URR192" s="23"/>
      <c r="URS192" s="23"/>
      <c r="URT192" s="23"/>
      <c r="URU192" s="23"/>
      <c r="URV192" s="23"/>
      <c r="URW192" s="24"/>
      <c r="URX192" s="23"/>
      <c r="URY192" s="23"/>
      <c r="URZ192" s="23"/>
      <c r="USA192" s="1"/>
      <c r="USB192" s="1"/>
      <c r="USC192" s="1"/>
      <c r="USD192" s="25"/>
      <c r="USG192" s="23"/>
      <c r="USH192" s="23"/>
      <c r="USI192" s="23"/>
      <c r="USJ192" s="23"/>
      <c r="USK192" s="23"/>
      <c r="USL192" s="23"/>
      <c r="USM192" s="24"/>
      <c r="USN192" s="23"/>
      <c r="USO192" s="23"/>
      <c r="USP192" s="23"/>
      <c r="USQ192" s="1"/>
      <c r="USR192" s="1"/>
      <c r="USS192" s="1"/>
      <c r="UST192" s="25"/>
      <c r="USW192" s="23"/>
      <c r="USX192" s="23"/>
      <c r="USY192" s="23"/>
      <c r="USZ192" s="23"/>
      <c r="UTA192" s="23"/>
      <c r="UTB192" s="23"/>
      <c r="UTC192" s="24"/>
      <c r="UTD192" s="23"/>
      <c r="UTE192" s="23"/>
      <c r="UTF192" s="23"/>
      <c r="UTG192" s="1"/>
      <c r="UTH192" s="1"/>
      <c r="UTI192" s="1"/>
      <c r="UTJ192" s="25"/>
      <c r="UTM192" s="23"/>
      <c r="UTN192" s="23"/>
      <c r="UTO192" s="23"/>
      <c r="UTP192" s="23"/>
      <c r="UTQ192" s="23"/>
      <c r="UTR192" s="23"/>
      <c r="UTS192" s="24"/>
      <c r="UTT192" s="23"/>
      <c r="UTU192" s="23"/>
      <c r="UTV192" s="23"/>
      <c r="UTW192" s="1"/>
      <c r="UTX192" s="1"/>
      <c r="UTY192" s="1"/>
      <c r="UTZ192" s="25"/>
      <c r="UUC192" s="23"/>
      <c r="UUD192" s="23"/>
      <c r="UUE192" s="23"/>
      <c r="UUF192" s="23"/>
      <c r="UUG192" s="23"/>
      <c r="UUH192" s="23"/>
      <c r="UUI192" s="24"/>
      <c r="UUJ192" s="23"/>
      <c r="UUK192" s="23"/>
      <c r="UUL192" s="23"/>
      <c r="UUM192" s="1"/>
      <c r="UUN192" s="1"/>
      <c r="UUO192" s="1"/>
      <c r="UUP192" s="25"/>
      <c r="UUS192" s="23"/>
      <c r="UUT192" s="23"/>
      <c r="UUU192" s="23"/>
      <c r="UUV192" s="23"/>
      <c r="UUW192" s="23"/>
      <c r="UUX192" s="23"/>
      <c r="UUY192" s="24"/>
      <c r="UUZ192" s="23"/>
      <c r="UVA192" s="23"/>
      <c r="UVB192" s="23"/>
      <c r="UVC192" s="1"/>
      <c r="UVD192" s="1"/>
      <c r="UVE192" s="1"/>
      <c r="UVF192" s="25"/>
      <c r="UVI192" s="23"/>
      <c r="UVJ192" s="23"/>
      <c r="UVK192" s="23"/>
      <c r="UVL192" s="23"/>
      <c r="UVM192" s="23"/>
      <c r="UVN192" s="23"/>
      <c r="UVO192" s="24"/>
      <c r="UVP192" s="23"/>
      <c r="UVQ192" s="23"/>
      <c r="UVR192" s="23"/>
      <c r="UVS192" s="1"/>
      <c r="UVT192" s="1"/>
      <c r="UVU192" s="1"/>
      <c r="UVV192" s="25"/>
      <c r="UVY192" s="23"/>
      <c r="UVZ192" s="23"/>
      <c r="UWA192" s="23"/>
      <c r="UWB192" s="23"/>
      <c r="UWC192" s="23"/>
      <c r="UWD192" s="23"/>
      <c r="UWE192" s="24"/>
      <c r="UWF192" s="23"/>
      <c r="UWG192" s="23"/>
      <c r="UWH192" s="23"/>
      <c r="UWI192" s="1"/>
      <c r="UWJ192" s="1"/>
      <c r="UWK192" s="1"/>
      <c r="UWL192" s="25"/>
      <c r="UWO192" s="23"/>
      <c r="UWP192" s="23"/>
      <c r="UWQ192" s="23"/>
      <c r="UWR192" s="23"/>
      <c r="UWS192" s="23"/>
      <c r="UWT192" s="23"/>
      <c r="UWU192" s="24"/>
      <c r="UWV192" s="23"/>
      <c r="UWW192" s="23"/>
      <c r="UWX192" s="23"/>
      <c r="UWY192" s="1"/>
      <c r="UWZ192" s="1"/>
      <c r="UXA192" s="1"/>
      <c r="UXB192" s="25"/>
      <c r="UXE192" s="23"/>
      <c r="UXF192" s="23"/>
      <c r="UXG192" s="23"/>
      <c r="UXH192" s="23"/>
      <c r="UXI192" s="23"/>
      <c r="UXJ192" s="23"/>
      <c r="UXK192" s="24"/>
      <c r="UXL192" s="23"/>
      <c r="UXM192" s="23"/>
      <c r="UXN192" s="23"/>
      <c r="UXO192" s="1"/>
      <c r="UXP192" s="1"/>
      <c r="UXQ192" s="1"/>
      <c r="UXR192" s="25"/>
      <c r="UXU192" s="23"/>
      <c r="UXV192" s="23"/>
      <c r="UXW192" s="23"/>
      <c r="UXX192" s="23"/>
      <c r="UXY192" s="23"/>
      <c r="UXZ192" s="23"/>
      <c r="UYA192" s="24"/>
      <c r="UYB192" s="23"/>
      <c r="UYC192" s="23"/>
      <c r="UYD192" s="23"/>
      <c r="UYE192" s="1"/>
      <c r="UYF192" s="1"/>
      <c r="UYG192" s="1"/>
      <c r="UYH192" s="25"/>
      <c r="UYK192" s="23"/>
      <c r="UYL192" s="23"/>
      <c r="UYM192" s="23"/>
      <c r="UYN192" s="23"/>
      <c r="UYO192" s="23"/>
      <c r="UYP192" s="23"/>
      <c r="UYQ192" s="24"/>
      <c r="UYR192" s="23"/>
      <c r="UYS192" s="23"/>
      <c r="UYT192" s="23"/>
      <c r="UYU192" s="1"/>
      <c r="UYV192" s="1"/>
      <c r="UYW192" s="1"/>
      <c r="UYX192" s="25"/>
      <c r="UZA192" s="23"/>
      <c r="UZB192" s="23"/>
      <c r="UZC192" s="23"/>
      <c r="UZD192" s="23"/>
      <c r="UZE192" s="23"/>
      <c r="UZF192" s="23"/>
      <c r="UZG192" s="24"/>
      <c r="UZH192" s="23"/>
      <c r="UZI192" s="23"/>
      <c r="UZJ192" s="23"/>
      <c r="UZK192" s="1"/>
      <c r="UZL192" s="1"/>
      <c r="UZM192" s="1"/>
      <c r="UZN192" s="25"/>
      <c r="UZQ192" s="23"/>
      <c r="UZR192" s="23"/>
      <c r="UZS192" s="23"/>
      <c r="UZT192" s="23"/>
      <c r="UZU192" s="23"/>
      <c r="UZV192" s="23"/>
      <c r="UZW192" s="24"/>
      <c r="UZX192" s="23"/>
      <c r="UZY192" s="23"/>
      <c r="UZZ192" s="23"/>
      <c r="VAA192" s="1"/>
      <c r="VAB192" s="1"/>
      <c r="VAC192" s="1"/>
      <c r="VAD192" s="25"/>
      <c r="VAG192" s="23"/>
      <c r="VAH192" s="23"/>
      <c r="VAI192" s="23"/>
      <c r="VAJ192" s="23"/>
      <c r="VAK192" s="23"/>
      <c r="VAL192" s="23"/>
      <c r="VAM192" s="24"/>
      <c r="VAN192" s="23"/>
      <c r="VAO192" s="23"/>
      <c r="VAP192" s="23"/>
      <c r="VAQ192" s="1"/>
      <c r="VAR192" s="1"/>
      <c r="VAS192" s="1"/>
      <c r="VAT192" s="25"/>
      <c r="VAW192" s="23"/>
      <c r="VAX192" s="23"/>
      <c r="VAY192" s="23"/>
      <c r="VAZ192" s="23"/>
      <c r="VBA192" s="23"/>
      <c r="VBB192" s="23"/>
      <c r="VBC192" s="24"/>
      <c r="VBD192" s="23"/>
      <c r="VBE192" s="23"/>
      <c r="VBF192" s="23"/>
      <c r="VBG192" s="1"/>
      <c r="VBH192" s="1"/>
      <c r="VBI192" s="1"/>
      <c r="VBJ192" s="25"/>
      <c r="VBM192" s="23"/>
      <c r="VBN192" s="23"/>
      <c r="VBO192" s="23"/>
      <c r="VBP192" s="23"/>
      <c r="VBQ192" s="23"/>
      <c r="VBR192" s="23"/>
      <c r="VBS192" s="24"/>
      <c r="VBT192" s="23"/>
      <c r="VBU192" s="23"/>
      <c r="VBV192" s="23"/>
      <c r="VBW192" s="1"/>
      <c r="VBX192" s="1"/>
      <c r="VBY192" s="1"/>
      <c r="VBZ192" s="25"/>
      <c r="VCC192" s="23"/>
      <c r="VCD192" s="23"/>
      <c r="VCE192" s="23"/>
      <c r="VCF192" s="23"/>
      <c r="VCG192" s="23"/>
      <c r="VCH192" s="23"/>
      <c r="VCI192" s="24"/>
      <c r="VCJ192" s="23"/>
      <c r="VCK192" s="23"/>
      <c r="VCL192" s="23"/>
      <c r="VCM192" s="1"/>
      <c r="VCN192" s="1"/>
      <c r="VCO192" s="1"/>
      <c r="VCP192" s="25"/>
      <c r="VCS192" s="23"/>
      <c r="VCT192" s="23"/>
      <c r="VCU192" s="23"/>
      <c r="VCV192" s="23"/>
      <c r="VCW192" s="23"/>
      <c r="VCX192" s="23"/>
      <c r="VCY192" s="24"/>
      <c r="VCZ192" s="23"/>
      <c r="VDA192" s="23"/>
      <c r="VDB192" s="23"/>
      <c r="VDC192" s="1"/>
      <c r="VDD192" s="1"/>
      <c r="VDE192" s="1"/>
      <c r="VDF192" s="25"/>
      <c r="VDI192" s="23"/>
      <c r="VDJ192" s="23"/>
      <c r="VDK192" s="23"/>
      <c r="VDL192" s="23"/>
      <c r="VDM192" s="23"/>
      <c r="VDN192" s="23"/>
      <c r="VDO192" s="24"/>
      <c r="VDP192" s="23"/>
      <c r="VDQ192" s="23"/>
      <c r="VDR192" s="23"/>
      <c r="VDS192" s="1"/>
      <c r="VDT192" s="1"/>
      <c r="VDU192" s="1"/>
      <c r="VDV192" s="25"/>
      <c r="VDY192" s="23"/>
      <c r="VDZ192" s="23"/>
      <c r="VEA192" s="23"/>
      <c r="VEB192" s="23"/>
      <c r="VEC192" s="23"/>
      <c r="VED192" s="23"/>
      <c r="VEE192" s="24"/>
      <c r="VEF192" s="23"/>
      <c r="VEG192" s="23"/>
      <c r="VEH192" s="23"/>
      <c r="VEI192" s="1"/>
      <c r="VEJ192" s="1"/>
      <c r="VEK192" s="1"/>
      <c r="VEL192" s="25"/>
      <c r="VEO192" s="23"/>
      <c r="VEP192" s="23"/>
      <c r="VEQ192" s="23"/>
      <c r="VER192" s="23"/>
      <c r="VES192" s="23"/>
      <c r="VET192" s="23"/>
      <c r="VEU192" s="24"/>
      <c r="VEV192" s="23"/>
      <c r="VEW192" s="23"/>
      <c r="VEX192" s="23"/>
      <c r="VEY192" s="1"/>
      <c r="VEZ192" s="1"/>
      <c r="VFA192" s="1"/>
      <c r="VFB192" s="25"/>
      <c r="VFE192" s="23"/>
      <c r="VFF192" s="23"/>
      <c r="VFG192" s="23"/>
      <c r="VFH192" s="23"/>
      <c r="VFI192" s="23"/>
      <c r="VFJ192" s="23"/>
      <c r="VFK192" s="24"/>
      <c r="VFL192" s="23"/>
      <c r="VFM192" s="23"/>
      <c r="VFN192" s="23"/>
      <c r="VFO192" s="1"/>
      <c r="VFP192" s="1"/>
      <c r="VFQ192" s="1"/>
      <c r="VFR192" s="25"/>
      <c r="VFU192" s="23"/>
      <c r="VFV192" s="23"/>
      <c r="VFW192" s="23"/>
      <c r="VFX192" s="23"/>
      <c r="VFY192" s="23"/>
      <c r="VFZ192" s="23"/>
      <c r="VGA192" s="24"/>
      <c r="VGB192" s="23"/>
      <c r="VGC192" s="23"/>
      <c r="VGD192" s="23"/>
      <c r="VGE192" s="1"/>
      <c r="VGF192" s="1"/>
      <c r="VGG192" s="1"/>
      <c r="VGH192" s="25"/>
      <c r="VGK192" s="23"/>
      <c r="VGL192" s="23"/>
      <c r="VGM192" s="23"/>
      <c r="VGN192" s="23"/>
      <c r="VGO192" s="23"/>
      <c r="VGP192" s="23"/>
      <c r="VGQ192" s="24"/>
      <c r="VGR192" s="23"/>
      <c r="VGS192" s="23"/>
      <c r="VGT192" s="23"/>
      <c r="VGU192" s="1"/>
      <c r="VGV192" s="1"/>
      <c r="VGW192" s="1"/>
      <c r="VGX192" s="25"/>
      <c r="VHA192" s="23"/>
      <c r="VHB192" s="23"/>
      <c r="VHC192" s="23"/>
      <c r="VHD192" s="23"/>
      <c r="VHE192" s="23"/>
      <c r="VHF192" s="23"/>
      <c r="VHG192" s="24"/>
      <c r="VHH192" s="23"/>
      <c r="VHI192" s="23"/>
      <c r="VHJ192" s="23"/>
      <c r="VHK192" s="1"/>
      <c r="VHL192" s="1"/>
      <c r="VHM192" s="1"/>
      <c r="VHN192" s="25"/>
      <c r="VHQ192" s="23"/>
      <c r="VHR192" s="23"/>
      <c r="VHS192" s="23"/>
      <c r="VHT192" s="23"/>
      <c r="VHU192" s="23"/>
      <c r="VHV192" s="23"/>
      <c r="VHW192" s="24"/>
      <c r="VHX192" s="23"/>
      <c r="VHY192" s="23"/>
      <c r="VHZ192" s="23"/>
      <c r="VIA192" s="1"/>
      <c r="VIB192" s="1"/>
      <c r="VIC192" s="1"/>
      <c r="VID192" s="25"/>
      <c r="VIG192" s="23"/>
      <c r="VIH192" s="23"/>
      <c r="VII192" s="23"/>
      <c r="VIJ192" s="23"/>
      <c r="VIK192" s="23"/>
      <c r="VIL192" s="23"/>
      <c r="VIM192" s="24"/>
      <c r="VIN192" s="23"/>
      <c r="VIO192" s="23"/>
      <c r="VIP192" s="23"/>
      <c r="VIQ192" s="1"/>
      <c r="VIR192" s="1"/>
      <c r="VIS192" s="1"/>
      <c r="VIT192" s="25"/>
      <c r="VIW192" s="23"/>
      <c r="VIX192" s="23"/>
      <c r="VIY192" s="23"/>
      <c r="VIZ192" s="23"/>
      <c r="VJA192" s="23"/>
      <c r="VJB192" s="23"/>
      <c r="VJC192" s="24"/>
      <c r="VJD192" s="23"/>
      <c r="VJE192" s="23"/>
      <c r="VJF192" s="23"/>
      <c r="VJG192" s="1"/>
      <c r="VJH192" s="1"/>
      <c r="VJI192" s="1"/>
      <c r="VJJ192" s="25"/>
      <c r="VJM192" s="23"/>
      <c r="VJN192" s="23"/>
      <c r="VJO192" s="23"/>
      <c r="VJP192" s="23"/>
      <c r="VJQ192" s="23"/>
      <c r="VJR192" s="23"/>
      <c r="VJS192" s="24"/>
      <c r="VJT192" s="23"/>
      <c r="VJU192" s="23"/>
      <c r="VJV192" s="23"/>
      <c r="VJW192" s="1"/>
      <c r="VJX192" s="1"/>
      <c r="VJY192" s="1"/>
      <c r="VJZ192" s="25"/>
      <c r="VKC192" s="23"/>
      <c r="VKD192" s="23"/>
      <c r="VKE192" s="23"/>
      <c r="VKF192" s="23"/>
      <c r="VKG192" s="23"/>
      <c r="VKH192" s="23"/>
      <c r="VKI192" s="24"/>
      <c r="VKJ192" s="23"/>
      <c r="VKK192" s="23"/>
      <c r="VKL192" s="23"/>
      <c r="VKM192" s="1"/>
      <c r="VKN192" s="1"/>
      <c r="VKO192" s="1"/>
      <c r="VKP192" s="25"/>
      <c r="VKS192" s="23"/>
      <c r="VKT192" s="23"/>
      <c r="VKU192" s="23"/>
      <c r="VKV192" s="23"/>
      <c r="VKW192" s="23"/>
      <c r="VKX192" s="23"/>
      <c r="VKY192" s="24"/>
      <c r="VKZ192" s="23"/>
      <c r="VLA192" s="23"/>
      <c r="VLB192" s="23"/>
      <c r="VLC192" s="1"/>
      <c r="VLD192" s="1"/>
      <c r="VLE192" s="1"/>
      <c r="VLF192" s="25"/>
      <c r="VLI192" s="23"/>
      <c r="VLJ192" s="23"/>
      <c r="VLK192" s="23"/>
      <c r="VLL192" s="23"/>
      <c r="VLM192" s="23"/>
      <c r="VLN192" s="23"/>
      <c r="VLO192" s="24"/>
      <c r="VLP192" s="23"/>
      <c r="VLQ192" s="23"/>
      <c r="VLR192" s="23"/>
      <c r="VLS192" s="1"/>
      <c r="VLT192" s="1"/>
      <c r="VLU192" s="1"/>
      <c r="VLV192" s="25"/>
      <c r="VLY192" s="23"/>
      <c r="VLZ192" s="23"/>
      <c r="VMA192" s="23"/>
      <c r="VMB192" s="23"/>
      <c r="VMC192" s="23"/>
      <c r="VMD192" s="23"/>
      <c r="VME192" s="24"/>
      <c r="VMF192" s="23"/>
      <c r="VMG192" s="23"/>
      <c r="VMH192" s="23"/>
      <c r="VMI192" s="1"/>
      <c r="VMJ192" s="1"/>
      <c r="VMK192" s="1"/>
      <c r="VML192" s="25"/>
      <c r="VMO192" s="23"/>
      <c r="VMP192" s="23"/>
      <c r="VMQ192" s="23"/>
      <c r="VMR192" s="23"/>
      <c r="VMS192" s="23"/>
      <c r="VMT192" s="23"/>
      <c r="VMU192" s="24"/>
      <c r="VMV192" s="23"/>
      <c r="VMW192" s="23"/>
      <c r="VMX192" s="23"/>
      <c r="VMY192" s="1"/>
      <c r="VMZ192" s="1"/>
      <c r="VNA192" s="1"/>
      <c r="VNB192" s="25"/>
      <c r="VNE192" s="23"/>
      <c r="VNF192" s="23"/>
      <c r="VNG192" s="23"/>
      <c r="VNH192" s="23"/>
      <c r="VNI192" s="23"/>
      <c r="VNJ192" s="23"/>
      <c r="VNK192" s="24"/>
      <c r="VNL192" s="23"/>
      <c r="VNM192" s="23"/>
      <c r="VNN192" s="23"/>
      <c r="VNO192" s="1"/>
      <c r="VNP192" s="1"/>
      <c r="VNQ192" s="1"/>
      <c r="VNR192" s="25"/>
      <c r="VNU192" s="23"/>
      <c r="VNV192" s="23"/>
      <c r="VNW192" s="23"/>
      <c r="VNX192" s="23"/>
      <c r="VNY192" s="23"/>
      <c r="VNZ192" s="23"/>
      <c r="VOA192" s="24"/>
      <c r="VOB192" s="23"/>
      <c r="VOC192" s="23"/>
      <c r="VOD192" s="23"/>
      <c r="VOE192" s="1"/>
      <c r="VOF192" s="1"/>
      <c r="VOG192" s="1"/>
      <c r="VOH192" s="25"/>
      <c r="VOK192" s="23"/>
      <c r="VOL192" s="23"/>
      <c r="VOM192" s="23"/>
      <c r="VON192" s="23"/>
      <c r="VOO192" s="23"/>
      <c r="VOP192" s="23"/>
      <c r="VOQ192" s="24"/>
      <c r="VOR192" s="23"/>
      <c r="VOS192" s="23"/>
      <c r="VOT192" s="23"/>
      <c r="VOU192" s="1"/>
      <c r="VOV192" s="1"/>
      <c r="VOW192" s="1"/>
      <c r="VOX192" s="25"/>
      <c r="VPA192" s="23"/>
      <c r="VPB192" s="23"/>
      <c r="VPC192" s="23"/>
      <c r="VPD192" s="23"/>
      <c r="VPE192" s="23"/>
      <c r="VPF192" s="23"/>
      <c r="VPG192" s="24"/>
      <c r="VPH192" s="23"/>
      <c r="VPI192" s="23"/>
      <c r="VPJ192" s="23"/>
      <c r="VPK192" s="1"/>
      <c r="VPL192" s="1"/>
      <c r="VPM192" s="1"/>
      <c r="VPN192" s="25"/>
      <c r="VPQ192" s="23"/>
      <c r="VPR192" s="23"/>
      <c r="VPS192" s="23"/>
      <c r="VPT192" s="23"/>
      <c r="VPU192" s="23"/>
      <c r="VPV192" s="23"/>
      <c r="VPW192" s="24"/>
      <c r="VPX192" s="23"/>
      <c r="VPY192" s="23"/>
      <c r="VPZ192" s="23"/>
      <c r="VQA192" s="1"/>
      <c r="VQB192" s="1"/>
      <c r="VQC192" s="1"/>
      <c r="VQD192" s="25"/>
      <c r="VQG192" s="23"/>
      <c r="VQH192" s="23"/>
      <c r="VQI192" s="23"/>
      <c r="VQJ192" s="23"/>
      <c r="VQK192" s="23"/>
      <c r="VQL192" s="23"/>
      <c r="VQM192" s="24"/>
      <c r="VQN192" s="23"/>
      <c r="VQO192" s="23"/>
      <c r="VQP192" s="23"/>
      <c r="VQQ192" s="1"/>
      <c r="VQR192" s="1"/>
      <c r="VQS192" s="1"/>
      <c r="VQT192" s="25"/>
      <c r="VQW192" s="23"/>
      <c r="VQX192" s="23"/>
      <c r="VQY192" s="23"/>
      <c r="VQZ192" s="23"/>
      <c r="VRA192" s="23"/>
      <c r="VRB192" s="23"/>
      <c r="VRC192" s="24"/>
      <c r="VRD192" s="23"/>
      <c r="VRE192" s="23"/>
      <c r="VRF192" s="23"/>
      <c r="VRG192" s="1"/>
      <c r="VRH192" s="1"/>
      <c r="VRI192" s="1"/>
      <c r="VRJ192" s="25"/>
      <c r="VRM192" s="23"/>
      <c r="VRN192" s="23"/>
      <c r="VRO192" s="23"/>
      <c r="VRP192" s="23"/>
      <c r="VRQ192" s="23"/>
      <c r="VRR192" s="23"/>
      <c r="VRS192" s="24"/>
      <c r="VRT192" s="23"/>
      <c r="VRU192" s="23"/>
      <c r="VRV192" s="23"/>
      <c r="VRW192" s="1"/>
      <c r="VRX192" s="1"/>
      <c r="VRY192" s="1"/>
      <c r="VRZ192" s="25"/>
      <c r="VSC192" s="23"/>
      <c r="VSD192" s="23"/>
      <c r="VSE192" s="23"/>
      <c r="VSF192" s="23"/>
      <c r="VSG192" s="23"/>
      <c r="VSH192" s="23"/>
      <c r="VSI192" s="24"/>
      <c r="VSJ192" s="23"/>
      <c r="VSK192" s="23"/>
      <c r="VSL192" s="23"/>
      <c r="VSM192" s="1"/>
      <c r="VSN192" s="1"/>
      <c r="VSO192" s="1"/>
      <c r="VSP192" s="25"/>
      <c r="VSS192" s="23"/>
      <c r="VST192" s="23"/>
      <c r="VSU192" s="23"/>
      <c r="VSV192" s="23"/>
      <c r="VSW192" s="23"/>
      <c r="VSX192" s="23"/>
      <c r="VSY192" s="24"/>
      <c r="VSZ192" s="23"/>
      <c r="VTA192" s="23"/>
      <c r="VTB192" s="23"/>
      <c r="VTC192" s="1"/>
      <c r="VTD192" s="1"/>
      <c r="VTE192" s="1"/>
      <c r="VTF192" s="25"/>
      <c r="VTI192" s="23"/>
      <c r="VTJ192" s="23"/>
      <c r="VTK192" s="23"/>
      <c r="VTL192" s="23"/>
      <c r="VTM192" s="23"/>
      <c r="VTN192" s="23"/>
      <c r="VTO192" s="24"/>
      <c r="VTP192" s="23"/>
      <c r="VTQ192" s="23"/>
      <c r="VTR192" s="23"/>
      <c r="VTS192" s="1"/>
      <c r="VTT192" s="1"/>
      <c r="VTU192" s="1"/>
      <c r="VTV192" s="25"/>
      <c r="VTY192" s="23"/>
      <c r="VTZ192" s="23"/>
      <c r="VUA192" s="23"/>
      <c r="VUB192" s="23"/>
      <c r="VUC192" s="23"/>
      <c r="VUD192" s="23"/>
      <c r="VUE192" s="24"/>
      <c r="VUF192" s="23"/>
      <c r="VUG192" s="23"/>
      <c r="VUH192" s="23"/>
      <c r="VUI192" s="1"/>
      <c r="VUJ192" s="1"/>
      <c r="VUK192" s="1"/>
      <c r="VUL192" s="25"/>
      <c r="VUO192" s="23"/>
      <c r="VUP192" s="23"/>
      <c r="VUQ192" s="23"/>
      <c r="VUR192" s="23"/>
      <c r="VUS192" s="23"/>
      <c r="VUT192" s="23"/>
      <c r="VUU192" s="24"/>
      <c r="VUV192" s="23"/>
      <c r="VUW192" s="23"/>
      <c r="VUX192" s="23"/>
      <c r="VUY192" s="1"/>
      <c r="VUZ192" s="1"/>
      <c r="VVA192" s="1"/>
      <c r="VVB192" s="25"/>
      <c r="VVE192" s="23"/>
      <c r="VVF192" s="23"/>
      <c r="VVG192" s="23"/>
      <c r="VVH192" s="23"/>
      <c r="VVI192" s="23"/>
      <c r="VVJ192" s="23"/>
      <c r="VVK192" s="24"/>
      <c r="VVL192" s="23"/>
      <c r="VVM192" s="23"/>
      <c r="VVN192" s="23"/>
      <c r="VVO192" s="1"/>
      <c r="VVP192" s="1"/>
      <c r="VVQ192" s="1"/>
      <c r="VVR192" s="25"/>
      <c r="VVU192" s="23"/>
      <c r="VVV192" s="23"/>
      <c r="VVW192" s="23"/>
      <c r="VVX192" s="23"/>
      <c r="VVY192" s="23"/>
      <c r="VVZ192" s="23"/>
      <c r="VWA192" s="24"/>
      <c r="VWB192" s="23"/>
      <c r="VWC192" s="23"/>
      <c r="VWD192" s="23"/>
      <c r="VWE192" s="1"/>
      <c r="VWF192" s="1"/>
      <c r="VWG192" s="1"/>
      <c r="VWH192" s="25"/>
      <c r="VWK192" s="23"/>
      <c r="VWL192" s="23"/>
      <c r="VWM192" s="23"/>
      <c r="VWN192" s="23"/>
      <c r="VWO192" s="23"/>
      <c r="VWP192" s="23"/>
      <c r="VWQ192" s="24"/>
      <c r="VWR192" s="23"/>
      <c r="VWS192" s="23"/>
      <c r="VWT192" s="23"/>
      <c r="VWU192" s="1"/>
      <c r="VWV192" s="1"/>
      <c r="VWW192" s="1"/>
      <c r="VWX192" s="25"/>
      <c r="VXA192" s="23"/>
      <c r="VXB192" s="23"/>
      <c r="VXC192" s="23"/>
      <c r="VXD192" s="23"/>
      <c r="VXE192" s="23"/>
      <c r="VXF192" s="23"/>
      <c r="VXG192" s="24"/>
      <c r="VXH192" s="23"/>
      <c r="VXI192" s="23"/>
      <c r="VXJ192" s="23"/>
      <c r="VXK192" s="1"/>
      <c r="VXL192" s="1"/>
      <c r="VXM192" s="1"/>
      <c r="VXN192" s="25"/>
      <c r="VXQ192" s="23"/>
      <c r="VXR192" s="23"/>
      <c r="VXS192" s="23"/>
      <c r="VXT192" s="23"/>
      <c r="VXU192" s="23"/>
      <c r="VXV192" s="23"/>
      <c r="VXW192" s="24"/>
      <c r="VXX192" s="23"/>
      <c r="VXY192" s="23"/>
      <c r="VXZ192" s="23"/>
      <c r="VYA192" s="1"/>
      <c r="VYB192" s="1"/>
      <c r="VYC192" s="1"/>
      <c r="VYD192" s="25"/>
      <c r="VYG192" s="23"/>
      <c r="VYH192" s="23"/>
      <c r="VYI192" s="23"/>
      <c r="VYJ192" s="23"/>
      <c r="VYK192" s="23"/>
      <c r="VYL192" s="23"/>
      <c r="VYM192" s="24"/>
      <c r="VYN192" s="23"/>
      <c r="VYO192" s="23"/>
      <c r="VYP192" s="23"/>
      <c r="VYQ192" s="1"/>
      <c r="VYR192" s="1"/>
      <c r="VYS192" s="1"/>
      <c r="VYT192" s="25"/>
      <c r="VYW192" s="23"/>
      <c r="VYX192" s="23"/>
      <c r="VYY192" s="23"/>
      <c r="VYZ192" s="23"/>
      <c r="VZA192" s="23"/>
      <c r="VZB192" s="23"/>
      <c r="VZC192" s="24"/>
      <c r="VZD192" s="23"/>
      <c r="VZE192" s="23"/>
      <c r="VZF192" s="23"/>
      <c r="VZG192" s="1"/>
      <c r="VZH192" s="1"/>
      <c r="VZI192" s="1"/>
      <c r="VZJ192" s="25"/>
      <c r="VZM192" s="23"/>
      <c r="VZN192" s="23"/>
      <c r="VZO192" s="23"/>
      <c r="VZP192" s="23"/>
      <c r="VZQ192" s="23"/>
      <c r="VZR192" s="23"/>
      <c r="VZS192" s="24"/>
      <c r="VZT192" s="23"/>
      <c r="VZU192" s="23"/>
      <c r="VZV192" s="23"/>
      <c r="VZW192" s="1"/>
      <c r="VZX192" s="1"/>
      <c r="VZY192" s="1"/>
      <c r="VZZ192" s="25"/>
      <c r="WAC192" s="23"/>
      <c r="WAD192" s="23"/>
      <c r="WAE192" s="23"/>
      <c r="WAF192" s="23"/>
      <c r="WAG192" s="23"/>
      <c r="WAH192" s="23"/>
      <c r="WAI192" s="24"/>
      <c r="WAJ192" s="23"/>
      <c r="WAK192" s="23"/>
      <c r="WAL192" s="23"/>
      <c r="WAM192" s="1"/>
      <c r="WAN192" s="1"/>
      <c r="WAO192" s="1"/>
      <c r="WAP192" s="25"/>
      <c r="WAS192" s="23"/>
      <c r="WAT192" s="23"/>
      <c r="WAU192" s="23"/>
      <c r="WAV192" s="23"/>
      <c r="WAW192" s="23"/>
      <c r="WAX192" s="23"/>
      <c r="WAY192" s="24"/>
      <c r="WAZ192" s="23"/>
      <c r="WBA192" s="23"/>
      <c r="WBB192" s="23"/>
      <c r="WBC192" s="1"/>
      <c r="WBD192" s="1"/>
      <c r="WBE192" s="1"/>
      <c r="WBF192" s="25"/>
      <c r="WBI192" s="23"/>
      <c r="WBJ192" s="23"/>
      <c r="WBK192" s="23"/>
      <c r="WBL192" s="23"/>
      <c r="WBM192" s="23"/>
      <c r="WBN192" s="23"/>
      <c r="WBO192" s="24"/>
      <c r="WBP192" s="23"/>
      <c r="WBQ192" s="23"/>
      <c r="WBR192" s="23"/>
      <c r="WBS192" s="1"/>
      <c r="WBT192" s="1"/>
      <c r="WBU192" s="1"/>
      <c r="WBV192" s="25"/>
      <c r="WBY192" s="23"/>
      <c r="WBZ192" s="23"/>
      <c r="WCA192" s="23"/>
      <c r="WCB192" s="23"/>
      <c r="WCC192" s="23"/>
      <c r="WCD192" s="23"/>
      <c r="WCE192" s="24"/>
      <c r="WCF192" s="23"/>
      <c r="WCG192" s="23"/>
      <c r="WCH192" s="23"/>
      <c r="WCI192" s="1"/>
      <c r="WCJ192" s="1"/>
      <c r="WCK192" s="1"/>
      <c r="WCL192" s="25"/>
      <c r="WCO192" s="23"/>
      <c r="WCP192" s="23"/>
      <c r="WCQ192" s="23"/>
      <c r="WCR192" s="23"/>
      <c r="WCS192" s="23"/>
      <c r="WCT192" s="23"/>
      <c r="WCU192" s="24"/>
      <c r="WCV192" s="23"/>
      <c r="WCW192" s="23"/>
      <c r="WCX192" s="23"/>
      <c r="WCY192" s="1"/>
      <c r="WCZ192" s="1"/>
      <c r="WDA192" s="1"/>
      <c r="WDB192" s="25"/>
      <c r="WDE192" s="23"/>
      <c r="WDF192" s="23"/>
      <c r="WDG192" s="23"/>
      <c r="WDH192" s="23"/>
      <c r="WDI192" s="23"/>
      <c r="WDJ192" s="23"/>
      <c r="WDK192" s="24"/>
      <c r="WDL192" s="23"/>
      <c r="WDM192" s="23"/>
      <c r="WDN192" s="23"/>
      <c r="WDO192" s="1"/>
      <c r="WDP192" s="1"/>
      <c r="WDQ192" s="1"/>
      <c r="WDR192" s="25"/>
      <c r="WDU192" s="23"/>
      <c r="WDV192" s="23"/>
      <c r="WDW192" s="23"/>
      <c r="WDX192" s="23"/>
      <c r="WDY192" s="23"/>
      <c r="WDZ192" s="23"/>
      <c r="WEA192" s="24"/>
      <c r="WEB192" s="23"/>
      <c r="WEC192" s="23"/>
      <c r="WED192" s="23"/>
      <c r="WEE192" s="1"/>
      <c r="WEF192" s="1"/>
      <c r="WEG192" s="1"/>
      <c r="WEH192" s="25"/>
      <c r="WEK192" s="23"/>
      <c r="WEL192" s="23"/>
      <c r="WEM192" s="23"/>
      <c r="WEN192" s="23"/>
      <c r="WEO192" s="23"/>
      <c r="WEP192" s="23"/>
      <c r="WEQ192" s="24"/>
      <c r="WER192" s="23"/>
      <c r="WES192" s="23"/>
      <c r="WET192" s="23"/>
      <c r="WEU192" s="1"/>
      <c r="WEV192" s="1"/>
      <c r="WEW192" s="1"/>
      <c r="WEX192" s="25"/>
      <c r="WFA192" s="23"/>
      <c r="WFB192" s="23"/>
      <c r="WFC192" s="23"/>
      <c r="WFD192" s="23"/>
      <c r="WFE192" s="23"/>
      <c r="WFF192" s="23"/>
      <c r="WFG192" s="24"/>
      <c r="WFH192" s="23"/>
      <c r="WFI192" s="23"/>
      <c r="WFJ192" s="23"/>
      <c r="WFK192" s="1"/>
      <c r="WFL192" s="1"/>
      <c r="WFM192" s="1"/>
      <c r="WFN192" s="25"/>
      <c r="WFQ192" s="23"/>
      <c r="WFR192" s="23"/>
      <c r="WFS192" s="23"/>
      <c r="WFT192" s="23"/>
      <c r="WFU192" s="23"/>
      <c r="WFV192" s="23"/>
      <c r="WFW192" s="24"/>
      <c r="WFX192" s="23"/>
      <c r="WFY192" s="23"/>
      <c r="WFZ192" s="23"/>
      <c r="WGA192" s="1"/>
      <c r="WGB192" s="1"/>
      <c r="WGC192" s="1"/>
      <c r="WGD192" s="25"/>
      <c r="WGG192" s="23"/>
      <c r="WGH192" s="23"/>
      <c r="WGI192" s="23"/>
      <c r="WGJ192" s="23"/>
      <c r="WGK192" s="23"/>
      <c r="WGL192" s="23"/>
      <c r="WGM192" s="24"/>
      <c r="WGN192" s="23"/>
      <c r="WGO192" s="23"/>
      <c r="WGP192" s="23"/>
      <c r="WGQ192" s="1"/>
      <c r="WGR192" s="1"/>
      <c r="WGS192" s="1"/>
      <c r="WGT192" s="25"/>
      <c r="WGW192" s="23"/>
      <c r="WGX192" s="23"/>
      <c r="WGY192" s="23"/>
      <c r="WGZ192" s="23"/>
      <c r="WHA192" s="23"/>
      <c r="WHB192" s="23"/>
      <c r="WHC192" s="24"/>
      <c r="WHD192" s="23"/>
      <c r="WHE192" s="23"/>
      <c r="WHF192" s="23"/>
      <c r="WHG192" s="1"/>
      <c r="WHH192" s="1"/>
      <c r="WHI192" s="1"/>
      <c r="WHJ192" s="25"/>
      <c r="WHM192" s="23"/>
      <c r="WHN192" s="23"/>
      <c r="WHO192" s="23"/>
      <c r="WHP192" s="23"/>
      <c r="WHQ192" s="23"/>
      <c r="WHR192" s="23"/>
      <c r="WHS192" s="24"/>
      <c r="WHT192" s="23"/>
      <c r="WHU192" s="23"/>
      <c r="WHV192" s="23"/>
      <c r="WHW192" s="1"/>
      <c r="WHX192" s="1"/>
      <c r="WHY192" s="1"/>
      <c r="WHZ192" s="25"/>
      <c r="WIC192" s="23"/>
      <c r="WID192" s="23"/>
      <c r="WIE192" s="23"/>
      <c r="WIF192" s="23"/>
      <c r="WIG192" s="23"/>
      <c r="WIH192" s="23"/>
      <c r="WII192" s="24"/>
      <c r="WIJ192" s="23"/>
      <c r="WIK192" s="23"/>
      <c r="WIL192" s="23"/>
      <c r="WIM192" s="1"/>
      <c r="WIN192" s="1"/>
      <c r="WIO192" s="1"/>
      <c r="WIP192" s="25"/>
      <c r="WIS192" s="23"/>
      <c r="WIT192" s="23"/>
      <c r="WIU192" s="23"/>
      <c r="WIV192" s="23"/>
      <c r="WIW192" s="23"/>
      <c r="WIX192" s="23"/>
      <c r="WIY192" s="24"/>
      <c r="WIZ192" s="23"/>
      <c r="WJA192" s="23"/>
      <c r="WJB192" s="23"/>
      <c r="WJC192" s="1"/>
      <c r="WJD192" s="1"/>
      <c r="WJE192" s="1"/>
      <c r="WJF192" s="25"/>
      <c r="WJI192" s="23"/>
      <c r="WJJ192" s="23"/>
      <c r="WJK192" s="23"/>
      <c r="WJL192" s="23"/>
      <c r="WJM192" s="23"/>
      <c r="WJN192" s="23"/>
      <c r="WJO192" s="24"/>
      <c r="WJP192" s="23"/>
      <c r="WJQ192" s="23"/>
      <c r="WJR192" s="23"/>
      <c r="WJS192" s="1"/>
      <c r="WJT192" s="1"/>
      <c r="WJU192" s="1"/>
      <c r="WJV192" s="25"/>
      <c r="WJY192" s="23"/>
      <c r="WJZ192" s="23"/>
      <c r="WKA192" s="23"/>
      <c r="WKB192" s="23"/>
      <c r="WKC192" s="23"/>
      <c r="WKD192" s="23"/>
      <c r="WKE192" s="24"/>
      <c r="WKF192" s="23"/>
      <c r="WKG192" s="23"/>
      <c r="WKH192" s="23"/>
      <c r="WKI192" s="1"/>
      <c r="WKJ192" s="1"/>
      <c r="WKK192" s="1"/>
      <c r="WKL192" s="25"/>
      <c r="WKO192" s="23"/>
      <c r="WKP192" s="23"/>
      <c r="WKQ192" s="23"/>
      <c r="WKR192" s="23"/>
      <c r="WKS192" s="23"/>
      <c r="WKT192" s="23"/>
      <c r="WKU192" s="24"/>
      <c r="WKV192" s="23"/>
      <c r="WKW192" s="23"/>
      <c r="WKX192" s="23"/>
      <c r="WKY192" s="1"/>
      <c r="WKZ192" s="1"/>
      <c r="WLA192" s="1"/>
      <c r="WLB192" s="25"/>
      <c r="WLE192" s="23"/>
      <c r="WLF192" s="23"/>
      <c r="WLG192" s="23"/>
      <c r="WLH192" s="23"/>
      <c r="WLI192" s="23"/>
      <c r="WLJ192" s="23"/>
      <c r="WLK192" s="24"/>
      <c r="WLL192" s="23"/>
      <c r="WLM192" s="23"/>
      <c r="WLN192" s="23"/>
      <c r="WLO192" s="1"/>
      <c r="WLP192" s="1"/>
      <c r="WLQ192" s="1"/>
      <c r="WLR192" s="25"/>
      <c r="WLU192" s="23"/>
      <c r="WLV192" s="23"/>
      <c r="WLW192" s="23"/>
      <c r="WLX192" s="23"/>
      <c r="WLY192" s="23"/>
      <c r="WLZ192" s="23"/>
      <c r="WMA192" s="24"/>
      <c r="WMB192" s="23"/>
      <c r="WMC192" s="23"/>
      <c r="WMD192" s="23"/>
      <c r="WME192" s="1"/>
      <c r="WMF192" s="1"/>
      <c r="WMG192" s="1"/>
      <c r="WMH192" s="25"/>
      <c r="WMK192" s="23"/>
      <c r="WML192" s="23"/>
      <c r="WMM192" s="23"/>
      <c r="WMN192" s="23"/>
      <c r="WMO192" s="23"/>
      <c r="WMP192" s="23"/>
      <c r="WMQ192" s="24"/>
      <c r="WMR192" s="23"/>
      <c r="WMS192" s="23"/>
      <c r="WMT192" s="23"/>
      <c r="WMU192" s="1"/>
      <c r="WMV192" s="1"/>
      <c r="WMW192" s="1"/>
      <c r="WMX192" s="25"/>
      <c r="WNA192" s="23"/>
      <c r="WNB192" s="23"/>
      <c r="WNC192" s="23"/>
      <c r="WND192" s="23"/>
      <c r="WNE192" s="23"/>
      <c r="WNF192" s="23"/>
      <c r="WNG192" s="24"/>
      <c r="WNH192" s="23"/>
      <c r="WNI192" s="23"/>
      <c r="WNJ192" s="23"/>
      <c r="WNK192" s="1"/>
      <c r="WNL192" s="1"/>
      <c r="WNM192" s="1"/>
      <c r="WNN192" s="25"/>
      <c r="WNQ192" s="23"/>
      <c r="WNR192" s="23"/>
      <c r="WNS192" s="23"/>
      <c r="WNT192" s="23"/>
      <c r="WNU192" s="23"/>
      <c r="WNV192" s="23"/>
      <c r="WNW192" s="24"/>
      <c r="WNX192" s="23"/>
      <c r="WNY192" s="23"/>
      <c r="WNZ192" s="23"/>
      <c r="WOA192" s="1"/>
      <c r="WOB192" s="1"/>
      <c r="WOC192" s="1"/>
      <c r="WOD192" s="25"/>
      <c r="WOG192" s="23"/>
      <c r="WOH192" s="23"/>
      <c r="WOI192" s="23"/>
      <c r="WOJ192" s="23"/>
      <c r="WOK192" s="23"/>
      <c r="WOL192" s="23"/>
      <c r="WOM192" s="24"/>
      <c r="WON192" s="23"/>
      <c r="WOO192" s="23"/>
      <c r="WOP192" s="23"/>
      <c r="WOQ192" s="1"/>
      <c r="WOR192" s="1"/>
      <c r="WOS192" s="1"/>
      <c r="WOT192" s="25"/>
      <c r="WOW192" s="23"/>
      <c r="WOX192" s="23"/>
      <c r="WOY192" s="23"/>
      <c r="WOZ192" s="23"/>
      <c r="WPA192" s="23"/>
      <c r="WPB192" s="23"/>
      <c r="WPC192" s="24"/>
      <c r="WPD192" s="23"/>
      <c r="WPE192" s="23"/>
      <c r="WPF192" s="23"/>
      <c r="WPG192" s="1"/>
      <c r="WPH192" s="1"/>
      <c r="WPI192" s="1"/>
      <c r="WPJ192" s="25"/>
      <c r="WPM192" s="23"/>
      <c r="WPN192" s="23"/>
      <c r="WPO192" s="23"/>
      <c r="WPP192" s="23"/>
      <c r="WPQ192" s="23"/>
      <c r="WPR192" s="23"/>
      <c r="WPS192" s="24"/>
      <c r="WPT192" s="23"/>
      <c r="WPU192" s="23"/>
      <c r="WPV192" s="23"/>
      <c r="WPW192" s="1"/>
      <c r="WPX192" s="1"/>
      <c r="WPY192" s="1"/>
      <c r="WPZ192" s="25"/>
      <c r="WQC192" s="23"/>
      <c r="WQD192" s="23"/>
      <c r="WQE192" s="23"/>
      <c r="WQF192" s="23"/>
      <c r="WQG192" s="23"/>
      <c r="WQH192" s="23"/>
      <c r="WQI192" s="24"/>
      <c r="WQJ192" s="23"/>
      <c r="WQK192" s="23"/>
      <c r="WQL192" s="23"/>
      <c r="WQM192" s="1"/>
      <c r="WQN192" s="1"/>
      <c r="WQO192" s="1"/>
      <c r="WQP192" s="25"/>
      <c r="WQS192" s="23"/>
      <c r="WQT192" s="23"/>
      <c r="WQU192" s="23"/>
      <c r="WQV192" s="23"/>
      <c r="WQW192" s="23"/>
      <c r="WQX192" s="23"/>
      <c r="WQY192" s="24"/>
      <c r="WQZ192" s="23"/>
      <c r="WRA192" s="23"/>
      <c r="WRB192" s="23"/>
      <c r="WRC192" s="1"/>
      <c r="WRD192" s="1"/>
      <c r="WRE192" s="1"/>
      <c r="WRF192" s="25"/>
      <c r="WRI192" s="23"/>
      <c r="WRJ192" s="23"/>
      <c r="WRK192" s="23"/>
      <c r="WRL192" s="23"/>
      <c r="WRM192" s="23"/>
      <c r="WRN192" s="23"/>
      <c r="WRO192" s="24"/>
      <c r="WRP192" s="23"/>
      <c r="WRQ192" s="23"/>
      <c r="WRR192" s="23"/>
      <c r="WRS192" s="1"/>
      <c r="WRT192" s="1"/>
      <c r="WRU192" s="1"/>
      <c r="WRV192" s="25"/>
      <c r="WRY192" s="23"/>
      <c r="WRZ192" s="23"/>
      <c r="WSA192" s="23"/>
      <c r="WSB192" s="23"/>
      <c r="WSC192" s="23"/>
      <c r="WSD192" s="23"/>
      <c r="WSE192" s="24"/>
      <c r="WSF192" s="23"/>
      <c r="WSG192" s="23"/>
      <c r="WSH192" s="23"/>
      <c r="WSI192" s="1"/>
      <c r="WSJ192" s="1"/>
      <c r="WSK192" s="1"/>
      <c r="WSL192" s="25"/>
      <c r="WSO192" s="23"/>
      <c r="WSP192" s="23"/>
      <c r="WSQ192" s="23"/>
      <c r="WSR192" s="23"/>
      <c r="WSS192" s="23"/>
      <c r="WST192" s="23"/>
      <c r="WSU192" s="24"/>
      <c r="WSV192" s="23"/>
      <c r="WSW192" s="23"/>
      <c r="WSX192" s="23"/>
      <c r="WSY192" s="1"/>
      <c r="WSZ192" s="1"/>
      <c r="WTA192" s="1"/>
      <c r="WTB192" s="25"/>
      <c r="WTE192" s="23"/>
      <c r="WTF192" s="23"/>
      <c r="WTG192" s="23"/>
      <c r="WTH192" s="23"/>
      <c r="WTI192" s="23"/>
      <c r="WTJ192" s="23"/>
      <c r="WTK192" s="24"/>
      <c r="WTL192" s="23"/>
      <c r="WTM192" s="23"/>
      <c r="WTN192" s="23"/>
      <c r="WTO192" s="1"/>
      <c r="WTP192" s="1"/>
      <c r="WTQ192" s="1"/>
      <c r="WTR192" s="25"/>
      <c r="WTU192" s="23"/>
      <c r="WTV192" s="23"/>
      <c r="WTW192" s="23"/>
      <c r="WTX192" s="23"/>
      <c r="WTY192" s="23"/>
      <c r="WTZ192" s="23"/>
      <c r="WUA192" s="24"/>
      <c r="WUB192" s="23"/>
      <c r="WUC192" s="23"/>
      <c r="WUD192" s="23"/>
      <c r="WUE192" s="1"/>
      <c r="WUF192" s="1"/>
      <c r="WUG192" s="1"/>
      <c r="WUH192" s="25"/>
      <c r="WUK192" s="23"/>
      <c r="WUL192" s="23"/>
      <c r="WUM192" s="23"/>
      <c r="WUN192" s="23"/>
      <c r="WUO192" s="23"/>
      <c r="WUP192" s="23"/>
      <c r="WUQ192" s="24"/>
      <c r="WUR192" s="23"/>
      <c r="WUS192" s="23"/>
      <c r="WUT192" s="23"/>
      <c r="WUU192" s="1"/>
      <c r="WUV192" s="1"/>
      <c r="WUW192" s="1"/>
      <c r="WUX192" s="25"/>
      <c r="WVA192" s="23"/>
      <c r="WVB192" s="23"/>
      <c r="WVC192" s="23"/>
      <c r="WVD192" s="23"/>
      <c r="WVE192" s="23"/>
      <c r="WVF192" s="23"/>
      <c r="WVG192" s="24"/>
      <c r="WVH192" s="23"/>
      <c r="WVI192" s="23"/>
      <c r="WVJ192" s="23"/>
      <c r="WVK192" s="1"/>
      <c r="WVL192" s="1"/>
      <c r="WVM192" s="1"/>
      <c r="WVN192" s="25"/>
      <c r="WVQ192" s="23"/>
      <c r="WVR192" s="23"/>
      <c r="WVS192" s="23"/>
      <c r="WVT192" s="23"/>
      <c r="WVU192" s="23"/>
      <c r="WVV192" s="23"/>
      <c r="WVW192" s="24"/>
      <c r="WVX192" s="23"/>
      <c r="WVY192" s="23"/>
      <c r="WVZ192" s="23"/>
      <c r="WWA192" s="1"/>
      <c r="WWB192" s="1"/>
      <c r="WWC192" s="1"/>
      <c r="WWD192" s="25"/>
      <c r="WWG192" s="23"/>
      <c r="WWH192" s="23"/>
      <c r="WWI192" s="23"/>
      <c r="WWJ192" s="23"/>
      <c r="WWK192" s="23"/>
      <c r="WWL192" s="23"/>
      <c r="WWM192" s="24"/>
      <c r="WWN192" s="23"/>
      <c r="WWO192" s="23"/>
      <c r="WWP192" s="23"/>
      <c r="WWQ192" s="1"/>
      <c r="WWR192" s="1"/>
      <c r="WWS192" s="1"/>
      <c r="WWT192" s="25"/>
      <c r="WWW192" s="23"/>
      <c r="WWX192" s="23"/>
      <c r="WWY192" s="23"/>
      <c r="WWZ192" s="23"/>
      <c r="WXA192" s="23"/>
      <c r="WXB192" s="23"/>
      <c r="WXC192" s="24"/>
      <c r="WXD192" s="23"/>
      <c r="WXE192" s="23"/>
      <c r="WXF192" s="23"/>
      <c r="WXG192" s="1"/>
      <c r="WXH192" s="1"/>
      <c r="WXI192" s="1"/>
      <c r="WXJ192" s="25"/>
      <c r="WXM192" s="23"/>
      <c r="WXN192" s="23"/>
      <c r="WXO192" s="23"/>
      <c r="WXP192" s="23"/>
      <c r="WXQ192" s="23"/>
      <c r="WXR192" s="23"/>
      <c r="WXS192" s="24"/>
      <c r="WXT192" s="23"/>
      <c r="WXU192" s="23"/>
      <c r="WXV192" s="23"/>
      <c r="WXW192" s="1"/>
      <c r="WXX192" s="1"/>
      <c r="WXY192" s="1"/>
      <c r="WXZ192" s="25"/>
      <c r="WYC192" s="23"/>
      <c r="WYD192" s="23"/>
      <c r="WYE192" s="23"/>
      <c r="WYF192" s="23"/>
      <c r="WYG192" s="23"/>
      <c r="WYH192" s="23"/>
      <c r="WYI192" s="24"/>
      <c r="WYJ192" s="23"/>
      <c r="WYK192" s="23"/>
      <c r="WYL192" s="23"/>
      <c r="WYM192" s="1"/>
      <c r="WYN192" s="1"/>
      <c r="WYO192" s="1"/>
      <c r="WYP192" s="25"/>
      <c r="WYS192" s="23"/>
      <c r="WYT192" s="23"/>
      <c r="WYU192" s="23"/>
      <c r="WYV192" s="23"/>
      <c r="WYW192" s="23"/>
      <c r="WYX192" s="23"/>
      <c r="WYY192" s="24"/>
      <c r="WYZ192" s="23"/>
      <c r="WZA192" s="23"/>
      <c r="WZB192" s="23"/>
      <c r="WZC192" s="1"/>
      <c r="WZD192" s="1"/>
      <c r="WZE192" s="1"/>
      <c r="WZF192" s="25"/>
      <c r="WZI192" s="23"/>
      <c r="WZJ192" s="23"/>
      <c r="WZK192" s="23"/>
      <c r="WZL192" s="23"/>
      <c r="WZM192" s="23"/>
      <c r="WZN192" s="23"/>
      <c r="WZO192" s="24"/>
      <c r="WZP192" s="23"/>
      <c r="WZQ192" s="23"/>
      <c r="WZR192" s="23"/>
      <c r="WZS192" s="1"/>
      <c r="WZT192" s="1"/>
      <c r="WZU192" s="1"/>
      <c r="WZV192" s="25"/>
      <c r="WZY192" s="23"/>
      <c r="WZZ192" s="23"/>
      <c r="XAA192" s="23"/>
      <c r="XAB192" s="23"/>
      <c r="XAC192" s="23"/>
      <c r="XAD192" s="23"/>
      <c r="XAE192" s="24"/>
      <c r="XAF192" s="23"/>
      <c r="XAG192" s="23"/>
      <c r="XAH192" s="23"/>
      <c r="XAI192" s="1"/>
      <c r="XAJ192" s="1"/>
      <c r="XAK192" s="1"/>
      <c r="XAL192" s="25"/>
      <c r="XAO192" s="23"/>
      <c r="XAP192" s="23"/>
      <c r="XAQ192" s="23"/>
      <c r="XAR192" s="23"/>
      <c r="XAS192" s="23"/>
      <c r="XAT192" s="23"/>
      <c r="XAU192" s="24"/>
      <c r="XAV192" s="23"/>
      <c r="XAW192" s="23"/>
      <c r="XAX192" s="23"/>
      <c r="XAY192" s="1"/>
      <c r="XAZ192" s="1"/>
      <c r="XBA192" s="1"/>
      <c r="XBB192" s="25"/>
      <c r="XBE192" s="23"/>
      <c r="XBF192" s="23"/>
      <c r="XBG192" s="23"/>
      <c r="XBH192" s="23"/>
      <c r="XBI192" s="23"/>
      <c r="XBJ192" s="23"/>
      <c r="XBK192" s="24"/>
      <c r="XBL192" s="23"/>
      <c r="XBM192" s="23"/>
      <c r="XBN192" s="23"/>
      <c r="XBO192" s="1"/>
      <c r="XBP192" s="1"/>
      <c r="XBQ192" s="1"/>
      <c r="XBR192" s="25"/>
      <c r="XBU192" s="23"/>
      <c r="XBV192" s="23"/>
      <c r="XBW192" s="23"/>
      <c r="XBX192" s="23"/>
      <c r="XBY192" s="23"/>
      <c r="XBZ192" s="23"/>
      <c r="XCA192" s="24"/>
      <c r="XCB192" s="23"/>
      <c r="XCC192" s="23"/>
      <c r="XCD192" s="23"/>
      <c r="XCE192" s="1"/>
      <c r="XCF192" s="1"/>
      <c r="XCG192" s="1"/>
      <c r="XCH192" s="25"/>
      <c r="XCK192" s="23"/>
      <c r="XCL192" s="23"/>
      <c r="XCM192" s="23"/>
      <c r="XCN192" s="23"/>
      <c r="XCO192" s="23"/>
      <c r="XCP192" s="23"/>
      <c r="XCQ192" s="24"/>
      <c r="XCR192" s="23"/>
      <c r="XCS192" s="23"/>
      <c r="XCT192" s="23"/>
      <c r="XCU192" s="1"/>
      <c r="XCV192" s="1"/>
      <c r="XCW192" s="1"/>
      <c r="XCX192" s="25"/>
      <c r="XDA192" s="23"/>
      <c r="XDB192" s="23"/>
      <c r="XDC192" s="23"/>
      <c r="XDD192" s="23"/>
      <c r="XDE192" s="23"/>
      <c r="XDF192" s="23"/>
      <c r="XDG192" s="24"/>
      <c r="XDH192" s="23"/>
      <c r="XDI192" s="23"/>
      <c r="XDJ192" s="23"/>
      <c r="XDK192" s="1"/>
      <c r="XDL192" s="1"/>
      <c r="XDM192" s="1"/>
      <c r="XDN192" s="25"/>
      <c r="XDQ192" s="23"/>
      <c r="XDR192" s="23"/>
      <c r="XDS192" s="23"/>
      <c r="XDT192" s="23"/>
      <c r="XDU192" s="23"/>
      <c r="XDV192" s="23"/>
      <c r="XDW192" s="24"/>
      <c r="XDX192" s="23"/>
      <c r="XDY192" s="23"/>
      <c r="XDZ192" s="23"/>
      <c r="XEA192" s="1"/>
      <c r="XEB192" s="1"/>
      <c r="XEC192" s="1"/>
      <c r="XED192" s="25"/>
      <c r="XEG192" s="23"/>
      <c r="XEH192" s="23"/>
      <c r="XEI192" s="23"/>
      <c r="XEJ192" s="23"/>
      <c r="XEK192" s="23"/>
      <c r="XEL192" s="23"/>
      <c r="XEM192" s="24"/>
      <c r="XEN192" s="23"/>
      <c r="XEO192" s="23"/>
      <c r="XEP192" s="23"/>
      <c r="XEQ192" s="1"/>
      <c r="XER192" s="1"/>
      <c r="XES192" s="1"/>
      <c r="XET192" s="25"/>
      <c r="XEW192" s="23"/>
      <c r="XEX192" s="23"/>
      <c r="XEY192" s="23"/>
      <c r="XEZ192" s="23"/>
      <c r="XFA192" s="23"/>
      <c r="XFB192" s="23"/>
    </row>
    <row r="193" spans="1:30" hidden="1" x14ac:dyDescent="0.25">
      <c r="A193" t="s">
        <v>2745</v>
      </c>
      <c r="B193" t="str">
        <f t="shared" si="14"/>
        <v>No Change</v>
      </c>
      <c r="C193" t="s">
        <v>3034</v>
      </c>
      <c r="D193">
        <v>68427709</v>
      </c>
      <c r="E193" s="95" t="s">
        <v>53</v>
      </c>
      <c r="F193" s="26" t="s">
        <v>54</v>
      </c>
      <c r="G193" s="26" t="s">
        <v>42</v>
      </c>
      <c r="H193" s="26" t="s">
        <v>3035</v>
      </c>
      <c r="I193">
        <v>0</v>
      </c>
      <c r="J193" t="s">
        <v>3036</v>
      </c>
      <c r="K193" s="26">
        <v>166023</v>
      </c>
      <c r="L193" s="26" t="s">
        <v>3037</v>
      </c>
      <c r="M193" s="28">
        <v>5401024305</v>
      </c>
      <c r="N193" s="28">
        <v>10</v>
      </c>
      <c r="O193" s="26" t="s">
        <v>2676</v>
      </c>
      <c r="P193" s="26" t="s">
        <v>2868</v>
      </c>
      <c r="Q193" s="26" t="s">
        <v>2750</v>
      </c>
      <c r="R193" s="26" t="s">
        <v>2855</v>
      </c>
      <c r="S193" s="7">
        <v>14000</v>
      </c>
      <c r="T193" s="7">
        <v>14000</v>
      </c>
      <c r="U193" s="7">
        <v>14000</v>
      </c>
      <c r="V193" s="7">
        <f t="shared" si="15"/>
        <v>0</v>
      </c>
      <c r="W193" s="5">
        <f t="shared" si="16"/>
        <v>0</v>
      </c>
      <c r="X193" s="6"/>
      <c r="Y193" s="33">
        <f>SUMPRODUCT((BIdetails!$J$5:$J$3000=M193)*(BIdetails!$K$5:$K$3000=N193)*(BIdetails!$M$5:$M$3000))</f>
        <v>0</v>
      </c>
      <c r="Z193" s="34">
        <f t="shared" si="17"/>
        <v>0</v>
      </c>
      <c r="AA193" s="31"/>
      <c r="AB193" s="31"/>
      <c r="AC193" s="31"/>
      <c r="AD193" s="31"/>
    </row>
    <row r="194" spans="1:30" hidden="1" x14ac:dyDescent="0.25">
      <c r="A194" t="s">
        <v>2745</v>
      </c>
      <c r="B194" t="str">
        <f t="shared" si="14"/>
        <v>No Change</v>
      </c>
      <c r="D194">
        <v>68427709</v>
      </c>
      <c r="E194" s="95" t="s">
        <v>53</v>
      </c>
      <c r="F194" t="s">
        <v>54</v>
      </c>
      <c r="G194" s="96" t="s">
        <v>42</v>
      </c>
      <c r="H194" s="26" t="s">
        <v>2418</v>
      </c>
      <c r="J194" t="s">
        <v>3038</v>
      </c>
      <c r="K194" s="26">
        <v>208526</v>
      </c>
      <c r="L194" s="26" t="s">
        <v>3039</v>
      </c>
      <c r="M194" s="21">
        <v>5400948082</v>
      </c>
      <c r="N194" s="21">
        <v>20</v>
      </c>
      <c r="O194" s="26" t="s">
        <v>2676</v>
      </c>
      <c r="P194" s="26" t="s">
        <v>2314</v>
      </c>
      <c r="Q194" t="s">
        <v>2767</v>
      </c>
      <c r="R194" t="s">
        <v>321</v>
      </c>
      <c r="S194" s="7">
        <v>25000</v>
      </c>
      <c r="T194" s="7">
        <v>102000</v>
      </c>
      <c r="U194" s="7">
        <v>102000</v>
      </c>
      <c r="V194" s="7">
        <f t="shared" si="15"/>
        <v>0</v>
      </c>
      <c r="W194" s="5">
        <f t="shared" si="16"/>
        <v>0</v>
      </c>
      <c r="Y194" s="33">
        <f>SUMPRODUCT((BIdetails!$J$5:$J$3000=M194)*(BIdetails!$K$5:$K$3000=N194)*(BIdetails!$M$5:$M$3000))</f>
        <v>0</v>
      </c>
      <c r="Z194" s="34">
        <f t="shared" si="17"/>
        <v>0</v>
      </c>
      <c r="AA194" s="31"/>
      <c r="AB194" s="31"/>
      <c r="AC194" s="31"/>
      <c r="AD194" s="31"/>
    </row>
    <row r="195" spans="1:30" hidden="1" x14ac:dyDescent="0.25">
      <c r="A195" t="s">
        <v>2745</v>
      </c>
      <c r="B195" t="str">
        <f t="shared" si="14"/>
        <v>Increase</v>
      </c>
      <c r="C195" t="s">
        <v>3040</v>
      </c>
      <c r="D195">
        <v>68427709</v>
      </c>
      <c r="E195" s="95" t="s">
        <v>49</v>
      </c>
      <c r="F195" t="s">
        <v>20</v>
      </c>
      <c r="G195" t="s">
        <v>16</v>
      </c>
      <c r="H195" s="96" t="s">
        <v>2471</v>
      </c>
      <c r="I195">
        <v>0</v>
      </c>
      <c r="J195" t="s">
        <v>3012</v>
      </c>
      <c r="K195">
        <v>166304</v>
      </c>
      <c r="L195" s="96" t="s">
        <v>60</v>
      </c>
      <c r="M195">
        <v>5400878308</v>
      </c>
      <c r="N195" s="97">
        <v>20</v>
      </c>
      <c r="O195" s="96" t="s">
        <v>2224</v>
      </c>
      <c r="P195" s="26" t="s">
        <v>2224</v>
      </c>
      <c r="Q195" t="s">
        <v>2762</v>
      </c>
      <c r="R195" s="96" t="s">
        <v>2809</v>
      </c>
      <c r="S195" s="7">
        <v>170000</v>
      </c>
      <c r="T195" s="7">
        <v>235000</v>
      </c>
      <c r="U195" s="7">
        <v>550000</v>
      </c>
      <c r="V195" s="7">
        <f t="shared" si="15"/>
        <v>315000</v>
      </c>
      <c r="W195" s="5">
        <f t="shared" si="16"/>
        <v>1.3404255319148937</v>
      </c>
      <c r="X195" s="6"/>
      <c r="Y195" s="33">
        <f>SUMPRODUCT((BIdetails!$J$5:$J$3000=M195)*(BIdetails!$K$5:$K$3000=N195)*(BIdetails!$M$5:$M$3000))</f>
        <v>0</v>
      </c>
      <c r="Z195" s="34">
        <f t="shared" si="17"/>
        <v>0</v>
      </c>
      <c r="AA195" s="31" t="s">
        <v>2758</v>
      </c>
      <c r="AB195" s="31" t="s">
        <v>2752</v>
      </c>
      <c r="AC195" s="31" t="s">
        <v>2785</v>
      </c>
      <c r="AD195" s="31"/>
    </row>
    <row r="196" spans="1:30" hidden="1" x14ac:dyDescent="0.25">
      <c r="A196" t="s">
        <v>2783</v>
      </c>
      <c r="B196" t="str">
        <f t="shared" si="14"/>
        <v>No Change</v>
      </c>
      <c r="C196" t="s">
        <v>3040</v>
      </c>
      <c r="D196">
        <v>68427709</v>
      </c>
      <c r="E196" s="95" t="s">
        <v>19</v>
      </c>
      <c r="F196" t="s">
        <v>20</v>
      </c>
      <c r="G196" t="s">
        <v>16</v>
      </c>
      <c r="H196" t="s">
        <v>2406</v>
      </c>
      <c r="J196" t="s">
        <v>3030</v>
      </c>
      <c r="K196">
        <v>166304</v>
      </c>
      <c r="L196" s="96" t="s">
        <v>60</v>
      </c>
      <c r="M196">
        <v>5400878308</v>
      </c>
      <c r="N196" s="21">
        <v>20</v>
      </c>
      <c r="O196" s="26" t="s">
        <v>2224</v>
      </c>
      <c r="P196" s="26" t="s">
        <v>2224</v>
      </c>
      <c r="Q196" t="s">
        <v>2767</v>
      </c>
      <c r="R196" t="s">
        <v>321</v>
      </c>
      <c r="S196" s="7">
        <v>150000</v>
      </c>
      <c r="T196" s="7">
        <v>0</v>
      </c>
      <c r="U196" s="7">
        <v>0</v>
      </c>
      <c r="V196" s="7">
        <f t="shared" si="15"/>
        <v>0</v>
      </c>
      <c r="W196" s="5">
        <f t="shared" si="16"/>
        <v>0</v>
      </c>
      <c r="X196" s="31"/>
      <c r="Y196" s="33">
        <f>SUMPRODUCT((BIdetails!$J$5:$J$3000=M196)*(BIdetails!$K$5:$K$3000=N196)*(BIdetails!$M$5:$M$3000))</f>
        <v>0</v>
      </c>
      <c r="Z196" s="34" t="str">
        <f t="shared" si="17"/>
        <v/>
      </c>
      <c r="AA196" s="31" t="s">
        <v>2758</v>
      </c>
      <c r="AB196" s="31" t="s">
        <v>2752</v>
      </c>
      <c r="AC196" s="31" t="s">
        <v>2785</v>
      </c>
      <c r="AD196" s="31"/>
    </row>
    <row r="197" spans="1:30" hidden="1" x14ac:dyDescent="0.25">
      <c r="A197" t="s">
        <v>2745</v>
      </c>
      <c r="B197" t="str">
        <f t="shared" si="14"/>
        <v>No Change</v>
      </c>
      <c r="C197" t="s">
        <v>3040</v>
      </c>
      <c r="D197">
        <v>68427709</v>
      </c>
      <c r="E197" s="95" t="s">
        <v>19</v>
      </c>
      <c r="F197" t="s">
        <v>20</v>
      </c>
      <c r="G197" t="s">
        <v>16</v>
      </c>
      <c r="H197" t="s">
        <v>1827</v>
      </c>
      <c r="I197" t="s">
        <v>2259</v>
      </c>
      <c r="J197" s="250" t="s">
        <v>3041</v>
      </c>
      <c r="K197">
        <v>166304</v>
      </c>
      <c r="L197" s="96" t="s">
        <v>60</v>
      </c>
      <c r="M197">
        <v>5400878308</v>
      </c>
      <c r="N197" s="21">
        <v>20</v>
      </c>
      <c r="O197" s="26" t="s">
        <v>2224</v>
      </c>
      <c r="P197" s="26" t="s">
        <v>2861</v>
      </c>
      <c r="Q197" t="s">
        <v>2762</v>
      </c>
      <c r="R197" t="s">
        <v>2809</v>
      </c>
      <c r="S197" s="7">
        <v>140000</v>
      </c>
      <c r="T197" s="7">
        <v>185000</v>
      </c>
      <c r="U197" s="7">
        <v>185000</v>
      </c>
      <c r="V197" s="7">
        <f t="shared" si="15"/>
        <v>0</v>
      </c>
      <c r="W197" s="5">
        <f t="shared" si="16"/>
        <v>0</v>
      </c>
      <c r="X197" s="6"/>
      <c r="Y197" s="33">
        <f>SUMPRODUCT((BIdetails!$J$5:$J$3000=M197)*(BIdetails!$K$5:$K$3000=N197)*(BIdetails!$M$5:$M$3000))</f>
        <v>0</v>
      </c>
      <c r="Z197" s="34">
        <f t="shared" si="17"/>
        <v>0</v>
      </c>
      <c r="AA197" s="31" t="s">
        <v>3031</v>
      </c>
      <c r="AB197" s="31" t="s">
        <v>2752</v>
      </c>
      <c r="AC197" s="31" t="s">
        <v>2785</v>
      </c>
      <c r="AD197" s="31"/>
    </row>
    <row r="198" spans="1:30" hidden="1" x14ac:dyDescent="0.25">
      <c r="A198" t="s">
        <v>2745</v>
      </c>
      <c r="B198" t="str">
        <f t="shared" si="14"/>
        <v>No Change</v>
      </c>
      <c r="C198" t="s">
        <v>3042</v>
      </c>
      <c r="D198">
        <v>68427709</v>
      </c>
      <c r="E198" s="95" t="s">
        <v>53</v>
      </c>
      <c r="F198" t="s">
        <v>54</v>
      </c>
      <c r="G198" t="s">
        <v>42</v>
      </c>
      <c r="H198" s="26" t="s">
        <v>3043</v>
      </c>
      <c r="I198">
        <v>0</v>
      </c>
      <c r="J198" t="s">
        <v>3044</v>
      </c>
      <c r="K198">
        <v>166304</v>
      </c>
      <c r="L198" s="96" t="s">
        <v>60</v>
      </c>
      <c r="M198">
        <v>5400878308</v>
      </c>
      <c r="N198" s="21">
        <v>40</v>
      </c>
      <c r="O198" s="26" t="s">
        <v>2861</v>
      </c>
      <c r="P198" s="26" t="s">
        <v>2861</v>
      </c>
      <c r="Q198" t="s">
        <v>2762</v>
      </c>
      <c r="R198" t="s">
        <v>850</v>
      </c>
      <c r="S198" s="7">
        <v>84000</v>
      </c>
      <c r="T198" s="7">
        <v>137500</v>
      </c>
      <c r="U198" s="7">
        <v>137500</v>
      </c>
      <c r="V198" s="7">
        <f t="shared" si="15"/>
        <v>0</v>
      </c>
      <c r="W198" s="5">
        <f t="shared" si="16"/>
        <v>0</v>
      </c>
      <c r="X198" s="123"/>
      <c r="Y198" s="33">
        <f>SUMPRODUCT((BIdetails!$J$5:$J$3000=M198)*(BIdetails!$K$5:$K$3000=N198)*(BIdetails!$M$5:$M$3000))</f>
        <v>0</v>
      </c>
      <c r="Z198" s="34">
        <f t="shared" si="17"/>
        <v>0</v>
      </c>
      <c r="AA198" s="31"/>
      <c r="AB198" s="31"/>
      <c r="AC198" s="31"/>
      <c r="AD198" s="31"/>
    </row>
    <row r="199" spans="1:30" hidden="1" x14ac:dyDescent="0.25">
      <c r="A199" t="s">
        <v>2745</v>
      </c>
      <c r="B199" t="str">
        <f t="shared" si="14"/>
        <v>No Change</v>
      </c>
      <c r="C199" t="s">
        <v>3040</v>
      </c>
      <c r="D199">
        <v>68427709</v>
      </c>
      <c r="E199" s="95" t="s">
        <v>19</v>
      </c>
      <c r="F199" t="s">
        <v>20</v>
      </c>
      <c r="G199" t="s">
        <v>16</v>
      </c>
      <c r="H199" t="s">
        <v>2228</v>
      </c>
      <c r="I199" t="s">
        <v>2259</v>
      </c>
      <c r="J199" t="s">
        <v>2909</v>
      </c>
      <c r="K199">
        <v>166304</v>
      </c>
      <c r="L199" s="96" t="s">
        <v>60</v>
      </c>
      <c r="M199">
        <v>5400878308</v>
      </c>
      <c r="N199" s="21">
        <v>20</v>
      </c>
      <c r="O199" s="26" t="s">
        <v>2224</v>
      </c>
      <c r="P199" s="26" t="s">
        <v>2224</v>
      </c>
      <c r="Q199" t="s">
        <v>2762</v>
      </c>
      <c r="R199" t="s">
        <v>2809</v>
      </c>
      <c r="S199" s="7">
        <v>100000</v>
      </c>
      <c r="T199" s="7">
        <v>110000</v>
      </c>
      <c r="U199" s="7">
        <v>110000</v>
      </c>
      <c r="V199" s="7">
        <f t="shared" si="15"/>
        <v>0</v>
      </c>
      <c r="W199" s="5">
        <f t="shared" si="16"/>
        <v>0</v>
      </c>
      <c r="X199" s="39"/>
      <c r="Y199" s="33">
        <f>SUMPRODUCT((BIdetails!$J$5:$J$3000=M199)*(BIdetails!$K$5:$K$3000=N199)*(BIdetails!$M$5:$M$3000))</f>
        <v>0</v>
      </c>
      <c r="Z199" s="34">
        <f t="shared" si="17"/>
        <v>0</v>
      </c>
      <c r="AA199" s="31"/>
      <c r="AB199" s="31"/>
      <c r="AC199" s="31"/>
      <c r="AD199" s="31"/>
    </row>
    <row r="200" spans="1:30" hidden="1" x14ac:dyDescent="0.25">
      <c r="A200" t="s">
        <v>2745</v>
      </c>
      <c r="B200" t="str">
        <f t="shared" si="14"/>
        <v>No Change</v>
      </c>
      <c r="C200" t="s">
        <v>3040</v>
      </c>
      <c r="D200">
        <v>68427709</v>
      </c>
      <c r="E200" s="95" t="s">
        <v>19</v>
      </c>
      <c r="F200" t="s">
        <v>20</v>
      </c>
      <c r="G200" t="s">
        <v>16</v>
      </c>
      <c r="H200" t="s">
        <v>2230</v>
      </c>
      <c r="I200" t="s">
        <v>2259</v>
      </c>
      <c r="J200" t="s">
        <v>2943</v>
      </c>
      <c r="K200">
        <v>166304</v>
      </c>
      <c r="L200" s="96" t="s">
        <v>60</v>
      </c>
      <c r="M200">
        <v>5400878308</v>
      </c>
      <c r="N200" s="21">
        <v>20</v>
      </c>
      <c r="O200" s="26" t="s">
        <v>2224</v>
      </c>
      <c r="P200" s="26" t="s">
        <v>2224</v>
      </c>
      <c r="Q200" t="s">
        <v>2762</v>
      </c>
      <c r="R200" t="s">
        <v>2809</v>
      </c>
      <c r="S200" s="7">
        <v>170000</v>
      </c>
      <c r="T200" s="7">
        <v>170000</v>
      </c>
      <c r="U200" s="7">
        <v>170000</v>
      </c>
      <c r="V200" s="7">
        <f t="shared" si="15"/>
        <v>0</v>
      </c>
      <c r="W200" s="5">
        <f t="shared" si="16"/>
        <v>0</v>
      </c>
      <c r="X200" s="6"/>
      <c r="Y200" s="33">
        <f>SUMPRODUCT((BIdetails!$J$5:$J$3000=M200)*(BIdetails!$K$5:$K$3000=N200)*(BIdetails!$M$5:$M$3000))</f>
        <v>0</v>
      </c>
      <c r="Z200" s="34">
        <f t="shared" si="17"/>
        <v>0</v>
      </c>
      <c r="AA200" s="31"/>
      <c r="AB200" s="31"/>
      <c r="AC200" s="31"/>
      <c r="AD200" s="31"/>
    </row>
    <row r="201" spans="1:30" hidden="1" x14ac:dyDescent="0.25">
      <c r="A201" t="s">
        <v>2745</v>
      </c>
      <c r="B201" t="str">
        <f t="shared" si="14"/>
        <v>Decrease</v>
      </c>
      <c r="C201" t="s">
        <v>3045</v>
      </c>
      <c r="D201">
        <v>68427709</v>
      </c>
      <c r="E201" s="95" t="s">
        <v>19</v>
      </c>
      <c r="F201" t="s">
        <v>20</v>
      </c>
      <c r="G201" t="s">
        <v>16</v>
      </c>
      <c r="H201" t="s">
        <v>591</v>
      </c>
      <c r="I201" t="s">
        <v>2259</v>
      </c>
      <c r="J201" t="s">
        <v>2830</v>
      </c>
      <c r="K201">
        <v>166304</v>
      </c>
      <c r="L201" s="96" t="s">
        <v>60</v>
      </c>
      <c r="M201">
        <v>5400878308</v>
      </c>
      <c r="N201" s="21">
        <v>60</v>
      </c>
      <c r="O201" s="26" t="s">
        <v>2224</v>
      </c>
      <c r="P201" s="26" t="s">
        <v>2224</v>
      </c>
      <c r="Q201" t="s">
        <v>2762</v>
      </c>
      <c r="R201" t="s">
        <v>2809</v>
      </c>
      <c r="S201" s="7">
        <v>275000</v>
      </c>
      <c r="T201" s="7">
        <v>275000</v>
      </c>
      <c r="U201" s="7">
        <v>250000</v>
      </c>
      <c r="V201" s="7">
        <f t="shared" si="15"/>
        <v>-25000</v>
      </c>
      <c r="W201" s="5">
        <f t="shared" si="16"/>
        <v>-9.0909090909090912E-2</v>
      </c>
      <c r="X201" s="6"/>
      <c r="Y201" s="33">
        <f>SUMPRODUCT((BIdetails!$J$5:$J$3000=M201)*(BIdetails!$K$5:$K$3000=N201)*(BIdetails!$M$5:$M$3000))</f>
        <v>0</v>
      </c>
      <c r="Z201" s="34">
        <f t="shared" si="17"/>
        <v>0</v>
      </c>
      <c r="AA201" s="31"/>
      <c r="AB201" s="31"/>
      <c r="AC201" s="31"/>
      <c r="AD201" s="31"/>
    </row>
    <row r="202" spans="1:30" hidden="1" x14ac:dyDescent="0.25">
      <c r="A202" t="s">
        <v>2745</v>
      </c>
      <c r="B202" t="str">
        <f t="shared" si="14"/>
        <v>Increase</v>
      </c>
      <c r="C202" t="s">
        <v>3042</v>
      </c>
      <c r="D202">
        <v>68427709</v>
      </c>
      <c r="E202" s="95" t="s">
        <v>19</v>
      </c>
      <c r="F202" t="s">
        <v>20</v>
      </c>
      <c r="G202" t="s">
        <v>16</v>
      </c>
      <c r="H202" t="s">
        <v>590</v>
      </c>
      <c r="I202" t="s">
        <v>2259</v>
      </c>
      <c r="J202" t="s">
        <v>2830</v>
      </c>
      <c r="K202">
        <v>166304</v>
      </c>
      <c r="L202" s="96" t="s">
        <v>60</v>
      </c>
      <c r="M202">
        <v>5400878308</v>
      </c>
      <c r="N202" s="21">
        <v>40</v>
      </c>
      <c r="O202" s="26" t="s">
        <v>2224</v>
      </c>
      <c r="P202" s="26" t="s">
        <v>2224</v>
      </c>
      <c r="Q202" t="s">
        <v>2762</v>
      </c>
      <c r="R202" t="s">
        <v>2809</v>
      </c>
      <c r="S202" s="7">
        <v>4200000</v>
      </c>
      <c r="T202" s="7">
        <v>4500000</v>
      </c>
      <c r="U202" s="7">
        <v>5800000</v>
      </c>
      <c r="V202" s="7">
        <f t="shared" si="15"/>
        <v>1300000</v>
      </c>
      <c r="W202" s="5">
        <f t="shared" si="16"/>
        <v>0.28888888888888886</v>
      </c>
      <c r="X202" s="6"/>
      <c r="Y202" s="33">
        <f>SUMPRODUCT((BIdetails!$J$5:$J$3000=M202)*(BIdetails!$K$5:$K$3000=N202)*(BIdetails!$M$5:$M$3000))</f>
        <v>0</v>
      </c>
      <c r="Z202" s="34">
        <f t="shared" si="17"/>
        <v>0</v>
      </c>
      <c r="AA202" s="31" t="s">
        <v>649</v>
      </c>
      <c r="AB202" s="31" t="s">
        <v>2752</v>
      </c>
      <c r="AC202" s="31" t="s">
        <v>2774</v>
      </c>
      <c r="AD202" s="31"/>
    </row>
    <row r="203" spans="1:30" hidden="1" x14ac:dyDescent="0.25">
      <c r="A203" t="s">
        <v>2745</v>
      </c>
      <c r="B203" t="str">
        <f t="shared" si="14"/>
        <v>Increase</v>
      </c>
      <c r="C203" t="s">
        <v>3040</v>
      </c>
      <c r="D203">
        <v>68427709</v>
      </c>
      <c r="E203" s="95" t="s">
        <v>19</v>
      </c>
      <c r="F203" t="s">
        <v>20</v>
      </c>
      <c r="G203" t="s">
        <v>16</v>
      </c>
      <c r="H203" t="s">
        <v>1824</v>
      </c>
      <c r="I203" t="s">
        <v>2259</v>
      </c>
      <c r="J203" t="s">
        <v>2830</v>
      </c>
      <c r="K203">
        <v>166304</v>
      </c>
      <c r="L203" s="96" t="s">
        <v>60</v>
      </c>
      <c r="M203">
        <v>5400878308</v>
      </c>
      <c r="N203" s="21">
        <v>20</v>
      </c>
      <c r="O203" s="26" t="s">
        <v>2224</v>
      </c>
      <c r="P203" s="26" t="s">
        <v>2224</v>
      </c>
      <c r="Q203" t="s">
        <v>2762</v>
      </c>
      <c r="R203" t="s">
        <v>2809</v>
      </c>
      <c r="S203" s="7">
        <v>1250000</v>
      </c>
      <c r="T203" s="7">
        <v>1250000</v>
      </c>
      <c r="U203" s="7">
        <v>1350000</v>
      </c>
      <c r="V203" s="7">
        <f t="shared" si="15"/>
        <v>100000</v>
      </c>
      <c r="W203" s="5">
        <f t="shared" si="16"/>
        <v>0.08</v>
      </c>
      <c r="X203" s="6"/>
      <c r="Y203" s="33">
        <f>SUMPRODUCT((BIdetails!$J$5:$J$3000=M203)*(BIdetails!$K$5:$K$3000=N203)*(BIdetails!$M$5:$M$3000))</f>
        <v>0</v>
      </c>
      <c r="Z203" s="34">
        <f t="shared" si="17"/>
        <v>0</v>
      </c>
      <c r="AA203" s="31" t="s">
        <v>649</v>
      </c>
      <c r="AB203" s="31" t="s">
        <v>2920</v>
      </c>
      <c r="AC203" s="31" t="s">
        <v>2788</v>
      </c>
      <c r="AD203" s="31"/>
    </row>
    <row r="204" spans="1:30" hidden="1" x14ac:dyDescent="0.25">
      <c r="A204" t="s">
        <v>2745</v>
      </c>
      <c r="B204" t="str">
        <f t="shared" si="14"/>
        <v>No Change</v>
      </c>
      <c r="C204" t="s">
        <v>3040</v>
      </c>
      <c r="D204">
        <v>68427709</v>
      </c>
      <c r="E204" s="95" t="s">
        <v>19</v>
      </c>
      <c r="F204" t="s">
        <v>20</v>
      </c>
      <c r="G204" t="s">
        <v>16</v>
      </c>
      <c r="H204" t="s">
        <v>2227</v>
      </c>
      <c r="I204" t="s">
        <v>2259</v>
      </c>
      <c r="J204" t="s">
        <v>2830</v>
      </c>
      <c r="K204">
        <v>166304</v>
      </c>
      <c r="L204" s="96" t="s">
        <v>60</v>
      </c>
      <c r="M204">
        <v>5400878308</v>
      </c>
      <c r="N204" s="21">
        <v>20</v>
      </c>
      <c r="O204" s="26" t="s">
        <v>2224</v>
      </c>
      <c r="P204" s="26" t="s">
        <v>2224</v>
      </c>
      <c r="Q204" t="s">
        <v>2762</v>
      </c>
      <c r="R204" t="s">
        <v>2809</v>
      </c>
      <c r="S204" s="7">
        <v>600000</v>
      </c>
      <c r="T204" s="7">
        <v>430000</v>
      </c>
      <c r="U204" s="7">
        <v>430000</v>
      </c>
      <c r="V204" s="7">
        <f t="shared" si="15"/>
        <v>0</v>
      </c>
      <c r="W204" s="5">
        <f t="shared" si="16"/>
        <v>0</v>
      </c>
      <c r="X204" s="6"/>
      <c r="Y204" s="33">
        <f>SUMPRODUCT((BIdetails!$J$5:$J$3000=M204)*(BIdetails!$K$5:$K$3000=N204)*(BIdetails!$M$5:$M$3000))</f>
        <v>0</v>
      </c>
      <c r="Z204" s="34">
        <f t="shared" si="17"/>
        <v>0</v>
      </c>
      <c r="AA204" s="31"/>
      <c r="AB204" s="31"/>
      <c r="AC204" s="31"/>
      <c r="AD204" s="31"/>
    </row>
    <row r="205" spans="1:30" hidden="1" x14ac:dyDescent="0.25">
      <c r="A205" t="s">
        <v>2745</v>
      </c>
      <c r="B205" t="str">
        <f t="shared" si="14"/>
        <v>Increase</v>
      </c>
      <c r="C205" t="s">
        <v>3046</v>
      </c>
      <c r="D205">
        <v>68427709</v>
      </c>
      <c r="E205" s="95" t="s">
        <v>19</v>
      </c>
      <c r="F205" t="s">
        <v>20</v>
      </c>
      <c r="G205" t="s">
        <v>16</v>
      </c>
      <c r="H205" t="s">
        <v>586</v>
      </c>
      <c r="I205" t="s">
        <v>2259</v>
      </c>
      <c r="J205" t="s">
        <v>2830</v>
      </c>
      <c r="K205">
        <v>117627</v>
      </c>
      <c r="L205" s="26" t="s">
        <v>3047</v>
      </c>
      <c r="M205" s="217">
        <v>5400996228</v>
      </c>
      <c r="N205" s="21">
        <v>20</v>
      </c>
      <c r="O205" s="26" t="s">
        <v>2224</v>
      </c>
      <c r="P205" s="26" t="s">
        <v>2808</v>
      </c>
      <c r="Q205" t="s">
        <v>2762</v>
      </c>
      <c r="R205" t="s">
        <v>2809</v>
      </c>
      <c r="S205" s="7">
        <v>300000</v>
      </c>
      <c r="T205" s="7">
        <v>450000</v>
      </c>
      <c r="U205" s="7">
        <v>525000</v>
      </c>
      <c r="V205" s="7">
        <f t="shared" si="15"/>
        <v>75000</v>
      </c>
      <c r="W205" s="5">
        <f t="shared" si="16"/>
        <v>0.16666666666666666</v>
      </c>
      <c r="X205" s="6"/>
      <c r="Y205" s="33">
        <f>SUMPRODUCT((BIdetails!$J$5:$J$3000=M205)*(BIdetails!$K$5:$K$3000=N205)*(BIdetails!$M$5:$M$3000))</f>
        <v>0</v>
      </c>
      <c r="Z205" s="34">
        <f t="shared" si="17"/>
        <v>0</v>
      </c>
      <c r="AA205" s="31"/>
      <c r="AB205" s="31"/>
      <c r="AC205" s="31"/>
      <c r="AD205" s="31"/>
    </row>
    <row r="206" spans="1:30" hidden="1" x14ac:dyDescent="0.25">
      <c r="A206" t="s">
        <v>2745</v>
      </c>
      <c r="B206" t="str">
        <f t="shared" si="14"/>
        <v>No Change</v>
      </c>
      <c r="D206">
        <v>68427709</v>
      </c>
      <c r="E206" s="95" t="s">
        <v>19</v>
      </c>
      <c r="F206" t="s">
        <v>20</v>
      </c>
      <c r="G206" t="s">
        <v>16</v>
      </c>
      <c r="H206" s="26" t="s">
        <v>1829</v>
      </c>
      <c r="I206" t="s">
        <v>2259</v>
      </c>
      <c r="J206" t="s">
        <v>2830</v>
      </c>
      <c r="K206">
        <v>166304</v>
      </c>
      <c r="L206" s="26" t="s">
        <v>558</v>
      </c>
      <c r="M206">
        <v>5400878308</v>
      </c>
      <c r="N206" s="21">
        <v>20</v>
      </c>
      <c r="O206" s="26" t="s">
        <v>2224</v>
      </c>
      <c r="P206" s="26" t="s">
        <v>2224</v>
      </c>
      <c r="Q206" t="s">
        <v>2762</v>
      </c>
      <c r="R206" t="s">
        <v>2809</v>
      </c>
      <c r="S206" s="7">
        <v>8000</v>
      </c>
      <c r="T206" s="7">
        <v>8000</v>
      </c>
      <c r="U206" s="7">
        <v>8000</v>
      </c>
      <c r="V206" s="7">
        <f t="shared" si="15"/>
        <v>0</v>
      </c>
      <c r="W206" s="5">
        <f t="shared" si="16"/>
        <v>0</v>
      </c>
      <c r="X206" s="22"/>
      <c r="Y206" s="33">
        <f>SUMPRODUCT((BIdetails!$J$5:$J$3000=M206)*(BIdetails!$K$5:$K$3000=N206)*(BIdetails!$M$5:$M$3000))</f>
        <v>0</v>
      </c>
      <c r="Z206" s="34">
        <f t="shared" si="17"/>
        <v>0</v>
      </c>
      <c r="AA206" s="31"/>
      <c r="AB206" s="31"/>
      <c r="AC206" s="31"/>
      <c r="AD206" s="31"/>
    </row>
    <row r="207" spans="1:30" hidden="1" x14ac:dyDescent="0.25">
      <c r="A207" t="s">
        <v>2745</v>
      </c>
      <c r="B207" t="str">
        <f t="shared" si="14"/>
        <v>Decrease</v>
      </c>
      <c r="D207">
        <v>68427709</v>
      </c>
      <c r="E207" s="95" t="s">
        <v>19</v>
      </c>
      <c r="F207" t="s">
        <v>20</v>
      </c>
      <c r="G207" t="s">
        <v>16</v>
      </c>
      <c r="H207" s="26" t="s">
        <v>1833</v>
      </c>
      <c r="I207" t="s">
        <v>2259</v>
      </c>
      <c r="J207" t="s">
        <v>2830</v>
      </c>
      <c r="K207">
        <v>166304</v>
      </c>
      <c r="L207" s="26" t="s">
        <v>558</v>
      </c>
      <c r="M207">
        <v>5400878308</v>
      </c>
      <c r="N207" s="21">
        <v>20</v>
      </c>
      <c r="O207" s="26" t="s">
        <v>2224</v>
      </c>
      <c r="P207" s="26" t="s">
        <v>2224</v>
      </c>
      <c r="Q207" t="s">
        <v>2762</v>
      </c>
      <c r="R207" t="s">
        <v>2809</v>
      </c>
      <c r="S207" s="7">
        <v>30000</v>
      </c>
      <c r="T207" s="7">
        <v>90000</v>
      </c>
      <c r="U207" s="7">
        <v>60000</v>
      </c>
      <c r="V207" s="7">
        <f t="shared" si="15"/>
        <v>-30000</v>
      </c>
      <c r="W207" s="5">
        <f t="shared" si="16"/>
        <v>-0.33333333333333331</v>
      </c>
      <c r="X207" s="123"/>
      <c r="Y207" s="33">
        <f>SUMPRODUCT((BIdetails!$J$5:$J$3000=M207)*(BIdetails!$K$5:$K$3000=N207)*(BIdetails!$M$5:$M$3000))</f>
        <v>0</v>
      </c>
      <c r="Z207" s="34">
        <f t="shared" si="17"/>
        <v>0</v>
      </c>
      <c r="AA207" s="31" t="s">
        <v>2997</v>
      </c>
      <c r="AB207" s="31" t="s">
        <v>2752</v>
      </c>
      <c r="AC207" s="31" t="s">
        <v>2785</v>
      </c>
      <c r="AD207" s="31"/>
    </row>
    <row r="208" spans="1:30" ht="15" hidden="1" customHeight="1" x14ac:dyDescent="0.25">
      <c r="A208" t="s">
        <v>2745</v>
      </c>
      <c r="B208" t="str">
        <f t="shared" si="14"/>
        <v>Decrease</v>
      </c>
      <c r="D208">
        <v>68427709</v>
      </c>
      <c r="E208" s="95" t="s">
        <v>19</v>
      </c>
      <c r="F208" t="s">
        <v>20</v>
      </c>
      <c r="G208" t="s">
        <v>16</v>
      </c>
      <c r="H208" s="26" t="s">
        <v>1834</v>
      </c>
      <c r="I208" t="s">
        <v>2259</v>
      </c>
      <c r="J208" t="s">
        <v>2830</v>
      </c>
      <c r="K208">
        <v>166304</v>
      </c>
      <c r="L208" s="26" t="s">
        <v>558</v>
      </c>
      <c r="M208">
        <v>5400878308</v>
      </c>
      <c r="N208" s="21">
        <v>20</v>
      </c>
      <c r="O208" s="26" t="s">
        <v>2224</v>
      </c>
      <c r="P208" s="26" t="s">
        <v>2224</v>
      </c>
      <c r="Q208" t="s">
        <v>2762</v>
      </c>
      <c r="R208" t="s">
        <v>2809</v>
      </c>
      <c r="S208" s="7">
        <v>133000</v>
      </c>
      <c r="T208" s="7">
        <v>125000</v>
      </c>
      <c r="U208" s="7">
        <v>100000</v>
      </c>
      <c r="V208" s="7">
        <f t="shared" si="15"/>
        <v>-25000</v>
      </c>
      <c r="W208" s="5">
        <f t="shared" si="16"/>
        <v>-0.2</v>
      </c>
      <c r="X208" s="22"/>
      <c r="Y208" s="33">
        <f>SUMPRODUCT((BIdetails!$J$5:$J$3000=M208)*(BIdetails!$K$5:$K$3000=N208)*(BIdetails!$M$5:$M$3000))</f>
        <v>0</v>
      </c>
      <c r="Z208" s="34">
        <f t="shared" si="17"/>
        <v>0</v>
      </c>
      <c r="AA208" s="31"/>
      <c r="AB208" s="31"/>
      <c r="AC208" s="31"/>
      <c r="AD208" s="31"/>
    </row>
    <row r="209" spans="1:30" hidden="1" x14ac:dyDescent="0.25">
      <c r="A209" t="s">
        <v>2745</v>
      </c>
      <c r="B209" t="str">
        <f t="shared" si="14"/>
        <v>Increase</v>
      </c>
      <c r="D209">
        <v>68427709</v>
      </c>
      <c r="E209" s="95" t="s">
        <v>19</v>
      </c>
      <c r="F209" t="s">
        <v>20</v>
      </c>
      <c r="G209" t="s">
        <v>16</v>
      </c>
      <c r="H209" s="26" t="s">
        <v>1835</v>
      </c>
      <c r="I209" t="s">
        <v>2259</v>
      </c>
      <c r="J209" t="s">
        <v>2830</v>
      </c>
      <c r="K209">
        <v>166304</v>
      </c>
      <c r="L209" s="26" t="s">
        <v>558</v>
      </c>
      <c r="M209">
        <v>5400878308</v>
      </c>
      <c r="N209" s="21">
        <v>20</v>
      </c>
      <c r="O209" s="26" t="s">
        <v>2224</v>
      </c>
      <c r="P209" s="26" t="s">
        <v>2224</v>
      </c>
      <c r="Q209" t="s">
        <v>2762</v>
      </c>
      <c r="R209" t="s">
        <v>2809</v>
      </c>
      <c r="S209" s="7">
        <v>165000</v>
      </c>
      <c r="T209" s="7">
        <v>180000</v>
      </c>
      <c r="U209" s="7">
        <v>210000</v>
      </c>
      <c r="V209" s="7">
        <f t="shared" si="15"/>
        <v>30000</v>
      </c>
      <c r="W209" s="5">
        <f t="shared" si="16"/>
        <v>0.16666666666666666</v>
      </c>
      <c r="X209" s="22"/>
      <c r="Y209" s="33">
        <f>SUMPRODUCT((BIdetails!$J$5:$J$3000=M209)*(BIdetails!$K$5:$K$3000=N209)*(BIdetails!$M$5:$M$3000))</f>
        <v>0</v>
      </c>
      <c r="Z209" s="34">
        <f t="shared" si="17"/>
        <v>0</v>
      </c>
      <c r="AA209" s="31" t="s">
        <v>649</v>
      </c>
      <c r="AB209" s="31" t="s">
        <v>2752</v>
      </c>
      <c r="AC209" s="31"/>
      <c r="AD209" s="31"/>
    </row>
    <row r="210" spans="1:30" hidden="1" x14ac:dyDescent="0.25">
      <c r="A210" t="s">
        <v>2745</v>
      </c>
      <c r="B210" t="str">
        <f t="shared" si="14"/>
        <v>No Change</v>
      </c>
      <c r="D210">
        <v>68427709</v>
      </c>
      <c r="E210" s="95" t="s">
        <v>19</v>
      </c>
      <c r="F210" t="s">
        <v>20</v>
      </c>
      <c r="G210" s="95" t="s">
        <v>16</v>
      </c>
      <c r="H210" t="s">
        <v>2480</v>
      </c>
      <c r="I210" t="s">
        <v>2259</v>
      </c>
      <c r="J210" t="s">
        <v>2830</v>
      </c>
      <c r="K210">
        <v>166304</v>
      </c>
      <c r="L210" t="s">
        <v>558</v>
      </c>
      <c r="M210"/>
      <c r="O210" s="26" t="s">
        <v>2224</v>
      </c>
      <c r="P210" s="26" t="s">
        <v>2224</v>
      </c>
      <c r="Q210" t="s">
        <v>2762</v>
      </c>
      <c r="R210" t="s">
        <v>2809</v>
      </c>
      <c r="S210" s="7">
        <v>50000</v>
      </c>
      <c r="T210" s="7">
        <v>125000</v>
      </c>
      <c r="U210" s="7">
        <v>125000</v>
      </c>
      <c r="V210" s="7">
        <f t="shared" si="15"/>
        <v>0</v>
      </c>
      <c r="W210" s="5">
        <f t="shared" si="16"/>
        <v>0</v>
      </c>
      <c r="X210" s="22"/>
      <c r="Y210" s="33">
        <f>SUMPRODUCT((BIdetails!$J$5:$J$3000=M210)*(BIdetails!$K$5:$K$3000=N210)*(BIdetails!$M$5:$M$3000))</f>
        <v>0</v>
      </c>
      <c r="Z210" s="34">
        <f t="shared" si="17"/>
        <v>0</v>
      </c>
      <c r="AA210" s="31"/>
      <c r="AB210" s="31"/>
      <c r="AC210" s="31"/>
      <c r="AD210" s="31"/>
    </row>
    <row r="211" spans="1:30" hidden="1" x14ac:dyDescent="0.25">
      <c r="A211" t="s">
        <v>2745</v>
      </c>
      <c r="B211" t="str">
        <f t="shared" si="14"/>
        <v>No Change</v>
      </c>
      <c r="D211">
        <v>68427709</v>
      </c>
      <c r="E211" s="95" t="s">
        <v>53</v>
      </c>
      <c r="F211" t="s">
        <v>54</v>
      </c>
      <c r="G211" s="96" t="s">
        <v>42</v>
      </c>
      <c r="H211" s="26" t="s">
        <v>3048</v>
      </c>
      <c r="J211" t="s">
        <v>3049</v>
      </c>
      <c r="K211" s="26">
        <v>166304</v>
      </c>
      <c r="L211" s="26" t="s">
        <v>60</v>
      </c>
      <c r="M211">
        <v>5400878308</v>
      </c>
      <c r="N211" s="21">
        <v>20</v>
      </c>
      <c r="O211" s="26" t="s">
        <v>2224</v>
      </c>
      <c r="P211" s="26" t="s">
        <v>2224</v>
      </c>
      <c r="Q211" t="s">
        <v>2762</v>
      </c>
      <c r="R211" t="s">
        <v>2809</v>
      </c>
      <c r="S211" s="7">
        <v>7000</v>
      </c>
      <c r="T211" s="7">
        <v>7000</v>
      </c>
      <c r="U211" s="7">
        <v>7000</v>
      </c>
      <c r="V211" s="7">
        <f t="shared" si="15"/>
        <v>0</v>
      </c>
      <c r="W211" s="5">
        <f t="shared" si="16"/>
        <v>0</v>
      </c>
      <c r="X211" s="22"/>
      <c r="Y211" s="33">
        <f>SUMPRODUCT((BIdetails!$J$5:$J$3000=M211)*(BIdetails!$K$5:$K$3000=N211)*(BIdetails!$M$5:$M$3000))</f>
        <v>0</v>
      </c>
      <c r="Z211" s="34">
        <f t="shared" si="17"/>
        <v>0</v>
      </c>
      <c r="AA211" s="31"/>
      <c r="AB211" s="31"/>
      <c r="AC211" s="31"/>
      <c r="AD211" s="31"/>
    </row>
    <row r="212" spans="1:30" hidden="1" x14ac:dyDescent="0.25">
      <c r="A212" t="s">
        <v>2745</v>
      </c>
      <c r="B212" t="str">
        <f t="shared" si="14"/>
        <v>No Change</v>
      </c>
      <c r="D212">
        <v>68427709</v>
      </c>
      <c r="E212" s="95" t="s">
        <v>53</v>
      </c>
      <c r="F212" t="s">
        <v>54</v>
      </c>
      <c r="G212" t="s">
        <v>42</v>
      </c>
      <c r="H212" t="s">
        <v>909</v>
      </c>
      <c r="I212">
        <v>0</v>
      </c>
      <c r="J212" t="s">
        <v>3050</v>
      </c>
      <c r="K212">
        <v>123087</v>
      </c>
      <c r="L212" t="s">
        <v>3051</v>
      </c>
      <c r="M212" s="21">
        <v>5400938327</v>
      </c>
      <c r="N212" s="21">
        <v>20</v>
      </c>
      <c r="O212" t="s">
        <v>2676</v>
      </c>
      <c r="P212" s="26" t="s">
        <v>2766</v>
      </c>
      <c r="Q212" t="s">
        <v>2762</v>
      </c>
      <c r="R212" t="s">
        <v>2757</v>
      </c>
      <c r="S212" s="7">
        <v>50000</v>
      </c>
      <c r="T212" s="7">
        <v>50000</v>
      </c>
      <c r="U212" s="7">
        <v>50000</v>
      </c>
      <c r="V212" s="7">
        <f t="shared" si="15"/>
        <v>0</v>
      </c>
      <c r="W212" s="5">
        <f t="shared" si="16"/>
        <v>0</v>
      </c>
      <c r="X212" s="39"/>
      <c r="Y212" s="33">
        <f>SUMPRODUCT((BIdetails!$J$5:$J$3000=M212)*(BIdetails!$K$5:$K$3000=N212)*(BIdetails!$M$5:$M$3000))</f>
        <v>0</v>
      </c>
      <c r="Z212" s="34">
        <f t="shared" si="17"/>
        <v>0</v>
      </c>
      <c r="AA212" s="31" t="s">
        <v>2758</v>
      </c>
      <c r="AB212" s="31" t="s">
        <v>2752</v>
      </c>
      <c r="AC212" s="31"/>
      <c r="AD212" s="31"/>
    </row>
    <row r="213" spans="1:30" hidden="1" x14ac:dyDescent="0.25">
      <c r="A213" t="s">
        <v>2745</v>
      </c>
      <c r="B213" t="str">
        <f t="shared" si="14"/>
        <v>Decommissioned</v>
      </c>
      <c r="D213">
        <v>68427709</v>
      </c>
      <c r="E213" s="95" t="s">
        <v>53</v>
      </c>
      <c r="F213" t="s">
        <v>54</v>
      </c>
      <c r="G213" t="s">
        <v>42</v>
      </c>
      <c r="H213" s="96" t="s">
        <v>1991</v>
      </c>
      <c r="J213" t="s">
        <v>3052</v>
      </c>
      <c r="K213" s="96">
        <v>209658</v>
      </c>
      <c r="L213" s="96" t="s">
        <v>97</v>
      </c>
      <c r="M213" s="36">
        <v>5401019427</v>
      </c>
      <c r="N213" s="98" t="s">
        <v>3053</v>
      </c>
      <c r="O213" t="s">
        <v>2676</v>
      </c>
      <c r="P213" s="96" t="s">
        <v>2922</v>
      </c>
      <c r="Q213" t="s">
        <v>2762</v>
      </c>
      <c r="R213" t="s">
        <v>2851</v>
      </c>
      <c r="S213" s="7">
        <v>15000</v>
      </c>
      <c r="T213" s="7">
        <v>15000</v>
      </c>
      <c r="U213" s="7">
        <v>0</v>
      </c>
      <c r="V213" s="7">
        <f t="shared" si="15"/>
        <v>-15000</v>
      </c>
      <c r="W213" s="5">
        <f t="shared" si="16"/>
        <v>-1</v>
      </c>
      <c r="X213" s="39"/>
      <c r="Y213" s="33">
        <f>SUMPRODUCT((BIdetails!$J$5:$J$3000=M213)*(BIdetails!$K$5:$K$3000=N213)*(BIdetails!$M$5:$M$3000))</f>
        <v>0</v>
      </c>
      <c r="Z213" s="34" t="str">
        <f t="shared" si="17"/>
        <v/>
      </c>
      <c r="AA213" s="31"/>
      <c r="AB213" s="31"/>
      <c r="AC213" s="31"/>
      <c r="AD213" s="31"/>
    </row>
    <row r="214" spans="1:30" hidden="1" x14ac:dyDescent="0.25">
      <c r="A214" t="s">
        <v>2783</v>
      </c>
      <c r="B214" t="str">
        <f t="shared" si="14"/>
        <v>No Change</v>
      </c>
      <c r="D214">
        <v>68427709</v>
      </c>
      <c r="E214" s="95" t="s">
        <v>53</v>
      </c>
      <c r="F214" t="s">
        <v>54</v>
      </c>
      <c r="G214" t="s">
        <v>42</v>
      </c>
      <c r="H214" t="s">
        <v>1798</v>
      </c>
      <c r="I214">
        <v>0</v>
      </c>
      <c r="J214" t="s">
        <v>3054</v>
      </c>
      <c r="K214">
        <v>203848</v>
      </c>
      <c r="L214" s="26" t="s">
        <v>3055</v>
      </c>
      <c r="N214" s="21">
        <v>10</v>
      </c>
      <c r="O214" s="26" t="s">
        <v>2676</v>
      </c>
      <c r="P214" s="26" t="s">
        <v>2314</v>
      </c>
      <c r="Q214" t="s">
        <v>2767</v>
      </c>
      <c r="R214" t="s">
        <v>321</v>
      </c>
      <c r="S214" s="7">
        <v>40000</v>
      </c>
      <c r="T214" s="7">
        <v>0</v>
      </c>
      <c r="U214" s="7">
        <v>0</v>
      </c>
      <c r="V214" s="7">
        <f t="shared" si="15"/>
        <v>0</v>
      </c>
      <c r="W214" s="5">
        <f t="shared" si="16"/>
        <v>0</v>
      </c>
      <c r="X214" s="39"/>
      <c r="Y214" s="33">
        <f>SUMPRODUCT((BIdetails!$J$5:$J$3000=M214)*(BIdetails!$K$5:$K$3000=N214)*(BIdetails!$M$5:$M$3000))</f>
        <v>0</v>
      </c>
      <c r="Z214" s="34" t="str">
        <f t="shared" si="17"/>
        <v/>
      </c>
      <c r="AA214" s="31"/>
      <c r="AB214" s="31"/>
      <c r="AC214" s="31"/>
      <c r="AD214" s="31"/>
    </row>
    <row r="215" spans="1:30" hidden="1" x14ac:dyDescent="0.25">
      <c r="A215" t="s">
        <v>2745</v>
      </c>
      <c r="B215" t="str">
        <f t="shared" si="14"/>
        <v>No Change</v>
      </c>
      <c r="C215" t="s">
        <v>3056</v>
      </c>
      <c r="D215">
        <v>68427709</v>
      </c>
      <c r="E215" s="95" t="s">
        <v>49</v>
      </c>
      <c r="F215" t="s">
        <v>50</v>
      </c>
      <c r="G215" t="s">
        <v>42</v>
      </c>
      <c r="H215" t="s">
        <v>3057</v>
      </c>
      <c r="I215">
        <v>0</v>
      </c>
      <c r="J215" t="s">
        <v>3058</v>
      </c>
      <c r="K215">
        <v>169089</v>
      </c>
      <c r="L215" t="s">
        <v>3059</v>
      </c>
      <c r="M215">
        <v>5401024321</v>
      </c>
      <c r="N215" s="218">
        <v>10</v>
      </c>
      <c r="O215" t="s">
        <v>2676</v>
      </c>
      <c r="P215" t="s">
        <v>227</v>
      </c>
      <c r="Q215" s="215" t="s">
        <v>2756</v>
      </c>
      <c r="R215" s="96" t="s">
        <v>2757</v>
      </c>
      <c r="S215" s="7">
        <v>37000</v>
      </c>
      <c r="T215" s="7">
        <v>37000</v>
      </c>
      <c r="U215" s="7">
        <v>37000</v>
      </c>
      <c r="V215" s="7">
        <f t="shared" si="15"/>
        <v>0</v>
      </c>
      <c r="W215" s="5">
        <f t="shared" si="16"/>
        <v>0</v>
      </c>
      <c r="X215" s="39"/>
      <c r="Y215" s="33">
        <f>SUMPRODUCT((BIdetails!$J$5:$J$3000=M215)*(BIdetails!$K$5:$K$3000=N215)*(BIdetails!$M$5:$M$3000))</f>
        <v>0</v>
      </c>
      <c r="Z215" s="34">
        <f t="shared" si="17"/>
        <v>0</v>
      </c>
      <c r="AA215" s="31" t="s">
        <v>2758</v>
      </c>
      <c r="AB215" s="31" t="s">
        <v>2849</v>
      </c>
      <c r="AC215" s="31" t="s">
        <v>2785</v>
      </c>
      <c r="AD215" s="31"/>
    </row>
    <row r="216" spans="1:30" hidden="1" x14ac:dyDescent="0.25">
      <c r="A216" t="s">
        <v>2745</v>
      </c>
      <c r="B216" t="str">
        <f t="shared" si="14"/>
        <v>No Change</v>
      </c>
      <c r="C216" t="s">
        <v>3060</v>
      </c>
      <c r="D216">
        <v>68427709</v>
      </c>
      <c r="E216" s="95" t="s">
        <v>51</v>
      </c>
      <c r="F216" t="s">
        <v>52</v>
      </c>
      <c r="G216" t="s">
        <v>42</v>
      </c>
      <c r="H216" t="s">
        <v>3061</v>
      </c>
      <c r="I216" t="s">
        <v>2771</v>
      </c>
      <c r="J216" t="s">
        <v>2772</v>
      </c>
      <c r="K216">
        <v>168933</v>
      </c>
      <c r="L216" t="s">
        <v>3062</v>
      </c>
      <c r="M216" s="21">
        <v>5401017896</v>
      </c>
      <c r="N216" s="21">
        <v>10</v>
      </c>
      <c r="O216" t="s">
        <v>2676</v>
      </c>
      <c r="P216" s="26" t="s">
        <v>2676</v>
      </c>
      <c r="Q216" t="s">
        <v>2750</v>
      </c>
      <c r="R216" s="96" t="s">
        <v>2751</v>
      </c>
      <c r="S216" s="7">
        <v>28000</v>
      </c>
      <c r="T216" s="7">
        <v>28000</v>
      </c>
      <c r="U216" s="7">
        <v>28000</v>
      </c>
      <c r="V216" s="7">
        <f t="shared" si="15"/>
        <v>0</v>
      </c>
      <c r="W216" s="5">
        <f t="shared" si="16"/>
        <v>0</v>
      </c>
      <c r="X216" s="39"/>
      <c r="Y216" s="33">
        <f>SUMPRODUCT((BIdetails!$J$5:$J$3000=M216)*(BIdetails!$K$5:$K$3000=N216)*(BIdetails!$M$5:$M$3000))</f>
        <v>0</v>
      </c>
      <c r="Z216" s="34">
        <f t="shared" si="17"/>
        <v>0</v>
      </c>
      <c r="AA216" s="31" t="s">
        <v>2758</v>
      </c>
      <c r="AB216" s="31" t="s">
        <v>2849</v>
      </c>
      <c r="AC216" s="31" t="s">
        <v>2785</v>
      </c>
      <c r="AD216" s="31"/>
    </row>
    <row r="217" spans="1:30" hidden="1" x14ac:dyDescent="0.25">
      <c r="A217" t="s">
        <v>2745</v>
      </c>
      <c r="B217" t="str">
        <f t="shared" si="14"/>
        <v>No Change</v>
      </c>
      <c r="C217" t="s">
        <v>3060</v>
      </c>
      <c r="D217">
        <v>68427709</v>
      </c>
      <c r="E217" s="95" t="s">
        <v>51</v>
      </c>
      <c r="F217" t="s">
        <v>52</v>
      </c>
      <c r="G217" t="s">
        <v>42</v>
      </c>
      <c r="H217" t="s">
        <v>3063</v>
      </c>
      <c r="I217">
        <v>0</v>
      </c>
      <c r="J217" t="s">
        <v>2066</v>
      </c>
      <c r="K217">
        <v>168933</v>
      </c>
      <c r="L217" t="s">
        <v>3062</v>
      </c>
      <c r="M217" s="21">
        <v>5401017896</v>
      </c>
      <c r="N217" s="21">
        <v>10</v>
      </c>
      <c r="O217" t="s">
        <v>2676</v>
      </c>
      <c r="P217" s="26" t="s">
        <v>2676</v>
      </c>
      <c r="Q217" t="s">
        <v>2750</v>
      </c>
      <c r="R217" s="96" t="s">
        <v>2751</v>
      </c>
      <c r="S217" s="7">
        <v>165000</v>
      </c>
      <c r="T217" s="7">
        <v>235000</v>
      </c>
      <c r="U217" s="7">
        <v>235000</v>
      </c>
      <c r="V217" s="7">
        <f t="shared" si="15"/>
        <v>0</v>
      </c>
      <c r="W217" s="5">
        <f t="shared" si="16"/>
        <v>0</v>
      </c>
      <c r="X217" s="39"/>
      <c r="Y217" s="33">
        <f>SUMPRODUCT((BIdetails!$J$5:$J$3000=M217)*(BIdetails!$K$5:$K$3000=N217)*(BIdetails!$M$5:$M$3000))</f>
        <v>0</v>
      </c>
      <c r="Z217" s="34">
        <f t="shared" si="17"/>
        <v>0</v>
      </c>
      <c r="AA217" s="31" t="s">
        <v>2758</v>
      </c>
      <c r="AB217" s="31" t="s">
        <v>2849</v>
      </c>
      <c r="AC217" s="31" t="s">
        <v>2785</v>
      </c>
      <c r="AD217" s="31"/>
    </row>
    <row r="218" spans="1:30" hidden="1" x14ac:dyDescent="0.25">
      <c r="A218" t="s">
        <v>2745</v>
      </c>
      <c r="B218" t="str">
        <f t="shared" si="14"/>
        <v>No Change</v>
      </c>
      <c r="C218" t="s">
        <v>3064</v>
      </c>
      <c r="D218">
        <v>68427709</v>
      </c>
      <c r="E218" s="95" t="s">
        <v>49</v>
      </c>
      <c r="F218" t="s">
        <v>50</v>
      </c>
      <c r="G218" s="96" t="s">
        <v>42</v>
      </c>
      <c r="H218" s="96" t="s">
        <v>2452</v>
      </c>
      <c r="J218" t="s">
        <v>3065</v>
      </c>
      <c r="K218" s="96">
        <v>168933</v>
      </c>
      <c r="L218" s="96" t="s">
        <v>72</v>
      </c>
      <c r="M218" s="97">
        <v>5400963483</v>
      </c>
      <c r="N218" s="97">
        <v>29</v>
      </c>
      <c r="O218" s="96" t="s">
        <v>2676</v>
      </c>
      <c r="P218" s="96" t="s">
        <v>1788</v>
      </c>
      <c r="Q218" t="s">
        <v>2762</v>
      </c>
      <c r="R218" s="96" t="s">
        <v>2886</v>
      </c>
      <c r="S218" s="7">
        <v>230000</v>
      </c>
      <c r="T218" s="7">
        <v>281000</v>
      </c>
      <c r="U218" s="7">
        <v>281000</v>
      </c>
      <c r="V218" s="7">
        <f t="shared" si="15"/>
        <v>0</v>
      </c>
      <c r="W218" s="5">
        <f t="shared" si="16"/>
        <v>0</v>
      </c>
      <c r="X218" s="6"/>
      <c r="Y218" s="33">
        <f>SUMPRODUCT((BIdetails!$J$5:$J$3000=M218)*(BIdetails!$K$5:$K$3000=N218)*(BIdetails!$M$5:$M$3000))</f>
        <v>0</v>
      </c>
      <c r="Z218" s="34">
        <f t="shared" si="17"/>
        <v>0</v>
      </c>
      <c r="AA218" s="31" t="s">
        <v>2758</v>
      </c>
      <c r="AB218" s="31" t="s">
        <v>2849</v>
      </c>
      <c r="AC218" s="31" t="s">
        <v>2785</v>
      </c>
      <c r="AD218" s="31"/>
    </row>
    <row r="219" spans="1:30" hidden="1" x14ac:dyDescent="0.25">
      <c r="A219" t="s">
        <v>2745</v>
      </c>
      <c r="B219" t="str">
        <f t="shared" si="14"/>
        <v>No Change</v>
      </c>
      <c r="C219" t="s">
        <v>3066</v>
      </c>
      <c r="D219">
        <v>68427709</v>
      </c>
      <c r="E219" s="95" t="s">
        <v>49</v>
      </c>
      <c r="F219" t="s">
        <v>50</v>
      </c>
      <c r="G219" t="s">
        <v>42</v>
      </c>
      <c r="H219" t="s">
        <v>2437</v>
      </c>
      <c r="I219" t="s">
        <v>2771</v>
      </c>
      <c r="J219" t="s">
        <v>2772</v>
      </c>
      <c r="K219">
        <v>118054</v>
      </c>
      <c r="L219" t="s">
        <v>900</v>
      </c>
      <c r="M219" s="21">
        <v>5401052877</v>
      </c>
      <c r="N219" s="21">
        <v>10</v>
      </c>
      <c r="O219" t="s">
        <v>2676</v>
      </c>
      <c r="P219" t="s">
        <v>2676</v>
      </c>
      <c r="Q219" t="s">
        <v>2750</v>
      </c>
      <c r="R219" t="s">
        <v>2751</v>
      </c>
      <c r="S219" s="7">
        <v>6300</v>
      </c>
      <c r="T219" s="7">
        <v>7100</v>
      </c>
      <c r="U219" s="7">
        <v>7100</v>
      </c>
      <c r="V219" s="7">
        <f t="shared" si="15"/>
        <v>0</v>
      </c>
      <c r="W219" s="5">
        <f t="shared" si="16"/>
        <v>0</v>
      </c>
      <c r="X219" s="39"/>
      <c r="Y219" s="33">
        <f>SUMPRODUCT((BIdetails!$J$5:$J$3000=M219)*(BIdetails!$K$5:$K$3000=N219)*(BIdetails!$M$5:$M$3000))</f>
        <v>0</v>
      </c>
      <c r="Z219" s="34">
        <f t="shared" si="17"/>
        <v>0</v>
      </c>
      <c r="AA219" s="31" t="s">
        <v>649</v>
      </c>
      <c r="AB219" s="31" t="s">
        <v>2752</v>
      </c>
      <c r="AC219" s="31"/>
      <c r="AD219" s="31"/>
    </row>
    <row r="220" spans="1:30" hidden="1" x14ac:dyDescent="0.25">
      <c r="A220" t="s">
        <v>2745</v>
      </c>
      <c r="B220" t="str">
        <f t="shared" si="14"/>
        <v>No Change</v>
      </c>
      <c r="C220" t="s">
        <v>3067</v>
      </c>
      <c r="D220">
        <v>68427709</v>
      </c>
      <c r="E220" s="100" t="s">
        <v>51</v>
      </c>
      <c r="F220" s="96" t="s">
        <v>52</v>
      </c>
      <c r="G220" s="96" t="s">
        <v>42</v>
      </c>
      <c r="H220" s="96" t="s">
        <v>2439</v>
      </c>
      <c r="I220" t="s">
        <v>2771</v>
      </c>
      <c r="J220" t="s">
        <v>2772</v>
      </c>
      <c r="K220" s="96">
        <v>118054</v>
      </c>
      <c r="L220" s="96" t="s">
        <v>900</v>
      </c>
      <c r="M220" s="97">
        <v>5400990636</v>
      </c>
      <c r="N220" s="97">
        <v>10</v>
      </c>
      <c r="O220" s="96" t="s">
        <v>2676</v>
      </c>
      <c r="P220" s="26" t="s">
        <v>2676</v>
      </c>
      <c r="Q220" s="96" t="s">
        <v>2750</v>
      </c>
      <c r="R220" s="96" t="s">
        <v>2751</v>
      </c>
      <c r="S220" s="7">
        <v>369640</v>
      </c>
      <c r="T220" s="7">
        <v>415640</v>
      </c>
      <c r="U220" s="7">
        <v>415640</v>
      </c>
      <c r="V220" s="7">
        <f t="shared" si="15"/>
        <v>0</v>
      </c>
      <c r="W220" s="5">
        <f t="shared" si="16"/>
        <v>0</v>
      </c>
      <c r="X220" s="39"/>
      <c r="Y220" s="33">
        <f>SUMPRODUCT((BIdetails!$J$5:$J$3000=M220)*(BIdetails!$K$5:$K$3000=N220)*(BIdetails!$M$5:$M$3000))</f>
        <v>0</v>
      </c>
      <c r="Z220" s="34">
        <f t="shared" si="17"/>
        <v>0</v>
      </c>
      <c r="AA220" s="31" t="s">
        <v>2758</v>
      </c>
      <c r="AB220" s="31" t="s">
        <v>2752</v>
      </c>
      <c r="AC220" s="31" t="s">
        <v>2785</v>
      </c>
      <c r="AD220" s="31"/>
    </row>
    <row r="221" spans="1:30" hidden="1" x14ac:dyDescent="0.25">
      <c r="A221" t="s">
        <v>2745</v>
      </c>
      <c r="B221" t="str">
        <f t="shared" si="14"/>
        <v>No Change</v>
      </c>
      <c r="C221" t="s">
        <v>3068</v>
      </c>
      <c r="D221">
        <v>68427709</v>
      </c>
      <c r="E221" s="100" t="s">
        <v>51</v>
      </c>
      <c r="F221" s="96" t="s">
        <v>52</v>
      </c>
      <c r="G221" s="96" t="s">
        <v>42</v>
      </c>
      <c r="H221" s="96" t="s">
        <v>2440</v>
      </c>
      <c r="I221" t="s">
        <v>2771</v>
      </c>
      <c r="J221" t="s">
        <v>2772</v>
      </c>
      <c r="K221" s="96">
        <v>118054</v>
      </c>
      <c r="L221" s="96" t="s">
        <v>900</v>
      </c>
      <c r="M221" s="97">
        <v>5400988025</v>
      </c>
      <c r="N221" s="97">
        <v>10</v>
      </c>
      <c r="O221" s="96" t="s">
        <v>2676</v>
      </c>
      <c r="P221" s="96" t="s">
        <v>2676</v>
      </c>
      <c r="Q221" t="s">
        <v>2750</v>
      </c>
      <c r="R221" s="96" t="s">
        <v>2751</v>
      </c>
      <c r="S221" s="7">
        <v>5380</v>
      </c>
      <c r="T221" s="7">
        <v>6140</v>
      </c>
      <c r="U221" s="7">
        <v>6140</v>
      </c>
      <c r="V221" s="7">
        <f t="shared" si="15"/>
        <v>0</v>
      </c>
      <c r="W221" s="5">
        <f t="shared" si="16"/>
        <v>0</v>
      </c>
      <c r="X221" s="39"/>
      <c r="Y221" s="33">
        <f>SUMPRODUCT((BIdetails!$J$5:$J$3000=M221)*(BIdetails!$K$5:$K$3000=N221)*(BIdetails!$M$5:$M$3000))</f>
        <v>0</v>
      </c>
      <c r="Z221" s="34">
        <f t="shared" si="17"/>
        <v>0</v>
      </c>
      <c r="AA221" s="31" t="s">
        <v>3031</v>
      </c>
      <c r="AB221" s="31" t="s">
        <v>2849</v>
      </c>
      <c r="AC221" s="31" t="s">
        <v>2785</v>
      </c>
      <c r="AD221" s="31"/>
    </row>
    <row r="222" spans="1:30" hidden="1" x14ac:dyDescent="0.25">
      <c r="A222" t="s">
        <v>2745</v>
      </c>
      <c r="B222" t="str">
        <f t="shared" si="14"/>
        <v>No Change</v>
      </c>
      <c r="C222" t="s">
        <v>3069</v>
      </c>
      <c r="D222">
        <v>68427709</v>
      </c>
      <c r="E222" s="100" t="s">
        <v>51</v>
      </c>
      <c r="F222" s="96" t="s">
        <v>52</v>
      </c>
      <c r="G222" s="96" t="s">
        <v>42</v>
      </c>
      <c r="H222" s="96" t="s">
        <v>2441</v>
      </c>
      <c r="I222" t="s">
        <v>2771</v>
      </c>
      <c r="J222" t="s">
        <v>2772</v>
      </c>
      <c r="K222" s="96">
        <v>118054</v>
      </c>
      <c r="L222" s="96" t="s">
        <v>900</v>
      </c>
      <c r="M222" s="97">
        <v>5400990629</v>
      </c>
      <c r="N222" s="97">
        <v>10</v>
      </c>
      <c r="O222" s="96" t="s">
        <v>2676</v>
      </c>
      <c r="P222" s="96" t="s">
        <v>2676</v>
      </c>
      <c r="Q222" t="s">
        <v>2750</v>
      </c>
      <c r="R222" s="96" t="s">
        <v>2751</v>
      </c>
      <c r="S222" s="7">
        <v>12780</v>
      </c>
      <c r="T222" s="7">
        <v>13930</v>
      </c>
      <c r="U222" s="7">
        <v>13930</v>
      </c>
      <c r="V222" s="7">
        <f t="shared" si="15"/>
        <v>0</v>
      </c>
      <c r="W222" s="5">
        <f t="shared" si="16"/>
        <v>0</v>
      </c>
      <c r="X222" s="39"/>
      <c r="Y222" s="33">
        <f>SUMPRODUCT((BIdetails!$J$5:$J$3000=M222)*(BIdetails!$K$5:$K$3000=N222)*(BIdetails!$M$5:$M$3000))</f>
        <v>0</v>
      </c>
      <c r="Z222" s="34">
        <f t="shared" si="17"/>
        <v>0</v>
      </c>
      <c r="AA222" s="31"/>
      <c r="AB222" s="31"/>
      <c r="AC222" s="31"/>
      <c r="AD222" s="31"/>
    </row>
    <row r="223" spans="1:30" hidden="1" x14ac:dyDescent="0.25">
      <c r="A223" t="s">
        <v>2745</v>
      </c>
      <c r="B223" t="str">
        <f t="shared" ref="B223:B278" si="18">IF(T223=U223,"No Change",IF(AND(U223&lt;&gt;0,U223&lt;T223),"Decrease",IF(AND(U223&lt;&gt;0,T223=0),"New",IF(AND(T223&lt;&gt;0,U223=0),"Decommissioned","Increase"))))</f>
        <v>No Change</v>
      </c>
      <c r="D223">
        <v>68427709</v>
      </c>
      <c r="E223" s="100" t="s">
        <v>51</v>
      </c>
      <c r="F223" s="96" t="s">
        <v>52</v>
      </c>
      <c r="G223" s="96" t="s">
        <v>42</v>
      </c>
      <c r="H223" s="96" t="s">
        <v>1614</v>
      </c>
      <c r="I223" t="s">
        <v>2771</v>
      </c>
      <c r="J223" t="s">
        <v>2772</v>
      </c>
      <c r="K223" s="96">
        <v>118054</v>
      </c>
      <c r="L223" s="96" t="s">
        <v>900</v>
      </c>
      <c r="M223" s="97">
        <v>5401001751</v>
      </c>
      <c r="N223" s="97">
        <v>10</v>
      </c>
      <c r="O223" s="96" t="s">
        <v>2676</v>
      </c>
      <c r="P223" s="96" t="s">
        <v>2676</v>
      </c>
      <c r="Q223" t="s">
        <v>2750</v>
      </c>
      <c r="R223" s="96" t="s">
        <v>2751</v>
      </c>
      <c r="S223" s="7">
        <v>900</v>
      </c>
      <c r="T223" s="7">
        <v>1800</v>
      </c>
      <c r="U223" s="7">
        <v>1800</v>
      </c>
      <c r="V223" s="7">
        <f t="shared" ref="V223:V278" si="19">U223-T223</f>
        <v>0</v>
      </c>
      <c r="W223" s="5">
        <f t="shared" si="16"/>
        <v>0</v>
      </c>
      <c r="X223" s="39"/>
      <c r="Y223" s="33">
        <f>SUMPRODUCT((BIdetails!$J$5:$J$3000=M223)*(BIdetails!$K$5:$K$3000=N223)*(BIdetails!$M$5:$M$3000))</f>
        <v>0</v>
      </c>
      <c r="Z223" s="34">
        <f t="shared" si="17"/>
        <v>0</v>
      </c>
      <c r="AA223" s="31"/>
      <c r="AB223" s="31"/>
      <c r="AC223" s="31"/>
      <c r="AD223" s="31"/>
    </row>
    <row r="224" spans="1:30" hidden="1" x14ac:dyDescent="0.25">
      <c r="A224" t="s">
        <v>2745</v>
      </c>
      <c r="B224" t="str">
        <f t="shared" si="18"/>
        <v>No Change</v>
      </c>
      <c r="C224" t="s">
        <v>3070</v>
      </c>
      <c r="D224">
        <v>68427709</v>
      </c>
      <c r="E224" s="100" t="s">
        <v>53</v>
      </c>
      <c r="F224" s="96" t="s">
        <v>54</v>
      </c>
      <c r="G224" s="96" t="s">
        <v>42</v>
      </c>
      <c r="H224" s="96" t="s">
        <v>2442</v>
      </c>
      <c r="J224" t="s">
        <v>3071</v>
      </c>
      <c r="K224" s="96">
        <v>118054</v>
      </c>
      <c r="L224" s="96" t="s">
        <v>900</v>
      </c>
      <c r="M224" s="97">
        <v>5401014591</v>
      </c>
      <c r="N224" s="97">
        <v>10</v>
      </c>
      <c r="O224" s="96" t="s">
        <v>2676</v>
      </c>
      <c r="P224" s="26" t="s">
        <v>2676</v>
      </c>
      <c r="Q224" s="96" t="s">
        <v>2762</v>
      </c>
      <c r="R224" s="96" t="s">
        <v>2751</v>
      </c>
      <c r="S224" s="7">
        <v>27800</v>
      </c>
      <c r="T224" s="7">
        <v>30000</v>
      </c>
      <c r="U224" s="7">
        <v>30000</v>
      </c>
      <c r="V224" s="7">
        <f t="shared" si="19"/>
        <v>0</v>
      </c>
      <c r="W224" s="5">
        <f t="shared" si="16"/>
        <v>0</v>
      </c>
      <c r="X224" s="39"/>
      <c r="Y224" s="33">
        <f>SUMPRODUCT((BIdetails!$J$5:$J$3000=M224)*(BIdetails!$K$5:$K$3000=N224)*(BIdetails!$M$5:$M$3000))</f>
        <v>0</v>
      </c>
      <c r="Z224" s="34">
        <f t="shared" si="17"/>
        <v>0</v>
      </c>
      <c r="AA224" s="31" t="s">
        <v>2758</v>
      </c>
      <c r="AB224" s="31" t="s">
        <v>2849</v>
      </c>
      <c r="AC224" s="31"/>
      <c r="AD224" s="31"/>
    </row>
    <row r="225" spans="1:30" hidden="1" x14ac:dyDescent="0.25">
      <c r="A225" t="s">
        <v>2745</v>
      </c>
      <c r="B225" t="str">
        <f t="shared" si="18"/>
        <v>Decommissioned</v>
      </c>
      <c r="C225" t="s">
        <v>3072</v>
      </c>
      <c r="D225">
        <v>68427709</v>
      </c>
      <c r="E225" s="100" t="s">
        <v>51</v>
      </c>
      <c r="F225" s="96" t="s">
        <v>52</v>
      </c>
      <c r="G225" s="96" t="s">
        <v>42</v>
      </c>
      <c r="H225" s="96" t="s">
        <v>2532</v>
      </c>
      <c r="I225" t="s">
        <v>2771</v>
      </c>
      <c r="J225" s="250" t="s">
        <v>3073</v>
      </c>
      <c r="K225" s="96">
        <v>118054</v>
      </c>
      <c r="L225" s="96" t="s">
        <v>900</v>
      </c>
      <c r="M225" s="97">
        <v>5400973983</v>
      </c>
      <c r="N225" s="97">
        <v>10</v>
      </c>
      <c r="O225" s="96" t="s">
        <v>2676</v>
      </c>
      <c r="P225" s="96" t="s">
        <v>2676</v>
      </c>
      <c r="Q225" t="s">
        <v>2750</v>
      </c>
      <c r="R225" s="96" t="s">
        <v>2751</v>
      </c>
      <c r="S225" s="7">
        <v>61500</v>
      </c>
      <c r="T225" s="7">
        <v>70000</v>
      </c>
      <c r="U225" s="7">
        <v>0</v>
      </c>
      <c r="V225" s="7">
        <f t="shared" si="19"/>
        <v>-70000</v>
      </c>
      <c r="W225" s="5">
        <f t="shared" si="16"/>
        <v>-1</v>
      </c>
      <c r="X225" s="39"/>
      <c r="Y225" s="33">
        <f>SUMPRODUCT((BIdetails!$J$5:$J$3000=M225)*(BIdetails!$K$5:$K$3000=N225)*(BIdetails!$M$5:$M$3000))</f>
        <v>0</v>
      </c>
      <c r="Z225" s="34" t="str">
        <f t="shared" si="17"/>
        <v/>
      </c>
      <c r="AA225" s="31" t="s">
        <v>2758</v>
      </c>
      <c r="AB225" s="31" t="s">
        <v>2849</v>
      </c>
      <c r="AC225" s="31" t="s">
        <v>2785</v>
      </c>
      <c r="AD225" s="31"/>
    </row>
    <row r="226" spans="1:30" hidden="1" x14ac:dyDescent="0.25">
      <c r="A226" t="s">
        <v>2745</v>
      </c>
      <c r="B226" t="str">
        <f t="shared" si="18"/>
        <v>Decommissioned</v>
      </c>
      <c r="D226">
        <v>68427709</v>
      </c>
      <c r="E226" s="95" t="s">
        <v>53</v>
      </c>
      <c r="F226" t="s">
        <v>54</v>
      </c>
      <c r="G226" s="95" t="s">
        <v>42</v>
      </c>
      <c r="H226" t="s">
        <v>1507</v>
      </c>
      <c r="I226" t="s">
        <v>2259</v>
      </c>
      <c r="J226" t="s">
        <v>2830</v>
      </c>
      <c r="K226">
        <v>118054</v>
      </c>
      <c r="L226" t="s">
        <v>900</v>
      </c>
      <c r="M226"/>
      <c r="O226" s="26" t="s">
        <v>2224</v>
      </c>
      <c r="P226" s="26" t="s">
        <v>2224</v>
      </c>
      <c r="Q226" t="s">
        <v>2762</v>
      </c>
      <c r="R226" t="s">
        <v>2809</v>
      </c>
      <c r="S226" s="7">
        <v>75000</v>
      </c>
      <c r="T226" s="7">
        <v>75000</v>
      </c>
      <c r="U226" s="7">
        <v>0</v>
      </c>
      <c r="V226" s="7">
        <f t="shared" si="19"/>
        <v>-75000</v>
      </c>
      <c r="W226" s="5">
        <f t="shared" si="16"/>
        <v>-1</v>
      </c>
      <c r="X226" s="22"/>
      <c r="Y226" s="33">
        <f>SUMPRODUCT((BIdetails!$J$5:$J$3000=M226)*(BIdetails!$K$5:$K$3000=N226)*(BIdetails!$M$5:$M$3000))</f>
        <v>0</v>
      </c>
      <c r="Z226" s="34" t="str">
        <f t="shared" si="17"/>
        <v/>
      </c>
      <c r="AA226" s="31"/>
      <c r="AB226" s="31"/>
      <c r="AC226" s="31"/>
      <c r="AD226" s="31"/>
    </row>
    <row r="227" spans="1:30" hidden="1" x14ac:dyDescent="0.25">
      <c r="A227" t="s">
        <v>2745</v>
      </c>
      <c r="B227" t="str">
        <f t="shared" si="18"/>
        <v>Decrease</v>
      </c>
      <c r="C227" t="s">
        <v>2897</v>
      </c>
      <c r="D227">
        <v>68427709</v>
      </c>
      <c r="E227" s="95" t="s">
        <v>21</v>
      </c>
      <c r="F227" t="s">
        <v>61</v>
      </c>
      <c r="G227" t="s">
        <v>23</v>
      </c>
      <c r="H227" t="s">
        <v>3074</v>
      </c>
      <c r="I227" t="s">
        <v>2259</v>
      </c>
      <c r="J227" t="s">
        <v>3075</v>
      </c>
      <c r="K227" s="26">
        <v>196653</v>
      </c>
      <c r="L227" t="s">
        <v>62</v>
      </c>
      <c r="M227">
        <v>5401023596</v>
      </c>
      <c r="N227" s="21">
        <v>10</v>
      </c>
      <c r="O227" t="s">
        <v>2224</v>
      </c>
      <c r="P227" t="s">
        <v>2224</v>
      </c>
      <c r="Q227" t="s">
        <v>2762</v>
      </c>
      <c r="R227" t="s">
        <v>2809</v>
      </c>
      <c r="S227" s="7">
        <v>790000</v>
      </c>
      <c r="T227" s="7">
        <v>805000</v>
      </c>
      <c r="U227" s="7">
        <v>697500</v>
      </c>
      <c r="V227" s="7">
        <f t="shared" si="19"/>
        <v>-107500</v>
      </c>
      <c r="W227" s="5">
        <f t="shared" si="16"/>
        <v>-0.13354037267080746</v>
      </c>
      <c r="X227" s="39"/>
      <c r="Y227" s="33">
        <f>SUMPRODUCT((BIdetails!$J$5:$J$3000=M227)*(BIdetails!$K$5:$K$3000=N227)*(BIdetails!$M$5:$M$3000))</f>
        <v>0</v>
      </c>
      <c r="Z227" s="34">
        <f t="shared" si="17"/>
        <v>0</v>
      </c>
      <c r="AA227" s="31"/>
      <c r="AB227" s="31"/>
      <c r="AC227" s="31"/>
      <c r="AD227" s="31"/>
    </row>
    <row r="228" spans="1:30" hidden="1" x14ac:dyDescent="0.25">
      <c r="A228" t="s">
        <v>2745</v>
      </c>
      <c r="B228" t="str">
        <f t="shared" si="18"/>
        <v>Increase</v>
      </c>
      <c r="D228">
        <v>68427709</v>
      </c>
      <c r="E228" s="95" t="s">
        <v>21</v>
      </c>
      <c r="F228" t="s">
        <v>61</v>
      </c>
      <c r="G228" t="s">
        <v>23</v>
      </c>
      <c r="H228" t="s">
        <v>639</v>
      </c>
      <c r="I228" t="s">
        <v>2262</v>
      </c>
      <c r="J228" t="s">
        <v>2821</v>
      </c>
      <c r="K228" s="26">
        <v>196653</v>
      </c>
      <c r="L228" t="s">
        <v>62</v>
      </c>
      <c r="M228">
        <v>5401023596</v>
      </c>
      <c r="N228" s="21">
        <v>10</v>
      </c>
      <c r="O228" t="s">
        <v>2224</v>
      </c>
      <c r="P228" t="s">
        <v>2224</v>
      </c>
      <c r="Q228" t="s">
        <v>2822</v>
      </c>
      <c r="R228" t="s">
        <v>2809</v>
      </c>
      <c r="S228" s="7">
        <v>130000</v>
      </c>
      <c r="T228" s="7">
        <v>100000</v>
      </c>
      <c r="U228" s="7">
        <v>300000</v>
      </c>
      <c r="V228" s="7">
        <f t="shared" si="19"/>
        <v>200000</v>
      </c>
      <c r="W228" s="5">
        <f t="shared" si="16"/>
        <v>2</v>
      </c>
      <c r="X228" s="39"/>
      <c r="Y228" s="33">
        <f>SUMPRODUCT((BIdetails!$J$5:$J$3000=M228)*(BIdetails!$K$5:$K$3000=N228)*(BIdetails!$M$5:$M$3000))</f>
        <v>0</v>
      </c>
      <c r="Z228" s="34">
        <f t="shared" si="17"/>
        <v>0</v>
      </c>
      <c r="AA228" s="31" t="s">
        <v>649</v>
      </c>
      <c r="AB228" s="31" t="s">
        <v>2752</v>
      </c>
      <c r="AC228" s="31"/>
      <c r="AD228" s="31"/>
    </row>
    <row r="229" spans="1:30" hidden="1" x14ac:dyDescent="0.25">
      <c r="A229" t="s">
        <v>2745</v>
      </c>
      <c r="B229" t="str">
        <f t="shared" si="18"/>
        <v>Decrease</v>
      </c>
      <c r="D229">
        <v>68427709</v>
      </c>
      <c r="E229" s="95" t="s">
        <v>21</v>
      </c>
      <c r="F229" t="s">
        <v>61</v>
      </c>
      <c r="G229" t="s">
        <v>23</v>
      </c>
      <c r="H229" t="s">
        <v>2260</v>
      </c>
      <c r="I229" t="s">
        <v>2262</v>
      </c>
      <c r="J229" t="s">
        <v>2821</v>
      </c>
      <c r="K229">
        <v>196653</v>
      </c>
      <c r="L229" t="s">
        <v>603</v>
      </c>
      <c r="M229">
        <v>5401030680</v>
      </c>
      <c r="N229" s="21">
        <v>10</v>
      </c>
      <c r="O229" s="26" t="s">
        <v>2224</v>
      </c>
      <c r="P229" s="26" t="s">
        <v>2224</v>
      </c>
      <c r="Q229" t="s">
        <v>2822</v>
      </c>
      <c r="R229" t="s">
        <v>2809</v>
      </c>
      <c r="S229" s="7">
        <v>0</v>
      </c>
      <c r="T229" s="7">
        <v>347000</v>
      </c>
      <c r="U229" s="7">
        <v>340000</v>
      </c>
      <c r="V229" s="7">
        <f t="shared" si="19"/>
        <v>-7000</v>
      </c>
      <c r="W229" s="5">
        <f t="shared" si="16"/>
        <v>-2.0172910662824207E-2</v>
      </c>
      <c r="X229" s="22"/>
      <c r="Y229" s="33">
        <f>SUMPRODUCT((BIdetails!$J$5:$J$3000=M229)*(BIdetails!$K$5:$K$3000=N229)*(BIdetails!$M$5:$M$3000))</f>
        <v>0</v>
      </c>
      <c r="Z229" s="34">
        <f t="shared" si="17"/>
        <v>0</v>
      </c>
      <c r="AA229" s="31"/>
      <c r="AB229" s="31"/>
      <c r="AC229" s="31"/>
      <c r="AD229" s="31"/>
    </row>
    <row r="230" spans="1:30" hidden="1" x14ac:dyDescent="0.25">
      <c r="A230" t="s">
        <v>2745</v>
      </c>
      <c r="B230" t="str">
        <f t="shared" si="18"/>
        <v>Decrease</v>
      </c>
      <c r="C230" t="s">
        <v>2897</v>
      </c>
      <c r="D230">
        <v>68427709</v>
      </c>
      <c r="E230" s="95" t="s">
        <v>21</v>
      </c>
      <c r="F230" t="s">
        <v>61</v>
      </c>
      <c r="G230" t="s">
        <v>23</v>
      </c>
      <c r="H230" t="s">
        <v>1220</v>
      </c>
      <c r="I230" t="s">
        <v>2259</v>
      </c>
      <c r="J230" t="s">
        <v>2830</v>
      </c>
      <c r="K230" s="26">
        <v>196653</v>
      </c>
      <c r="L230" t="s">
        <v>62</v>
      </c>
      <c r="M230">
        <v>5401023596</v>
      </c>
      <c r="N230" s="21">
        <v>10</v>
      </c>
      <c r="O230" t="s">
        <v>2224</v>
      </c>
      <c r="P230" t="s">
        <v>2224</v>
      </c>
      <c r="Q230" t="s">
        <v>2762</v>
      </c>
      <c r="R230" t="s">
        <v>2809</v>
      </c>
      <c r="S230" s="7">
        <v>45000</v>
      </c>
      <c r="T230" s="7">
        <v>46000</v>
      </c>
      <c r="U230" s="7">
        <v>25000</v>
      </c>
      <c r="V230" s="7">
        <f t="shared" si="19"/>
        <v>-21000</v>
      </c>
      <c r="W230" s="5">
        <f t="shared" si="16"/>
        <v>-0.45652173913043476</v>
      </c>
      <c r="X230" s="39"/>
      <c r="Y230" s="33">
        <f>SUMPRODUCT((BIdetails!$J$5:$J$3000=M230)*(BIdetails!$K$5:$K$3000=N230)*(BIdetails!$M$5:$M$3000))</f>
        <v>0</v>
      </c>
      <c r="Z230" s="34">
        <f t="shared" si="17"/>
        <v>0</v>
      </c>
      <c r="AA230" s="31"/>
      <c r="AB230" s="31"/>
      <c r="AC230" s="31"/>
      <c r="AD230" s="31"/>
    </row>
    <row r="231" spans="1:30" hidden="1" x14ac:dyDescent="0.25">
      <c r="A231" t="s">
        <v>2745</v>
      </c>
      <c r="B231" t="str">
        <f t="shared" si="18"/>
        <v>Decrease</v>
      </c>
      <c r="C231" t="s">
        <v>3076</v>
      </c>
      <c r="D231">
        <v>68427709</v>
      </c>
      <c r="E231" s="95" t="s">
        <v>21</v>
      </c>
      <c r="F231" t="s">
        <v>61</v>
      </c>
      <c r="G231" t="s">
        <v>23</v>
      </c>
      <c r="H231" t="s">
        <v>2241</v>
      </c>
      <c r="I231" t="s">
        <v>2259</v>
      </c>
      <c r="J231" t="s">
        <v>2830</v>
      </c>
      <c r="K231" s="26">
        <v>196653</v>
      </c>
      <c r="L231" t="s">
        <v>62</v>
      </c>
      <c r="M231" s="21">
        <v>5401023594</v>
      </c>
      <c r="N231" s="21">
        <v>10</v>
      </c>
      <c r="O231" s="26" t="s">
        <v>2224</v>
      </c>
      <c r="P231" s="26" t="s">
        <v>2224</v>
      </c>
      <c r="Q231" t="s">
        <v>2762</v>
      </c>
      <c r="R231" t="s">
        <v>2809</v>
      </c>
      <c r="S231" s="7">
        <v>3972000</v>
      </c>
      <c r="T231" s="7">
        <v>4334000</v>
      </c>
      <c r="U231" s="7">
        <v>4300000</v>
      </c>
      <c r="V231" s="7">
        <f t="shared" si="19"/>
        <v>-34000</v>
      </c>
      <c r="W231" s="5">
        <f t="shared" si="16"/>
        <v>-7.8449469312413481E-3</v>
      </c>
      <c r="X231" s="22"/>
      <c r="Y231" s="33">
        <f>SUMPRODUCT((BIdetails!$J$5:$J$3000=M231)*(BIdetails!$K$5:$K$3000=N231)*(BIdetails!$M$5:$M$3000))</f>
        <v>0</v>
      </c>
      <c r="Z231" s="34">
        <f t="shared" si="17"/>
        <v>0</v>
      </c>
      <c r="AA231" s="31"/>
      <c r="AB231" s="31"/>
      <c r="AC231" s="31"/>
      <c r="AD231" s="31"/>
    </row>
    <row r="232" spans="1:30" hidden="1" x14ac:dyDescent="0.25">
      <c r="A232" t="s">
        <v>2745</v>
      </c>
      <c r="B232" t="str">
        <f t="shared" si="18"/>
        <v>Decrease</v>
      </c>
      <c r="C232" t="s">
        <v>2897</v>
      </c>
      <c r="D232">
        <v>68427709</v>
      </c>
      <c r="E232" s="95" t="s">
        <v>21</v>
      </c>
      <c r="F232" t="s">
        <v>61</v>
      </c>
      <c r="G232" t="s">
        <v>23</v>
      </c>
      <c r="H232" t="s">
        <v>1841</v>
      </c>
      <c r="I232" t="s">
        <v>2259</v>
      </c>
      <c r="J232" t="s">
        <v>2830</v>
      </c>
      <c r="K232">
        <v>196653</v>
      </c>
      <c r="L232" t="s">
        <v>62</v>
      </c>
      <c r="M232">
        <v>5401023597</v>
      </c>
      <c r="N232" s="21">
        <v>10</v>
      </c>
      <c r="O232" s="26" t="s">
        <v>2224</v>
      </c>
      <c r="P232" s="26" t="s">
        <v>2224</v>
      </c>
      <c r="Q232" t="s">
        <v>2762</v>
      </c>
      <c r="R232" t="s">
        <v>2809</v>
      </c>
      <c r="S232" s="7">
        <v>60000</v>
      </c>
      <c r="T232" s="7">
        <v>61200</v>
      </c>
      <c r="U232" s="7">
        <v>50000</v>
      </c>
      <c r="V232" s="7">
        <f t="shared" si="19"/>
        <v>-11200</v>
      </c>
      <c r="W232" s="5">
        <f t="shared" si="16"/>
        <v>-0.18300653594771241</v>
      </c>
      <c r="X232" s="39"/>
      <c r="Y232" s="33">
        <f>SUMPRODUCT((BIdetails!$J$5:$J$3000=M232)*(BIdetails!$K$5:$K$3000=N232)*(BIdetails!$M$5:$M$3000))</f>
        <v>0</v>
      </c>
      <c r="Z232" s="34">
        <f t="shared" si="17"/>
        <v>0</v>
      </c>
      <c r="AA232" s="31"/>
      <c r="AB232" s="31"/>
      <c r="AC232" s="31"/>
      <c r="AD232" s="31"/>
    </row>
    <row r="233" spans="1:30" hidden="1" x14ac:dyDescent="0.25">
      <c r="A233" t="s">
        <v>2745</v>
      </c>
      <c r="B233" t="str">
        <f t="shared" si="18"/>
        <v>Decrease</v>
      </c>
      <c r="C233" t="s">
        <v>2897</v>
      </c>
      <c r="D233">
        <v>68427709</v>
      </c>
      <c r="E233" s="95" t="s">
        <v>21</v>
      </c>
      <c r="F233" t="s">
        <v>61</v>
      </c>
      <c r="G233" t="s">
        <v>23</v>
      </c>
      <c r="H233" t="s">
        <v>2244</v>
      </c>
      <c r="I233" t="s">
        <v>2259</v>
      </c>
      <c r="J233" t="s">
        <v>2830</v>
      </c>
      <c r="K233">
        <v>196653</v>
      </c>
      <c r="L233" t="s">
        <v>62</v>
      </c>
      <c r="M233">
        <v>5401023597</v>
      </c>
      <c r="N233" s="21">
        <v>10</v>
      </c>
      <c r="O233" s="26" t="s">
        <v>2224</v>
      </c>
      <c r="P233" s="26" t="s">
        <v>2224</v>
      </c>
      <c r="Q233" t="s">
        <v>2762</v>
      </c>
      <c r="R233" t="s">
        <v>2809</v>
      </c>
      <c r="S233" s="7">
        <v>50000</v>
      </c>
      <c r="T233" s="7">
        <v>51000</v>
      </c>
      <c r="U233" s="7">
        <v>30000</v>
      </c>
      <c r="V233" s="7">
        <f t="shared" si="19"/>
        <v>-21000</v>
      </c>
      <c r="W233" s="5">
        <f t="shared" si="16"/>
        <v>-0.41176470588235292</v>
      </c>
      <c r="X233" s="39"/>
      <c r="Y233" s="33">
        <f>SUMPRODUCT((BIdetails!$J$5:$J$3000=M233)*(BIdetails!$K$5:$K$3000=N233)*(BIdetails!$M$5:$M$3000))</f>
        <v>0</v>
      </c>
      <c r="Z233" s="34">
        <f t="shared" si="17"/>
        <v>0</v>
      </c>
      <c r="AA233" s="31"/>
      <c r="AB233" s="31"/>
      <c r="AC233" s="31"/>
      <c r="AD233" s="31"/>
    </row>
    <row r="234" spans="1:30" hidden="1" x14ac:dyDescent="0.25">
      <c r="A234" t="s">
        <v>2745</v>
      </c>
      <c r="B234" t="str">
        <f t="shared" si="18"/>
        <v>Increase</v>
      </c>
      <c r="C234" t="s">
        <v>2897</v>
      </c>
      <c r="D234">
        <v>68427709</v>
      </c>
      <c r="E234" s="95" t="s">
        <v>21</v>
      </c>
      <c r="F234" t="s">
        <v>61</v>
      </c>
      <c r="G234" t="s">
        <v>23</v>
      </c>
      <c r="H234" t="s">
        <v>1384</v>
      </c>
      <c r="I234" t="s">
        <v>2259</v>
      </c>
      <c r="J234" t="s">
        <v>2830</v>
      </c>
      <c r="K234">
        <v>196653</v>
      </c>
      <c r="L234" t="s">
        <v>62</v>
      </c>
      <c r="M234">
        <v>5401023595</v>
      </c>
      <c r="N234" s="21">
        <v>10</v>
      </c>
      <c r="O234" s="26" t="s">
        <v>2224</v>
      </c>
      <c r="P234" s="26" t="s">
        <v>2224</v>
      </c>
      <c r="Q234" t="s">
        <v>2762</v>
      </c>
      <c r="R234" t="s">
        <v>2809</v>
      </c>
      <c r="S234" s="7">
        <v>650000</v>
      </c>
      <c r="T234" s="7">
        <v>665000</v>
      </c>
      <c r="U234" s="7">
        <v>681000</v>
      </c>
      <c r="V234" s="7">
        <f t="shared" si="19"/>
        <v>16000</v>
      </c>
      <c r="W234" s="5">
        <f t="shared" si="16"/>
        <v>2.4060150375939851E-2</v>
      </c>
      <c r="X234" s="39"/>
      <c r="Y234" s="33">
        <f>SUMPRODUCT((BIdetails!$J$5:$J$3000=M234)*(BIdetails!$K$5:$K$3000=N234)*(BIdetails!$M$5:$M$3000))</f>
        <v>0</v>
      </c>
      <c r="Z234" s="34">
        <f t="shared" si="17"/>
        <v>0</v>
      </c>
      <c r="AA234" s="31"/>
      <c r="AB234" s="31"/>
      <c r="AC234" s="31"/>
      <c r="AD234" s="31"/>
    </row>
    <row r="235" spans="1:30" hidden="1" x14ac:dyDescent="0.25">
      <c r="A235" t="s">
        <v>2745</v>
      </c>
      <c r="B235" t="str">
        <f t="shared" si="18"/>
        <v>No Change</v>
      </c>
      <c r="C235" t="s">
        <v>3077</v>
      </c>
      <c r="D235" s="215">
        <v>68427709</v>
      </c>
      <c r="E235" s="95" t="s">
        <v>53</v>
      </c>
      <c r="F235" t="s">
        <v>54</v>
      </c>
      <c r="G235" s="26" t="s">
        <v>42</v>
      </c>
      <c r="H235" t="s">
        <v>711</v>
      </c>
      <c r="I235">
        <v>0</v>
      </c>
      <c r="J235" t="s">
        <v>3078</v>
      </c>
      <c r="K235">
        <v>199977</v>
      </c>
      <c r="L235" s="26" t="s">
        <v>3079</v>
      </c>
      <c r="M235" s="97">
        <v>5400976352</v>
      </c>
      <c r="N235" s="97">
        <v>10</v>
      </c>
      <c r="O235" s="26" t="s">
        <v>2676</v>
      </c>
      <c r="P235" s="26" t="s">
        <v>2158</v>
      </c>
      <c r="Q235" s="96" t="s">
        <v>2813</v>
      </c>
      <c r="R235" s="96" t="s">
        <v>2801</v>
      </c>
      <c r="S235" s="7">
        <v>60000</v>
      </c>
      <c r="T235" s="7">
        <v>100000</v>
      </c>
      <c r="U235" s="7">
        <v>100000</v>
      </c>
      <c r="V235" s="7">
        <f t="shared" si="19"/>
        <v>0</v>
      </c>
      <c r="W235" s="5">
        <f t="shared" ref="W235:W291" si="20">IF(B235="New",1,IFERROR(V235/T235,0))</f>
        <v>0</v>
      </c>
      <c r="X235" s="39"/>
      <c r="Y235" s="33">
        <f>SUMPRODUCT((BIdetails!$J$5:$J$3000=M235)*(BIdetails!$K$5:$K$3000=N235)*(BIdetails!$M$5:$M$3000))</f>
        <v>0</v>
      </c>
      <c r="Z235" s="34">
        <f t="shared" si="17"/>
        <v>0</v>
      </c>
      <c r="AA235" s="31"/>
      <c r="AB235" s="31"/>
      <c r="AC235" s="31"/>
      <c r="AD235" s="31"/>
    </row>
    <row r="236" spans="1:30" hidden="1" x14ac:dyDescent="0.25">
      <c r="A236" t="s">
        <v>2745</v>
      </c>
      <c r="B236" t="str">
        <f t="shared" si="18"/>
        <v>Decommissioned</v>
      </c>
      <c r="C236" t="s">
        <v>3080</v>
      </c>
      <c r="D236">
        <v>68427709</v>
      </c>
      <c r="E236" s="95" t="s">
        <v>53</v>
      </c>
      <c r="F236" s="96" t="s">
        <v>54</v>
      </c>
      <c r="G236" s="96" t="s">
        <v>42</v>
      </c>
      <c r="H236" s="96" t="s">
        <v>2397</v>
      </c>
      <c r="I236">
        <v>0</v>
      </c>
      <c r="J236" t="s">
        <v>2814</v>
      </c>
      <c r="K236" s="96">
        <v>181895</v>
      </c>
      <c r="L236" s="96" t="s">
        <v>3081</v>
      </c>
      <c r="M236" s="97">
        <v>5401032935</v>
      </c>
      <c r="N236" s="97">
        <v>10</v>
      </c>
      <c r="O236" s="96" t="s">
        <v>2676</v>
      </c>
      <c r="P236" s="26" t="s">
        <v>227</v>
      </c>
      <c r="Q236" s="96" t="s">
        <v>2767</v>
      </c>
      <c r="R236" s="96" t="s">
        <v>2768</v>
      </c>
      <c r="S236" s="7">
        <v>360000</v>
      </c>
      <c r="T236" s="7">
        <v>432000</v>
      </c>
      <c r="U236" s="7">
        <v>0</v>
      </c>
      <c r="V236" s="7">
        <f t="shared" si="19"/>
        <v>-432000</v>
      </c>
      <c r="W236" s="5">
        <f t="shared" si="20"/>
        <v>-1</v>
      </c>
      <c r="X236" s="39" t="s">
        <v>3697</v>
      </c>
      <c r="Y236" s="33">
        <f>SUMPRODUCT((BIdetails!$J$5:$J$3000=M236)*(BIdetails!$K$5:$K$3000=N236)*(BIdetails!$M$5:$M$3000))</f>
        <v>0</v>
      </c>
      <c r="Z236" s="34" t="str">
        <f t="shared" si="17"/>
        <v/>
      </c>
      <c r="AA236" s="31" t="s">
        <v>2997</v>
      </c>
      <c r="AB236" s="31" t="s">
        <v>2849</v>
      </c>
      <c r="AC236" s="31" t="s">
        <v>2785</v>
      </c>
      <c r="AD236" s="31"/>
    </row>
    <row r="237" spans="1:30" hidden="1" x14ac:dyDescent="0.25">
      <c r="A237" t="s">
        <v>2745</v>
      </c>
      <c r="B237" t="str">
        <f t="shared" si="18"/>
        <v>Increase</v>
      </c>
      <c r="D237">
        <v>68427709</v>
      </c>
      <c r="E237" s="95" t="s">
        <v>53</v>
      </c>
      <c r="F237" t="s">
        <v>54</v>
      </c>
      <c r="G237" s="96" t="s">
        <v>42</v>
      </c>
      <c r="H237" s="96" t="s">
        <v>2695</v>
      </c>
      <c r="J237" t="s">
        <v>3082</v>
      </c>
      <c r="K237" s="96">
        <v>181895</v>
      </c>
      <c r="L237" s="96" t="s">
        <v>3081</v>
      </c>
      <c r="M237" s="21">
        <v>5400816292</v>
      </c>
      <c r="N237" s="21">
        <v>90</v>
      </c>
      <c r="O237" s="96" t="s">
        <v>2676</v>
      </c>
      <c r="P237" s="26" t="s">
        <v>227</v>
      </c>
      <c r="Q237" s="215" t="s">
        <v>2762</v>
      </c>
      <c r="R237" t="s">
        <v>2768</v>
      </c>
      <c r="S237" s="7">
        <v>219000</v>
      </c>
      <c r="T237" s="7">
        <v>158000</v>
      </c>
      <c r="U237" s="7">
        <v>236000</v>
      </c>
      <c r="V237" s="7">
        <f t="shared" si="19"/>
        <v>78000</v>
      </c>
      <c r="W237" s="5">
        <f t="shared" si="20"/>
        <v>0.49367088607594939</v>
      </c>
      <c r="X237" s="39"/>
      <c r="Y237" s="33">
        <f>SUMPRODUCT((BIdetails!$J$5:$J$3000=M237)*(BIdetails!$K$5:$K$3000=N237)*(BIdetails!$M$5:$M$3000))</f>
        <v>0</v>
      </c>
      <c r="Z237" s="34">
        <f t="shared" si="17"/>
        <v>0</v>
      </c>
      <c r="AA237" s="31"/>
      <c r="AB237" s="31"/>
      <c r="AC237" s="31"/>
      <c r="AD237" s="31"/>
    </row>
    <row r="238" spans="1:30" hidden="1" x14ac:dyDescent="0.25">
      <c r="A238" t="s">
        <v>2745</v>
      </c>
      <c r="B238" t="str">
        <f t="shared" si="18"/>
        <v>No Change</v>
      </c>
      <c r="C238" t="s">
        <v>3083</v>
      </c>
      <c r="D238">
        <v>68427709</v>
      </c>
      <c r="E238" s="95" t="s">
        <v>53</v>
      </c>
      <c r="F238" t="s">
        <v>54</v>
      </c>
      <c r="G238" t="s">
        <v>42</v>
      </c>
      <c r="H238" t="s">
        <v>3084</v>
      </c>
      <c r="I238" t="s">
        <v>2795</v>
      </c>
      <c r="J238" t="s">
        <v>3085</v>
      </c>
      <c r="K238" s="96">
        <v>203647</v>
      </c>
      <c r="L238" s="96" t="s">
        <v>3086</v>
      </c>
      <c r="M238" s="21">
        <v>5400940618</v>
      </c>
      <c r="N238" s="21">
        <v>20</v>
      </c>
      <c r="O238" s="26" t="s">
        <v>2676</v>
      </c>
      <c r="P238" s="26" t="s">
        <v>3087</v>
      </c>
      <c r="Q238" t="s">
        <v>2762</v>
      </c>
      <c r="R238" t="s">
        <v>2751</v>
      </c>
      <c r="S238" s="7">
        <v>176000</v>
      </c>
      <c r="T238" s="7">
        <v>176000</v>
      </c>
      <c r="U238" s="7">
        <v>176000</v>
      </c>
      <c r="V238" s="7">
        <f t="shared" si="19"/>
        <v>0</v>
      </c>
      <c r="W238" s="5">
        <f t="shared" si="20"/>
        <v>0</v>
      </c>
      <c r="X238" s="39"/>
      <c r="Y238" s="33">
        <f>SUMPRODUCT((BIdetails!$J$5:$J$3000=M238)*(BIdetails!$K$5:$K$3000=N238)*(BIdetails!$M$5:$M$3000))</f>
        <v>0</v>
      </c>
      <c r="Z238" s="34">
        <f t="shared" si="17"/>
        <v>0</v>
      </c>
      <c r="AA238" s="31"/>
      <c r="AB238" s="31"/>
      <c r="AC238" s="31"/>
      <c r="AD238" s="31"/>
    </row>
    <row r="239" spans="1:30" hidden="1" x14ac:dyDescent="0.25">
      <c r="A239" t="s">
        <v>2745</v>
      </c>
      <c r="B239" t="str">
        <f t="shared" si="18"/>
        <v>No Change</v>
      </c>
      <c r="C239" t="s">
        <v>3088</v>
      </c>
      <c r="D239">
        <v>68427709</v>
      </c>
      <c r="E239" s="95" t="s">
        <v>53</v>
      </c>
      <c r="F239" t="s">
        <v>54</v>
      </c>
      <c r="G239" t="s">
        <v>42</v>
      </c>
      <c r="H239" t="s">
        <v>3089</v>
      </c>
      <c r="I239">
        <v>0</v>
      </c>
      <c r="J239" t="s">
        <v>2769</v>
      </c>
      <c r="K239">
        <v>199582</v>
      </c>
      <c r="L239" s="26" t="s">
        <v>70</v>
      </c>
      <c r="M239" s="21">
        <v>5400937409</v>
      </c>
      <c r="N239" s="21">
        <v>30</v>
      </c>
      <c r="O239" t="s">
        <v>2676</v>
      </c>
      <c r="P239" s="26" t="s">
        <v>2676</v>
      </c>
      <c r="Q239" t="s">
        <v>2762</v>
      </c>
      <c r="R239" t="s">
        <v>2751</v>
      </c>
      <c r="S239" s="7">
        <v>66000</v>
      </c>
      <c r="T239" s="7">
        <v>66000</v>
      </c>
      <c r="U239" s="7">
        <v>66000</v>
      </c>
      <c r="V239" s="7">
        <f t="shared" si="19"/>
        <v>0</v>
      </c>
      <c r="W239" s="5">
        <f t="shared" si="20"/>
        <v>0</v>
      </c>
      <c r="X239" s="39"/>
      <c r="Y239" s="33">
        <f>SUMPRODUCT((BIdetails!$J$5:$J$3000=M239)*(BIdetails!$K$5:$K$3000=N239)*(BIdetails!$M$5:$M$3000))</f>
        <v>0</v>
      </c>
      <c r="Z239" s="34">
        <f t="shared" si="17"/>
        <v>0</v>
      </c>
      <c r="AA239" s="31"/>
      <c r="AB239" s="31"/>
      <c r="AC239" s="31"/>
      <c r="AD239" s="31"/>
    </row>
    <row r="240" spans="1:30" hidden="1" x14ac:dyDescent="0.25">
      <c r="A240" t="s">
        <v>2745</v>
      </c>
      <c r="B240" t="str">
        <f t="shared" si="18"/>
        <v>No Change</v>
      </c>
      <c r="D240">
        <v>68427709</v>
      </c>
      <c r="E240" s="95" t="s">
        <v>53</v>
      </c>
      <c r="F240" t="s">
        <v>54</v>
      </c>
      <c r="G240" t="s">
        <v>42</v>
      </c>
      <c r="H240" t="s">
        <v>3090</v>
      </c>
      <c r="I240" t="s">
        <v>2795</v>
      </c>
      <c r="J240" t="s">
        <v>3091</v>
      </c>
      <c r="K240">
        <v>199582</v>
      </c>
      <c r="L240" s="26" t="s">
        <v>70</v>
      </c>
      <c r="M240" s="21">
        <v>5401023531</v>
      </c>
      <c r="N240" s="21">
        <v>10</v>
      </c>
      <c r="O240" s="26" t="s">
        <v>2676</v>
      </c>
      <c r="P240" s="26" t="s">
        <v>2676</v>
      </c>
      <c r="Q240" t="s">
        <v>2762</v>
      </c>
      <c r="R240" t="s">
        <v>2751</v>
      </c>
      <c r="S240" s="7">
        <v>40000</v>
      </c>
      <c r="T240" s="7">
        <v>40000</v>
      </c>
      <c r="U240" s="7">
        <v>40000</v>
      </c>
      <c r="V240" s="7">
        <f t="shared" si="19"/>
        <v>0</v>
      </c>
      <c r="W240" s="5">
        <f t="shared" si="20"/>
        <v>0</v>
      </c>
      <c r="X240" s="39"/>
      <c r="Y240" s="33">
        <f>SUMPRODUCT((BIdetails!$J$5:$J$3000=M240)*(BIdetails!$K$5:$K$3000=N240)*(BIdetails!$M$5:$M$3000))</f>
        <v>0</v>
      </c>
      <c r="Z240" s="34">
        <f t="shared" si="17"/>
        <v>0</v>
      </c>
      <c r="AA240" s="31"/>
      <c r="AB240" s="31"/>
      <c r="AC240" s="31"/>
      <c r="AD240" s="31"/>
    </row>
    <row r="241" spans="1:30" hidden="1" x14ac:dyDescent="0.25">
      <c r="A241" t="s">
        <v>2783</v>
      </c>
      <c r="B241" t="str">
        <f t="shared" si="18"/>
        <v>No Change</v>
      </c>
      <c r="D241">
        <v>68427709</v>
      </c>
      <c r="E241" s="95" t="s">
        <v>49</v>
      </c>
      <c r="F241" s="96" t="s">
        <v>50</v>
      </c>
      <c r="G241" s="96" t="s">
        <v>42</v>
      </c>
      <c r="H241" s="96" t="s">
        <v>2408</v>
      </c>
      <c r="I241">
        <v>0</v>
      </c>
      <c r="J241" t="s">
        <v>3030</v>
      </c>
      <c r="K241" s="96">
        <v>205476</v>
      </c>
      <c r="L241" s="96" t="s">
        <v>1416</v>
      </c>
      <c r="M241" s="97"/>
      <c r="N241" s="97">
        <v>10</v>
      </c>
      <c r="O241" s="96" t="s">
        <v>2676</v>
      </c>
      <c r="P241" s="26" t="s">
        <v>2314</v>
      </c>
      <c r="Q241" s="96" t="s">
        <v>2767</v>
      </c>
      <c r="R241" s="96" t="s">
        <v>321</v>
      </c>
      <c r="S241" s="7">
        <v>285000</v>
      </c>
      <c r="T241" s="7">
        <v>0</v>
      </c>
      <c r="U241" s="7">
        <v>0</v>
      </c>
      <c r="V241" s="7">
        <f t="shared" si="19"/>
        <v>0</v>
      </c>
      <c r="W241" s="5">
        <f t="shared" si="20"/>
        <v>0</v>
      </c>
      <c r="X241" s="39"/>
      <c r="Y241" s="33">
        <f>SUMPRODUCT((BIdetails!$J$5:$J$3000=M241)*(BIdetails!$K$5:$K$3000=N241)*(BIdetails!$M$5:$M$3000))</f>
        <v>0</v>
      </c>
      <c r="Z241" s="34" t="str">
        <f t="shared" si="17"/>
        <v/>
      </c>
      <c r="AA241" s="31" t="s">
        <v>2758</v>
      </c>
      <c r="AB241" s="31" t="s">
        <v>2849</v>
      </c>
      <c r="AC241" s="31" t="s">
        <v>2785</v>
      </c>
      <c r="AD241" s="31"/>
    </row>
    <row r="242" spans="1:30" hidden="1" x14ac:dyDescent="0.25">
      <c r="A242" t="s">
        <v>2745</v>
      </c>
      <c r="B242" t="str">
        <f t="shared" si="18"/>
        <v>No Change</v>
      </c>
      <c r="C242" t="s">
        <v>3092</v>
      </c>
      <c r="D242">
        <v>68427709</v>
      </c>
      <c r="E242" s="95" t="s">
        <v>53</v>
      </c>
      <c r="F242" t="s">
        <v>54</v>
      </c>
      <c r="G242" t="s">
        <v>42</v>
      </c>
      <c r="H242" s="26" t="s">
        <v>3093</v>
      </c>
      <c r="I242">
        <v>0</v>
      </c>
      <c r="J242" t="s">
        <v>2084</v>
      </c>
      <c r="K242" s="151">
        <v>172149</v>
      </c>
      <c r="L242" s="26" t="s">
        <v>85</v>
      </c>
      <c r="M242" s="217">
        <v>5401024372</v>
      </c>
      <c r="N242" s="21">
        <v>10</v>
      </c>
      <c r="O242" s="26" t="s">
        <v>2676</v>
      </c>
      <c r="P242" s="26" t="s">
        <v>1623</v>
      </c>
      <c r="Q242" s="215" t="s">
        <v>2756</v>
      </c>
      <c r="R242" t="s">
        <v>2757</v>
      </c>
      <c r="S242" s="7">
        <v>49000</v>
      </c>
      <c r="T242" s="7">
        <v>39000</v>
      </c>
      <c r="U242" s="7">
        <v>39000</v>
      </c>
      <c r="V242" s="7">
        <f t="shared" si="19"/>
        <v>0</v>
      </c>
      <c r="W242" s="5">
        <f t="shared" si="20"/>
        <v>0</v>
      </c>
      <c r="X242" s="22"/>
      <c r="Y242" s="33">
        <f>SUMPRODUCT((BIdetails!$J$5:$J$3000=M242)*(BIdetails!$K$5:$K$3000=N242)*(BIdetails!$M$5:$M$3000))</f>
        <v>0</v>
      </c>
      <c r="Z242" s="34">
        <f t="shared" si="17"/>
        <v>0</v>
      </c>
      <c r="AA242" s="31"/>
      <c r="AB242" s="31"/>
      <c r="AC242" s="31"/>
      <c r="AD242" s="31"/>
    </row>
    <row r="243" spans="1:30" hidden="1" x14ac:dyDescent="0.25">
      <c r="A243" t="s">
        <v>2745</v>
      </c>
      <c r="B243" t="str">
        <f t="shared" si="18"/>
        <v>No Change</v>
      </c>
      <c r="D243">
        <v>68427709</v>
      </c>
      <c r="E243" s="95" t="s">
        <v>53</v>
      </c>
      <c r="F243" t="s">
        <v>54</v>
      </c>
      <c r="G243" t="s">
        <v>42</v>
      </c>
      <c r="H243" t="s">
        <v>1191</v>
      </c>
      <c r="I243" t="s">
        <v>2795</v>
      </c>
      <c r="J243" t="s">
        <v>3094</v>
      </c>
      <c r="K243">
        <v>203475</v>
      </c>
      <c r="L243" s="26" t="s">
        <v>1191</v>
      </c>
      <c r="M243" s="21">
        <v>5401030696</v>
      </c>
      <c r="N243" s="21">
        <v>10</v>
      </c>
      <c r="O243" s="26" t="s">
        <v>2676</v>
      </c>
      <c r="P243" s="26" t="s">
        <v>2324</v>
      </c>
      <c r="Q243" t="s">
        <v>2762</v>
      </c>
      <c r="R243" t="s">
        <v>2751</v>
      </c>
      <c r="S243" s="7">
        <v>35000</v>
      </c>
      <c r="T243" s="7">
        <v>35000</v>
      </c>
      <c r="U243" s="7">
        <v>35000</v>
      </c>
      <c r="V243" s="7">
        <f t="shared" si="19"/>
        <v>0</v>
      </c>
      <c r="W243" s="5">
        <f t="shared" si="20"/>
        <v>0</v>
      </c>
      <c r="X243" s="39"/>
      <c r="Y243" s="33">
        <f>SUMPRODUCT((BIdetails!$J$5:$J$3000=M243)*(BIdetails!$K$5:$K$3000=N243)*(BIdetails!$M$5:$M$3000))</f>
        <v>0</v>
      </c>
      <c r="Z243" s="34">
        <f t="shared" si="17"/>
        <v>0</v>
      </c>
      <c r="AA243" s="31"/>
      <c r="AB243" s="31"/>
      <c r="AC243" s="31"/>
      <c r="AD243" s="31"/>
    </row>
    <row r="244" spans="1:30" hidden="1" x14ac:dyDescent="0.25">
      <c r="A244" t="s">
        <v>2745</v>
      </c>
      <c r="B244" t="str">
        <f t="shared" si="18"/>
        <v>No Change</v>
      </c>
      <c r="C244" t="s">
        <v>3095</v>
      </c>
      <c r="D244">
        <v>68427709</v>
      </c>
      <c r="E244" s="95" t="s">
        <v>53</v>
      </c>
      <c r="F244" t="s">
        <v>54</v>
      </c>
      <c r="G244" t="s">
        <v>42</v>
      </c>
      <c r="H244" t="s">
        <v>3096</v>
      </c>
      <c r="I244" t="s">
        <v>2795</v>
      </c>
      <c r="J244" t="s">
        <v>3097</v>
      </c>
      <c r="K244">
        <v>165943</v>
      </c>
      <c r="L244" t="s">
        <v>81</v>
      </c>
      <c r="M244" s="21">
        <v>5401028886</v>
      </c>
      <c r="N244" s="21">
        <v>10</v>
      </c>
      <c r="O244" t="s">
        <v>2224</v>
      </c>
      <c r="P244" s="26" t="s">
        <v>2224</v>
      </c>
      <c r="Q244" t="s">
        <v>2762</v>
      </c>
      <c r="R244" t="s">
        <v>2809</v>
      </c>
      <c r="S244" s="7">
        <v>20000</v>
      </c>
      <c r="T244" s="7">
        <v>20000</v>
      </c>
      <c r="U244" s="7">
        <v>20000</v>
      </c>
      <c r="V244" s="7">
        <f t="shared" si="19"/>
        <v>0</v>
      </c>
      <c r="W244" s="5">
        <f t="shared" si="20"/>
        <v>0</v>
      </c>
      <c r="X244" s="39"/>
      <c r="Y244" s="33">
        <f>SUMPRODUCT((BIdetails!$J$5:$J$3000=M244)*(BIdetails!$K$5:$K$3000=N244)*(BIdetails!$M$5:$M$3000))</f>
        <v>0</v>
      </c>
      <c r="Z244" s="34">
        <f t="shared" si="17"/>
        <v>0</v>
      </c>
      <c r="AA244" s="31"/>
      <c r="AB244" s="31"/>
      <c r="AC244" s="31"/>
      <c r="AD244" s="31"/>
    </row>
    <row r="245" spans="1:30" x14ac:dyDescent="0.25">
      <c r="A245" t="s">
        <v>2745</v>
      </c>
      <c r="B245" t="str">
        <f t="shared" si="18"/>
        <v>Increase</v>
      </c>
      <c r="C245" t="s">
        <v>3098</v>
      </c>
      <c r="D245">
        <v>68427709</v>
      </c>
      <c r="E245" s="95" t="s">
        <v>53</v>
      </c>
      <c r="F245" t="s">
        <v>54</v>
      </c>
      <c r="G245" t="s">
        <v>42</v>
      </c>
      <c r="H245" t="s">
        <v>2654</v>
      </c>
      <c r="I245" t="s">
        <v>2795</v>
      </c>
      <c r="J245" t="s">
        <v>3099</v>
      </c>
      <c r="K245">
        <v>192268</v>
      </c>
      <c r="L245" t="s">
        <v>3100</v>
      </c>
      <c r="M245" s="21">
        <v>5400864541</v>
      </c>
      <c r="N245" s="21">
        <v>30</v>
      </c>
      <c r="O245" t="s">
        <v>2652</v>
      </c>
      <c r="P245" s="26" t="s">
        <v>2652</v>
      </c>
      <c r="Q245" t="s">
        <v>2762</v>
      </c>
      <c r="R245" t="s">
        <v>40</v>
      </c>
      <c r="S245" s="7">
        <v>10700</v>
      </c>
      <c r="T245" s="7">
        <v>10700</v>
      </c>
      <c r="U245" s="7">
        <v>11200</v>
      </c>
      <c r="V245" s="7">
        <f t="shared" si="19"/>
        <v>500</v>
      </c>
      <c r="W245" s="5">
        <f t="shared" si="20"/>
        <v>4.6728971962616821E-2</v>
      </c>
      <c r="X245" s="39"/>
      <c r="Y245" s="33">
        <f>SUMPRODUCT((BIdetails!$J$5:$J$3000=M245)*(BIdetails!$K$5:$K$3000=N245)*(BIdetails!$M$5:$M$3000))</f>
        <v>0</v>
      </c>
      <c r="Z245" s="34">
        <f t="shared" si="17"/>
        <v>0</v>
      </c>
      <c r="AA245" s="31" t="s">
        <v>2758</v>
      </c>
      <c r="AB245" s="31" t="s">
        <v>2849</v>
      </c>
      <c r="AC245" s="31"/>
      <c r="AD245" s="31"/>
    </row>
    <row r="246" spans="1:30" x14ac:dyDescent="0.25">
      <c r="A246" t="s">
        <v>2745</v>
      </c>
      <c r="B246" t="str">
        <f t="shared" si="18"/>
        <v>No Change</v>
      </c>
      <c r="D246">
        <v>68427709</v>
      </c>
      <c r="E246" s="95" t="s">
        <v>38</v>
      </c>
      <c r="F246" t="s">
        <v>40</v>
      </c>
      <c r="G246" t="s">
        <v>40</v>
      </c>
      <c r="H246" s="26" t="s">
        <v>2129</v>
      </c>
      <c r="I246" t="s">
        <v>2771</v>
      </c>
      <c r="J246" t="s">
        <v>3101</v>
      </c>
      <c r="K246" s="26">
        <v>209514</v>
      </c>
      <c r="L246" s="26" t="s">
        <v>3102</v>
      </c>
      <c r="M246" s="217">
        <v>5400978265</v>
      </c>
      <c r="N246" s="21">
        <v>10</v>
      </c>
      <c r="O246" t="s">
        <v>2652</v>
      </c>
      <c r="P246" s="96" t="s">
        <v>2652</v>
      </c>
      <c r="Q246" t="s">
        <v>2750</v>
      </c>
      <c r="R246" s="96" t="s">
        <v>40</v>
      </c>
      <c r="S246" s="7">
        <v>85000</v>
      </c>
      <c r="T246" s="7">
        <v>85000</v>
      </c>
      <c r="U246" s="7">
        <v>85000</v>
      </c>
      <c r="V246" s="7">
        <f t="shared" si="19"/>
        <v>0</v>
      </c>
      <c r="W246" s="5">
        <f t="shared" si="20"/>
        <v>0</v>
      </c>
      <c r="X246" s="22"/>
      <c r="Y246" s="33">
        <f>SUMPRODUCT((BIdetails!$J$5:$J$3000=M246)*(BIdetails!$K$5:$K$3000=N246)*(BIdetails!$M$5:$M$3000))</f>
        <v>0</v>
      </c>
      <c r="Z246" s="34">
        <f t="shared" si="17"/>
        <v>0</v>
      </c>
      <c r="AA246" s="31"/>
      <c r="AB246" s="31"/>
      <c r="AC246" s="31"/>
      <c r="AD246" s="31"/>
    </row>
    <row r="247" spans="1:30" x14ac:dyDescent="0.25">
      <c r="A247" t="s">
        <v>2745</v>
      </c>
      <c r="B247" t="str">
        <f t="shared" si="18"/>
        <v>No Change</v>
      </c>
      <c r="D247">
        <v>68427709</v>
      </c>
      <c r="E247" s="95" t="s">
        <v>38</v>
      </c>
      <c r="F247" t="s">
        <v>40</v>
      </c>
      <c r="G247" t="s">
        <v>40</v>
      </c>
      <c r="H247" t="s">
        <v>950</v>
      </c>
      <c r="I247" t="s">
        <v>2259</v>
      </c>
      <c r="J247" t="s">
        <v>2830</v>
      </c>
      <c r="K247">
        <v>181508</v>
      </c>
      <c r="L247" t="s">
        <v>3103</v>
      </c>
      <c r="M247" s="21">
        <v>5400976383</v>
      </c>
      <c r="N247" s="21">
        <v>10</v>
      </c>
      <c r="O247" t="s">
        <v>2652</v>
      </c>
      <c r="P247" t="s">
        <v>2652</v>
      </c>
      <c r="Q247" t="s">
        <v>2762</v>
      </c>
      <c r="R247" t="s">
        <v>40</v>
      </c>
      <c r="S247" s="7">
        <v>50000</v>
      </c>
      <c r="T247" s="7">
        <v>50000</v>
      </c>
      <c r="U247" s="261">
        <v>50000</v>
      </c>
      <c r="V247" s="7">
        <f t="shared" si="19"/>
        <v>0</v>
      </c>
      <c r="W247" s="5">
        <f t="shared" si="20"/>
        <v>0</v>
      </c>
      <c r="X247" s="39"/>
      <c r="Y247" s="33">
        <f>SUMPRODUCT((BIdetails!$J$5:$J$3000=M247)*(BIdetails!$K$5:$K$3000=N247)*(BIdetails!$M$5:$M$3000))</f>
        <v>0</v>
      </c>
      <c r="Z247" s="34">
        <f t="shared" ref="Z247:Z305" si="21">IF(U247=0,"",(Y247/U247))</f>
        <v>0</v>
      </c>
      <c r="AA247" s="31" t="s">
        <v>649</v>
      </c>
      <c r="AB247" s="31" t="s">
        <v>2752</v>
      </c>
      <c r="AC247" s="31" t="s">
        <v>2774</v>
      </c>
      <c r="AD247" s="31"/>
    </row>
    <row r="248" spans="1:30" hidden="1" x14ac:dyDescent="0.25">
      <c r="A248" t="s">
        <v>2745</v>
      </c>
      <c r="B248" t="str">
        <f t="shared" si="18"/>
        <v>Decommissioned</v>
      </c>
      <c r="C248" t="s">
        <v>3104</v>
      </c>
      <c r="D248">
        <v>68427709</v>
      </c>
      <c r="E248" s="95" t="s">
        <v>26</v>
      </c>
      <c r="F248" t="s">
        <v>27</v>
      </c>
      <c r="G248" t="s">
        <v>28</v>
      </c>
      <c r="H248" t="s">
        <v>2487</v>
      </c>
      <c r="I248" t="s">
        <v>2837</v>
      </c>
      <c r="J248" s="250" t="s">
        <v>3105</v>
      </c>
      <c r="K248">
        <v>168422</v>
      </c>
      <c r="L248" t="s">
        <v>63</v>
      </c>
      <c r="M248" s="21">
        <v>5400960037</v>
      </c>
      <c r="N248" s="21">
        <v>10</v>
      </c>
      <c r="O248" s="26" t="s">
        <v>2224</v>
      </c>
      <c r="P248" s="26" t="s">
        <v>2224</v>
      </c>
      <c r="Q248" t="s">
        <v>2762</v>
      </c>
      <c r="R248" t="s">
        <v>2809</v>
      </c>
      <c r="S248" s="7">
        <v>70000</v>
      </c>
      <c r="T248" s="7">
        <v>35000</v>
      </c>
      <c r="U248" s="7">
        <v>0</v>
      </c>
      <c r="V248" s="7">
        <f t="shared" si="19"/>
        <v>-35000</v>
      </c>
      <c r="W248" s="5">
        <f t="shared" si="20"/>
        <v>-1</v>
      </c>
      <c r="X248" s="39"/>
      <c r="Y248" s="33">
        <f>SUMPRODUCT((BIdetails!$J$5:$J$3000=M248)*(BIdetails!$K$5:$K$3000=N248)*(BIdetails!$M$5:$M$3000))</f>
        <v>0</v>
      </c>
      <c r="Z248" s="34" t="str">
        <f t="shared" si="21"/>
        <v/>
      </c>
      <c r="AA248" s="31"/>
      <c r="AB248" s="31"/>
      <c r="AC248" s="31"/>
      <c r="AD248" s="31"/>
    </row>
    <row r="249" spans="1:30" hidden="1" x14ac:dyDescent="0.25">
      <c r="A249" t="s">
        <v>2745</v>
      </c>
      <c r="B249" t="str">
        <f t="shared" si="18"/>
        <v>No Change</v>
      </c>
      <c r="D249">
        <v>68427709</v>
      </c>
      <c r="E249" s="95" t="s">
        <v>21</v>
      </c>
      <c r="F249" t="s">
        <v>61</v>
      </c>
      <c r="G249" t="s">
        <v>23</v>
      </c>
      <c r="H249" t="s">
        <v>2257</v>
      </c>
      <c r="I249" t="s">
        <v>2259</v>
      </c>
      <c r="J249" t="s">
        <v>2830</v>
      </c>
      <c r="L249" t="s">
        <v>3106</v>
      </c>
      <c r="M249">
        <v>5401024581</v>
      </c>
      <c r="N249" s="21">
        <v>10</v>
      </c>
      <c r="O249" s="26" t="s">
        <v>2224</v>
      </c>
      <c r="P249" s="26" t="s">
        <v>2224</v>
      </c>
      <c r="Q249" t="s">
        <v>2762</v>
      </c>
      <c r="R249" t="s">
        <v>2809</v>
      </c>
      <c r="S249" s="7">
        <v>2500</v>
      </c>
      <c r="T249" s="7">
        <v>2500</v>
      </c>
      <c r="U249" s="7">
        <v>2500</v>
      </c>
      <c r="V249" s="7">
        <f t="shared" si="19"/>
        <v>0</v>
      </c>
      <c r="W249" s="5">
        <f t="shared" si="20"/>
        <v>0</v>
      </c>
      <c r="X249" s="22"/>
      <c r="Y249" s="33">
        <f>SUMPRODUCT((BIdetails!$J$5:$J$3000=M249)*(BIdetails!$K$5:$K$3000=N249)*(BIdetails!$M$5:$M$3000))</f>
        <v>0</v>
      </c>
      <c r="Z249" s="34">
        <f t="shared" si="21"/>
        <v>0</v>
      </c>
      <c r="AA249" s="31"/>
      <c r="AB249" s="31"/>
      <c r="AC249" s="31"/>
      <c r="AD249" s="31"/>
    </row>
    <row r="250" spans="1:30" hidden="1" x14ac:dyDescent="0.25">
      <c r="A250" t="s">
        <v>2745</v>
      </c>
      <c r="B250" t="str">
        <f t="shared" si="18"/>
        <v>No Change</v>
      </c>
      <c r="D250">
        <v>68427709</v>
      </c>
      <c r="E250" s="95" t="s">
        <v>53</v>
      </c>
      <c r="F250" t="s">
        <v>54</v>
      </c>
      <c r="G250" t="s">
        <v>42</v>
      </c>
      <c r="H250" t="s">
        <v>3107</v>
      </c>
      <c r="J250" t="s">
        <v>3108</v>
      </c>
      <c r="K250">
        <v>209341</v>
      </c>
      <c r="L250" s="96" t="s">
        <v>94</v>
      </c>
      <c r="M250">
        <v>5400915466</v>
      </c>
      <c r="N250" s="21">
        <v>20</v>
      </c>
      <c r="O250" s="26" t="s">
        <v>2676</v>
      </c>
      <c r="P250" s="26" t="s">
        <v>1788</v>
      </c>
      <c r="Q250" t="s">
        <v>2762</v>
      </c>
      <c r="R250" t="s">
        <v>2886</v>
      </c>
      <c r="S250" s="7">
        <v>24000</v>
      </c>
      <c r="T250" s="7">
        <v>24000</v>
      </c>
      <c r="U250" s="7">
        <v>24000</v>
      </c>
      <c r="V250" s="7">
        <f t="shared" si="19"/>
        <v>0</v>
      </c>
      <c r="W250" s="5">
        <f t="shared" si="20"/>
        <v>0</v>
      </c>
      <c r="X250" s="22"/>
      <c r="Y250" s="33">
        <f>SUMPRODUCT((BIdetails!$J$5:$J$3000=M250)*(BIdetails!$K$5:$K$3000=N250)*(BIdetails!$M$5:$M$3000))</f>
        <v>0</v>
      </c>
      <c r="Z250" s="34">
        <f t="shared" si="21"/>
        <v>0</v>
      </c>
      <c r="AA250" s="31"/>
      <c r="AB250" s="31"/>
      <c r="AC250" s="31"/>
      <c r="AD250" s="31"/>
    </row>
    <row r="251" spans="1:30" hidden="1" x14ac:dyDescent="0.25">
      <c r="A251" t="s">
        <v>2745</v>
      </c>
      <c r="B251" t="str">
        <f t="shared" si="18"/>
        <v>No Change</v>
      </c>
      <c r="C251" t="s">
        <v>3109</v>
      </c>
      <c r="D251">
        <v>68427709</v>
      </c>
      <c r="E251" s="95" t="s">
        <v>49</v>
      </c>
      <c r="F251" t="s">
        <v>50</v>
      </c>
      <c r="G251" t="s">
        <v>42</v>
      </c>
      <c r="H251" t="s">
        <v>2444</v>
      </c>
      <c r="I251">
        <v>0</v>
      </c>
      <c r="J251" t="s">
        <v>2802</v>
      </c>
      <c r="K251">
        <v>193275</v>
      </c>
      <c r="L251" t="s">
        <v>180</v>
      </c>
      <c r="M251" s="21">
        <v>5400972346</v>
      </c>
      <c r="N251" s="21">
        <v>10</v>
      </c>
      <c r="O251" t="s">
        <v>2676</v>
      </c>
      <c r="P251" t="s">
        <v>2314</v>
      </c>
      <c r="Q251" t="s">
        <v>2762</v>
      </c>
      <c r="R251" t="s">
        <v>2793</v>
      </c>
      <c r="S251" s="7">
        <v>298300</v>
      </c>
      <c r="T251" s="7">
        <v>333000</v>
      </c>
      <c r="U251" s="7">
        <v>333000</v>
      </c>
      <c r="V251" s="7">
        <f t="shared" si="19"/>
        <v>0</v>
      </c>
      <c r="W251" s="5">
        <f t="shared" si="20"/>
        <v>0</v>
      </c>
      <c r="X251" s="22"/>
      <c r="Y251" s="33">
        <f>SUMPRODUCT((BIdetails!$J$5:$J$3000=M251)*(BIdetails!$K$5:$K$3000=N251)*(BIdetails!$M$5:$M$3000))</f>
        <v>0</v>
      </c>
      <c r="Z251" s="34">
        <f t="shared" si="21"/>
        <v>0</v>
      </c>
      <c r="AA251" s="31" t="s">
        <v>649</v>
      </c>
      <c r="AB251" s="31" t="s">
        <v>2752</v>
      </c>
      <c r="AC251" s="31" t="s">
        <v>2774</v>
      </c>
      <c r="AD251" s="31"/>
    </row>
    <row r="252" spans="1:30" hidden="1" x14ac:dyDescent="0.25">
      <c r="A252" t="s">
        <v>2745</v>
      </c>
      <c r="B252" t="str">
        <f t="shared" si="18"/>
        <v>Increase</v>
      </c>
      <c r="C252" t="s">
        <v>3109</v>
      </c>
      <c r="D252">
        <v>68427719</v>
      </c>
      <c r="E252" s="95" t="s">
        <v>49</v>
      </c>
      <c r="F252" t="s">
        <v>50</v>
      </c>
      <c r="G252" t="s">
        <v>42</v>
      </c>
      <c r="H252" t="s">
        <v>2175</v>
      </c>
      <c r="I252">
        <v>0</v>
      </c>
      <c r="J252" t="s">
        <v>2812</v>
      </c>
      <c r="K252">
        <v>193275</v>
      </c>
      <c r="L252" t="s">
        <v>2906</v>
      </c>
      <c r="M252">
        <v>5400972346</v>
      </c>
      <c r="N252" s="21">
        <v>10</v>
      </c>
      <c r="O252" s="96" t="s">
        <v>2610</v>
      </c>
      <c r="P252" s="96" t="s">
        <v>2610</v>
      </c>
      <c r="Q252" t="s">
        <v>2813</v>
      </c>
      <c r="R252" t="s">
        <v>2801</v>
      </c>
      <c r="S252" s="7">
        <v>2915000</v>
      </c>
      <c r="T252" s="7">
        <v>2320000</v>
      </c>
      <c r="U252" s="7">
        <v>2445000</v>
      </c>
      <c r="V252" s="7">
        <f t="shared" si="19"/>
        <v>125000</v>
      </c>
      <c r="W252" s="5">
        <f t="shared" si="20"/>
        <v>5.3879310344827583E-2</v>
      </c>
      <c r="X252" s="39"/>
      <c r="Y252" s="33">
        <f>SUMPRODUCT((BIdetails!$J$5:$J$3000=M252)*(BIdetails!$K$5:$K$3000=N252)*(BIdetails!$M$5:$M$3000))</f>
        <v>0</v>
      </c>
      <c r="Z252" s="34">
        <f t="shared" si="21"/>
        <v>0</v>
      </c>
      <c r="AA252" s="31"/>
      <c r="AB252" s="31"/>
      <c r="AC252" s="31"/>
      <c r="AD252" s="31"/>
    </row>
    <row r="253" spans="1:30" x14ac:dyDescent="0.25">
      <c r="A253" t="s">
        <v>2745</v>
      </c>
      <c r="B253" t="str">
        <f t="shared" si="18"/>
        <v>No Change</v>
      </c>
      <c r="C253" t="s">
        <v>3110</v>
      </c>
      <c r="D253">
        <v>68427709</v>
      </c>
      <c r="E253" s="95" t="s">
        <v>38</v>
      </c>
      <c r="F253" t="s">
        <v>40</v>
      </c>
      <c r="G253" t="s">
        <v>42</v>
      </c>
      <c r="H253" t="s">
        <v>493</v>
      </c>
      <c r="I253" t="s">
        <v>2259</v>
      </c>
      <c r="J253" t="s">
        <v>2830</v>
      </c>
      <c r="K253" s="251">
        <v>195870</v>
      </c>
      <c r="L253" t="s">
        <v>67</v>
      </c>
      <c r="M253" s="251">
        <v>5401030717</v>
      </c>
      <c r="N253" s="21">
        <v>10</v>
      </c>
      <c r="O253" t="s">
        <v>2652</v>
      </c>
      <c r="P253" s="26" t="s">
        <v>2652</v>
      </c>
      <c r="Q253" t="s">
        <v>2762</v>
      </c>
      <c r="R253" t="s">
        <v>40</v>
      </c>
      <c r="S253" s="7">
        <v>80000</v>
      </c>
      <c r="T253" s="7">
        <v>80000</v>
      </c>
      <c r="U253" s="7">
        <v>80000</v>
      </c>
      <c r="V253" s="7">
        <f t="shared" si="19"/>
        <v>0</v>
      </c>
      <c r="W253" s="5">
        <f t="shared" si="20"/>
        <v>0</v>
      </c>
      <c r="X253" s="39"/>
      <c r="Y253" s="33">
        <f>SUMPRODUCT((BIdetails!$J$5:$J$3000=M253)*(BIdetails!$K$5:$K$3000=N253)*(BIdetails!$M$5:$M$3000))</f>
        <v>0</v>
      </c>
      <c r="Z253" s="34">
        <f t="shared" si="21"/>
        <v>0</v>
      </c>
      <c r="AA253" s="31" t="s">
        <v>649</v>
      </c>
      <c r="AB253" s="31" t="s">
        <v>2752</v>
      </c>
      <c r="AC253" s="31" t="s">
        <v>2774</v>
      </c>
      <c r="AD253" s="31"/>
    </row>
    <row r="254" spans="1:30" ht="14.1" hidden="1" customHeight="1" x14ac:dyDescent="0.25">
      <c r="A254" t="s">
        <v>2745</v>
      </c>
      <c r="B254" t="str">
        <f t="shared" si="18"/>
        <v>No Change</v>
      </c>
      <c r="C254" t="s">
        <v>3111</v>
      </c>
      <c r="D254">
        <v>68427709</v>
      </c>
      <c r="E254" s="101" t="s">
        <v>51</v>
      </c>
      <c r="F254" s="26" t="s">
        <v>52</v>
      </c>
      <c r="G254" s="26" t="s">
        <v>42</v>
      </c>
      <c r="H254" s="26" t="s">
        <v>3112</v>
      </c>
      <c r="I254" t="s">
        <v>2771</v>
      </c>
      <c r="J254" t="s">
        <v>2772</v>
      </c>
      <c r="K254" s="26">
        <v>117570</v>
      </c>
      <c r="L254" s="26" t="s">
        <v>437</v>
      </c>
      <c r="M254" s="29">
        <v>5401024359</v>
      </c>
      <c r="N254" s="28">
        <v>10</v>
      </c>
      <c r="O254" s="26" t="s">
        <v>2676</v>
      </c>
      <c r="P254" s="26" t="s">
        <v>2676</v>
      </c>
      <c r="Q254" s="26" t="s">
        <v>2750</v>
      </c>
      <c r="R254" s="96" t="s">
        <v>2751</v>
      </c>
      <c r="S254" s="7">
        <v>997165</v>
      </c>
      <c r="T254" s="7">
        <v>1232165</v>
      </c>
      <c r="U254" s="7">
        <v>1232165</v>
      </c>
      <c r="V254" s="7">
        <f t="shared" si="19"/>
        <v>0</v>
      </c>
      <c r="W254" s="5">
        <f t="shared" si="20"/>
        <v>0</v>
      </c>
      <c r="X254" s="39"/>
      <c r="Y254" s="33">
        <f>SUMPRODUCT((BIdetails!$J$5:$J$3000=M254)*(BIdetails!$K$5:$K$3000=N254)*(BIdetails!$M$5:$M$3000))</f>
        <v>0</v>
      </c>
      <c r="Z254" s="34">
        <f t="shared" si="21"/>
        <v>0</v>
      </c>
      <c r="AA254" s="31" t="s">
        <v>2758</v>
      </c>
      <c r="AB254" s="31" t="s">
        <v>2752</v>
      </c>
      <c r="AC254" s="31" t="s">
        <v>2785</v>
      </c>
      <c r="AD254" s="31"/>
    </row>
    <row r="255" spans="1:30" hidden="1" x14ac:dyDescent="0.25">
      <c r="A255" t="s">
        <v>2745</v>
      </c>
      <c r="B255" t="str">
        <f t="shared" si="18"/>
        <v>No Change</v>
      </c>
      <c r="C255" t="s">
        <v>3111</v>
      </c>
      <c r="D255">
        <v>68427709</v>
      </c>
      <c r="E255" s="101" t="s">
        <v>51</v>
      </c>
      <c r="F255" s="26" t="s">
        <v>52</v>
      </c>
      <c r="G255" s="26" t="s">
        <v>42</v>
      </c>
      <c r="H255" s="26" t="s">
        <v>3113</v>
      </c>
      <c r="I255" t="s">
        <v>2771</v>
      </c>
      <c r="J255" t="s">
        <v>2772</v>
      </c>
      <c r="K255" s="26">
        <v>117570</v>
      </c>
      <c r="L255" s="26" t="s">
        <v>437</v>
      </c>
      <c r="M255" s="29">
        <v>5401024359</v>
      </c>
      <c r="N255" s="28">
        <v>60</v>
      </c>
      <c r="O255" s="26" t="s">
        <v>2676</v>
      </c>
      <c r="P255" s="26" t="s">
        <v>2676</v>
      </c>
      <c r="Q255" s="26" t="s">
        <v>2750</v>
      </c>
      <c r="R255" s="96" t="s">
        <v>2751</v>
      </c>
      <c r="S255" s="7">
        <v>145587</v>
      </c>
      <c r="T255" s="7">
        <v>145587</v>
      </c>
      <c r="U255" s="7">
        <v>145587</v>
      </c>
      <c r="V255" s="7">
        <f t="shared" si="19"/>
        <v>0</v>
      </c>
      <c r="W255" s="5">
        <f t="shared" si="20"/>
        <v>0</v>
      </c>
      <c r="X255" s="39"/>
      <c r="Y255" s="33">
        <f>SUMPRODUCT((BIdetails!$J$5:$J$3000=M255)*(BIdetails!$K$5:$K$3000=N255)*(BIdetails!$M$5:$M$3000))</f>
        <v>0</v>
      </c>
      <c r="Z255" s="34">
        <f t="shared" si="21"/>
        <v>0</v>
      </c>
      <c r="AA255" s="31" t="s">
        <v>2758</v>
      </c>
      <c r="AB255" s="31" t="s">
        <v>2849</v>
      </c>
      <c r="AC255" s="31" t="s">
        <v>2785</v>
      </c>
      <c r="AD255" s="31"/>
    </row>
    <row r="256" spans="1:30" hidden="1" x14ac:dyDescent="0.25">
      <c r="A256" t="s">
        <v>2745</v>
      </c>
      <c r="B256" t="str">
        <f t="shared" si="18"/>
        <v>No Change</v>
      </c>
      <c r="C256" t="s">
        <v>3111</v>
      </c>
      <c r="D256">
        <v>68427709</v>
      </c>
      <c r="E256" s="101" t="s">
        <v>51</v>
      </c>
      <c r="F256" s="26" t="s">
        <v>52</v>
      </c>
      <c r="G256" s="26" t="s">
        <v>42</v>
      </c>
      <c r="H256" s="26" t="s">
        <v>3114</v>
      </c>
      <c r="I256" t="s">
        <v>2771</v>
      </c>
      <c r="J256" t="s">
        <v>2772</v>
      </c>
      <c r="K256" s="26">
        <v>117570</v>
      </c>
      <c r="L256" s="26" t="s">
        <v>437</v>
      </c>
      <c r="M256" s="29">
        <v>5401024359</v>
      </c>
      <c r="N256" s="28">
        <v>70</v>
      </c>
      <c r="O256" s="26" t="s">
        <v>2676</v>
      </c>
      <c r="P256" s="26" t="s">
        <v>2676</v>
      </c>
      <c r="Q256" s="26" t="s">
        <v>2750</v>
      </c>
      <c r="R256" s="96" t="s">
        <v>2751</v>
      </c>
      <c r="S256" s="7">
        <v>1253</v>
      </c>
      <c r="T256" s="7">
        <v>1253</v>
      </c>
      <c r="U256" s="7">
        <v>1253</v>
      </c>
      <c r="V256" s="7">
        <f t="shared" si="19"/>
        <v>0</v>
      </c>
      <c r="W256" s="5">
        <f t="shared" si="20"/>
        <v>0</v>
      </c>
      <c r="X256" s="39"/>
      <c r="Y256" s="33">
        <f>SUMPRODUCT((BIdetails!$J$5:$J$3000=M256)*(BIdetails!$K$5:$K$3000=N256)*(BIdetails!$M$5:$M$3000))</f>
        <v>0</v>
      </c>
      <c r="Z256" s="34">
        <f t="shared" si="21"/>
        <v>0</v>
      </c>
      <c r="AA256" s="31" t="s">
        <v>2758</v>
      </c>
      <c r="AB256" s="31" t="s">
        <v>2752</v>
      </c>
      <c r="AC256" s="31" t="s">
        <v>2788</v>
      </c>
      <c r="AD256" s="31"/>
    </row>
    <row r="257" spans="1:30" hidden="1" x14ac:dyDescent="0.25">
      <c r="A257" t="s">
        <v>2745</v>
      </c>
      <c r="B257" t="str">
        <f t="shared" si="18"/>
        <v>No Change</v>
      </c>
      <c r="C257" t="s">
        <v>3111</v>
      </c>
      <c r="D257">
        <v>68427709</v>
      </c>
      <c r="E257" s="101" t="s">
        <v>51</v>
      </c>
      <c r="F257" s="26" t="s">
        <v>52</v>
      </c>
      <c r="G257" s="26" t="s">
        <v>42</v>
      </c>
      <c r="H257" s="26" t="s">
        <v>3115</v>
      </c>
      <c r="I257" t="s">
        <v>2771</v>
      </c>
      <c r="J257" t="s">
        <v>2772</v>
      </c>
      <c r="K257" s="26">
        <v>117570</v>
      </c>
      <c r="L257" s="26" t="s">
        <v>437</v>
      </c>
      <c r="M257" s="29">
        <v>5401024359</v>
      </c>
      <c r="N257" s="28">
        <v>80</v>
      </c>
      <c r="O257" s="26" t="s">
        <v>2676</v>
      </c>
      <c r="P257" s="26" t="s">
        <v>2676</v>
      </c>
      <c r="Q257" s="26" t="s">
        <v>2750</v>
      </c>
      <c r="R257" s="96" t="s">
        <v>2751</v>
      </c>
      <c r="S257" s="7">
        <v>18273</v>
      </c>
      <c r="T257" s="7">
        <v>18273</v>
      </c>
      <c r="U257" s="7">
        <v>18273</v>
      </c>
      <c r="V257" s="7">
        <f t="shared" si="19"/>
        <v>0</v>
      </c>
      <c r="W257" s="5">
        <f t="shared" si="20"/>
        <v>0</v>
      </c>
      <c r="X257" s="39"/>
      <c r="Y257" s="33">
        <f>SUMPRODUCT((BIdetails!$J$5:$J$3000=M257)*(BIdetails!$K$5:$K$3000=N257)*(BIdetails!$M$5:$M$3000))</f>
        <v>0</v>
      </c>
      <c r="Z257" s="34">
        <f t="shared" si="21"/>
        <v>0</v>
      </c>
      <c r="AA257" s="31" t="s">
        <v>2758</v>
      </c>
      <c r="AB257" s="31" t="s">
        <v>2849</v>
      </c>
      <c r="AC257" s="31" t="s">
        <v>2785</v>
      </c>
      <c r="AD257" s="31"/>
    </row>
    <row r="258" spans="1:30" hidden="1" x14ac:dyDescent="0.25">
      <c r="A258" t="s">
        <v>2745</v>
      </c>
      <c r="B258" t="str">
        <f t="shared" si="18"/>
        <v>No Change</v>
      </c>
      <c r="C258" t="s">
        <v>3111</v>
      </c>
      <c r="D258">
        <v>68427709</v>
      </c>
      <c r="E258" s="101" t="s">
        <v>51</v>
      </c>
      <c r="F258" s="26" t="s">
        <v>52</v>
      </c>
      <c r="G258" s="26" t="s">
        <v>42</v>
      </c>
      <c r="H258" s="26" t="s">
        <v>3116</v>
      </c>
      <c r="I258" t="s">
        <v>2771</v>
      </c>
      <c r="J258" t="s">
        <v>2772</v>
      </c>
      <c r="K258" s="26">
        <v>117570</v>
      </c>
      <c r="L258" s="26" t="s">
        <v>437</v>
      </c>
      <c r="M258" s="29">
        <v>5401024359</v>
      </c>
      <c r="N258" s="28">
        <v>90</v>
      </c>
      <c r="O258" s="26" t="s">
        <v>2676</v>
      </c>
      <c r="P258" s="26" t="s">
        <v>2676</v>
      </c>
      <c r="Q258" s="26" t="s">
        <v>2750</v>
      </c>
      <c r="R258" s="96" t="s">
        <v>2751</v>
      </c>
      <c r="S258" s="7">
        <v>26059</v>
      </c>
      <c r="T258" s="7">
        <v>26059</v>
      </c>
      <c r="U258" s="7">
        <v>26059</v>
      </c>
      <c r="V258" s="7">
        <f t="shared" si="19"/>
        <v>0</v>
      </c>
      <c r="W258" s="5">
        <f t="shared" si="20"/>
        <v>0</v>
      </c>
      <c r="X258" s="39"/>
      <c r="Y258" s="33">
        <f>SUMPRODUCT((BIdetails!$J$5:$J$3000=M258)*(BIdetails!$K$5:$K$3000=N258)*(BIdetails!$M$5:$M$3000))</f>
        <v>0</v>
      </c>
      <c r="Z258" s="34">
        <f t="shared" si="21"/>
        <v>0</v>
      </c>
      <c r="AA258" s="31" t="s">
        <v>649</v>
      </c>
      <c r="AB258" s="31" t="s">
        <v>2752</v>
      </c>
      <c r="AC258" s="31" t="s">
        <v>2774</v>
      </c>
      <c r="AD258" s="31"/>
    </row>
    <row r="259" spans="1:30" hidden="1" x14ac:dyDescent="0.25">
      <c r="A259" t="s">
        <v>2745</v>
      </c>
      <c r="B259" t="str">
        <f t="shared" si="18"/>
        <v>No Change</v>
      </c>
      <c r="C259" t="s">
        <v>3111</v>
      </c>
      <c r="D259">
        <v>68427709</v>
      </c>
      <c r="E259" s="101" t="s">
        <v>51</v>
      </c>
      <c r="F259" s="26" t="s">
        <v>52</v>
      </c>
      <c r="G259" s="26" t="s">
        <v>42</v>
      </c>
      <c r="H259" s="26" t="s">
        <v>3117</v>
      </c>
      <c r="I259" t="s">
        <v>2771</v>
      </c>
      <c r="J259" t="s">
        <v>2772</v>
      </c>
      <c r="K259" s="26">
        <v>117570</v>
      </c>
      <c r="L259" s="26" t="s">
        <v>437</v>
      </c>
      <c r="M259" s="29">
        <v>5401024359</v>
      </c>
      <c r="N259" s="28">
        <v>100</v>
      </c>
      <c r="O259" s="26" t="s">
        <v>2676</v>
      </c>
      <c r="P259" s="26" t="s">
        <v>2676</v>
      </c>
      <c r="Q259" s="26" t="s">
        <v>2750</v>
      </c>
      <c r="R259" s="96" t="s">
        <v>2751</v>
      </c>
      <c r="S259" s="7">
        <v>5892</v>
      </c>
      <c r="T259" s="7">
        <v>5892</v>
      </c>
      <c r="U259" s="7">
        <v>5892</v>
      </c>
      <c r="V259" s="7">
        <f t="shared" si="19"/>
        <v>0</v>
      </c>
      <c r="W259" s="5">
        <f t="shared" si="20"/>
        <v>0</v>
      </c>
      <c r="X259" s="39"/>
      <c r="Y259" s="33">
        <f>SUMPRODUCT((BIdetails!$J$5:$J$3000=M259)*(BIdetails!$K$5:$K$3000=N259)*(BIdetails!$M$5:$M$3000))</f>
        <v>0</v>
      </c>
      <c r="Z259" s="34">
        <f t="shared" si="21"/>
        <v>0</v>
      </c>
      <c r="AA259" s="31" t="s">
        <v>649</v>
      </c>
      <c r="AB259" s="31" t="s">
        <v>2752</v>
      </c>
      <c r="AC259" s="31" t="s">
        <v>2774</v>
      </c>
      <c r="AD259" s="31"/>
    </row>
    <row r="260" spans="1:30" ht="14.1" hidden="1" customHeight="1" x14ac:dyDescent="0.25">
      <c r="A260" t="s">
        <v>2745</v>
      </c>
      <c r="B260" t="str">
        <f t="shared" si="18"/>
        <v>No Change</v>
      </c>
      <c r="C260" t="s">
        <v>3111</v>
      </c>
      <c r="D260">
        <v>68427709</v>
      </c>
      <c r="E260" s="101" t="s">
        <v>51</v>
      </c>
      <c r="F260" s="26" t="s">
        <v>52</v>
      </c>
      <c r="G260" s="26" t="s">
        <v>42</v>
      </c>
      <c r="H260" s="26" t="s">
        <v>3118</v>
      </c>
      <c r="I260" t="s">
        <v>2771</v>
      </c>
      <c r="J260" t="s">
        <v>2772</v>
      </c>
      <c r="K260" s="26">
        <v>117570</v>
      </c>
      <c r="L260" s="26" t="s">
        <v>437</v>
      </c>
      <c r="M260" s="29">
        <v>5401024359</v>
      </c>
      <c r="N260" s="28">
        <v>110</v>
      </c>
      <c r="O260" s="26" t="s">
        <v>2676</v>
      </c>
      <c r="P260" s="26" t="s">
        <v>2676</v>
      </c>
      <c r="Q260" s="26" t="s">
        <v>2750</v>
      </c>
      <c r="R260" s="96" t="s">
        <v>2751</v>
      </c>
      <c r="S260" s="7">
        <v>1266493</v>
      </c>
      <c r="T260" s="7">
        <v>1266493</v>
      </c>
      <c r="U260" s="7">
        <v>1266493</v>
      </c>
      <c r="V260" s="7">
        <f t="shared" si="19"/>
        <v>0</v>
      </c>
      <c r="W260" s="5">
        <f t="shared" si="20"/>
        <v>0</v>
      </c>
      <c r="X260" s="39"/>
      <c r="Y260" s="33">
        <f>SUMPRODUCT((BIdetails!$J$5:$J$3000=M260)*(BIdetails!$K$5:$K$3000=N260)*(BIdetails!$M$5:$M$3000))</f>
        <v>0</v>
      </c>
      <c r="Z260" s="34">
        <f t="shared" si="21"/>
        <v>0</v>
      </c>
      <c r="AA260" s="31" t="s">
        <v>2758</v>
      </c>
      <c r="AB260" s="31" t="s">
        <v>2849</v>
      </c>
      <c r="AC260" s="31" t="s">
        <v>2785</v>
      </c>
      <c r="AD260" s="31"/>
    </row>
    <row r="261" spans="1:30" hidden="1" x14ac:dyDescent="0.25">
      <c r="A261" t="s">
        <v>2745</v>
      </c>
      <c r="B261" t="str">
        <f t="shared" si="18"/>
        <v>Increase</v>
      </c>
      <c r="C261" t="s">
        <v>3111</v>
      </c>
      <c r="D261">
        <v>68427709</v>
      </c>
      <c r="E261" s="101" t="s">
        <v>51</v>
      </c>
      <c r="F261" s="26" t="s">
        <v>52</v>
      </c>
      <c r="G261" s="26" t="s">
        <v>42</v>
      </c>
      <c r="H261" s="26" t="s">
        <v>3119</v>
      </c>
      <c r="I261" t="s">
        <v>2771</v>
      </c>
      <c r="J261" t="s">
        <v>2772</v>
      </c>
      <c r="K261" s="26">
        <v>117570</v>
      </c>
      <c r="L261" s="26" t="s">
        <v>437</v>
      </c>
      <c r="M261" s="29">
        <v>5401024359</v>
      </c>
      <c r="N261" s="28">
        <v>120</v>
      </c>
      <c r="O261" s="26" t="s">
        <v>2676</v>
      </c>
      <c r="P261" s="26" t="s">
        <v>2676</v>
      </c>
      <c r="Q261" s="26" t="s">
        <v>2750</v>
      </c>
      <c r="R261" s="96" t="s">
        <v>2751</v>
      </c>
      <c r="S261" s="7">
        <v>20263</v>
      </c>
      <c r="T261" s="7">
        <v>75263</v>
      </c>
      <c r="U261" s="7">
        <v>115263</v>
      </c>
      <c r="V261" s="7">
        <f t="shared" si="19"/>
        <v>40000</v>
      </c>
      <c r="W261" s="5">
        <f t="shared" si="20"/>
        <v>0.53146964643981776</v>
      </c>
      <c r="X261" s="39"/>
      <c r="Y261" s="33">
        <f>SUMPRODUCT((BIdetails!$J$5:$J$3000=M261)*(BIdetails!$K$5:$K$3000=N261)*(BIdetails!$M$5:$M$3000))</f>
        <v>0</v>
      </c>
      <c r="Z261" s="34">
        <f t="shared" si="21"/>
        <v>0</v>
      </c>
      <c r="AA261" s="31" t="s">
        <v>2758</v>
      </c>
      <c r="AB261" s="31" t="s">
        <v>2849</v>
      </c>
      <c r="AC261" s="31" t="s">
        <v>2785</v>
      </c>
      <c r="AD261" s="31"/>
    </row>
    <row r="262" spans="1:30" hidden="1" x14ac:dyDescent="0.25">
      <c r="A262" t="s">
        <v>2745</v>
      </c>
      <c r="B262" t="str">
        <f t="shared" si="18"/>
        <v>No Change</v>
      </c>
      <c r="C262" t="s">
        <v>3111</v>
      </c>
      <c r="D262">
        <v>68427709</v>
      </c>
      <c r="E262" s="101" t="s">
        <v>51</v>
      </c>
      <c r="F262" s="26" t="s">
        <v>52</v>
      </c>
      <c r="G262" s="26" t="s">
        <v>42</v>
      </c>
      <c r="H262" s="26" t="s">
        <v>3120</v>
      </c>
      <c r="I262" t="s">
        <v>2771</v>
      </c>
      <c r="J262" t="s">
        <v>2772</v>
      </c>
      <c r="K262" s="26">
        <v>117570</v>
      </c>
      <c r="L262" s="26" t="s">
        <v>437</v>
      </c>
      <c r="M262" s="29">
        <v>5401024359</v>
      </c>
      <c r="N262" s="28">
        <v>130</v>
      </c>
      <c r="O262" s="26" t="s">
        <v>2676</v>
      </c>
      <c r="P262" s="26" t="s">
        <v>2676</v>
      </c>
      <c r="Q262" s="26" t="s">
        <v>2750</v>
      </c>
      <c r="R262" s="96" t="s">
        <v>2751</v>
      </c>
      <c r="S262" s="7">
        <v>958152</v>
      </c>
      <c r="T262" s="7">
        <v>958152</v>
      </c>
      <c r="U262" s="7">
        <v>958152</v>
      </c>
      <c r="V262" s="7">
        <f t="shared" si="19"/>
        <v>0</v>
      </c>
      <c r="W262" s="5">
        <f t="shared" si="20"/>
        <v>0</v>
      </c>
      <c r="X262" s="39"/>
      <c r="Y262" s="33">
        <f>SUMPRODUCT((BIdetails!$J$5:$J$3000=M262)*(BIdetails!$K$5:$K$3000=N262)*(BIdetails!$M$5:$M$3000))</f>
        <v>0</v>
      </c>
      <c r="Z262" s="34">
        <f t="shared" si="21"/>
        <v>0</v>
      </c>
      <c r="AA262" s="31" t="s">
        <v>2758</v>
      </c>
      <c r="AB262" s="31" t="s">
        <v>2849</v>
      </c>
      <c r="AC262" s="31" t="s">
        <v>2785</v>
      </c>
      <c r="AD262" s="31"/>
    </row>
    <row r="263" spans="1:30" hidden="1" x14ac:dyDescent="0.25">
      <c r="A263" t="s">
        <v>2745</v>
      </c>
      <c r="B263" t="str">
        <f t="shared" si="18"/>
        <v>No Change</v>
      </c>
      <c r="C263" t="s">
        <v>3111</v>
      </c>
      <c r="D263">
        <v>68427709</v>
      </c>
      <c r="E263" s="101" t="s">
        <v>51</v>
      </c>
      <c r="F263" s="26" t="s">
        <v>52</v>
      </c>
      <c r="G263" s="26" t="s">
        <v>42</v>
      </c>
      <c r="H263" s="26" t="s">
        <v>3121</v>
      </c>
      <c r="I263" t="s">
        <v>2771</v>
      </c>
      <c r="J263" t="s">
        <v>2772</v>
      </c>
      <c r="K263" s="26">
        <v>117570</v>
      </c>
      <c r="L263" s="26" t="s">
        <v>437</v>
      </c>
      <c r="M263" s="29">
        <v>5401024359</v>
      </c>
      <c r="N263" s="28">
        <v>140</v>
      </c>
      <c r="O263" s="26" t="s">
        <v>2676</v>
      </c>
      <c r="P263" s="26" t="s">
        <v>2676</v>
      </c>
      <c r="Q263" s="26" t="s">
        <v>2750</v>
      </c>
      <c r="R263" s="96" t="s">
        <v>2751</v>
      </c>
      <c r="S263" s="7">
        <v>110084</v>
      </c>
      <c r="T263" s="7">
        <v>110084</v>
      </c>
      <c r="U263" s="7">
        <v>110084</v>
      </c>
      <c r="V263" s="7">
        <f t="shared" si="19"/>
        <v>0</v>
      </c>
      <c r="W263" s="5">
        <f t="shared" si="20"/>
        <v>0</v>
      </c>
      <c r="X263" s="39"/>
      <c r="Y263" s="33">
        <f>SUMPRODUCT((BIdetails!$J$5:$J$3000=M263)*(BIdetails!$K$5:$K$3000=N263)*(BIdetails!$M$5:$M$3000))</f>
        <v>0</v>
      </c>
      <c r="Z263" s="34">
        <f t="shared" si="21"/>
        <v>0</v>
      </c>
      <c r="AA263" s="31" t="s">
        <v>2758</v>
      </c>
      <c r="AB263" s="31" t="s">
        <v>2849</v>
      </c>
      <c r="AC263" s="31" t="s">
        <v>2785</v>
      </c>
      <c r="AD263" s="31"/>
    </row>
    <row r="264" spans="1:30" hidden="1" x14ac:dyDescent="0.25">
      <c r="A264" t="s">
        <v>2745</v>
      </c>
      <c r="B264" t="str">
        <f t="shared" si="18"/>
        <v>No Change</v>
      </c>
      <c r="C264" t="s">
        <v>3111</v>
      </c>
      <c r="D264">
        <v>68427709</v>
      </c>
      <c r="E264" s="95" t="s">
        <v>51</v>
      </c>
      <c r="F264" t="s">
        <v>52</v>
      </c>
      <c r="G264" t="s">
        <v>42</v>
      </c>
      <c r="H264" s="26" t="s">
        <v>3122</v>
      </c>
      <c r="I264" t="s">
        <v>2771</v>
      </c>
      <c r="J264" t="s">
        <v>2772</v>
      </c>
      <c r="K264" s="26">
        <v>117570</v>
      </c>
      <c r="L264" s="26" t="s">
        <v>437</v>
      </c>
      <c r="M264" s="29">
        <v>5401024359</v>
      </c>
      <c r="N264" s="28">
        <v>150</v>
      </c>
      <c r="O264" s="26" t="s">
        <v>2676</v>
      </c>
      <c r="P264" s="26" t="s">
        <v>2676</v>
      </c>
      <c r="Q264" s="26" t="s">
        <v>2750</v>
      </c>
      <c r="R264" s="96" t="s">
        <v>2751</v>
      </c>
      <c r="S264" s="7">
        <v>240000</v>
      </c>
      <c r="T264" s="7">
        <v>240000</v>
      </c>
      <c r="U264" s="7">
        <v>240000</v>
      </c>
      <c r="V264" s="7">
        <f t="shared" si="19"/>
        <v>0</v>
      </c>
      <c r="W264" s="5">
        <f t="shared" si="20"/>
        <v>0</v>
      </c>
      <c r="X264" s="39"/>
      <c r="Y264" s="33">
        <f>SUMPRODUCT((BIdetails!$J$5:$J$3000=M264)*(BIdetails!$K$5:$K$3000=N264)*(BIdetails!$M$5:$M$3000))</f>
        <v>0</v>
      </c>
      <c r="Z264" s="34">
        <f t="shared" si="21"/>
        <v>0</v>
      </c>
      <c r="AA264" s="31" t="s">
        <v>2758</v>
      </c>
      <c r="AB264" s="31" t="s">
        <v>2849</v>
      </c>
      <c r="AC264" s="31" t="s">
        <v>2785</v>
      </c>
      <c r="AD264" s="31"/>
    </row>
    <row r="265" spans="1:30" hidden="1" x14ac:dyDescent="0.25">
      <c r="A265" t="s">
        <v>2745</v>
      </c>
      <c r="B265" t="str">
        <f t="shared" si="18"/>
        <v>No Change</v>
      </c>
      <c r="C265" t="s">
        <v>3111</v>
      </c>
      <c r="D265">
        <v>68427709</v>
      </c>
      <c r="E265" s="101" t="s">
        <v>51</v>
      </c>
      <c r="F265" s="26" t="s">
        <v>52</v>
      </c>
      <c r="G265" s="26" t="s">
        <v>42</v>
      </c>
      <c r="H265" s="26" t="s">
        <v>3123</v>
      </c>
      <c r="I265" t="s">
        <v>2771</v>
      </c>
      <c r="J265" t="s">
        <v>2772</v>
      </c>
      <c r="K265" s="26">
        <v>117570</v>
      </c>
      <c r="L265" s="26" t="s">
        <v>437</v>
      </c>
      <c r="M265" s="29">
        <v>5401024359</v>
      </c>
      <c r="N265" s="28">
        <v>160</v>
      </c>
      <c r="O265" s="26" t="s">
        <v>2676</v>
      </c>
      <c r="P265" s="26" t="s">
        <v>2676</v>
      </c>
      <c r="Q265" s="26" t="s">
        <v>2750</v>
      </c>
      <c r="R265" s="96" t="s">
        <v>2751</v>
      </c>
      <c r="S265" s="7">
        <v>365000</v>
      </c>
      <c r="T265" s="7">
        <v>365000</v>
      </c>
      <c r="U265" s="7">
        <v>365000</v>
      </c>
      <c r="V265" s="7">
        <f t="shared" si="19"/>
        <v>0</v>
      </c>
      <c r="W265" s="5">
        <f t="shared" si="20"/>
        <v>0</v>
      </c>
      <c r="X265" s="39"/>
      <c r="Y265" s="33">
        <f>SUMPRODUCT((BIdetails!$J$5:$J$3000=M265)*(BIdetails!$K$5:$K$3000=N265)*(BIdetails!$M$5:$M$3000))</f>
        <v>0</v>
      </c>
      <c r="Z265" s="34">
        <f t="shared" si="21"/>
        <v>0</v>
      </c>
      <c r="AA265" s="31" t="s">
        <v>2758</v>
      </c>
      <c r="AB265" s="31" t="s">
        <v>2849</v>
      </c>
      <c r="AC265" s="31" t="s">
        <v>2785</v>
      </c>
      <c r="AD265" s="31"/>
    </row>
    <row r="266" spans="1:30" hidden="1" x14ac:dyDescent="0.25">
      <c r="A266" t="s">
        <v>2745</v>
      </c>
      <c r="B266" t="str">
        <f t="shared" si="18"/>
        <v>No Change</v>
      </c>
      <c r="C266" t="s">
        <v>3111</v>
      </c>
      <c r="D266">
        <v>68427709</v>
      </c>
      <c r="E266" s="101" t="s">
        <v>51</v>
      </c>
      <c r="F266" s="26" t="s">
        <v>52</v>
      </c>
      <c r="G266" s="26" t="s">
        <v>42</v>
      </c>
      <c r="H266" s="26" t="s">
        <v>3124</v>
      </c>
      <c r="I266" t="s">
        <v>2771</v>
      </c>
      <c r="J266" t="s">
        <v>2772</v>
      </c>
      <c r="K266" s="26">
        <v>117570</v>
      </c>
      <c r="L266" s="26" t="s">
        <v>437</v>
      </c>
      <c r="M266" s="29">
        <v>5401024359</v>
      </c>
      <c r="N266" s="21">
        <v>170</v>
      </c>
      <c r="O266" s="26" t="s">
        <v>2676</v>
      </c>
      <c r="P266" s="26" t="s">
        <v>2676</v>
      </c>
      <c r="Q266" s="26" t="s">
        <v>2750</v>
      </c>
      <c r="R266" s="96" t="s">
        <v>2751</v>
      </c>
      <c r="S266" s="7">
        <v>164000</v>
      </c>
      <c r="T266" s="7">
        <v>164000</v>
      </c>
      <c r="U266" s="7">
        <v>164000</v>
      </c>
      <c r="V266" s="7">
        <f t="shared" si="19"/>
        <v>0</v>
      </c>
      <c r="W266" s="5">
        <f t="shared" si="20"/>
        <v>0</v>
      </c>
      <c r="X266" s="39"/>
      <c r="Y266" s="33">
        <f>SUMPRODUCT((BIdetails!$J$5:$J$3000=M266)*(BIdetails!$K$5:$K$3000=N266)*(BIdetails!$M$5:$M$3000))</f>
        <v>0</v>
      </c>
      <c r="Z266" s="34">
        <f t="shared" si="21"/>
        <v>0</v>
      </c>
      <c r="AA266" s="31" t="s">
        <v>2758</v>
      </c>
      <c r="AB266" s="31" t="s">
        <v>2849</v>
      </c>
      <c r="AC266" s="31" t="s">
        <v>2785</v>
      </c>
      <c r="AD266" s="31"/>
    </row>
    <row r="267" spans="1:30" hidden="1" x14ac:dyDescent="0.25">
      <c r="A267" t="s">
        <v>2745</v>
      </c>
      <c r="B267" t="str">
        <f t="shared" si="18"/>
        <v>No Change</v>
      </c>
      <c r="C267" t="s">
        <v>3111</v>
      </c>
      <c r="D267">
        <v>68427709</v>
      </c>
      <c r="E267" s="101" t="s">
        <v>51</v>
      </c>
      <c r="F267" s="26" t="s">
        <v>52</v>
      </c>
      <c r="G267" t="s">
        <v>42</v>
      </c>
      <c r="H267" t="s">
        <v>3125</v>
      </c>
      <c r="I267" t="s">
        <v>2771</v>
      </c>
      <c r="J267" t="s">
        <v>2772</v>
      </c>
      <c r="K267">
        <v>117570</v>
      </c>
      <c r="L267" s="26" t="s">
        <v>437</v>
      </c>
      <c r="M267" s="29">
        <v>5401024359</v>
      </c>
      <c r="N267" s="28">
        <v>210</v>
      </c>
      <c r="O267" s="26" t="s">
        <v>2676</v>
      </c>
      <c r="P267" s="26" t="s">
        <v>2676</v>
      </c>
      <c r="Q267" t="s">
        <v>2750</v>
      </c>
      <c r="R267" s="96" t="s">
        <v>2751</v>
      </c>
      <c r="S267" s="7">
        <v>18700</v>
      </c>
      <c r="T267" s="7">
        <v>18700</v>
      </c>
      <c r="U267" s="7">
        <v>18700</v>
      </c>
      <c r="V267" s="7">
        <f t="shared" si="19"/>
        <v>0</v>
      </c>
      <c r="W267" s="5">
        <f t="shared" si="20"/>
        <v>0</v>
      </c>
      <c r="X267" s="39"/>
      <c r="Y267" s="33">
        <f>SUMPRODUCT((BIdetails!$J$5:$J$3000=M267)*(BIdetails!$K$5:$K$3000=N267)*(BIdetails!$M$5:$M$3000))</f>
        <v>0</v>
      </c>
      <c r="Z267" s="34">
        <f t="shared" si="21"/>
        <v>0</v>
      </c>
      <c r="AA267" s="31" t="s">
        <v>2758</v>
      </c>
      <c r="AB267" s="31" t="s">
        <v>2849</v>
      </c>
      <c r="AC267" s="31" t="s">
        <v>2785</v>
      </c>
      <c r="AD267" s="31"/>
    </row>
    <row r="268" spans="1:30" hidden="1" x14ac:dyDescent="0.25">
      <c r="A268" t="s">
        <v>2745</v>
      </c>
      <c r="B268" t="str">
        <f t="shared" si="18"/>
        <v>No Change</v>
      </c>
      <c r="C268" t="s">
        <v>3126</v>
      </c>
      <c r="D268">
        <v>68427709</v>
      </c>
      <c r="E268" s="101" t="s">
        <v>51</v>
      </c>
      <c r="F268" s="26" t="s">
        <v>52</v>
      </c>
      <c r="G268" s="26" t="s">
        <v>42</v>
      </c>
      <c r="H268" s="26" t="s">
        <v>3127</v>
      </c>
      <c r="I268" t="s">
        <v>2771</v>
      </c>
      <c r="J268" t="s">
        <v>2772</v>
      </c>
      <c r="K268" s="26">
        <v>117570</v>
      </c>
      <c r="L268" s="26" t="s">
        <v>437</v>
      </c>
      <c r="M268" s="28">
        <v>5400904056</v>
      </c>
      <c r="N268" s="28">
        <v>10</v>
      </c>
      <c r="O268" s="26" t="s">
        <v>2676</v>
      </c>
      <c r="P268" s="26" t="s">
        <v>2676</v>
      </c>
      <c r="Q268" s="26" t="s">
        <v>2750</v>
      </c>
      <c r="R268" s="96" t="s">
        <v>2751</v>
      </c>
      <c r="S268" s="7">
        <v>237000</v>
      </c>
      <c r="T268" s="7">
        <v>237000</v>
      </c>
      <c r="U268" s="7">
        <v>237000</v>
      </c>
      <c r="V268" s="7">
        <f t="shared" si="19"/>
        <v>0</v>
      </c>
      <c r="W268" s="5">
        <f t="shared" si="20"/>
        <v>0</v>
      </c>
      <c r="X268" s="39"/>
      <c r="Y268" s="33">
        <f>SUMPRODUCT((BIdetails!$J$5:$J$3000=M268)*(BIdetails!$K$5:$K$3000=N268)*(BIdetails!$M$5:$M$3000))</f>
        <v>0</v>
      </c>
      <c r="Z268" s="34">
        <f t="shared" si="21"/>
        <v>0</v>
      </c>
      <c r="AA268" s="31" t="s">
        <v>2758</v>
      </c>
      <c r="AB268" s="31" t="s">
        <v>2752</v>
      </c>
      <c r="AC268" s="31" t="s">
        <v>2785</v>
      </c>
      <c r="AD268" s="31"/>
    </row>
    <row r="269" spans="1:30" hidden="1" x14ac:dyDescent="0.25">
      <c r="A269" t="s">
        <v>2745</v>
      </c>
      <c r="B269" t="str">
        <f t="shared" si="18"/>
        <v>No Change</v>
      </c>
      <c r="D269">
        <v>68427709</v>
      </c>
      <c r="E269" s="101" t="s">
        <v>51</v>
      </c>
      <c r="F269" s="26" t="s">
        <v>52</v>
      </c>
      <c r="G269" s="26" t="s">
        <v>42</v>
      </c>
      <c r="H269" s="26" t="s">
        <v>1660</v>
      </c>
      <c r="I269" t="s">
        <v>2771</v>
      </c>
      <c r="J269" t="s">
        <v>2772</v>
      </c>
      <c r="K269" s="26">
        <v>117570</v>
      </c>
      <c r="L269" s="26" t="s">
        <v>437</v>
      </c>
      <c r="M269" s="21">
        <v>5401050766</v>
      </c>
      <c r="N269" s="21">
        <v>10</v>
      </c>
      <c r="O269" s="26" t="s">
        <v>2676</v>
      </c>
      <c r="P269" s="96" t="s">
        <v>2676</v>
      </c>
      <c r="Q269" s="26" t="s">
        <v>2750</v>
      </c>
      <c r="R269" s="96" t="s">
        <v>2751</v>
      </c>
      <c r="S269" s="7">
        <v>10000</v>
      </c>
      <c r="T269" s="7">
        <v>10000</v>
      </c>
      <c r="U269" s="7">
        <v>10000</v>
      </c>
      <c r="V269" s="7">
        <f t="shared" si="19"/>
        <v>0</v>
      </c>
      <c r="W269" s="5">
        <f t="shared" si="20"/>
        <v>0</v>
      </c>
      <c r="X269" s="22"/>
      <c r="Y269" s="33">
        <f>SUMPRODUCT((BIdetails!$J$5:$J$3000=M269)*(BIdetails!$K$5:$K$3000=N269)*(BIdetails!$M$5:$M$3000))</f>
        <v>0</v>
      </c>
      <c r="Z269" s="34">
        <f t="shared" si="21"/>
        <v>0</v>
      </c>
      <c r="AA269" s="31" t="s">
        <v>2758</v>
      </c>
      <c r="AB269" s="31" t="s">
        <v>2752</v>
      </c>
      <c r="AC269" s="31" t="s">
        <v>2774</v>
      </c>
      <c r="AD269" s="31"/>
    </row>
    <row r="270" spans="1:30" hidden="1" x14ac:dyDescent="0.25">
      <c r="A270" t="s">
        <v>2745</v>
      </c>
      <c r="B270" t="str">
        <f t="shared" si="18"/>
        <v>No Change</v>
      </c>
      <c r="D270">
        <v>68427709</v>
      </c>
      <c r="E270" s="101" t="s">
        <v>51</v>
      </c>
      <c r="F270" s="26" t="s">
        <v>52</v>
      </c>
      <c r="G270" s="26" t="s">
        <v>42</v>
      </c>
      <c r="H270" s="26" t="s">
        <v>3128</v>
      </c>
      <c r="I270" t="s">
        <v>2771</v>
      </c>
      <c r="J270" t="s">
        <v>2772</v>
      </c>
      <c r="K270">
        <v>117570</v>
      </c>
      <c r="L270" t="s">
        <v>437</v>
      </c>
      <c r="M270" s="217">
        <v>5401024359</v>
      </c>
      <c r="N270" s="21">
        <v>230</v>
      </c>
      <c r="O270" s="26" t="s">
        <v>2676</v>
      </c>
      <c r="P270" s="26" t="s">
        <v>2676</v>
      </c>
      <c r="Q270" t="s">
        <v>2750</v>
      </c>
      <c r="R270" s="96" t="s">
        <v>2751</v>
      </c>
      <c r="S270" s="7">
        <v>21250</v>
      </c>
      <c r="T270" s="7">
        <v>21250</v>
      </c>
      <c r="U270" s="7">
        <v>21250</v>
      </c>
      <c r="V270" s="7">
        <f t="shared" si="19"/>
        <v>0</v>
      </c>
      <c r="W270" s="5">
        <f t="shared" si="20"/>
        <v>0</v>
      </c>
      <c r="X270" s="22"/>
      <c r="Y270" s="33">
        <f>SUMPRODUCT((BIdetails!$J$5:$J$3000=M270)*(BIdetails!$K$5:$K$3000=N270)*(BIdetails!$M$5:$M$3000))</f>
        <v>0</v>
      </c>
      <c r="Z270" s="34">
        <f t="shared" si="21"/>
        <v>0</v>
      </c>
      <c r="AA270" s="31" t="s">
        <v>2997</v>
      </c>
      <c r="AB270" s="31" t="s">
        <v>2752</v>
      </c>
      <c r="AC270" s="31"/>
      <c r="AD270" s="31"/>
    </row>
    <row r="271" spans="1:30" hidden="1" x14ac:dyDescent="0.25">
      <c r="A271" t="s">
        <v>2745</v>
      </c>
      <c r="B271" t="str">
        <f t="shared" si="18"/>
        <v>No Change</v>
      </c>
      <c r="D271">
        <v>68427709</v>
      </c>
      <c r="E271" s="101" t="s">
        <v>51</v>
      </c>
      <c r="F271" s="26" t="s">
        <v>52</v>
      </c>
      <c r="G271" s="26" t="s">
        <v>42</v>
      </c>
      <c r="H271" s="26" t="s">
        <v>1628</v>
      </c>
      <c r="I271" t="s">
        <v>2771</v>
      </c>
      <c r="J271" t="s">
        <v>2772</v>
      </c>
      <c r="K271">
        <v>117570</v>
      </c>
      <c r="L271" t="s">
        <v>437</v>
      </c>
      <c r="M271" s="217">
        <v>5401024336</v>
      </c>
      <c r="N271" s="21">
        <v>10</v>
      </c>
      <c r="O271" s="26" t="s">
        <v>2676</v>
      </c>
      <c r="P271" s="26" t="s">
        <v>2676</v>
      </c>
      <c r="Q271" t="s">
        <v>2750</v>
      </c>
      <c r="R271" s="96" t="s">
        <v>2751</v>
      </c>
      <c r="S271" s="7">
        <v>29000</v>
      </c>
      <c r="T271" s="7">
        <v>29000</v>
      </c>
      <c r="U271" s="7">
        <v>29000</v>
      </c>
      <c r="V271" s="7">
        <f t="shared" si="19"/>
        <v>0</v>
      </c>
      <c r="W271" s="5">
        <f t="shared" si="20"/>
        <v>0</v>
      </c>
      <c r="X271" s="22"/>
      <c r="Y271" s="33">
        <f>SUMPRODUCT((BIdetails!$J$5:$J$3000=M271)*(BIdetails!$K$5:$K$3000=N271)*(BIdetails!$M$5:$M$3000))</f>
        <v>0</v>
      </c>
      <c r="Z271" s="34">
        <f t="shared" si="21"/>
        <v>0</v>
      </c>
      <c r="AA271" s="31"/>
      <c r="AB271" s="31"/>
      <c r="AC271" s="31"/>
      <c r="AD271" s="31"/>
    </row>
    <row r="272" spans="1:30" hidden="1" x14ac:dyDescent="0.25">
      <c r="A272" t="s">
        <v>2745</v>
      </c>
      <c r="B272" t="str">
        <f t="shared" si="18"/>
        <v>No Change</v>
      </c>
      <c r="C272" t="s">
        <v>3111</v>
      </c>
      <c r="D272">
        <v>68427709</v>
      </c>
      <c r="E272" s="101" t="s">
        <v>51</v>
      </c>
      <c r="F272" s="26" t="s">
        <v>52</v>
      </c>
      <c r="G272" s="26" t="s">
        <v>42</v>
      </c>
      <c r="H272" s="26" t="s">
        <v>3129</v>
      </c>
      <c r="I272" t="s">
        <v>2771</v>
      </c>
      <c r="J272" t="s">
        <v>3130</v>
      </c>
      <c r="K272" s="26">
        <v>117570</v>
      </c>
      <c r="L272" s="26" t="s">
        <v>437</v>
      </c>
      <c r="M272" s="29">
        <v>5401024359</v>
      </c>
      <c r="N272" s="28">
        <v>40</v>
      </c>
      <c r="O272" s="26" t="s">
        <v>2676</v>
      </c>
      <c r="P272" s="26" t="s">
        <v>2676</v>
      </c>
      <c r="Q272" s="26" t="s">
        <v>2750</v>
      </c>
      <c r="R272" s="96" t="s">
        <v>2751</v>
      </c>
      <c r="S272" s="7">
        <v>125272</v>
      </c>
      <c r="T272" s="7">
        <v>125272</v>
      </c>
      <c r="U272" s="7">
        <v>125272</v>
      </c>
      <c r="V272" s="7">
        <f t="shared" si="19"/>
        <v>0</v>
      </c>
      <c r="W272" s="5">
        <f t="shared" si="20"/>
        <v>0</v>
      </c>
      <c r="X272" s="22"/>
      <c r="Y272" s="33">
        <f>SUMPRODUCT((BIdetails!$J$5:$J$3000=M272)*(BIdetails!$K$5:$K$3000=N272)*(BIdetails!$M$5:$M$3000))</f>
        <v>0</v>
      </c>
      <c r="Z272" s="34">
        <f t="shared" si="21"/>
        <v>0</v>
      </c>
      <c r="AA272" s="31" t="s">
        <v>2758</v>
      </c>
      <c r="AB272" s="31" t="s">
        <v>2849</v>
      </c>
      <c r="AC272" s="31" t="s">
        <v>2785</v>
      </c>
      <c r="AD272" s="31"/>
    </row>
    <row r="273" spans="1:30" hidden="1" x14ac:dyDescent="0.25">
      <c r="A273" t="s">
        <v>2745</v>
      </c>
      <c r="B273" t="str">
        <f t="shared" si="18"/>
        <v>No Change</v>
      </c>
      <c r="C273" t="s">
        <v>3111</v>
      </c>
      <c r="D273">
        <v>68427709</v>
      </c>
      <c r="E273" s="101" t="s">
        <v>51</v>
      </c>
      <c r="F273" s="26" t="s">
        <v>52</v>
      </c>
      <c r="G273" s="26" t="s">
        <v>42</v>
      </c>
      <c r="H273" s="26" t="s">
        <v>3131</v>
      </c>
      <c r="I273" t="s">
        <v>2771</v>
      </c>
      <c r="J273" s="26" t="s">
        <v>3132</v>
      </c>
      <c r="K273" s="26">
        <v>117570</v>
      </c>
      <c r="L273" s="26" t="s">
        <v>437</v>
      </c>
      <c r="M273" s="29">
        <v>5401024359</v>
      </c>
      <c r="N273" s="28">
        <v>50</v>
      </c>
      <c r="O273" s="26" t="s">
        <v>2676</v>
      </c>
      <c r="P273" s="26" t="s">
        <v>2676</v>
      </c>
      <c r="Q273" s="26" t="s">
        <v>2750</v>
      </c>
      <c r="R273" s="96" t="s">
        <v>2751</v>
      </c>
      <c r="S273" s="7">
        <v>61486</v>
      </c>
      <c r="T273" s="7">
        <v>61486</v>
      </c>
      <c r="U273" s="7">
        <v>61486</v>
      </c>
      <c r="V273" s="7">
        <f t="shared" si="19"/>
        <v>0</v>
      </c>
      <c r="W273" s="5">
        <f t="shared" si="20"/>
        <v>0</v>
      </c>
      <c r="X273" s="39"/>
      <c r="Y273" s="33">
        <f>SUMPRODUCT((BIdetails!$J$5:$J$3000=M273)*(BIdetails!$K$5:$K$3000=N273)*(BIdetails!$M$5:$M$3000))</f>
        <v>0</v>
      </c>
      <c r="Z273" s="34">
        <f t="shared" si="21"/>
        <v>0</v>
      </c>
      <c r="AA273" s="31" t="s">
        <v>2758</v>
      </c>
      <c r="AB273" s="31" t="s">
        <v>2849</v>
      </c>
      <c r="AC273" s="31" t="s">
        <v>2785</v>
      </c>
      <c r="AD273" s="31"/>
    </row>
    <row r="274" spans="1:30" hidden="1" x14ac:dyDescent="0.25">
      <c r="A274" t="s">
        <v>2745</v>
      </c>
      <c r="B274" t="str">
        <f t="shared" si="18"/>
        <v>No Change</v>
      </c>
      <c r="C274" t="s">
        <v>3111</v>
      </c>
      <c r="D274">
        <v>68427709</v>
      </c>
      <c r="E274" s="101" t="s">
        <v>51</v>
      </c>
      <c r="F274" s="26" t="s">
        <v>52</v>
      </c>
      <c r="G274" s="26" t="s">
        <v>42</v>
      </c>
      <c r="H274" s="26" t="s">
        <v>3133</v>
      </c>
      <c r="I274" t="s">
        <v>2771</v>
      </c>
      <c r="J274" t="s">
        <v>3134</v>
      </c>
      <c r="K274" s="26">
        <v>117570</v>
      </c>
      <c r="L274" s="26" t="s">
        <v>437</v>
      </c>
      <c r="M274" s="29">
        <v>5401024359</v>
      </c>
      <c r="N274" s="21">
        <v>180</v>
      </c>
      <c r="O274" s="26" t="s">
        <v>2676</v>
      </c>
      <c r="P274" s="26" t="s">
        <v>2676</v>
      </c>
      <c r="Q274" s="26" t="s">
        <v>2750</v>
      </c>
      <c r="R274" s="96" t="s">
        <v>2751</v>
      </c>
      <c r="S274" s="7">
        <v>1000</v>
      </c>
      <c r="T274" s="7">
        <v>1000</v>
      </c>
      <c r="U274" s="7">
        <v>1000</v>
      </c>
      <c r="V274" s="7">
        <f t="shared" si="19"/>
        <v>0</v>
      </c>
      <c r="W274" s="5">
        <f t="shared" si="20"/>
        <v>0</v>
      </c>
      <c r="X274" s="39"/>
      <c r="Y274" s="33">
        <f>SUMPRODUCT((BIdetails!$J$5:$J$3000=M274)*(BIdetails!$K$5:$K$3000=N274)*(BIdetails!$M$5:$M$3000))</f>
        <v>0</v>
      </c>
      <c r="Z274" s="34">
        <f t="shared" si="21"/>
        <v>0</v>
      </c>
      <c r="AA274" s="31" t="s">
        <v>2758</v>
      </c>
      <c r="AB274" s="31" t="s">
        <v>2752</v>
      </c>
      <c r="AC274" s="31" t="s">
        <v>2785</v>
      </c>
      <c r="AD274" s="31"/>
    </row>
    <row r="275" spans="1:30" hidden="1" x14ac:dyDescent="0.25">
      <c r="A275" t="s">
        <v>2745</v>
      </c>
      <c r="B275" t="str">
        <f t="shared" si="18"/>
        <v>Decommissioned</v>
      </c>
      <c r="C275" t="s">
        <v>3135</v>
      </c>
      <c r="D275">
        <v>68427709</v>
      </c>
      <c r="E275" s="101" t="s">
        <v>51</v>
      </c>
      <c r="F275" s="26" t="s">
        <v>52</v>
      </c>
      <c r="G275" s="26" t="s">
        <v>42</v>
      </c>
      <c r="H275" s="26" t="s">
        <v>1299</v>
      </c>
      <c r="I275" t="s">
        <v>2771</v>
      </c>
      <c r="J275" t="s">
        <v>3134</v>
      </c>
      <c r="K275" s="26">
        <v>117570</v>
      </c>
      <c r="L275" s="26" t="s">
        <v>437</v>
      </c>
      <c r="M275"/>
      <c r="O275" s="26" t="s">
        <v>2676</v>
      </c>
      <c r="P275" s="26" t="s">
        <v>2861</v>
      </c>
      <c r="Q275" s="26" t="s">
        <v>2750</v>
      </c>
      <c r="R275" s="96" t="s">
        <v>850</v>
      </c>
      <c r="S275" s="7">
        <v>95000</v>
      </c>
      <c r="T275" s="7">
        <v>95000</v>
      </c>
      <c r="U275" s="7">
        <v>0</v>
      </c>
      <c r="V275" s="7">
        <f t="shared" si="19"/>
        <v>-95000</v>
      </c>
      <c r="W275" s="5">
        <f t="shared" si="20"/>
        <v>-1</v>
      </c>
      <c r="X275" s="22"/>
      <c r="Y275" s="33">
        <f>SUMPRODUCT((BIdetails!$J$5:$J$3000=M275)*(BIdetails!$K$5:$K$3000=N275)*(BIdetails!$M$5:$M$3000))</f>
        <v>0</v>
      </c>
      <c r="Z275" s="34" t="str">
        <f t="shared" si="21"/>
        <v/>
      </c>
      <c r="AA275" s="31"/>
      <c r="AB275" s="31"/>
      <c r="AC275" s="31"/>
      <c r="AD275" s="31"/>
    </row>
    <row r="276" spans="1:30" hidden="1" x14ac:dyDescent="0.25">
      <c r="A276" t="s">
        <v>2745</v>
      </c>
      <c r="B276" t="str">
        <f t="shared" si="18"/>
        <v>No Change</v>
      </c>
      <c r="C276" t="s">
        <v>3111</v>
      </c>
      <c r="D276">
        <v>68427709</v>
      </c>
      <c r="E276" s="101" t="s">
        <v>51</v>
      </c>
      <c r="F276" s="26" t="s">
        <v>52</v>
      </c>
      <c r="G276" s="26" t="s">
        <v>42</v>
      </c>
      <c r="H276" s="26" t="s">
        <v>3136</v>
      </c>
      <c r="I276" t="s">
        <v>2771</v>
      </c>
      <c r="J276" s="26" t="s">
        <v>3137</v>
      </c>
      <c r="K276" s="26">
        <v>117570</v>
      </c>
      <c r="L276" s="26" t="s">
        <v>437</v>
      </c>
      <c r="M276" s="29">
        <v>5401024359</v>
      </c>
      <c r="N276" s="28">
        <v>20</v>
      </c>
      <c r="O276" s="26" t="s">
        <v>2676</v>
      </c>
      <c r="P276" s="26" t="s">
        <v>2676</v>
      </c>
      <c r="Q276" s="26" t="s">
        <v>2750</v>
      </c>
      <c r="R276" s="96" t="s">
        <v>2751</v>
      </c>
      <c r="S276" s="7">
        <v>15961</v>
      </c>
      <c r="T276" s="7">
        <v>15961</v>
      </c>
      <c r="U276" s="7">
        <v>15961</v>
      </c>
      <c r="V276" s="7">
        <f t="shared" si="19"/>
        <v>0</v>
      </c>
      <c r="W276" s="5">
        <f t="shared" si="20"/>
        <v>0</v>
      </c>
      <c r="X276" s="39"/>
      <c r="Y276" s="33">
        <f>SUMPRODUCT((BIdetails!$J$5:$J$3000=M276)*(BIdetails!$K$5:$K$3000=N276)*(BIdetails!$M$5:$M$3000))</f>
        <v>0</v>
      </c>
      <c r="Z276" s="34">
        <f t="shared" si="21"/>
        <v>0</v>
      </c>
      <c r="AA276" s="31" t="s">
        <v>2758</v>
      </c>
      <c r="AB276" s="31" t="s">
        <v>2849</v>
      </c>
      <c r="AC276" s="31" t="s">
        <v>2785</v>
      </c>
      <c r="AD276" s="31"/>
    </row>
    <row r="277" spans="1:30" hidden="1" x14ac:dyDescent="0.25">
      <c r="A277" t="s">
        <v>2745</v>
      </c>
      <c r="B277" t="str">
        <f t="shared" si="18"/>
        <v>No Change</v>
      </c>
      <c r="D277">
        <v>68427709</v>
      </c>
      <c r="E277" s="101" t="s">
        <v>51</v>
      </c>
      <c r="F277" s="26" t="s">
        <v>52</v>
      </c>
      <c r="G277" s="26" t="s">
        <v>42</v>
      </c>
      <c r="H277" s="26" t="s">
        <v>3138</v>
      </c>
      <c r="I277" t="s">
        <v>2771</v>
      </c>
      <c r="J277" t="s">
        <v>3022</v>
      </c>
      <c r="K277" s="26">
        <v>117570</v>
      </c>
      <c r="L277" s="26" t="s">
        <v>437</v>
      </c>
      <c r="M277" s="29">
        <v>5401024359</v>
      </c>
      <c r="N277" s="28">
        <v>30</v>
      </c>
      <c r="O277" s="26" t="s">
        <v>2676</v>
      </c>
      <c r="P277" s="26" t="s">
        <v>2676</v>
      </c>
      <c r="Q277" s="26" t="s">
        <v>2750</v>
      </c>
      <c r="R277" s="96" t="s">
        <v>2751</v>
      </c>
      <c r="S277" s="7">
        <v>65148</v>
      </c>
      <c r="T277" s="7">
        <v>65148</v>
      </c>
      <c r="U277" s="7">
        <v>65148</v>
      </c>
      <c r="V277" s="7">
        <f t="shared" si="19"/>
        <v>0</v>
      </c>
      <c r="W277" s="5">
        <f t="shared" si="20"/>
        <v>0</v>
      </c>
      <c r="X277" s="39"/>
      <c r="Y277" s="33">
        <f>SUMPRODUCT((BIdetails!$J$5:$J$3000=M277)*(BIdetails!$K$5:$K$3000=N277)*(BIdetails!$M$5:$M$3000))</f>
        <v>0</v>
      </c>
      <c r="Z277" s="34">
        <f t="shared" si="21"/>
        <v>0</v>
      </c>
      <c r="AA277" s="31" t="s">
        <v>2758</v>
      </c>
      <c r="AB277" s="31" t="s">
        <v>2849</v>
      </c>
      <c r="AC277" s="31" t="s">
        <v>2785</v>
      </c>
      <c r="AD277" s="31"/>
    </row>
    <row r="278" spans="1:30" hidden="1" x14ac:dyDescent="0.25">
      <c r="A278" t="s">
        <v>2745</v>
      </c>
      <c r="B278" t="str">
        <f t="shared" si="18"/>
        <v>Decrease</v>
      </c>
      <c r="C278" t="s">
        <v>3139</v>
      </c>
      <c r="D278">
        <v>68427709</v>
      </c>
      <c r="E278" s="95" t="s">
        <v>51</v>
      </c>
      <c r="F278" t="s">
        <v>52</v>
      </c>
      <c r="G278" t="s">
        <v>42</v>
      </c>
      <c r="H278" t="s">
        <v>3140</v>
      </c>
      <c r="I278">
        <v>0</v>
      </c>
      <c r="J278" t="s">
        <v>3141</v>
      </c>
      <c r="K278">
        <v>117570</v>
      </c>
      <c r="L278" t="s">
        <v>437</v>
      </c>
      <c r="M278">
        <v>5401019012</v>
      </c>
      <c r="N278" s="21">
        <v>10</v>
      </c>
      <c r="O278" t="s">
        <v>2676</v>
      </c>
      <c r="P278" s="96" t="s">
        <v>1939</v>
      </c>
      <c r="Q278" t="s">
        <v>2750</v>
      </c>
      <c r="R278" s="96" t="s">
        <v>3016</v>
      </c>
      <c r="S278" s="7">
        <v>455000</v>
      </c>
      <c r="T278" s="7">
        <v>455000</v>
      </c>
      <c r="U278" s="7">
        <v>432000</v>
      </c>
      <c r="V278" s="7">
        <f t="shared" si="19"/>
        <v>-23000</v>
      </c>
      <c r="W278" s="5">
        <f t="shared" si="20"/>
        <v>-5.054945054945055E-2</v>
      </c>
      <c r="X278" s="39"/>
      <c r="Y278" s="33">
        <f>SUMPRODUCT((BIdetails!$J$5:$J$3000=M278)*(BIdetails!$K$5:$K$3000=N278)*(BIdetails!$M$5:$M$3000))</f>
        <v>0</v>
      </c>
      <c r="Z278" s="34">
        <f t="shared" si="21"/>
        <v>0</v>
      </c>
      <c r="AA278" s="31"/>
      <c r="AB278" s="31"/>
      <c r="AC278" s="31"/>
      <c r="AD278" s="31"/>
    </row>
    <row r="279" spans="1:30" hidden="1" x14ac:dyDescent="0.25">
      <c r="A279" t="s">
        <v>2745</v>
      </c>
      <c r="B279" t="str">
        <f t="shared" ref="B279:B316" si="22">IF(T279=U279,"No Change",IF(AND(U279&lt;&gt;0,U279&lt;T279),"Decrease",IF(AND(U279&lt;&gt;0,T279=0),"New",IF(AND(T279&lt;&gt;0,U279=0),"Decommissioned","Increase"))))</f>
        <v>No Change</v>
      </c>
      <c r="C279" t="s">
        <v>3142</v>
      </c>
      <c r="D279">
        <v>68427709</v>
      </c>
      <c r="E279" s="95" t="s">
        <v>51</v>
      </c>
      <c r="F279" t="s">
        <v>52</v>
      </c>
      <c r="G279" t="s">
        <v>42</v>
      </c>
      <c r="H279" t="s">
        <v>285</v>
      </c>
      <c r="I279">
        <v>0</v>
      </c>
      <c r="J279" t="s">
        <v>3143</v>
      </c>
      <c r="K279">
        <v>117570</v>
      </c>
      <c r="L279" t="s">
        <v>437</v>
      </c>
      <c r="M279">
        <v>5400880684</v>
      </c>
      <c r="N279" s="218">
        <v>30</v>
      </c>
      <c r="O279" t="s">
        <v>2676</v>
      </c>
      <c r="P279" s="26" t="s">
        <v>3144</v>
      </c>
      <c r="Q279" t="s">
        <v>2767</v>
      </c>
      <c r="R279" t="s">
        <v>3145</v>
      </c>
      <c r="S279" s="7">
        <v>130000</v>
      </c>
      <c r="T279" s="7">
        <v>130000</v>
      </c>
      <c r="U279" s="7">
        <v>130000</v>
      </c>
      <c r="V279" s="7">
        <f t="shared" ref="V279:V345" si="23">U279-T279</f>
        <v>0</v>
      </c>
      <c r="W279" s="5">
        <f t="shared" si="20"/>
        <v>0</v>
      </c>
      <c r="X279" s="39"/>
      <c r="Y279" s="33">
        <f>SUMPRODUCT((BIdetails!$J$5:$J$3000=M279)*(BIdetails!$K$5:$K$3000=N279)*(BIdetails!$M$5:$M$3000))</f>
        <v>0</v>
      </c>
      <c r="Z279" s="34">
        <f t="shared" si="21"/>
        <v>0</v>
      </c>
      <c r="AA279" s="31" t="s">
        <v>2997</v>
      </c>
      <c r="AB279" s="31" t="s">
        <v>2920</v>
      </c>
      <c r="AC279" s="31"/>
      <c r="AD279" s="31"/>
    </row>
    <row r="280" spans="1:30" hidden="1" x14ac:dyDescent="0.25">
      <c r="A280" t="s">
        <v>2745</v>
      </c>
      <c r="B280" t="str">
        <f t="shared" si="22"/>
        <v>No Change</v>
      </c>
      <c r="C280" t="s">
        <v>3146</v>
      </c>
      <c r="D280">
        <v>68427709</v>
      </c>
      <c r="E280" s="95" t="s">
        <v>53</v>
      </c>
      <c r="F280" s="26" t="s">
        <v>54</v>
      </c>
      <c r="G280" s="26" t="s">
        <v>42</v>
      </c>
      <c r="H280" s="26" t="s">
        <v>257</v>
      </c>
      <c r="I280" t="s">
        <v>2771</v>
      </c>
      <c r="J280" t="s">
        <v>3147</v>
      </c>
      <c r="K280" s="26">
        <v>117570</v>
      </c>
      <c r="L280" s="26" t="s">
        <v>437</v>
      </c>
      <c r="M280" s="29">
        <v>5401024359</v>
      </c>
      <c r="N280" s="28">
        <v>240</v>
      </c>
      <c r="O280" s="26" t="s">
        <v>2676</v>
      </c>
      <c r="P280" s="26" t="s">
        <v>2861</v>
      </c>
      <c r="Q280" s="26" t="s">
        <v>2750</v>
      </c>
      <c r="R280" s="26" t="s">
        <v>850</v>
      </c>
      <c r="S280" s="7">
        <v>11000</v>
      </c>
      <c r="T280" s="7">
        <v>11000</v>
      </c>
      <c r="U280" s="7">
        <v>11000</v>
      </c>
      <c r="V280" s="7">
        <f t="shared" si="23"/>
        <v>0</v>
      </c>
      <c r="W280" s="5">
        <f t="shared" si="20"/>
        <v>0</v>
      </c>
      <c r="X280" s="39"/>
      <c r="Y280" s="33">
        <f>SUMPRODUCT((BIdetails!$J$5:$J$3000=M280)*(BIdetails!$K$5:$K$3000=N280)*(BIdetails!$M$5:$M$3000))</f>
        <v>0</v>
      </c>
      <c r="Z280" s="34">
        <f t="shared" si="21"/>
        <v>0</v>
      </c>
      <c r="AA280" s="31" t="s">
        <v>2758</v>
      </c>
      <c r="AB280" s="31" t="s">
        <v>2752</v>
      </c>
      <c r="AC280" s="31"/>
      <c r="AD280" s="31"/>
    </row>
    <row r="281" spans="1:30" hidden="1" x14ac:dyDescent="0.25">
      <c r="A281" t="s">
        <v>2745</v>
      </c>
      <c r="B281" t="str">
        <f t="shared" si="22"/>
        <v>No Change</v>
      </c>
      <c r="C281" t="s">
        <v>3111</v>
      </c>
      <c r="D281">
        <v>68427709</v>
      </c>
      <c r="E281" s="101" t="s">
        <v>51</v>
      </c>
      <c r="F281" s="26" t="s">
        <v>52</v>
      </c>
      <c r="G281" s="26" t="s">
        <v>42</v>
      </c>
      <c r="H281" t="s">
        <v>3148</v>
      </c>
      <c r="I281" t="s">
        <v>2771</v>
      </c>
      <c r="J281" t="s">
        <v>3149</v>
      </c>
      <c r="K281">
        <v>117570</v>
      </c>
      <c r="L281" t="s">
        <v>437</v>
      </c>
      <c r="M281" s="29">
        <v>5401024359</v>
      </c>
      <c r="N281" s="21">
        <v>200</v>
      </c>
      <c r="O281" t="s">
        <v>2676</v>
      </c>
      <c r="P281" s="26" t="s">
        <v>2676</v>
      </c>
      <c r="Q281" t="s">
        <v>2750</v>
      </c>
      <c r="R281" s="96" t="s">
        <v>2751</v>
      </c>
      <c r="S281" s="7">
        <v>219000</v>
      </c>
      <c r="T281" s="7">
        <v>219000</v>
      </c>
      <c r="U281" s="7">
        <v>219000</v>
      </c>
      <c r="V281" s="7">
        <f t="shared" si="23"/>
        <v>0</v>
      </c>
      <c r="W281" s="5">
        <f t="shared" si="20"/>
        <v>0</v>
      </c>
      <c r="X281" s="39"/>
      <c r="Y281" s="33">
        <f>SUMPRODUCT((BIdetails!$J$5:$J$3000=M281)*(BIdetails!$K$5:$K$3000=N281)*(BIdetails!$M$5:$M$3000))</f>
        <v>0</v>
      </c>
      <c r="Z281" s="34">
        <f t="shared" si="21"/>
        <v>0</v>
      </c>
      <c r="AA281" s="31" t="s">
        <v>2758</v>
      </c>
      <c r="AB281" s="31" t="s">
        <v>2752</v>
      </c>
      <c r="AC281" s="31" t="s">
        <v>2785</v>
      </c>
      <c r="AD281" s="31"/>
    </row>
    <row r="282" spans="1:30" hidden="1" x14ac:dyDescent="0.25">
      <c r="A282" t="s">
        <v>2745</v>
      </c>
      <c r="B282" t="str">
        <f t="shared" si="22"/>
        <v>Increase</v>
      </c>
      <c r="C282" t="s">
        <v>3150</v>
      </c>
      <c r="D282">
        <v>68427709</v>
      </c>
      <c r="E282" s="95" t="s">
        <v>53</v>
      </c>
      <c r="F282" t="s">
        <v>54</v>
      </c>
      <c r="G282" t="s">
        <v>42</v>
      </c>
      <c r="H282" t="s">
        <v>3151</v>
      </c>
      <c r="I282">
        <v>0</v>
      </c>
      <c r="J282" t="s">
        <v>2817</v>
      </c>
      <c r="K282">
        <v>117570</v>
      </c>
      <c r="L282" t="s">
        <v>437</v>
      </c>
      <c r="M282" s="21">
        <v>5400913334</v>
      </c>
      <c r="N282" s="21">
        <v>30</v>
      </c>
      <c r="O282" t="s">
        <v>2676</v>
      </c>
      <c r="P282" s="26" t="s">
        <v>2676</v>
      </c>
      <c r="Q282" s="26" t="s">
        <v>2762</v>
      </c>
      <c r="R282" t="s">
        <v>2851</v>
      </c>
      <c r="S282" s="7">
        <v>462000</v>
      </c>
      <c r="T282" s="7">
        <v>562000</v>
      </c>
      <c r="U282" s="7">
        <v>606000</v>
      </c>
      <c r="V282" s="7">
        <f t="shared" si="23"/>
        <v>44000</v>
      </c>
      <c r="W282" s="5">
        <f t="shared" si="20"/>
        <v>7.8291814946619215E-2</v>
      </c>
      <c r="X282" s="39"/>
      <c r="Y282" s="33">
        <f>SUMPRODUCT((BIdetails!$J$5:$J$3000=M282)*(BIdetails!$K$5:$K$3000=N282)*(BIdetails!$M$5:$M$3000))</f>
        <v>0</v>
      </c>
      <c r="Z282" s="178">
        <f t="shared" si="21"/>
        <v>0</v>
      </c>
      <c r="AA282" s="31"/>
      <c r="AB282" s="31"/>
      <c r="AC282" s="31"/>
      <c r="AD282" s="31"/>
    </row>
    <row r="283" spans="1:30" hidden="1" x14ac:dyDescent="0.25">
      <c r="A283" t="s">
        <v>2745</v>
      </c>
      <c r="B283" t="str">
        <f t="shared" si="22"/>
        <v>Decommissioned</v>
      </c>
      <c r="D283">
        <v>68427709</v>
      </c>
      <c r="E283" s="95" t="s">
        <v>53</v>
      </c>
      <c r="F283" t="s">
        <v>54</v>
      </c>
      <c r="G283" t="s">
        <v>42</v>
      </c>
      <c r="H283" s="26" t="s">
        <v>2421</v>
      </c>
      <c r="J283" t="s">
        <v>3152</v>
      </c>
      <c r="K283" s="26">
        <v>209836</v>
      </c>
      <c r="L283" s="26" t="s">
        <v>3153</v>
      </c>
      <c r="M283" s="217"/>
      <c r="O283" s="26" t="s">
        <v>2676</v>
      </c>
      <c r="P283" s="26" t="s">
        <v>2314</v>
      </c>
      <c r="Q283" t="s">
        <v>2762</v>
      </c>
      <c r="R283" t="s">
        <v>321</v>
      </c>
      <c r="S283" s="7">
        <v>115000</v>
      </c>
      <c r="T283" s="7">
        <v>70000</v>
      </c>
      <c r="U283" s="7">
        <v>0</v>
      </c>
      <c r="V283" s="7">
        <f t="shared" si="23"/>
        <v>-70000</v>
      </c>
      <c r="W283" s="5">
        <f t="shared" si="20"/>
        <v>-1</v>
      </c>
      <c r="X283" s="22"/>
      <c r="Y283" s="33">
        <f>SUMPRODUCT((BIdetails!$J$5:$J$3000=M283)*(BIdetails!$K$5:$K$3000=N283)*(BIdetails!$M$5:$M$3000))</f>
        <v>0</v>
      </c>
      <c r="Z283" s="34" t="str">
        <f t="shared" si="21"/>
        <v/>
      </c>
      <c r="AA283" s="31"/>
      <c r="AB283" s="31"/>
      <c r="AC283" s="31"/>
      <c r="AD283" s="31"/>
    </row>
    <row r="284" spans="1:30" x14ac:dyDescent="0.25">
      <c r="A284" t="s">
        <v>2745</v>
      </c>
      <c r="B284" t="str">
        <f t="shared" si="22"/>
        <v>No Change</v>
      </c>
      <c r="C284" t="s">
        <v>3154</v>
      </c>
      <c r="D284">
        <v>68427709</v>
      </c>
      <c r="E284" s="95" t="s">
        <v>49</v>
      </c>
      <c r="F284" t="s">
        <v>50</v>
      </c>
      <c r="G284" s="96" t="s">
        <v>42</v>
      </c>
      <c r="H284" t="s">
        <v>637</v>
      </c>
      <c r="I284">
        <v>0</v>
      </c>
      <c r="J284" s="96" t="s">
        <v>2819</v>
      </c>
      <c r="K284">
        <v>198668</v>
      </c>
      <c r="L284" t="s">
        <v>3155</v>
      </c>
      <c r="M284">
        <v>5400958294</v>
      </c>
      <c r="N284" s="21">
        <v>20</v>
      </c>
      <c r="O284" s="26" t="s">
        <v>2652</v>
      </c>
      <c r="P284" s="26" t="s">
        <v>2652</v>
      </c>
      <c r="Q284" t="s">
        <v>2762</v>
      </c>
      <c r="R284" t="s">
        <v>40</v>
      </c>
      <c r="S284" s="7">
        <v>330000</v>
      </c>
      <c r="T284" s="7">
        <v>362000</v>
      </c>
      <c r="U284" s="7">
        <v>362000</v>
      </c>
      <c r="V284" s="7">
        <f t="shared" si="23"/>
        <v>0</v>
      </c>
      <c r="W284" s="5">
        <f t="shared" si="20"/>
        <v>0</v>
      </c>
      <c r="X284" s="39"/>
      <c r="Y284" s="33">
        <f>SUMPRODUCT((BIdetails!$J$5:$J$3000=M284)*(BIdetails!$K$5:$K$3000=N284)*(BIdetails!$M$5:$M$3000))</f>
        <v>0</v>
      </c>
      <c r="Z284" s="34">
        <f t="shared" si="21"/>
        <v>0</v>
      </c>
      <c r="AA284" s="31" t="s">
        <v>2758</v>
      </c>
      <c r="AB284" s="31" t="s">
        <v>2849</v>
      </c>
      <c r="AC284" s="31" t="s">
        <v>2785</v>
      </c>
      <c r="AD284" s="31"/>
    </row>
    <row r="285" spans="1:30" hidden="1" x14ac:dyDescent="0.25">
      <c r="A285" t="s">
        <v>2745</v>
      </c>
      <c r="B285" t="str">
        <f t="shared" si="22"/>
        <v>No Change</v>
      </c>
      <c r="C285" t="s">
        <v>3156</v>
      </c>
      <c r="D285">
        <v>68427709</v>
      </c>
      <c r="E285" s="100" t="s">
        <v>51</v>
      </c>
      <c r="F285" s="96" t="s">
        <v>52</v>
      </c>
      <c r="G285" s="96" t="s">
        <v>42</v>
      </c>
      <c r="H285" s="96" t="s">
        <v>3157</v>
      </c>
      <c r="I285">
        <v>0</v>
      </c>
      <c r="J285" t="s">
        <v>3158</v>
      </c>
      <c r="K285" s="96">
        <v>3000043</v>
      </c>
      <c r="L285" s="96" t="s">
        <v>463</v>
      </c>
      <c r="M285" s="97">
        <v>5401020209</v>
      </c>
      <c r="N285" s="97">
        <v>10</v>
      </c>
      <c r="O285" s="96" t="s">
        <v>2676</v>
      </c>
      <c r="P285" s="96" t="s">
        <v>1788</v>
      </c>
      <c r="Q285" s="96" t="s">
        <v>2750</v>
      </c>
      <c r="R285" s="96" t="s">
        <v>2886</v>
      </c>
      <c r="S285" s="7">
        <v>120000</v>
      </c>
      <c r="T285" s="7">
        <v>120000</v>
      </c>
      <c r="U285" s="7">
        <v>120000</v>
      </c>
      <c r="V285" s="7">
        <f t="shared" si="23"/>
        <v>0</v>
      </c>
      <c r="W285" s="5">
        <f t="shared" si="20"/>
        <v>0</v>
      </c>
      <c r="X285" s="22"/>
      <c r="Y285" s="33">
        <f>SUMPRODUCT((BIdetails!$J$5:$J$3000=M285)*(BIdetails!$K$5:$K$3000=N285)*(BIdetails!$M$5:$M$3000))</f>
        <v>0</v>
      </c>
      <c r="Z285" s="34">
        <f t="shared" si="21"/>
        <v>0</v>
      </c>
      <c r="AA285" s="31" t="s">
        <v>2758</v>
      </c>
      <c r="AB285" s="31" t="s">
        <v>2849</v>
      </c>
      <c r="AC285" s="31" t="s">
        <v>2785</v>
      </c>
      <c r="AD285" s="31"/>
    </row>
    <row r="286" spans="1:30" hidden="1" x14ac:dyDescent="0.25">
      <c r="A286" t="s">
        <v>2745</v>
      </c>
      <c r="B286" t="str">
        <f t="shared" si="22"/>
        <v>No Change</v>
      </c>
      <c r="C286" t="s">
        <v>3156</v>
      </c>
      <c r="D286">
        <v>68427709</v>
      </c>
      <c r="E286" s="100" t="s">
        <v>51</v>
      </c>
      <c r="F286" s="96" t="s">
        <v>52</v>
      </c>
      <c r="G286" s="96" t="s">
        <v>42</v>
      </c>
      <c r="H286" s="96" t="s">
        <v>1253</v>
      </c>
      <c r="I286">
        <v>0</v>
      </c>
      <c r="J286" t="s">
        <v>3158</v>
      </c>
      <c r="K286" s="96">
        <v>151290</v>
      </c>
      <c r="L286" s="96" t="s">
        <v>463</v>
      </c>
      <c r="M286" s="97">
        <v>5401024590</v>
      </c>
      <c r="N286" s="97">
        <v>10</v>
      </c>
      <c r="O286" s="96" t="s">
        <v>2676</v>
      </c>
      <c r="P286" s="96" t="s">
        <v>1788</v>
      </c>
      <c r="Q286" s="96" t="s">
        <v>2750</v>
      </c>
      <c r="R286" s="96" t="s">
        <v>2886</v>
      </c>
      <c r="S286" s="7">
        <v>125000</v>
      </c>
      <c r="T286" s="7">
        <v>224000</v>
      </c>
      <c r="U286" s="7">
        <v>224000</v>
      </c>
      <c r="V286" s="7">
        <f t="shared" si="23"/>
        <v>0</v>
      </c>
      <c r="W286" s="5">
        <f t="shared" si="20"/>
        <v>0</v>
      </c>
      <c r="X286" s="22"/>
      <c r="Y286" s="33">
        <f>SUMPRODUCT((BIdetails!$J$5:$J$3000=M286)*(BIdetails!$K$5:$K$3000=N286)*(BIdetails!$M$5:$M$3000))</f>
        <v>0</v>
      </c>
      <c r="Z286" s="34">
        <f t="shared" si="21"/>
        <v>0</v>
      </c>
      <c r="AA286" s="31" t="s">
        <v>2758</v>
      </c>
      <c r="AB286" s="31" t="s">
        <v>2849</v>
      </c>
      <c r="AC286" s="31" t="s">
        <v>2785</v>
      </c>
      <c r="AD286" s="31"/>
    </row>
    <row r="287" spans="1:30" hidden="1" x14ac:dyDescent="0.25">
      <c r="A287" t="s">
        <v>2745</v>
      </c>
      <c r="B287" t="str">
        <f t="shared" si="22"/>
        <v>No Change</v>
      </c>
      <c r="D287">
        <v>68427709</v>
      </c>
      <c r="E287" s="95" t="s">
        <v>53</v>
      </c>
      <c r="F287" t="s">
        <v>54</v>
      </c>
      <c r="G287" t="s">
        <v>42</v>
      </c>
      <c r="H287" t="s">
        <v>1997</v>
      </c>
      <c r="I287" t="s">
        <v>2795</v>
      </c>
      <c r="J287" t="s">
        <v>3159</v>
      </c>
      <c r="K287">
        <v>209507</v>
      </c>
      <c r="L287" t="s">
        <v>96</v>
      </c>
      <c r="M287" s="21">
        <v>5400933615</v>
      </c>
      <c r="N287" s="21">
        <v>10</v>
      </c>
      <c r="O287" t="s">
        <v>2676</v>
      </c>
      <c r="P287" s="96" t="s">
        <v>2324</v>
      </c>
      <c r="Q287" t="s">
        <v>2762</v>
      </c>
      <c r="R287" t="s">
        <v>2751</v>
      </c>
      <c r="S287" s="7">
        <v>14000</v>
      </c>
      <c r="T287" s="7">
        <v>14000</v>
      </c>
      <c r="U287" s="7">
        <v>14000</v>
      </c>
      <c r="V287" s="7">
        <f t="shared" si="23"/>
        <v>0</v>
      </c>
      <c r="W287" s="5">
        <f t="shared" si="20"/>
        <v>0</v>
      </c>
      <c r="X287" s="39"/>
      <c r="Y287" s="33">
        <f>SUMPRODUCT((BIdetails!$J$5:$J$3000=M287)*(BIdetails!$K$5:$K$3000=N287)*(BIdetails!$M$5:$M$3000))</f>
        <v>0</v>
      </c>
      <c r="Z287" s="34">
        <f t="shared" si="21"/>
        <v>0</v>
      </c>
      <c r="AA287" s="31"/>
      <c r="AB287" s="31"/>
      <c r="AC287" s="31"/>
      <c r="AD287" s="31"/>
    </row>
    <row r="288" spans="1:30" hidden="1" x14ac:dyDescent="0.25">
      <c r="A288" t="s">
        <v>2745</v>
      </c>
      <c r="B288" t="str">
        <f t="shared" si="22"/>
        <v>No Change</v>
      </c>
      <c r="C288" t="s">
        <v>3160</v>
      </c>
      <c r="D288">
        <v>68427709</v>
      </c>
      <c r="E288" s="95" t="s">
        <v>53</v>
      </c>
      <c r="F288" t="s">
        <v>54</v>
      </c>
      <c r="G288" t="s">
        <v>42</v>
      </c>
      <c r="H288" t="s">
        <v>753</v>
      </c>
      <c r="I288" t="s">
        <v>2795</v>
      </c>
      <c r="J288" t="s">
        <v>2769</v>
      </c>
      <c r="K288">
        <v>187876</v>
      </c>
      <c r="L288" t="s">
        <v>3161</v>
      </c>
      <c r="M288" s="21">
        <v>5400941303</v>
      </c>
      <c r="N288" s="21">
        <v>20</v>
      </c>
      <c r="O288" t="s">
        <v>1734</v>
      </c>
      <c r="P288" s="26" t="s">
        <v>1734</v>
      </c>
      <c r="Q288" t="s">
        <v>2762</v>
      </c>
      <c r="R288" t="s">
        <v>2751</v>
      </c>
      <c r="S288" s="7">
        <v>700000</v>
      </c>
      <c r="T288" s="7">
        <v>750000</v>
      </c>
      <c r="U288" s="7">
        <v>750000</v>
      </c>
      <c r="V288" s="7">
        <f t="shared" si="23"/>
        <v>0</v>
      </c>
      <c r="W288" s="5">
        <f t="shared" si="20"/>
        <v>0</v>
      </c>
      <c r="X288" s="22"/>
      <c r="Y288" s="33">
        <f>SUMPRODUCT((BIdetails!$J$5:$J$3000=M288)*(BIdetails!$K$5:$K$3000=N288)*(BIdetails!$M$5:$M$3000))</f>
        <v>0</v>
      </c>
      <c r="Z288" s="34">
        <f t="shared" si="21"/>
        <v>0</v>
      </c>
      <c r="AA288" s="31"/>
      <c r="AB288" s="31"/>
      <c r="AC288" s="31"/>
      <c r="AD288" s="31"/>
    </row>
    <row r="289" spans="1:30" hidden="1" x14ac:dyDescent="0.25">
      <c r="A289" t="s">
        <v>2745</v>
      </c>
      <c r="B289" t="str">
        <f t="shared" si="22"/>
        <v>Decommissioned</v>
      </c>
      <c r="D289">
        <v>68427719</v>
      </c>
      <c r="E289" s="95" t="s">
        <v>53</v>
      </c>
      <c r="F289" t="s">
        <v>54</v>
      </c>
      <c r="G289" t="s">
        <v>42</v>
      </c>
      <c r="H289" t="s">
        <v>1131</v>
      </c>
      <c r="I289">
        <v>0</v>
      </c>
      <c r="J289" t="s">
        <v>3162</v>
      </c>
      <c r="K289">
        <v>201096</v>
      </c>
      <c r="L289" t="s">
        <v>1131</v>
      </c>
      <c r="M289">
        <v>5400985273</v>
      </c>
      <c r="N289" s="21">
        <v>10</v>
      </c>
      <c r="O289" s="26" t="s">
        <v>2676</v>
      </c>
      <c r="P289" s="26" t="s">
        <v>2170</v>
      </c>
      <c r="Q289" t="s">
        <v>2762</v>
      </c>
      <c r="R289" t="s">
        <v>2801</v>
      </c>
      <c r="S289" s="7">
        <v>24000</v>
      </c>
      <c r="T289" s="7">
        <v>24000</v>
      </c>
      <c r="U289" s="7">
        <v>0</v>
      </c>
      <c r="V289" s="7">
        <f t="shared" si="23"/>
        <v>-24000</v>
      </c>
      <c r="W289" s="5">
        <f t="shared" si="20"/>
        <v>-1</v>
      </c>
      <c r="X289" s="39"/>
      <c r="Y289" s="33">
        <f>SUMPRODUCT((BIdetails!$J$5:$J$3000=M289)*(BIdetails!$K$5:$K$3000=N289)*(BIdetails!$M$5:$M$3000))</f>
        <v>0</v>
      </c>
      <c r="Z289" s="34" t="str">
        <f t="shared" si="21"/>
        <v/>
      </c>
      <c r="AA289" s="31"/>
      <c r="AB289" s="31"/>
      <c r="AC289" s="31"/>
      <c r="AD289" s="31"/>
    </row>
    <row r="290" spans="1:30" hidden="1" x14ac:dyDescent="0.25">
      <c r="A290" t="s">
        <v>2745</v>
      </c>
      <c r="B290" t="str">
        <f t="shared" si="22"/>
        <v>No Change</v>
      </c>
      <c r="C290" t="s">
        <v>3163</v>
      </c>
      <c r="D290">
        <v>68427709</v>
      </c>
      <c r="E290" s="101" t="s">
        <v>53</v>
      </c>
      <c r="F290" s="26" t="s">
        <v>54</v>
      </c>
      <c r="G290" s="26" t="s">
        <v>42</v>
      </c>
      <c r="H290" t="s">
        <v>3164</v>
      </c>
      <c r="I290" t="s">
        <v>2771</v>
      </c>
      <c r="J290" s="26" t="s">
        <v>3165</v>
      </c>
      <c r="K290" s="151">
        <v>193309</v>
      </c>
      <c r="L290" s="26" t="s">
        <v>3166</v>
      </c>
      <c r="M290" s="28">
        <v>5400998489</v>
      </c>
      <c r="N290" s="28">
        <v>10</v>
      </c>
      <c r="O290" s="26" t="s">
        <v>2676</v>
      </c>
      <c r="P290" s="26" t="s">
        <v>2676</v>
      </c>
      <c r="Q290" s="26" t="s">
        <v>2750</v>
      </c>
      <c r="R290" s="26" t="s">
        <v>2751</v>
      </c>
      <c r="S290" s="7">
        <v>2000</v>
      </c>
      <c r="T290" s="7">
        <v>2000</v>
      </c>
      <c r="U290" s="7">
        <v>2000</v>
      </c>
      <c r="V290" s="7">
        <f t="shared" si="23"/>
        <v>0</v>
      </c>
      <c r="W290" s="5">
        <f t="shared" si="20"/>
        <v>0</v>
      </c>
      <c r="X290" s="39"/>
      <c r="Y290" s="33">
        <f>SUMPRODUCT((BIdetails!$J$5:$J$3000=M290)*(BIdetails!$K$5:$K$3000=N290)*(BIdetails!$M$5:$M$3000))</f>
        <v>0</v>
      </c>
      <c r="Z290" s="34">
        <f t="shared" si="21"/>
        <v>0</v>
      </c>
      <c r="AA290" s="31"/>
      <c r="AB290" s="31"/>
      <c r="AC290" s="31"/>
      <c r="AD290" s="31"/>
    </row>
    <row r="291" spans="1:30" hidden="1" x14ac:dyDescent="0.25">
      <c r="A291" t="s">
        <v>2745</v>
      </c>
      <c r="B291" t="str">
        <f t="shared" si="22"/>
        <v>Increase</v>
      </c>
      <c r="D291">
        <v>68427709</v>
      </c>
      <c r="E291" s="95" t="s">
        <v>53</v>
      </c>
      <c r="F291" t="s">
        <v>54</v>
      </c>
      <c r="G291" t="s">
        <v>42</v>
      </c>
      <c r="H291" t="s">
        <v>1982</v>
      </c>
      <c r="J291" t="s">
        <v>2843</v>
      </c>
      <c r="K291" s="26">
        <v>208280</v>
      </c>
      <c r="L291" t="s">
        <v>3167</v>
      </c>
      <c r="M291" s="21">
        <v>5401000420</v>
      </c>
      <c r="N291" s="21">
        <v>10</v>
      </c>
      <c r="O291" t="s">
        <v>2676</v>
      </c>
      <c r="P291" s="96" t="s">
        <v>2314</v>
      </c>
      <c r="Q291" t="s">
        <v>2762</v>
      </c>
      <c r="R291" t="s">
        <v>2793</v>
      </c>
      <c r="S291" s="7">
        <v>290000</v>
      </c>
      <c r="T291" s="7">
        <v>290000</v>
      </c>
      <c r="U291" s="7">
        <v>316000</v>
      </c>
      <c r="V291" s="7">
        <f t="shared" si="23"/>
        <v>26000</v>
      </c>
      <c r="W291" s="5">
        <f t="shared" si="20"/>
        <v>8.9655172413793102E-2</v>
      </c>
      <c r="X291" s="39"/>
      <c r="Y291" s="33">
        <f>SUMPRODUCT((BIdetails!$J$5:$J$3000=M291)*(BIdetails!$K$5:$K$3000=N291)*(BIdetails!$M$5:$M$3000))</f>
        <v>0</v>
      </c>
      <c r="Z291" s="34">
        <f t="shared" si="21"/>
        <v>0</v>
      </c>
      <c r="AA291" s="31"/>
      <c r="AB291" s="31"/>
      <c r="AC291" s="31"/>
      <c r="AD291" s="31"/>
    </row>
    <row r="292" spans="1:30" hidden="1" x14ac:dyDescent="0.25">
      <c r="A292" t="s">
        <v>2745</v>
      </c>
      <c r="B292" t="str">
        <f t="shared" si="22"/>
        <v>No Change</v>
      </c>
      <c r="C292" t="s">
        <v>3168</v>
      </c>
      <c r="D292">
        <v>68427709</v>
      </c>
      <c r="E292" s="95" t="s">
        <v>53</v>
      </c>
      <c r="F292" t="s">
        <v>54</v>
      </c>
      <c r="G292" t="s">
        <v>42</v>
      </c>
      <c r="H292" s="26" t="s">
        <v>3169</v>
      </c>
      <c r="I292">
        <v>0</v>
      </c>
      <c r="J292" t="s">
        <v>3170</v>
      </c>
      <c r="K292" s="26">
        <v>197078</v>
      </c>
      <c r="L292" s="26" t="s">
        <v>3169</v>
      </c>
      <c r="M292" s="21">
        <v>5400871022</v>
      </c>
      <c r="N292" s="21">
        <v>30</v>
      </c>
      <c r="O292" s="26" t="s">
        <v>2676</v>
      </c>
      <c r="P292" s="26" t="s">
        <v>2591</v>
      </c>
      <c r="Q292" t="s">
        <v>2762</v>
      </c>
      <c r="R292" t="s">
        <v>2851</v>
      </c>
      <c r="S292" s="7">
        <v>135000</v>
      </c>
      <c r="T292" s="7">
        <v>135000</v>
      </c>
      <c r="U292" s="7">
        <v>135000</v>
      </c>
      <c r="V292" s="7">
        <f t="shared" si="23"/>
        <v>0</v>
      </c>
      <c r="W292" s="5">
        <f t="shared" ref="W292:W399" si="24">IF(B292="New",1,IFERROR(V292/T292,0))</f>
        <v>0</v>
      </c>
      <c r="X292" s="39"/>
      <c r="Y292" s="33">
        <f>SUMPRODUCT((BIdetails!$J$5:$J$3000=M292)*(BIdetails!$K$5:$K$3000=N292)*(BIdetails!$M$5:$M$3000))</f>
        <v>0</v>
      </c>
      <c r="Z292" s="34">
        <f t="shared" si="21"/>
        <v>0</v>
      </c>
      <c r="AA292" s="31"/>
      <c r="AB292" s="31"/>
      <c r="AC292" s="31"/>
      <c r="AD292" s="31"/>
    </row>
    <row r="293" spans="1:30" hidden="1" x14ac:dyDescent="0.25">
      <c r="A293" t="s">
        <v>2745</v>
      </c>
      <c r="B293" t="str">
        <f t="shared" si="22"/>
        <v>No Change</v>
      </c>
      <c r="D293">
        <v>68427709</v>
      </c>
      <c r="E293" s="95" t="s">
        <v>53</v>
      </c>
      <c r="F293" t="s">
        <v>54</v>
      </c>
      <c r="G293" t="s">
        <v>42</v>
      </c>
      <c r="H293" t="s">
        <v>3171</v>
      </c>
      <c r="J293" t="s">
        <v>3172</v>
      </c>
      <c r="K293">
        <v>211753</v>
      </c>
      <c r="L293" t="s">
        <v>99</v>
      </c>
      <c r="M293">
        <v>5400976828</v>
      </c>
      <c r="N293" s="21">
        <v>20</v>
      </c>
      <c r="O293" s="26" t="s">
        <v>2676</v>
      </c>
      <c r="P293" s="26" t="s">
        <v>1788</v>
      </c>
      <c r="Q293" t="s">
        <v>2762</v>
      </c>
      <c r="R293" t="s">
        <v>2886</v>
      </c>
      <c r="S293" s="7">
        <v>60000</v>
      </c>
      <c r="T293" s="7">
        <v>70000</v>
      </c>
      <c r="U293" s="7">
        <v>70000</v>
      </c>
      <c r="V293" s="7">
        <f t="shared" si="23"/>
        <v>0</v>
      </c>
      <c r="W293" s="5">
        <f t="shared" si="24"/>
        <v>0</v>
      </c>
      <c r="X293" s="22"/>
      <c r="Y293" s="33">
        <f>SUMPRODUCT((BIdetails!$J$5:$J$3000=M293)*(BIdetails!$K$5:$K$3000=N293)*(BIdetails!$M$5:$M$3000))</f>
        <v>0</v>
      </c>
      <c r="Z293" s="34">
        <f t="shared" si="21"/>
        <v>0</v>
      </c>
      <c r="AA293" s="31"/>
      <c r="AB293" s="31"/>
      <c r="AC293" s="31"/>
      <c r="AD293" s="31"/>
    </row>
    <row r="294" spans="1:30" hidden="1" x14ac:dyDescent="0.25">
      <c r="A294" t="s">
        <v>2745</v>
      </c>
      <c r="B294" t="str">
        <f t="shared" si="22"/>
        <v>Increase</v>
      </c>
      <c r="C294" t="s">
        <v>3173</v>
      </c>
      <c r="D294">
        <v>68427709</v>
      </c>
      <c r="E294" s="95" t="s">
        <v>53</v>
      </c>
      <c r="F294" t="s">
        <v>54</v>
      </c>
      <c r="G294" t="s">
        <v>42</v>
      </c>
      <c r="H294" t="s">
        <v>766</v>
      </c>
      <c r="I294">
        <v>0</v>
      </c>
      <c r="J294" t="s">
        <v>2007</v>
      </c>
      <c r="K294">
        <v>136544</v>
      </c>
      <c r="L294" t="s">
        <v>206</v>
      </c>
      <c r="M294" s="21">
        <v>5400963575</v>
      </c>
      <c r="N294" s="21">
        <v>30</v>
      </c>
      <c r="O294" t="s">
        <v>2676</v>
      </c>
      <c r="P294" s="26" t="s">
        <v>227</v>
      </c>
      <c r="Q294" t="s">
        <v>2762</v>
      </c>
      <c r="R294" s="96" t="s">
        <v>2768</v>
      </c>
      <c r="S294" s="7">
        <v>143000</v>
      </c>
      <c r="T294" s="7">
        <v>235000</v>
      </c>
      <c r="U294" s="7">
        <v>290000</v>
      </c>
      <c r="V294" s="7">
        <f t="shared" si="23"/>
        <v>55000</v>
      </c>
      <c r="W294" s="5">
        <f t="shared" si="24"/>
        <v>0.23404255319148937</v>
      </c>
      <c r="X294" s="39"/>
      <c r="Y294" s="33">
        <f>SUMPRODUCT((BIdetails!$J$5:$J$3000=M294)*(BIdetails!$K$5:$K$3000=N294)*(BIdetails!$M$5:$M$3000))</f>
        <v>0</v>
      </c>
      <c r="Z294" s="34">
        <f t="shared" si="21"/>
        <v>0</v>
      </c>
      <c r="AA294" s="31"/>
      <c r="AB294" s="31"/>
      <c r="AC294" s="31"/>
      <c r="AD294" s="31"/>
    </row>
    <row r="295" spans="1:30" hidden="1" x14ac:dyDescent="0.25">
      <c r="A295" t="s">
        <v>2745</v>
      </c>
      <c r="B295" t="str">
        <f t="shared" si="22"/>
        <v>Increase</v>
      </c>
      <c r="C295" t="s">
        <v>3146</v>
      </c>
      <c r="D295">
        <v>68427709</v>
      </c>
      <c r="E295" s="95" t="s">
        <v>53</v>
      </c>
      <c r="F295" t="s">
        <v>54</v>
      </c>
      <c r="G295" t="s">
        <v>42</v>
      </c>
      <c r="H295" t="s">
        <v>2281</v>
      </c>
      <c r="I295">
        <v>0</v>
      </c>
      <c r="J295" t="s">
        <v>3174</v>
      </c>
      <c r="K295" s="26">
        <v>181857</v>
      </c>
      <c r="L295" t="s">
        <v>3175</v>
      </c>
      <c r="M295" s="21">
        <v>5400976225</v>
      </c>
      <c r="N295" s="21">
        <v>20</v>
      </c>
      <c r="O295" t="s">
        <v>2676</v>
      </c>
      <c r="P295" s="26" t="s">
        <v>227</v>
      </c>
      <c r="Q295" t="s">
        <v>2762</v>
      </c>
      <c r="R295" t="s">
        <v>2768</v>
      </c>
      <c r="S295" s="7">
        <v>64000</v>
      </c>
      <c r="T295" s="7">
        <v>104000</v>
      </c>
      <c r="U295" s="7">
        <v>115000</v>
      </c>
      <c r="V295" s="7">
        <f t="shared" si="23"/>
        <v>11000</v>
      </c>
      <c r="W295" s="5">
        <f t="shared" si="24"/>
        <v>0.10576923076923077</v>
      </c>
      <c r="X295" s="22"/>
      <c r="Y295" s="33">
        <f>SUMPRODUCT((BIdetails!$J$5:$J$3000=M295)*(BIdetails!$K$5:$K$3000=N295)*(BIdetails!$M$5:$M$3000))</f>
        <v>0</v>
      </c>
      <c r="Z295" s="34">
        <f t="shared" si="21"/>
        <v>0</v>
      </c>
      <c r="AA295" s="31"/>
      <c r="AB295" s="31"/>
      <c r="AC295" s="31"/>
      <c r="AD295" s="31"/>
    </row>
    <row r="296" spans="1:30" hidden="1" x14ac:dyDescent="0.25">
      <c r="A296" t="s">
        <v>2745</v>
      </c>
      <c r="B296" t="str">
        <f t="shared" si="22"/>
        <v>No Change</v>
      </c>
      <c r="C296" t="s">
        <v>3176</v>
      </c>
      <c r="D296">
        <v>68427709</v>
      </c>
      <c r="E296" s="95" t="s">
        <v>53</v>
      </c>
      <c r="F296" t="s">
        <v>54</v>
      </c>
      <c r="G296" t="s">
        <v>42</v>
      </c>
      <c r="H296" t="s">
        <v>3177</v>
      </c>
      <c r="I296">
        <v>0</v>
      </c>
      <c r="J296" t="s">
        <v>3178</v>
      </c>
      <c r="K296">
        <v>209546</v>
      </c>
      <c r="L296" t="s">
        <v>3179</v>
      </c>
      <c r="M296">
        <v>5400914770</v>
      </c>
      <c r="N296" s="21">
        <v>10</v>
      </c>
      <c r="O296" t="s">
        <v>2676</v>
      </c>
      <c r="P296" s="26" t="s">
        <v>2544</v>
      </c>
      <c r="Q296" s="26" t="s">
        <v>2750</v>
      </c>
      <c r="R296" t="s">
        <v>2959</v>
      </c>
      <c r="S296" s="7">
        <v>10000</v>
      </c>
      <c r="T296" s="7">
        <v>10000</v>
      </c>
      <c r="U296" s="7">
        <v>10000</v>
      </c>
      <c r="V296" s="7">
        <f t="shared" si="23"/>
        <v>0</v>
      </c>
      <c r="W296" s="5">
        <f t="shared" si="24"/>
        <v>0</v>
      </c>
      <c r="X296" s="39"/>
      <c r="Y296" s="33">
        <f>SUMPRODUCT((BIdetails!$J$5:$J$3000=M296)*(BIdetails!$K$5:$K$3000=N296)*(BIdetails!$M$5:$M$3000))</f>
        <v>0</v>
      </c>
      <c r="Z296" s="34">
        <f t="shared" si="21"/>
        <v>0</v>
      </c>
      <c r="AA296" s="31" t="s">
        <v>2758</v>
      </c>
      <c r="AB296" s="31" t="s">
        <v>2752</v>
      </c>
      <c r="AC296" s="31" t="s">
        <v>2785</v>
      </c>
      <c r="AD296" s="31"/>
    </row>
    <row r="297" spans="1:30" hidden="1" x14ac:dyDescent="0.25">
      <c r="A297" t="s">
        <v>2745</v>
      </c>
      <c r="B297" t="str">
        <f t="shared" si="22"/>
        <v>No Change</v>
      </c>
      <c r="C297" t="s">
        <v>3180</v>
      </c>
      <c r="D297">
        <v>68427709</v>
      </c>
      <c r="E297" s="95" t="s">
        <v>49</v>
      </c>
      <c r="F297" t="s">
        <v>50</v>
      </c>
      <c r="G297" s="96" t="s">
        <v>42</v>
      </c>
      <c r="H297" s="96" t="s">
        <v>3181</v>
      </c>
      <c r="I297" t="s">
        <v>2771</v>
      </c>
      <c r="J297" t="s">
        <v>3130</v>
      </c>
      <c r="K297" s="96">
        <v>167557</v>
      </c>
      <c r="L297" s="96" t="s">
        <v>1103</v>
      </c>
      <c r="M297" s="97">
        <v>5401024330</v>
      </c>
      <c r="N297" s="97">
        <v>10</v>
      </c>
      <c r="O297" s="96" t="s">
        <v>2676</v>
      </c>
      <c r="P297" s="96" t="s">
        <v>2861</v>
      </c>
      <c r="Q297" s="96" t="s">
        <v>2750</v>
      </c>
      <c r="R297" s="96" t="s">
        <v>850</v>
      </c>
      <c r="S297" s="7">
        <v>70000</v>
      </c>
      <c r="T297" s="7">
        <v>70000</v>
      </c>
      <c r="U297" s="7">
        <v>70000</v>
      </c>
      <c r="V297" s="7">
        <f t="shared" si="23"/>
        <v>0</v>
      </c>
      <c r="W297" s="5">
        <f t="shared" si="24"/>
        <v>0</v>
      </c>
      <c r="X297" s="39"/>
      <c r="Y297" s="33">
        <f>SUMPRODUCT((BIdetails!$J$5:$J$3000=M297)*(BIdetails!$K$5:$K$3000=N297)*(BIdetails!$M$5:$M$3000))</f>
        <v>0</v>
      </c>
      <c r="Z297" s="34">
        <f t="shared" si="21"/>
        <v>0</v>
      </c>
      <c r="AA297" s="31" t="s">
        <v>2758</v>
      </c>
      <c r="AB297" s="31" t="s">
        <v>2752</v>
      </c>
      <c r="AC297" s="31" t="s">
        <v>2788</v>
      </c>
      <c r="AD297" s="31"/>
    </row>
    <row r="298" spans="1:30" hidden="1" x14ac:dyDescent="0.25">
      <c r="A298" t="s">
        <v>2745</v>
      </c>
      <c r="B298" t="str">
        <f t="shared" si="22"/>
        <v>No Change</v>
      </c>
      <c r="C298" t="s">
        <v>3182</v>
      </c>
      <c r="D298">
        <v>68427709</v>
      </c>
      <c r="E298" s="100" t="s">
        <v>49</v>
      </c>
      <c r="F298" s="96" t="s">
        <v>50</v>
      </c>
      <c r="G298" s="26" t="s">
        <v>42</v>
      </c>
      <c r="H298" s="26" t="s">
        <v>2284</v>
      </c>
      <c r="I298">
        <v>0</v>
      </c>
      <c r="J298" t="s">
        <v>3183</v>
      </c>
      <c r="K298" s="151">
        <v>192202</v>
      </c>
      <c r="L298" s="26" t="s">
        <v>75</v>
      </c>
      <c r="M298" s="21">
        <v>5401040711</v>
      </c>
      <c r="N298" s="21">
        <v>10</v>
      </c>
      <c r="O298" s="26" t="s">
        <v>2676</v>
      </c>
      <c r="P298" s="26" t="s">
        <v>2766</v>
      </c>
      <c r="Q298" t="s">
        <v>2762</v>
      </c>
      <c r="R298" t="s">
        <v>2768</v>
      </c>
      <c r="S298" s="7">
        <v>155000</v>
      </c>
      <c r="T298" s="7">
        <v>165000</v>
      </c>
      <c r="U298" s="7">
        <v>165000</v>
      </c>
      <c r="V298" s="7">
        <f t="shared" si="23"/>
        <v>0</v>
      </c>
      <c r="W298" s="5">
        <f t="shared" si="24"/>
        <v>0</v>
      </c>
      <c r="X298" s="22"/>
      <c r="Y298" s="33">
        <f>SUMPRODUCT((BIdetails!$J$5:$J$3000=M298)*(BIdetails!$K$5:$K$3000=N298)*(BIdetails!$M$5:$M$3000))</f>
        <v>0</v>
      </c>
      <c r="Z298" s="34">
        <f t="shared" si="21"/>
        <v>0</v>
      </c>
      <c r="AA298" s="31" t="s">
        <v>2758</v>
      </c>
      <c r="AB298" s="31" t="s">
        <v>2849</v>
      </c>
      <c r="AC298" s="31" t="s">
        <v>2785</v>
      </c>
      <c r="AD298" s="31"/>
    </row>
    <row r="299" spans="1:30" hidden="1" x14ac:dyDescent="0.25">
      <c r="A299" t="s">
        <v>2783</v>
      </c>
      <c r="B299" t="str">
        <f t="shared" si="22"/>
        <v>No Change</v>
      </c>
      <c r="C299" t="s">
        <v>3182</v>
      </c>
      <c r="D299">
        <v>68427709</v>
      </c>
      <c r="E299" s="95" t="s">
        <v>53</v>
      </c>
      <c r="F299" s="26" t="s">
        <v>54</v>
      </c>
      <c r="G299" s="26" t="s">
        <v>42</v>
      </c>
      <c r="H299" s="26" t="s">
        <v>161</v>
      </c>
      <c r="I299">
        <v>0</v>
      </c>
      <c r="J299" t="s">
        <v>3183</v>
      </c>
      <c r="K299" s="26">
        <v>169113</v>
      </c>
      <c r="L299" s="26" t="s">
        <v>84</v>
      </c>
      <c r="M299" s="28">
        <v>5400984016</v>
      </c>
      <c r="N299" s="28">
        <v>10</v>
      </c>
      <c r="O299" s="26" t="s">
        <v>2676</v>
      </c>
      <c r="P299" s="26" t="s">
        <v>2766</v>
      </c>
      <c r="Q299" s="26" t="s">
        <v>2762</v>
      </c>
      <c r="R299" s="26" t="s">
        <v>2757</v>
      </c>
      <c r="S299" s="7">
        <v>130000</v>
      </c>
      <c r="T299" s="7">
        <v>0</v>
      </c>
      <c r="U299" s="7">
        <v>0</v>
      </c>
      <c r="V299" s="7">
        <f t="shared" si="23"/>
        <v>0</v>
      </c>
      <c r="W299" s="5">
        <f t="shared" si="24"/>
        <v>0</v>
      </c>
      <c r="X299" s="39"/>
      <c r="Y299" s="33">
        <f>SUMPRODUCT((BIdetails!$J$5:$J$3000=M299)*(BIdetails!$K$5:$K$3000=N299)*(BIdetails!$M$5:$M$3000))</f>
        <v>0</v>
      </c>
      <c r="Z299" s="34" t="str">
        <f t="shared" si="21"/>
        <v/>
      </c>
      <c r="AA299" s="31"/>
      <c r="AB299" s="31"/>
      <c r="AC299" s="31"/>
      <c r="AD299" s="31"/>
    </row>
    <row r="300" spans="1:30" hidden="1" x14ac:dyDescent="0.25">
      <c r="A300" t="s">
        <v>2745</v>
      </c>
      <c r="B300" t="str">
        <f t="shared" si="22"/>
        <v>Decrease</v>
      </c>
      <c r="D300">
        <v>68427709</v>
      </c>
      <c r="E300" s="95" t="s">
        <v>49</v>
      </c>
      <c r="F300" s="96" t="s">
        <v>50</v>
      </c>
      <c r="G300" s="96" t="s">
        <v>42</v>
      </c>
      <c r="H300" s="96" t="s">
        <v>2410</v>
      </c>
      <c r="I300">
        <v>0</v>
      </c>
      <c r="J300" t="s">
        <v>3030</v>
      </c>
      <c r="K300" s="26">
        <v>196742</v>
      </c>
      <c r="L300" s="96" t="s">
        <v>1420</v>
      </c>
      <c r="M300" s="97">
        <v>5400965900</v>
      </c>
      <c r="N300" s="97">
        <v>10</v>
      </c>
      <c r="O300" s="96" t="s">
        <v>2676</v>
      </c>
      <c r="P300" s="26" t="s">
        <v>2314</v>
      </c>
      <c r="Q300" s="96" t="s">
        <v>2767</v>
      </c>
      <c r="R300" s="96" t="s">
        <v>321</v>
      </c>
      <c r="S300" s="7">
        <v>25000</v>
      </c>
      <c r="T300" s="7">
        <v>48600</v>
      </c>
      <c r="U300" s="7">
        <v>20500</v>
      </c>
      <c r="V300" s="7">
        <f t="shared" si="23"/>
        <v>-28100</v>
      </c>
      <c r="W300" s="5">
        <f t="shared" si="24"/>
        <v>-0.57818930041152261</v>
      </c>
      <c r="X300" s="39"/>
      <c r="Y300" s="33">
        <f>SUMPRODUCT((BIdetails!$J$5:$J$3000=M300)*(BIdetails!$K$5:$K$3000=N300)*(BIdetails!$M$5:$M$3000))</f>
        <v>0</v>
      </c>
      <c r="Z300" s="34">
        <f t="shared" si="21"/>
        <v>0</v>
      </c>
      <c r="AA300" s="31" t="s">
        <v>2758</v>
      </c>
      <c r="AB300" s="31" t="s">
        <v>2849</v>
      </c>
      <c r="AC300" s="31" t="s">
        <v>2785</v>
      </c>
      <c r="AD300" s="31"/>
    </row>
    <row r="301" spans="1:30" hidden="1" x14ac:dyDescent="0.25">
      <c r="A301" t="s">
        <v>2745</v>
      </c>
      <c r="B301" t="str">
        <f t="shared" si="22"/>
        <v>Increase</v>
      </c>
      <c r="C301" t="s">
        <v>3184</v>
      </c>
      <c r="D301">
        <v>68427709</v>
      </c>
      <c r="E301" s="95" t="s">
        <v>49</v>
      </c>
      <c r="F301" t="s">
        <v>50</v>
      </c>
      <c r="G301" t="s">
        <v>42</v>
      </c>
      <c r="H301" t="s">
        <v>972</v>
      </c>
      <c r="I301">
        <v>0</v>
      </c>
      <c r="J301" t="s">
        <v>2074</v>
      </c>
      <c r="K301">
        <v>189203</v>
      </c>
      <c r="L301" t="s">
        <v>73</v>
      </c>
      <c r="M301" s="21">
        <v>5400904915</v>
      </c>
      <c r="N301" s="21">
        <v>40</v>
      </c>
      <c r="O301" t="s">
        <v>2933</v>
      </c>
      <c r="P301" s="26" t="s">
        <v>2652</v>
      </c>
      <c r="Q301" t="s">
        <v>2762</v>
      </c>
      <c r="R301" t="s">
        <v>40</v>
      </c>
      <c r="S301" s="7">
        <v>310000</v>
      </c>
      <c r="T301" s="7">
        <v>310000</v>
      </c>
      <c r="U301" s="7">
        <v>356500</v>
      </c>
      <c r="V301" s="7">
        <f t="shared" si="23"/>
        <v>46500</v>
      </c>
      <c r="W301" s="5">
        <f t="shared" si="24"/>
        <v>0.15</v>
      </c>
      <c r="X301" s="39"/>
      <c r="Y301" s="33">
        <f>SUMPRODUCT((BIdetails!$J$5:$J$3000=M301)*(BIdetails!$K$5:$K$3000=N301)*(BIdetails!$M$5:$M$3000))</f>
        <v>0</v>
      </c>
      <c r="Z301" s="34">
        <f t="shared" si="21"/>
        <v>0</v>
      </c>
      <c r="AA301" s="31" t="s">
        <v>2758</v>
      </c>
      <c r="AB301" s="31" t="s">
        <v>2752</v>
      </c>
      <c r="AC301" s="31" t="s">
        <v>2785</v>
      </c>
      <c r="AD301" s="31"/>
    </row>
    <row r="302" spans="1:30" hidden="1" x14ac:dyDescent="0.25">
      <c r="A302" t="s">
        <v>2745</v>
      </c>
      <c r="B302" t="str">
        <f t="shared" si="22"/>
        <v>Increase</v>
      </c>
      <c r="C302" t="s">
        <v>3184</v>
      </c>
      <c r="D302">
        <v>68427709</v>
      </c>
      <c r="E302" s="95" t="s">
        <v>53</v>
      </c>
      <c r="F302" t="s">
        <v>54</v>
      </c>
      <c r="G302" t="s">
        <v>42</v>
      </c>
      <c r="H302" t="s">
        <v>3185</v>
      </c>
      <c r="I302" t="s">
        <v>2795</v>
      </c>
      <c r="J302" t="s">
        <v>2074</v>
      </c>
      <c r="K302">
        <v>189203</v>
      </c>
      <c r="L302" t="s">
        <v>73</v>
      </c>
      <c r="M302" s="21">
        <v>5400904915</v>
      </c>
      <c r="N302" s="21">
        <v>40</v>
      </c>
      <c r="O302" t="s">
        <v>2933</v>
      </c>
      <c r="P302" s="26" t="s">
        <v>2652</v>
      </c>
      <c r="Q302" t="s">
        <v>2762</v>
      </c>
      <c r="R302" t="s">
        <v>40</v>
      </c>
      <c r="S302" s="7">
        <v>82000</v>
      </c>
      <c r="T302" s="7">
        <v>82000</v>
      </c>
      <c r="U302" s="7">
        <v>98400</v>
      </c>
      <c r="V302" s="7">
        <f t="shared" si="23"/>
        <v>16400</v>
      </c>
      <c r="W302" s="5">
        <f t="shared" si="24"/>
        <v>0.2</v>
      </c>
      <c r="X302" s="39"/>
      <c r="Y302" s="33">
        <f>SUMPRODUCT((BIdetails!$J$5:$J$3000=M302)*(BIdetails!$K$5:$K$3000=N302)*(BIdetails!$M$5:$M$3000))</f>
        <v>0</v>
      </c>
      <c r="Z302" s="34">
        <f t="shared" si="21"/>
        <v>0</v>
      </c>
      <c r="AA302" s="31"/>
      <c r="AB302" s="31"/>
      <c r="AC302" s="31"/>
      <c r="AD302" s="31"/>
    </row>
    <row r="303" spans="1:30" hidden="1" x14ac:dyDescent="0.25">
      <c r="A303" t="s">
        <v>2745</v>
      </c>
      <c r="B303" t="str">
        <f t="shared" si="22"/>
        <v>Increase</v>
      </c>
      <c r="D303">
        <v>68427719</v>
      </c>
      <c r="E303" s="95" t="s">
        <v>53</v>
      </c>
      <c r="F303" t="s">
        <v>54</v>
      </c>
      <c r="G303" t="s">
        <v>42</v>
      </c>
      <c r="H303" s="26" t="s">
        <v>2182</v>
      </c>
      <c r="J303" t="s">
        <v>3186</v>
      </c>
      <c r="K303" s="26">
        <v>208282</v>
      </c>
      <c r="L303" s="26" t="s">
        <v>93</v>
      </c>
      <c r="M303" s="21">
        <v>5400938326</v>
      </c>
      <c r="O303" s="96" t="s">
        <v>2610</v>
      </c>
      <c r="P303" s="26" t="s">
        <v>3187</v>
      </c>
      <c r="Q303" t="s">
        <v>2762</v>
      </c>
      <c r="R303" t="s">
        <v>2801</v>
      </c>
      <c r="S303" s="7">
        <v>92500</v>
      </c>
      <c r="T303" s="7">
        <v>145000</v>
      </c>
      <c r="U303" s="7">
        <v>200000</v>
      </c>
      <c r="V303" s="7">
        <f t="shared" si="23"/>
        <v>55000</v>
      </c>
      <c r="W303" s="5">
        <f t="shared" si="24"/>
        <v>0.37931034482758619</v>
      </c>
      <c r="X303" s="22"/>
      <c r="Y303" s="33">
        <f>SUMPRODUCT((BIdetails!$J$5:$J$3000=M303)*(BIdetails!$K$5:$K$3000=N303)*(BIdetails!$M$5:$M$3000))</f>
        <v>0</v>
      </c>
      <c r="Z303" s="34">
        <f t="shared" si="21"/>
        <v>0</v>
      </c>
      <c r="AA303" s="31"/>
      <c r="AB303" s="31"/>
      <c r="AC303" s="31"/>
      <c r="AD303" s="31"/>
    </row>
    <row r="304" spans="1:30" hidden="1" x14ac:dyDescent="0.25">
      <c r="A304" t="s">
        <v>2745</v>
      </c>
      <c r="B304" t="str">
        <f t="shared" si="22"/>
        <v>Increase</v>
      </c>
      <c r="C304" t="s">
        <v>3188</v>
      </c>
      <c r="D304">
        <v>68427709</v>
      </c>
      <c r="E304" s="95" t="s">
        <v>53</v>
      </c>
      <c r="F304" s="26" t="s">
        <v>54</v>
      </c>
      <c r="G304" s="26" t="s">
        <v>42</v>
      </c>
      <c r="H304" s="26" t="s">
        <v>774</v>
      </c>
      <c r="I304">
        <v>0</v>
      </c>
      <c r="J304" t="s">
        <v>3189</v>
      </c>
      <c r="K304">
        <v>188518</v>
      </c>
      <c r="L304" t="s">
        <v>86</v>
      </c>
      <c r="M304" s="28">
        <v>5400938331</v>
      </c>
      <c r="N304" s="28">
        <v>30</v>
      </c>
      <c r="O304" s="26" t="s">
        <v>2676</v>
      </c>
      <c r="P304" s="26" t="s">
        <v>3190</v>
      </c>
      <c r="Q304" s="26" t="s">
        <v>2762</v>
      </c>
      <c r="R304" s="26" t="s">
        <v>2855</v>
      </c>
      <c r="S304" s="7">
        <v>102000</v>
      </c>
      <c r="T304" s="7">
        <v>111000</v>
      </c>
      <c r="U304" s="7">
        <v>131000</v>
      </c>
      <c r="V304" s="7">
        <f t="shared" si="23"/>
        <v>20000</v>
      </c>
      <c r="W304" s="5">
        <f t="shared" si="24"/>
        <v>0.18018018018018017</v>
      </c>
      <c r="X304" s="39"/>
      <c r="Y304" s="33">
        <f>SUMPRODUCT((BIdetails!$J$5:$J$3000=M304)*(BIdetails!$K$5:$K$3000=N304)*(BIdetails!$M$5:$M$3000))</f>
        <v>0</v>
      </c>
      <c r="Z304" s="34">
        <f t="shared" si="21"/>
        <v>0</v>
      </c>
      <c r="AA304" s="31"/>
      <c r="AB304" s="31"/>
      <c r="AC304" s="31"/>
      <c r="AD304" s="31"/>
    </row>
    <row r="305" spans="1:30" ht="15" hidden="1" customHeight="1" x14ac:dyDescent="0.25">
      <c r="A305" t="s">
        <v>2745</v>
      </c>
      <c r="B305" t="str">
        <f t="shared" si="22"/>
        <v>No Change</v>
      </c>
      <c r="C305" t="s">
        <v>3191</v>
      </c>
      <c r="D305">
        <v>68427709</v>
      </c>
      <c r="E305" s="95" t="s">
        <v>49</v>
      </c>
      <c r="F305" t="s">
        <v>50</v>
      </c>
      <c r="G305" t="s">
        <v>42</v>
      </c>
      <c r="H305" t="s">
        <v>3192</v>
      </c>
      <c r="I305">
        <v>0</v>
      </c>
      <c r="J305" t="s">
        <v>3193</v>
      </c>
      <c r="K305">
        <v>121566</v>
      </c>
      <c r="L305" t="s">
        <v>3194</v>
      </c>
      <c r="M305" s="21">
        <v>5401001836</v>
      </c>
      <c r="N305" s="21">
        <v>10</v>
      </c>
      <c r="O305" t="s">
        <v>2676</v>
      </c>
      <c r="P305" t="s">
        <v>1283</v>
      </c>
      <c r="Q305" t="s">
        <v>2762</v>
      </c>
      <c r="R305" s="96" t="s">
        <v>2851</v>
      </c>
      <c r="S305" s="7">
        <v>33000</v>
      </c>
      <c r="T305" s="7">
        <v>33000</v>
      </c>
      <c r="U305" s="7">
        <v>33000</v>
      </c>
      <c r="V305" s="7">
        <f t="shared" si="23"/>
        <v>0</v>
      </c>
      <c r="W305" s="5">
        <f t="shared" si="24"/>
        <v>0</v>
      </c>
      <c r="X305" s="39"/>
      <c r="Y305" s="33">
        <f>SUMPRODUCT((BIdetails!$J$5:$J$3000=M305)*(BIdetails!$K$5:$K$3000=N305)*(BIdetails!$M$5:$M$3000))</f>
        <v>0</v>
      </c>
      <c r="Z305" s="34">
        <f t="shared" si="21"/>
        <v>0</v>
      </c>
      <c r="AA305" s="31" t="s">
        <v>2758</v>
      </c>
      <c r="AB305" s="31" t="s">
        <v>2752</v>
      </c>
      <c r="AC305" s="31" t="s">
        <v>2788</v>
      </c>
      <c r="AD305" s="31"/>
    </row>
    <row r="306" spans="1:30" hidden="1" x14ac:dyDescent="0.25">
      <c r="A306" t="s">
        <v>2745</v>
      </c>
      <c r="B306" t="str">
        <f t="shared" si="22"/>
        <v>No Change</v>
      </c>
      <c r="C306" t="s">
        <v>3195</v>
      </c>
      <c r="D306">
        <v>68427709</v>
      </c>
      <c r="E306" s="95" t="s">
        <v>49</v>
      </c>
      <c r="F306" t="s">
        <v>50</v>
      </c>
      <c r="G306" s="96" t="s">
        <v>42</v>
      </c>
      <c r="H306" s="96" t="s">
        <v>3196</v>
      </c>
      <c r="I306">
        <v>0</v>
      </c>
      <c r="J306" t="s">
        <v>2066</v>
      </c>
      <c r="K306" s="96">
        <v>165589</v>
      </c>
      <c r="L306" s="96" t="s">
        <v>3197</v>
      </c>
      <c r="M306" s="97">
        <v>5401014604</v>
      </c>
      <c r="N306" s="97">
        <v>10</v>
      </c>
      <c r="O306" s="96" t="s">
        <v>2676</v>
      </c>
      <c r="P306" s="96" t="s">
        <v>2784</v>
      </c>
      <c r="Q306" t="s">
        <v>2750</v>
      </c>
      <c r="R306" s="96" t="s">
        <v>2751</v>
      </c>
      <c r="S306" s="7">
        <v>85000</v>
      </c>
      <c r="T306" s="7">
        <v>85000</v>
      </c>
      <c r="U306" s="7">
        <v>85000</v>
      </c>
      <c r="V306" s="7">
        <f t="shared" si="23"/>
        <v>0</v>
      </c>
      <c r="W306" s="5">
        <f t="shared" si="24"/>
        <v>0</v>
      </c>
      <c r="X306" s="39"/>
      <c r="Y306" s="33">
        <f>SUMPRODUCT((BIdetails!$J$5:$J$3000=M306)*(BIdetails!$K$5:$K$3000=N306)*(BIdetails!$M$5:$M$3000))</f>
        <v>0</v>
      </c>
      <c r="Z306" s="34">
        <f t="shared" ref="Z306:Z403" si="25">IF(U306=0,"",(Y306/U306))</f>
        <v>0</v>
      </c>
      <c r="AA306" s="31" t="s">
        <v>649</v>
      </c>
      <c r="AB306" s="31" t="s">
        <v>2752</v>
      </c>
      <c r="AC306" s="31" t="s">
        <v>2774</v>
      </c>
      <c r="AD306" s="31"/>
    </row>
    <row r="307" spans="1:30" hidden="1" x14ac:dyDescent="0.25">
      <c r="A307" t="s">
        <v>2745</v>
      </c>
      <c r="B307" t="str">
        <f t="shared" si="22"/>
        <v>No Change</v>
      </c>
      <c r="D307">
        <v>68427709</v>
      </c>
      <c r="E307" s="95" t="s">
        <v>53</v>
      </c>
      <c r="F307" t="s">
        <v>54</v>
      </c>
      <c r="G307" t="s">
        <v>42</v>
      </c>
      <c r="H307" t="s">
        <v>1285</v>
      </c>
      <c r="I307">
        <v>0</v>
      </c>
      <c r="J307" t="s">
        <v>3198</v>
      </c>
      <c r="K307">
        <v>212788</v>
      </c>
      <c r="L307" t="s">
        <v>3199</v>
      </c>
      <c r="M307" s="21">
        <v>5401006858</v>
      </c>
      <c r="N307" s="21">
        <v>10</v>
      </c>
      <c r="O307" s="26" t="s">
        <v>2676</v>
      </c>
      <c r="P307" s="26" t="s">
        <v>2314</v>
      </c>
      <c r="Q307" t="s">
        <v>2762</v>
      </c>
      <c r="R307" t="s">
        <v>2793</v>
      </c>
      <c r="S307" s="7">
        <v>23000</v>
      </c>
      <c r="T307" s="7">
        <v>25000</v>
      </c>
      <c r="U307" s="7">
        <v>25000</v>
      </c>
      <c r="V307" s="7">
        <f t="shared" si="23"/>
        <v>0</v>
      </c>
      <c r="W307" s="5">
        <f t="shared" si="24"/>
        <v>0</v>
      </c>
      <c r="X307" s="39"/>
      <c r="Y307" s="33">
        <f>SUMPRODUCT((BIdetails!$J$5:$J$3000=M307)*(BIdetails!$K$5:$K$3000=N307)*(BIdetails!$M$5:$M$3000))</f>
        <v>0</v>
      </c>
      <c r="Z307" s="34">
        <f t="shared" si="25"/>
        <v>0</v>
      </c>
      <c r="AA307" s="31"/>
      <c r="AB307" s="31"/>
      <c r="AC307" s="31"/>
      <c r="AD307" s="31"/>
    </row>
    <row r="308" spans="1:30" hidden="1" x14ac:dyDescent="0.25">
      <c r="A308" t="s">
        <v>2745</v>
      </c>
      <c r="B308" t="str">
        <f t="shared" si="22"/>
        <v>No Change</v>
      </c>
      <c r="C308" t="s">
        <v>3200</v>
      </c>
      <c r="D308">
        <v>68427709</v>
      </c>
      <c r="E308" s="95" t="s">
        <v>53</v>
      </c>
      <c r="F308" t="s">
        <v>54</v>
      </c>
      <c r="G308" t="s">
        <v>42</v>
      </c>
      <c r="H308" t="s">
        <v>3201</v>
      </c>
      <c r="I308">
        <v>0</v>
      </c>
      <c r="J308" t="s">
        <v>2013</v>
      </c>
      <c r="K308">
        <v>199680</v>
      </c>
      <c r="L308" t="s">
        <v>131</v>
      </c>
      <c r="M308" s="21">
        <v>5401023844</v>
      </c>
      <c r="N308" s="21">
        <v>10</v>
      </c>
      <c r="O308" t="s">
        <v>2676</v>
      </c>
      <c r="P308" s="26" t="s">
        <v>2766</v>
      </c>
      <c r="Q308" t="s">
        <v>2762</v>
      </c>
      <c r="R308" s="26" t="s">
        <v>2768</v>
      </c>
      <c r="S308" s="7">
        <v>103000</v>
      </c>
      <c r="T308" s="7">
        <v>103000</v>
      </c>
      <c r="U308" s="7">
        <v>103000</v>
      </c>
      <c r="V308" s="7">
        <f t="shared" si="23"/>
        <v>0</v>
      </c>
      <c r="W308" s="5">
        <f t="shared" si="24"/>
        <v>0</v>
      </c>
      <c r="X308" s="39"/>
      <c r="Y308" s="33">
        <f>SUMPRODUCT((BIdetails!$J$5:$J$3000=M308)*(BIdetails!$K$5:$K$3000=N308)*(BIdetails!$M$5:$M$3000))</f>
        <v>0</v>
      </c>
      <c r="Z308" s="34">
        <f t="shared" si="25"/>
        <v>0</v>
      </c>
      <c r="AA308" s="31"/>
      <c r="AB308" s="31"/>
      <c r="AC308" s="31"/>
      <c r="AD308" s="31"/>
    </row>
    <row r="309" spans="1:30" x14ac:dyDescent="0.25">
      <c r="A309" t="s">
        <v>2783</v>
      </c>
      <c r="B309" t="str">
        <f t="shared" si="22"/>
        <v>No Change</v>
      </c>
      <c r="C309" t="s">
        <v>3202</v>
      </c>
      <c r="D309">
        <v>68427709</v>
      </c>
      <c r="E309" s="95" t="s">
        <v>38</v>
      </c>
      <c r="F309" t="s">
        <v>40</v>
      </c>
      <c r="G309" t="s">
        <v>40</v>
      </c>
      <c r="H309" t="s">
        <v>3703</v>
      </c>
      <c r="J309" t="s">
        <v>2769</v>
      </c>
      <c r="K309" s="26"/>
      <c r="L309" s="26"/>
      <c r="M309" s="217"/>
      <c r="O309" t="s">
        <v>2652</v>
      </c>
      <c r="P309" t="s">
        <v>2652</v>
      </c>
      <c r="Q309" t="s">
        <v>2762</v>
      </c>
      <c r="R309" t="s">
        <v>40</v>
      </c>
      <c r="S309" s="7">
        <v>140000</v>
      </c>
      <c r="T309" s="7">
        <v>0</v>
      </c>
      <c r="U309" s="261">
        <v>0</v>
      </c>
      <c r="V309" s="7">
        <f t="shared" si="23"/>
        <v>0</v>
      </c>
      <c r="W309" s="5">
        <f t="shared" si="24"/>
        <v>0</v>
      </c>
      <c r="X309" s="39"/>
      <c r="Y309" s="33">
        <f>SUMPRODUCT((BIdetails!$J$5:$J$3000=M309)*(BIdetails!$K$5:$K$3000=N309)*(BIdetails!$M$5:$M$3000))</f>
        <v>0</v>
      </c>
      <c r="Z309" s="34" t="str">
        <f t="shared" si="25"/>
        <v/>
      </c>
      <c r="AA309" s="31" t="s">
        <v>649</v>
      </c>
      <c r="AB309" s="31" t="s">
        <v>2752</v>
      </c>
      <c r="AC309" s="31" t="s">
        <v>2774</v>
      </c>
      <c r="AD309" s="31"/>
    </row>
    <row r="310" spans="1:30" hidden="1" x14ac:dyDescent="0.25">
      <c r="A310" t="s">
        <v>2745</v>
      </c>
      <c r="B310" t="str">
        <f t="shared" si="22"/>
        <v>No Change</v>
      </c>
      <c r="D310">
        <v>68427709</v>
      </c>
      <c r="E310" s="95" t="s">
        <v>53</v>
      </c>
      <c r="F310" t="s">
        <v>54</v>
      </c>
      <c r="G310" s="96" t="s">
        <v>42</v>
      </c>
      <c r="H310" s="96" t="s">
        <v>3203</v>
      </c>
      <c r="J310" t="s">
        <v>3204</v>
      </c>
      <c r="K310">
        <v>193317</v>
      </c>
      <c r="L310" s="26" t="s">
        <v>76</v>
      </c>
      <c r="M310" s="219">
        <v>5401023809</v>
      </c>
      <c r="N310" s="21">
        <v>10</v>
      </c>
      <c r="O310" s="96" t="s">
        <v>2676</v>
      </c>
      <c r="P310" s="96" t="s">
        <v>2755</v>
      </c>
      <c r="Q310" t="s">
        <v>2756</v>
      </c>
      <c r="R310" t="s">
        <v>2757</v>
      </c>
      <c r="S310" s="7">
        <v>20000</v>
      </c>
      <c r="T310" s="7">
        <v>50000</v>
      </c>
      <c r="U310" s="7">
        <v>50000</v>
      </c>
      <c r="V310" s="7">
        <f t="shared" si="23"/>
        <v>0</v>
      </c>
      <c r="W310" s="5">
        <f t="shared" si="24"/>
        <v>0</v>
      </c>
      <c r="X310" s="39"/>
      <c r="Y310" s="33">
        <f>SUMPRODUCT((BIdetails!$J$5:$J$3000=M310)*(BIdetails!$K$5:$K$3000=N310)*(BIdetails!$M$5:$M$3000))</f>
        <v>0</v>
      </c>
      <c r="Z310" s="34">
        <f t="shared" si="25"/>
        <v>0</v>
      </c>
      <c r="AA310" s="31"/>
      <c r="AB310" s="31"/>
      <c r="AC310" s="31"/>
      <c r="AD310" s="31"/>
    </row>
    <row r="311" spans="1:30" hidden="1" x14ac:dyDescent="0.25">
      <c r="A311" t="s">
        <v>2783</v>
      </c>
      <c r="B311" t="str">
        <f t="shared" si="22"/>
        <v>No Change</v>
      </c>
      <c r="D311">
        <v>68427709</v>
      </c>
      <c r="E311" s="95" t="s">
        <v>41</v>
      </c>
      <c r="F311" s="96" t="s">
        <v>57</v>
      </c>
      <c r="G311" s="96" t="s">
        <v>42</v>
      </c>
      <c r="H311" s="26" t="s">
        <v>2420</v>
      </c>
      <c r="J311" t="s">
        <v>3030</v>
      </c>
      <c r="K311" s="26"/>
      <c r="L311" s="26"/>
      <c r="M311" s="217"/>
      <c r="O311" s="26" t="s">
        <v>2676</v>
      </c>
      <c r="P311" s="26" t="s">
        <v>2314</v>
      </c>
      <c r="Q311" t="s">
        <v>2767</v>
      </c>
      <c r="R311" t="s">
        <v>321</v>
      </c>
      <c r="S311" s="7">
        <v>323000</v>
      </c>
      <c r="T311" s="7">
        <v>0</v>
      </c>
      <c r="U311" s="7">
        <v>0</v>
      </c>
      <c r="V311" s="7">
        <f t="shared" si="23"/>
        <v>0</v>
      </c>
      <c r="W311" s="5">
        <f t="shared" si="24"/>
        <v>0</v>
      </c>
      <c r="X311" s="22"/>
      <c r="Y311" s="33">
        <f>SUMPRODUCT((BIdetails!$J$5:$J$3000=M311)*(BIdetails!$K$5:$K$3000=N311)*(BIdetails!$M$5:$M$3000))</f>
        <v>0</v>
      </c>
      <c r="Z311" s="34" t="str">
        <f t="shared" si="25"/>
        <v/>
      </c>
      <c r="AA311" s="31"/>
      <c r="AB311" s="31"/>
      <c r="AC311" s="31"/>
      <c r="AD311" s="31"/>
    </row>
    <row r="312" spans="1:30" hidden="1" x14ac:dyDescent="0.25">
      <c r="A312" t="s">
        <v>2745</v>
      </c>
      <c r="B312" t="str">
        <f t="shared" si="22"/>
        <v>No Change</v>
      </c>
      <c r="D312">
        <v>68427709</v>
      </c>
      <c r="E312" s="95" t="s">
        <v>53</v>
      </c>
      <c r="F312" t="s">
        <v>54</v>
      </c>
      <c r="G312" s="96" t="s">
        <v>42</v>
      </c>
      <c r="H312" s="96" t="s">
        <v>3205</v>
      </c>
      <c r="J312" t="s">
        <v>3206</v>
      </c>
      <c r="L312" s="96"/>
      <c r="O312" s="96" t="s">
        <v>2676</v>
      </c>
      <c r="P312" s="96" t="s">
        <v>2755</v>
      </c>
      <c r="Q312" s="215" t="s">
        <v>2756</v>
      </c>
      <c r="R312" t="s">
        <v>2757</v>
      </c>
      <c r="S312" s="7">
        <v>40000</v>
      </c>
      <c r="T312" s="7">
        <v>40000</v>
      </c>
      <c r="U312" s="7">
        <v>40000</v>
      </c>
      <c r="V312" s="7">
        <f t="shared" si="23"/>
        <v>0</v>
      </c>
      <c r="W312" s="5">
        <f t="shared" si="24"/>
        <v>0</v>
      </c>
      <c r="X312" s="39"/>
      <c r="Y312" s="33">
        <f>SUMPRODUCT((BIdetails!$J$5:$J$3000=M312)*(BIdetails!$K$5:$K$3000=N312)*(BIdetails!$M$5:$M$3000))</f>
        <v>0</v>
      </c>
      <c r="Z312" s="34">
        <f t="shared" si="25"/>
        <v>0</v>
      </c>
      <c r="AA312" s="31"/>
      <c r="AB312" s="31"/>
      <c r="AC312" s="31"/>
      <c r="AD312" s="31"/>
    </row>
    <row r="313" spans="1:30" x14ac:dyDescent="0.25">
      <c r="A313" t="s">
        <v>2745</v>
      </c>
      <c r="B313" t="str">
        <f t="shared" si="22"/>
        <v>No Change</v>
      </c>
      <c r="D313">
        <v>68427709</v>
      </c>
      <c r="E313" s="95" t="s">
        <v>38</v>
      </c>
      <c r="F313" t="s">
        <v>40</v>
      </c>
      <c r="G313" t="s">
        <v>40</v>
      </c>
      <c r="H313" t="s">
        <v>1550</v>
      </c>
      <c r="I313" t="s">
        <v>2259</v>
      </c>
      <c r="J313" t="s">
        <v>2830</v>
      </c>
      <c r="K313" s="26"/>
      <c r="L313" s="26"/>
      <c r="M313" s="217"/>
      <c r="O313" t="s">
        <v>2652</v>
      </c>
      <c r="P313" t="s">
        <v>2652</v>
      </c>
      <c r="Q313" t="s">
        <v>2762</v>
      </c>
      <c r="R313" t="s">
        <v>40</v>
      </c>
      <c r="S313" s="7">
        <v>70000</v>
      </c>
      <c r="T313" s="7">
        <v>70000</v>
      </c>
      <c r="U313" s="7">
        <v>70000</v>
      </c>
      <c r="V313" s="7">
        <f t="shared" si="23"/>
        <v>0</v>
      </c>
      <c r="W313" s="5">
        <f t="shared" si="24"/>
        <v>0</v>
      </c>
      <c r="X313" s="39"/>
      <c r="Y313" s="33">
        <f>SUMPRODUCT((BIdetails!$J$5:$J$3000=M313)*(BIdetails!$K$5:$K$3000=N313)*(BIdetails!$M$5:$M$3000))</f>
        <v>0</v>
      </c>
      <c r="Z313" s="34">
        <f t="shared" si="25"/>
        <v>0</v>
      </c>
      <c r="AA313" s="31" t="s">
        <v>649</v>
      </c>
      <c r="AB313" s="31" t="s">
        <v>2752</v>
      </c>
      <c r="AC313" s="31" t="s">
        <v>2774</v>
      </c>
      <c r="AD313" s="31"/>
    </row>
    <row r="314" spans="1:30" hidden="1" x14ac:dyDescent="0.25">
      <c r="A314" t="s">
        <v>2745</v>
      </c>
      <c r="B314" t="str">
        <f t="shared" si="22"/>
        <v>No Change</v>
      </c>
      <c r="D314">
        <v>68427709</v>
      </c>
      <c r="E314" s="95" t="s">
        <v>53</v>
      </c>
      <c r="F314" t="s">
        <v>54</v>
      </c>
      <c r="G314" t="s">
        <v>42</v>
      </c>
      <c r="H314" s="96" t="s">
        <v>3207</v>
      </c>
      <c r="J314" t="s">
        <v>3208</v>
      </c>
      <c r="K314">
        <v>211572</v>
      </c>
      <c r="L314" t="s">
        <v>98</v>
      </c>
      <c r="M314">
        <v>5400975278</v>
      </c>
      <c r="N314" s="21">
        <v>20</v>
      </c>
      <c r="O314" s="26" t="s">
        <v>2676</v>
      </c>
      <c r="P314" s="26" t="s">
        <v>2591</v>
      </c>
      <c r="Q314" t="s">
        <v>2762</v>
      </c>
      <c r="R314" t="s">
        <v>2851</v>
      </c>
      <c r="S314" s="7"/>
      <c r="T314" s="7">
        <v>155000</v>
      </c>
      <c r="U314" s="7">
        <v>155000</v>
      </c>
      <c r="V314" s="7">
        <f t="shared" si="23"/>
        <v>0</v>
      </c>
      <c r="W314" s="5">
        <f t="shared" si="24"/>
        <v>0</v>
      </c>
      <c r="X314" s="22"/>
      <c r="Y314" s="33">
        <f>SUMPRODUCT((BIdetails!$J$5:$J$3000=M314)*(BIdetails!$K$5:$K$3000=N314)*(BIdetails!$M$5:$M$3000))</f>
        <v>0</v>
      </c>
      <c r="Z314" s="34">
        <f t="shared" si="25"/>
        <v>0</v>
      </c>
      <c r="AA314" s="31"/>
      <c r="AB314" s="31"/>
      <c r="AC314" s="31"/>
      <c r="AD314" s="31"/>
    </row>
    <row r="315" spans="1:30" hidden="1" x14ac:dyDescent="0.25">
      <c r="A315" t="s">
        <v>2745</v>
      </c>
      <c r="B315" t="str">
        <f t="shared" si="22"/>
        <v>No Change</v>
      </c>
      <c r="D315">
        <v>68427709</v>
      </c>
      <c r="E315" s="95" t="s">
        <v>53</v>
      </c>
      <c r="F315" t="s">
        <v>54</v>
      </c>
      <c r="G315" t="s">
        <v>42</v>
      </c>
      <c r="H315" s="96" t="s">
        <v>2352</v>
      </c>
      <c r="J315" t="s">
        <v>3209</v>
      </c>
      <c r="K315">
        <v>204075</v>
      </c>
      <c r="L315" t="s">
        <v>88</v>
      </c>
      <c r="M315">
        <v>5401030709</v>
      </c>
      <c r="N315" s="21">
        <v>10</v>
      </c>
      <c r="O315" s="26" t="s">
        <v>2676</v>
      </c>
      <c r="P315" s="26" t="s">
        <v>2591</v>
      </c>
      <c r="Q315" t="s">
        <v>2762</v>
      </c>
      <c r="R315" t="s">
        <v>2851</v>
      </c>
      <c r="S315" s="7"/>
      <c r="T315" s="7">
        <v>35000</v>
      </c>
      <c r="U315" s="7">
        <v>35000</v>
      </c>
      <c r="V315" s="7">
        <f t="shared" si="23"/>
        <v>0</v>
      </c>
      <c r="W315" s="5">
        <f t="shared" si="24"/>
        <v>0</v>
      </c>
      <c r="X315" s="232"/>
      <c r="Y315" s="33">
        <f>SUMPRODUCT((BIdetails!$J$5:$J$3000=M315)*(BIdetails!$K$5:$K$3000=N315)*(BIdetails!$M$5:$M$3000))</f>
        <v>0</v>
      </c>
      <c r="Z315" s="34">
        <f t="shared" si="25"/>
        <v>0</v>
      </c>
      <c r="AA315" s="31"/>
      <c r="AB315" s="31"/>
      <c r="AC315" s="31"/>
      <c r="AD315" s="31"/>
    </row>
    <row r="316" spans="1:30" hidden="1" x14ac:dyDescent="0.25">
      <c r="A316" t="s">
        <v>2745</v>
      </c>
      <c r="B316" t="str">
        <f t="shared" si="22"/>
        <v>No Change</v>
      </c>
      <c r="D316">
        <v>68427709</v>
      </c>
      <c r="E316" s="95" t="s">
        <v>49</v>
      </c>
      <c r="F316" t="s">
        <v>50</v>
      </c>
      <c r="G316" t="s">
        <v>42</v>
      </c>
      <c r="H316" s="96" t="s">
        <v>3210</v>
      </c>
      <c r="J316" t="s">
        <v>3209</v>
      </c>
      <c r="K316">
        <v>204075</v>
      </c>
      <c r="L316" t="s">
        <v>88</v>
      </c>
      <c r="M316" s="217">
        <v>5401030709</v>
      </c>
      <c r="N316" s="21">
        <v>10</v>
      </c>
      <c r="O316" s="26" t="s">
        <v>2676</v>
      </c>
      <c r="P316" s="26" t="s">
        <v>2591</v>
      </c>
      <c r="Q316" t="s">
        <v>2762</v>
      </c>
      <c r="R316" t="s">
        <v>2851</v>
      </c>
      <c r="S316" s="7"/>
      <c r="T316" s="7">
        <v>12500</v>
      </c>
      <c r="U316" s="7">
        <v>12500</v>
      </c>
      <c r="V316" s="7">
        <f t="shared" si="23"/>
        <v>0</v>
      </c>
      <c r="W316" s="5">
        <f t="shared" si="24"/>
        <v>0</v>
      </c>
      <c r="X316" s="232"/>
      <c r="Y316" s="33">
        <f>SUMPRODUCT((BIdetails!$J$5:$J$3000=M316)*(BIdetails!$K$5:$K$3000=N316)*(BIdetails!$M$5:$M$3000))</f>
        <v>0</v>
      </c>
      <c r="Z316" s="34">
        <f t="shared" si="25"/>
        <v>0</v>
      </c>
      <c r="AA316" s="31"/>
      <c r="AB316" s="31"/>
      <c r="AC316" s="31"/>
      <c r="AD316" s="31"/>
    </row>
    <row r="317" spans="1:30" hidden="1" x14ac:dyDescent="0.25">
      <c r="A317" t="s">
        <v>2745</v>
      </c>
      <c r="B317" t="str">
        <f t="shared" ref="B317" si="26">IF(T317=U317,"No Change",IF(AND(U317&lt;&gt;0,U317&lt;T317),"Decrease",IF(AND(U317&lt;&gt;0,T317=0),"New",IF(AND(T317&lt;&gt;0,U317=0),"Decommissioned","Increase"))))</f>
        <v>Decommissioned</v>
      </c>
      <c r="D317">
        <v>68427719</v>
      </c>
      <c r="E317" s="95" t="s">
        <v>53</v>
      </c>
      <c r="F317" t="s">
        <v>54</v>
      </c>
      <c r="G317" t="s">
        <v>42</v>
      </c>
      <c r="H317" s="26" t="s">
        <v>2357</v>
      </c>
      <c r="J317" t="s">
        <v>3211</v>
      </c>
      <c r="K317" s="26">
        <v>204549</v>
      </c>
      <c r="L317" s="26" t="s">
        <v>3212</v>
      </c>
      <c r="M317" s="217">
        <v>5400980472</v>
      </c>
      <c r="N317" s="21">
        <v>10</v>
      </c>
      <c r="O317" s="96" t="s">
        <v>2610</v>
      </c>
      <c r="P317" s="96" t="s">
        <v>2610</v>
      </c>
      <c r="Q317" t="s">
        <v>2813</v>
      </c>
      <c r="R317" t="s">
        <v>2801</v>
      </c>
      <c r="S317" s="7"/>
      <c r="T317" s="7">
        <v>16000</v>
      </c>
      <c r="U317" s="7">
        <v>0</v>
      </c>
      <c r="V317" s="7">
        <f t="shared" si="23"/>
        <v>-16000</v>
      </c>
      <c r="W317" s="5">
        <f t="shared" si="24"/>
        <v>-1</v>
      </c>
      <c r="X317" s="223"/>
      <c r="Y317" s="33">
        <f>SUMPRODUCT((BIdetails!$J$5:$J$3000=M317)*(BIdetails!$K$5:$K$3000=N317)*(BIdetails!$M$5:$M$3000))</f>
        <v>0</v>
      </c>
      <c r="Z317" s="34" t="str">
        <f t="shared" si="25"/>
        <v/>
      </c>
      <c r="AA317" s="31"/>
      <c r="AB317" s="31"/>
      <c r="AC317" s="31"/>
      <c r="AD317" s="31"/>
    </row>
    <row r="318" spans="1:30" hidden="1" x14ac:dyDescent="0.25">
      <c r="A318" t="s">
        <v>2745</v>
      </c>
      <c r="B318" t="str">
        <f t="shared" ref="B318:B320" si="27">IF(T318=U318,"No Change",IF(AND(U318&lt;&gt;0,U318&lt;T318),"Decrease",IF(AND(U318&lt;&gt;0,T318=0),"New",IF(AND(T318&lt;&gt;0,U318=0),"Decommissioned","Increase"))))</f>
        <v>No Change</v>
      </c>
      <c r="D318">
        <v>68427709</v>
      </c>
      <c r="E318" s="95" t="s">
        <v>53</v>
      </c>
      <c r="F318" t="s">
        <v>54</v>
      </c>
      <c r="G318" t="s">
        <v>42</v>
      </c>
      <c r="H318" s="26" t="s">
        <v>3213</v>
      </c>
      <c r="J318" s="26" t="s">
        <v>3214</v>
      </c>
      <c r="K318" s="26">
        <v>166010</v>
      </c>
      <c r="L318" s="26" t="s">
        <v>82</v>
      </c>
      <c r="M318" s="21">
        <v>5400986623</v>
      </c>
      <c r="N318" s="21">
        <v>20</v>
      </c>
      <c r="O318" s="26" t="s">
        <v>2676</v>
      </c>
      <c r="P318" s="26" t="s">
        <v>1283</v>
      </c>
      <c r="Q318" t="s">
        <v>2762</v>
      </c>
      <c r="R318" t="s">
        <v>2851</v>
      </c>
      <c r="S318" s="7"/>
      <c r="T318" s="7">
        <v>30500</v>
      </c>
      <c r="U318" s="7">
        <v>30500</v>
      </c>
      <c r="V318" s="7">
        <f t="shared" si="23"/>
        <v>0</v>
      </c>
      <c r="W318" s="5">
        <f t="shared" si="24"/>
        <v>0</v>
      </c>
      <c r="X318" s="223"/>
      <c r="Y318" s="33">
        <f>SUMPRODUCT((BIdetails!$J$5:$J$3000=M318)*(BIdetails!$K$5:$K$3000=N318)*(BIdetails!$M$5:$M$3000))</f>
        <v>0</v>
      </c>
      <c r="Z318" s="34">
        <f t="shared" si="25"/>
        <v>0</v>
      </c>
      <c r="AA318" s="31"/>
      <c r="AB318" s="31"/>
      <c r="AC318" s="31"/>
      <c r="AD318" s="31"/>
    </row>
    <row r="319" spans="1:30" hidden="1" x14ac:dyDescent="0.25">
      <c r="A319" t="s">
        <v>2745</v>
      </c>
      <c r="B319" t="str">
        <f t="shared" si="27"/>
        <v>Decommissioned</v>
      </c>
      <c r="D319">
        <v>68427709</v>
      </c>
      <c r="E319" s="95" t="s">
        <v>53</v>
      </c>
      <c r="F319" t="s">
        <v>54</v>
      </c>
      <c r="G319" t="s">
        <v>42</v>
      </c>
      <c r="H319" s="26" t="s">
        <v>2699</v>
      </c>
      <c r="J319" t="s">
        <v>3215</v>
      </c>
      <c r="K319">
        <v>199582</v>
      </c>
      <c r="L319" s="26" t="s">
        <v>70</v>
      </c>
      <c r="M319" s="217"/>
      <c r="O319" s="26" t="s">
        <v>2676</v>
      </c>
      <c r="P319" s="26" t="s">
        <v>1283</v>
      </c>
      <c r="Q319" t="s">
        <v>2767</v>
      </c>
      <c r="R319" t="s">
        <v>2768</v>
      </c>
      <c r="S319" s="7"/>
      <c r="T319" s="7">
        <v>76000</v>
      </c>
      <c r="U319" s="7">
        <v>0</v>
      </c>
      <c r="V319" s="7">
        <f t="shared" si="23"/>
        <v>-76000</v>
      </c>
      <c r="W319" s="5">
        <f t="shared" si="24"/>
        <v>-1</v>
      </c>
      <c r="X319" s="22"/>
      <c r="Y319" s="33">
        <f>SUMPRODUCT((BIdetails!$J$5:$J$3000=M319)*(BIdetails!$K$5:$K$3000=N319)*(BIdetails!$M$5:$M$3000))</f>
        <v>0</v>
      </c>
      <c r="Z319" s="34" t="str">
        <f t="shared" si="25"/>
        <v/>
      </c>
      <c r="AA319" s="31"/>
      <c r="AB319" s="31"/>
      <c r="AC319" s="31"/>
      <c r="AD319" s="31"/>
    </row>
    <row r="320" spans="1:30" hidden="1" x14ac:dyDescent="0.25">
      <c r="A320" t="s">
        <v>2745</v>
      </c>
      <c r="B320" t="str">
        <f t="shared" si="27"/>
        <v>Increase</v>
      </c>
      <c r="D320">
        <v>68427709</v>
      </c>
      <c r="E320" s="95" t="s">
        <v>19</v>
      </c>
      <c r="F320" t="s">
        <v>20</v>
      </c>
      <c r="G320" t="s">
        <v>16</v>
      </c>
      <c r="H320" s="26" t="s">
        <v>3216</v>
      </c>
      <c r="J320" t="s">
        <v>3217</v>
      </c>
      <c r="K320">
        <v>166304</v>
      </c>
      <c r="L320" s="26" t="s">
        <v>558</v>
      </c>
      <c r="M320" s="217">
        <v>5401011272</v>
      </c>
      <c r="N320" s="21">
        <v>10</v>
      </c>
      <c r="O320" s="26" t="s">
        <v>2224</v>
      </c>
      <c r="P320" s="26" t="s">
        <v>2922</v>
      </c>
      <c r="Q320" t="s">
        <v>2762</v>
      </c>
      <c r="R320" t="s">
        <v>2851</v>
      </c>
      <c r="S320" s="7"/>
      <c r="T320" s="7">
        <v>50000</v>
      </c>
      <c r="U320" s="7">
        <v>75000</v>
      </c>
      <c r="V320" s="7">
        <f t="shared" si="23"/>
        <v>25000</v>
      </c>
      <c r="W320" s="5">
        <f t="shared" si="24"/>
        <v>0.5</v>
      </c>
      <c r="X320" s="22"/>
      <c r="Y320" s="33">
        <f>SUMPRODUCT((BIdetails!$J$5:$J$3000=M320)*(BIdetails!$K$5:$K$3000=N320)*(BIdetails!$M$5:$M$3000))</f>
        <v>0</v>
      </c>
      <c r="Z320" s="34">
        <f t="shared" si="25"/>
        <v>0</v>
      </c>
      <c r="AA320" s="31"/>
      <c r="AB320" s="31"/>
      <c r="AC320" s="31"/>
      <c r="AD320" s="31"/>
    </row>
    <row r="321" spans="1:30" hidden="1" x14ac:dyDescent="0.25">
      <c r="A321" t="s">
        <v>2745</v>
      </c>
      <c r="B321" t="str">
        <f t="shared" ref="B321" si="28">IF(T321=U321,"No Change",IF(AND(U321&lt;&gt;0,U321&lt;T321),"Decrease",IF(AND(U321&lt;&gt;0,T321=0),"New",IF(AND(T321&lt;&gt;0,U321=0),"Decommissioned","Increase"))))</f>
        <v>No Change</v>
      </c>
      <c r="D321">
        <v>68427709</v>
      </c>
      <c r="E321" s="95" t="s">
        <v>53</v>
      </c>
      <c r="F321" t="s">
        <v>54</v>
      </c>
      <c r="G321" s="96" t="s">
        <v>42</v>
      </c>
      <c r="H321" s="26" t="s">
        <v>2401</v>
      </c>
      <c r="J321" t="s">
        <v>3082</v>
      </c>
      <c r="K321" s="96">
        <v>181895</v>
      </c>
      <c r="L321" s="96" t="s">
        <v>3081</v>
      </c>
      <c r="M321" s="217">
        <v>5400966895</v>
      </c>
      <c r="N321" s="21">
        <v>20</v>
      </c>
      <c r="O321" s="96" t="s">
        <v>2676</v>
      </c>
      <c r="P321" s="26" t="s">
        <v>3218</v>
      </c>
      <c r="Q321" t="s">
        <v>2762</v>
      </c>
      <c r="R321" t="s">
        <v>2768</v>
      </c>
      <c r="S321" s="7"/>
      <c r="T321" s="7">
        <v>78000</v>
      </c>
      <c r="U321" s="7">
        <v>78000</v>
      </c>
      <c r="V321" s="7">
        <f t="shared" si="23"/>
        <v>0</v>
      </c>
      <c r="W321" s="5">
        <f t="shared" si="24"/>
        <v>0</v>
      </c>
      <c r="X321" s="22"/>
      <c r="Y321" s="33">
        <f>SUMPRODUCT((BIdetails!$J$5:$J$3000=M321)*(BIdetails!$K$5:$K$3000=N321)*(BIdetails!$M$5:$M$3000))</f>
        <v>0</v>
      </c>
      <c r="Z321" s="34">
        <f t="shared" si="25"/>
        <v>0</v>
      </c>
      <c r="AA321" s="31"/>
      <c r="AB321" s="31"/>
      <c r="AC321" s="31"/>
      <c r="AD321" s="31"/>
    </row>
    <row r="322" spans="1:30" hidden="1" x14ac:dyDescent="0.25">
      <c r="A322" t="s">
        <v>2745</v>
      </c>
      <c r="B322" t="str">
        <f t="shared" ref="B322" si="29">IF(T322=U322,"No Change",IF(AND(U322&lt;&gt;0,U322&lt;T322),"Decrease",IF(AND(U322&lt;&gt;0,T322=0),"New",IF(AND(T322&lt;&gt;0,U322=0),"Decommissioned","Increase"))))</f>
        <v>No Change</v>
      </c>
      <c r="D322">
        <v>68427709</v>
      </c>
      <c r="E322" s="95" t="s">
        <v>53</v>
      </c>
      <c r="F322" t="s">
        <v>54</v>
      </c>
      <c r="G322" s="96" t="s">
        <v>42</v>
      </c>
      <c r="H322" s="26" t="s">
        <v>3219</v>
      </c>
      <c r="J322" t="s">
        <v>3033</v>
      </c>
      <c r="K322">
        <v>193275</v>
      </c>
      <c r="L322" t="s">
        <v>2906</v>
      </c>
      <c r="M322" s="217">
        <v>5401023756</v>
      </c>
      <c r="N322" s="21">
        <v>10</v>
      </c>
      <c r="O322" s="96" t="s">
        <v>2676</v>
      </c>
      <c r="P322" s="26" t="s">
        <v>2314</v>
      </c>
      <c r="Q322" t="s">
        <v>2767</v>
      </c>
      <c r="R322" t="s">
        <v>321</v>
      </c>
      <c r="S322" s="7"/>
      <c r="T322" s="7">
        <v>260000</v>
      </c>
      <c r="U322" s="7">
        <v>260000</v>
      </c>
      <c r="V322" s="7">
        <f t="shared" si="23"/>
        <v>0</v>
      </c>
      <c r="W322" s="5">
        <f t="shared" si="24"/>
        <v>0</v>
      </c>
      <c r="X322" s="22"/>
      <c r="Y322" s="33">
        <f>SUMPRODUCT((BIdetails!$J$5:$J$3000=M322)*(BIdetails!$K$5:$K$3000=N322)*(BIdetails!$M$5:$M$3000))</f>
        <v>0</v>
      </c>
      <c r="Z322" s="34">
        <f t="shared" si="25"/>
        <v>0</v>
      </c>
      <c r="AA322" s="31"/>
      <c r="AB322" s="31"/>
      <c r="AC322" s="31"/>
      <c r="AD322" s="31"/>
    </row>
    <row r="323" spans="1:30" hidden="1" x14ac:dyDescent="0.25">
      <c r="A323" t="s">
        <v>2745</v>
      </c>
      <c r="B323" t="str">
        <f t="shared" ref="B323:B327" si="30">IF(T323=U323,"No Change",IF(AND(U323&lt;&gt;0,U323&lt;T323),"Decrease",IF(AND(U323&lt;&gt;0,T323=0),"New",IF(AND(T323&lt;&gt;0,U323=0),"Decommissioned","Increase"))))</f>
        <v>No Change</v>
      </c>
      <c r="D323">
        <v>68427709</v>
      </c>
      <c r="E323" s="95" t="s">
        <v>53</v>
      </c>
      <c r="F323" t="s">
        <v>54</v>
      </c>
      <c r="G323" s="96" t="s">
        <v>42</v>
      </c>
      <c r="H323" s="26" t="s">
        <v>3220</v>
      </c>
      <c r="J323" t="s">
        <v>3221</v>
      </c>
      <c r="K323" s="96"/>
      <c r="L323" s="96"/>
      <c r="M323" s="217"/>
      <c r="O323" s="96" t="s">
        <v>2676</v>
      </c>
      <c r="P323" s="26" t="s">
        <v>2314</v>
      </c>
      <c r="Q323" t="s">
        <v>2762</v>
      </c>
      <c r="R323" t="s">
        <v>321</v>
      </c>
      <c r="S323" s="7"/>
      <c r="T323" s="7">
        <v>56200</v>
      </c>
      <c r="U323" s="7">
        <v>56200</v>
      </c>
      <c r="V323" s="7">
        <f t="shared" si="23"/>
        <v>0</v>
      </c>
      <c r="W323" s="5">
        <f t="shared" si="24"/>
        <v>0</v>
      </c>
      <c r="X323" s="22"/>
      <c r="Y323" s="33">
        <f>SUMPRODUCT((BIdetails!$J$5:$J$3000=M323)*(BIdetails!$K$5:$K$3000=N323)*(BIdetails!$M$5:$M$3000))</f>
        <v>0</v>
      </c>
      <c r="Z323" s="34">
        <f t="shared" si="25"/>
        <v>0</v>
      </c>
      <c r="AA323" s="31"/>
      <c r="AB323" s="31"/>
      <c r="AC323" s="31"/>
      <c r="AD323" s="31"/>
    </row>
    <row r="324" spans="1:30" hidden="1" x14ac:dyDescent="0.25">
      <c r="A324" t="s">
        <v>2745</v>
      </c>
      <c r="B324" t="str">
        <f t="shared" si="30"/>
        <v>No Change</v>
      </c>
      <c r="D324">
        <v>68427709</v>
      </c>
      <c r="E324" s="95" t="s">
        <v>49</v>
      </c>
      <c r="F324" t="s">
        <v>50</v>
      </c>
      <c r="G324" t="s">
        <v>42</v>
      </c>
      <c r="H324" s="26" t="s">
        <v>2427</v>
      </c>
      <c r="J324" t="s">
        <v>3222</v>
      </c>
      <c r="K324" s="96">
        <v>197254</v>
      </c>
      <c r="L324" s="96" t="s">
        <v>77</v>
      </c>
      <c r="M324" s="21">
        <v>5401034435</v>
      </c>
      <c r="N324" s="21">
        <v>10</v>
      </c>
      <c r="O324" s="96" t="s">
        <v>2676</v>
      </c>
      <c r="P324" s="26" t="s">
        <v>2314</v>
      </c>
      <c r="Q324" t="s">
        <v>2762</v>
      </c>
      <c r="R324" t="s">
        <v>2793</v>
      </c>
      <c r="S324" s="233"/>
      <c r="T324" s="7">
        <v>105000</v>
      </c>
      <c r="U324" s="7">
        <v>105000</v>
      </c>
      <c r="V324" s="7">
        <f t="shared" si="23"/>
        <v>0</v>
      </c>
      <c r="W324" s="5">
        <f t="shared" si="24"/>
        <v>0</v>
      </c>
      <c r="X324" s="22"/>
      <c r="Y324" s="33">
        <f>SUMPRODUCT((BIdetails!$J$5:$J$3000=M324)*(BIdetails!$K$5:$K$3000=N324)*(BIdetails!$M$5:$M$3000))</f>
        <v>0</v>
      </c>
      <c r="Z324" s="34">
        <f t="shared" si="25"/>
        <v>0</v>
      </c>
      <c r="AA324" s="31"/>
      <c r="AB324" s="31"/>
      <c r="AC324" s="31"/>
      <c r="AD324" s="31"/>
    </row>
    <row r="325" spans="1:30" hidden="1" x14ac:dyDescent="0.25">
      <c r="A325" t="s">
        <v>2745</v>
      </c>
      <c r="B325" t="str">
        <f t="shared" si="30"/>
        <v>No Change</v>
      </c>
      <c r="D325">
        <v>68427709</v>
      </c>
      <c r="E325" s="95" t="s">
        <v>49</v>
      </c>
      <c r="F325" t="s">
        <v>50</v>
      </c>
      <c r="G325" t="s">
        <v>42</v>
      </c>
      <c r="H325" s="26" t="s">
        <v>2429</v>
      </c>
      <c r="J325" t="s">
        <v>3222</v>
      </c>
      <c r="K325" s="96">
        <v>197254</v>
      </c>
      <c r="L325" s="96" t="s">
        <v>77</v>
      </c>
      <c r="M325" s="217">
        <v>5401034435</v>
      </c>
      <c r="N325" s="21">
        <v>10</v>
      </c>
      <c r="O325" s="96" t="s">
        <v>2676</v>
      </c>
      <c r="P325" s="26" t="s">
        <v>2314</v>
      </c>
      <c r="Q325" s="215" t="s">
        <v>2762</v>
      </c>
      <c r="R325" t="s">
        <v>321</v>
      </c>
      <c r="S325" s="233"/>
      <c r="T325" s="7">
        <v>105000</v>
      </c>
      <c r="U325" s="7">
        <v>105000</v>
      </c>
      <c r="V325" s="7">
        <f t="shared" si="23"/>
        <v>0</v>
      </c>
      <c r="W325" s="5">
        <f t="shared" si="24"/>
        <v>0</v>
      </c>
      <c r="X325" s="22"/>
      <c r="Y325" s="33">
        <f>SUMPRODUCT((BIdetails!$J$5:$J$3000=M325)*(BIdetails!$K$5:$K$3000=N325)*(BIdetails!$M$5:$M$3000))</f>
        <v>0</v>
      </c>
      <c r="Z325" s="34">
        <f t="shared" si="25"/>
        <v>0</v>
      </c>
      <c r="AA325" s="31"/>
      <c r="AB325" s="31"/>
      <c r="AC325" s="31"/>
      <c r="AD325" s="31"/>
    </row>
    <row r="326" spans="1:30" ht="14.1" hidden="1" customHeight="1" x14ac:dyDescent="0.25">
      <c r="A326" t="s">
        <v>2745</v>
      </c>
      <c r="B326" t="str">
        <f t="shared" si="30"/>
        <v>No Change</v>
      </c>
      <c r="D326">
        <v>68427709</v>
      </c>
      <c r="E326" s="95" t="s">
        <v>53</v>
      </c>
      <c r="F326" t="s">
        <v>54</v>
      </c>
      <c r="G326" s="96" t="s">
        <v>42</v>
      </c>
      <c r="H326" s="26" t="s">
        <v>3223</v>
      </c>
      <c r="J326" t="s">
        <v>3222</v>
      </c>
      <c r="K326" s="177">
        <v>197254</v>
      </c>
      <c r="L326" s="177" t="s">
        <v>77</v>
      </c>
      <c r="M326" s="21">
        <v>5401044163</v>
      </c>
      <c r="O326" s="96" t="s">
        <v>2676</v>
      </c>
      <c r="P326" s="26" t="s">
        <v>2314</v>
      </c>
      <c r="Q326" t="s">
        <v>2762</v>
      </c>
      <c r="R326" t="s">
        <v>2793</v>
      </c>
      <c r="S326" s="233"/>
      <c r="T326" s="7">
        <v>56200</v>
      </c>
      <c r="U326" s="7">
        <v>56200</v>
      </c>
      <c r="V326" s="7">
        <f t="shared" si="23"/>
        <v>0</v>
      </c>
      <c r="W326" s="5">
        <f t="shared" si="24"/>
        <v>0</v>
      </c>
      <c r="X326" s="22"/>
      <c r="Y326" s="33">
        <f>SUMPRODUCT((BIdetails!$J$5:$J$3000=M326)*(BIdetails!$K$5:$K$3000=N326)*(BIdetails!$M$5:$M$3000))</f>
        <v>0</v>
      </c>
      <c r="Z326" s="34">
        <f t="shared" si="25"/>
        <v>0</v>
      </c>
      <c r="AA326" s="31"/>
      <c r="AB326" s="31"/>
      <c r="AC326" s="31"/>
      <c r="AD326" s="31"/>
    </row>
    <row r="327" spans="1:30" hidden="1" x14ac:dyDescent="0.25">
      <c r="A327" t="s">
        <v>2745</v>
      </c>
      <c r="B327" t="str">
        <f t="shared" si="30"/>
        <v>No Change</v>
      </c>
      <c r="D327">
        <v>68427709</v>
      </c>
      <c r="E327" s="95" t="s">
        <v>19</v>
      </c>
      <c r="F327" t="s">
        <v>20</v>
      </c>
      <c r="G327" t="s">
        <v>16</v>
      </c>
      <c r="H327" s="26" t="s">
        <v>2637</v>
      </c>
      <c r="J327" t="s">
        <v>3224</v>
      </c>
      <c r="K327">
        <v>166304</v>
      </c>
      <c r="L327" s="26" t="s">
        <v>558</v>
      </c>
      <c r="M327" s="217">
        <v>5400878308</v>
      </c>
      <c r="N327" s="21">
        <v>20</v>
      </c>
      <c r="O327" s="96" t="s">
        <v>2224</v>
      </c>
      <c r="P327" s="26" t="s">
        <v>2314</v>
      </c>
      <c r="Q327" t="s">
        <v>2767</v>
      </c>
      <c r="R327" t="s">
        <v>321</v>
      </c>
      <c r="S327" s="7"/>
      <c r="T327" s="7">
        <v>40800</v>
      </c>
      <c r="U327" s="7">
        <v>40800</v>
      </c>
      <c r="V327" s="7">
        <f t="shared" si="23"/>
        <v>0</v>
      </c>
      <c r="W327" s="5">
        <f t="shared" si="24"/>
        <v>0</v>
      </c>
      <c r="X327" s="22"/>
      <c r="Y327" s="33">
        <f>SUMPRODUCT((BIdetails!$J$5:$J$3000=M327)*(BIdetails!$K$5:$K$3000=N327)*(BIdetails!$M$5:$M$3000))</f>
        <v>0</v>
      </c>
      <c r="Z327" s="34">
        <f t="shared" si="25"/>
        <v>0</v>
      </c>
      <c r="AA327" s="31"/>
      <c r="AB327" s="31"/>
      <c r="AC327" s="31"/>
      <c r="AD327" s="31"/>
    </row>
    <row r="328" spans="1:30" hidden="1" x14ac:dyDescent="0.25">
      <c r="A328" t="s">
        <v>2745</v>
      </c>
      <c r="B328" t="str">
        <f t="shared" ref="B328:B330" si="31">IF(T328=U328,"No Change",IF(AND(U328&lt;&gt;0,U328&lt;T328),"Decrease",IF(AND(U328&lt;&gt;0,T328=0),"New",IF(AND(T328&lt;&gt;0,U328=0),"Decommissioned","Increase"))))</f>
        <v>Decrease</v>
      </c>
      <c r="D328">
        <v>68427709</v>
      </c>
      <c r="E328" s="95" t="s">
        <v>19</v>
      </c>
      <c r="F328" t="s">
        <v>20</v>
      </c>
      <c r="G328" s="96" t="s">
        <v>42</v>
      </c>
      <c r="H328" t="s">
        <v>3225</v>
      </c>
      <c r="J328" t="s">
        <v>3030</v>
      </c>
      <c r="K328">
        <v>166304</v>
      </c>
      <c r="L328" s="26" t="s">
        <v>558</v>
      </c>
      <c r="M328" s="217">
        <v>5400989555</v>
      </c>
      <c r="N328" s="21">
        <v>10</v>
      </c>
      <c r="O328" s="96" t="s">
        <v>2224</v>
      </c>
      <c r="P328" s="26" t="s">
        <v>2314</v>
      </c>
      <c r="Q328" t="s">
        <v>2767</v>
      </c>
      <c r="R328" t="s">
        <v>321</v>
      </c>
      <c r="S328" s="7"/>
      <c r="T328" s="7">
        <v>376000</v>
      </c>
      <c r="U328" s="7">
        <v>342000</v>
      </c>
      <c r="V328" s="7">
        <f t="shared" si="23"/>
        <v>-34000</v>
      </c>
      <c r="W328" s="5">
        <f t="shared" si="24"/>
        <v>-9.0425531914893623E-2</v>
      </c>
      <c r="X328" s="22"/>
      <c r="Y328" s="33">
        <f>SUMPRODUCT((BIdetails!$J$5:$J$3000=M328)*(BIdetails!$K$5:$K$3000=N328)*(BIdetails!$M$5:$M$3000))</f>
        <v>0</v>
      </c>
      <c r="Z328" s="34">
        <f t="shared" si="25"/>
        <v>0</v>
      </c>
      <c r="AA328" s="31"/>
      <c r="AB328" s="31"/>
      <c r="AC328" s="31"/>
      <c r="AD328" s="31"/>
    </row>
    <row r="329" spans="1:30" hidden="1" x14ac:dyDescent="0.25">
      <c r="A329" t="s">
        <v>2745</v>
      </c>
      <c r="B329" t="str">
        <f t="shared" si="31"/>
        <v>Decrease</v>
      </c>
      <c r="D329">
        <v>68427709</v>
      </c>
      <c r="E329" s="95" t="s">
        <v>41</v>
      </c>
      <c r="F329" s="96" t="s">
        <v>57</v>
      </c>
      <c r="G329" s="96" t="s">
        <v>42</v>
      </c>
      <c r="H329" s="26" t="s">
        <v>3226</v>
      </c>
      <c r="I329" s="26" t="s">
        <v>2795</v>
      </c>
      <c r="K329">
        <v>187516</v>
      </c>
      <c r="L329" s="96" t="s">
        <v>603</v>
      </c>
      <c r="M329" s="217"/>
      <c r="O329" s="96" t="s">
        <v>2676</v>
      </c>
      <c r="P329" s="26" t="s">
        <v>2773</v>
      </c>
      <c r="Q329" t="s">
        <v>2762</v>
      </c>
      <c r="R329" t="s">
        <v>2751</v>
      </c>
      <c r="S329" s="7"/>
      <c r="T329" s="7">
        <v>65000</v>
      </c>
      <c r="U329" s="7">
        <v>38000</v>
      </c>
      <c r="V329" s="7">
        <f t="shared" si="23"/>
        <v>-27000</v>
      </c>
      <c r="W329" s="5">
        <f t="shared" si="24"/>
        <v>-0.41538461538461541</v>
      </c>
      <c r="X329" s="22"/>
      <c r="Y329" s="33">
        <f>SUMPRODUCT((BIdetails!$J$5:$J$3000=M329)*(BIdetails!$K$5:$K$3000=N329)*(BIdetails!$M$5:$M$3000))</f>
        <v>0</v>
      </c>
      <c r="Z329" s="34">
        <f t="shared" si="25"/>
        <v>0</v>
      </c>
      <c r="AA329" s="31"/>
      <c r="AB329" s="31"/>
      <c r="AC329" s="31"/>
      <c r="AD329" s="31"/>
    </row>
    <row r="330" spans="1:30" hidden="1" x14ac:dyDescent="0.25">
      <c r="A330" t="s">
        <v>2745</v>
      </c>
      <c r="B330" t="str">
        <f t="shared" si="31"/>
        <v>Decrease</v>
      </c>
      <c r="D330">
        <v>68427709</v>
      </c>
      <c r="E330" s="95" t="s">
        <v>41</v>
      </c>
      <c r="F330" s="96" t="s">
        <v>57</v>
      </c>
      <c r="G330" s="96" t="s">
        <v>42</v>
      </c>
      <c r="H330" t="s">
        <v>2510</v>
      </c>
      <c r="I330" t="s">
        <v>2771</v>
      </c>
      <c r="J330" s="217" t="s">
        <v>2772</v>
      </c>
      <c r="K330">
        <v>187516</v>
      </c>
      <c r="L330" s="96" t="s">
        <v>603</v>
      </c>
      <c r="M330" s="217"/>
      <c r="O330" s="96" t="s">
        <v>2676</v>
      </c>
      <c r="P330" s="26" t="s">
        <v>2773</v>
      </c>
      <c r="Q330" s="96" t="s">
        <v>2750</v>
      </c>
      <c r="R330" t="s">
        <v>2751</v>
      </c>
      <c r="S330" s="7"/>
      <c r="T330" s="7">
        <v>250000</v>
      </c>
      <c r="U330" s="7">
        <v>150000</v>
      </c>
      <c r="V330" s="7">
        <f t="shared" si="23"/>
        <v>-100000</v>
      </c>
      <c r="W330" s="5">
        <f t="shared" si="24"/>
        <v>-0.4</v>
      </c>
      <c r="X330" s="22"/>
      <c r="Y330" s="33">
        <f>SUMPRODUCT((BIdetails!$J$5:$J$3000=M330)*(BIdetails!$K$5:$K$3000=N330)*(BIdetails!$M$5:$M$3000))</f>
        <v>0</v>
      </c>
      <c r="Z330" s="34">
        <f t="shared" si="25"/>
        <v>0</v>
      </c>
      <c r="AA330" s="31"/>
      <c r="AB330" s="31"/>
      <c r="AC330" s="31"/>
      <c r="AD330" s="31"/>
    </row>
    <row r="331" spans="1:30" hidden="1" x14ac:dyDescent="0.25">
      <c r="A331" t="s">
        <v>2745</v>
      </c>
      <c r="B331" t="str">
        <f t="shared" ref="B331" si="32">IF(T331=U331,"No Change",IF(AND(U331&lt;&gt;0,U331&lt;T331),"Decrease",IF(AND(U331&lt;&gt;0,T331=0),"New",IF(AND(T331&lt;&gt;0,U331=0),"Decommissioned","Increase"))))</f>
        <v>No Change</v>
      </c>
      <c r="D331">
        <v>68427709</v>
      </c>
      <c r="E331" s="95" t="s">
        <v>41</v>
      </c>
      <c r="F331" s="96" t="s">
        <v>57</v>
      </c>
      <c r="G331" s="96" t="s">
        <v>42</v>
      </c>
      <c r="H331" s="26" t="s">
        <v>3227</v>
      </c>
      <c r="I331" t="s">
        <v>2771</v>
      </c>
      <c r="J331" s="217" t="s">
        <v>3141</v>
      </c>
      <c r="K331">
        <v>187516</v>
      </c>
      <c r="L331" s="96" t="s">
        <v>603</v>
      </c>
      <c r="M331" s="217"/>
      <c r="O331" s="96" t="s">
        <v>2676</v>
      </c>
      <c r="P331" s="26" t="s">
        <v>2773</v>
      </c>
      <c r="Q331" t="s">
        <v>2750</v>
      </c>
      <c r="R331" t="s">
        <v>2751</v>
      </c>
      <c r="S331" s="7"/>
      <c r="T331" s="7">
        <v>65000</v>
      </c>
      <c r="U331" s="7">
        <v>65000</v>
      </c>
      <c r="V331" s="7">
        <f t="shared" si="23"/>
        <v>0</v>
      </c>
      <c r="W331" s="5">
        <f t="shared" si="24"/>
        <v>0</v>
      </c>
      <c r="X331" s="22"/>
      <c r="Y331" s="33">
        <f>SUMPRODUCT((BIdetails!$J$5:$J$3000=M331)*(BIdetails!$K$5:$K$3000=N331)*(BIdetails!$M$5:$M$3000))</f>
        <v>0</v>
      </c>
      <c r="Z331" s="34">
        <f t="shared" si="25"/>
        <v>0</v>
      </c>
      <c r="AA331" s="31"/>
      <c r="AB331" s="31"/>
      <c r="AC331" s="31"/>
      <c r="AD331" s="31"/>
    </row>
    <row r="332" spans="1:30" hidden="1" x14ac:dyDescent="0.25">
      <c r="A332" t="s">
        <v>2745</v>
      </c>
      <c r="B332" t="str">
        <f t="shared" ref="B332:B333" si="33">IF(T332=U332,"No Change",IF(AND(U332&lt;&gt;0,U332&lt;T332),"Decrease",IF(AND(U332&lt;&gt;0,T332=0),"New",IF(AND(T332&lt;&gt;0,U332=0),"Decommissioned","Increase"))))</f>
        <v>Decrease</v>
      </c>
      <c r="D332">
        <v>68427709</v>
      </c>
      <c r="E332" s="95" t="s">
        <v>49</v>
      </c>
      <c r="F332" t="s">
        <v>50</v>
      </c>
      <c r="G332" s="96" t="s">
        <v>42</v>
      </c>
      <c r="H332" s="26" t="s">
        <v>2700</v>
      </c>
      <c r="J332" t="s">
        <v>3204</v>
      </c>
      <c r="K332">
        <v>193317</v>
      </c>
      <c r="L332" s="26" t="s">
        <v>76</v>
      </c>
      <c r="M332" s="219">
        <v>5401023807</v>
      </c>
      <c r="N332" s="21">
        <v>10</v>
      </c>
      <c r="O332" s="96" t="s">
        <v>2676</v>
      </c>
      <c r="P332" s="26" t="s">
        <v>1623</v>
      </c>
      <c r="Q332" t="s">
        <v>2756</v>
      </c>
      <c r="R332" t="s">
        <v>2757</v>
      </c>
      <c r="S332" s="7"/>
      <c r="T332" s="7">
        <v>110000</v>
      </c>
      <c r="U332" s="7">
        <v>105000</v>
      </c>
      <c r="V332" s="7">
        <f t="shared" si="23"/>
        <v>-5000</v>
      </c>
      <c r="W332" s="5">
        <f t="shared" si="24"/>
        <v>-4.5454545454545456E-2</v>
      </c>
      <c r="X332" s="22"/>
      <c r="Y332" s="33">
        <f>SUMPRODUCT((BIdetails!$J$5:$J$3000=M332)*(BIdetails!$K$5:$K$3000=N332)*(BIdetails!$M$5:$M$3000))</f>
        <v>0</v>
      </c>
      <c r="Z332" s="34">
        <f t="shared" si="25"/>
        <v>0</v>
      </c>
      <c r="AA332" s="31"/>
      <c r="AB332" s="31"/>
      <c r="AC332" s="31"/>
      <c r="AD332" s="31"/>
    </row>
    <row r="333" spans="1:30" hidden="1" x14ac:dyDescent="0.25">
      <c r="A333" t="s">
        <v>2745</v>
      </c>
      <c r="B333" t="str">
        <f t="shared" si="33"/>
        <v>Decrease</v>
      </c>
      <c r="D333">
        <v>68427709</v>
      </c>
      <c r="E333" s="95" t="s">
        <v>53</v>
      </c>
      <c r="F333" t="s">
        <v>54</v>
      </c>
      <c r="G333" s="96" t="s">
        <v>42</v>
      </c>
      <c r="H333" s="26" t="s">
        <v>2702</v>
      </c>
      <c r="J333" t="s">
        <v>3204</v>
      </c>
      <c r="K333">
        <v>193317</v>
      </c>
      <c r="L333" s="26" t="s">
        <v>76</v>
      </c>
      <c r="M333" s="217">
        <v>5401033424</v>
      </c>
      <c r="N333" s="21">
        <v>10</v>
      </c>
      <c r="O333" s="96" t="s">
        <v>2676</v>
      </c>
      <c r="P333" s="26" t="s">
        <v>1623</v>
      </c>
      <c r="Q333" t="s">
        <v>2756</v>
      </c>
      <c r="R333" t="s">
        <v>2757</v>
      </c>
      <c r="S333" s="7"/>
      <c r="T333" s="7">
        <v>162000</v>
      </c>
      <c r="U333" s="7">
        <v>128700</v>
      </c>
      <c r="V333" s="7">
        <f t="shared" si="23"/>
        <v>-33300</v>
      </c>
      <c r="W333" s="5">
        <f t="shared" si="24"/>
        <v>-0.20555555555555555</v>
      </c>
      <c r="X333" s="22"/>
      <c r="Y333" s="33">
        <f>SUMPRODUCT((BIdetails!$J$5:$J$3000=M333)*(BIdetails!$K$5:$K$3000=N333)*(BIdetails!$M$5:$M$3000))</f>
        <v>0</v>
      </c>
      <c r="Z333" s="34">
        <f t="shared" si="25"/>
        <v>0</v>
      </c>
      <c r="AA333" s="31"/>
      <c r="AB333" s="31"/>
      <c r="AC333" s="31"/>
      <c r="AD333" s="31"/>
    </row>
    <row r="334" spans="1:30" hidden="1" x14ac:dyDescent="0.25">
      <c r="A334" t="s">
        <v>2745</v>
      </c>
      <c r="B334" t="str">
        <f t="shared" ref="B334:B340" si="34">IF(T334=U334,"No Change",IF(AND(U334&lt;&gt;0,U334&lt;T334),"Decrease",IF(AND(U334&lt;&gt;0,T334=0),"New",IF(AND(T334&lt;&gt;0,U334=0),"Decommissioned","Increase"))))</f>
        <v>Decommissioned</v>
      </c>
      <c r="D334">
        <v>68427709</v>
      </c>
      <c r="E334" s="95" t="s">
        <v>53</v>
      </c>
      <c r="F334" t="s">
        <v>54</v>
      </c>
      <c r="G334" s="96" t="s">
        <v>42</v>
      </c>
      <c r="H334" s="26" t="s">
        <v>3228</v>
      </c>
      <c r="J334" t="s">
        <v>3229</v>
      </c>
      <c r="L334" s="26"/>
      <c r="M334" s="217"/>
      <c r="O334" s="96" t="s">
        <v>2676</v>
      </c>
      <c r="P334" s="26" t="s">
        <v>2314</v>
      </c>
      <c r="Q334" t="s">
        <v>2767</v>
      </c>
      <c r="R334" t="s">
        <v>321</v>
      </c>
      <c r="S334" s="7"/>
      <c r="T334" s="7">
        <v>11250</v>
      </c>
      <c r="U334" s="7">
        <v>0</v>
      </c>
      <c r="V334" s="7">
        <f t="shared" si="23"/>
        <v>-11250</v>
      </c>
      <c r="W334" s="5">
        <f t="shared" si="24"/>
        <v>-1</v>
      </c>
      <c r="X334" s="22"/>
      <c r="Y334" s="33">
        <f>SUMPRODUCT((BIdetails!$J$5:$J$3000=M334)*(BIdetails!$K$5:$K$3000=N334)*(BIdetails!$M$5:$M$3000))</f>
        <v>0</v>
      </c>
      <c r="Z334" s="34" t="str">
        <f t="shared" si="25"/>
        <v/>
      </c>
      <c r="AA334" s="31"/>
      <c r="AB334" s="31"/>
      <c r="AC334" s="31"/>
      <c r="AD334" s="31"/>
    </row>
    <row r="335" spans="1:30" hidden="1" x14ac:dyDescent="0.25">
      <c r="A335" t="s">
        <v>2745</v>
      </c>
      <c r="B335" t="str">
        <f t="shared" si="34"/>
        <v>No Change</v>
      </c>
      <c r="D335">
        <v>68427709</v>
      </c>
      <c r="E335" s="95" t="s">
        <v>34</v>
      </c>
      <c r="F335" t="s">
        <v>35</v>
      </c>
      <c r="G335" s="96" t="s">
        <v>31</v>
      </c>
      <c r="H335" s="26" t="s">
        <v>2492</v>
      </c>
      <c r="I335" t="s">
        <v>2825</v>
      </c>
      <c r="J335" t="s">
        <v>2826</v>
      </c>
      <c r="K335">
        <v>187516</v>
      </c>
      <c r="L335" t="s">
        <v>64</v>
      </c>
      <c r="M335">
        <v>5401020905</v>
      </c>
      <c r="N335" s="21">
        <v>10</v>
      </c>
      <c r="O335" s="96" t="s">
        <v>2224</v>
      </c>
      <c r="P335" s="26" t="s">
        <v>2224</v>
      </c>
      <c r="Q335" t="s">
        <v>2762</v>
      </c>
      <c r="R335" t="s">
        <v>2809</v>
      </c>
      <c r="S335" s="7"/>
      <c r="T335" s="7">
        <v>125000</v>
      </c>
      <c r="U335" s="7">
        <v>125000</v>
      </c>
      <c r="V335" s="7">
        <f t="shared" si="23"/>
        <v>0</v>
      </c>
      <c r="W335" s="5">
        <f t="shared" si="24"/>
        <v>0</v>
      </c>
      <c r="X335" s="22"/>
      <c r="Y335" s="33">
        <f>SUMPRODUCT((BIdetails!$J$5:$J$3000=M335)*(BIdetails!$K$5:$K$3000=N335)*(BIdetails!$M$5:$M$3000))</f>
        <v>0</v>
      </c>
      <c r="Z335" s="34">
        <f t="shared" si="25"/>
        <v>0</v>
      </c>
      <c r="AA335" s="31"/>
      <c r="AB335" s="31"/>
      <c r="AC335" s="31"/>
      <c r="AD335" s="31"/>
    </row>
    <row r="336" spans="1:30" hidden="1" x14ac:dyDescent="0.25">
      <c r="A336" t="s">
        <v>2745</v>
      </c>
      <c r="B336" t="str">
        <f t="shared" si="34"/>
        <v>No Change</v>
      </c>
      <c r="D336">
        <v>68427709</v>
      </c>
      <c r="E336" s="95" t="s">
        <v>34</v>
      </c>
      <c r="F336" t="s">
        <v>35</v>
      </c>
      <c r="G336" s="96" t="s">
        <v>31</v>
      </c>
      <c r="H336" s="26" t="s">
        <v>2494</v>
      </c>
      <c r="I336" t="s">
        <v>2825</v>
      </c>
      <c r="J336" t="s">
        <v>2826</v>
      </c>
      <c r="K336">
        <v>187516</v>
      </c>
      <c r="L336" t="s">
        <v>603</v>
      </c>
      <c r="M336" s="217"/>
      <c r="O336" s="96" t="s">
        <v>2224</v>
      </c>
      <c r="P336" s="26" t="s">
        <v>2224</v>
      </c>
      <c r="Q336" t="s">
        <v>2762</v>
      </c>
      <c r="R336" t="s">
        <v>2809</v>
      </c>
      <c r="S336" s="7"/>
      <c r="T336" s="7">
        <v>125000</v>
      </c>
      <c r="U336" s="7">
        <v>125000</v>
      </c>
      <c r="V336" s="7">
        <f t="shared" si="23"/>
        <v>0</v>
      </c>
      <c r="W336" s="5">
        <f t="shared" si="24"/>
        <v>0</v>
      </c>
      <c r="X336" s="22"/>
      <c r="Y336" s="33">
        <f>SUMPRODUCT((BIdetails!$J$5:$J$3000=M336)*(BIdetails!$K$5:$K$3000=N336)*(BIdetails!$M$5:$M$3000))</f>
        <v>0</v>
      </c>
      <c r="Z336" s="34">
        <f t="shared" si="25"/>
        <v>0</v>
      </c>
      <c r="AA336" s="31"/>
      <c r="AB336" s="31"/>
      <c r="AC336" s="31"/>
      <c r="AD336" s="31"/>
    </row>
    <row r="337" spans="1:30" hidden="1" x14ac:dyDescent="0.25">
      <c r="A337" t="s">
        <v>2745</v>
      </c>
      <c r="B337" t="str">
        <f t="shared" si="34"/>
        <v>Decrease</v>
      </c>
      <c r="D337">
        <v>68427709</v>
      </c>
      <c r="E337" s="95" t="s">
        <v>14</v>
      </c>
      <c r="F337" t="s">
        <v>15</v>
      </c>
      <c r="G337" s="96" t="s">
        <v>16</v>
      </c>
      <c r="H337" s="26" t="s">
        <v>2496</v>
      </c>
      <c r="I337" t="s">
        <v>2259</v>
      </c>
      <c r="J337" t="s">
        <v>2830</v>
      </c>
      <c r="K337">
        <v>187516</v>
      </c>
      <c r="L337" t="s">
        <v>603</v>
      </c>
      <c r="M337" s="217"/>
      <c r="O337" s="96" t="s">
        <v>2224</v>
      </c>
      <c r="P337" s="26" t="s">
        <v>2224</v>
      </c>
      <c r="Q337" t="s">
        <v>2762</v>
      </c>
      <c r="R337" t="s">
        <v>2809</v>
      </c>
      <c r="S337" s="7"/>
      <c r="T337" s="7">
        <v>64000</v>
      </c>
      <c r="U337" s="7">
        <v>60000</v>
      </c>
      <c r="V337" s="7">
        <f t="shared" si="23"/>
        <v>-4000</v>
      </c>
      <c r="W337" s="5">
        <f t="shared" si="24"/>
        <v>-6.25E-2</v>
      </c>
      <c r="X337" s="22"/>
      <c r="Y337" s="33">
        <f>SUMPRODUCT((BIdetails!$J$5:$J$3000=M337)*(BIdetails!$K$5:$K$3000=N337)*(BIdetails!$M$5:$M$3000))</f>
        <v>0</v>
      </c>
      <c r="Z337" s="34">
        <f t="shared" si="25"/>
        <v>0</v>
      </c>
      <c r="AA337" s="31"/>
      <c r="AB337" s="31"/>
      <c r="AC337" s="31"/>
      <c r="AD337" s="31"/>
    </row>
    <row r="338" spans="1:30" hidden="1" x14ac:dyDescent="0.25">
      <c r="A338" t="s">
        <v>2745</v>
      </c>
      <c r="B338" t="str">
        <f t="shared" si="34"/>
        <v>No Change</v>
      </c>
      <c r="D338">
        <v>68427709</v>
      </c>
      <c r="E338" s="95" t="s">
        <v>36</v>
      </c>
      <c r="F338" t="s">
        <v>37</v>
      </c>
      <c r="G338" s="96" t="s">
        <v>31</v>
      </c>
      <c r="H338" s="26" t="s">
        <v>1430</v>
      </c>
      <c r="I338" t="s">
        <v>2262</v>
      </c>
      <c r="J338" t="s">
        <v>2821</v>
      </c>
      <c r="K338">
        <v>187516</v>
      </c>
      <c r="L338" t="s">
        <v>603</v>
      </c>
      <c r="M338" s="217"/>
      <c r="O338" s="96" t="s">
        <v>2224</v>
      </c>
      <c r="P338" s="26" t="s">
        <v>2224</v>
      </c>
      <c r="Q338" t="s">
        <v>2822</v>
      </c>
      <c r="R338" t="s">
        <v>2809</v>
      </c>
      <c r="S338" s="7"/>
      <c r="T338" s="7">
        <v>50000</v>
      </c>
      <c r="U338" s="7">
        <v>50000</v>
      </c>
      <c r="V338" s="7">
        <f t="shared" si="23"/>
        <v>0</v>
      </c>
      <c r="W338" s="5">
        <f t="shared" si="24"/>
        <v>0</v>
      </c>
      <c r="X338" s="22"/>
      <c r="Y338" s="33">
        <f>SUMPRODUCT((BIdetails!$J$5:$J$3000=M338)*(BIdetails!$K$5:$K$3000=N338)*(BIdetails!$M$5:$M$3000))</f>
        <v>0</v>
      </c>
      <c r="Z338" s="34">
        <f t="shared" si="25"/>
        <v>0</v>
      </c>
      <c r="AA338" s="31"/>
      <c r="AB338" s="31"/>
      <c r="AC338" s="31"/>
      <c r="AD338" s="31"/>
    </row>
    <row r="339" spans="1:30" hidden="1" x14ac:dyDescent="0.25">
      <c r="A339" t="s">
        <v>2745</v>
      </c>
      <c r="B339" t="str">
        <f t="shared" si="34"/>
        <v>No Change</v>
      </c>
      <c r="D339">
        <v>68427709</v>
      </c>
      <c r="E339" s="95" t="s">
        <v>36</v>
      </c>
      <c r="F339" t="s">
        <v>37</v>
      </c>
      <c r="G339" s="96" t="s">
        <v>31</v>
      </c>
      <c r="H339" s="26" t="s">
        <v>2499</v>
      </c>
      <c r="I339" t="s">
        <v>2262</v>
      </c>
      <c r="J339" t="s">
        <v>2821</v>
      </c>
      <c r="K339">
        <v>187516</v>
      </c>
      <c r="L339" t="s">
        <v>603</v>
      </c>
      <c r="M339" s="217"/>
      <c r="O339" s="96" t="s">
        <v>2224</v>
      </c>
      <c r="P339" s="26" t="s">
        <v>2224</v>
      </c>
      <c r="Q339" t="s">
        <v>2822</v>
      </c>
      <c r="R339" t="s">
        <v>2809</v>
      </c>
      <c r="S339" s="7"/>
      <c r="T339" s="7">
        <v>10000</v>
      </c>
      <c r="U339" s="7">
        <v>10000</v>
      </c>
      <c r="V339" s="7">
        <f t="shared" si="23"/>
        <v>0</v>
      </c>
      <c r="W339" s="5">
        <f t="shared" si="24"/>
        <v>0</v>
      </c>
      <c r="X339" s="22"/>
      <c r="Y339" s="33">
        <f>SUMPRODUCT((BIdetails!$J$5:$J$3000=M339)*(BIdetails!$K$5:$K$3000=N339)*(BIdetails!$M$5:$M$3000))</f>
        <v>0</v>
      </c>
      <c r="Z339" s="34">
        <f t="shared" si="25"/>
        <v>0</v>
      </c>
      <c r="AA339" s="31"/>
      <c r="AB339" s="31"/>
      <c r="AC339" s="31"/>
      <c r="AD339" s="31"/>
    </row>
    <row r="340" spans="1:30" hidden="1" x14ac:dyDescent="0.25">
      <c r="A340" t="s">
        <v>2745</v>
      </c>
      <c r="B340" t="str">
        <f t="shared" si="34"/>
        <v>No Change</v>
      </c>
      <c r="D340">
        <v>68427709</v>
      </c>
      <c r="E340" s="95" t="s">
        <v>36</v>
      </c>
      <c r="F340" t="s">
        <v>37</v>
      </c>
      <c r="G340" s="96" t="s">
        <v>31</v>
      </c>
      <c r="H340" s="26" t="s">
        <v>2501</v>
      </c>
      <c r="I340" t="s">
        <v>2262</v>
      </c>
      <c r="J340" t="s">
        <v>2821</v>
      </c>
      <c r="K340">
        <v>187516</v>
      </c>
      <c r="L340" t="s">
        <v>603</v>
      </c>
      <c r="M340" s="217"/>
      <c r="O340" s="96" t="s">
        <v>2224</v>
      </c>
      <c r="P340" s="26" t="s">
        <v>2224</v>
      </c>
      <c r="Q340" t="s">
        <v>2822</v>
      </c>
      <c r="R340" t="s">
        <v>2809</v>
      </c>
      <c r="S340" s="7"/>
      <c r="T340" s="7">
        <v>12500</v>
      </c>
      <c r="U340" s="7">
        <v>12500</v>
      </c>
      <c r="V340" s="7">
        <f t="shared" si="23"/>
        <v>0</v>
      </c>
      <c r="W340" s="5">
        <f t="shared" si="24"/>
        <v>0</v>
      </c>
      <c r="X340" s="22"/>
      <c r="Y340" s="33">
        <f>SUMPRODUCT((BIdetails!$J$5:$J$3000=M340)*(BIdetails!$K$5:$K$3000=N340)*(BIdetails!$M$5:$M$3000))</f>
        <v>0</v>
      </c>
      <c r="Z340" s="34">
        <f t="shared" si="25"/>
        <v>0</v>
      </c>
      <c r="AA340" s="31"/>
      <c r="AB340" s="31"/>
      <c r="AC340" s="31"/>
      <c r="AD340" s="31"/>
    </row>
    <row r="341" spans="1:30" hidden="1" x14ac:dyDescent="0.25">
      <c r="A341" t="s">
        <v>2745</v>
      </c>
      <c r="B341" t="str">
        <f t="shared" ref="B341:B343" si="35">IF(T341=U341,"No Change",IF(AND(U341&lt;&gt;0,U341&lt;T341),"Decrease",IF(AND(U341&lt;&gt;0,T341=0),"New",IF(AND(T341&lt;&gt;0,U341=0),"Decommissioned","Increase"))))</f>
        <v>Decrease</v>
      </c>
      <c r="D341">
        <v>68427709</v>
      </c>
      <c r="E341" s="95" t="s">
        <v>53</v>
      </c>
      <c r="F341" t="s">
        <v>54</v>
      </c>
      <c r="G341" t="s">
        <v>42</v>
      </c>
      <c r="H341" s="27" t="s">
        <v>2517</v>
      </c>
      <c r="M341" s="217"/>
      <c r="O341" s="96" t="s">
        <v>2676</v>
      </c>
      <c r="P341" s="26" t="s">
        <v>2847</v>
      </c>
      <c r="Q341" s="215" t="s">
        <v>2756</v>
      </c>
      <c r="R341" t="s">
        <v>2757</v>
      </c>
      <c r="S341" s="7"/>
      <c r="T341" s="7">
        <v>42000</v>
      </c>
      <c r="U341" s="7">
        <v>22000</v>
      </c>
      <c r="V341" s="7">
        <f t="shared" si="23"/>
        <v>-20000</v>
      </c>
      <c r="W341" s="5">
        <f t="shared" si="24"/>
        <v>-0.47619047619047616</v>
      </c>
      <c r="X341" s="22"/>
      <c r="Y341" s="33">
        <f>SUMPRODUCT((BIdetails!$J$5:$J$3000=M341)*(BIdetails!$K$5:$K$3000=N341)*(BIdetails!$M$5:$M$3000))</f>
        <v>0</v>
      </c>
      <c r="Z341" s="34">
        <f t="shared" si="25"/>
        <v>0</v>
      </c>
      <c r="AA341" s="31"/>
      <c r="AB341" s="31"/>
      <c r="AC341" s="31"/>
      <c r="AD341" s="31"/>
    </row>
    <row r="342" spans="1:30" hidden="1" x14ac:dyDescent="0.25">
      <c r="A342" t="s">
        <v>2745</v>
      </c>
      <c r="B342" t="str">
        <f t="shared" si="35"/>
        <v>Decrease</v>
      </c>
      <c r="D342">
        <v>68427709</v>
      </c>
      <c r="E342" s="95" t="s">
        <v>53</v>
      </c>
      <c r="F342" t="s">
        <v>54</v>
      </c>
      <c r="G342" t="s">
        <v>42</v>
      </c>
      <c r="H342" t="s">
        <v>2518</v>
      </c>
      <c r="L342" s="26"/>
      <c r="M342" s="217"/>
      <c r="O342" s="96" t="s">
        <v>2676</v>
      </c>
      <c r="P342" s="26" t="s">
        <v>2755</v>
      </c>
      <c r="Q342" t="s">
        <v>2756</v>
      </c>
      <c r="R342" t="s">
        <v>2757</v>
      </c>
      <c r="S342" s="7"/>
      <c r="T342" s="7">
        <v>23000</v>
      </c>
      <c r="U342" s="7">
        <v>15000</v>
      </c>
      <c r="V342" s="7">
        <f t="shared" si="23"/>
        <v>-8000</v>
      </c>
      <c r="W342" s="5">
        <f t="shared" si="24"/>
        <v>-0.34782608695652173</v>
      </c>
      <c r="X342" s="22"/>
      <c r="Y342" s="33">
        <f>SUMPRODUCT((BIdetails!$J$5:$J$3000=M342)*(BIdetails!$K$5:$K$3000=N342)*(BIdetails!$M$5:$M$3000))</f>
        <v>0</v>
      </c>
      <c r="Z342" s="34">
        <f t="shared" si="25"/>
        <v>0</v>
      </c>
      <c r="AA342" s="31"/>
      <c r="AB342" s="31"/>
      <c r="AC342" s="31"/>
      <c r="AD342" s="31"/>
    </row>
    <row r="343" spans="1:30" hidden="1" x14ac:dyDescent="0.25">
      <c r="A343" t="s">
        <v>2745</v>
      </c>
      <c r="B343" t="str">
        <f t="shared" si="35"/>
        <v>Increase</v>
      </c>
      <c r="D343">
        <v>68427709</v>
      </c>
      <c r="E343" s="95" t="s">
        <v>53</v>
      </c>
      <c r="F343" t="s">
        <v>54</v>
      </c>
      <c r="G343" t="s">
        <v>42</v>
      </c>
      <c r="H343" s="26" t="s">
        <v>2519</v>
      </c>
      <c r="K343">
        <v>212251</v>
      </c>
      <c r="L343" s="26" t="s">
        <v>3230</v>
      </c>
      <c r="M343" s="217">
        <v>5400997364</v>
      </c>
      <c r="N343" s="21">
        <v>10</v>
      </c>
      <c r="O343" s="96" t="s">
        <v>2676</v>
      </c>
      <c r="P343" s="26" t="s">
        <v>2755</v>
      </c>
      <c r="Q343" t="s">
        <v>2756</v>
      </c>
      <c r="R343" t="s">
        <v>2757</v>
      </c>
      <c r="S343" s="7"/>
      <c r="T343" s="7">
        <v>190000</v>
      </c>
      <c r="U343" s="7">
        <v>360000</v>
      </c>
      <c r="V343" s="7">
        <f t="shared" si="23"/>
        <v>170000</v>
      </c>
      <c r="W343" s="5">
        <f t="shared" si="24"/>
        <v>0.89473684210526316</v>
      </c>
      <c r="X343" s="22"/>
      <c r="Y343" s="33">
        <f>SUMPRODUCT((BIdetails!$J$5:$J$3000=M343)*(BIdetails!$K$5:$K$3000=N343)*(BIdetails!$M$5:$M$3000))</f>
        <v>0</v>
      </c>
      <c r="Z343" s="34">
        <f t="shared" si="25"/>
        <v>0</v>
      </c>
      <c r="AA343" s="31"/>
      <c r="AB343" s="31"/>
      <c r="AC343" s="31"/>
      <c r="AD343" s="31"/>
    </row>
    <row r="344" spans="1:30" hidden="1" x14ac:dyDescent="0.25">
      <c r="A344" t="s">
        <v>2745</v>
      </c>
      <c r="B344" t="str">
        <f t="shared" ref="B344:B398" si="36">IF(T344=U344,"No Change",IF(AND(U344&lt;&gt;0,U344&lt;T344),"Decrease",IF(AND(U344&lt;&gt;0,T344=0),"New",IF(AND(T344&lt;&gt;0,U344=0),"Decommissioned","Increase"))))</f>
        <v>New</v>
      </c>
      <c r="D344">
        <v>68427709</v>
      </c>
      <c r="E344" s="95" t="s">
        <v>19</v>
      </c>
      <c r="F344" t="s">
        <v>20</v>
      </c>
      <c r="G344" t="s">
        <v>16</v>
      </c>
      <c r="H344" t="s">
        <v>3712</v>
      </c>
      <c r="L344" s="26"/>
      <c r="M344" s="217"/>
      <c r="O344" s="96" t="s">
        <v>2676</v>
      </c>
      <c r="P344" s="26" t="s">
        <v>2314</v>
      </c>
      <c r="Q344" t="s">
        <v>2767</v>
      </c>
      <c r="R344" t="s">
        <v>321</v>
      </c>
      <c r="S344" s="7"/>
      <c r="T344" s="7"/>
      <c r="U344" s="7">
        <v>78860</v>
      </c>
      <c r="V344" s="7">
        <f t="shared" si="23"/>
        <v>78860</v>
      </c>
      <c r="W344" s="5">
        <f t="shared" si="24"/>
        <v>1</v>
      </c>
      <c r="X344" s="22"/>
      <c r="Y344" s="33"/>
      <c r="Z344" s="34"/>
      <c r="AA344" s="31"/>
      <c r="AB344" s="31"/>
      <c r="AC344" s="31"/>
      <c r="AD344" s="31"/>
    </row>
    <row r="345" spans="1:30" hidden="1" x14ac:dyDescent="0.25">
      <c r="A345" t="s">
        <v>2745</v>
      </c>
      <c r="B345" t="str">
        <f t="shared" si="36"/>
        <v>New</v>
      </c>
      <c r="D345">
        <v>68427709</v>
      </c>
      <c r="E345" s="95" t="s">
        <v>53</v>
      </c>
      <c r="F345" t="s">
        <v>54</v>
      </c>
      <c r="G345" t="s">
        <v>42</v>
      </c>
      <c r="H345" s="26" t="s">
        <v>3710</v>
      </c>
      <c r="L345" s="26"/>
      <c r="M345" s="217"/>
      <c r="O345" s="96" t="s">
        <v>2676</v>
      </c>
      <c r="P345" s="26" t="s">
        <v>2314</v>
      </c>
      <c r="Q345" t="s">
        <v>2767</v>
      </c>
      <c r="R345" t="s">
        <v>321</v>
      </c>
      <c r="S345" s="7"/>
      <c r="T345" s="7"/>
      <c r="U345" s="7">
        <v>40000</v>
      </c>
      <c r="V345" s="7">
        <f t="shared" si="23"/>
        <v>40000</v>
      </c>
      <c r="W345" s="5">
        <f t="shared" si="24"/>
        <v>1</v>
      </c>
      <c r="X345" s="22"/>
      <c r="Y345" s="33"/>
      <c r="Z345" s="34"/>
      <c r="AA345" s="31"/>
      <c r="AB345" s="31"/>
      <c r="AC345" s="31"/>
      <c r="AD345" s="31"/>
    </row>
    <row r="346" spans="1:30" hidden="1" x14ac:dyDescent="0.25">
      <c r="A346" t="s">
        <v>2745</v>
      </c>
      <c r="B346" t="str">
        <f t="shared" si="36"/>
        <v>New</v>
      </c>
      <c r="D346">
        <v>68427709</v>
      </c>
      <c r="E346" s="95" t="s">
        <v>53</v>
      </c>
      <c r="F346" t="s">
        <v>54</v>
      </c>
      <c r="G346" t="s">
        <v>42</v>
      </c>
      <c r="H346" s="26" t="s">
        <v>2546</v>
      </c>
      <c r="L346" s="26"/>
      <c r="M346" s="217"/>
      <c r="O346" s="96" t="s">
        <v>2676</v>
      </c>
      <c r="P346" s="26" t="s">
        <v>3705</v>
      </c>
      <c r="Q346" t="s">
        <v>2813</v>
      </c>
      <c r="R346" t="s">
        <v>2801</v>
      </c>
      <c r="S346" s="7"/>
      <c r="T346" s="7"/>
      <c r="U346" s="7">
        <v>110000</v>
      </c>
      <c r="V346" s="7">
        <f t="shared" ref="V346:V402" si="37">U346-T346</f>
        <v>110000</v>
      </c>
      <c r="W346" s="5">
        <f t="shared" si="24"/>
        <v>1</v>
      </c>
      <c r="X346" s="22"/>
      <c r="Y346" s="33"/>
      <c r="Z346" s="34"/>
      <c r="AA346" s="31"/>
      <c r="AB346" s="31"/>
      <c r="AC346" s="31"/>
      <c r="AD346" s="31"/>
    </row>
    <row r="347" spans="1:30" hidden="1" x14ac:dyDescent="0.25">
      <c r="A347" t="s">
        <v>2745</v>
      </c>
      <c r="B347" t="str">
        <f t="shared" si="36"/>
        <v>New</v>
      </c>
      <c r="D347">
        <v>68427709</v>
      </c>
      <c r="E347" s="95" t="s">
        <v>53</v>
      </c>
      <c r="F347" t="s">
        <v>54</v>
      </c>
      <c r="G347" t="s">
        <v>42</v>
      </c>
      <c r="H347" s="26" t="s">
        <v>2549</v>
      </c>
      <c r="L347" s="26"/>
      <c r="M347" s="217"/>
      <c r="O347" s="96" t="s">
        <v>2676</v>
      </c>
      <c r="P347" s="26" t="s">
        <v>3705</v>
      </c>
      <c r="Q347" t="s">
        <v>2762</v>
      </c>
      <c r="R347" t="s">
        <v>2801</v>
      </c>
      <c r="S347" s="7"/>
      <c r="T347" s="7"/>
      <c r="U347" s="7">
        <v>24000</v>
      </c>
      <c r="V347" s="7">
        <f t="shared" si="37"/>
        <v>24000</v>
      </c>
      <c r="W347" s="5">
        <f t="shared" si="24"/>
        <v>1</v>
      </c>
      <c r="X347" s="22"/>
      <c r="Y347" s="33"/>
      <c r="Z347" s="34"/>
      <c r="AA347" s="31"/>
      <c r="AB347" s="31"/>
      <c r="AC347" s="31"/>
      <c r="AD347" s="31"/>
    </row>
    <row r="348" spans="1:30" hidden="1" x14ac:dyDescent="0.25">
      <c r="A348" t="s">
        <v>2745</v>
      </c>
      <c r="B348" t="str">
        <f t="shared" si="36"/>
        <v>New</v>
      </c>
      <c r="D348">
        <v>68427709</v>
      </c>
      <c r="E348" s="95" t="s">
        <v>53</v>
      </c>
      <c r="F348" t="s">
        <v>54</v>
      </c>
      <c r="G348" t="s">
        <v>42</v>
      </c>
      <c r="H348" s="26" t="s">
        <v>2572</v>
      </c>
      <c r="L348" s="26" t="s">
        <v>1263</v>
      </c>
      <c r="M348" s="217"/>
      <c r="O348" s="96" t="s">
        <v>2676</v>
      </c>
      <c r="P348" s="26" t="s">
        <v>2314</v>
      </c>
      <c r="Q348" t="s">
        <v>2767</v>
      </c>
      <c r="R348" t="s">
        <v>321</v>
      </c>
      <c r="S348" s="7"/>
      <c r="T348" s="7"/>
      <c r="U348" s="7">
        <v>385000</v>
      </c>
      <c r="V348" s="7">
        <f t="shared" si="37"/>
        <v>385000</v>
      </c>
      <c r="W348" s="5">
        <f t="shared" si="24"/>
        <v>1</v>
      </c>
      <c r="X348" s="22"/>
      <c r="Y348" s="33"/>
      <c r="Z348" s="34"/>
      <c r="AA348" s="31"/>
      <c r="AB348" s="31"/>
      <c r="AC348" s="31"/>
      <c r="AD348" s="31"/>
    </row>
    <row r="349" spans="1:30" hidden="1" x14ac:dyDescent="0.25">
      <c r="A349" t="s">
        <v>2745</v>
      </c>
      <c r="B349" t="str">
        <f t="shared" si="36"/>
        <v>New</v>
      </c>
      <c r="D349">
        <v>68427709</v>
      </c>
      <c r="E349" s="95" t="s">
        <v>53</v>
      </c>
      <c r="F349" t="s">
        <v>54</v>
      </c>
      <c r="G349" t="s">
        <v>42</v>
      </c>
      <c r="H349" s="26" t="s">
        <v>2587</v>
      </c>
      <c r="L349" s="26"/>
      <c r="M349" s="217"/>
      <c r="O349" s="96" t="s">
        <v>2676</v>
      </c>
      <c r="P349" s="26" t="s">
        <v>2314</v>
      </c>
      <c r="Q349" s="26" t="s">
        <v>2762</v>
      </c>
      <c r="R349" s="26" t="s">
        <v>2793</v>
      </c>
      <c r="S349" s="7"/>
      <c r="T349" s="7"/>
      <c r="U349" s="7">
        <v>130000</v>
      </c>
      <c r="V349" s="7">
        <f t="shared" si="37"/>
        <v>130000</v>
      </c>
      <c r="W349" s="5">
        <f t="shared" si="24"/>
        <v>1</v>
      </c>
      <c r="X349" s="22"/>
      <c r="Y349" s="33"/>
      <c r="Z349" s="34"/>
      <c r="AA349" s="31"/>
      <c r="AB349" s="31"/>
      <c r="AC349" s="31"/>
      <c r="AD349" s="31"/>
    </row>
    <row r="350" spans="1:30" hidden="1" x14ac:dyDescent="0.25">
      <c r="A350" t="s">
        <v>2745</v>
      </c>
      <c r="B350" t="str">
        <f t="shared" si="36"/>
        <v>New</v>
      </c>
      <c r="D350">
        <v>68427709</v>
      </c>
      <c r="E350" s="95" t="s">
        <v>53</v>
      </c>
      <c r="F350" t="s">
        <v>54</v>
      </c>
      <c r="G350" t="s">
        <v>42</v>
      </c>
      <c r="H350" s="26" t="s">
        <v>2601</v>
      </c>
      <c r="L350" s="26"/>
      <c r="M350" s="217"/>
      <c r="O350" s="96" t="s">
        <v>2676</v>
      </c>
      <c r="P350" s="26" t="s">
        <v>2591</v>
      </c>
      <c r="Q350" t="s">
        <v>2767</v>
      </c>
      <c r="R350" t="s">
        <v>2851</v>
      </c>
      <c r="S350" s="7"/>
      <c r="T350" s="7"/>
      <c r="U350" s="7">
        <v>35000</v>
      </c>
      <c r="V350" s="7">
        <f t="shared" si="37"/>
        <v>35000</v>
      </c>
      <c r="W350" s="5">
        <f t="shared" si="24"/>
        <v>1</v>
      </c>
      <c r="X350" s="22"/>
      <c r="Y350" s="33"/>
      <c r="Z350" s="34"/>
      <c r="AA350" s="31"/>
      <c r="AB350" s="31"/>
      <c r="AC350" s="31"/>
      <c r="AD350" s="31"/>
    </row>
    <row r="351" spans="1:30" hidden="1" x14ac:dyDescent="0.25">
      <c r="A351" t="s">
        <v>2745</v>
      </c>
      <c r="B351" t="str">
        <f t="shared" si="36"/>
        <v>New</v>
      </c>
      <c r="D351">
        <v>68427709</v>
      </c>
      <c r="E351" s="95" t="s">
        <v>53</v>
      </c>
      <c r="F351" t="s">
        <v>54</v>
      </c>
      <c r="G351" t="s">
        <v>42</v>
      </c>
      <c r="H351" s="26" t="s">
        <v>2603</v>
      </c>
      <c r="L351" s="26"/>
      <c r="M351" s="217"/>
      <c r="O351" s="96" t="s">
        <v>2676</v>
      </c>
      <c r="P351" s="26" t="s">
        <v>2591</v>
      </c>
      <c r="Q351" t="s">
        <v>2767</v>
      </c>
      <c r="R351" t="s">
        <v>2851</v>
      </c>
      <c r="S351" s="7"/>
      <c r="T351" s="7"/>
      <c r="U351" s="7">
        <v>70000</v>
      </c>
      <c r="V351" s="7">
        <f t="shared" si="37"/>
        <v>70000</v>
      </c>
      <c r="W351" s="5">
        <f t="shared" si="24"/>
        <v>1</v>
      </c>
      <c r="X351" s="22"/>
      <c r="Y351" s="33"/>
      <c r="Z351" s="34"/>
      <c r="AA351" s="31"/>
      <c r="AB351" s="31"/>
      <c r="AC351" s="31"/>
      <c r="AD351" s="31"/>
    </row>
    <row r="352" spans="1:30" hidden="1" x14ac:dyDescent="0.25">
      <c r="A352" t="s">
        <v>2745</v>
      </c>
      <c r="B352" t="str">
        <f t="shared" si="36"/>
        <v>New</v>
      </c>
      <c r="D352">
        <v>68427709</v>
      </c>
      <c r="E352" s="95" t="s">
        <v>53</v>
      </c>
      <c r="F352" t="s">
        <v>54</v>
      </c>
      <c r="G352" t="s">
        <v>42</v>
      </c>
      <c r="H352" s="26" t="s">
        <v>2605</v>
      </c>
      <c r="L352" s="26"/>
      <c r="M352" s="217"/>
      <c r="O352" s="96" t="s">
        <v>2676</v>
      </c>
      <c r="P352" s="26" t="s">
        <v>2591</v>
      </c>
      <c r="Q352" t="s">
        <v>2767</v>
      </c>
      <c r="R352" t="s">
        <v>2851</v>
      </c>
      <c r="S352" s="7"/>
      <c r="T352" s="7"/>
      <c r="U352" s="7">
        <v>30000</v>
      </c>
      <c r="V352" s="7">
        <f t="shared" si="37"/>
        <v>30000</v>
      </c>
      <c r="W352" s="5">
        <f t="shared" si="24"/>
        <v>1</v>
      </c>
      <c r="X352" s="22"/>
      <c r="Y352" s="33"/>
      <c r="Z352" s="34"/>
      <c r="AA352" s="31"/>
      <c r="AB352" s="31"/>
      <c r="AC352" s="31"/>
      <c r="AD352" s="31"/>
    </row>
    <row r="353" spans="1:30" hidden="1" x14ac:dyDescent="0.25">
      <c r="A353" t="s">
        <v>2745</v>
      </c>
      <c r="B353" t="str">
        <f t="shared" si="36"/>
        <v>New</v>
      </c>
      <c r="D353">
        <v>68427709</v>
      </c>
      <c r="E353" s="95" t="s">
        <v>53</v>
      </c>
      <c r="F353" t="s">
        <v>54</v>
      </c>
      <c r="G353" t="s">
        <v>42</v>
      </c>
      <c r="H353" s="26" t="s">
        <v>2627</v>
      </c>
      <c r="L353" s="26"/>
      <c r="M353" s="217"/>
      <c r="O353" s="96" t="s">
        <v>2676</v>
      </c>
      <c r="P353" s="26" t="s">
        <v>2314</v>
      </c>
      <c r="Q353" t="s">
        <v>2762</v>
      </c>
      <c r="R353" s="26" t="s">
        <v>2793</v>
      </c>
      <c r="S353" s="7"/>
      <c r="T353" s="7"/>
      <c r="U353" s="7">
        <v>300000</v>
      </c>
      <c r="V353" s="7">
        <f t="shared" si="37"/>
        <v>300000</v>
      </c>
      <c r="W353" s="5">
        <f t="shared" si="24"/>
        <v>1</v>
      </c>
      <c r="X353" s="22"/>
      <c r="Y353" s="33"/>
      <c r="Z353" s="34"/>
      <c r="AA353" s="31"/>
      <c r="AB353" s="31"/>
      <c r="AC353" s="31"/>
      <c r="AD353" s="31"/>
    </row>
    <row r="354" spans="1:30" hidden="1" x14ac:dyDescent="0.25">
      <c r="A354" t="s">
        <v>2745</v>
      </c>
      <c r="B354" t="str">
        <f t="shared" si="36"/>
        <v>New</v>
      </c>
      <c r="D354">
        <v>68427709</v>
      </c>
      <c r="E354" s="95" t="s">
        <v>53</v>
      </c>
      <c r="F354" t="s">
        <v>54</v>
      </c>
      <c r="G354" t="s">
        <v>42</v>
      </c>
      <c r="H354" s="26" t="s">
        <v>2638</v>
      </c>
      <c r="L354" s="26"/>
      <c r="M354" s="217"/>
      <c r="O354" s="96" t="s">
        <v>2676</v>
      </c>
      <c r="P354" s="26" t="s">
        <v>2314</v>
      </c>
      <c r="Q354" t="s">
        <v>2762</v>
      </c>
      <c r="R354" t="s">
        <v>2793</v>
      </c>
      <c r="S354" s="7"/>
      <c r="T354" s="7"/>
      <c r="U354" s="7">
        <v>300000</v>
      </c>
      <c r="V354" s="7">
        <f t="shared" si="37"/>
        <v>300000</v>
      </c>
      <c r="W354" s="5">
        <f t="shared" si="24"/>
        <v>1</v>
      </c>
      <c r="X354" s="22"/>
      <c r="Y354" s="33"/>
      <c r="Z354" s="34"/>
      <c r="AA354" s="31"/>
      <c r="AB354" s="31"/>
      <c r="AC354" s="31"/>
      <c r="AD354" s="31"/>
    </row>
    <row r="355" spans="1:30" x14ac:dyDescent="0.25">
      <c r="A355" t="s">
        <v>2745</v>
      </c>
      <c r="B355" t="str">
        <f t="shared" si="36"/>
        <v>No Change</v>
      </c>
      <c r="D355">
        <v>68427709</v>
      </c>
      <c r="E355" s="95" t="s">
        <v>53</v>
      </c>
      <c r="F355" t="s">
        <v>54</v>
      </c>
      <c r="G355" s="254" t="s">
        <v>42</v>
      </c>
      <c r="H355" s="255" t="s">
        <v>2644</v>
      </c>
      <c r="I355" s="254"/>
      <c r="J355" s="254"/>
      <c r="K355" s="254"/>
      <c r="L355" s="255"/>
      <c r="M355" s="256"/>
      <c r="N355" s="257"/>
      <c r="O355" s="255" t="s">
        <v>2652</v>
      </c>
      <c r="P355" s="254" t="s">
        <v>2652</v>
      </c>
      <c r="Q355" s="254" t="s">
        <v>2762</v>
      </c>
      <c r="R355" s="254" t="s">
        <v>40</v>
      </c>
      <c r="S355" s="258"/>
      <c r="T355" s="258"/>
      <c r="U355" s="258">
        <v>0</v>
      </c>
      <c r="V355" s="258">
        <f t="shared" si="37"/>
        <v>0</v>
      </c>
      <c r="W355" s="5">
        <f t="shared" si="24"/>
        <v>0</v>
      </c>
      <c r="X355" s="22"/>
      <c r="Y355" s="33"/>
      <c r="Z355" s="34"/>
      <c r="AA355" s="31"/>
      <c r="AB355" s="31"/>
      <c r="AC355" s="31"/>
      <c r="AD355" s="31"/>
    </row>
    <row r="356" spans="1:30" x14ac:dyDescent="0.25">
      <c r="A356" t="s">
        <v>2745</v>
      </c>
      <c r="B356" t="str">
        <f t="shared" si="36"/>
        <v>No Change</v>
      </c>
      <c r="D356">
        <v>68427709</v>
      </c>
      <c r="E356" s="95" t="s">
        <v>38</v>
      </c>
      <c r="F356" t="s">
        <v>40</v>
      </c>
      <c r="G356" s="254" t="s">
        <v>40</v>
      </c>
      <c r="H356" s="255" t="s">
        <v>3719</v>
      </c>
      <c r="I356" s="254"/>
      <c r="J356" s="254"/>
      <c r="K356" s="254"/>
      <c r="L356" s="255"/>
      <c r="M356" s="256"/>
      <c r="N356" s="257"/>
      <c r="O356" s="255" t="s">
        <v>2652</v>
      </c>
      <c r="P356" s="254" t="s">
        <v>2652</v>
      </c>
      <c r="Q356" s="254" t="s">
        <v>2762</v>
      </c>
      <c r="R356" s="254" t="s">
        <v>40</v>
      </c>
      <c r="S356" s="258"/>
      <c r="T356" s="258"/>
      <c r="U356" s="258">
        <v>0</v>
      </c>
      <c r="V356" s="258">
        <f t="shared" si="37"/>
        <v>0</v>
      </c>
      <c r="W356" s="5">
        <f t="shared" si="24"/>
        <v>0</v>
      </c>
      <c r="X356" s="22"/>
      <c r="Y356" s="33"/>
      <c r="Z356" s="34"/>
      <c r="AA356" s="31"/>
      <c r="AB356" s="31"/>
      <c r="AC356" s="31"/>
      <c r="AD356" s="31"/>
    </row>
    <row r="357" spans="1:30" x14ac:dyDescent="0.25">
      <c r="A357" t="s">
        <v>2745</v>
      </c>
      <c r="B357" t="str">
        <f t="shared" si="36"/>
        <v>No Change</v>
      </c>
      <c r="D357">
        <v>68427709</v>
      </c>
      <c r="E357" s="95" t="s">
        <v>38</v>
      </c>
      <c r="F357" t="s">
        <v>40</v>
      </c>
      <c r="G357" s="254" t="s">
        <v>40</v>
      </c>
      <c r="H357" s="255" t="s">
        <v>2658</v>
      </c>
      <c r="I357" s="254"/>
      <c r="J357" s="254"/>
      <c r="K357" s="254">
        <v>187516</v>
      </c>
      <c r="L357" s="254" t="s">
        <v>603</v>
      </c>
      <c r="M357" s="256"/>
      <c r="N357" s="257"/>
      <c r="O357" s="255" t="s">
        <v>2652</v>
      </c>
      <c r="P357" s="254" t="s">
        <v>2652</v>
      </c>
      <c r="Q357" s="254" t="s">
        <v>2762</v>
      </c>
      <c r="R357" s="254" t="s">
        <v>40</v>
      </c>
      <c r="S357" s="258"/>
      <c r="T357" s="258"/>
      <c r="U357" s="258">
        <v>0</v>
      </c>
      <c r="V357" s="258">
        <f t="shared" si="37"/>
        <v>0</v>
      </c>
      <c r="W357" s="5">
        <f t="shared" si="24"/>
        <v>0</v>
      </c>
      <c r="X357" s="22"/>
      <c r="Y357" s="33"/>
      <c r="Z357" s="34"/>
      <c r="AA357" s="31"/>
      <c r="AB357" s="31"/>
      <c r="AC357" s="31"/>
      <c r="AD357" s="31"/>
    </row>
    <row r="358" spans="1:30" x14ac:dyDescent="0.25">
      <c r="A358" t="s">
        <v>2745</v>
      </c>
      <c r="B358" t="str">
        <f t="shared" si="36"/>
        <v>No Change</v>
      </c>
      <c r="D358">
        <v>68427709</v>
      </c>
      <c r="E358" s="95" t="s">
        <v>41</v>
      </c>
      <c r="F358" s="96" t="s">
        <v>57</v>
      </c>
      <c r="G358" s="259" t="s">
        <v>42</v>
      </c>
      <c r="H358" s="255" t="s">
        <v>3711</v>
      </c>
      <c r="I358" s="254"/>
      <c r="J358" s="254"/>
      <c r="K358" s="254">
        <v>187516</v>
      </c>
      <c r="L358" s="254" t="s">
        <v>603</v>
      </c>
      <c r="M358" s="256"/>
      <c r="N358" s="257"/>
      <c r="O358" s="255" t="s">
        <v>2652</v>
      </c>
      <c r="P358" s="254" t="s">
        <v>2652</v>
      </c>
      <c r="Q358" s="254" t="s">
        <v>2762</v>
      </c>
      <c r="R358" s="254" t="s">
        <v>40</v>
      </c>
      <c r="S358" s="258"/>
      <c r="T358" s="258"/>
      <c r="U358" s="258">
        <v>0</v>
      </c>
      <c r="V358" s="258">
        <f t="shared" si="37"/>
        <v>0</v>
      </c>
      <c r="W358" s="5">
        <f t="shared" si="24"/>
        <v>0</v>
      </c>
      <c r="X358" s="22"/>
      <c r="Y358" s="33"/>
      <c r="Z358" s="34"/>
      <c r="AA358" s="31"/>
      <c r="AB358" s="31"/>
      <c r="AC358" s="31"/>
      <c r="AD358" s="31"/>
    </row>
    <row r="359" spans="1:30" x14ac:dyDescent="0.25">
      <c r="A359" t="s">
        <v>2745</v>
      </c>
      <c r="B359" t="str">
        <f t="shared" si="36"/>
        <v>No Change</v>
      </c>
      <c r="D359">
        <v>68427709</v>
      </c>
      <c r="E359" s="95" t="s">
        <v>53</v>
      </c>
      <c r="F359" t="s">
        <v>54</v>
      </c>
      <c r="G359" s="254" t="s">
        <v>42</v>
      </c>
      <c r="H359" s="255" t="s">
        <v>2661</v>
      </c>
      <c r="I359" s="254"/>
      <c r="J359" s="254"/>
      <c r="K359" s="254"/>
      <c r="L359" s="255"/>
      <c r="M359" s="256"/>
      <c r="N359" s="257"/>
      <c r="O359" s="255" t="s">
        <v>2652</v>
      </c>
      <c r="P359" s="254" t="s">
        <v>2652</v>
      </c>
      <c r="Q359" s="254" t="s">
        <v>2762</v>
      </c>
      <c r="R359" s="254" t="s">
        <v>40</v>
      </c>
      <c r="S359" s="258"/>
      <c r="T359" s="258"/>
      <c r="U359" s="258">
        <v>0</v>
      </c>
      <c r="V359" s="258">
        <f t="shared" si="37"/>
        <v>0</v>
      </c>
      <c r="W359" s="5">
        <f t="shared" si="24"/>
        <v>0</v>
      </c>
      <c r="X359" s="22"/>
      <c r="Y359" s="33"/>
      <c r="Z359" s="34"/>
      <c r="AA359" s="31"/>
      <c r="AB359" s="31"/>
      <c r="AC359" s="31"/>
      <c r="AD359" s="31"/>
    </row>
    <row r="360" spans="1:30" x14ac:dyDescent="0.25">
      <c r="A360" t="s">
        <v>2745</v>
      </c>
      <c r="B360" t="str">
        <f t="shared" si="36"/>
        <v>No Change</v>
      </c>
      <c r="D360">
        <v>68427709</v>
      </c>
      <c r="E360" s="95" t="s">
        <v>38</v>
      </c>
      <c r="F360" t="s">
        <v>40</v>
      </c>
      <c r="G360" s="254" t="s">
        <v>40</v>
      </c>
      <c r="H360" s="255" t="s">
        <v>2664</v>
      </c>
      <c r="I360" s="254"/>
      <c r="J360" s="254"/>
      <c r="K360" s="254"/>
      <c r="L360" s="255"/>
      <c r="M360" s="256"/>
      <c r="N360" s="257"/>
      <c r="O360" s="255" t="s">
        <v>2652</v>
      </c>
      <c r="P360" s="254" t="s">
        <v>2652</v>
      </c>
      <c r="Q360" s="254" t="s">
        <v>2762</v>
      </c>
      <c r="R360" s="254" t="s">
        <v>40</v>
      </c>
      <c r="S360" s="258"/>
      <c r="T360" s="258"/>
      <c r="U360" s="258">
        <v>0</v>
      </c>
      <c r="V360" s="258">
        <f t="shared" si="37"/>
        <v>0</v>
      </c>
      <c r="W360" s="5">
        <f t="shared" si="24"/>
        <v>0</v>
      </c>
      <c r="X360" s="22"/>
      <c r="Y360" s="33"/>
      <c r="Z360" s="34"/>
      <c r="AA360" s="31"/>
      <c r="AB360" s="31"/>
      <c r="AC360" s="31"/>
      <c r="AD360" s="31"/>
    </row>
    <row r="361" spans="1:30" x14ac:dyDescent="0.25">
      <c r="A361" t="s">
        <v>2745</v>
      </c>
      <c r="B361" t="str">
        <f t="shared" si="36"/>
        <v>No Change</v>
      </c>
      <c r="D361">
        <v>68427709</v>
      </c>
      <c r="E361" s="95" t="s">
        <v>38</v>
      </c>
      <c r="F361" t="s">
        <v>40</v>
      </c>
      <c r="G361" s="254" t="s">
        <v>40</v>
      </c>
      <c r="H361" s="255" t="s">
        <v>2666</v>
      </c>
      <c r="I361" s="254"/>
      <c r="J361" s="254"/>
      <c r="K361" s="254"/>
      <c r="L361" s="255" t="s">
        <v>3717</v>
      </c>
      <c r="M361" s="256"/>
      <c r="N361" s="257"/>
      <c r="O361" s="255" t="s">
        <v>2652</v>
      </c>
      <c r="P361" s="254" t="s">
        <v>2652</v>
      </c>
      <c r="Q361" s="254" t="s">
        <v>2762</v>
      </c>
      <c r="R361" s="254" t="s">
        <v>40</v>
      </c>
      <c r="S361" s="258"/>
      <c r="T361" s="258"/>
      <c r="U361" s="258">
        <v>0</v>
      </c>
      <c r="V361" s="258">
        <f t="shared" si="37"/>
        <v>0</v>
      </c>
      <c r="W361" s="5">
        <f t="shared" si="24"/>
        <v>0</v>
      </c>
      <c r="X361" s="22"/>
      <c r="Y361" s="33"/>
      <c r="Z361" s="34"/>
      <c r="AA361" s="31"/>
      <c r="AB361" s="31"/>
      <c r="AC361" s="31"/>
      <c r="AD361" s="31"/>
    </row>
    <row r="362" spans="1:30" hidden="1" x14ac:dyDescent="0.25">
      <c r="A362" t="s">
        <v>2745</v>
      </c>
      <c r="B362" t="str">
        <f t="shared" si="36"/>
        <v>New</v>
      </c>
      <c r="D362">
        <v>68427709</v>
      </c>
      <c r="E362" s="95" t="s">
        <v>53</v>
      </c>
      <c r="F362" t="s">
        <v>54</v>
      </c>
      <c r="G362" t="s">
        <v>42</v>
      </c>
      <c r="H362" s="26" t="s">
        <v>2709</v>
      </c>
      <c r="L362" s="26"/>
      <c r="M362" s="217"/>
      <c r="O362" s="96" t="s">
        <v>2676</v>
      </c>
      <c r="P362" s="26" t="s">
        <v>1623</v>
      </c>
      <c r="Q362" t="s">
        <v>2767</v>
      </c>
      <c r="R362" t="s">
        <v>2768</v>
      </c>
      <c r="S362" s="7"/>
      <c r="T362" s="7"/>
      <c r="U362" s="7">
        <v>73000</v>
      </c>
      <c r="V362" s="7">
        <f t="shared" si="37"/>
        <v>73000</v>
      </c>
      <c r="W362" s="5">
        <f t="shared" si="24"/>
        <v>1</v>
      </c>
      <c r="X362" s="22"/>
      <c r="Y362" s="33"/>
      <c r="Z362" s="34"/>
      <c r="AA362" s="31"/>
      <c r="AB362" s="31"/>
      <c r="AC362" s="31"/>
      <c r="AD362" s="31"/>
    </row>
    <row r="363" spans="1:30" hidden="1" x14ac:dyDescent="0.25">
      <c r="A363" t="s">
        <v>2745</v>
      </c>
      <c r="B363" t="str">
        <f t="shared" si="36"/>
        <v>New</v>
      </c>
      <c r="D363">
        <v>68427709</v>
      </c>
      <c r="E363" s="95" t="s">
        <v>53</v>
      </c>
      <c r="F363" t="s">
        <v>54</v>
      </c>
      <c r="G363" t="s">
        <v>42</v>
      </c>
      <c r="H363" s="26" t="s">
        <v>3708</v>
      </c>
      <c r="L363" s="26"/>
      <c r="M363" s="217"/>
      <c r="O363" s="96" t="s">
        <v>2676</v>
      </c>
      <c r="P363" s="26" t="s">
        <v>1939</v>
      </c>
      <c r="Q363" t="s">
        <v>2762</v>
      </c>
      <c r="R363" s="96" t="s">
        <v>3016</v>
      </c>
      <c r="S363" s="7"/>
      <c r="T363" s="7"/>
      <c r="U363" s="7">
        <v>60000</v>
      </c>
      <c r="V363" s="7">
        <f t="shared" si="37"/>
        <v>60000</v>
      </c>
      <c r="W363" s="5">
        <f t="shared" si="24"/>
        <v>1</v>
      </c>
      <c r="X363" s="22" t="s">
        <v>3709</v>
      </c>
      <c r="Y363" s="33"/>
      <c r="Z363" s="34"/>
      <c r="AA363" s="31"/>
      <c r="AB363" s="31"/>
      <c r="AC363" s="31"/>
      <c r="AD363" s="31"/>
    </row>
    <row r="364" spans="1:30" hidden="1" x14ac:dyDescent="0.25">
      <c r="A364" t="s">
        <v>2745</v>
      </c>
      <c r="B364" t="str">
        <f t="shared" si="36"/>
        <v>New</v>
      </c>
      <c r="D364">
        <v>68427709</v>
      </c>
      <c r="E364" s="95" t="s">
        <v>19</v>
      </c>
      <c r="F364" t="s">
        <v>20</v>
      </c>
      <c r="G364" t="s">
        <v>16</v>
      </c>
      <c r="H364" s="26" t="s">
        <v>3575</v>
      </c>
      <c r="K364">
        <v>166304</v>
      </c>
      <c r="L364" s="26" t="s">
        <v>558</v>
      </c>
      <c r="M364" s="217"/>
      <c r="O364" s="96" t="s">
        <v>2224</v>
      </c>
      <c r="P364" s="26" t="s">
        <v>2591</v>
      </c>
      <c r="Q364" t="s">
        <v>2762</v>
      </c>
      <c r="R364" t="s">
        <v>2809</v>
      </c>
      <c r="S364" s="7"/>
      <c r="T364" s="7"/>
      <c r="U364" s="7">
        <v>110000</v>
      </c>
      <c r="V364" s="7">
        <f t="shared" si="37"/>
        <v>110000</v>
      </c>
      <c r="W364" s="5">
        <f t="shared" si="24"/>
        <v>1</v>
      </c>
      <c r="X364" s="22"/>
      <c r="Y364" s="33"/>
      <c r="Z364" s="34"/>
      <c r="AA364" s="31"/>
      <c r="AB364" s="31"/>
      <c r="AC364" s="31"/>
      <c r="AD364" s="31"/>
    </row>
    <row r="365" spans="1:30" hidden="1" x14ac:dyDescent="0.25">
      <c r="A365" t="s">
        <v>2745</v>
      </c>
      <c r="B365" t="str">
        <f t="shared" si="36"/>
        <v>New</v>
      </c>
      <c r="D365">
        <v>68427709</v>
      </c>
      <c r="E365" s="95" t="s">
        <v>19</v>
      </c>
      <c r="F365" t="s">
        <v>20</v>
      </c>
      <c r="G365" t="s">
        <v>16</v>
      </c>
      <c r="H365" s="26" t="s">
        <v>3576</v>
      </c>
      <c r="K365">
        <v>166304</v>
      </c>
      <c r="L365" s="26" t="s">
        <v>558</v>
      </c>
      <c r="M365" s="217"/>
      <c r="O365" s="96" t="s">
        <v>2224</v>
      </c>
      <c r="P365" s="26" t="s">
        <v>2922</v>
      </c>
      <c r="Q365" t="s">
        <v>2762</v>
      </c>
      <c r="R365" t="s">
        <v>2809</v>
      </c>
      <c r="S365" s="7"/>
      <c r="T365" s="7"/>
      <c r="U365" s="7">
        <v>36000</v>
      </c>
      <c r="V365" s="7">
        <f t="shared" si="37"/>
        <v>36000</v>
      </c>
      <c r="W365" s="5">
        <f t="shared" si="24"/>
        <v>1</v>
      </c>
      <c r="X365" s="22"/>
      <c r="Y365" s="33"/>
      <c r="Z365" s="34"/>
      <c r="AA365" s="31"/>
      <c r="AB365" s="31"/>
      <c r="AC365" s="31"/>
      <c r="AD365" s="31"/>
    </row>
    <row r="366" spans="1:30" hidden="1" x14ac:dyDescent="0.25">
      <c r="A366" t="s">
        <v>2745</v>
      </c>
      <c r="B366" t="str">
        <f t="shared" si="36"/>
        <v>New</v>
      </c>
      <c r="D366">
        <v>68427709</v>
      </c>
      <c r="E366" s="95" t="s">
        <v>53</v>
      </c>
      <c r="F366" t="s">
        <v>54</v>
      </c>
      <c r="G366" t="s">
        <v>42</v>
      </c>
      <c r="H366" s="26" t="s">
        <v>3599</v>
      </c>
      <c r="L366" s="26" t="s">
        <v>3716</v>
      </c>
      <c r="M366" s="217"/>
      <c r="O366" s="96" t="s">
        <v>2224</v>
      </c>
      <c r="P366" s="26" t="s">
        <v>2676</v>
      </c>
      <c r="Q366" t="s">
        <v>2767</v>
      </c>
      <c r="R366" t="s">
        <v>2809</v>
      </c>
      <c r="S366" s="7"/>
      <c r="T366" s="7"/>
      <c r="U366" s="7">
        <v>350000</v>
      </c>
      <c r="V366" s="7">
        <f t="shared" si="37"/>
        <v>350000</v>
      </c>
      <c r="W366" s="5">
        <f t="shared" si="24"/>
        <v>1</v>
      </c>
      <c r="X366" s="22" t="s">
        <v>3611</v>
      </c>
      <c r="Y366" s="33"/>
      <c r="Z366" s="34"/>
      <c r="AA366" s="31"/>
      <c r="AB366" s="31"/>
      <c r="AC366" s="31"/>
      <c r="AD366" s="31"/>
    </row>
    <row r="367" spans="1:30" hidden="1" x14ac:dyDescent="0.25">
      <c r="A367" t="s">
        <v>2745</v>
      </c>
      <c r="B367" t="str">
        <f t="shared" si="36"/>
        <v>New</v>
      </c>
      <c r="D367">
        <v>68427709</v>
      </c>
      <c r="E367" s="95" t="s">
        <v>21</v>
      </c>
      <c r="F367" t="s">
        <v>61</v>
      </c>
      <c r="G367" t="s">
        <v>23</v>
      </c>
      <c r="H367" s="26" t="s">
        <v>3600</v>
      </c>
      <c r="L367" s="26" t="s">
        <v>3716</v>
      </c>
      <c r="M367" s="217"/>
      <c r="O367" s="96" t="s">
        <v>2224</v>
      </c>
      <c r="P367" s="26" t="s">
        <v>2676</v>
      </c>
      <c r="Q367" t="s">
        <v>2767</v>
      </c>
      <c r="R367" t="s">
        <v>2809</v>
      </c>
      <c r="S367" s="7"/>
      <c r="T367" s="7"/>
      <c r="U367" s="7">
        <v>60000</v>
      </c>
      <c r="V367" s="7">
        <f t="shared" si="37"/>
        <v>60000</v>
      </c>
      <c r="W367" s="5">
        <f t="shared" si="24"/>
        <v>1</v>
      </c>
      <c r="X367" s="22" t="s">
        <v>3611</v>
      </c>
      <c r="Y367" s="33"/>
      <c r="Z367" s="34"/>
      <c r="AA367" s="31"/>
      <c r="AB367" s="31"/>
      <c r="AC367" s="31"/>
      <c r="AD367" s="31"/>
    </row>
    <row r="368" spans="1:30" hidden="1" x14ac:dyDescent="0.25">
      <c r="A368" t="s">
        <v>2745</v>
      </c>
      <c r="B368" t="str">
        <f t="shared" si="36"/>
        <v>New</v>
      </c>
      <c r="D368">
        <v>68427709</v>
      </c>
      <c r="E368" s="95" t="s">
        <v>53</v>
      </c>
      <c r="F368" t="s">
        <v>54</v>
      </c>
      <c r="G368" t="s">
        <v>42</v>
      </c>
      <c r="H368" s="26" t="s">
        <v>2707</v>
      </c>
      <c r="L368" s="26"/>
      <c r="M368" s="217"/>
      <c r="O368" s="96" t="s">
        <v>2224</v>
      </c>
      <c r="P368" s="26"/>
      <c r="Q368" t="s">
        <v>2756</v>
      </c>
      <c r="R368" t="s">
        <v>2757</v>
      </c>
      <c r="S368" s="7"/>
      <c r="T368" s="7"/>
      <c r="U368" s="7">
        <v>30000</v>
      </c>
      <c r="V368" s="7">
        <f t="shared" si="37"/>
        <v>30000</v>
      </c>
      <c r="W368" s="5">
        <f t="shared" si="24"/>
        <v>1</v>
      </c>
      <c r="X368" s="22"/>
      <c r="Y368" s="33"/>
      <c r="Z368" s="34"/>
      <c r="AA368" s="31"/>
      <c r="AB368" s="31"/>
      <c r="AC368" s="31"/>
      <c r="AD368" s="31"/>
    </row>
    <row r="369" spans="1:30" hidden="1" x14ac:dyDescent="0.25">
      <c r="A369" t="s">
        <v>2745</v>
      </c>
      <c r="B369" t="str">
        <f t="shared" si="36"/>
        <v>New</v>
      </c>
      <c r="D369">
        <v>68427709</v>
      </c>
      <c r="E369" s="95" t="s">
        <v>19</v>
      </c>
      <c r="F369" t="s">
        <v>20</v>
      </c>
      <c r="G369" t="s">
        <v>16</v>
      </c>
      <c r="H369" s="26" t="s">
        <v>3694</v>
      </c>
      <c r="K369">
        <v>166304</v>
      </c>
      <c r="L369" s="26" t="s">
        <v>558</v>
      </c>
      <c r="M369" s="217"/>
      <c r="O369" s="96" t="s">
        <v>2224</v>
      </c>
      <c r="P369" s="26"/>
      <c r="Q369" t="s">
        <v>2756</v>
      </c>
      <c r="R369" t="s">
        <v>2757</v>
      </c>
      <c r="S369" s="7"/>
      <c r="T369" s="7"/>
      <c r="U369" s="7">
        <v>15000</v>
      </c>
      <c r="V369" s="7">
        <f t="shared" si="37"/>
        <v>15000</v>
      </c>
      <c r="W369" s="5">
        <f t="shared" si="24"/>
        <v>1</v>
      </c>
      <c r="X369" s="22"/>
      <c r="Y369" s="33"/>
      <c r="Z369" s="34"/>
      <c r="AA369" s="31"/>
      <c r="AB369" s="31"/>
      <c r="AC369" s="31"/>
      <c r="AD369" s="31"/>
    </row>
    <row r="370" spans="1:30" hidden="1" x14ac:dyDescent="0.25">
      <c r="A370" t="s">
        <v>2745</v>
      </c>
      <c r="B370" t="str">
        <f t="shared" si="36"/>
        <v>New</v>
      </c>
      <c r="D370">
        <v>68427709</v>
      </c>
      <c r="E370" s="95" t="s">
        <v>19</v>
      </c>
      <c r="F370" t="s">
        <v>20</v>
      </c>
      <c r="G370" t="s">
        <v>16</v>
      </c>
      <c r="H370" s="26" t="s">
        <v>3577</v>
      </c>
      <c r="K370">
        <v>166304</v>
      </c>
      <c r="L370" s="26" t="s">
        <v>558</v>
      </c>
      <c r="M370" s="217"/>
      <c r="O370" s="96" t="s">
        <v>2224</v>
      </c>
      <c r="P370" s="26"/>
      <c r="Q370" t="s">
        <v>2756</v>
      </c>
      <c r="R370" t="s">
        <v>2757</v>
      </c>
      <c r="S370" s="7"/>
      <c r="T370" s="7"/>
      <c r="U370" s="7">
        <v>400000</v>
      </c>
      <c r="V370" s="7">
        <f t="shared" si="37"/>
        <v>400000</v>
      </c>
      <c r="W370" s="5">
        <f t="shared" si="24"/>
        <v>1</v>
      </c>
      <c r="X370" s="22"/>
      <c r="Y370" s="33"/>
      <c r="Z370" s="34"/>
      <c r="AA370" s="31"/>
      <c r="AB370" s="31"/>
      <c r="AC370" s="31"/>
      <c r="AD370" s="31"/>
    </row>
    <row r="371" spans="1:30" hidden="1" x14ac:dyDescent="0.25">
      <c r="A371" t="s">
        <v>2745</v>
      </c>
      <c r="B371" t="str">
        <f t="shared" si="36"/>
        <v>New</v>
      </c>
      <c r="D371">
        <v>68427709</v>
      </c>
      <c r="E371" s="95" t="s">
        <v>53</v>
      </c>
      <c r="F371" t="s">
        <v>54</v>
      </c>
      <c r="G371" t="s">
        <v>42</v>
      </c>
      <c r="H371" s="26" t="s">
        <v>3578</v>
      </c>
      <c r="K371">
        <v>187516</v>
      </c>
      <c r="L371" t="s">
        <v>603</v>
      </c>
      <c r="M371" s="217"/>
      <c r="O371" s="96" t="s">
        <v>2224</v>
      </c>
      <c r="P371" s="26"/>
      <c r="Q371" t="s">
        <v>2756</v>
      </c>
      <c r="R371" t="s">
        <v>2757</v>
      </c>
      <c r="S371" s="7"/>
      <c r="T371" s="7"/>
      <c r="U371" s="7">
        <v>35000</v>
      </c>
      <c r="V371" s="7">
        <f t="shared" si="37"/>
        <v>35000</v>
      </c>
      <c r="W371" s="5">
        <f t="shared" si="24"/>
        <v>1</v>
      </c>
      <c r="X371" s="22"/>
      <c r="Y371" s="33"/>
      <c r="Z371" s="34"/>
      <c r="AA371" s="31"/>
      <c r="AB371" s="31"/>
      <c r="AC371" s="31"/>
      <c r="AD371" s="31"/>
    </row>
    <row r="372" spans="1:30" hidden="1" x14ac:dyDescent="0.25">
      <c r="A372" t="s">
        <v>2745</v>
      </c>
      <c r="B372" t="str">
        <f t="shared" si="36"/>
        <v>New</v>
      </c>
      <c r="D372">
        <v>68427709</v>
      </c>
      <c r="E372" s="95" t="s">
        <v>53</v>
      </c>
      <c r="F372" t="s">
        <v>54</v>
      </c>
      <c r="G372" t="s">
        <v>42</v>
      </c>
      <c r="H372" s="26" t="s">
        <v>3579</v>
      </c>
      <c r="L372" s="26"/>
      <c r="M372" s="217"/>
      <c r="O372" s="96" t="s">
        <v>2224</v>
      </c>
      <c r="P372" s="26"/>
      <c r="Q372" t="s">
        <v>2756</v>
      </c>
      <c r="R372" t="s">
        <v>2757</v>
      </c>
      <c r="S372" s="7"/>
      <c r="T372" s="7"/>
      <c r="U372" s="7">
        <v>10000</v>
      </c>
      <c r="V372" s="7">
        <f t="shared" si="37"/>
        <v>10000</v>
      </c>
      <c r="W372" s="5">
        <f t="shared" si="24"/>
        <v>1</v>
      </c>
      <c r="X372" s="22"/>
      <c r="Y372" s="33"/>
      <c r="Z372" s="34"/>
      <c r="AA372" s="31"/>
      <c r="AB372" s="31"/>
      <c r="AC372" s="31"/>
      <c r="AD372" s="31"/>
    </row>
    <row r="373" spans="1:30" hidden="1" x14ac:dyDescent="0.25">
      <c r="A373" t="s">
        <v>2745</v>
      </c>
      <c r="B373" t="str">
        <f t="shared" si="36"/>
        <v>New</v>
      </c>
      <c r="D373">
        <v>68427709</v>
      </c>
      <c r="E373" s="95" t="s">
        <v>53</v>
      </c>
      <c r="F373" t="s">
        <v>54</v>
      </c>
      <c r="G373" t="s">
        <v>42</v>
      </c>
      <c r="H373" s="26" t="s">
        <v>3580</v>
      </c>
      <c r="L373" s="26"/>
      <c r="M373" s="217"/>
      <c r="O373" s="96" t="s">
        <v>2224</v>
      </c>
      <c r="P373" s="26"/>
      <c r="Q373" t="s">
        <v>2756</v>
      </c>
      <c r="R373" t="s">
        <v>2757</v>
      </c>
      <c r="S373" s="7"/>
      <c r="T373" s="7"/>
      <c r="U373" s="7">
        <v>15000</v>
      </c>
      <c r="V373" s="7">
        <f t="shared" si="37"/>
        <v>15000</v>
      </c>
      <c r="W373" s="5">
        <f t="shared" si="24"/>
        <v>1</v>
      </c>
      <c r="X373" s="22"/>
      <c r="Y373" s="33"/>
      <c r="Z373" s="34"/>
      <c r="AA373" s="31"/>
      <c r="AB373" s="31"/>
      <c r="AC373" s="31"/>
      <c r="AD373" s="31"/>
    </row>
    <row r="374" spans="1:30" hidden="1" x14ac:dyDescent="0.25">
      <c r="A374" t="s">
        <v>2745</v>
      </c>
      <c r="B374" t="str">
        <f t="shared" si="36"/>
        <v>New</v>
      </c>
      <c r="D374">
        <v>68427709</v>
      </c>
      <c r="E374" s="95" t="s">
        <v>53</v>
      </c>
      <c r="F374" t="s">
        <v>54</v>
      </c>
      <c r="G374" t="s">
        <v>42</v>
      </c>
      <c r="H374" s="26" t="s">
        <v>3581</v>
      </c>
      <c r="L374" s="26"/>
      <c r="M374" s="217"/>
      <c r="O374" s="96" t="s">
        <v>2224</v>
      </c>
      <c r="P374" s="26"/>
      <c r="Q374" t="s">
        <v>2756</v>
      </c>
      <c r="R374" t="s">
        <v>2757</v>
      </c>
      <c r="S374" s="7"/>
      <c r="T374" s="7"/>
      <c r="U374" s="7">
        <v>2500</v>
      </c>
      <c r="V374" s="7">
        <f t="shared" si="37"/>
        <v>2500</v>
      </c>
      <c r="W374" s="5">
        <f t="shared" si="24"/>
        <v>1</v>
      </c>
      <c r="X374" s="22"/>
      <c r="Y374" s="33"/>
      <c r="Z374" s="34"/>
      <c r="AA374" s="31"/>
      <c r="AB374" s="31"/>
      <c r="AC374" s="31"/>
      <c r="AD374" s="31"/>
    </row>
    <row r="375" spans="1:30" hidden="1" x14ac:dyDescent="0.25">
      <c r="A375" t="s">
        <v>2745</v>
      </c>
      <c r="B375" t="str">
        <f t="shared" si="36"/>
        <v>New</v>
      </c>
      <c r="D375">
        <v>68427709</v>
      </c>
      <c r="E375" s="95" t="s">
        <v>53</v>
      </c>
      <c r="F375" t="s">
        <v>54</v>
      </c>
      <c r="G375" t="s">
        <v>42</v>
      </c>
      <c r="H375" s="26" t="s">
        <v>3582</v>
      </c>
      <c r="L375" s="26"/>
      <c r="M375" s="217"/>
      <c r="O375" s="96" t="s">
        <v>2224</v>
      </c>
      <c r="P375" s="26"/>
      <c r="Q375" t="s">
        <v>2756</v>
      </c>
      <c r="R375" t="s">
        <v>2757</v>
      </c>
      <c r="S375" s="7"/>
      <c r="T375" s="7"/>
      <c r="U375" s="7">
        <v>36000</v>
      </c>
      <c r="V375" s="7">
        <f t="shared" si="37"/>
        <v>36000</v>
      </c>
      <c r="W375" s="5">
        <f t="shared" si="24"/>
        <v>1</v>
      </c>
      <c r="X375" s="22"/>
      <c r="Y375" s="33"/>
      <c r="Z375" s="34"/>
      <c r="AA375" s="31"/>
      <c r="AB375" s="31"/>
      <c r="AC375" s="31"/>
      <c r="AD375" s="31"/>
    </row>
    <row r="376" spans="1:30" hidden="1" x14ac:dyDescent="0.25">
      <c r="A376" t="s">
        <v>2745</v>
      </c>
      <c r="B376" t="str">
        <f t="shared" si="36"/>
        <v>New</v>
      </c>
      <c r="D376">
        <v>68427709</v>
      </c>
      <c r="E376" s="95" t="s">
        <v>53</v>
      </c>
      <c r="F376" t="s">
        <v>54</v>
      </c>
      <c r="G376" t="s">
        <v>42</v>
      </c>
      <c r="H376" s="26" t="s">
        <v>3583</v>
      </c>
      <c r="L376" s="26"/>
      <c r="M376" s="217"/>
      <c r="O376" s="96" t="s">
        <v>2224</v>
      </c>
      <c r="P376" s="26"/>
      <c r="Q376" t="s">
        <v>2756</v>
      </c>
      <c r="R376" t="s">
        <v>2757</v>
      </c>
      <c r="S376" s="7"/>
      <c r="T376" s="7"/>
      <c r="U376" s="7">
        <v>40000</v>
      </c>
      <c r="V376" s="7">
        <f t="shared" si="37"/>
        <v>40000</v>
      </c>
      <c r="W376" s="5">
        <f t="shared" si="24"/>
        <v>1</v>
      </c>
      <c r="X376" s="22"/>
      <c r="Y376" s="33"/>
      <c r="Z376" s="34"/>
      <c r="AA376" s="31"/>
      <c r="AB376" s="31"/>
      <c r="AC376" s="31"/>
      <c r="AD376" s="31"/>
    </row>
    <row r="377" spans="1:30" hidden="1" x14ac:dyDescent="0.25">
      <c r="A377" t="s">
        <v>2745</v>
      </c>
      <c r="B377" t="str">
        <f t="shared" si="36"/>
        <v>New</v>
      </c>
      <c r="D377">
        <v>68427709</v>
      </c>
      <c r="E377" s="95" t="s">
        <v>53</v>
      </c>
      <c r="F377" t="s">
        <v>54</v>
      </c>
      <c r="G377" t="s">
        <v>42</v>
      </c>
      <c r="H377" s="26" t="s">
        <v>3584</v>
      </c>
      <c r="L377" s="26"/>
      <c r="M377" s="217"/>
      <c r="O377" s="96" t="s">
        <v>2224</v>
      </c>
      <c r="P377" s="26"/>
      <c r="Q377" t="s">
        <v>2756</v>
      </c>
      <c r="R377" t="s">
        <v>2757</v>
      </c>
      <c r="S377" s="7"/>
      <c r="T377" s="7"/>
      <c r="U377" s="7">
        <v>194400</v>
      </c>
      <c r="V377" s="7">
        <f t="shared" si="37"/>
        <v>194400</v>
      </c>
      <c r="W377" s="5">
        <f t="shared" si="24"/>
        <v>1</v>
      </c>
      <c r="X377" s="22"/>
      <c r="Y377" s="33"/>
      <c r="Z377" s="34"/>
      <c r="AA377" s="31"/>
      <c r="AB377" s="31"/>
      <c r="AC377" s="31"/>
      <c r="AD377" s="31"/>
    </row>
    <row r="378" spans="1:30" hidden="1" x14ac:dyDescent="0.25">
      <c r="A378" t="s">
        <v>2745</v>
      </c>
      <c r="B378" t="str">
        <f t="shared" si="36"/>
        <v>New</v>
      </c>
      <c r="D378">
        <v>68427709</v>
      </c>
      <c r="E378" s="95" t="s">
        <v>19</v>
      </c>
      <c r="F378" t="s">
        <v>20</v>
      </c>
      <c r="G378" t="s">
        <v>16</v>
      </c>
      <c r="H378" s="26" t="s">
        <v>3585</v>
      </c>
      <c r="K378">
        <v>166304</v>
      </c>
      <c r="L378" s="26" t="s">
        <v>558</v>
      </c>
      <c r="M378" s="217"/>
      <c r="O378" s="96" t="s">
        <v>2224</v>
      </c>
      <c r="P378" s="26"/>
      <c r="Q378" t="s">
        <v>2756</v>
      </c>
      <c r="R378" t="s">
        <v>2757</v>
      </c>
      <c r="S378" s="7"/>
      <c r="T378" s="7"/>
      <c r="U378" s="7">
        <v>200000</v>
      </c>
      <c r="V378" s="7">
        <f t="shared" si="37"/>
        <v>200000</v>
      </c>
      <c r="W378" s="5">
        <f t="shared" si="24"/>
        <v>1</v>
      </c>
      <c r="X378" s="22"/>
      <c r="Y378" s="33"/>
      <c r="Z378" s="34"/>
      <c r="AA378" s="31"/>
      <c r="AB378" s="31"/>
      <c r="AC378" s="31"/>
      <c r="AD378" s="31"/>
    </row>
    <row r="379" spans="1:30" x14ac:dyDescent="0.25">
      <c r="A379" t="s">
        <v>2745</v>
      </c>
      <c r="B379" t="str">
        <f t="shared" si="36"/>
        <v>New</v>
      </c>
      <c r="D379">
        <v>68427709</v>
      </c>
      <c r="E379" s="95" t="s">
        <v>38</v>
      </c>
      <c r="F379" t="s">
        <v>40</v>
      </c>
      <c r="G379" s="191" t="s">
        <v>40</v>
      </c>
      <c r="H379" s="262" t="s">
        <v>3586</v>
      </c>
      <c r="I379" s="191"/>
      <c r="J379" s="191"/>
      <c r="K379" s="191">
        <v>166304</v>
      </c>
      <c r="L379" s="262" t="s">
        <v>558</v>
      </c>
      <c r="M379" s="263"/>
      <c r="N379" s="264"/>
      <c r="O379" s="253" t="s">
        <v>2652</v>
      </c>
      <c r="P379" s="262"/>
      <c r="Q379" s="191" t="s">
        <v>2756</v>
      </c>
      <c r="R379" s="191" t="s">
        <v>2757</v>
      </c>
      <c r="S379" s="265"/>
      <c r="T379" s="265"/>
      <c r="U379" s="265">
        <v>150000</v>
      </c>
      <c r="V379" s="265">
        <f t="shared" si="37"/>
        <v>150000</v>
      </c>
      <c r="W379" s="260">
        <f t="shared" si="24"/>
        <v>1</v>
      </c>
      <c r="X379" s="22"/>
      <c r="Y379" s="33"/>
      <c r="Z379" s="34"/>
      <c r="AA379" s="31"/>
      <c r="AB379" s="31"/>
      <c r="AC379" s="31"/>
      <c r="AD379" s="31"/>
    </row>
    <row r="380" spans="1:30" hidden="1" x14ac:dyDescent="0.25">
      <c r="A380" t="s">
        <v>2745</v>
      </c>
      <c r="B380" t="str">
        <f t="shared" si="36"/>
        <v>New</v>
      </c>
      <c r="D380">
        <v>68427709</v>
      </c>
      <c r="E380" s="95" t="s">
        <v>53</v>
      </c>
      <c r="F380" t="s">
        <v>54</v>
      </c>
      <c r="G380" t="s">
        <v>42</v>
      </c>
      <c r="H380" s="26" t="s">
        <v>3587</v>
      </c>
      <c r="L380" s="26"/>
      <c r="M380" s="217"/>
      <c r="O380" s="96" t="s">
        <v>2224</v>
      </c>
      <c r="P380" s="26"/>
      <c r="Q380" t="s">
        <v>2756</v>
      </c>
      <c r="R380" t="s">
        <v>2757</v>
      </c>
      <c r="S380" s="7"/>
      <c r="T380" s="7"/>
      <c r="U380" s="7">
        <v>97200</v>
      </c>
      <c r="V380" s="7">
        <f t="shared" si="37"/>
        <v>97200</v>
      </c>
      <c r="W380" s="5">
        <f t="shared" si="24"/>
        <v>1</v>
      </c>
      <c r="X380" s="22"/>
      <c r="Y380" s="33"/>
      <c r="Z380" s="34"/>
      <c r="AA380" s="31"/>
      <c r="AB380" s="31"/>
      <c r="AC380" s="31"/>
      <c r="AD380" s="31"/>
    </row>
    <row r="381" spans="1:30" hidden="1" x14ac:dyDescent="0.25">
      <c r="A381" t="s">
        <v>2745</v>
      </c>
      <c r="B381" t="str">
        <f t="shared" si="36"/>
        <v>New</v>
      </c>
      <c r="D381">
        <v>68427709</v>
      </c>
      <c r="E381" s="95" t="s">
        <v>53</v>
      </c>
      <c r="F381" t="s">
        <v>54</v>
      </c>
      <c r="G381" t="s">
        <v>42</v>
      </c>
      <c r="H381" s="26" t="s">
        <v>3588</v>
      </c>
      <c r="L381" s="26"/>
      <c r="M381" s="217"/>
      <c r="O381" s="96" t="s">
        <v>2224</v>
      </c>
      <c r="P381" s="26"/>
      <c r="Q381" t="s">
        <v>2756</v>
      </c>
      <c r="R381" t="s">
        <v>2757</v>
      </c>
      <c r="S381" s="7"/>
      <c r="T381" s="7"/>
      <c r="U381" s="7">
        <v>31560</v>
      </c>
      <c r="V381" s="7">
        <f t="shared" si="37"/>
        <v>31560</v>
      </c>
      <c r="W381" s="5">
        <f t="shared" si="24"/>
        <v>1</v>
      </c>
      <c r="X381" s="22"/>
      <c r="Y381" s="33"/>
      <c r="Z381" s="34"/>
      <c r="AA381" s="31"/>
      <c r="AB381" s="31"/>
      <c r="AC381" s="31"/>
      <c r="AD381" s="31"/>
    </row>
    <row r="382" spans="1:30" hidden="1" x14ac:dyDescent="0.25">
      <c r="A382" t="s">
        <v>2745</v>
      </c>
      <c r="B382" t="str">
        <f t="shared" si="36"/>
        <v>New</v>
      </c>
      <c r="D382">
        <v>68427709</v>
      </c>
      <c r="E382" s="95" t="s">
        <v>53</v>
      </c>
      <c r="F382" t="s">
        <v>54</v>
      </c>
      <c r="G382" t="s">
        <v>42</v>
      </c>
      <c r="H382" s="26" t="s">
        <v>3589</v>
      </c>
      <c r="L382" s="26"/>
      <c r="M382" s="217"/>
      <c r="O382" s="96" t="s">
        <v>2224</v>
      </c>
      <c r="P382" s="26"/>
      <c r="Q382" t="s">
        <v>2756</v>
      </c>
      <c r="R382" t="s">
        <v>2757</v>
      </c>
      <c r="S382" s="238"/>
      <c r="T382" s="238"/>
      <c r="U382" s="238">
        <v>43528.800000000003</v>
      </c>
      <c r="V382" s="238">
        <f t="shared" si="37"/>
        <v>43528.800000000003</v>
      </c>
      <c r="W382" s="260">
        <f t="shared" si="24"/>
        <v>1</v>
      </c>
      <c r="X382" s="22"/>
      <c r="Y382" s="33"/>
      <c r="Z382" s="34"/>
      <c r="AA382" s="31"/>
      <c r="AB382" s="31"/>
      <c r="AC382" s="31"/>
      <c r="AD382" s="31"/>
    </row>
    <row r="383" spans="1:30" x14ac:dyDescent="0.25">
      <c r="A383" t="s">
        <v>2745</v>
      </c>
      <c r="B383" t="str">
        <f t="shared" si="36"/>
        <v>New</v>
      </c>
      <c r="D383">
        <v>68427709</v>
      </c>
      <c r="E383" s="95" t="s">
        <v>53</v>
      </c>
      <c r="F383" t="s">
        <v>54</v>
      </c>
      <c r="G383" s="191" t="s">
        <v>40</v>
      </c>
      <c r="H383" s="262" t="s">
        <v>3590</v>
      </c>
      <c r="I383" s="191"/>
      <c r="J383" s="191"/>
      <c r="K383" s="191"/>
      <c r="L383" s="262"/>
      <c r="M383" s="263"/>
      <c r="N383" s="264"/>
      <c r="O383" s="253" t="s">
        <v>2652</v>
      </c>
      <c r="P383" s="262"/>
      <c r="Q383" s="191" t="s">
        <v>2756</v>
      </c>
      <c r="R383" s="191" t="s">
        <v>2757</v>
      </c>
      <c r="S383" s="265"/>
      <c r="T383" s="265"/>
      <c r="U383" s="265">
        <v>42000</v>
      </c>
      <c r="V383" s="265">
        <f t="shared" si="37"/>
        <v>42000</v>
      </c>
      <c r="W383" s="260">
        <f t="shared" si="24"/>
        <v>1</v>
      </c>
      <c r="X383" s="22"/>
      <c r="Y383" s="33"/>
      <c r="Z383" s="34"/>
      <c r="AA383" s="31"/>
      <c r="AB383" s="31"/>
      <c r="AC383" s="31"/>
      <c r="AD383" s="31"/>
    </row>
    <row r="384" spans="1:30" hidden="1" x14ac:dyDescent="0.25">
      <c r="A384" t="s">
        <v>2745</v>
      </c>
      <c r="B384" t="str">
        <f t="shared" si="36"/>
        <v>New</v>
      </c>
      <c r="D384">
        <v>68427709</v>
      </c>
      <c r="E384" s="95" t="s">
        <v>53</v>
      </c>
      <c r="F384" t="s">
        <v>54</v>
      </c>
      <c r="G384" t="s">
        <v>42</v>
      </c>
      <c r="H384" s="26" t="s">
        <v>3591</v>
      </c>
      <c r="L384" s="26"/>
      <c r="M384" s="217"/>
      <c r="O384" s="96" t="s">
        <v>2224</v>
      </c>
      <c r="P384" s="26"/>
      <c r="Q384" t="s">
        <v>2756</v>
      </c>
      <c r="R384" t="s">
        <v>2757</v>
      </c>
      <c r="S384" s="7"/>
      <c r="T384" s="7"/>
      <c r="U384" s="7">
        <v>50000</v>
      </c>
      <c r="V384" s="7">
        <f t="shared" si="37"/>
        <v>50000</v>
      </c>
      <c r="W384" s="5">
        <f t="shared" si="24"/>
        <v>1</v>
      </c>
      <c r="X384" s="22"/>
      <c r="Y384" s="33"/>
      <c r="Z384" s="34"/>
      <c r="AA384" s="31"/>
      <c r="AB384" s="31"/>
      <c r="AC384" s="31"/>
      <c r="AD384" s="31"/>
    </row>
    <row r="385" spans="1:30" hidden="1" x14ac:dyDescent="0.25">
      <c r="A385" t="s">
        <v>2745</v>
      </c>
      <c r="B385" t="str">
        <f t="shared" si="36"/>
        <v>New</v>
      </c>
      <c r="D385">
        <v>68427709</v>
      </c>
      <c r="E385" s="95" t="s">
        <v>53</v>
      </c>
      <c r="F385" t="s">
        <v>54</v>
      </c>
      <c r="G385" t="s">
        <v>42</v>
      </c>
      <c r="H385" s="26" t="s">
        <v>3592</v>
      </c>
      <c r="L385" s="26"/>
      <c r="M385" s="217"/>
      <c r="O385" s="96" t="s">
        <v>2224</v>
      </c>
      <c r="P385" s="26"/>
      <c r="Q385" t="s">
        <v>2756</v>
      </c>
      <c r="R385" t="s">
        <v>2757</v>
      </c>
      <c r="S385" s="7"/>
      <c r="T385" s="7"/>
      <c r="U385" s="7">
        <v>4967.28</v>
      </c>
      <c r="V385" s="7">
        <f t="shared" si="37"/>
        <v>4967.28</v>
      </c>
      <c r="W385" s="5">
        <f t="shared" si="24"/>
        <v>1</v>
      </c>
      <c r="X385" s="22"/>
      <c r="Y385" s="33"/>
      <c r="Z385" s="34"/>
      <c r="AA385" s="31"/>
      <c r="AB385" s="31"/>
      <c r="AC385" s="31"/>
      <c r="AD385" s="31"/>
    </row>
    <row r="386" spans="1:30" hidden="1" x14ac:dyDescent="0.25">
      <c r="A386" t="s">
        <v>2745</v>
      </c>
      <c r="B386" t="str">
        <f t="shared" si="36"/>
        <v>New</v>
      </c>
      <c r="D386">
        <v>68427709</v>
      </c>
      <c r="E386" s="95" t="s">
        <v>53</v>
      </c>
      <c r="F386" t="s">
        <v>54</v>
      </c>
      <c r="G386" t="s">
        <v>42</v>
      </c>
      <c r="H386" s="26" t="s">
        <v>3593</v>
      </c>
      <c r="L386" s="26"/>
      <c r="M386" s="217"/>
      <c r="O386" s="96" t="s">
        <v>2224</v>
      </c>
      <c r="P386" s="26"/>
      <c r="Q386" t="s">
        <v>2756</v>
      </c>
      <c r="R386" t="s">
        <v>2757</v>
      </c>
      <c r="S386" s="7"/>
      <c r="T386" s="7"/>
      <c r="U386" s="7">
        <v>600</v>
      </c>
      <c r="V386" s="7">
        <f t="shared" si="37"/>
        <v>600</v>
      </c>
      <c r="W386" s="5">
        <f t="shared" si="24"/>
        <v>1</v>
      </c>
      <c r="X386" s="22"/>
      <c r="Y386" s="33"/>
      <c r="Z386" s="34"/>
      <c r="AA386" s="31"/>
      <c r="AB386" s="31"/>
      <c r="AC386" s="31"/>
      <c r="AD386" s="31"/>
    </row>
    <row r="387" spans="1:30" hidden="1" x14ac:dyDescent="0.25">
      <c r="A387" t="s">
        <v>2745</v>
      </c>
      <c r="B387" t="str">
        <f t="shared" si="36"/>
        <v>New</v>
      </c>
      <c r="D387">
        <v>68427709</v>
      </c>
      <c r="E387" s="95" t="s">
        <v>53</v>
      </c>
      <c r="F387" t="s">
        <v>54</v>
      </c>
      <c r="G387" t="s">
        <v>42</v>
      </c>
      <c r="H387" s="26" t="s">
        <v>3594</v>
      </c>
      <c r="L387" s="26"/>
      <c r="M387" s="217"/>
      <c r="O387" s="96" t="s">
        <v>2224</v>
      </c>
      <c r="P387" s="26"/>
      <c r="Q387" t="s">
        <v>2756</v>
      </c>
      <c r="R387" t="s">
        <v>2757</v>
      </c>
      <c r="S387" s="7"/>
      <c r="T387" s="7"/>
      <c r="U387" s="7">
        <v>96000</v>
      </c>
      <c r="V387" s="7">
        <f t="shared" si="37"/>
        <v>96000</v>
      </c>
      <c r="W387" s="5">
        <f t="shared" si="24"/>
        <v>1</v>
      </c>
      <c r="X387" s="22"/>
      <c r="Y387" s="33"/>
      <c r="Z387" s="34"/>
      <c r="AA387" s="31"/>
      <c r="AB387" s="31"/>
      <c r="AC387" s="31"/>
      <c r="AD387" s="31"/>
    </row>
    <row r="388" spans="1:30" hidden="1" x14ac:dyDescent="0.25">
      <c r="A388" t="s">
        <v>2745</v>
      </c>
      <c r="B388" t="str">
        <f t="shared" si="36"/>
        <v>New</v>
      </c>
      <c r="D388">
        <v>68427709</v>
      </c>
      <c r="E388" s="95" t="s">
        <v>53</v>
      </c>
      <c r="F388" t="s">
        <v>54</v>
      </c>
      <c r="G388" t="s">
        <v>42</v>
      </c>
      <c r="H388" s="26" t="s">
        <v>3595</v>
      </c>
      <c r="L388" s="26"/>
      <c r="M388" s="217"/>
      <c r="O388" s="96" t="s">
        <v>2224</v>
      </c>
      <c r="P388" s="26"/>
      <c r="Q388" t="s">
        <v>2756</v>
      </c>
      <c r="R388" t="s">
        <v>2757</v>
      </c>
      <c r="S388" s="7"/>
      <c r="T388" s="7"/>
      <c r="U388" s="7">
        <v>40000</v>
      </c>
      <c r="V388" s="7">
        <f t="shared" si="37"/>
        <v>40000</v>
      </c>
      <c r="W388" s="5">
        <f t="shared" si="24"/>
        <v>1</v>
      </c>
      <c r="X388" s="22"/>
      <c r="Y388" s="33"/>
      <c r="Z388" s="34"/>
      <c r="AA388" s="31"/>
      <c r="AB388" s="31"/>
      <c r="AC388" s="31"/>
      <c r="AD388" s="31"/>
    </row>
    <row r="389" spans="1:30" hidden="1" x14ac:dyDescent="0.25">
      <c r="A389" t="s">
        <v>2745</v>
      </c>
      <c r="B389" t="str">
        <f t="shared" si="36"/>
        <v>New</v>
      </c>
      <c r="D389">
        <v>68427709</v>
      </c>
      <c r="E389" s="95" t="s">
        <v>53</v>
      </c>
      <c r="F389" t="s">
        <v>54</v>
      </c>
      <c r="G389" t="s">
        <v>42</v>
      </c>
      <c r="H389" s="26" t="s">
        <v>3596</v>
      </c>
      <c r="L389" s="26"/>
      <c r="M389" s="217"/>
      <c r="O389" s="96" t="s">
        <v>2224</v>
      </c>
      <c r="P389" s="26"/>
      <c r="Q389" t="s">
        <v>2756</v>
      </c>
      <c r="R389" t="s">
        <v>2757</v>
      </c>
      <c r="S389" s="238"/>
      <c r="T389" s="238"/>
      <c r="U389" s="238">
        <v>7000</v>
      </c>
      <c r="V389" s="238">
        <f t="shared" si="37"/>
        <v>7000</v>
      </c>
      <c r="W389" s="260">
        <f t="shared" si="24"/>
        <v>1</v>
      </c>
      <c r="X389" s="22"/>
      <c r="Y389" s="33"/>
      <c r="Z389" s="34"/>
      <c r="AA389" s="31"/>
      <c r="AB389" s="31"/>
      <c r="AC389" s="31"/>
      <c r="AD389" s="31"/>
    </row>
    <row r="390" spans="1:30" x14ac:dyDescent="0.25">
      <c r="A390" t="s">
        <v>2745</v>
      </c>
      <c r="B390" t="str">
        <f t="shared" si="36"/>
        <v>New</v>
      </c>
      <c r="D390">
        <v>68427709</v>
      </c>
      <c r="E390" s="95" t="s">
        <v>53</v>
      </c>
      <c r="F390" t="s">
        <v>54</v>
      </c>
      <c r="G390" s="191" t="s">
        <v>40</v>
      </c>
      <c r="H390" s="262" t="s">
        <v>3597</v>
      </c>
      <c r="I390" s="191"/>
      <c r="J390" s="191"/>
      <c r="K390" s="191"/>
      <c r="L390" s="262"/>
      <c r="M390" s="263"/>
      <c r="N390" s="264"/>
      <c r="O390" s="253" t="s">
        <v>2652</v>
      </c>
      <c r="P390" s="262"/>
      <c r="Q390" s="191" t="s">
        <v>2756</v>
      </c>
      <c r="R390" s="191" t="s">
        <v>2757</v>
      </c>
      <c r="S390" s="265"/>
      <c r="T390" s="265"/>
      <c r="U390" s="265">
        <v>120000</v>
      </c>
      <c r="V390" s="265">
        <f t="shared" si="37"/>
        <v>120000</v>
      </c>
      <c r="W390" s="260">
        <f t="shared" si="24"/>
        <v>1</v>
      </c>
      <c r="X390" s="22"/>
      <c r="Y390" s="33"/>
      <c r="Z390" s="34"/>
      <c r="AA390" s="31"/>
      <c r="AB390" s="31"/>
      <c r="AC390" s="31"/>
      <c r="AD390" s="31"/>
    </row>
    <row r="391" spans="1:30" hidden="1" x14ac:dyDescent="0.25">
      <c r="A391" t="s">
        <v>2745</v>
      </c>
      <c r="B391" t="str">
        <f t="shared" si="36"/>
        <v>New</v>
      </c>
      <c r="D391">
        <v>68427709</v>
      </c>
      <c r="E391" s="95" t="s">
        <v>53</v>
      </c>
      <c r="F391" t="s">
        <v>54</v>
      </c>
      <c r="G391" t="s">
        <v>42</v>
      </c>
      <c r="H391" s="26" t="s">
        <v>3598</v>
      </c>
      <c r="L391" s="26"/>
      <c r="M391" s="217"/>
      <c r="O391" s="96" t="s">
        <v>2224</v>
      </c>
      <c r="P391" s="26"/>
      <c r="Q391" t="s">
        <v>2756</v>
      </c>
      <c r="R391" t="s">
        <v>2757</v>
      </c>
      <c r="S391" s="7"/>
      <c r="T391" s="7"/>
      <c r="U391" s="7">
        <v>20000</v>
      </c>
      <c r="V391" s="7">
        <f t="shared" si="37"/>
        <v>20000</v>
      </c>
      <c r="W391" s="5">
        <f t="shared" si="24"/>
        <v>1</v>
      </c>
      <c r="X391" s="22"/>
      <c r="Y391" s="33"/>
      <c r="Z391" s="34"/>
      <c r="AA391" s="31"/>
      <c r="AB391" s="31"/>
      <c r="AC391" s="31"/>
      <c r="AD391" s="31"/>
    </row>
    <row r="392" spans="1:30" x14ac:dyDescent="0.25">
      <c r="A392" t="s">
        <v>2745</v>
      </c>
      <c r="B392" t="str">
        <f t="shared" si="36"/>
        <v>New</v>
      </c>
      <c r="D392">
        <v>68427709</v>
      </c>
      <c r="E392" s="95" t="s">
        <v>53</v>
      </c>
      <c r="F392" t="s">
        <v>54</v>
      </c>
      <c r="G392" s="191" t="s">
        <v>40</v>
      </c>
      <c r="H392" s="262" t="s">
        <v>3638</v>
      </c>
      <c r="I392" s="191"/>
      <c r="J392" s="191"/>
      <c r="K392" s="191"/>
      <c r="L392" s="262"/>
      <c r="M392" s="263"/>
      <c r="N392" s="264"/>
      <c r="O392" s="253" t="s">
        <v>2652</v>
      </c>
      <c r="P392" s="262"/>
      <c r="Q392" s="191" t="s">
        <v>2756</v>
      </c>
      <c r="R392" s="191" t="s">
        <v>2757</v>
      </c>
      <c r="S392" s="265"/>
      <c r="T392" s="265"/>
      <c r="U392" s="265">
        <v>172000</v>
      </c>
      <c r="V392" s="265">
        <f t="shared" si="37"/>
        <v>172000</v>
      </c>
      <c r="W392" s="260">
        <f t="shared" si="24"/>
        <v>1</v>
      </c>
      <c r="X392" s="22"/>
      <c r="Y392" s="33"/>
      <c r="Z392" s="34"/>
      <c r="AA392" s="31"/>
      <c r="AB392" s="31"/>
      <c r="AC392" s="31"/>
      <c r="AD392" s="31"/>
    </row>
    <row r="393" spans="1:30" x14ac:dyDescent="0.25">
      <c r="A393" t="s">
        <v>2745</v>
      </c>
      <c r="B393" t="str">
        <f t="shared" si="36"/>
        <v>New</v>
      </c>
      <c r="D393">
        <v>68427709</v>
      </c>
      <c r="E393" s="95" t="s">
        <v>53</v>
      </c>
      <c r="F393" t="s">
        <v>54</v>
      </c>
      <c r="G393" s="191" t="s">
        <v>40</v>
      </c>
      <c r="H393" s="262" t="s">
        <v>3644</v>
      </c>
      <c r="I393" s="191"/>
      <c r="J393" s="191"/>
      <c r="K393" s="191"/>
      <c r="L393" s="262"/>
      <c r="M393" s="263"/>
      <c r="N393" s="264"/>
      <c r="O393" s="253" t="s">
        <v>2652</v>
      </c>
      <c r="P393" s="262"/>
      <c r="Q393" s="191" t="s">
        <v>2756</v>
      </c>
      <c r="R393" s="191" t="s">
        <v>2757</v>
      </c>
      <c r="S393" s="265"/>
      <c r="T393" s="265"/>
      <c r="U393" s="265">
        <v>3700</v>
      </c>
      <c r="V393" s="265">
        <f t="shared" si="37"/>
        <v>3700</v>
      </c>
      <c r="W393" s="260">
        <f t="shared" si="24"/>
        <v>1</v>
      </c>
      <c r="X393" s="22"/>
      <c r="Y393" s="33"/>
      <c r="Z393" s="34"/>
      <c r="AA393" s="31"/>
      <c r="AB393" s="31"/>
      <c r="AC393" s="31"/>
      <c r="AD393" s="31"/>
    </row>
    <row r="394" spans="1:30" x14ac:dyDescent="0.25">
      <c r="A394" t="s">
        <v>2745</v>
      </c>
      <c r="B394" t="str">
        <f t="shared" si="36"/>
        <v>New</v>
      </c>
      <c r="D394">
        <v>68427709</v>
      </c>
      <c r="E394" s="95" t="s">
        <v>53</v>
      </c>
      <c r="F394" t="s">
        <v>54</v>
      </c>
      <c r="G394" s="191" t="s">
        <v>40</v>
      </c>
      <c r="H394" s="262" t="s">
        <v>3647</v>
      </c>
      <c r="I394" s="191"/>
      <c r="J394" s="191"/>
      <c r="K394" s="191"/>
      <c r="L394" s="262"/>
      <c r="M394" s="263"/>
      <c r="N394" s="264"/>
      <c r="O394" s="253" t="s">
        <v>2652</v>
      </c>
      <c r="P394" s="262"/>
      <c r="Q394" s="191" t="s">
        <v>2756</v>
      </c>
      <c r="R394" s="191" t="s">
        <v>2757</v>
      </c>
      <c r="S394" s="265"/>
      <c r="T394" s="265"/>
      <c r="U394" s="265">
        <v>14300</v>
      </c>
      <c r="V394" s="265">
        <f t="shared" si="37"/>
        <v>14300</v>
      </c>
      <c r="W394" s="260">
        <f t="shared" si="24"/>
        <v>1</v>
      </c>
      <c r="X394" s="22"/>
      <c r="Y394" s="33"/>
      <c r="Z394" s="34"/>
      <c r="AA394" s="31"/>
      <c r="AB394" s="31"/>
      <c r="AC394" s="31"/>
      <c r="AD394" s="31"/>
    </row>
    <row r="395" spans="1:30" x14ac:dyDescent="0.25">
      <c r="A395" t="s">
        <v>2745</v>
      </c>
      <c r="B395" t="str">
        <f t="shared" si="36"/>
        <v>New</v>
      </c>
      <c r="D395">
        <v>68427709</v>
      </c>
      <c r="E395" s="95" t="s">
        <v>53</v>
      </c>
      <c r="F395" t="s">
        <v>54</v>
      </c>
      <c r="G395" s="191" t="s">
        <v>40</v>
      </c>
      <c r="H395" s="262" t="s">
        <v>3652</v>
      </c>
      <c r="I395" s="191"/>
      <c r="J395" s="191"/>
      <c r="K395" s="191"/>
      <c r="L395" s="262"/>
      <c r="M395" s="263"/>
      <c r="N395" s="264"/>
      <c r="O395" s="253" t="s">
        <v>2652</v>
      </c>
      <c r="P395" s="262"/>
      <c r="Q395" s="191" t="s">
        <v>2756</v>
      </c>
      <c r="R395" s="191" t="s">
        <v>2757</v>
      </c>
      <c r="S395" s="265"/>
      <c r="T395" s="265"/>
      <c r="U395" s="265">
        <v>12000</v>
      </c>
      <c r="V395" s="265">
        <f t="shared" si="37"/>
        <v>12000</v>
      </c>
      <c r="W395" s="260">
        <f t="shared" si="24"/>
        <v>1</v>
      </c>
      <c r="X395" s="22"/>
      <c r="Y395" s="33"/>
      <c r="Z395" s="34"/>
      <c r="AA395" s="31"/>
      <c r="AB395" s="31"/>
      <c r="AC395" s="31"/>
      <c r="AD395" s="31"/>
    </row>
    <row r="396" spans="1:30" x14ac:dyDescent="0.25">
      <c r="A396" t="s">
        <v>2745</v>
      </c>
      <c r="B396" t="str">
        <f t="shared" si="36"/>
        <v>New</v>
      </c>
      <c r="D396">
        <v>68427709</v>
      </c>
      <c r="E396" s="95" t="s">
        <v>53</v>
      </c>
      <c r="F396" t="s">
        <v>54</v>
      </c>
      <c r="G396" s="191" t="s">
        <v>40</v>
      </c>
      <c r="H396" s="262" t="s">
        <v>3661</v>
      </c>
      <c r="I396" s="191"/>
      <c r="J396" s="191"/>
      <c r="K396" s="191"/>
      <c r="L396" s="262"/>
      <c r="M396" s="263"/>
      <c r="N396" s="264"/>
      <c r="O396" s="253" t="s">
        <v>2652</v>
      </c>
      <c r="P396" s="262"/>
      <c r="Q396" s="191" t="s">
        <v>2756</v>
      </c>
      <c r="R396" s="191" t="s">
        <v>2757</v>
      </c>
      <c r="S396" s="265"/>
      <c r="T396" s="265"/>
      <c r="U396" s="265">
        <v>87000</v>
      </c>
      <c r="V396" s="265">
        <f t="shared" si="37"/>
        <v>87000</v>
      </c>
      <c r="W396" s="260">
        <f t="shared" si="24"/>
        <v>1</v>
      </c>
      <c r="X396" s="22"/>
      <c r="Y396" s="33"/>
      <c r="Z396" s="34"/>
      <c r="AA396" s="31"/>
      <c r="AB396" s="31"/>
      <c r="AC396" s="31"/>
      <c r="AD396" s="31"/>
    </row>
    <row r="397" spans="1:30" hidden="1" x14ac:dyDescent="0.25">
      <c r="A397" t="s">
        <v>2745</v>
      </c>
      <c r="B397" t="str">
        <f t="shared" si="36"/>
        <v>New</v>
      </c>
      <c r="D397">
        <v>68427709</v>
      </c>
      <c r="E397" s="95" t="s">
        <v>53</v>
      </c>
      <c r="F397" t="s">
        <v>54</v>
      </c>
      <c r="G397" t="s">
        <v>42</v>
      </c>
      <c r="H397" s="26" t="s">
        <v>3670</v>
      </c>
      <c r="L397" s="26"/>
      <c r="M397" s="217"/>
      <c r="O397" s="96" t="s">
        <v>2224</v>
      </c>
      <c r="P397" s="26"/>
      <c r="Q397" t="s">
        <v>2756</v>
      </c>
      <c r="R397" t="s">
        <v>2757</v>
      </c>
      <c r="S397" s="7"/>
      <c r="T397" s="7"/>
      <c r="U397" s="7">
        <v>900</v>
      </c>
      <c r="V397" s="7">
        <f t="shared" si="37"/>
        <v>900</v>
      </c>
      <c r="W397" s="5">
        <f t="shared" si="24"/>
        <v>1</v>
      </c>
      <c r="X397" s="22"/>
      <c r="Y397" s="33"/>
      <c r="Z397" s="34"/>
      <c r="AA397" s="31"/>
      <c r="AB397" s="31"/>
      <c r="AC397" s="31"/>
      <c r="AD397" s="31"/>
    </row>
    <row r="398" spans="1:30" hidden="1" x14ac:dyDescent="0.25">
      <c r="A398" t="s">
        <v>2745</v>
      </c>
      <c r="B398" t="str">
        <f t="shared" si="36"/>
        <v>New</v>
      </c>
      <c r="D398">
        <v>68427709</v>
      </c>
      <c r="E398" s="95" t="s">
        <v>53</v>
      </c>
      <c r="F398" t="s">
        <v>54</v>
      </c>
      <c r="G398" t="s">
        <v>42</v>
      </c>
      <c r="H398" s="26" t="s">
        <v>3681</v>
      </c>
      <c r="L398" s="26"/>
      <c r="M398" s="217"/>
      <c r="O398" s="96" t="s">
        <v>2224</v>
      </c>
      <c r="P398" s="26"/>
      <c r="Q398" t="s">
        <v>2756</v>
      </c>
      <c r="R398" t="s">
        <v>2757</v>
      </c>
      <c r="S398" s="7"/>
      <c r="T398" s="7"/>
      <c r="U398" s="7">
        <v>127000</v>
      </c>
      <c r="V398" s="7">
        <f t="shared" si="37"/>
        <v>127000</v>
      </c>
      <c r="W398" s="5">
        <f t="shared" si="24"/>
        <v>1</v>
      </c>
      <c r="X398" s="22"/>
      <c r="Y398" s="33"/>
      <c r="Z398" s="34"/>
      <c r="AA398" s="31"/>
      <c r="AB398" s="31"/>
      <c r="AC398" s="31"/>
      <c r="AD398" s="31"/>
    </row>
    <row r="399" spans="1:30" hidden="1" x14ac:dyDescent="0.25">
      <c r="E399" s="95"/>
      <c r="G399" s="96"/>
      <c r="H399" s="26"/>
      <c r="L399" s="26"/>
      <c r="M399" s="217"/>
      <c r="O399" s="96"/>
      <c r="P399" s="26"/>
      <c r="R399" s="31"/>
      <c r="S399" s="7"/>
      <c r="T399" s="7"/>
      <c r="U399" s="7"/>
      <c r="V399" s="7">
        <f t="shared" si="37"/>
        <v>0</v>
      </c>
      <c r="W399" s="5">
        <f t="shared" si="24"/>
        <v>0</v>
      </c>
      <c r="X399" s="22"/>
      <c r="Y399" s="33">
        <f>SUMPRODUCT((BIdetails!$J$5:$J$3000=M399)*(BIdetails!$K$5:$K$3000=N399)*(BIdetails!$M$5:$M$3000))</f>
        <v>0</v>
      </c>
      <c r="Z399" s="34" t="str">
        <f t="shared" si="25"/>
        <v/>
      </c>
      <c r="AA399" s="31"/>
      <c r="AB399" s="31"/>
      <c r="AC399" s="31"/>
      <c r="AD399" s="31"/>
    </row>
    <row r="400" spans="1:30" hidden="1" x14ac:dyDescent="0.25">
      <c r="E400" s="95"/>
      <c r="G400" s="96"/>
      <c r="H400" s="26"/>
      <c r="L400" s="26"/>
      <c r="M400" s="217"/>
      <c r="O400" s="96"/>
      <c r="P400" s="26"/>
      <c r="R400" s="31"/>
      <c r="S400" s="7"/>
      <c r="T400" s="7"/>
      <c r="U400" s="7"/>
      <c r="V400" s="7">
        <f t="shared" si="37"/>
        <v>0</v>
      </c>
      <c r="W400" s="5">
        <f t="shared" ref="W400:W402" si="38">IF(B400="New",1,IFERROR(V400/T400,0))</f>
        <v>0</v>
      </c>
      <c r="X400" s="22"/>
      <c r="Y400" s="33">
        <f>SUMPRODUCT((BIdetails!$J$5:$J$3000=M400)*(BIdetails!$K$5:$K$3000=N400)*(BIdetails!$M$5:$M$3000))</f>
        <v>0</v>
      </c>
      <c r="Z400" s="34" t="str">
        <f t="shared" si="25"/>
        <v/>
      </c>
      <c r="AA400" s="31"/>
      <c r="AB400" s="31"/>
      <c r="AC400" s="31"/>
      <c r="AD400" s="31"/>
    </row>
    <row r="401" spans="1:31" hidden="1" x14ac:dyDescent="0.25">
      <c r="E401" s="95"/>
      <c r="G401" s="96"/>
      <c r="H401" s="26"/>
      <c r="L401" s="26"/>
      <c r="M401" s="217"/>
      <c r="O401" s="96"/>
      <c r="P401" s="26"/>
      <c r="R401" s="31"/>
      <c r="S401" s="7"/>
      <c r="T401" s="7"/>
      <c r="U401" s="7"/>
      <c r="V401" s="7">
        <f t="shared" si="37"/>
        <v>0</v>
      </c>
      <c r="W401" s="5">
        <f t="shared" si="38"/>
        <v>0</v>
      </c>
      <c r="X401" s="22"/>
      <c r="Y401" s="33">
        <f>SUMPRODUCT((BIdetails!$J$5:$J$3000=M401)*(BIdetails!$K$5:$K$3000=N401)*(BIdetails!$M$5:$M$3000))</f>
        <v>0</v>
      </c>
      <c r="Z401" s="34" t="str">
        <f t="shared" si="25"/>
        <v/>
      </c>
      <c r="AA401" s="31"/>
      <c r="AB401" s="31"/>
      <c r="AC401" s="31"/>
      <c r="AD401" s="31"/>
    </row>
    <row r="402" spans="1:31" hidden="1" x14ac:dyDescent="0.25">
      <c r="K402" s="26"/>
      <c r="L402" s="26"/>
      <c r="M402" s="217"/>
      <c r="O402" s="26"/>
      <c r="P402" s="26"/>
      <c r="R402" s="31"/>
      <c r="S402" s="7"/>
      <c r="T402" s="7"/>
      <c r="U402" s="7"/>
      <c r="V402" s="7">
        <f t="shared" si="37"/>
        <v>0</v>
      </c>
      <c r="W402" s="5">
        <f t="shared" si="38"/>
        <v>0</v>
      </c>
      <c r="X402" s="22"/>
      <c r="Y402" s="33">
        <f>SUMPRODUCT((BIdetails!$J$5:$J$3000=M402)*(BIdetails!$K$5:$K$3000=N402)*(BIdetails!$M$5:$M$3000))</f>
        <v>0</v>
      </c>
      <c r="Z402" s="34" t="str">
        <f t="shared" si="25"/>
        <v/>
      </c>
      <c r="AA402" s="31"/>
      <c r="AB402" s="31"/>
      <c r="AC402" s="31"/>
      <c r="AD402" s="31"/>
    </row>
    <row r="403" spans="1:31" s="9" customFormat="1" hidden="1" x14ac:dyDescent="0.25">
      <c r="A403" s="102"/>
      <c r="B403" s="102"/>
      <c r="C403" s="102"/>
      <c r="D403" s="102"/>
      <c r="E403" s="102"/>
      <c r="F403" s="102"/>
      <c r="G403" s="102"/>
      <c r="H403" s="102"/>
      <c r="I403" s="102"/>
      <c r="J403" s="102"/>
      <c r="K403" s="102"/>
      <c r="L403" s="102"/>
      <c r="M403" s="102"/>
      <c r="N403" s="102"/>
      <c r="O403" s="102"/>
      <c r="P403" s="102"/>
      <c r="Q403" s="102"/>
      <c r="R403" s="102"/>
      <c r="S403" s="8">
        <f>SUM(S2:S402)</f>
        <v>57476942</v>
      </c>
      <c r="T403" s="8">
        <f>SUM(T2:T402)</f>
        <v>59805102</v>
      </c>
      <c r="U403" s="8">
        <f>SUM(U2:U402)</f>
        <v>63103204.079999998</v>
      </c>
      <c r="V403" s="8">
        <f>U403-T403</f>
        <v>3298102.0799999982</v>
      </c>
      <c r="W403" s="119">
        <f>IF(B403="New",1,IFERROR(V403/T403,0))</f>
        <v>5.5147503636060989E-2</v>
      </c>
      <c r="X403" s="163"/>
      <c r="Y403" s="8">
        <f>SUM(Y2:Y288)</f>
        <v>0</v>
      </c>
      <c r="Z403" s="34">
        <f t="shared" si="25"/>
        <v>0</v>
      </c>
      <c r="AE403"/>
    </row>
    <row r="404" spans="1:31" x14ac:dyDescent="0.25">
      <c r="H404" s="26"/>
      <c r="I404" s="26"/>
      <c r="J404" s="26"/>
      <c r="K404" s="27"/>
      <c r="L404" s="26"/>
      <c r="M404" s="28"/>
      <c r="N404" s="28"/>
      <c r="Y404" s="40"/>
    </row>
    <row r="405" spans="1:31" x14ac:dyDescent="0.25">
      <c r="H405" s="27"/>
      <c r="I405" s="27"/>
      <c r="J405" s="27"/>
      <c r="K405" s="27"/>
      <c r="L405" s="27"/>
      <c r="M405" s="219"/>
      <c r="N405" s="219"/>
      <c r="S405"/>
      <c r="T405"/>
      <c r="U405"/>
    </row>
    <row r="406" spans="1:31" x14ac:dyDescent="0.25">
      <c r="H406" s="27"/>
      <c r="I406" s="27"/>
      <c r="J406" s="27"/>
      <c r="K406" s="27"/>
      <c r="L406" s="27"/>
      <c r="M406" s="219"/>
      <c r="N406" s="219"/>
      <c r="S406"/>
      <c r="T406"/>
      <c r="U406"/>
      <c r="X406" s="214"/>
    </row>
    <row r="407" spans="1:31" x14ac:dyDescent="0.25">
      <c r="H407" s="29" t="s">
        <v>3231</v>
      </c>
      <c r="I407" s="29"/>
      <c r="J407" s="29"/>
      <c r="S407"/>
      <c r="T407"/>
      <c r="U407"/>
      <c r="W407" s="1"/>
    </row>
    <row r="408" spans="1:31" x14ac:dyDescent="0.25">
      <c r="H408" s="29"/>
      <c r="I408" s="29"/>
      <c r="J408" s="29"/>
      <c r="L408" s="29"/>
      <c r="M408" s="218"/>
      <c r="N408" s="218"/>
    </row>
    <row r="409" spans="1:31" x14ac:dyDescent="0.25">
      <c r="H409" s="27"/>
      <c r="I409" s="27"/>
      <c r="J409" s="27"/>
      <c r="L409" s="27"/>
    </row>
  </sheetData>
  <autoFilter ref="A1:XFB403" xr:uid="{00000000-0001-0000-0500-000000000000}">
    <filterColumn colId="14">
      <filters>
        <filter val="Diego"/>
      </filters>
    </filterColumn>
  </autoFilter>
  <sortState xmlns:xlrd2="http://schemas.microsoft.com/office/spreadsheetml/2017/richdata2" ref="A2:X303">
    <sortCondition ref="E2:E303"/>
  </sortState>
  <phoneticPr fontId="23" type="noConversion"/>
  <dataValidations count="4">
    <dataValidation type="list" allowBlank="1" showInputMessage="1" showErrorMessage="1" sqref="AN191 BD191 BT191 CJ191 CZ191 DP191 EF191 EV191 FL191 GB191 GR191 HH191 HX191 IN191 JD191 JT191 KJ191 KZ191 LP191 MF191 MV191 NL191 OB191 OR191 PH191 PX191 QN191 RD191 RT191 SJ191 SZ191 TP191 UF191 UV191 VL191 WB191 WR191 XH191 XX191 YN191 ZD191 ZT191 AAJ191 AAZ191 ABP191 ACF191 ACV191 ADL191 AEB191 AER191 AFH191 AFX191 AGN191 AHD191 AHT191 AIJ191 AIZ191 AJP191 AKF191 AKV191 ALL191 AMB191 AMR191 ANH191 ANX191 AON191 APD191 APT191 AQJ191 AQZ191 ARP191 ASF191 ASV191 ATL191 AUB191 AUR191 AVH191 AVX191 AWN191 AXD191 AXT191 AYJ191 AYZ191 AZP191 BAF191 BAV191 BBL191 BCB191 BCR191 BDH191 BDX191 BEN191 BFD191 BFT191 BGJ191 BGZ191 BHP191 BIF191 BIV191 BJL191 BKB191 BKR191 BLH191 BLX191 BMN191 BND191 BNT191 BOJ191 BOZ191 BPP191 BQF191 BQV191 BRL191 BSB191 BSR191 BTH191 BTX191 BUN191 BVD191 BVT191 BWJ191 BWZ191 BXP191 BYF191 BYV191 BZL191 CAB191 CAR191 CBH191 CBX191 CCN191 CDD191 CDT191 CEJ191 CEZ191 CFP191 CGF191 CGV191 CHL191 CIB191 CIR191 CJH191 CJX191 CKN191 CLD191 CLT191 CMJ191 CMZ191 CNP191 COF191 COV191 CPL191 CQB191 CQR191 CRH191 CRX191 CSN191 CTD191 CTT191 CUJ191 CUZ191 CVP191 CWF191 CWV191 CXL191 CYB191 CYR191 CZH191 CZX191 DAN191 DBD191 DBT191 DCJ191 DCZ191 DDP191 DEF191 DEV191 DFL191 DGB191 DGR191 DHH191 DHX191 DIN191 DJD191 DJT191 DKJ191 DKZ191 DLP191 DMF191 DMV191 DNL191 DOB191 DOR191 DPH191 DPX191 DQN191 DRD191 DRT191 DSJ191 DSZ191 DTP191 DUF191 DUV191 DVL191 DWB191 DWR191 DXH191 DXX191 DYN191 DZD191 DZT191 EAJ191 EAZ191 EBP191 ECF191 ECV191 EDL191 EEB191 EER191 EFH191 EFX191 EGN191 EHD191 EHT191 EIJ191 EIZ191 EJP191 EKF191 EKV191 ELL191 EMB191 EMR191 ENH191 ENX191 EON191 EPD191 EPT191 EQJ191 EQZ191 ERP191 ESF191 ESV191 ETL191 EUB191 EUR191 EVH191 EVX191 EWN191 EXD191 EXT191 EYJ191 EYZ191 EZP191 FAF191 FAV191 FBL191 FCB191 FCR191 FDH191 FDX191 FEN191 FFD191 FFT191 FGJ191 FGZ191 FHP191 FIF191 FIV191 FJL191 FKB191 FKR191 FLH191 FLX191 FMN191 FND191 FNT191 FOJ191 FOZ191 FPP191 FQF191 FQV191 FRL191 FSB191 FSR191 FTH191 FTX191 FUN191 FVD191 FVT191 FWJ191 FWZ191 FXP191 FYF191 FYV191 FZL191 GAB191 GAR191 GBH191 GBX191 GCN191 GDD191 GDT191 GEJ191 GEZ191 GFP191 GGF191 GGV191 GHL191 GIB191 GIR191 GJH191 GJX191 GKN191 GLD191 GLT191 GMJ191 GMZ191 GNP191 GOF191 GOV191 GPL191 GQB191 GQR191 GRH191 GRX191 GSN191 GTD191 GTT191 GUJ191 GUZ191 GVP191 GWF191 GWV191 GXL191 GYB191 GYR191 GZH191 GZX191 HAN191 HBD191 HBT191 HCJ191 HCZ191 HDP191 HEF191 HEV191 HFL191 HGB191 HGR191 HHH191 HHX191 HIN191 HJD191 HJT191 HKJ191 HKZ191 HLP191 HMF191 HMV191 HNL191 HOB191 HOR191 HPH191 HPX191 HQN191 HRD191 HRT191 HSJ191 HSZ191 HTP191 HUF191 HUV191 HVL191 HWB191 HWR191 HXH191 HXX191 HYN191 HZD191 HZT191 IAJ191 IAZ191 IBP191 ICF191 ICV191 IDL191 IEB191 IER191 IFH191 IFX191 IGN191 IHD191 IHT191 IIJ191 IIZ191 IJP191 IKF191 IKV191 ILL191 IMB191 IMR191 INH191 INX191 ION191 IPD191 IPT191 IQJ191 IQZ191 IRP191 ISF191 ISV191 ITL191 IUB191 IUR191 IVH191 IVX191 IWN191 IXD191 IXT191 IYJ191 IYZ191 IZP191 JAF191 JAV191 JBL191 JCB191 JCR191 JDH191 JDX191 JEN191 JFD191 JFT191 JGJ191 JGZ191 JHP191 JIF191 JIV191 JJL191 JKB191 JKR191 JLH191 JLX191 JMN191 JND191 JNT191 JOJ191 JOZ191 JPP191 JQF191 JQV191 JRL191 JSB191 JSR191 JTH191 JTX191 JUN191 JVD191 JVT191 JWJ191 JWZ191 JXP191 JYF191 JYV191 JZL191 KAB191 KAR191 KBH191 KBX191 KCN191 KDD191 KDT191 KEJ191 KEZ191 KFP191 KGF191 KGV191 KHL191 KIB191 KIR191 KJH191 KJX191 KKN191 KLD191 KLT191 KMJ191 KMZ191 KNP191 KOF191 KOV191 KPL191 KQB191 KQR191 KRH191 KRX191 KSN191 KTD191 KTT191 KUJ191 KUZ191 KVP191 KWF191 KWV191 KXL191 KYB191 KYR191 KZH191 KZX191 LAN191 LBD191 LBT191 LCJ191 LCZ191 LDP191 LEF191 LEV191 LFL191 LGB191 LGR191 LHH191 LHX191 LIN191 LJD191 LJT191 LKJ191 LKZ191 LLP191 LMF191 LMV191 LNL191 LOB191 LOR191 LPH191 LPX191 LQN191 LRD191 LRT191 LSJ191 LSZ191 LTP191 LUF191 LUV191 LVL191 LWB191 LWR191 LXH191 LXX191 LYN191 LZD191 LZT191 MAJ191 MAZ191 MBP191 MCF191 MCV191 MDL191 MEB191 MER191 MFH191 MFX191 MGN191 MHD191 MHT191 MIJ191 MIZ191 MJP191 MKF191 MKV191 MLL191 MMB191 MMR191 MNH191 MNX191 MON191 MPD191 MPT191 MQJ191 MQZ191 MRP191 MSF191 MSV191 MTL191 MUB191 MUR191 MVH191 MVX191 MWN191 MXD191 MXT191 MYJ191 MYZ191 MZP191 NAF191 NAV191 NBL191 NCB191 NCR191 NDH191 NDX191 NEN191 NFD191 NFT191 NGJ191 NGZ191 NHP191 NIF191 NIV191 NJL191 NKB191 NKR191 NLH191 NLX191 NMN191 NND191 NNT191 NOJ191 NOZ191 NPP191 NQF191 NQV191 NRL191 NSB191 NSR191 NTH191 NTX191 NUN191 NVD191 NVT191 NWJ191 NWZ191 NXP191 NYF191 NYV191 NZL191 OAB191 OAR191 OBH191 OBX191 OCN191 ODD191 ODT191 OEJ191 OEZ191 OFP191 OGF191 OGV191 OHL191 OIB191 OIR191 OJH191 OJX191 OKN191 OLD191 OLT191 OMJ191 OMZ191 ONP191 OOF191 OOV191 OPL191 OQB191 OQR191 ORH191 ORX191 OSN191 OTD191 OTT191 OUJ191 OUZ191 OVP191 OWF191 OWV191 OXL191 OYB191 OYR191 OZH191 OZX191 PAN191 PBD191 PBT191 PCJ191 PCZ191 PDP191 PEF191 PEV191 PFL191 PGB191 PGR191 PHH191 PHX191 PIN191 PJD191 PJT191 PKJ191 PKZ191 PLP191 PMF191 PMV191 PNL191 POB191 POR191 PPH191 PPX191 PQN191 PRD191 PRT191 PSJ191 PSZ191 PTP191 PUF191 PUV191 PVL191 PWB191 PWR191 PXH191 PXX191 PYN191 PZD191 PZT191 QAJ191 QAZ191 QBP191 QCF191 QCV191 QDL191 QEB191 QER191 QFH191 QFX191 QGN191 QHD191 QHT191 QIJ191 QIZ191 QJP191 QKF191 QKV191 QLL191 QMB191 QMR191 QNH191 QNX191 QON191 QPD191 QPT191 QQJ191 QQZ191 QRP191 QSF191 QSV191 QTL191 QUB191 QUR191 QVH191 QVX191 QWN191 QXD191 QXT191 QYJ191 QYZ191 QZP191 RAF191 RAV191 RBL191 RCB191 RCR191 RDH191 RDX191 REN191 RFD191 RFT191 RGJ191 RGZ191 RHP191 RIF191 RIV191 RJL191 RKB191 RKR191 RLH191 RLX191 RMN191 RND191 RNT191 ROJ191 ROZ191 RPP191 RQF191 RQV191 RRL191 RSB191 RSR191 RTH191 RTX191 RUN191 RVD191 RVT191 RWJ191 RWZ191 RXP191 RYF191 RYV191 RZL191 SAB191 SAR191 SBH191 SBX191 SCN191 SDD191 SDT191 SEJ191 SEZ191 SFP191 SGF191 SGV191 SHL191 SIB191 SIR191 SJH191 SJX191 SKN191 SLD191 SLT191 SMJ191 SMZ191 SNP191 SOF191 SOV191 SPL191 SQB191 SQR191 SRH191 SRX191 SSN191 STD191 STT191 SUJ191 SUZ191 SVP191 SWF191 SWV191 SXL191 SYB191 SYR191 SZH191 SZX191 TAN191 TBD191 TBT191 TCJ191 TCZ191 TDP191 TEF191 TEV191 TFL191 TGB191 TGR191 THH191 THX191 TIN191 TJD191 TJT191 TKJ191 TKZ191 TLP191 TMF191 TMV191 TNL191 TOB191 TOR191 TPH191 TPX191 TQN191 TRD191 TRT191 TSJ191 TSZ191 TTP191 TUF191 TUV191 TVL191 TWB191 TWR191 TXH191 TXX191 TYN191 TZD191 TZT191 UAJ191 UAZ191 UBP191 UCF191 UCV191 UDL191 UEB191 UER191 UFH191 UFX191 UGN191 UHD191 UHT191 UIJ191 UIZ191 UJP191 UKF191 UKV191 ULL191 UMB191 UMR191 UNH191 UNX191 UON191 UPD191 UPT191 UQJ191 UQZ191 URP191 USF191 USV191 UTL191 UUB191 UUR191 UVH191 UVX191 UWN191 UXD191 UXT191 UYJ191 UYZ191 UZP191 VAF191 VAV191 VBL191 VCB191 VCR191 VDH191 VDX191 VEN191 VFD191 VFT191 VGJ191 VGZ191 VHP191 VIF191 VIV191 VJL191 VKB191 VKR191 VLH191 VLX191 VMN191 VND191 VNT191 VOJ191 VOZ191 VPP191 VQF191 VQV191 VRL191 VSB191 VSR191 VTH191 VTX191 VUN191 VVD191 VVT191 VWJ191 VWZ191 VXP191 VYF191 VYV191 VZL191 WAB191 WAR191 WBH191 WBX191 WCN191 WDD191 WDT191 WEJ191 WEZ191 WFP191 WGF191 WGV191 WHL191 WIB191 WIR191 WJH191 WJX191 WKN191 WLD191 WLT191 WMJ191 WMZ191 WNP191 WOF191 WOV191 WPL191 WQB191 WQR191 WRH191 WRX191 WSN191 WTD191 WTT191 WUJ191 WUZ191 WVP191 WWF191 WWV191 WXL191 WYB191 WYR191 WZH191 WZX191 XAN191 XBD191 XBT191 XCJ191 XCZ191 XDP191 XEF191 XEV191" xr:uid="{00000000-0002-0000-0500-000000000000}">
      <formula1>INv_SCHEDULE</formula1>
    </dataValidation>
    <dataValidation type="list" allowBlank="1" showInputMessage="1" showErrorMessage="1" sqref="AA2:AA402" xr:uid="{4D371A4A-D91B-4BD6-9F81-21D2C78287D9}">
      <formula1>"Monthly,Quarterly,Half-Year,Yearly,2-Year,3-Year"</formula1>
    </dataValidation>
    <dataValidation type="list" allowBlank="1" showInputMessage="1" showErrorMessage="1" sqref="AC2:AC402" xr:uid="{48EDF670-C37C-4A8B-8F26-37896D979EE4}">
      <formula1>"Post,Pre,Spot"</formula1>
    </dataValidation>
    <dataValidation type="list" allowBlank="1" showInputMessage="1" showErrorMessage="1" sqref="AB2:AB402" xr:uid="{D8159216-16BA-4EAD-94A5-B1459D7645E9}">
      <formula1>"GR,GR Without Invoice,Pre paid"</formula1>
    </dataValidation>
  </dataValidations>
  <hyperlinks>
    <hyperlink ref="J137" r:id="rId1" display="https://eur03.safelinks.protection.outlook.com/?url=https%3A%2F%2Fjde.service-now.com%2Fcmdb_ci_appl.do%3Fsys_id%3D76ba32c3db53dbc0c83f81cc0b9619e4%26sysparm_record_target%3Dcmdb_ci_appl%26sysparm_record_row%3D1%26sysparm_record_rows%3D48%26sysparm_record_list%3Dsys_class_name%253Dcmdb_ci_appl%255Ename%253E%253Dwebs%255EORDERBYname&amp;data=04%7C01%7CLieke.Koers%40JDEcoffee.com%7Ca721be8a6c204b32a5c208d950fcc16d%7C22d30701ec5e4bdcba4fb9234053b0a9%7C1%7C0%7C637629868765051768%7CUnknown%7CTWFpbGZsb3d8eyJWIjoiMC4wLjAwMDAiLCJQIjoiV2luMzIiLCJBTiI6Ik1haWwiLCJXVCI6Mn0%3D%7C1000&amp;sdata=LcgCp0NdvQSxiuC%2FKSc%2FfT%2Blwm%2FXH2izP40%2FJLxubyk%3D&amp;reserved=0" xr:uid="{55E873DD-FFC0-49BE-98FC-FF2690C48724}"/>
  </hyperlinks>
  <pageMargins left="0.7" right="0.7" top="0.75" bottom="0.75" header="0.3" footer="0.3"/>
  <pageSetup paperSize="9" orientation="portrait" r:id="rId2"/>
  <customProperties>
    <customPr name="_pios_id" r:id="rId3"/>
    <customPr name="EpmWorksheetKeyString_GUID" r:id="rId4"/>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30"/>
  <sheetViews>
    <sheetView workbookViewId="0">
      <selection activeCell="M6" sqref="M6"/>
    </sheetView>
  </sheetViews>
  <sheetFormatPr defaultRowHeight="15" x14ac:dyDescent="0.25"/>
  <cols>
    <col min="1" max="1" width="14.5703125" bestFit="1" customWidth="1"/>
    <col min="3" max="3" width="16.5703125" customWidth="1"/>
    <col min="6" max="6" width="15.5703125" customWidth="1"/>
    <col min="11" max="11" width="13.5703125" bestFit="1" customWidth="1"/>
    <col min="12" max="12" width="15.42578125" bestFit="1" customWidth="1"/>
    <col min="14" max="14" width="13.5703125" customWidth="1"/>
  </cols>
  <sheetData>
    <row r="1" spans="1:14" ht="30.75" thickBot="1" x14ac:dyDescent="0.3">
      <c r="A1" s="18" t="s">
        <v>2741</v>
      </c>
      <c r="B1" s="19" t="s">
        <v>2743</v>
      </c>
      <c r="C1" s="20" t="s">
        <v>3232</v>
      </c>
      <c r="F1" s="38" t="s">
        <v>3233</v>
      </c>
      <c r="G1" s="38" t="s">
        <v>3234</v>
      </c>
      <c r="H1" s="38" t="s">
        <v>3235</v>
      </c>
      <c r="K1" s="38" t="s">
        <v>2731</v>
      </c>
      <c r="L1" s="38" t="s">
        <v>3236</v>
      </c>
      <c r="N1" s="38" t="s">
        <v>3236</v>
      </c>
    </row>
    <row r="2" spans="1:14" x14ac:dyDescent="0.25">
      <c r="A2" s="10" t="s">
        <v>2758</v>
      </c>
      <c r="B2" s="11" t="s">
        <v>2785</v>
      </c>
      <c r="C2" s="12" t="s">
        <v>2752</v>
      </c>
      <c r="F2" t="s">
        <v>3237</v>
      </c>
      <c r="G2" t="s">
        <v>3238</v>
      </c>
      <c r="H2" t="s">
        <v>3239</v>
      </c>
      <c r="K2" t="s">
        <v>2224</v>
      </c>
      <c r="L2" t="s">
        <v>3240</v>
      </c>
      <c r="N2" t="s">
        <v>3240</v>
      </c>
    </row>
    <row r="3" spans="1:14" x14ac:dyDescent="0.25">
      <c r="A3" s="13" t="s">
        <v>649</v>
      </c>
      <c r="B3" t="s">
        <v>2788</v>
      </c>
      <c r="C3" s="14" t="s">
        <v>2849</v>
      </c>
      <c r="K3" t="s">
        <v>3241</v>
      </c>
      <c r="L3" t="s">
        <v>40</v>
      </c>
      <c r="N3" t="s">
        <v>40</v>
      </c>
    </row>
    <row r="4" spans="1:14" x14ac:dyDescent="0.25">
      <c r="A4" s="13" t="s">
        <v>3031</v>
      </c>
      <c r="B4" t="s">
        <v>2774</v>
      </c>
      <c r="C4" s="14" t="s">
        <v>3242</v>
      </c>
      <c r="K4" t="s">
        <v>2808</v>
      </c>
      <c r="L4" t="s">
        <v>3240</v>
      </c>
      <c r="N4" t="s">
        <v>850</v>
      </c>
    </row>
    <row r="5" spans="1:14" x14ac:dyDescent="0.25">
      <c r="A5" s="13" t="s">
        <v>2947</v>
      </c>
      <c r="C5" s="14" t="s">
        <v>2920</v>
      </c>
      <c r="K5" t="s">
        <v>2861</v>
      </c>
      <c r="L5" t="s">
        <v>850</v>
      </c>
      <c r="N5" t="s">
        <v>2751</v>
      </c>
    </row>
    <row r="6" spans="1:14" ht="15.75" thickBot="1" x14ac:dyDescent="0.3">
      <c r="A6" s="15"/>
      <c r="B6" s="16"/>
      <c r="C6" s="17"/>
      <c r="K6" t="s">
        <v>2676</v>
      </c>
      <c r="L6" t="s">
        <v>2751</v>
      </c>
      <c r="N6" t="s">
        <v>3243</v>
      </c>
    </row>
    <row r="7" spans="1:14" x14ac:dyDescent="0.25">
      <c r="K7" t="s">
        <v>3244</v>
      </c>
      <c r="L7" t="s">
        <v>2751</v>
      </c>
      <c r="N7" t="s">
        <v>2886</v>
      </c>
    </row>
    <row r="8" spans="1:14" x14ac:dyDescent="0.25">
      <c r="K8" t="s">
        <v>2170</v>
      </c>
      <c r="L8" t="s">
        <v>3243</v>
      </c>
      <c r="N8" t="s">
        <v>3245</v>
      </c>
    </row>
    <row r="9" spans="1:14" x14ac:dyDescent="0.25">
      <c r="K9" t="s">
        <v>1788</v>
      </c>
      <c r="L9" t="s">
        <v>2886</v>
      </c>
      <c r="N9" t="s">
        <v>3246</v>
      </c>
    </row>
    <row r="10" spans="1:14" x14ac:dyDescent="0.25">
      <c r="K10" t="s">
        <v>2755</v>
      </c>
      <c r="L10" t="s">
        <v>3245</v>
      </c>
      <c r="N10" t="s">
        <v>2855</v>
      </c>
    </row>
    <row r="11" spans="1:14" x14ac:dyDescent="0.25">
      <c r="K11" t="s">
        <v>3247</v>
      </c>
      <c r="L11" t="s">
        <v>3246</v>
      </c>
      <c r="N11" t="s">
        <v>3248</v>
      </c>
    </row>
    <row r="12" spans="1:14" x14ac:dyDescent="0.25">
      <c r="K12" t="s">
        <v>1734</v>
      </c>
      <c r="L12" t="s">
        <v>2751</v>
      </c>
      <c r="N12" t="s">
        <v>3249</v>
      </c>
    </row>
    <row r="13" spans="1:14" x14ac:dyDescent="0.25">
      <c r="K13" t="s">
        <v>179</v>
      </c>
      <c r="L13" t="s">
        <v>2855</v>
      </c>
      <c r="N13" t="s">
        <v>3016</v>
      </c>
    </row>
    <row r="14" spans="1:14" x14ac:dyDescent="0.25">
      <c r="K14" t="s">
        <v>3250</v>
      </c>
      <c r="L14" t="s">
        <v>3248</v>
      </c>
      <c r="N14" t="s">
        <v>2959</v>
      </c>
    </row>
    <row r="15" spans="1:14" x14ac:dyDescent="0.25">
      <c r="K15" t="s">
        <v>2784</v>
      </c>
      <c r="L15" t="s">
        <v>2751</v>
      </c>
    </row>
    <row r="16" spans="1:14" x14ac:dyDescent="0.25">
      <c r="K16" t="s">
        <v>1623</v>
      </c>
      <c r="L16" t="s">
        <v>3245</v>
      </c>
    </row>
    <row r="17" spans="11:12" x14ac:dyDescent="0.25">
      <c r="K17" t="s">
        <v>1283</v>
      </c>
      <c r="L17" t="s">
        <v>3249</v>
      </c>
    </row>
    <row r="18" spans="11:12" x14ac:dyDescent="0.25">
      <c r="K18" t="s">
        <v>1939</v>
      </c>
      <c r="L18" t="s">
        <v>3016</v>
      </c>
    </row>
    <row r="19" spans="11:12" x14ac:dyDescent="0.25">
      <c r="K19" t="s">
        <v>3251</v>
      </c>
      <c r="L19" t="s">
        <v>3248</v>
      </c>
    </row>
    <row r="20" spans="11:12" x14ac:dyDescent="0.25">
      <c r="K20" t="s">
        <v>227</v>
      </c>
      <c r="L20" t="s">
        <v>3245</v>
      </c>
    </row>
    <row r="21" spans="11:12" x14ac:dyDescent="0.25">
      <c r="K21" t="s">
        <v>3252</v>
      </c>
      <c r="L21" t="s">
        <v>3245</v>
      </c>
    </row>
    <row r="22" spans="11:12" x14ac:dyDescent="0.25">
      <c r="K22" t="s">
        <v>3004</v>
      </c>
      <c r="L22" t="s">
        <v>2855</v>
      </c>
    </row>
    <row r="23" spans="11:12" x14ac:dyDescent="0.25">
      <c r="K23" t="s">
        <v>1875</v>
      </c>
      <c r="L23" t="s">
        <v>2959</v>
      </c>
    </row>
    <row r="24" spans="11:12" x14ac:dyDescent="0.25">
      <c r="K24" t="s">
        <v>3253</v>
      </c>
      <c r="L24" t="s">
        <v>2751</v>
      </c>
    </row>
    <row r="25" spans="11:12" x14ac:dyDescent="0.25">
      <c r="K25" t="s">
        <v>2314</v>
      </c>
      <c r="L25" t="s">
        <v>3246</v>
      </c>
    </row>
    <row r="26" spans="11:12" x14ac:dyDescent="0.25">
      <c r="K26" t="s">
        <v>3254</v>
      </c>
      <c r="L26" t="s">
        <v>3246</v>
      </c>
    </row>
    <row r="27" spans="11:12" x14ac:dyDescent="0.25">
      <c r="K27" t="s">
        <v>145</v>
      </c>
      <c r="L27" t="s">
        <v>2751</v>
      </c>
    </row>
    <row r="28" spans="11:12" x14ac:dyDescent="0.25">
      <c r="K28" t="s">
        <v>2933</v>
      </c>
      <c r="L28" t="s">
        <v>2751</v>
      </c>
    </row>
    <row r="29" spans="11:12" x14ac:dyDescent="0.25">
      <c r="K29" t="s">
        <v>3255</v>
      </c>
      <c r="L29" t="s">
        <v>2751</v>
      </c>
    </row>
    <row r="30" spans="11:12" x14ac:dyDescent="0.25">
      <c r="K30" t="s">
        <v>2158</v>
      </c>
      <c r="L30" t="s">
        <v>2751</v>
      </c>
    </row>
  </sheetData>
  <pageMargins left="0.7" right="0.7" top="0.75" bottom="0.75" header="0.3" footer="0.3"/>
  <pageSetup paperSize="9" orientation="portrait" r:id="rId1"/>
  <customProperties>
    <customPr name="_pios_id" r:id="rId2"/>
    <customPr name="EpmWorksheetKeyString_GUID"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1736"/>
  <sheetViews>
    <sheetView zoomScale="80" zoomScaleNormal="80" workbookViewId="0">
      <selection activeCell="A2" sqref="A2"/>
    </sheetView>
  </sheetViews>
  <sheetFormatPr defaultRowHeight="15" x14ac:dyDescent="0.25"/>
  <cols>
    <col min="1" max="1" width="19.28515625" bestFit="1" customWidth="1"/>
    <col min="2" max="2" width="6.85546875" bestFit="1" customWidth="1"/>
    <col min="3" max="3" width="12.140625" bestFit="1" customWidth="1"/>
    <col min="4" max="4" width="16.28515625" bestFit="1" customWidth="1"/>
    <col min="5" max="5" width="11.7109375" bestFit="1" customWidth="1"/>
    <col min="6" max="6" width="30.85546875" bestFit="1" customWidth="1"/>
    <col min="7" max="7" width="8" bestFit="1" customWidth="1"/>
    <col min="8" max="8" width="30.7109375" bestFit="1" customWidth="1"/>
    <col min="9" max="9" width="20.28515625" bestFit="1" customWidth="1"/>
    <col min="10" max="10" width="16.5703125" bestFit="1" customWidth="1"/>
    <col min="11" max="11" width="19.140625" bestFit="1" customWidth="1"/>
    <col min="12" max="12" width="50.5703125" bestFit="1" customWidth="1"/>
    <col min="13" max="13" width="19.7109375" bestFit="1" customWidth="1"/>
    <col min="14" max="19" width="16.5703125" bestFit="1" customWidth="1"/>
    <col min="20" max="20" width="17" bestFit="1" customWidth="1"/>
    <col min="21" max="21" width="12" bestFit="1" customWidth="1"/>
    <col min="22" max="22" width="14.42578125" bestFit="1" customWidth="1"/>
    <col min="23" max="26" width="12" bestFit="1" customWidth="1"/>
    <col min="27" max="27" width="18.42578125" bestFit="1" customWidth="1"/>
    <col min="28" max="28" width="16.5703125" bestFit="1" customWidth="1"/>
    <col min="29" max="29" width="12.5703125" bestFit="1" customWidth="1"/>
    <col min="30" max="30" width="13.42578125" bestFit="1" customWidth="1"/>
    <col min="31" max="31" width="16.5703125" bestFit="1" customWidth="1"/>
    <col min="32" max="32" width="12.5703125" bestFit="1" customWidth="1"/>
    <col min="33" max="33" width="13.42578125" bestFit="1" customWidth="1"/>
    <col min="34" max="34" width="12" bestFit="1" customWidth="1"/>
    <col min="35" max="35" width="14.42578125" bestFit="1" customWidth="1"/>
    <col min="36" max="39" width="12" bestFit="1" customWidth="1"/>
    <col min="40" max="40" width="18.42578125" bestFit="1" customWidth="1"/>
    <col min="41" max="41" width="16.5703125" bestFit="1" customWidth="1"/>
    <col min="42" max="42" width="12.5703125" bestFit="1" customWidth="1"/>
    <col min="43" max="43" width="13.42578125" bestFit="1" customWidth="1"/>
    <col min="44" max="44" width="16.5703125" bestFit="1" customWidth="1"/>
    <col min="45" max="45" width="14.42578125" bestFit="1" customWidth="1"/>
    <col min="46" max="46" width="13.42578125" bestFit="1" customWidth="1"/>
    <col min="47" max="47" width="12" bestFit="1" customWidth="1"/>
    <col min="48" max="48" width="14.42578125" bestFit="1" customWidth="1"/>
    <col min="49" max="52" width="12" bestFit="1" customWidth="1"/>
    <col min="53" max="53" width="18.42578125" bestFit="1" customWidth="1"/>
    <col min="54" max="54" width="16.5703125" bestFit="1" customWidth="1"/>
    <col min="55" max="55" width="12.5703125" bestFit="1" customWidth="1"/>
    <col min="56" max="56" width="13.42578125" bestFit="1" customWidth="1"/>
    <col min="57" max="57" width="16.5703125" bestFit="1" customWidth="1"/>
    <col min="58" max="59" width="13.42578125" bestFit="1" customWidth="1"/>
  </cols>
  <sheetData>
    <row r="1" spans="1:1" x14ac:dyDescent="0.25">
      <c r="A1" s="252" t="s">
        <v>3713</v>
      </c>
    </row>
    <row r="1736" spans="12:12" x14ac:dyDescent="0.25">
      <c r="L1736" s="165"/>
    </row>
  </sheetData>
  <pageMargins left="0.7" right="0.7" top="0.75" bottom="0.75" header="0.3" footer="0.3"/>
  <pageSetup orientation="portrait" r:id="rId1"/>
  <customProperties>
    <customPr name="_pios_id" r:id="rId2"/>
    <customPr name="CofWorksheetType" r:id="rId3"/>
    <customPr name="EpmWorksheetKeyString_GUID"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_xludf.Convert">
                <anchor>
                  <from>
                    <xdr:col>0</xdr:col>
                    <xdr:colOff>981075</xdr:colOff>
                    <xdr:row>0</xdr:row>
                    <xdr:rowOff>66675</xdr:rowOff>
                  </from>
                  <to>
                    <xdr:col>2</xdr:col>
                    <xdr:colOff>238125</xdr:colOff>
                    <xdr:row>1</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filterMode="1"/>
  <dimension ref="A1:K1000"/>
  <sheetViews>
    <sheetView zoomScale="86" zoomScaleNormal="86" workbookViewId="0">
      <pane ySplit="1" topLeftCell="A990" activePane="bottomLeft" state="frozen"/>
      <selection activeCell="G25" sqref="G25"/>
      <selection pane="bottomLeft" activeCell="C764" sqref="C764"/>
    </sheetView>
  </sheetViews>
  <sheetFormatPr defaultRowHeight="15" x14ac:dyDescent="0.25"/>
  <cols>
    <col min="1" max="1" width="10.42578125" bestFit="1" customWidth="1"/>
    <col min="2" max="2" width="35.5703125" bestFit="1" customWidth="1"/>
    <col min="3" max="3" width="12.5703125" bestFit="1" customWidth="1"/>
    <col min="4" max="5" width="12.5703125" customWidth="1"/>
    <col min="6" max="6" width="16.5703125" bestFit="1" customWidth="1"/>
    <col min="7" max="7" width="16.5703125" customWidth="1"/>
    <col min="11" max="11" width="15.42578125" customWidth="1"/>
    <col min="12" max="12" width="12.5703125" bestFit="1" customWidth="1"/>
    <col min="13" max="13" width="16.5703125" customWidth="1"/>
    <col min="14" max="14" width="12.5703125" bestFit="1" customWidth="1"/>
    <col min="15" max="15" width="14" customWidth="1"/>
  </cols>
  <sheetData>
    <row r="1" spans="1:11" x14ac:dyDescent="0.25">
      <c r="A1" s="35" t="s">
        <v>2728</v>
      </c>
      <c r="B1" s="35" t="s">
        <v>3256</v>
      </c>
      <c r="C1" s="35" t="s">
        <v>2729</v>
      </c>
      <c r="D1" s="35" t="s">
        <v>3257</v>
      </c>
      <c r="E1" s="35" t="s">
        <v>3258</v>
      </c>
      <c r="F1" s="35" t="s">
        <v>3259</v>
      </c>
      <c r="G1" s="35" t="s">
        <v>3260</v>
      </c>
      <c r="K1" s="88" t="s">
        <v>3260</v>
      </c>
    </row>
    <row r="2" spans="1:11" x14ac:dyDescent="0.25">
      <c r="A2">
        <f>BIdetails!G5</f>
        <v>0</v>
      </c>
      <c r="B2">
        <f>BIdetails!H5</f>
        <v>0</v>
      </c>
      <c r="C2">
        <f>BIdetails!J5</f>
        <v>0</v>
      </c>
      <c r="D2">
        <f>BIdetails!K5</f>
        <v>0</v>
      </c>
      <c r="E2" s="165">
        <f>BIdetails!M5</f>
        <v>0</v>
      </c>
      <c r="F2" t="e">
        <f>IF(ISERROR(IF(OR(C2="#",C2=0),"",VLOOKUP(C2,'AOP25'!M:M,1,0))),"Not Found",VLOOKUP(C2,'AOP25'!M:M,1,0))</f>
        <v>#N/A</v>
      </c>
      <c r="G2" t="e">
        <f>IF(NOT(ISERROR(VLOOKUP(C2,$K$2:$K$50,1,0))),"Y",VLOOKUP(C2,$K$2:$K$50,1,0))</f>
        <v>#N/A</v>
      </c>
      <c r="K2" s="64"/>
    </row>
    <row r="3" spans="1:11" x14ac:dyDescent="0.25">
      <c r="A3">
        <f>BIdetails!G6</f>
        <v>0</v>
      </c>
      <c r="B3">
        <f>BIdetails!H6</f>
        <v>0</v>
      </c>
      <c r="C3">
        <f>BIdetails!J6</f>
        <v>0</v>
      </c>
      <c r="D3">
        <f>BIdetails!K6</f>
        <v>0</v>
      </c>
      <c r="E3" s="165">
        <f>BIdetails!M6</f>
        <v>0</v>
      </c>
      <c r="F3" t="e">
        <f>IF(ISERROR(IF(OR(C3="#",C3=0),"",VLOOKUP(C3,'AOP25'!M:M,1,0))),"Not Found",VLOOKUP(C3,'AOP25'!M:M,1,0))</f>
        <v>#N/A</v>
      </c>
      <c r="G3" t="e">
        <f t="shared" ref="G3:G66" si="0">IF(NOT(ISERROR(VLOOKUP(C3,$K$2:$K$50,1,0))),"Y",VLOOKUP(C3,$K$2:$K$50,1,0))</f>
        <v>#N/A</v>
      </c>
      <c r="K3" s="64"/>
    </row>
    <row r="4" spans="1:11" x14ac:dyDescent="0.25">
      <c r="A4">
        <f>BIdetails!G7</f>
        <v>0</v>
      </c>
      <c r="B4">
        <f>BIdetails!H7</f>
        <v>0</v>
      </c>
      <c r="C4">
        <f>BIdetails!J7</f>
        <v>0</v>
      </c>
      <c r="D4">
        <f>BIdetails!K7</f>
        <v>0</v>
      </c>
      <c r="E4" s="165">
        <f>BIdetails!M7</f>
        <v>0</v>
      </c>
      <c r="F4" t="e">
        <f>IF(ISERROR(IF(OR(C4="#",C4=0),"",VLOOKUP(C4,'AOP25'!M:M,1,0))),"Not Found",VLOOKUP(C4,'AOP25'!M:M,1,0))</f>
        <v>#N/A</v>
      </c>
      <c r="G4" t="e">
        <f t="shared" si="0"/>
        <v>#N/A</v>
      </c>
      <c r="K4" s="64"/>
    </row>
    <row r="5" spans="1:11" hidden="1" x14ac:dyDescent="0.25">
      <c r="A5">
        <f>BIdetails!G8</f>
        <v>0</v>
      </c>
      <c r="B5">
        <f>BIdetails!H8</f>
        <v>0</v>
      </c>
      <c r="C5">
        <f>BIdetails!J8</f>
        <v>0</v>
      </c>
      <c r="D5">
        <f>BIdetails!K8</f>
        <v>0</v>
      </c>
      <c r="E5" s="165">
        <f>BIdetails!M8</f>
        <v>0</v>
      </c>
      <c r="F5" t="e">
        <f>IF(ISERROR(IF(OR(C5="#",C5=0),"",VLOOKUP(C5,'AOP25'!M:M,1,0))),"Not Found",VLOOKUP(C5,'AOP25'!M:M,1,0))</f>
        <v>#N/A</v>
      </c>
      <c r="G5" t="e">
        <f t="shared" si="0"/>
        <v>#N/A</v>
      </c>
      <c r="K5" s="64"/>
    </row>
    <row r="6" spans="1:11" hidden="1" x14ac:dyDescent="0.25">
      <c r="A6">
        <f>BIdetails!G9</f>
        <v>0</v>
      </c>
      <c r="B6">
        <f>BIdetails!H9</f>
        <v>0</v>
      </c>
      <c r="C6">
        <f>BIdetails!J9</f>
        <v>0</v>
      </c>
      <c r="D6">
        <f>BIdetails!K9</f>
        <v>0</v>
      </c>
      <c r="E6" s="165">
        <f>BIdetails!M9</f>
        <v>0</v>
      </c>
      <c r="F6" t="e">
        <f>IF(ISERROR(IF(OR(C6="#",C6=0),"",VLOOKUP(C6,'AOP25'!M:M,1,0))),"Not Found",VLOOKUP(C6,'AOP25'!M:M,1,0))</f>
        <v>#N/A</v>
      </c>
      <c r="G6" t="e">
        <f t="shared" si="0"/>
        <v>#N/A</v>
      </c>
      <c r="K6" s="64"/>
    </row>
    <row r="7" spans="1:11" hidden="1" x14ac:dyDescent="0.25">
      <c r="A7">
        <f>BIdetails!G10</f>
        <v>0</v>
      </c>
      <c r="B7">
        <f>BIdetails!H10</f>
        <v>0</v>
      </c>
      <c r="C7">
        <f>BIdetails!J10</f>
        <v>0</v>
      </c>
      <c r="D7">
        <f>BIdetails!K10</f>
        <v>0</v>
      </c>
      <c r="E7" s="165">
        <f>BIdetails!M10</f>
        <v>0</v>
      </c>
      <c r="F7" t="e">
        <f>IF(ISERROR(IF(OR(C7="#",C7=0),"",VLOOKUP(C7,'AOP25'!M:M,1,0))),"Not Found",VLOOKUP(C7,'AOP25'!M:M,1,0))</f>
        <v>#N/A</v>
      </c>
      <c r="G7" t="e">
        <f t="shared" si="0"/>
        <v>#N/A</v>
      </c>
      <c r="K7" s="64"/>
    </row>
    <row r="8" spans="1:11" hidden="1" x14ac:dyDescent="0.25">
      <c r="A8">
        <f>BIdetails!G11</f>
        <v>0</v>
      </c>
      <c r="B8">
        <f>BIdetails!H11</f>
        <v>0</v>
      </c>
      <c r="C8">
        <f>BIdetails!J11</f>
        <v>0</v>
      </c>
      <c r="D8">
        <f>BIdetails!K11</f>
        <v>0</v>
      </c>
      <c r="E8" s="165">
        <f>BIdetails!M11</f>
        <v>0</v>
      </c>
      <c r="F8" t="e">
        <f>IF(ISERROR(IF(OR(C8="#",C8=0),"",VLOOKUP(C8,'AOP25'!M:M,1,0))),"Not Found",VLOOKUP(C8,'AOP25'!M:M,1,0))</f>
        <v>#N/A</v>
      </c>
      <c r="G8" t="e">
        <f t="shared" si="0"/>
        <v>#N/A</v>
      </c>
      <c r="K8" s="64"/>
    </row>
    <row r="9" spans="1:11" hidden="1" x14ac:dyDescent="0.25">
      <c r="A9">
        <f>BIdetails!G12</f>
        <v>0</v>
      </c>
      <c r="B9">
        <f>BIdetails!H12</f>
        <v>0</v>
      </c>
      <c r="C9">
        <f>BIdetails!J12</f>
        <v>0</v>
      </c>
      <c r="D9">
        <f>BIdetails!K12</f>
        <v>0</v>
      </c>
      <c r="E9" s="165">
        <f>BIdetails!M12</f>
        <v>0</v>
      </c>
      <c r="F9" t="e">
        <f>IF(ISERROR(IF(OR(C9="#",C9=0),"",VLOOKUP(C9,'AOP25'!M:M,1,0))),"Not Found",VLOOKUP(C9,'AOP25'!M:M,1,0))</f>
        <v>#N/A</v>
      </c>
      <c r="G9" t="e">
        <f t="shared" si="0"/>
        <v>#N/A</v>
      </c>
      <c r="K9" s="64"/>
    </row>
    <row r="10" spans="1:11" hidden="1" x14ac:dyDescent="0.25">
      <c r="A10">
        <f>BIdetails!G13</f>
        <v>0</v>
      </c>
      <c r="B10">
        <f>BIdetails!H13</f>
        <v>0</v>
      </c>
      <c r="C10">
        <f>BIdetails!J13</f>
        <v>0</v>
      </c>
      <c r="D10">
        <f>BIdetails!K13</f>
        <v>0</v>
      </c>
      <c r="E10" s="165">
        <f>BIdetails!M13</f>
        <v>0</v>
      </c>
      <c r="F10" t="e">
        <f>IF(ISERROR(IF(OR(C10="#",C10=0),"",VLOOKUP(C10,'AOP25'!M:M,1,0))),"Not Found",VLOOKUP(C10,'AOP25'!M:M,1,0))</f>
        <v>#N/A</v>
      </c>
      <c r="G10" t="e">
        <f t="shared" si="0"/>
        <v>#N/A</v>
      </c>
      <c r="K10" s="64"/>
    </row>
    <row r="11" spans="1:11" hidden="1" x14ac:dyDescent="0.25">
      <c r="A11">
        <f>BIdetails!G14</f>
        <v>0</v>
      </c>
      <c r="B11">
        <f>BIdetails!H14</f>
        <v>0</v>
      </c>
      <c r="C11">
        <f>BIdetails!J14</f>
        <v>0</v>
      </c>
      <c r="D11">
        <f>BIdetails!K14</f>
        <v>0</v>
      </c>
      <c r="E11" s="165">
        <f>BIdetails!M14</f>
        <v>0</v>
      </c>
      <c r="F11" t="e">
        <f>IF(ISERROR(IF(OR(C11="#",C11=0),"",VLOOKUP(C11,'AOP25'!M:M,1,0))),"Not Found",VLOOKUP(C11,'AOP25'!M:M,1,0))</f>
        <v>#N/A</v>
      </c>
      <c r="G11" t="e">
        <f t="shared" si="0"/>
        <v>#N/A</v>
      </c>
      <c r="K11" s="64"/>
    </row>
    <row r="12" spans="1:11" hidden="1" x14ac:dyDescent="0.25">
      <c r="A12">
        <f>BIdetails!G15</f>
        <v>0</v>
      </c>
      <c r="B12">
        <f>BIdetails!H15</f>
        <v>0</v>
      </c>
      <c r="C12">
        <f>BIdetails!J15</f>
        <v>0</v>
      </c>
      <c r="D12">
        <f>BIdetails!K15</f>
        <v>0</v>
      </c>
      <c r="E12" s="165">
        <f>BIdetails!M15</f>
        <v>0</v>
      </c>
      <c r="F12" t="e">
        <f>IF(ISERROR(IF(OR(C12="#",C12=0),"",VLOOKUP(C12,'AOP25'!M:M,1,0))),"Not Found",VLOOKUP(C12,'AOP25'!M:M,1,0))</f>
        <v>#N/A</v>
      </c>
      <c r="G12" t="e">
        <f t="shared" si="0"/>
        <v>#N/A</v>
      </c>
      <c r="K12" s="64"/>
    </row>
    <row r="13" spans="1:11" x14ac:dyDescent="0.25">
      <c r="A13">
        <f>BIdetails!G16</f>
        <v>0</v>
      </c>
      <c r="B13">
        <f>BIdetails!H16</f>
        <v>0</v>
      </c>
      <c r="C13">
        <f>BIdetails!J16</f>
        <v>0</v>
      </c>
      <c r="D13">
        <f>BIdetails!K16</f>
        <v>0</v>
      </c>
      <c r="E13" s="165">
        <f>BIdetails!M16</f>
        <v>0</v>
      </c>
      <c r="F13" t="e">
        <f>IF(ISERROR(IF(OR(C13="#",C13=0),"",VLOOKUP(C13,'AOP25'!M:M,1,0))),"Not Found",VLOOKUP(C13,'AOP25'!M:M,1,0))</f>
        <v>#N/A</v>
      </c>
      <c r="G13" t="e">
        <f t="shared" si="0"/>
        <v>#N/A</v>
      </c>
      <c r="K13" s="64"/>
    </row>
    <row r="14" spans="1:11" x14ac:dyDescent="0.25">
      <c r="A14">
        <f>BIdetails!G17</f>
        <v>0</v>
      </c>
      <c r="B14">
        <f>BIdetails!H17</f>
        <v>0</v>
      </c>
      <c r="C14">
        <f>BIdetails!J17</f>
        <v>0</v>
      </c>
      <c r="D14">
        <f>BIdetails!K17</f>
        <v>0</v>
      </c>
      <c r="E14" s="165">
        <f>BIdetails!M17</f>
        <v>0</v>
      </c>
      <c r="F14" t="e">
        <f>IF(ISERROR(IF(OR(C14="#",C14=0),"",VLOOKUP(C14,'AOP25'!M:M,1,0))),"Not Found",VLOOKUP(C14,'AOP25'!M:M,1,0))</f>
        <v>#N/A</v>
      </c>
      <c r="G14" t="e">
        <f t="shared" si="0"/>
        <v>#N/A</v>
      </c>
      <c r="K14" s="64"/>
    </row>
    <row r="15" spans="1:11" hidden="1" x14ac:dyDescent="0.25">
      <c r="A15">
        <f>BIdetails!G18</f>
        <v>0</v>
      </c>
      <c r="B15">
        <f>BIdetails!H18</f>
        <v>0</v>
      </c>
      <c r="C15">
        <f>BIdetails!J18</f>
        <v>0</v>
      </c>
      <c r="D15">
        <f>BIdetails!K18</f>
        <v>0</v>
      </c>
      <c r="E15" s="165">
        <f>BIdetails!M18</f>
        <v>0</v>
      </c>
      <c r="F15" t="e">
        <f>IF(ISERROR(IF(OR(C15="#",C15=0),"",VLOOKUP(C15,'AOP25'!M:M,1,0))),"Not Found",VLOOKUP(C15,'AOP25'!M:M,1,0))</f>
        <v>#N/A</v>
      </c>
      <c r="G15" t="e">
        <f t="shared" si="0"/>
        <v>#N/A</v>
      </c>
      <c r="K15" s="64"/>
    </row>
    <row r="16" spans="1:11" hidden="1" x14ac:dyDescent="0.25">
      <c r="A16">
        <f>BIdetails!G19</f>
        <v>0</v>
      </c>
      <c r="B16">
        <f>BIdetails!H19</f>
        <v>0</v>
      </c>
      <c r="C16">
        <f>BIdetails!J19</f>
        <v>0</v>
      </c>
      <c r="D16">
        <f>BIdetails!K19</f>
        <v>0</v>
      </c>
      <c r="E16" s="165">
        <f>BIdetails!M19</f>
        <v>0</v>
      </c>
      <c r="F16" t="e">
        <f>IF(ISERROR(IF(OR(C16="#",C16=0),"",VLOOKUP(C16,'AOP25'!M:M,1,0))),"Not Found",VLOOKUP(C16,'AOP25'!M:M,1,0))</f>
        <v>#N/A</v>
      </c>
      <c r="G16" t="e">
        <f t="shared" si="0"/>
        <v>#N/A</v>
      </c>
      <c r="K16" s="64"/>
    </row>
    <row r="17" spans="1:11" hidden="1" x14ac:dyDescent="0.25">
      <c r="A17">
        <f>BIdetails!G20</f>
        <v>0</v>
      </c>
      <c r="B17">
        <f>BIdetails!H20</f>
        <v>0</v>
      </c>
      <c r="C17">
        <f>BIdetails!J20</f>
        <v>0</v>
      </c>
      <c r="D17">
        <f>BIdetails!K20</f>
        <v>0</v>
      </c>
      <c r="E17" s="165">
        <f>BIdetails!M20</f>
        <v>0</v>
      </c>
      <c r="F17" t="e">
        <f>IF(ISERROR(IF(OR(C17="#",C17=0),"",VLOOKUP(C17,'AOP25'!M:M,1,0))),"Not Found",VLOOKUP(C17,'AOP25'!M:M,1,0))</f>
        <v>#N/A</v>
      </c>
      <c r="G17" t="e">
        <f t="shared" si="0"/>
        <v>#N/A</v>
      </c>
      <c r="K17" s="64"/>
    </row>
    <row r="18" spans="1:11" x14ac:dyDescent="0.25">
      <c r="A18">
        <f>BIdetails!G21</f>
        <v>0</v>
      </c>
      <c r="B18">
        <f>BIdetails!H21</f>
        <v>0</v>
      </c>
      <c r="C18">
        <f>BIdetails!J21</f>
        <v>0</v>
      </c>
      <c r="D18">
        <f>BIdetails!K21</f>
        <v>0</v>
      </c>
      <c r="E18" s="165">
        <f>BIdetails!M21</f>
        <v>0</v>
      </c>
      <c r="F18" t="e">
        <f>IF(ISERROR(IF(OR(C18="#",C18=0),"",VLOOKUP(C18,'AOP25'!M:M,1,0))),"Not Found",VLOOKUP(C18,'AOP25'!M:M,1,0))</f>
        <v>#N/A</v>
      </c>
      <c r="G18" t="e">
        <f t="shared" si="0"/>
        <v>#N/A</v>
      </c>
      <c r="K18" s="64"/>
    </row>
    <row r="19" spans="1:11" hidden="1" x14ac:dyDescent="0.25">
      <c r="A19">
        <f>BIdetails!G22</f>
        <v>0</v>
      </c>
      <c r="B19">
        <f>BIdetails!H22</f>
        <v>0</v>
      </c>
      <c r="C19">
        <f>BIdetails!J22</f>
        <v>0</v>
      </c>
      <c r="D19">
        <f>BIdetails!K22</f>
        <v>0</v>
      </c>
      <c r="E19" s="165">
        <f>BIdetails!M22</f>
        <v>0</v>
      </c>
      <c r="F19" t="e">
        <f>IF(ISERROR(IF(OR(C19="#",C19=0),"",VLOOKUP(C19,'AOP25'!M:M,1,0))),"Not Found",VLOOKUP(C19,'AOP25'!M:M,1,0))</f>
        <v>#N/A</v>
      </c>
      <c r="G19" t="e">
        <f t="shared" si="0"/>
        <v>#N/A</v>
      </c>
      <c r="K19" s="64"/>
    </row>
    <row r="20" spans="1:11" hidden="1" x14ac:dyDescent="0.25">
      <c r="A20">
        <f>BIdetails!G23</f>
        <v>0</v>
      </c>
      <c r="B20">
        <f>BIdetails!H23</f>
        <v>0</v>
      </c>
      <c r="C20">
        <f>BIdetails!J23</f>
        <v>0</v>
      </c>
      <c r="D20">
        <f>BIdetails!K23</f>
        <v>0</v>
      </c>
      <c r="E20" s="165">
        <f>BIdetails!M23</f>
        <v>0</v>
      </c>
      <c r="F20" t="e">
        <f>IF(ISERROR(IF(OR(C20="#",C20=0),"",VLOOKUP(C20,'AOP25'!M:M,1,0))),"Not Found",VLOOKUP(C20,'AOP25'!M:M,1,0))</f>
        <v>#N/A</v>
      </c>
      <c r="G20" t="e">
        <f t="shared" si="0"/>
        <v>#N/A</v>
      </c>
      <c r="K20" s="64"/>
    </row>
    <row r="21" spans="1:11" hidden="1" x14ac:dyDescent="0.25">
      <c r="A21">
        <f>BIdetails!G24</f>
        <v>0</v>
      </c>
      <c r="B21">
        <f>BIdetails!H24</f>
        <v>0</v>
      </c>
      <c r="C21">
        <f>BIdetails!J24</f>
        <v>0</v>
      </c>
      <c r="D21">
        <f>BIdetails!K24</f>
        <v>0</v>
      </c>
      <c r="E21" s="165">
        <f>BIdetails!M24</f>
        <v>0</v>
      </c>
      <c r="F21" t="e">
        <f>IF(ISERROR(IF(OR(C21="#",C21=0),"",VLOOKUP(C21,'AOP25'!M:M,1,0))),"Not Found",VLOOKUP(C21,'AOP25'!M:M,1,0))</f>
        <v>#N/A</v>
      </c>
      <c r="G21" t="e">
        <f t="shared" si="0"/>
        <v>#N/A</v>
      </c>
      <c r="K21" s="64"/>
    </row>
    <row r="22" spans="1:11" hidden="1" x14ac:dyDescent="0.25">
      <c r="A22">
        <f>BIdetails!G25</f>
        <v>0</v>
      </c>
      <c r="B22">
        <f>BIdetails!H25</f>
        <v>0</v>
      </c>
      <c r="C22">
        <f>BIdetails!J25</f>
        <v>0</v>
      </c>
      <c r="D22">
        <f>BIdetails!K25</f>
        <v>0</v>
      </c>
      <c r="E22" s="165">
        <f>BIdetails!M25</f>
        <v>0</v>
      </c>
      <c r="F22" t="e">
        <f>IF(ISERROR(IF(OR(C22="#",C22=0),"",VLOOKUP(C22,'AOP25'!M:M,1,0))),"Not Found",VLOOKUP(C22,'AOP25'!M:M,1,0))</f>
        <v>#N/A</v>
      </c>
      <c r="G22" t="e">
        <f t="shared" si="0"/>
        <v>#N/A</v>
      </c>
      <c r="K22" s="64"/>
    </row>
    <row r="23" spans="1:11" hidden="1" x14ac:dyDescent="0.25">
      <c r="A23">
        <f>BIdetails!G26</f>
        <v>0</v>
      </c>
      <c r="B23">
        <f>BIdetails!H26</f>
        <v>0</v>
      </c>
      <c r="C23">
        <f>BIdetails!J26</f>
        <v>0</v>
      </c>
      <c r="D23">
        <f>BIdetails!K26</f>
        <v>0</v>
      </c>
      <c r="E23" s="165">
        <f>BIdetails!M26</f>
        <v>0</v>
      </c>
      <c r="F23" t="e">
        <f>IF(ISERROR(IF(OR(C23="#",C23=0),"",VLOOKUP(C23,'AOP25'!M:M,1,0))),"Not Found",VLOOKUP(C23,'AOP25'!M:M,1,0))</f>
        <v>#N/A</v>
      </c>
      <c r="G23" t="e">
        <f t="shared" si="0"/>
        <v>#N/A</v>
      </c>
      <c r="K23" s="64"/>
    </row>
    <row r="24" spans="1:11" hidden="1" x14ac:dyDescent="0.25">
      <c r="A24">
        <f>BIdetails!G27</f>
        <v>0</v>
      </c>
      <c r="B24">
        <f>BIdetails!H27</f>
        <v>0</v>
      </c>
      <c r="C24">
        <f>BIdetails!J27</f>
        <v>0</v>
      </c>
      <c r="D24">
        <f>BIdetails!K27</f>
        <v>0</v>
      </c>
      <c r="E24" s="165">
        <f>BIdetails!M27</f>
        <v>0</v>
      </c>
      <c r="F24" t="e">
        <f>IF(ISERROR(IF(OR(C24="#",C24=0),"",VLOOKUP(C24,'AOP25'!M:M,1,0))),"Not Found",VLOOKUP(C24,'AOP25'!M:M,1,0))</f>
        <v>#N/A</v>
      </c>
      <c r="G24" t="e">
        <f t="shared" si="0"/>
        <v>#N/A</v>
      </c>
      <c r="K24" s="64"/>
    </row>
    <row r="25" spans="1:11" hidden="1" x14ac:dyDescent="0.25">
      <c r="A25">
        <f>BIdetails!G28</f>
        <v>0</v>
      </c>
      <c r="B25">
        <f>BIdetails!H28</f>
        <v>0</v>
      </c>
      <c r="C25">
        <f>BIdetails!J28</f>
        <v>0</v>
      </c>
      <c r="D25">
        <f>BIdetails!K28</f>
        <v>0</v>
      </c>
      <c r="E25" s="165">
        <f>BIdetails!M28</f>
        <v>0</v>
      </c>
      <c r="F25" t="e">
        <f>IF(ISERROR(IF(OR(C25="#",C25=0),"",VLOOKUP(C25,'AOP25'!M:M,1,0))),"Not Found",VLOOKUP(C25,'AOP25'!M:M,1,0))</f>
        <v>#N/A</v>
      </c>
      <c r="G25" t="e">
        <f t="shared" si="0"/>
        <v>#N/A</v>
      </c>
      <c r="K25" s="64"/>
    </row>
    <row r="26" spans="1:11" hidden="1" x14ac:dyDescent="0.25">
      <c r="A26">
        <f>BIdetails!G29</f>
        <v>0</v>
      </c>
      <c r="B26">
        <f>BIdetails!H29</f>
        <v>0</v>
      </c>
      <c r="C26">
        <f>BIdetails!J29</f>
        <v>0</v>
      </c>
      <c r="D26">
        <f>BIdetails!K29</f>
        <v>0</v>
      </c>
      <c r="E26" s="165">
        <f>BIdetails!M29</f>
        <v>0</v>
      </c>
      <c r="F26" t="e">
        <f>IF(ISERROR(IF(OR(C26="#",C26=0),"",VLOOKUP(C26,'AOP25'!M:M,1,0))),"Not Found",VLOOKUP(C26,'AOP25'!M:M,1,0))</f>
        <v>#N/A</v>
      </c>
      <c r="G26" t="e">
        <f t="shared" si="0"/>
        <v>#N/A</v>
      </c>
      <c r="K26" s="64"/>
    </row>
    <row r="27" spans="1:11" hidden="1" x14ac:dyDescent="0.25">
      <c r="A27">
        <f>BIdetails!G30</f>
        <v>0</v>
      </c>
      <c r="B27">
        <f>BIdetails!H30</f>
        <v>0</v>
      </c>
      <c r="C27">
        <f>BIdetails!J30</f>
        <v>0</v>
      </c>
      <c r="D27">
        <f>BIdetails!K30</f>
        <v>0</v>
      </c>
      <c r="E27" s="165">
        <f>BIdetails!M30</f>
        <v>0</v>
      </c>
      <c r="F27" t="e">
        <f>IF(ISERROR(IF(OR(C27="#",C27=0),"",VLOOKUP(C27,'AOP25'!M:M,1,0))),"Not Found",VLOOKUP(C27,'AOP25'!M:M,1,0))</f>
        <v>#N/A</v>
      </c>
      <c r="G27" t="e">
        <f t="shared" si="0"/>
        <v>#N/A</v>
      </c>
      <c r="K27" s="64"/>
    </row>
    <row r="28" spans="1:11" hidden="1" x14ac:dyDescent="0.25">
      <c r="A28">
        <f>BIdetails!G31</f>
        <v>0</v>
      </c>
      <c r="B28">
        <f>BIdetails!H31</f>
        <v>0</v>
      </c>
      <c r="C28">
        <f>BIdetails!J31</f>
        <v>0</v>
      </c>
      <c r="D28">
        <f>BIdetails!K31</f>
        <v>0</v>
      </c>
      <c r="E28" s="165">
        <f>BIdetails!M31</f>
        <v>0</v>
      </c>
      <c r="F28" t="e">
        <f>IF(ISERROR(IF(OR(C28="#",C28=0),"",VLOOKUP(C28,'AOP25'!M:M,1,0))),"Not Found",VLOOKUP(C28,'AOP25'!M:M,1,0))</f>
        <v>#N/A</v>
      </c>
      <c r="G28" t="e">
        <f t="shared" si="0"/>
        <v>#N/A</v>
      </c>
      <c r="K28" s="64"/>
    </row>
    <row r="29" spans="1:11" hidden="1" x14ac:dyDescent="0.25">
      <c r="A29">
        <f>BIdetails!G32</f>
        <v>0</v>
      </c>
      <c r="B29">
        <f>BIdetails!H32</f>
        <v>0</v>
      </c>
      <c r="C29">
        <f>BIdetails!J32</f>
        <v>0</v>
      </c>
      <c r="D29">
        <f>BIdetails!K32</f>
        <v>0</v>
      </c>
      <c r="E29" s="165">
        <f>BIdetails!M32</f>
        <v>0</v>
      </c>
      <c r="F29" t="e">
        <f>IF(ISERROR(IF(OR(C29="#",C29=0),"",VLOOKUP(C29,'AOP25'!M:M,1,0))),"Not Found",VLOOKUP(C29,'AOP25'!M:M,1,0))</f>
        <v>#N/A</v>
      </c>
      <c r="G29" t="e">
        <f t="shared" si="0"/>
        <v>#N/A</v>
      </c>
      <c r="K29" s="64"/>
    </row>
    <row r="30" spans="1:11" hidden="1" x14ac:dyDescent="0.25">
      <c r="A30">
        <f>BIdetails!G33</f>
        <v>0</v>
      </c>
      <c r="B30">
        <f>BIdetails!H33</f>
        <v>0</v>
      </c>
      <c r="C30">
        <f>BIdetails!J33</f>
        <v>0</v>
      </c>
      <c r="D30">
        <f>BIdetails!K33</f>
        <v>0</v>
      </c>
      <c r="E30" s="165">
        <f>BIdetails!M33</f>
        <v>0</v>
      </c>
      <c r="F30" t="e">
        <f>IF(ISERROR(IF(OR(C30="#",C30=0),"",VLOOKUP(C30,'AOP25'!M:M,1,0))),"Not Found",VLOOKUP(C30,'AOP25'!M:M,1,0))</f>
        <v>#N/A</v>
      </c>
      <c r="G30" t="e">
        <f t="shared" si="0"/>
        <v>#N/A</v>
      </c>
      <c r="K30" s="64"/>
    </row>
    <row r="31" spans="1:11" x14ac:dyDescent="0.25">
      <c r="A31">
        <f>BIdetails!G34</f>
        <v>0</v>
      </c>
      <c r="B31">
        <f>BIdetails!H34</f>
        <v>0</v>
      </c>
      <c r="C31">
        <f>BIdetails!J34</f>
        <v>0</v>
      </c>
      <c r="D31">
        <f>BIdetails!K34</f>
        <v>0</v>
      </c>
      <c r="E31" s="165">
        <f>BIdetails!M34</f>
        <v>0</v>
      </c>
      <c r="F31" t="e">
        <f>IF(ISERROR(IF(OR(C31="#",C31=0),"",VLOOKUP(C31,'AOP25'!M:M,1,0))),"Not Found",VLOOKUP(C31,'AOP25'!M:M,1,0))</f>
        <v>#N/A</v>
      </c>
      <c r="G31" t="e">
        <f t="shared" si="0"/>
        <v>#N/A</v>
      </c>
      <c r="K31" s="64"/>
    </row>
    <row r="32" spans="1:11" hidden="1" x14ac:dyDescent="0.25">
      <c r="A32">
        <f>BIdetails!G35</f>
        <v>0</v>
      </c>
      <c r="B32">
        <f>BIdetails!H35</f>
        <v>0</v>
      </c>
      <c r="C32">
        <f>BIdetails!J35</f>
        <v>0</v>
      </c>
      <c r="D32">
        <f>BIdetails!K35</f>
        <v>0</v>
      </c>
      <c r="E32" s="165">
        <f>BIdetails!M35</f>
        <v>0</v>
      </c>
      <c r="F32" t="e">
        <f>IF(ISERROR(IF(OR(C32="#",C32=0),"",VLOOKUP(C32,'AOP25'!M:M,1,0))),"Not Found",VLOOKUP(C32,'AOP25'!M:M,1,0))</f>
        <v>#N/A</v>
      </c>
      <c r="G32" t="e">
        <f t="shared" si="0"/>
        <v>#N/A</v>
      </c>
      <c r="K32" s="64"/>
    </row>
    <row r="33" spans="1:11" hidden="1" x14ac:dyDescent="0.25">
      <c r="A33">
        <f>BIdetails!G36</f>
        <v>0</v>
      </c>
      <c r="B33">
        <f>BIdetails!H36</f>
        <v>0</v>
      </c>
      <c r="C33">
        <f>BIdetails!J36</f>
        <v>0</v>
      </c>
      <c r="D33">
        <f>BIdetails!K36</f>
        <v>0</v>
      </c>
      <c r="E33" s="165">
        <f>BIdetails!M36</f>
        <v>0</v>
      </c>
      <c r="F33" t="e">
        <f>IF(ISERROR(IF(OR(C33="#",C33=0),"",VLOOKUP(C33,'AOP25'!M:M,1,0))),"Not Found",VLOOKUP(C33,'AOP25'!M:M,1,0))</f>
        <v>#N/A</v>
      </c>
      <c r="G33" t="e">
        <f t="shared" si="0"/>
        <v>#N/A</v>
      </c>
      <c r="K33" s="64"/>
    </row>
    <row r="34" spans="1:11" hidden="1" x14ac:dyDescent="0.25">
      <c r="A34">
        <f>BIdetails!G37</f>
        <v>0</v>
      </c>
      <c r="B34">
        <f>BIdetails!H37</f>
        <v>0</v>
      </c>
      <c r="C34">
        <f>BIdetails!J37</f>
        <v>0</v>
      </c>
      <c r="D34">
        <f>BIdetails!K37</f>
        <v>0</v>
      </c>
      <c r="E34" s="165">
        <f>BIdetails!M37</f>
        <v>0</v>
      </c>
      <c r="F34" t="e">
        <f>IF(ISERROR(IF(OR(C34="#",C34=0),"",VLOOKUP(C34,'AOP25'!M:M,1,0))),"Not Found",VLOOKUP(C34,'AOP25'!M:M,1,0))</f>
        <v>#N/A</v>
      </c>
      <c r="G34" t="e">
        <f t="shared" si="0"/>
        <v>#N/A</v>
      </c>
      <c r="K34" s="64"/>
    </row>
    <row r="35" spans="1:11" hidden="1" x14ac:dyDescent="0.25">
      <c r="A35">
        <f>BIdetails!G38</f>
        <v>0</v>
      </c>
      <c r="B35">
        <f>BIdetails!H38</f>
        <v>0</v>
      </c>
      <c r="C35">
        <f>BIdetails!J38</f>
        <v>0</v>
      </c>
      <c r="D35">
        <f>BIdetails!K38</f>
        <v>0</v>
      </c>
      <c r="E35" s="165">
        <f>BIdetails!M38</f>
        <v>0</v>
      </c>
      <c r="F35" t="e">
        <f>IF(ISERROR(IF(OR(C35="#",C35=0),"",VLOOKUP(C35,'AOP25'!M:M,1,0))),"Not Found",VLOOKUP(C35,'AOP25'!M:M,1,0))</f>
        <v>#N/A</v>
      </c>
      <c r="G35" t="e">
        <f t="shared" si="0"/>
        <v>#N/A</v>
      </c>
      <c r="K35" s="64"/>
    </row>
    <row r="36" spans="1:11" x14ac:dyDescent="0.25">
      <c r="A36">
        <f>BIdetails!G39</f>
        <v>0</v>
      </c>
      <c r="B36">
        <f>BIdetails!H39</f>
        <v>0</v>
      </c>
      <c r="C36">
        <f>BIdetails!J39</f>
        <v>0</v>
      </c>
      <c r="D36">
        <f>BIdetails!K39</f>
        <v>0</v>
      </c>
      <c r="E36" s="165">
        <f>BIdetails!M39</f>
        <v>0</v>
      </c>
      <c r="F36" t="e">
        <f>IF(ISERROR(IF(OR(C36="#",C36=0),"",VLOOKUP(C36,'AOP25'!M:M,1,0))),"Not Found",VLOOKUP(C36,'AOP25'!M:M,1,0))</f>
        <v>#N/A</v>
      </c>
      <c r="G36" t="e">
        <f t="shared" si="0"/>
        <v>#N/A</v>
      </c>
      <c r="K36" s="64"/>
    </row>
    <row r="37" spans="1:11" hidden="1" x14ac:dyDescent="0.25">
      <c r="A37">
        <f>BIdetails!G40</f>
        <v>0</v>
      </c>
      <c r="B37">
        <f>BIdetails!H40</f>
        <v>0</v>
      </c>
      <c r="C37">
        <f>BIdetails!J40</f>
        <v>0</v>
      </c>
      <c r="D37">
        <f>BIdetails!K40</f>
        <v>0</v>
      </c>
      <c r="E37" s="165">
        <f>BIdetails!M40</f>
        <v>0</v>
      </c>
      <c r="F37" t="e">
        <f>IF(ISERROR(IF(OR(C37="#",C37=0),"",VLOOKUP(C37,'AOP25'!M:M,1,0))),"Not Found",VLOOKUP(C37,'AOP25'!M:M,1,0))</f>
        <v>#N/A</v>
      </c>
      <c r="G37" t="e">
        <f t="shared" si="0"/>
        <v>#N/A</v>
      </c>
      <c r="K37" s="64"/>
    </row>
    <row r="38" spans="1:11" hidden="1" x14ac:dyDescent="0.25">
      <c r="A38">
        <f>BIdetails!G41</f>
        <v>0</v>
      </c>
      <c r="B38">
        <f>BIdetails!H41</f>
        <v>0</v>
      </c>
      <c r="C38">
        <f>BIdetails!J41</f>
        <v>0</v>
      </c>
      <c r="D38">
        <f>BIdetails!K41</f>
        <v>0</v>
      </c>
      <c r="E38" s="165">
        <f>BIdetails!M41</f>
        <v>0</v>
      </c>
      <c r="F38" t="e">
        <f>IF(ISERROR(IF(OR(C38="#",C38=0),"",VLOOKUP(C38,'AOP25'!M:M,1,0))),"Not Found",VLOOKUP(C38,'AOP25'!M:M,1,0))</f>
        <v>#N/A</v>
      </c>
      <c r="G38" t="e">
        <f t="shared" si="0"/>
        <v>#N/A</v>
      </c>
      <c r="K38" s="64"/>
    </row>
    <row r="39" spans="1:11" hidden="1" x14ac:dyDescent="0.25">
      <c r="A39">
        <f>BIdetails!G42</f>
        <v>0</v>
      </c>
      <c r="B39">
        <f>BIdetails!H42</f>
        <v>0</v>
      </c>
      <c r="C39">
        <f>BIdetails!J42</f>
        <v>0</v>
      </c>
      <c r="D39">
        <f>BIdetails!K42</f>
        <v>0</v>
      </c>
      <c r="E39" s="165">
        <f>BIdetails!M42</f>
        <v>0</v>
      </c>
      <c r="F39" t="e">
        <f>IF(ISERROR(IF(OR(C39="#",C39=0),"",VLOOKUP(C39,'AOP25'!M:M,1,0))),"Not Found",VLOOKUP(C39,'AOP25'!M:M,1,0))</f>
        <v>#N/A</v>
      </c>
      <c r="G39" t="e">
        <f t="shared" si="0"/>
        <v>#N/A</v>
      </c>
      <c r="K39" s="64"/>
    </row>
    <row r="40" spans="1:11" hidden="1" x14ac:dyDescent="0.25">
      <c r="A40">
        <f>BIdetails!G43</f>
        <v>0</v>
      </c>
      <c r="B40">
        <f>BIdetails!H43</f>
        <v>0</v>
      </c>
      <c r="C40">
        <f>BIdetails!J43</f>
        <v>0</v>
      </c>
      <c r="D40">
        <f>BIdetails!K43</f>
        <v>0</v>
      </c>
      <c r="E40" s="165">
        <f>BIdetails!M43</f>
        <v>0</v>
      </c>
      <c r="F40" t="e">
        <f>IF(ISERROR(IF(OR(C40="#",C40=0),"",VLOOKUP(C40,'AOP25'!M:M,1,0))),"Not Found",VLOOKUP(C40,'AOP25'!M:M,1,0))</f>
        <v>#N/A</v>
      </c>
      <c r="G40" t="e">
        <f t="shared" si="0"/>
        <v>#N/A</v>
      </c>
      <c r="K40" s="64"/>
    </row>
    <row r="41" spans="1:11" hidden="1" x14ac:dyDescent="0.25">
      <c r="A41">
        <f>BIdetails!G44</f>
        <v>0</v>
      </c>
      <c r="B41">
        <f>BIdetails!H44</f>
        <v>0</v>
      </c>
      <c r="C41">
        <f>BIdetails!J44</f>
        <v>0</v>
      </c>
      <c r="D41">
        <f>BIdetails!K44</f>
        <v>0</v>
      </c>
      <c r="E41" s="165">
        <f>BIdetails!M44</f>
        <v>0</v>
      </c>
      <c r="F41" t="e">
        <f>IF(ISERROR(IF(OR(C41="#",C41=0),"",VLOOKUP(C41,'AOP25'!M:M,1,0))),"Not Found",VLOOKUP(C41,'AOP25'!M:M,1,0))</f>
        <v>#N/A</v>
      </c>
      <c r="G41" t="e">
        <f t="shared" si="0"/>
        <v>#N/A</v>
      </c>
      <c r="K41" s="64"/>
    </row>
    <row r="42" spans="1:11" hidden="1" x14ac:dyDescent="0.25">
      <c r="A42">
        <f>BIdetails!G45</f>
        <v>0</v>
      </c>
      <c r="B42">
        <f>BIdetails!H45</f>
        <v>0</v>
      </c>
      <c r="C42">
        <f>BIdetails!J45</f>
        <v>0</v>
      </c>
      <c r="D42">
        <f>BIdetails!K45</f>
        <v>0</v>
      </c>
      <c r="E42" s="165">
        <f>BIdetails!M45</f>
        <v>0</v>
      </c>
      <c r="F42" t="e">
        <f>IF(ISERROR(IF(OR(C42="#",C42=0),"",VLOOKUP(C42,'AOP25'!M:M,1,0))),"Not Found",VLOOKUP(C42,'AOP25'!M:M,1,0))</f>
        <v>#N/A</v>
      </c>
      <c r="G42" t="e">
        <f t="shared" si="0"/>
        <v>#N/A</v>
      </c>
      <c r="K42" s="64"/>
    </row>
    <row r="43" spans="1:11" x14ac:dyDescent="0.25">
      <c r="A43">
        <f>BIdetails!G46</f>
        <v>0</v>
      </c>
      <c r="B43">
        <f>BIdetails!H46</f>
        <v>0</v>
      </c>
      <c r="C43">
        <f>BIdetails!J46</f>
        <v>0</v>
      </c>
      <c r="D43">
        <f>BIdetails!K46</f>
        <v>0</v>
      </c>
      <c r="E43" s="165">
        <f>BIdetails!M46</f>
        <v>0</v>
      </c>
      <c r="F43" t="e">
        <f>IF(ISERROR(IF(OR(C43="#",C43=0),"",VLOOKUP(C43,'AOP25'!M:M,1,0))),"Not Found",VLOOKUP(C43,'AOP25'!M:M,1,0))</f>
        <v>#N/A</v>
      </c>
      <c r="G43" t="e">
        <f t="shared" si="0"/>
        <v>#N/A</v>
      </c>
      <c r="K43" s="64"/>
    </row>
    <row r="44" spans="1:11" x14ac:dyDescent="0.25">
      <c r="A44">
        <f>BIdetails!G47</f>
        <v>0</v>
      </c>
      <c r="B44">
        <f>BIdetails!H47</f>
        <v>0</v>
      </c>
      <c r="C44">
        <f>BIdetails!J47</f>
        <v>0</v>
      </c>
      <c r="D44">
        <f>BIdetails!K47</f>
        <v>0</v>
      </c>
      <c r="E44" s="165">
        <f>BIdetails!M47</f>
        <v>0</v>
      </c>
      <c r="F44" t="e">
        <f>IF(ISERROR(IF(OR(C44="#",C44=0),"",VLOOKUP(C44,'AOP25'!M:M,1,0))),"Not Found",VLOOKUP(C44,'AOP25'!M:M,1,0))</f>
        <v>#N/A</v>
      </c>
      <c r="G44" t="e">
        <f t="shared" si="0"/>
        <v>#N/A</v>
      </c>
      <c r="K44" s="64"/>
    </row>
    <row r="45" spans="1:11" hidden="1" x14ac:dyDescent="0.25">
      <c r="A45">
        <f>BIdetails!G48</f>
        <v>0</v>
      </c>
      <c r="B45">
        <f>BIdetails!H48</f>
        <v>0</v>
      </c>
      <c r="C45">
        <f>BIdetails!J48</f>
        <v>0</v>
      </c>
      <c r="D45">
        <f>BIdetails!K48</f>
        <v>0</v>
      </c>
      <c r="E45" s="165">
        <f>BIdetails!M48</f>
        <v>0</v>
      </c>
      <c r="F45" t="e">
        <f>IF(ISERROR(IF(OR(C45="#",C45=0),"",VLOOKUP(C45,'AOP25'!M:M,1,0))),"Not Found",VLOOKUP(C45,'AOP25'!M:M,1,0))</f>
        <v>#N/A</v>
      </c>
      <c r="G45" t="e">
        <f t="shared" si="0"/>
        <v>#N/A</v>
      </c>
      <c r="K45" s="64"/>
    </row>
    <row r="46" spans="1:11" hidden="1" x14ac:dyDescent="0.25">
      <c r="A46">
        <f>BIdetails!G49</f>
        <v>0</v>
      </c>
      <c r="B46">
        <f>BIdetails!H49</f>
        <v>0</v>
      </c>
      <c r="C46">
        <f>BIdetails!J49</f>
        <v>0</v>
      </c>
      <c r="D46">
        <f>BIdetails!K49</f>
        <v>0</v>
      </c>
      <c r="E46" s="165">
        <f>BIdetails!M49</f>
        <v>0</v>
      </c>
      <c r="F46" t="e">
        <f>IF(ISERROR(IF(OR(C46="#",C46=0),"",VLOOKUP(C46,'AOP25'!M:M,1,0))),"Not Found",VLOOKUP(C46,'AOP25'!M:M,1,0))</f>
        <v>#N/A</v>
      </c>
      <c r="G46" t="e">
        <f t="shared" si="0"/>
        <v>#N/A</v>
      </c>
      <c r="K46" s="64"/>
    </row>
    <row r="47" spans="1:11" hidden="1" x14ac:dyDescent="0.25">
      <c r="A47">
        <f>BIdetails!G50</f>
        <v>0</v>
      </c>
      <c r="B47">
        <f>BIdetails!H50</f>
        <v>0</v>
      </c>
      <c r="C47">
        <f>BIdetails!J50</f>
        <v>0</v>
      </c>
      <c r="D47">
        <f>BIdetails!K50</f>
        <v>0</v>
      </c>
      <c r="E47" s="165">
        <f>BIdetails!M50</f>
        <v>0</v>
      </c>
      <c r="F47" t="e">
        <f>IF(ISERROR(IF(OR(C47="#",C47=0),"",VLOOKUP(C47,'AOP25'!M:M,1,0))),"Not Found",VLOOKUP(C47,'AOP25'!M:M,1,0))</f>
        <v>#N/A</v>
      </c>
      <c r="G47" t="e">
        <f t="shared" si="0"/>
        <v>#N/A</v>
      </c>
      <c r="K47" s="64"/>
    </row>
    <row r="48" spans="1:11" hidden="1" x14ac:dyDescent="0.25">
      <c r="A48">
        <f>BIdetails!G51</f>
        <v>0</v>
      </c>
      <c r="B48">
        <f>BIdetails!H51</f>
        <v>0</v>
      </c>
      <c r="C48">
        <f>BIdetails!J51</f>
        <v>0</v>
      </c>
      <c r="D48">
        <f>BIdetails!K51</f>
        <v>0</v>
      </c>
      <c r="E48" s="165">
        <f>BIdetails!M51</f>
        <v>0</v>
      </c>
      <c r="F48" t="e">
        <f>IF(ISERROR(IF(OR(C48="#",C48=0),"",VLOOKUP(C48,'AOP25'!M:M,1,0))),"Not Found",VLOOKUP(C48,'AOP25'!M:M,1,0))</f>
        <v>#N/A</v>
      </c>
      <c r="G48" t="e">
        <f t="shared" si="0"/>
        <v>#N/A</v>
      </c>
      <c r="K48" s="64"/>
    </row>
    <row r="49" spans="1:11" hidden="1" x14ac:dyDescent="0.25">
      <c r="A49">
        <f>BIdetails!G52</f>
        <v>0</v>
      </c>
      <c r="B49">
        <f>BIdetails!H52</f>
        <v>0</v>
      </c>
      <c r="C49">
        <f>BIdetails!J52</f>
        <v>0</v>
      </c>
      <c r="D49">
        <f>BIdetails!K52</f>
        <v>0</v>
      </c>
      <c r="E49" s="165">
        <f>BIdetails!M52</f>
        <v>0</v>
      </c>
      <c r="F49" t="e">
        <f>IF(ISERROR(IF(OR(C49="#",C49=0),"",VLOOKUP(C49,'AOP25'!M:M,1,0))),"Not Found",VLOOKUP(C49,'AOP25'!M:M,1,0))</f>
        <v>#N/A</v>
      </c>
      <c r="G49" t="e">
        <f t="shared" si="0"/>
        <v>#N/A</v>
      </c>
      <c r="K49" s="64"/>
    </row>
    <row r="50" spans="1:11" ht="15.75" hidden="1" thickBot="1" x14ac:dyDescent="0.3">
      <c r="A50">
        <f>BIdetails!G53</f>
        <v>0</v>
      </c>
      <c r="B50">
        <f>BIdetails!H53</f>
        <v>0</v>
      </c>
      <c r="C50">
        <f>BIdetails!J53</f>
        <v>0</v>
      </c>
      <c r="D50">
        <f>BIdetails!K53</f>
        <v>0</v>
      </c>
      <c r="E50" s="165">
        <f>BIdetails!M53</f>
        <v>0</v>
      </c>
      <c r="F50" t="e">
        <f>IF(ISERROR(IF(OR(C50="#",C50=0),"",VLOOKUP(C50,'AOP25'!M:M,1,0))),"Not Found",VLOOKUP(C50,'AOP25'!M:M,1,0))</f>
        <v>#N/A</v>
      </c>
      <c r="G50" t="e">
        <f t="shared" si="0"/>
        <v>#N/A</v>
      </c>
      <c r="K50" s="53"/>
    </row>
    <row r="51" spans="1:11" hidden="1" x14ac:dyDescent="0.25">
      <c r="A51">
        <f>BIdetails!G54</f>
        <v>0</v>
      </c>
      <c r="B51">
        <f>BIdetails!H54</f>
        <v>0</v>
      </c>
      <c r="C51">
        <f>BIdetails!J54</f>
        <v>0</v>
      </c>
      <c r="D51">
        <f>BIdetails!K54</f>
        <v>0</v>
      </c>
      <c r="E51" s="165">
        <f>BIdetails!M54</f>
        <v>0</v>
      </c>
      <c r="F51" t="e">
        <f>IF(ISERROR(IF(OR(C51="#",C51=0),"",VLOOKUP(C51,'AOP25'!M:M,1,0))),"Not Found",VLOOKUP(C51,'AOP25'!M:M,1,0))</f>
        <v>#N/A</v>
      </c>
      <c r="G51" t="e">
        <f t="shared" si="0"/>
        <v>#N/A</v>
      </c>
    </row>
    <row r="52" spans="1:11" hidden="1" x14ac:dyDescent="0.25">
      <c r="A52">
        <f>BIdetails!G55</f>
        <v>0</v>
      </c>
      <c r="B52">
        <f>BIdetails!H55</f>
        <v>0</v>
      </c>
      <c r="C52">
        <f>BIdetails!J55</f>
        <v>0</v>
      </c>
      <c r="D52">
        <f>BIdetails!K55</f>
        <v>0</v>
      </c>
      <c r="E52" s="165">
        <f>BIdetails!M55</f>
        <v>0</v>
      </c>
      <c r="F52" t="e">
        <f>IF(ISERROR(IF(OR(C52="#",C52=0),"",VLOOKUP(C52,'AOP25'!M:M,1,0))),"Not Found",VLOOKUP(C52,'AOP25'!M:M,1,0))</f>
        <v>#N/A</v>
      </c>
      <c r="G52" t="e">
        <f t="shared" si="0"/>
        <v>#N/A</v>
      </c>
    </row>
    <row r="53" spans="1:11" hidden="1" x14ac:dyDescent="0.25">
      <c r="A53">
        <f>BIdetails!G56</f>
        <v>0</v>
      </c>
      <c r="B53">
        <f>BIdetails!H56</f>
        <v>0</v>
      </c>
      <c r="C53">
        <f>BIdetails!J56</f>
        <v>0</v>
      </c>
      <c r="D53">
        <f>BIdetails!K56</f>
        <v>0</v>
      </c>
      <c r="E53" s="165">
        <f>BIdetails!M56</f>
        <v>0</v>
      </c>
      <c r="F53" t="e">
        <f>IF(ISERROR(IF(OR(C53="#",C53=0),"",VLOOKUP(C53,'AOP25'!M:M,1,0))),"Not Found",VLOOKUP(C53,'AOP25'!M:M,1,0))</f>
        <v>#N/A</v>
      </c>
      <c r="G53" t="e">
        <f t="shared" si="0"/>
        <v>#N/A</v>
      </c>
    </row>
    <row r="54" spans="1:11" hidden="1" x14ac:dyDescent="0.25">
      <c r="A54">
        <f>BIdetails!G57</f>
        <v>0</v>
      </c>
      <c r="B54">
        <f>BIdetails!H57</f>
        <v>0</v>
      </c>
      <c r="C54">
        <f>BIdetails!J57</f>
        <v>0</v>
      </c>
      <c r="D54">
        <f>BIdetails!K57</f>
        <v>0</v>
      </c>
      <c r="E54" s="165">
        <f>BIdetails!M57</f>
        <v>0</v>
      </c>
      <c r="F54" t="e">
        <f>IF(ISERROR(IF(OR(C54="#",C54=0),"",VLOOKUP(C54,'AOP25'!M:M,1,0))),"Not Found",VLOOKUP(C54,'AOP25'!M:M,1,0))</f>
        <v>#N/A</v>
      </c>
      <c r="G54" t="e">
        <f t="shared" si="0"/>
        <v>#N/A</v>
      </c>
    </row>
    <row r="55" spans="1:11" x14ac:dyDescent="0.25">
      <c r="A55">
        <f>BIdetails!G58</f>
        <v>0</v>
      </c>
      <c r="B55">
        <f>BIdetails!H58</f>
        <v>0</v>
      </c>
      <c r="C55">
        <f>BIdetails!J58</f>
        <v>0</v>
      </c>
      <c r="D55">
        <f>BIdetails!K58</f>
        <v>0</v>
      </c>
      <c r="E55" s="165">
        <f>BIdetails!M58</f>
        <v>0</v>
      </c>
      <c r="F55" t="e">
        <f>IF(ISERROR(IF(OR(C55="#",C55=0),"",VLOOKUP(C55,'AOP25'!M:M,1,0))),"Not Found",VLOOKUP(C55,'AOP25'!M:M,1,0))</f>
        <v>#N/A</v>
      </c>
      <c r="G55" t="e">
        <f t="shared" si="0"/>
        <v>#N/A</v>
      </c>
    </row>
    <row r="56" spans="1:11" hidden="1" x14ac:dyDescent="0.25">
      <c r="A56">
        <f>BIdetails!G59</f>
        <v>0</v>
      </c>
      <c r="B56">
        <f>BIdetails!H59</f>
        <v>0</v>
      </c>
      <c r="C56">
        <f>BIdetails!J59</f>
        <v>0</v>
      </c>
      <c r="D56">
        <f>BIdetails!K59</f>
        <v>0</v>
      </c>
      <c r="E56" s="165">
        <f>BIdetails!M59</f>
        <v>0</v>
      </c>
      <c r="F56" t="e">
        <f>IF(ISERROR(IF(OR(C56="#",C56=0),"",VLOOKUP(C56,'AOP25'!M:M,1,0))),"Not Found",VLOOKUP(C56,'AOP25'!M:M,1,0))</f>
        <v>#N/A</v>
      </c>
      <c r="G56" t="e">
        <f t="shared" si="0"/>
        <v>#N/A</v>
      </c>
    </row>
    <row r="57" spans="1:11" hidden="1" x14ac:dyDescent="0.25">
      <c r="A57">
        <f>BIdetails!G60</f>
        <v>0</v>
      </c>
      <c r="B57">
        <f>BIdetails!H60</f>
        <v>0</v>
      </c>
      <c r="C57">
        <f>BIdetails!J60</f>
        <v>0</v>
      </c>
      <c r="D57">
        <f>BIdetails!K60</f>
        <v>0</v>
      </c>
      <c r="E57" s="165">
        <f>BIdetails!M60</f>
        <v>0</v>
      </c>
      <c r="F57" t="e">
        <f>IF(ISERROR(IF(OR(C57="#",C57=0),"",VLOOKUP(C57,'AOP25'!M:M,1,0))),"Not Found",VLOOKUP(C57,'AOP25'!M:M,1,0))</f>
        <v>#N/A</v>
      </c>
      <c r="G57" t="e">
        <f t="shared" si="0"/>
        <v>#N/A</v>
      </c>
    </row>
    <row r="58" spans="1:11" hidden="1" x14ac:dyDescent="0.25">
      <c r="A58">
        <f>BIdetails!G61</f>
        <v>0</v>
      </c>
      <c r="B58">
        <f>BIdetails!H61</f>
        <v>0</v>
      </c>
      <c r="C58">
        <f>BIdetails!J61</f>
        <v>0</v>
      </c>
      <c r="D58">
        <f>BIdetails!K61</f>
        <v>0</v>
      </c>
      <c r="E58" s="165">
        <f>BIdetails!M61</f>
        <v>0</v>
      </c>
      <c r="F58" t="e">
        <f>IF(ISERROR(IF(OR(C58="#",C58=0),"",VLOOKUP(C58,'AOP25'!M:M,1,0))),"Not Found",VLOOKUP(C58,'AOP25'!M:M,1,0))</f>
        <v>#N/A</v>
      </c>
      <c r="G58" t="e">
        <f t="shared" si="0"/>
        <v>#N/A</v>
      </c>
    </row>
    <row r="59" spans="1:11" hidden="1" x14ac:dyDescent="0.25">
      <c r="A59">
        <f>BIdetails!G62</f>
        <v>0</v>
      </c>
      <c r="B59">
        <f>BIdetails!H62</f>
        <v>0</v>
      </c>
      <c r="C59">
        <f>BIdetails!J62</f>
        <v>0</v>
      </c>
      <c r="D59">
        <f>BIdetails!K62</f>
        <v>0</v>
      </c>
      <c r="E59" s="165">
        <f>BIdetails!M62</f>
        <v>0</v>
      </c>
      <c r="F59" t="e">
        <f>IF(ISERROR(IF(OR(C59="#",C59=0),"",VLOOKUP(C59,'AOP25'!M:M,1,0))),"Not Found",VLOOKUP(C59,'AOP25'!M:M,1,0))</f>
        <v>#N/A</v>
      </c>
      <c r="G59" t="e">
        <f t="shared" si="0"/>
        <v>#N/A</v>
      </c>
    </row>
    <row r="60" spans="1:11" hidden="1" x14ac:dyDescent="0.25">
      <c r="A60">
        <f>BIdetails!G63</f>
        <v>0</v>
      </c>
      <c r="B60">
        <f>BIdetails!H63</f>
        <v>0</v>
      </c>
      <c r="C60">
        <f>BIdetails!J63</f>
        <v>0</v>
      </c>
      <c r="D60">
        <f>BIdetails!K63</f>
        <v>0</v>
      </c>
      <c r="E60" s="165">
        <f>BIdetails!M63</f>
        <v>0</v>
      </c>
      <c r="F60" t="e">
        <f>IF(ISERROR(IF(OR(C60="#",C60=0),"",VLOOKUP(C60,'AOP25'!M:M,1,0))),"Not Found",VLOOKUP(C60,'AOP25'!M:M,1,0))</f>
        <v>#N/A</v>
      </c>
      <c r="G60" t="e">
        <f t="shared" si="0"/>
        <v>#N/A</v>
      </c>
    </row>
    <row r="61" spans="1:11" hidden="1" x14ac:dyDescent="0.25">
      <c r="A61">
        <f>BIdetails!G64</f>
        <v>0</v>
      </c>
      <c r="B61">
        <f>BIdetails!H64</f>
        <v>0</v>
      </c>
      <c r="C61">
        <f>BIdetails!J64</f>
        <v>0</v>
      </c>
      <c r="D61">
        <f>BIdetails!K64</f>
        <v>0</v>
      </c>
      <c r="E61" s="165">
        <f>BIdetails!M64</f>
        <v>0</v>
      </c>
      <c r="F61" t="e">
        <f>IF(ISERROR(IF(OR(C61="#",C61=0),"",VLOOKUP(C61,'AOP25'!M:M,1,0))),"Not Found",VLOOKUP(C61,'AOP25'!M:M,1,0))</f>
        <v>#N/A</v>
      </c>
      <c r="G61" t="e">
        <f t="shared" si="0"/>
        <v>#N/A</v>
      </c>
    </row>
    <row r="62" spans="1:11" hidden="1" x14ac:dyDescent="0.25">
      <c r="A62">
        <f>BIdetails!G65</f>
        <v>0</v>
      </c>
      <c r="B62">
        <f>BIdetails!H65</f>
        <v>0</v>
      </c>
      <c r="C62">
        <f>BIdetails!J65</f>
        <v>0</v>
      </c>
      <c r="D62">
        <f>BIdetails!K65</f>
        <v>0</v>
      </c>
      <c r="E62" s="165">
        <f>BIdetails!M65</f>
        <v>0</v>
      </c>
      <c r="F62" t="e">
        <f>IF(ISERROR(IF(OR(C62="#",C62=0),"",VLOOKUP(C62,'AOP25'!M:M,1,0))),"Not Found",VLOOKUP(C62,'AOP25'!M:M,1,0))</f>
        <v>#N/A</v>
      </c>
      <c r="G62" t="e">
        <f t="shared" si="0"/>
        <v>#N/A</v>
      </c>
    </row>
    <row r="63" spans="1:11" hidden="1" x14ac:dyDescent="0.25">
      <c r="A63">
        <f>BIdetails!G66</f>
        <v>0</v>
      </c>
      <c r="B63">
        <f>BIdetails!H66</f>
        <v>0</v>
      </c>
      <c r="C63">
        <f>BIdetails!J66</f>
        <v>0</v>
      </c>
      <c r="D63">
        <f>BIdetails!K66</f>
        <v>0</v>
      </c>
      <c r="E63" s="165">
        <f>BIdetails!M66</f>
        <v>0</v>
      </c>
      <c r="F63" t="e">
        <f>IF(ISERROR(IF(OR(C63="#",C63=0),"",VLOOKUP(C63,'AOP25'!M:M,1,0))),"Not Found",VLOOKUP(C63,'AOP25'!M:M,1,0))</f>
        <v>#N/A</v>
      </c>
      <c r="G63" t="e">
        <f t="shared" si="0"/>
        <v>#N/A</v>
      </c>
    </row>
    <row r="64" spans="1:11" hidden="1" x14ac:dyDescent="0.25">
      <c r="A64">
        <f>BIdetails!G67</f>
        <v>0</v>
      </c>
      <c r="B64">
        <f>BIdetails!H67</f>
        <v>0</v>
      </c>
      <c r="C64">
        <f>BIdetails!J67</f>
        <v>0</v>
      </c>
      <c r="D64">
        <f>BIdetails!K67</f>
        <v>0</v>
      </c>
      <c r="E64" s="165">
        <f>BIdetails!M67</f>
        <v>0</v>
      </c>
      <c r="F64" t="e">
        <f>IF(ISERROR(IF(OR(C64="#",C64=0),"",VLOOKUP(C64,'AOP25'!M:M,1,0))),"Not Found",VLOOKUP(C64,'AOP25'!M:M,1,0))</f>
        <v>#N/A</v>
      </c>
      <c r="G64" t="e">
        <f t="shared" si="0"/>
        <v>#N/A</v>
      </c>
    </row>
    <row r="65" spans="1:7" hidden="1" x14ac:dyDescent="0.25">
      <c r="A65">
        <f>BIdetails!G68</f>
        <v>0</v>
      </c>
      <c r="B65">
        <f>BIdetails!H68</f>
        <v>0</v>
      </c>
      <c r="C65">
        <f>BIdetails!J68</f>
        <v>0</v>
      </c>
      <c r="D65">
        <f>BIdetails!K68</f>
        <v>0</v>
      </c>
      <c r="E65" s="165">
        <f>BIdetails!M68</f>
        <v>0</v>
      </c>
      <c r="F65" t="e">
        <f>IF(ISERROR(IF(OR(C65="#",C65=0),"",VLOOKUP(C65,'AOP25'!M:M,1,0))),"Not Found",VLOOKUP(C65,'AOP25'!M:M,1,0))</f>
        <v>#N/A</v>
      </c>
      <c r="G65" t="e">
        <f t="shared" si="0"/>
        <v>#N/A</v>
      </c>
    </row>
    <row r="66" spans="1:7" hidden="1" x14ac:dyDescent="0.25">
      <c r="A66">
        <f>BIdetails!G69</f>
        <v>0</v>
      </c>
      <c r="B66">
        <f>BIdetails!H69</f>
        <v>0</v>
      </c>
      <c r="C66">
        <f>BIdetails!J69</f>
        <v>0</v>
      </c>
      <c r="D66">
        <f>BIdetails!K69</f>
        <v>0</v>
      </c>
      <c r="E66" s="165">
        <f>BIdetails!M69</f>
        <v>0</v>
      </c>
      <c r="F66" t="e">
        <f>IF(ISERROR(IF(OR(C66="#",C66=0),"",VLOOKUP(C66,'AOP25'!M:M,1,0))),"Not Found",VLOOKUP(C66,'AOP25'!M:M,1,0))</f>
        <v>#N/A</v>
      </c>
      <c r="G66" t="e">
        <f t="shared" si="0"/>
        <v>#N/A</v>
      </c>
    </row>
    <row r="67" spans="1:7" hidden="1" x14ac:dyDescent="0.25">
      <c r="A67">
        <f>BIdetails!G70</f>
        <v>0</v>
      </c>
      <c r="B67">
        <f>BIdetails!H70</f>
        <v>0</v>
      </c>
      <c r="C67">
        <f>BIdetails!J70</f>
        <v>0</v>
      </c>
      <c r="D67">
        <f>BIdetails!K70</f>
        <v>0</v>
      </c>
      <c r="E67" s="165">
        <f>BIdetails!M70</f>
        <v>0</v>
      </c>
      <c r="F67" t="e">
        <f>IF(ISERROR(IF(OR(C67="#",C67=0),"",VLOOKUP(C67,'AOP25'!M:M,1,0))),"Not Found",VLOOKUP(C67,'AOP25'!M:M,1,0))</f>
        <v>#N/A</v>
      </c>
      <c r="G67" t="e">
        <f t="shared" ref="G67:G130" si="1">IF(NOT(ISERROR(VLOOKUP(C67,$K$2:$K$50,1,0))),"Y",VLOOKUP(C67,$K$2:$K$50,1,0))</f>
        <v>#N/A</v>
      </c>
    </row>
    <row r="68" spans="1:7" hidden="1" x14ac:dyDescent="0.25">
      <c r="A68">
        <f>BIdetails!G71</f>
        <v>0</v>
      </c>
      <c r="B68">
        <f>BIdetails!H71</f>
        <v>0</v>
      </c>
      <c r="C68">
        <f>BIdetails!J71</f>
        <v>0</v>
      </c>
      <c r="D68">
        <f>BIdetails!K71</f>
        <v>0</v>
      </c>
      <c r="E68" s="165">
        <f>BIdetails!M71</f>
        <v>0</v>
      </c>
      <c r="F68" t="e">
        <f>IF(ISERROR(IF(OR(C68="#",C68=0),"",VLOOKUP(C68,'AOP25'!M:M,1,0))),"Not Found",VLOOKUP(C68,'AOP25'!M:M,1,0))</f>
        <v>#N/A</v>
      </c>
      <c r="G68" t="e">
        <f t="shared" si="1"/>
        <v>#N/A</v>
      </c>
    </row>
    <row r="69" spans="1:7" hidden="1" x14ac:dyDescent="0.25">
      <c r="A69">
        <f>BIdetails!G72</f>
        <v>0</v>
      </c>
      <c r="B69">
        <f>BIdetails!H72</f>
        <v>0</v>
      </c>
      <c r="C69">
        <f>BIdetails!J72</f>
        <v>0</v>
      </c>
      <c r="D69">
        <f>BIdetails!K72</f>
        <v>0</v>
      </c>
      <c r="E69" s="165">
        <f>BIdetails!M72</f>
        <v>0</v>
      </c>
      <c r="F69" t="e">
        <f>IF(ISERROR(IF(OR(C69="#",C69=0),"",VLOOKUP(C69,'AOP25'!M:M,1,0))),"Not Found",VLOOKUP(C69,'AOP25'!M:M,1,0))</f>
        <v>#N/A</v>
      </c>
      <c r="G69" t="e">
        <f t="shared" si="1"/>
        <v>#N/A</v>
      </c>
    </row>
    <row r="70" spans="1:7" hidden="1" x14ac:dyDescent="0.25">
      <c r="A70">
        <f>BIdetails!G73</f>
        <v>0</v>
      </c>
      <c r="B70">
        <f>BIdetails!H73</f>
        <v>0</v>
      </c>
      <c r="C70">
        <f>BIdetails!J73</f>
        <v>0</v>
      </c>
      <c r="D70">
        <f>BIdetails!K73</f>
        <v>0</v>
      </c>
      <c r="E70" s="165">
        <f>BIdetails!M73</f>
        <v>0</v>
      </c>
      <c r="F70" t="e">
        <f>IF(ISERROR(IF(OR(C70="#",C70=0),"",VLOOKUP(C70,'AOP25'!M:M,1,0))),"Not Found",VLOOKUP(C70,'AOP25'!M:M,1,0))</f>
        <v>#N/A</v>
      </c>
      <c r="G70" t="e">
        <f t="shared" si="1"/>
        <v>#N/A</v>
      </c>
    </row>
    <row r="71" spans="1:7" hidden="1" x14ac:dyDescent="0.25">
      <c r="A71">
        <f>BIdetails!G74</f>
        <v>0</v>
      </c>
      <c r="B71">
        <f>BIdetails!H74</f>
        <v>0</v>
      </c>
      <c r="C71">
        <f>BIdetails!J74</f>
        <v>0</v>
      </c>
      <c r="D71">
        <f>BIdetails!K74</f>
        <v>0</v>
      </c>
      <c r="E71" s="165">
        <f>BIdetails!M74</f>
        <v>0</v>
      </c>
      <c r="F71" t="e">
        <f>IF(ISERROR(IF(OR(C71="#",C71=0),"",VLOOKUP(C71,'AOP25'!M:M,1,0))),"Not Found",VLOOKUP(C71,'AOP25'!M:M,1,0))</f>
        <v>#N/A</v>
      </c>
      <c r="G71" t="e">
        <f t="shared" si="1"/>
        <v>#N/A</v>
      </c>
    </row>
    <row r="72" spans="1:7" hidden="1" x14ac:dyDescent="0.25">
      <c r="A72">
        <f>BIdetails!G75</f>
        <v>0</v>
      </c>
      <c r="B72">
        <f>BIdetails!H75</f>
        <v>0</v>
      </c>
      <c r="C72">
        <f>BIdetails!J75</f>
        <v>0</v>
      </c>
      <c r="D72">
        <f>BIdetails!K75</f>
        <v>0</v>
      </c>
      <c r="E72" s="165">
        <f>BIdetails!M75</f>
        <v>0</v>
      </c>
      <c r="F72" t="e">
        <f>IF(ISERROR(IF(OR(C72="#",C72=0),"",VLOOKUP(C72,'AOP25'!M:M,1,0))),"Not Found",VLOOKUP(C72,'AOP25'!M:M,1,0))</f>
        <v>#N/A</v>
      </c>
      <c r="G72" t="e">
        <f t="shared" si="1"/>
        <v>#N/A</v>
      </c>
    </row>
    <row r="73" spans="1:7" hidden="1" x14ac:dyDescent="0.25">
      <c r="A73">
        <f>BIdetails!G76</f>
        <v>0</v>
      </c>
      <c r="B73">
        <f>BIdetails!H76</f>
        <v>0</v>
      </c>
      <c r="C73">
        <f>BIdetails!J76</f>
        <v>0</v>
      </c>
      <c r="D73">
        <f>BIdetails!K76</f>
        <v>0</v>
      </c>
      <c r="E73" s="165">
        <f>BIdetails!M76</f>
        <v>0</v>
      </c>
      <c r="F73" t="e">
        <f>IF(ISERROR(IF(OR(C73="#",C73=0),"",VLOOKUP(C73,'AOP25'!M:M,1,0))),"Not Found",VLOOKUP(C73,'AOP25'!M:M,1,0))</f>
        <v>#N/A</v>
      </c>
      <c r="G73" t="e">
        <f t="shared" si="1"/>
        <v>#N/A</v>
      </c>
    </row>
    <row r="74" spans="1:7" hidden="1" x14ac:dyDescent="0.25">
      <c r="A74">
        <f>BIdetails!G77</f>
        <v>0</v>
      </c>
      <c r="B74">
        <f>BIdetails!H77</f>
        <v>0</v>
      </c>
      <c r="C74">
        <f>BIdetails!J77</f>
        <v>0</v>
      </c>
      <c r="D74">
        <f>BIdetails!K77</f>
        <v>0</v>
      </c>
      <c r="E74" s="165">
        <f>BIdetails!M77</f>
        <v>0</v>
      </c>
      <c r="F74" t="e">
        <f>IF(ISERROR(IF(OR(C74="#",C74=0),"",VLOOKUP(C74,'AOP25'!M:M,1,0))),"Not Found",VLOOKUP(C74,'AOP25'!M:M,1,0))</f>
        <v>#N/A</v>
      </c>
      <c r="G74" t="e">
        <f t="shared" si="1"/>
        <v>#N/A</v>
      </c>
    </row>
    <row r="75" spans="1:7" hidden="1" x14ac:dyDescent="0.25">
      <c r="A75">
        <f>BIdetails!G78</f>
        <v>0</v>
      </c>
      <c r="B75">
        <f>BIdetails!H78</f>
        <v>0</v>
      </c>
      <c r="C75">
        <f>BIdetails!J78</f>
        <v>0</v>
      </c>
      <c r="D75">
        <f>BIdetails!K78</f>
        <v>0</v>
      </c>
      <c r="E75" s="165">
        <f>BIdetails!M78</f>
        <v>0</v>
      </c>
      <c r="F75" t="e">
        <f>IF(ISERROR(IF(OR(C75="#",C75=0),"",VLOOKUP(C75,'AOP25'!M:M,1,0))),"Not Found",VLOOKUP(C75,'AOP25'!M:M,1,0))</f>
        <v>#N/A</v>
      </c>
      <c r="G75" t="e">
        <f t="shared" si="1"/>
        <v>#N/A</v>
      </c>
    </row>
    <row r="76" spans="1:7" hidden="1" x14ac:dyDescent="0.25">
      <c r="A76">
        <f>BIdetails!G79</f>
        <v>0</v>
      </c>
      <c r="B76">
        <f>BIdetails!H79</f>
        <v>0</v>
      </c>
      <c r="C76">
        <f>BIdetails!J79</f>
        <v>0</v>
      </c>
      <c r="D76">
        <f>BIdetails!K79</f>
        <v>0</v>
      </c>
      <c r="E76" s="165">
        <f>BIdetails!M79</f>
        <v>0</v>
      </c>
      <c r="F76" t="e">
        <f>IF(ISERROR(IF(OR(C76="#",C76=0),"",VLOOKUP(C76,'AOP25'!M:M,1,0))),"Not Found",VLOOKUP(C76,'AOP25'!M:M,1,0))</f>
        <v>#N/A</v>
      </c>
      <c r="G76" t="e">
        <f t="shared" si="1"/>
        <v>#N/A</v>
      </c>
    </row>
    <row r="77" spans="1:7" x14ac:dyDescent="0.25">
      <c r="A77">
        <f>BIdetails!G80</f>
        <v>0</v>
      </c>
      <c r="B77">
        <f>BIdetails!H80</f>
        <v>0</v>
      </c>
      <c r="C77">
        <f>BIdetails!J80</f>
        <v>0</v>
      </c>
      <c r="D77">
        <f>BIdetails!K80</f>
        <v>0</v>
      </c>
      <c r="E77" s="165">
        <f>BIdetails!M80</f>
        <v>0</v>
      </c>
      <c r="F77" t="e">
        <f>IF(ISERROR(IF(OR(C77="#",C77=0),"",VLOOKUP(C77,'AOP25'!M:M,1,0))),"Not Found",VLOOKUP(C77,'AOP25'!M:M,1,0))</f>
        <v>#N/A</v>
      </c>
      <c r="G77" t="e">
        <f t="shared" si="1"/>
        <v>#N/A</v>
      </c>
    </row>
    <row r="78" spans="1:7" hidden="1" x14ac:dyDescent="0.25">
      <c r="A78">
        <f>BIdetails!G81</f>
        <v>0</v>
      </c>
      <c r="B78">
        <f>BIdetails!H81</f>
        <v>0</v>
      </c>
      <c r="C78">
        <f>BIdetails!J81</f>
        <v>0</v>
      </c>
      <c r="D78">
        <f>BIdetails!K81</f>
        <v>0</v>
      </c>
      <c r="E78" s="165">
        <f>BIdetails!M81</f>
        <v>0</v>
      </c>
      <c r="F78" t="e">
        <f>IF(ISERROR(IF(OR(C78="#",C78=0),"",VLOOKUP(C78,'AOP25'!M:M,1,0))),"Not Found",VLOOKUP(C78,'AOP25'!M:M,1,0))</f>
        <v>#N/A</v>
      </c>
      <c r="G78" t="e">
        <f t="shared" si="1"/>
        <v>#N/A</v>
      </c>
    </row>
    <row r="79" spans="1:7" hidden="1" x14ac:dyDescent="0.25">
      <c r="A79">
        <f>BIdetails!G82</f>
        <v>0</v>
      </c>
      <c r="B79">
        <f>BIdetails!H82</f>
        <v>0</v>
      </c>
      <c r="C79">
        <f>BIdetails!J82</f>
        <v>0</v>
      </c>
      <c r="D79">
        <f>BIdetails!K82</f>
        <v>0</v>
      </c>
      <c r="E79" s="165">
        <f>BIdetails!M82</f>
        <v>0</v>
      </c>
      <c r="F79" t="e">
        <f>IF(ISERROR(IF(OR(C79="#",C79=0),"",VLOOKUP(C79,'AOP25'!M:M,1,0))),"Not Found",VLOOKUP(C79,'AOP25'!M:M,1,0))</f>
        <v>#N/A</v>
      </c>
      <c r="G79" t="e">
        <f t="shared" si="1"/>
        <v>#N/A</v>
      </c>
    </row>
    <row r="80" spans="1:7" hidden="1" x14ac:dyDescent="0.25">
      <c r="A80">
        <f>BIdetails!G83</f>
        <v>0</v>
      </c>
      <c r="B80">
        <f>BIdetails!H83</f>
        <v>0</v>
      </c>
      <c r="C80">
        <f>BIdetails!J83</f>
        <v>0</v>
      </c>
      <c r="D80">
        <f>BIdetails!K83</f>
        <v>0</v>
      </c>
      <c r="E80" s="165">
        <f>BIdetails!M83</f>
        <v>0</v>
      </c>
      <c r="F80" t="e">
        <f>IF(ISERROR(IF(OR(C80="#",C80=0),"",VLOOKUP(C80,'AOP25'!M:M,1,0))),"Not Found",VLOOKUP(C80,'AOP25'!M:M,1,0))</f>
        <v>#N/A</v>
      </c>
      <c r="G80" t="e">
        <f t="shared" si="1"/>
        <v>#N/A</v>
      </c>
    </row>
    <row r="81" spans="1:7" hidden="1" x14ac:dyDescent="0.25">
      <c r="A81">
        <f>BIdetails!G84</f>
        <v>0</v>
      </c>
      <c r="B81">
        <f>BIdetails!H84</f>
        <v>0</v>
      </c>
      <c r="C81">
        <f>BIdetails!J84</f>
        <v>0</v>
      </c>
      <c r="D81">
        <f>BIdetails!K84</f>
        <v>0</v>
      </c>
      <c r="E81" s="165">
        <f>BIdetails!M84</f>
        <v>0</v>
      </c>
      <c r="F81" t="e">
        <f>IF(ISERROR(IF(OR(C81="#",C81=0),"",VLOOKUP(C81,'AOP25'!M:M,1,0))),"Not Found",VLOOKUP(C81,'AOP25'!M:M,1,0))</f>
        <v>#N/A</v>
      </c>
      <c r="G81" t="e">
        <f t="shared" si="1"/>
        <v>#N/A</v>
      </c>
    </row>
    <row r="82" spans="1:7" hidden="1" x14ac:dyDescent="0.25">
      <c r="A82">
        <f>BIdetails!G85</f>
        <v>0</v>
      </c>
      <c r="B82">
        <f>BIdetails!H85</f>
        <v>0</v>
      </c>
      <c r="C82">
        <f>BIdetails!J85</f>
        <v>0</v>
      </c>
      <c r="D82">
        <f>BIdetails!K85</f>
        <v>0</v>
      </c>
      <c r="E82" s="165">
        <f>BIdetails!M85</f>
        <v>0</v>
      </c>
      <c r="F82" t="e">
        <f>IF(ISERROR(IF(OR(C82="#",C82=0),"",VLOOKUP(C82,'AOP25'!M:M,1,0))),"Not Found",VLOOKUP(C82,'AOP25'!M:M,1,0))</f>
        <v>#N/A</v>
      </c>
      <c r="G82" t="e">
        <f t="shared" si="1"/>
        <v>#N/A</v>
      </c>
    </row>
    <row r="83" spans="1:7" hidden="1" x14ac:dyDescent="0.25">
      <c r="A83">
        <f>BIdetails!G86</f>
        <v>0</v>
      </c>
      <c r="B83">
        <f>BIdetails!H86</f>
        <v>0</v>
      </c>
      <c r="C83">
        <f>BIdetails!J86</f>
        <v>0</v>
      </c>
      <c r="D83">
        <f>BIdetails!K86</f>
        <v>0</v>
      </c>
      <c r="E83" s="165">
        <f>BIdetails!M86</f>
        <v>0</v>
      </c>
      <c r="F83" t="e">
        <f>IF(ISERROR(IF(OR(C83="#",C83=0),"",VLOOKUP(C83,'AOP25'!M:M,1,0))),"Not Found",VLOOKUP(C83,'AOP25'!M:M,1,0))</f>
        <v>#N/A</v>
      </c>
      <c r="G83" t="e">
        <f t="shared" si="1"/>
        <v>#N/A</v>
      </c>
    </row>
    <row r="84" spans="1:7" hidden="1" x14ac:dyDescent="0.25">
      <c r="A84">
        <f>BIdetails!G87</f>
        <v>0</v>
      </c>
      <c r="B84">
        <f>BIdetails!H87</f>
        <v>0</v>
      </c>
      <c r="C84">
        <f>BIdetails!J87</f>
        <v>0</v>
      </c>
      <c r="D84">
        <f>BIdetails!K87</f>
        <v>0</v>
      </c>
      <c r="E84" s="165">
        <f>BIdetails!M87</f>
        <v>0</v>
      </c>
      <c r="F84" t="e">
        <f>IF(ISERROR(IF(OR(C84="#",C84=0),"",VLOOKUP(C84,'AOP25'!M:M,1,0))),"Not Found",VLOOKUP(C84,'AOP25'!M:M,1,0))</f>
        <v>#N/A</v>
      </c>
      <c r="G84" t="e">
        <f t="shared" si="1"/>
        <v>#N/A</v>
      </c>
    </row>
    <row r="85" spans="1:7" hidden="1" x14ac:dyDescent="0.25">
      <c r="A85">
        <f>BIdetails!G88</f>
        <v>0</v>
      </c>
      <c r="B85">
        <f>BIdetails!H88</f>
        <v>0</v>
      </c>
      <c r="C85">
        <f>BIdetails!J88</f>
        <v>0</v>
      </c>
      <c r="D85">
        <f>BIdetails!K88</f>
        <v>0</v>
      </c>
      <c r="E85" s="165">
        <f>BIdetails!M88</f>
        <v>0</v>
      </c>
      <c r="F85" t="e">
        <f>IF(ISERROR(IF(OR(C85="#",C85=0),"",VLOOKUP(C85,'AOP25'!M:M,1,0))),"Not Found",VLOOKUP(C85,'AOP25'!M:M,1,0))</f>
        <v>#N/A</v>
      </c>
      <c r="G85" t="e">
        <f t="shared" si="1"/>
        <v>#N/A</v>
      </c>
    </row>
    <row r="86" spans="1:7" hidden="1" x14ac:dyDescent="0.25">
      <c r="A86">
        <f>BIdetails!G89</f>
        <v>0</v>
      </c>
      <c r="B86">
        <f>BIdetails!H89</f>
        <v>0</v>
      </c>
      <c r="C86">
        <f>BIdetails!J89</f>
        <v>0</v>
      </c>
      <c r="D86">
        <f>BIdetails!K89</f>
        <v>0</v>
      </c>
      <c r="E86" s="165">
        <f>BIdetails!M89</f>
        <v>0</v>
      </c>
      <c r="F86" t="e">
        <f>IF(ISERROR(IF(OR(C86="#",C86=0),"",VLOOKUP(C86,'AOP25'!M:M,1,0))),"Not Found",VLOOKUP(C86,'AOP25'!M:M,1,0))</f>
        <v>#N/A</v>
      </c>
      <c r="G86" t="e">
        <f t="shared" si="1"/>
        <v>#N/A</v>
      </c>
    </row>
    <row r="87" spans="1:7" hidden="1" x14ac:dyDescent="0.25">
      <c r="A87">
        <f>BIdetails!G90</f>
        <v>0</v>
      </c>
      <c r="B87">
        <f>BIdetails!H90</f>
        <v>0</v>
      </c>
      <c r="C87">
        <f>BIdetails!J90</f>
        <v>0</v>
      </c>
      <c r="D87">
        <f>BIdetails!K90</f>
        <v>0</v>
      </c>
      <c r="E87" s="165">
        <f>BIdetails!M90</f>
        <v>0</v>
      </c>
      <c r="F87" t="e">
        <f>IF(ISERROR(IF(OR(C87="#",C87=0),"",VLOOKUP(C87,'AOP25'!M:M,1,0))),"Not Found",VLOOKUP(C87,'AOP25'!M:M,1,0))</f>
        <v>#N/A</v>
      </c>
      <c r="G87" t="e">
        <f t="shared" si="1"/>
        <v>#N/A</v>
      </c>
    </row>
    <row r="88" spans="1:7" x14ac:dyDescent="0.25">
      <c r="A88">
        <f>BIdetails!G91</f>
        <v>0</v>
      </c>
      <c r="B88">
        <f>BIdetails!H91</f>
        <v>0</v>
      </c>
      <c r="C88">
        <f>BIdetails!J91</f>
        <v>0</v>
      </c>
      <c r="D88">
        <f>BIdetails!K91</f>
        <v>0</v>
      </c>
      <c r="E88" s="165">
        <f>BIdetails!M91</f>
        <v>0</v>
      </c>
      <c r="F88" t="e">
        <f>IF(ISERROR(IF(OR(C88="#",C88=0),"",VLOOKUP(C88,'AOP25'!M:M,1,0))),"Not Found",VLOOKUP(C88,'AOP25'!M:M,1,0))</f>
        <v>#N/A</v>
      </c>
      <c r="G88" t="e">
        <f t="shared" si="1"/>
        <v>#N/A</v>
      </c>
    </row>
    <row r="89" spans="1:7" hidden="1" x14ac:dyDescent="0.25">
      <c r="A89">
        <f>BIdetails!G92</f>
        <v>0</v>
      </c>
      <c r="B89">
        <f>BIdetails!H92</f>
        <v>0</v>
      </c>
      <c r="C89">
        <f>BIdetails!J92</f>
        <v>0</v>
      </c>
      <c r="D89">
        <f>BIdetails!K92</f>
        <v>0</v>
      </c>
      <c r="E89" s="165">
        <f>BIdetails!M92</f>
        <v>0</v>
      </c>
      <c r="F89" t="e">
        <f>IF(ISERROR(IF(OR(C89="#",C89=0),"",VLOOKUP(C89,'AOP25'!M:M,1,0))),"Not Found",VLOOKUP(C89,'AOP25'!M:M,1,0))</f>
        <v>#N/A</v>
      </c>
      <c r="G89" t="e">
        <f t="shared" si="1"/>
        <v>#N/A</v>
      </c>
    </row>
    <row r="90" spans="1:7" hidden="1" x14ac:dyDescent="0.25">
      <c r="A90">
        <f>BIdetails!G93</f>
        <v>0</v>
      </c>
      <c r="B90">
        <f>BIdetails!H93</f>
        <v>0</v>
      </c>
      <c r="C90">
        <f>BIdetails!J93</f>
        <v>0</v>
      </c>
      <c r="D90">
        <f>BIdetails!K93</f>
        <v>0</v>
      </c>
      <c r="E90" s="165">
        <f>BIdetails!M93</f>
        <v>0</v>
      </c>
      <c r="F90" t="e">
        <f>IF(ISERROR(IF(OR(C90="#",C90=0),"",VLOOKUP(C90,'AOP25'!M:M,1,0))),"Not Found",VLOOKUP(C90,'AOP25'!M:M,1,0))</f>
        <v>#N/A</v>
      </c>
      <c r="G90" t="e">
        <f t="shared" si="1"/>
        <v>#N/A</v>
      </c>
    </row>
    <row r="91" spans="1:7" hidden="1" x14ac:dyDescent="0.25">
      <c r="A91">
        <f>BIdetails!G94</f>
        <v>0</v>
      </c>
      <c r="B91">
        <f>BIdetails!H94</f>
        <v>0</v>
      </c>
      <c r="C91">
        <f>BIdetails!J94</f>
        <v>0</v>
      </c>
      <c r="D91">
        <f>BIdetails!K94</f>
        <v>0</v>
      </c>
      <c r="E91" s="165">
        <f>BIdetails!M94</f>
        <v>0</v>
      </c>
      <c r="F91" t="e">
        <f>IF(ISERROR(IF(OR(C91="#",C91=0),"",VLOOKUP(C91,'AOP25'!M:M,1,0))),"Not Found",VLOOKUP(C91,'AOP25'!M:M,1,0))</f>
        <v>#N/A</v>
      </c>
      <c r="G91" t="e">
        <f t="shared" si="1"/>
        <v>#N/A</v>
      </c>
    </row>
    <row r="92" spans="1:7" hidden="1" x14ac:dyDescent="0.25">
      <c r="A92">
        <f>BIdetails!G95</f>
        <v>0</v>
      </c>
      <c r="B92">
        <f>BIdetails!H95</f>
        <v>0</v>
      </c>
      <c r="C92">
        <f>BIdetails!J95</f>
        <v>0</v>
      </c>
      <c r="D92">
        <f>BIdetails!K95</f>
        <v>0</v>
      </c>
      <c r="E92" s="165">
        <f>BIdetails!M95</f>
        <v>0</v>
      </c>
      <c r="F92" t="e">
        <f>IF(ISERROR(IF(OR(C92="#",C92=0),"",VLOOKUP(C92,'AOP25'!M:M,1,0))),"Not Found",VLOOKUP(C92,'AOP25'!M:M,1,0))</f>
        <v>#N/A</v>
      </c>
      <c r="G92" t="e">
        <f t="shared" si="1"/>
        <v>#N/A</v>
      </c>
    </row>
    <row r="93" spans="1:7" hidden="1" x14ac:dyDescent="0.25">
      <c r="A93">
        <f>BIdetails!G96</f>
        <v>0</v>
      </c>
      <c r="B93">
        <f>BIdetails!H96</f>
        <v>0</v>
      </c>
      <c r="C93">
        <f>BIdetails!J96</f>
        <v>0</v>
      </c>
      <c r="D93">
        <f>BIdetails!K96</f>
        <v>0</v>
      </c>
      <c r="E93" s="165">
        <f>BIdetails!M96</f>
        <v>0</v>
      </c>
      <c r="F93" t="e">
        <f>IF(ISERROR(IF(OR(C93="#",C93=0),"",VLOOKUP(C93,'AOP25'!M:M,1,0))),"Not Found",VLOOKUP(C93,'AOP25'!M:M,1,0))</f>
        <v>#N/A</v>
      </c>
      <c r="G93" t="e">
        <f t="shared" si="1"/>
        <v>#N/A</v>
      </c>
    </row>
    <row r="94" spans="1:7" hidden="1" x14ac:dyDescent="0.25">
      <c r="A94">
        <f>BIdetails!G97</f>
        <v>0</v>
      </c>
      <c r="B94">
        <f>BIdetails!H97</f>
        <v>0</v>
      </c>
      <c r="C94">
        <f>BIdetails!J97</f>
        <v>0</v>
      </c>
      <c r="D94">
        <f>BIdetails!K97</f>
        <v>0</v>
      </c>
      <c r="E94" s="165">
        <f>BIdetails!M97</f>
        <v>0</v>
      </c>
      <c r="F94" t="e">
        <f>IF(ISERROR(IF(OR(C94="#",C94=0),"",VLOOKUP(C94,'AOP25'!M:M,1,0))),"Not Found",VLOOKUP(C94,'AOP25'!M:M,1,0))</f>
        <v>#N/A</v>
      </c>
      <c r="G94" t="e">
        <f t="shared" si="1"/>
        <v>#N/A</v>
      </c>
    </row>
    <row r="95" spans="1:7" hidden="1" x14ac:dyDescent="0.25">
      <c r="A95">
        <f>BIdetails!G98</f>
        <v>0</v>
      </c>
      <c r="B95">
        <f>BIdetails!H98</f>
        <v>0</v>
      </c>
      <c r="C95">
        <f>BIdetails!J98</f>
        <v>0</v>
      </c>
      <c r="D95">
        <f>BIdetails!K98</f>
        <v>0</v>
      </c>
      <c r="E95" s="165">
        <f>BIdetails!M98</f>
        <v>0</v>
      </c>
      <c r="F95" t="e">
        <f>IF(ISERROR(IF(OR(C95="#",C95=0),"",VLOOKUP(C95,'AOP25'!M:M,1,0))),"Not Found",VLOOKUP(C95,'AOP25'!M:M,1,0))</f>
        <v>#N/A</v>
      </c>
      <c r="G95" t="e">
        <f t="shared" si="1"/>
        <v>#N/A</v>
      </c>
    </row>
    <row r="96" spans="1:7" hidden="1" x14ac:dyDescent="0.25">
      <c r="A96">
        <f>BIdetails!G99</f>
        <v>0</v>
      </c>
      <c r="B96">
        <f>BIdetails!H99</f>
        <v>0</v>
      </c>
      <c r="C96">
        <f>BIdetails!J99</f>
        <v>0</v>
      </c>
      <c r="D96">
        <f>BIdetails!K99</f>
        <v>0</v>
      </c>
      <c r="E96" s="165">
        <f>BIdetails!M99</f>
        <v>0</v>
      </c>
      <c r="F96" t="e">
        <f>IF(ISERROR(IF(OR(C96="#",C96=0),"",VLOOKUP(C96,'AOP25'!M:M,1,0))),"Not Found",VLOOKUP(C96,'AOP25'!M:M,1,0))</f>
        <v>#N/A</v>
      </c>
      <c r="G96" t="e">
        <f t="shared" si="1"/>
        <v>#N/A</v>
      </c>
    </row>
    <row r="97" spans="1:7" hidden="1" x14ac:dyDescent="0.25">
      <c r="A97">
        <f>BIdetails!G100</f>
        <v>0</v>
      </c>
      <c r="B97">
        <f>BIdetails!H100</f>
        <v>0</v>
      </c>
      <c r="C97">
        <f>BIdetails!J100</f>
        <v>0</v>
      </c>
      <c r="D97">
        <f>BIdetails!K100</f>
        <v>0</v>
      </c>
      <c r="E97" s="165">
        <f>BIdetails!M100</f>
        <v>0</v>
      </c>
      <c r="F97" t="e">
        <f>IF(ISERROR(IF(OR(C97="#",C97=0),"",VLOOKUP(C97,'AOP25'!M:M,1,0))),"Not Found",VLOOKUP(C97,'AOP25'!M:M,1,0))</f>
        <v>#N/A</v>
      </c>
      <c r="G97" t="e">
        <f t="shared" si="1"/>
        <v>#N/A</v>
      </c>
    </row>
    <row r="98" spans="1:7" hidden="1" x14ac:dyDescent="0.25">
      <c r="A98">
        <f>BIdetails!G101</f>
        <v>0</v>
      </c>
      <c r="B98">
        <f>BIdetails!H101</f>
        <v>0</v>
      </c>
      <c r="C98">
        <f>BIdetails!J101</f>
        <v>0</v>
      </c>
      <c r="D98">
        <f>BIdetails!K101</f>
        <v>0</v>
      </c>
      <c r="E98" s="165">
        <f>BIdetails!M101</f>
        <v>0</v>
      </c>
      <c r="F98" t="e">
        <f>IF(ISERROR(IF(OR(C98="#",C98=0),"",VLOOKUP(C98,'AOP25'!M:M,1,0))),"Not Found",VLOOKUP(C98,'AOP25'!M:M,1,0))</f>
        <v>#N/A</v>
      </c>
      <c r="G98" t="e">
        <f t="shared" si="1"/>
        <v>#N/A</v>
      </c>
    </row>
    <row r="99" spans="1:7" hidden="1" x14ac:dyDescent="0.25">
      <c r="A99">
        <f>BIdetails!G102</f>
        <v>0</v>
      </c>
      <c r="B99">
        <f>BIdetails!H102</f>
        <v>0</v>
      </c>
      <c r="C99">
        <f>BIdetails!J102</f>
        <v>0</v>
      </c>
      <c r="D99">
        <f>BIdetails!K102</f>
        <v>0</v>
      </c>
      <c r="E99" s="165">
        <f>BIdetails!M102</f>
        <v>0</v>
      </c>
      <c r="F99" t="e">
        <f>IF(ISERROR(IF(OR(C99="#",C99=0),"",VLOOKUP(C99,'AOP25'!M:M,1,0))),"Not Found",VLOOKUP(C99,'AOP25'!M:M,1,0))</f>
        <v>#N/A</v>
      </c>
      <c r="G99" t="e">
        <f t="shared" si="1"/>
        <v>#N/A</v>
      </c>
    </row>
    <row r="100" spans="1:7" hidden="1" x14ac:dyDescent="0.25">
      <c r="A100">
        <f>BIdetails!G103</f>
        <v>0</v>
      </c>
      <c r="B100">
        <f>BIdetails!H103</f>
        <v>0</v>
      </c>
      <c r="C100">
        <f>BIdetails!J103</f>
        <v>0</v>
      </c>
      <c r="D100">
        <f>BIdetails!K103</f>
        <v>0</v>
      </c>
      <c r="E100" s="165">
        <f>BIdetails!M103</f>
        <v>0</v>
      </c>
      <c r="F100" t="e">
        <f>IF(ISERROR(IF(OR(C100="#",C100=0),"",VLOOKUP(C100,'AOP25'!M:M,1,0))),"Not Found",VLOOKUP(C100,'AOP25'!M:M,1,0))</f>
        <v>#N/A</v>
      </c>
      <c r="G100" t="e">
        <f t="shared" si="1"/>
        <v>#N/A</v>
      </c>
    </row>
    <row r="101" spans="1:7" hidden="1" x14ac:dyDescent="0.25">
      <c r="A101">
        <f>BIdetails!G104</f>
        <v>0</v>
      </c>
      <c r="B101">
        <f>BIdetails!H104</f>
        <v>0</v>
      </c>
      <c r="C101">
        <f>BIdetails!J104</f>
        <v>0</v>
      </c>
      <c r="D101">
        <f>BIdetails!K104</f>
        <v>0</v>
      </c>
      <c r="E101" s="165">
        <f>BIdetails!M104</f>
        <v>0</v>
      </c>
      <c r="F101" t="e">
        <f>IF(ISERROR(IF(OR(C101="#",C101=0),"",VLOOKUP(C101,'AOP25'!M:M,1,0))),"Not Found",VLOOKUP(C101,'AOP25'!M:M,1,0))</f>
        <v>#N/A</v>
      </c>
      <c r="G101" t="e">
        <f t="shared" si="1"/>
        <v>#N/A</v>
      </c>
    </row>
    <row r="102" spans="1:7" hidden="1" x14ac:dyDescent="0.25">
      <c r="A102">
        <f>BIdetails!G105</f>
        <v>0</v>
      </c>
      <c r="B102">
        <f>BIdetails!H105</f>
        <v>0</v>
      </c>
      <c r="C102">
        <f>BIdetails!J105</f>
        <v>0</v>
      </c>
      <c r="D102">
        <f>BIdetails!K105</f>
        <v>0</v>
      </c>
      <c r="E102" s="165">
        <f>BIdetails!M105</f>
        <v>0</v>
      </c>
      <c r="F102" t="e">
        <f>IF(ISERROR(IF(OR(C102="#",C102=0),"",VLOOKUP(C102,'AOP25'!M:M,1,0))),"Not Found",VLOOKUP(C102,'AOP25'!M:M,1,0))</f>
        <v>#N/A</v>
      </c>
      <c r="G102" t="e">
        <f t="shared" si="1"/>
        <v>#N/A</v>
      </c>
    </row>
    <row r="103" spans="1:7" x14ac:dyDescent="0.25">
      <c r="A103">
        <f>BIdetails!G106</f>
        <v>0</v>
      </c>
      <c r="B103">
        <f>BIdetails!H106</f>
        <v>0</v>
      </c>
      <c r="C103">
        <f>BIdetails!J106</f>
        <v>0</v>
      </c>
      <c r="D103">
        <f>BIdetails!K106</f>
        <v>0</v>
      </c>
      <c r="E103" s="165">
        <f>BIdetails!M106</f>
        <v>0</v>
      </c>
      <c r="F103" t="e">
        <f>IF(ISERROR(IF(OR(C103="#",C103=0),"",VLOOKUP(C103,'AOP25'!M:M,1,0))),"Not Found",VLOOKUP(C103,'AOP25'!M:M,1,0))</f>
        <v>#N/A</v>
      </c>
      <c r="G103" t="e">
        <f t="shared" si="1"/>
        <v>#N/A</v>
      </c>
    </row>
    <row r="104" spans="1:7" x14ac:dyDescent="0.25">
      <c r="A104">
        <f>BIdetails!G107</f>
        <v>0</v>
      </c>
      <c r="B104">
        <f>BIdetails!H107</f>
        <v>0</v>
      </c>
      <c r="C104">
        <f>BIdetails!J107</f>
        <v>0</v>
      </c>
      <c r="D104">
        <f>BIdetails!K107</f>
        <v>0</v>
      </c>
      <c r="E104" s="165">
        <f>BIdetails!M107</f>
        <v>0</v>
      </c>
      <c r="F104" t="e">
        <f>IF(ISERROR(IF(OR(C104="#",C104=0),"",VLOOKUP(C104,'AOP25'!M:M,1,0))),"Not Found",VLOOKUP(C104,'AOP25'!M:M,1,0))</f>
        <v>#N/A</v>
      </c>
      <c r="G104" t="e">
        <f t="shared" si="1"/>
        <v>#N/A</v>
      </c>
    </row>
    <row r="105" spans="1:7" x14ac:dyDescent="0.25">
      <c r="A105">
        <f>BIdetails!G108</f>
        <v>0</v>
      </c>
      <c r="B105">
        <f>BIdetails!H108</f>
        <v>0</v>
      </c>
      <c r="C105">
        <f>BIdetails!J108</f>
        <v>0</v>
      </c>
      <c r="D105">
        <f>BIdetails!K108</f>
        <v>0</v>
      </c>
      <c r="E105" s="165">
        <f>BIdetails!M108</f>
        <v>0</v>
      </c>
      <c r="F105" t="e">
        <f>IF(ISERROR(IF(OR(C105="#",C105=0),"",VLOOKUP(C105,'AOP25'!M:M,1,0))),"Not Found",VLOOKUP(C105,'AOP25'!M:M,1,0))</f>
        <v>#N/A</v>
      </c>
      <c r="G105" t="e">
        <f t="shared" si="1"/>
        <v>#N/A</v>
      </c>
    </row>
    <row r="106" spans="1:7" x14ac:dyDescent="0.25">
      <c r="A106">
        <f>BIdetails!G109</f>
        <v>0</v>
      </c>
      <c r="B106">
        <f>BIdetails!H109</f>
        <v>0</v>
      </c>
      <c r="C106">
        <f>BIdetails!J109</f>
        <v>0</v>
      </c>
      <c r="D106">
        <f>BIdetails!K109</f>
        <v>0</v>
      </c>
      <c r="E106" s="165">
        <f>BIdetails!M109</f>
        <v>0</v>
      </c>
      <c r="F106" t="e">
        <f>IF(ISERROR(IF(OR(C106="#",C106=0),"",VLOOKUP(C106,'AOP25'!M:M,1,0))),"Not Found",VLOOKUP(C106,'AOP25'!M:M,1,0))</f>
        <v>#N/A</v>
      </c>
      <c r="G106" t="e">
        <f t="shared" si="1"/>
        <v>#N/A</v>
      </c>
    </row>
    <row r="107" spans="1:7" x14ac:dyDescent="0.25">
      <c r="A107">
        <f>BIdetails!G110</f>
        <v>0</v>
      </c>
      <c r="B107">
        <f>BIdetails!H110</f>
        <v>0</v>
      </c>
      <c r="C107">
        <f>BIdetails!J110</f>
        <v>0</v>
      </c>
      <c r="D107">
        <f>BIdetails!K110</f>
        <v>0</v>
      </c>
      <c r="E107" s="165">
        <f>BIdetails!M110</f>
        <v>0</v>
      </c>
      <c r="F107" t="e">
        <f>IF(ISERROR(IF(OR(C107="#",C107=0),"",VLOOKUP(C107,'AOP25'!M:M,1,0))),"Not Found",VLOOKUP(C107,'AOP25'!M:M,1,0))</f>
        <v>#N/A</v>
      </c>
      <c r="G107" t="e">
        <f t="shared" si="1"/>
        <v>#N/A</v>
      </c>
    </row>
    <row r="108" spans="1:7" x14ac:dyDescent="0.25">
      <c r="A108">
        <f>BIdetails!G111</f>
        <v>0</v>
      </c>
      <c r="B108">
        <f>BIdetails!H111</f>
        <v>0</v>
      </c>
      <c r="C108">
        <f>BIdetails!J111</f>
        <v>0</v>
      </c>
      <c r="D108">
        <f>BIdetails!K111</f>
        <v>0</v>
      </c>
      <c r="E108" s="165">
        <f>BIdetails!M111</f>
        <v>0</v>
      </c>
      <c r="F108" t="e">
        <f>IF(ISERROR(IF(OR(C108="#",C108=0),"",VLOOKUP(C108,'AOP25'!M:M,1,0))),"Not Found",VLOOKUP(C108,'AOP25'!M:M,1,0))</f>
        <v>#N/A</v>
      </c>
      <c r="G108" t="e">
        <f t="shared" si="1"/>
        <v>#N/A</v>
      </c>
    </row>
    <row r="109" spans="1:7" x14ac:dyDescent="0.25">
      <c r="A109">
        <f>BIdetails!G112</f>
        <v>0</v>
      </c>
      <c r="B109">
        <f>BIdetails!H112</f>
        <v>0</v>
      </c>
      <c r="C109">
        <f>BIdetails!J112</f>
        <v>0</v>
      </c>
      <c r="D109">
        <f>BIdetails!K112</f>
        <v>0</v>
      </c>
      <c r="E109" s="165">
        <f>BIdetails!M112</f>
        <v>0</v>
      </c>
      <c r="F109" t="e">
        <f>IF(ISERROR(IF(OR(C109="#",C109=0),"",VLOOKUP(C109,'AOP25'!M:M,1,0))),"Not Found",VLOOKUP(C109,'AOP25'!M:M,1,0))</f>
        <v>#N/A</v>
      </c>
      <c r="G109" t="e">
        <f t="shared" si="1"/>
        <v>#N/A</v>
      </c>
    </row>
    <row r="110" spans="1:7" x14ac:dyDescent="0.25">
      <c r="A110">
        <f>BIdetails!G113</f>
        <v>0</v>
      </c>
      <c r="B110">
        <f>BIdetails!H113</f>
        <v>0</v>
      </c>
      <c r="C110">
        <f>BIdetails!J113</f>
        <v>0</v>
      </c>
      <c r="D110">
        <f>BIdetails!K113</f>
        <v>0</v>
      </c>
      <c r="E110" s="165">
        <f>BIdetails!M113</f>
        <v>0</v>
      </c>
      <c r="F110" t="e">
        <f>IF(ISERROR(IF(OR(C110="#",C110=0),"",VLOOKUP(C110,'AOP25'!M:M,1,0))),"Not Found",VLOOKUP(C110,'AOP25'!M:M,1,0))</f>
        <v>#N/A</v>
      </c>
      <c r="G110" t="e">
        <f t="shared" si="1"/>
        <v>#N/A</v>
      </c>
    </row>
    <row r="111" spans="1:7" x14ac:dyDescent="0.25">
      <c r="A111">
        <f>BIdetails!G114</f>
        <v>0</v>
      </c>
      <c r="B111">
        <f>BIdetails!H114</f>
        <v>0</v>
      </c>
      <c r="C111">
        <f>BIdetails!J114</f>
        <v>0</v>
      </c>
      <c r="D111">
        <f>BIdetails!K114</f>
        <v>0</v>
      </c>
      <c r="E111" s="165">
        <f>BIdetails!M114</f>
        <v>0</v>
      </c>
      <c r="F111" t="e">
        <f>IF(ISERROR(IF(OR(C111="#",C111=0),"",VLOOKUP(C111,'AOP25'!M:M,1,0))),"Not Found",VLOOKUP(C111,'AOP25'!M:M,1,0))</f>
        <v>#N/A</v>
      </c>
      <c r="G111" t="e">
        <f t="shared" si="1"/>
        <v>#N/A</v>
      </c>
    </row>
    <row r="112" spans="1:7" hidden="1" x14ac:dyDescent="0.25">
      <c r="A112">
        <f>BIdetails!G115</f>
        <v>0</v>
      </c>
      <c r="B112">
        <f>BIdetails!H115</f>
        <v>0</v>
      </c>
      <c r="C112">
        <f>BIdetails!J115</f>
        <v>0</v>
      </c>
      <c r="D112">
        <f>BIdetails!K115</f>
        <v>0</v>
      </c>
      <c r="E112" s="165">
        <f>BIdetails!M115</f>
        <v>0</v>
      </c>
      <c r="F112" t="e">
        <f>IF(ISERROR(IF(OR(C112="#",C112=0),"",VLOOKUP(C112,'AOP25'!M:M,1,0))),"Not Found",VLOOKUP(C112,'AOP25'!M:M,1,0))</f>
        <v>#N/A</v>
      </c>
      <c r="G112" t="e">
        <f t="shared" si="1"/>
        <v>#N/A</v>
      </c>
    </row>
    <row r="113" spans="1:7" hidden="1" x14ac:dyDescent="0.25">
      <c r="A113">
        <f>BIdetails!G116</f>
        <v>0</v>
      </c>
      <c r="B113">
        <f>BIdetails!H116</f>
        <v>0</v>
      </c>
      <c r="C113">
        <f>BIdetails!J116</f>
        <v>0</v>
      </c>
      <c r="D113">
        <f>BIdetails!K116</f>
        <v>0</v>
      </c>
      <c r="E113" s="165">
        <f>BIdetails!M116</f>
        <v>0</v>
      </c>
      <c r="F113" t="e">
        <f>IF(ISERROR(IF(OR(C113="#",C113=0),"",VLOOKUP(C113,'AOP25'!M:M,1,0))),"Not Found",VLOOKUP(C113,'AOP25'!M:M,1,0))</f>
        <v>#N/A</v>
      </c>
      <c r="G113" t="e">
        <f t="shared" si="1"/>
        <v>#N/A</v>
      </c>
    </row>
    <row r="114" spans="1:7" x14ac:dyDescent="0.25">
      <c r="A114">
        <f>BIdetails!G117</f>
        <v>0</v>
      </c>
      <c r="B114">
        <f>BIdetails!H117</f>
        <v>0</v>
      </c>
      <c r="C114">
        <f>BIdetails!J117</f>
        <v>0</v>
      </c>
      <c r="D114">
        <f>BIdetails!K117</f>
        <v>0</v>
      </c>
      <c r="E114" s="165">
        <f>BIdetails!M117</f>
        <v>0</v>
      </c>
      <c r="F114" t="e">
        <f>IF(ISERROR(IF(OR(C114="#",C114=0),"",VLOOKUP(C114,'AOP25'!M:M,1,0))),"Not Found",VLOOKUP(C114,'AOP25'!M:M,1,0))</f>
        <v>#N/A</v>
      </c>
      <c r="G114" t="e">
        <f t="shared" si="1"/>
        <v>#N/A</v>
      </c>
    </row>
    <row r="115" spans="1:7" x14ac:dyDescent="0.25">
      <c r="A115">
        <f>BIdetails!G118</f>
        <v>0</v>
      </c>
      <c r="B115">
        <f>BIdetails!H118</f>
        <v>0</v>
      </c>
      <c r="C115">
        <f>BIdetails!J118</f>
        <v>0</v>
      </c>
      <c r="D115">
        <f>BIdetails!K118</f>
        <v>0</v>
      </c>
      <c r="E115" s="165">
        <f>BIdetails!M118</f>
        <v>0</v>
      </c>
      <c r="F115" t="e">
        <f>IF(ISERROR(IF(OR(C115="#",C115=0),"",VLOOKUP(C115,'AOP25'!M:M,1,0))),"Not Found",VLOOKUP(C115,'AOP25'!M:M,1,0))</f>
        <v>#N/A</v>
      </c>
      <c r="G115" t="e">
        <f t="shared" si="1"/>
        <v>#N/A</v>
      </c>
    </row>
    <row r="116" spans="1:7" x14ac:dyDescent="0.25">
      <c r="A116">
        <f>BIdetails!G119</f>
        <v>0</v>
      </c>
      <c r="B116">
        <f>BIdetails!H119</f>
        <v>0</v>
      </c>
      <c r="C116">
        <f>BIdetails!J119</f>
        <v>0</v>
      </c>
      <c r="D116">
        <f>BIdetails!K119</f>
        <v>0</v>
      </c>
      <c r="E116" s="165">
        <f>BIdetails!M119</f>
        <v>0</v>
      </c>
      <c r="F116" t="e">
        <f>IF(ISERROR(IF(OR(C116="#",C116=0),"",VLOOKUP(C116,'AOP25'!M:M,1,0))),"Not Found",VLOOKUP(C116,'AOP25'!M:M,1,0))</f>
        <v>#N/A</v>
      </c>
      <c r="G116" t="e">
        <f t="shared" si="1"/>
        <v>#N/A</v>
      </c>
    </row>
    <row r="117" spans="1:7" x14ac:dyDescent="0.25">
      <c r="A117">
        <f>BIdetails!G120</f>
        <v>0</v>
      </c>
      <c r="B117">
        <f>BIdetails!H120</f>
        <v>0</v>
      </c>
      <c r="C117">
        <f>BIdetails!J120</f>
        <v>0</v>
      </c>
      <c r="D117">
        <f>BIdetails!K120</f>
        <v>0</v>
      </c>
      <c r="E117" s="165">
        <f>BIdetails!M120</f>
        <v>0</v>
      </c>
      <c r="F117" t="e">
        <f>IF(ISERROR(IF(OR(C117="#",C117=0),"",VLOOKUP(C117,'AOP25'!M:M,1,0))),"Not Found",VLOOKUP(C117,'AOP25'!M:M,1,0))</f>
        <v>#N/A</v>
      </c>
      <c r="G117" t="e">
        <f t="shared" si="1"/>
        <v>#N/A</v>
      </c>
    </row>
    <row r="118" spans="1:7" hidden="1" x14ac:dyDescent="0.25">
      <c r="A118">
        <f>BIdetails!G121</f>
        <v>0</v>
      </c>
      <c r="B118">
        <f>BIdetails!H121</f>
        <v>0</v>
      </c>
      <c r="C118">
        <f>BIdetails!J121</f>
        <v>0</v>
      </c>
      <c r="D118">
        <f>BIdetails!K121</f>
        <v>0</v>
      </c>
      <c r="E118" s="165">
        <f>BIdetails!M121</f>
        <v>0</v>
      </c>
      <c r="F118" t="e">
        <f>IF(ISERROR(IF(OR(C118="#",C118=0),"",VLOOKUP(C118,'AOP25'!M:M,1,0))),"Not Found",VLOOKUP(C118,'AOP25'!M:M,1,0))</f>
        <v>#N/A</v>
      </c>
      <c r="G118" t="e">
        <f t="shared" si="1"/>
        <v>#N/A</v>
      </c>
    </row>
    <row r="119" spans="1:7" hidden="1" x14ac:dyDescent="0.25">
      <c r="A119">
        <f>BIdetails!G122</f>
        <v>0</v>
      </c>
      <c r="B119">
        <f>BIdetails!H122</f>
        <v>0</v>
      </c>
      <c r="C119">
        <f>BIdetails!J122</f>
        <v>0</v>
      </c>
      <c r="D119">
        <f>BIdetails!K122</f>
        <v>0</v>
      </c>
      <c r="E119" s="165">
        <f>BIdetails!M122</f>
        <v>0</v>
      </c>
      <c r="F119" t="e">
        <f>IF(ISERROR(IF(OR(C119="#",C119=0),"",VLOOKUP(C119,'AOP25'!M:M,1,0))),"Not Found",VLOOKUP(C119,'AOP25'!M:M,1,0))</f>
        <v>#N/A</v>
      </c>
      <c r="G119" t="e">
        <f t="shared" si="1"/>
        <v>#N/A</v>
      </c>
    </row>
    <row r="120" spans="1:7" x14ac:dyDescent="0.25">
      <c r="A120">
        <f>BIdetails!G123</f>
        <v>0</v>
      </c>
      <c r="B120">
        <f>BIdetails!H123</f>
        <v>0</v>
      </c>
      <c r="C120">
        <f>BIdetails!J123</f>
        <v>0</v>
      </c>
      <c r="D120">
        <f>BIdetails!K123</f>
        <v>0</v>
      </c>
      <c r="E120" s="165">
        <f>BIdetails!M123</f>
        <v>0</v>
      </c>
      <c r="F120" t="e">
        <f>IF(ISERROR(IF(OR(C120="#",C120=0),"",VLOOKUP(C120,'AOP25'!M:M,1,0))),"Not Found",VLOOKUP(C120,'AOP25'!M:M,1,0))</f>
        <v>#N/A</v>
      </c>
      <c r="G120" t="e">
        <f t="shared" si="1"/>
        <v>#N/A</v>
      </c>
    </row>
    <row r="121" spans="1:7" x14ac:dyDescent="0.25">
      <c r="A121">
        <f>BIdetails!G124</f>
        <v>0</v>
      </c>
      <c r="B121">
        <f>BIdetails!H124</f>
        <v>0</v>
      </c>
      <c r="C121">
        <f>BIdetails!J124</f>
        <v>0</v>
      </c>
      <c r="D121">
        <f>BIdetails!K124</f>
        <v>0</v>
      </c>
      <c r="E121" s="165">
        <f>BIdetails!M124</f>
        <v>0</v>
      </c>
      <c r="F121" t="e">
        <f>IF(ISERROR(IF(OR(C121="#",C121=0),"",VLOOKUP(C121,'AOP25'!M:M,1,0))),"Not Found",VLOOKUP(C121,'AOP25'!M:M,1,0))</f>
        <v>#N/A</v>
      </c>
      <c r="G121" t="e">
        <f t="shared" si="1"/>
        <v>#N/A</v>
      </c>
    </row>
    <row r="122" spans="1:7" hidden="1" x14ac:dyDescent="0.25">
      <c r="A122">
        <f>BIdetails!G125</f>
        <v>0</v>
      </c>
      <c r="B122">
        <f>BIdetails!H125</f>
        <v>0</v>
      </c>
      <c r="C122">
        <f>BIdetails!J125</f>
        <v>0</v>
      </c>
      <c r="D122">
        <f>BIdetails!K125</f>
        <v>0</v>
      </c>
      <c r="E122" s="165">
        <f>BIdetails!M125</f>
        <v>0</v>
      </c>
      <c r="F122" t="e">
        <f>IF(ISERROR(IF(OR(C122="#",C122=0),"",VLOOKUP(C122,'AOP25'!M:M,1,0))),"Not Found",VLOOKUP(C122,'AOP25'!M:M,1,0))</f>
        <v>#N/A</v>
      </c>
      <c r="G122" t="e">
        <f t="shared" si="1"/>
        <v>#N/A</v>
      </c>
    </row>
    <row r="123" spans="1:7" hidden="1" x14ac:dyDescent="0.25">
      <c r="A123">
        <f>BIdetails!G126</f>
        <v>0</v>
      </c>
      <c r="B123">
        <f>BIdetails!H126</f>
        <v>0</v>
      </c>
      <c r="C123">
        <f>BIdetails!J126</f>
        <v>0</v>
      </c>
      <c r="D123">
        <f>BIdetails!K126</f>
        <v>0</v>
      </c>
      <c r="E123" s="165">
        <f>BIdetails!M126</f>
        <v>0</v>
      </c>
      <c r="F123" t="e">
        <f>IF(ISERROR(IF(OR(C123="#",C123=0),"",VLOOKUP(C123,'AOP25'!M:M,1,0))),"Not Found",VLOOKUP(C123,'AOP25'!M:M,1,0))</f>
        <v>#N/A</v>
      </c>
      <c r="G123" t="e">
        <f t="shared" si="1"/>
        <v>#N/A</v>
      </c>
    </row>
    <row r="124" spans="1:7" hidden="1" x14ac:dyDescent="0.25">
      <c r="A124">
        <f>BIdetails!G127</f>
        <v>0</v>
      </c>
      <c r="B124">
        <f>BIdetails!H127</f>
        <v>0</v>
      </c>
      <c r="C124">
        <f>BIdetails!J127</f>
        <v>0</v>
      </c>
      <c r="D124">
        <f>BIdetails!K127</f>
        <v>0</v>
      </c>
      <c r="E124" s="165">
        <f>BIdetails!M127</f>
        <v>0</v>
      </c>
      <c r="F124" t="e">
        <f>IF(ISERROR(IF(OR(C124="#",C124=0),"",VLOOKUP(C124,'AOP25'!M:M,1,0))),"Not Found",VLOOKUP(C124,'AOP25'!M:M,1,0))</f>
        <v>#N/A</v>
      </c>
      <c r="G124" t="e">
        <f t="shared" si="1"/>
        <v>#N/A</v>
      </c>
    </row>
    <row r="125" spans="1:7" hidden="1" x14ac:dyDescent="0.25">
      <c r="A125">
        <f>BIdetails!G128</f>
        <v>0</v>
      </c>
      <c r="B125">
        <f>BIdetails!H128</f>
        <v>0</v>
      </c>
      <c r="C125">
        <f>BIdetails!J128</f>
        <v>0</v>
      </c>
      <c r="D125">
        <f>BIdetails!K128</f>
        <v>0</v>
      </c>
      <c r="E125" s="165">
        <f>BIdetails!M128</f>
        <v>0</v>
      </c>
      <c r="F125" t="e">
        <f>IF(ISERROR(IF(OR(C125="#",C125=0),"",VLOOKUP(C125,'AOP25'!M:M,1,0))),"Not Found",VLOOKUP(C125,'AOP25'!M:M,1,0))</f>
        <v>#N/A</v>
      </c>
      <c r="G125" t="e">
        <f t="shared" si="1"/>
        <v>#N/A</v>
      </c>
    </row>
    <row r="126" spans="1:7" hidden="1" x14ac:dyDescent="0.25">
      <c r="A126">
        <f>BIdetails!G129</f>
        <v>0</v>
      </c>
      <c r="B126">
        <f>BIdetails!H129</f>
        <v>0</v>
      </c>
      <c r="C126">
        <f>BIdetails!J129</f>
        <v>0</v>
      </c>
      <c r="D126">
        <f>BIdetails!K129</f>
        <v>0</v>
      </c>
      <c r="E126" s="165">
        <f>BIdetails!M129</f>
        <v>0</v>
      </c>
      <c r="F126" t="e">
        <f>IF(ISERROR(IF(OR(C126="#",C126=0),"",VLOOKUP(C126,'AOP25'!M:M,1,0))),"Not Found",VLOOKUP(C126,'AOP25'!M:M,1,0))</f>
        <v>#N/A</v>
      </c>
      <c r="G126" t="e">
        <f t="shared" si="1"/>
        <v>#N/A</v>
      </c>
    </row>
    <row r="127" spans="1:7" hidden="1" x14ac:dyDescent="0.25">
      <c r="A127">
        <f>BIdetails!G130</f>
        <v>0</v>
      </c>
      <c r="B127">
        <f>BIdetails!H130</f>
        <v>0</v>
      </c>
      <c r="C127">
        <f>BIdetails!J130</f>
        <v>0</v>
      </c>
      <c r="D127">
        <f>BIdetails!K130</f>
        <v>0</v>
      </c>
      <c r="E127" s="165">
        <f>BIdetails!M130</f>
        <v>0</v>
      </c>
      <c r="F127" t="e">
        <f>IF(ISERROR(IF(OR(C127="#",C127=0),"",VLOOKUP(C127,'AOP25'!M:M,1,0))),"Not Found",VLOOKUP(C127,'AOP25'!M:M,1,0))</f>
        <v>#N/A</v>
      </c>
      <c r="G127" t="e">
        <f t="shared" si="1"/>
        <v>#N/A</v>
      </c>
    </row>
    <row r="128" spans="1:7" hidden="1" x14ac:dyDescent="0.25">
      <c r="A128">
        <f>BIdetails!G131</f>
        <v>0</v>
      </c>
      <c r="B128">
        <f>BIdetails!H131</f>
        <v>0</v>
      </c>
      <c r="C128">
        <f>BIdetails!J131</f>
        <v>0</v>
      </c>
      <c r="D128">
        <f>BIdetails!K131</f>
        <v>0</v>
      </c>
      <c r="E128" s="165">
        <f>BIdetails!M131</f>
        <v>0</v>
      </c>
      <c r="F128" t="e">
        <f>IF(ISERROR(IF(OR(C128="#",C128=0),"",VLOOKUP(C128,'AOP25'!M:M,1,0))),"Not Found",VLOOKUP(C128,'AOP25'!M:M,1,0))</f>
        <v>#N/A</v>
      </c>
      <c r="G128" t="e">
        <f t="shared" si="1"/>
        <v>#N/A</v>
      </c>
    </row>
    <row r="129" spans="1:7" hidden="1" x14ac:dyDescent="0.25">
      <c r="A129">
        <f>BIdetails!G132</f>
        <v>0</v>
      </c>
      <c r="B129">
        <f>BIdetails!H132</f>
        <v>0</v>
      </c>
      <c r="C129">
        <f>BIdetails!J132</f>
        <v>0</v>
      </c>
      <c r="D129">
        <f>BIdetails!K132</f>
        <v>0</v>
      </c>
      <c r="E129" s="165">
        <f>BIdetails!M132</f>
        <v>0</v>
      </c>
      <c r="F129" t="e">
        <f>IF(ISERROR(IF(OR(C129="#",C129=0),"",VLOOKUP(C129,'AOP25'!M:M,1,0))),"Not Found",VLOOKUP(C129,'AOP25'!M:M,1,0))</f>
        <v>#N/A</v>
      </c>
      <c r="G129" t="e">
        <f t="shared" si="1"/>
        <v>#N/A</v>
      </c>
    </row>
    <row r="130" spans="1:7" x14ac:dyDescent="0.25">
      <c r="A130">
        <f>BIdetails!G133</f>
        <v>0</v>
      </c>
      <c r="B130">
        <f>BIdetails!H133</f>
        <v>0</v>
      </c>
      <c r="C130">
        <f>BIdetails!J133</f>
        <v>0</v>
      </c>
      <c r="D130">
        <f>BIdetails!K133</f>
        <v>0</v>
      </c>
      <c r="E130" s="165">
        <f>BIdetails!M133</f>
        <v>0</v>
      </c>
      <c r="F130" t="e">
        <f>IF(ISERROR(IF(OR(C130="#",C130=0),"",VLOOKUP(C130,'AOP25'!M:M,1,0))),"Not Found",VLOOKUP(C130,'AOP25'!M:M,1,0))</f>
        <v>#N/A</v>
      </c>
      <c r="G130" t="e">
        <f t="shared" si="1"/>
        <v>#N/A</v>
      </c>
    </row>
    <row r="131" spans="1:7" x14ac:dyDescent="0.25">
      <c r="A131">
        <f>BIdetails!G134</f>
        <v>0</v>
      </c>
      <c r="B131">
        <f>BIdetails!H134</f>
        <v>0</v>
      </c>
      <c r="C131">
        <f>BIdetails!J134</f>
        <v>0</v>
      </c>
      <c r="D131">
        <f>BIdetails!K134</f>
        <v>0</v>
      </c>
      <c r="E131" s="165">
        <f>BIdetails!M134</f>
        <v>0</v>
      </c>
      <c r="F131" t="e">
        <f>IF(ISERROR(IF(OR(C131="#",C131=0),"",VLOOKUP(C131,'AOP25'!M:M,1,0))),"Not Found",VLOOKUP(C131,'AOP25'!M:M,1,0))</f>
        <v>#N/A</v>
      </c>
      <c r="G131" t="e">
        <f t="shared" ref="G131:G194" si="2">IF(NOT(ISERROR(VLOOKUP(C131,$K$2:$K$50,1,0))),"Y",VLOOKUP(C131,$K$2:$K$50,1,0))</f>
        <v>#N/A</v>
      </c>
    </row>
    <row r="132" spans="1:7" x14ac:dyDescent="0.25">
      <c r="A132">
        <f>BIdetails!G135</f>
        <v>0</v>
      </c>
      <c r="B132">
        <f>BIdetails!H135</f>
        <v>0</v>
      </c>
      <c r="C132">
        <f>BIdetails!J135</f>
        <v>0</v>
      </c>
      <c r="D132">
        <f>BIdetails!K135</f>
        <v>0</v>
      </c>
      <c r="E132" s="165">
        <f>BIdetails!M135</f>
        <v>0</v>
      </c>
      <c r="F132" t="e">
        <f>IF(ISERROR(IF(OR(C132="#",C132=0),"",VLOOKUP(C132,'AOP25'!M:M,1,0))),"Not Found",VLOOKUP(C132,'AOP25'!M:M,1,0))</f>
        <v>#N/A</v>
      </c>
      <c r="G132" t="e">
        <f t="shared" si="2"/>
        <v>#N/A</v>
      </c>
    </row>
    <row r="133" spans="1:7" x14ac:dyDescent="0.25">
      <c r="A133">
        <f>BIdetails!G136</f>
        <v>0</v>
      </c>
      <c r="B133">
        <f>BIdetails!H136</f>
        <v>0</v>
      </c>
      <c r="C133">
        <f>BIdetails!J136</f>
        <v>0</v>
      </c>
      <c r="D133">
        <f>BIdetails!K136</f>
        <v>0</v>
      </c>
      <c r="E133" s="165">
        <f>BIdetails!M136</f>
        <v>0</v>
      </c>
      <c r="F133" t="e">
        <f>IF(ISERROR(IF(OR(C133="#",C133=0),"",VLOOKUP(C133,'AOP25'!M:M,1,0))),"Not Found",VLOOKUP(C133,'AOP25'!M:M,1,0))</f>
        <v>#N/A</v>
      </c>
      <c r="G133" t="e">
        <f t="shared" si="2"/>
        <v>#N/A</v>
      </c>
    </row>
    <row r="134" spans="1:7" hidden="1" x14ac:dyDescent="0.25">
      <c r="A134">
        <f>BIdetails!G137</f>
        <v>0</v>
      </c>
      <c r="B134">
        <f>BIdetails!H137</f>
        <v>0</v>
      </c>
      <c r="C134">
        <f>BIdetails!J137</f>
        <v>0</v>
      </c>
      <c r="D134">
        <f>BIdetails!K137</f>
        <v>0</v>
      </c>
      <c r="E134" s="165">
        <f>BIdetails!M137</f>
        <v>0</v>
      </c>
      <c r="F134" t="e">
        <f>IF(ISERROR(IF(OR(C134="#",C134=0),"",VLOOKUP(C134,'AOP25'!M:M,1,0))),"Not Found",VLOOKUP(C134,'AOP25'!M:M,1,0))</f>
        <v>#N/A</v>
      </c>
      <c r="G134" t="e">
        <f t="shared" si="2"/>
        <v>#N/A</v>
      </c>
    </row>
    <row r="135" spans="1:7" hidden="1" x14ac:dyDescent="0.25">
      <c r="A135">
        <f>BIdetails!G138</f>
        <v>0</v>
      </c>
      <c r="B135">
        <f>BIdetails!H138</f>
        <v>0</v>
      </c>
      <c r="C135">
        <f>BIdetails!J138</f>
        <v>0</v>
      </c>
      <c r="D135">
        <f>BIdetails!K138</f>
        <v>0</v>
      </c>
      <c r="E135" s="165">
        <f>BIdetails!M138</f>
        <v>0</v>
      </c>
      <c r="F135" t="e">
        <f>IF(ISERROR(IF(OR(C135="#",C135=0),"",VLOOKUP(C135,'AOP25'!M:M,1,0))),"Not Found",VLOOKUP(C135,'AOP25'!M:M,1,0))</f>
        <v>#N/A</v>
      </c>
      <c r="G135" t="e">
        <f t="shared" si="2"/>
        <v>#N/A</v>
      </c>
    </row>
    <row r="136" spans="1:7" x14ac:dyDescent="0.25">
      <c r="A136">
        <f>BIdetails!G139</f>
        <v>0</v>
      </c>
      <c r="B136">
        <f>BIdetails!H139</f>
        <v>0</v>
      </c>
      <c r="C136">
        <f>BIdetails!J139</f>
        <v>0</v>
      </c>
      <c r="D136">
        <f>BIdetails!K139</f>
        <v>0</v>
      </c>
      <c r="E136" s="165">
        <f>BIdetails!M139</f>
        <v>0</v>
      </c>
      <c r="F136" t="e">
        <f>IF(ISERROR(IF(OR(C136="#",C136=0),"",VLOOKUP(C136,'AOP25'!M:M,1,0))),"Not Found",VLOOKUP(C136,'AOP25'!M:M,1,0))</f>
        <v>#N/A</v>
      </c>
      <c r="G136" t="e">
        <f t="shared" si="2"/>
        <v>#N/A</v>
      </c>
    </row>
    <row r="137" spans="1:7" x14ac:dyDescent="0.25">
      <c r="A137">
        <f>BIdetails!G140</f>
        <v>0</v>
      </c>
      <c r="B137">
        <f>BIdetails!H140</f>
        <v>0</v>
      </c>
      <c r="C137">
        <f>BIdetails!J140</f>
        <v>0</v>
      </c>
      <c r="D137">
        <f>BIdetails!K140</f>
        <v>0</v>
      </c>
      <c r="E137" s="165">
        <f>BIdetails!M140</f>
        <v>0</v>
      </c>
      <c r="F137" t="e">
        <f>IF(ISERROR(IF(OR(C137="#",C137=0),"",VLOOKUP(C137,'AOP25'!M:M,1,0))),"Not Found",VLOOKUP(C137,'AOP25'!M:M,1,0))</f>
        <v>#N/A</v>
      </c>
      <c r="G137" t="e">
        <f t="shared" si="2"/>
        <v>#N/A</v>
      </c>
    </row>
    <row r="138" spans="1:7" hidden="1" x14ac:dyDescent="0.25">
      <c r="A138">
        <f>BIdetails!G141</f>
        <v>0</v>
      </c>
      <c r="B138">
        <f>BIdetails!H141</f>
        <v>0</v>
      </c>
      <c r="C138">
        <f>BIdetails!J141</f>
        <v>0</v>
      </c>
      <c r="D138">
        <f>BIdetails!K141</f>
        <v>0</v>
      </c>
      <c r="E138" s="165">
        <f>BIdetails!M141</f>
        <v>0</v>
      </c>
      <c r="F138" t="e">
        <f>IF(ISERROR(IF(OR(C138="#",C138=0),"",VLOOKUP(C138,'AOP25'!M:M,1,0))),"Not Found",VLOOKUP(C138,'AOP25'!M:M,1,0))</f>
        <v>#N/A</v>
      </c>
      <c r="G138" t="e">
        <f t="shared" si="2"/>
        <v>#N/A</v>
      </c>
    </row>
    <row r="139" spans="1:7" hidden="1" x14ac:dyDescent="0.25">
      <c r="A139">
        <f>BIdetails!G142</f>
        <v>0</v>
      </c>
      <c r="B139">
        <f>BIdetails!H142</f>
        <v>0</v>
      </c>
      <c r="C139">
        <f>BIdetails!J142</f>
        <v>0</v>
      </c>
      <c r="D139">
        <f>BIdetails!K142</f>
        <v>0</v>
      </c>
      <c r="E139" s="165">
        <f>BIdetails!M142</f>
        <v>0</v>
      </c>
      <c r="F139" t="e">
        <f>IF(ISERROR(IF(OR(C139="#",C139=0),"",VLOOKUP(C139,'AOP25'!M:M,1,0))),"Not Found",VLOOKUP(C139,'AOP25'!M:M,1,0))</f>
        <v>#N/A</v>
      </c>
      <c r="G139" t="e">
        <f t="shared" si="2"/>
        <v>#N/A</v>
      </c>
    </row>
    <row r="140" spans="1:7" x14ac:dyDescent="0.25">
      <c r="A140">
        <f>BIdetails!G143</f>
        <v>0</v>
      </c>
      <c r="B140">
        <f>BIdetails!H143</f>
        <v>0</v>
      </c>
      <c r="C140">
        <f>BIdetails!J143</f>
        <v>0</v>
      </c>
      <c r="D140">
        <f>BIdetails!K143</f>
        <v>0</v>
      </c>
      <c r="E140" s="165">
        <f>BIdetails!M143</f>
        <v>0</v>
      </c>
      <c r="F140" t="e">
        <f>IF(ISERROR(IF(OR(C140="#",C140=0),"",VLOOKUP(C140,'AOP25'!M:M,1,0))),"Not Found",VLOOKUP(C140,'AOP25'!M:M,1,0))</f>
        <v>#N/A</v>
      </c>
      <c r="G140" t="e">
        <f t="shared" si="2"/>
        <v>#N/A</v>
      </c>
    </row>
    <row r="141" spans="1:7" x14ac:dyDescent="0.25">
      <c r="A141">
        <f>BIdetails!G144</f>
        <v>0</v>
      </c>
      <c r="B141">
        <f>BIdetails!H144</f>
        <v>0</v>
      </c>
      <c r="C141">
        <f>BIdetails!J144</f>
        <v>0</v>
      </c>
      <c r="D141">
        <f>BIdetails!K144</f>
        <v>0</v>
      </c>
      <c r="E141" s="165">
        <f>BIdetails!M144</f>
        <v>0</v>
      </c>
      <c r="F141" t="e">
        <f>IF(ISERROR(IF(OR(C141="#",C141=0),"",VLOOKUP(C141,'AOP25'!M:M,1,0))),"Not Found",VLOOKUP(C141,'AOP25'!M:M,1,0))</f>
        <v>#N/A</v>
      </c>
      <c r="G141" t="e">
        <f t="shared" si="2"/>
        <v>#N/A</v>
      </c>
    </row>
    <row r="142" spans="1:7" hidden="1" x14ac:dyDescent="0.25">
      <c r="A142">
        <f>BIdetails!G145</f>
        <v>0</v>
      </c>
      <c r="B142">
        <f>BIdetails!H145</f>
        <v>0</v>
      </c>
      <c r="C142">
        <f>BIdetails!J145</f>
        <v>0</v>
      </c>
      <c r="D142">
        <f>BIdetails!K145</f>
        <v>0</v>
      </c>
      <c r="E142" s="165">
        <f>BIdetails!M145</f>
        <v>0</v>
      </c>
      <c r="F142" t="e">
        <f>IF(ISERROR(IF(OR(C142="#",C142=0),"",VLOOKUP(C142,'AOP25'!M:M,1,0))),"Not Found",VLOOKUP(C142,'AOP25'!M:M,1,0))</f>
        <v>#N/A</v>
      </c>
      <c r="G142" t="e">
        <f t="shared" si="2"/>
        <v>#N/A</v>
      </c>
    </row>
    <row r="143" spans="1:7" hidden="1" x14ac:dyDescent="0.25">
      <c r="A143">
        <f>BIdetails!G146</f>
        <v>0</v>
      </c>
      <c r="B143">
        <f>BIdetails!H146</f>
        <v>0</v>
      </c>
      <c r="C143">
        <f>BIdetails!J146</f>
        <v>0</v>
      </c>
      <c r="D143">
        <f>BIdetails!K146</f>
        <v>0</v>
      </c>
      <c r="E143" s="165">
        <f>BIdetails!M146</f>
        <v>0</v>
      </c>
      <c r="F143" t="e">
        <f>IF(ISERROR(IF(OR(C143="#",C143=0),"",VLOOKUP(C143,'AOP25'!M:M,1,0))),"Not Found",VLOOKUP(C143,'AOP25'!M:M,1,0))</f>
        <v>#N/A</v>
      </c>
      <c r="G143" t="e">
        <f t="shared" si="2"/>
        <v>#N/A</v>
      </c>
    </row>
    <row r="144" spans="1:7" hidden="1" x14ac:dyDescent="0.25">
      <c r="A144">
        <f>BIdetails!G147</f>
        <v>0</v>
      </c>
      <c r="B144">
        <f>BIdetails!H147</f>
        <v>0</v>
      </c>
      <c r="C144">
        <f>BIdetails!J147</f>
        <v>0</v>
      </c>
      <c r="D144">
        <f>BIdetails!K147</f>
        <v>0</v>
      </c>
      <c r="E144" s="165">
        <f>BIdetails!M147</f>
        <v>0</v>
      </c>
      <c r="F144" t="e">
        <f>IF(ISERROR(IF(OR(C144="#",C144=0),"",VLOOKUP(C144,'AOP25'!M:M,1,0))),"Not Found",VLOOKUP(C144,'AOP25'!M:M,1,0))</f>
        <v>#N/A</v>
      </c>
      <c r="G144" t="e">
        <f t="shared" si="2"/>
        <v>#N/A</v>
      </c>
    </row>
    <row r="145" spans="1:7" x14ac:dyDescent="0.25">
      <c r="A145">
        <f>BIdetails!G148</f>
        <v>0</v>
      </c>
      <c r="B145">
        <f>BIdetails!H148</f>
        <v>0</v>
      </c>
      <c r="C145">
        <f>BIdetails!J148</f>
        <v>0</v>
      </c>
      <c r="D145">
        <f>BIdetails!K148</f>
        <v>0</v>
      </c>
      <c r="E145" s="165">
        <f>BIdetails!M148</f>
        <v>0</v>
      </c>
      <c r="F145" t="e">
        <f>IF(ISERROR(IF(OR(C145="#",C145=0),"",VLOOKUP(C145,'AOP25'!M:M,1,0))),"Not Found",VLOOKUP(C145,'AOP25'!M:M,1,0))</f>
        <v>#N/A</v>
      </c>
      <c r="G145" t="e">
        <f t="shared" si="2"/>
        <v>#N/A</v>
      </c>
    </row>
    <row r="146" spans="1:7" x14ac:dyDescent="0.25">
      <c r="A146">
        <f>BIdetails!G149</f>
        <v>0</v>
      </c>
      <c r="B146">
        <f>BIdetails!H149</f>
        <v>0</v>
      </c>
      <c r="C146">
        <f>BIdetails!J149</f>
        <v>0</v>
      </c>
      <c r="D146">
        <f>BIdetails!K149</f>
        <v>0</v>
      </c>
      <c r="E146" s="165">
        <f>BIdetails!M149</f>
        <v>0</v>
      </c>
      <c r="F146" t="e">
        <f>IF(ISERROR(IF(OR(C146="#",C146=0),"",VLOOKUP(C146,'AOP25'!M:M,1,0))),"Not Found",VLOOKUP(C146,'AOP25'!M:M,1,0))</f>
        <v>#N/A</v>
      </c>
      <c r="G146" t="e">
        <f t="shared" si="2"/>
        <v>#N/A</v>
      </c>
    </row>
    <row r="147" spans="1:7" x14ac:dyDescent="0.25">
      <c r="A147">
        <f>BIdetails!G150</f>
        <v>0</v>
      </c>
      <c r="B147">
        <f>BIdetails!H150</f>
        <v>0</v>
      </c>
      <c r="C147">
        <f>BIdetails!J150</f>
        <v>0</v>
      </c>
      <c r="D147">
        <f>BIdetails!K150</f>
        <v>0</v>
      </c>
      <c r="E147" s="165">
        <f>BIdetails!M150</f>
        <v>0</v>
      </c>
      <c r="F147" t="e">
        <f>IF(ISERROR(IF(OR(C147="#",C147=0),"",VLOOKUP(C147,'AOP25'!M:M,1,0))),"Not Found",VLOOKUP(C147,'AOP25'!M:M,1,0))</f>
        <v>#N/A</v>
      </c>
      <c r="G147" t="e">
        <f t="shared" si="2"/>
        <v>#N/A</v>
      </c>
    </row>
    <row r="148" spans="1:7" x14ac:dyDescent="0.25">
      <c r="A148">
        <f>BIdetails!G151</f>
        <v>0</v>
      </c>
      <c r="B148">
        <f>BIdetails!H151</f>
        <v>0</v>
      </c>
      <c r="C148">
        <f>BIdetails!J151</f>
        <v>0</v>
      </c>
      <c r="D148">
        <f>BIdetails!K151</f>
        <v>0</v>
      </c>
      <c r="E148" s="165">
        <f>BIdetails!M151</f>
        <v>0</v>
      </c>
      <c r="F148" t="e">
        <f>IF(ISERROR(IF(OR(C148="#",C148=0),"",VLOOKUP(C148,'AOP25'!M:M,1,0))),"Not Found",VLOOKUP(C148,'AOP25'!M:M,1,0))</f>
        <v>#N/A</v>
      </c>
      <c r="G148" t="e">
        <f t="shared" si="2"/>
        <v>#N/A</v>
      </c>
    </row>
    <row r="149" spans="1:7" x14ac:dyDescent="0.25">
      <c r="A149">
        <f>BIdetails!G152</f>
        <v>0</v>
      </c>
      <c r="B149">
        <f>BIdetails!H152</f>
        <v>0</v>
      </c>
      <c r="C149">
        <f>BIdetails!J152</f>
        <v>0</v>
      </c>
      <c r="D149">
        <f>BIdetails!K152</f>
        <v>0</v>
      </c>
      <c r="E149" s="165">
        <f>BIdetails!M152</f>
        <v>0</v>
      </c>
      <c r="F149" t="e">
        <f>IF(ISERROR(IF(OR(C149="#",C149=0),"",VLOOKUP(C149,'AOP25'!M:M,1,0))),"Not Found",VLOOKUP(C149,'AOP25'!M:M,1,0))</f>
        <v>#N/A</v>
      </c>
      <c r="G149" t="e">
        <f t="shared" si="2"/>
        <v>#N/A</v>
      </c>
    </row>
    <row r="150" spans="1:7" hidden="1" x14ac:dyDescent="0.25">
      <c r="A150">
        <f>BIdetails!G153</f>
        <v>0</v>
      </c>
      <c r="B150">
        <f>BIdetails!H153</f>
        <v>0</v>
      </c>
      <c r="C150">
        <f>BIdetails!J153</f>
        <v>0</v>
      </c>
      <c r="D150">
        <f>BIdetails!K153</f>
        <v>0</v>
      </c>
      <c r="E150" s="165">
        <f>BIdetails!M153</f>
        <v>0</v>
      </c>
      <c r="F150" t="e">
        <f>IF(ISERROR(IF(OR(C150="#",C150=0),"",VLOOKUP(C150,'AOP25'!M:M,1,0))),"Not Found",VLOOKUP(C150,'AOP25'!M:M,1,0))</f>
        <v>#N/A</v>
      </c>
      <c r="G150" t="e">
        <f t="shared" si="2"/>
        <v>#N/A</v>
      </c>
    </row>
    <row r="151" spans="1:7" hidden="1" x14ac:dyDescent="0.25">
      <c r="A151">
        <f>BIdetails!G154</f>
        <v>0</v>
      </c>
      <c r="B151">
        <f>BIdetails!H154</f>
        <v>0</v>
      </c>
      <c r="C151">
        <f>BIdetails!J154</f>
        <v>0</v>
      </c>
      <c r="D151">
        <f>BIdetails!K154</f>
        <v>0</v>
      </c>
      <c r="E151" s="165">
        <f>BIdetails!M154</f>
        <v>0</v>
      </c>
      <c r="F151" t="e">
        <f>IF(ISERROR(IF(OR(C151="#",C151=0),"",VLOOKUP(C151,'AOP25'!M:M,1,0))),"Not Found",VLOOKUP(C151,'AOP25'!M:M,1,0))</f>
        <v>#N/A</v>
      </c>
      <c r="G151" t="e">
        <f t="shared" si="2"/>
        <v>#N/A</v>
      </c>
    </row>
    <row r="152" spans="1:7" hidden="1" x14ac:dyDescent="0.25">
      <c r="A152">
        <f>BIdetails!G155</f>
        <v>0</v>
      </c>
      <c r="B152">
        <f>BIdetails!H155</f>
        <v>0</v>
      </c>
      <c r="C152">
        <f>BIdetails!J155</f>
        <v>0</v>
      </c>
      <c r="D152">
        <f>BIdetails!K155</f>
        <v>0</v>
      </c>
      <c r="E152" s="165">
        <f>BIdetails!M155</f>
        <v>0</v>
      </c>
      <c r="F152" t="e">
        <f>IF(ISERROR(IF(OR(C152="#",C152=0),"",VLOOKUP(C152,'AOP25'!M:M,1,0))),"Not Found",VLOOKUP(C152,'AOP25'!M:M,1,0))</f>
        <v>#N/A</v>
      </c>
      <c r="G152" t="e">
        <f t="shared" si="2"/>
        <v>#N/A</v>
      </c>
    </row>
    <row r="153" spans="1:7" hidden="1" x14ac:dyDescent="0.25">
      <c r="A153">
        <f>BIdetails!G156</f>
        <v>0</v>
      </c>
      <c r="B153">
        <f>BIdetails!H156</f>
        <v>0</v>
      </c>
      <c r="C153">
        <f>BIdetails!J156</f>
        <v>0</v>
      </c>
      <c r="D153">
        <f>BIdetails!K156</f>
        <v>0</v>
      </c>
      <c r="E153" s="165">
        <f>BIdetails!M156</f>
        <v>0</v>
      </c>
      <c r="F153" t="e">
        <f>IF(ISERROR(IF(OR(C153="#",C153=0),"",VLOOKUP(C153,'AOP25'!M:M,1,0))),"Not Found",VLOOKUP(C153,'AOP25'!M:M,1,0))</f>
        <v>#N/A</v>
      </c>
      <c r="G153" t="e">
        <f t="shared" si="2"/>
        <v>#N/A</v>
      </c>
    </row>
    <row r="154" spans="1:7" hidden="1" x14ac:dyDescent="0.25">
      <c r="A154">
        <f>BIdetails!G157</f>
        <v>0</v>
      </c>
      <c r="B154">
        <f>BIdetails!H157</f>
        <v>0</v>
      </c>
      <c r="C154">
        <f>BIdetails!J157</f>
        <v>0</v>
      </c>
      <c r="D154">
        <f>BIdetails!K157</f>
        <v>0</v>
      </c>
      <c r="E154" s="165">
        <f>BIdetails!M157</f>
        <v>0</v>
      </c>
      <c r="F154" t="e">
        <f>IF(ISERROR(IF(OR(C154="#",C154=0),"",VLOOKUP(C154,'AOP25'!M:M,1,0))),"Not Found",VLOOKUP(C154,'AOP25'!M:M,1,0))</f>
        <v>#N/A</v>
      </c>
      <c r="G154" t="e">
        <f t="shared" si="2"/>
        <v>#N/A</v>
      </c>
    </row>
    <row r="155" spans="1:7" hidden="1" x14ac:dyDescent="0.25">
      <c r="A155">
        <f>BIdetails!G158</f>
        <v>0</v>
      </c>
      <c r="B155">
        <f>BIdetails!H158</f>
        <v>0</v>
      </c>
      <c r="C155">
        <f>BIdetails!J158</f>
        <v>0</v>
      </c>
      <c r="D155">
        <f>BIdetails!K158</f>
        <v>0</v>
      </c>
      <c r="E155" s="165">
        <f>BIdetails!M158</f>
        <v>0</v>
      </c>
      <c r="F155" t="e">
        <f>IF(ISERROR(IF(OR(C155="#",C155=0),"",VLOOKUP(C155,'AOP25'!M:M,1,0))),"Not Found",VLOOKUP(C155,'AOP25'!M:M,1,0))</f>
        <v>#N/A</v>
      </c>
      <c r="G155" t="e">
        <f t="shared" si="2"/>
        <v>#N/A</v>
      </c>
    </row>
    <row r="156" spans="1:7" hidden="1" x14ac:dyDescent="0.25">
      <c r="A156">
        <f>BIdetails!G159</f>
        <v>0</v>
      </c>
      <c r="B156">
        <f>BIdetails!H159</f>
        <v>0</v>
      </c>
      <c r="C156">
        <f>BIdetails!J159</f>
        <v>0</v>
      </c>
      <c r="D156">
        <f>BIdetails!K159</f>
        <v>0</v>
      </c>
      <c r="E156" s="165">
        <f>BIdetails!M159</f>
        <v>0</v>
      </c>
      <c r="F156" t="e">
        <f>IF(ISERROR(IF(OR(C156="#",C156=0),"",VLOOKUP(C156,'AOP25'!M:M,1,0))),"Not Found",VLOOKUP(C156,'AOP25'!M:M,1,0))</f>
        <v>#N/A</v>
      </c>
      <c r="G156" t="e">
        <f t="shared" si="2"/>
        <v>#N/A</v>
      </c>
    </row>
    <row r="157" spans="1:7" hidden="1" x14ac:dyDescent="0.25">
      <c r="A157">
        <f>BIdetails!G160</f>
        <v>0</v>
      </c>
      <c r="B157">
        <f>BIdetails!H160</f>
        <v>0</v>
      </c>
      <c r="C157">
        <f>BIdetails!J160</f>
        <v>0</v>
      </c>
      <c r="D157">
        <f>BIdetails!K160</f>
        <v>0</v>
      </c>
      <c r="E157" s="165">
        <f>BIdetails!M160</f>
        <v>0</v>
      </c>
      <c r="F157" t="e">
        <f>IF(ISERROR(IF(OR(C157="#",C157=0),"",VLOOKUP(C157,'AOP25'!M:M,1,0))),"Not Found",VLOOKUP(C157,'AOP25'!M:M,1,0))</f>
        <v>#N/A</v>
      </c>
      <c r="G157" t="e">
        <f t="shared" si="2"/>
        <v>#N/A</v>
      </c>
    </row>
    <row r="158" spans="1:7" hidden="1" x14ac:dyDescent="0.25">
      <c r="A158">
        <f>BIdetails!G161</f>
        <v>0</v>
      </c>
      <c r="B158">
        <f>BIdetails!H161</f>
        <v>0</v>
      </c>
      <c r="C158">
        <f>BIdetails!J161</f>
        <v>0</v>
      </c>
      <c r="D158">
        <f>BIdetails!K161</f>
        <v>0</v>
      </c>
      <c r="E158" s="165">
        <f>BIdetails!M161</f>
        <v>0</v>
      </c>
      <c r="F158" t="e">
        <f>IF(ISERROR(IF(OR(C158="#",C158=0),"",VLOOKUP(C158,'AOP25'!M:M,1,0))),"Not Found",VLOOKUP(C158,'AOP25'!M:M,1,0))</f>
        <v>#N/A</v>
      </c>
      <c r="G158" t="e">
        <f t="shared" si="2"/>
        <v>#N/A</v>
      </c>
    </row>
    <row r="159" spans="1:7" hidden="1" x14ac:dyDescent="0.25">
      <c r="A159">
        <f>BIdetails!G162</f>
        <v>0</v>
      </c>
      <c r="B159">
        <f>BIdetails!H162</f>
        <v>0</v>
      </c>
      <c r="C159">
        <f>BIdetails!J162</f>
        <v>0</v>
      </c>
      <c r="D159">
        <f>BIdetails!K162</f>
        <v>0</v>
      </c>
      <c r="E159" s="165">
        <f>BIdetails!M162</f>
        <v>0</v>
      </c>
      <c r="F159" t="e">
        <f>IF(ISERROR(IF(OR(C159="#",C159=0),"",VLOOKUP(C159,'AOP25'!M:M,1,0))),"Not Found",VLOOKUP(C159,'AOP25'!M:M,1,0))</f>
        <v>#N/A</v>
      </c>
      <c r="G159" t="e">
        <f t="shared" si="2"/>
        <v>#N/A</v>
      </c>
    </row>
    <row r="160" spans="1:7" hidden="1" x14ac:dyDescent="0.25">
      <c r="A160">
        <f>BIdetails!G163</f>
        <v>0</v>
      </c>
      <c r="B160">
        <f>BIdetails!H163</f>
        <v>0</v>
      </c>
      <c r="C160">
        <f>BIdetails!J163</f>
        <v>0</v>
      </c>
      <c r="D160">
        <f>BIdetails!K163</f>
        <v>0</v>
      </c>
      <c r="E160" s="165">
        <f>BIdetails!M163</f>
        <v>0</v>
      </c>
      <c r="F160" t="e">
        <f>IF(ISERROR(IF(OR(C160="#",C160=0),"",VLOOKUP(C160,'AOP25'!M:M,1,0))),"Not Found",VLOOKUP(C160,'AOP25'!M:M,1,0))</f>
        <v>#N/A</v>
      </c>
      <c r="G160" t="e">
        <f t="shared" si="2"/>
        <v>#N/A</v>
      </c>
    </row>
    <row r="161" spans="1:7" hidden="1" x14ac:dyDescent="0.25">
      <c r="A161">
        <f>BIdetails!G164</f>
        <v>0</v>
      </c>
      <c r="B161">
        <f>BIdetails!H164</f>
        <v>0</v>
      </c>
      <c r="C161">
        <f>BIdetails!J164</f>
        <v>0</v>
      </c>
      <c r="D161">
        <f>BIdetails!K164</f>
        <v>0</v>
      </c>
      <c r="E161" s="165">
        <f>BIdetails!M164</f>
        <v>0</v>
      </c>
      <c r="F161" t="e">
        <f>IF(ISERROR(IF(OR(C161="#",C161=0),"",VLOOKUP(C161,'AOP25'!M:M,1,0))),"Not Found",VLOOKUP(C161,'AOP25'!M:M,1,0))</f>
        <v>#N/A</v>
      </c>
      <c r="G161" t="e">
        <f t="shared" si="2"/>
        <v>#N/A</v>
      </c>
    </row>
    <row r="162" spans="1:7" hidden="1" x14ac:dyDescent="0.25">
      <c r="A162">
        <f>BIdetails!G165</f>
        <v>0</v>
      </c>
      <c r="B162">
        <f>BIdetails!H165</f>
        <v>0</v>
      </c>
      <c r="C162">
        <f>BIdetails!J165</f>
        <v>0</v>
      </c>
      <c r="D162">
        <f>BIdetails!K165</f>
        <v>0</v>
      </c>
      <c r="E162" s="165">
        <f>BIdetails!M165</f>
        <v>0</v>
      </c>
      <c r="F162" t="e">
        <f>IF(ISERROR(IF(OR(C162="#",C162=0),"",VLOOKUP(C162,'AOP25'!M:M,1,0))),"Not Found",VLOOKUP(C162,'AOP25'!M:M,1,0))</f>
        <v>#N/A</v>
      </c>
      <c r="G162" t="e">
        <f t="shared" si="2"/>
        <v>#N/A</v>
      </c>
    </row>
    <row r="163" spans="1:7" hidden="1" x14ac:dyDescent="0.25">
      <c r="A163">
        <f>BIdetails!G166</f>
        <v>0</v>
      </c>
      <c r="B163">
        <f>BIdetails!H166</f>
        <v>0</v>
      </c>
      <c r="C163">
        <f>BIdetails!J166</f>
        <v>0</v>
      </c>
      <c r="D163">
        <f>BIdetails!K166</f>
        <v>0</v>
      </c>
      <c r="E163" s="165">
        <f>BIdetails!M166</f>
        <v>0</v>
      </c>
      <c r="F163" t="e">
        <f>IF(ISERROR(IF(OR(C163="#",C163=0),"",VLOOKUP(C163,'AOP25'!M:M,1,0))),"Not Found",VLOOKUP(C163,'AOP25'!M:M,1,0))</f>
        <v>#N/A</v>
      </c>
      <c r="G163" t="e">
        <f t="shared" si="2"/>
        <v>#N/A</v>
      </c>
    </row>
    <row r="164" spans="1:7" hidden="1" x14ac:dyDescent="0.25">
      <c r="A164">
        <f>BIdetails!G167</f>
        <v>0</v>
      </c>
      <c r="B164">
        <f>BIdetails!H167</f>
        <v>0</v>
      </c>
      <c r="C164">
        <f>BIdetails!J167</f>
        <v>0</v>
      </c>
      <c r="D164">
        <f>BIdetails!K167</f>
        <v>0</v>
      </c>
      <c r="E164" s="165">
        <f>BIdetails!M167</f>
        <v>0</v>
      </c>
      <c r="F164" t="e">
        <f>IF(ISERROR(IF(OR(C164="#",C164=0),"",VLOOKUP(C164,'AOP25'!M:M,1,0))),"Not Found",VLOOKUP(C164,'AOP25'!M:M,1,0))</f>
        <v>#N/A</v>
      </c>
      <c r="G164" t="e">
        <f t="shared" si="2"/>
        <v>#N/A</v>
      </c>
    </row>
    <row r="165" spans="1:7" hidden="1" x14ac:dyDescent="0.25">
      <c r="A165">
        <f>BIdetails!G168</f>
        <v>0</v>
      </c>
      <c r="B165">
        <f>BIdetails!H168</f>
        <v>0</v>
      </c>
      <c r="C165">
        <f>BIdetails!J168</f>
        <v>0</v>
      </c>
      <c r="D165">
        <f>BIdetails!K168</f>
        <v>0</v>
      </c>
      <c r="E165" s="165">
        <f>BIdetails!M168</f>
        <v>0</v>
      </c>
      <c r="F165" t="e">
        <f>IF(ISERROR(IF(OR(C165="#",C165=0),"",VLOOKUP(C165,'AOP25'!M:M,1,0))),"Not Found",VLOOKUP(C165,'AOP25'!M:M,1,0))</f>
        <v>#N/A</v>
      </c>
      <c r="G165" t="e">
        <f t="shared" si="2"/>
        <v>#N/A</v>
      </c>
    </row>
    <row r="166" spans="1:7" hidden="1" x14ac:dyDescent="0.25">
      <c r="A166">
        <f>BIdetails!G169</f>
        <v>0</v>
      </c>
      <c r="B166">
        <f>BIdetails!H169</f>
        <v>0</v>
      </c>
      <c r="C166">
        <f>BIdetails!J169</f>
        <v>0</v>
      </c>
      <c r="D166">
        <f>BIdetails!K169</f>
        <v>0</v>
      </c>
      <c r="E166" s="165">
        <f>BIdetails!M169</f>
        <v>0</v>
      </c>
      <c r="F166" t="e">
        <f>IF(ISERROR(IF(OR(C166="#",C166=0),"",VLOOKUP(C166,'AOP25'!M:M,1,0))),"Not Found",VLOOKUP(C166,'AOP25'!M:M,1,0))</f>
        <v>#N/A</v>
      </c>
      <c r="G166" t="e">
        <f t="shared" si="2"/>
        <v>#N/A</v>
      </c>
    </row>
    <row r="167" spans="1:7" x14ac:dyDescent="0.25">
      <c r="A167">
        <f>BIdetails!G170</f>
        <v>0</v>
      </c>
      <c r="B167">
        <f>BIdetails!H170</f>
        <v>0</v>
      </c>
      <c r="C167">
        <f>BIdetails!J170</f>
        <v>0</v>
      </c>
      <c r="D167">
        <f>BIdetails!K170</f>
        <v>0</v>
      </c>
      <c r="E167" s="165">
        <f>BIdetails!M170</f>
        <v>0</v>
      </c>
      <c r="F167" t="e">
        <f>IF(ISERROR(IF(OR(C167="#",C167=0),"",VLOOKUP(C167,'AOP25'!M:M,1,0))),"Not Found",VLOOKUP(C167,'AOP25'!M:M,1,0))</f>
        <v>#N/A</v>
      </c>
      <c r="G167" t="e">
        <f t="shared" si="2"/>
        <v>#N/A</v>
      </c>
    </row>
    <row r="168" spans="1:7" x14ac:dyDescent="0.25">
      <c r="A168">
        <f>BIdetails!G171</f>
        <v>0</v>
      </c>
      <c r="B168">
        <f>BIdetails!H171</f>
        <v>0</v>
      </c>
      <c r="C168">
        <f>BIdetails!J171</f>
        <v>0</v>
      </c>
      <c r="D168">
        <f>BIdetails!K171</f>
        <v>0</v>
      </c>
      <c r="E168" s="165">
        <f>BIdetails!M171</f>
        <v>0</v>
      </c>
      <c r="F168" t="e">
        <f>IF(ISERROR(IF(OR(C168="#",C168=0),"",VLOOKUP(C168,'AOP25'!M:M,1,0))),"Not Found",VLOOKUP(C168,'AOP25'!M:M,1,0))</f>
        <v>#N/A</v>
      </c>
      <c r="G168" t="e">
        <f t="shared" si="2"/>
        <v>#N/A</v>
      </c>
    </row>
    <row r="169" spans="1:7" x14ac:dyDescent="0.25">
      <c r="A169">
        <f>BIdetails!G172</f>
        <v>0</v>
      </c>
      <c r="B169">
        <f>BIdetails!H172</f>
        <v>0</v>
      </c>
      <c r="C169">
        <f>BIdetails!J172</f>
        <v>0</v>
      </c>
      <c r="D169">
        <f>BIdetails!K172</f>
        <v>0</v>
      </c>
      <c r="E169" s="165">
        <f>BIdetails!M172</f>
        <v>0</v>
      </c>
      <c r="F169" t="e">
        <f>IF(ISERROR(IF(OR(C169="#",C169=0),"",VLOOKUP(C169,'AOP25'!M:M,1,0))),"Not Found",VLOOKUP(C169,'AOP25'!M:M,1,0))</f>
        <v>#N/A</v>
      </c>
      <c r="G169" t="e">
        <f t="shared" si="2"/>
        <v>#N/A</v>
      </c>
    </row>
    <row r="170" spans="1:7" x14ac:dyDescent="0.25">
      <c r="A170">
        <f>BIdetails!G173</f>
        <v>0</v>
      </c>
      <c r="B170">
        <f>BIdetails!H173</f>
        <v>0</v>
      </c>
      <c r="C170">
        <f>BIdetails!J173</f>
        <v>0</v>
      </c>
      <c r="D170">
        <f>BIdetails!K173</f>
        <v>0</v>
      </c>
      <c r="E170" s="165">
        <f>BIdetails!M173</f>
        <v>0</v>
      </c>
      <c r="F170" t="e">
        <f>IF(ISERROR(IF(OR(C170="#",C170=0),"",VLOOKUP(C170,'AOP25'!M:M,1,0))),"Not Found",VLOOKUP(C170,'AOP25'!M:M,1,0))</f>
        <v>#N/A</v>
      </c>
      <c r="G170" t="e">
        <f t="shared" si="2"/>
        <v>#N/A</v>
      </c>
    </row>
    <row r="171" spans="1:7" x14ac:dyDescent="0.25">
      <c r="A171">
        <f>BIdetails!G174</f>
        <v>0</v>
      </c>
      <c r="B171">
        <f>BIdetails!H174</f>
        <v>0</v>
      </c>
      <c r="C171">
        <f>BIdetails!J174</f>
        <v>0</v>
      </c>
      <c r="D171">
        <f>BIdetails!K174</f>
        <v>0</v>
      </c>
      <c r="E171" s="165">
        <f>BIdetails!M174</f>
        <v>0</v>
      </c>
      <c r="F171" t="e">
        <f>IF(ISERROR(IF(OR(C171="#",C171=0),"",VLOOKUP(C171,'AOP25'!M:M,1,0))),"Not Found",VLOOKUP(C171,'AOP25'!M:M,1,0))</f>
        <v>#N/A</v>
      </c>
      <c r="G171" t="e">
        <f t="shared" si="2"/>
        <v>#N/A</v>
      </c>
    </row>
    <row r="172" spans="1:7" x14ac:dyDescent="0.25">
      <c r="A172">
        <f>BIdetails!G175</f>
        <v>0</v>
      </c>
      <c r="B172">
        <f>BIdetails!H175</f>
        <v>0</v>
      </c>
      <c r="C172">
        <f>BIdetails!J175</f>
        <v>0</v>
      </c>
      <c r="D172">
        <f>BIdetails!K175</f>
        <v>0</v>
      </c>
      <c r="E172" s="165">
        <f>BIdetails!M175</f>
        <v>0</v>
      </c>
      <c r="F172" t="e">
        <f>IF(ISERROR(IF(OR(C172="#",C172=0),"",VLOOKUP(C172,'AOP25'!M:M,1,0))),"Not Found",VLOOKUP(C172,'AOP25'!M:M,1,0))</f>
        <v>#N/A</v>
      </c>
      <c r="G172" t="e">
        <f t="shared" si="2"/>
        <v>#N/A</v>
      </c>
    </row>
    <row r="173" spans="1:7" x14ac:dyDescent="0.25">
      <c r="A173">
        <f>BIdetails!G176</f>
        <v>0</v>
      </c>
      <c r="B173">
        <f>BIdetails!H176</f>
        <v>0</v>
      </c>
      <c r="C173">
        <f>BIdetails!J176</f>
        <v>0</v>
      </c>
      <c r="D173">
        <f>BIdetails!K176</f>
        <v>0</v>
      </c>
      <c r="E173" s="165">
        <f>BIdetails!M176</f>
        <v>0</v>
      </c>
      <c r="F173" t="e">
        <f>IF(ISERROR(IF(OR(C173="#",C173=0),"",VLOOKUP(C173,'AOP25'!M:M,1,0))),"Not Found",VLOOKUP(C173,'AOP25'!M:M,1,0))</f>
        <v>#N/A</v>
      </c>
      <c r="G173" t="e">
        <f t="shared" si="2"/>
        <v>#N/A</v>
      </c>
    </row>
    <row r="174" spans="1:7" x14ac:dyDescent="0.25">
      <c r="A174">
        <f>BIdetails!G177</f>
        <v>0</v>
      </c>
      <c r="B174">
        <f>BIdetails!H177</f>
        <v>0</v>
      </c>
      <c r="C174">
        <f>BIdetails!J177</f>
        <v>0</v>
      </c>
      <c r="D174">
        <f>BIdetails!K177</f>
        <v>0</v>
      </c>
      <c r="E174" s="165">
        <f>BIdetails!M177</f>
        <v>0</v>
      </c>
      <c r="F174" t="e">
        <f>IF(ISERROR(IF(OR(C174="#",C174=0),"",VLOOKUP(C174,'AOP25'!M:M,1,0))),"Not Found",VLOOKUP(C174,'AOP25'!M:M,1,0))</f>
        <v>#N/A</v>
      </c>
      <c r="G174" t="e">
        <f t="shared" si="2"/>
        <v>#N/A</v>
      </c>
    </row>
    <row r="175" spans="1:7" hidden="1" x14ac:dyDescent="0.25">
      <c r="A175">
        <f>BIdetails!G178</f>
        <v>0</v>
      </c>
      <c r="B175">
        <f>BIdetails!H178</f>
        <v>0</v>
      </c>
      <c r="C175">
        <f>BIdetails!J178</f>
        <v>0</v>
      </c>
      <c r="D175">
        <f>BIdetails!K178</f>
        <v>0</v>
      </c>
      <c r="E175" s="165">
        <f>BIdetails!M178</f>
        <v>0</v>
      </c>
      <c r="F175" t="e">
        <f>IF(ISERROR(IF(OR(C175="#",C175=0),"",VLOOKUP(C175,'AOP25'!M:M,1,0))),"Not Found",VLOOKUP(C175,'AOP25'!M:M,1,0))</f>
        <v>#N/A</v>
      </c>
      <c r="G175" t="e">
        <f t="shared" si="2"/>
        <v>#N/A</v>
      </c>
    </row>
    <row r="176" spans="1:7" hidden="1" x14ac:dyDescent="0.25">
      <c r="A176">
        <f>BIdetails!G179</f>
        <v>0</v>
      </c>
      <c r="B176">
        <f>BIdetails!H179</f>
        <v>0</v>
      </c>
      <c r="C176">
        <f>BIdetails!J179</f>
        <v>0</v>
      </c>
      <c r="D176">
        <f>BIdetails!K179</f>
        <v>0</v>
      </c>
      <c r="E176" s="165">
        <f>BIdetails!M179</f>
        <v>0</v>
      </c>
      <c r="F176" t="e">
        <f>IF(ISERROR(IF(OR(C176="#",C176=0),"",VLOOKUP(C176,'AOP25'!M:M,1,0))),"Not Found",VLOOKUP(C176,'AOP25'!M:M,1,0))</f>
        <v>#N/A</v>
      </c>
      <c r="G176" t="e">
        <f t="shared" si="2"/>
        <v>#N/A</v>
      </c>
    </row>
    <row r="177" spans="1:7" hidden="1" x14ac:dyDescent="0.25">
      <c r="A177">
        <f>BIdetails!G180</f>
        <v>0</v>
      </c>
      <c r="B177">
        <f>BIdetails!H180</f>
        <v>0</v>
      </c>
      <c r="C177">
        <f>BIdetails!J180</f>
        <v>0</v>
      </c>
      <c r="D177">
        <f>BIdetails!K180</f>
        <v>0</v>
      </c>
      <c r="E177" s="165">
        <f>BIdetails!M180</f>
        <v>0</v>
      </c>
      <c r="F177" t="e">
        <f>IF(ISERROR(IF(OR(C177="#",C177=0),"",VLOOKUP(C177,'AOP25'!M:M,1,0))),"Not Found",VLOOKUP(C177,'AOP25'!M:M,1,0))</f>
        <v>#N/A</v>
      </c>
      <c r="G177" t="e">
        <f t="shared" si="2"/>
        <v>#N/A</v>
      </c>
    </row>
    <row r="178" spans="1:7" hidden="1" x14ac:dyDescent="0.25">
      <c r="A178">
        <f>BIdetails!G181</f>
        <v>0</v>
      </c>
      <c r="B178">
        <f>BIdetails!H181</f>
        <v>0</v>
      </c>
      <c r="C178">
        <f>BIdetails!J181</f>
        <v>0</v>
      </c>
      <c r="D178">
        <f>BIdetails!K181</f>
        <v>0</v>
      </c>
      <c r="E178" s="165">
        <f>BIdetails!M181</f>
        <v>0</v>
      </c>
      <c r="F178" t="e">
        <f>IF(ISERROR(IF(OR(C178="#",C178=0),"",VLOOKUP(C178,'AOP25'!M:M,1,0))),"Not Found",VLOOKUP(C178,'AOP25'!M:M,1,0))</f>
        <v>#N/A</v>
      </c>
      <c r="G178" t="e">
        <f t="shared" si="2"/>
        <v>#N/A</v>
      </c>
    </row>
    <row r="179" spans="1:7" hidden="1" x14ac:dyDescent="0.25">
      <c r="A179">
        <f>BIdetails!G182</f>
        <v>0</v>
      </c>
      <c r="B179">
        <f>BIdetails!H182</f>
        <v>0</v>
      </c>
      <c r="C179">
        <f>BIdetails!J182</f>
        <v>0</v>
      </c>
      <c r="D179">
        <f>BIdetails!K182</f>
        <v>0</v>
      </c>
      <c r="E179" s="165">
        <f>BIdetails!M182</f>
        <v>0</v>
      </c>
      <c r="F179" t="e">
        <f>IF(ISERROR(IF(OR(C179="#",C179=0),"",VLOOKUP(C179,'AOP25'!M:M,1,0))),"Not Found",VLOOKUP(C179,'AOP25'!M:M,1,0))</f>
        <v>#N/A</v>
      </c>
      <c r="G179" t="e">
        <f t="shared" si="2"/>
        <v>#N/A</v>
      </c>
    </row>
    <row r="180" spans="1:7" hidden="1" x14ac:dyDescent="0.25">
      <c r="A180">
        <f>BIdetails!G183</f>
        <v>0</v>
      </c>
      <c r="B180">
        <f>BIdetails!H183</f>
        <v>0</v>
      </c>
      <c r="C180">
        <f>BIdetails!J183</f>
        <v>0</v>
      </c>
      <c r="D180">
        <f>BIdetails!K183</f>
        <v>0</v>
      </c>
      <c r="E180" s="165">
        <f>BIdetails!M183</f>
        <v>0</v>
      </c>
      <c r="F180" t="e">
        <f>IF(ISERROR(IF(OR(C180="#",C180=0),"",VLOOKUP(C180,'AOP25'!M:M,1,0))),"Not Found",VLOOKUP(C180,'AOP25'!M:M,1,0))</f>
        <v>#N/A</v>
      </c>
      <c r="G180" t="e">
        <f t="shared" si="2"/>
        <v>#N/A</v>
      </c>
    </row>
    <row r="181" spans="1:7" hidden="1" x14ac:dyDescent="0.25">
      <c r="A181">
        <f>BIdetails!G184</f>
        <v>0</v>
      </c>
      <c r="B181">
        <f>BIdetails!H184</f>
        <v>0</v>
      </c>
      <c r="C181">
        <f>BIdetails!J184</f>
        <v>0</v>
      </c>
      <c r="D181">
        <f>BIdetails!K184</f>
        <v>0</v>
      </c>
      <c r="E181" s="165">
        <f>BIdetails!M184</f>
        <v>0</v>
      </c>
      <c r="F181" t="e">
        <f>IF(ISERROR(IF(OR(C181="#",C181=0),"",VLOOKUP(C181,'AOP25'!M:M,1,0))),"Not Found",VLOOKUP(C181,'AOP25'!M:M,1,0))</f>
        <v>#N/A</v>
      </c>
      <c r="G181" t="e">
        <f t="shared" si="2"/>
        <v>#N/A</v>
      </c>
    </row>
    <row r="182" spans="1:7" hidden="1" x14ac:dyDescent="0.25">
      <c r="A182">
        <f>BIdetails!G185</f>
        <v>0</v>
      </c>
      <c r="B182">
        <f>BIdetails!H185</f>
        <v>0</v>
      </c>
      <c r="C182">
        <f>BIdetails!J185</f>
        <v>0</v>
      </c>
      <c r="D182">
        <f>BIdetails!K185</f>
        <v>0</v>
      </c>
      <c r="E182" s="165">
        <f>BIdetails!M185</f>
        <v>0</v>
      </c>
      <c r="F182" t="e">
        <f>IF(ISERROR(IF(OR(C182="#",C182=0),"",VLOOKUP(C182,'AOP25'!M:M,1,0))),"Not Found",VLOOKUP(C182,'AOP25'!M:M,1,0))</f>
        <v>#N/A</v>
      </c>
      <c r="G182" t="e">
        <f t="shared" si="2"/>
        <v>#N/A</v>
      </c>
    </row>
    <row r="183" spans="1:7" hidden="1" x14ac:dyDescent="0.25">
      <c r="A183">
        <f>BIdetails!G186</f>
        <v>0</v>
      </c>
      <c r="B183">
        <f>BIdetails!H186</f>
        <v>0</v>
      </c>
      <c r="C183">
        <f>BIdetails!J186</f>
        <v>0</v>
      </c>
      <c r="D183">
        <f>BIdetails!K186</f>
        <v>0</v>
      </c>
      <c r="E183" s="165">
        <f>BIdetails!M186</f>
        <v>0</v>
      </c>
      <c r="F183" t="e">
        <f>IF(ISERROR(IF(OR(C183="#",C183=0),"",VLOOKUP(C183,'AOP25'!M:M,1,0))),"Not Found",VLOOKUP(C183,'AOP25'!M:M,1,0))</f>
        <v>#N/A</v>
      </c>
      <c r="G183" t="e">
        <f t="shared" si="2"/>
        <v>#N/A</v>
      </c>
    </row>
    <row r="184" spans="1:7" hidden="1" x14ac:dyDescent="0.25">
      <c r="A184">
        <f>BIdetails!G187</f>
        <v>0</v>
      </c>
      <c r="B184">
        <f>BIdetails!H187</f>
        <v>0</v>
      </c>
      <c r="C184">
        <f>BIdetails!J187</f>
        <v>0</v>
      </c>
      <c r="D184">
        <f>BIdetails!K187</f>
        <v>0</v>
      </c>
      <c r="E184" s="165">
        <f>BIdetails!M187</f>
        <v>0</v>
      </c>
      <c r="F184" t="e">
        <f>IF(ISERROR(IF(OR(C184="#",C184=0),"",VLOOKUP(C184,'AOP25'!M:M,1,0))),"Not Found",VLOOKUP(C184,'AOP25'!M:M,1,0))</f>
        <v>#N/A</v>
      </c>
      <c r="G184" t="e">
        <f t="shared" si="2"/>
        <v>#N/A</v>
      </c>
    </row>
    <row r="185" spans="1:7" hidden="1" x14ac:dyDescent="0.25">
      <c r="A185">
        <f>BIdetails!G188</f>
        <v>0</v>
      </c>
      <c r="B185">
        <f>BIdetails!H188</f>
        <v>0</v>
      </c>
      <c r="C185">
        <f>BIdetails!J188</f>
        <v>0</v>
      </c>
      <c r="D185">
        <f>BIdetails!K188</f>
        <v>0</v>
      </c>
      <c r="E185" s="165">
        <f>BIdetails!M188</f>
        <v>0</v>
      </c>
      <c r="F185" t="e">
        <f>IF(ISERROR(IF(OR(C185="#",C185=0),"",VLOOKUP(C185,'AOP25'!M:M,1,0))),"Not Found",VLOOKUP(C185,'AOP25'!M:M,1,0))</f>
        <v>#N/A</v>
      </c>
      <c r="G185" t="e">
        <f t="shared" si="2"/>
        <v>#N/A</v>
      </c>
    </row>
    <row r="186" spans="1:7" hidden="1" x14ac:dyDescent="0.25">
      <c r="A186">
        <f>BIdetails!G189</f>
        <v>0</v>
      </c>
      <c r="B186">
        <f>BIdetails!H189</f>
        <v>0</v>
      </c>
      <c r="C186">
        <f>BIdetails!J189</f>
        <v>0</v>
      </c>
      <c r="D186">
        <f>BIdetails!K189</f>
        <v>0</v>
      </c>
      <c r="E186" s="165">
        <f>BIdetails!M189</f>
        <v>0</v>
      </c>
      <c r="F186" t="e">
        <f>IF(ISERROR(IF(OR(C186="#",C186=0),"",VLOOKUP(C186,'AOP25'!M:M,1,0))),"Not Found",VLOOKUP(C186,'AOP25'!M:M,1,0))</f>
        <v>#N/A</v>
      </c>
      <c r="G186" t="e">
        <f t="shared" si="2"/>
        <v>#N/A</v>
      </c>
    </row>
    <row r="187" spans="1:7" hidden="1" x14ac:dyDescent="0.25">
      <c r="A187">
        <f>BIdetails!G190</f>
        <v>0</v>
      </c>
      <c r="B187">
        <f>BIdetails!H190</f>
        <v>0</v>
      </c>
      <c r="C187">
        <f>BIdetails!J190</f>
        <v>0</v>
      </c>
      <c r="D187">
        <f>BIdetails!K190</f>
        <v>0</v>
      </c>
      <c r="E187" s="165">
        <f>BIdetails!M190</f>
        <v>0</v>
      </c>
      <c r="F187" t="e">
        <f>IF(ISERROR(IF(OR(C187="#",C187=0),"",VLOOKUP(C187,'AOP25'!M:M,1,0))),"Not Found",VLOOKUP(C187,'AOP25'!M:M,1,0))</f>
        <v>#N/A</v>
      </c>
      <c r="G187" t="e">
        <f t="shared" si="2"/>
        <v>#N/A</v>
      </c>
    </row>
    <row r="188" spans="1:7" hidden="1" x14ac:dyDescent="0.25">
      <c r="A188">
        <f>BIdetails!G191</f>
        <v>0</v>
      </c>
      <c r="B188">
        <f>BIdetails!H191</f>
        <v>0</v>
      </c>
      <c r="C188">
        <f>BIdetails!J191</f>
        <v>0</v>
      </c>
      <c r="D188">
        <f>BIdetails!K191</f>
        <v>0</v>
      </c>
      <c r="E188" s="165">
        <f>BIdetails!M191</f>
        <v>0</v>
      </c>
      <c r="F188" t="e">
        <f>IF(ISERROR(IF(OR(C188="#",C188=0),"",VLOOKUP(C188,'AOP25'!M:M,1,0))),"Not Found",VLOOKUP(C188,'AOP25'!M:M,1,0))</f>
        <v>#N/A</v>
      </c>
      <c r="G188" t="e">
        <f t="shared" si="2"/>
        <v>#N/A</v>
      </c>
    </row>
    <row r="189" spans="1:7" hidden="1" x14ac:dyDescent="0.25">
      <c r="A189">
        <f>BIdetails!G192</f>
        <v>0</v>
      </c>
      <c r="B189">
        <f>BIdetails!H192</f>
        <v>0</v>
      </c>
      <c r="C189">
        <f>BIdetails!J192</f>
        <v>0</v>
      </c>
      <c r="D189">
        <f>BIdetails!K192</f>
        <v>0</v>
      </c>
      <c r="E189" s="165">
        <f>BIdetails!M192</f>
        <v>0</v>
      </c>
      <c r="F189" t="e">
        <f>IF(ISERROR(IF(OR(C189="#",C189=0),"",VLOOKUP(C189,'AOP25'!M:M,1,0))),"Not Found",VLOOKUP(C189,'AOP25'!M:M,1,0))</f>
        <v>#N/A</v>
      </c>
      <c r="G189" t="e">
        <f t="shared" si="2"/>
        <v>#N/A</v>
      </c>
    </row>
    <row r="190" spans="1:7" hidden="1" x14ac:dyDescent="0.25">
      <c r="A190">
        <f>BIdetails!G193</f>
        <v>0</v>
      </c>
      <c r="B190">
        <f>BIdetails!H193</f>
        <v>0</v>
      </c>
      <c r="C190">
        <f>BIdetails!J193</f>
        <v>0</v>
      </c>
      <c r="D190">
        <f>BIdetails!K193</f>
        <v>0</v>
      </c>
      <c r="E190" s="165">
        <f>BIdetails!M193</f>
        <v>0</v>
      </c>
      <c r="F190" t="e">
        <f>IF(ISERROR(IF(OR(C190="#",C190=0),"",VLOOKUP(C190,'AOP25'!M:M,1,0))),"Not Found",VLOOKUP(C190,'AOP25'!M:M,1,0))</f>
        <v>#N/A</v>
      </c>
      <c r="G190" t="e">
        <f t="shared" si="2"/>
        <v>#N/A</v>
      </c>
    </row>
    <row r="191" spans="1:7" hidden="1" x14ac:dyDescent="0.25">
      <c r="A191">
        <f>BIdetails!G194</f>
        <v>0</v>
      </c>
      <c r="B191">
        <f>BIdetails!H194</f>
        <v>0</v>
      </c>
      <c r="C191">
        <f>BIdetails!J194</f>
        <v>0</v>
      </c>
      <c r="D191">
        <f>BIdetails!K194</f>
        <v>0</v>
      </c>
      <c r="E191" s="165">
        <f>BIdetails!M194</f>
        <v>0</v>
      </c>
      <c r="F191" t="e">
        <f>IF(ISERROR(IF(OR(C191="#",C191=0),"",VLOOKUP(C191,'AOP25'!M:M,1,0))),"Not Found",VLOOKUP(C191,'AOP25'!M:M,1,0))</f>
        <v>#N/A</v>
      </c>
      <c r="G191" t="e">
        <f t="shared" si="2"/>
        <v>#N/A</v>
      </c>
    </row>
    <row r="192" spans="1:7" hidden="1" x14ac:dyDescent="0.25">
      <c r="A192">
        <f>BIdetails!G195</f>
        <v>0</v>
      </c>
      <c r="B192">
        <f>BIdetails!H195</f>
        <v>0</v>
      </c>
      <c r="C192">
        <f>BIdetails!J195</f>
        <v>0</v>
      </c>
      <c r="D192">
        <f>BIdetails!K195</f>
        <v>0</v>
      </c>
      <c r="E192" s="165">
        <f>BIdetails!M195</f>
        <v>0</v>
      </c>
      <c r="F192" t="e">
        <f>IF(ISERROR(IF(OR(C192="#",C192=0),"",VLOOKUP(C192,'AOP25'!M:M,1,0))),"Not Found",VLOOKUP(C192,'AOP25'!M:M,1,0))</f>
        <v>#N/A</v>
      </c>
      <c r="G192" t="e">
        <f t="shared" si="2"/>
        <v>#N/A</v>
      </c>
    </row>
    <row r="193" spans="1:7" x14ac:dyDescent="0.25">
      <c r="A193">
        <f>BIdetails!G196</f>
        <v>0</v>
      </c>
      <c r="B193">
        <f>BIdetails!H196</f>
        <v>0</v>
      </c>
      <c r="C193">
        <f>BIdetails!J196</f>
        <v>0</v>
      </c>
      <c r="D193">
        <f>BIdetails!K196</f>
        <v>0</v>
      </c>
      <c r="E193" s="165">
        <f>BIdetails!M196</f>
        <v>0</v>
      </c>
      <c r="F193" t="e">
        <f>IF(ISERROR(IF(OR(C193="#",C193=0),"",VLOOKUP(C193,'AOP25'!M:M,1,0))),"Not Found",VLOOKUP(C193,'AOP25'!M:M,1,0))</f>
        <v>#N/A</v>
      </c>
      <c r="G193" t="e">
        <f t="shared" si="2"/>
        <v>#N/A</v>
      </c>
    </row>
    <row r="194" spans="1:7" x14ac:dyDescent="0.25">
      <c r="A194">
        <f>BIdetails!G197</f>
        <v>0</v>
      </c>
      <c r="B194">
        <f>BIdetails!H197</f>
        <v>0</v>
      </c>
      <c r="C194">
        <f>BIdetails!J197</f>
        <v>0</v>
      </c>
      <c r="D194">
        <f>BIdetails!K197</f>
        <v>0</v>
      </c>
      <c r="E194" s="165">
        <f>BIdetails!M197</f>
        <v>0</v>
      </c>
      <c r="F194" t="e">
        <f>IF(ISERROR(IF(OR(C194="#",C194=0),"",VLOOKUP(C194,'AOP25'!M:M,1,0))),"Not Found",VLOOKUP(C194,'AOP25'!M:M,1,0))</f>
        <v>#N/A</v>
      </c>
      <c r="G194" t="e">
        <f t="shared" si="2"/>
        <v>#N/A</v>
      </c>
    </row>
    <row r="195" spans="1:7" x14ac:dyDescent="0.25">
      <c r="A195">
        <f>BIdetails!G198</f>
        <v>0</v>
      </c>
      <c r="B195">
        <f>BIdetails!H198</f>
        <v>0</v>
      </c>
      <c r="C195">
        <f>BIdetails!J198</f>
        <v>0</v>
      </c>
      <c r="D195">
        <f>BIdetails!K198</f>
        <v>0</v>
      </c>
      <c r="E195" s="165">
        <f>BIdetails!M198</f>
        <v>0</v>
      </c>
      <c r="F195" t="e">
        <f>IF(ISERROR(IF(OR(C195="#",C195=0),"",VLOOKUP(C195,'AOP25'!M:M,1,0))),"Not Found",VLOOKUP(C195,'AOP25'!M:M,1,0))</f>
        <v>#N/A</v>
      </c>
      <c r="G195" t="e">
        <f t="shared" ref="G195:G258" si="3">IF(NOT(ISERROR(VLOOKUP(C195,$K$2:$K$50,1,0))),"Y",VLOOKUP(C195,$K$2:$K$50,1,0))</f>
        <v>#N/A</v>
      </c>
    </row>
    <row r="196" spans="1:7" x14ac:dyDescent="0.25">
      <c r="A196">
        <f>BIdetails!G199</f>
        <v>0</v>
      </c>
      <c r="B196">
        <f>BIdetails!H199</f>
        <v>0</v>
      </c>
      <c r="C196">
        <f>BIdetails!J199</f>
        <v>0</v>
      </c>
      <c r="D196">
        <f>BIdetails!K199</f>
        <v>0</v>
      </c>
      <c r="E196" s="165">
        <f>BIdetails!M199</f>
        <v>0</v>
      </c>
      <c r="F196" t="e">
        <f>IF(ISERROR(IF(OR(C196="#",C196=0),"",VLOOKUP(C196,'AOP25'!M:M,1,0))),"Not Found",VLOOKUP(C196,'AOP25'!M:M,1,0))</f>
        <v>#N/A</v>
      </c>
      <c r="G196" t="e">
        <f t="shared" si="3"/>
        <v>#N/A</v>
      </c>
    </row>
    <row r="197" spans="1:7" x14ac:dyDescent="0.25">
      <c r="A197">
        <f>BIdetails!G200</f>
        <v>0</v>
      </c>
      <c r="B197">
        <f>BIdetails!H200</f>
        <v>0</v>
      </c>
      <c r="C197">
        <f>BIdetails!J200</f>
        <v>0</v>
      </c>
      <c r="D197">
        <f>BIdetails!K200</f>
        <v>0</v>
      </c>
      <c r="E197" s="165">
        <f>BIdetails!M200</f>
        <v>0</v>
      </c>
      <c r="F197" t="e">
        <f>IF(ISERROR(IF(OR(C197="#",C197=0),"",VLOOKUP(C197,'AOP25'!M:M,1,0))),"Not Found",VLOOKUP(C197,'AOP25'!M:M,1,0))</f>
        <v>#N/A</v>
      </c>
      <c r="G197" t="e">
        <f t="shared" si="3"/>
        <v>#N/A</v>
      </c>
    </row>
    <row r="198" spans="1:7" x14ac:dyDescent="0.25">
      <c r="A198">
        <f>BIdetails!G201</f>
        <v>0</v>
      </c>
      <c r="B198">
        <f>BIdetails!H201</f>
        <v>0</v>
      </c>
      <c r="C198">
        <f>BIdetails!J201</f>
        <v>0</v>
      </c>
      <c r="D198">
        <f>BIdetails!K201</f>
        <v>0</v>
      </c>
      <c r="E198" s="165">
        <f>BIdetails!M201</f>
        <v>0</v>
      </c>
      <c r="F198" t="e">
        <f>IF(ISERROR(IF(OR(C198="#",C198=0),"",VLOOKUP(C198,'AOP25'!M:M,1,0))),"Not Found",VLOOKUP(C198,'AOP25'!M:M,1,0))</f>
        <v>#N/A</v>
      </c>
      <c r="G198" t="e">
        <f t="shared" si="3"/>
        <v>#N/A</v>
      </c>
    </row>
    <row r="199" spans="1:7" x14ac:dyDescent="0.25">
      <c r="A199">
        <f>BIdetails!G202</f>
        <v>0</v>
      </c>
      <c r="B199">
        <f>BIdetails!H202</f>
        <v>0</v>
      </c>
      <c r="C199">
        <f>BIdetails!J202</f>
        <v>0</v>
      </c>
      <c r="D199">
        <f>BIdetails!K202</f>
        <v>0</v>
      </c>
      <c r="E199" s="165">
        <f>BIdetails!M202</f>
        <v>0</v>
      </c>
      <c r="F199" t="e">
        <f>IF(ISERROR(IF(OR(C199="#",C199=0),"",VLOOKUP(C199,'AOP25'!M:M,1,0))),"Not Found",VLOOKUP(C199,'AOP25'!M:M,1,0))</f>
        <v>#N/A</v>
      </c>
      <c r="G199" t="e">
        <f t="shared" si="3"/>
        <v>#N/A</v>
      </c>
    </row>
    <row r="200" spans="1:7" x14ac:dyDescent="0.25">
      <c r="A200">
        <f>BIdetails!G203</f>
        <v>0</v>
      </c>
      <c r="B200">
        <f>BIdetails!H203</f>
        <v>0</v>
      </c>
      <c r="C200">
        <f>BIdetails!J203</f>
        <v>0</v>
      </c>
      <c r="D200">
        <f>BIdetails!K203</f>
        <v>0</v>
      </c>
      <c r="E200" s="165">
        <f>BIdetails!M203</f>
        <v>0</v>
      </c>
      <c r="F200" t="e">
        <f>IF(ISERROR(IF(OR(C200="#",C200=0),"",VLOOKUP(C200,'AOP25'!M:M,1,0))),"Not Found",VLOOKUP(C200,'AOP25'!M:M,1,0))</f>
        <v>#N/A</v>
      </c>
      <c r="G200" t="e">
        <f t="shared" si="3"/>
        <v>#N/A</v>
      </c>
    </row>
    <row r="201" spans="1:7" hidden="1" x14ac:dyDescent="0.25">
      <c r="A201">
        <f>BIdetails!G204</f>
        <v>0</v>
      </c>
      <c r="B201">
        <f>BIdetails!H204</f>
        <v>0</v>
      </c>
      <c r="C201">
        <f>BIdetails!J204</f>
        <v>0</v>
      </c>
      <c r="D201">
        <f>BIdetails!K204</f>
        <v>0</v>
      </c>
      <c r="E201" s="165">
        <f>BIdetails!M204</f>
        <v>0</v>
      </c>
      <c r="F201" t="e">
        <f>IF(ISERROR(IF(OR(C201="#",C201=0),"",VLOOKUP(C201,'AOP25'!M:M,1,0))),"Not Found",VLOOKUP(C201,'AOP25'!M:M,1,0))</f>
        <v>#N/A</v>
      </c>
      <c r="G201" t="e">
        <f t="shared" si="3"/>
        <v>#N/A</v>
      </c>
    </row>
    <row r="202" spans="1:7" x14ac:dyDescent="0.25">
      <c r="A202">
        <f>BIdetails!G205</f>
        <v>0</v>
      </c>
      <c r="B202">
        <f>BIdetails!H205</f>
        <v>0</v>
      </c>
      <c r="C202">
        <f>BIdetails!J205</f>
        <v>0</v>
      </c>
      <c r="D202">
        <f>BIdetails!K205</f>
        <v>0</v>
      </c>
      <c r="E202" s="165">
        <f>BIdetails!M205</f>
        <v>0</v>
      </c>
      <c r="F202" t="e">
        <f>IF(ISERROR(IF(OR(C202="#",C202=0),"",VLOOKUP(C202,'AOP25'!M:M,1,0))),"Not Found",VLOOKUP(C202,'AOP25'!M:M,1,0))</f>
        <v>#N/A</v>
      </c>
      <c r="G202" t="e">
        <f t="shared" si="3"/>
        <v>#N/A</v>
      </c>
    </row>
    <row r="203" spans="1:7" x14ac:dyDescent="0.25">
      <c r="A203">
        <f>BIdetails!G206</f>
        <v>0</v>
      </c>
      <c r="B203">
        <f>BIdetails!H206</f>
        <v>0</v>
      </c>
      <c r="C203">
        <f>BIdetails!J206</f>
        <v>0</v>
      </c>
      <c r="D203">
        <f>BIdetails!K206</f>
        <v>0</v>
      </c>
      <c r="E203" s="165">
        <f>BIdetails!M206</f>
        <v>0</v>
      </c>
      <c r="F203" t="e">
        <f>IF(ISERROR(IF(OR(C203="#",C203=0),"",VLOOKUP(C203,'AOP25'!M:M,1,0))),"Not Found",VLOOKUP(C203,'AOP25'!M:M,1,0))</f>
        <v>#N/A</v>
      </c>
      <c r="G203" t="e">
        <f t="shared" si="3"/>
        <v>#N/A</v>
      </c>
    </row>
    <row r="204" spans="1:7" hidden="1" x14ac:dyDescent="0.25">
      <c r="A204">
        <f>BIdetails!G207</f>
        <v>0</v>
      </c>
      <c r="B204">
        <f>BIdetails!H207</f>
        <v>0</v>
      </c>
      <c r="C204">
        <f>BIdetails!J207</f>
        <v>0</v>
      </c>
      <c r="D204">
        <f>BIdetails!K207</f>
        <v>0</v>
      </c>
      <c r="E204" s="165">
        <f>BIdetails!M207</f>
        <v>0</v>
      </c>
      <c r="F204" t="e">
        <f>IF(ISERROR(IF(OR(C204="#",C204=0),"",VLOOKUP(C204,'AOP25'!M:M,1,0))),"Not Found",VLOOKUP(C204,'AOP25'!M:M,1,0))</f>
        <v>#N/A</v>
      </c>
      <c r="G204" t="e">
        <f t="shared" si="3"/>
        <v>#N/A</v>
      </c>
    </row>
    <row r="205" spans="1:7" hidden="1" x14ac:dyDescent="0.25">
      <c r="A205">
        <f>BIdetails!G208</f>
        <v>0</v>
      </c>
      <c r="B205">
        <f>BIdetails!H208</f>
        <v>0</v>
      </c>
      <c r="C205">
        <f>BIdetails!J208</f>
        <v>0</v>
      </c>
      <c r="D205">
        <f>BIdetails!K208</f>
        <v>0</v>
      </c>
      <c r="E205" s="165">
        <f>BIdetails!M208</f>
        <v>0</v>
      </c>
      <c r="F205" t="e">
        <f>IF(ISERROR(IF(OR(C205="#",C205=0),"",VLOOKUP(C205,'AOP25'!M:M,1,0))),"Not Found",VLOOKUP(C205,'AOP25'!M:M,1,0))</f>
        <v>#N/A</v>
      </c>
      <c r="G205" t="e">
        <f t="shared" si="3"/>
        <v>#N/A</v>
      </c>
    </row>
    <row r="206" spans="1:7" hidden="1" x14ac:dyDescent="0.25">
      <c r="A206">
        <f>BIdetails!G209</f>
        <v>0</v>
      </c>
      <c r="B206">
        <f>BIdetails!H209</f>
        <v>0</v>
      </c>
      <c r="C206">
        <f>BIdetails!J209</f>
        <v>0</v>
      </c>
      <c r="D206">
        <f>BIdetails!K209</f>
        <v>0</v>
      </c>
      <c r="E206" s="165">
        <f>BIdetails!M209</f>
        <v>0</v>
      </c>
      <c r="F206" t="e">
        <f>IF(ISERROR(IF(OR(C206="#",C206=0),"",VLOOKUP(C206,'AOP25'!M:M,1,0))),"Not Found",VLOOKUP(C206,'AOP25'!M:M,1,0))</f>
        <v>#N/A</v>
      </c>
      <c r="G206" t="e">
        <f t="shared" si="3"/>
        <v>#N/A</v>
      </c>
    </row>
    <row r="207" spans="1:7" hidden="1" x14ac:dyDescent="0.25">
      <c r="A207">
        <f>BIdetails!G210</f>
        <v>0</v>
      </c>
      <c r="B207">
        <f>BIdetails!H210</f>
        <v>0</v>
      </c>
      <c r="C207">
        <f>BIdetails!J210</f>
        <v>0</v>
      </c>
      <c r="D207">
        <f>BIdetails!K210</f>
        <v>0</v>
      </c>
      <c r="E207" s="165">
        <f>BIdetails!M210</f>
        <v>0</v>
      </c>
      <c r="F207" t="e">
        <f>IF(ISERROR(IF(OR(C207="#",C207=0),"",VLOOKUP(C207,'AOP25'!M:M,1,0))),"Not Found",VLOOKUP(C207,'AOP25'!M:M,1,0))</f>
        <v>#N/A</v>
      </c>
      <c r="G207" t="e">
        <f t="shared" si="3"/>
        <v>#N/A</v>
      </c>
    </row>
    <row r="208" spans="1:7" hidden="1" x14ac:dyDescent="0.25">
      <c r="A208">
        <f>BIdetails!G211</f>
        <v>0</v>
      </c>
      <c r="B208">
        <f>BIdetails!H211</f>
        <v>0</v>
      </c>
      <c r="C208">
        <f>BIdetails!J211</f>
        <v>0</v>
      </c>
      <c r="D208">
        <f>BIdetails!K211</f>
        <v>0</v>
      </c>
      <c r="E208" s="165">
        <f>BIdetails!M211</f>
        <v>0</v>
      </c>
      <c r="F208" t="e">
        <f>IF(ISERROR(IF(OR(C208="#",C208=0),"",VLOOKUP(C208,'AOP25'!M:M,1,0))),"Not Found",VLOOKUP(C208,'AOP25'!M:M,1,0))</f>
        <v>#N/A</v>
      </c>
      <c r="G208" t="e">
        <f t="shared" si="3"/>
        <v>#N/A</v>
      </c>
    </row>
    <row r="209" spans="1:7" hidden="1" x14ac:dyDescent="0.25">
      <c r="A209">
        <f>BIdetails!G212</f>
        <v>0</v>
      </c>
      <c r="B209">
        <f>BIdetails!H212</f>
        <v>0</v>
      </c>
      <c r="C209">
        <f>BIdetails!J212</f>
        <v>0</v>
      </c>
      <c r="D209">
        <f>BIdetails!K212</f>
        <v>0</v>
      </c>
      <c r="E209" s="165">
        <f>BIdetails!M212</f>
        <v>0</v>
      </c>
      <c r="F209" t="e">
        <f>IF(ISERROR(IF(OR(C209="#",C209=0),"",VLOOKUP(C209,'AOP25'!M:M,1,0))),"Not Found",VLOOKUP(C209,'AOP25'!M:M,1,0))</f>
        <v>#N/A</v>
      </c>
      <c r="G209" t="e">
        <f t="shared" si="3"/>
        <v>#N/A</v>
      </c>
    </row>
    <row r="210" spans="1:7" hidden="1" x14ac:dyDescent="0.25">
      <c r="A210">
        <f>BIdetails!G213</f>
        <v>0</v>
      </c>
      <c r="B210">
        <f>BIdetails!H213</f>
        <v>0</v>
      </c>
      <c r="C210">
        <f>BIdetails!J213</f>
        <v>0</v>
      </c>
      <c r="D210">
        <f>BIdetails!K213</f>
        <v>0</v>
      </c>
      <c r="E210" s="165">
        <f>BIdetails!M213</f>
        <v>0</v>
      </c>
      <c r="F210" t="e">
        <f>IF(ISERROR(IF(OR(C210="#",C210=0),"",VLOOKUP(C210,'AOP25'!M:M,1,0))),"Not Found",VLOOKUP(C210,'AOP25'!M:M,1,0))</f>
        <v>#N/A</v>
      </c>
      <c r="G210" t="e">
        <f t="shared" si="3"/>
        <v>#N/A</v>
      </c>
    </row>
    <row r="211" spans="1:7" hidden="1" x14ac:dyDescent="0.25">
      <c r="A211">
        <f>BIdetails!G214</f>
        <v>0</v>
      </c>
      <c r="B211">
        <f>BIdetails!H214</f>
        <v>0</v>
      </c>
      <c r="C211">
        <f>BIdetails!J214</f>
        <v>0</v>
      </c>
      <c r="D211">
        <f>BIdetails!K214</f>
        <v>0</v>
      </c>
      <c r="E211" s="165">
        <f>BIdetails!M214</f>
        <v>0</v>
      </c>
      <c r="F211" t="e">
        <f>IF(ISERROR(IF(OR(C211="#",C211=0),"",VLOOKUP(C211,'AOP25'!M:M,1,0))),"Not Found",VLOOKUP(C211,'AOP25'!M:M,1,0))</f>
        <v>#N/A</v>
      </c>
      <c r="G211" t="e">
        <f t="shared" si="3"/>
        <v>#N/A</v>
      </c>
    </row>
    <row r="212" spans="1:7" hidden="1" x14ac:dyDescent="0.25">
      <c r="A212">
        <f>BIdetails!G215</f>
        <v>0</v>
      </c>
      <c r="B212">
        <f>BIdetails!H215</f>
        <v>0</v>
      </c>
      <c r="C212">
        <f>BIdetails!J215</f>
        <v>0</v>
      </c>
      <c r="D212">
        <f>BIdetails!K215</f>
        <v>0</v>
      </c>
      <c r="E212" s="165">
        <f>BIdetails!M215</f>
        <v>0</v>
      </c>
      <c r="F212" t="e">
        <f>IF(ISERROR(IF(OR(C212="#",C212=0),"",VLOOKUP(C212,'AOP25'!M:M,1,0))),"Not Found",VLOOKUP(C212,'AOP25'!M:M,1,0))</f>
        <v>#N/A</v>
      </c>
      <c r="G212" t="e">
        <f t="shared" si="3"/>
        <v>#N/A</v>
      </c>
    </row>
    <row r="213" spans="1:7" hidden="1" x14ac:dyDescent="0.25">
      <c r="A213">
        <f>BIdetails!G216</f>
        <v>0</v>
      </c>
      <c r="B213">
        <f>BIdetails!H216</f>
        <v>0</v>
      </c>
      <c r="C213">
        <f>BIdetails!J216</f>
        <v>0</v>
      </c>
      <c r="D213">
        <f>BIdetails!K216</f>
        <v>0</v>
      </c>
      <c r="E213" s="165">
        <f>BIdetails!M216</f>
        <v>0</v>
      </c>
      <c r="F213" t="e">
        <f>IF(ISERROR(IF(OR(C213="#",C213=0),"",VLOOKUP(C213,'AOP25'!M:M,1,0))),"Not Found",VLOOKUP(C213,'AOP25'!M:M,1,0))</f>
        <v>#N/A</v>
      </c>
      <c r="G213" t="e">
        <f t="shared" si="3"/>
        <v>#N/A</v>
      </c>
    </row>
    <row r="214" spans="1:7" hidden="1" x14ac:dyDescent="0.25">
      <c r="A214">
        <f>BIdetails!G217</f>
        <v>0</v>
      </c>
      <c r="B214">
        <f>BIdetails!H217</f>
        <v>0</v>
      </c>
      <c r="C214">
        <f>BIdetails!J217</f>
        <v>0</v>
      </c>
      <c r="D214">
        <f>BIdetails!K217</f>
        <v>0</v>
      </c>
      <c r="E214" s="165">
        <f>BIdetails!M217</f>
        <v>0</v>
      </c>
      <c r="F214" t="e">
        <f>IF(ISERROR(IF(OR(C214="#",C214=0),"",VLOOKUP(C214,'AOP25'!M:M,1,0))),"Not Found",VLOOKUP(C214,'AOP25'!M:M,1,0))</f>
        <v>#N/A</v>
      </c>
      <c r="G214" t="e">
        <f t="shared" si="3"/>
        <v>#N/A</v>
      </c>
    </row>
    <row r="215" spans="1:7" hidden="1" x14ac:dyDescent="0.25">
      <c r="A215">
        <f>BIdetails!G218</f>
        <v>0</v>
      </c>
      <c r="B215">
        <f>BIdetails!H218</f>
        <v>0</v>
      </c>
      <c r="C215">
        <f>BIdetails!J218</f>
        <v>0</v>
      </c>
      <c r="D215">
        <f>BIdetails!K218</f>
        <v>0</v>
      </c>
      <c r="E215" s="165">
        <f>BIdetails!M218</f>
        <v>0</v>
      </c>
      <c r="F215" t="e">
        <f>IF(ISERROR(IF(OR(C215="#",C215=0),"",VLOOKUP(C215,'AOP25'!M:M,1,0))),"Not Found",VLOOKUP(C215,'AOP25'!M:M,1,0))</f>
        <v>#N/A</v>
      </c>
      <c r="G215" t="e">
        <f t="shared" si="3"/>
        <v>#N/A</v>
      </c>
    </row>
    <row r="216" spans="1:7" hidden="1" x14ac:dyDescent="0.25">
      <c r="A216">
        <f>BIdetails!G219</f>
        <v>0</v>
      </c>
      <c r="B216">
        <f>BIdetails!H219</f>
        <v>0</v>
      </c>
      <c r="C216">
        <f>BIdetails!J219</f>
        <v>0</v>
      </c>
      <c r="D216">
        <f>BIdetails!K219</f>
        <v>0</v>
      </c>
      <c r="E216" s="165">
        <f>BIdetails!M219</f>
        <v>0</v>
      </c>
      <c r="F216" t="e">
        <f>IF(ISERROR(IF(OR(C216="#",C216=0),"",VLOOKUP(C216,'AOP25'!M:M,1,0))),"Not Found",VLOOKUP(C216,'AOP25'!M:M,1,0))</f>
        <v>#N/A</v>
      </c>
      <c r="G216" t="e">
        <f t="shared" si="3"/>
        <v>#N/A</v>
      </c>
    </row>
    <row r="217" spans="1:7" hidden="1" x14ac:dyDescent="0.25">
      <c r="A217">
        <f>BIdetails!G220</f>
        <v>0</v>
      </c>
      <c r="B217">
        <f>BIdetails!H220</f>
        <v>0</v>
      </c>
      <c r="C217">
        <f>BIdetails!J220</f>
        <v>0</v>
      </c>
      <c r="D217">
        <f>BIdetails!K220</f>
        <v>0</v>
      </c>
      <c r="E217" s="165">
        <f>BIdetails!M220</f>
        <v>0</v>
      </c>
      <c r="F217" t="e">
        <f>IF(ISERROR(IF(OR(C217="#",C217=0),"",VLOOKUP(C217,'AOP25'!M:M,1,0))),"Not Found",VLOOKUP(C217,'AOP25'!M:M,1,0))</f>
        <v>#N/A</v>
      </c>
      <c r="G217" t="e">
        <f t="shared" si="3"/>
        <v>#N/A</v>
      </c>
    </row>
    <row r="218" spans="1:7" x14ac:dyDescent="0.25">
      <c r="A218">
        <f>BIdetails!G221</f>
        <v>0</v>
      </c>
      <c r="B218">
        <f>BIdetails!H221</f>
        <v>0</v>
      </c>
      <c r="C218">
        <f>BIdetails!J221</f>
        <v>0</v>
      </c>
      <c r="D218">
        <f>BIdetails!K221</f>
        <v>0</v>
      </c>
      <c r="E218" s="165">
        <f>BIdetails!M221</f>
        <v>0</v>
      </c>
      <c r="F218" t="e">
        <f>IF(ISERROR(IF(OR(C218="#",C218=0),"",VLOOKUP(C218,'AOP25'!M:M,1,0))),"Not Found",VLOOKUP(C218,'AOP25'!M:M,1,0))</f>
        <v>#N/A</v>
      </c>
      <c r="G218" t="e">
        <f t="shared" si="3"/>
        <v>#N/A</v>
      </c>
    </row>
    <row r="219" spans="1:7" x14ac:dyDescent="0.25">
      <c r="A219">
        <f>BIdetails!G222</f>
        <v>0</v>
      </c>
      <c r="B219">
        <f>BIdetails!H222</f>
        <v>0</v>
      </c>
      <c r="C219">
        <f>BIdetails!J222</f>
        <v>0</v>
      </c>
      <c r="D219">
        <f>BIdetails!K222</f>
        <v>0</v>
      </c>
      <c r="E219" s="165">
        <f>BIdetails!M222</f>
        <v>0</v>
      </c>
      <c r="F219" t="e">
        <f>IF(ISERROR(IF(OR(C219="#",C219=0),"",VLOOKUP(C219,'AOP25'!M:M,1,0))),"Not Found",VLOOKUP(C219,'AOP25'!M:M,1,0))</f>
        <v>#N/A</v>
      </c>
      <c r="G219" t="e">
        <f t="shared" si="3"/>
        <v>#N/A</v>
      </c>
    </row>
    <row r="220" spans="1:7" x14ac:dyDescent="0.25">
      <c r="A220">
        <f>BIdetails!G223</f>
        <v>0</v>
      </c>
      <c r="B220">
        <f>BIdetails!H223</f>
        <v>0</v>
      </c>
      <c r="C220">
        <f>BIdetails!J223</f>
        <v>0</v>
      </c>
      <c r="D220">
        <f>BIdetails!K223</f>
        <v>0</v>
      </c>
      <c r="E220" s="165">
        <f>BIdetails!M223</f>
        <v>0</v>
      </c>
      <c r="F220" t="e">
        <f>IF(ISERROR(IF(OR(C220="#",C220=0),"",VLOOKUP(C220,'AOP25'!M:M,1,0))),"Not Found",VLOOKUP(C220,'AOP25'!M:M,1,0))</f>
        <v>#N/A</v>
      </c>
      <c r="G220" t="e">
        <f t="shared" si="3"/>
        <v>#N/A</v>
      </c>
    </row>
    <row r="221" spans="1:7" x14ac:dyDescent="0.25">
      <c r="A221">
        <f>BIdetails!G224</f>
        <v>0</v>
      </c>
      <c r="B221">
        <f>BIdetails!H224</f>
        <v>0</v>
      </c>
      <c r="C221">
        <f>BIdetails!J224</f>
        <v>0</v>
      </c>
      <c r="D221">
        <f>BIdetails!K224</f>
        <v>0</v>
      </c>
      <c r="E221" s="165">
        <f>BIdetails!M224</f>
        <v>0</v>
      </c>
      <c r="F221" t="e">
        <f>IF(ISERROR(IF(OR(C221="#",C221=0),"",VLOOKUP(C221,'AOP25'!M:M,1,0))),"Not Found",VLOOKUP(C221,'AOP25'!M:M,1,0))</f>
        <v>#N/A</v>
      </c>
      <c r="G221" t="e">
        <f t="shared" si="3"/>
        <v>#N/A</v>
      </c>
    </row>
    <row r="222" spans="1:7" x14ac:dyDescent="0.25">
      <c r="A222">
        <f>BIdetails!G225</f>
        <v>0</v>
      </c>
      <c r="B222">
        <f>BIdetails!H225</f>
        <v>0</v>
      </c>
      <c r="C222">
        <f>BIdetails!J225</f>
        <v>0</v>
      </c>
      <c r="D222">
        <f>BIdetails!K225</f>
        <v>0</v>
      </c>
      <c r="E222" s="165">
        <f>BIdetails!M225</f>
        <v>0</v>
      </c>
      <c r="F222" t="e">
        <f>IF(ISERROR(IF(OR(C222="#",C222=0),"",VLOOKUP(C222,'AOP25'!M:M,1,0))),"Not Found",VLOOKUP(C222,'AOP25'!M:M,1,0))</f>
        <v>#N/A</v>
      </c>
      <c r="G222" t="e">
        <f t="shared" si="3"/>
        <v>#N/A</v>
      </c>
    </row>
    <row r="223" spans="1:7" x14ac:dyDescent="0.25">
      <c r="A223">
        <f>BIdetails!G226</f>
        <v>0</v>
      </c>
      <c r="B223">
        <f>BIdetails!H226</f>
        <v>0</v>
      </c>
      <c r="C223">
        <f>BIdetails!J226</f>
        <v>0</v>
      </c>
      <c r="D223">
        <f>BIdetails!K226</f>
        <v>0</v>
      </c>
      <c r="E223" s="165">
        <f>BIdetails!M226</f>
        <v>0</v>
      </c>
      <c r="F223" t="e">
        <f>IF(ISERROR(IF(OR(C223="#",C223=0),"",VLOOKUP(C223,'AOP25'!M:M,1,0))),"Not Found",VLOOKUP(C223,'AOP25'!M:M,1,0))</f>
        <v>#N/A</v>
      </c>
      <c r="G223" t="e">
        <f t="shared" si="3"/>
        <v>#N/A</v>
      </c>
    </row>
    <row r="224" spans="1:7" x14ac:dyDescent="0.25">
      <c r="A224">
        <f>BIdetails!G227</f>
        <v>0</v>
      </c>
      <c r="B224">
        <f>BIdetails!H227</f>
        <v>0</v>
      </c>
      <c r="C224">
        <f>BIdetails!J227</f>
        <v>0</v>
      </c>
      <c r="D224">
        <f>BIdetails!K227</f>
        <v>0</v>
      </c>
      <c r="E224" s="165">
        <f>BIdetails!M227</f>
        <v>0</v>
      </c>
      <c r="F224" t="e">
        <f>IF(ISERROR(IF(OR(C224="#",C224=0),"",VLOOKUP(C224,'AOP25'!M:M,1,0))),"Not Found",VLOOKUP(C224,'AOP25'!M:M,1,0))</f>
        <v>#N/A</v>
      </c>
      <c r="G224" t="e">
        <f t="shared" si="3"/>
        <v>#N/A</v>
      </c>
    </row>
    <row r="225" spans="1:7" x14ac:dyDescent="0.25">
      <c r="A225">
        <f>BIdetails!G228</f>
        <v>0</v>
      </c>
      <c r="B225">
        <f>BIdetails!H228</f>
        <v>0</v>
      </c>
      <c r="C225">
        <f>BIdetails!J228</f>
        <v>0</v>
      </c>
      <c r="D225">
        <f>BIdetails!K228</f>
        <v>0</v>
      </c>
      <c r="E225" s="165">
        <f>BIdetails!M228</f>
        <v>0</v>
      </c>
      <c r="F225" t="e">
        <f>IF(ISERROR(IF(OR(C225="#",C225=0),"",VLOOKUP(C225,'AOP25'!M:M,1,0))),"Not Found",VLOOKUP(C225,'AOP25'!M:M,1,0))</f>
        <v>#N/A</v>
      </c>
      <c r="G225" t="e">
        <f t="shared" si="3"/>
        <v>#N/A</v>
      </c>
    </row>
    <row r="226" spans="1:7" x14ac:dyDescent="0.25">
      <c r="A226">
        <f>BIdetails!G229</f>
        <v>0</v>
      </c>
      <c r="B226">
        <f>BIdetails!H229</f>
        <v>0</v>
      </c>
      <c r="C226">
        <f>BIdetails!J229</f>
        <v>0</v>
      </c>
      <c r="D226">
        <f>BIdetails!K229</f>
        <v>0</v>
      </c>
      <c r="E226" s="165">
        <f>BIdetails!M229</f>
        <v>0</v>
      </c>
      <c r="F226" t="e">
        <f>IF(ISERROR(IF(OR(C226="#",C226=0),"",VLOOKUP(C226,'AOP25'!M:M,1,0))),"Not Found",VLOOKUP(C226,'AOP25'!M:M,1,0))</f>
        <v>#N/A</v>
      </c>
      <c r="G226" t="e">
        <f t="shared" si="3"/>
        <v>#N/A</v>
      </c>
    </row>
    <row r="227" spans="1:7" hidden="1" x14ac:dyDescent="0.25">
      <c r="A227">
        <f>BIdetails!G230</f>
        <v>0</v>
      </c>
      <c r="B227">
        <f>BIdetails!H230</f>
        <v>0</v>
      </c>
      <c r="C227">
        <f>BIdetails!J230</f>
        <v>0</v>
      </c>
      <c r="D227">
        <f>BIdetails!K230</f>
        <v>0</v>
      </c>
      <c r="E227" s="165">
        <f>BIdetails!M230</f>
        <v>0</v>
      </c>
      <c r="F227" t="e">
        <f>IF(ISERROR(IF(OR(C227="#",C227=0),"",VLOOKUP(C227,'AOP25'!M:M,1,0))),"Not Found",VLOOKUP(C227,'AOP25'!M:M,1,0))</f>
        <v>#N/A</v>
      </c>
      <c r="G227" t="e">
        <f t="shared" si="3"/>
        <v>#N/A</v>
      </c>
    </row>
    <row r="228" spans="1:7" hidden="1" x14ac:dyDescent="0.25">
      <c r="A228">
        <f>BIdetails!G231</f>
        <v>0</v>
      </c>
      <c r="B228">
        <f>BIdetails!H231</f>
        <v>0</v>
      </c>
      <c r="C228">
        <f>BIdetails!J231</f>
        <v>0</v>
      </c>
      <c r="D228">
        <f>BIdetails!K231</f>
        <v>0</v>
      </c>
      <c r="E228" s="165">
        <f>BIdetails!M231</f>
        <v>0</v>
      </c>
      <c r="F228" t="e">
        <f>IF(ISERROR(IF(OR(C228="#",C228=0),"",VLOOKUP(C228,'AOP25'!M:M,1,0))),"Not Found",VLOOKUP(C228,'AOP25'!M:M,1,0))</f>
        <v>#N/A</v>
      </c>
      <c r="G228" t="e">
        <f t="shared" si="3"/>
        <v>#N/A</v>
      </c>
    </row>
    <row r="229" spans="1:7" hidden="1" x14ac:dyDescent="0.25">
      <c r="A229">
        <f>BIdetails!G232</f>
        <v>0</v>
      </c>
      <c r="B229">
        <f>BIdetails!H232</f>
        <v>0</v>
      </c>
      <c r="C229">
        <f>BIdetails!J232</f>
        <v>0</v>
      </c>
      <c r="D229">
        <f>BIdetails!K232</f>
        <v>0</v>
      </c>
      <c r="E229" s="165">
        <f>BIdetails!M232</f>
        <v>0</v>
      </c>
      <c r="F229" t="e">
        <f>IF(ISERROR(IF(OR(C229="#",C229=0),"",VLOOKUP(C229,'AOP25'!M:M,1,0))),"Not Found",VLOOKUP(C229,'AOP25'!M:M,1,0))</f>
        <v>#N/A</v>
      </c>
      <c r="G229" t="e">
        <f t="shared" si="3"/>
        <v>#N/A</v>
      </c>
    </row>
    <row r="230" spans="1:7" hidden="1" x14ac:dyDescent="0.25">
      <c r="A230">
        <f>BIdetails!G233</f>
        <v>0</v>
      </c>
      <c r="B230">
        <f>BIdetails!H233</f>
        <v>0</v>
      </c>
      <c r="C230">
        <f>BIdetails!J233</f>
        <v>0</v>
      </c>
      <c r="D230">
        <f>BIdetails!K233</f>
        <v>0</v>
      </c>
      <c r="E230" s="165">
        <f>BIdetails!M233</f>
        <v>0</v>
      </c>
      <c r="F230" t="e">
        <f>IF(ISERROR(IF(OR(C230="#",C230=0),"",VLOOKUP(C230,'AOP25'!M:M,1,0))),"Not Found",VLOOKUP(C230,'AOP25'!M:M,1,0))</f>
        <v>#N/A</v>
      </c>
      <c r="G230" t="e">
        <f t="shared" si="3"/>
        <v>#N/A</v>
      </c>
    </row>
    <row r="231" spans="1:7" hidden="1" x14ac:dyDescent="0.25">
      <c r="A231">
        <f>BIdetails!G234</f>
        <v>0</v>
      </c>
      <c r="B231">
        <f>BIdetails!H234</f>
        <v>0</v>
      </c>
      <c r="C231">
        <f>BIdetails!J234</f>
        <v>0</v>
      </c>
      <c r="D231">
        <f>BIdetails!K234</f>
        <v>0</v>
      </c>
      <c r="E231" s="165">
        <f>BIdetails!M234</f>
        <v>0</v>
      </c>
      <c r="F231" t="e">
        <f>IF(ISERROR(IF(OR(C231="#",C231=0),"",VLOOKUP(C231,'AOP25'!M:M,1,0))),"Not Found",VLOOKUP(C231,'AOP25'!M:M,1,0))</f>
        <v>#N/A</v>
      </c>
      <c r="G231" t="e">
        <f t="shared" si="3"/>
        <v>#N/A</v>
      </c>
    </row>
    <row r="232" spans="1:7" hidden="1" x14ac:dyDescent="0.25">
      <c r="A232">
        <f>BIdetails!G235</f>
        <v>0</v>
      </c>
      <c r="B232">
        <f>BIdetails!H235</f>
        <v>0</v>
      </c>
      <c r="C232">
        <f>BIdetails!J235</f>
        <v>0</v>
      </c>
      <c r="D232">
        <f>BIdetails!K235</f>
        <v>0</v>
      </c>
      <c r="E232" s="165">
        <f>BIdetails!M235</f>
        <v>0</v>
      </c>
      <c r="F232" t="e">
        <f>IF(ISERROR(IF(OR(C232="#",C232=0),"",VLOOKUP(C232,'AOP25'!M:M,1,0))),"Not Found",VLOOKUP(C232,'AOP25'!M:M,1,0))</f>
        <v>#N/A</v>
      </c>
      <c r="G232" t="e">
        <f t="shared" si="3"/>
        <v>#N/A</v>
      </c>
    </row>
    <row r="233" spans="1:7" hidden="1" x14ac:dyDescent="0.25">
      <c r="A233">
        <f>BIdetails!G236</f>
        <v>0</v>
      </c>
      <c r="B233">
        <f>BIdetails!H236</f>
        <v>0</v>
      </c>
      <c r="C233">
        <f>BIdetails!J236</f>
        <v>0</v>
      </c>
      <c r="D233">
        <f>BIdetails!K236</f>
        <v>0</v>
      </c>
      <c r="E233" s="165">
        <f>BIdetails!M236</f>
        <v>0</v>
      </c>
      <c r="F233" t="e">
        <f>IF(ISERROR(IF(OR(C233="#",C233=0),"",VLOOKUP(C233,'AOP25'!M:M,1,0))),"Not Found",VLOOKUP(C233,'AOP25'!M:M,1,0))</f>
        <v>#N/A</v>
      </c>
      <c r="G233" t="e">
        <f t="shared" si="3"/>
        <v>#N/A</v>
      </c>
    </row>
    <row r="234" spans="1:7" hidden="1" x14ac:dyDescent="0.25">
      <c r="A234">
        <f>BIdetails!G237</f>
        <v>0</v>
      </c>
      <c r="B234">
        <f>BIdetails!H237</f>
        <v>0</v>
      </c>
      <c r="C234">
        <f>BIdetails!J237</f>
        <v>0</v>
      </c>
      <c r="D234">
        <f>BIdetails!K237</f>
        <v>0</v>
      </c>
      <c r="E234" s="165">
        <f>BIdetails!M237</f>
        <v>0</v>
      </c>
      <c r="F234" t="e">
        <f>IF(ISERROR(IF(OR(C234="#",C234=0),"",VLOOKUP(C234,'AOP25'!M:M,1,0))),"Not Found",VLOOKUP(C234,'AOP25'!M:M,1,0))</f>
        <v>#N/A</v>
      </c>
      <c r="G234" t="e">
        <f t="shared" si="3"/>
        <v>#N/A</v>
      </c>
    </row>
    <row r="235" spans="1:7" hidden="1" x14ac:dyDescent="0.25">
      <c r="A235">
        <f>BIdetails!G238</f>
        <v>0</v>
      </c>
      <c r="B235">
        <f>BIdetails!H238</f>
        <v>0</v>
      </c>
      <c r="C235">
        <f>BIdetails!J238</f>
        <v>0</v>
      </c>
      <c r="D235">
        <f>BIdetails!K238</f>
        <v>0</v>
      </c>
      <c r="E235" s="165">
        <f>BIdetails!M238</f>
        <v>0</v>
      </c>
      <c r="F235" t="e">
        <f>IF(ISERROR(IF(OR(C235="#",C235=0),"",VLOOKUP(C235,'AOP25'!M:M,1,0))),"Not Found",VLOOKUP(C235,'AOP25'!M:M,1,0))</f>
        <v>#N/A</v>
      </c>
      <c r="G235" t="e">
        <f t="shared" si="3"/>
        <v>#N/A</v>
      </c>
    </row>
    <row r="236" spans="1:7" hidden="1" x14ac:dyDescent="0.25">
      <c r="A236">
        <f>BIdetails!G239</f>
        <v>0</v>
      </c>
      <c r="B236">
        <f>BIdetails!H239</f>
        <v>0</v>
      </c>
      <c r="C236">
        <f>BIdetails!J239</f>
        <v>0</v>
      </c>
      <c r="D236">
        <f>BIdetails!K239</f>
        <v>0</v>
      </c>
      <c r="E236" s="165">
        <f>BIdetails!M239</f>
        <v>0</v>
      </c>
      <c r="F236" t="e">
        <f>IF(ISERROR(IF(OR(C236="#",C236=0),"",VLOOKUP(C236,'AOP25'!M:M,1,0))),"Not Found",VLOOKUP(C236,'AOP25'!M:M,1,0))</f>
        <v>#N/A</v>
      </c>
      <c r="G236" t="e">
        <f t="shared" si="3"/>
        <v>#N/A</v>
      </c>
    </row>
    <row r="237" spans="1:7" hidden="1" x14ac:dyDescent="0.25">
      <c r="A237">
        <f>BIdetails!G240</f>
        <v>0</v>
      </c>
      <c r="B237">
        <f>BIdetails!H240</f>
        <v>0</v>
      </c>
      <c r="C237">
        <f>BIdetails!J240</f>
        <v>0</v>
      </c>
      <c r="D237">
        <f>BIdetails!K240</f>
        <v>0</v>
      </c>
      <c r="E237" s="165">
        <f>BIdetails!M240</f>
        <v>0</v>
      </c>
      <c r="F237" t="e">
        <f>IF(ISERROR(IF(OR(C237="#",C237=0),"",VLOOKUP(C237,'AOP25'!M:M,1,0))),"Not Found",VLOOKUP(C237,'AOP25'!M:M,1,0))</f>
        <v>#N/A</v>
      </c>
      <c r="G237" t="e">
        <f t="shared" si="3"/>
        <v>#N/A</v>
      </c>
    </row>
    <row r="238" spans="1:7" hidden="1" x14ac:dyDescent="0.25">
      <c r="A238">
        <f>BIdetails!G241</f>
        <v>0</v>
      </c>
      <c r="B238">
        <f>BIdetails!H241</f>
        <v>0</v>
      </c>
      <c r="C238">
        <f>BIdetails!J241</f>
        <v>0</v>
      </c>
      <c r="D238">
        <f>BIdetails!K241</f>
        <v>0</v>
      </c>
      <c r="E238" s="165">
        <f>BIdetails!M241</f>
        <v>0</v>
      </c>
      <c r="F238" t="e">
        <f>IF(ISERROR(IF(OR(C238="#",C238=0),"",VLOOKUP(C238,'AOP25'!M:M,1,0))),"Not Found",VLOOKUP(C238,'AOP25'!M:M,1,0))</f>
        <v>#N/A</v>
      </c>
      <c r="G238" t="e">
        <f t="shared" si="3"/>
        <v>#N/A</v>
      </c>
    </row>
    <row r="239" spans="1:7" x14ac:dyDescent="0.25">
      <c r="A239">
        <f>BIdetails!G242</f>
        <v>0</v>
      </c>
      <c r="B239">
        <f>BIdetails!H242</f>
        <v>0</v>
      </c>
      <c r="C239">
        <f>BIdetails!J242</f>
        <v>0</v>
      </c>
      <c r="D239">
        <f>BIdetails!K242</f>
        <v>0</v>
      </c>
      <c r="E239" s="165">
        <f>BIdetails!M242</f>
        <v>0</v>
      </c>
      <c r="F239" t="e">
        <f>IF(ISERROR(IF(OR(C239="#",C239=0),"",VLOOKUP(C239,'AOP25'!M:M,1,0))),"Not Found",VLOOKUP(C239,'AOP25'!M:M,1,0))</f>
        <v>#N/A</v>
      </c>
      <c r="G239" t="e">
        <f t="shared" si="3"/>
        <v>#N/A</v>
      </c>
    </row>
    <row r="240" spans="1:7" x14ac:dyDescent="0.25">
      <c r="A240">
        <f>BIdetails!G243</f>
        <v>0</v>
      </c>
      <c r="B240">
        <f>BIdetails!H243</f>
        <v>0</v>
      </c>
      <c r="C240">
        <f>BIdetails!J243</f>
        <v>0</v>
      </c>
      <c r="D240">
        <f>BIdetails!K243</f>
        <v>0</v>
      </c>
      <c r="E240" s="165">
        <f>BIdetails!M243</f>
        <v>0</v>
      </c>
      <c r="F240" t="e">
        <f>IF(ISERROR(IF(OR(C240="#",C240=0),"",VLOOKUP(C240,'AOP25'!M:M,1,0))),"Not Found",VLOOKUP(C240,'AOP25'!M:M,1,0))</f>
        <v>#N/A</v>
      </c>
      <c r="G240" t="e">
        <f t="shared" si="3"/>
        <v>#N/A</v>
      </c>
    </row>
    <row r="241" spans="1:7" x14ac:dyDescent="0.25">
      <c r="A241">
        <f>BIdetails!G244</f>
        <v>0</v>
      </c>
      <c r="B241">
        <f>BIdetails!H244</f>
        <v>0</v>
      </c>
      <c r="C241">
        <f>BIdetails!J244</f>
        <v>0</v>
      </c>
      <c r="D241">
        <f>BIdetails!K244</f>
        <v>0</v>
      </c>
      <c r="E241" s="165">
        <f>BIdetails!M244</f>
        <v>0</v>
      </c>
      <c r="F241" t="e">
        <f>IF(ISERROR(IF(OR(C241="#",C241=0),"",VLOOKUP(C241,'AOP25'!M:M,1,0))),"Not Found",VLOOKUP(C241,'AOP25'!M:M,1,0))</f>
        <v>#N/A</v>
      </c>
      <c r="G241" t="e">
        <f t="shared" si="3"/>
        <v>#N/A</v>
      </c>
    </row>
    <row r="242" spans="1:7" x14ac:dyDescent="0.25">
      <c r="A242">
        <f>BIdetails!G245</f>
        <v>0</v>
      </c>
      <c r="B242">
        <f>BIdetails!H245</f>
        <v>0</v>
      </c>
      <c r="C242">
        <f>BIdetails!J245</f>
        <v>0</v>
      </c>
      <c r="D242">
        <f>BIdetails!K245</f>
        <v>0</v>
      </c>
      <c r="E242" s="165">
        <f>BIdetails!M245</f>
        <v>0</v>
      </c>
      <c r="F242" t="e">
        <f>IF(ISERROR(IF(OR(C242="#",C242=0),"",VLOOKUP(C242,'AOP25'!M:M,1,0))),"Not Found",VLOOKUP(C242,'AOP25'!M:M,1,0))</f>
        <v>#N/A</v>
      </c>
      <c r="G242" t="e">
        <f t="shared" si="3"/>
        <v>#N/A</v>
      </c>
    </row>
    <row r="243" spans="1:7" x14ac:dyDescent="0.25">
      <c r="A243">
        <f>BIdetails!G246</f>
        <v>0</v>
      </c>
      <c r="B243">
        <f>BIdetails!H246</f>
        <v>0</v>
      </c>
      <c r="C243">
        <f>BIdetails!J246</f>
        <v>0</v>
      </c>
      <c r="D243">
        <f>BIdetails!K246</f>
        <v>0</v>
      </c>
      <c r="E243" s="165">
        <f>BIdetails!M246</f>
        <v>0</v>
      </c>
      <c r="F243" t="e">
        <f>IF(ISERROR(IF(OR(C243="#",C243=0),"",VLOOKUP(C243,'AOP25'!M:M,1,0))),"Not Found",VLOOKUP(C243,'AOP25'!M:M,1,0))</f>
        <v>#N/A</v>
      </c>
      <c r="G243" t="e">
        <f t="shared" si="3"/>
        <v>#N/A</v>
      </c>
    </row>
    <row r="244" spans="1:7" hidden="1" x14ac:dyDescent="0.25">
      <c r="A244">
        <f>BIdetails!G247</f>
        <v>0</v>
      </c>
      <c r="B244">
        <f>BIdetails!H247</f>
        <v>0</v>
      </c>
      <c r="C244">
        <f>BIdetails!J247</f>
        <v>0</v>
      </c>
      <c r="D244">
        <f>BIdetails!K247</f>
        <v>0</v>
      </c>
      <c r="E244" s="165">
        <f>BIdetails!M247</f>
        <v>0</v>
      </c>
      <c r="F244" t="e">
        <f>IF(ISERROR(IF(OR(C244="#",C244=0),"",VLOOKUP(C244,'AOP25'!M:M,1,0))),"Not Found",VLOOKUP(C244,'AOP25'!M:M,1,0))</f>
        <v>#N/A</v>
      </c>
      <c r="G244" t="e">
        <f t="shared" si="3"/>
        <v>#N/A</v>
      </c>
    </row>
    <row r="245" spans="1:7" hidden="1" x14ac:dyDescent="0.25">
      <c r="A245">
        <f>BIdetails!G248</f>
        <v>0</v>
      </c>
      <c r="B245">
        <f>BIdetails!H248</f>
        <v>0</v>
      </c>
      <c r="C245">
        <f>BIdetails!J248</f>
        <v>0</v>
      </c>
      <c r="D245">
        <f>BIdetails!K248</f>
        <v>0</v>
      </c>
      <c r="E245" s="165">
        <f>BIdetails!M248</f>
        <v>0</v>
      </c>
      <c r="F245" t="e">
        <f>IF(ISERROR(IF(OR(C245="#",C245=0),"",VLOOKUP(C245,'AOP25'!M:M,1,0))),"Not Found",VLOOKUP(C245,'AOP25'!M:M,1,0))</f>
        <v>#N/A</v>
      </c>
      <c r="G245" t="e">
        <f t="shared" si="3"/>
        <v>#N/A</v>
      </c>
    </row>
    <row r="246" spans="1:7" hidden="1" x14ac:dyDescent="0.25">
      <c r="A246">
        <f>BIdetails!G249</f>
        <v>0</v>
      </c>
      <c r="B246">
        <f>BIdetails!H249</f>
        <v>0</v>
      </c>
      <c r="C246">
        <f>BIdetails!J249</f>
        <v>0</v>
      </c>
      <c r="D246">
        <f>BIdetails!K249</f>
        <v>0</v>
      </c>
      <c r="E246" s="165">
        <f>BIdetails!M249</f>
        <v>0</v>
      </c>
      <c r="F246" t="e">
        <f>IF(ISERROR(IF(OR(C246="#",C246=0),"",VLOOKUP(C246,'AOP25'!M:M,1,0))),"Not Found",VLOOKUP(C246,'AOP25'!M:M,1,0))</f>
        <v>#N/A</v>
      </c>
      <c r="G246" t="e">
        <f t="shared" si="3"/>
        <v>#N/A</v>
      </c>
    </row>
    <row r="247" spans="1:7" hidden="1" x14ac:dyDescent="0.25">
      <c r="A247">
        <f>BIdetails!G250</f>
        <v>0</v>
      </c>
      <c r="B247">
        <f>BIdetails!H250</f>
        <v>0</v>
      </c>
      <c r="C247">
        <f>BIdetails!J250</f>
        <v>0</v>
      </c>
      <c r="D247">
        <f>BIdetails!K250</f>
        <v>0</v>
      </c>
      <c r="E247" s="165">
        <f>BIdetails!M250</f>
        <v>0</v>
      </c>
      <c r="F247" t="e">
        <f>IF(ISERROR(IF(OR(C247="#",C247=0),"",VLOOKUP(C247,'AOP25'!M:M,1,0))),"Not Found",VLOOKUP(C247,'AOP25'!M:M,1,0))</f>
        <v>#N/A</v>
      </c>
      <c r="G247" t="e">
        <f t="shared" si="3"/>
        <v>#N/A</v>
      </c>
    </row>
    <row r="248" spans="1:7" hidden="1" x14ac:dyDescent="0.25">
      <c r="A248">
        <f>BIdetails!G251</f>
        <v>0</v>
      </c>
      <c r="B248">
        <f>BIdetails!H251</f>
        <v>0</v>
      </c>
      <c r="C248">
        <f>BIdetails!J251</f>
        <v>0</v>
      </c>
      <c r="D248">
        <f>BIdetails!K251</f>
        <v>0</v>
      </c>
      <c r="E248" s="165">
        <f>BIdetails!M251</f>
        <v>0</v>
      </c>
      <c r="F248" t="e">
        <f>IF(ISERROR(IF(OR(C248="#",C248=0),"",VLOOKUP(C248,'AOP25'!M:M,1,0))),"Not Found",VLOOKUP(C248,'AOP25'!M:M,1,0))</f>
        <v>#N/A</v>
      </c>
      <c r="G248" t="e">
        <f t="shared" si="3"/>
        <v>#N/A</v>
      </c>
    </row>
    <row r="249" spans="1:7" hidden="1" x14ac:dyDescent="0.25">
      <c r="A249">
        <f>BIdetails!G252</f>
        <v>0</v>
      </c>
      <c r="B249">
        <f>BIdetails!H252</f>
        <v>0</v>
      </c>
      <c r="C249">
        <f>BIdetails!J252</f>
        <v>0</v>
      </c>
      <c r="D249">
        <f>BIdetails!K252</f>
        <v>0</v>
      </c>
      <c r="E249" s="165">
        <f>BIdetails!M252</f>
        <v>0</v>
      </c>
      <c r="F249" t="e">
        <f>IF(ISERROR(IF(OR(C249="#",C249=0),"",VLOOKUP(C249,'AOP25'!M:M,1,0))),"Not Found",VLOOKUP(C249,'AOP25'!M:M,1,0))</f>
        <v>#N/A</v>
      </c>
      <c r="G249" t="e">
        <f t="shared" si="3"/>
        <v>#N/A</v>
      </c>
    </row>
    <row r="250" spans="1:7" hidden="1" x14ac:dyDescent="0.25">
      <c r="A250">
        <f>BIdetails!G253</f>
        <v>0</v>
      </c>
      <c r="B250">
        <f>BIdetails!H253</f>
        <v>0</v>
      </c>
      <c r="C250">
        <f>BIdetails!J253</f>
        <v>0</v>
      </c>
      <c r="D250">
        <f>BIdetails!K253</f>
        <v>0</v>
      </c>
      <c r="E250" s="165">
        <f>BIdetails!M253</f>
        <v>0</v>
      </c>
      <c r="F250" t="e">
        <f>IF(ISERROR(IF(OR(C250="#",C250=0),"",VLOOKUP(C250,'AOP25'!M:M,1,0))),"Not Found",VLOOKUP(C250,'AOP25'!M:M,1,0))</f>
        <v>#N/A</v>
      </c>
      <c r="G250" t="e">
        <f t="shared" si="3"/>
        <v>#N/A</v>
      </c>
    </row>
    <row r="251" spans="1:7" hidden="1" x14ac:dyDescent="0.25">
      <c r="A251">
        <f>BIdetails!G254</f>
        <v>0</v>
      </c>
      <c r="B251">
        <f>BIdetails!H254</f>
        <v>0</v>
      </c>
      <c r="C251">
        <f>BIdetails!J254</f>
        <v>0</v>
      </c>
      <c r="D251">
        <f>BIdetails!K254</f>
        <v>0</v>
      </c>
      <c r="E251" s="165">
        <f>BIdetails!M254</f>
        <v>0</v>
      </c>
      <c r="F251" t="e">
        <f>IF(ISERROR(IF(OR(C251="#",C251=0),"",VLOOKUP(C251,'AOP25'!M:M,1,0))),"Not Found",VLOOKUP(C251,'AOP25'!M:M,1,0))</f>
        <v>#N/A</v>
      </c>
      <c r="G251" t="e">
        <f t="shared" si="3"/>
        <v>#N/A</v>
      </c>
    </row>
    <row r="252" spans="1:7" hidden="1" x14ac:dyDescent="0.25">
      <c r="A252">
        <f>BIdetails!G255</f>
        <v>0</v>
      </c>
      <c r="B252">
        <f>BIdetails!H255</f>
        <v>0</v>
      </c>
      <c r="C252">
        <f>BIdetails!J255</f>
        <v>0</v>
      </c>
      <c r="D252">
        <f>BIdetails!K255</f>
        <v>0</v>
      </c>
      <c r="E252" s="165">
        <f>BIdetails!M255</f>
        <v>0</v>
      </c>
      <c r="F252" t="e">
        <f>IF(ISERROR(IF(OR(C252="#",C252=0),"",VLOOKUP(C252,'AOP25'!M:M,1,0))),"Not Found",VLOOKUP(C252,'AOP25'!M:M,1,0))</f>
        <v>#N/A</v>
      </c>
      <c r="G252" t="e">
        <f t="shared" si="3"/>
        <v>#N/A</v>
      </c>
    </row>
    <row r="253" spans="1:7" hidden="1" x14ac:dyDescent="0.25">
      <c r="A253">
        <f>BIdetails!G256</f>
        <v>0</v>
      </c>
      <c r="B253">
        <f>BIdetails!H256</f>
        <v>0</v>
      </c>
      <c r="C253">
        <f>BIdetails!J256</f>
        <v>0</v>
      </c>
      <c r="D253">
        <f>BIdetails!K256</f>
        <v>0</v>
      </c>
      <c r="E253" s="165">
        <f>BIdetails!M256</f>
        <v>0</v>
      </c>
      <c r="F253" t="e">
        <f>IF(ISERROR(IF(OR(C253="#",C253=0),"",VLOOKUP(C253,'AOP25'!M:M,1,0))),"Not Found",VLOOKUP(C253,'AOP25'!M:M,1,0))</f>
        <v>#N/A</v>
      </c>
      <c r="G253" t="e">
        <f t="shared" si="3"/>
        <v>#N/A</v>
      </c>
    </row>
    <row r="254" spans="1:7" hidden="1" x14ac:dyDescent="0.25">
      <c r="A254">
        <f>BIdetails!G257</f>
        <v>0</v>
      </c>
      <c r="B254">
        <f>BIdetails!H257</f>
        <v>0</v>
      </c>
      <c r="C254">
        <f>BIdetails!J257</f>
        <v>0</v>
      </c>
      <c r="D254">
        <f>BIdetails!K257</f>
        <v>0</v>
      </c>
      <c r="E254" s="165">
        <f>BIdetails!M257</f>
        <v>0</v>
      </c>
      <c r="F254" t="e">
        <f>IF(ISERROR(IF(OR(C254="#",C254=0),"",VLOOKUP(C254,'AOP25'!M:M,1,0))),"Not Found",VLOOKUP(C254,'AOP25'!M:M,1,0))</f>
        <v>#N/A</v>
      </c>
      <c r="G254" t="e">
        <f t="shared" si="3"/>
        <v>#N/A</v>
      </c>
    </row>
    <row r="255" spans="1:7" hidden="1" x14ac:dyDescent="0.25">
      <c r="A255">
        <f>BIdetails!G258</f>
        <v>0</v>
      </c>
      <c r="B255">
        <f>BIdetails!H258</f>
        <v>0</v>
      </c>
      <c r="C255">
        <f>BIdetails!J258</f>
        <v>0</v>
      </c>
      <c r="D255">
        <f>BIdetails!K258</f>
        <v>0</v>
      </c>
      <c r="E255" s="165">
        <f>BIdetails!M258</f>
        <v>0</v>
      </c>
      <c r="F255" t="e">
        <f>IF(ISERROR(IF(OR(C255="#",C255=0),"",VLOOKUP(C255,'AOP25'!M:M,1,0))),"Not Found",VLOOKUP(C255,'AOP25'!M:M,1,0))</f>
        <v>#N/A</v>
      </c>
      <c r="G255" t="e">
        <f t="shared" si="3"/>
        <v>#N/A</v>
      </c>
    </row>
    <row r="256" spans="1:7" hidden="1" x14ac:dyDescent="0.25">
      <c r="A256">
        <f>BIdetails!G259</f>
        <v>0</v>
      </c>
      <c r="B256">
        <f>BIdetails!H259</f>
        <v>0</v>
      </c>
      <c r="C256">
        <f>BIdetails!J259</f>
        <v>0</v>
      </c>
      <c r="D256">
        <f>BIdetails!K259</f>
        <v>0</v>
      </c>
      <c r="E256" s="165">
        <f>BIdetails!M259</f>
        <v>0</v>
      </c>
      <c r="F256" t="e">
        <f>IF(ISERROR(IF(OR(C256="#",C256=0),"",VLOOKUP(C256,'AOP25'!M:M,1,0))),"Not Found",VLOOKUP(C256,'AOP25'!M:M,1,0))</f>
        <v>#N/A</v>
      </c>
      <c r="G256" t="e">
        <f t="shared" si="3"/>
        <v>#N/A</v>
      </c>
    </row>
    <row r="257" spans="1:7" hidden="1" x14ac:dyDescent="0.25">
      <c r="A257">
        <f>BIdetails!G260</f>
        <v>0</v>
      </c>
      <c r="B257">
        <f>BIdetails!H260</f>
        <v>0</v>
      </c>
      <c r="C257">
        <f>BIdetails!J260</f>
        <v>0</v>
      </c>
      <c r="D257">
        <f>BIdetails!K260</f>
        <v>0</v>
      </c>
      <c r="E257" s="165">
        <f>BIdetails!M260</f>
        <v>0</v>
      </c>
      <c r="F257" t="e">
        <f>IF(ISERROR(IF(OR(C257="#",C257=0),"",VLOOKUP(C257,'AOP25'!M:M,1,0))),"Not Found",VLOOKUP(C257,'AOP25'!M:M,1,0))</f>
        <v>#N/A</v>
      </c>
      <c r="G257" t="e">
        <f t="shared" si="3"/>
        <v>#N/A</v>
      </c>
    </row>
    <row r="258" spans="1:7" hidden="1" x14ac:dyDescent="0.25">
      <c r="A258">
        <f>BIdetails!G261</f>
        <v>0</v>
      </c>
      <c r="B258">
        <f>BIdetails!H261</f>
        <v>0</v>
      </c>
      <c r="C258">
        <f>BIdetails!J261</f>
        <v>0</v>
      </c>
      <c r="D258">
        <f>BIdetails!K261</f>
        <v>0</v>
      </c>
      <c r="E258" s="165">
        <f>BIdetails!M261</f>
        <v>0</v>
      </c>
      <c r="F258" t="e">
        <f>IF(ISERROR(IF(OR(C258="#",C258=0),"",VLOOKUP(C258,'AOP25'!M:M,1,0))),"Not Found",VLOOKUP(C258,'AOP25'!M:M,1,0))</f>
        <v>#N/A</v>
      </c>
      <c r="G258" t="e">
        <f t="shared" si="3"/>
        <v>#N/A</v>
      </c>
    </row>
    <row r="259" spans="1:7" hidden="1" x14ac:dyDescent="0.25">
      <c r="A259">
        <f>BIdetails!G262</f>
        <v>0</v>
      </c>
      <c r="B259">
        <f>BIdetails!H262</f>
        <v>0</v>
      </c>
      <c r="C259">
        <f>BIdetails!J262</f>
        <v>0</v>
      </c>
      <c r="D259">
        <f>BIdetails!K262</f>
        <v>0</v>
      </c>
      <c r="E259" s="165">
        <f>BIdetails!M262</f>
        <v>0</v>
      </c>
      <c r="F259" t="e">
        <f>IF(ISERROR(IF(OR(C259="#",C259=0),"",VLOOKUP(C259,'AOP25'!M:M,1,0))),"Not Found",VLOOKUP(C259,'AOP25'!M:M,1,0))</f>
        <v>#N/A</v>
      </c>
      <c r="G259" t="e">
        <f t="shared" ref="G259:G322" si="4">IF(NOT(ISERROR(VLOOKUP(C259,$K$2:$K$50,1,0))),"Y",VLOOKUP(C259,$K$2:$K$50,1,0))</f>
        <v>#N/A</v>
      </c>
    </row>
    <row r="260" spans="1:7" hidden="1" x14ac:dyDescent="0.25">
      <c r="A260">
        <f>BIdetails!G263</f>
        <v>0</v>
      </c>
      <c r="B260">
        <f>BIdetails!H263</f>
        <v>0</v>
      </c>
      <c r="C260">
        <f>BIdetails!J263</f>
        <v>0</v>
      </c>
      <c r="D260">
        <f>BIdetails!K263</f>
        <v>0</v>
      </c>
      <c r="E260" s="165">
        <f>BIdetails!M263</f>
        <v>0</v>
      </c>
      <c r="F260" t="e">
        <f>IF(ISERROR(IF(OR(C260="#",C260=0),"",VLOOKUP(C260,'AOP25'!M:M,1,0))),"Not Found",VLOOKUP(C260,'AOP25'!M:M,1,0))</f>
        <v>#N/A</v>
      </c>
      <c r="G260" t="e">
        <f t="shared" si="4"/>
        <v>#N/A</v>
      </c>
    </row>
    <row r="261" spans="1:7" hidden="1" x14ac:dyDescent="0.25">
      <c r="A261">
        <f>BIdetails!G264</f>
        <v>0</v>
      </c>
      <c r="B261">
        <f>BIdetails!H264</f>
        <v>0</v>
      </c>
      <c r="C261">
        <f>BIdetails!J264</f>
        <v>0</v>
      </c>
      <c r="D261">
        <f>BIdetails!K264</f>
        <v>0</v>
      </c>
      <c r="E261" s="165">
        <f>BIdetails!M264</f>
        <v>0</v>
      </c>
      <c r="F261" t="e">
        <f>IF(ISERROR(IF(OR(C261="#",C261=0),"",VLOOKUP(C261,'AOP25'!M:M,1,0))),"Not Found",VLOOKUP(C261,'AOP25'!M:M,1,0))</f>
        <v>#N/A</v>
      </c>
      <c r="G261" t="e">
        <f t="shared" si="4"/>
        <v>#N/A</v>
      </c>
    </row>
    <row r="262" spans="1:7" hidden="1" x14ac:dyDescent="0.25">
      <c r="A262">
        <f>BIdetails!G265</f>
        <v>0</v>
      </c>
      <c r="B262">
        <f>BIdetails!H265</f>
        <v>0</v>
      </c>
      <c r="C262">
        <f>BIdetails!J265</f>
        <v>0</v>
      </c>
      <c r="D262">
        <f>BIdetails!K265</f>
        <v>0</v>
      </c>
      <c r="E262" s="165">
        <f>BIdetails!M265</f>
        <v>0</v>
      </c>
      <c r="F262" t="e">
        <f>IF(ISERROR(IF(OR(C262="#",C262=0),"",VLOOKUP(C262,'AOP25'!M:M,1,0))),"Not Found",VLOOKUP(C262,'AOP25'!M:M,1,0))</f>
        <v>#N/A</v>
      </c>
      <c r="G262" t="e">
        <f t="shared" si="4"/>
        <v>#N/A</v>
      </c>
    </row>
    <row r="263" spans="1:7" hidden="1" x14ac:dyDescent="0.25">
      <c r="A263">
        <f>BIdetails!G266</f>
        <v>0</v>
      </c>
      <c r="B263">
        <f>BIdetails!H266</f>
        <v>0</v>
      </c>
      <c r="C263">
        <f>BIdetails!J266</f>
        <v>0</v>
      </c>
      <c r="D263">
        <f>BIdetails!K266</f>
        <v>0</v>
      </c>
      <c r="E263" s="165">
        <f>BIdetails!M266</f>
        <v>0</v>
      </c>
      <c r="F263" t="e">
        <f>IF(ISERROR(IF(OR(C263="#",C263=0),"",VLOOKUP(C263,'AOP25'!M:M,1,0))),"Not Found",VLOOKUP(C263,'AOP25'!M:M,1,0))</f>
        <v>#N/A</v>
      </c>
      <c r="G263" t="e">
        <f t="shared" si="4"/>
        <v>#N/A</v>
      </c>
    </row>
    <row r="264" spans="1:7" hidden="1" x14ac:dyDescent="0.25">
      <c r="A264">
        <f>BIdetails!G267</f>
        <v>0</v>
      </c>
      <c r="B264">
        <f>BIdetails!H267</f>
        <v>0</v>
      </c>
      <c r="C264">
        <f>BIdetails!J267</f>
        <v>0</v>
      </c>
      <c r="D264">
        <f>BIdetails!K267</f>
        <v>0</v>
      </c>
      <c r="E264" s="165">
        <f>BIdetails!M267</f>
        <v>0</v>
      </c>
      <c r="F264" t="e">
        <f>IF(ISERROR(IF(OR(C264="#",C264=0),"",VLOOKUP(C264,'AOP25'!M:M,1,0))),"Not Found",VLOOKUP(C264,'AOP25'!M:M,1,0))</f>
        <v>#N/A</v>
      </c>
      <c r="G264" t="e">
        <f t="shared" si="4"/>
        <v>#N/A</v>
      </c>
    </row>
    <row r="265" spans="1:7" hidden="1" x14ac:dyDescent="0.25">
      <c r="A265">
        <f>BIdetails!G268</f>
        <v>0</v>
      </c>
      <c r="B265">
        <f>BIdetails!H268</f>
        <v>0</v>
      </c>
      <c r="C265">
        <f>BIdetails!J268</f>
        <v>0</v>
      </c>
      <c r="D265">
        <f>BIdetails!K268</f>
        <v>0</v>
      </c>
      <c r="E265" s="165">
        <f>BIdetails!M268</f>
        <v>0</v>
      </c>
      <c r="F265" t="e">
        <f>IF(ISERROR(IF(OR(C265="#",C265=0),"",VLOOKUP(C265,'AOP25'!M:M,1,0))),"Not Found",VLOOKUP(C265,'AOP25'!M:M,1,0))</f>
        <v>#N/A</v>
      </c>
      <c r="G265" t="e">
        <f t="shared" si="4"/>
        <v>#N/A</v>
      </c>
    </row>
    <row r="266" spans="1:7" hidden="1" x14ac:dyDescent="0.25">
      <c r="A266">
        <f>BIdetails!G269</f>
        <v>0</v>
      </c>
      <c r="B266">
        <f>BIdetails!H269</f>
        <v>0</v>
      </c>
      <c r="C266">
        <f>BIdetails!J269</f>
        <v>0</v>
      </c>
      <c r="D266">
        <f>BIdetails!K269</f>
        <v>0</v>
      </c>
      <c r="E266" s="165">
        <f>BIdetails!M269</f>
        <v>0</v>
      </c>
      <c r="F266" t="e">
        <f>IF(ISERROR(IF(OR(C266="#",C266=0),"",VLOOKUP(C266,'AOP25'!M:M,1,0))),"Not Found",VLOOKUP(C266,'AOP25'!M:M,1,0))</f>
        <v>#N/A</v>
      </c>
      <c r="G266" t="e">
        <f t="shared" si="4"/>
        <v>#N/A</v>
      </c>
    </row>
    <row r="267" spans="1:7" hidden="1" x14ac:dyDescent="0.25">
      <c r="A267">
        <f>BIdetails!G270</f>
        <v>0</v>
      </c>
      <c r="B267">
        <f>BIdetails!H270</f>
        <v>0</v>
      </c>
      <c r="C267">
        <f>BIdetails!J270</f>
        <v>0</v>
      </c>
      <c r="D267">
        <f>BIdetails!K270</f>
        <v>0</v>
      </c>
      <c r="E267" s="165">
        <f>BIdetails!M270</f>
        <v>0</v>
      </c>
      <c r="F267" t="e">
        <f>IF(ISERROR(IF(OR(C267="#",C267=0),"",VLOOKUP(C267,'AOP25'!M:M,1,0))),"Not Found",VLOOKUP(C267,'AOP25'!M:M,1,0))</f>
        <v>#N/A</v>
      </c>
      <c r="G267" t="e">
        <f t="shared" si="4"/>
        <v>#N/A</v>
      </c>
    </row>
    <row r="268" spans="1:7" hidden="1" x14ac:dyDescent="0.25">
      <c r="A268">
        <f>BIdetails!G271</f>
        <v>0</v>
      </c>
      <c r="B268">
        <f>BIdetails!H271</f>
        <v>0</v>
      </c>
      <c r="C268">
        <f>BIdetails!J271</f>
        <v>0</v>
      </c>
      <c r="D268">
        <f>BIdetails!K271</f>
        <v>0</v>
      </c>
      <c r="E268" s="165">
        <f>BIdetails!M271</f>
        <v>0</v>
      </c>
      <c r="F268" t="e">
        <f>IF(ISERROR(IF(OR(C268="#",C268=0),"",VLOOKUP(C268,'AOP25'!M:M,1,0))),"Not Found",VLOOKUP(C268,'AOP25'!M:M,1,0))</f>
        <v>#N/A</v>
      </c>
      <c r="G268" t="e">
        <f t="shared" si="4"/>
        <v>#N/A</v>
      </c>
    </row>
    <row r="269" spans="1:7" hidden="1" x14ac:dyDescent="0.25">
      <c r="A269">
        <f>BIdetails!G272</f>
        <v>0</v>
      </c>
      <c r="B269">
        <f>BIdetails!H272</f>
        <v>0</v>
      </c>
      <c r="C269">
        <f>BIdetails!J272</f>
        <v>0</v>
      </c>
      <c r="D269">
        <f>BIdetails!K272</f>
        <v>0</v>
      </c>
      <c r="E269" s="165">
        <f>BIdetails!M272</f>
        <v>0</v>
      </c>
      <c r="F269" t="e">
        <f>IF(ISERROR(IF(OR(C269="#",C269=0),"",VLOOKUP(C269,'AOP25'!M:M,1,0))),"Not Found",VLOOKUP(C269,'AOP25'!M:M,1,0))</f>
        <v>#N/A</v>
      </c>
      <c r="G269" t="e">
        <f t="shared" si="4"/>
        <v>#N/A</v>
      </c>
    </row>
    <row r="270" spans="1:7" hidden="1" x14ac:dyDescent="0.25">
      <c r="A270">
        <f>BIdetails!G273</f>
        <v>0</v>
      </c>
      <c r="B270">
        <f>BIdetails!H273</f>
        <v>0</v>
      </c>
      <c r="C270">
        <f>BIdetails!J273</f>
        <v>0</v>
      </c>
      <c r="D270">
        <f>BIdetails!K273</f>
        <v>0</v>
      </c>
      <c r="E270" s="165">
        <f>BIdetails!M273</f>
        <v>0</v>
      </c>
      <c r="F270" t="e">
        <f>IF(ISERROR(IF(OR(C270="#",C270=0),"",VLOOKUP(C270,'AOP25'!M:M,1,0))),"Not Found",VLOOKUP(C270,'AOP25'!M:M,1,0))</f>
        <v>#N/A</v>
      </c>
      <c r="G270" t="e">
        <f t="shared" si="4"/>
        <v>#N/A</v>
      </c>
    </row>
    <row r="271" spans="1:7" hidden="1" x14ac:dyDescent="0.25">
      <c r="A271">
        <f>BIdetails!G274</f>
        <v>0</v>
      </c>
      <c r="B271">
        <f>BIdetails!H274</f>
        <v>0</v>
      </c>
      <c r="C271">
        <f>BIdetails!J274</f>
        <v>0</v>
      </c>
      <c r="D271">
        <f>BIdetails!K274</f>
        <v>0</v>
      </c>
      <c r="E271" s="165">
        <f>BIdetails!M274</f>
        <v>0</v>
      </c>
      <c r="F271" t="e">
        <f>IF(ISERROR(IF(OR(C271="#",C271=0),"",VLOOKUP(C271,'AOP25'!M:M,1,0))),"Not Found",VLOOKUP(C271,'AOP25'!M:M,1,0))</f>
        <v>#N/A</v>
      </c>
      <c r="G271" t="e">
        <f t="shared" si="4"/>
        <v>#N/A</v>
      </c>
    </row>
    <row r="272" spans="1:7" x14ac:dyDescent="0.25">
      <c r="A272">
        <f>BIdetails!G275</f>
        <v>0</v>
      </c>
      <c r="B272">
        <f>BIdetails!H275</f>
        <v>0</v>
      </c>
      <c r="C272">
        <f>BIdetails!J275</f>
        <v>0</v>
      </c>
      <c r="D272">
        <f>BIdetails!K275</f>
        <v>0</v>
      </c>
      <c r="E272" s="165">
        <f>BIdetails!M275</f>
        <v>0</v>
      </c>
      <c r="F272" t="e">
        <f>IF(ISERROR(IF(OR(C272="#",C272=0),"",VLOOKUP(C272,'AOP25'!M:M,1,0))),"Not Found",VLOOKUP(C272,'AOP25'!M:M,1,0))</f>
        <v>#N/A</v>
      </c>
      <c r="G272" t="e">
        <f t="shared" si="4"/>
        <v>#N/A</v>
      </c>
    </row>
    <row r="273" spans="1:7" hidden="1" x14ac:dyDescent="0.25">
      <c r="A273">
        <f>BIdetails!G276</f>
        <v>0</v>
      </c>
      <c r="B273">
        <f>BIdetails!H276</f>
        <v>0</v>
      </c>
      <c r="C273">
        <f>BIdetails!J276</f>
        <v>0</v>
      </c>
      <c r="D273">
        <f>BIdetails!K276</f>
        <v>0</v>
      </c>
      <c r="E273" s="165">
        <f>BIdetails!M276</f>
        <v>0</v>
      </c>
      <c r="F273" t="e">
        <f>IF(ISERROR(IF(OR(C273="#",C273=0),"",VLOOKUP(C273,'AOP25'!M:M,1,0))),"Not Found",VLOOKUP(C273,'AOP25'!M:M,1,0))</f>
        <v>#N/A</v>
      </c>
      <c r="G273" t="e">
        <f t="shared" si="4"/>
        <v>#N/A</v>
      </c>
    </row>
    <row r="274" spans="1:7" hidden="1" x14ac:dyDescent="0.25">
      <c r="A274">
        <f>BIdetails!G277</f>
        <v>0</v>
      </c>
      <c r="B274">
        <f>BIdetails!H277</f>
        <v>0</v>
      </c>
      <c r="C274">
        <f>BIdetails!J277</f>
        <v>0</v>
      </c>
      <c r="D274">
        <f>BIdetails!K277</f>
        <v>0</v>
      </c>
      <c r="E274" s="165">
        <f>BIdetails!M277</f>
        <v>0</v>
      </c>
      <c r="F274" t="e">
        <f>IF(ISERROR(IF(OR(C274="#",C274=0),"",VLOOKUP(C274,'AOP25'!M:M,1,0))),"Not Found",VLOOKUP(C274,'AOP25'!M:M,1,0))</f>
        <v>#N/A</v>
      </c>
      <c r="G274" t="e">
        <f t="shared" si="4"/>
        <v>#N/A</v>
      </c>
    </row>
    <row r="275" spans="1:7" hidden="1" x14ac:dyDescent="0.25">
      <c r="A275">
        <f>BIdetails!G278</f>
        <v>0</v>
      </c>
      <c r="B275">
        <f>BIdetails!H278</f>
        <v>0</v>
      </c>
      <c r="C275">
        <f>BIdetails!J278</f>
        <v>0</v>
      </c>
      <c r="D275">
        <f>BIdetails!K278</f>
        <v>0</v>
      </c>
      <c r="E275" s="165">
        <f>BIdetails!M278</f>
        <v>0</v>
      </c>
      <c r="F275" t="e">
        <f>IF(ISERROR(IF(OR(C275="#",C275=0),"",VLOOKUP(C275,'AOP25'!M:M,1,0))),"Not Found",VLOOKUP(C275,'AOP25'!M:M,1,0))</f>
        <v>#N/A</v>
      </c>
      <c r="G275" t="e">
        <f t="shared" si="4"/>
        <v>#N/A</v>
      </c>
    </row>
    <row r="276" spans="1:7" hidden="1" x14ac:dyDescent="0.25">
      <c r="A276">
        <f>BIdetails!G279</f>
        <v>0</v>
      </c>
      <c r="B276">
        <f>BIdetails!H279</f>
        <v>0</v>
      </c>
      <c r="C276">
        <f>BIdetails!J279</f>
        <v>0</v>
      </c>
      <c r="D276">
        <f>BIdetails!K279</f>
        <v>0</v>
      </c>
      <c r="E276" s="165">
        <f>BIdetails!M279</f>
        <v>0</v>
      </c>
      <c r="F276" t="e">
        <f>IF(ISERROR(IF(OR(C276="#",C276=0),"",VLOOKUP(C276,'AOP25'!M:M,1,0))),"Not Found",VLOOKUP(C276,'AOP25'!M:M,1,0))</f>
        <v>#N/A</v>
      </c>
      <c r="G276" t="e">
        <f t="shared" si="4"/>
        <v>#N/A</v>
      </c>
    </row>
    <row r="277" spans="1:7" hidden="1" x14ac:dyDescent="0.25">
      <c r="A277">
        <f>BIdetails!G280</f>
        <v>0</v>
      </c>
      <c r="B277">
        <f>BIdetails!H280</f>
        <v>0</v>
      </c>
      <c r="C277">
        <f>BIdetails!J280</f>
        <v>0</v>
      </c>
      <c r="D277">
        <f>BIdetails!K280</f>
        <v>0</v>
      </c>
      <c r="E277" s="165">
        <f>BIdetails!M280</f>
        <v>0</v>
      </c>
      <c r="F277" t="e">
        <f>IF(ISERROR(IF(OR(C277="#",C277=0),"",VLOOKUP(C277,'AOP25'!M:M,1,0))),"Not Found",VLOOKUP(C277,'AOP25'!M:M,1,0))</f>
        <v>#N/A</v>
      </c>
      <c r="G277" t="e">
        <f t="shared" si="4"/>
        <v>#N/A</v>
      </c>
    </row>
    <row r="278" spans="1:7" x14ac:dyDescent="0.25">
      <c r="A278">
        <f>BIdetails!G281</f>
        <v>0</v>
      </c>
      <c r="B278">
        <f>BIdetails!H281</f>
        <v>0</v>
      </c>
      <c r="C278">
        <f>BIdetails!J281</f>
        <v>0</v>
      </c>
      <c r="D278">
        <f>BIdetails!K281</f>
        <v>0</v>
      </c>
      <c r="E278" s="165">
        <f>BIdetails!M281</f>
        <v>0</v>
      </c>
      <c r="F278" t="e">
        <f>IF(ISERROR(IF(OR(C278="#",C278=0),"",VLOOKUP(C278,'AOP25'!M:M,1,0))),"Not Found",VLOOKUP(C278,'AOP25'!M:M,1,0))</f>
        <v>#N/A</v>
      </c>
      <c r="G278" t="e">
        <f t="shared" si="4"/>
        <v>#N/A</v>
      </c>
    </row>
    <row r="279" spans="1:7" x14ac:dyDescent="0.25">
      <c r="A279">
        <f>BIdetails!G282</f>
        <v>0</v>
      </c>
      <c r="B279">
        <f>BIdetails!H282</f>
        <v>0</v>
      </c>
      <c r="C279">
        <f>BIdetails!J282</f>
        <v>0</v>
      </c>
      <c r="D279">
        <f>BIdetails!K282</f>
        <v>0</v>
      </c>
      <c r="E279" s="165">
        <f>BIdetails!M282</f>
        <v>0</v>
      </c>
      <c r="F279" t="e">
        <f>IF(ISERROR(IF(OR(C279="#",C279=0),"",VLOOKUP(C279,'AOP25'!M:M,1,0))),"Not Found",VLOOKUP(C279,'AOP25'!M:M,1,0))</f>
        <v>#N/A</v>
      </c>
      <c r="G279" t="e">
        <f t="shared" si="4"/>
        <v>#N/A</v>
      </c>
    </row>
    <row r="280" spans="1:7" x14ac:dyDescent="0.25">
      <c r="A280">
        <f>BIdetails!G283</f>
        <v>0</v>
      </c>
      <c r="B280">
        <f>BIdetails!H283</f>
        <v>0</v>
      </c>
      <c r="C280">
        <f>BIdetails!J283</f>
        <v>0</v>
      </c>
      <c r="D280">
        <f>BIdetails!K283</f>
        <v>0</v>
      </c>
      <c r="E280" s="165">
        <f>BIdetails!M283</f>
        <v>0</v>
      </c>
      <c r="F280" t="e">
        <f>IF(ISERROR(IF(OR(C280="#",C280=0),"",VLOOKUP(C280,'AOP25'!M:M,1,0))),"Not Found",VLOOKUP(C280,'AOP25'!M:M,1,0))</f>
        <v>#N/A</v>
      </c>
      <c r="G280" t="e">
        <f t="shared" si="4"/>
        <v>#N/A</v>
      </c>
    </row>
    <row r="281" spans="1:7" x14ac:dyDescent="0.25">
      <c r="A281">
        <f>BIdetails!G284</f>
        <v>0</v>
      </c>
      <c r="B281">
        <f>BIdetails!H284</f>
        <v>0</v>
      </c>
      <c r="C281">
        <f>BIdetails!J284</f>
        <v>0</v>
      </c>
      <c r="D281">
        <f>BIdetails!K284</f>
        <v>0</v>
      </c>
      <c r="E281" s="165">
        <f>BIdetails!M284</f>
        <v>0</v>
      </c>
      <c r="F281" t="e">
        <f>IF(ISERROR(IF(OR(C281="#",C281=0),"",VLOOKUP(C281,'AOP25'!M:M,1,0))),"Not Found",VLOOKUP(C281,'AOP25'!M:M,1,0))</f>
        <v>#N/A</v>
      </c>
      <c r="G281" t="e">
        <f t="shared" si="4"/>
        <v>#N/A</v>
      </c>
    </row>
    <row r="282" spans="1:7" x14ac:dyDescent="0.25">
      <c r="A282">
        <f>BIdetails!G285</f>
        <v>0</v>
      </c>
      <c r="B282">
        <f>BIdetails!H285</f>
        <v>0</v>
      </c>
      <c r="C282">
        <f>BIdetails!J285</f>
        <v>0</v>
      </c>
      <c r="D282">
        <f>BIdetails!K285</f>
        <v>0</v>
      </c>
      <c r="E282" s="165">
        <f>BIdetails!M285</f>
        <v>0</v>
      </c>
      <c r="F282" t="e">
        <f>IF(ISERROR(IF(OR(C282="#",C282=0),"",VLOOKUP(C282,'AOP25'!M:M,1,0))),"Not Found",VLOOKUP(C282,'AOP25'!M:M,1,0))</f>
        <v>#N/A</v>
      </c>
      <c r="G282" t="e">
        <f t="shared" si="4"/>
        <v>#N/A</v>
      </c>
    </row>
    <row r="283" spans="1:7" x14ac:dyDescent="0.25">
      <c r="A283">
        <f>BIdetails!G286</f>
        <v>0</v>
      </c>
      <c r="B283">
        <f>BIdetails!H286</f>
        <v>0</v>
      </c>
      <c r="C283">
        <f>BIdetails!J286</f>
        <v>0</v>
      </c>
      <c r="D283">
        <f>BIdetails!K286</f>
        <v>0</v>
      </c>
      <c r="E283" s="165">
        <f>BIdetails!M286</f>
        <v>0</v>
      </c>
      <c r="F283" t="e">
        <f>IF(ISERROR(IF(OR(C283="#",C283=0),"",VLOOKUP(C283,'AOP25'!M:M,1,0))),"Not Found",VLOOKUP(C283,'AOP25'!M:M,1,0))</f>
        <v>#N/A</v>
      </c>
      <c r="G283" t="e">
        <f t="shared" si="4"/>
        <v>#N/A</v>
      </c>
    </row>
    <row r="284" spans="1:7" hidden="1" x14ac:dyDescent="0.25">
      <c r="A284">
        <f>BIdetails!G287</f>
        <v>0</v>
      </c>
      <c r="B284">
        <f>BIdetails!H287</f>
        <v>0</v>
      </c>
      <c r="C284">
        <f>BIdetails!J287</f>
        <v>0</v>
      </c>
      <c r="D284">
        <f>BIdetails!K287</f>
        <v>0</v>
      </c>
      <c r="E284" s="165">
        <f>BIdetails!M287</f>
        <v>0</v>
      </c>
      <c r="F284" t="e">
        <f>IF(ISERROR(IF(OR(C284="#",C284=0),"",VLOOKUP(C284,'AOP25'!M:M,1,0))),"Not Found",VLOOKUP(C284,'AOP25'!M:M,1,0))</f>
        <v>#N/A</v>
      </c>
      <c r="G284" t="e">
        <f t="shared" si="4"/>
        <v>#N/A</v>
      </c>
    </row>
    <row r="285" spans="1:7" x14ac:dyDescent="0.25">
      <c r="A285">
        <f>BIdetails!G288</f>
        <v>0</v>
      </c>
      <c r="B285">
        <f>BIdetails!H288</f>
        <v>0</v>
      </c>
      <c r="C285">
        <f>BIdetails!J288</f>
        <v>0</v>
      </c>
      <c r="D285">
        <f>BIdetails!K288</f>
        <v>0</v>
      </c>
      <c r="E285" s="165">
        <f>BIdetails!M288</f>
        <v>0</v>
      </c>
      <c r="F285" t="e">
        <f>IF(ISERROR(IF(OR(C285="#",C285=0),"",VLOOKUP(C285,'AOP25'!M:M,1,0))),"Not Found",VLOOKUP(C285,'AOP25'!M:M,1,0))</f>
        <v>#N/A</v>
      </c>
      <c r="G285" t="e">
        <f t="shared" si="4"/>
        <v>#N/A</v>
      </c>
    </row>
    <row r="286" spans="1:7" x14ac:dyDescent="0.25">
      <c r="A286">
        <f>BIdetails!G289</f>
        <v>0</v>
      </c>
      <c r="B286">
        <f>BIdetails!H289</f>
        <v>0</v>
      </c>
      <c r="C286">
        <f>BIdetails!J289</f>
        <v>0</v>
      </c>
      <c r="D286">
        <f>BIdetails!K289</f>
        <v>0</v>
      </c>
      <c r="E286" s="165">
        <f>BIdetails!M289</f>
        <v>0</v>
      </c>
      <c r="F286" t="e">
        <f>IF(ISERROR(IF(OR(C286="#",C286=0),"",VLOOKUP(C286,'AOP25'!M:M,1,0))),"Not Found",VLOOKUP(C286,'AOP25'!M:M,1,0))</f>
        <v>#N/A</v>
      </c>
      <c r="G286" t="e">
        <f t="shared" si="4"/>
        <v>#N/A</v>
      </c>
    </row>
    <row r="287" spans="1:7" x14ac:dyDescent="0.25">
      <c r="A287">
        <f>BIdetails!G290</f>
        <v>0</v>
      </c>
      <c r="B287">
        <f>BIdetails!H290</f>
        <v>0</v>
      </c>
      <c r="C287">
        <f>BIdetails!J290</f>
        <v>0</v>
      </c>
      <c r="D287">
        <f>BIdetails!K290</f>
        <v>0</v>
      </c>
      <c r="E287" s="165">
        <f>BIdetails!M290</f>
        <v>0</v>
      </c>
      <c r="F287" t="e">
        <f>IF(ISERROR(IF(OR(C287="#",C287=0),"",VLOOKUP(C287,'AOP25'!M:M,1,0))),"Not Found",VLOOKUP(C287,'AOP25'!M:M,1,0))</f>
        <v>#N/A</v>
      </c>
      <c r="G287" t="e">
        <f t="shared" si="4"/>
        <v>#N/A</v>
      </c>
    </row>
    <row r="288" spans="1:7" x14ac:dyDescent="0.25">
      <c r="A288">
        <f>BIdetails!G291</f>
        <v>0</v>
      </c>
      <c r="B288">
        <f>BIdetails!H291</f>
        <v>0</v>
      </c>
      <c r="C288">
        <f>BIdetails!J291</f>
        <v>0</v>
      </c>
      <c r="D288">
        <f>BIdetails!K291</f>
        <v>0</v>
      </c>
      <c r="E288" s="165">
        <f>BIdetails!M291</f>
        <v>0</v>
      </c>
      <c r="F288" t="e">
        <f>IF(ISERROR(IF(OR(C288="#",C288=0),"",VLOOKUP(C288,'AOP25'!M:M,1,0))),"Not Found",VLOOKUP(C288,'AOP25'!M:M,1,0))</f>
        <v>#N/A</v>
      </c>
      <c r="G288" t="e">
        <f t="shared" si="4"/>
        <v>#N/A</v>
      </c>
    </row>
    <row r="289" spans="1:7" x14ac:dyDescent="0.25">
      <c r="A289">
        <f>BIdetails!G292</f>
        <v>0</v>
      </c>
      <c r="B289">
        <f>BIdetails!H292</f>
        <v>0</v>
      </c>
      <c r="C289">
        <f>BIdetails!J292</f>
        <v>0</v>
      </c>
      <c r="D289">
        <f>BIdetails!K292</f>
        <v>0</v>
      </c>
      <c r="E289" s="165">
        <f>BIdetails!M292</f>
        <v>0</v>
      </c>
      <c r="F289" t="e">
        <f>IF(ISERROR(IF(OR(C289="#",C289=0),"",VLOOKUP(C289,'AOP25'!M:M,1,0))),"Not Found",VLOOKUP(C289,'AOP25'!M:M,1,0))</f>
        <v>#N/A</v>
      </c>
      <c r="G289" t="e">
        <f t="shared" si="4"/>
        <v>#N/A</v>
      </c>
    </row>
    <row r="290" spans="1:7" x14ac:dyDescent="0.25">
      <c r="A290">
        <f>BIdetails!G293</f>
        <v>0</v>
      </c>
      <c r="B290">
        <f>BIdetails!H293</f>
        <v>0</v>
      </c>
      <c r="C290">
        <f>BIdetails!J293</f>
        <v>0</v>
      </c>
      <c r="D290">
        <f>BIdetails!K293</f>
        <v>0</v>
      </c>
      <c r="E290" s="165">
        <f>BIdetails!M293</f>
        <v>0</v>
      </c>
      <c r="F290" t="e">
        <f>IF(ISERROR(IF(OR(C290="#",C290=0),"",VLOOKUP(C290,'AOP25'!M:M,1,0))),"Not Found",VLOOKUP(C290,'AOP25'!M:M,1,0))</f>
        <v>#N/A</v>
      </c>
      <c r="G290" t="e">
        <f t="shared" si="4"/>
        <v>#N/A</v>
      </c>
    </row>
    <row r="291" spans="1:7" x14ac:dyDescent="0.25">
      <c r="A291">
        <f>BIdetails!G294</f>
        <v>0</v>
      </c>
      <c r="B291">
        <f>BIdetails!H294</f>
        <v>0</v>
      </c>
      <c r="C291">
        <f>BIdetails!J294</f>
        <v>0</v>
      </c>
      <c r="D291">
        <f>BIdetails!K294</f>
        <v>0</v>
      </c>
      <c r="E291" s="165">
        <f>BIdetails!M294</f>
        <v>0</v>
      </c>
      <c r="F291" t="e">
        <f>IF(ISERROR(IF(OR(C291="#",C291=0),"",VLOOKUP(C291,'AOP25'!M:M,1,0))),"Not Found",VLOOKUP(C291,'AOP25'!M:M,1,0))</f>
        <v>#N/A</v>
      </c>
      <c r="G291" t="e">
        <f t="shared" si="4"/>
        <v>#N/A</v>
      </c>
    </row>
    <row r="292" spans="1:7" x14ac:dyDescent="0.25">
      <c r="A292">
        <f>BIdetails!G295</f>
        <v>0</v>
      </c>
      <c r="B292">
        <f>BIdetails!H295</f>
        <v>0</v>
      </c>
      <c r="C292">
        <f>BIdetails!J295</f>
        <v>0</v>
      </c>
      <c r="D292">
        <f>BIdetails!K295</f>
        <v>0</v>
      </c>
      <c r="E292" s="165">
        <f>BIdetails!M295</f>
        <v>0</v>
      </c>
      <c r="F292" t="e">
        <f>IF(ISERROR(IF(OR(C292="#",C292=0),"",VLOOKUP(C292,'AOP25'!M:M,1,0))),"Not Found",VLOOKUP(C292,'AOP25'!M:M,1,0))</f>
        <v>#N/A</v>
      </c>
      <c r="G292" t="e">
        <f t="shared" si="4"/>
        <v>#N/A</v>
      </c>
    </row>
    <row r="293" spans="1:7" hidden="1" x14ac:dyDescent="0.25">
      <c r="A293">
        <f>BIdetails!G296</f>
        <v>0</v>
      </c>
      <c r="B293">
        <f>BIdetails!H296</f>
        <v>0</v>
      </c>
      <c r="C293">
        <f>BIdetails!J296</f>
        <v>0</v>
      </c>
      <c r="D293">
        <f>BIdetails!K296</f>
        <v>0</v>
      </c>
      <c r="E293" s="165">
        <f>BIdetails!M296</f>
        <v>0</v>
      </c>
      <c r="F293" t="e">
        <f>IF(ISERROR(IF(OR(C293="#",C293=0),"",VLOOKUP(C293,'AOP25'!M:M,1,0))),"Not Found",VLOOKUP(C293,'AOP25'!M:M,1,0))</f>
        <v>#N/A</v>
      </c>
      <c r="G293" t="e">
        <f t="shared" si="4"/>
        <v>#N/A</v>
      </c>
    </row>
    <row r="294" spans="1:7" hidden="1" x14ac:dyDescent="0.25">
      <c r="A294">
        <f>BIdetails!G297</f>
        <v>0</v>
      </c>
      <c r="B294">
        <f>BIdetails!H297</f>
        <v>0</v>
      </c>
      <c r="C294">
        <f>BIdetails!J297</f>
        <v>0</v>
      </c>
      <c r="D294">
        <f>BIdetails!K297</f>
        <v>0</v>
      </c>
      <c r="E294" s="165">
        <f>BIdetails!M297</f>
        <v>0</v>
      </c>
      <c r="F294" t="e">
        <f>IF(ISERROR(IF(OR(C294="#",C294=0),"",VLOOKUP(C294,'AOP25'!M:M,1,0))),"Not Found",VLOOKUP(C294,'AOP25'!M:M,1,0))</f>
        <v>#N/A</v>
      </c>
      <c r="G294" t="e">
        <f t="shared" si="4"/>
        <v>#N/A</v>
      </c>
    </row>
    <row r="295" spans="1:7" x14ac:dyDescent="0.25">
      <c r="A295">
        <f>BIdetails!G298</f>
        <v>0</v>
      </c>
      <c r="B295">
        <f>BIdetails!H298</f>
        <v>0</v>
      </c>
      <c r="C295">
        <f>BIdetails!J298</f>
        <v>0</v>
      </c>
      <c r="D295">
        <f>BIdetails!K298</f>
        <v>0</v>
      </c>
      <c r="E295" s="165">
        <f>BIdetails!M298</f>
        <v>0</v>
      </c>
      <c r="F295" t="e">
        <f>IF(ISERROR(IF(OR(C295="#",C295=0),"",VLOOKUP(C295,'AOP25'!M:M,1,0))),"Not Found",VLOOKUP(C295,'AOP25'!M:M,1,0))</f>
        <v>#N/A</v>
      </c>
      <c r="G295" t="e">
        <f t="shared" si="4"/>
        <v>#N/A</v>
      </c>
    </row>
    <row r="296" spans="1:7" hidden="1" x14ac:dyDescent="0.25">
      <c r="A296">
        <f>BIdetails!G299</f>
        <v>0</v>
      </c>
      <c r="B296">
        <f>BIdetails!H299</f>
        <v>0</v>
      </c>
      <c r="C296">
        <f>BIdetails!J299</f>
        <v>0</v>
      </c>
      <c r="D296">
        <f>BIdetails!K299</f>
        <v>0</v>
      </c>
      <c r="E296" s="165">
        <f>BIdetails!M299</f>
        <v>0</v>
      </c>
      <c r="F296" t="e">
        <f>IF(ISERROR(IF(OR(C296="#",C296=0),"",VLOOKUP(C296,'AOP25'!M:M,1,0))),"Not Found",VLOOKUP(C296,'AOP25'!M:M,1,0))</f>
        <v>#N/A</v>
      </c>
      <c r="G296" t="e">
        <f t="shared" si="4"/>
        <v>#N/A</v>
      </c>
    </row>
    <row r="297" spans="1:7" hidden="1" x14ac:dyDescent="0.25">
      <c r="A297">
        <f>BIdetails!G300</f>
        <v>0</v>
      </c>
      <c r="B297">
        <f>BIdetails!H300</f>
        <v>0</v>
      </c>
      <c r="C297">
        <f>BIdetails!J300</f>
        <v>0</v>
      </c>
      <c r="D297">
        <f>BIdetails!K300</f>
        <v>0</v>
      </c>
      <c r="E297" s="165">
        <f>BIdetails!M300</f>
        <v>0</v>
      </c>
      <c r="F297" t="e">
        <f>IF(ISERROR(IF(OR(C297="#",C297=0),"",VLOOKUP(C297,'AOP25'!M:M,1,0))),"Not Found",VLOOKUP(C297,'AOP25'!M:M,1,0))</f>
        <v>#N/A</v>
      </c>
      <c r="G297" t="e">
        <f t="shared" si="4"/>
        <v>#N/A</v>
      </c>
    </row>
    <row r="298" spans="1:7" hidden="1" x14ac:dyDescent="0.25">
      <c r="A298">
        <f>BIdetails!G301</f>
        <v>0</v>
      </c>
      <c r="B298">
        <f>BIdetails!H301</f>
        <v>0</v>
      </c>
      <c r="C298">
        <f>BIdetails!J301</f>
        <v>0</v>
      </c>
      <c r="D298">
        <f>BIdetails!K301</f>
        <v>0</v>
      </c>
      <c r="E298" s="165">
        <f>BIdetails!M301</f>
        <v>0</v>
      </c>
      <c r="F298" t="e">
        <f>IF(ISERROR(IF(OR(C298="#",C298=0),"",VLOOKUP(C298,'AOP25'!M:M,1,0))),"Not Found",VLOOKUP(C298,'AOP25'!M:M,1,0))</f>
        <v>#N/A</v>
      </c>
      <c r="G298" t="e">
        <f t="shared" si="4"/>
        <v>#N/A</v>
      </c>
    </row>
    <row r="299" spans="1:7" hidden="1" x14ac:dyDescent="0.25">
      <c r="A299">
        <f>BIdetails!G302</f>
        <v>0</v>
      </c>
      <c r="B299">
        <f>BIdetails!H302</f>
        <v>0</v>
      </c>
      <c r="C299">
        <f>BIdetails!J302</f>
        <v>0</v>
      </c>
      <c r="D299">
        <f>BIdetails!K302</f>
        <v>0</v>
      </c>
      <c r="E299" s="165">
        <f>BIdetails!M302</f>
        <v>0</v>
      </c>
      <c r="F299" t="e">
        <f>IF(ISERROR(IF(OR(C299="#",C299=0),"",VLOOKUP(C299,'AOP25'!M:M,1,0))),"Not Found",VLOOKUP(C299,'AOP25'!M:M,1,0))</f>
        <v>#N/A</v>
      </c>
      <c r="G299" t="e">
        <f t="shared" si="4"/>
        <v>#N/A</v>
      </c>
    </row>
    <row r="300" spans="1:7" hidden="1" x14ac:dyDescent="0.25">
      <c r="A300">
        <f>BIdetails!G303</f>
        <v>0</v>
      </c>
      <c r="B300">
        <f>BIdetails!H303</f>
        <v>0</v>
      </c>
      <c r="C300">
        <f>BIdetails!J303</f>
        <v>0</v>
      </c>
      <c r="D300">
        <f>BIdetails!K303</f>
        <v>0</v>
      </c>
      <c r="E300" s="165">
        <f>BIdetails!M303</f>
        <v>0</v>
      </c>
      <c r="F300" t="e">
        <f>IF(ISERROR(IF(OR(C300="#",C300=0),"",VLOOKUP(C300,'AOP25'!M:M,1,0))),"Not Found",VLOOKUP(C300,'AOP25'!M:M,1,0))</f>
        <v>#N/A</v>
      </c>
      <c r="G300" t="e">
        <f t="shared" si="4"/>
        <v>#N/A</v>
      </c>
    </row>
    <row r="301" spans="1:7" x14ac:dyDescent="0.25">
      <c r="A301">
        <f>BIdetails!G304</f>
        <v>0</v>
      </c>
      <c r="B301">
        <f>BIdetails!H304</f>
        <v>0</v>
      </c>
      <c r="C301">
        <f>BIdetails!J304</f>
        <v>0</v>
      </c>
      <c r="D301">
        <f>BIdetails!K304</f>
        <v>0</v>
      </c>
      <c r="E301" s="165">
        <f>BIdetails!M304</f>
        <v>0</v>
      </c>
      <c r="F301" t="e">
        <f>IF(ISERROR(IF(OR(C301="#",C301=0),"",VLOOKUP(C301,'AOP25'!M:M,1,0))),"Not Found",VLOOKUP(C301,'AOP25'!M:M,1,0))</f>
        <v>#N/A</v>
      </c>
      <c r="G301" t="e">
        <f t="shared" si="4"/>
        <v>#N/A</v>
      </c>
    </row>
    <row r="302" spans="1:7" x14ac:dyDescent="0.25">
      <c r="A302">
        <f>BIdetails!G305</f>
        <v>0</v>
      </c>
      <c r="B302">
        <f>BIdetails!H305</f>
        <v>0</v>
      </c>
      <c r="C302">
        <f>BIdetails!J305</f>
        <v>0</v>
      </c>
      <c r="D302">
        <f>BIdetails!K305</f>
        <v>0</v>
      </c>
      <c r="E302" s="165">
        <f>BIdetails!M305</f>
        <v>0</v>
      </c>
      <c r="F302" t="e">
        <f>IF(ISERROR(IF(OR(C302="#",C302=0),"",VLOOKUP(C302,'AOP25'!M:M,1,0))),"Not Found",VLOOKUP(C302,'AOP25'!M:M,1,0))</f>
        <v>#N/A</v>
      </c>
      <c r="G302" t="e">
        <f t="shared" si="4"/>
        <v>#N/A</v>
      </c>
    </row>
    <row r="303" spans="1:7" hidden="1" x14ac:dyDescent="0.25">
      <c r="A303">
        <f>BIdetails!G306</f>
        <v>0</v>
      </c>
      <c r="B303">
        <f>BIdetails!H306</f>
        <v>0</v>
      </c>
      <c r="C303">
        <f>BIdetails!J306</f>
        <v>0</v>
      </c>
      <c r="D303">
        <f>BIdetails!K306</f>
        <v>0</v>
      </c>
      <c r="E303" s="165">
        <f>BIdetails!M306</f>
        <v>0</v>
      </c>
      <c r="F303" t="e">
        <f>IF(ISERROR(IF(OR(C303="#",C303=0),"",VLOOKUP(C303,'AOP25'!M:M,1,0))),"Not Found",VLOOKUP(C303,'AOP25'!M:M,1,0))</f>
        <v>#N/A</v>
      </c>
      <c r="G303" t="e">
        <f t="shared" si="4"/>
        <v>#N/A</v>
      </c>
    </row>
    <row r="304" spans="1:7" hidden="1" x14ac:dyDescent="0.25">
      <c r="A304">
        <f>BIdetails!G307</f>
        <v>0</v>
      </c>
      <c r="B304">
        <f>BIdetails!H307</f>
        <v>0</v>
      </c>
      <c r="C304">
        <f>BIdetails!J307</f>
        <v>0</v>
      </c>
      <c r="D304">
        <f>BIdetails!K307</f>
        <v>0</v>
      </c>
      <c r="E304" s="165">
        <f>BIdetails!M307</f>
        <v>0</v>
      </c>
      <c r="F304" t="e">
        <f>IF(ISERROR(IF(OR(C304="#",C304=0),"",VLOOKUP(C304,'AOP25'!M:M,1,0))),"Not Found",VLOOKUP(C304,'AOP25'!M:M,1,0))</f>
        <v>#N/A</v>
      </c>
      <c r="G304" t="e">
        <f t="shared" si="4"/>
        <v>#N/A</v>
      </c>
    </row>
    <row r="305" spans="1:7" hidden="1" x14ac:dyDescent="0.25">
      <c r="A305">
        <f>BIdetails!G308</f>
        <v>0</v>
      </c>
      <c r="B305">
        <f>BIdetails!H308</f>
        <v>0</v>
      </c>
      <c r="C305">
        <f>BIdetails!J308</f>
        <v>0</v>
      </c>
      <c r="D305">
        <f>BIdetails!K308</f>
        <v>0</v>
      </c>
      <c r="E305" s="165">
        <f>BIdetails!M308</f>
        <v>0</v>
      </c>
      <c r="F305" t="e">
        <f>IF(ISERROR(IF(OR(C305="#",C305=0),"",VLOOKUP(C305,'AOP25'!M:M,1,0))),"Not Found",VLOOKUP(C305,'AOP25'!M:M,1,0))</f>
        <v>#N/A</v>
      </c>
      <c r="G305" t="e">
        <f t="shared" si="4"/>
        <v>#N/A</v>
      </c>
    </row>
    <row r="306" spans="1:7" hidden="1" x14ac:dyDescent="0.25">
      <c r="A306">
        <f>BIdetails!G309</f>
        <v>0</v>
      </c>
      <c r="B306">
        <f>BIdetails!H309</f>
        <v>0</v>
      </c>
      <c r="C306">
        <f>BIdetails!J309</f>
        <v>0</v>
      </c>
      <c r="D306">
        <f>BIdetails!K309</f>
        <v>0</v>
      </c>
      <c r="E306" s="165">
        <f>BIdetails!M309</f>
        <v>0</v>
      </c>
      <c r="F306" t="e">
        <f>IF(ISERROR(IF(OR(C306="#",C306=0),"",VLOOKUP(C306,'AOP25'!M:M,1,0))),"Not Found",VLOOKUP(C306,'AOP25'!M:M,1,0))</f>
        <v>#N/A</v>
      </c>
      <c r="G306" t="e">
        <f t="shared" si="4"/>
        <v>#N/A</v>
      </c>
    </row>
    <row r="307" spans="1:7" hidden="1" x14ac:dyDescent="0.25">
      <c r="A307">
        <f>BIdetails!G310</f>
        <v>0</v>
      </c>
      <c r="B307">
        <f>BIdetails!H310</f>
        <v>0</v>
      </c>
      <c r="C307">
        <f>BIdetails!J310</f>
        <v>0</v>
      </c>
      <c r="D307">
        <f>BIdetails!K310</f>
        <v>0</v>
      </c>
      <c r="E307" s="165">
        <f>BIdetails!M310</f>
        <v>0</v>
      </c>
      <c r="F307" t="e">
        <f>IF(ISERROR(IF(OR(C307="#",C307=0),"",VLOOKUP(C307,'AOP25'!M:M,1,0))),"Not Found",VLOOKUP(C307,'AOP25'!M:M,1,0))</f>
        <v>#N/A</v>
      </c>
      <c r="G307" t="e">
        <f t="shared" si="4"/>
        <v>#N/A</v>
      </c>
    </row>
    <row r="308" spans="1:7" hidden="1" x14ac:dyDescent="0.25">
      <c r="A308">
        <f>BIdetails!G311</f>
        <v>0</v>
      </c>
      <c r="B308">
        <f>BIdetails!H311</f>
        <v>0</v>
      </c>
      <c r="C308">
        <f>BIdetails!J311</f>
        <v>0</v>
      </c>
      <c r="D308">
        <f>BIdetails!K311</f>
        <v>0</v>
      </c>
      <c r="E308" s="165">
        <f>BIdetails!M311</f>
        <v>0</v>
      </c>
      <c r="F308" t="e">
        <f>IF(ISERROR(IF(OR(C308="#",C308=0),"",VLOOKUP(C308,'AOP25'!M:M,1,0))),"Not Found",VLOOKUP(C308,'AOP25'!M:M,1,0))</f>
        <v>#N/A</v>
      </c>
      <c r="G308" t="e">
        <f t="shared" si="4"/>
        <v>#N/A</v>
      </c>
    </row>
    <row r="309" spans="1:7" hidden="1" x14ac:dyDescent="0.25">
      <c r="A309">
        <f>BIdetails!G312</f>
        <v>0</v>
      </c>
      <c r="B309">
        <f>BIdetails!H312</f>
        <v>0</v>
      </c>
      <c r="C309">
        <f>BIdetails!J312</f>
        <v>0</v>
      </c>
      <c r="D309">
        <f>BIdetails!K312</f>
        <v>0</v>
      </c>
      <c r="E309" s="165">
        <f>BIdetails!M312</f>
        <v>0</v>
      </c>
      <c r="F309" t="e">
        <f>IF(ISERROR(IF(OR(C309="#",C309=0),"",VLOOKUP(C309,'AOP25'!M:M,1,0))),"Not Found",VLOOKUP(C309,'AOP25'!M:M,1,0))</f>
        <v>#N/A</v>
      </c>
      <c r="G309" t="e">
        <f t="shared" si="4"/>
        <v>#N/A</v>
      </c>
    </row>
    <row r="310" spans="1:7" hidden="1" x14ac:dyDescent="0.25">
      <c r="A310">
        <f>BIdetails!G313</f>
        <v>0</v>
      </c>
      <c r="B310">
        <f>BIdetails!H313</f>
        <v>0</v>
      </c>
      <c r="C310">
        <f>BIdetails!J313</f>
        <v>0</v>
      </c>
      <c r="D310">
        <f>BIdetails!K313</f>
        <v>0</v>
      </c>
      <c r="E310" s="165">
        <f>BIdetails!M313</f>
        <v>0</v>
      </c>
      <c r="F310" t="e">
        <f>IF(ISERROR(IF(OR(C310="#",C310=0),"",VLOOKUP(C310,'AOP25'!M:M,1,0))),"Not Found",VLOOKUP(C310,'AOP25'!M:M,1,0))</f>
        <v>#N/A</v>
      </c>
      <c r="G310" t="e">
        <f t="shared" si="4"/>
        <v>#N/A</v>
      </c>
    </row>
    <row r="311" spans="1:7" hidden="1" x14ac:dyDescent="0.25">
      <c r="A311">
        <f>BIdetails!G314</f>
        <v>0</v>
      </c>
      <c r="B311">
        <f>BIdetails!H314</f>
        <v>0</v>
      </c>
      <c r="C311">
        <f>BIdetails!J314</f>
        <v>0</v>
      </c>
      <c r="D311">
        <f>BIdetails!K314</f>
        <v>0</v>
      </c>
      <c r="E311" s="165">
        <f>BIdetails!M314</f>
        <v>0</v>
      </c>
      <c r="F311" t="e">
        <f>IF(ISERROR(IF(OR(C311="#",C311=0),"",VLOOKUP(C311,'AOP25'!M:M,1,0))),"Not Found",VLOOKUP(C311,'AOP25'!M:M,1,0))</f>
        <v>#N/A</v>
      </c>
      <c r="G311" t="e">
        <f t="shared" si="4"/>
        <v>#N/A</v>
      </c>
    </row>
    <row r="312" spans="1:7" hidden="1" x14ac:dyDescent="0.25">
      <c r="A312">
        <f>BIdetails!G315</f>
        <v>0</v>
      </c>
      <c r="B312">
        <f>BIdetails!H315</f>
        <v>0</v>
      </c>
      <c r="C312">
        <f>BIdetails!J315</f>
        <v>0</v>
      </c>
      <c r="D312">
        <f>BIdetails!K315</f>
        <v>0</v>
      </c>
      <c r="E312" s="165">
        <f>BIdetails!M315</f>
        <v>0</v>
      </c>
      <c r="F312" t="e">
        <f>IF(ISERROR(IF(OR(C312="#",C312=0),"",VLOOKUP(C312,'AOP25'!M:M,1,0))),"Not Found",VLOOKUP(C312,'AOP25'!M:M,1,0))</f>
        <v>#N/A</v>
      </c>
      <c r="G312" t="e">
        <f t="shared" si="4"/>
        <v>#N/A</v>
      </c>
    </row>
    <row r="313" spans="1:7" hidden="1" x14ac:dyDescent="0.25">
      <c r="A313">
        <f>BIdetails!G316</f>
        <v>0</v>
      </c>
      <c r="B313">
        <f>BIdetails!H316</f>
        <v>0</v>
      </c>
      <c r="C313">
        <f>BIdetails!J316</f>
        <v>0</v>
      </c>
      <c r="D313">
        <f>BIdetails!K316</f>
        <v>0</v>
      </c>
      <c r="E313" s="165">
        <f>BIdetails!M316</f>
        <v>0</v>
      </c>
      <c r="F313" t="e">
        <f>IF(ISERROR(IF(OR(C313="#",C313=0),"",VLOOKUP(C313,'AOP25'!M:M,1,0))),"Not Found",VLOOKUP(C313,'AOP25'!M:M,1,0))</f>
        <v>#N/A</v>
      </c>
      <c r="G313" t="e">
        <f t="shared" si="4"/>
        <v>#N/A</v>
      </c>
    </row>
    <row r="314" spans="1:7" hidden="1" x14ac:dyDescent="0.25">
      <c r="A314">
        <f>BIdetails!G317</f>
        <v>0</v>
      </c>
      <c r="B314">
        <f>BIdetails!H317</f>
        <v>0</v>
      </c>
      <c r="C314">
        <f>BIdetails!J317</f>
        <v>0</v>
      </c>
      <c r="D314">
        <f>BIdetails!K317</f>
        <v>0</v>
      </c>
      <c r="E314" s="165">
        <f>BIdetails!M317</f>
        <v>0</v>
      </c>
      <c r="F314" t="e">
        <f>IF(ISERROR(IF(OR(C314="#",C314=0),"",VLOOKUP(C314,'AOP25'!M:M,1,0))),"Not Found",VLOOKUP(C314,'AOP25'!M:M,1,0))</f>
        <v>#N/A</v>
      </c>
      <c r="G314" t="e">
        <f t="shared" si="4"/>
        <v>#N/A</v>
      </c>
    </row>
    <row r="315" spans="1:7" hidden="1" x14ac:dyDescent="0.25">
      <c r="A315">
        <f>BIdetails!G318</f>
        <v>0</v>
      </c>
      <c r="B315">
        <f>BIdetails!H318</f>
        <v>0</v>
      </c>
      <c r="C315">
        <f>BIdetails!J318</f>
        <v>0</v>
      </c>
      <c r="D315">
        <f>BIdetails!K318</f>
        <v>0</v>
      </c>
      <c r="E315" s="165">
        <f>BIdetails!M318</f>
        <v>0</v>
      </c>
      <c r="F315" t="e">
        <f>IF(ISERROR(IF(OR(C315="#",C315=0),"",VLOOKUP(C315,'AOP25'!M:M,1,0))),"Not Found",VLOOKUP(C315,'AOP25'!M:M,1,0))</f>
        <v>#N/A</v>
      </c>
      <c r="G315" t="e">
        <f t="shared" si="4"/>
        <v>#N/A</v>
      </c>
    </row>
    <row r="316" spans="1:7" hidden="1" x14ac:dyDescent="0.25">
      <c r="A316">
        <f>BIdetails!G319</f>
        <v>0</v>
      </c>
      <c r="B316">
        <f>BIdetails!H319</f>
        <v>0</v>
      </c>
      <c r="C316">
        <f>BIdetails!J319</f>
        <v>0</v>
      </c>
      <c r="D316">
        <f>BIdetails!K319</f>
        <v>0</v>
      </c>
      <c r="E316" s="165">
        <f>BIdetails!M319</f>
        <v>0</v>
      </c>
      <c r="F316" t="e">
        <f>IF(ISERROR(IF(OR(C316="#",C316=0),"",VLOOKUP(C316,'AOP25'!M:M,1,0))),"Not Found",VLOOKUP(C316,'AOP25'!M:M,1,0))</f>
        <v>#N/A</v>
      </c>
      <c r="G316" t="e">
        <f t="shared" si="4"/>
        <v>#N/A</v>
      </c>
    </row>
    <row r="317" spans="1:7" hidden="1" x14ac:dyDescent="0.25">
      <c r="A317">
        <f>BIdetails!G320</f>
        <v>0</v>
      </c>
      <c r="B317">
        <f>BIdetails!H320</f>
        <v>0</v>
      </c>
      <c r="C317">
        <f>BIdetails!J320</f>
        <v>0</v>
      </c>
      <c r="D317">
        <f>BIdetails!K320</f>
        <v>0</v>
      </c>
      <c r="E317" s="165">
        <f>BIdetails!M320</f>
        <v>0</v>
      </c>
      <c r="F317" t="e">
        <f>IF(ISERROR(IF(OR(C317="#",C317=0),"",VLOOKUP(C317,'AOP25'!M:M,1,0))),"Not Found",VLOOKUP(C317,'AOP25'!M:M,1,0))</f>
        <v>#N/A</v>
      </c>
      <c r="G317" t="e">
        <f t="shared" si="4"/>
        <v>#N/A</v>
      </c>
    </row>
    <row r="318" spans="1:7" hidden="1" x14ac:dyDescent="0.25">
      <c r="A318">
        <f>BIdetails!G321</f>
        <v>0</v>
      </c>
      <c r="B318">
        <f>BIdetails!H321</f>
        <v>0</v>
      </c>
      <c r="C318">
        <f>BIdetails!J321</f>
        <v>0</v>
      </c>
      <c r="D318">
        <f>BIdetails!K321</f>
        <v>0</v>
      </c>
      <c r="E318" s="165">
        <f>BIdetails!M321</f>
        <v>0</v>
      </c>
      <c r="F318" t="e">
        <f>IF(ISERROR(IF(OR(C318="#",C318=0),"",VLOOKUP(C318,'AOP25'!M:M,1,0))),"Not Found",VLOOKUP(C318,'AOP25'!M:M,1,0))</f>
        <v>#N/A</v>
      </c>
      <c r="G318" t="e">
        <f t="shared" si="4"/>
        <v>#N/A</v>
      </c>
    </row>
    <row r="319" spans="1:7" hidden="1" x14ac:dyDescent="0.25">
      <c r="A319">
        <f>BIdetails!G322</f>
        <v>0</v>
      </c>
      <c r="B319">
        <f>BIdetails!H322</f>
        <v>0</v>
      </c>
      <c r="C319">
        <f>BIdetails!J322</f>
        <v>0</v>
      </c>
      <c r="D319">
        <f>BIdetails!K322</f>
        <v>0</v>
      </c>
      <c r="E319" s="165">
        <f>BIdetails!M322</f>
        <v>0</v>
      </c>
      <c r="F319" t="e">
        <f>IF(ISERROR(IF(OR(C319="#",C319=0),"",VLOOKUP(C319,'AOP25'!M:M,1,0))),"Not Found",VLOOKUP(C319,'AOP25'!M:M,1,0))</f>
        <v>#N/A</v>
      </c>
      <c r="G319" t="e">
        <f t="shared" si="4"/>
        <v>#N/A</v>
      </c>
    </row>
    <row r="320" spans="1:7" x14ac:dyDescent="0.25">
      <c r="A320">
        <f>BIdetails!G323</f>
        <v>0</v>
      </c>
      <c r="B320">
        <f>BIdetails!H323</f>
        <v>0</v>
      </c>
      <c r="C320">
        <f>BIdetails!J323</f>
        <v>0</v>
      </c>
      <c r="D320">
        <f>BIdetails!K323</f>
        <v>0</v>
      </c>
      <c r="E320" s="165">
        <f>BIdetails!M323</f>
        <v>0</v>
      </c>
      <c r="F320" t="e">
        <f>IF(ISERROR(IF(OR(C320="#",C320=0),"",VLOOKUP(C320,'AOP25'!M:M,1,0))),"Not Found",VLOOKUP(C320,'AOP25'!M:M,1,0))</f>
        <v>#N/A</v>
      </c>
      <c r="G320" t="e">
        <f t="shared" si="4"/>
        <v>#N/A</v>
      </c>
    </row>
    <row r="321" spans="1:7" hidden="1" x14ac:dyDescent="0.25">
      <c r="A321">
        <f>BIdetails!G324</f>
        <v>0</v>
      </c>
      <c r="B321">
        <f>BIdetails!H324</f>
        <v>0</v>
      </c>
      <c r="C321">
        <f>BIdetails!J324</f>
        <v>0</v>
      </c>
      <c r="D321">
        <f>BIdetails!K324</f>
        <v>0</v>
      </c>
      <c r="E321" s="165">
        <f>BIdetails!M324</f>
        <v>0</v>
      </c>
      <c r="F321" t="e">
        <f>IF(ISERROR(IF(OR(C321="#",C321=0),"",VLOOKUP(C321,'AOP25'!M:M,1,0))),"Not Found",VLOOKUP(C321,'AOP25'!M:M,1,0))</f>
        <v>#N/A</v>
      </c>
      <c r="G321" t="e">
        <f t="shared" si="4"/>
        <v>#N/A</v>
      </c>
    </row>
    <row r="322" spans="1:7" hidden="1" x14ac:dyDescent="0.25">
      <c r="A322">
        <f>BIdetails!G325</f>
        <v>0</v>
      </c>
      <c r="B322">
        <f>BIdetails!H325</f>
        <v>0</v>
      </c>
      <c r="C322">
        <f>BIdetails!J325</f>
        <v>0</v>
      </c>
      <c r="D322">
        <f>BIdetails!K325</f>
        <v>0</v>
      </c>
      <c r="E322" s="165">
        <f>BIdetails!M325</f>
        <v>0</v>
      </c>
      <c r="F322" t="e">
        <f>IF(ISERROR(IF(OR(C322="#",C322=0),"",VLOOKUP(C322,'AOP25'!M:M,1,0))),"Not Found",VLOOKUP(C322,'AOP25'!M:M,1,0))</f>
        <v>#N/A</v>
      </c>
      <c r="G322" t="e">
        <f t="shared" si="4"/>
        <v>#N/A</v>
      </c>
    </row>
    <row r="323" spans="1:7" hidden="1" x14ac:dyDescent="0.25">
      <c r="A323">
        <f>BIdetails!G326</f>
        <v>0</v>
      </c>
      <c r="B323">
        <f>BIdetails!H326</f>
        <v>0</v>
      </c>
      <c r="C323">
        <f>BIdetails!J326</f>
        <v>0</v>
      </c>
      <c r="D323">
        <f>BIdetails!K326</f>
        <v>0</v>
      </c>
      <c r="E323" s="165">
        <f>BIdetails!M326</f>
        <v>0</v>
      </c>
      <c r="F323" t="e">
        <f>IF(ISERROR(IF(OR(C323="#",C323=0),"",VLOOKUP(C323,'AOP25'!M:M,1,0))),"Not Found",VLOOKUP(C323,'AOP25'!M:M,1,0))</f>
        <v>#N/A</v>
      </c>
      <c r="G323" t="e">
        <f t="shared" ref="G323:G386" si="5">IF(NOT(ISERROR(VLOOKUP(C323,$K$2:$K$50,1,0))),"Y",VLOOKUP(C323,$K$2:$K$50,1,0))</f>
        <v>#N/A</v>
      </c>
    </row>
    <row r="324" spans="1:7" hidden="1" x14ac:dyDescent="0.25">
      <c r="A324">
        <f>BIdetails!G327</f>
        <v>0</v>
      </c>
      <c r="B324">
        <f>BIdetails!H327</f>
        <v>0</v>
      </c>
      <c r="C324">
        <f>BIdetails!J327</f>
        <v>0</v>
      </c>
      <c r="D324">
        <f>BIdetails!K327</f>
        <v>0</v>
      </c>
      <c r="E324" s="165">
        <f>BIdetails!M327</f>
        <v>0</v>
      </c>
      <c r="F324" t="e">
        <f>IF(ISERROR(IF(OR(C324="#",C324=0),"",VLOOKUP(C324,'AOP25'!M:M,1,0))),"Not Found",VLOOKUP(C324,'AOP25'!M:M,1,0))</f>
        <v>#N/A</v>
      </c>
      <c r="G324" t="e">
        <f t="shared" si="5"/>
        <v>#N/A</v>
      </c>
    </row>
    <row r="325" spans="1:7" hidden="1" x14ac:dyDescent="0.25">
      <c r="A325">
        <f>BIdetails!G328</f>
        <v>0</v>
      </c>
      <c r="B325">
        <f>BIdetails!H328</f>
        <v>0</v>
      </c>
      <c r="C325">
        <f>BIdetails!J328</f>
        <v>0</v>
      </c>
      <c r="D325">
        <f>BIdetails!K328</f>
        <v>0</v>
      </c>
      <c r="E325" s="165">
        <f>BIdetails!M328</f>
        <v>0</v>
      </c>
      <c r="F325" t="e">
        <f>IF(ISERROR(IF(OR(C325="#",C325=0),"",VLOOKUP(C325,'AOP25'!M:M,1,0))),"Not Found",VLOOKUP(C325,'AOP25'!M:M,1,0))</f>
        <v>#N/A</v>
      </c>
      <c r="G325" t="e">
        <f t="shared" si="5"/>
        <v>#N/A</v>
      </c>
    </row>
    <row r="326" spans="1:7" hidden="1" x14ac:dyDescent="0.25">
      <c r="A326">
        <f>BIdetails!G329</f>
        <v>0</v>
      </c>
      <c r="B326">
        <f>BIdetails!H329</f>
        <v>0</v>
      </c>
      <c r="C326">
        <f>BIdetails!J329</f>
        <v>0</v>
      </c>
      <c r="D326">
        <f>BIdetails!K329</f>
        <v>0</v>
      </c>
      <c r="E326" s="165">
        <f>BIdetails!M329</f>
        <v>0</v>
      </c>
      <c r="F326" t="e">
        <f>IF(ISERROR(IF(OR(C326="#",C326=0),"",VLOOKUP(C326,'AOP25'!M:M,1,0))),"Not Found",VLOOKUP(C326,'AOP25'!M:M,1,0))</f>
        <v>#N/A</v>
      </c>
      <c r="G326" t="e">
        <f t="shared" si="5"/>
        <v>#N/A</v>
      </c>
    </row>
    <row r="327" spans="1:7" hidden="1" x14ac:dyDescent="0.25">
      <c r="A327">
        <f>BIdetails!G330</f>
        <v>0</v>
      </c>
      <c r="B327">
        <f>BIdetails!H330</f>
        <v>0</v>
      </c>
      <c r="C327">
        <f>BIdetails!J330</f>
        <v>0</v>
      </c>
      <c r="D327">
        <f>BIdetails!K330</f>
        <v>0</v>
      </c>
      <c r="E327" s="165">
        <f>BIdetails!M330</f>
        <v>0</v>
      </c>
      <c r="F327" t="e">
        <f>IF(ISERROR(IF(OR(C327="#",C327=0),"",VLOOKUP(C327,'AOP25'!M:M,1,0))),"Not Found",VLOOKUP(C327,'AOP25'!M:M,1,0))</f>
        <v>#N/A</v>
      </c>
      <c r="G327" t="e">
        <f t="shared" si="5"/>
        <v>#N/A</v>
      </c>
    </row>
    <row r="328" spans="1:7" hidden="1" x14ac:dyDescent="0.25">
      <c r="A328">
        <f>BIdetails!G331</f>
        <v>0</v>
      </c>
      <c r="B328">
        <f>BIdetails!H331</f>
        <v>0</v>
      </c>
      <c r="C328">
        <f>BIdetails!J331</f>
        <v>0</v>
      </c>
      <c r="D328">
        <f>BIdetails!K331</f>
        <v>0</v>
      </c>
      <c r="E328" s="165">
        <f>BIdetails!M331</f>
        <v>0</v>
      </c>
      <c r="F328" t="e">
        <f>IF(ISERROR(IF(OR(C328="#",C328=0),"",VLOOKUP(C328,'AOP25'!M:M,1,0))),"Not Found",VLOOKUP(C328,'AOP25'!M:M,1,0))</f>
        <v>#N/A</v>
      </c>
      <c r="G328" t="e">
        <f t="shared" si="5"/>
        <v>#N/A</v>
      </c>
    </row>
    <row r="329" spans="1:7" hidden="1" x14ac:dyDescent="0.25">
      <c r="A329">
        <f>BIdetails!G332</f>
        <v>0</v>
      </c>
      <c r="B329">
        <f>BIdetails!H332</f>
        <v>0</v>
      </c>
      <c r="C329">
        <f>BIdetails!J332</f>
        <v>0</v>
      </c>
      <c r="D329">
        <f>BIdetails!K332</f>
        <v>0</v>
      </c>
      <c r="E329" s="165">
        <f>BIdetails!M332</f>
        <v>0</v>
      </c>
      <c r="F329" t="e">
        <f>IF(ISERROR(IF(OR(C329="#",C329=0),"",VLOOKUP(C329,'AOP25'!M:M,1,0))),"Not Found",VLOOKUP(C329,'AOP25'!M:M,1,0))</f>
        <v>#N/A</v>
      </c>
      <c r="G329" t="e">
        <f t="shared" si="5"/>
        <v>#N/A</v>
      </c>
    </row>
    <row r="330" spans="1:7" x14ac:dyDescent="0.25">
      <c r="A330">
        <f>BIdetails!G333</f>
        <v>0</v>
      </c>
      <c r="B330">
        <f>BIdetails!H333</f>
        <v>0</v>
      </c>
      <c r="C330">
        <f>BIdetails!J333</f>
        <v>0</v>
      </c>
      <c r="D330">
        <f>BIdetails!K333</f>
        <v>0</v>
      </c>
      <c r="E330" s="165">
        <f>BIdetails!M333</f>
        <v>0</v>
      </c>
      <c r="F330" t="e">
        <f>IF(ISERROR(IF(OR(C330="#",C330=0),"",VLOOKUP(C330,'AOP25'!M:M,1,0))),"Not Found",VLOOKUP(C330,'AOP25'!M:M,1,0))</f>
        <v>#N/A</v>
      </c>
      <c r="G330" t="e">
        <f t="shared" si="5"/>
        <v>#N/A</v>
      </c>
    </row>
    <row r="331" spans="1:7" hidden="1" x14ac:dyDescent="0.25">
      <c r="A331">
        <f>BIdetails!G334</f>
        <v>0</v>
      </c>
      <c r="B331">
        <f>BIdetails!H334</f>
        <v>0</v>
      </c>
      <c r="C331">
        <f>BIdetails!J334</f>
        <v>0</v>
      </c>
      <c r="D331">
        <f>BIdetails!K334</f>
        <v>0</v>
      </c>
      <c r="E331" s="165">
        <f>BIdetails!M334</f>
        <v>0</v>
      </c>
      <c r="F331" t="e">
        <f>IF(ISERROR(IF(OR(C331="#",C331=0),"",VLOOKUP(C331,'AOP25'!M:M,1,0))),"Not Found",VLOOKUP(C331,'AOP25'!M:M,1,0))</f>
        <v>#N/A</v>
      </c>
      <c r="G331" t="e">
        <f t="shared" si="5"/>
        <v>#N/A</v>
      </c>
    </row>
    <row r="332" spans="1:7" hidden="1" x14ac:dyDescent="0.25">
      <c r="A332">
        <f>BIdetails!G335</f>
        <v>0</v>
      </c>
      <c r="B332">
        <f>BIdetails!H335</f>
        <v>0</v>
      </c>
      <c r="C332">
        <f>BIdetails!J335</f>
        <v>0</v>
      </c>
      <c r="D332">
        <f>BIdetails!K335</f>
        <v>0</v>
      </c>
      <c r="E332" s="165">
        <f>BIdetails!M335</f>
        <v>0</v>
      </c>
      <c r="F332" t="e">
        <f>IF(ISERROR(IF(OR(C332="#",C332=0),"",VLOOKUP(C332,'AOP25'!M:M,1,0))),"Not Found",VLOOKUP(C332,'AOP25'!M:M,1,0))</f>
        <v>#N/A</v>
      </c>
      <c r="G332" t="e">
        <f t="shared" si="5"/>
        <v>#N/A</v>
      </c>
    </row>
    <row r="333" spans="1:7" hidden="1" x14ac:dyDescent="0.25">
      <c r="A333">
        <f>BIdetails!G336</f>
        <v>0</v>
      </c>
      <c r="B333">
        <f>BIdetails!H336</f>
        <v>0</v>
      </c>
      <c r="C333">
        <f>BIdetails!J336</f>
        <v>0</v>
      </c>
      <c r="D333">
        <f>BIdetails!K336</f>
        <v>0</v>
      </c>
      <c r="E333" s="165">
        <f>BIdetails!M336</f>
        <v>0</v>
      </c>
      <c r="F333" t="e">
        <f>IF(ISERROR(IF(OR(C333="#",C333=0),"",VLOOKUP(C333,'AOP25'!M:M,1,0))),"Not Found",VLOOKUP(C333,'AOP25'!M:M,1,0))</f>
        <v>#N/A</v>
      </c>
      <c r="G333" t="e">
        <f t="shared" si="5"/>
        <v>#N/A</v>
      </c>
    </row>
    <row r="334" spans="1:7" hidden="1" x14ac:dyDescent="0.25">
      <c r="A334">
        <f>BIdetails!G337</f>
        <v>0</v>
      </c>
      <c r="B334">
        <f>BIdetails!H337</f>
        <v>0</v>
      </c>
      <c r="C334">
        <f>BIdetails!J337</f>
        <v>0</v>
      </c>
      <c r="D334">
        <f>BIdetails!K337</f>
        <v>0</v>
      </c>
      <c r="E334" s="165">
        <f>BIdetails!M337</f>
        <v>0</v>
      </c>
      <c r="F334" t="e">
        <f>IF(ISERROR(IF(OR(C334="#",C334=0),"",VLOOKUP(C334,'AOP25'!M:M,1,0))),"Not Found",VLOOKUP(C334,'AOP25'!M:M,1,0))</f>
        <v>#N/A</v>
      </c>
      <c r="G334" t="e">
        <f t="shared" si="5"/>
        <v>#N/A</v>
      </c>
    </row>
    <row r="335" spans="1:7" hidden="1" x14ac:dyDescent="0.25">
      <c r="A335">
        <f>BIdetails!G338</f>
        <v>0</v>
      </c>
      <c r="B335">
        <f>BIdetails!H338</f>
        <v>0</v>
      </c>
      <c r="C335">
        <f>BIdetails!J338</f>
        <v>0</v>
      </c>
      <c r="D335">
        <f>BIdetails!K338</f>
        <v>0</v>
      </c>
      <c r="E335" s="165">
        <f>BIdetails!M338</f>
        <v>0</v>
      </c>
      <c r="F335" t="e">
        <f>IF(ISERROR(IF(OR(C335="#",C335=0),"",VLOOKUP(C335,'AOP25'!M:M,1,0))),"Not Found",VLOOKUP(C335,'AOP25'!M:M,1,0))</f>
        <v>#N/A</v>
      </c>
      <c r="G335" t="e">
        <f t="shared" si="5"/>
        <v>#N/A</v>
      </c>
    </row>
    <row r="336" spans="1:7" hidden="1" x14ac:dyDescent="0.25">
      <c r="A336">
        <f>BIdetails!G339</f>
        <v>0</v>
      </c>
      <c r="B336">
        <f>BIdetails!H339</f>
        <v>0</v>
      </c>
      <c r="C336">
        <f>BIdetails!J339</f>
        <v>0</v>
      </c>
      <c r="D336">
        <f>BIdetails!K339</f>
        <v>0</v>
      </c>
      <c r="E336" s="165">
        <f>BIdetails!M339</f>
        <v>0</v>
      </c>
      <c r="F336" t="e">
        <f>IF(ISERROR(IF(OR(C336="#",C336=0),"",VLOOKUP(C336,'AOP25'!M:M,1,0))),"Not Found",VLOOKUP(C336,'AOP25'!M:M,1,0))</f>
        <v>#N/A</v>
      </c>
      <c r="G336" t="e">
        <f t="shared" si="5"/>
        <v>#N/A</v>
      </c>
    </row>
    <row r="337" spans="1:7" hidden="1" x14ac:dyDescent="0.25">
      <c r="A337">
        <f>BIdetails!G340</f>
        <v>0</v>
      </c>
      <c r="B337">
        <f>BIdetails!H340</f>
        <v>0</v>
      </c>
      <c r="C337">
        <f>BIdetails!J340</f>
        <v>0</v>
      </c>
      <c r="D337">
        <f>BIdetails!K340</f>
        <v>0</v>
      </c>
      <c r="E337" s="165">
        <f>BIdetails!M340</f>
        <v>0</v>
      </c>
      <c r="F337" t="e">
        <f>IF(ISERROR(IF(OR(C337="#",C337=0),"",VLOOKUP(C337,'AOP25'!M:M,1,0))),"Not Found",VLOOKUP(C337,'AOP25'!M:M,1,0))</f>
        <v>#N/A</v>
      </c>
      <c r="G337" t="e">
        <f t="shared" si="5"/>
        <v>#N/A</v>
      </c>
    </row>
    <row r="338" spans="1:7" x14ac:dyDescent="0.25">
      <c r="A338">
        <f>BIdetails!G341</f>
        <v>0</v>
      </c>
      <c r="B338">
        <f>BIdetails!H341</f>
        <v>0</v>
      </c>
      <c r="C338">
        <f>BIdetails!J341</f>
        <v>0</v>
      </c>
      <c r="D338">
        <f>BIdetails!K341</f>
        <v>0</v>
      </c>
      <c r="E338" s="165">
        <f>BIdetails!M341</f>
        <v>0</v>
      </c>
      <c r="F338" t="e">
        <f>IF(ISERROR(IF(OR(C338="#",C338=0),"",VLOOKUP(C338,'AOP25'!M:M,1,0))),"Not Found",VLOOKUP(C338,'AOP25'!M:M,1,0))</f>
        <v>#N/A</v>
      </c>
      <c r="G338" t="e">
        <f t="shared" si="5"/>
        <v>#N/A</v>
      </c>
    </row>
    <row r="339" spans="1:7" x14ac:dyDescent="0.25">
      <c r="A339">
        <f>BIdetails!G342</f>
        <v>0</v>
      </c>
      <c r="B339">
        <f>BIdetails!H342</f>
        <v>0</v>
      </c>
      <c r="C339">
        <f>BIdetails!J342</f>
        <v>0</v>
      </c>
      <c r="D339">
        <f>BIdetails!K342</f>
        <v>0</v>
      </c>
      <c r="E339" s="165">
        <f>BIdetails!M342</f>
        <v>0</v>
      </c>
      <c r="F339" t="e">
        <f>IF(ISERROR(IF(OR(C339="#",C339=0),"",VLOOKUP(C339,'AOP25'!M:M,1,0))),"Not Found",VLOOKUP(C339,'AOP25'!M:M,1,0))</f>
        <v>#N/A</v>
      </c>
      <c r="G339" t="e">
        <f t="shared" si="5"/>
        <v>#N/A</v>
      </c>
    </row>
    <row r="340" spans="1:7" x14ac:dyDescent="0.25">
      <c r="A340">
        <f>BIdetails!G343</f>
        <v>0</v>
      </c>
      <c r="B340">
        <f>BIdetails!H343</f>
        <v>0</v>
      </c>
      <c r="C340">
        <f>BIdetails!J343</f>
        <v>0</v>
      </c>
      <c r="D340">
        <f>BIdetails!K343</f>
        <v>0</v>
      </c>
      <c r="E340" s="165">
        <f>BIdetails!M343</f>
        <v>0</v>
      </c>
      <c r="F340" t="e">
        <f>IF(ISERROR(IF(OR(C340="#",C340=0),"",VLOOKUP(C340,'AOP25'!M:M,1,0))),"Not Found",VLOOKUP(C340,'AOP25'!M:M,1,0))</f>
        <v>#N/A</v>
      </c>
      <c r="G340" t="e">
        <f t="shared" si="5"/>
        <v>#N/A</v>
      </c>
    </row>
    <row r="341" spans="1:7" x14ac:dyDescent="0.25">
      <c r="A341">
        <f>BIdetails!G344</f>
        <v>0</v>
      </c>
      <c r="B341">
        <f>BIdetails!H344</f>
        <v>0</v>
      </c>
      <c r="C341">
        <f>BIdetails!J344</f>
        <v>0</v>
      </c>
      <c r="D341">
        <f>BIdetails!K344</f>
        <v>0</v>
      </c>
      <c r="E341" s="165">
        <f>BIdetails!M344</f>
        <v>0</v>
      </c>
      <c r="F341" t="e">
        <f>IF(ISERROR(IF(OR(C341="#",C341=0),"",VLOOKUP(C341,'AOP25'!M:M,1,0))),"Not Found",VLOOKUP(C341,'AOP25'!M:M,1,0))</f>
        <v>#N/A</v>
      </c>
      <c r="G341" t="e">
        <f t="shared" si="5"/>
        <v>#N/A</v>
      </c>
    </row>
    <row r="342" spans="1:7" x14ac:dyDescent="0.25">
      <c r="A342">
        <f>BIdetails!G345</f>
        <v>0</v>
      </c>
      <c r="B342">
        <f>BIdetails!H345</f>
        <v>0</v>
      </c>
      <c r="C342">
        <f>BIdetails!J345</f>
        <v>0</v>
      </c>
      <c r="D342">
        <f>BIdetails!K345</f>
        <v>0</v>
      </c>
      <c r="E342" s="165">
        <f>BIdetails!M345</f>
        <v>0</v>
      </c>
      <c r="F342" t="e">
        <f>IF(ISERROR(IF(OR(C342="#",C342=0),"",VLOOKUP(C342,'AOP25'!M:M,1,0))),"Not Found",VLOOKUP(C342,'AOP25'!M:M,1,0))</f>
        <v>#N/A</v>
      </c>
      <c r="G342" t="e">
        <f t="shared" si="5"/>
        <v>#N/A</v>
      </c>
    </row>
    <row r="343" spans="1:7" x14ac:dyDescent="0.25">
      <c r="A343">
        <f>BIdetails!G346</f>
        <v>0</v>
      </c>
      <c r="B343">
        <f>BIdetails!H346</f>
        <v>0</v>
      </c>
      <c r="C343">
        <f>BIdetails!J346</f>
        <v>0</v>
      </c>
      <c r="D343">
        <f>BIdetails!K346</f>
        <v>0</v>
      </c>
      <c r="E343" s="165">
        <f>BIdetails!M346</f>
        <v>0</v>
      </c>
      <c r="F343" t="e">
        <f>IF(ISERROR(IF(OR(C343="#",C343=0),"",VLOOKUP(C343,'AOP25'!M:M,1,0))),"Not Found",VLOOKUP(C343,'AOP25'!M:M,1,0))</f>
        <v>#N/A</v>
      </c>
      <c r="G343" t="e">
        <f t="shared" si="5"/>
        <v>#N/A</v>
      </c>
    </row>
    <row r="344" spans="1:7" x14ac:dyDescent="0.25">
      <c r="A344">
        <f>BIdetails!G347</f>
        <v>0</v>
      </c>
      <c r="B344">
        <f>BIdetails!H347</f>
        <v>0</v>
      </c>
      <c r="C344">
        <f>BIdetails!J347</f>
        <v>0</v>
      </c>
      <c r="D344">
        <f>BIdetails!K347</f>
        <v>0</v>
      </c>
      <c r="E344" s="165">
        <f>BIdetails!M347</f>
        <v>0</v>
      </c>
      <c r="F344" t="e">
        <f>IF(ISERROR(IF(OR(C344="#",C344=0),"",VLOOKUP(C344,'AOP25'!M:M,1,0))),"Not Found",VLOOKUP(C344,'AOP25'!M:M,1,0))</f>
        <v>#N/A</v>
      </c>
      <c r="G344" t="e">
        <f t="shared" si="5"/>
        <v>#N/A</v>
      </c>
    </row>
    <row r="345" spans="1:7" hidden="1" x14ac:dyDescent="0.25">
      <c r="A345">
        <f>BIdetails!G348</f>
        <v>0</v>
      </c>
      <c r="B345">
        <f>BIdetails!H348</f>
        <v>0</v>
      </c>
      <c r="C345">
        <f>BIdetails!J348</f>
        <v>0</v>
      </c>
      <c r="D345">
        <f>BIdetails!K348</f>
        <v>0</v>
      </c>
      <c r="E345" s="165">
        <f>BIdetails!M348</f>
        <v>0</v>
      </c>
      <c r="F345" t="e">
        <f>IF(ISERROR(IF(OR(C345="#",C345=0),"",VLOOKUP(C345,'AOP25'!M:M,1,0))),"Not Found",VLOOKUP(C345,'AOP25'!M:M,1,0))</f>
        <v>#N/A</v>
      </c>
      <c r="G345" t="e">
        <f t="shared" si="5"/>
        <v>#N/A</v>
      </c>
    </row>
    <row r="346" spans="1:7" x14ac:dyDescent="0.25">
      <c r="A346">
        <f>BIdetails!G349</f>
        <v>0</v>
      </c>
      <c r="B346">
        <f>BIdetails!H349</f>
        <v>0</v>
      </c>
      <c r="C346">
        <f>BIdetails!J349</f>
        <v>0</v>
      </c>
      <c r="D346">
        <f>BIdetails!K349</f>
        <v>0</v>
      </c>
      <c r="E346" s="165">
        <f>BIdetails!M349</f>
        <v>0</v>
      </c>
      <c r="F346" t="e">
        <f>IF(ISERROR(IF(OR(C346="#",C346=0),"",VLOOKUP(C346,'AOP25'!M:M,1,0))),"Not Found",VLOOKUP(C346,'AOP25'!M:M,1,0))</f>
        <v>#N/A</v>
      </c>
      <c r="G346" t="e">
        <f t="shared" si="5"/>
        <v>#N/A</v>
      </c>
    </row>
    <row r="347" spans="1:7" x14ac:dyDescent="0.25">
      <c r="A347">
        <f>BIdetails!G350</f>
        <v>0</v>
      </c>
      <c r="B347">
        <f>BIdetails!H350</f>
        <v>0</v>
      </c>
      <c r="C347">
        <f>BIdetails!J350</f>
        <v>0</v>
      </c>
      <c r="D347">
        <f>BIdetails!K350</f>
        <v>0</v>
      </c>
      <c r="E347" s="165">
        <f>BIdetails!M350</f>
        <v>0</v>
      </c>
      <c r="F347" t="e">
        <f>IF(ISERROR(IF(OR(C347="#",C347=0),"",VLOOKUP(C347,'AOP25'!M:M,1,0))),"Not Found",VLOOKUP(C347,'AOP25'!M:M,1,0))</f>
        <v>#N/A</v>
      </c>
      <c r="G347" t="e">
        <f t="shared" si="5"/>
        <v>#N/A</v>
      </c>
    </row>
    <row r="348" spans="1:7" x14ac:dyDescent="0.25">
      <c r="A348">
        <f>BIdetails!G351</f>
        <v>0</v>
      </c>
      <c r="B348">
        <f>BIdetails!H351</f>
        <v>0</v>
      </c>
      <c r="C348">
        <f>BIdetails!J351</f>
        <v>0</v>
      </c>
      <c r="D348">
        <f>BIdetails!K351</f>
        <v>0</v>
      </c>
      <c r="E348" s="165">
        <f>BIdetails!M351</f>
        <v>0</v>
      </c>
      <c r="F348" t="e">
        <f>IF(ISERROR(IF(OR(C348="#",C348=0),"",VLOOKUP(C348,'AOP25'!M:M,1,0))),"Not Found",VLOOKUP(C348,'AOP25'!M:M,1,0))</f>
        <v>#N/A</v>
      </c>
      <c r="G348" t="e">
        <f t="shared" si="5"/>
        <v>#N/A</v>
      </c>
    </row>
    <row r="349" spans="1:7" x14ac:dyDescent="0.25">
      <c r="A349">
        <f>BIdetails!G352</f>
        <v>0</v>
      </c>
      <c r="B349">
        <f>BIdetails!H352</f>
        <v>0</v>
      </c>
      <c r="C349">
        <f>BIdetails!J352</f>
        <v>0</v>
      </c>
      <c r="D349">
        <f>BIdetails!K352</f>
        <v>0</v>
      </c>
      <c r="E349" s="165">
        <f>BIdetails!M352</f>
        <v>0</v>
      </c>
      <c r="F349" t="e">
        <f>IF(ISERROR(IF(OR(C349="#",C349=0),"",VLOOKUP(C349,'AOP25'!M:M,1,0))),"Not Found",VLOOKUP(C349,'AOP25'!M:M,1,0))</f>
        <v>#N/A</v>
      </c>
      <c r="G349" t="e">
        <f t="shared" si="5"/>
        <v>#N/A</v>
      </c>
    </row>
    <row r="350" spans="1:7" x14ac:dyDescent="0.25">
      <c r="A350">
        <f>BIdetails!G353</f>
        <v>0</v>
      </c>
      <c r="B350">
        <f>BIdetails!H353</f>
        <v>0</v>
      </c>
      <c r="C350">
        <f>BIdetails!J353</f>
        <v>0</v>
      </c>
      <c r="D350">
        <f>BIdetails!K353</f>
        <v>0</v>
      </c>
      <c r="E350" s="165">
        <f>BIdetails!M353</f>
        <v>0</v>
      </c>
      <c r="F350" t="e">
        <f>IF(ISERROR(IF(OR(C350="#",C350=0),"",VLOOKUP(C350,'AOP25'!M:M,1,0))),"Not Found",VLOOKUP(C350,'AOP25'!M:M,1,0))</f>
        <v>#N/A</v>
      </c>
      <c r="G350" t="e">
        <f t="shared" si="5"/>
        <v>#N/A</v>
      </c>
    </row>
    <row r="351" spans="1:7" x14ac:dyDescent="0.25">
      <c r="A351">
        <f>BIdetails!G354</f>
        <v>0</v>
      </c>
      <c r="B351">
        <f>BIdetails!H354</f>
        <v>0</v>
      </c>
      <c r="C351">
        <f>BIdetails!J354</f>
        <v>0</v>
      </c>
      <c r="D351">
        <f>BIdetails!K354</f>
        <v>0</v>
      </c>
      <c r="E351" s="165">
        <f>BIdetails!M354</f>
        <v>0</v>
      </c>
      <c r="F351" t="e">
        <f>IF(ISERROR(IF(OR(C351="#",C351=0),"",VLOOKUP(C351,'AOP25'!M:M,1,0))),"Not Found",VLOOKUP(C351,'AOP25'!M:M,1,0))</f>
        <v>#N/A</v>
      </c>
      <c r="G351" t="e">
        <f t="shared" si="5"/>
        <v>#N/A</v>
      </c>
    </row>
    <row r="352" spans="1:7" x14ac:dyDescent="0.25">
      <c r="A352">
        <f>BIdetails!G355</f>
        <v>0</v>
      </c>
      <c r="B352">
        <f>BIdetails!H355</f>
        <v>0</v>
      </c>
      <c r="C352">
        <f>BIdetails!J355</f>
        <v>0</v>
      </c>
      <c r="D352">
        <f>BIdetails!K355</f>
        <v>0</v>
      </c>
      <c r="E352" s="165">
        <f>BIdetails!M355</f>
        <v>0</v>
      </c>
      <c r="F352" t="e">
        <f>IF(ISERROR(IF(OR(C352="#",C352=0),"",VLOOKUP(C352,'AOP25'!M:M,1,0))),"Not Found",VLOOKUP(C352,'AOP25'!M:M,1,0))</f>
        <v>#N/A</v>
      </c>
      <c r="G352" t="e">
        <f t="shared" si="5"/>
        <v>#N/A</v>
      </c>
    </row>
    <row r="353" spans="1:7" x14ac:dyDescent="0.25">
      <c r="A353">
        <f>BIdetails!G356</f>
        <v>0</v>
      </c>
      <c r="B353">
        <f>BIdetails!H356</f>
        <v>0</v>
      </c>
      <c r="C353">
        <f>BIdetails!J356</f>
        <v>0</v>
      </c>
      <c r="D353">
        <f>BIdetails!K356</f>
        <v>0</v>
      </c>
      <c r="E353" s="165">
        <f>BIdetails!M356</f>
        <v>0</v>
      </c>
      <c r="F353" t="e">
        <f>IF(ISERROR(IF(OR(C353="#",C353=0),"",VLOOKUP(C353,'AOP25'!M:M,1,0))),"Not Found",VLOOKUP(C353,'AOP25'!M:M,1,0))</f>
        <v>#N/A</v>
      </c>
      <c r="G353" t="e">
        <f t="shared" si="5"/>
        <v>#N/A</v>
      </c>
    </row>
    <row r="354" spans="1:7" hidden="1" x14ac:dyDescent="0.25">
      <c r="A354">
        <f>BIdetails!G357</f>
        <v>0</v>
      </c>
      <c r="B354">
        <f>BIdetails!H357</f>
        <v>0</v>
      </c>
      <c r="C354">
        <f>BIdetails!J357</f>
        <v>0</v>
      </c>
      <c r="D354">
        <f>BIdetails!K357</f>
        <v>0</v>
      </c>
      <c r="E354" s="165">
        <f>BIdetails!M357</f>
        <v>0</v>
      </c>
      <c r="F354" t="e">
        <f>IF(ISERROR(IF(OR(C354="#",C354=0),"",VLOOKUP(C354,'AOP25'!M:M,1,0))),"Not Found",VLOOKUP(C354,'AOP25'!M:M,1,0))</f>
        <v>#N/A</v>
      </c>
      <c r="G354" t="e">
        <f t="shared" si="5"/>
        <v>#N/A</v>
      </c>
    </row>
    <row r="355" spans="1:7" hidden="1" x14ac:dyDescent="0.25">
      <c r="A355">
        <f>BIdetails!G358</f>
        <v>0</v>
      </c>
      <c r="B355">
        <f>BIdetails!H358</f>
        <v>0</v>
      </c>
      <c r="C355">
        <f>BIdetails!J358</f>
        <v>0</v>
      </c>
      <c r="D355">
        <f>BIdetails!K358</f>
        <v>0</v>
      </c>
      <c r="E355" s="165">
        <f>BIdetails!M358</f>
        <v>0</v>
      </c>
      <c r="F355" t="e">
        <f>IF(ISERROR(IF(OR(C355="#",C355=0),"",VLOOKUP(C355,'AOP25'!M:M,1,0))),"Not Found",VLOOKUP(C355,'AOP25'!M:M,1,0))</f>
        <v>#N/A</v>
      </c>
      <c r="G355" t="e">
        <f t="shared" si="5"/>
        <v>#N/A</v>
      </c>
    </row>
    <row r="356" spans="1:7" hidden="1" x14ac:dyDescent="0.25">
      <c r="A356">
        <f>BIdetails!G359</f>
        <v>0</v>
      </c>
      <c r="B356">
        <f>BIdetails!H359</f>
        <v>0</v>
      </c>
      <c r="C356">
        <f>BIdetails!J359</f>
        <v>0</v>
      </c>
      <c r="D356">
        <f>BIdetails!K359</f>
        <v>0</v>
      </c>
      <c r="E356" s="165">
        <f>BIdetails!M359</f>
        <v>0</v>
      </c>
      <c r="F356" t="e">
        <f>IF(ISERROR(IF(OR(C356="#",C356=0),"",VLOOKUP(C356,'AOP25'!M:M,1,0))),"Not Found",VLOOKUP(C356,'AOP25'!M:M,1,0))</f>
        <v>#N/A</v>
      </c>
      <c r="G356" t="e">
        <f t="shared" si="5"/>
        <v>#N/A</v>
      </c>
    </row>
    <row r="357" spans="1:7" hidden="1" x14ac:dyDescent="0.25">
      <c r="A357">
        <f>BIdetails!G360</f>
        <v>0</v>
      </c>
      <c r="B357">
        <f>BIdetails!H360</f>
        <v>0</v>
      </c>
      <c r="C357">
        <f>BIdetails!J360</f>
        <v>0</v>
      </c>
      <c r="D357">
        <f>BIdetails!K360</f>
        <v>0</v>
      </c>
      <c r="E357" s="165">
        <f>BIdetails!M360</f>
        <v>0</v>
      </c>
      <c r="F357" t="e">
        <f>IF(ISERROR(IF(OR(C357="#",C357=0),"",VLOOKUP(C357,'AOP25'!M:M,1,0))),"Not Found",VLOOKUP(C357,'AOP25'!M:M,1,0))</f>
        <v>#N/A</v>
      </c>
      <c r="G357" t="e">
        <f t="shared" si="5"/>
        <v>#N/A</v>
      </c>
    </row>
    <row r="358" spans="1:7" hidden="1" x14ac:dyDescent="0.25">
      <c r="A358">
        <f>BIdetails!G361</f>
        <v>0</v>
      </c>
      <c r="B358">
        <f>BIdetails!H361</f>
        <v>0</v>
      </c>
      <c r="C358">
        <f>BIdetails!J361</f>
        <v>0</v>
      </c>
      <c r="D358">
        <f>BIdetails!K361</f>
        <v>0</v>
      </c>
      <c r="E358" s="165">
        <f>BIdetails!M361</f>
        <v>0</v>
      </c>
      <c r="F358" t="e">
        <f>IF(ISERROR(IF(OR(C358="#",C358=0),"",VLOOKUP(C358,'AOP25'!M:M,1,0))),"Not Found",VLOOKUP(C358,'AOP25'!M:M,1,0))</f>
        <v>#N/A</v>
      </c>
      <c r="G358" t="e">
        <f t="shared" si="5"/>
        <v>#N/A</v>
      </c>
    </row>
    <row r="359" spans="1:7" hidden="1" x14ac:dyDescent="0.25">
      <c r="A359">
        <f>BIdetails!G362</f>
        <v>0</v>
      </c>
      <c r="B359">
        <f>BIdetails!H362</f>
        <v>0</v>
      </c>
      <c r="C359">
        <f>BIdetails!J362</f>
        <v>0</v>
      </c>
      <c r="D359">
        <f>BIdetails!K362</f>
        <v>0</v>
      </c>
      <c r="E359" s="165">
        <f>BIdetails!M362</f>
        <v>0</v>
      </c>
      <c r="F359" t="e">
        <f>IF(ISERROR(IF(OR(C359="#",C359=0),"",VLOOKUP(C359,'AOP25'!M:M,1,0))),"Not Found",VLOOKUP(C359,'AOP25'!M:M,1,0))</f>
        <v>#N/A</v>
      </c>
      <c r="G359" t="e">
        <f t="shared" si="5"/>
        <v>#N/A</v>
      </c>
    </row>
    <row r="360" spans="1:7" hidden="1" x14ac:dyDescent="0.25">
      <c r="A360">
        <f>BIdetails!G363</f>
        <v>0</v>
      </c>
      <c r="B360">
        <f>BIdetails!H363</f>
        <v>0</v>
      </c>
      <c r="C360">
        <f>BIdetails!J363</f>
        <v>0</v>
      </c>
      <c r="D360">
        <f>BIdetails!K363</f>
        <v>0</v>
      </c>
      <c r="E360" s="165">
        <f>BIdetails!M363</f>
        <v>0</v>
      </c>
      <c r="F360" t="e">
        <f>IF(ISERROR(IF(OR(C360="#",C360=0),"",VLOOKUP(C360,'AOP25'!M:M,1,0))),"Not Found",VLOOKUP(C360,'AOP25'!M:M,1,0))</f>
        <v>#N/A</v>
      </c>
      <c r="G360" t="e">
        <f t="shared" si="5"/>
        <v>#N/A</v>
      </c>
    </row>
    <row r="361" spans="1:7" hidden="1" x14ac:dyDescent="0.25">
      <c r="A361">
        <f>BIdetails!G364</f>
        <v>0</v>
      </c>
      <c r="B361">
        <f>BIdetails!H364</f>
        <v>0</v>
      </c>
      <c r="C361">
        <f>BIdetails!J364</f>
        <v>0</v>
      </c>
      <c r="D361">
        <f>BIdetails!K364</f>
        <v>0</v>
      </c>
      <c r="E361" s="165">
        <f>BIdetails!M364</f>
        <v>0</v>
      </c>
      <c r="F361" t="e">
        <f>IF(ISERROR(IF(OR(C361="#",C361=0),"",VLOOKUP(C361,'AOP25'!M:M,1,0))),"Not Found",VLOOKUP(C361,'AOP25'!M:M,1,0))</f>
        <v>#N/A</v>
      </c>
      <c r="G361" t="e">
        <f t="shared" si="5"/>
        <v>#N/A</v>
      </c>
    </row>
    <row r="362" spans="1:7" hidden="1" x14ac:dyDescent="0.25">
      <c r="A362">
        <f>BIdetails!G365</f>
        <v>0</v>
      </c>
      <c r="B362">
        <f>BIdetails!H365</f>
        <v>0</v>
      </c>
      <c r="C362">
        <f>BIdetails!J365</f>
        <v>0</v>
      </c>
      <c r="D362">
        <f>BIdetails!K365</f>
        <v>0</v>
      </c>
      <c r="E362" s="165">
        <f>BIdetails!M365</f>
        <v>0</v>
      </c>
      <c r="F362" t="e">
        <f>IF(ISERROR(IF(OR(C362="#",C362=0),"",VLOOKUP(C362,'AOP25'!M:M,1,0))),"Not Found",VLOOKUP(C362,'AOP25'!M:M,1,0))</f>
        <v>#N/A</v>
      </c>
      <c r="G362" t="e">
        <f t="shared" si="5"/>
        <v>#N/A</v>
      </c>
    </row>
    <row r="363" spans="1:7" hidden="1" x14ac:dyDescent="0.25">
      <c r="A363">
        <f>BIdetails!G366</f>
        <v>0</v>
      </c>
      <c r="B363">
        <f>BIdetails!H366</f>
        <v>0</v>
      </c>
      <c r="C363">
        <f>BIdetails!J366</f>
        <v>0</v>
      </c>
      <c r="D363">
        <f>BIdetails!K366</f>
        <v>0</v>
      </c>
      <c r="E363" s="165">
        <f>BIdetails!M366</f>
        <v>0</v>
      </c>
      <c r="F363" t="e">
        <f>IF(ISERROR(IF(OR(C363="#",C363=0),"",VLOOKUP(C363,'AOP25'!M:M,1,0))),"Not Found",VLOOKUP(C363,'AOP25'!M:M,1,0))</f>
        <v>#N/A</v>
      </c>
      <c r="G363" t="e">
        <f t="shared" si="5"/>
        <v>#N/A</v>
      </c>
    </row>
    <row r="364" spans="1:7" hidden="1" x14ac:dyDescent="0.25">
      <c r="A364">
        <f>BIdetails!G367</f>
        <v>0</v>
      </c>
      <c r="B364">
        <f>BIdetails!H367</f>
        <v>0</v>
      </c>
      <c r="C364">
        <f>BIdetails!J367</f>
        <v>0</v>
      </c>
      <c r="D364">
        <f>BIdetails!K367</f>
        <v>0</v>
      </c>
      <c r="E364" s="165">
        <f>BIdetails!M367</f>
        <v>0</v>
      </c>
      <c r="F364" t="e">
        <f>IF(ISERROR(IF(OR(C364="#",C364=0),"",VLOOKUP(C364,'AOP25'!M:M,1,0))),"Not Found",VLOOKUP(C364,'AOP25'!M:M,1,0))</f>
        <v>#N/A</v>
      </c>
      <c r="G364" t="e">
        <f t="shared" si="5"/>
        <v>#N/A</v>
      </c>
    </row>
    <row r="365" spans="1:7" hidden="1" x14ac:dyDescent="0.25">
      <c r="A365">
        <f>BIdetails!G368</f>
        <v>0</v>
      </c>
      <c r="B365">
        <f>BIdetails!H368</f>
        <v>0</v>
      </c>
      <c r="C365">
        <f>BIdetails!J368</f>
        <v>0</v>
      </c>
      <c r="D365">
        <f>BIdetails!K368</f>
        <v>0</v>
      </c>
      <c r="E365" s="165">
        <f>BIdetails!M368</f>
        <v>0</v>
      </c>
      <c r="F365" t="e">
        <f>IF(ISERROR(IF(OR(C365="#",C365=0),"",VLOOKUP(C365,'AOP25'!M:M,1,0))),"Not Found",VLOOKUP(C365,'AOP25'!M:M,1,0))</f>
        <v>#N/A</v>
      </c>
      <c r="G365" t="e">
        <f t="shared" si="5"/>
        <v>#N/A</v>
      </c>
    </row>
    <row r="366" spans="1:7" hidden="1" x14ac:dyDescent="0.25">
      <c r="A366">
        <f>BIdetails!G369</f>
        <v>0</v>
      </c>
      <c r="B366">
        <f>BIdetails!H369</f>
        <v>0</v>
      </c>
      <c r="C366">
        <f>BIdetails!J369</f>
        <v>0</v>
      </c>
      <c r="D366">
        <f>BIdetails!K369</f>
        <v>0</v>
      </c>
      <c r="E366" s="165">
        <f>BIdetails!M369</f>
        <v>0</v>
      </c>
      <c r="F366" t="e">
        <f>IF(ISERROR(IF(OR(C366="#",C366=0),"",VLOOKUP(C366,'AOP25'!M:M,1,0))),"Not Found",VLOOKUP(C366,'AOP25'!M:M,1,0))</f>
        <v>#N/A</v>
      </c>
      <c r="G366" t="e">
        <f t="shared" si="5"/>
        <v>#N/A</v>
      </c>
    </row>
    <row r="367" spans="1:7" hidden="1" x14ac:dyDescent="0.25">
      <c r="A367">
        <f>BIdetails!G370</f>
        <v>0</v>
      </c>
      <c r="B367">
        <f>BIdetails!H370</f>
        <v>0</v>
      </c>
      <c r="C367">
        <f>BIdetails!J370</f>
        <v>0</v>
      </c>
      <c r="D367">
        <f>BIdetails!K370</f>
        <v>0</v>
      </c>
      <c r="E367" s="165">
        <f>BIdetails!M370</f>
        <v>0</v>
      </c>
      <c r="F367" t="e">
        <f>IF(ISERROR(IF(OR(C367="#",C367=0),"",VLOOKUP(C367,'AOP25'!M:M,1,0))),"Not Found",VLOOKUP(C367,'AOP25'!M:M,1,0))</f>
        <v>#N/A</v>
      </c>
      <c r="G367" t="e">
        <f t="shared" si="5"/>
        <v>#N/A</v>
      </c>
    </row>
    <row r="368" spans="1:7" hidden="1" x14ac:dyDescent="0.25">
      <c r="A368">
        <f>BIdetails!G371</f>
        <v>0</v>
      </c>
      <c r="B368">
        <f>BIdetails!H371</f>
        <v>0</v>
      </c>
      <c r="C368">
        <f>BIdetails!J371</f>
        <v>0</v>
      </c>
      <c r="D368">
        <f>BIdetails!K371</f>
        <v>0</v>
      </c>
      <c r="E368" s="165">
        <f>BIdetails!M371</f>
        <v>0</v>
      </c>
      <c r="F368" t="e">
        <f>IF(ISERROR(IF(OR(C368="#",C368=0),"",VLOOKUP(C368,'AOP25'!M:M,1,0))),"Not Found",VLOOKUP(C368,'AOP25'!M:M,1,0))</f>
        <v>#N/A</v>
      </c>
      <c r="G368" t="e">
        <f t="shared" si="5"/>
        <v>#N/A</v>
      </c>
    </row>
    <row r="369" spans="1:7" hidden="1" x14ac:dyDescent="0.25">
      <c r="A369">
        <f>BIdetails!G372</f>
        <v>0</v>
      </c>
      <c r="B369">
        <f>BIdetails!H372</f>
        <v>0</v>
      </c>
      <c r="C369">
        <f>BIdetails!J372</f>
        <v>0</v>
      </c>
      <c r="D369">
        <f>BIdetails!K372</f>
        <v>0</v>
      </c>
      <c r="E369" s="165">
        <f>BIdetails!M372</f>
        <v>0</v>
      </c>
      <c r="F369" t="e">
        <f>IF(ISERROR(IF(OR(C369="#",C369=0),"",VLOOKUP(C369,'AOP25'!M:M,1,0))),"Not Found",VLOOKUP(C369,'AOP25'!M:M,1,0))</f>
        <v>#N/A</v>
      </c>
      <c r="G369" t="e">
        <f t="shared" si="5"/>
        <v>#N/A</v>
      </c>
    </row>
    <row r="370" spans="1:7" hidden="1" x14ac:dyDescent="0.25">
      <c r="A370">
        <f>BIdetails!G373</f>
        <v>0</v>
      </c>
      <c r="B370">
        <f>BIdetails!H373</f>
        <v>0</v>
      </c>
      <c r="C370">
        <f>BIdetails!J373</f>
        <v>0</v>
      </c>
      <c r="D370">
        <f>BIdetails!K373</f>
        <v>0</v>
      </c>
      <c r="E370" s="165">
        <f>BIdetails!M373</f>
        <v>0</v>
      </c>
      <c r="F370" t="e">
        <f>IF(ISERROR(IF(OR(C370="#",C370=0),"",VLOOKUP(C370,'AOP25'!M:M,1,0))),"Not Found",VLOOKUP(C370,'AOP25'!M:M,1,0))</f>
        <v>#N/A</v>
      </c>
      <c r="G370" t="e">
        <f t="shared" si="5"/>
        <v>#N/A</v>
      </c>
    </row>
    <row r="371" spans="1:7" x14ac:dyDescent="0.25">
      <c r="A371">
        <f>BIdetails!G374</f>
        <v>0</v>
      </c>
      <c r="B371">
        <f>BIdetails!H374</f>
        <v>0</v>
      </c>
      <c r="C371">
        <f>BIdetails!J374</f>
        <v>0</v>
      </c>
      <c r="D371">
        <f>BIdetails!K374</f>
        <v>0</v>
      </c>
      <c r="E371" s="165">
        <f>BIdetails!M374</f>
        <v>0</v>
      </c>
      <c r="F371" t="e">
        <f>IF(ISERROR(IF(OR(C371="#",C371=0),"",VLOOKUP(C371,'AOP25'!M:M,1,0))),"Not Found",VLOOKUP(C371,'AOP25'!M:M,1,0))</f>
        <v>#N/A</v>
      </c>
      <c r="G371" t="e">
        <f t="shared" si="5"/>
        <v>#N/A</v>
      </c>
    </row>
    <row r="372" spans="1:7" x14ac:dyDescent="0.25">
      <c r="A372">
        <f>BIdetails!G375</f>
        <v>0</v>
      </c>
      <c r="B372">
        <f>BIdetails!H375</f>
        <v>0</v>
      </c>
      <c r="C372">
        <f>BIdetails!J375</f>
        <v>0</v>
      </c>
      <c r="D372">
        <f>BIdetails!K375</f>
        <v>0</v>
      </c>
      <c r="E372" s="165">
        <f>BIdetails!M375</f>
        <v>0</v>
      </c>
      <c r="F372" t="e">
        <f>IF(ISERROR(IF(OR(C372="#",C372=0),"",VLOOKUP(C372,'AOP25'!M:M,1,0))),"Not Found",VLOOKUP(C372,'AOP25'!M:M,1,0))</f>
        <v>#N/A</v>
      </c>
      <c r="G372" t="e">
        <f t="shared" si="5"/>
        <v>#N/A</v>
      </c>
    </row>
    <row r="373" spans="1:7" hidden="1" x14ac:dyDescent="0.25">
      <c r="A373">
        <f>BIdetails!G376</f>
        <v>0</v>
      </c>
      <c r="B373">
        <f>BIdetails!H376</f>
        <v>0</v>
      </c>
      <c r="C373">
        <f>BIdetails!J376</f>
        <v>0</v>
      </c>
      <c r="D373">
        <f>BIdetails!K376</f>
        <v>0</v>
      </c>
      <c r="E373" s="165">
        <f>BIdetails!M376</f>
        <v>0</v>
      </c>
      <c r="F373" t="e">
        <f>IF(ISERROR(IF(OR(C373="#",C373=0),"",VLOOKUP(C373,'AOP25'!M:M,1,0))),"Not Found",VLOOKUP(C373,'AOP25'!M:M,1,0))</f>
        <v>#N/A</v>
      </c>
      <c r="G373" t="e">
        <f t="shared" si="5"/>
        <v>#N/A</v>
      </c>
    </row>
    <row r="374" spans="1:7" x14ac:dyDescent="0.25">
      <c r="A374">
        <f>BIdetails!G377</f>
        <v>0</v>
      </c>
      <c r="B374">
        <f>BIdetails!H377</f>
        <v>0</v>
      </c>
      <c r="C374">
        <f>BIdetails!J377</f>
        <v>0</v>
      </c>
      <c r="D374">
        <f>BIdetails!K377</f>
        <v>0</v>
      </c>
      <c r="E374" s="165">
        <f>BIdetails!M377</f>
        <v>0</v>
      </c>
      <c r="F374" t="e">
        <f>IF(ISERROR(IF(OR(C374="#",C374=0),"",VLOOKUP(C374,'AOP25'!M:M,1,0))),"Not Found",VLOOKUP(C374,'AOP25'!M:M,1,0))</f>
        <v>#N/A</v>
      </c>
      <c r="G374" t="e">
        <f t="shared" si="5"/>
        <v>#N/A</v>
      </c>
    </row>
    <row r="375" spans="1:7" hidden="1" x14ac:dyDescent="0.25">
      <c r="A375">
        <f>BIdetails!G378</f>
        <v>0</v>
      </c>
      <c r="B375">
        <f>BIdetails!H378</f>
        <v>0</v>
      </c>
      <c r="C375">
        <f>BIdetails!J378</f>
        <v>0</v>
      </c>
      <c r="D375">
        <f>BIdetails!K378</f>
        <v>0</v>
      </c>
      <c r="E375" s="165">
        <f>BIdetails!M378</f>
        <v>0</v>
      </c>
      <c r="F375" t="e">
        <f>IF(ISERROR(IF(OR(C375="#",C375=0),"",VLOOKUP(C375,'AOP25'!M:M,1,0))),"Not Found",VLOOKUP(C375,'AOP25'!M:M,1,0))</f>
        <v>#N/A</v>
      </c>
      <c r="G375" t="e">
        <f t="shared" si="5"/>
        <v>#N/A</v>
      </c>
    </row>
    <row r="376" spans="1:7" hidden="1" x14ac:dyDescent="0.25">
      <c r="A376">
        <f>BIdetails!G379</f>
        <v>0</v>
      </c>
      <c r="B376">
        <f>BIdetails!H379</f>
        <v>0</v>
      </c>
      <c r="C376">
        <f>BIdetails!J379</f>
        <v>0</v>
      </c>
      <c r="D376">
        <f>BIdetails!K379</f>
        <v>0</v>
      </c>
      <c r="E376" s="165">
        <f>BIdetails!M379</f>
        <v>0</v>
      </c>
      <c r="F376" t="e">
        <f>IF(ISERROR(IF(OR(C376="#",C376=0),"",VLOOKUP(C376,'AOP25'!M:M,1,0))),"Not Found",VLOOKUP(C376,'AOP25'!M:M,1,0))</f>
        <v>#N/A</v>
      </c>
      <c r="G376" t="e">
        <f t="shared" si="5"/>
        <v>#N/A</v>
      </c>
    </row>
    <row r="377" spans="1:7" hidden="1" x14ac:dyDescent="0.25">
      <c r="A377">
        <f>BIdetails!G380</f>
        <v>0</v>
      </c>
      <c r="B377">
        <f>BIdetails!H380</f>
        <v>0</v>
      </c>
      <c r="C377">
        <f>BIdetails!J380</f>
        <v>0</v>
      </c>
      <c r="D377">
        <f>BIdetails!K380</f>
        <v>0</v>
      </c>
      <c r="E377" s="165">
        <f>BIdetails!M380</f>
        <v>0</v>
      </c>
      <c r="F377" t="e">
        <f>IF(ISERROR(IF(OR(C377="#",C377=0),"",VLOOKUP(C377,'AOP25'!M:M,1,0))),"Not Found",VLOOKUP(C377,'AOP25'!M:M,1,0))</f>
        <v>#N/A</v>
      </c>
      <c r="G377" t="e">
        <f t="shared" si="5"/>
        <v>#N/A</v>
      </c>
    </row>
    <row r="378" spans="1:7" hidden="1" x14ac:dyDescent="0.25">
      <c r="A378">
        <f>BIdetails!G381</f>
        <v>0</v>
      </c>
      <c r="B378">
        <f>BIdetails!H381</f>
        <v>0</v>
      </c>
      <c r="C378">
        <f>BIdetails!J381</f>
        <v>0</v>
      </c>
      <c r="D378">
        <f>BIdetails!K381</f>
        <v>0</v>
      </c>
      <c r="E378" s="165">
        <f>BIdetails!M381</f>
        <v>0</v>
      </c>
      <c r="F378" t="e">
        <f>IF(ISERROR(IF(OR(C378="#",C378=0),"",VLOOKUP(C378,'AOP25'!M:M,1,0))),"Not Found",VLOOKUP(C378,'AOP25'!M:M,1,0))</f>
        <v>#N/A</v>
      </c>
      <c r="G378" t="e">
        <f t="shared" si="5"/>
        <v>#N/A</v>
      </c>
    </row>
    <row r="379" spans="1:7" x14ac:dyDescent="0.25">
      <c r="A379">
        <f>BIdetails!G382</f>
        <v>0</v>
      </c>
      <c r="B379">
        <f>BIdetails!H382</f>
        <v>0</v>
      </c>
      <c r="C379">
        <f>BIdetails!J382</f>
        <v>0</v>
      </c>
      <c r="D379">
        <f>BIdetails!K382</f>
        <v>0</v>
      </c>
      <c r="E379" s="165">
        <f>BIdetails!M382</f>
        <v>0</v>
      </c>
      <c r="F379" t="e">
        <f>IF(ISERROR(IF(OR(C379="#",C379=0),"",VLOOKUP(C379,'AOP25'!M:M,1,0))),"Not Found",VLOOKUP(C379,'AOP25'!M:M,1,0))</f>
        <v>#N/A</v>
      </c>
      <c r="G379" t="e">
        <f t="shared" si="5"/>
        <v>#N/A</v>
      </c>
    </row>
    <row r="380" spans="1:7" hidden="1" x14ac:dyDescent="0.25">
      <c r="A380">
        <f>BIdetails!G383</f>
        <v>0</v>
      </c>
      <c r="B380">
        <f>BIdetails!H383</f>
        <v>0</v>
      </c>
      <c r="C380">
        <f>BIdetails!J383</f>
        <v>0</v>
      </c>
      <c r="D380">
        <f>BIdetails!K383</f>
        <v>0</v>
      </c>
      <c r="E380" s="165">
        <f>BIdetails!M383</f>
        <v>0</v>
      </c>
      <c r="F380" t="e">
        <f>IF(ISERROR(IF(OR(C380="#",C380=0),"",VLOOKUP(C380,'AOP25'!M:M,1,0))),"Not Found",VLOOKUP(C380,'AOP25'!M:M,1,0))</f>
        <v>#N/A</v>
      </c>
      <c r="G380" t="e">
        <f t="shared" si="5"/>
        <v>#N/A</v>
      </c>
    </row>
    <row r="381" spans="1:7" hidden="1" x14ac:dyDescent="0.25">
      <c r="A381">
        <f>BIdetails!G384</f>
        <v>0</v>
      </c>
      <c r="B381">
        <f>BIdetails!H384</f>
        <v>0</v>
      </c>
      <c r="C381">
        <f>BIdetails!J384</f>
        <v>0</v>
      </c>
      <c r="D381">
        <f>BIdetails!K384</f>
        <v>0</v>
      </c>
      <c r="E381" s="165">
        <f>BIdetails!M384</f>
        <v>0</v>
      </c>
      <c r="F381" t="e">
        <f>IF(ISERROR(IF(OR(C381="#",C381=0),"",VLOOKUP(C381,'AOP25'!M:M,1,0))),"Not Found",VLOOKUP(C381,'AOP25'!M:M,1,0))</f>
        <v>#N/A</v>
      </c>
      <c r="G381" t="e">
        <f t="shared" si="5"/>
        <v>#N/A</v>
      </c>
    </row>
    <row r="382" spans="1:7" hidden="1" x14ac:dyDescent="0.25">
      <c r="A382">
        <f>BIdetails!G385</f>
        <v>0</v>
      </c>
      <c r="B382">
        <f>BIdetails!H385</f>
        <v>0</v>
      </c>
      <c r="C382">
        <f>BIdetails!J385</f>
        <v>0</v>
      </c>
      <c r="D382">
        <f>BIdetails!K385</f>
        <v>0</v>
      </c>
      <c r="E382" s="165">
        <f>BIdetails!M385</f>
        <v>0</v>
      </c>
      <c r="F382" t="e">
        <f>IF(ISERROR(IF(OR(C382="#",C382=0),"",VLOOKUP(C382,'AOP25'!M:M,1,0))),"Not Found",VLOOKUP(C382,'AOP25'!M:M,1,0))</f>
        <v>#N/A</v>
      </c>
      <c r="G382" t="e">
        <f t="shared" si="5"/>
        <v>#N/A</v>
      </c>
    </row>
    <row r="383" spans="1:7" hidden="1" x14ac:dyDescent="0.25">
      <c r="A383">
        <f>BIdetails!G386</f>
        <v>0</v>
      </c>
      <c r="B383">
        <f>BIdetails!H386</f>
        <v>0</v>
      </c>
      <c r="C383">
        <f>BIdetails!J386</f>
        <v>0</v>
      </c>
      <c r="D383">
        <f>BIdetails!K386</f>
        <v>0</v>
      </c>
      <c r="E383" s="165">
        <f>BIdetails!M386</f>
        <v>0</v>
      </c>
      <c r="F383" t="e">
        <f>IF(ISERROR(IF(OR(C383="#",C383=0),"",VLOOKUP(C383,'AOP25'!M:M,1,0))),"Not Found",VLOOKUP(C383,'AOP25'!M:M,1,0))</f>
        <v>#N/A</v>
      </c>
      <c r="G383" t="e">
        <f t="shared" si="5"/>
        <v>#N/A</v>
      </c>
    </row>
    <row r="384" spans="1:7" hidden="1" x14ac:dyDescent="0.25">
      <c r="A384">
        <f>BIdetails!G387</f>
        <v>0</v>
      </c>
      <c r="B384">
        <f>BIdetails!H387</f>
        <v>0</v>
      </c>
      <c r="C384">
        <f>BIdetails!J387</f>
        <v>0</v>
      </c>
      <c r="D384">
        <f>BIdetails!K387</f>
        <v>0</v>
      </c>
      <c r="E384" s="165">
        <f>BIdetails!M387</f>
        <v>0</v>
      </c>
      <c r="F384" t="e">
        <f>IF(ISERROR(IF(OR(C384="#",C384=0),"",VLOOKUP(C384,'AOP25'!M:M,1,0))),"Not Found",VLOOKUP(C384,'AOP25'!M:M,1,0))</f>
        <v>#N/A</v>
      </c>
      <c r="G384" t="e">
        <f t="shared" si="5"/>
        <v>#N/A</v>
      </c>
    </row>
    <row r="385" spans="1:7" hidden="1" x14ac:dyDescent="0.25">
      <c r="A385">
        <f>BIdetails!G388</f>
        <v>0</v>
      </c>
      <c r="B385">
        <f>BIdetails!H388</f>
        <v>0</v>
      </c>
      <c r="C385">
        <f>BIdetails!J388</f>
        <v>0</v>
      </c>
      <c r="D385">
        <f>BIdetails!K388</f>
        <v>0</v>
      </c>
      <c r="E385" s="165">
        <f>BIdetails!M388</f>
        <v>0</v>
      </c>
      <c r="F385" t="e">
        <f>IF(ISERROR(IF(OR(C385="#",C385=0),"",VLOOKUP(C385,'AOP25'!M:M,1,0))),"Not Found",VLOOKUP(C385,'AOP25'!M:M,1,0))</f>
        <v>#N/A</v>
      </c>
      <c r="G385" t="e">
        <f t="shared" si="5"/>
        <v>#N/A</v>
      </c>
    </row>
    <row r="386" spans="1:7" hidden="1" x14ac:dyDescent="0.25">
      <c r="A386">
        <f>BIdetails!G389</f>
        <v>0</v>
      </c>
      <c r="B386">
        <f>BIdetails!H389</f>
        <v>0</v>
      </c>
      <c r="C386">
        <f>BIdetails!J389</f>
        <v>0</v>
      </c>
      <c r="D386">
        <f>BIdetails!K389</f>
        <v>0</v>
      </c>
      <c r="E386" s="165">
        <f>BIdetails!M389</f>
        <v>0</v>
      </c>
      <c r="F386" t="e">
        <f>IF(ISERROR(IF(OR(C386="#",C386=0),"",VLOOKUP(C386,'AOP25'!M:M,1,0))),"Not Found",VLOOKUP(C386,'AOP25'!M:M,1,0))</f>
        <v>#N/A</v>
      </c>
      <c r="G386" t="e">
        <f t="shared" si="5"/>
        <v>#N/A</v>
      </c>
    </row>
    <row r="387" spans="1:7" x14ac:dyDescent="0.25">
      <c r="A387">
        <f>BIdetails!G390</f>
        <v>0</v>
      </c>
      <c r="B387">
        <f>BIdetails!H390</f>
        <v>0</v>
      </c>
      <c r="C387">
        <f>BIdetails!J390</f>
        <v>0</v>
      </c>
      <c r="D387">
        <f>BIdetails!K390</f>
        <v>0</v>
      </c>
      <c r="E387" s="165">
        <f>BIdetails!M390</f>
        <v>0</v>
      </c>
      <c r="F387" t="e">
        <f>IF(ISERROR(IF(OR(C387="#",C387=0),"",VLOOKUP(C387,'AOP25'!M:M,1,0))),"Not Found",VLOOKUP(C387,'AOP25'!M:M,1,0))</f>
        <v>#N/A</v>
      </c>
      <c r="G387" t="e">
        <f t="shared" ref="G387:G450" si="6">IF(NOT(ISERROR(VLOOKUP(C387,$K$2:$K$50,1,0))),"Y",VLOOKUP(C387,$K$2:$K$50,1,0))</f>
        <v>#N/A</v>
      </c>
    </row>
    <row r="388" spans="1:7" x14ac:dyDescent="0.25">
      <c r="A388">
        <f>BIdetails!G391</f>
        <v>0</v>
      </c>
      <c r="B388">
        <f>BIdetails!H391</f>
        <v>0</v>
      </c>
      <c r="C388">
        <f>BIdetails!J391</f>
        <v>0</v>
      </c>
      <c r="D388">
        <f>BIdetails!K391</f>
        <v>0</v>
      </c>
      <c r="E388" s="165">
        <f>BIdetails!M391</f>
        <v>0</v>
      </c>
      <c r="F388" t="e">
        <f>IF(ISERROR(IF(OR(C388="#",C388=0),"",VLOOKUP(C388,'AOP25'!M:M,1,0))),"Not Found",VLOOKUP(C388,'AOP25'!M:M,1,0))</f>
        <v>#N/A</v>
      </c>
      <c r="G388" t="e">
        <f t="shared" si="6"/>
        <v>#N/A</v>
      </c>
    </row>
    <row r="389" spans="1:7" x14ac:dyDescent="0.25">
      <c r="A389">
        <f>BIdetails!G392</f>
        <v>0</v>
      </c>
      <c r="B389">
        <f>BIdetails!H392</f>
        <v>0</v>
      </c>
      <c r="C389">
        <f>BIdetails!J392</f>
        <v>0</v>
      </c>
      <c r="D389">
        <f>BIdetails!K392</f>
        <v>0</v>
      </c>
      <c r="E389" s="165">
        <f>BIdetails!M392</f>
        <v>0</v>
      </c>
      <c r="F389" t="e">
        <f>IF(ISERROR(IF(OR(C389="#",C389=0),"",VLOOKUP(C389,'AOP25'!M:M,1,0))),"Not Found",VLOOKUP(C389,'AOP25'!M:M,1,0))</f>
        <v>#N/A</v>
      </c>
      <c r="G389" t="e">
        <f t="shared" si="6"/>
        <v>#N/A</v>
      </c>
    </row>
    <row r="390" spans="1:7" x14ac:dyDescent="0.25">
      <c r="A390">
        <f>BIdetails!G393</f>
        <v>0</v>
      </c>
      <c r="B390">
        <f>BIdetails!H393</f>
        <v>0</v>
      </c>
      <c r="C390">
        <f>BIdetails!J393</f>
        <v>0</v>
      </c>
      <c r="D390">
        <f>BIdetails!K393</f>
        <v>0</v>
      </c>
      <c r="E390" s="165">
        <f>BIdetails!M393</f>
        <v>0</v>
      </c>
      <c r="F390" t="e">
        <f>IF(ISERROR(IF(OR(C390="#",C390=0),"",VLOOKUP(C390,'AOP25'!M:M,1,0))),"Not Found",VLOOKUP(C390,'AOP25'!M:M,1,0))</f>
        <v>#N/A</v>
      </c>
      <c r="G390" t="e">
        <f t="shared" si="6"/>
        <v>#N/A</v>
      </c>
    </row>
    <row r="391" spans="1:7" hidden="1" x14ac:dyDescent="0.25">
      <c r="A391">
        <f>BIdetails!G394</f>
        <v>0</v>
      </c>
      <c r="B391">
        <f>BIdetails!H394</f>
        <v>0</v>
      </c>
      <c r="C391">
        <f>BIdetails!J394</f>
        <v>0</v>
      </c>
      <c r="D391">
        <f>BIdetails!K394</f>
        <v>0</v>
      </c>
      <c r="E391" s="165">
        <f>BIdetails!M394</f>
        <v>0</v>
      </c>
      <c r="F391" t="e">
        <f>IF(ISERROR(IF(OR(C391="#",C391=0),"",VLOOKUP(C391,'AOP25'!M:M,1,0))),"Not Found",VLOOKUP(C391,'AOP25'!M:M,1,0))</f>
        <v>#N/A</v>
      </c>
      <c r="G391" t="e">
        <f t="shared" si="6"/>
        <v>#N/A</v>
      </c>
    </row>
    <row r="392" spans="1:7" hidden="1" x14ac:dyDescent="0.25">
      <c r="A392">
        <f>BIdetails!G395</f>
        <v>0</v>
      </c>
      <c r="B392">
        <f>BIdetails!H395</f>
        <v>0</v>
      </c>
      <c r="C392">
        <f>BIdetails!J395</f>
        <v>0</v>
      </c>
      <c r="D392">
        <f>BIdetails!K395</f>
        <v>0</v>
      </c>
      <c r="E392" s="165">
        <f>BIdetails!M395</f>
        <v>0</v>
      </c>
      <c r="F392" t="e">
        <f>IF(ISERROR(IF(OR(C392="#",C392=0),"",VLOOKUP(C392,'AOP25'!M:M,1,0))),"Not Found",VLOOKUP(C392,'AOP25'!M:M,1,0))</f>
        <v>#N/A</v>
      </c>
      <c r="G392" t="e">
        <f t="shared" si="6"/>
        <v>#N/A</v>
      </c>
    </row>
    <row r="393" spans="1:7" hidden="1" x14ac:dyDescent="0.25">
      <c r="A393">
        <f>BIdetails!G396</f>
        <v>0</v>
      </c>
      <c r="B393">
        <f>BIdetails!H396</f>
        <v>0</v>
      </c>
      <c r="C393">
        <f>BIdetails!J396</f>
        <v>0</v>
      </c>
      <c r="D393">
        <f>BIdetails!K396</f>
        <v>0</v>
      </c>
      <c r="E393" s="165">
        <f>BIdetails!M396</f>
        <v>0</v>
      </c>
      <c r="F393" t="e">
        <f>IF(ISERROR(IF(OR(C393="#",C393=0),"",VLOOKUP(C393,'AOP25'!M:M,1,0))),"Not Found",VLOOKUP(C393,'AOP25'!M:M,1,0))</f>
        <v>#N/A</v>
      </c>
      <c r="G393" t="e">
        <f t="shared" si="6"/>
        <v>#N/A</v>
      </c>
    </row>
    <row r="394" spans="1:7" x14ac:dyDescent="0.25">
      <c r="A394">
        <f>BIdetails!G397</f>
        <v>0</v>
      </c>
      <c r="B394">
        <f>BIdetails!H397</f>
        <v>0</v>
      </c>
      <c r="C394">
        <f>BIdetails!J397</f>
        <v>0</v>
      </c>
      <c r="D394">
        <f>BIdetails!K397</f>
        <v>0</v>
      </c>
      <c r="E394" s="165">
        <f>BIdetails!M397</f>
        <v>0</v>
      </c>
      <c r="F394" t="e">
        <f>IF(ISERROR(IF(OR(C394="#",C394=0),"",VLOOKUP(C394,'AOP25'!M:M,1,0))),"Not Found",VLOOKUP(C394,'AOP25'!M:M,1,0))</f>
        <v>#N/A</v>
      </c>
      <c r="G394" t="e">
        <f t="shared" si="6"/>
        <v>#N/A</v>
      </c>
    </row>
    <row r="395" spans="1:7" x14ac:dyDescent="0.25">
      <c r="A395">
        <f>BIdetails!G398</f>
        <v>0</v>
      </c>
      <c r="B395">
        <f>BIdetails!H398</f>
        <v>0</v>
      </c>
      <c r="C395">
        <f>BIdetails!J398</f>
        <v>0</v>
      </c>
      <c r="D395">
        <f>BIdetails!K398</f>
        <v>0</v>
      </c>
      <c r="E395" s="165">
        <f>BIdetails!M398</f>
        <v>0</v>
      </c>
      <c r="F395" t="e">
        <f>IF(ISERROR(IF(OR(C395="#",C395=0),"",VLOOKUP(C395,'AOP25'!M:M,1,0))),"Not Found",VLOOKUP(C395,'AOP25'!M:M,1,0))</f>
        <v>#N/A</v>
      </c>
      <c r="G395" t="e">
        <f t="shared" si="6"/>
        <v>#N/A</v>
      </c>
    </row>
    <row r="396" spans="1:7" x14ac:dyDescent="0.25">
      <c r="A396">
        <f>BIdetails!G399</f>
        <v>0</v>
      </c>
      <c r="B396">
        <f>BIdetails!H399</f>
        <v>0</v>
      </c>
      <c r="C396">
        <f>BIdetails!J399</f>
        <v>0</v>
      </c>
      <c r="D396">
        <f>BIdetails!K399</f>
        <v>0</v>
      </c>
      <c r="E396" s="165">
        <f>BIdetails!M399</f>
        <v>0</v>
      </c>
      <c r="F396" t="e">
        <f>IF(ISERROR(IF(OR(C396="#",C396=0),"",VLOOKUP(C396,'AOP25'!M:M,1,0))),"Not Found",VLOOKUP(C396,'AOP25'!M:M,1,0))</f>
        <v>#N/A</v>
      </c>
      <c r="G396" t="e">
        <f t="shared" si="6"/>
        <v>#N/A</v>
      </c>
    </row>
    <row r="397" spans="1:7" hidden="1" x14ac:dyDescent="0.25">
      <c r="A397">
        <f>BIdetails!G400</f>
        <v>0</v>
      </c>
      <c r="B397">
        <f>BIdetails!H400</f>
        <v>0</v>
      </c>
      <c r="C397">
        <f>BIdetails!J400</f>
        <v>0</v>
      </c>
      <c r="D397">
        <f>BIdetails!K400</f>
        <v>0</v>
      </c>
      <c r="E397" s="165">
        <f>BIdetails!M400</f>
        <v>0</v>
      </c>
      <c r="F397" t="e">
        <f>IF(ISERROR(IF(OR(C397="#",C397=0),"",VLOOKUP(C397,'AOP25'!M:M,1,0))),"Not Found",VLOOKUP(C397,'AOP25'!M:M,1,0))</f>
        <v>#N/A</v>
      </c>
      <c r="G397" t="e">
        <f t="shared" si="6"/>
        <v>#N/A</v>
      </c>
    </row>
    <row r="398" spans="1:7" hidden="1" x14ac:dyDescent="0.25">
      <c r="A398">
        <f>BIdetails!G401</f>
        <v>0</v>
      </c>
      <c r="B398">
        <f>BIdetails!H401</f>
        <v>0</v>
      </c>
      <c r="C398">
        <f>BIdetails!J401</f>
        <v>0</v>
      </c>
      <c r="D398">
        <f>BIdetails!K401</f>
        <v>0</v>
      </c>
      <c r="E398" s="165">
        <f>BIdetails!M401</f>
        <v>0</v>
      </c>
      <c r="F398" t="e">
        <f>IF(ISERROR(IF(OR(C398="#",C398=0),"",VLOOKUP(C398,'AOP25'!M:M,1,0))),"Not Found",VLOOKUP(C398,'AOP25'!M:M,1,0))</f>
        <v>#N/A</v>
      </c>
      <c r="G398" t="e">
        <f t="shared" si="6"/>
        <v>#N/A</v>
      </c>
    </row>
    <row r="399" spans="1:7" hidden="1" x14ac:dyDescent="0.25">
      <c r="A399">
        <f>BIdetails!G402</f>
        <v>0</v>
      </c>
      <c r="B399">
        <f>BIdetails!H402</f>
        <v>0</v>
      </c>
      <c r="C399">
        <f>BIdetails!J402</f>
        <v>0</v>
      </c>
      <c r="D399">
        <f>BIdetails!K402</f>
        <v>0</v>
      </c>
      <c r="E399" s="165">
        <f>BIdetails!M402</f>
        <v>0</v>
      </c>
      <c r="F399" t="e">
        <f>IF(ISERROR(IF(OR(C399="#",C399=0),"",VLOOKUP(C399,'AOP25'!M:M,1,0))),"Not Found",VLOOKUP(C399,'AOP25'!M:M,1,0))</f>
        <v>#N/A</v>
      </c>
      <c r="G399" t="e">
        <f t="shared" si="6"/>
        <v>#N/A</v>
      </c>
    </row>
    <row r="400" spans="1:7" x14ac:dyDescent="0.25">
      <c r="A400">
        <f>BIdetails!G403</f>
        <v>0</v>
      </c>
      <c r="B400">
        <f>BIdetails!H403</f>
        <v>0</v>
      </c>
      <c r="C400">
        <f>BIdetails!J403</f>
        <v>0</v>
      </c>
      <c r="D400">
        <f>BIdetails!K403</f>
        <v>0</v>
      </c>
      <c r="E400" s="165">
        <f>BIdetails!M403</f>
        <v>0</v>
      </c>
      <c r="F400" t="e">
        <f>IF(ISERROR(IF(OR(C400="#",C400=0),"",VLOOKUP(C400,'AOP25'!M:M,1,0))),"Not Found",VLOOKUP(C400,'AOP25'!M:M,1,0))</f>
        <v>#N/A</v>
      </c>
      <c r="G400" t="e">
        <f t="shared" si="6"/>
        <v>#N/A</v>
      </c>
    </row>
    <row r="401" spans="1:7" x14ac:dyDescent="0.25">
      <c r="A401">
        <f>BIdetails!G404</f>
        <v>0</v>
      </c>
      <c r="B401">
        <f>BIdetails!H404</f>
        <v>0</v>
      </c>
      <c r="C401">
        <f>BIdetails!J404</f>
        <v>0</v>
      </c>
      <c r="D401">
        <f>BIdetails!K404</f>
        <v>0</v>
      </c>
      <c r="E401" s="165">
        <f>BIdetails!M404</f>
        <v>0</v>
      </c>
      <c r="F401" t="e">
        <f>IF(ISERROR(IF(OR(C401="#",C401=0),"",VLOOKUP(C401,'AOP25'!M:M,1,0))),"Not Found",VLOOKUP(C401,'AOP25'!M:M,1,0))</f>
        <v>#N/A</v>
      </c>
      <c r="G401" t="e">
        <f t="shared" si="6"/>
        <v>#N/A</v>
      </c>
    </row>
    <row r="402" spans="1:7" x14ac:dyDescent="0.25">
      <c r="A402">
        <f>BIdetails!G405</f>
        <v>0</v>
      </c>
      <c r="B402">
        <f>BIdetails!H405</f>
        <v>0</v>
      </c>
      <c r="C402">
        <f>BIdetails!J405</f>
        <v>0</v>
      </c>
      <c r="D402">
        <f>BIdetails!K405</f>
        <v>0</v>
      </c>
      <c r="E402" s="165">
        <f>BIdetails!M405</f>
        <v>0</v>
      </c>
      <c r="F402" t="e">
        <f>IF(ISERROR(IF(OR(C402="#",C402=0),"",VLOOKUP(C402,'AOP25'!M:M,1,0))),"Not Found",VLOOKUP(C402,'AOP25'!M:M,1,0))</f>
        <v>#N/A</v>
      </c>
      <c r="G402" t="e">
        <f t="shared" si="6"/>
        <v>#N/A</v>
      </c>
    </row>
    <row r="403" spans="1:7" hidden="1" x14ac:dyDescent="0.25">
      <c r="A403">
        <f>BIdetails!G406</f>
        <v>0</v>
      </c>
      <c r="B403">
        <f>BIdetails!H406</f>
        <v>0</v>
      </c>
      <c r="C403">
        <f>BIdetails!J406</f>
        <v>0</v>
      </c>
      <c r="D403">
        <f>BIdetails!K406</f>
        <v>0</v>
      </c>
      <c r="E403" s="165">
        <f>BIdetails!M406</f>
        <v>0</v>
      </c>
      <c r="F403" t="e">
        <f>IF(ISERROR(IF(OR(C403="#",C403=0),"",VLOOKUP(C403,'AOP25'!M:M,1,0))),"Not Found",VLOOKUP(C403,'AOP25'!M:M,1,0))</f>
        <v>#N/A</v>
      </c>
      <c r="G403" t="e">
        <f t="shared" si="6"/>
        <v>#N/A</v>
      </c>
    </row>
    <row r="404" spans="1:7" hidden="1" x14ac:dyDescent="0.25">
      <c r="A404">
        <f>BIdetails!G407</f>
        <v>0</v>
      </c>
      <c r="B404">
        <f>BIdetails!H407</f>
        <v>0</v>
      </c>
      <c r="C404">
        <f>BIdetails!J407</f>
        <v>0</v>
      </c>
      <c r="D404">
        <f>BIdetails!K407</f>
        <v>0</v>
      </c>
      <c r="E404" s="165">
        <f>BIdetails!M407</f>
        <v>0</v>
      </c>
      <c r="F404" t="e">
        <f>IF(ISERROR(IF(OR(C404="#",C404=0),"",VLOOKUP(C404,'AOP25'!M:M,1,0))),"Not Found",VLOOKUP(C404,'AOP25'!M:M,1,0))</f>
        <v>#N/A</v>
      </c>
      <c r="G404" t="e">
        <f t="shared" si="6"/>
        <v>#N/A</v>
      </c>
    </row>
    <row r="405" spans="1:7" x14ac:dyDescent="0.25">
      <c r="A405">
        <f>BIdetails!G408</f>
        <v>0</v>
      </c>
      <c r="B405">
        <f>BIdetails!H408</f>
        <v>0</v>
      </c>
      <c r="C405">
        <f>BIdetails!J408</f>
        <v>0</v>
      </c>
      <c r="D405">
        <f>BIdetails!K408</f>
        <v>0</v>
      </c>
      <c r="E405" s="165">
        <f>BIdetails!M408</f>
        <v>0</v>
      </c>
      <c r="F405" t="e">
        <f>IF(ISERROR(IF(OR(C405="#",C405=0),"",VLOOKUP(C405,'AOP25'!M:M,1,0))),"Not Found",VLOOKUP(C405,'AOP25'!M:M,1,0))</f>
        <v>#N/A</v>
      </c>
      <c r="G405" t="e">
        <f t="shared" si="6"/>
        <v>#N/A</v>
      </c>
    </row>
    <row r="406" spans="1:7" x14ac:dyDescent="0.25">
      <c r="A406">
        <f>BIdetails!G409</f>
        <v>0</v>
      </c>
      <c r="B406">
        <f>BIdetails!H409</f>
        <v>0</v>
      </c>
      <c r="C406">
        <f>BIdetails!J409</f>
        <v>0</v>
      </c>
      <c r="D406">
        <f>BIdetails!K409</f>
        <v>0</v>
      </c>
      <c r="E406" s="165">
        <f>BIdetails!M409</f>
        <v>0</v>
      </c>
      <c r="F406" t="e">
        <f>IF(ISERROR(IF(OR(C406="#",C406=0),"",VLOOKUP(C406,'AOP25'!M:M,1,0))),"Not Found",VLOOKUP(C406,'AOP25'!M:M,1,0))</f>
        <v>#N/A</v>
      </c>
      <c r="G406" t="e">
        <f t="shared" si="6"/>
        <v>#N/A</v>
      </c>
    </row>
    <row r="407" spans="1:7" hidden="1" x14ac:dyDescent="0.25">
      <c r="A407">
        <f>BIdetails!G410</f>
        <v>0</v>
      </c>
      <c r="B407">
        <f>BIdetails!H410</f>
        <v>0</v>
      </c>
      <c r="C407">
        <f>BIdetails!J410</f>
        <v>0</v>
      </c>
      <c r="D407">
        <f>BIdetails!K410</f>
        <v>0</v>
      </c>
      <c r="E407" s="165">
        <f>BIdetails!M410</f>
        <v>0</v>
      </c>
      <c r="F407" t="e">
        <f>IF(ISERROR(IF(OR(C407="#",C407=0),"",VLOOKUP(C407,'AOP25'!M:M,1,0))),"Not Found",VLOOKUP(C407,'AOP25'!M:M,1,0))</f>
        <v>#N/A</v>
      </c>
      <c r="G407" t="e">
        <f t="shared" si="6"/>
        <v>#N/A</v>
      </c>
    </row>
    <row r="408" spans="1:7" hidden="1" x14ac:dyDescent="0.25">
      <c r="A408">
        <f>BIdetails!G411</f>
        <v>0</v>
      </c>
      <c r="B408">
        <f>BIdetails!H411</f>
        <v>0</v>
      </c>
      <c r="C408">
        <f>BIdetails!J411</f>
        <v>0</v>
      </c>
      <c r="D408">
        <f>BIdetails!K411</f>
        <v>0</v>
      </c>
      <c r="E408" s="165">
        <f>BIdetails!M411</f>
        <v>0</v>
      </c>
      <c r="F408" t="e">
        <f>IF(ISERROR(IF(OR(C408="#",C408=0),"",VLOOKUP(C408,'AOP25'!M:M,1,0))),"Not Found",VLOOKUP(C408,'AOP25'!M:M,1,0))</f>
        <v>#N/A</v>
      </c>
      <c r="G408" t="e">
        <f t="shared" si="6"/>
        <v>#N/A</v>
      </c>
    </row>
    <row r="409" spans="1:7" hidden="1" x14ac:dyDescent="0.25">
      <c r="A409">
        <f>BIdetails!G412</f>
        <v>0</v>
      </c>
      <c r="B409">
        <f>BIdetails!H412</f>
        <v>0</v>
      </c>
      <c r="C409">
        <f>BIdetails!J412</f>
        <v>0</v>
      </c>
      <c r="D409">
        <f>BIdetails!K412</f>
        <v>0</v>
      </c>
      <c r="E409" s="165">
        <f>BIdetails!M412</f>
        <v>0</v>
      </c>
      <c r="F409" t="e">
        <f>IF(ISERROR(IF(OR(C409="#",C409=0),"",VLOOKUP(C409,'AOP25'!M:M,1,0))),"Not Found",VLOOKUP(C409,'AOP25'!M:M,1,0))</f>
        <v>#N/A</v>
      </c>
      <c r="G409" t="e">
        <f t="shared" si="6"/>
        <v>#N/A</v>
      </c>
    </row>
    <row r="410" spans="1:7" hidden="1" x14ac:dyDescent="0.25">
      <c r="A410">
        <f>BIdetails!G413</f>
        <v>0</v>
      </c>
      <c r="B410">
        <f>BIdetails!H413</f>
        <v>0</v>
      </c>
      <c r="C410">
        <f>BIdetails!J413</f>
        <v>0</v>
      </c>
      <c r="D410">
        <f>BIdetails!K413</f>
        <v>0</v>
      </c>
      <c r="E410" s="165">
        <f>BIdetails!M413</f>
        <v>0</v>
      </c>
      <c r="F410" t="e">
        <f>IF(ISERROR(IF(OR(C410="#",C410=0),"",VLOOKUP(C410,'AOP25'!M:M,1,0))),"Not Found",VLOOKUP(C410,'AOP25'!M:M,1,0))</f>
        <v>#N/A</v>
      </c>
      <c r="G410" t="e">
        <f t="shared" si="6"/>
        <v>#N/A</v>
      </c>
    </row>
    <row r="411" spans="1:7" x14ac:dyDescent="0.25">
      <c r="A411">
        <f>BIdetails!G414</f>
        <v>0</v>
      </c>
      <c r="B411">
        <f>BIdetails!H414</f>
        <v>0</v>
      </c>
      <c r="C411">
        <f>BIdetails!J414</f>
        <v>0</v>
      </c>
      <c r="D411">
        <f>BIdetails!K414</f>
        <v>0</v>
      </c>
      <c r="E411" s="165">
        <f>BIdetails!M414</f>
        <v>0</v>
      </c>
      <c r="F411" t="e">
        <f>IF(ISERROR(IF(OR(C411="#",C411=0),"",VLOOKUP(C411,'AOP25'!M:M,1,0))),"Not Found",VLOOKUP(C411,'AOP25'!M:M,1,0))</f>
        <v>#N/A</v>
      </c>
      <c r="G411" t="e">
        <f t="shared" si="6"/>
        <v>#N/A</v>
      </c>
    </row>
    <row r="412" spans="1:7" x14ac:dyDescent="0.25">
      <c r="A412">
        <f>BIdetails!G415</f>
        <v>0</v>
      </c>
      <c r="B412">
        <f>BIdetails!H415</f>
        <v>0</v>
      </c>
      <c r="C412">
        <f>BIdetails!J415</f>
        <v>0</v>
      </c>
      <c r="D412">
        <f>BIdetails!K415</f>
        <v>0</v>
      </c>
      <c r="E412" s="165">
        <f>BIdetails!M415</f>
        <v>0</v>
      </c>
      <c r="F412" t="e">
        <f>IF(ISERROR(IF(OR(C412="#",C412=0),"",VLOOKUP(C412,'AOP25'!M:M,1,0))),"Not Found",VLOOKUP(C412,'AOP25'!M:M,1,0))</f>
        <v>#N/A</v>
      </c>
      <c r="G412" t="e">
        <f t="shared" si="6"/>
        <v>#N/A</v>
      </c>
    </row>
    <row r="413" spans="1:7" x14ac:dyDescent="0.25">
      <c r="A413">
        <f>BIdetails!G416</f>
        <v>0</v>
      </c>
      <c r="B413">
        <f>BIdetails!H416</f>
        <v>0</v>
      </c>
      <c r="C413">
        <f>BIdetails!J416</f>
        <v>0</v>
      </c>
      <c r="D413">
        <f>BIdetails!K416</f>
        <v>0</v>
      </c>
      <c r="E413" s="165">
        <f>BIdetails!M416</f>
        <v>0</v>
      </c>
      <c r="F413" t="e">
        <f>IF(ISERROR(IF(OR(C413="#",C413=0),"",VLOOKUP(C413,'AOP25'!M:M,1,0))),"Not Found",VLOOKUP(C413,'AOP25'!M:M,1,0))</f>
        <v>#N/A</v>
      </c>
      <c r="G413" t="e">
        <f t="shared" si="6"/>
        <v>#N/A</v>
      </c>
    </row>
    <row r="414" spans="1:7" x14ac:dyDescent="0.25">
      <c r="A414">
        <f>BIdetails!G417</f>
        <v>0</v>
      </c>
      <c r="B414">
        <f>BIdetails!H417</f>
        <v>0</v>
      </c>
      <c r="C414">
        <f>BIdetails!J417</f>
        <v>0</v>
      </c>
      <c r="D414">
        <f>BIdetails!K417</f>
        <v>0</v>
      </c>
      <c r="E414" s="165">
        <f>BIdetails!M417</f>
        <v>0</v>
      </c>
      <c r="F414" t="e">
        <f>IF(ISERROR(IF(OR(C414="#",C414=0),"",VLOOKUP(C414,'AOP25'!M:M,1,0))),"Not Found",VLOOKUP(C414,'AOP25'!M:M,1,0))</f>
        <v>#N/A</v>
      </c>
      <c r="G414" t="e">
        <f t="shared" si="6"/>
        <v>#N/A</v>
      </c>
    </row>
    <row r="415" spans="1:7" hidden="1" x14ac:dyDescent="0.25">
      <c r="A415">
        <f>BIdetails!G418</f>
        <v>0</v>
      </c>
      <c r="B415">
        <f>BIdetails!H418</f>
        <v>0</v>
      </c>
      <c r="C415">
        <f>BIdetails!J418</f>
        <v>0</v>
      </c>
      <c r="D415">
        <f>BIdetails!K418</f>
        <v>0</v>
      </c>
      <c r="E415" s="165">
        <f>BIdetails!M418</f>
        <v>0</v>
      </c>
      <c r="F415" t="e">
        <f>IF(ISERROR(IF(OR(C415="#",C415=0),"",VLOOKUP(C415,'AOP25'!M:M,1,0))),"Not Found",VLOOKUP(C415,'AOP25'!M:M,1,0))</f>
        <v>#N/A</v>
      </c>
      <c r="G415" t="e">
        <f t="shared" si="6"/>
        <v>#N/A</v>
      </c>
    </row>
    <row r="416" spans="1:7" hidden="1" x14ac:dyDescent="0.25">
      <c r="A416">
        <f>BIdetails!G419</f>
        <v>0</v>
      </c>
      <c r="B416">
        <f>BIdetails!H419</f>
        <v>0</v>
      </c>
      <c r="C416">
        <f>BIdetails!J419</f>
        <v>0</v>
      </c>
      <c r="D416">
        <f>BIdetails!K419</f>
        <v>0</v>
      </c>
      <c r="E416" s="165">
        <f>BIdetails!M419</f>
        <v>0</v>
      </c>
      <c r="F416" t="e">
        <f>IF(ISERROR(IF(OR(C416="#",C416=0),"",VLOOKUP(C416,'AOP25'!M:M,1,0))),"Not Found",VLOOKUP(C416,'AOP25'!M:M,1,0))</f>
        <v>#N/A</v>
      </c>
      <c r="G416" t="e">
        <f t="shared" si="6"/>
        <v>#N/A</v>
      </c>
    </row>
    <row r="417" spans="1:7" hidden="1" x14ac:dyDescent="0.25">
      <c r="A417">
        <f>BIdetails!G420</f>
        <v>0</v>
      </c>
      <c r="B417">
        <f>BIdetails!H420</f>
        <v>0</v>
      </c>
      <c r="C417">
        <f>BIdetails!J420</f>
        <v>0</v>
      </c>
      <c r="D417">
        <f>BIdetails!K420</f>
        <v>0</v>
      </c>
      <c r="E417" s="165">
        <f>BIdetails!M420</f>
        <v>0</v>
      </c>
      <c r="F417" t="e">
        <f>IF(ISERROR(IF(OR(C417="#",C417=0),"",VLOOKUP(C417,'AOP25'!M:M,1,0))),"Not Found",VLOOKUP(C417,'AOP25'!M:M,1,0))</f>
        <v>#N/A</v>
      </c>
      <c r="G417" t="e">
        <f t="shared" si="6"/>
        <v>#N/A</v>
      </c>
    </row>
    <row r="418" spans="1:7" hidden="1" x14ac:dyDescent="0.25">
      <c r="A418">
        <f>BIdetails!G421</f>
        <v>0</v>
      </c>
      <c r="B418">
        <f>BIdetails!H421</f>
        <v>0</v>
      </c>
      <c r="C418">
        <f>BIdetails!J421</f>
        <v>0</v>
      </c>
      <c r="D418">
        <f>BIdetails!K421</f>
        <v>0</v>
      </c>
      <c r="E418" s="165">
        <f>BIdetails!M421</f>
        <v>0</v>
      </c>
      <c r="F418" t="e">
        <f>IF(ISERROR(IF(OR(C418="#",C418=0),"",VLOOKUP(C418,'AOP25'!M:M,1,0))),"Not Found",VLOOKUP(C418,'AOP25'!M:M,1,0))</f>
        <v>#N/A</v>
      </c>
      <c r="G418" t="e">
        <f t="shared" si="6"/>
        <v>#N/A</v>
      </c>
    </row>
    <row r="419" spans="1:7" x14ac:dyDescent="0.25">
      <c r="A419">
        <f>BIdetails!G422</f>
        <v>0</v>
      </c>
      <c r="B419">
        <f>BIdetails!H422</f>
        <v>0</v>
      </c>
      <c r="C419">
        <f>BIdetails!J422</f>
        <v>0</v>
      </c>
      <c r="D419">
        <f>BIdetails!K422</f>
        <v>0</v>
      </c>
      <c r="E419" s="165">
        <f>BIdetails!M422</f>
        <v>0</v>
      </c>
      <c r="F419" t="e">
        <f>IF(ISERROR(IF(OR(C419="#",C419=0),"",VLOOKUP(C419,'AOP25'!M:M,1,0))),"Not Found",VLOOKUP(C419,'AOP25'!M:M,1,0))</f>
        <v>#N/A</v>
      </c>
      <c r="G419" t="e">
        <f t="shared" si="6"/>
        <v>#N/A</v>
      </c>
    </row>
    <row r="420" spans="1:7" x14ac:dyDescent="0.25">
      <c r="A420">
        <f>BIdetails!G423</f>
        <v>0</v>
      </c>
      <c r="B420">
        <f>BIdetails!H423</f>
        <v>0</v>
      </c>
      <c r="C420">
        <f>BIdetails!J423</f>
        <v>0</v>
      </c>
      <c r="D420">
        <f>BIdetails!K423</f>
        <v>0</v>
      </c>
      <c r="E420" s="165">
        <f>BIdetails!M423</f>
        <v>0</v>
      </c>
      <c r="F420" t="e">
        <f>IF(ISERROR(IF(OR(C420="#",C420=0),"",VLOOKUP(C420,'AOP25'!M:M,1,0))),"Not Found",VLOOKUP(C420,'AOP25'!M:M,1,0))</f>
        <v>#N/A</v>
      </c>
      <c r="G420" t="e">
        <f t="shared" si="6"/>
        <v>#N/A</v>
      </c>
    </row>
    <row r="421" spans="1:7" hidden="1" x14ac:dyDescent="0.25">
      <c r="A421">
        <f>BIdetails!G424</f>
        <v>0</v>
      </c>
      <c r="B421">
        <f>BIdetails!H424</f>
        <v>0</v>
      </c>
      <c r="C421">
        <f>BIdetails!J424</f>
        <v>0</v>
      </c>
      <c r="D421">
        <f>BIdetails!K424</f>
        <v>0</v>
      </c>
      <c r="E421" s="165">
        <f>BIdetails!M424</f>
        <v>0</v>
      </c>
      <c r="F421" t="e">
        <f>IF(ISERROR(IF(OR(C421="#",C421=0),"",VLOOKUP(C421,'AOP25'!M:M,1,0))),"Not Found",VLOOKUP(C421,'AOP25'!M:M,1,0))</f>
        <v>#N/A</v>
      </c>
      <c r="G421" t="e">
        <f t="shared" si="6"/>
        <v>#N/A</v>
      </c>
    </row>
    <row r="422" spans="1:7" x14ac:dyDescent="0.25">
      <c r="A422">
        <f>BIdetails!G425</f>
        <v>0</v>
      </c>
      <c r="B422">
        <f>BIdetails!H425</f>
        <v>0</v>
      </c>
      <c r="C422">
        <f>BIdetails!J425</f>
        <v>0</v>
      </c>
      <c r="D422">
        <f>BIdetails!K425</f>
        <v>0</v>
      </c>
      <c r="E422" s="165">
        <f>BIdetails!M425</f>
        <v>0</v>
      </c>
      <c r="F422" t="e">
        <f>IF(ISERROR(IF(OR(C422="#",C422=0),"",VLOOKUP(C422,'AOP25'!M:M,1,0))),"Not Found",VLOOKUP(C422,'AOP25'!M:M,1,0))</f>
        <v>#N/A</v>
      </c>
      <c r="G422" t="e">
        <f t="shared" si="6"/>
        <v>#N/A</v>
      </c>
    </row>
    <row r="423" spans="1:7" x14ac:dyDescent="0.25">
      <c r="A423">
        <f>BIdetails!G426</f>
        <v>0</v>
      </c>
      <c r="B423">
        <f>BIdetails!H426</f>
        <v>0</v>
      </c>
      <c r="C423">
        <f>BIdetails!J426</f>
        <v>0</v>
      </c>
      <c r="D423">
        <f>BIdetails!K426</f>
        <v>0</v>
      </c>
      <c r="E423" s="165">
        <f>BIdetails!M426</f>
        <v>0</v>
      </c>
      <c r="F423" t="e">
        <f>IF(ISERROR(IF(OR(C423="#",C423=0),"",VLOOKUP(C423,'AOP25'!M:M,1,0))),"Not Found",VLOOKUP(C423,'AOP25'!M:M,1,0))</f>
        <v>#N/A</v>
      </c>
      <c r="G423" t="e">
        <f t="shared" si="6"/>
        <v>#N/A</v>
      </c>
    </row>
    <row r="424" spans="1:7" x14ac:dyDescent="0.25">
      <c r="A424">
        <f>BIdetails!G427</f>
        <v>0</v>
      </c>
      <c r="B424">
        <f>BIdetails!H427</f>
        <v>0</v>
      </c>
      <c r="C424">
        <f>BIdetails!J427</f>
        <v>0</v>
      </c>
      <c r="D424">
        <f>BIdetails!K427</f>
        <v>0</v>
      </c>
      <c r="E424" s="165">
        <f>BIdetails!M427</f>
        <v>0</v>
      </c>
      <c r="F424" t="e">
        <f>IF(ISERROR(IF(OR(C424="#",C424=0),"",VLOOKUP(C424,'AOP25'!M:M,1,0))),"Not Found",VLOOKUP(C424,'AOP25'!M:M,1,0))</f>
        <v>#N/A</v>
      </c>
      <c r="G424" t="e">
        <f t="shared" si="6"/>
        <v>#N/A</v>
      </c>
    </row>
    <row r="425" spans="1:7" x14ac:dyDescent="0.25">
      <c r="A425">
        <f>BIdetails!G428</f>
        <v>0</v>
      </c>
      <c r="B425">
        <f>BIdetails!H428</f>
        <v>0</v>
      </c>
      <c r="C425">
        <f>BIdetails!J428</f>
        <v>0</v>
      </c>
      <c r="D425">
        <f>BIdetails!K428</f>
        <v>0</v>
      </c>
      <c r="E425" s="165">
        <f>BIdetails!M428</f>
        <v>0</v>
      </c>
      <c r="F425" t="e">
        <f>IF(ISERROR(IF(OR(C425="#",C425=0),"",VLOOKUP(C425,'AOP25'!M:M,1,0))),"Not Found",VLOOKUP(C425,'AOP25'!M:M,1,0))</f>
        <v>#N/A</v>
      </c>
      <c r="G425" t="e">
        <f t="shared" si="6"/>
        <v>#N/A</v>
      </c>
    </row>
    <row r="426" spans="1:7" x14ac:dyDescent="0.25">
      <c r="A426">
        <f>BIdetails!G429</f>
        <v>0</v>
      </c>
      <c r="B426">
        <f>BIdetails!H429</f>
        <v>0</v>
      </c>
      <c r="C426">
        <f>BIdetails!J429</f>
        <v>0</v>
      </c>
      <c r="D426">
        <f>BIdetails!K429</f>
        <v>0</v>
      </c>
      <c r="E426" s="165">
        <f>BIdetails!M429</f>
        <v>0</v>
      </c>
      <c r="F426" t="e">
        <f>IF(ISERROR(IF(OR(C426="#",C426=0),"",VLOOKUP(C426,'AOP25'!M:M,1,0))),"Not Found",VLOOKUP(C426,'AOP25'!M:M,1,0))</f>
        <v>#N/A</v>
      </c>
      <c r="G426" t="e">
        <f t="shared" si="6"/>
        <v>#N/A</v>
      </c>
    </row>
    <row r="427" spans="1:7" hidden="1" x14ac:dyDescent="0.25">
      <c r="A427">
        <f>BIdetails!G430</f>
        <v>0</v>
      </c>
      <c r="B427">
        <f>BIdetails!H430</f>
        <v>0</v>
      </c>
      <c r="C427">
        <f>BIdetails!J430</f>
        <v>0</v>
      </c>
      <c r="D427">
        <f>BIdetails!K430</f>
        <v>0</v>
      </c>
      <c r="E427" s="165">
        <f>BIdetails!M430</f>
        <v>0</v>
      </c>
      <c r="F427" t="e">
        <f>IF(ISERROR(IF(OR(C427="#",C427=0),"",VLOOKUP(C427,'AOP25'!M:M,1,0))),"Not Found",VLOOKUP(C427,'AOP25'!M:M,1,0))</f>
        <v>#N/A</v>
      </c>
      <c r="G427" t="e">
        <f t="shared" si="6"/>
        <v>#N/A</v>
      </c>
    </row>
    <row r="428" spans="1:7" x14ac:dyDescent="0.25">
      <c r="A428">
        <f>BIdetails!G431</f>
        <v>0</v>
      </c>
      <c r="B428">
        <f>BIdetails!H431</f>
        <v>0</v>
      </c>
      <c r="C428">
        <f>BIdetails!J431</f>
        <v>0</v>
      </c>
      <c r="D428">
        <f>BIdetails!K431</f>
        <v>0</v>
      </c>
      <c r="E428" s="165">
        <f>BIdetails!M431</f>
        <v>0</v>
      </c>
      <c r="F428" t="e">
        <f>IF(ISERROR(IF(OR(C428="#",C428=0),"",VLOOKUP(C428,'AOP25'!M:M,1,0))),"Not Found",VLOOKUP(C428,'AOP25'!M:M,1,0))</f>
        <v>#N/A</v>
      </c>
      <c r="G428" t="e">
        <f t="shared" si="6"/>
        <v>#N/A</v>
      </c>
    </row>
    <row r="429" spans="1:7" x14ac:dyDescent="0.25">
      <c r="A429">
        <f>BIdetails!G432</f>
        <v>0</v>
      </c>
      <c r="B429">
        <f>BIdetails!H432</f>
        <v>0</v>
      </c>
      <c r="C429">
        <f>BIdetails!J432</f>
        <v>0</v>
      </c>
      <c r="D429">
        <f>BIdetails!K432</f>
        <v>0</v>
      </c>
      <c r="E429" s="165">
        <f>BIdetails!M432</f>
        <v>0</v>
      </c>
      <c r="F429" t="e">
        <f>IF(ISERROR(IF(OR(C429="#",C429=0),"",VLOOKUP(C429,'AOP25'!M:M,1,0))),"Not Found",VLOOKUP(C429,'AOP25'!M:M,1,0))</f>
        <v>#N/A</v>
      </c>
      <c r="G429" t="e">
        <f t="shared" si="6"/>
        <v>#N/A</v>
      </c>
    </row>
    <row r="430" spans="1:7" hidden="1" x14ac:dyDescent="0.25">
      <c r="A430">
        <f>BIdetails!G433</f>
        <v>0</v>
      </c>
      <c r="B430">
        <f>BIdetails!H433</f>
        <v>0</v>
      </c>
      <c r="C430">
        <f>BIdetails!J433</f>
        <v>0</v>
      </c>
      <c r="D430">
        <f>BIdetails!K433</f>
        <v>0</v>
      </c>
      <c r="E430" s="165">
        <f>BIdetails!M433</f>
        <v>0</v>
      </c>
      <c r="F430" t="e">
        <f>IF(ISERROR(IF(OR(C430="#",C430=0),"",VLOOKUP(C430,'AOP25'!M:M,1,0))),"Not Found",VLOOKUP(C430,'AOP25'!M:M,1,0))</f>
        <v>#N/A</v>
      </c>
      <c r="G430" t="e">
        <f t="shared" si="6"/>
        <v>#N/A</v>
      </c>
    </row>
    <row r="431" spans="1:7" hidden="1" x14ac:dyDescent="0.25">
      <c r="A431">
        <f>BIdetails!G434</f>
        <v>0</v>
      </c>
      <c r="B431">
        <f>BIdetails!H434</f>
        <v>0</v>
      </c>
      <c r="C431">
        <f>BIdetails!J434</f>
        <v>0</v>
      </c>
      <c r="D431">
        <f>BIdetails!K434</f>
        <v>0</v>
      </c>
      <c r="E431" s="165">
        <f>BIdetails!M434</f>
        <v>0</v>
      </c>
      <c r="F431" t="e">
        <f>IF(ISERROR(IF(OR(C431="#",C431=0),"",VLOOKUP(C431,'AOP25'!M:M,1,0))),"Not Found",VLOOKUP(C431,'AOP25'!M:M,1,0))</f>
        <v>#N/A</v>
      </c>
      <c r="G431" t="e">
        <f t="shared" si="6"/>
        <v>#N/A</v>
      </c>
    </row>
    <row r="432" spans="1:7" hidden="1" x14ac:dyDescent="0.25">
      <c r="A432">
        <f>BIdetails!G435</f>
        <v>0</v>
      </c>
      <c r="B432">
        <f>BIdetails!H435</f>
        <v>0</v>
      </c>
      <c r="C432">
        <f>BIdetails!J435</f>
        <v>0</v>
      </c>
      <c r="D432">
        <f>BIdetails!K435</f>
        <v>0</v>
      </c>
      <c r="E432" s="165">
        <f>BIdetails!M435</f>
        <v>0</v>
      </c>
      <c r="F432" t="e">
        <f>IF(ISERROR(IF(OR(C432="#",C432=0),"",VLOOKUP(C432,'AOP25'!M:M,1,0))),"Not Found",VLOOKUP(C432,'AOP25'!M:M,1,0))</f>
        <v>#N/A</v>
      </c>
      <c r="G432" t="e">
        <f t="shared" si="6"/>
        <v>#N/A</v>
      </c>
    </row>
    <row r="433" spans="1:7" x14ac:dyDescent="0.25">
      <c r="A433">
        <f>BIdetails!G436</f>
        <v>0</v>
      </c>
      <c r="B433">
        <f>BIdetails!H436</f>
        <v>0</v>
      </c>
      <c r="C433">
        <f>BIdetails!J436</f>
        <v>0</v>
      </c>
      <c r="D433">
        <f>BIdetails!K436</f>
        <v>0</v>
      </c>
      <c r="E433" s="165">
        <f>BIdetails!M436</f>
        <v>0</v>
      </c>
      <c r="F433" t="e">
        <f>IF(ISERROR(IF(OR(C433="#",C433=0),"",VLOOKUP(C433,'AOP25'!M:M,1,0))),"Not Found",VLOOKUP(C433,'AOP25'!M:M,1,0))</f>
        <v>#N/A</v>
      </c>
      <c r="G433" t="e">
        <f t="shared" si="6"/>
        <v>#N/A</v>
      </c>
    </row>
    <row r="434" spans="1:7" hidden="1" x14ac:dyDescent="0.25">
      <c r="A434">
        <f>BIdetails!G437</f>
        <v>0</v>
      </c>
      <c r="B434">
        <f>BIdetails!H437</f>
        <v>0</v>
      </c>
      <c r="C434">
        <f>BIdetails!J437</f>
        <v>0</v>
      </c>
      <c r="D434">
        <f>BIdetails!K437</f>
        <v>0</v>
      </c>
      <c r="E434" s="165">
        <f>BIdetails!M437</f>
        <v>0</v>
      </c>
      <c r="F434" t="e">
        <f>IF(ISERROR(IF(OR(C434="#",C434=0),"",VLOOKUP(C434,'AOP25'!M:M,1,0))),"Not Found",VLOOKUP(C434,'AOP25'!M:M,1,0))</f>
        <v>#N/A</v>
      </c>
      <c r="G434" t="e">
        <f t="shared" si="6"/>
        <v>#N/A</v>
      </c>
    </row>
    <row r="435" spans="1:7" hidden="1" x14ac:dyDescent="0.25">
      <c r="A435">
        <f>BIdetails!G438</f>
        <v>0</v>
      </c>
      <c r="B435">
        <f>BIdetails!H438</f>
        <v>0</v>
      </c>
      <c r="C435">
        <f>BIdetails!J438</f>
        <v>0</v>
      </c>
      <c r="D435">
        <f>BIdetails!K438</f>
        <v>0</v>
      </c>
      <c r="E435" s="165">
        <f>BIdetails!M438</f>
        <v>0</v>
      </c>
      <c r="F435" t="e">
        <f>IF(ISERROR(IF(OR(C435="#",C435=0),"",VLOOKUP(C435,'AOP25'!M:M,1,0))),"Not Found",VLOOKUP(C435,'AOP25'!M:M,1,0))</f>
        <v>#N/A</v>
      </c>
      <c r="G435" t="e">
        <f t="shared" si="6"/>
        <v>#N/A</v>
      </c>
    </row>
    <row r="436" spans="1:7" hidden="1" x14ac:dyDescent="0.25">
      <c r="A436">
        <f>BIdetails!G439</f>
        <v>0</v>
      </c>
      <c r="B436">
        <f>BIdetails!H439</f>
        <v>0</v>
      </c>
      <c r="C436">
        <f>BIdetails!J439</f>
        <v>0</v>
      </c>
      <c r="D436">
        <f>BIdetails!K439</f>
        <v>0</v>
      </c>
      <c r="E436" s="165">
        <f>BIdetails!M439</f>
        <v>0</v>
      </c>
      <c r="F436" t="e">
        <f>IF(ISERROR(IF(OR(C436="#",C436=0),"",VLOOKUP(C436,'AOP25'!M:M,1,0))),"Not Found",VLOOKUP(C436,'AOP25'!M:M,1,0))</f>
        <v>#N/A</v>
      </c>
      <c r="G436" t="e">
        <f t="shared" si="6"/>
        <v>#N/A</v>
      </c>
    </row>
    <row r="437" spans="1:7" hidden="1" x14ac:dyDescent="0.25">
      <c r="A437">
        <f>BIdetails!G440</f>
        <v>0</v>
      </c>
      <c r="B437">
        <f>BIdetails!H440</f>
        <v>0</v>
      </c>
      <c r="C437">
        <f>BIdetails!J440</f>
        <v>0</v>
      </c>
      <c r="D437">
        <f>BIdetails!K440</f>
        <v>0</v>
      </c>
      <c r="E437" s="165">
        <f>BIdetails!M440</f>
        <v>0</v>
      </c>
      <c r="F437" t="e">
        <f>IF(ISERROR(IF(OR(C437="#",C437=0),"",VLOOKUP(C437,'AOP25'!M:M,1,0))),"Not Found",VLOOKUP(C437,'AOP25'!M:M,1,0))</f>
        <v>#N/A</v>
      </c>
      <c r="G437" t="e">
        <f t="shared" si="6"/>
        <v>#N/A</v>
      </c>
    </row>
    <row r="438" spans="1:7" hidden="1" x14ac:dyDescent="0.25">
      <c r="A438">
        <f>BIdetails!G441</f>
        <v>0</v>
      </c>
      <c r="B438">
        <f>BIdetails!H441</f>
        <v>0</v>
      </c>
      <c r="C438">
        <f>BIdetails!J441</f>
        <v>0</v>
      </c>
      <c r="D438">
        <f>BIdetails!K441</f>
        <v>0</v>
      </c>
      <c r="E438" s="165">
        <f>BIdetails!M441</f>
        <v>0</v>
      </c>
      <c r="F438" t="e">
        <f>IF(ISERROR(IF(OR(C438="#",C438=0),"",VLOOKUP(C438,'AOP25'!M:M,1,0))),"Not Found",VLOOKUP(C438,'AOP25'!M:M,1,0))</f>
        <v>#N/A</v>
      </c>
      <c r="G438" t="e">
        <f t="shared" si="6"/>
        <v>#N/A</v>
      </c>
    </row>
    <row r="439" spans="1:7" hidden="1" x14ac:dyDescent="0.25">
      <c r="A439">
        <f>BIdetails!G442</f>
        <v>0</v>
      </c>
      <c r="B439">
        <f>BIdetails!H442</f>
        <v>0</v>
      </c>
      <c r="C439">
        <f>BIdetails!J442</f>
        <v>0</v>
      </c>
      <c r="D439">
        <f>BIdetails!K442</f>
        <v>0</v>
      </c>
      <c r="E439" s="165">
        <f>BIdetails!M442</f>
        <v>0</v>
      </c>
      <c r="F439" t="e">
        <f>IF(ISERROR(IF(OR(C439="#",C439=0),"",VLOOKUP(C439,'AOP25'!M:M,1,0))),"Not Found",VLOOKUP(C439,'AOP25'!M:M,1,0))</f>
        <v>#N/A</v>
      </c>
      <c r="G439" t="e">
        <f t="shared" si="6"/>
        <v>#N/A</v>
      </c>
    </row>
    <row r="440" spans="1:7" hidden="1" x14ac:dyDescent="0.25">
      <c r="A440">
        <f>BIdetails!G443</f>
        <v>0</v>
      </c>
      <c r="B440">
        <f>BIdetails!H443</f>
        <v>0</v>
      </c>
      <c r="C440">
        <f>BIdetails!J443</f>
        <v>0</v>
      </c>
      <c r="D440">
        <f>BIdetails!K443</f>
        <v>0</v>
      </c>
      <c r="E440" s="165">
        <f>BIdetails!M443</f>
        <v>0</v>
      </c>
      <c r="F440" t="e">
        <f>IF(ISERROR(IF(OR(C440="#",C440=0),"",VLOOKUP(C440,'AOP25'!M:M,1,0))),"Not Found",VLOOKUP(C440,'AOP25'!M:M,1,0))</f>
        <v>#N/A</v>
      </c>
      <c r="G440" t="e">
        <f t="shared" si="6"/>
        <v>#N/A</v>
      </c>
    </row>
    <row r="441" spans="1:7" hidden="1" x14ac:dyDescent="0.25">
      <c r="A441">
        <f>BIdetails!G444</f>
        <v>0</v>
      </c>
      <c r="B441">
        <f>BIdetails!H444</f>
        <v>0</v>
      </c>
      <c r="C441">
        <f>BIdetails!J444</f>
        <v>0</v>
      </c>
      <c r="D441">
        <f>BIdetails!K444</f>
        <v>0</v>
      </c>
      <c r="E441" s="165">
        <f>BIdetails!M444</f>
        <v>0</v>
      </c>
      <c r="F441" t="e">
        <f>IF(ISERROR(IF(OR(C441="#",C441=0),"",VLOOKUP(C441,'AOP25'!M:M,1,0))),"Not Found",VLOOKUP(C441,'AOP25'!M:M,1,0))</f>
        <v>#N/A</v>
      </c>
      <c r="G441" t="e">
        <f t="shared" si="6"/>
        <v>#N/A</v>
      </c>
    </row>
    <row r="442" spans="1:7" hidden="1" x14ac:dyDescent="0.25">
      <c r="A442">
        <f>BIdetails!G445</f>
        <v>0</v>
      </c>
      <c r="B442">
        <f>BIdetails!H445</f>
        <v>0</v>
      </c>
      <c r="C442">
        <f>BIdetails!J445</f>
        <v>0</v>
      </c>
      <c r="D442">
        <f>BIdetails!K445</f>
        <v>0</v>
      </c>
      <c r="E442" s="165">
        <f>BIdetails!M445</f>
        <v>0</v>
      </c>
      <c r="F442" t="e">
        <f>IF(ISERROR(IF(OR(C442="#",C442=0),"",VLOOKUP(C442,'AOP25'!M:M,1,0))),"Not Found",VLOOKUP(C442,'AOP25'!M:M,1,0))</f>
        <v>#N/A</v>
      </c>
      <c r="G442" t="e">
        <f t="shared" si="6"/>
        <v>#N/A</v>
      </c>
    </row>
    <row r="443" spans="1:7" hidden="1" x14ac:dyDescent="0.25">
      <c r="A443">
        <f>BIdetails!G446</f>
        <v>0</v>
      </c>
      <c r="B443">
        <f>BIdetails!H446</f>
        <v>0</v>
      </c>
      <c r="C443">
        <f>BIdetails!J446</f>
        <v>0</v>
      </c>
      <c r="D443">
        <f>BIdetails!K446</f>
        <v>0</v>
      </c>
      <c r="E443" s="165">
        <f>BIdetails!M446</f>
        <v>0</v>
      </c>
      <c r="F443" t="e">
        <f>IF(ISERROR(IF(OR(C443="#",C443=0),"",VLOOKUP(C443,'AOP25'!M:M,1,0))),"Not Found",VLOOKUP(C443,'AOP25'!M:M,1,0))</f>
        <v>#N/A</v>
      </c>
      <c r="G443" t="e">
        <f t="shared" si="6"/>
        <v>#N/A</v>
      </c>
    </row>
    <row r="444" spans="1:7" hidden="1" x14ac:dyDescent="0.25">
      <c r="A444">
        <f>BIdetails!G447</f>
        <v>0</v>
      </c>
      <c r="B444">
        <f>BIdetails!H447</f>
        <v>0</v>
      </c>
      <c r="C444">
        <f>BIdetails!J447</f>
        <v>0</v>
      </c>
      <c r="D444">
        <f>BIdetails!K447</f>
        <v>0</v>
      </c>
      <c r="E444" s="165">
        <f>BIdetails!M447</f>
        <v>0</v>
      </c>
      <c r="F444" t="e">
        <f>IF(ISERROR(IF(OR(C444="#",C444=0),"",VLOOKUP(C444,'AOP25'!M:M,1,0))),"Not Found",VLOOKUP(C444,'AOP25'!M:M,1,0))</f>
        <v>#N/A</v>
      </c>
      <c r="G444" t="e">
        <f t="shared" si="6"/>
        <v>#N/A</v>
      </c>
    </row>
    <row r="445" spans="1:7" hidden="1" x14ac:dyDescent="0.25">
      <c r="A445">
        <f>BIdetails!G448</f>
        <v>0</v>
      </c>
      <c r="B445">
        <f>BIdetails!H448</f>
        <v>0</v>
      </c>
      <c r="C445">
        <f>BIdetails!J448</f>
        <v>0</v>
      </c>
      <c r="D445">
        <f>BIdetails!K448</f>
        <v>0</v>
      </c>
      <c r="E445" s="165">
        <f>BIdetails!M448</f>
        <v>0</v>
      </c>
      <c r="F445" t="e">
        <f>IF(ISERROR(IF(OR(C445="#",C445=0),"",VLOOKUP(C445,'AOP25'!M:M,1,0))),"Not Found",VLOOKUP(C445,'AOP25'!M:M,1,0))</f>
        <v>#N/A</v>
      </c>
      <c r="G445" t="e">
        <f t="shared" si="6"/>
        <v>#N/A</v>
      </c>
    </row>
    <row r="446" spans="1:7" hidden="1" x14ac:dyDescent="0.25">
      <c r="A446">
        <f>BIdetails!G449</f>
        <v>0</v>
      </c>
      <c r="B446">
        <f>BIdetails!H449</f>
        <v>0</v>
      </c>
      <c r="C446">
        <f>BIdetails!J449</f>
        <v>0</v>
      </c>
      <c r="D446">
        <f>BIdetails!K449</f>
        <v>0</v>
      </c>
      <c r="E446" s="165">
        <f>BIdetails!M449</f>
        <v>0</v>
      </c>
      <c r="F446" t="e">
        <f>IF(ISERROR(IF(OR(C446="#",C446=0),"",VLOOKUP(C446,'AOP25'!M:M,1,0))),"Not Found",VLOOKUP(C446,'AOP25'!M:M,1,0))</f>
        <v>#N/A</v>
      </c>
      <c r="G446" t="e">
        <f t="shared" si="6"/>
        <v>#N/A</v>
      </c>
    </row>
    <row r="447" spans="1:7" hidden="1" x14ac:dyDescent="0.25">
      <c r="A447">
        <f>BIdetails!G450</f>
        <v>0</v>
      </c>
      <c r="B447">
        <f>BIdetails!H450</f>
        <v>0</v>
      </c>
      <c r="C447">
        <f>BIdetails!J450</f>
        <v>0</v>
      </c>
      <c r="D447">
        <f>BIdetails!K450</f>
        <v>0</v>
      </c>
      <c r="E447" s="165">
        <f>BIdetails!M450</f>
        <v>0</v>
      </c>
      <c r="F447" t="e">
        <f>IF(ISERROR(IF(OR(C447="#",C447=0),"",VLOOKUP(C447,'AOP25'!M:M,1,0))),"Not Found",VLOOKUP(C447,'AOP25'!M:M,1,0))</f>
        <v>#N/A</v>
      </c>
      <c r="G447" t="e">
        <f t="shared" si="6"/>
        <v>#N/A</v>
      </c>
    </row>
    <row r="448" spans="1:7" hidden="1" x14ac:dyDescent="0.25">
      <c r="A448">
        <f>BIdetails!G451</f>
        <v>0</v>
      </c>
      <c r="B448">
        <f>BIdetails!H451</f>
        <v>0</v>
      </c>
      <c r="C448">
        <f>BIdetails!J451</f>
        <v>0</v>
      </c>
      <c r="D448">
        <f>BIdetails!K451</f>
        <v>0</v>
      </c>
      <c r="E448" s="165">
        <f>BIdetails!M451</f>
        <v>0</v>
      </c>
      <c r="F448" t="e">
        <f>IF(ISERROR(IF(OR(C448="#",C448=0),"",VLOOKUP(C448,'AOP25'!M:M,1,0))),"Not Found",VLOOKUP(C448,'AOP25'!M:M,1,0))</f>
        <v>#N/A</v>
      </c>
      <c r="G448" t="e">
        <f t="shared" si="6"/>
        <v>#N/A</v>
      </c>
    </row>
    <row r="449" spans="1:7" hidden="1" x14ac:dyDescent="0.25">
      <c r="A449">
        <f>BIdetails!G452</f>
        <v>0</v>
      </c>
      <c r="B449">
        <f>BIdetails!H452</f>
        <v>0</v>
      </c>
      <c r="C449">
        <f>BIdetails!J452</f>
        <v>0</v>
      </c>
      <c r="D449">
        <f>BIdetails!K452</f>
        <v>0</v>
      </c>
      <c r="E449" s="165">
        <f>BIdetails!M452</f>
        <v>0</v>
      </c>
      <c r="F449" t="e">
        <f>IF(ISERROR(IF(OR(C449="#",C449=0),"",VLOOKUP(C449,'AOP25'!M:M,1,0))),"Not Found",VLOOKUP(C449,'AOP25'!M:M,1,0))</f>
        <v>#N/A</v>
      </c>
      <c r="G449" t="e">
        <f t="shared" si="6"/>
        <v>#N/A</v>
      </c>
    </row>
    <row r="450" spans="1:7" hidden="1" x14ac:dyDescent="0.25">
      <c r="A450">
        <f>BIdetails!G453</f>
        <v>0</v>
      </c>
      <c r="B450">
        <f>BIdetails!H453</f>
        <v>0</v>
      </c>
      <c r="C450">
        <f>BIdetails!J453</f>
        <v>0</v>
      </c>
      <c r="D450">
        <f>BIdetails!K453</f>
        <v>0</v>
      </c>
      <c r="E450" s="165">
        <f>BIdetails!M453</f>
        <v>0</v>
      </c>
      <c r="F450" t="e">
        <f>IF(ISERROR(IF(OR(C450="#",C450=0),"",VLOOKUP(C450,'AOP25'!M:M,1,0))),"Not Found",VLOOKUP(C450,'AOP25'!M:M,1,0))</f>
        <v>#N/A</v>
      </c>
      <c r="G450" t="e">
        <f t="shared" si="6"/>
        <v>#N/A</v>
      </c>
    </row>
    <row r="451" spans="1:7" x14ac:dyDescent="0.25">
      <c r="A451">
        <f>BIdetails!G454</f>
        <v>0</v>
      </c>
      <c r="B451">
        <f>BIdetails!H454</f>
        <v>0</v>
      </c>
      <c r="C451">
        <f>BIdetails!J454</f>
        <v>0</v>
      </c>
      <c r="D451">
        <f>BIdetails!K454</f>
        <v>0</v>
      </c>
      <c r="E451" s="165">
        <f>BIdetails!M454</f>
        <v>0</v>
      </c>
      <c r="F451" t="e">
        <f>IF(ISERROR(IF(OR(C451="#",C451=0),"",VLOOKUP(C451,'AOP25'!M:M,1,0))),"Not Found",VLOOKUP(C451,'AOP25'!M:M,1,0))</f>
        <v>#N/A</v>
      </c>
      <c r="G451" t="e">
        <f t="shared" ref="G451:G500" si="7">IF(NOT(ISERROR(VLOOKUP(C451,$K$2:$K$50,1,0))),"Y",VLOOKUP(C451,$K$2:$K$50,1,0))</f>
        <v>#N/A</v>
      </c>
    </row>
    <row r="452" spans="1:7" hidden="1" x14ac:dyDescent="0.25">
      <c r="A452">
        <f>BIdetails!G455</f>
        <v>0</v>
      </c>
      <c r="B452">
        <f>BIdetails!H455</f>
        <v>0</v>
      </c>
      <c r="C452">
        <f>BIdetails!J455</f>
        <v>0</v>
      </c>
      <c r="D452">
        <f>BIdetails!K455</f>
        <v>0</v>
      </c>
      <c r="E452" s="165">
        <f>BIdetails!M455</f>
        <v>0</v>
      </c>
      <c r="F452" t="e">
        <f>IF(ISERROR(IF(OR(C452="#",C452=0),"",VLOOKUP(C452,'AOP25'!M:M,1,0))),"Not Found",VLOOKUP(C452,'AOP25'!M:M,1,0))</f>
        <v>#N/A</v>
      </c>
      <c r="G452" t="e">
        <f t="shared" si="7"/>
        <v>#N/A</v>
      </c>
    </row>
    <row r="453" spans="1:7" x14ac:dyDescent="0.25">
      <c r="A453">
        <f>BIdetails!G456</f>
        <v>0</v>
      </c>
      <c r="B453">
        <f>BIdetails!H456</f>
        <v>0</v>
      </c>
      <c r="C453">
        <f>BIdetails!J456</f>
        <v>0</v>
      </c>
      <c r="D453">
        <f>BIdetails!K456</f>
        <v>0</v>
      </c>
      <c r="E453" s="165">
        <f>BIdetails!M456</f>
        <v>0</v>
      </c>
      <c r="F453" t="e">
        <f>IF(ISERROR(IF(OR(C453="#",C453=0),"",VLOOKUP(C453,'AOP25'!M:M,1,0))),"Not Found",VLOOKUP(C453,'AOP25'!M:M,1,0))</f>
        <v>#N/A</v>
      </c>
      <c r="G453" t="e">
        <f t="shared" si="7"/>
        <v>#N/A</v>
      </c>
    </row>
    <row r="454" spans="1:7" x14ac:dyDescent="0.25">
      <c r="A454">
        <f>BIdetails!G457</f>
        <v>0</v>
      </c>
      <c r="B454">
        <f>BIdetails!H457</f>
        <v>0</v>
      </c>
      <c r="C454">
        <f>BIdetails!J457</f>
        <v>0</v>
      </c>
      <c r="D454">
        <f>BIdetails!K457</f>
        <v>0</v>
      </c>
      <c r="E454" s="165">
        <f>BIdetails!M457</f>
        <v>0</v>
      </c>
      <c r="F454" t="e">
        <f>IF(ISERROR(IF(OR(C454="#",C454=0),"",VLOOKUP(C454,'AOP25'!M:M,1,0))),"Not Found",VLOOKUP(C454,'AOP25'!M:M,1,0))</f>
        <v>#N/A</v>
      </c>
      <c r="G454" t="e">
        <f t="shared" si="7"/>
        <v>#N/A</v>
      </c>
    </row>
    <row r="455" spans="1:7" hidden="1" x14ac:dyDescent="0.25">
      <c r="A455">
        <f>BIdetails!G458</f>
        <v>0</v>
      </c>
      <c r="B455">
        <f>BIdetails!H458</f>
        <v>0</v>
      </c>
      <c r="C455">
        <f>BIdetails!J458</f>
        <v>0</v>
      </c>
      <c r="D455">
        <f>BIdetails!K458</f>
        <v>0</v>
      </c>
      <c r="E455" s="165">
        <f>BIdetails!M458</f>
        <v>0</v>
      </c>
      <c r="F455" t="e">
        <f>IF(ISERROR(IF(OR(C455="#",C455=0),"",VLOOKUP(C455,'AOP25'!M:M,1,0))),"Not Found",VLOOKUP(C455,'AOP25'!M:M,1,0))</f>
        <v>#N/A</v>
      </c>
      <c r="G455" t="e">
        <f t="shared" si="7"/>
        <v>#N/A</v>
      </c>
    </row>
    <row r="456" spans="1:7" hidden="1" x14ac:dyDescent="0.25">
      <c r="A456">
        <f>BIdetails!G459</f>
        <v>0</v>
      </c>
      <c r="B456">
        <f>BIdetails!H459</f>
        <v>0</v>
      </c>
      <c r="C456">
        <f>BIdetails!J459</f>
        <v>0</v>
      </c>
      <c r="D456">
        <f>BIdetails!K459</f>
        <v>0</v>
      </c>
      <c r="E456" s="165">
        <f>BIdetails!M459</f>
        <v>0</v>
      </c>
      <c r="F456" t="e">
        <f>IF(ISERROR(IF(OR(C456="#",C456=0),"",VLOOKUP(C456,'AOP25'!M:M,1,0))),"Not Found",VLOOKUP(C456,'AOP25'!M:M,1,0))</f>
        <v>#N/A</v>
      </c>
      <c r="G456" t="e">
        <f t="shared" si="7"/>
        <v>#N/A</v>
      </c>
    </row>
    <row r="457" spans="1:7" hidden="1" x14ac:dyDescent="0.25">
      <c r="A457">
        <f>BIdetails!G460</f>
        <v>0</v>
      </c>
      <c r="B457">
        <f>BIdetails!H460</f>
        <v>0</v>
      </c>
      <c r="C457">
        <f>BIdetails!J460</f>
        <v>0</v>
      </c>
      <c r="D457">
        <f>BIdetails!K460</f>
        <v>0</v>
      </c>
      <c r="E457" s="165">
        <f>BIdetails!M460</f>
        <v>0</v>
      </c>
      <c r="F457" t="e">
        <f>IF(ISERROR(IF(OR(C457="#",C457=0),"",VLOOKUP(C457,'AOP25'!M:M,1,0))),"Not Found",VLOOKUP(C457,'AOP25'!M:M,1,0))</f>
        <v>#N/A</v>
      </c>
      <c r="G457" t="e">
        <f t="shared" si="7"/>
        <v>#N/A</v>
      </c>
    </row>
    <row r="458" spans="1:7" hidden="1" x14ac:dyDescent="0.25">
      <c r="A458">
        <f>BIdetails!G461</f>
        <v>0</v>
      </c>
      <c r="B458">
        <f>BIdetails!H461</f>
        <v>0</v>
      </c>
      <c r="C458">
        <f>BIdetails!J461</f>
        <v>0</v>
      </c>
      <c r="D458">
        <f>BIdetails!K461</f>
        <v>0</v>
      </c>
      <c r="E458" s="165">
        <f>BIdetails!M461</f>
        <v>0</v>
      </c>
      <c r="F458" t="e">
        <f>IF(ISERROR(IF(OR(C458="#",C458=0),"",VLOOKUP(C458,'AOP25'!M:M,1,0))),"Not Found",VLOOKUP(C458,'AOP25'!M:M,1,0))</f>
        <v>#N/A</v>
      </c>
      <c r="G458" t="e">
        <f t="shared" si="7"/>
        <v>#N/A</v>
      </c>
    </row>
    <row r="459" spans="1:7" hidden="1" x14ac:dyDescent="0.25">
      <c r="A459">
        <f>BIdetails!G462</f>
        <v>0</v>
      </c>
      <c r="B459">
        <f>BIdetails!H462</f>
        <v>0</v>
      </c>
      <c r="C459">
        <f>BIdetails!J462</f>
        <v>0</v>
      </c>
      <c r="D459">
        <f>BIdetails!K462</f>
        <v>0</v>
      </c>
      <c r="E459" s="165">
        <f>BIdetails!M462</f>
        <v>0</v>
      </c>
      <c r="F459" t="e">
        <f>IF(ISERROR(IF(OR(C459="#",C459=0),"",VLOOKUP(C459,'AOP25'!M:M,1,0))),"Not Found",VLOOKUP(C459,'AOP25'!M:M,1,0))</f>
        <v>#N/A</v>
      </c>
      <c r="G459" t="e">
        <f t="shared" si="7"/>
        <v>#N/A</v>
      </c>
    </row>
    <row r="460" spans="1:7" hidden="1" x14ac:dyDescent="0.25">
      <c r="A460">
        <f>BIdetails!G463</f>
        <v>0</v>
      </c>
      <c r="B460">
        <f>BIdetails!H463</f>
        <v>0</v>
      </c>
      <c r="C460">
        <f>BIdetails!J463</f>
        <v>0</v>
      </c>
      <c r="D460">
        <f>BIdetails!K463</f>
        <v>0</v>
      </c>
      <c r="E460" s="165">
        <f>BIdetails!M463</f>
        <v>0</v>
      </c>
      <c r="F460" t="e">
        <f>IF(ISERROR(IF(OR(C460="#",C460=0),"",VLOOKUP(C460,'AOP25'!M:M,1,0))),"Not Found",VLOOKUP(C460,'AOP25'!M:M,1,0))</f>
        <v>#N/A</v>
      </c>
      <c r="G460" t="e">
        <f t="shared" si="7"/>
        <v>#N/A</v>
      </c>
    </row>
    <row r="461" spans="1:7" hidden="1" x14ac:dyDescent="0.25">
      <c r="A461">
        <f>BIdetails!G464</f>
        <v>0</v>
      </c>
      <c r="B461">
        <f>BIdetails!H464</f>
        <v>0</v>
      </c>
      <c r="C461">
        <f>BIdetails!J464</f>
        <v>0</v>
      </c>
      <c r="D461">
        <f>BIdetails!K464</f>
        <v>0</v>
      </c>
      <c r="E461" s="165">
        <f>BIdetails!M464</f>
        <v>0</v>
      </c>
      <c r="F461" t="e">
        <f>IF(ISERROR(IF(OR(C461="#",C461=0),"",VLOOKUP(C461,'AOP25'!M:M,1,0))),"Not Found",VLOOKUP(C461,'AOP25'!M:M,1,0))</f>
        <v>#N/A</v>
      </c>
      <c r="G461" t="e">
        <f t="shared" si="7"/>
        <v>#N/A</v>
      </c>
    </row>
    <row r="462" spans="1:7" hidden="1" x14ac:dyDescent="0.25">
      <c r="A462">
        <f>BIdetails!G465</f>
        <v>0</v>
      </c>
      <c r="B462">
        <f>BIdetails!H465</f>
        <v>0</v>
      </c>
      <c r="C462">
        <f>BIdetails!J465</f>
        <v>0</v>
      </c>
      <c r="D462">
        <f>BIdetails!K465</f>
        <v>0</v>
      </c>
      <c r="E462" s="165">
        <f>BIdetails!M465</f>
        <v>0</v>
      </c>
      <c r="F462" t="e">
        <f>IF(ISERROR(IF(OR(C462="#",C462=0),"",VLOOKUP(C462,'AOP25'!M:M,1,0))),"Not Found",VLOOKUP(C462,'AOP25'!M:M,1,0))</f>
        <v>#N/A</v>
      </c>
      <c r="G462" t="e">
        <f t="shared" si="7"/>
        <v>#N/A</v>
      </c>
    </row>
    <row r="463" spans="1:7" hidden="1" x14ac:dyDescent="0.25">
      <c r="A463">
        <f>BIdetails!G466</f>
        <v>0</v>
      </c>
      <c r="B463">
        <f>BIdetails!H466</f>
        <v>0</v>
      </c>
      <c r="C463">
        <f>BIdetails!J466</f>
        <v>0</v>
      </c>
      <c r="D463">
        <f>BIdetails!K466</f>
        <v>0</v>
      </c>
      <c r="E463" s="165">
        <f>BIdetails!M466</f>
        <v>0</v>
      </c>
      <c r="F463" t="e">
        <f>IF(ISERROR(IF(OR(C463="#",C463=0),"",VLOOKUP(C463,'AOP25'!M:M,1,0))),"Not Found",VLOOKUP(C463,'AOP25'!M:M,1,0))</f>
        <v>#N/A</v>
      </c>
      <c r="G463" t="e">
        <f t="shared" si="7"/>
        <v>#N/A</v>
      </c>
    </row>
    <row r="464" spans="1:7" hidden="1" x14ac:dyDescent="0.25">
      <c r="A464">
        <f>BIdetails!G467</f>
        <v>0</v>
      </c>
      <c r="B464">
        <f>BIdetails!H467</f>
        <v>0</v>
      </c>
      <c r="C464">
        <f>BIdetails!J467</f>
        <v>0</v>
      </c>
      <c r="D464">
        <f>BIdetails!K467</f>
        <v>0</v>
      </c>
      <c r="E464" s="165">
        <f>BIdetails!M467</f>
        <v>0</v>
      </c>
      <c r="F464" t="e">
        <f>IF(ISERROR(IF(OR(C464="#",C464=0),"",VLOOKUP(C464,'AOP25'!M:M,1,0))),"Not Found",VLOOKUP(C464,'AOP25'!M:M,1,0))</f>
        <v>#N/A</v>
      </c>
      <c r="G464" t="e">
        <f t="shared" si="7"/>
        <v>#N/A</v>
      </c>
    </row>
    <row r="465" spans="1:7" hidden="1" x14ac:dyDescent="0.25">
      <c r="A465">
        <f>BIdetails!G468</f>
        <v>0</v>
      </c>
      <c r="B465">
        <f>BIdetails!H468</f>
        <v>0</v>
      </c>
      <c r="C465">
        <f>BIdetails!J468</f>
        <v>0</v>
      </c>
      <c r="D465">
        <f>BIdetails!K468</f>
        <v>0</v>
      </c>
      <c r="E465" s="165">
        <f>BIdetails!M468</f>
        <v>0</v>
      </c>
      <c r="F465" t="e">
        <f>IF(ISERROR(IF(OR(C465="#",C465=0),"",VLOOKUP(C465,'AOP25'!M:M,1,0))),"Not Found",VLOOKUP(C465,'AOP25'!M:M,1,0))</f>
        <v>#N/A</v>
      </c>
      <c r="G465" t="e">
        <f t="shared" si="7"/>
        <v>#N/A</v>
      </c>
    </row>
    <row r="466" spans="1:7" hidden="1" x14ac:dyDescent="0.25">
      <c r="A466">
        <f>BIdetails!G469</f>
        <v>0</v>
      </c>
      <c r="B466">
        <f>BIdetails!H469</f>
        <v>0</v>
      </c>
      <c r="C466">
        <f>BIdetails!J469</f>
        <v>0</v>
      </c>
      <c r="D466">
        <f>BIdetails!K469</f>
        <v>0</v>
      </c>
      <c r="E466" s="165">
        <f>BIdetails!M469</f>
        <v>0</v>
      </c>
      <c r="F466" t="e">
        <f>IF(ISERROR(IF(OR(C466="#",C466=0),"",VLOOKUP(C466,'AOP25'!M:M,1,0))),"Not Found",VLOOKUP(C466,'AOP25'!M:M,1,0))</f>
        <v>#N/A</v>
      </c>
      <c r="G466" t="e">
        <f t="shared" si="7"/>
        <v>#N/A</v>
      </c>
    </row>
    <row r="467" spans="1:7" hidden="1" x14ac:dyDescent="0.25">
      <c r="A467">
        <f>BIdetails!G470</f>
        <v>0</v>
      </c>
      <c r="B467">
        <f>BIdetails!H470</f>
        <v>0</v>
      </c>
      <c r="C467">
        <f>BIdetails!J470</f>
        <v>0</v>
      </c>
      <c r="D467">
        <f>BIdetails!K470</f>
        <v>0</v>
      </c>
      <c r="E467" s="165">
        <f>BIdetails!M470</f>
        <v>0</v>
      </c>
      <c r="F467" t="e">
        <f>IF(ISERROR(IF(OR(C467="#",C467=0),"",VLOOKUP(C467,'AOP25'!M:M,1,0))),"Not Found",VLOOKUP(C467,'AOP25'!M:M,1,0))</f>
        <v>#N/A</v>
      </c>
      <c r="G467" t="e">
        <f t="shared" si="7"/>
        <v>#N/A</v>
      </c>
    </row>
    <row r="468" spans="1:7" hidden="1" x14ac:dyDescent="0.25">
      <c r="A468">
        <f>BIdetails!G471</f>
        <v>0</v>
      </c>
      <c r="B468">
        <f>BIdetails!H471</f>
        <v>0</v>
      </c>
      <c r="C468">
        <f>BIdetails!J471</f>
        <v>0</v>
      </c>
      <c r="D468">
        <f>BIdetails!K471</f>
        <v>0</v>
      </c>
      <c r="E468" s="165">
        <f>BIdetails!M471</f>
        <v>0</v>
      </c>
      <c r="F468" t="e">
        <f>IF(ISERROR(IF(OR(C468="#",C468=0),"",VLOOKUP(C468,'AOP25'!M:M,1,0))),"Not Found",VLOOKUP(C468,'AOP25'!M:M,1,0))</f>
        <v>#N/A</v>
      </c>
      <c r="G468" t="e">
        <f t="shared" si="7"/>
        <v>#N/A</v>
      </c>
    </row>
    <row r="469" spans="1:7" hidden="1" x14ac:dyDescent="0.25">
      <c r="A469">
        <f>BIdetails!G472</f>
        <v>0</v>
      </c>
      <c r="B469">
        <f>BIdetails!H472</f>
        <v>0</v>
      </c>
      <c r="C469">
        <f>BIdetails!J472</f>
        <v>0</v>
      </c>
      <c r="D469">
        <f>BIdetails!K472</f>
        <v>0</v>
      </c>
      <c r="E469" s="165">
        <f>BIdetails!M472</f>
        <v>0</v>
      </c>
      <c r="F469" t="e">
        <f>IF(ISERROR(IF(OR(C469="#",C469=0),"",VLOOKUP(C469,'AOP25'!M:M,1,0))),"Not Found",VLOOKUP(C469,'AOP25'!M:M,1,0))</f>
        <v>#N/A</v>
      </c>
      <c r="G469" t="e">
        <f t="shared" si="7"/>
        <v>#N/A</v>
      </c>
    </row>
    <row r="470" spans="1:7" hidden="1" x14ac:dyDescent="0.25">
      <c r="A470">
        <f>BIdetails!G473</f>
        <v>0</v>
      </c>
      <c r="B470">
        <f>BIdetails!H473</f>
        <v>0</v>
      </c>
      <c r="C470">
        <f>BIdetails!J473</f>
        <v>0</v>
      </c>
      <c r="D470">
        <f>BIdetails!K473</f>
        <v>0</v>
      </c>
      <c r="E470" s="165">
        <f>BIdetails!M473</f>
        <v>0</v>
      </c>
      <c r="F470" t="e">
        <f>IF(ISERROR(IF(OR(C470="#",C470=0),"",VLOOKUP(C470,'AOP25'!M:M,1,0))),"Not Found",VLOOKUP(C470,'AOP25'!M:M,1,0))</f>
        <v>#N/A</v>
      </c>
      <c r="G470" t="e">
        <f t="shared" si="7"/>
        <v>#N/A</v>
      </c>
    </row>
    <row r="471" spans="1:7" hidden="1" x14ac:dyDescent="0.25">
      <c r="A471">
        <f>BIdetails!G474</f>
        <v>0</v>
      </c>
      <c r="B471">
        <f>BIdetails!H474</f>
        <v>0</v>
      </c>
      <c r="C471">
        <f>BIdetails!J474</f>
        <v>0</v>
      </c>
      <c r="D471">
        <f>BIdetails!K474</f>
        <v>0</v>
      </c>
      <c r="E471" s="165">
        <f>BIdetails!M474</f>
        <v>0</v>
      </c>
      <c r="F471" t="e">
        <f>IF(ISERROR(IF(OR(C471="#",C471=0),"",VLOOKUP(C471,'AOP25'!M:M,1,0))),"Not Found",VLOOKUP(C471,'AOP25'!M:M,1,0))</f>
        <v>#N/A</v>
      </c>
      <c r="G471" t="e">
        <f t="shared" si="7"/>
        <v>#N/A</v>
      </c>
    </row>
    <row r="472" spans="1:7" hidden="1" x14ac:dyDescent="0.25">
      <c r="A472">
        <f>BIdetails!G475</f>
        <v>0</v>
      </c>
      <c r="B472">
        <f>BIdetails!H475</f>
        <v>0</v>
      </c>
      <c r="C472">
        <f>BIdetails!J475</f>
        <v>0</v>
      </c>
      <c r="D472">
        <f>BIdetails!K475</f>
        <v>0</v>
      </c>
      <c r="E472" s="165">
        <f>BIdetails!M475</f>
        <v>0</v>
      </c>
      <c r="F472" t="e">
        <f>IF(ISERROR(IF(OR(C472="#",C472=0),"",VLOOKUP(C472,'AOP25'!M:M,1,0))),"Not Found",VLOOKUP(C472,'AOP25'!M:M,1,0))</f>
        <v>#N/A</v>
      </c>
      <c r="G472" t="e">
        <f t="shared" si="7"/>
        <v>#N/A</v>
      </c>
    </row>
    <row r="473" spans="1:7" hidden="1" x14ac:dyDescent="0.25">
      <c r="A473">
        <f>BIdetails!G476</f>
        <v>0</v>
      </c>
      <c r="B473">
        <f>BIdetails!H476</f>
        <v>0</v>
      </c>
      <c r="C473">
        <f>BIdetails!J476</f>
        <v>0</v>
      </c>
      <c r="D473">
        <f>BIdetails!K476</f>
        <v>0</v>
      </c>
      <c r="E473" s="165">
        <f>BIdetails!M476</f>
        <v>0</v>
      </c>
      <c r="F473" t="e">
        <f>IF(ISERROR(IF(OR(C473="#",C473=0),"",VLOOKUP(C473,'AOP25'!M:M,1,0))),"Not Found",VLOOKUP(C473,'AOP25'!M:M,1,0))</f>
        <v>#N/A</v>
      </c>
      <c r="G473" t="e">
        <f t="shared" si="7"/>
        <v>#N/A</v>
      </c>
    </row>
    <row r="474" spans="1:7" hidden="1" x14ac:dyDescent="0.25">
      <c r="A474">
        <f>BIdetails!G477</f>
        <v>0</v>
      </c>
      <c r="B474">
        <f>BIdetails!H477</f>
        <v>0</v>
      </c>
      <c r="C474">
        <f>BIdetails!J477</f>
        <v>0</v>
      </c>
      <c r="D474">
        <f>BIdetails!K477</f>
        <v>0</v>
      </c>
      <c r="E474" s="165">
        <f>BIdetails!M477</f>
        <v>0</v>
      </c>
      <c r="F474" t="e">
        <f>IF(ISERROR(IF(OR(C474="#",C474=0),"",VLOOKUP(C474,'AOP25'!M:M,1,0))),"Not Found",VLOOKUP(C474,'AOP25'!M:M,1,0))</f>
        <v>#N/A</v>
      </c>
      <c r="G474" t="e">
        <f t="shared" si="7"/>
        <v>#N/A</v>
      </c>
    </row>
    <row r="475" spans="1:7" x14ac:dyDescent="0.25">
      <c r="A475">
        <f>BIdetails!G478</f>
        <v>0</v>
      </c>
      <c r="B475">
        <f>BIdetails!H478</f>
        <v>0</v>
      </c>
      <c r="C475">
        <f>BIdetails!J478</f>
        <v>0</v>
      </c>
      <c r="D475">
        <f>BIdetails!K478</f>
        <v>0</v>
      </c>
      <c r="E475" s="165">
        <f>BIdetails!M478</f>
        <v>0</v>
      </c>
      <c r="F475" t="e">
        <f>IF(ISERROR(IF(OR(C475="#",C475=0),"",VLOOKUP(C475,'AOP25'!M:M,1,0))),"Not Found",VLOOKUP(C475,'AOP25'!M:M,1,0))</f>
        <v>#N/A</v>
      </c>
      <c r="G475" t="e">
        <f t="shared" si="7"/>
        <v>#N/A</v>
      </c>
    </row>
    <row r="476" spans="1:7" x14ac:dyDescent="0.25">
      <c r="A476">
        <f>BIdetails!G479</f>
        <v>0</v>
      </c>
      <c r="B476">
        <f>BIdetails!H479</f>
        <v>0</v>
      </c>
      <c r="C476">
        <f>BIdetails!J479</f>
        <v>0</v>
      </c>
      <c r="D476">
        <f>BIdetails!K479</f>
        <v>0</v>
      </c>
      <c r="E476" s="165">
        <f>BIdetails!M479</f>
        <v>0</v>
      </c>
      <c r="F476" t="e">
        <f>IF(ISERROR(IF(OR(C476="#",C476=0),"",VLOOKUP(C476,'AOP25'!M:M,1,0))),"Not Found",VLOOKUP(C476,'AOP25'!M:M,1,0))</f>
        <v>#N/A</v>
      </c>
      <c r="G476" t="e">
        <f t="shared" si="7"/>
        <v>#N/A</v>
      </c>
    </row>
    <row r="477" spans="1:7" hidden="1" x14ac:dyDescent="0.25">
      <c r="A477">
        <f>BIdetails!G480</f>
        <v>0</v>
      </c>
      <c r="B477">
        <f>BIdetails!H480</f>
        <v>0</v>
      </c>
      <c r="C477">
        <f>BIdetails!J480</f>
        <v>0</v>
      </c>
      <c r="D477">
        <f>BIdetails!K480</f>
        <v>0</v>
      </c>
      <c r="E477" s="165">
        <f>BIdetails!M480</f>
        <v>0</v>
      </c>
      <c r="F477" t="e">
        <f>IF(ISERROR(IF(OR(C477="#",C477=0),"",VLOOKUP(C477,'AOP25'!M:M,1,0))),"Not Found",VLOOKUP(C477,'AOP25'!M:M,1,0))</f>
        <v>#N/A</v>
      </c>
      <c r="G477" t="e">
        <f t="shared" si="7"/>
        <v>#N/A</v>
      </c>
    </row>
    <row r="478" spans="1:7" x14ac:dyDescent="0.25">
      <c r="A478">
        <f>BIdetails!G481</f>
        <v>0</v>
      </c>
      <c r="B478">
        <f>BIdetails!H481</f>
        <v>0</v>
      </c>
      <c r="C478">
        <f>BIdetails!J481</f>
        <v>0</v>
      </c>
      <c r="D478">
        <f>BIdetails!K481</f>
        <v>0</v>
      </c>
      <c r="E478" s="165">
        <f>BIdetails!M481</f>
        <v>0</v>
      </c>
      <c r="F478" t="e">
        <f>IF(ISERROR(IF(OR(C478="#",C478=0),"",VLOOKUP(C478,'AOP25'!M:M,1,0))),"Not Found",VLOOKUP(C478,'AOP25'!M:M,1,0))</f>
        <v>#N/A</v>
      </c>
      <c r="G478" t="e">
        <f t="shared" si="7"/>
        <v>#N/A</v>
      </c>
    </row>
    <row r="479" spans="1:7" x14ac:dyDescent="0.25">
      <c r="A479">
        <f>BIdetails!G482</f>
        <v>0</v>
      </c>
      <c r="B479">
        <f>BIdetails!H482</f>
        <v>0</v>
      </c>
      <c r="C479">
        <f>BIdetails!J482</f>
        <v>0</v>
      </c>
      <c r="D479">
        <f>BIdetails!K482</f>
        <v>0</v>
      </c>
      <c r="E479" s="165">
        <f>BIdetails!M482</f>
        <v>0</v>
      </c>
      <c r="F479" t="e">
        <f>IF(ISERROR(IF(OR(C479="#",C479=0),"",VLOOKUP(C479,'AOP25'!M:M,1,0))),"Not Found",VLOOKUP(C479,'AOP25'!M:M,1,0))</f>
        <v>#N/A</v>
      </c>
      <c r="G479" t="e">
        <f t="shared" si="7"/>
        <v>#N/A</v>
      </c>
    </row>
    <row r="480" spans="1:7" hidden="1" x14ac:dyDescent="0.25">
      <c r="A480">
        <f>BIdetails!G483</f>
        <v>0</v>
      </c>
      <c r="B480">
        <f>BIdetails!H483</f>
        <v>0</v>
      </c>
      <c r="C480">
        <f>BIdetails!J483</f>
        <v>0</v>
      </c>
      <c r="D480">
        <f>BIdetails!K483</f>
        <v>0</v>
      </c>
      <c r="E480" s="165">
        <f>BIdetails!M483</f>
        <v>0</v>
      </c>
      <c r="F480" t="e">
        <f>IF(ISERROR(IF(OR(C480="#",C480=0),"",VLOOKUP(C480,'AOP25'!M:M,1,0))),"Not Found",VLOOKUP(C480,'AOP25'!M:M,1,0))</f>
        <v>#N/A</v>
      </c>
      <c r="G480" t="e">
        <f t="shared" si="7"/>
        <v>#N/A</v>
      </c>
    </row>
    <row r="481" spans="1:7" x14ac:dyDescent="0.25">
      <c r="A481">
        <f>BIdetails!G484</f>
        <v>0</v>
      </c>
      <c r="B481">
        <f>BIdetails!H484</f>
        <v>0</v>
      </c>
      <c r="C481">
        <f>BIdetails!J484</f>
        <v>0</v>
      </c>
      <c r="D481">
        <f>BIdetails!K484</f>
        <v>0</v>
      </c>
      <c r="E481" s="165">
        <f>BIdetails!M484</f>
        <v>0</v>
      </c>
      <c r="F481" t="e">
        <f>IF(ISERROR(IF(OR(C481="#",C481=0),"",VLOOKUP(C481,'AOP25'!M:M,1,0))),"Not Found",VLOOKUP(C481,'AOP25'!M:M,1,0))</f>
        <v>#N/A</v>
      </c>
      <c r="G481" t="e">
        <f t="shared" si="7"/>
        <v>#N/A</v>
      </c>
    </row>
    <row r="482" spans="1:7" hidden="1" x14ac:dyDescent="0.25">
      <c r="A482">
        <f>BIdetails!G485</f>
        <v>0</v>
      </c>
      <c r="B482">
        <f>BIdetails!H485</f>
        <v>0</v>
      </c>
      <c r="C482">
        <f>BIdetails!J485</f>
        <v>0</v>
      </c>
      <c r="D482">
        <f>BIdetails!K485</f>
        <v>0</v>
      </c>
      <c r="E482" s="165">
        <f>BIdetails!M485</f>
        <v>0</v>
      </c>
      <c r="F482" t="e">
        <f>IF(ISERROR(IF(OR(C482="#",C482=0),"",VLOOKUP(C482,'AOP25'!M:M,1,0))),"Not Found",VLOOKUP(C482,'AOP25'!M:M,1,0))</f>
        <v>#N/A</v>
      </c>
      <c r="G482" t="e">
        <f t="shared" si="7"/>
        <v>#N/A</v>
      </c>
    </row>
    <row r="483" spans="1:7" hidden="1" x14ac:dyDescent="0.25">
      <c r="A483">
        <f>BIdetails!G486</f>
        <v>0</v>
      </c>
      <c r="B483">
        <f>BIdetails!H486</f>
        <v>0</v>
      </c>
      <c r="C483">
        <f>BIdetails!J486</f>
        <v>0</v>
      </c>
      <c r="D483">
        <f>BIdetails!K486</f>
        <v>0</v>
      </c>
      <c r="E483" s="165">
        <f>BIdetails!M486</f>
        <v>0</v>
      </c>
      <c r="F483" t="e">
        <f>IF(ISERROR(IF(OR(C483="#",C483=0),"",VLOOKUP(C483,'AOP25'!M:M,1,0))),"Not Found",VLOOKUP(C483,'AOP25'!M:M,1,0))</f>
        <v>#N/A</v>
      </c>
      <c r="G483" t="e">
        <f t="shared" si="7"/>
        <v>#N/A</v>
      </c>
    </row>
    <row r="484" spans="1:7" hidden="1" x14ac:dyDescent="0.25">
      <c r="A484">
        <f>BIdetails!G487</f>
        <v>0</v>
      </c>
      <c r="B484">
        <f>BIdetails!H487</f>
        <v>0</v>
      </c>
      <c r="C484">
        <f>BIdetails!J487</f>
        <v>0</v>
      </c>
      <c r="D484">
        <f>BIdetails!K487</f>
        <v>0</v>
      </c>
      <c r="E484" s="165">
        <f>BIdetails!M487</f>
        <v>0</v>
      </c>
      <c r="F484" t="e">
        <f>IF(ISERROR(IF(OR(C484="#",C484=0),"",VLOOKUP(C484,'AOP25'!M:M,1,0))),"Not Found",VLOOKUP(C484,'AOP25'!M:M,1,0))</f>
        <v>#N/A</v>
      </c>
      <c r="G484" t="e">
        <f t="shared" si="7"/>
        <v>#N/A</v>
      </c>
    </row>
    <row r="485" spans="1:7" hidden="1" x14ac:dyDescent="0.25">
      <c r="A485">
        <f>BIdetails!G488</f>
        <v>0</v>
      </c>
      <c r="B485">
        <f>BIdetails!H488</f>
        <v>0</v>
      </c>
      <c r="C485">
        <f>BIdetails!J488</f>
        <v>0</v>
      </c>
      <c r="D485">
        <f>BIdetails!K488</f>
        <v>0</v>
      </c>
      <c r="E485" s="165">
        <f>BIdetails!M488</f>
        <v>0</v>
      </c>
      <c r="F485" t="e">
        <f>IF(ISERROR(IF(OR(C485="#",C485=0),"",VLOOKUP(C485,'AOP25'!M:M,1,0))),"Not Found",VLOOKUP(C485,'AOP25'!M:M,1,0))</f>
        <v>#N/A</v>
      </c>
      <c r="G485" t="e">
        <f t="shared" si="7"/>
        <v>#N/A</v>
      </c>
    </row>
    <row r="486" spans="1:7" hidden="1" x14ac:dyDescent="0.25">
      <c r="A486">
        <f>BIdetails!G489</f>
        <v>0</v>
      </c>
      <c r="B486">
        <f>BIdetails!H489</f>
        <v>0</v>
      </c>
      <c r="C486">
        <f>BIdetails!J489</f>
        <v>0</v>
      </c>
      <c r="D486">
        <f>BIdetails!K489</f>
        <v>0</v>
      </c>
      <c r="E486" s="165">
        <f>BIdetails!M489</f>
        <v>0</v>
      </c>
      <c r="F486" t="e">
        <f>IF(ISERROR(IF(OR(C486="#",C486=0),"",VLOOKUP(C486,'AOP25'!M:M,1,0))),"Not Found",VLOOKUP(C486,'AOP25'!M:M,1,0))</f>
        <v>#N/A</v>
      </c>
      <c r="G486" t="e">
        <f t="shared" si="7"/>
        <v>#N/A</v>
      </c>
    </row>
    <row r="487" spans="1:7" hidden="1" x14ac:dyDescent="0.25">
      <c r="A487">
        <f>BIdetails!G490</f>
        <v>0</v>
      </c>
      <c r="B487">
        <f>BIdetails!H490</f>
        <v>0</v>
      </c>
      <c r="C487">
        <f>BIdetails!J490</f>
        <v>0</v>
      </c>
      <c r="D487">
        <f>BIdetails!K490</f>
        <v>0</v>
      </c>
      <c r="E487" s="165">
        <f>BIdetails!M490</f>
        <v>0</v>
      </c>
      <c r="F487" t="e">
        <f>IF(ISERROR(IF(OR(C487="#",C487=0),"",VLOOKUP(C487,'AOP25'!M:M,1,0))),"Not Found",VLOOKUP(C487,'AOP25'!M:M,1,0))</f>
        <v>#N/A</v>
      </c>
      <c r="G487" t="e">
        <f t="shared" si="7"/>
        <v>#N/A</v>
      </c>
    </row>
    <row r="488" spans="1:7" hidden="1" x14ac:dyDescent="0.25">
      <c r="A488">
        <f>BIdetails!G491</f>
        <v>0</v>
      </c>
      <c r="B488">
        <f>BIdetails!H491</f>
        <v>0</v>
      </c>
      <c r="C488">
        <f>BIdetails!J491</f>
        <v>0</v>
      </c>
      <c r="D488">
        <f>BIdetails!K491</f>
        <v>0</v>
      </c>
      <c r="E488" s="165">
        <f>BIdetails!M491</f>
        <v>0</v>
      </c>
      <c r="F488" t="e">
        <f>IF(ISERROR(IF(OR(C488="#",C488=0),"",VLOOKUP(C488,'AOP25'!M:M,1,0))),"Not Found",VLOOKUP(C488,'AOP25'!M:M,1,0))</f>
        <v>#N/A</v>
      </c>
      <c r="G488" t="e">
        <f t="shared" si="7"/>
        <v>#N/A</v>
      </c>
    </row>
    <row r="489" spans="1:7" hidden="1" x14ac:dyDescent="0.25">
      <c r="A489">
        <f>BIdetails!G492</f>
        <v>0</v>
      </c>
      <c r="B489">
        <f>BIdetails!H492</f>
        <v>0</v>
      </c>
      <c r="C489">
        <f>BIdetails!J492</f>
        <v>0</v>
      </c>
      <c r="D489">
        <f>BIdetails!K492</f>
        <v>0</v>
      </c>
      <c r="E489" s="165">
        <f>BIdetails!M492</f>
        <v>0</v>
      </c>
      <c r="F489" t="e">
        <f>IF(ISERROR(IF(OR(C489="#",C489=0),"",VLOOKUP(C489,'AOP25'!M:M,1,0))),"Not Found",VLOOKUP(C489,'AOP25'!M:M,1,0))</f>
        <v>#N/A</v>
      </c>
      <c r="G489" t="e">
        <f t="shared" si="7"/>
        <v>#N/A</v>
      </c>
    </row>
    <row r="490" spans="1:7" hidden="1" x14ac:dyDescent="0.25">
      <c r="A490">
        <f>BIdetails!G493</f>
        <v>0</v>
      </c>
      <c r="B490">
        <f>BIdetails!H493</f>
        <v>0</v>
      </c>
      <c r="C490">
        <f>BIdetails!J493</f>
        <v>0</v>
      </c>
      <c r="D490">
        <f>BIdetails!K493</f>
        <v>0</v>
      </c>
      <c r="E490" s="165">
        <f>BIdetails!M493</f>
        <v>0</v>
      </c>
      <c r="F490" t="e">
        <f>IF(ISERROR(IF(OR(C490="#",C490=0),"",VLOOKUP(C490,'AOP25'!M:M,1,0))),"Not Found",VLOOKUP(C490,'AOP25'!M:M,1,0))</f>
        <v>#N/A</v>
      </c>
      <c r="G490" t="e">
        <f t="shared" si="7"/>
        <v>#N/A</v>
      </c>
    </row>
    <row r="491" spans="1:7" hidden="1" x14ac:dyDescent="0.25">
      <c r="A491">
        <f>BIdetails!G494</f>
        <v>0</v>
      </c>
      <c r="B491">
        <f>BIdetails!H494</f>
        <v>0</v>
      </c>
      <c r="C491">
        <f>BIdetails!J494</f>
        <v>0</v>
      </c>
      <c r="D491">
        <f>BIdetails!K494</f>
        <v>0</v>
      </c>
      <c r="E491" s="165">
        <f>BIdetails!M494</f>
        <v>0</v>
      </c>
      <c r="F491" t="e">
        <f>IF(ISERROR(IF(OR(C491="#",C491=0),"",VLOOKUP(C491,'AOP25'!M:M,1,0))),"Not Found",VLOOKUP(C491,'AOP25'!M:M,1,0))</f>
        <v>#N/A</v>
      </c>
      <c r="G491" t="e">
        <f t="shared" si="7"/>
        <v>#N/A</v>
      </c>
    </row>
    <row r="492" spans="1:7" hidden="1" x14ac:dyDescent="0.25">
      <c r="A492">
        <f>BIdetails!G495</f>
        <v>0</v>
      </c>
      <c r="B492">
        <f>BIdetails!H495</f>
        <v>0</v>
      </c>
      <c r="C492">
        <f>BIdetails!J495</f>
        <v>0</v>
      </c>
      <c r="D492">
        <f>BIdetails!K495</f>
        <v>0</v>
      </c>
      <c r="E492" s="165">
        <f>BIdetails!M495</f>
        <v>0</v>
      </c>
      <c r="F492" t="e">
        <f>IF(ISERROR(IF(OR(C492="#",C492=0),"",VLOOKUP(C492,'AOP25'!M:M,1,0))),"Not Found",VLOOKUP(C492,'AOP25'!M:M,1,0))</f>
        <v>#N/A</v>
      </c>
      <c r="G492" t="e">
        <f t="shared" si="7"/>
        <v>#N/A</v>
      </c>
    </row>
    <row r="493" spans="1:7" hidden="1" x14ac:dyDescent="0.25">
      <c r="A493">
        <f>BIdetails!G496</f>
        <v>0</v>
      </c>
      <c r="B493">
        <f>BIdetails!H496</f>
        <v>0</v>
      </c>
      <c r="C493">
        <f>BIdetails!J496</f>
        <v>0</v>
      </c>
      <c r="D493">
        <f>BIdetails!K496</f>
        <v>0</v>
      </c>
      <c r="E493" s="165">
        <f>BIdetails!M496</f>
        <v>0</v>
      </c>
      <c r="F493" t="e">
        <f>IF(ISERROR(IF(OR(C493="#",C493=0),"",VLOOKUP(C493,'AOP25'!M:M,1,0))),"Not Found",VLOOKUP(C493,'AOP25'!M:M,1,0))</f>
        <v>#N/A</v>
      </c>
      <c r="G493" t="e">
        <f t="shared" si="7"/>
        <v>#N/A</v>
      </c>
    </row>
    <row r="494" spans="1:7" hidden="1" x14ac:dyDescent="0.25">
      <c r="A494">
        <f>BIdetails!G497</f>
        <v>0</v>
      </c>
      <c r="B494">
        <f>BIdetails!H497</f>
        <v>0</v>
      </c>
      <c r="C494">
        <f>BIdetails!J497</f>
        <v>0</v>
      </c>
      <c r="D494">
        <f>BIdetails!K497</f>
        <v>0</v>
      </c>
      <c r="E494" s="165">
        <f>BIdetails!M497</f>
        <v>0</v>
      </c>
      <c r="F494" t="e">
        <f>IF(ISERROR(IF(OR(C494="#",C494=0),"",VLOOKUP(C494,'AOP25'!M:M,1,0))),"Not Found",VLOOKUP(C494,'AOP25'!M:M,1,0))</f>
        <v>#N/A</v>
      </c>
      <c r="G494" t="e">
        <f t="shared" si="7"/>
        <v>#N/A</v>
      </c>
    </row>
    <row r="495" spans="1:7" hidden="1" x14ac:dyDescent="0.25">
      <c r="A495">
        <f>BIdetails!G498</f>
        <v>0</v>
      </c>
      <c r="B495">
        <f>BIdetails!H498</f>
        <v>0</v>
      </c>
      <c r="C495">
        <f>BIdetails!J498</f>
        <v>0</v>
      </c>
      <c r="D495">
        <f>BIdetails!K498</f>
        <v>0</v>
      </c>
      <c r="E495" s="165">
        <f>BIdetails!M498</f>
        <v>0</v>
      </c>
      <c r="F495" t="e">
        <f>IF(ISERROR(IF(OR(C495="#",C495=0),"",VLOOKUP(C495,'AOP25'!M:M,1,0))),"Not Found",VLOOKUP(C495,'AOP25'!M:M,1,0))</f>
        <v>#N/A</v>
      </c>
      <c r="G495" t="e">
        <f t="shared" si="7"/>
        <v>#N/A</v>
      </c>
    </row>
    <row r="496" spans="1:7" hidden="1" x14ac:dyDescent="0.25">
      <c r="A496">
        <f>BIdetails!G499</f>
        <v>0</v>
      </c>
      <c r="B496">
        <f>BIdetails!H499</f>
        <v>0</v>
      </c>
      <c r="C496">
        <f>BIdetails!J499</f>
        <v>0</v>
      </c>
      <c r="D496">
        <f>BIdetails!K499</f>
        <v>0</v>
      </c>
      <c r="E496" s="165">
        <f>BIdetails!M499</f>
        <v>0</v>
      </c>
      <c r="F496" t="e">
        <f>IF(ISERROR(IF(OR(C496="#",C496=0),"",VLOOKUP(C496,'AOP25'!M:M,1,0))),"Not Found",VLOOKUP(C496,'AOP25'!M:M,1,0))</f>
        <v>#N/A</v>
      </c>
      <c r="G496" t="e">
        <f t="shared" si="7"/>
        <v>#N/A</v>
      </c>
    </row>
    <row r="497" spans="1:7" hidden="1" x14ac:dyDescent="0.25">
      <c r="A497">
        <f>BIdetails!G500</f>
        <v>0</v>
      </c>
      <c r="B497">
        <f>BIdetails!H500</f>
        <v>0</v>
      </c>
      <c r="C497">
        <f>BIdetails!J500</f>
        <v>0</v>
      </c>
      <c r="D497">
        <f>BIdetails!K500</f>
        <v>0</v>
      </c>
      <c r="E497" s="165">
        <f>BIdetails!M500</f>
        <v>0</v>
      </c>
      <c r="F497" t="e">
        <f>IF(ISERROR(IF(OR(C497="#",C497=0),"",VLOOKUP(C497,'AOP25'!M:M,1,0))),"Not Found",VLOOKUP(C497,'AOP25'!M:M,1,0))</f>
        <v>#N/A</v>
      </c>
      <c r="G497" t="e">
        <f t="shared" si="7"/>
        <v>#N/A</v>
      </c>
    </row>
    <row r="498" spans="1:7" hidden="1" x14ac:dyDescent="0.25">
      <c r="A498">
        <f>BIdetails!G501</f>
        <v>0</v>
      </c>
      <c r="B498">
        <f>BIdetails!H501</f>
        <v>0</v>
      </c>
      <c r="C498">
        <f>BIdetails!J501</f>
        <v>0</v>
      </c>
      <c r="D498">
        <f>BIdetails!K501</f>
        <v>0</v>
      </c>
      <c r="E498" s="165">
        <f>BIdetails!M501</f>
        <v>0</v>
      </c>
      <c r="F498" t="e">
        <f>IF(ISERROR(IF(OR(C498="#",C498=0),"",VLOOKUP(C498,'AOP25'!M:M,1,0))),"Not Found",VLOOKUP(C498,'AOP25'!M:M,1,0))</f>
        <v>#N/A</v>
      </c>
      <c r="G498" t="e">
        <f t="shared" si="7"/>
        <v>#N/A</v>
      </c>
    </row>
    <row r="499" spans="1:7" hidden="1" x14ac:dyDescent="0.25">
      <c r="A499">
        <f>BIdetails!G502</f>
        <v>0</v>
      </c>
      <c r="B499">
        <f>BIdetails!H502</f>
        <v>0</v>
      </c>
      <c r="C499">
        <f>BIdetails!J502</f>
        <v>0</v>
      </c>
      <c r="D499">
        <f>BIdetails!K502</f>
        <v>0</v>
      </c>
      <c r="E499" s="165">
        <f>BIdetails!M502</f>
        <v>0</v>
      </c>
      <c r="F499" t="e">
        <f>IF(ISERROR(IF(OR(C499="#",C499=0),"",VLOOKUP(C499,'AOP25'!M:M,1,0))),"Not Found",VLOOKUP(C499,'AOP25'!M:M,1,0))</f>
        <v>#N/A</v>
      </c>
      <c r="G499" t="e">
        <f t="shared" si="7"/>
        <v>#N/A</v>
      </c>
    </row>
    <row r="500" spans="1:7" hidden="1" x14ac:dyDescent="0.25">
      <c r="A500">
        <f>BIdetails!G503</f>
        <v>0</v>
      </c>
      <c r="B500">
        <f>BIdetails!H503</f>
        <v>0</v>
      </c>
      <c r="C500">
        <f>BIdetails!J503</f>
        <v>0</v>
      </c>
      <c r="D500">
        <f>BIdetails!K503</f>
        <v>0</v>
      </c>
      <c r="E500" s="165">
        <f>BIdetails!M503</f>
        <v>0</v>
      </c>
      <c r="F500" t="e">
        <f>IF(ISERROR(IF(OR(C500="#",C500=0),"",VLOOKUP(C500,'AOP25'!M:M,1,0))),"Not Found",VLOOKUP(C500,'AOP25'!M:M,1,0))</f>
        <v>#N/A</v>
      </c>
      <c r="G500" t="e">
        <f t="shared" si="7"/>
        <v>#N/A</v>
      </c>
    </row>
    <row r="501" spans="1:7" hidden="1" x14ac:dyDescent="0.25">
      <c r="A501">
        <f>BIdetails!G504</f>
        <v>0</v>
      </c>
      <c r="B501">
        <f>BIdetails!H504</f>
        <v>0</v>
      </c>
      <c r="C501">
        <f>BIdetails!J504</f>
        <v>0</v>
      </c>
      <c r="D501">
        <f>BIdetails!K504</f>
        <v>0</v>
      </c>
      <c r="E501" s="165">
        <f>BIdetails!M504</f>
        <v>0</v>
      </c>
      <c r="F501" t="e">
        <f>IF(ISERROR(IF(OR(C501="#",C501=0),"",VLOOKUP(C501,'AOP25'!M:M,1,0))),"Not Found",VLOOKUP(C501,'AOP25'!M:M,1,0))</f>
        <v>#N/A</v>
      </c>
      <c r="G501" t="e">
        <f>IF(NOT(ISERROR(VLOOKUP(C501,$K$2:$K$50,1,0))),"Y",VLOOKUP(C501,$K$2:$K$50,1,0))</f>
        <v>#N/A</v>
      </c>
    </row>
    <row r="502" spans="1:7" hidden="1" x14ac:dyDescent="0.25">
      <c r="A502">
        <f>BIdetails!G505</f>
        <v>0</v>
      </c>
      <c r="B502">
        <f>BIdetails!H505</f>
        <v>0</v>
      </c>
      <c r="C502">
        <f>BIdetails!J505</f>
        <v>0</v>
      </c>
      <c r="D502">
        <f>BIdetails!K505</f>
        <v>0</v>
      </c>
      <c r="E502" s="165">
        <f>BIdetails!M505</f>
        <v>0</v>
      </c>
      <c r="F502" t="e">
        <f>IF(ISERROR(IF(OR(C502="#",C502=0),"",VLOOKUP(C502,'AOP25'!M:M,1,0))),"Not Found",VLOOKUP(C502,'AOP25'!M:M,1,0))</f>
        <v>#N/A</v>
      </c>
      <c r="G502" t="e">
        <f>IF(NOT(ISERROR(VLOOKUP(C502,$K$2:$K$50,1,0))),"Y",VLOOKUP(C502,$K$2:$K$50,1,0))</f>
        <v>#N/A</v>
      </c>
    </row>
    <row r="503" spans="1:7" hidden="1" x14ac:dyDescent="0.25">
      <c r="A503">
        <f>BIdetails!G506</f>
        <v>0</v>
      </c>
      <c r="B503">
        <f>BIdetails!H506</f>
        <v>0</v>
      </c>
      <c r="C503">
        <f>BIdetails!J506</f>
        <v>0</v>
      </c>
      <c r="D503">
        <f>BIdetails!K506</f>
        <v>0</v>
      </c>
      <c r="E503" s="165">
        <f>BIdetails!M506</f>
        <v>0</v>
      </c>
      <c r="F503" t="e">
        <f>IF(ISERROR(IF(OR(C503="#",C503=0),"",VLOOKUP(C503,'AOP25'!M:M,1,0))),"Not Found",VLOOKUP(C503,'AOP25'!M:M,1,0))</f>
        <v>#N/A</v>
      </c>
      <c r="G503" t="e">
        <f>IF(NOT(ISERROR(VLOOKUP(C503,$K$2:$K$50,1,0))),"Y",VLOOKUP(C503,$K$2:$K$50,1,0))</f>
        <v>#N/A</v>
      </c>
    </row>
    <row r="504" spans="1:7" hidden="1" x14ac:dyDescent="0.25">
      <c r="A504">
        <f>BIdetails!G507</f>
        <v>0</v>
      </c>
      <c r="B504">
        <f>BIdetails!H507</f>
        <v>0</v>
      </c>
      <c r="C504">
        <f>BIdetails!J507</f>
        <v>0</v>
      </c>
      <c r="D504">
        <f>BIdetails!K507</f>
        <v>0</v>
      </c>
      <c r="E504" s="165">
        <f>BIdetails!M507</f>
        <v>0</v>
      </c>
      <c r="F504" t="e">
        <f>IF(ISERROR(IF(OR(C504="#",C504=0),"",VLOOKUP(C504,'AOP25'!M:M,1,0))),"Not Found",VLOOKUP(C504,'AOP25'!M:M,1,0))</f>
        <v>#N/A</v>
      </c>
      <c r="G504" t="e">
        <f>IF(NOT(ISERROR(VLOOKUP(C504,$K$2:$K$50,1,0))),"Y",VLOOKUP(C504,$K$2:$K$50,1,0))</f>
        <v>#N/A</v>
      </c>
    </row>
    <row r="505" spans="1:7" hidden="1" x14ac:dyDescent="0.25">
      <c r="A505">
        <f>BIdetails!G508</f>
        <v>0</v>
      </c>
      <c r="B505">
        <f>BIdetails!H508</f>
        <v>0</v>
      </c>
      <c r="C505">
        <f>BIdetails!J508</f>
        <v>0</v>
      </c>
      <c r="D505">
        <f>BIdetails!K508</f>
        <v>0</v>
      </c>
      <c r="E505" s="165">
        <f>BIdetails!M508</f>
        <v>0</v>
      </c>
      <c r="F505" t="e">
        <f>IF(ISERROR(IF(OR(C505="#",C505=0),"",VLOOKUP(C505,'AOP25'!M:M,1,0))),"Not Found",VLOOKUP(C505,'AOP25'!M:M,1,0))</f>
        <v>#N/A</v>
      </c>
      <c r="G505" t="e">
        <f>IF(NOT(ISERROR(VLOOKUP(C505,$K$2:$K$50,1,0))),"Y",VLOOKUP(C505,$K$2:$K$50,1,0))</f>
        <v>#N/A</v>
      </c>
    </row>
    <row r="506" spans="1:7" hidden="1" x14ac:dyDescent="0.25">
      <c r="A506">
        <f>BIdetails!G509</f>
        <v>0</v>
      </c>
      <c r="B506">
        <f>BIdetails!H509</f>
        <v>0</v>
      </c>
      <c r="C506">
        <f>BIdetails!J509</f>
        <v>0</v>
      </c>
      <c r="D506">
        <f>BIdetails!K509</f>
        <v>0</v>
      </c>
      <c r="E506" s="165">
        <f>BIdetails!M509</f>
        <v>0</v>
      </c>
      <c r="F506" t="e">
        <f>IF(ISERROR(IF(OR(C506="#",C506=0),"",VLOOKUP(C506,'AOP25'!M:M,1,0))),"Not Found",VLOOKUP(C506,'AOP25'!M:M,1,0))</f>
        <v>#N/A</v>
      </c>
      <c r="G506" t="e">
        <f t="shared" ref="G506:G569" si="8">IF(NOT(ISERROR(VLOOKUP(C506,$K$2:$K$50,1,0))),"Y",VLOOKUP(C506,$K$2:$K$50,1,0))</f>
        <v>#N/A</v>
      </c>
    </row>
    <row r="507" spans="1:7" x14ac:dyDescent="0.25">
      <c r="A507">
        <f>BIdetails!G510</f>
        <v>0</v>
      </c>
      <c r="B507">
        <f>BIdetails!H510</f>
        <v>0</v>
      </c>
      <c r="C507">
        <f>BIdetails!J510</f>
        <v>0</v>
      </c>
      <c r="D507">
        <f>BIdetails!K510</f>
        <v>0</v>
      </c>
      <c r="E507" s="165">
        <f>BIdetails!M510</f>
        <v>0</v>
      </c>
      <c r="F507" t="e">
        <f>IF(ISERROR(IF(OR(C507="#",C507=0),"",VLOOKUP(C507,'AOP25'!M:M,1,0))),"Not Found",VLOOKUP(C507,'AOP25'!M:M,1,0))</f>
        <v>#N/A</v>
      </c>
      <c r="G507" t="e">
        <f t="shared" si="8"/>
        <v>#N/A</v>
      </c>
    </row>
    <row r="508" spans="1:7" x14ac:dyDescent="0.25">
      <c r="A508">
        <f>BIdetails!G511</f>
        <v>0</v>
      </c>
      <c r="B508">
        <f>BIdetails!H511</f>
        <v>0</v>
      </c>
      <c r="C508">
        <f>BIdetails!J511</f>
        <v>0</v>
      </c>
      <c r="D508">
        <f>BIdetails!K511</f>
        <v>0</v>
      </c>
      <c r="E508" s="165">
        <f>BIdetails!M511</f>
        <v>0</v>
      </c>
      <c r="F508" t="e">
        <f>IF(ISERROR(IF(OR(C508="#",C508=0),"",VLOOKUP(C508,'AOP25'!M:M,1,0))),"Not Found",VLOOKUP(C508,'AOP25'!M:M,1,0))</f>
        <v>#N/A</v>
      </c>
      <c r="G508" t="e">
        <f t="shared" si="8"/>
        <v>#N/A</v>
      </c>
    </row>
    <row r="509" spans="1:7" x14ac:dyDescent="0.25">
      <c r="A509">
        <f>BIdetails!G512</f>
        <v>0</v>
      </c>
      <c r="B509">
        <f>BIdetails!H512</f>
        <v>0</v>
      </c>
      <c r="C509">
        <f>BIdetails!J512</f>
        <v>0</v>
      </c>
      <c r="D509">
        <f>BIdetails!K512</f>
        <v>0</v>
      </c>
      <c r="E509" s="165">
        <f>BIdetails!M512</f>
        <v>0</v>
      </c>
      <c r="F509" t="e">
        <f>IF(ISERROR(IF(OR(C509="#",C509=0),"",VLOOKUP(C509,'AOP25'!M:M,1,0))),"Not Found",VLOOKUP(C509,'AOP25'!M:M,1,0))</f>
        <v>#N/A</v>
      </c>
      <c r="G509" t="e">
        <f t="shared" si="8"/>
        <v>#N/A</v>
      </c>
    </row>
    <row r="510" spans="1:7" x14ac:dyDescent="0.25">
      <c r="A510">
        <f>BIdetails!G513</f>
        <v>0</v>
      </c>
      <c r="B510">
        <f>BIdetails!H513</f>
        <v>0</v>
      </c>
      <c r="C510">
        <f>BIdetails!J513</f>
        <v>0</v>
      </c>
      <c r="D510">
        <f>BIdetails!K513</f>
        <v>0</v>
      </c>
      <c r="E510" s="165">
        <f>BIdetails!M513</f>
        <v>0</v>
      </c>
      <c r="F510" t="e">
        <f>IF(ISERROR(IF(OR(C510="#",C510=0),"",VLOOKUP(C510,'AOP25'!M:M,1,0))),"Not Found",VLOOKUP(C510,'AOP25'!M:M,1,0))</f>
        <v>#N/A</v>
      </c>
      <c r="G510" t="e">
        <f t="shared" si="8"/>
        <v>#N/A</v>
      </c>
    </row>
    <row r="511" spans="1:7" x14ac:dyDescent="0.25">
      <c r="A511">
        <f>BIdetails!G514</f>
        <v>0</v>
      </c>
      <c r="B511">
        <f>BIdetails!H514</f>
        <v>0</v>
      </c>
      <c r="C511">
        <f>BIdetails!J514</f>
        <v>0</v>
      </c>
      <c r="D511">
        <f>BIdetails!K514</f>
        <v>0</v>
      </c>
      <c r="E511" s="165">
        <f>BIdetails!M514</f>
        <v>0</v>
      </c>
      <c r="F511" t="e">
        <f>IF(ISERROR(IF(OR(C511="#",C511=0),"",VLOOKUP(C511,'AOP25'!M:M,1,0))),"Not Found",VLOOKUP(C511,'AOP25'!M:M,1,0))</f>
        <v>#N/A</v>
      </c>
      <c r="G511" t="e">
        <f t="shared" si="8"/>
        <v>#N/A</v>
      </c>
    </row>
    <row r="512" spans="1:7" x14ac:dyDescent="0.25">
      <c r="A512">
        <f>BIdetails!G515</f>
        <v>0</v>
      </c>
      <c r="B512">
        <f>BIdetails!H515</f>
        <v>0</v>
      </c>
      <c r="C512">
        <f>BIdetails!J515</f>
        <v>0</v>
      </c>
      <c r="D512">
        <f>BIdetails!K515</f>
        <v>0</v>
      </c>
      <c r="E512" s="165">
        <f>BIdetails!M515</f>
        <v>0</v>
      </c>
      <c r="F512" t="e">
        <f>IF(ISERROR(IF(OR(C512="#",C512=0),"",VLOOKUP(C512,'AOP25'!M:M,1,0))),"Not Found",VLOOKUP(C512,'AOP25'!M:M,1,0))</f>
        <v>#N/A</v>
      </c>
      <c r="G512" t="e">
        <f t="shared" si="8"/>
        <v>#N/A</v>
      </c>
    </row>
    <row r="513" spans="1:7" x14ac:dyDescent="0.25">
      <c r="A513">
        <f>BIdetails!G516</f>
        <v>0</v>
      </c>
      <c r="B513">
        <f>BIdetails!H516</f>
        <v>0</v>
      </c>
      <c r="C513">
        <f>BIdetails!J516</f>
        <v>0</v>
      </c>
      <c r="D513">
        <f>BIdetails!K516</f>
        <v>0</v>
      </c>
      <c r="E513" s="165">
        <f>BIdetails!M516</f>
        <v>0</v>
      </c>
      <c r="F513" t="e">
        <f>IF(ISERROR(IF(OR(C513="#",C513=0),"",VLOOKUP(C513,'AOP25'!M:M,1,0))),"Not Found",VLOOKUP(C513,'AOP25'!M:M,1,0))</f>
        <v>#N/A</v>
      </c>
      <c r="G513" t="e">
        <f t="shared" si="8"/>
        <v>#N/A</v>
      </c>
    </row>
    <row r="514" spans="1:7" x14ac:dyDescent="0.25">
      <c r="A514">
        <f>BIdetails!G517</f>
        <v>0</v>
      </c>
      <c r="B514">
        <f>BIdetails!H517</f>
        <v>0</v>
      </c>
      <c r="C514">
        <f>BIdetails!J517</f>
        <v>0</v>
      </c>
      <c r="D514">
        <f>BIdetails!K517</f>
        <v>0</v>
      </c>
      <c r="E514" s="165">
        <f>BIdetails!M517</f>
        <v>0</v>
      </c>
      <c r="F514" t="e">
        <f>IF(ISERROR(IF(OR(C514="#",C514=0),"",VLOOKUP(C514,'AOP25'!M:M,1,0))),"Not Found",VLOOKUP(C514,'AOP25'!M:M,1,0))</f>
        <v>#N/A</v>
      </c>
      <c r="G514" t="e">
        <f t="shared" si="8"/>
        <v>#N/A</v>
      </c>
    </row>
    <row r="515" spans="1:7" hidden="1" x14ac:dyDescent="0.25">
      <c r="A515">
        <f>BIdetails!G518</f>
        <v>0</v>
      </c>
      <c r="B515">
        <f>BIdetails!H518</f>
        <v>0</v>
      </c>
      <c r="C515">
        <f>BIdetails!J518</f>
        <v>0</v>
      </c>
      <c r="D515">
        <f>BIdetails!K518</f>
        <v>0</v>
      </c>
      <c r="E515" s="165">
        <f>BIdetails!M518</f>
        <v>0</v>
      </c>
      <c r="F515" t="e">
        <f>IF(ISERROR(IF(OR(C515="#",C515=0),"",VLOOKUP(C515,'AOP25'!M:M,1,0))),"Not Found",VLOOKUP(C515,'AOP25'!M:M,1,0))</f>
        <v>#N/A</v>
      </c>
      <c r="G515" t="e">
        <f t="shared" si="8"/>
        <v>#N/A</v>
      </c>
    </row>
    <row r="516" spans="1:7" x14ac:dyDescent="0.25">
      <c r="A516">
        <f>BIdetails!G519</f>
        <v>0</v>
      </c>
      <c r="B516">
        <f>BIdetails!H519</f>
        <v>0</v>
      </c>
      <c r="C516">
        <f>BIdetails!J519</f>
        <v>0</v>
      </c>
      <c r="D516">
        <f>BIdetails!K519</f>
        <v>0</v>
      </c>
      <c r="E516" s="165">
        <f>BIdetails!M519</f>
        <v>0</v>
      </c>
      <c r="F516" t="e">
        <f>IF(ISERROR(IF(OR(C516="#",C516=0),"",VLOOKUP(C516,'AOP25'!M:M,1,0))),"Not Found",VLOOKUP(C516,'AOP25'!M:M,1,0))</f>
        <v>#N/A</v>
      </c>
      <c r="G516" t="e">
        <f t="shared" si="8"/>
        <v>#N/A</v>
      </c>
    </row>
    <row r="517" spans="1:7" hidden="1" x14ac:dyDescent="0.25">
      <c r="A517">
        <f>BIdetails!G520</f>
        <v>0</v>
      </c>
      <c r="B517">
        <f>BIdetails!H520</f>
        <v>0</v>
      </c>
      <c r="C517">
        <f>BIdetails!J520</f>
        <v>0</v>
      </c>
      <c r="D517">
        <f>BIdetails!K520</f>
        <v>0</v>
      </c>
      <c r="E517" s="165">
        <f>BIdetails!M520</f>
        <v>0</v>
      </c>
      <c r="F517" t="e">
        <f>IF(ISERROR(IF(OR(C517="#",C517=0),"",VLOOKUP(C517,'AOP25'!M:M,1,0))),"Not Found",VLOOKUP(C517,'AOP25'!M:M,1,0))</f>
        <v>#N/A</v>
      </c>
      <c r="G517" t="e">
        <f t="shared" si="8"/>
        <v>#N/A</v>
      </c>
    </row>
    <row r="518" spans="1:7" hidden="1" x14ac:dyDescent="0.25">
      <c r="A518">
        <f>BIdetails!G521</f>
        <v>0</v>
      </c>
      <c r="B518">
        <f>BIdetails!H521</f>
        <v>0</v>
      </c>
      <c r="C518">
        <f>BIdetails!J521</f>
        <v>0</v>
      </c>
      <c r="D518">
        <f>BIdetails!K521</f>
        <v>0</v>
      </c>
      <c r="E518" s="165">
        <f>BIdetails!M521</f>
        <v>0</v>
      </c>
      <c r="F518" t="e">
        <f>IF(ISERROR(IF(OR(C518="#",C518=0),"",VLOOKUP(C518,'AOP25'!M:M,1,0))),"Not Found",VLOOKUP(C518,'AOP25'!M:M,1,0))</f>
        <v>#N/A</v>
      </c>
      <c r="G518" t="e">
        <f t="shared" si="8"/>
        <v>#N/A</v>
      </c>
    </row>
    <row r="519" spans="1:7" hidden="1" x14ac:dyDescent="0.25">
      <c r="A519">
        <f>BIdetails!G522</f>
        <v>0</v>
      </c>
      <c r="B519">
        <f>BIdetails!H522</f>
        <v>0</v>
      </c>
      <c r="C519">
        <f>BIdetails!J522</f>
        <v>0</v>
      </c>
      <c r="D519">
        <f>BIdetails!K522</f>
        <v>0</v>
      </c>
      <c r="E519" s="165">
        <f>BIdetails!M522</f>
        <v>0</v>
      </c>
      <c r="F519" t="e">
        <f>IF(ISERROR(IF(OR(C519="#",C519=0),"",VLOOKUP(C519,'AOP25'!M:M,1,0))),"Not Found",VLOOKUP(C519,'AOP25'!M:M,1,0))</f>
        <v>#N/A</v>
      </c>
      <c r="G519" t="e">
        <f t="shared" si="8"/>
        <v>#N/A</v>
      </c>
    </row>
    <row r="520" spans="1:7" hidden="1" x14ac:dyDescent="0.25">
      <c r="A520">
        <f>BIdetails!G523</f>
        <v>0</v>
      </c>
      <c r="B520">
        <f>BIdetails!H523</f>
        <v>0</v>
      </c>
      <c r="C520">
        <f>BIdetails!J523</f>
        <v>0</v>
      </c>
      <c r="D520">
        <f>BIdetails!K523</f>
        <v>0</v>
      </c>
      <c r="E520" s="165">
        <f>BIdetails!M523</f>
        <v>0</v>
      </c>
      <c r="F520" t="e">
        <f>IF(ISERROR(IF(OR(C520="#",C520=0),"",VLOOKUP(C520,'AOP25'!M:M,1,0))),"Not Found",VLOOKUP(C520,'AOP25'!M:M,1,0))</f>
        <v>#N/A</v>
      </c>
      <c r="G520" t="e">
        <f t="shared" si="8"/>
        <v>#N/A</v>
      </c>
    </row>
    <row r="521" spans="1:7" hidden="1" x14ac:dyDescent="0.25">
      <c r="A521">
        <f>BIdetails!G524</f>
        <v>0</v>
      </c>
      <c r="B521">
        <f>BIdetails!H524</f>
        <v>0</v>
      </c>
      <c r="C521">
        <f>BIdetails!J524</f>
        <v>0</v>
      </c>
      <c r="D521">
        <f>BIdetails!K524</f>
        <v>0</v>
      </c>
      <c r="E521" s="165">
        <f>BIdetails!M524</f>
        <v>0</v>
      </c>
      <c r="F521" t="e">
        <f>IF(ISERROR(IF(OR(C521="#",C521=0),"",VLOOKUP(C521,'AOP25'!M:M,1,0))),"Not Found",VLOOKUP(C521,'AOP25'!M:M,1,0))</f>
        <v>#N/A</v>
      </c>
      <c r="G521" t="e">
        <f t="shared" si="8"/>
        <v>#N/A</v>
      </c>
    </row>
    <row r="522" spans="1:7" hidden="1" x14ac:dyDescent="0.25">
      <c r="A522">
        <f>BIdetails!G525</f>
        <v>0</v>
      </c>
      <c r="B522">
        <f>BIdetails!H525</f>
        <v>0</v>
      </c>
      <c r="C522">
        <f>BIdetails!J525</f>
        <v>0</v>
      </c>
      <c r="D522">
        <f>BIdetails!K525</f>
        <v>0</v>
      </c>
      <c r="E522" s="165">
        <f>BIdetails!M525</f>
        <v>0</v>
      </c>
      <c r="F522" t="e">
        <f>IF(ISERROR(IF(OR(C522="#",C522=0),"",VLOOKUP(C522,'AOP25'!M:M,1,0))),"Not Found",VLOOKUP(C522,'AOP25'!M:M,1,0))</f>
        <v>#N/A</v>
      </c>
      <c r="G522" t="e">
        <f t="shared" si="8"/>
        <v>#N/A</v>
      </c>
    </row>
    <row r="523" spans="1:7" hidden="1" x14ac:dyDescent="0.25">
      <c r="A523">
        <f>BIdetails!G526</f>
        <v>0</v>
      </c>
      <c r="B523">
        <f>BIdetails!H526</f>
        <v>0</v>
      </c>
      <c r="C523">
        <f>BIdetails!J526</f>
        <v>0</v>
      </c>
      <c r="D523">
        <f>BIdetails!K526</f>
        <v>0</v>
      </c>
      <c r="E523" s="165">
        <f>BIdetails!M526</f>
        <v>0</v>
      </c>
      <c r="F523" t="e">
        <f>IF(ISERROR(IF(OR(C523="#",C523=0),"",VLOOKUP(C523,'AOP25'!M:M,1,0))),"Not Found",VLOOKUP(C523,'AOP25'!M:M,1,0))</f>
        <v>#N/A</v>
      </c>
      <c r="G523" t="e">
        <f t="shared" si="8"/>
        <v>#N/A</v>
      </c>
    </row>
    <row r="524" spans="1:7" hidden="1" x14ac:dyDescent="0.25">
      <c r="A524">
        <f>BIdetails!G527</f>
        <v>0</v>
      </c>
      <c r="B524">
        <f>BIdetails!H527</f>
        <v>0</v>
      </c>
      <c r="C524">
        <f>BIdetails!J527</f>
        <v>0</v>
      </c>
      <c r="D524">
        <f>BIdetails!K527</f>
        <v>0</v>
      </c>
      <c r="E524" s="165">
        <f>BIdetails!M527</f>
        <v>0</v>
      </c>
      <c r="F524" t="e">
        <f>IF(ISERROR(IF(OR(C524="#",C524=0),"",VLOOKUP(C524,'AOP25'!M:M,1,0))),"Not Found",VLOOKUP(C524,'AOP25'!M:M,1,0))</f>
        <v>#N/A</v>
      </c>
      <c r="G524" t="e">
        <f t="shared" si="8"/>
        <v>#N/A</v>
      </c>
    </row>
    <row r="525" spans="1:7" hidden="1" x14ac:dyDescent="0.25">
      <c r="A525">
        <f>BIdetails!G528</f>
        <v>0</v>
      </c>
      <c r="B525">
        <f>BIdetails!H528</f>
        <v>0</v>
      </c>
      <c r="C525">
        <f>BIdetails!J528</f>
        <v>0</v>
      </c>
      <c r="D525">
        <f>BIdetails!K528</f>
        <v>0</v>
      </c>
      <c r="E525" s="165">
        <f>BIdetails!M528</f>
        <v>0</v>
      </c>
      <c r="F525" t="e">
        <f>IF(ISERROR(IF(OR(C525="#",C525=0),"",VLOOKUP(C525,'AOP25'!M:M,1,0))),"Not Found",VLOOKUP(C525,'AOP25'!M:M,1,0))</f>
        <v>#N/A</v>
      </c>
      <c r="G525" t="e">
        <f t="shared" si="8"/>
        <v>#N/A</v>
      </c>
    </row>
    <row r="526" spans="1:7" hidden="1" x14ac:dyDescent="0.25">
      <c r="A526">
        <f>BIdetails!G529</f>
        <v>0</v>
      </c>
      <c r="B526">
        <f>BIdetails!H529</f>
        <v>0</v>
      </c>
      <c r="C526">
        <f>BIdetails!J529</f>
        <v>0</v>
      </c>
      <c r="D526">
        <f>BIdetails!K529</f>
        <v>0</v>
      </c>
      <c r="E526" s="165">
        <f>BIdetails!M529</f>
        <v>0</v>
      </c>
      <c r="F526" t="e">
        <f>IF(ISERROR(IF(OR(C526="#",C526=0),"",VLOOKUP(C526,'AOP25'!M:M,1,0))),"Not Found",VLOOKUP(C526,'AOP25'!M:M,1,0))</f>
        <v>#N/A</v>
      </c>
      <c r="G526" t="e">
        <f t="shared" si="8"/>
        <v>#N/A</v>
      </c>
    </row>
    <row r="527" spans="1:7" hidden="1" x14ac:dyDescent="0.25">
      <c r="A527">
        <f>BIdetails!G530</f>
        <v>0</v>
      </c>
      <c r="B527">
        <f>BIdetails!H530</f>
        <v>0</v>
      </c>
      <c r="C527">
        <f>BIdetails!J530</f>
        <v>0</v>
      </c>
      <c r="D527">
        <f>BIdetails!K530</f>
        <v>0</v>
      </c>
      <c r="E527" s="165">
        <f>BIdetails!M530</f>
        <v>0</v>
      </c>
      <c r="F527" t="e">
        <f>IF(ISERROR(IF(OR(C527="#",C527=0),"",VLOOKUP(C527,'AOP25'!M:M,1,0))),"Not Found",VLOOKUP(C527,'AOP25'!M:M,1,0))</f>
        <v>#N/A</v>
      </c>
      <c r="G527" t="e">
        <f t="shared" si="8"/>
        <v>#N/A</v>
      </c>
    </row>
    <row r="528" spans="1:7" hidden="1" x14ac:dyDescent="0.25">
      <c r="A528">
        <f>BIdetails!G531</f>
        <v>0</v>
      </c>
      <c r="B528">
        <f>BIdetails!H531</f>
        <v>0</v>
      </c>
      <c r="C528">
        <f>BIdetails!J531</f>
        <v>0</v>
      </c>
      <c r="D528">
        <f>BIdetails!K531</f>
        <v>0</v>
      </c>
      <c r="E528" s="165">
        <f>BIdetails!M531</f>
        <v>0</v>
      </c>
      <c r="F528" t="e">
        <f>IF(ISERROR(IF(OR(C528="#",C528=0),"",VLOOKUP(C528,'AOP25'!M:M,1,0))),"Not Found",VLOOKUP(C528,'AOP25'!M:M,1,0))</f>
        <v>#N/A</v>
      </c>
      <c r="G528" t="e">
        <f t="shared" si="8"/>
        <v>#N/A</v>
      </c>
    </row>
    <row r="529" spans="1:7" hidden="1" x14ac:dyDescent="0.25">
      <c r="A529">
        <f>BIdetails!G532</f>
        <v>0</v>
      </c>
      <c r="B529">
        <f>BIdetails!H532</f>
        <v>0</v>
      </c>
      <c r="C529">
        <f>BIdetails!J532</f>
        <v>0</v>
      </c>
      <c r="D529">
        <f>BIdetails!K532</f>
        <v>0</v>
      </c>
      <c r="E529" s="165">
        <f>BIdetails!M532</f>
        <v>0</v>
      </c>
      <c r="F529" t="e">
        <f>IF(ISERROR(IF(OR(C529="#",C529=0),"",VLOOKUP(C529,'AOP25'!M:M,1,0))),"Not Found",VLOOKUP(C529,'AOP25'!M:M,1,0))</f>
        <v>#N/A</v>
      </c>
      <c r="G529" t="e">
        <f t="shared" si="8"/>
        <v>#N/A</v>
      </c>
    </row>
    <row r="530" spans="1:7" hidden="1" x14ac:dyDescent="0.25">
      <c r="A530">
        <f>BIdetails!G533</f>
        <v>0</v>
      </c>
      <c r="B530">
        <f>BIdetails!H533</f>
        <v>0</v>
      </c>
      <c r="C530">
        <f>BIdetails!J533</f>
        <v>0</v>
      </c>
      <c r="D530">
        <f>BIdetails!K533</f>
        <v>0</v>
      </c>
      <c r="E530" s="165">
        <f>BIdetails!M533</f>
        <v>0</v>
      </c>
      <c r="F530" t="e">
        <f>IF(ISERROR(IF(OR(C530="#",C530=0),"",VLOOKUP(C530,'AOP25'!M:M,1,0))),"Not Found",VLOOKUP(C530,'AOP25'!M:M,1,0))</f>
        <v>#N/A</v>
      </c>
      <c r="G530" t="e">
        <f t="shared" si="8"/>
        <v>#N/A</v>
      </c>
    </row>
    <row r="531" spans="1:7" hidden="1" x14ac:dyDescent="0.25">
      <c r="A531">
        <f>BIdetails!G534</f>
        <v>0</v>
      </c>
      <c r="B531">
        <f>BIdetails!H534</f>
        <v>0</v>
      </c>
      <c r="C531">
        <f>BIdetails!J534</f>
        <v>0</v>
      </c>
      <c r="D531">
        <f>BIdetails!K534</f>
        <v>0</v>
      </c>
      <c r="E531" s="165">
        <f>BIdetails!M534</f>
        <v>0</v>
      </c>
      <c r="F531" t="e">
        <f>IF(ISERROR(IF(OR(C531="#",C531=0),"",VLOOKUP(C531,'AOP25'!M:M,1,0))),"Not Found",VLOOKUP(C531,'AOP25'!M:M,1,0))</f>
        <v>#N/A</v>
      </c>
      <c r="G531" t="e">
        <f t="shared" si="8"/>
        <v>#N/A</v>
      </c>
    </row>
    <row r="532" spans="1:7" hidden="1" x14ac:dyDescent="0.25">
      <c r="A532">
        <f>BIdetails!G535</f>
        <v>0</v>
      </c>
      <c r="B532">
        <f>BIdetails!H535</f>
        <v>0</v>
      </c>
      <c r="C532">
        <f>BIdetails!J535</f>
        <v>0</v>
      </c>
      <c r="D532">
        <f>BIdetails!K535</f>
        <v>0</v>
      </c>
      <c r="E532" s="165">
        <f>BIdetails!M535</f>
        <v>0</v>
      </c>
      <c r="F532" t="e">
        <f>IF(ISERROR(IF(OR(C532="#",C532=0),"",VLOOKUP(C532,'AOP25'!M:M,1,0))),"Not Found",VLOOKUP(C532,'AOP25'!M:M,1,0))</f>
        <v>#N/A</v>
      </c>
      <c r="G532" t="e">
        <f t="shared" si="8"/>
        <v>#N/A</v>
      </c>
    </row>
    <row r="533" spans="1:7" hidden="1" x14ac:dyDescent="0.25">
      <c r="A533">
        <f>BIdetails!G536</f>
        <v>0</v>
      </c>
      <c r="B533">
        <f>BIdetails!H536</f>
        <v>0</v>
      </c>
      <c r="C533">
        <f>BIdetails!J536</f>
        <v>0</v>
      </c>
      <c r="D533">
        <f>BIdetails!K536</f>
        <v>0</v>
      </c>
      <c r="E533" s="165">
        <f>BIdetails!M536</f>
        <v>0</v>
      </c>
      <c r="F533" t="e">
        <f>IF(ISERROR(IF(OR(C533="#",C533=0),"",VLOOKUP(C533,'AOP25'!M:M,1,0))),"Not Found",VLOOKUP(C533,'AOP25'!M:M,1,0))</f>
        <v>#N/A</v>
      </c>
      <c r="G533" t="e">
        <f t="shared" si="8"/>
        <v>#N/A</v>
      </c>
    </row>
    <row r="534" spans="1:7" hidden="1" x14ac:dyDescent="0.25">
      <c r="A534">
        <f>BIdetails!G537</f>
        <v>0</v>
      </c>
      <c r="B534">
        <f>BIdetails!H537</f>
        <v>0</v>
      </c>
      <c r="C534">
        <f>BIdetails!J537</f>
        <v>0</v>
      </c>
      <c r="D534">
        <f>BIdetails!K537</f>
        <v>0</v>
      </c>
      <c r="E534" s="165">
        <f>BIdetails!M537</f>
        <v>0</v>
      </c>
      <c r="F534" t="e">
        <f>IF(ISERROR(IF(OR(C534="#",C534=0),"",VLOOKUP(C534,'AOP25'!M:M,1,0))),"Not Found",VLOOKUP(C534,'AOP25'!M:M,1,0))</f>
        <v>#N/A</v>
      </c>
      <c r="G534" t="e">
        <f t="shared" si="8"/>
        <v>#N/A</v>
      </c>
    </row>
    <row r="535" spans="1:7" hidden="1" x14ac:dyDescent="0.25">
      <c r="A535">
        <f>BIdetails!G538</f>
        <v>0</v>
      </c>
      <c r="B535">
        <f>BIdetails!H538</f>
        <v>0</v>
      </c>
      <c r="C535">
        <f>BIdetails!J538</f>
        <v>0</v>
      </c>
      <c r="D535">
        <f>BIdetails!K538</f>
        <v>0</v>
      </c>
      <c r="E535" s="165">
        <f>BIdetails!M538</f>
        <v>0</v>
      </c>
      <c r="F535" t="e">
        <f>IF(ISERROR(IF(OR(C535="#",C535=0),"",VLOOKUP(C535,'AOP25'!M:M,1,0))),"Not Found",VLOOKUP(C535,'AOP25'!M:M,1,0))</f>
        <v>#N/A</v>
      </c>
      <c r="G535" t="e">
        <f t="shared" si="8"/>
        <v>#N/A</v>
      </c>
    </row>
    <row r="536" spans="1:7" hidden="1" x14ac:dyDescent="0.25">
      <c r="A536">
        <f>BIdetails!G539</f>
        <v>0</v>
      </c>
      <c r="B536">
        <f>BIdetails!H539</f>
        <v>0</v>
      </c>
      <c r="C536">
        <f>BIdetails!J539</f>
        <v>0</v>
      </c>
      <c r="D536">
        <f>BIdetails!K539</f>
        <v>0</v>
      </c>
      <c r="E536" s="165">
        <f>BIdetails!M539</f>
        <v>0</v>
      </c>
      <c r="F536" t="e">
        <f>IF(ISERROR(IF(OR(C536="#",C536=0),"",VLOOKUP(C536,'AOP25'!M:M,1,0))),"Not Found",VLOOKUP(C536,'AOP25'!M:M,1,0))</f>
        <v>#N/A</v>
      </c>
      <c r="G536" t="e">
        <f t="shared" si="8"/>
        <v>#N/A</v>
      </c>
    </row>
    <row r="537" spans="1:7" hidden="1" x14ac:dyDescent="0.25">
      <c r="A537">
        <f>BIdetails!G540</f>
        <v>0</v>
      </c>
      <c r="B537">
        <f>BIdetails!H540</f>
        <v>0</v>
      </c>
      <c r="C537">
        <f>BIdetails!J540</f>
        <v>0</v>
      </c>
      <c r="D537">
        <f>BIdetails!K540</f>
        <v>0</v>
      </c>
      <c r="E537" s="165">
        <f>BIdetails!M540</f>
        <v>0</v>
      </c>
      <c r="F537" t="e">
        <f>IF(ISERROR(IF(OR(C537="#",C537=0),"",VLOOKUP(C537,'AOP25'!M:M,1,0))),"Not Found",VLOOKUP(C537,'AOP25'!M:M,1,0))</f>
        <v>#N/A</v>
      </c>
      <c r="G537" t="e">
        <f t="shared" si="8"/>
        <v>#N/A</v>
      </c>
    </row>
    <row r="538" spans="1:7" hidden="1" x14ac:dyDescent="0.25">
      <c r="A538">
        <f>BIdetails!G541</f>
        <v>0</v>
      </c>
      <c r="B538">
        <f>BIdetails!H541</f>
        <v>0</v>
      </c>
      <c r="C538">
        <f>BIdetails!J541</f>
        <v>0</v>
      </c>
      <c r="D538">
        <f>BIdetails!K541</f>
        <v>0</v>
      </c>
      <c r="E538" s="165">
        <f>BIdetails!M541</f>
        <v>0</v>
      </c>
      <c r="F538" t="e">
        <f>IF(ISERROR(IF(OR(C538="#",C538=0),"",VLOOKUP(C538,'AOP25'!M:M,1,0))),"Not Found",VLOOKUP(C538,'AOP25'!M:M,1,0))</f>
        <v>#N/A</v>
      </c>
      <c r="G538" t="e">
        <f t="shared" si="8"/>
        <v>#N/A</v>
      </c>
    </row>
    <row r="539" spans="1:7" hidden="1" x14ac:dyDescent="0.25">
      <c r="A539">
        <f>BIdetails!G542</f>
        <v>0</v>
      </c>
      <c r="B539">
        <f>BIdetails!H542</f>
        <v>0</v>
      </c>
      <c r="C539">
        <f>BIdetails!J542</f>
        <v>0</v>
      </c>
      <c r="D539">
        <f>BIdetails!K542</f>
        <v>0</v>
      </c>
      <c r="E539" s="165">
        <f>BIdetails!M542</f>
        <v>0</v>
      </c>
      <c r="F539" t="e">
        <f>IF(ISERROR(IF(OR(C539="#",C539=0),"",VLOOKUP(C539,'AOP25'!M:M,1,0))),"Not Found",VLOOKUP(C539,'AOP25'!M:M,1,0))</f>
        <v>#N/A</v>
      </c>
      <c r="G539" t="e">
        <f t="shared" si="8"/>
        <v>#N/A</v>
      </c>
    </row>
    <row r="540" spans="1:7" hidden="1" x14ac:dyDescent="0.25">
      <c r="A540">
        <f>BIdetails!G543</f>
        <v>0</v>
      </c>
      <c r="B540">
        <f>BIdetails!H543</f>
        <v>0</v>
      </c>
      <c r="C540">
        <f>BIdetails!J543</f>
        <v>0</v>
      </c>
      <c r="D540">
        <f>BIdetails!K543</f>
        <v>0</v>
      </c>
      <c r="E540" s="165">
        <f>BIdetails!M543</f>
        <v>0</v>
      </c>
      <c r="F540" t="e">
        <f>IF(ISERROR(IF(OR(C540="#",C540=0),"",VLOOKUP(C540,'AOP25'!M:M,1,0))),"Not Found",VLOOKUP(C540,'AOP25'!M:M,1,0))</f>
        <v>#N/A</v>
      </c>
      <c r="G540" t="e">
        <f t="shared" si="8"/>
        <v>#N/A</v>
      </c>
    </row>
    <row r="541" spans="1:7" hidden="1" x14ac:dyDescent="0.25">
      <c r="A541">
        <f>BIdetails!G544</f>
        <v>0</v>
      </c>
      <c r="B541">
        <f>BIdetails!H544</f>
        <v>0</v>
      </c>
      <c r="C541">
        <f>BIdetails!J544</f>
        <v>0</v>
      </c>
      <c r="D541">
        <f>BIdetails!K544</f>
        <v>0</v>
      </c>
      <c r="E541" s="165">
        <f>BIdetails!M544</f>
        <v>0</v>
      </c>
      <c r="F541" t="e">
        <f>IF(ISERROR(IF(OR(C541="#",C541=0),"",VLOOKUP(C541,'AOP25'!M:M,1,0))),"Not Found",VLOOKUP(C541,'AOP25'!M:M,1,0))</f>
        <v>#N/A</v>
      </c>
      <c r="G541" t="e">
        <f t="shared" si="8"/>
        <v>#N/A</v>
      </c>
    </row>
    <row r="542" spans="1:7" x14ac:dyDescent="0.25">
      <c r="A542">
        <f>BIdetails!G545</f>
        <v>0</v>
      </c>
      <c r="B542">
        <f>BIdetails!H545</f>
        <v>0</v>
      </c>
      <c r="C542">
        <f>BIdetails!J545</f>
        <v>0</v>
      </c>
      <c r="D542">
        <f>BIdetails!K545</f>
        <v>0</v>
      </c>
      <c r="E542" s="165">
        <f>BIdetails!M545</f>
        <v>0</v>
      </c>
      <c r="F542" t="e">
        <f>IF(ISERROR(IF(OR(C542="#",C542=0),"",VLOOKUP(C542,'AOP25'!M:M,1,0))),"Not Found",VLOOKUP(C542,'AOP25'!M:M,1,0))</f>
        <v>#N/A</v>
      </c>
      <c r="G542" t="e">
        <f t="shared" si="8"/>
        <v>#N/A</v>
      </c>
    </row>
    <row r="543" spans="1:7" x14ac:dyDescent="0.25">
      <c r="A543">
        <f>BIdetails!G546</f>
        <v>0</v>
      </c>
      <c r="B543">
        <f>BIdetails!H546</f>
        <v>0</v>
      </c>
      <c r="C543">
        <f>BIdetails!J546</f>
        <v>0</v>
      </c>
      <c r="D543">
        <f>BIdetails!K546</f>
        <v>0</v>
      </c>
      <c r="E543" s="165">
        <f>BIdetails!M546</f>
        <v>0</v>
      </c>
      <c r="F543" t="e">
        <f>IF(ISERROR(IF(OR(C543="#",C543=0),"",VLOOKUP(C543,'AOP25'!M:M,1,0))),"Not Found",VLOOKUP(C543,'AOP25'!M:M,1,0))</f>
        <v>#N/A</v>
      </c>
      <c r="G543" t="e">
        <f t="shared" si="8"/>
        <v>#N/A</v>
      </c>
    </row>
    <row r="544" spans="1:7" x14ac:dyDescent="0.25">
      <c r="A544">
        <f>BIdetails!G547</f>
        <v>0</v>
      </c>
      <c r="B544">
        <f>BIdetails!H547</f>
        <v>0</v>
      </c>
      <c r="C544">
        <f>BIdetails!J547</f>
        <v>0</v>
      </c>
      <c r="D544">
        <f>BIdetails!K547</f>
        <v>0</v>
      </c>
      <c r="E544" s="165">
        <f>BIdetails!M547</f>
        <v>0</v>
      </c>
      <c r="F544" t="e">
        <f>IF(ISERROR(IF(OR(C544="#",C544=0),"",VLOOKUP(C544,'AOP25'!M:M,1,0))),"Not Found",VLOOKUP(C544,'AOP25'!M:M,1,0))</f>
        <v>#N/A</v>
      </c>
      <c r="G544" t="e">
        <f t="shared" si="8"/>
        <v>#N/A</v>
      </c>
    </row>
    <row r="545" spans="1:7" hidden="1" x14ac:dyDescent="0.25">
      <c r="A545">
        <f>BIdetails!G548</f>
        <v>0</v>
      </c>
      <c r="B545">
        <f>BIdetails!H548</f>
        <v>0</v>
      </c>
      <c r="C545">
        <f>BIdetails!J548</f>
        <v>0</v>
      </c>
      <c r="D545">
        <f>BIdetails!K548</f>
        <v>0</v>
      </c>
      <c r="E545" s="165">
        <f>BIdetails!M548</f>
        <v>0</v>
      </c>
      <c r="F545" t="e">
        <f>IF(ISERROR(IF(OR(C545="#",C545=0),"",VLOOKUP(C545,'AOP25'!M:M,1,0))),"Not Found",VLOOKUP(C545,'AOP25'!M:M,1,0))</f>
        <v>#N/A</v>
      </c>
      <c r="G545" t="e">
        <f t="shared" si="8"/>
        <v>#N/A</v>
      </c>
    </row>
    <row r="546" spans="1:7" x14ac:dyDescent="0.25">
      <c r="A546">
        <f>BIdetails!G549</f>
        <v>0</v>
      </c>
      <c r="B546">
        <f>BIdetails!H549</f>
        <v>0</v>
      </c>
      <c r="C546">
        <f>BIdetails!J549</f>
        <v>0</v>
      </c>
      <c r="D546">
        <f>BIdetails!K549</f>
        <v>0</v>
      </c>
      <c r="E546" s="165">
        <f>BIdetails!M549</f>
        <v>0</v>
      </c>
      <c r="F546" t="e">
        <f>IF(ISERROR(IF(OR(C546="#",C546=0),"",VLOOKUP(C546,'AOP25'!M:M,1,0))),"Not Found",VLOOKUP(C546,'AOP25'!M:M,1,0))</f>
        <v>#N/A</v>
      </c>
      <c r="G546" t="e">
        <f t="shared" si="8"/>
        <v>#N/A</v>
      </c>
    </row>
    <row r="547" spans="1:7" x14ac:dyDescent="0.25">
      <c r="A547">
        <f>BIdetails!G550</f>
        <v>0</v>
      </c>
      <c r="B547">
        <f>BIdetails!H550</f>
        <v>0</v>
      </c>
      <c r="C547">
        <f>BIdetails!J550</f>
        <v>0</v>
      </c>
      <c r="D547">
        <f>BIdetails!K550</f>
        <v>0</v>
      </c>
      <c r="E547" s="165">
        <f>BIdetails!M550</f>
        <v>0</v>
      </c>
      <c r="F547" t="e">
        <f>IF(ISERROR(IF(OR(C547="#",C547=0),"",VLOOKUP(C547,'AOP25'!M:M,1,0))),"Not Found",VLOOKUP(C547,'AOP25'!M:M,1,0))</f>
        <v>#N/A</v>
      </c>
      <c r="G547" t="e">
        <f t="shared" si="8"/>
        <v>#N/A</v>
      </c>
    </row>
    <row r="548" spans="1:7" x14ac:dyDescent="0.25">
      <c r="A548">
        <f>BIdetails!G551</f>
        <v>0</v>
      </c>
      <c r="B548">
        <f>BIdetails!H551</f>
        <v>0</v>
      </c>
      <c r="C548">
        <f>BIdetails!J551</f>
        <v>0</v>
      </c>
      <c r="D548">
        <f>BIdetails!K551</f>
        <v>0</v>
      </c>
      <c r="E548" s="165">
        <f>BIdetails!M551</f>
        <v>0</v>
      </c>
      <c r="F548" t="e">
        <f>IF(ISERROR(IF(OR(C548="#",C548=0),"",VLOOKUP(C548,'AOP25'!M:M,1,0))),"Not Found",VLOOKUP(C548,'AOP25'!M:M,1,0))</f>
        <v>#N/A</v>
      </c>
      <c r="G548" t="e">
        <f t="shared" si="8"/>
        <v>#N/A</v>
      </c>
    </row>
    <row r="549" spans="1:7" x14ac:dyDescent="0.25">
      <c r="A549">
        <f>BIdetails!G552</f>
        <v>0</v>
      </c>
      <c r="B549">
        <f>BIdetails!H552</f>
        <v>0</v>
      </c>
      <c r="C549">
        <f>BIdetails!J552</f>
        <v>0</v>
      </c>
      <c r="D549">
        <f>BIdetails!K552</f>
        <v>0</v>
      </c>
      <c r="E549" s="165">
        <f>BIdetails!M552</f>
        <v>0</v>
      </c>
      <c r="F549" t="e">
        <f>IF(ISERROR(IF(OR(C549="#",C549=0),"",VLOOKUP(C549,'AOP25'!M:M,1,0))),"Not Found",VLOOKUP(C549,'AOP25'!M:M,1,0))</f>
        <v>#N/A</v>
      </c>
      <c r="G549" t="e">
        <f t="shared" si="8"/>
        <v>#N/A</v>
      </c>
    </row>
    <row r="550" spans="1:7" x14ac:dyDescent="0.25">
      <c r="A550">
        <f>BIdetails!G553</f>
        <v>0</v>
      </c>
      <c r="B550">
        <f>BIdetails!H553</f>
        <v>0</v>
      </c>
      <c r="C550">
        <f>BIdetails!J553</f>
        <v>0</v>
      </c>
      <c r="D550">
        <f>BIdetails!K553</f>
        <v>0</v>
      </c>
      <c r="E550" s="165">
        <f>BIdetails!M553</f>
        <v>0</v>
      </c>
      <c r="F550" t="e">
        <f>IF(ISERROR(IF(OR(C550="#",C550=0),"",VLOOKUP(C550,'AOP25'!M:M,1,0))),"Not Found",VLOOKUP(C550,'AOP25'!M:M,1,0))</f>
        <v>#N/A</v>
      </c>
      <c r="G550" t="e">
        <f t="shared" si="8"/>
        <v>#N/A</v>
      </c>
    </row>
    <row r="551" spans="1:7" hidden="1" x14ac:dyDescent="0.25">
      <c r="A551">
        <f>BIdetails!G554</f>
        <v>0</v>
      </c>
      <c r="B551">
        <f>BIdetails!H554</f>
        <v>0</v>
      </c>
      <c r="C551">
        <f>BIdetails!J554</f>
        <v>0</v>
      </c>
      <c r="D551">
        <f>BIdetails!K554</f>
        <v>0</v>
      </c>
      <c r="E551" s="165">
        <f>BIdetails!M554</f>
        <v>0</v>
      </c>
      <c r="F551" t="e">
        <f>IF(ISERROR(IF(OR(C551="#",C551=0),"",VLOOKUP(C551,'AOP25'!M:M,1,0))),"Not Found",VLOOKUP(C551,'AOP25'!M:M,1,0))</f>
        <v>#N/A</v>
      </c>
      <c r="G551" t="e">
        <f t="shared" si="8"/>
        <v>#N/A</v>
      </c>
    </row>
    <row r="552" spans="1:7" x14ac:dyDescent="0.25">
      <c r="A552">
        <f>BIdetails!G555</f>
        <v>0</v>
      </c>
      <c r="B552">
        <f>BIdetails!H555</f>
        <v>0</v>
      </c>
      <c r="C552">
        <f>BIdetails!J555</f>
        <v>0</v>
      </c>
      <c r="D552">
        <f>BIdetails!K555</f>
        <v>0</v>
      </c>
      <c r="E552" s="165">
        <f>BIdetails!M555</f>
        <v>0</v>
      </c>
      <c r="F552" t="e">
        <f>IF(ISERROR(IF(OR(C552="#",C552=0),"",VLOOKUP(C552,'AOP25'!M:M,1,0))),"Not Found",VLOOKUP(C552,'AOP25'!M:M,1,0))</f>
        <v>#N/A</v>
      </c>
      <c r="G552" t="e">
        <f t="shared" si="8"/>
        <v>#N/A</v>
      </c>
    </row>
    <row r="553" spans="1:7" x14ac:dyDescent="0.25">
      <c r="A553">
        <f>BIdetails!G556</f>
        <v>0</v>
      </c>
      <c r="B553">
        <f>BIdetails!H556</f>
        <v>0</v>
      </c>
      <c r="C553">
        <f>BIdetails!J556</f>
        <v>0</v>
      </c>
      <c r="D553">
        <f>BIdetails!K556</f>
        <v>0</v>
      </c>
      <c r="E553" s="165">
        <f>BIdetails!M556</f>
        <v>0</v>
      </c>
      <c r="F553" t="e">
        <f>IF(ISERROR(IF(OR(C553="#",C553=0),"",VLOOKUP(C553,'AOP25'!M:M,1,0))),"Not Found",VLOOKUP(C553,'AOP25'!M:M,1,0))</f>
        <v>#N/A</v>
      </c>
      <c r="G553" t="e">
        <f t="shared" si="8"/>
        <v>#N/A</v>
      </c>
    </row>
    <row r="554" spans="1:7" x14ac:dyDescent="0.25">
      <c r="A554">
        <f>BIdetails!G557</f>
        <v>0</v>
      </c>
      <c r="B554">
        <f>BIdetails!H557</f>
        <v>0</v>
      </c>
      <c r="C554">
        <f>BIdetails!J557</f>
        <v>0</v>
      </c>
      <c r="D554">
        <f>BIdetails!K557</f>
        <v>0</v>
      </c>
      <c r="E554" s="165">
        <f>BIdetails!M557</f>
        <v>0</v>
      </c>
      <c r="F554" t="e">
        <f>IF(ISERROR(IF(OR(C554="#",C554=0),"",VLOOKUP(C554,'AOP25'!M:M,1,0))),"Not Found",VLOOKUP(C554,'AOP25'!M:M,1,0))</f>
        <v>#N/A</v>
      </c>
      <c r="G554" t="e">
        <f t="shared" si="8"/>
        <v>#N/A</v>
      </c>
    </row>
    <row r="555" spans="1:7" hidden="1" x14ac:dyDescent="0.25">
      <c r="A555">
        <f>BIdetails!G558</f>
        <v>0</v>
      </c>
      <c r="B555">
        <f>BIdetails!H558</f>
        <v>0</v>
      </c>
      <c r="C555">
        <f>BIdetails!J558</f>
        <v>0</v>
      </c>
      <c r="D555">
        <f>BIdetails!K558</f>
        <v>0</v>
      </c>
      <c r="E555" s="165">
        <f>BIdetails!M558</f>
        <v>0</v>
      </c>
      <c r="F555" t="e">
        <f>IF(ISERROR(IF(OR(C555="#",C555=0),"",VLOOKUP(C555,'AOP25'!M:M,1,0))),"Not Found",VLOOKUP(C555,'AOP25'!M:M,1,0))</f>
        <v>#N/A</v>
      </c>
      <c r="G555" t="e">
        <f t="shared" si="8"/>
        <v>#N/A</v>
      </c>
    </row>
    <row r="556" spans="1:7" hidden="1" x14ac:dyDescent="0.25">
      <c r="A556">
        <f>BIdetails!G559</f>
        <v>0</v>
      </c>
      <c r="B556">
        <f>BIdetails!H559</f>
        <v>0</v>
      </c>
      <c r="C556">
        <f>BIdetails!J559</f>
        <v>0</v>
      </c>
      <c r="D556">
        <f>BIdetails!K559</f>
        <v>0</v>
      </c>
      <c r="E556" s="165">
        <f>BIdetails!M559</f>
        <v>0</v>
      </c>
      <c r="F556" t="e">
        <f>IF(ISERROR(IF(OR(C556="#",C556=0),"",VLOOKUP(C556,'AOP25'!M:M,1,0))),"Not Found",VLOOKUP(C556,'AOP25'!M:M,1,0))</f>
        <v>#N/A</v>
      </c>
      <c r="G556" t="e">
        <f t="shared" si="8"/>
        <v>#N/A</v>
      </c>
    </row>
    <row r="557" spans="1:7" hidden="1" x14ac:dyDescent="0.25">
      <c r="A557">
        <f>BIdetails!G560</f>
        <v>0</v>
      </c>
      <c r="B557">
        <f>BIdetails!H560</f>
        <v>0</v>
      </c>
      <c r="C557">
        <f>BIdetails!J560</f>
        <v>0</v>
      </c>
      <c r="D557">
        <f>BIdetails!K560</f>
        <v>0</v>
      </c>
      <c r="E557" s="165">
        <f>BIdetails!M560</f>
        <v>0</v>
      </c>
      <c r="F557" t="e">
        <f>IF(ISERROR(IF(OR(C557="#",C557=0),"",VLOOKUP(C557,'AOP25'!M:M,1,0))),"Not Found",VLOOKUP(C557,'AOP25'!M:M,1,0))</f>
        <v>#N/A</v>
      </c>
      <c r="G557" t="e">
        <f t="shared" si="8"/>
        <v>#N/A</v>
      </c>
    </row>
    <row r="558" spans="1:7" hidden="1" x14ac:dyDescent="0.25">
      <c r="A558">
        <f>BIdetails!G561</f>
        <v>0</v>
      </c>
      <c r="B558">
        <f>BIdetails!H561</f>
        <v>0</v>
      </c>
      <c r="C558">
        <f>BIdetails!J561</f>
        <v>0</v>
      </c>
      <c r="D558">
        <f>BIdetails!K561</f>
        <v>0</v>
      </c>
      <c r="E558" s="165">
        <f>BIdetails!M561</f>
        <v>0</v>
      </c>
      <c r="F558" t="e">
        <f>IF(ISERROR(IF(OR(C558="#",C558=0),"",VLOOKUP(C558,'AOP25'!M:M,1,0))),"Not Found",VLOOKUP(C558,'AOP25'!M:M,1,0))</f>
        <v>#N/A</v>
      </c>
      <c r="G558" t="e">
        <f t="shared" si="8"/>
        <v>#N/A</v>
      </c>
    </row>
    <row r="559" spans="1:7" hidden="1" x14ac:dyDescent="0.25">
      <c r="A559">
        <f>BIdetails!G562</f>
        <v>0</v>
      </c>
      <c r="B559">
        <f>BIdetails!H562</f>
        <v>0</v>
      </c>
      <c r="C559">
        <f>BIdetails!J562</f>
        <v>0</v>
      </c>
      <c r="D559">
        <f>BIdetails!K562</f>
        <v>0</v>
      </c>
      <c r="E559" s="165">
        <f>BIdetails!M562</f>
        <v>0</v>
      </c>
      <c r="F559" t="e">
        <f>IF(ISERROR(IF(OR(C559="#",C559=0),"",VLOOKUP(C559,'AOP25'!M:M,1,0))),"Not Found",VLOOKUP(C559,'AOP25'!M:M,1,0))</f>
        <v>#N/A</v>
      </c>
      <c r="G559" t="e">
        <f t="shared" si="8"/>
        <v>#N/A</v>
      </c>
    </row>
    <row r="560" spans="1:7" hidden="1" x14ac:dyDescent="0.25">
      <c r="A560">
        <f>BIdetails!G563</f>
        <v>0</v>
      </c>
      <c r="B560">
        <f>BIdetails!H563</f>
        <v>0</v>
      </c>
      <c r="C560">
        <f>BIdetails!J563</f>
        <v>0</v>
      </c>
      <c r="D560">
        <f>BIdetails!K563</f>
        <v>0</v>
      </c>
      <c r="E560" s="165">
        <f>BIdetails!M563</f>
        <v>0</v>
      </c>
      <c r="F560" t="e">
        <f>IF(ISERROR(IF(OR(C560="#",C560=0),"",VLOOKUP(C560,'AOP25'!M:M,1,0))),"Not Found",VLOOKUP(C560,'AOP25'!M:M,1,0))</f>
        <v>#N/A</v>
      </c>
      <c r="G560" t="e">
        <f t="shared" si="8"/>
        <v>#N/A</v>
      </c>
    </row>
    <row r="561" spans="1:7" hidden="1" x14ac:dyDescent="0.25">
      <c r="A561">
        <f>BIdetails!G564</f>
        <v>0</v>
      </c>
      <c r="B561">
        <f>BIdetails!H564</f>
        <v>0</v>
      </c>
      <c r="C561">
        <f>BIdetails!J564</f>
        <v>0</v>
      </c>
      <c r="D561">
        <f>BIdetails!K564</f>
        <v>0</v>
      </c>
      <c r="E561" s="165">
        <f>BIdetails!M564</f>
        <v>0</v>
      </c>
      <c r="F561" t="e">
        <f>IF(ISERROR(IF(OR(C561="#",C561=0),"",VLOOKUP(C561,'AOP25'!M:M,1,0))),"Not Found",VLOOKUP(C561,'AOP25'!M:M,1,0))</f>
        <v>#N/A</v>
      </c>
      <c r="G561" t="e">
        <f t="shared" si="8"/>
        <v>#N/A</v>
      </c>
    </row>
    <row r="562" spans="1:7" hidden="1" x14ac:dyDescent="0.25">
      <c r="A562">
        <f>BIdetails!G565</f>
        <v>0</v>
      </c>
      <c r="B562">
        <f>BIdetails!H565</f>
        <v>0</v>
      </c>
      <c r="C562">
        <f>BIdetails!J565</f>
        <v>0</v>
      </c>
      <c r="D562">
        <f>BIdetails!K565</f>
        <v>0</v>
      </c>
      <c r="E562" s="165">
        <f>BIdetails!M565</f>
        <v>0</v>
      </c>
      <c r="F562" t="e">
        <f>IF(ISERROR(IF(OR(C562="#",C562=0),"",VLOOKUP(C562,'AOP25'!M:M,1,0))),"Not Found",VLOOKUP(C562,'AOP25'!M:M,1,0))</f>
        <v>#N/A</v>
      </c>
      <c r="G562" t="e">
        <f t="shared" si="8"/>
        <v>#N/A</v>
      </c>
    </row>
    <row r="563" spans="1:7" hidden="1" x14ac:dyDescent="0.25">
      <c r="A563">
        <f>BIdetails!G566</f>
        <v>0</v>
      </c>
      <c r="B563">
        <f>BIdetails!H566</f>
        <v>0</v>
      </c>
      <c r="C563">
        <f>BIdetails!J566</f>
        <v>0</v>
      </c>
      <c r="D563">
        <f>BIdetails!K566</f>
        <v>0</v>
      </c>
      <c r="E563" s="165">
        <f>BIdetails!M566</f>
        <v>0</v>
      </c>
      <c r="F563" t="e">
        <f>IF(ISERROR(IF(OR(C563="#",C563=0),"",VLOOKUP(C563,'AOP25'!M:M,1,0))),"Not Found",VLOOKUP(C563,'AOP25'!M:M,1,0))</f>
        <v>#N/A</v>
      </c>
      <c r="G563" t="e">
        <f t="shared" si="8"/>
        <v>#N/A</v>
      </c>
    </row>
    <row r="564" spans="1:7" hidden="1" x14ac:dyDescent="0.25">
      <c r="A564">
        <f>BIdetails!G567</f>
        <v>0</v>
      </c>
      <c r="B564">
        <f>BIdetails!H567</f>
        <v>0</v>
      </c>
      <c r="C564">
        <f>BIdetails!J567</f>
        <v>0</v>
      </c>
      <c r="D564">
        <f>BIdetails!K567</f>
        <v>0</v>
      </c>
      <c r="E564" s="165">
        <f>BIdetails!M567</f>
        <v>0</v>
      </c>
      <c r="F564" t="e">
        <f>IF(ISERROR(IF(OR(C564="#",C564=0),"",VLOOKUP(C564,'AOP25'!M:M,1,0))),"Not Found",VLOOKUP(C564,'AOP25'!M:M,1,0))</f>
        <v>#N/A</v>
      </c>
      <c r="G564" t="e">
        <f t="shared" si="8"/>
        <v>#N/A</v>
      </c>
    </row>
    <row r="565" spans="1:7" hidden="1" x14ac:dyDescent="0.25">
      <c r="A565">
        <f>BIdetails!G568</f>
        <v>0</v>
      </c>
      <c r="B565">
        <f>BIdetails!H568</f>
        <v>0</v>
      </c>
      <c r="C565">
        <f>BIdetails!J568</f>
        <v>0</v>
      </c>
      <c r="D565">
        <f>BIdetails!K568</f>
        <v>0</v>
      </c>
      <c r="E565" s="165">
        <f>BIdetails!M568</f>
        <v>0</v>
      </c>
      <c r="F565" t="e">
        <f>IF(ISERROR(IF(OR(C565="#",C565=0),"",VLOOKUP(C565,'AOP25'!M:M,1,0))),"Not Found",VLOOKUP(C565,'AOP25'!M:M,1,0))</f>
        <v>#N/A</v>
      </c>
      <c r="G565" t="e">
        <f t="shared" si="8"/>
        <v>#N/A</v>
      </c>
    </row>
    <row r="566" spans="1:7" hidden="1" x14ac:dyDescent="0.25">
      <c r="A566">
        <f>BIdetails!G569</f>
        <v>0</v>
      </c>
      <c r="B566">
        <f>BIdetails!H569</f>
        <v>0</v>
      </c>
      <c r="C566">
        <f>BIdetails!J569</f>
        <v>0</v>
      </c>
      <c r="D566">
        <f>BIdetails!K569</f>
        <v>0</v>
      </c>
      <c r="E566" s="165">
        <f>BIdetails!M569</f>
        <v>0</v>
      </c>
      <c r="F566" t="e">
        <f>IF(ISERROR(IF(OR(C566="#",C566=0),"",VLOOKUP(C566,'AOP25'!M:M,1,0))),"Not Found",VLOOKUP(C566,'AOP25'!M:M,1,0))</f>
        <v>#N/A</v>
      </c>
      <c r="G566" t="e">
        <f t="shared" si="8"/>
        <v>#N/A</v>
      </c>
    </row>
    <row r="567" spans="1:7" hidden="1" x14ac:dyDescent="0.25">
      <c r="A567">
        <f>BIdetails!G570</f>
        <v>0</v>
      </c>
      <c r="B567">
        <f>BIdetails!H570</f>
        <v>0</v>
      </c>
      <c r="C567">
        <f>BIdetails!J570</f>
        <v>0</v>
      </c>
      <c r="D567">
        <f>BIdetails!K570</f>
        <v>0</v>
      </c>
      <c r="E567" s="165">
        <f>BIdetails!M570</f>
        <v>0</v>
      </c>
      <c r="F567" t="e">
        <f>IF(ISERROR(IF(OR(C567="#",C567=0),"",VLOOKUP(C567,'AOP25'!M:M,1,0))),"Not Found",VLOOKUP(C567,'AOP25'!M:M,1,0))</f>
        <v>#N/A</v>
      </c>
      <c r="G567" t="e">
        <f t="shared" si="8"/>
        <v>#N/A</v>
      </c>
    </row>
    <row r="568" spans="1:7" hidden="1" x14ac:dyDescent="0.25">
      <c r="A568">
        <f>BIdetails!G571</f>
        <v>0</v>
      </c>
      <c r="B568">
        <f>BIdetails!H571</f>
        <v>0</v>
      </c>
      <c r="C568">
        <f>BIdetails!J571</f>
        <v>0</v>
      </c>
      <c r="D568">
        <f>BIdetails!K571</f>
        <v>0</v>
      </c>
      <c r="E568" s="165">
        <f>BIdetails!M571</f>
        <v>0</v>
      </c>
      <c r="F568" t="e">
        <f>IF(ISERROR(IF(OR(C568="#",C568=0),"",VLOOKUP(C568,'AOP25'!M:M,1,0))),"Not Found",VLOOKUP(C568,'AOP25'!M:M,1,0))</f>
        <v>#N/A</v>
      </c>
      <c r="G568" t="e">
        <f t="shared" si="8"/>
        <v>#N/A</v>
      </c>
    </row>
    <row r="569" spans="1:7" hidden="1" x14ac:dyDescent="0.25">
      <c r="A569">
        <f>BIdetails!G572</f>
        <v>0</v>
      </c>
      <c r="B569">
        <f>BIdetails!H572</f>
        <v>0</v>
      </c>
      <c r="C569">
        <f>BIdetails!J572</f>
        <v>0</v>
      </c>
      <c r="D569">
        <f>BIdetails!K572</f>
        <v>0</v>
      </c>
      <c r="E569" s="165">
        <f>BIdetails!M572</f>
        <v>0</v>
      </c>
      <c r="F569" t="e">
        <f>IF(ISERROR(IF(OR(C569="#",C569=0),"",VLOOKUP(C569,'AOP25'!M:M,1,0))),"Not Found",VLOOKUP(C569,'AOP25'!M:M,1,0))</f>
        <v>#N/A</v>
      </c>
      <c r="G569" t="e">
        <f t="shared" si="8"/>
        <v>#N/A</v>
      </c>
    </row>
    <row r="570" spans="1:7" hidden="1" x14ac:dyDescent="0.25">
      <c r="A570">
        <f>BIdetails!G573</f>
        <v>0</v>
      </c>
      <c r="B570">
        <f>BIdetails!H573</f>
        <v>0</v>
      </c>
      <c r="C570">
        <f>BIdetails!J573</f>
        <v>0</v>
      </c>
      <c r="D570">
        <f>BIdetails!K573</f>
        <v>0</v>
      </c>
      <c r="E570" s="165">
        <f>BIdetails!M573</f>
        <v>0</v>
      </c>
      <c r="F570" t="e">
        <f>IF(ISERROR(IF(OR(C570="#",C570=0),"",VLOOKUP(C570,'AOP25'!M:M,1,0))),"Not Found",VLOOKUP(C570,'AOP25'!M:M,1,0))</f>
        <v>#N/A</v>
      </c>
      <c r="G570" t="e">
        <f t="shared" ref="G570:G633" si="9">IF(NOT(ISERROR(VLOOKUP(C570,$K$2:$K$50,1,0))),"Y",VLOOKUP(C570,$K$2:$K$50,1,0))</f>
        <v>#N/A</v>
      </c>
    </row>
    <row r="571" spans="1:7" hidden="1" x14ac:dyDescent="0.25">
      <c r="A571">
        <f>BIdetails!G574</f>
        <v>0</v>
      </c>
      <c r="B571">
        <f>BIdetails!H574</f>
        <v>0</v>
      </c>
      <c r="C571">
        <f>BIdetails!J574</f>
        <v>0</v>
      </c>
      <c r="D571">
        <f>BIdetails!K574</f>
        <v>0</v>
      </c>
      <c r="E571" s="165">
        <f>BIdetails!M574</f>
        <v>0</v>
      </c>
      <c r="F571" t="e">
        <f>IF(ISERROR(IF(OR(C571="#",C571=0),"",VLOOKUP(C571,'AOP25'!M:M,1,0))),"Not Found",VLOOKUP(C571,'AOP25'!M:M,1,0))</f>
        <v>#N/A</v>
      </c>
      <c r="G571" t="e">
        <f t="shared" si="9"/>
        <v>#N/A</v>
      </c>
    </row>
    <row r="572" spans="1:7" hidden="1" x14ac:dyDescent="0.25">
      <c r="A572">
        <f>BIdetails!G575</f>
        <v>0</v>
      </c>
      <c r="B572">
        <f>BIdetails!H575</f>
        <v>0</v>
      </c>
      <c r="C572">
        <f>BIdetails!J575</f>
        <v>0</v>
      </c>
      <c r="D572">
        <f>BIdetails!K575</f>
        <v>0</v>
      </c>
      <c r="E572" s="165">
        <f>BIdetails!M575</f>
        <v>0</v>
      </c>
      <c r="F572" t="e">
        <f>IF(ISERROR(IF(OR(C572="#",C572=0),"",VLOOKUP(C572,'AOP25'!M:M,1,0))),"Not Found",VLOOKUP(C572,'AOP25'!M:M,1,0))</f>
        <v>#N/A</v>
      </c>
      <c r="G572" t="e">
        <f t="shared" si="9"/>
        <v>#N/A</v>
      </c>
    </row>
    <row r="573" spans="1:7" hidden="1" x14ac:dyDescent="0.25">
      <c r="A573">
        <f>BIdetails!G576</f>
        <v>0</v>
      </c>
      <c r="B573">
        <f>BIdetails!H576</f>
        <v>0</v>
      </c>
      <c r="C573">
        <f>BIdetails!J576</f>
        <v>0</v>
      </c>
      <c r="D573">
        <f>BIdetails!K576</f>
        <v>0</v>
      </c>
      <c r="E573" s="165">
        <f>BIdetails!M576</f>
        <v>0</v>
      </c>
      <c r="F573" t="e">
        <f>IF(ISERROR(IF(OR(C573="#",C573=0),"",VLOOKUP(C573,'AOP25'!M:M,1,0))),"Not Found",VLOOKUP(C573,'AOP25'!M:M,1,0))</f>
        <v>#N/A</v>
      </c>
      <c r="G573" t="e">
        <f t="shared" si="9"/>
        <v>#N/A</v>
      </c>
    </row>
    <row r="574" spans="1:7" hidden="1" x14ac:dyDescent="0.25">
      <c r="A574">
        <f>BIdetails!G577</f>
        <v>0</v>
      </c>
      <c r="B574">
        <f>BIdetails!H577</f>
        <v>0</v>
      </c>
      <c r="C574">
        <f>BIdetails!J577</f>
        <v>0</v>
      </c>
      <c r="D574">
        <f>BIdetails!K577</f>
        <v>0</v>
      </c>
      <c r="E574" s="165">
        <f>BIdetails!M577</f>
        <v>0</v>
      </c>
      <c r="F574" t="e">
        <f>IF(ISERROR(IF(OR(C574="#",C574=0),"",VLOOKUP(C574,'AOP25'!M:M,1,0))),"Not Found",VLOOKUP(C574,'AOP25'!M:M,1,0))</f>
        <v>#N/A</v>
      </c>
      <c r="G574" t="e">
        <f t="shared" si="9"/>
        <v>#N/A</v>
      </c>
    </row>
    <row r="575" spans="1:7" hidden="1" x14ac:dyDescent="0.25">
      <c r="A575">
        <f>BIdetails!G578</f>
        <v>0</v>
      </c>
      <c r="B575">
        <f>BIdetails!H578</f>
        <v>0</v>
      </c>
      <c r="C575">
        <f>BIdetails!J578</f>
        <v>0</v>
      </c>
      <c r="D575">
        <f>BIdetails!K578</f>
        <v>0</v>
      </c>
      <c r="E575" s="165">
        <f>BIdetails!M578</f>
        <v>0</v>
      </c>
      <c r="F575" t="e">
        <f>IF(ISERROR(IF(OR(C575="#",C575=0),"",VLOOKUP(C575,'AOP25'!M:M,1,0))),"Not Found",VLOOKUP(C575,'AOP25'!M:M,1,0))</f>
        <v>#N/A</v>
      </c>
      <c r="G575" t="e">
        <f t="shared" si="9"/>
        <v>#N/A</v>
      </c>
    </row>
    <row r="576" spans="1:7" hidden="1" x14ac:dyDescent="0.25">
      <c r="A576">
        <f>BIdetails!G579</f>
        <v>0</v>
      </c>
      <c r="B576">
        <f>BIdetails!H579</f>
        <v>0</v>
      </c>
      <c r="C576">
        <f>BIdetails!J579</f>
        <v>0</v>
      </c>
      <c r="D576">
        <f>BIdetails!K579</f>
        <v>0</v>
      </c>
      <c r="E576" s="165">
        <f>BIdetails!M579</f>
        <v>0</v>
      </c>
      <c r="F576" t="e">
        <f>IF(ISERROR(IF(OR(C576="#",C576=0),"",VLOOKUP(C576,'AOP25'!M:M,1,0))),"Not Found",VLOOKUP(C576,'AOP25'!M:M,1,0))</f>
        <v>#N/A</v>
      </c>
      <c r="G576" t="e">
        <f t="shared" si="9"/>
        <v>#N/A</v>
      </c>
    </row>
    <row r="577" spans="1:7" hidden="1" x14ac:dyDescent="0.25">
      <c r="A577">
        <f>BIdetails!G580</f>
        <v>0</v>
      </c>
      <c r="B577">
        <f>BIdetails!H580</f>
        <v>0</v>
      </c>
      <c r="C577">
        <f>BIdetails!J580</f>
        <v>0</v>
      </c>
      <c r="D577">
        <f>BIdetails!K580</f>
        <v>0</v>
      </c>
      <c r="E577" s="165">
        <f>BIdetails!M580</f>
        <v>0</v>
      </c>
      <c r="F577" t="e">
        <f>IF(ISERROR(IF(OR(C577="#",C577=0),"",VLOOKUP(C577,'AOP25'!M:M,1,0))),"Not Found",VLOOKUP(C577,'AOP25'!M:M,1,0))</f>
        <v>#N/A</v>
      </c>
      <c r="G577" t="e">
        <f t="shared" si="9"/>
        <v>#N/A</v>
      </c>
    </row>
    <row r="578" spans="1:7" hidden="1" x14ac:dyDescent="0.25">
      <c r="A578">
        <f>BIdetails!G581</f>
        <v>0</v>
      </c>
      <c r="B578">
        <f>BIdetails!H581</f>
        <v>0</v>
      </c>
      <c r="C578">
        <f>BIdetails!J581</f>
        <v>0</v>
      </c>
      <c r="D578">
        <f>BIdetails!K581</f>
        <v>0</v>
      </c>
      <c r="E578" s="165">
        <f>BIdetails!M581</f>
        <v>0</v>
      </c>
      <c r="F578" t="e">
        <f>IF(ISERROR(IF(OR(C578="#",C578=0),"",VLOOKUP(C578,'AOP25'!M:M,1,0))),"Not Found",VLOOKUP(C578,'AOP25'!M:M,1,0))</f>
        <v>#N/A</v>
      </c>
      <c r="G578" t="e">
        <f t="shared" si="9"/>
        <v>#N/A</v>
      </c>
    </row>
    <row r="579" spans="1:7" hidden="1" x14ac:dyDescent="0.25">
      <c r="A579">
        <f>BIdetails!G582</f>
        <v>0</v>
      </c>
      <c r="B579">
        <f>BIdetails!H582</f>
        <v>0</v>
      </c>
      <c r="C579">
        <f>BIdetails!J582</f>
        <v>0</v>
      </c>
      <c r="D579">
        <f>BIdetails!K582</f>
        <v>0</v>
      </c>
      <c r="E579" s="165">
        <f>BIdetails!M582</f>
        <v>0</v>
      </c>
      <c r="F579" t="e">
        <f>IF(ISERROR(IF(OR(C579="#",C579=0),"",VLOOKUP(C579,'AOP25'!M:M,1,0))),"Not Found",VLOOKUP(C579,'AOP25'!M:M,1,0))</f>
        <v>#N/A</v>
      </c>
      <c r="G579" t="e">
        <f t="shared" si="9"/>
        <v>#N/A</v>
      </c>
    </row>
    <row r="580" spans="1:7" hidden="1" x14ac:dyDescent="0.25">
      <c r="A580">
        <f>BIdetails!G583</f>
        <v>0</v>
      </c>
      <c r="B580">
        <f>BIdetails!H583</f>
        <v>0</v>
      </c>
      <c r="C580">
        <f>BIdetails!J583</f>
        <v>0</v>
      </c>
      <c r="D580">
        <f>BIdetails!K583</f>
        <v>0</v>
      </c>
      <c r="E580" s="165">
        <f>BIdetails!M583</f>
        <v>0</v>
      </c>
      <c r="F580" t="e">
        <f>IF(ISERROR(IF(OR(C580="#",C580=0),"",VLOOKUP(C580,'AOP25'!M:M,1,0))),"Not Found",VLOOKUP(C580,'AOP25'!M:M,1,0))</f>
        <v>#N/A</v>
      </c>
      <c r="G580" t="e">
        <f t="shared" si="9"/>
        <v>#N/A</v>
      </c>
    </row>
    <row r="581" spans="1:7" hidden="1" x14ac:dyDescent="0.25">
      <c r="A581">
        <f>BIdetails!G584</f>
        <v>0</v>
      </c>
      <c r="B581">
        <f>BIdetails!H584</f>
        <v>0</v>
      </c>
      <c r="C581">
        <f>BIdetails!J584</f>
        <v>0</v>
      </c>
      <c r="D581">
        <f>BIdetails!K584</f>
        <v>0</v>
      </c>
      <c r="E581" s="165">
        <f>BIdetails!M584</f>
        <v>0</v>
      </c>
      <c r="F581" t="e">
        <f>IF(ISERROR(IF(OR(C581="#",C581=0),"",VLOOKUP(C581,'AOP25'!M:M,1,0))),"Not Found",VLOOKUP(C581,'AOP25'!M:M,1,0))</f>
        <v>#N/A</v>
      </c>
      <c r="G581" t="e">
        <f t="shared" si="9"/>
        <v>#N/A</v>
      </c>
    </row>
    <row r="582" spans="1:7" hidden="1" x14ac:dyDescent="0.25">
      <c r="A582">
        <f>BIdetails!G585</f>
        <v>0</v>
      </c>
      <c r="B582">
        <f>BIdetails!H585</f>
        <v>0</v>
      </c>
      <c r="C582">
        <f>BIdetails!J585</f>
        <v>0</v>
      </c>
      <c r="D582">
        <f>BIdetails!K585</f>
        <v>0</v>
      </c>
      <c r="E582" s="165">
        <f>BIdetails!M585</f>
        <v>0</v>
      </c>
      <c r="F582" t="e">
        <f>IF(ISERROR(IF(OR(C582="#",C582=0),"",VLOOKUP(C582,'AOP25'!M:M,1,0))),"Not Found",VLOOKUP(C582,'AOP25'!M:M,1,0))</f>
        <v>#N/A</v>
      </c>
      <c r="G582" t="e">
        <f t="shared" si="9"/>
        <v>#N/A</v>
      </c>
    </row>
    <row r="583" spans="1:7" hidden="1" x14ac:dyDescent="0.25">
      <c r="A583">
        <f>BIdetails!G586</f>
        <v>0</v>
      </c>
      <c r="B583">
        <f>BIdetails!H586</f>
        <v>0</v>
      </c>
      <c r="C583">
        <f>BIdetails!J586</f>
        <v>0</v>
      </c>
      <c r="D583">
        <f>BIdetails!K586</f>
        <v>0</v>
      </c>
      <c r="E583" s="165">
        <f>BIdetails!M586</f>
        <v>0</v>
      </c>
      <c r="F583" t="e">
        <f>IF(ISERROR(IF(OR(C583="#",C583=0),"",VLOOKUP(C583,'AOP25'!M:M,1,0))),"Not Found",VLOOKUP(C583,'AOP25'!M:M,1,0))</f>
        <v>#N/A</v>
      </c>
      <c r="G583" t="e">
        <f t="shared" si="9"/>
        <v>#N/A</v>
      </c>
    </row>
    <row r="584" spans="1:7" x14ac:dyDescent="0.25">
      <c r="A584">
        <f>BIdetails!G587</f>
        <v>0</v>
      </c>
      <c r="B584">
        <f>BIdetails!H587</f>
        <v>0</v>
      </c>
      <c r="C584">
        <f>BIdetails!J587</f>
        <v>0</v>
      </c>
      <c r="D584">
        <f>BIdetails!K587</f>
        <v>0</v>
      </c>
      <c r="E584" s="165">
        <f>BIdetails!M587</f>
        <v>0</v>
      </c>
      <c r="F584" t="e">
        <f>IF(ISERROR(IF(OR(C584="#",C584=0),"",VLOOKUP(C584,'AOP25'!M:M,1,0))),"Not Found",VLOOKUP(C584,'AOP25'!M:M,1,0))</f>
        <v>#N/A</v>
      </c>
      <c r="G584" t="e">
        <f t="shared" si="9"/>
        <v>#N/A</v>
      </c>
    </row>
    <row r="585" spans="1:7" hidden="1" x14ac:dyDescent="0.25">
      <c r="A585">
        <f>BIdetails!G588</f>
        <v>0</v>
      </c>
      <c r="B585">
        <f>BIdetails!H588</f>
        <v>0</v>
      </c>
      <c r="C585">
        <f>BIdetails!J588</f>
        <v>0</v>
      </c>
      <c r="D585">
        <f>BIdetails!K588</f>
        <v>0</v>
      </c>
      <c r="E585" s="165">
        <f>BIdetails!M588</f>
        <v>0</v>
      </c>
      <c r="F585" t="e">
        <f>IF(ISERROR(IF(OR(C585="#",C585=0),"",VLOOKUP(C585,'AOP25'!M:M,1,0))),"Not Found",VLOOKUP(C585,'AOP25'!M:M,1,0))</f>
        <v>#N/A</v>
      </c>
      <c r="G585" t="e">
        <f t="shared" si="9"/>
        <v>#N/A</v>
      </c>
    </row>
    <row r="586" spans="1:7" hidden="1" x14ac:dyDescent="0.25">
      <c r="A586">
        <f>BIdetails!G589</f>
        <v>0</v>
      </c>
      <c r="B586">
        <f>BIdetails!H589</f>
        <v>0</v>
      </c>
      <c r="C586">
        <f>BIdetails!J589</f>
        <v>0</v>
      </c>
      <c r="D586">
        <f>BIdetails!K589</f>
        <v>0</v>
      </c>
      <c r="E586" s="165">
        <f>BIdetails!M589</f>
        <v>0</v>
      </c>
      <c r="F586" t="e">
        <f>IF(ISERROR(IF(OR(C586="#",C586=0),"",VLOOKUP(C586,'AOP25'!M:M,1,0))),"Not Found",VLOOKUP(C586,'AOP25'!M:M,1,0))</f>
        <v>#N/A</v>
      </c>
      <c r="G586" t="e">
        <f t="shared" si="9"/>
        <v>#N/A</v>
      </c>
    </row>
    <row r="587" spans="1:7" hidden="1" x14ac:dyDescent="0.25">
      <c r="A587">
        <f>BIdetails!G590</f>
        <v>0</v>
      </c>
      <c r="B587">
        <f>BIdetails!H590</f>
        <v>0</v>
      </c>
      <c r="C587">
        <f>BIdetails!J590</f>
        <v>0</v>
      </c>
      <c r="D587">
        <f>BIdetails!K590</f>
        <v>0</v>
      </c>
      <c r="E587" s="165">
        <f>BIdetails!M590</f>
        <v>0</v>
      </c>
      <c r="F587" t="e">
        <f>IF(ISERROR(IF(OR(C587="#",C587=0),"",VLOOKUP(C587,'AOP25'!M:M,1,0))),"Not Found",VLOOKUP(C587,'AOP25'!M:M,1,0))</f>
        <v>#N/A</v>
      </c>
      <c r="G587" t="e">
        <f t="shared" si="9"/>
        <v>#N/A</v>
      </c>
    </row>
    <row r="588" spans="1:7" hidden="1" x14ac:dyDescent="0.25">
      <c r="A588">
        <f>BIdetails!G591</f>
        <v>0</v>
      </c>
      <c r="B588">
        <f>BIdetails!H591</f>
        <v>0</v>
      </c>
      <c r="C588">
        <f>BIdetails!J591</f>
        <v>0</v>
      </c>
      <c r="D588">
        <f>BIdetails!K591</f>
        <v>0</v>
      </c>
      <c r="E588" s="165">
        <f>BIdetails!M591</f>
        <v>0</v>
      </c>
      <c r="F588" t="e">
        <f>IF(ISERROR(IF(OR(C588="#",C588=0),"",VLOOKUP(C588,'AOP25'!M:M,1,0))),"Not Found",VLOOKUP(C588,'AOP25'!M:M,1,0))</f>
        <v>#N/A</v>
      </c>
      <c r="G588" t="e">
        <f t="shared" si="9"/>
        <v>#N/A</v>
      </c>
    </row>
    <row r="589" spans="1:7" hidden="1" x14ac:dyDescent="0.25">
      <c r="A589">
        <f>BIdetails!G592</f>
        <v>0</v>
      </c>
      <c r="B589">
        <f>BIdetails!H592</f>
        <v>0</v>
      </c>
      <c r="C589">
        <f>BIdetails!J592</f>
        <v>0</v>
      </c>
      <c r="D589">
        <f>BIdetails!K592</f>
        <v>0</v>
      </c>
      <c r="E589" s="165">
        <f>BIdetails!M592</f>
        <v>0</v>
      </c>
      <c r="F589" t="e">
        <f>IF(ISERROR(IF(OR(C589="#",C589=0),"",VLOOKUP(C589,'AOP25'!M:M,1,0))),"Not Found",VLOOKUP(C589,'AOP25'!M:M,1,0))</f>
        <v>#N/A</v>
      </c>
      <c r="G589" t="e">
        <f t="shared" si="9"/>
        <v>#N/A</v>
      </c>
    </row>
    <row r="590" spans="1:7" hidden="1" x14ac:dyDescent="0.25">
      <c r="A590">
        <f>BIdetails!G593</f>
        <v>0</v>
      </c>
      <c r="B590">
        <f>BIdetails!H593</f>
        <v>0</v>
      </c>
      <c r="C590">
        <f>BIdetails!J593</f>
        <v>0</v>
      </c>
      <c r="D590">
        <f>BIdetails!K593</f>
        <v>0</v>
      </c>
      <c r="E590" s="165">
        <f>BIdetails!M593</f>
        <v>0</v>
      </c>
      <c r="F590" t="e">
        <f>IF(ISERROR(IF(OR(C590="#",C590=0),"",VLOOKUP(C590,'AOP25'!M:M,1,0))),"Not Found",VLOOKUP(C590,'AOP25'!M:M,1,0))</f>
        <v>#N/A</v>
      </c>
      <c r="G590" t="e">
        <f t="shared" si="9"/>
        <v>#N/A</v>
      </c>
    </row>
    <row r="591" spans="1:7" x14ac:dyDescent="0.25">
      <c r="A591">
        <f>BIdetails!G594</f>
        <v>0</v>
      </c>
      <c r="B591">
        <f>BIdetails!H594</f>
        <v>0</v>
      </c>
      <c r="C591">
        <f>BIdetails!J594</f>
        <v>0</v>
      </c>
      <c r="D591">
        <f>BIdetails!K594</f>
        <v>0</v>
      </c>
      <c r="E591" s="165">
        <f>BIdetails!M594</f>
        <v>0</v>
      </c>
      <c r="F591" t="e">
        <f>IF(ISERROR(IF(OR(C591="#",C591=0),"",VLOOKUP(C591,'AOP25'!M:M,1,0))),"Not Found",VLOOKUP(C591,'AOP25'!M:M,1,0))</f>
        <v>#N/A</v>
      </c>
      <c r="G591" t="e">
        <f t="shared" si="9"/>
        <v>#N/A</v>
      </c>
    </row>
    <row r="592" spans="1:7" x14ac:dyDescent="0.25">
      <c r="A592">
        <f>BIdetails!G595</f>
        <v>0</v>
      </c>
      <c r="B592">
        <f>BIdetails!H595</f>
        <v>0</v>
      </c>
      <c r="C592">
        <f>BIdetails!J595</f>
        <v>0</v>
      </c>
      <c r="D592">
        <f>BIdetails!K595</f>
        <v>0</v>
      </c>
      <c r="E592" s="165">
        <f>BIdetails!M595</f>
        <v>0</v>
      </c>
      <c r="F592" t="e">
        <f>IF(ISERROR(IF(OR(C592="#",C592=0),"",VLOOKUP(C592,'AOP25'!M:M,1,0))),"Not Found",VLOOKUP(C592,'AOP25'!M:M,1,0))</f>
        <v>#N/A</v>
      </c>
      <c r="G592" t="e">
        <f t="shared" si="9"/>
        <v>#N/A</v>
      </c>
    </row>
    <row r="593" spans="1:7" hidden="1" x14ac:dyDescent="0.25">
      <c r="A593">
        <f>BIdetails!G596</f>
        <v>0</v>
      </c>
      <c r="B593">
        <f>BIdetails!H596</f>
        <v>0</v>
      </c>
      <c r="C593">
        <f>BIdetails!J596</f>
        <v>0</v>
      </c>
      <c r="D593">
        <f>BIdetails!K596</f>
        <v>0</v>
      </c>
      <c r="E593" s="165">
        <f>BIdetails!M596</f>
        <v>0</v>
      </c>
      <c r="F593" t="e">
        <f>IF(ISERROR(IF(OR(C593="#",C593=0),"",VLOOKUP(C593,'AOP25'!M:M,1,0))),"Not Found",VLOOKUP(C593,'AOP25'!M:M,1,0))</f>
        <v>#N/A</v>
      </c>
      <c r="G593" t="e">
        <f t="shared" si="9"/>
        <v>#N/A</v>
      </c>
    </row>
    <row r="594" spans="1:7" x14ac:dyDescent="0.25">
      <c r="A594">
        <f>BIdetails!G597</f>
        <v>0</v>
      </c>
      <c r="B594">
        <f>BIdetails!H597</f>
        <v>0</v>
      </c>
      <c r="C594">
        <f>BIdetails!J597</f>
        <v>0</v>
      </c>
      <c r="D594">
        <f>BIdetails!K597</f>
        <v>0</v>
      </c>
      <c r="E594" s="165">
        <f>BIdetails!M597</f>
        <v>0</v>
      </c>
      <c r="F594" t="e">
        <f>IF(ISERROR(IF(OR(C594="#",C594=0),"",VLOOKUP(C594,'AOP25'!M:M,1,0))),"Not Found",VLOOKUP(C594,'AOP25'!M:M,1,0))</f>
        <v>#N/A</v>
      </c>
      <c r="G594" t="e">
        <f t="shared" si="9"/>
        <v>#N/A</v>
      </c>
    </row>
    <row r="595" spans="1:7" x14ac:dyDescent="0.25">
      <c r="A595">
        <f>BIdetails!G598</f>
        <v>0</v>
      </c>
      <c r="B595">
        <f>BIdetails!H598</f>
        <v>0</v>
      </c>
      <c r="C595">
        <f>BIdetails!J598</f>
        <v>0</v>
      </c>
      <c r="D595">
        <f>BIdetails!K598</f>
        <v>0</v>
      </c>
      <c r="E595" s="165">
        <f>BIdetails!M598</f>
        <v>0</v>
      </c>
      <c r="F595" t="e">
        <f>IF(ISERROR(IF(OR(C595="#",C595=0),"",VLOOKUP(C595,'AOP25'!M:M,1,0))),"Not Found",VLOOKUP(C595,'AOP25'!M:M,1,0))</f>
        <v>#N/A</v>
      </c>
      <c r="G595" t="e">
        <f t="shared" si="9"/>
        <v>#N/A</v>
      </c>
    </row>
    <row r="596" spans="1:7" x14ac:dyDescent="0.25">
      <c r="A596">
        <f>BIdetails!G599</f>
        <v>0</v>
      </c>
      <c r="B596">
        <f>BIdetails!H599</f>
        <v>0</v>
      </c>
      <c r="C596">
        <f>BIdetails!J599</f>
        <v>0</v>
      </c>
      <c r="D596">
        <f>BIdetails!K599</f>
        <v>0</v>
      </c>
      <c r="E596" s="165">
        <f>BIdetails!M599</f>
        <v>0</v>
      </c>
      <c r="F596" t="e">
        <f>IF(ISERROR(IF(OR(C596="#",C596=0),"",VLOOKUP(C596,'AOP25'!M:M,1,0))),"Not Found",VLOOKUP(C596,'AOP25'!M:M,1,0))</f>
        <v>#N/A</v>
      </c>
      <c r="G596" t="e">
        <f t="shared" si="9"/>
        <v>#N/A</v>
      </c>
    </row>
    <row r="597" spans="1:7" x14ac:dyDescent="0.25">
      <c r="A597">
        <f>BIdetails!G600</f>
        <v>0</v>
      </c>
      <c r="B597">
        <f>BIdetails!H600</f>
        <v>0</v>
      </c>
      <c r="C597">
        <f>BIdetails!J600</f>
        <v>0</v>
      </c>
      <c r="D597">
        <f>BIdetails!K600</f>
        <v>0</v>
      </c>
      <c r="E597" s="165">
        <f>BIdetails!M600</f>
        <v>0</v>
      </c>
      <c r="F597" t="e">
        <f>IF(ISERROR(IF(OR(C597="#",C597=0),"",VLOOKUP(C597,'AOP25'!M:M,1,0))),"Not Found",VLOOKUP(C597,'AOP25'!M:M,1,0))</f>
        <v>#N/A</v>
      </c>
      <c r="G597" t="e">
        <f t="shared" si="9"/>
        <v>#N/A</v>
      </c>
    </row>
    <row r="598" spans="1:7" x14ac:dyDescent="0.25">
      <c r="A598">
        <f>BIdetails!G601</f>
        <v>0</v>
      </c>
      <c r="B598">
        <f>BIdetails!H601</f>
        <v>0</v>
      </c>
      <c r="C598">
        <f>BIdetails!J601</f>
        <v>0</v>
      </c>
      <c r="D598">
        <f>BIdetails!K601</f>
        <v>0</v>
      </c>
      <c r="E598" s="165">
        <f>BIdetails!M601</f>
        <v>0</v>
      </c>
      <c r="F598" t="e">
        <f>IF(ISERROR(IF(OR(C598="#",C598=0),"",VLOOKUP(C598,'AOP25'!M:M,1,0))),"Not Found",VLOOKUP(C598,'AOP25'!M:M,1,0))</f>
        <v>#N/A</v>
      </c>
      <c r="G598" t="e">
        <f t="shared" si="9"/>
        <v>#N/A</v>
      </c>
    </row>
    <row r="599" spans="1:7" x14ac:dyDescent="0.25">
      <c r="A599">
        <f>BIdetails!G602</f>
        <v>0</v>
      </c>
      <c r="B599">
        <f>BIdetails!H602</f>
        <v>0</v>
      </c>
      <c r="C599">
        <f>BIdetails!J602</f>
        <v>0</v>
      </c>
      <c r="D599">
        <f>BIdetails!K602</f>
        <v>0</v>
      </c>
      <c r="E599" s="165">
        <f>BIdetails!M602</f>
        <v>0</v>
      </c>
      <c r="F599" t="e">
        <f>IF(ISERROR(IF(OR(C599="#",C599=0),"",VLOOKUP(C599,'AOP25'!M:M,1,0))),"Not Found",VLOOKUP(C599,'AOP25'!M:M,1,0))</f>
        <v>#N/A</v>
      </c>
      <c r="G599" t="e">
        <f t="shared" si="9"/>
        <v>#N/A</v>
      </c>
    </row>
    <row r="600" spans="1:7" hidden="1" x14ac:dyDescent="0.25">
      <c r="A600">
        <f>BIdetails!G603</f>
        <v>0</v>
      </c>
      <c r="B600">
        <f>BIdetails!H603</f>
        <v>0</v>
      </c>
      <c r="C600">
        <f>BIdetails!J603</f>
        <v>0</v>
      </c>
      <c r="D600">
        <f>BIdetails!K603</f>
        <v>0</v>
      </c>
      <c r="E600" s="165">
        <f>BIdetails!M603</f>
        <v>0</v>
      </c>
      <c r="F600" t="e">
        <f>IF(ISERROR(IF(OR(C600="#",C600=0),"",VLOOKUP(C600,'AOP25'!M:M,1,0))),"Not Found",VLOOKUP(C600,'AOP25'!M:M,1,0))</f>
        <v>#N/A</v>
      </c>
      <c r="G600" t="e">
        <f t="shared" si="9"/>
        <v>#N/A</v>
      </c>
    </row>
    <row r="601" spans="1:7" x14ac:dyDescent="0.25">
      <c r="A601">
        <f>BIdetails!G604</f>
        <v>0</v>
      </c>
      <c r="B601">
        <f>BIdetails!H604</f>
        <v>0</v>
      </c>
      <c r="C601">
        <f>BIdetails!J604</f>
        <v>0</v>
      </c>
      <c r="D601">
        <f>BIdetails!K604</f>
        <v>0</v>
      </c>
      <c r="E601" s="165">
        <f>BIdetails!M604</f>
        <v>0</v>
      </c>
      <c r="F601" t="e">
        <f>IF(ISERROR(IF(OR(C601="#",C601=0),"",VLOOKUP(C601,'AOP25'!M:M,1,0))),"Not Found",VLOOKUP(C601,'AOP25'!M:M,1,0))</f>
        <v>#N/A</v>
      </c>
      <c r="G601" t="e">
        <f t="shared" si="9"/>
        <v>#N/A</v>
      </c>
    </row>
    <row r="602" spans="1:7" x14ac:dyDescent="0.25">
      <c r="A602">
        <f>BIdetails!G605</f>
        <v>0</v>
      </c>
      <c r="B602">
        <f>BIdetails!H605</f>
        <v>0</v>
      </c>
      <c r="C602">
        <f>BIdetails!J605</f>
        <v>0</v>
      </c>
      <c r="D602">
        <f>BIdetails!K605</f>
        <v>0</v>
      </c>
      <c r="E602" s="165">
        <f>BIdetails!M605</f>
        <v>0</v>
      </c>
      <c r="F602" t="e">
        <f>IF(ISERROR(IF(OR(C602="#",C602=0),"",VLOOKUP(C602,'AOP25'!M:M,1,0))),"Not Found",VLOOKUP(C602,'AOP25'!M:M,1,0))</f>
        <v>#N/A</v>
      </c>
      <c r="G602" t="e">
        <f t="shared" si="9"/>
        <v>#N/A</v>
      </c>
    </row>
    <row r="603" spans="1:7" hidden="1" x14ac:dyDescent="0.25">
      <c r="A603">
        <f>BIdetails!G606</f>
        <v>0</v>
      </c>
      <c r="B603">
        <f>BIdetails!H606</f>
        <v>0</v>
      </c>
      <c r="C603">
        <f>BIdetails!J606</f>
        <v>0</v>
      </c>
      <c r="D603">
        <f>BIdetails!K606</f>
        <v>0</v>
      </c>
      <c r="E603" s="165">
        <f>BIdetails!M606</f>
        <v>0</v>
      </c>
      <c r="F603" t="e">
        <f>IF(ISERROR(IF(OR(C603="#",C603=0),"",VLOOKUP(C603,'AOP25'!M:M,1,0))),"Not Found",VLOOKUP(C603,'AOP25'!M:M,1,0))</f>
        <v>#N/A</v>
      </c>
      <c r="G603" t="e">
        <f t="shared" si="9"/>
        <v>#N/A</v>
      </c>
    </row>
    <row r="604" spans="1:7" hidden="1" x14ac:dyDescent="0.25">
      <c r="A604">
        <f>BIdetails!G607</f>
        <v>0</v>
      </c>
      <c r="B604">
        <f>BIdetails!H607</f>
        <v>0</v>
      </c>
      <c r="C604">
        <f>BIdetails!J607</f>
        <v>0</v>
      </c>
      <c r="D604">
        <f>BIdetails!K607</f>
        <v>0</v>
      </c>
      <c r="E604" s="165">
        <f>BIdetails!M607</f>
        <v>0</v>
      </c>
      <c r="F604" t="e">
        <f>IF(ISERROR(IF(OR(C604="#",C604=0),"",VLOOKUP(C604,'AOP25'!M:M,1,0))),"Not Found",VLOOKUP(C604,'AOP25'!M:M,1,0))</f>
        <v>#N/A</v>
      </c>
      <c r="G604" t="e">
        <f t="shared" si="9"/>
        <v>#N/A</v>
      </c>
    </row>
    <row r="605" spans="1:7" hidden="1" x14ac:dyDescent="0.25">
      <c r="A605">
        <f>BIdetails!G608</f>
        <v>0</v>
      </c>
      <c r="B605">
        <f>BIdetails!H608</f>
        <v>0</v>
      </c>
      <c r="C605">
        <f>BIdetails!J608</f>
        <v>0</v>
      </c>
      <c r="D605">
        <f>BIdetails!K608</f>
        <v>0</v>
      </c>
      <c r="E605" s="165">
        <f>BIdetails!M608</f>
        <v>0</v>
      </c>
      <c r="F605" t="e">
        <f>IF(ISERROR(IF(OR(C605="#",C605=0),"",VLOOKUP(C605,'AOP25'!M:M,1,0))),"Not Found",VLOOKUP(C605,'AOP25'!M:M,1,0))</f>
        <v>#N/A</v>
      </c>
      <c r="G605" t="e">
        <f t="shared" si="9"/>
        <v>#N/A</v>
      </c>
    </row>
    <row r="606" spans="1:7" hidden="1" x14ac:dyDescent="0.25">
      <c r="A606">
        <f>BIdetails!G609</f>
        <v>0</v>
      </c>
      <c r="B606">
        <f>BIdetails!H609</f>
        <v>0</v>
      </c>
      <c r="C606">
        <f>BIdetails!J609</f>
        <v>0</v>
      </c>
      <c r="D606">
        <f>BIdetails!K609</f>
        <v>0</v>
      </c>
      <c r="E606" s="165">
        <f>BIdetails!M609</f>
        <v>0</v>
      </c>
      <c r="F606" t="e">
        <f>IF(ISERROR(IF(OR(C606="#",C606=0),"",VLOOKUP(C606,'AOP25'!M:M,1,0))),"Not Found",VLOOKUP(C606,'AOP25'!M:M,1,0))</f>
        <v>#N/A</v>
      </c>
      <c r="G606" t="e">
        <f t="shared" si="9"/>
        <v>#N/A</v>
      </c>
    </row>
    <row r="607" spans="1:7" hidden="1" x14ac:dyDescent="0.25">
      <c r="A607">
        <f>BIdetails!G610</f>
        <v>0</v>
      </c>
      <c r="B607">
        <f>BIdetails!H610</f>
        <v>0</v>
      </c>
      <c r="C607">
        <f>BIdetails!J610</f>
        <v>0</v>
      </c>
      <c r="D607">
        <f>BIdetails!K610</f>
        <v>0</v>
      </c>
      <c r="E607" s="165">
        <f>BIdetails!M610</f>
        <v>0</v>
      </c>
      <c r="F607" t="e">
        <f>IF(ISERROR(IF(OR(C607="#",C607=0),"",VLOOKUP(C607,'AOP25'!M:M,1,0))),"Not Found",VLOOKUP(C607,'AOP25'!M:M,1,0))</f>
        <v>#N/A</v>
      </c>
      <c r="G607" t="e">
        <f t="shared" si="9"/>
        <v>#N/A</v>
      </c>
    </row>
    <row r="608" spans="1:7" hidden="1" x14ac:dyDescent="0.25">
      <c r="A608">
        <f>BIdetails!G611</f>
        <v>0</v>
      </c>
      <c r="B608">
        <f>BIdetails!H611</f>
        <v>0</v>
      </c>
      <c r="C608">
        <f>BIdetails!J611</f>
        <v>0</v>
      </c>
      <c r="D608">
        <f>BIdetails!K611</f>
        <v>0</v>
      </c>
      <c r="E608" s="165">
        <f>BIdetails!M611</f>
        <v>0</v>
      </c>
      <c r="F608" t="e">
        <f>IF(ISERROR(IF(OR(C608="#",C608=0),"",VLOOKUP(C608,'AOP25'!M:M,1,0))),"Not Found",VLOOKUP(C608,'AOP25'!M:M,1,0))</f>
        <v>#N/A</v>
      </c>
      <c r="G608" t="e">
        <f t="shared" si="9"/>
        <v>#N/A</v>
      </c>
    </row>
    <row r="609" spans="1:7" hidden="1" x14ac:dyDescent="0.25">
      <c r="A609">
        <f>BIdetails!G612</f>
        <v>0</v>
      </c>
      <c r="B609">
        <f>BIdetails!H612</f>
        <v>0</v>
      </c>
      <c r="C609">
        <f>BIdetails!J612</f>
        <v>0</v>
      </c>
      <c r="D609">
        <f>BIdetails!K612</f>
        <v>0</v>
      </c>
      <c r="E609" s="165">
        <f>BIdetails!M612</f>
        <v>0</v>
      </c>
      <c r="F609" t="e">
        <f>IF(ISERROR(IF(OR(C609="#",C609=0),"",VLOOKUP(C609,'AOP25'!M:M,1,0))),"Not Found",VLOOKUP(C609,'AOP25'!M:M,1,0))</f>
        <v>#N/A</v>
      </c>
      <c r="G609" t="e">
        <f t="shared" si="9"/>
        <v>#N/A</v>
      </c>
    </row>
    <row r="610" spans="1:7" hidden="1" x14ac:dyDescent="0.25">
      <c r="A610">
        <f>BIdetails!G613</f>
        <v>0</v>
      </c>
      <c r="B610">
        <f>BIdetails!H613</f>
        <v>0</v>
      </c>
      <c r="C610">
        <f>BIdetails!J613</f>
        <v>0</v>
      </c>
      <c r="D610">
        <f>BIdetails!K613</f>
        <v>0</v>
      </c>
      <c r="E610" s="165">
        <f>BIdetails!M613</f>
        <v>0</v>
      </c>
      <c r="F610" t="e">
        <f>IF(ISERROR(IF(OR(C610="#",C610=0),"",VLOOKUP(C610,'AOP25'!M:M,1,0))),"Not Found",VLOOKUP(C610,'AOP25'!M:M,1,0))</f>
        <v>#N/A</v>
      </c>
      <c r="G610" t="e">
        <f t="shared" si="9"/>
        <v>#N/A</v>
      </c>
    </row>
    <row r="611" spans="1:7" hidden="1" x14ac:dyDescent="0.25">
      <c r="A611">
        <f>BIdetails!G614</f>
        <v>0</v>
      </c>
      <c r="B611">
        <f>BIdetails!H614</f>
        <v>0</v>
      </c>
      <c r="C611">
        <f>BIdetails!J614</f>
        <v>0</v>
      </c>
      <c r="D611">
        <f>BIdetails!K614</f>
        <v>0</v>
      </c>
      <c r="E611" s="165">
        <f>BIdetails!M614</f>
        <v>0</v>
      </c>
      <c r="F611" t="e">
        <f>IF(ISERROR(IF(OR(C611="#",C611=0),"",VLOOKUP(C611,'AOP25'!M:M,1,0))),"Not Found",VLOOKUP(C611,'AOP25'!M:M,1,0))</f>
        <v>#N/A</v>
      </c>
      <c r="G611" t="e">
        <f t="shared" si="9"/>
        <v>#N/A</v>
      </c>
    </row>
    <row r="612" spans="1:7" hidden="1" x14ac:dyDescent="0.25">
      <c r="A612">
        <f>BIdetails!G615</f>
        <v>0</v>
      </c>
      <c r="B612">
        <f>BIdetails!H615</f>
        <v>0</v>
      </c>
      <c r="C612">
        <f>BIdetails!J615</f>
        <v>0</v>
      </c>
      <c r="D612">
        <f>BIdetails!K615</f>
        <v>0</v>
      </c>
      <c r="E612" s="165">
        <f>BIdetails!M615</f>
        <v>0</v>
      </c>
      <c r="F612" t="e">
        <f>IF(ISERROR(IF(OR(C612="#",C612=0),"",VLOOKUP(C612,'AOP25'!M:M,1,0))),"Not Found",VLOOKUP(C612,'AOP25'!M:M,1,0))</f>
        <v>#N/A</v>
      </c>
      <c r="G612" t="e">
        <f t="shared" si="9"/>
        <v>#N/A</v>
      </c>
    </row>
    <row r="613" spans="1:7" hidden="1" x14ac:dyDescent="0.25">
      <c r="A613">
        <f>BIdetails!G616</f>
        <v>0</v>
      </c>
      <c r="B613">
        <f>BIdetails!H616</f>
        <v>0</v>
      </c>
      <c r="C613">
        <f>BIdetails!J616</f>
        <v>0</v>
      </c>
      <c r="D613">
        <f>BIdetails!K616</f>
        <v>0</v>
      </c>
      <c r="E613" s="165">
        <f>BIdetails!M616</f>
        <v>0</v>
      </c>
      <c r="F613" t="e">
        <f>IF(ISERROR(IF(OR(C613="#",C613=0),"",VLOOKUP(C613,'AOP25'!M:M,1,0))),"Not Found",VLOOKUP(C613,'AOP25'!M:M,1,0))</f>
        <v>#N/A</v>
      </c>
      <c r="G613" t="e">
        <f t="shared" si="9"/>
        <v>#N/A</v>
      </c>
    </row>
    <row r="614" spans="1:7" hidden="1" x14ac:dyDescent="0.25">
      <c r="A614">
        <f>BIdetails!G617</f>
        <v>0</v>
      </c>
      <c r="B614">
        <f>BIdetails!H617</f>
        <v>0</v>
      </c>
      <c r="C614">
        <f>BIdetails!J617</f>
        <v>0</v>
      </c>
      <c r="D614">
        <f>BIdetails!K617</f>
        <v>0</v>
      </c>
      <c r="E614" s="165">
        <f>BIdetails!M617</f>
        <v>0</v>
      </c>
      <c r="F614" t="e">
        <f>IF(ISERROR(IF(OR(C614="#",C614=0),"",VLOOKUP(C614,'AOP25'!M:M,1,0))),"Not Found",VLOOKUP(C614,'AOP25'!M:M,1,0))</f>
        <v>#N/A</v>
      </c>
      <c r="G614" t="e">
        <f t="shared" si="9"/>
        <v>#N/A</v>
      </c>
    </row>
    <row r="615" spans="1:7" hidden="1" x14ac:dyDescent="0.25">
      <c r="A615">
        <f>BIdetails!G618</f>
        <v>0</v>
      </c>
      <c r="B615">
        <f>BIdetails!H618</f>
        <v>0</v>
      </c>
      <c r="C615">
        <f>BIdetails!J618</f>
        <v>0</v>
      </c>
      <c r="D615">
        <f>BIdetails!K618</f>
        <v>0</v>
      </c>
      <c r="E615" s="165">
        <f>BIdetails!M618</f>
        <v>0</v>
      </c>
      <c r="F615" t="e">
        <f>IF(ISERROR(IF(OR(C615="#",C615=0),"",VLOOKUP(C615,'AOP25'!M:M,1,0))),"Not Found",VLOOKUP(C615,'AOP25'!M:M,1,0))</f>
        <v>#N/A</v>
      </c>
      <c r="G615" t="e">
        <f t="shared" si="9"/>
        <v>#N/A</v>
      </c>
    </row>
    <row r="616" spans="1:7" hidden="1" x14ac:dyDescent="0.25">
      <c r="A616">
        <f>BIdetails!G619</f>
        <v>0</v>
      </c>
      <c r="B616">
        <f>BIdetails!H619</f>
        <v>0</v>
      </c>
      <c r="C616">
        <f>BIdetails!J619</f>
        <v>0</v>
      </c>
      <c r="D616">
        <f>BIdetails!K619</f>
        <v>0</v>
      </c>
      <c r="E616" s="165">
        <f>BIdetails!M619</f>
        <v>0</v>
      </c>
      <c r="F616" t="e">
        <f>IF(ISERROR(IF(OR(C616="#",C616=0),"",VLOOKUP(C616,'AOP25'!M:M,1,0))),"Not Found",VLOOKUP(C616,'AOP25'!M:M,1,0))</f>
        <v>#N/A</v>
      </c>
      <c r="G616" t="e">
        <f t="shared" si="9"/>
        <v>#N/A</v>
      </c>
    </row>
    <row r="617" spans="1:7" hidden="1" x14ac:dyDescent="0.25">
      <c r="A617">
        <f>BIdetails!G620</f>
        <v>0</v>
      </c>
      <c r="B617">
        <f>BIdetails!H620</f>
        <v>0</v>
      </c>
      <c r="C617">
        <f>BIdetails!J620</f>
        <v>0</v>
      </c>
      <c r="D617">
        <f>BIdetails!K620</f>
        <v>0</v>
      </c>
      <c r="E617" s="165">
        <f>BIdetails!M620</f>
        <v>0</v>
      </c>
      <c r="F617" t="e">
        <f>IF(ISERROR(IF(OR(C617="#",C617=0),"",VLOOKUP(C617,'AOP25'!M:M,1,0))),"Not Found",VLOOKUP(C617,'AOP25'!M:M,1,0))</f>
        <v>#N/A</v>
      </c>
      <c r="G617" t="e">
        <f t="shared" si="9"/>
        <v>#N/A</v>
      </c>
    </row>
    <row r="618" spans="1:7" hidden="1" x14ac:dyDescent="0.25">
      <c r="A618">
        <f>BIdetails!G621</f>
        <v>0</v>
      </c>
      <c r="B618">
        <f>BIdetails!H621</f>
        <v>0</v>
      </c>
      <c r="C618">
        <f>BIdetails!J621</f>
        <v>0</v>
      </c>
      <c r="D618">
        <f>BIdetails!K621</f>
        <v>0</v>
      </c>
      <c r="E618" s="165">
        <f>BIdetails!M621</f>
        <v>0</v>
      </c>
      <c r="F618" t="e">
        <f>IF(ISERROR(IF(OR(C618="#",C618=0),"",VLOOKUP(C618,'AOP25'!M:M,1,0))),"Not Found",VLOOKUP(C618,'AOP25'!M:M,1,0))</f>
        <v>#N/A</v>
      </c>
      <c r="G618" t="e">
        <f t="shared" si="9"/>
        <v>#N/A</v>
      </c>
    </row>
    <row r="619" spans="1:7" hidden="1" x14ac:dyDescent="0.25">
      <c r="A619">
        <f>BIdetails!G622</f>
        <v>0</v>
      </c>
      <c r="B619">
        <f>BIdetails!H622</f>
        <v>0</v>
      </c>
      <c r="C619">
        <f>BIdetails!J622</f>
        <v>0</v>
      </c>
      <c r="D619">
        <f>BIdetails!K622</f>
        <v>0</v>
      </c>
      <c r="E619" s="165">
        <f>BIdetails!M622</f>
        <v>0</v>
      </c>
      <c r="F619" t="e">
        <f>IF(ISERROR(IF(OR(C619="#",C619=0),"",VLOOKUP(C619,'AOP25'!M:M,1,0))),"Not Found",VLOOKUP(C619,'AOP25'!M:M,1,0))</f>
        <v>#N/A</v>
      </c>
      <c r="G619" t="e">
        <f t="shared" si="9"/>
        <v>#N/A</v>
      </c>
    </row>
    <row r="620" spans="1:7" hidden="1" x14ac:dyDescent="0.25">
      <c r="A620">
        <f>BIdetails!G623</f>
        <v>0</v>
      </c>
      <c r="B620">
        <f>BIdetails!H623</f>
        <v>0</v>
      </c>
      <c r="C620">
        <f>BIdetails!J623</f>
        <v>0</v>
      </c>
      <c r="D620">
        <f>BIdetails!K623</f>
        <v>0</v>
      </c>
      <c r="E620" s="165">
        <f>BIdetails!M623</f>
        <v>0</v>
      </c>
      <c r="F620" t="e">
        <f>IF(ISERROR(IF(OR(C620="#",C620=0),"",VLOOKUP(C620,'AOP25'!M:M,1,0))),"Not Found",VLOOKUP(C620,'AOP25'!M:M,1,0))</f>
        <v>#N/A</v>
      </c>
      <c r="G620" t="e">
        <f t="shared" si="9"/>
        <v>#N/A</v>
      </c>
    </row>
    <row r="621" spans="1:7" hidden="1" x14ac:dyDescent="0.25">
      <c r="A621">
        <f>BIdetails!G624</f>
        <v>0</v>
      </c>
      <c r="B621">
        <f>BIdetails!H624</f>
        <v>0</v>
      </c>
      <c r="C621">
        <f>BIdetails!J624</f>
        <v>0</v>
      </c>
      <c r="D621">
        <f>BIdetails!K624</f>
        <v>0</v>
      </c>
      <c r="E621" s="165">
        <f>BIdetails!M624</f>
        <v>0</v>
      </c>
      <c r="F621" t="e">
        <f>IF(ISERROR(IF(OR(C621="#",C621=0),"",VLOOKUP(C621,'AOP25'!M:M,1,0))),"Not Found",VLOOKUP(C621,'AOP25'!M:M,1,0))</f>
        <v>#N/A</v>
      </c>
      <c r="G621" t="e">
        <f t="shared" si="9"/>
        <v>#N/A</v>
      </c>
    </row>
    <row r="622" spans="1:7" hidden="1" x14ac:dyDescent="0.25">
      <c r="A622">
        <f>BIdetails!G625</f>
        <v>0</v>
      </c>
      <c r="B622">
        <f>BIdetails!H625</f>
        <v>0</v>
      </c>
      <c r="C622">
        <f>BIdetails!J625</f>
        <v>0</v>
      </c>
      <c r="D622">
        <f>BIdetails!K625</f>
        <v>0</v>
      </c>
      <c r="E622" s="165">
        <f>BIdetails!M625</f>
        <v>0</v>
      </c>
      <c r="F622" t="e">
        <f>IF(ISERROR(IF(OR(C622="#",C622=0),"",VLOOKUP(C622,'AOP25'!M:M,1,0))),"Not Found",VLOOKUP(C622,'AOP25'!M:M,1,0))</f>
        <v>#N/A</v>
      </c>
      <c r="G622" t="e">
        <f t="shared" si="9"/>
        <v>#N/A</v>
      </c>
    </row>
    <row r="623" spans="1:7" hidden="1" x14ac:dyDescent="0.25">
      <c r="A623">
        <f>BIdetails!G626</f>
        <v>0</v>
      </c>
      <c r="B623">
        <f>BIdetails!H626</f>
        <v>0</v>
      </c>
      <c r="C623">
        <f>BIdetails!J626</f>
        <v>0</v>
      </c>
      <c r="D623">
        <f>BIdetails!K626</f>
        <v>0</v>
      </c>
      <c r="E623" s="165">
        <f>BIdetails!M626</f>
        <v>0</v>
      </c>
      <c r="F623" t="e">
        <f>IF(ISERROR(IF(OR(C623="#",C623=0),"",VLOOKUP(C623,'AOP25'!M:M,1,0))),"Not Found",VLOOKUP(C623,'AOP25'!M:M,1,0))</f>
        <v>#N/A</v>
      </c>
      <c r="G623" t="e">
        <f t="shared" si="9"/>
        <v>#N/A</v>
      </c>
    </row>
    <row r="624" spans="1:7" hidden="1" x14ac:dyDescent="0.25">
      <c r="A624">
        <f>BIdetails!G627</f>
        <v>0</v>
      </c>
      <c r="B624">
        <f>BIdetails!H627</f>
        <v>0</v>
      </c>
      <c r="C624">
        <f>BIdetails!J627</f>
        <v>0</v>
      </c>
      <c r="D624">
        <f>BIdetails!K627</f>
        <v>0</v>
      </c>
      <c r="E624" s="165">
        <f>BIdetails!M627</f>
        <v>0</v>
      </c>
      <c r="F624" t="e">
        <f>IF(ISERROR(IF(OR(C624="#",C624=0),"",VLOOKUP(C624,'AOP25'!M:M,1,0))),"Not Found",VLOOKUP(C624,'AOP25'!M:M,1,0))</f>
        <v>#N/A</v>
      </c>
      <c r="G624" t="e">
        <f t="shared" si="9"/>
        <v>#N/A</v>
      </c>
    </row>
    <row r="625" spans="1:7" hidden="1" x14ac:dyDescent="0.25">
      <c r="A625">
        <f>BIdetails!G628</f>
        <v>0</v>
      </c>
      <c r="B625">
        <f>BIdetails!H628</f>
        <v>0</v>
      </c>
      <c r="C625">
        <f>BIdetails!J628</f>
        <v>0</v>
      </c>
      <c r="D625">
        <f>BIdetails!K628</f>
        <v>0</v>
      </c>
      <c r="E625" s="165">
        <f>BIdetails!M628</f>
        <v>0</v>
      </c>
      <c r="F625" t="e">
        <f>IF(ISERROR(IF(OR(C625="#",C625=0),"",VLOOKUP(C625,'AOP25'!M:M,1,0))),"Not Found",VLOOKUP(C625,'AOP25'!M:M,1,0))</f>
        <v>#N/A</v>
      </c>
      <c r="G625" t="e">
        <f t="shared" si="9"/>
        <v>#N/A</v>
      </c>
    </row>
    <row r="626" spans="1:7" hidden="1" x14ac:dyDescent="0.25">
      <c r="A626">
        <f>BIdetails!G629</f>
        <v>0</v>
      </c>
      <c r="B626">
        <f>BIdetails!H629</f>
        <v>0</v>
      </c>
      <c r="C626">
        <f>BIdetails!J629</f>
        <v>0</v>
      </c>
      <c r="D626">
        <f>BIdetails!K629</f>
        <v>0</v>
      </c>
      <c r="E626" s="165">
        <f>BIdetails!M629</f>
        <v>0</v>
      </c>
      <c r="F626" t="e">
        <f>IF(ISERROR(IF(OR(C626="#",C626=0),"",VLOOKUP(C626,'AOP25'!M:M,1,0))),"Not Found",VLOOKUP(C626,'AOP25'!M:M,1,0))</f>
        <v>#N/A</v>
      </c>
      <c r="G626" t="e">
        <f t="shared" si="9"/>
        <v>#N/A</v>
      </c>
    </row>
    <row r="627" spans="1:7" hidden="1" x14ac:dyDescent="0.25">
      <c r="A627">
        <f>BIdetails!G630</f>
        <v>0</v>
      </c>
      <c r="B627">
        <f>BIdetails!H630</f>
        <v>0</v>
      </c>
      <c r="C627">
        <f>BIdetails!J630</f>
        <v>0</v>
      </c>
      <c r="D627">
        <f>BIdetails!K630</f>
        <v>0</v>
      </c>
      <c r="E627" s="165">
        <f>BIdetails!M630</f>
        <v>0</v>
      </c>
      <c r="F627" t="e">
        <f>IF(ISERROR(IF(OR(C627="#",C627=0),"",VLOOKUP(C627,'AOP25'!M:M,1,0))),"Not Found",VLOOKUP(C627,'AOP25'!M:M,1,0))</f>
        <v>#N/A</v>
      </c>
      <c r="G627" t="e">
        <f t="shared" si="9"/>
        <v>#N/A</v>
      </c>
    </row>
    <row r="628" spans="1:7" hidden="1" x14ac:dyDescent="0.25">
      <c r="A628">
        <f>BIdetails!G631</f>
        <v>0</v>
      </c>
      <c r="B628">
        <f>BIdetails!H631</f>
        <v>0</v>
      </c>
      <c r="C628">
        <f>BIdetails!J631</f>
        <v>0</v>
      </c>
      <c r="D628">
        <f>BIdetails!K631</f>
        <v>0</v>
      </c>
      <c r="E628" s="165">
        <f>BIdetails!M631</f>
        <v>0</v>
      </c>
      <c r="F628" t="e">
        <f>IF(ISERROR(IF(OR(C628="#",C628=0),"",VLOOKUP(C628,'AOP25'!M:M,1,0))),"Not Found",VLOOKUP(C628,'AOP25'!M:M,1,0))</f>
        <v>#N/A</v>
      </c>
      <c r="G628" t="e">
        <f t="shared" si="9"/>
        <v>#N/A</v>
      </c>
    </row>
    <row r="629" spans="1:7" x14ac:dyDescent="0.25">
      <c r="A629">
        <f>BIdetails!G632</f>
        <v>0</v>
      </c>
      <c r="B629">
        <f>BIdetails!H632</f>
        <v>0</v>
      </c>
      <c r="C629">
        <f>BIdetails!J632</f>
        <v>0</v>
      </c>
      <c r="D629">
        <f>BIdetails!K632</f>
        <v>0</v>
      </c>
      <c r="E629" s="165">
        <f>BIdetails!M632</f>
        <v>0</v>
      </c>
      <c r="F629" t="e">
        <f>IF(ISERROR(IF(OR(C629="#",C629=0),"",VLOOKUP(C629,'AOP25'!M:M,1,0))),"Not Found",VLOOKUP(C629,'AOP25'!M:M,1,0))</f>
        <v>#N/A</v>
      </c>
      <c r="G629" t="e">
        <f t="shared" si="9"/>
        <v>#N/A</v>
      </c>
    </row>
    <row r="630" spans="1:7" x14ac:dyDescent="0.25">
      <c r="A630">
        <f>BIdetails!G633</f>
        <v>0</v>
      </c>
      <c r="B630">
        <f>BIdetails!H633</f>
        <v>0</v>
      </c>
      <c r="C630">
        <f>BIdetails!J633</f>
        <v>0</v>
      </c>
      <c r="D630">
        <f>BIdetails!K633</f>
        <v>0</v>
      </c>
      <c r="E630" s="165">
        <f>BIdetails!M633</f>
        <v>0</v>
      </c>
      <c r="F630" t="e">
        <f>IF(ISERROR(IF(OR(C630="#",C630=0),"",VLOOKUP(C630,'AOP25'!M:M,1,0))),"Not Found",VLOOKUP(C630,'AOP25'!M:M,1,0))</f>
        <v>#N/A</v>
      </c>
      <c r="G630" t="e">
        <f t="shared" si="9"/>
        <v>#N/A</v>
      </c>
    </row>
    <row r="631" spans="1:7" x14ac:dyDescent="0.25">
      <c r="A631">
        <f>BIdetails!G634</f>
        <v>0</v>
      </c>
      <c r="B631">
        <f>BIdetails!H634</f>
        <v>0</v>
      </c>
      <c r="C631">
        <f>BIdetails!J634</f>
        <v>0</v>
      </c>
      <c r="D631">
        <f>BIdetails!K634</f>
        <v>0</v>
      </c>
      <c r="E631" s="165">
        <f>BIdetails!M634</f>
        <v>0</v>
      </c>
      <c r="F631" t="e">
        <f>IF(ISERROR(IF(OR(C631="#",C631=0),"",VLOOKUP(C631,'AOP25'!M:M,1,0))),"Not Found",VLOOKUP(C631,'AOP25'!M:M,1,0))</f>
        <v>#N/A</v>
      </c>
      <c r="G631" t="e">
        <f t="shared" si="9"/>
        <v>#N/A</v>
      </c>
    </row>
    <row r="632" spans="1:7" hidden="1" x14ac:dyDescent="0.25">
      <c r="A632">
        <f>BIdetails!G635</f>
        <v>0</v>
      </c>
      <c r="B632">
        <f>BIdetails!H635</f>
        <v>0</v>
      </c>
      <c r="C632">
        <f>BIdetails!J635</f>
        <v>0</v>
      </c>
      <c r="D632">
        <f>BIdetails!K635</f>
        <v>0</v>
      </c>
      <c r="E632" s="165">
        <f>BIdetails!M635</f>
        <v>0</v>
      </c>
      <c r="F632" t="e">
        <f>IF(ISERROR(IF(OR(C632="#",C632=0),"",VLOOKUP(C632,'AOP25'!M:M,1,0))),"Not Found",VLOOKUP(C632,'AOP25'!M:M,1,0))</f>
        <v>#N/A</v>
      </c>
      <c r="G632" t="e">
        <f t="shared" si="9"/>
        <v>#N/A</v>
      </c>
    </row>
    <row r="633" spans="1:7" x14ac:dyDescent="0.25">
      <c r="A633">
        <f>BIdetails!G636</f>
        <v>0</v>
      </c>
      <c r="B633">
        <f>BIdetails!H636</f>
        <v>0</v>
      </c>
      <c r="C633">
        <f>BIdetails!J636</f>
        <v>0</v>
      </c>
      <c r="D633">
        <f>BIdetails!K636</f>
        <v>0</v>
      </c>
      <c r="E633" s="165">
        <f>BIdetails!M636</f>
        <v>0</v>
      </c>
      <c r="F633" t="e">
        <f>IF(ISERROR(IF(OR(C633="#",C633=0),"",VLOOKUP(C633,'AOP25'!M:M,1,0))),"Not Found",VLOOKUP(C633,'AOP25'!M:M,1,0))</f>
        <v>#N/A</v>
      </c>
      <c r="G633" t="e">
        <f t="shared" si="9"/>
        <v>#N/A</v>
      </c>
    </row>
    <row r="634" spans="1:7" x14ac:dyDescent="0.25">
      <c r="A634">
        <f>BIdetails!G637</f>
        <v>0</v>
      </c>
      <c r="B634">
        <f>BIdetails!H637</f>
        <v>0</v>
      </c>
      <c r="C634">
        <f>BIdetails!J637</f>
        <v>0</v>
      </c>
      <c r="D634">
        <f>BIdetails!K637</f>
        <v>0</v>
      </c>
      <c r="E634" s="165">
        <f>BIdetails!M637</f>
        <v>0</v>
      </c>
      <c r="F634" t="e">
        <f>IF(ISERROR(IF(OR(C634="#",C634=0),"",VLOOKUP(C634,'AOP25'!M:M,1,0))),"Not Found",VLOOKUP(C634,'AOP25'!M:M,1,0))</f>
        <v>#N/A</v>
      </c>
      <c r="G634" t="e">
        <f t="shared" ref="G634:G697" si="10">IF(NOT(ISERROR(VLOOKUP(C634,$K$2:$K$50,1,0))),"Y",VLOOKUP(C634,$K$2:$K$50,1,0))</f>
        <v>#N/A</v>
      </c>
    </row>
    <row r="635" spans="1:7" hidden="1" x14ac:dyDescent="0.25">
      <c r="A635">
        <f>BIdetails!G638</f>
        <v>0</v>
      </c>
      <c r="B635">
        <f>BIdetails!H638</f>
        <v>0</v>
      </c>
      <c r="C635">
        <f>BIdetails!J638</f>
        <v>0</v>
      </c>
      <c r="D635">
        <f>BIdetails!K638</f>
        <v>0</v>
      </c>
      <c r="E635" s="165">
        <f>BIdetails!M638</f>
        <v>0</v>
      </c>
      <c r="F635" t="e">
        <f>IF(ISERROR(IF(OR(C635="#",C635=0),"",VLOOKUP(C635,'AOP25'!M:M,1,0))),"Not Found",VLOOKUP(C635,'AOP25'!M:M,1,0))</f>
        <v>#N/A</v>
      </c>
      <c r="G635" t="e">
        <f t="shared" si="10"/>
        <v>#N/A</v>
      </c>
    </row>
    <row r="636" spans="1:7" hidden="1" x14ac:dyDescent="0.25">
      <c r="A636">
        <f>BIdetails!G639</f>
        <v>0</v>
      </c>
      <c r="B636">
        <f>BIdetails!H639</f>
        <v>0</v>
      </c>
      <c r="C636">
        <f>BIdetails!J639</f>
        <v>0</v>
      </c>
      <c r="D636">
        <f>BIdetails!K639</f>
        <v>0</v>
      </c>
      <c r="E636" s="165">
        <f>BIdetails!M639</f>
        <v>0</v>
      </c>
      <c r="F636" t="e">
        <f>IF(ISERROR(IF(OR(C636="#",C636=0),"",VLOOKUP(C636,'AOP25'!M:M,1,0))),"Not Found",VLOOKUP(C636,'AOP25'!M:M,1,0))</f>
        <v>#N/A</v>
      </c>
      <c r="G636" t="e">
        <f t="shared" si="10"/>
        <v>#N/A</v>
      </c>
    </row>
    <row r="637" spans="1:7" hidden="1" x14ac:dyDescent="0.25">
      <c r="A637">
        <f>BIdetails!G640</f>
        <v>0</v>
      </c>
      <c r="B637">
        <f>BIdetails!H640</f>
        <v>0</v>
      </c>
      <c r="C637">
        <f>BIdetails!J640</f>
        <v>0</v>
      </c>
      <c r="D637">
        <f>BIdetails!K640</f>
        <v>0</v>
      </c>
      <c r="E637" s="165">
        <f>BIdetails!M640</f>
        <v>0</v>
      </c>
      <c r="F637" t="e">
        <f>IF(ISERROR(IF(OR(C637="#",C637=0),"",VLOOKUP(C637,'AOP25'!M:M,1,0))),"Not Found",VLOOKUP(C637,'AOP25'!M:M,1,0))</f>
        <v>#N/A</v>
      </c>
      <c r="G637" t="e">
        <f t="shared" si="10"/>
        <v>#N/A</v>
      </c>
    </row>
    <row r="638" spans="1:7" hidden="1" x14ac:dyDescent="0.25">
      <c r="A638">
        <f>BIdetails!G641</f>
        <v>0</v>
      </c>
      <c r="B638">
        <f>BIdetails!H641</f>
        <v>0</v>
      </c>
      <c r="C638">
        <f>BIdetails!J641</f>
        <v>0</v>
      </c>
      <c r="D638">
        <f>BIdetails!K641</f>
        <v>0</v>
      </c>
      <c r="E638" s="165">
        <f>BIdetails!M641</f>
        <v>0</v>
      </c>
      <c r="F638" t="e">
        <f>IF(ISERROR(IF(OR(C638="#",C638=0),"",VLOOKUP(C638,'AOP25'!M:M,1,0))),"Not Found",VLOOKUP(C638,'AOP25'!M:M,1,0))</f>
        <v>#N/A</v>
      </c>
      <c r="G638" t="e">
        <f t="shared" si="10"/>
        <v>#N/A</v>
      </c>
    </row>
    <row r="639" spans="1:7" hidden="1" x14ac:dyDescent="0.25">
      <c r="A639">
        <f>BIdetails!G642</f>
        <v>0</v>
      </c>
      <c r="B639">
        <f>BIdetails!H642</f>
        <v>0</v>
      </c>
      <c r="C639">
        <f>BIdetails!J642</f>
        <v>0</v>
      </c>
      <c r="D639">
        <f>BIdetails!K642</f>
        <v>0</v>
      </c>
      <c r="E639" s="165">
        <f>BIdetails!M642</f>
        <v>0</v>
      </c>
      <c r="F639" t="e">
        <f>IF(ISERROR(IF(OR(C639="#",C639=0),"",VLOOKUP(C639,'AOP25'!M:M,1,0))),"Not Found",VLOOKUP(C639,'AOP25'!M:M,1,0))</f>
        <v>#N/A</v>
      </c>
      <c r="G639" t="e">
        <f t="shared" si="10"/>
        <v>#N/A</v>
      </c>
    </row>
    <row r="640" spans="1:7" hidden="1" x14ac:dyDescent="0.25">
      <c r="A640">
        <f>BIdetails!G643</f>
        <v>0</v>
      </c>
      <c r="B640">
        <f>BIdetails!H643</f>
        <v>0</v>
      </c>
      <c r="C640">
        <f>BIdetails!J643</f>
        <v>0</v>
      </c>
      <c r="D640">
        <f>BIdetails!K643</f>
        <v>0</v>
      </c>
      <c r="E640" s="165">
        <f>BIdetails!M643</f>
        <v>0</v>
      </c>
      <c r="F640" t="e">
        <f>IF(ISERROR(IF(OR(C640="#",C640=0),"",VLOOKUP(C640,'AOP25'!M:M,1,0))),"Not Found",VLOOKUP(C640,'AOP25'!M:M,1,0))</f>
        <v>#N/A</v>
      </c>
      <c r="G640" t="e">
        <f t="shared" si="10"/>
        <v>#N/A</v>
      </c>
    </row>
    <row r="641" spans="1:7" x14ac:dyDescent="0.25">
      <c r="A641">
        <f>BIdetails!G644</f>
        <v>0</v>
      </c>
      <c r="B641">
        <f>BIdetails!H644</f>
        <v>0</v>
      </c>
      <c r="C641">
        <f>BIdetails!J644</f>
        <v>0</v>
      </c>
      <c r="D641">
        <f>BIdetails!K644</f>
        <v>0</v>
      </c>
      <c r="E641" s="165">
        <f>BIdetails!M644</f>
        <v>0</v>
      </c>
      <c r="F641" t="e">
        <f>IF(ISERROR(IF(OR(C641="#",C641=0),"",VLOOKUP(C641,'AOP25'!M:M,1,0))),"Not Found",VLOOKUP(C641,'AOP25'!M:M,1,0))</f>
        <v>#N/A</v>
      </c>
      <c r="G641" t="e">
        <f t="shared" si="10"/>
        <v>#N/A</v>
      </c>
    </row>
    <row r="642" spans="1:7" x14ac:dyDescent="0.25">
      <c r="A642">
        <f>BIdetails!G645</f>
        <v>0</v>
      </c>
      <c r="B642">
        <f>BIdetails!H645</f>
        <v>0</v>
      </c>
      <c r="C642">
        <f>BIdetails!J645</f>
        <v>0</v>
      </c>
      <c r="D642">
        <f>BIdetails!K645</f>
        <v>0</v>
      </c>
      <c r="E642" s="165">
        <f>BIdetails!M645</f>
        <v>0</v>
      </c>
      <c r="F642" t="e">
        <f>IF(ISERROR(IF(OR(C642="#",C642=0),"",VLOOKUP(C642,'AOP25'!M:M,1,0))),"Not Found",VLOOKUP(C642,'AOP25'!M:M,1,0))</f>
        <v>#N/A</v>
      </c>
      <c r="G642" t="e">
        <f t="shared" si="10"/>
        <v>#N/A</v>
      </c>
    </row>
    <row r="643" spans="1:7" x14ac:dyDescent="0.25">
      <c r="A643">
        <f>BIdetails!G646</f>
        <v>0</v>
      </c>
      <c r="B643">
        <f>BIdetails!H646</f>
        <v>0</v>
      </c>
      <c r="C643">
        <f>BIdetails!J646</f>
        <v>0</v>
      </c>
      <c r="D643">
        <f>BIdetails!K646</f>
        <v>0</v>
      </c>
      <c r="E643" s="165">
        <f>BIdetails!M646</f>
        <v>0</v>
      </c>
      <c r="F643" t="e">
        <f>IF(ISERROR(IF(OR(C643="#",C643=0),"",VLOOKUP(C643,'AOP25'!M:M,1,0))),"Not Found",VLOOKUP(C643,'AOP25'!M:M,1,0))</f>
        <v>#N/A</v>
      </c>
      <c r="G643" t="e">
        <f t="shared" si="10"/>
        <v>#N/A</v>
      </c>
    </row>
    <row r="644" spans="1:7" hidden="1" x14ac:dyDescent="0.25">
      <c r="A644">
        <f>BIdetails!G647</f>
        <v>0</v>
      </c>
      <c r="B644">
        <f>BIdetails!H647</f>
        <v>0</v>
      </c>
      <c r="C644">
        <f>BIdetails!J647</f>
        <v>0</v>
      </c>
      <c r="D644">
        <f>BIdetails!K647</f>
        <v>0</v>
      </c>
      <c r="E644" s="165">
        <f>BIdetails!M647</f>
        <v>0</v>
      </c>
      <c r="F644" t="e">
        <f>IF(ISERROR(IF(OR(C644="#",C644=0),"",VLOOKUP(C644,'AOP25'!M:M,1,0))),"Not Found",VLOOKUP(C644,'AOP25'!M:M,1,0))</f>
        <v>#N/A</v>
      </c>
      <c r="G644" t="e">
        <f t="shared" si="10"/>
        <v>#N/A</v>
      </c>
    </row>
    <row r="645" spans="1:7" x14ac:dyDescent="0.25">
      <c r="A645">
        <f>BIdetails!G648</f>
        <v>0</v>
      </c>
      <c r="B645">
        <f>BIdetails!H648</f>
        <v>0</v>
      </c>
      <c r="C645">
        <f>BIdetails!J648</f>
        <v>0</v>
      </c>
      <c r="D645">
        <f>BIdetails!K648</f>
        <v>0</v>
      </c>
      <c r="E645" s="165">
        <f>BIdetails!M648</f>
        <v>0</v>
      </c>
      <c r="F645" t="e">
        <f>IF(ISERROR(IF(OR(C645="#",C645=0),"",VLOOKUP(C645,'AOP25'!M:M,1,0))),"Not Found",VLOOKUP(C645,'AOP25'!M:M,1,0))</f>
        <v>#N/A</v>
      </c>
      <c r="G645" t="e">
        <f t="shared" si="10"/>
        <v>#N/A</v>
      </c>
    </row>
    <row r="646" spans="1:7" hidden="1" x14ac:dyDescent="0.25">
      <c r="A646">
        <f>BIdetails!G649</f>
        <v>0</v>
      </c>
      <c r="B646">
        <f>BIdetails!H649</f>
        <v>0</v>
      </c>
      <c r="C646">
        <f>BIdetails!J649</f>
        <v>0</v>
      </c>
      <c r="D646">
        <f>BIdetails!K649</f>
        <v>0</v>
      </c>
      <c r="E646" s="165">
        <f>BIdetails!M649</f>
        <v>0</v>
      </c>
      <c r="F646" t="e">
        <f>IF(ISERROR(IF(OR(C646="#",C646=0),"",VLOOKUP(C646,'AOP25'!M:M,1,0))),"Not Found",VLOOKUP(C646,'AOP25'!M:M,1,0))</f>
        <v>#N/A</v>
      </c>
      <c r="G646" t="e">
        <f t="shared" si="10"/>
        <v>#N/A</v>
      </c>
    </row>
    <row r="647" spans="1:7" hidden="1" x14ac:dyDescent="0.25">
      <c r="A647">
        <f>BIdetails!G650</f>
        <v>0</v>
      </c>
      <c r="B647">
        <f>BIdetails!H650</f>
        <v>0</v>
      </c>
      <c r="C647">
        <f>BIdetails!J650</f>
        <v>0</v>
      </c>
      <c r="D647">
        <f>BIdetails!K650</f>
        <v>0</v>
      </c>
      <c r="E647" s="165">
        <f>BIdetails!M650</f>
        <v>0</v>
      </c>
      <c r="F647" t="e">
        <f>IF(ISERROR(IF(OR(C647="#",C647=0),"",VLOOKUP(C647,'AOP25'!M:M,1,0))),"Not Found",VLOOKUP(C647,'AOP25'!M:M,1,0))</f>
        <v>#N/A</v>
      </c>
      <c r="G647" t="e">
        <f t="shared" si="10"/>
        <v>#N/A</v>
      </c>
    </row>
    <row r="648" spans="1:7" hidden="1" x14ac:dyDescent="0.25">
      <c r="A648">
        <f>BIdetails!G651</f>
        <v>0</v>
      </c>
      <c r="B648">
        <f>BIdetails!H651</f>
        <v>0</v>
      </c>
      <c r="C648">
        <f>BIdetails!J651</f>
        <v>0</v>
      </c>
      <c r="D648">
        <f>BIdetails!K651</f>
        <v>0</v>
      </c>
      <c r="E648" s="165">
        <f>BIdetails!M651</f>
        <v>0</v>
      </c>
      <c r="F648" t="e">
        <f>IF(ISERROR(IF(OR(C648="#",C648=0),"",VLOOKUP(C648,'AOP25'!M:M,1,0))),"Not Found",VLOOKUP(C648,'AOP25'!M:M,1,0))</f>
        <v>#N/A</v>
      </c>
      <c r="G648" t="e">
        <f t="shared" si="10"/>
        <v>#N/A</v>
      </c>
    </row>
    <row r="649" spans="1:7" hidden="1" x14ac:dyDescent="0.25">
      <c r="A649">
        <f>BIdetails!G652</f>
        <v>0</v>
      </c>
      <c r="B649">
        <f>BIdetails!H652</f>
        <v>0</v>
      </c>
      <c r="C649">
        <f>BIdetails!J652</f>
        <v>0</v>
      </c>
      <c r="D649">
        <f>BIdetails!K652</f>
        <v>0</v>
      </c>
      <c r="E649" s="165">
        <f>BIdetails!M652</f>
        <v>0</v>
      </c>
      <c r="F649" t="e">
        <f>IF(ISERROR(IF(OR(C649="#",C649=0),"",VLOOKUP(C649,'AOP25'!M:M,1,0))),"Not Found",VLOOKUP(C649,'AOP25'!M:M,1,0))</f>
        <v>#N/A</v>
      </c>
      <c r="G649" t="e">
        <f t="shared" si="10"/>
        <v>#N/A</v>
      </c>
    </row>
    <row r="650" spans="1:7" x14ac:dyDescent="0.25">
      <c r="A650">
        <f>BIdetails!G653</f>
        <v>0</v>
      </c>
      <c r="B650">
        <f>BIdetails!H653</f>
        <v>0</v>
      </c>
      <c r="C650">
        <f>BIdetails!J653</f>
        <v>0</v>
      </c>
      <c r="D650">
        <f>BIdetails!K653</f>
        <v>0</v>
      </c>
      <c r="E650" s="165">
        <f>BIdetails!M653</f>
        <v>0</v>
      </c>
      <c r="F650" t="e">
        <f>IF(ISERROR(IF(OR(C650="#",C650=0),"",VLOOKUP(C650,'AOP25'!M:M,1,0))),"Not Found",VLOOKUP(C650,'AOP25'!M:M,1,0))</f>
        <v>#N/A</v>
      </c>
      <c r="G650" t="e">
        <f t="shared" si="10"/>
        <v>#N/A</v>
      </c>
    </row>
    <row r="651" spans="1:7" x14ac:dyDescent="0.25">
      <c r="A651">
        <f>BIdetails!G654</f>
        <v>0</v>
      </c>
      <c r="B651">
        <f>BIdetails!H654</f>
        <v>0</v>
      </c>
      <c r="C651">
        <f>BIdetails!J654</f>
        <v>0</v>
      </c>
      <c r="D651">
        <f>BIdetails!K654</f>
        <v>0</v>
      </c>
      <c r="E651" s="165">
        <f>BIdetails!M654</f>
        <v>0</v>
      </c>
      <c r="F651" t="e">
        <f>IF(ISERROR(IF(OR(C651="#",C651=0),"",VLOOKUP(C651,'AOP25'!M:M,1,0))),"Not Found",VLOOKUP(C651,'AOP25'!M:M,1,0))</f>
        <v>#N/A</v>
      </c>
      <c r="G651" t="e">
        <f t="shared" si="10"/>
        <v>#N/A</v>
      </c>
    </row>
    <row r="652" spans="1:7" hidden="1" x14ac:dyDescent="0.25">
      <c r="A652">
        <f>BIdetails!G655</f>
        <v>0</v>
      </c>
      <c r="B652">
        <f>BIdetails!H655</f>
        <v>0</v>
      </c>
      <c r="C652">
        <f>BIdetails!J655</f>
        <v>0</v>
      </c>
      <c r="D652">
        <f>BIdetails!K655</f>
        <v>0</v>
      </c>
      <c r="E652" s="165">
        <f>BIdetails!M655</f>
        <v>0</v>
      </c>
      <c r="F652" t="e">
        <f>IF(ISERROR(IF(OR(C652="#",C652=0),"",VLOOKUP(C652,'AOP25'!M:M,1,0))),"Not Found",VLOOKUP(C652,'AOP25'!M:M,1,0))</f>
        <v>#N/A</v>
      </c>
      <c r="G652" t="e">
        <f t="shared" si="10"/>
        <v>#N/A</v>
      </c>
    </row>
    <row r="653" spans="1:7" x14ac:dyDescent="0.25">
      <c r="A653">
        <f>BIdetails!G656</f>
        <v>0</v>
      </c>
      <c r="B653">
        <f>BIdetails!H656</f>
        <v>0</v>
      </c>
      <c r="C653">
        <f>BIdetails!J656</f>
        <v>0</v>
      </c>
      <c r="D653">
        <f>BIdetails!K656</f>
        <v>0</v>
      </c>
      <c r="E653" s="165">
        <f>BIdetails!M656</f>
        <v>0</v>
      </c>
      <c r="F653" t="e">
        <f>IF(ISERROR(IF(OR(C653="#",C653=0),"",VLOOKUP(C653,'AOP25'!M:M,1,0))),"Not Found",VLOOKUP(C653,'AOP25'!M:M,1,0))</f>
        <v>#N/A</v>
      </c>
      <c r="G653" t="e">
        <f t="shared" si="10"/>
        <v>#N/A</v>
      </c>
    </row>
    <row r="654" spans="1:7" hidden="1" x14ac:dyDescent="0.25">
      <c r="A654">
        <f>BIdetails!G657</f>
        <v>0</v>
      </c>
      <c r="B654">
        <f>BIdetails!H657</f>
        <v>0</v>
      </c>
      <c r="C654">
        <f>BIdetails!J657</f>
        <v>0</v>
      </c>
      <c r="D654">
        <f>BIdetails!K657</f>
        <v>0</v>
      </c>
      <c r="E654" s="165">
        <f>BIdetails!M657</f>
        <v>0</v>
      </c>
      <c r="F654" t="e">
        <f>IF(ISERROR(IF(OR(C654="#",C654=0),"",VLOOKUP(C654,'AOP25'!M:M,1,0))),"Not Found",VLOOKUP(C654,'AOP25'!M:M,1,0))</f>
        <v>#N/A</v>
      </c>
      <c r="G654" t="e">
        <f t="shared" si="10"/>
        <v>#N/A</v>
      </c>
    </row>
    <row r="655" spans="1:7" x14ac:dyDescent="0.25">
      <c r="A655">
        <f>BIdetails!G658</f>
        <v>0</v>
      </c>
      <c r="B655">
        <f>BIdetails!H658</f>
        <v>0</v>
      </c>
      <c r="C655">
        <f>BIdetails!J658</f>
        <v>0</v>
      </c>
      <c r="D655">
        <f>BIdetails!K658</f>
        <v>0</v>
      </c>
      <c r="E655" s="165">
        <f>BIdetails!M658</f>
        <v>0</v>
      </c>
      <c r="F655" t="e">
        <f>IF(ISERROR(IF(OR(C655="#",C655=0),"",VLOOKUP(C655,'AOP25'!M:M,1,0))),"Not Found",VLOOKUP(C655,'AOP25'!M:M,1,0))</f>
        <v>#N/A</v>
      </c>
      <c r="G655" t="e">
        <f t="shared" si="10"/>
        <v>#N/A</v>
      </c>
    </row>
    <row r="656" spans="1:7" x14ac:dyDescent="0.25">
      <c r="A656">
        <f>BIdetails!G659</f>
        <v>0</v>
      </c>
      <c r="B656">
        <f>BIdetails!H659</f>
        <v>0</v>
      </c>
      <c r="C656">
        <f>BIdetails!J659</f>
        <v>0</v>
      </c>
      <c r="D656">
        <f>BIdetails!K659</f>
        <v>0</v>
      </c>
      <c r="E656" s="165">
        <f>BIdetails!M659</f>
        <v>0</v>
      </c>
      <c r="F656" t="e">
        <f>IF(ISERROR(IF(OR(C656="#",C656=0),"",VLOOKUP(C656,'AOP25'!M:M,1,0))),"Not Found",VLOOKUP(C656,'AOP25'!M:M,1,0))</f>
        <v>#N/A</v>
      </c>
      <c r="G656" t="e">
        <f t="shared" si="10"/>
        <v>#N/A</v>
      </c>
    </row>
    <row r="657" spans="1:7" hidden="1" x14ac:dyDescent="0.25">
      <c r="A657">
        <f>BIdetails!G660</f>
        <v>0</v>
      </c>
      <c r="B657">
        <f>BIdetails!H660</f>
        <v>0</v>
      </c>
      <c r="C657">
        <f>BIdetails!J660</f>
        <v>0</v>
      </c>
      <c r="D657">
        <f>BIdetails!K660</f>
        <v>0</v>
      </c>
      <c r="E657" s="165">
        <f>BIdetails!M660</f>
        <v>0</v>
      </c>
      <c r="F657" t="e">
        <f>IF(ISERROR(IF(OR(C657="#",C657=0),"",VLOOKUP(C657,'AOP25'!M:M,1,0))),"Not Found",VLOOKUP(C657,'AOP25'!M:M,1,0))</f>
        <v>#N/A</v>
      </c>
      <c r="G657" t="e">
        <f t="shared" si="10"/>
        <v>#N/A</v>
      </c>
    </row>
    <row r="658" spans="1:7" x14ac:dyDescent="0.25">
      <c r="A658">
        <f>BIdetails!G661</f>
        <v>0</v>
      </c>
      <c r="B658">
        <f>BIdetails!H661</f>
        <v>0</v>
      </c>
      <c r="C658">
        <f>BIdetails!J661</f>
        <v>0</v>
      </c>
      <c r="D658">
        <f>BIdetails!K661</f>
        <v>0</v>
      </c>
      <c r="E658" s="165">
        <f>BIdetails!M661</f>
        <v>0</v>
      </c>
      <c r="F658" t="e">
        <f>IF(ISERROR(IF(OR(C658="#",C658=0),"",VLOOKUP(C658,'AOP25'!M:M,1,0))),"Not Found",VLOOKUP(C658,'AOP25'!M:M,1,0))</f>
        <v>#N/A</v>
      </c>
      <c r="G658" t="e">
        <f t="shared" si="10"/>
        <v>#N/A</v>
      </c>
    </row>
    <row r="659" spans="1:7" hidden="1" x14ac:dyDescent="0.25">
      <c r="A659">
        <f>BIdetails!G662</f>
        <v>0</v>
      </c>
      <c r="B659">
        <f>BIdetails!H662</f>
        <v>0</v>
      </c>
      <c r="C659">
        <f>BIdetails!J662</f>
        <v>0</v>
      </c>
      <c r="D659">
        <f>BIdetails!K662</f>
        <v>0</v>
      </c>
      <c r="E659" s="165">
        <f>BIdetails!M662</f>
        <v>0</v>
      </c>
      <c r="F659" t="e">
        <f>IF(ISERROR(IF(OR(C659="#",C659=0),"",VLOOKUP(C659,'AOP25'!M:M,1,0))),"Not Found",VLOOKUP(C659,'AOP25'!M:M,1,0))</f>
        <v>#N/A</v>
      </c>
      <c r="G659" t="e">
        <f t="shared" si="10"/>
        <v>#N/A</v>
      </c>
    </row>
    <row r="660" spans="1:7" x14ac:dyDescent="0.25">
      <c r="A660">
        <f>BIdetails!G663</f>
        <v>0</v>
      </c>
      <c r="B660">
        <f>BIdetails!H663</f>
        <v>0</v>
      </c>
      <c r="C660">
        <f>BIdetails!J663</f>
        <v>0</v>
      </c>
      <c r="D660">
        <f>BIdetails!K663</f>
        <v>0</v>
      </c>
      <c r="E660" s="165">
        <f>BIdetails!M663</f>
        <v>0</v>
      </c>
      <c r="F660" t="e">
        <f>IF(ISERROR(IF(OR(C660="#",C660=0),"",VLOOKUP(C660,'AOP25'!M:M,1,0))),"Not Found",VLOOKUP(C660,'AOP25'!M:M,1,0))</f>
        <v>#N/A</v>
      </c>
      <c r="G660" t="e">
        <f t="shared" si="10"/>
        <v>#N/A</v>
      </c>
    </row>
    <row r="661" spans="1:7" hidden="1" x14ac:dyDescent="0.25">
      <c r="A661">
        <f>BIdetails!G664</f>
        <v>0</v>
      </c>
      <c r="B661">
        <f>BIdetails!H664</f>
        <v>0</v>
      </c>
      <c r="C661">
        <f>BIdetails!J664</f>
        <v>0</v>
      </c>
      <c r="D661">
        <f>BIdetails!K664</f>
        <v>0</v>
      </c>
      <c r="E661" s="165">
        <f>BIdetails!M664</f>
        <v>0</v>
      </c>
      <c r="F661" t="e">
        <f>IF(ISERROR(IF(OR(C661="#",C661=0),"",VLOOKUP(C661,'AOP25'!M:M,1,0))),"Not Found",VLOOKUP(C661,'AOP25'!M:M,1,0))</f>
        <v>#N/A</v>
      </c>
      <c r="G661" t="e">
        <f t="shared" si="10"/>
        <v>#N/A</v>
      </c>
    </row>
    <row r="662" spans="1:7" hidden="1" x14ac:dyDescent="0.25">
      <c r="A662">
        <f>BIdetails!G665</f>
        <v>0</v>
      </c>
      <c r="B662">
        <f>BIdetails!H665</f>
        <v>0</v>
      </c>
      <c r="C662">
        <f>BIdetails!J665</f>
        <v>0</v>
      </c>
      <c r="D662">
        <f>BIdetails!K665</f>
        <v>0</v>
      </c>
      <c r="E662" s="165">
        <f>BIdetails!M665</f>
        <v>0</v>
      </c>
      <c r="F662" t="e">
        <f>IF(ISERROR(IF(OR(C662="#",C662=0),"",VLOOKUP(C662,'AOP25'!M:M,1,0))),"Not Found",VLOOKUP(C662,'AOP25'!M:M,1,0))</f>
        <v>#N/A</v>
      </c>
      <c r="G662" t="e">
        <f t="shared" si="10"/>
        <v>#N/A</v>
      </c>
    </row>
    <row r="663" spans="1:7" hidden="1" x14ac:dyDescent="0.25">
      <c r="A663">
        <f>BIdetails!G666</f>
        <v>0</v>
      </c>
      <c r="B663">
        <f>BIdetails!H666</f>
        <v>0</v>
      </c>
      <c r="C663">
        <f>BIdetails!J666</f>
        <v>0</v>
      </c>
      <c r="D663">
        <f>BIdetails!K666</f>
        <v>0</v>
      </c>
      <c r="E663" s="165">
        <f>BIdetails!M666</f>
        <v>0</v>
      </c>
      <c r="F663" t="e">
        <f>IF(ISERROR(IF(OR(C663="#",C663=0),"",VLOOKUP(C663,'AOP25'!M:M,1,0))),"Not Found",VLOOKUP(C663,'AOP25'!M:M,1,0))</f>
        <v>#N/A</v>
      </c>
      <c r="G663" t="e">
        <f t="shared" si="10"/>
        <v>#N/A</v>
      </c>
    </row>
    <row r="664" spans="1:7" x14ac:dyDescent="0.25">
      <c r="A664">
        <f>BIdetails!G667</f>
        <v>0</v>
      </c>
      <c r="B664">
        <f>BIdetails!H667</f>
        <v>0</v>
      </c>
      <c r="C664">
        <f>BIdetails!J667</f>
        <v>0</v>
      </c>
      <c r="D664">
        <f>BIdetails!K667</f>
        <v>0</v>
      </c>
      <c r="E664" s="165">
        <f>BIdetails!M667</f>
        <v>0</v>
      </c>
      <c r="F664" t="e">
        <f>IF(ISERROR(IF(OR(C664="#",C664=0),"",VLOOKUP(C664,'AOP25'!M:M,1,0))),"Not Found",VLOOKUP(C664,'AOP25'!M:M,1,0))</f>
        <v>#N/A</v>
      </c>
      <c r="G664" t="e">
        <f t="shared" si="10"/>
        <v>#N/A</v>
      </c>
    </row>
    <row r="665" spans="1:7" x14ac:dyDescent="0.25">
      <c r="A665">
        <f>BIdetails!G668</f>
        <v>0</v>
      </c>
      <c r="B665">
        <f>BIdetails!H668</f>
        <v>0</v>
      </c>
      <c r="C665">
        <f>BIdetails!J668</f>
        <v>0</v>
      </c>
      <c r="D665">
        <f>BIdetails!K668</f>
        <v>0</v>
      </c>
      <c r="E665" s="165">
        <f>BIdetails!M668</f>
        <v>0</v>
      </c>
      <c r="F665" t="e">
        <f>IF(ISERROR(IF(OR(C665="#",C665=0),"",VLOOKUP(C665,'AOP25'!M:M,1,0))),"Not Found",VLOOKUP(C665,'AOP25'!M:M,1,0))</f>
        <v>#N/A</v>
      </c>
      <c r="G665" t="e">
        <f t="shared" si="10"/>
        <v>#N/A</v>
      </c>
    </row>
    <row r="666" spans="1:7" x14ac:dyDescent="0.25">
      <c r="A666">
        <f>BIdetails!G669</f>
        <v>0</v>
      </c>
      <c r="B666">
        <f>BIdetails!H669</f>
        <v>0</v>
      </c>
      <c r="C666">
        <f>BIdetails!J669</f>
        <v>0</v>
      </c>
      <c r="D666">
        <f>BIdetails!K669</f>
        <v>0</v>
      </c>
      <c r="E666" s="165">
        <f>BIdetails!M669</f>
        <v>0</v>
      </c>
      <c r="F666" t="e">
        <f>IF(ISERROR(IF(OR(C666="#",C666=0),"",VLOOKUP(C666,'AOP25'!M:M,1,0))),"Not Found",VLOOKUP(C666,'AOP25'!M:M,1,0))</f>
        <v>#N/A</v>
      </c>
      <c r="G666" t="e">
        <f t="shared" si="10"/>
        <v>#N/A</v>
      </c>
    </row>
    <row r="667" spans="1:7" x14ac:dyDescent="0.25">
      <c r="A667">
        <f>BIdetails!G670</f>
        <v>0</v>
      </c>
      <c r="B667">
        <f>BIdetails!H670</f>
        <v>0</v>
      </c>
      <c r="C667">
        <f>BIdetails!J670</f>
        <v>0</v>
      </c>
      <c r="D667">
        <f>BIdetails!K670</f>
        <v>0</v>
      </c>
      <c r="E667" s="165">
        <f>BIdetails!M670</f>
        <v>0</v>
      </c>
      <c r="F667" t="e">
        <f>IF(ISERROR(IF(OR(C667="#",C667=0),"",VLOOKUP(C667,'AOP25'!M:M,1,0))),"Not Found",VLOOKUP(C667,'AOP25'!M:M,1,0))</f>
        <v>#N/A</v>
      </c>
      <c r="G667" t="e">
        <f t="shared" si="10"/>
        <v>#N/A</v>
      </c>
    </row>
    <row r="668" spans="1:7" hidden="1" x14ac:dyDescent="0.25">
      <c r="A668">
        <f>BIdetails!G671</f>
        <v>0</v>
      </c>
      <c r="B668">
        <f>BIdetails!H671</f>
        <v>0</v>
      </c>
      <c r="C668">
        <f>BIdetails!J671</f>
        <v>0</v>
      </c>
      <c r="D668">
        <f>BIdetails!K671</f>
        <v>0</v>
      </c>
      <c r="E668" s="165">
        <f>BIdetails!M671</f>
        <v>0</v>
      </c>
      <c r="F668" t="e">
        <f>IF(ISERROR(IF(OR(C668="#",C668=0),"",VLOOKUP(C668,'AOP25'!M:M,1,0))),"Not Found",VLOOKUP(C668,'AOP25'!M:M,1,0))</f>
        <v>#N/A</v>
      </c>
      <c r="G668" t="e">
        <f t="shared" si="10"/>
        <v>#N/A</v>
      </c>
    </row>
    <row r="669" spans="1:7" hidden="1" x14ac:dyDescent="0.25">
      <c r="A669">
        <f>BIdetails!G672</f>
        <v>0</v>
      </c>
      <c r="B669">
        <f>BIdetails!H672</f>
        <v>0</v>
      </c>
      <c r="C669">
        <f>BIdetails!J672</f>
        <v>0</v>
      </c>
      <c r="D669">
        <f>BIdetails!K672</f>
        <v>0</v>
      </c>
      <c r="E669" s="165">
        <f>BIdetails!M672</f>
        <v>0</v>
      </c>
      <c r="F669" t="e">
        <f>IF(ISERROR(IF(OR(C669="#",C669=0),"",VLOOKUP(C669,'AOP25'!M:M,1,0))),"Not Found",VLOOKUP(C669,'AOP25'!M:M,1,0))</f>
        <v>#N/A</v>
      </c>
      <c r="G669" t="e">
        <f t="shared" si="10"/>
        <v>#N/A</v>
      </c>
    </row>
    <row r="670" spans="1:7" x14ac:dyDescent="0.25">
      <c r="A670">
        <f>BIdetails!G673</f>
        <v>0</v>
      </c>
      <c r="B670">
        <f>BIdetails!H673</f>
        <v>0</v>
      </c>
      <c r="C670">
        <f>BIdetails!J673</f>
        <v>0</v>
      </c>
      <c r="D670">
        <f>BIdetails!K673</f>
        <v>0</v>
      </c>
      <c r="E670" s="165">
        <f>BIdetails!M673</f>
        <v>0</v>
      </c>
      <c r="F670" t="e">
        <f>IF(ISERROR(IF(OR(C670="#",C670=0),"",VLOOKUP(C670,'AOP25'!M:M,1,0))),"Not Found",VLOOKUP(C670,'AOP25'!M:M,1,0))</f>
        <v>#N/A</v>
      </c>
      <c r="G670" t="e">
        <f t="shared" si="10"/>
        <v>#N/A</v>
      </c>
    </row>
    <row r="671" spans="1:7" x14ac:dyDescent="0.25">
      <c r="A671">
        <f>BIdetails!G674</f>
        <v>0</v>
      </c>
      <c r="B671">
        <f>BIdetails!H674</f>
        <v>0</v>
      </c>
      <c r="C671">
        <f>BIdetails!J674</f>
        <v>0</v>
      </c>
      <c r="D671">
        <f>BIdetails!K674</f>
        <v>0</v>
      </c>
      <c r="E671" s="165">
        <f>BIdetails!M674</f>
        <v>0</v>
      </c>
      <c r="F671" t="e">
        <f>IF(ISERROR(IF(OR(C671="#",C671=0),"",VLOOKUP(C671,'AOP25'!M:M,1,0))),"Not Found",VLOOKUP(C671,'AOP25'!M:M,1,0))</f>
        <v>#N/A</v>
      </c>
      <c r="G671" t="e">
        <f t="shared" si="10"/>
        <v>#N/A</v>
      </c>
    </row>
    <row r="672" spans="1:7" x14ac:dyDescent="0.25">
      <c r="A672">
        <f>BIdetails!G675</f>
        <v>0</v>
      </c>
      <c r="B672">
        <f>BIdetails!H675</f>
        <v>0</v>
      </c>
      <c r="C672">
        <f>BIdetails!J675</f>
        <v>0</v>
      </c>
      <c r="D672">
        <f>BIdetails!K675</f>
        <v>0</v>
      </c>
      <c r="E672" s="165">
        <f>BIdetails!M675</f>
        <v>0</v>
      </c>
      <c r="F672" t="e">
        <f>IF(ISERROR(IF(OR(C672="#",C672=0),"",VLOOKUP(C672,'AOP25'!M:M,1,0))),"Not Found",VLOOKUP(C672,'AOP25'!M:M,1,0))</f>
        <v>#N/A</v>
      </c>
      <c r="G672" t="e">
        <f t="shared" si="10"/>
        <v>#N/A</v>
      </c>
    </row>
    <row r="673" spans="1:7" x14ac:dyDescent="0.25">
      <c r="A673">
        <f>BIdetails!G676</f>
        <v>0</v>
      </c>
      <c r="B673">
        <f>BIdetails!H676</f>
        <v>0</v>
      </c>
      <c r="C673">
        <f>BIdetails!J676</f>
        <v>0</v>
      </c>
      <c r="D673">
        <f>BIdetails!K676</f>
        <v>0</v>
      </c>
      <c r="E673" s="165">
        <f>BIdetails!M676</f>
        <v>0</v>
      </c>
      <c r="F673" t="e">
        <f>IF(ISERROR(IF(OR(C673="#",C673=0),"",VLOOKUP(C673,'AOP25'!M:M,1,0))),"Not Found",VLOOKUP(C673,'AOP25'!M:M,1,0))</f>
        <v>#N/A</v>
      </c>
      <c r="G673" t="e">
        <f t="shared" si="10"/>
        <v>#N/A</v>
      </c>
    </row>
    <row r="674" spans="1:7" x14ac:dyDescent="0.25">
      <c r="A674">
        <f>BIdetails!G677</f>
        <v>0</v>
      </c>
      <c r="B674">
        <f>BIdetails!H677</f>
        <v>0</v>
      </c>
      <c r="C674">
        <f>BIdetails!J677</f>
        <v>0</v>
      </c>
      <c r="D674">
        <f>BIdetails!K677</f>
        <v>0</v>
      </c>
      <c r="E674" s="165">
        <f>BIdetails!M677</f>
        <v>0</v>
      </c>
      <c r="F674" t="e">
        <f>IF(ISERROR(IF(OR(C674="#",C674=0),"",VLOOKUP(C674,'AOP25'!M:M,1,0))),"Not Found",VLOOKUP(C674,'AOP25'!M:M,1,0))</f>
        <v>#N/A</v>
      </c>
      <c r="G674" t="e">
        <f t="shared" si="10"/>
        <v>#N/A</v>
      </c>
    </row>
    <row r="675" spans="1:7" hidden="1" x14ac:dyDescent="0.25">
      <c r="A675">
        <f>BIdetails!G678</f>
        <v>0</v>
      </c>
      <c r="B675">
        <f>BIdetails!H678</f>
        <v>0</v>
      </c>
      <c r="C675">
        <f>BIdetails!J678</f>
        <v>0</v>
      </c>
      <c r="D675">
        <f>BIdetails!K678</f>
        <v>0</v>
      </c>
      <c r="E675" s="165">
        <f>BIdetails!M678</f>
        <v>0</v>
      </c>
      <c r="F675" t="e">
        <f>IF(ISERROR(IF(OR(C675="#",C675=0),"",VLOOKUP(C675,'AOP25'!M:M,1,0))),"Not Found",VLOOKUP(C675,'AOP25'!M:M,1,0))</f>
        <v>#N/A</v>
      </c>
      <c r="G675" t="e">
        <f t="shared" si="10"/>
        <v>#N/A</v>
      </c>
    </row>
    <row r="676" spans="1:7" hidden="1" x14ac:dyDescent="0.25">
      <c r="A676">
        <f>BIdetails!G679</f>
        <v>0</v>
      </c>
      <c r="B676">
        <f>BIdetails!H679</f>
        <v>0</v>
      </c>
      <c r="C676">
        <f>BIdetails!J679</f>
        <v>0</v>
      </c>
      <c r="D676">
        <f>BIdetails!K679</f>
        <v>0</v>
      </c>
      <c r="E676" s="165">
        <f>BIdetails!M679</f>
        <v>0</v>
      </c>
      <c r="F676" t="e">
        <f>IF(ISERROR(IF(OR(C676="#",C676=0),"",VLOOKUP(C676,'AOP25'!M:M,1,0))),"Not Found",VLOOKUP(C676,'AOP25'!M:M,1,0))</f>
        <v>#N/A</v>
      </c>
      <c r="G676" t="e">
        <f t="shared" si="10"/>
        <v>#N/A</v>
      </c>
    </row>
    <row r="677" spans="1:7" hidden="1" x14ac:dyDescent="0.25">
      <c r="A677">
        <f>BIdetails!G680</f>
        <v>0</v>
      </c>
      <c r="B677">
        <f>BIdetails!H680</f>
        <v>0</v>
      </c>
      <c r="C677">
        <f>BIdetails!J680</f>
        <v>0</v>
      </c>
      <c r="D677">
        <f>BIdetails!K680</f>
        <v>0</v>
      </c>
      <c r="E677" s="165">
        <f>BIdetails!M680</f>
        <v>0</v>
      </c>
      <c r="F677" t="e">
        <f>IF(ISERROR(IF(OR(C677="#",C677=0),"",VLOOKUP(C677,'AOP25'!M:M,1,0))),"Not Found",VLOOKUP(C677,'AOP25'!M:M,1,0))</f>
        <v>#N/A</v>
      </c>
      <c r="G677" t="e">
        <f t="shared" si="10"/>
        <v>#N/A</v>
      </c>
    </row>
    <row r="678" spans="1:7" hidden="1" x14ac:dyDescent="0.25">
      <c r="A678">
        <f>BIdetails!G681</f>
        <v>0</v>
      </c>
      <c r="B678">
        <f>BIdetails!H681</f>
        <v>0</v>
      </c>
      <c r="C678">
        <f>BIdetails!J681</f>
        <v>0</v>
      </c>
      <c r="D678">
        <f>BIdetails!K681</f>
        <v>0</v>
      </c>
      <c r="E678" s="165">
        <f>BIdetails!M681</f>
        <v>0</v>
      </c>
      <c r="F678" t="e">
        <f>IF(ISERROR(IF(OR(C678="#",C678=0),"",VLOOKUP(C678,'AOP25'!M:M,1,0))),"Not Found",VLOOKUP(C678,'AOP25'!M:M,1,0))</f>
        <v>#N/A</v>
      </c>
      <c r="G678" t="e">
        <f t="shared" si="10"/>
        <v>#N/A</v>
      </c>
    </row>
    <row r="679" spans="1:7" hidden="1" x14ac:dyDescent="0.25">
      <c r="A679">
        <f>BIdetails!G682</f>
        <v>0</v>
      </c>
      <c r="B679">
        <f>BIdetails!H682</f>
        <v>0</v>
      </c>
      <c r="C679">
        <f>BIdetails!J682</f>
        <v>0</v>
      </c>
      <c r="D679">
        <f>BIdetails!K682</f>
        <v>0</v>
      </c>
      <c r="E679" s="165">
        <f>BIdetails!M682</f>
        <v>0</v>
      </c>
      <c r="F679" t="e">
        <f>IF(ISERROR(IF(OR(C679="#",C679=0),"",VLOOKUP(C679,'AOP25'!M:M,1,0))),"Not Found",VLOOKUP(C679,'AOP25'!M:M,1,0))</f>
        <v>#N/A</v>
      </c>
      <c r="G679" t="e">
        <f t="shared" si="10"/>
        <v>#N/A</v>
      </c>
    </row>
    <row r="680" spans="1:7" hidden="1" x14ac:dyDescent="0.25">
      <c r="A680">
        <f>BIdetails!G683</f>
        <v>0</v>
      </c>
      <c r="B680">
        <f>BIdetails!H683</f>
        <v>0</v>
      </c>
      <c r="C680">
        <f>BIdetails!J683</f>
        <v>0</v>
      </c>
      <c r="D680">
        <f>BIdetails!K683</f>
        <v>0</v>
      </c>
      <c r="E680" s="165">
        <f>BIdetails!M683</f>
        <v>0</v>
      </c>
      <c r="F680" t="e">
        <f>IF(ISERROR(IF(OR(C680="#",C680=0),"",VLOOKUP(C680,'AOP25'!M:M,1,0))),"Not Found",VLOOKUP(C680,'AOP25'!M:M,1,0))</f>
        <v>#N/A</v>
      </c>
      <c r="G680" t="e">
        <f t="shared" si="10"/>
        <v>#N/A</v>
      </c>
    </row>
    <row r="681" spans="1:7" hidden="1" x14ac:dyDescent="0.25">
      <c r="A681">
        <f>BIdetails!G684</f>
        <v>0</v>
      </c>
      <c r="B681">
        <f>BIdetails!H684</f>
        <v>0</v>
      </c>
      <c r="C681">
        <f>BIdetails!J684</f>
        <v>0</v>
      </c>
      <c r="D681">
        <f>BIdetails!K684</f>
        <v>0</v>
      </c>
      <c r="E681" s="165">
        <f>BIdetails!M684</f>
        <v>0</v>
      </c>
      <c r="F681" t="e">
        <f>IF(ISERROR(IF(OR(C681="#",C681=0),"",VLOOKUP(C681,'AOP25'!M:M,1,0))),"Not Found",VLOOKUP(C681,'AOP25'!M:M,1,0))</f>
        <v>#N/A</v>
      </c>
      <c r="G681" t="e">
        <f t="shared" si="10"/>
        <v>#N/A</v>
      </c>
    </row>
    <row r="682" spans="1:7" hidden="1" x14ac:dyDescent="0.25">
      <c r="A682">
        <f>BIdetails!G685</f>
        <v>0</v>
      </c>
      <c r="B682">
        <f>BIdetails!H685</f>
        <v>0</v>
      </c>
      <c r="C682">
        <f>BIdetails!J685</f>
        <v>0</v>
      </c>
      <c r="D682">
        <f>BIdetails!K685</f>
        <v>0</v>
      </c>
      <c r="E682" s="165">
        <f>BIdetails!M685</f>
        <v>0</v>
      </c>
      <c r="F682" t="e">
        <f>IF(ISERROR(IF(OR(C682="#",C682=0),"",VLOOKUP(C682,'AOP25'!M:M,1,0))),"Not Found",VLOOKUP(C682,'AOP25'!M:M,1,0))</f>
        <v>#N/A</v>
      </c>
      <c r="G682" t="e">
        <f t="shared" si="10"/>
        <v>#N/A</v>
      </c>
    </row>
    <row r="683" spans="1:7" x14ac:dyDescent="0.25">
      <c r="A683">
        <f>BIdetails!G686</f>
        <v>0</v>
      </c>
      <c r="B683">
        <f>BIdetails!H686</f>
        <v>0</v>
      </c>
      <c r="C683">
        <f>BIdetails!J686</f>
        <v>0</v>
      </c>
      <c r="D683">
        <f>BIdetails!K686</f>
        <v>0</v>
      </c>
      <c r="E683" s="165">
        <f>BIdetails!M686</f>
        <v>0</v>
      </c>
      <c r="F683" t="e">
        <f>IF(ISERROR(IF(OR(C683="#",C683=0),"",VLOOKUP(C683,'AOP25'!M:M,1,0))),"Not Found",VLOOKUP(C683,'AOP25'!M:M,1,0))</f>
        <v>#N/A</v>
      </c>
      <c r="G683" t="e">
        <f t="shared" si="10"/>
        <v>#N/A</v>
      </c>
    </row>
    <row r="684" spans="1:7" x14ac:dyDescent="0.25">
      <c r="A684">
        <f>BIdetails!G687</f>
        <v>0</v>
      </c>
      <c r="B684">
        <f>BIdetails!H687</f>
        <v>0</v>
      </c>
      <c r="C684">
        <f>BIdetails!J687</f>
        <v>0</v>
      </c>
      <c r="D684">
        <f>BIdetails!K687</f>
        <v>0</v>
      </c>
      <c r="E684" s="165">
        <f>BIdetails!M687</f>
        <v>0</v>
      </c>
      <c r="F684" t="e">
        <f>IF(ISERROR(IF(OR(C684="#",C684=0),"",VLOOKUP(C684,'AOP25'!M:M,1,0))),"Not Found",VLOOKUP(C684,'AOP25'!M:M,1,0))</f>
        <v>#N/A</v>
      </c>
      <c r="G684" t="e">
        <f t="shared" si="10"/>
        <v>#N/A</v>
      </c>
    </row>
    <row r="685" spans="1:7" x14ac:dyDescent="0.25">
      <c r="A685">
        <f>BIdetails!G688</f>
        <v>0</v>
      </c>
      <c r="B685">
        <f>BIdetails!H688</f>
        <v>0</v>
      </c>
      <c r="C685">
        <f>BIdetails!J688</f>
        <v>0</v>
      </c>
      <c r="D685">
        <f>BIdetails!K688</f>
        <v>0</v>
      </c>
      <c r="E685" s="165">
        <f>BIdetails!M688</f>
        <v>0</v>
      </c>
      <c r="F685" t="e">
        <f>IF(ISERROR(IF(OR(C685="#",C685=0),"",VLOOKUP(C685,'AOP25'!M:M,1,0))),"Not Found",VLOOKUP(C685,'AOP25'!M:M,1,0))</f>
        <v>#N/A</v>
      </c>
      <c r="G685" t="e">
        <f t="shared" si="10"/>
        <v>#N/A</v>
      </c>
    </row>
    <row r="686" spans="1:7" hidden="1" x14ac:dyDescent="0.25">
      <c r="A686">
        <f>BIdetails!G689</f>
        <v>0</v>
      </c>
      <c r="B686">
        <f>BIdetails!H689</f>
        <v>0</v>
      </c>
      <c r="C686">
        <f>BIdetails!J689</f>
        <v>0</v>
      </c>
      <c r="D686">
        <f>BIdetails!K689</f>
        <v>0</v>
      </c>
      <c r="E686" s="165">
        <f>BIdetails!M689</f>
        <v>0</v>
      </c>
      <c r="F686" t="e">
        <f>IF(ISERROR(IF(OR(C686="#",C686=0),"",VLOOKUP(C686,'AOP25'!M:M,1,0))),"Not Found",VLOOKUP(C686,'AOP25'!M:M,1,0))</f>
        <v>#N/A</v>
      </c>
      <c r="G686" t="e">
        <f t="shared" si="10"/>
        <v>#N/A</v>
      </c>
    </row>
    <row r="687" spans="1:7" hidden="1" x14ac:dyDescent="0.25">
      <c r="A687">
        <f>BIdetails!G690</f>
        <v>0</v>
      </c>
      <c r="B687">
        <f>BIdetails!H690</f>
        <v>0</v>
      </c>
      <c r="C687">
        <f>BIdetails!J690</f>
        <v>0</v>
      </c>
      <c r="D687">
        <f>BIdetails!K690</f>
        <v>0</v>
      </c>
      <c r="E687" s="165">
        <f>BIdetails!M690</f>
        <v>0</v>
      </c>
      <c r="F687" t="e">
        <f>IF(ISERROR(IF(OR(C687="#",C687=0),"",VLOOKUP(C687,'AOP25'!M:M,1,0))),"Not Found",VLOOKUP(C687,'AOP25'!M:M,1,0))</f>
        <v>#N/A</v>
      </c>
      <c r="G687" t="e">
        <f t="shared" si="10"/>
        <v>#N/A</v>
      </c>
    </row>
    <row r="688" spans="1:7" hidden="1" x14ac:dyDescent="0.25">
      <c r="A688">
        <f>BIdetails!G691</f>
        <v>0</v>
      </c>
      <c r="B688">
        <f>BIdetails!H691</f>
        <v>0</v>
      </c>
      <c r="C688">
        <f>BIdetails!J691</f>
        <v>0</v>
      </c>
      <c r="D688">
        <f>BIdetails!K691</f>
        <v>0</v>
      </c>
      <c r="E688" s="165">
        <f>BIdetails!M691</f>
        <v>0</v>
      </c>
      <c r="F688" t="e">
        <f>IF(ISERROR(IF(OR(C688="#",C688=0),"",VLOOKUP(C688,'AOP25'!M:M,1,0))),"Not Found",VLOOKUP(C688,'AOP25'!M:M,1,0))</f>
        <v>#N/A</v>
      </c>
      <c r="G688" t="e">
        <f t="shared" si="10"/>
        <v>#N/A</v>
      </c>
    </row>
    <row r="689" spans="1:7" hidden="1" x14ac:dyDescent="0.25">
      <c r="A689">
        <f>BIdetails!G692</f>
        <v>0</v>
      </c>
      <c r="B689">
        <f>BIdetails!H692</f>
        <v>0</v>
      </c>
      <c r="C689">
        <f>BIdetails!J692</f>
        <v>0</v>
      </c>
      <c r="D689">
        <f>BIdetails!K692</f>
        <v>0</v>
      </c>
      <c r="E689" s="165">
        <f>BIdetails!M692</f>
        <v>0</v>
      </c>
      <c r="F689" t="e">
        <f>IF(ISERROR(IF(OR(C689="#",C689=0),"",VLOOKUP(C689,'AOP25'!M:M,1,0))),"Not Found",VLOOKUP(C689,'AOP25'!M:M,1,0))</f>
        <v>#N/A</v>
      </c>
      <c r="G689" t="e">
        <f t="shared" si="10"/>
        <v>#N/A</v>
      </c>
    </row>
    <row r="690" spans="1:7" hidden="1" x14ac:dyDescent="0.25">
      <c r="A690">
        <f>BIdetails!G693</f>
        <v>0</v>
      </c>
      <c r="B690">
        <f>BIdetails!H693</f>
        <v>0</v>
      </c>
      <c r="C690">
        <f>BIdetails!J693</f>
        <v>0</v>
      </c>
      <c r="D690">
        <f>BIdetails!K693</f>
        <v>0</v>
      </c>
      <c r="E690" s="165">
        <f>BIdetails!M693</f>
        <v>0</v>
      </c>
      <c r="F690" t="e">
        <f>IF(ISERROR(IF(OR(C690="#",C690=0),"",VLOOKUP(C690,'AOP25'!M:M,1,0))),"Not Found",VLOOKUP(C690,'AOP25'!M:M,1,0))</f>
        <v>#N/A</v>
      </c>
      <c r="G690" t="e">
        <f t="shared" si="10"/>
        <v>#N/A</v>
      </c>
    </row>
    <row r="691" spans="1:7" hidden="1" x14ac:dyDescent="0.25">
      <c r="A691">
        <f>BIdetails!G694</f>
        <v>0</v>
      </c>
      <c r="B691">
        <f>BIdetails!H694</f>
        <v>0</v>
      </c>
      <c r="C691">
        <f>BIdetails!J694</f>
        <v>0</v>
      </c>
      <c r="D691">
        <f>BIdetails!K694</f>
        <v>0</v>
      </c>
      <c r="E691" s="165">
        <f>BIdetails!M694</f>
        <v>0</v>
      </c>
      <c r="F691" t="e">
        <f>IF(ISERROR(IF(OR(C691="#",C691=0),"",VLOOKUP(C691,'AOP25'!M:M,1,0))),"Not Found",VLOOKUP(C691,'AOP25'!M:M,1,0))</f>
        <v>#N/A</v>
      </c>
      <c r="G691" t="e">
        <f t="shared" si="10"/>
        <v>#N/A</v>
      </c>
    </row>
    <row r="692" spans="1:7" hidden="1" x14ac:dyDescent="0.25">
      <c r="A692">
        <f>BIdetails!G695</f>
        <v>0</v>
      </c>
      <c r="B692">
        <f>BIdetails!H695</f>
        <v>0</v>
      </c>
      <c r="C692">
        <f>BIdetails!J695</f>
        <v>0</v>
      </c>
      <c r="D692">
        <f>BIdetails!K695</f>
        <v>0</v>
      </c>
      <c r="E692" s="165">
        <f>BIdetails!M695</f>
        <v>0</v>
      </c>
      <c r="F692" t="e">
        <f>IF(ISERROR(IF(OR(C692="#",C692=0),"",VLOOKUP(C692,'AOP25'!M:M,1,0))),"Not Found",VLOOKUP(C692,'AOP25'!M:M,1,0))</f>
        <v>#N/A</v>
      </c>
      <c r="G692" t="e">
        <f t="shared" si="10"/>
        <v>#N/A</v>
      </c>
    </row>
    <row r="693" spans="1:7" hidden="1" x14ac:dyDescent="0.25">
      <c r="A693">
        <f>BIdetails!G696</f>
        <v>0</v>
      </c>
      <c r="B693">
        <f>BIdetails!H696</f>
        <v>0</v>
      </c>
      <c r="C693">
        <f>BIdetails!J696</f>
        <v>0</v>
      </c>
      <c r="D693">
        <f>BIdetails!K696</f>
        <v>0</v>
      </c>
      <c r="E693" s="165">
        <f>BIdetails!M696</f>
        <v>0</v>
      </c>
      <c r="F693" t="e">
        <f>IF(ISERROR(IF(OR(C693="#",C693=0),"",VLOOKUP(C693,'AOP25'!M:M,1,0))),"Not Found",VLOOKUP(C693,'AOP25'!M:M,1,0))</f>
        <v>#N/A</v>
      </c>
      <c r="G693" t="e">
        <f t="shared" si="10"/>
        <v>#N/A</v>
      </c>
    </row>
    <row r="694" spans="1:7" hidden="1" x14ac:dyDescent="0.25">
      <c r="A694">
        <f>BIdetails!G697</f>
        <v>0</v>
      </c>
      <c r="B694">
        <f>BIdetails!H697</f>
        <v>0</v>
      </c>
      <c r="C694">
        <f>BIdetails!J697</f>
        <v>0</v>
      </c>
      <c r="D694">
        <f>BIdetails!K697</f>
        <v>0</v>
      </c>
      <c r="E694" s="165">
        <f>BIdetails!M697</f>
        <v>0</v>
      </c>
      <c r="F694" t="e">
        <f>IF(ISERROR(IF(OR(C694="#",C694=0),"",VLOOKUP(C694,'AOP25'!M:M,1,0))),"Not Found",VLOOKUP(C694,'AOP25'!M:M,1,0))</f>
        <v>#N/A</v>
      </c>
      <c r="G694" t="e">
        <f t="shared" si="10"/>
        <v>#N/A</v>
      </c>
    </row>
    <row r="695" spans="1:7" hidden="1" x14ac:dyDescent="0.25">
      <c r="A695">
        <f>BIdetails!G698</f>
        <v>0</v>
      </c>
      <c r="B695">
        <f>BIdetails!H698</f>
        <v>0</v>
      </c>
      <c r="C695">
        <f>BIdetails!J698</f>
        <v>0</v>
      </c>
      <c r="D695">
        <f>BIdetails!K698</f>
        <v>0</v>
      </c>
      <c r="E695" s="165">
        <f>BIdetails!M698</f>
        <v>0</v>
      </c>
      <c r="F695" t="e">
        <f>IF(ISERROR(IF(OR(C695="#",C695=0),"",VLOOKUP(C695,'AOP25'!M:M,1,0))),"Not Found",VLOOKUP(C695,'AOP25'!M:M,1,0))</f>
        <v>#N/A</v>
      </c>
      <c r="G695" t="e">
        <f t="shared" si="10"/>
        <v>#N/A</v>
      </c>
    </row>
    <row r="696" spans="1:7" hidden="1" x14ac:dyDescent="0.25">
      <c r="A696">
        <f>BIdetails!G699</f>
        <v>0</v>
      </c>
      <c r="B696">
        <f>BIdetails!H699</f>
        <v>0</v>
      </c>
      <c r="C696">
        <f>BIdetails!J699</f>
        <v>0</v>
      </c>
      <c r="D696">
        <f>BIdetails!K699</f>
        <v>0</v>
      </c>
      <c r="E696" s="165">
        <f>BIdetails!M699</f>
        <v>0</v>
      </c>
      <c r="F696" t="e">
        <f>IF(ISERROR(IF(OR(C696="#",C696=0),"",VLOOKUP(C696,'AOP25'!M:M,1,0))),"Not Found",VLOOKUP(C696,'AOP25'!M:M,1,0))</f>
        <v>#N/A</v>
      </c>
      <c r="G696" t="e">
        <f t="shared" si="10"/>
        <v>#N/A</v>
      </c>
    </row>
    <row r="697" spans="1:7" hidden="1" x14ac:dyDescent="0.25">
      <c r="A697">
        <f>BIdetails!G700</f>
        <v>0</v>
      </c>
      <c r="B697">
        <f>BIdetails!H700</f>
        <v>0</v>
      </c>
      <c r="C697">
        <f>BIdetails!J700</f>
        <v>0</v>
      </c>
      <c r="D697">
        <f>BIdetails!K700</f>
        <v>0</v>
      </c>
      <c r="E697" s="165">
        <f>BIdetails!M700</f>
        <v>0</v>
      </c>
      <c r="F697" t="e">
        <f>IF(ISERROR(IF(OR(C697="#",C697=0),"",VLOOKUP(C697,'AOP25'!M:M,1,0))),"Not Found",VLOOKUP(C697,'AOP25'!M:M,1,0))</f>
        <v>#N/A</v>
      </c>
      <c r="G697" t="e">
        <f t="shared" si="10"/>
        <v>#N/A</v>
      </c>
    </row>
    <row r="698" spans="1:7" x14ac:dyDescent="0.25">
      <c r="A698">
        <f>BIdetails!G701</f>
        <v>0</v>
      </c>
      <c r="B698">
        <f>BIdetails!H701</f>
        <v>0</v>
      </c>
      <c r="C698">
        <f>BIdetails!J701</f>
        <v>0</v>
      </c>
      <c r="D698">
        <f>BIdetails!K701</f>
        <v>0</v>
      </c>
      <c r="E698" s="165">
        <f>BIdetails!M701</f>
        <v>0</v>
      </c>
      <c r="F698" t="e">
        <f>IF(ISERROR(IF(OR(C698="#",C698=0),"",VLOOKUP(C698,'AOP25'!M:M,1,0))),"Not Found",VLOOKUP(C698,'AOP25'!M:M,1,0))</f>
        <v>#N/A</v>
      </c>
      <c r="G698" t="e">
        <f t="shared" ref="G698:G761" si="11">IF(NOT(ISERROR(VLOOKUP(C698,$K$2:$K$50,1,0))),"Y",VLOOKUP(C698,$K$2:$K$50,1,0))</f>
        <v>#N/A</v>
      </c>
    </row>
    <row r="699" spans="1:7" x14ac:dyDescent="0.25">
      <c r="A699">
        <f>BIdetails!G702</f>
        <v>0</v>
      </c>
      <c r="B699">
        <f>BIdetails!H702</f>
        <v>0</v>
      </c>
      <c r="C699">
        <f>BIdetails!J702</f>
        <v>0</v>
      </c>
      <c r="D699">
        <f>BIdetails!K702</f>
        <v>0</v>
      </c>
      <c r="E699" s="165">
        <f>BIdetails!M702</f>
        <v>0</v>
      </c>
      <c r="F699" t="e">
        <f>IF(ISERROR(IF(OR(C699="#",C699=0),"",VLOOKUP(C699,'AOP25'!M:M,1,0))),"Not Found",VLOOKUP(C699,'AOP25'!M:M,1,0))</f>
        <v>#N/A</v>
      </c>
      <c r="G699" t="e">
        <f t="shared" si="11"/>
        <v>#N/A</v>
      </c>
    </row>
    <row r="700" spans="1:7" hidden="1" x14ac:dyDescent="0.25">
      <c r="A700">
        <f>BIdetails!G703</f>
        <v>0</v>
      </c>
      <c r="B700">
        <f>BIdetails!H703</f>
        <v>0</v>
      </c>
      <c r="C700">
        <f>BIdetails!J703</f>
        <v>0</v>
      </c>
      <c r="D700">
        <f>BIdetails!K703</f>
        <v>0</v>
      </c>
      <c r="E700" s="165">
        <f>BIdetails!M703</f>
        <v>0</v>
      </c>
      <c r="F700" t="e">
        <f>IF(ISERROR(IF(OR(C700="#",C700=0),"",VLOOKUP(C700,'AOP25'!M:M,1,0))),"Not Found",VLOOKUP(C700,'AOP25'!M:M,1,0))</f>
        <v>#N/A</v>
      </c>
      <c r="G700" t="e">
        <f t="shared" si="11"/>
        <v>#N/A</v>
      </c>
    </row>
    <row r="701" spans="1:7" hidden="1" x14ac:dyDescent="0.25">
      <c r="A701">
        <f>BIdetails!G704</f>
        <v>0</v>
      </c>
      <c r="B701">
        <f>BIdetails!H704</f>
        <v>0</v>
      </c>
      <c r="C701">
        <f>BIdetails!J704</f>
        <v>0</v>
      </c>
      <c r="D701">
        <f>BIdetails!K704</f>
        <v>0</v>
      </c>
      <c r="E701" s="165">
        <f>BIdetails!M704</f>
        <v>0</v>
      </c>
      <c r="F701" t="e">
        <f>IF(ISERROR(IF(OR(C701="#",C701=0),"",VLOOKUP(C701,'AOP25'!M:M,1,0))),"Not Found",VLOOKUP(C701,'AOP25'!M:M,1,0))</f>
        <v>#N/A</v>
      </c>
      <c r="G701" t="e">
        <f t="shared" si="11"/>
        <v>#N/A</v>
      </c>
    </row>
    <row r="702" spans="1:7" hidden="1" x14ac:dyDescent="0.25">
      <c r="A702">
        <f>BIdetails!G705</f>
        <v>0</v>
      </c>
      <c r="B702">
        <f>BIdetails!H705</f>
        <v>0</v>
      </c>
      <c r="C702">
        <f>BIdetails!J705</f>
        <v>0</v>
      </c>
      <c r="D702">
        <f>BIdetails!K705</f>
        <v>0</v>
      </c>
      <c r="E702" s="165">
        <f>BIdetails!M705</f>
        <v>0</v>
      </c>
      <c r="F702" t="e">
        <f>IF(ISERROR(IF(OR(C702="#",C702=0),"",VLOOKUP(C702,'AOP25'!M:M,1,0))),"Not Found",VLOOKUP(C702,'AOP25'!M:M,1,0))</f>
        <v>#N/A</v>
      </c>
      <c r="G702" t="e">
        <f t="shared" si="11"/>
        <v>#N/A</v>
      </c>
    </row>
    <row r="703" spans="1:7" x14ac:dyDescent="0.25">
      <c r="A703">
        <f>BIdetails!G706</f>
        <v>0</v>
      </c>
      <c r="B703">
        <f>BIdetails!H706</f>
        <v>0</v>
      </c>
      <c r="C703">
        <f>BIdetails!J706</f>
        <v>0</v>
      </c>
      <c r="D703">
        <f>BIdetails!K706</f>
        <v>0</v>
      </c>
      <c r="E703" s="165">
        <f>BIdetails!M706</f>
        <v>0</v>
      </c>
      <c r="F703" t="e">
        <f>IF(ISERROR(IF(OR(C703="#",C703=0),"",VLOOKUP(C703,'AOP25'!M:M,1,0))),"Not Found",VLOOKUP(C703,'AOP25'!M:M,1,0))</f>
        <v>#N/A</v>
      </c>
      <c r="G703" t="e">
        <f t="shared" si="11"/>
        <v>#N/A</v>
      </c>
    </row>
    <row r="704" spans="1:7" hidden="1" x14ac:dyDescent="0.25">
      <c r="A704">
        <f>BIdetails!G707</f>
        <v>0</v>
      </c>
      <c r="B704">
        <f>BIdetails!H707</f>
        <v>0</v>
      </c>
      <c r="C704">
        <f>BIdetails!J707</f>
        <v>0</v>
      </c>
      <c r="D704">
        <f>BIdetails!K707</f>
        <v>0</v>
      </c>
      <c r="E704" s="165">
        <f>BIdetails!M707</f>
        <v>0</v>
      </c>
      <c r="F704" t="e">
        <f>IF(ISERROR(IF(OR(C704="#",C704=0),"",VLOOKUP(C704,'AOP25'!M:M,1,0))),"Not Found",VLOOKUP(C704,'AOP25'!M:M,1,0))</f>
        <v>#N/A</v>
      </c>
      <c r="G704" t="e">
        <f t="shared" si="11"/>
        <v>#N/A</v>
      </c>
    </row>
    <row r="705" spans="1:7" x14ac:dyDescent="0.25">
      <c r="A705">
        <f>BIdetails!G708</f>
        <v>0</v>
      </c>
      <c r="B705">
        <f>BIdetails!H708</f>
        <v>0</v>
      </c>
      <c r="C705">
        <f>BIdetails!J708</f>
        <v>0</v>
      </c>
      <c r="D705">
        <f>BIdetails!K708</f>
        <v>0</v>
      </c>
      <c r="E705" s="165">
        <f>BIdetails!M708</f>
        <v>0</v>
      </c>
      <c r="F705" t="e">
        <f>IF(ISERROR(IF(OR(C705="#",C705=0),"",VLOOKUP(C705,'AOP25'!M:M,1,0))),"Not Found",VLOOKUP(C705,'AOP25'!M:M,1,0))</f>
        <v>#N/A</v>
      </c>
      <c r="G705" t="e">
        <f t="shared" si="11"/>
        <v>#N/A</v>
      </c>
    </row>
    <row r="706" spans="1:7" x14ac:dyDescent="0.25">
      <c r="A706">
        <f>BIdetails!G709</f>
        <v>0</v>
      </c>
      <c r="B706">
        <f>BIdetails!H709</f>
        <v>0</v>
      </c>
      <c r="C706">
        <f>BIdetails!J709</f>
        <v>0</v>
      </c>
      <c r="D706">
        <f>BIdetails!K709</f>
        <v>0</v>
      </c>
      <c r="E706" s="165">
        <f>BIdetails!M709</f>
        <v>0</v>
      </c>
      <c r="F706" t="e">
        <f>IF(ISERROR(IF(OR(C706="#",C706=0),"",VLOOKUP(C706,'AOP25'!M:M,1,0))),"Not Found",VLOOKUP(C706,'AOP25'!M:M,1,0))</f>
        <v>#N/A</v>
      </c>
      <c r="G706" t="e">
        <f t="shared" si="11"/>
        <v>#N/A</v>
      </c>
    </row>
    <row r="707" spans="1:7" x14ac:dyDescent="0.25">
      <c r="A707">
        <f>BIdetails!G710</f>
        <v>0</v>
      </c>
      <c r="B707">
        <f>BIdetails!H710</f>
        <v>0</v>
      </c>
      <c r="C707">
        <f>BIdetails!J710</f>
        <v>0</v>
      </c>
      <c r="D707">
        <f>BIdetails!K710</f>
        <v>0</v>
      </c>
      <c r="E707" s="165">
        <f>BIdetails!M710</f>
        <v>0</v>
      </c>
      <c r="F707" t="e">
        <f>IF(ISERROR(IF(OR(C707="#",C707=0),"",VLOOKUP(C707,'AOP25'!M:M,1,0))),"Not Found",VLOOKUP(C707,'AOP25'!M:M,1,0))</f>
        <v>#N/A</v>
      </c>
      <c r="G707" t="e">
        <f t="shared" si="11"/>
        <v>#N/A</v>
      </c>
    </row>
    <row r="708" spans="1:7" hidden="1" x14ac:dyDescent="0.25">
      <c r="A708">
        <f>BIdetails!G711</f>
        <v>0</v>
      </c>
      <c r="B708">
        <f>BIdetails!H711</f>
        <v>0</v>
      </c>
      <c r="C708">
        <f>BIdetails!J711</f>
        <v>0</v>
      </c>
      <c r="D708">
        <f>BIdetails!K711</f>
        <v>0</v>
      </c>
      <c r="E708" s="165">
        <f>BIdetails!M711</f>
        <v>0</v>
      </c>
      <c r="F708" t="e">
        <f>IF(ISERROR(IF(OR(C708="#",C708=0),"",VLOOKUP(C708,'AOP25'!M:M,1,0))),"Not Found",VLOOKUP(C708,'AOP25'!M:M,1,0))</f>
        <v>#N/A</v>
      </c>
      <c r="G708" t="e">
        <f t="shared" si="11"/>
        <v>#N/A</v>
      </c>
    </row>
    <row r="709" spans="1:7" hidden="1" x14ac:dyDescent="0.25">
      <c r="A709">
        <f>BIdetails!G712</f>
        <v>0</v>
      </c>
      <c r="B709">
        <f>BIdetails!H712</f>
        <v>0</v>
      </c>
      <c r="C709">
        <f>BIdetails!J712</f>
        <v>0</v>
      </c>
      <c r="D709">
        <f>BIdetails!K712</f>
        <v>0</v>
      </c>
      <c r="E709" s="165">
        <f>BIdetails!M712</f>
        <v>0</v>
      </c>
      <c r="F709" t="e">
        <f>IF(ISERROR(IF(OR(C709="#",C709=0),"",VLOOKUP(C709,'AOP25'!M:M,1,0))),"Not Found",VLOOKUP(C709,'AOP25'!M:M,1,0))</f>
        <v>#N/A</v>
      </c>
      <c r="G709" t="e">
        <f t="shared" si="11"/>
        <v>#N/A</v>
      </c>
    </row>
    <row r="710" spans="1:7" hidden="1" x14ac:dyDescent="0.25">
      <c r="A710">
        <f>BIdetails!G713</f>
        <v>0</v>
      </c>
      <c r="B710">
        <f>BIdetails!H713</f>
        <v>0</v>
      </c>
      <c r="C710">
        <f>BIdetails!J713</f>
        <v>0</v>
      </c>
      <c r="D710">
        <f>BIdetails!K713</f>
        <v>0</v>
      </c>
      <c r="E710" s="165">
        <f>BIdetails!M713</f>
        <v>0</v>
      </c>
      <c r="F710" t="e">
        <f>IF(ISERROR(IF(OR(C710="#",C710=0),"",VLOOKUP(C710,'AOP25'!M:M,1,0))),"Not Found",VLOOKUP(C710,'AOP25'!M:M,1,0))</f>
        <v>#N/A</v>
      </c>
      <c r="G710" t="e">
        <f t="shared" si="11"/>
        <v>#N/A</v>
      </c>
    </row>
    <row r="711" spans="1:7" hidden="1" x14ac:dyDescent="0.25">
      <c r="A711">
        <f>BIdetails!G714</f>
        <v>0</v>
      </c>
      <c r="B711">
        <f>BIdetails!H714</f>
        <v>0</v>
      </c>
      <c r="C711">
        <f>BIdetails!J714</f>
        <v>0</v>
      </c>
      <c r="D711">
        <f>BIdetails!K714</f>
        <v>0</v>
      </c>
      <c r="E711" s="165">
        <f>BIdetails!M714</f>
        <v>0</v>
      </c>
      <c r="F711" t="e">
        <f>IF(ISERROR(IF(OR(C711="#",C711=0),"",VLOOKUP(C711,'AOP25'!M:M,1,0))),"Not Found",VLOOKUP(C711,'AOP25'!M:M,1,0))</f>
        <v>#N/A</v>
      </c>
      <c r="G711" t="e">
        <f t="shared" si="11"/>
        <v>#N/A</v>
      </c>
    </row>
    <row r="712" spans="1:7" hidden="1" x14ac:dyDescent="0.25">
      <c r="A712">
        <f>BIdetails!G715</f>
        <v>0</v>
      </c>
      <c r="B712">
        <f>BIdetails!H715</f>
        <v>0</v>
      </c>
      <c r="C712">
        <f>BIdetails!J715</f>
        <v>0</v>
      </c>
      <c r="D712">
        <f>BIdetails!K715</f>
        <v>0</v>
      </c>
      <c r="E712" s="165">
        <f>BIdetails!M715</f>
        <v>0</v>
      </c>
      <c r="F712" t="e">
        <f>IF(ISERROR(IF(OR(C712="#",C712=0),"",VLOOKUP(C712,'AOP25'!M:M,1,0))),"Not Found",VLOOKUP(C712,'AOP25'!M:M,1,0))</f>
        <v>#N/A</v>
      </c>
      <c r="G712" t="e">
        <f t="shared" si="11"/>
        <v>#N/A</v>
      </c>
    </row>
    <row r="713" spans="1:7" hidden="1" x14ac:dyDescent="0.25">
      <c r="A713">
        <f>BIdetails!G716</f>
        <v>0</v>
      </c>
      <c r="B713">
        <f>BIdetails!H716</f>
        <v>0</v>
      </c>
      <c r="C713">
        <f>BIdetails!J716</f>
        <v>0</v>
      </c>
      <c r="D713">
        <f>BIdetails!K716</f>
        <v>0</v>
      </c>
      <c r="E713" s="165">
        <f>BIdetails!M716</f>
        <v>0</v>
      </c>
      <c r="F713" t="e">
        <f>IF(ISERROR(IF(OR(C713="#",C713=0),"",VLOOKUP(C713,'AOP25'!M:M,1,0))),"Not Found",VLOOKUP(C713,'AOP25'!M:M,1,0))</f>
        <v>#N/A</v>
      </c>
      <c r="G713" t="e">
        <f t="shared" si="11"/>
        <v>#N/A</v>
      </c>
    </row>
    <row r="714" spans="1:7" hidden="1" x14ac:dyDescent="0.25">
      <c r="A714">
        <f>BIdetails!G717</f>
        <v>0</v>
      </c>
      <c r="B714">
        <f>BIdetails!H717</f>
        <v>0</v>
      </c>
      <c r="C714">
        <f>BIdetails!J717</f>
        <v>0</v>
      </c>
      <c r="D714">
        <f>BIdetails!K717</f>
        <v>0</v>
      </c>
      <c r="E714" s="165">
        <f>BIdetails!M717</f>
        <v>0</v>
      </c>
      <c r="F714" t="e">
        <f>IF(ISERROR(IF(OR(C714="#",C714=0),"",VLOOKUP(C714,'AOP25'!M:M,1,0))),"Not Found",VLOOKUP(C714,'AOP25'!M:M,1,0))</f>
        <v>#N/A</v>
      </c>
      <c r="G714" t="e">
        <f t="shared" si="11"/>
        <v>#N/A</v>
      </c>
    </row>
    <row r="715" spans="1:7" hidden="1" x14ac:dyDescent="0.25">
      <c r="A715">
        <f>BIdetails!G718</f>
        <v>0</v>
      </c>
      <c r="B715">
        <f>BIdetails!H718</f>
        <v>0</v>
      </c>
      <c r="C715">
        <f>BIdetails!J718</f>
        <v>0</v>
      </c>
      <c r="D715">
        <f>BIdetails!K718</f>
        <v>0</v>
      </c>
      <c r="E715" s="165">
        <f>BIdetails!M718</f>
        <v>0</v>
      </c>
      <c r="F715" t="e">
        <f>IF(ISERROR(IF(OR(C715="#",C715=0),"",VLOOKUP(C715,'AOP25'!M:M,1,0))),"Not Found",VLOOKUP(C715,'AOP25'!M:M,1,0))</f>
        <v>#N/A</v>
      </c>
      <c r="G715" t="e">
        <f t="shared" si="11"/>
        <v>#N/A</v>
      </c>
    </row>
    <row r="716" spans="1:7" hidden="1" x14ac:dyDescent="0.25">
      <c r="A716">
        <f>BIdetails!G719</f>
        <v>0</v>
      </c>
      <c r="B716">
        <f>BIdetails!H719</f>
        <v>0</v>
      </c>
      <c r="C716">
        <f>BIdetails!J719</f>
        <v>0</v>
      </c>
      <c r="D716">
        <f>BIdetails!K719</f>
        <v>0</v>
      </c>
      <c r="E716" s="165">
        <f>BIdetails!M719</f>
        <v>0</v>
      </c>
      <c r="F716" t="e">
        <f>IF(ISERROR(IF(OR(C716="#",C716=0),"",VLOOKUP(C716,'AOP25'!M:M,1,0))),"Not Found",VLOOKUP(C716,'AOP25'!M:M,1,0))</f>
        <v>#N/A</v>
      </c>
      <c r="G716" t="e">
        <f t="shared" si="11"/>
        <v>#N/A</v>
      </c>
    </row>
    <row r="717" spans="1:7" hidden="1" x14ac:dyDescent="0.25">
      <c r="A717">
        <f>BIdetails!G720</f>
        <v>0</v>
      </c>
      <c r="B717">
        <f>BIdetails!H720</f>
        <v>0</v>
      </c>
      <c r="C717">
        <f>BIdetails!J720</f>
        <v>0</v>
      </c>
      <c r="D717">
        <f>BIdetails!K720</f>
        <v>0</v>
      </c>
      <c r="E717" s="165">
        <f>BIdetails!M720</f>
        <v>0</v>
      </c>
      <c r="F717" t="e">
        <f>IF(ISERROR(IF(OR(C717="#",C717=0),"",VLOOKUP(C717,'AOP25'!M:M,1,0))),"Not Found",VLOOKUP(C717,'AOP25'!M:M,1,0))</f>
        <v>#N/A</v>
      </c>
      <c r="G717" t="e">
        <f t="shared" si="11"/>
        <v>#N/A</v>
      </c>
    </row>
    <row r="718" spans="1:7" hidden="1" x14ac:dyDescent="0.25">
      <c r="A718">
        <f>BIdetails!G721</f>
        <v>0</v>
      </c>
      <c r="B718">
        <f>BIdetails!H721</f>
        <v>0</v>
      </c>
      <c r="C718">
        <f>BIdetails!J721</f>
        <v>0</v>
      </c>
      <c r="D718">
        <f>BIdetails!K721</f>
        <v>0</v>
      </c>
      <c r="E718" s="165">
        <f>BIdetails!M721</f>
        <v>0</v>
      </c>
      <c r="F718" t="e">
        <f>IF(ISERROR(IF(OR(C718="#",C718=0),"",VLOOKUP(C718,'AOP25'!M:M,1,0))),"Not Found",VLOOKUP(C718,'AOP25'!M:M,1,0))</f>
        <v>#N/A</v>
      </c>
      <c r="G718" t="e">
        <f t="shared" si="11"/>
        <v>#N/A</v>
      </c>
    </row>
    <row r="719" spans="1:7" hidden="1" x14ac:dyDescent="0.25">
      <c r="A719">
        <f>BIdetails!G722</f>
        <v>0</v>
      </c>
      <c r="B719">
        <f>BIdetails!H722</f>
        <v>0</v>
      </c>
      <c r="C719">
        <f>BIdetails!J722</f>
        <v>0</v>
      </c>
      <c r="D719">
        <f>BIdetails!K722</f>
        <v>0</v>
      </c>
      <c r="E719" s="165">
        <f>BIdetails!M722</f>
        <v>0</v>
      </c>
      <c r="F719" t="e">
        <f>IF(ISERROR(IF(OR(C719="#",C719=0),"",VLOOKUP(C719,'AOP25'!M:M,1,0))),"Not Found",VLOOKUP(C719,'AOP25'!M:M,1,0))</f>
        <v>#N/A</v>
      </c>
      <c r="G719" t="e">
        <f t="shared" si="11"/>
        <v>#N/A</v>
      </c>
    </row>
    <row r="720" spans="1:7" hidden="1" x14ac:dyDescent="0.25">
      <c r="A720">
        <f>BIdetails!G723</f>
        <v>0</v>
      </c>
      <c r="B720">
        <f>BIdetails!H723</f>
        <v>0</v>
      </c>
      <c r="C720">
        <f>BIdetails!J723</f>
        <v>0</v>
      </c>
      <c r="D720">
        <f>BIdetails!K723</f>
        <v>0</v>
      </c>
      <c r="E720" s="165">
        <f>BIdetails!M723</f>
        <v>0</v>
      </c>
      <c r="F720" t="e">
        <f>IF(ISERROR(IF(OR(C720="#",C720=0),"",VLOOKUP(C720,'AOP25'!M:M,1,0))),"Not Found",VLOOKUP(C720,'AOP25'!M:M,1,0))</f>
        <v>#N/A</v>
      </c>
      <c r="G720" t="e">
        <f t="shared" si="11"/>
        <v>#N/A</v>
      </c>
    </row>
    <row r="721" spans="1:7" hidden="1" x14ac:dyDescent="0.25">
      <c r="A721">
        <f>BIdetails!G724</f>
        <v>0</v>
      </c>
      <c r="B721">
        <f>BIdetails!H724</f>
        <v>0</v>
      </c>
      <c r="C721">
        <f>BIdetails!J724</f>
        <v>0</v>
      </c>
      <c r="D721">
        <f>BIdetails!K724</f>
        <v>0</v>
      </c>
      <c r="E721" s="165">
        <f>BIdetails!M724</f>
        <v>0</v>
      </c>
      <c r="F721" t="e">
        <f>IF(ISERROR(IF(OR(C721="#",C721=0),"",VLOOKUP(C721,'AOP25'!M:M,1,0))),"Not Found",VLOOKUP(C721,'AOP25'!M:M,1,0))</f>
        <v>#N/A</v>
      </c>
      <c r="G721" t="e">
        <f t="shared" si="11"/>
        <v>#N/A</v>
      </c>
    </row>
    <row r="722" spans="1:7" hidden="1" x14ac:dyDescent="0.25">
      <c r="A722">
        <f>BIdetails!G725</f>
        <v>0</v>
      </c>
      <c r="B722">
        <f>BIdetails!H725</f>
        <v>0</v>
      </c>
      <c r="C722">
        <f>BIdetails!J725</f>
        <v>0</v>
      </c>
      <c r="D722">
        <f>BIdetails!K725</f>
        <v>0</v>
      </c>
      <c r="E722" s="165">
        <f>BIdetails!M725</f>
        <v>0</v>
      </c>
      <c r="F722" t="e">
        <f>IF(ISERROR(IF(OR(C722="#",C722=0),"",VLOOKUP(C722,'AOP25'!M:M,1,0))),"Not Found",VLOOKUP(C722,'AOP25'!M:M,1,0))</f>
        <v>#N/A</v>
      </c>
      <c r="G722" t="e">
        <f t="shared" si="11"/>
        <v>#N/A</v>
      </c>
    </row>
    <row r="723" spans="1:7" hidden="1" x14ac:dyDescent="0.25">
      <c r="A723">
        <f>BIdetails!G726</f>
        <v>0</v>
      </c>
      <c r="B723">
        <f>BIdetails!H726</f>
        <v>0</v>
      </c>
      <c r="C723">
        <f>BIdetails!J726</f>
        <v>0</v>
      </c>
      <c r="D723">
        <f>BIdetails!K726</f>
        <v>0</v>
      </c>
      <c r="E723" s="165">
        <f>BIdetails!M726</f>
        <v>0</v>
      </c>
      <c r="F723" t="e">
        <f>IF(ISERROR(IF(OR(C723="#",C723=0),"",VLOOKUP(C723,'AOP25'!M:M,1,0))),"Not Found",VLOOKUP(C723,'AOP25'!M:M,1,0))</f>
        <v>#N/A</v>
      </c>
      <c r="G723" t="e">
        <f t="shared" si="11"/>
        <v>#N/A</v>
      </c>
    </row>
    <row r="724" spans="1:7" hidden="1" x14ac:dyDescent="0.25">
      <c r="A724">
        <f>BIdetails!G727</f>
        <v>0</v>
      </c>
      <c r="B724">
        <f>BIdetails!H727</f>
        <v>0</v>
      </c>
      <c r="C724">
        <f>BIdetails!J727</f>
        <v>0</v>
      </c>
      <c r="D724">
        <f>BIdetails!K727</f>
        <v>0</v>
      </c>
      <c r="E724" s="165">
        <f>BIdetails!M727</f>
        <v>0</v>
      </c>
      <c r="F724" t="e">
        <f>IF(ISERROR(IF(OR(C724="#",C724=0),"",VLOOKUP(C724,'AOP25'!M:M,1,0))),"Not Found",VLOOKUP(C724,'AOP25'!M:M,1,0))</f>
        <v>#N/A</v>
      </c>
      <c r="G724" t="e">
        <f t="shared" si="11"/>
        <v>#N/A</v>
      </c>
    </row>
    <row r="725" spans="1:7" hidden="1" x14ac:dyDescent="0.25">
      <c r="A725">
        <f>BIdetails!G728</f>
        <v>0</v>
      </c>
      <c r="B725">
        <f>BIdetails!H728</f>
        <v>0</v>
      </c>
      <c r="C725">
        <f>BIdetails!J728</f>
        <v>0</v>
      </c>
      <c r="D725">
        <f>BIdetails!K728</f>
        <v>0</v>
      </c>
      <c r="E725" s="165">
        <f>BIdetails!M728</f>
        <v>0</v>
      </c>
      <c r="F725" t="e">
        <f>IF(ISERROR(IF(OR(C725="#",C725=0),"",VLOOKUP(C725,'AOP25'!M:M,1,0))),"Not Found",VLOOKUP(C725,'AOP25'!M:M,1,0))</f>
        <v>#N/A</v>
      </c>
      <c r="G725" t="e">
        <f t="shared" si="11"/>
        <v>#N/A</v>
      </c>
    </row>
    <row r="726" spans="1:7" hidden="1" x14ac:dyDescent="0.25">
      <c r="A726">
        <f>BIdetails!G729</f>
        <v>0</v>
      </c>
      <c r="B726">
        <f>BIdetails!H729</f>
        <v>0</v>
      </c>
      <c r="C726">
        <f>BIdetails!J729</f>
        <v>0</v>
      </c>
      <c r="D726">
        <f>BIdetails!K729</f>
        <v>0</v>
      </c>
      <c r="E726" s="165">
        <f>BIdetails!M729</f>
        <v>0</v>
      </c>
      <c r="F726" t="e">
        <f>IF(ISERROR(IF(OR(C726="#",C726=0),"",VLOOKUP(C726,'AOP25'!M:M,1,0))),"Not Found",VLOOKUP(C726,'AOP25'!M:M,1,0))</f>
        <v>#N/A</v>
      </c>
      <c r="G726" t="e">
        <f t="shared" si="11"/>
        <v>#N/A</v>
      </c>
    </row>
    <row r="727" spans="1:7" x14ac:dyDescent="0.25">
      <c r="A727">
        <f>BIdetails!G730</f>
        <v>0</v>
      </c>
      <c r="B727">
        <f>BIdetails!H730</f>
        <v>0</v>
      </c>
      <c r="C727">
        <f>BIdetails!J730</f>
        <v>0</v>
      </c>
      <c r="D727">
        <f>BIdetails!K730</f>
        <v>0</v>
      </c>
      <c r="E727" s="165">
        <f>BIdetails!M730</f>
        <v>0</v>
      </c>
      <c r="F727" t="e">
        <f>IF(ISERROR(IF(OR(C727="#",C727=0),"",VLOOKUP(C727,'AOP25'!M:M,1,0))),"Not Found",VLOOKUP(C727,'AOP25'!M:M,1,0))</f>
        <v>#N/A</v>
      </c>
      <c r="G727" t="e">
        <f t="shared" si="11"/>
        <v>#N/A</v>
      </c>
    </row>
    <row r="728" spans="1:7" hidden="1" x14ac:dyDescent="0.25">
      <c r="A728">
        <f>BIdetails!G731</f>
        <v>0</v>
      </c>
      <c r="B728">
        <f>BIdetails!H731</f>
        <v>0</v>
      </c>
      <c r="C728">
        <f>BIdetails!J731</f>
        <v>0</v>
      </c>
      <c r="D728">
        <f>BIdetails!K731</f>
        <v>0</v>
      </c>
      <c r="E728" s="165">
        <f>BIdetails!M731</f>
        <v>0</v>
      </c>
      <c r="F728" t="e">
        <f>IF(ISERROR(IF(OR(C728="#",C728=0),"",VLOOKUP(C728,'AOP25'!M:M,1,0))),"Not Found",VLOOKUP(C728,'AOP25'!M:M,1,0))</f>
        <v>#N/A</v>
      </c>
      <c r="G728" t="e">
        <f t="shared" si="11"/>
        <v>#N/A</v>
      </c>
    </row>
    <row r="729" spans="1:7" hidden="1" x14ac:dyDescent="0.25">
      <c r="A729">
        <f>BIdetails!G732</f>
        <v>0</v>
      </c>
      <c r="B729">
        <f>BIdetails!H732</f>
        <v>0</v>
      </c>
      <c r="C729">
        <f>BIdetails!J732</f>
        <v>0</v>
      </c>
      <c r="D729">
        <f>BIdetails!K732</f>
        <v>0</v>
      </c>
      <c r="E729" s="165">
        <f>BIdetails!M732</f>
        <v>0</v>
      </c>
      <c r="F729" t="e">
        <f>IF(ISERROR(IF(OR(C729="#",C729=0),"",VLOOKUP(C729,'AOP25'!M:M,1,0))),"Not Found",VLOOKUP(C729,'AOP25'!M:M,1,0))</f>
        <v>#N/A</v>
      </c>
      <c r="G729" t="e">
        <f t="shared" si="11"/>
        <v>#N/A</v>
      </c>
    </row>
    <row r="730" spans="1:7" hidden="1" x14ac:dyDescent="0.25">
      <c r="A730">
        <f>BIdetails!G733</f>
        <v>0</v>
      </c>
      <c r="B730">
        <f>BIdetails!H733</f>
        <v>0</v>
      </c>
      <c r="C730">
        <f>BIdetails!J733</f>
        <v>0</v>
      </c>
      <c r="D730">
        <f>BIdetails!K733</f>
        <v>0</v>
      </c>
      <c r="E730" s="165">
        <f>BIdetails!M733</f>
        <v>0</v>
      </c>
      <c r="F730" t="e">
        <f>IF(ISERROR(IF(OR(C730="#",C730=0),"",VLOOKUP(C730,'AOP25'!M:M,1,0))),"Not Found",VLOOKUP(C730,'AOP25'!M:M,1,0))</f>
        <v>#N/A</v>
      </c>
      <c r="G730" t="e">
        <f t="shared" si="11"/>
        <v>#N/A</v>
      </c>
    </row>
    <row r="731" spans="1:7" hidden="1" x14ac:dyDescent="0.25">
      <c r="A731">
        <f>BIdetails!G734</f>
        <v>0</v>
      </c>
      <c r="B731">
        <f>BIdetails!H734</f>
        <v>0</v>
      </c>
      <c r="C731">
        <f>BIdetails!J734</f>
        <v>0</v>
      </c>
      <c r="D731">
        <f>BIdetails!K734</f>
        <v>0</v>
      </c>
      <c r="E731" s="165">
        <f>BIdetails!M734</f>
        <v>0</v>
      </c>
      <c r="F731" t="e">
        <f>IF(ISERROR(IF(OR(C731="#",C731=0),"",VLOOKUP(C731,'AOP25'!M:M,1,0))),"Not Found",VLOOKUP(C731,'AOP25'!M:M,1,0))</f>
        <v>#N/A</v>
      </c>
      <c r="G731" t="e">
        <f t="shared" si="11"/>
        <v>#N/A</v>
      </c>
    </row>
    <row r="732" spans="1:7" x14ac:dyDescent="0.25">
      <c r="A732">
        <f>BIdetails!G735</f>
        <v>0</v>
      </c>
      <c r="B732">
        <f>BIdetails!H735</f>
        <v>0</v>
      </c>
      <c r="C732">
        <f>BIdetails!J735</f>
        <v>0</v>
      </c>
      <c r="D732">
        <f>BIdetails!K735</f>
        <v>0</v>
      </c>
      <c r="E732" s="165">
        <f>BIdetails!M735</f>
        <v>0</v>
      </c>
      <c r="F732" t="e">
        <f>IF(ISERROR(IF(OR(C732="#",C732=0),"",VLOOKUP(C732,'AOP25'!M:M,1,0))),"Not Found",VLOOKUP(C732,'AOP25'!M:M,1,0))</f>
        <v>#N/A</v>
      </c>
      <c r="G732" t="e">
        <f t="shared" si="11"/>
        <v>#N/A</v>
      </c>
    </row>
    <row r="733" spans="1:7" x14ac:dyDescent="0.25">
      <c r="A733">
        <f>BIdetails!G736</f>
        <v>0</v>
      </c>
      <c r="B733">
        <f>BIdetails!H736</f>
        <v>0</v>
      </c>
      <c r="C733">
        <f>BIdetails!J736</f>
        <v>0</v>
      </c>
      <c r="D733">
        <f>BIdetails!K736</f>
        <v>0</v>
      </c>
      <c r="E733" s="165">
        <f>BIdetails!M736</f>
        <v>0</v>
      </c>
      <c r="F733" t="e">
        <f>IF(ISERROR(IF(OR(C733="#",C733=0),"",VLOOKUP(C733,'AOP25'!M:M,1,0))),"Not Found",VLOOKUP(C733,'AOP25'!M:M,1,0))</f>
        <v>#N/A</v>
      </c>
      <c r="G733" t="e">
        <f t="shared" si="11"/>
        <v>#N/A</v>
      </c>
    </row>
    <row r="734" spans="1:7" x14ac:dyDescent="0.25">
      <c r="A734">
        <f>BIdetails!G737</f>
        <v>0</v>
      </c>
      <c r="B734">
        <f>BIdetails!H737</f>
        <v>0</v>
      </c>
      <c r="C734">
        <f>BIdetails!J737</f>
        <v>0</v>
      </c>
      <c r="D734">
        <f>BIdetails!K737</f>
        <v>0</v>
      </c>
      <c r="E734" s="165">
        <f>BIdetails!M737</f>
        <v>0</v>
      </c>
      <c r="F734" t="e">
        <f>IF(ISERROR(IF(OR(C734="#",C734=0),"",VLOOKUP(C734,'AOP25'!M:M,1,0))),"Not Found",VLOOKUP(C734,'AOP25'!M:M,1,0))</f>
        <v>#N/A</v>
      </c>
      <c r="G734" t="e">
        <f t="shared" si="11"/>
        <v>#N/A</v>
      </c>
    </row>
    <row r="735" spans="1:7" x14ac:dyDescent="0.25">
      <c r="A735">
        <f>BIdetails!G738</f>
        <v>0</v>
      </c>
      <c r="B735">
        <f>BIdetails!H738</f>
        <v>0</v>
      </c>
      <c r="C735">
        <f>BIdetails!J738</f>
        <v>0</v>
      </c>
      <c r="D735">
        <f>BIdetails!K738</f>
        <v>0</v>
      </c>
      <c r="E735" s="165">
        <f>BIdetails!M738</f>
        <v>0</v>
      </c>
      <c r="F735" t="e">
        <f>IF(ISERROR(IF(OR(C735="#",C735=0),"",VLOOKUP(C735,'AOP25'!M:M,1,0))),"Not Found",VLOOKUP(C735,'AOP25'!M:M,1,0))</f>
        <v>#N/A</v>
      </c>
      <c r="G735" t="e">
        <f t="shared" si="11"/>
        <v>#N/A</v>
      </c>
    </row>
    <row r="736" spans="1:7" x14ac:dyDescent="0.25">
      <c r="A736">
        <f>BIdetails!G739</f>
        <v>0</v>
      </c>
      <c r="B736">
        <f>BIdetails!H739</f>
        <v>0</v>
      </c>
      <c r="C736">
        <f>BIdetails!J739</f>
        <v>0</v>
      </c>
      <c r="D736">
        <f>BIdetails!K739</f>
        <v>0</v>
      </c>
      <c r="E736" s="165">
        <f>BIdetails!M739</f>
        <v>0</v>
      </c>
      <c r="F736" t="e">
        <f>IF(ISERROR(IF(OR(C736="#",C736=0),"",VLOOKUP(C736,'AOP25'!M:M,1,0))),"Not Found",VLOOKUP(C736,'AOP25'!M:M,1,0))</f>
        <v>#N/A</v>
      </c>
      <c r="G736" t="e">
        <f t="shared" si="11"/>
        <v>#N/A</v>
      </c>
    </row>
    <row r="737" spans="1:7" x14ac:dyDescent="0.25">
      <c r="A737">
        <f>BIdetails!G740</f>
        <v>0</v>
      </c>
      <c r="B737">
        <f>BIdetails!H740</f>
        <v>0</v>
      </c>
      <c r="C737">
        <f>BIdetails!J740</f>
        <v>0</v>
      </c>
      <c r="D737">
        <f>BIdetails!K740</f>
        <v>0</v>
      </c>
      <c r="E737" s="165">
        <f>BIdetails!M740</f>
        <v>0</v>
      </c>
      <c r="F737" t="e">
        <f>IF(ISERROR(IF(OR(C737="#",C737=0),"",VLOOKUP(C737,'AOP25'!M:M,1,0))),"Not Found",VLOOKUP(C737,'AOP25'!M:M,1,0))</f>
        <v>#N/A</v>
      </c>
      <c r="G737" t="e">
        <f t="shared" si="11"/>
        <v>#N/A</v>
      </c>
    </row>
    <row r="738" spans="1:7" x14ac:dyDescent="0.25">
      <c r="A738">
        <f>BIdetails!G741</f>
        <v>0</v>
      </c>
      <c r="B738">
        <f>BIdetails!H741</f>
        <v>0</v>
      </c>
      <c r="C738">
        <f>BIdetails!J741</f>
        <v>0</v>
      </c>
      <c r="D738">
        <f>BIdetails!K741</f>
        <v>0</v>
      </c>
      <c r="E738" s="165">
        <f>BIdetails!M741</f>
        <v>0</v>
      </c>
      <c r="F738" t="e">
        <f>IF(ISERROR(IF(OR(C738="#",C738=0),"",VLOOKUP(C738,'AOP25'!M:M,1,0))),"Not Found",VLOOKUP(C738,'AOP25'!M:M,1,0))</f>
        <v>#N/A</v>
      </c>
      <c r="G738" t="e">
        <f t="shared" si="11"/>
        <v>#N/A</v>
      </c>
    </row>
    <row r="739" spans="1:7" x14ac:dyDescent="0.25">
      <c r="A739">
        <f>BIdetails!G742</f>
        <v>0</v>
      </c>
      <c r="B739">
        <f>BIdetails!H742</f>
        <v>0</v>
      </c>
      <c r="C739">
        <f>BIdetails!J742</f>
        <v>0</v>
      </c>
      <c r="D739">
        <f>BIdetails!K742</f>
        <v>0</v>
      </c>
      <c r="E739" s="165">
        <f>BIdetails!M742</f>
        <v>0</v>
      </c>
      <c r="F739" t="e">
        <f>IF(ISERROR(IF(OR(C739="#",C739=0),"",VLOOKUP(C739,'AOP25'!M:M,1,0))),"Not Found",VLOOKUP(C739,'AOP25'!M:M,1,0))</f>
        <v>#N/A</v>
      </c>
      <c r="G739" t="e">
        <f t="shared" si="11"/>
        <v>#N/A</v>
      </c>
    </row>
    <row r="740" spans="1:7" x14ac:dyDescent="0.25">
      <c r="A740">
        <f>BIdetails!G743</f>
        <v>0</v>
      </c>
      <c r="B740">
        <f>BIdetails!H743</f>
        <v>0</v>
      </c>
      <c r="C740">
        <f>BIdetails!J743</f>
        <v>0</v>
      </c>
      <c r="D740">
        <f>BIdetails!K743</f>
        <v>0</v>
      </c>
      <c r="E740" s="165">
        <f>BIdetails!M743</f>
        <v>0</v>
      </c>
      <c r="F740" t="e">
        <f>IF(ISERROR(IF(OR(C740="#",C740=0),"",VLOOKUP(C740,'AOP25'!M:M,1,0))),"Not Found",VLOOKUP(C740,'AOP25'!M:M,1,0))</f>
        <v>#N/A</v>
      </c>
      <c r="G740" t="e">
        <f t="shared" si="11"/>
        <v>#N/A</v>
      </c>
    </row>
    <row r="741" spans="1:7" x14ac:dyDescent="0.25">
      <c r="A741">
        <f>BIdetails!G744</f>
        <v>0</v>
      </c>
      <c r="B741">
        <f>BIdetails!H744</f>
        <v>0</v>
      </c>
      <c r="C741">
        <f>BIdetails!J744</f>
        <v>0</v>
      </c>
      <c r="D741">
        <f>BIdetails!K744</f>
        <v>0</v>
      </c>
      <c r="E741" s="165">
        <f>BIdetails!M744</f>
        <v>0</v>
      </c>
      <c r="F741" t="e">
        <f>IF(ISERROR(IF(OR(C741="#",C741=0),"",VLOOKUP(C741,'AOP25'!M:M,1,0))),"Not Found",VLOOKUP(C741,'AOP25'!M:M,1,0))</f>
        <v>#N/A</v>
      </c>
      <c r="G741" t="e">
        <f t="shared" si="11"/>
        <v>#N/A</v>
      </c>
    </row>
    <row r="742" spans="1:7" x14ac:dyDescent="0.25">
      <c r="A742">
        <f>BIdetails!G745</f>
        <v>0</v>
      </c>
      <c r="B742">
        <f>BIdetails!H745</f>
        <v>0</v>
      </c>
      <c r="C742">
        <f>BIdetails!J745</f>
        <v>0</v>
      </c>
      <c r="D742">
        <f>BIdetails!K745</f>
        <v>0</v>
      </c>
      <c r="E742" s="165">
        <f>BIdetails!M745</f>
        <v>0</v>
      </c>
      <c r="F742" t="e">
        <f>IF(ISERROR(IF(OR(C742="#",C742=0),"",VLOOKUP(C742,'AOP25'!M:M,1,0))),"Not Found",VLOOKUP(C742,'AOP25'!M:M,1,0))</f>
        <v>#N/A</v>
      </c>
      <c r="G742" t="e">
        <f t="shared" si="11"/>
        <v>#N/A</v>
      </c>
    </row>
    <row r="743" spans="1:7" x14ac:dyDescent="0.25">
      <c r="A743">
        <f>BIdetails!G746</f>
        <v>0</v>
      </c>
      <c r="B743">
        <f>BIdetails!H746</f>
        <v>0</v>
      </c>
      <c r="C743">
        <f>BIdetails!J746</f>
        <v>0</v>
      </c>
      <c r="D743">
        <f>BIdetails!K746</f>
        <v>0</v>
      </c>
      <c r="E743" s="165">
        <f>BIdetails!M746</f>
        <v>0</v>
      </c>
      <c r="F743" t="e">
        <f>IF(ISERROR(IF(OR(C743="#",C743=0),"",VLOOKUP(C743,'AOP25'!M:M,1,0))),"Not Found",VLOOKUP(C743,'AOP25'!M:M,1,0))</f>
        <v>#N/A</v>
      </c>
      <c r="G743" t="e">
        <f t="shared" si="11"/>
        <v>#N/A</v>
      </c>
    </row>
    <row r="744" spans="1:7" x14ac:dyDescent="0.25">
      <c r="A744">
        <f>BIdetails!G747</f>
        <v>0</v>
      </c>
      <c r="B744">
        <f>BIdetails!H747</f>
        <v>0</v>
      </c>
      <c r="C744">
        <f>BIdetails!J747</f>
        <v>0</v>
      </c>
      <c r="D744">
        <f>BIdetails!K747</f>
        <v>0</v>
      </c>
      <c r="E744" s="165">
        <f>BIdetails!M747</f>
        <v>0</v>
      </c>
      <c r="F744" t="e">
        <f>IF(ISERROR(IF(OR(C744="#",C744=0),"",VLOOKUP(C744,'AOP25'!M:M,1,0))),"Not Found",VLOOKUP(C744,'AOP25'!M:M,1,0))</f>
        <v>#N/A</v>
      </c>
      <c r="G744" t="e">
        <f t="shared" si="11"/>
        <v>#N/A</v>
      </c>
    </row>
    <row r="745" spans="1:7" x14ac:dyDescent="0.25">
      <c r="A745">
        <f>BIdetails!G748</f>
        <v>0</v>
      </c>
      <c r="B745">
        <f>BIdetails!H748</f>
        <v>0</v>
      </c>
      <c r="C745">
        <f>BIdetails!J748</f>
        <v>0</v>
      </c>
      <c r="D745">
        <f>BIdetails!K748</f>
        <v>0</v>
      </c>
      <c r="E745" s="165">
        <f>BIdetails!M748</f>
        <v>0</v>
      </c>
      <c r="F745" t="e">
        <f>IF(ISERROR(IF(OR(C745="#",C745=0),"",VLOOKUP(C745,'AOP25'!M:M,1,0))),"Not Found",VLOOKUP(C745,'AOP25'!M:M,1,0))</f>
        <v>#N/A</v>
      </c>
      <c r="G745" t="e">
        <f t="shared" si="11"/>
        <v>#N/A</v>
      </c>
    </row>
    <row r="746" spans="1:7" x14ac:dyDescent="0.25">
      <c r="A746">
        <f>BIdetails!G749</f>
        <v>0</v>
      </c>
      <c r="B746">
        <f>BIdetails!H749</f>
        <v>0</v>
      </c>
      <c r="C746">
        <f>BIdetails!J749</f>
        <v>0</v>
      </c>
      <c r="D746">
        <f>BIdetails!K749</f>
        <v>0</v>
      </c>
      <c r="E746" s="165">
        <f>BIdetails!M749</f>
        <v>0</v>
      </c>
      <c r="F746" t="e">
        <f>IF(ISERROR(IF(OR(C746="#",C746=0),"",VLOOKUP(C746,'AOP25'!M:M,1,0))),"Not Found",VLOOKUP(C746,'AOP25'!M:M,1,0))</f>
        <v>#N/A</v>
      </c>
      <c r="G746" t="e">
        <f t="shared" si="11"/>
        <v>#N/A</v>
      </c>
    </row>
    <row r="747" spans="1:7" x14ac:dyDescent="0.25">
      <c r="A747">
        <f>BIdetails!G750</f>
        <v>0</v>
      </c>
      <c r="B747">
        <f>BIdetails!H750</f>
        <v>0</v>
      </c>
      <c r="C747">
        <f>BIdetails!J750</f>
        <v>0</v>
      </c>
      <c r="D747">
        <f>BIdetails!K750</f>
        <v>0</v>
      </c>
      <c r="E747" s="165">
        <f>BIdetails!M750</f>
        <v>0</v>
      </c>
      <c r="F747" t="e">
        <f>IF(ISERROR(IF(OR(C747="#",C747=0),"",VLOOKUP(C747,'AOP25'!M:M,1,0))),"Not Found",VLOOKUP(C747,'AOP25'!M:M,1,0))</f>
        <v>#N/A</v>
      </c>
      <c r="G747" t="e">
        <f t="shared" si="11"/>
        <v>#N/A</v>
      </c>
    </row>
    <row r="748" spans="1:7" x14ac:dyDescent="0.25">
      <c r="A748">
        <f>BIdetails!G751</f>
        <v>0</v>
      </c>
      <c r="B748">
        <f>BIdetails!H751</f>
        <v>0</v>
      </c>
      <c r="C748">
        <f>BIdetails!J751</f>
        <v>0</v>
      </c>
      <c r="D748">
        <f>BIdetails!K751</f>
        <v>0</v>
      </c>
      <c r="E748" s="165">
        <f>BIdetails!M751</f>
        <v>0</v>
      </c>
      <c r="F748" t="e">
        <f>IF(ISERROR(IF(OR(C748="#",C748=0),"",VLOOKUP(C748,'AOP25'!M:M,1,0))),"Not Found",VLOOKUP(C748,'AOP25'!M:M,1,0))</f>
        <v>#N/A</v>
      </c>
      <c r="G748" t="e">
        <f t="shared" si="11"/>
        <v>#N/A</v>
      </c>
    </row>
    <row r="749" spans="1:7" x14ac:dyDescent="0.25">
      <c r="A749">
        <f>BIdetails!G752</f>
        <v>0</v>
      </c>
      <c r="B749">
        <f>BIdetails!H752</f>
        <v>0</v>
      </c>
      <c r="C749">
        <f>BIdetails!J752</f>
        <v>0</v>
      </c>
      <c r="D749">
        <f>BIdetails!K752</f>
        <v>0</v>
      </c>
      <c r="E749" s="165">
        <f>BIdetails!M752</f>
        <v>0</v>
      </c>
      <c r="F749" t="e">
        <f>IF(ISERROR(IF(OR(C749="#",C749=0),"",VLOOKUP(C749,'AOP25'!M:M,1,0))),"Not Found",VLOOKUP(C749,'AOP25'!M:M,1,0))</f>
        <v>#N/A</v>
      </c>
      <c r="G749" t="e">
        <f t="shared" si="11"/>
        <v>#N/A</v>
      </c>
    </row>
    <row r="750" spans="1:7" hidden="1" x14ac:dyDescent="0.25">
      <c r="A750">
        <f>BIdetails!G753</f>
        <v>0</v>
      </c>
      <c r="B750">
        <f>BIdetails!H753</f>
        <v>0</v>
      </c>
      <c r="C750">
        <f>BIdetails!J753</f>
        <v>0</v>
      </c>
      <c r="D750">
        <f>BIdetails!K753</f>
        <v>0</v>
      </c>
      <c r="E750" s="165">
        <f>BIdetails!M753</f>
        <v>0</v>
      </c>
      <c r="F750" t="e">
        <f>IF(ISERROR(IF(OR(C750="#",C750=0),"",VLOOKUP(C750,'AOP25'!M:M,1,0))),"Not Found",VLOOKUP(C750,'AOP25'!M:M,1,0))</f>
        <v>#N/A</v>
      </c>
      <c r="G750" t="e">
        <f t="shared" si="11"/>
        <v>#N/A</v>
      </c>
    </row>
    <row r="751" spans="1:7" hidden="1" x14ac:dyDescent="0.25">
      <c r="A751">
        <f>BIdetails!G754</f>
        <v>0</v>
      </c>
      <c r="B751">
        <f>BIdetails!H754</f>
        <v>0</v>
      </c>
      <c r="C751">
        <f>BIdetails!J754</f>
        <v>0</v>
      </c>
      <c r="D751">
        <f>BIdetails!K754</f>
        <v>0</v>
      </c>
      <c r="E751" s="165">
        <f>BIdetails!M754</f>
        <v>0</v>
      </c>
      <c r="F751" t="e">
        <f>IF(ISERROR(IF(OR(C751="#",C751=0),"",VLOOKUP(C751,'AOP25'!M:M,1,0))),"Not Found",VLOOKUP(C751,'AOP25'!M:M,1,0))</f>
        <v>#N/A</v>
      </c>
      <c r="G751" t="e">
        <f t="shared" si="11"/>
        <v>#N/A</v>
      </c>
    </row>
    <row r="752" spans="1:7" hidden="1" x14ac:dyDescent="0.25">
      <c r="A752">
        <f>BIdetails!G755</f>
        <v>0</v>
      </c>
      <c r="B752">
        <f>BIdetails!H755</f>
        <v>0</v>
      </c>
      <c r="C752">
        <f>BIdetails!J755</f>
        <v>0</v>
      </c>
      <c r="D752">
        <f>BIdetails!K755</f>
        <v>0</v>
      </c>
      <c r="E752" s="165">
        <f>BIdetails!M755</f>
        <v>0</v>
      </c>
      <c r="F752" t="e">
        <f>IF(ISERROR(IF(OR(C752="#",C752=0),"",VLOOKUP(C752,'AOP25'!M:M,1,0))),"Not Found",VLOOKUP(C752,'AOP25'!M:M,1,0))</f>
        <v>#N/A</v>
      </c>
      <c r="G752" t="e">
        <f t="shared" si="11"/>
        <v>#N/A</v>
      </c>
    </row>
    <row r="753" spans="1:7" hidden="1" x14ac:dyDescent="0.25">
      <c r="A753">
        <f>BIdetails!G756</f>
        <v>0</v>
      </c>
      <c r="B753">
        <f>BIdetails!H756</f>
        <v>0</v>
      </c>
      <c r="C753">
        <f>BIdetails!J756</f>
        <v>0</v>
      </c>
      <c r="D753">
        <f>BIdetails!K756</f>
        <v>0</v>
      </c>
      <c r="E753" s="165">
        <f>BIdetails!M756</f>
        <v>0</v>
      </c>
      <c r="F753" t="e">
        <f>IF(ISERROR(IF(OR(C753="#",C753=0),"",VLOOKUP(C753,'AOP25'!M:M,1,0))),"Not Found",VLOOKUP(C753,'AOP25'!M:M,1,0))</f>
        <v>#N/A</v>
      </c>
      <c r="G753" t="e">
        <f t="shared" si="11"/>
        <v>#N/A</v>
      </c>
    </row>
    <row r="754" spans="1:7" hidden="1" x14ac:dyDescent="0.25">
      <c r="A754">
        <f>BIdetails!G757</f>
        <v>0</v>
      </c>
      <c r="B754">
        <f>BIdetails!H757</f>
        <v>0</v>
      </c>
      <c r="C754">
        <f>BIdetails!J757</f>
        <v>0</v>
      </c>
      <c r="D754">
        <f>BIdetails!K757</f>
        <v>0</v>
      </c>
      <c r="E754" s="165">
        <f>BIdetails!M757</f>
        <v>0</v>
      </c>
      <c r="F754" t="e">
        <f>IF(ISERROR(IF(OR(C754="#",C754=0),"",VLOOKUP(C754,'AOP25'!M:M,1,0))),"Not Found",VLOOKUP(C754,'AOP25'!M:M,1,0))</f>
        <v>#N/A</v>
      </c>
      <c r="G754" t="e">
        <f t="shared" si="11"/>
        <v>#N/A</v>
      </c>
    </row>
    <row r="755" spans="1:7" hidden="1" x14ac:dyDescent="0.25">
      <c r="A755">
        <f>BIdetails!G758</f>
        <v>0</v>
      </c>
      <c r="B755">
        <f>BIdetails!H758</f>
        <v>0</v>
      </c>
      <c r="C755">
        <f>BIdetails!J758</f>
        <v>0</v>
      </c>
      <c r="D755">
        <f>BIdetails!K758</f>
        <v>0</v>
      </c>
      <c r="E755" s="165">
        <f>BIdetails!M758</f>
        <v>0</v>
      </c>
      <c r="F755" t="e">
        <f>IF(ISERROR(IF(OR(C755="#",C755=0),"",VLOOKUP(C755,'AOP25'!M:M,1,0))),"Not Found",VLOOKUP(C755,'AOP25'!M:M,1,0))</f>
        <v>#N/A</v>
      </c>
      <c r="G755" t="e">
        <f t="shared" si="11"/>
        <v>#N/A</v>
      </c>
    </row>
    <row r="756" spans="1:7" hidden="1" x14ac:dyDescent="0.25">
      <c r="A756">
        <f>BIdetails!G759</f>
        <v>0</v>
      </c>
      <c r="B756">
        <f>BIdetails!H759</f>
        <v>0</v>
      </c>
      <c r="C756">
        <f>BIdetails!J759</f>
        <v>0</v>
      </c>
      <c r="D756">
        <f>BIdetails!K759</f>
        <v>0</v>
      </c>
      <c r="E756" s="165">
        <f>BIdetails!M759</f>
        <v>0</v>
      </c>
      <c r="F756" t="e">
        <f>IF(ISERROR(IF(OR(C756="#",C756=0),"",VLOOKUP(C756,'AOP25'!M:M,1,0))),"Not Found",VLOOKUP(C756,'AOP25'!M:M,1,0))</f>
        <v>#N/A</v>
      </c>
      <c r="G756" t="e">
        <f t="shared" si="11"/>
        <v>#N/A</v>
      </c>
    </row>
    <row r="757" spans="1:7" hidden="1" x14ac:dyDescent="0.25">
      <c r="A757">
        <f>BIdetails!G760</f>
        <v>0</v>
      </c>
      <c r="B757">
        <f>BIdetails!H760</f>
        <v>0</v>
      </c>
      <c r="C757">
        <f>BIdetails!J760</f>
        <v>0</v>
      </c>
      <c r="D757">
        <f>BIdetails!K760</f>
        <v>0</v>
      </c>
      <c r="E757" s="165">
        <f>BIdetails!M760</f>
        <v>0</v>
      </c>
      <c r="F757" t="e">
        <f>IF(ISERROR(IF(OR(C757="#",C757=0),"",VLOOKUP(C757,'AOP25'!M:M,1,0))),"Not Found",VLOOKUP(C757,'AOP25'!M:M,1,0))</f>
        <v>#N/A</v>
      </c>
      <c r="G757" t="e">
        <f t="shared" si="11"/>
        <v>#N/A</v>
      </c>
    </row>
    <row r="758" spans="1:7" hidden="1" x14ac:dyDescent="0.25">
      <c r="A758">
        <f>BIdetails!G761</f>
        <v>0</v>
      </c>
      <c r="B758">
        <f>BIdetails!H761</f>
        <v>0</v>
      </c>
      <c r="C758">
        <f>BIdetails!J761</f>
        <v>0</v>
      </c>
      <c r="D758">
        <f>BIdetails!K761</f>
        <v>0</v>
      </c>
      <c r="E758" s="165">
        <f>BIdetails!M761</f>
        <v>0</v>
      </c>
      <c r="F758" t="e">
        <f>IF(ISERROR(IF(OR(C758="#",C758=0),"",VLOOKUP(C758,'AOP25'!M:M,1,0))),"Not Found",VLOOKUP(C758,'AOP25'!M:M,1,0))</f>
        <v>#N/A</v>
      </c>
      <c r="G758" t="e">
        <f t="shared" si="11"/>
        <v>#N/A</v>
      </c>
    </row>
    <row r="759" spans="1:7" hidden="1" x14ac:dyDescent="0.25">
      <c r="A759">
        <f>BIdetails!G762</f>
        <v>0</v>
      </c>
      <c r="B759">
        <f>BIdetails!H762</f>
        <v>0</v>
      </c>
      <c r="C759">
        <f>BIdetails!J762</f>
        <v>0</v>
      </c>
      <c r="D759">
        <f>BIdetails!K762</f>
        <v>0</v>
      </c>
      <c r="E759" s="165">
        <f>BIdetails!M762</f>
        <v>0</v>
      </c>
      <c r="F759" t="e">
        <f>IF(ISERROR(IF(OR(C759="#",C759=0),"",VLOOKUP(C759,'AOP25'!M:M,1,0))),"Not Found",VLOOKUP(C759,'AOP25'!M:M,1,0))</f>
        <v>#N/A</v>
      </c>
      <c r="G759" t="e">
        <f t="shared" si="11"/>
        <v>#N/A</v>
      </c>
    </row>
    <row r="760" spans="1:7" hidden="1" x14ac:dyDescent="0.25">
      <c r="A760">
        <f>BIdetails!G763</f>
        <v>0</v>
      </c>
      <c r="B760">
        <f>BIdetails!H763</f>
        <v>0</v>
      </c>
      <c r="C760">
        <f>BIdetails!J763</f>
        <v>0</v>
      </c>
      <c r="D760">
        <f>BIdetails!K763</f>
        <v>0</v>
      </c>
      <c r="E760" s="165">
        <f>BIdetails!M763</f>
        <v>0</v>
      </c>
      <c r="F760" t="e">
        <f>IF(ISERROR(IF(OR(C760="#",C760=0),"",VLOOKUP(C760,'AOP25'!M:M,1,0))),"Not Found",VLOOKUP(C760,'AOP25'!M:M,1,0))</f>
        <v>#N/A</v>
      </c>
      <c r="G760" t="e">
        <f t="shared" si="11"/>
        <v>#N/A</v>
      </c>
    </row>
    <row r="761" spans="1:7" hidden="1" x14ac:dyDescent="0.25">
      <c r="A761">
        <f>BIdetails!G764</f>
        <v>0</v>
      </c>
      <c r="B761">
        <f>BIdetails!H764</f>
        <v>0</v>
      </c>
      <c r="C761">
        <f>BIdetails!J764</f>
        <v>0</v>
      </c>
      <c r="D761">
        <f>BIdetails!K764</f>
        <v>0</v>
      </c>
      <c r="E761" s="165">
        <f>BIdetails!M764</f>
        <v>0</v>
      </c>
      <c r="F761" t="e">
        <f>IF(ISERROR(IF(OR(C761="#",C761=0),"",VLOOKUP(C761,'AOP25'!M:M,1,0))),"Not Found",VLOOKUP(C761,'AOP25'!M:M,1,0))</f>
        <v>#N/A</v>
      </c>
      <c r="G761" t="e">
        <f t="shared" si="11"/>
        <v>#N/A</v>
      </c>
    </row>
    <row r="762" spans="1:7" hidden="1" x14ac:dyDescent="0.25">
      <c r="A762">
        <f>BIdetails!G765</f>
        <v>0</v>
      </c>
      <c r="B762">
        <f>BIdetails!H765</f>
        <v>0</v>
      </c>
      <c r="C762">
        <f>BIdetails!J765</f>
        <v>0</v>
      </c>
      <c r="D762">
        <f>BIdetails!K765</f>
        <v>0</v>
      </c>
      <c r="E762" s="165">
        <f>BIdetails!M765</f>
        <v>0</v>
      </c>
      <c r="F762" t="e">
        <f>IF(ISERROR(IF(OR(C762="#",C762=0),"",VLOOKUP(C762,'AOP25'!M:M,1,0))),"Not Found",VLOOKUP(C762,'AOP25'!M:M,1,0))</f>
        <v>#N/A</v>
      </c>
      <c r="G762" t="e">
        <f t="shared" ref="G762:G825" si="12">IF(NOT(ISERROR(VLOOKUP(C762,$K$2:$K$50,1,0))),"Y",VLOOKUP(C762,$K$2:$K$50,1,0))</f>
        <v>#N/A</v>
      </c>
    </row>
    <row r="763" spans="1:7" x14ac:dyDescent="0.25">
      <c r="A763">
        <f>BIdetails!G766</f>
        <v>0</v>
      </c>
      <c r="B763">
        <f>BIdetails!H766</f>
        <v>0</v>
      </c>
      <c r="C763">
        <f>BIdetails!J766</f>
        <v>0</v>
      </c>
      <c r="D763">
        <f>BIdetails!K766</f>
        <v>0</v>
      </c>
      <c r="E763" s="165">
        <f>BIdetails!M766</f>
        <v>0</v>
      </c>
      <c r="F763" t="e">
        <f>IF(ISERROR(IF(OR(C763="#",C763=0),"",VLOOKUP(C763,'AOP25'!M:M,1,0))),"Not Found",VLOOKUP(C763,'AOP25'!M:M,1,0))</f>
        <v>#N/A</v>
      </c>
      <c r="G763" t="e">
        <f t="shared" si="12"/>
        <v>#N/A</v>
      </c>
    </row>
    <row r="764" spans="1:7" x14ac:dyDescent="0.25">
      <c r="A764">
        <f>BIdetails!G767</f>
        <v>0</v>
      </c>
      <c r="B764">
        <f>BIdetails!H767</f>
        <v>0</v>
      </c>
      <c r="C764">
        <f>BIdetails!J767</f>
        <v>0</v>
      </c>
      <c r="D764">
        <f>BIdetails!K767</f>
        <v>0</v>
      </c>
      <c r="E764" s="165">
        <f>BIdetails!M767</f>
        <v>0</v>
      </c>
      <c r="F764" t="e">
        <f>IF(ISERROR(IF(OR(C764="#",C764=0),"",VLOOKUP(C764,'AOP25'!M:M,1,0))),"Not Found",VLOOKUP(C764,'AOP25'!M:M,1,0))</f>
        <v>#N/A</v>
      </c>
      <c r="G764" t="e">
        <f t="shared" si="12"/>
        <v>#N/A</v>
      </c>
    </row>
    <row r="765" spans="1:7" hidden="1" x14ac:dyDescent="0.25">
      <c r="A765">
        <f>BIdetails!G768</f>
        <v>0</v>
      </c>
      <c r="B765">
        <f>BIdetails!H768</f>
        <v>0</v>
      </c>
      <c r="C765">
        <f>BIdetails!J768</f>
        <v>0</v>
      </c>
      <c r="D765">
        <f>BIdetails!K768</f>
        <v>0</v>
      </c>
      <c r="E765" s="165">
        <f>BIdetails!M768</f>
        <v>0</v>
      </c>
      <c r="F765" t="e">
        <f>IF(ISERROR(IF(OR(C765="#",C765=0),"",VLOOKUP(C765,'AOP25'!M:M,1,0))),"Not Found",VLOOKUP(C765,'AOP25'!M:M,1,0))</f>
        <v>#N/A</v>
      </c>
      <c r="G765" t="e">
        <f t="shared" si="12"/>
        <v>#N/A</v>
      </c>
    </row>
    <row r="766" spans="1:7" x14ac:dyDescent="0.25">
      <c r="A766">
        <f>BIdetails!G769</f>
        <v>0</v>
      </c>
      <c r="B766">
        <f>BIdetails!H769</f>
        <v>0</v>
      </c>
      <c r="C766">
        <f>BIdetails!J769</f>
        <v>0</v>
      </c>
      <c r="D766">
        <f>BIdetails!K769</f>
        <v>0</v>
      </c>
      <c r="E766" s="165">
        <f>BIdetails!M769</f>
        <v>0</v>
      </c>
      <c r="F766" t="e">
        <f>IF(ISERROR(IF(OR(C766="#",C766=0),"",VLOOKUP(C766,'AOP25'!M:M,1,0))),"Not Found",VLOOKUP(C766,'AOP25'!M:M,1,0))</f>
        <v>#N/A</v>
      </c>
      <c r="G766" t="e">
        <f t="shared" si="12"/>
        <v>#N/A</v>
      </c>
    </row>
    <row r="767" spans="1:7" hidden="1" x14ac:dyDescent="0.25">
      <c r="A767">
        <f>BIdetails!G770</f>
        <v>0</v>
      </c>
      <c r="B767">
        <f>BIdetails!H770</f>
        <v>0</v>
      </c>
      <c r="C767">
        <f>BIdetails!J770</f>
        <v>0</v>
      </c>
      <c r="D767">
        <f>BIdetails!K770</f>
        <v>0</v>
      </c>
      <c r="E767" s="165">
        <f>BIdetails!M770</f>
        <v>0</v>
      </c>
      <c r="F767" t="e">
        <f>IF(ISERROR(IF(OR(C767="#",C767=0),"",VLOOKUP(C767,'AOP25'!M:M,1,0))),"Not Found",VLOOKUP(C767,'AOP25'!M:M,1,0))</f>
        <v>#N/A</v>
      </c>
      <c r="G767" t="e">
        <f t="shared" si="12"/>
        <v>#N/A</v>
      </c>
    </row>
    <row r="768" spans="1:7" hidden="1" x14ac:dyDescent="0.25">
      <c r="A768">
        <f>BIdetails!G771</f>
        <v>0</v>
      </c>
      <c r="B768">
        <f>BIdetails!H771</f>
        <v>0</v>
      </c>
      <c r="C768">
        <f>BIdetails!J771</f>
        <v>0</v>
      </c>
      <c r="D768">
        <f>BIdetails!K771</f>
        <v>0</v>
      </c>
      <c r="E768" s="165">
        <f>BIdetails!M771</f>
        <v>0</v>
      </c>
      <c r="F768" t="e">
        <f>IF(ISERROR(IF(OR(C768="#",C768=0),"",VLOOKUP(C768,'AOP25'!M:M,1,0))),"Not Found",VLOOKUP(C768,'AOP25'!M:M,1,0))</f>
        <v>#N/A</v>
      </c>
      <c r="G768" t="e">
        <f t="shared" si="12"/>
        <v>#N/A</v>
      </c>
    </row>
    <row r="769" spans="1:7" hidden="1" x14ac:dyDescent="0.25">
      <c r="A769">
        <f>BIdetails!G772</f>
        <v>0</v>
      </c>
      <c r="B769">
        <f>BIdetails!H772</f>
        <v>0</v>
      </c>
      <c r="C769">
        <f>BIdetails!J772</f>
        <v>0</v>
      </c>
      <c r="D769">
        <f>BIdetails!K772</f>
        <v>0</v>
      </c>
      <c r="E769" s="165">
        <f>BIdetails!M772</f>
        <v>0</v>
      </c>
      <c r="F769" t="e">
        <f>IF(ISERROR(IF(OR(C769="#",C769=0),"",VLOOKUP(C769,'AOP25'!M:M,1,0))),"Not Found",VLOOKUP(C769,'AOP25'!M:M,1,0))</f>
        <v>#N/A</v>
      </c>
      <c r="G769" t="e">
        <f t="shared" si="12"/>
        <v>#N/A</v>
      </c>
    </row>
    <row r="770" spans="1:7" hidden="1" x14ac:dyDescent="0.25">
      <c r="A770">
        <f>BIdetails!G773</f>
        <v>0</v>
      </c>
      <c r="B770">
        <f>BIdetails!H773</f>
        <v>0</v>
      </c>
      <c r="C770">
        <f>BIdetails!J773</f>
        <v>0</v>
      </c>
      <c r="D770">
        <f>BIdetails!K773</f>
        <v>0</v>
      </c>
      <c r="E770" s="165">
        <f>BIdetails!M773</f>
        <v>0</v>
      </c>
      <c r="F770" t="e">
        <f>IF(ISERROR(IF(OR(C770="#",C770=0),"",VLOOKUP(C770,'AOP25'!M:M,1,0))),"Not Found",VLOOKUP(C770,'AOP25'!M:M,1,0))</f>
        <v>#N/A</v>
      </c>
      <c r="G770" t="e">
        <f t="shared" si="12"/>
        <v>#N/A</v>
      </c>
    </row>
    <row r="771" spans="1:7" hidden="1" x14ac:dyDescent="0.25">
      <c r="A771">
        <f>BIdetails!G774</f>
        <v>0</v>
      </c>
      <c r="B771">
        <f>BIdetails!H774</f>
        <v>0</v>
      </c>
      <c r="C771">
        <f>BIdetails!J774</f>
        <v>0</v>
      </c>
      <c r="D771">
        <f>BIdetails!K774</f>
        <v>0</v>
      </c>
      <c r="E771" s="165">
        <f>BIdetails!M774</f>
        <v>0</v>
      </c>
      <c r="F771" t="e">
        <f>IF(ISERROR(IF(OR(C771="#",C771=0),"",VLOOKUP(C771,'AOP25'!M:M,1,0))),"Not Found",VLOOKUP(C771,'AOP25'!M:M,1,0))</f>
        <v>#N/A</v>
      </c>
      <c r="G771" t="e">
        <f t="shared" si="12"/>
        <v>#N/A</v>
      </c>
    </row>
    <row r="772" spans="1:7" hidden="1" x14ac:dyDescent="0.25">
      <c r="A772">
        <f>BIdetails!G775</f>
        <v>0</v>
      </c>
      <c r="B772">
        <f>BIdetails!H775</f>
        <v>0</v>
      </c>
      <c r="C772">
        <f>BIdetails!J775</f>
        <v>0</v>
      </c>
      <c r="D772">
        <f>BIdetails!K775</f>
        <v>0</v>
      </c>
      <c r="E772" s="165">
        <f>BIdetails!M775</f>
        <v>0</v>
      </c>
      <c r="F772" t="e">
        <f>IF(ISERROR(IF(OR(C772="#",C772=0),"",VLOOKUP(C772,'AOP25'!M:M,1,0))),"Not Found",VLOOKUP(C772,'AOP25'!M:M,1,0))</f>
        <v>#N/A</v>
      </c>
      <c r="G772" t="e">
        <f t="shared" si="12"/>
        <v>#N/A</v>
      </c>
    </row>
    <row r="773" spans="1:7" hidden="1" x14ac:dyDescent="0.25">
      <c r="A773">
        <f>BIdetails!G776</f>
        <v>0</v>
      </c>
      <c r="B773">
        <f>BIdetails!H776</f>
        <v>0</v>
      </c>
      <c r="C773">
        <f>BIdetails!J776</f>
        <v>0</v>
      </c>
      <c r="D773">
        <f>BIdetails!K776</f>
        <v>0</v>
      </c>
      <c r="E773" s="165">
        <f>BIdetails!M776</f>
        <v>0</v>
      </c>
      <c r="F773" t="e">
        <f>IF(ISERROR(IF(OR(C773="#",C773=0),"",VLOOKUP(C773,'AOP25'!M:M,1,0))),"Not Found",VLOOKUP(C773,'AOP25'!M:M,1,0))</f>
        <v>#N/A</v>
      </c>
      <c r="G773" t="e">
        <f t="shared" si="12"/>
        <v>#N/A</v>
      </c>
    </row>
    <row r="774" spans="1:7" hidden="1" x14ac:dyDescent="0.25">
      <c r="A774">
        <f>BIdetails!G777</f>
        <v>0</v>
      </c>
      <c r="B774">
        <f>BIdetails!H777</f>
        <v>0</v>
      </c>
      <c r="C774">
        <f>BIdetails!J777</f>
        <v>0</v>
      </c>
      <c r="D774">
        <f>BIdetails!K777</f>
        <v>0</v>
      </c>
      <c r="E774" s="165">
        <f>BIdetails!M777</f>
        <v>0</v>
      </c>
      <c r="F774" t="e">
        <f>IF(ISERROR(IF(OR(C774="#",C774=0),"",VLOOKUP(C774,'AOP25'!M:M,1,0))),"Not Found",VLOOKUP(C774,'AOP25'!M:M,1,0))</f>
        <v>#N/A</v>
      </c>
      <c r="G774" t="e">
        <f t="shared" si="12"/>
        <v>#N/A</v>
      </c>
    </row>
    <row r="775" spans="1:7" hidden="1" x14ac:dyDescent="0.25">
      <c r="A775">
        <f>BIdetails!G778</f>
        <v>0</v>
      </c>
      <c r="B775">
        <f>BIdetails!H778</f>
        <v>0</v>
      </c>
      <c r="C775">
        <f>BIdetails!J778</f>
        <v>0</v>
      </c>
      <c r="D775">
        <f>BIdetails!K778</f>
        <v>0</v>
      </c>
      <c r="E775" s="165">
        <f>BIdetails!M778</f>
        <v>0</v>
      </c>
      <c r="F775" t="e">
        <f>IF(ISERROR(IF(OR(C775="#",C775=0),"",VLOOKUP(C775,'AOP25'!M:M,1,0))),"Not Found",VLOOKUP(C775,'AOP25'!M:M,1,0))</f>
        <v>#N/A</v>
      </c>
      <c r="G775" t="e">
        <f t="shared" si="12"/>
        <v>#N/A</v>
      </c>
    </row>
    <row r="776" spans="1:7" hidden="1" x14ac:dyDescent="0.25">
      <c r="A776">
        <f>BIdetails!G779</f>
        <v>0</v>
      </c>
      <c r="B776">
        <f>BIdetails!H779</f>
        <v>0</v>
      </c>
      <c r="C776">
        <f>BIdetails!J779</f>
        <v>0</v>
      </c>
      <c r="D776">
        <f>BIdetails!K779</f>
        <v>0</v>
      </c>
      <c r="E776" s="165">
        <f>BIdetails!M779</f>
        <v>0</v>
      </c>
      <c r="F776" t="e">
        <f>IF(ISERROR(IF(OR(C776="#",C776=0),"",VLOOKUP(C776,'AOP25'!M:M,1,0))),"Not Found",VLOOKUP(C776,'AOP25'!M:M,1,0))</f>
        <v>#N/A</v>
      </c>
      <c r="G776" t="e">
        <f t="shared" si="12"/>
        <v>#N/A</v>
      </c>
    </row>
    <row r="777" spans="1:7" hidden="1" x14ac:dyDescent="0.25">
      <c r="A777">
        <f>BIdetails!G780</f>
        <v>0</v>
      </c>
      <c r="B777">
        <f>BIdetails!H780</f>
        <v>0</v>
      </c>
      <c r="C777">
        <f>BIdetails!J780</f>
        <v>0</v>
      </c>
      <c r="D777">
        <f>BIdetails!K780</f>
        <v>0</v>
      </c>
      <c r="E777" s="165">
        <f>BIdetails!M780</f>
        <v>0</v>
      </c>
      <c r="F777" t="e">
        <f>IF(ISERROR(IF(OR(C777="#",C777=0),"",VLOOKUP(C777,'AOP25'!M:M,1,0))),"Not Found",VLOOKUP(C777,'AOP25'!M:M,1,0))</f>
        <v>#N/A</v>
      </c>
      <c r="G777" t="e">
        <f t="shared" si="12"/>
        <v>#N/A</v>
      </c>
    </row>
    <row r="778" spans="1:7" hidden="1" x14ac:dyDescent="0.25">
      <c r="A778">
        <f>BIdetails!G781</f>
        <v>0</v>
      </c>
      <c r="B778">
        <f>BIdetails!H781</f>
        <v>0</v>
      </c>
      <c r="C778">
        <f>BIdetails!J781</f>
        <v>0</v>
      </c>
      <c r="D778">
        <f>BIdetails!K781</f>
        <v>0</v>
      </c>
      <c r="E778" s="165">
        <f>BIdetails!M781</f>
        <v>0</v>
      </c>
      <c r="F778" t="e">
        <f>IF(ISERROR(IF(OR(C778="#",C778=0),"",VLOOKUP(C778,'AOP25'!M:M,1,0))),"Not Found",VLOOKUP(C778,'AOP25'!M:M,1,0))</f>
        <v>#N/A</v>
      </c>
      <c r="G778" t="e">
        <f t="shared" si="12"/>
        <v>#N/A</v>
      </c>
    </row>
    <row r="779" spans="1:7" x14ac:dyDescent="0.25">
      <c r="A779">
        <f>BIdetails!G782</f>
        <v>0</v>
      </c>
      <c r="B779">
        <f>BIdetails!H782</f>
        <v>0</v>
      </c>
      <c r="C779">
        <f>BIdetails!J782</f>
        <v>0</v>
      </c>
      <c r="D779">
        <f>BIdetails!K782</f>
        <v>0</v>
      </c>
      <c r="E779" s="165">
        <f>BIdetails!M782</f>
        <v>0</v>
      </c>
      <c r="F779" t="e">
        <f>IF(ISERROR(IF(OR(C779="#",C779=0),"",VLOOKUP(C779,'AOP25'!M:M,1,0))),"Not Found",VLOOKUP(C779,'AOP25'!M:M,1,0))</f>
        <v>#N/A</v>
      </c>
      <c r="G779" t="e">
        <f t="shared" si="12"/>
        <v>#N/A</v>
      </c>
    </row>
    <row r="780" spans="1:7" x14ac:dyDescent="0.25">
      <c r="A780">
        <f>BIdetails!G783</f>
        <v>0</v>
      </c>
      <c r="B780">
        <f>BIdetails!H783</f>
        <v>0</v>
      </c>
      <c r="C780">
        <f>BIdetails!J783</f>
        <v>0</v>
      </c>
      <c r="D780">
        <f>BIdetails!K783</f>
        <v>0</v>
      </c>
      <c r="E780" s="165">
        <f>BIdetails!M783</f>
        <v>0</v>
      </c>
      <c r="F780" t="e">
        <f>IF(ISERROR(IF(OR(C780="#",C780=0),"",VLOOKUP(C780,'AOP25'!M:M,1,0))),"Not Found",VLOOKUP(C780,'AOP25'!M:M,1,0))</f>
        <v>#N/A</v>
      </c>
      <c r="G780" t="e">
        <f t="shared" si="12"/>
        <v>#N/A</v>
      </c>
    </row>
    <row r="781" spans="1:7" x14ac:dyDescent="0.25">
      <c r="A781">
        <f>BIdetails!G784</f>
        <v>0</v>
      </c>
      <c r="B781">
        <f>BIdetails!H784</f>
        <v>0</v>
      </c>
      <c r="C781">
        <f>BIdetails!J784</f>
        <v>0</v>
      </c>
      <c r="D781">
        <f>BIdetails!K784</f>
        <v>0</v>
      </c>
      <c r="E781" s="165">
        <f>BIdetails!M784</f>
        <v>0</v>
      </c>
      <c r="F781" t="e">
        <f>IF(ISERROR(IF(OR(C781="#",C781=0),"",VLOOKUP(C781,'AOP25'!M:M,1,0))),"Not Found",VLOOKUP(C781,'AOP25'!M:M,1,0))</f>
        <v>#N/A</v>
      </c>
      <c r="G781" t="e">
        <f t="shared" si="12"/>
        <v>#N/A</v>
      </c>
    </row>
    <row r="782" spans="1:7" x14ac:dyDescent="0.25">
      <c r="A782">
        <f>BIdetails!G785</f>
        <v>0</v>
      </c>
      <c r="B782">
        <f>BIdetails!H785</f>
        <v>0</v>
      </c>
      <c r="C782">
        <f>BIdetails!J785</f>
        <v>0</v>
      </c>
      <c r="D782">
        <f>BIdetails!K785</f>
        <v>0</v>
      </c>
      <c r="E782" s="165">
        <f>BIdetails!M785</f>
        <v>0</v>
      </c>
      <c r="F782" t="e">
        <f>IF(ISERROR(IF(OR(C782="#",C782=0),"",VLOOKUP(C782,'AOP25'!M:M,1,0))),"Not Found",VLOOKUP(C782,'AOP25'!M:M,1,0))</f>
        <v>#N/A</v>
      </c>
      <c r="G782" t="e">
        <f t="shared" si="12"/>
        <v>#N/A</v>
      </c>
    </row>
    <row r="783" spans="1:7" hidden="1" x14ac:dyDescent="0.25">
      <c r="A783">
        <f>BIdetails!G786</f>
        <v>0</v>
      </c>
      <c r="B783">
        <f>BIdetails!H786</f>
        <v>0</v>
      </c>
      <c r="C783">
        <f>BIdetails!J786</f>
        <v>0</v>
      </c>
      <c r="D783">
        <f>BIdetails!K786</f>
        <v>0</v>
      </c>
      <c r="E783" s="165">
        <f>BIdetails!M786</f>
        <v>0</v>
      </c>
      <c r="F783" t="e">
        <f>IF(ISERROR(IF(OR(C783="#",C783=0),"",VLOOKUP(C783,'AOP25'!M:M,1,0))),"Not Found",VLOOKUP(C783,'AOP25'!M:M,1,0))</f>
        <v>#N/A</v>
      </c>
      <c r="G783" t="e">
        <f t="shared" si="12"/>
        <v>#N/A</v>
      </c>
    </row>
    <row r="784" spans="1:7" x14ac:dyDescent="0.25">
      <c r="A784">
        <f>BIdetails!G787</f>
        <v>0</v>
      </c>
      <c r="B784">
        <f>BIdetails!H787</f>
        <v>0</v>
      </c>
      <c r="C784">
        <f>BIdetails!J787</f>
        <v>0</v>
      </c>
      <c r="D784">
        <f>BIdetails!K787</f>
        <v>0</v>
      </c>
      <c r="E784" s="165">
        <f>BIdetails!M787</f>
        <v>0</v>
      </c>
      <c r="F784" t="e">
        <f>IF(ISERROR(IF(OR(C784="#",C784=0),"",VLOOKUP(C784,'AOP25'!M:M,1,0))),"Not Found",VLOOKUP(C784,'AOP25'!M:M,1,0))</f>
        <v>#N/A</v>
      </c>
      <c r="G784" t="e">
        <f t="shared" si="12"/>
        <v>#N/A</v>
      </c>
    </row>
    <row r="785" spans="1:7" hidden="1" x14ac:dyDescent="0.25">
      <c r="A785">
        <f>BIdetails!G788</f>
        <v>0</v>
      </c>
      <c r="B785">
        <f>BIdetails!H788</f>
        <v>0</v>
      </c>
      <c r="C785">
        <f>BIdetails!J788</f>
        <v>0</v>
      </c>
      <c r="D785">
        <f>BIdetails!K788</f>
        <v>0</v>
      </c>
      <c r="E785" s="165">
        <f>BIdetails!M788</f>
        <v>0</v>
      </c>
      <c r="F785" t="e">
        <f>IF(ISERROR(IF(OR(C785="#",C785=0),"",VLOOKUP(C785,'AOP25'!M:M,1,0))),"Not Found",VLOOKUP(C785,'AOP25'!M:M,1,0))</f>
        <v>#N/A</v>
      </c>
      <c r="G785" t="e">
        <f t="shared" si="12"/>
        <v>#N/A</v>
      </c>
    </row>
    <row r="786" spans="1:7" hidden="1" x14ac:dyDescent="0.25">
      <c r="A786">
        <f>BIdetails!G789</f>
        <v>0</v>
      </c>
      <c r="B786">
        <f>BIdetails!H789</f>
        <v>0</v>
      </c>
      <c r="C786">
        <f>BIdetails!J789</f>
        <v>0</v>
      </c>
      <c r="D786">
        <f>BIdetails!K789</f>
        <v>0</v>
      </c>
      <c r="E786" s="165">
        <f>BIdetails!M789</f>
        <v>0</v>
      </c>
      <c r="F786" t="e">
        <f>IF(ISERROR(IF(OR(C786="#",C786=0),"",VLOOKUP(C786,'AOP25'!M:M,1,0))),"Not Found",VLOOKUP(C786,'AOP25'!M:M,1,0))</f>
        <v>#N/A</v>
      </c>
      <c r="G786" t="e">
        <f t="shared" si="12"/>
        <v>#N/A</v>
      </c>
    </row>
    <row r="787" spans="1:7" x14ac:dyDescent="0.25">
      <c r="A787">
        <f>BIdetails!G790</f>
        <v>0</v>
      </c>
      <c r="B787">
        <f>BIdetails!H790</f>
        <v>0</v>
      </c>
      <c r="C787">
        <f>BIdetails!J790</f>
        <v>0</v>
      </c>
      <c r="D787">
        <f>BIdetails!K790</f>
        <v>0</v>
      </c>
      <c r="E787" s="165">
        <f>BIdetails!M790</f>
        <v>0</v>
      </c>
      <c r="F787" t="e">
        <f>IF(ISERROR(IF(OR(C787="#",C787=0),"",VLOOKUP(C787,'AOP25'!M:M,1,0))),"Not Found",VLOOKUP(C787,'AOP25'!M:M,1,0))</f>
        <v>#N/A</v>
      </c>
      <c r="G787" t="e">
        <f t="shared" si="12"/>
        <v>#N/A</v>
      </c>
    </row>
    <row r="788" spans="1:7" hidden="1" x14ac:dyDescent="0.25">
      <c r="A788">
        <f>BIdetails!G791</f>
        <v>0</v>
      </c>
      <c r="B788">
        <f>BIdetails!H791</f>
        <v>0</v>
      </c>
      <c r="C788">
        <f>BIdetails!J791</f>
        <v>0</v>
      </c>
      <c r="D788">
        <f>BIdetails!K791</f>
        <v>0</v>
      </c>
      <c r="E788" s="165">
        <f>BIdetails!M791</f>
        <v>0</v>
      </c>
      <c r="F788" t="e">
        <f>IF(ISERROR(IF(OR(C788="#",C788=0),"",VLOOKUP(C788,'AOP25'!M:M,1,0))),"Not Found",VLOOKUP(C788,'AOP25'!M:M,1,0))</f>
        <v>#N/A</v>
      </c>
      <c r="G788" t="e">
        <f t="shared" si="12"/>
        <v>#N/A</v>
      </c>
    </row>
    <row r="789" spans="1:7" hidden="1" x14ac:dyDescent="0.25">
      <c r="A789">
        <f>BIdetails!G792</f>
        <v>0</v>
      </c>
      <c r="B789">
        <f>BIdetails!H792</f>
        <v>0</v>
      </c>
      <c r="C789">
        <f>BIdetails!J792</f>
        <v>0</v>
      </c>
      <c r="D789">
        <f>BIdetails!K792</f>
        <v>0</v>
      </c>
      <c r="E789" s="165">
        <f>BIdetails!M792</f>
        <v>0</v>
      </c>
      <c r="F789" t="e">
        <f>IF(ISERROR(IF(OR(C789="#",C789=0),"",VLOOKUP(C789,'AOP25'!M:M,1,0))),"Not Found",VLOOKUP(C789,'AOP25'!M:M,1,0))</f>
        <v>#N/A</v>
      </c>
      <c r="G789" t="e">
        <f t="shared" si="12"/>
        <v>#N/A</v>
      </c>
    </row>
    <row r="790" spans="1:7" hidden="1" x14ac:dyDescent="0.25">
      <c r="A790">
        <f>BIdetails!G793</f>
        <v>0</v>
      </c>
      <c r="B790">
        <f>BIdetails!H793</f>
        <v>0</v>
      </c>
      <c r="C790">
        <f>BIdetails!J793</f>
        <v>0</v>
      </c>
      <c r="D790">
        <f>BIdetails!K793</f>
        <v>0</v>
      </c>
      <c r="E790" s="165">
        <f>BIdetails!M793</f>
        <v>0</v>
      </c>
      <c r="F790" t="e">
        <f>IF(ISERROR(IF(OR(C790="#",C790=0),"",VLOOKUP(C790,'AOP25'!M:M,1,0))),"Not Found",VLOOKUP(C790,'AOP25'!M:M,1,0))</f>
        <v>#N/A</v>
      </c>
      <c r="G790" t="e">
        <f t="shared" si="12"/>
        <v>#N/A</v>
      </c>
    </row>
    <row r="791" spans="1:7" hidden="1" x14ac:dyDescent="0.25">
      <c r="A791">
        <f>BIdetails!G794</f>
        <v>0</v>
      </c>
      <c r="B791">
        <f>BIdetails!H794</f>
        <v>0</v>
      </c>
      <c r="C791">
        <f>BIdetails!J794</f>
        <v>0</v>
      </c>
      <c r="D791">
        <f>BIdetails!K794</f>
        <v>0</v>
      </c>
      <c r="E791" s="165">
        <f>BIdetails!M794</f>
        <v>0</v>
      </c>
      <c r="F791" t="e">
        <f>IF(ISERROR(IF(OR(C791="#",C791=0),"",VLOOKUP(C791,'AOP25'!M:M,1,0))),"Not Found",VLOOKUP(C791,'AOP25'!M:M,1,0))</f>
        <v>#N/A</v>
      </c>
      <c r="G791" t="e">
        <f t="shared" si="12"/>
        <v>#N/A</v>
      </c>
    </row>
    <row r="792" spans="1:7" hidden="1" x14ac:dyDescent="0.25">
      <c r="A792">
        <f>BIdetails!G795</f>
        <v>0</v>
      </c>
      <c r="B792">
        <f>BIdetails!H795</f>
        <v>0</v>
      </c>
      <c r="C792">
        <f>BIdetails!J795</f>
        <v>0</v>
      </c>
      <c r="D792">
        <f>BIdetails!K795</f>
        <v>0</v>
      </c>
      <c r="E792" s="165">
        <f>BIdetails!M795</f>
        <v>0</v>
      </c>
      <c r="F792" t="e">
        <f>IF(ISERROR(IF(OR(C792="#",C792=0),"",VLOOKUP(C792,'AOP25'!M:M,1,0))),"Not Found",VLOOKUP(C792,'AOP25'!M:M,1,0))</f>
        <v>#N/A</v>
      </c>
      <c r="G792" t="e">
        <f t="shared" si="12"/>
        <v>#N/A</v>
      </c>
    </row>
    <row r="793" spans="1:7" hidden="1" x14ac:dyDescent="0.25">
      <c r="A793">
        <f>BIdetails!G796</f>
        <v>0</v>
      </c>
      <c r="B793">
        <f>BIdetails!H796</f>
        <v>0</v>
      </c>
      <c r="C793">
        <f>BIdetails!J796</f>
        <v>0</v>
      </c>
      <c r="D793">
        <f>BIdetails!K796</f>
        <v>0</v>
      </c>
      <c r="E793" s="165">
        <f>BIdetails!M796</f>
        <v>0</v>
      </c>
      <c r="F793" t="e">
        <f>IF(ISERROR(IF(OR(C793="#",C793=0),"",VLOOKUP(C793,'AOP25'!M:M,1,0))),"Not Found",VLOOKUP(C793,'AOP25'!M:M,1,0))</f>
        <v>#N/A</v>
      </c>
      <c r="G793" t="e">
        <f t="shared" si="12"/>
        <v>#N/A</v>
      </c>
    </row>
    <row r="794" spans="1:7" hidden="1" x14ac:dyDescent="0.25">
      <c r="A794">
        <f>BIdetails!G797</f>
        <v>0</v>
      </c>
      <c r="B794">
        <f>BIdetails!H797</f>
        <v>0</v>
      </c>
      <c r="C794">
        <f>BIdetails!J797</f>
        <v>0</v>
      </c>
      <c r="D794">
        <f>BIdetails!K797</f>
        <v>0</v>
      </c>
      <c r="E794" s="165">
        <f>BIdetails!M797</f>
        <v>0</v>
      </c>
      <c r="F794" t="e">
        <f>IF(ISERROR(IF(OR(C794="#",C794=0),"",VLOOKUP(C794,'AOP25'!M:M,1,0))),"Not Found",VLOOKUP(C794,'AOP25'!M:M,1,0))</f>
        <v>#N/A</v>
      </c>
      <c r="G794" t="e">
        <f t="shared" si="12"/>
        <v>#N/A</v>
      </c>
    </row>
    <row r="795" spans="1:7" hidden="1" x14ac:dyDescent="0.25">
      <c r="A795">
        <f>BIdetails!G798</f>
        <v>0</v>
      </c>
      <c r="B795">
        <f>BIdetails!H798</f>
        <v>0</v>
      </c>
      <c r="C795">
        <f>BIdetails!J798</f>
        <v>0</v>
      </c>
      <c r="D795">
        <f>BIdetails!K798</f>
        <v>0</v>
      </c>
      <c r="E795" s="165">
        <f>BIdetails!M798</f>
        <v>0</v>
      </c>
      <c r="F795" t="e">
        <f>IF(ISERROR(IF(OR(C795="#",C795=0),"",VLOOKUP(C795,'AOP25'!M:M,1,0))),"Not Found",VLOOKUP(C795,'AOP25'!M:M,1,0))</f>
        <v>#N/A</v>
      </c>
      <c r="G795" t="e">
        <f t="shared" si="12"/>
        <v>#N/A</v>
      </c>
    </row>
    <row r="796" spans="1:7" hidden="1" x14ac:dyDescent="0.25">
      <c r="A796">
        <f>BIdetails!G799</f>
        <v>0</v>
      </c>
      <c r="B796">
        <f>BIdetails!H799</f>
        <v>0</v>
      </c>
      <c r="C796">
        <f>BIdetails!J799</f>
        <v>0</v>
      </c>
      <c r="D796">
        <f>BIdetails!K799</f>
        <v>0</v>
      </c>
      <c r="E796" s="165">
        <f>BIdetails!M799</f>
        <v>0</v>
      </c>
      <c r="F796" t="e">
        <f>IF(ISERROR(IF(OR(C796="#",C796=0),"",VLOOKUP(C796,'AOP25'!M:M,1,0))),"Not Found",VLOOKUP(C796,'AOP25'!M:M,1,0))</f>
        <v>#N/A</v>
      </c>
      <c r="G796" t="e">
        <f t="shared" si="12"/>
        <v>#N/A</v>
      </c>
    </row>
    <row r="797" spans="1:7" hidden="1" x14ac:dyDescent="0.25">
      <c r="A797">
        <f>BIdetails!G800</f>
        <v>0</v>
      </c>
      <c r="B797">
        <f>BIdetails!H800</f>
        <v>0</v>
      </c>
      <c r="C797">
        <f>BIdetails!J800</f>
        <v>0</v>
      </c>
      <c r="D797">
        <f>BIdetails!K800</f>
        <v>0</v>
      </c>
      <c r="E797" s="165">
        <f>BIdetails!M800</f>
        <v>0</v>
      </c>
      <c r="F797" t="e">
        <f>IF(ISERROR(IF(OR(C797="#",C797=0),"",VLOOKUP(C797,'AOP25'!M:M,1,0))),"Not Found",VLOOKUP(C797,'AOP25'!M:M,1,0))</f>
        <v>#N/A</v>
      </c>
      <c r="G797" t="e">
        <f t="shared" si="12"/>
        <v>#N/A</v>
      </c>
    </row>
    <row r="798" spans="1:7" hidden="1" x14ac:dyDescent="0.25">
      <c r="A798">
        <f>BIdetails!G801</f>
        <v>0</v>
      </c>
      <c r="B798">
        <f>BIdetails!H801</f>
        <v>0</v>
      </c>
      <c r="C798">
        <f>BIdetails!J801</f>
        <v>0</v>
      </c>
      <c r="D798">
        <f>BIdetails!K801</f>
        <v>0</v>
      </c>
      <c r="E798" s="165">
        <f>BIdetails!M801</f>
        <v>0</v>
      </c>
      <c r="F798" t="e">
        <f>IF(ISERROR(IF(OR(C798="#",C798=0),"",VLOOKUP(C798,'AOP25'!M:M,1,0))),"Not Found",VLOOKUP(C798,'AOP25'!M:M,1,0))</f>
        <v>#N/A</v>
      </c>
      <c r="G798" t="e">
        <f t="shared" si="12"/>
        <v>#N/A</v>
      </c>
    </row>
    <row r="799" spans="1:7" hidden="1" x14ac:dyDescent="0.25">
      <c r="A799">
        <f>BIdetails!G802</f>
        <v>0</v>
      </c>
      <c r="B799">
        <f>BIdetails!H802</f>
        <v>0</v>
      </c>
      <c r="C799">
        <f>BIdetails!J802</f>
        <v>0</v>
      </c>
      <c r="D799">
        <f>BIdetails!K802</f>
        <v>0</v>
      </c>
      <c r="E799" s="165">
        <f>BIdetails!M802</f>
        <v>0</v>
      </c>
      <c r="F799" t="e">
        <f>IF(ISERROR(IF(OR(C799="#",C799=0),"",VLOOKUP(C799,'AOP25'!M:M,1,0))),"Not Found",VLOOKUP(C799,'AOP25'!M:M,1,0))</f>
        <v>#N/A</v>
      </c>
      <c r="G799" t="e">
        <f t="shared" si="12"/>
        <v>#N/A</v>
      </c>
    </row>
    <row r="800" spans="1:7" hidden="1" x14ac:dyDescent="0.25">
      <c r="A800">
        <f>BIdetails!G803</f>
        <v>0</v>
      </c>
      <c r="B800">
        <f>BIdetails!H803</f>
        <v>0</v>
      </c>
      <c r="C800">
        <f>BIdetails!J803</f>
        <v>0</v>
      </c>
      <c r="D800">
        <f>BIdetails!K803</f>
        <v>0</v>
      </c>
      <c r="E800" s="165">
        <f>BIdetails!M803</f>
        <v>0</v>
      </c>
      <c r="F800" t="e">
        <f>IF(ISERROR(IF(OR(C800="#",C800=0),"",VLOOKUP(C800,'AOP25'!M:M,1,0))),"Not Found",VLOOKUP(C800,'AOP25'!M:M,1,0))</f>
        <v>#N/A</v>
      </c>
      <c r="G800" t="e">
        <f t="shared" si="12"/>
        <v>#N/A</v>
      </c>
    </row>
    <row r="801" spans="1:7" hidden="1" x14ac:dyDescent="0.25">
      <c r="A801">
        <f>BIdetails!G804</f>
        <v>0</v>
      </c>
      <c r="B801">
        <f>BIdetails!H804</f>
        <v>0</v>
      </c>
      <c r="C801">
        <f>BIdetails!J804</f>
        <v>0</v>
      </c>
      <c r="D801">
        <f>BIdetails!K804</f>
        <v>0</v>
      </c>
      <c r="E801" s="165">
        <f>BIdetails!M804</f>
        <v>0</v>
      </c>
      <c r="F801" t="e">
        <f>IF(ISERROR(IF(OR(C801="#",C801=0),"",VLOOKUP(C801,'AOP25'!M:M,1,0))),"Not Found",VLOOKUP(C801,'AOP25'!M:M,1,0))</f>
        <v>#N/A</v>
      </c>
      <c r="G801" t="e">
        <f t="shared" si="12"/>
        <v>#N/A</v>
      </c>
    </row>
    <row r="802" spans="1:7" hidden="1" x14ac:dyDescent="0.25">
      <c r="A802">
        <f>BIdetails!G805</f>
        <v>0</v>
      </c>
      <c r="B802">
        <f>BIdetails!H805</f>
        <v>0</v>
      </c>
      <c r="C802">
        <f>BIdetails!J805</f>
        <v>0</v>
      </c>
      <c r="D802">
        <f>BIdetails!K805</f>
        <v>0</v>
      </c>
      <c r="E802" s="165">
        <f>BIdetails!M805</f>
        <v>0</v>
      </c>
      <c r="F802" t="e">
        <f>IF(ISERROR(IF(OR(C802="#",C802=0),"",VLOOKUP(C802,'AOP25'!M:M,1,0))),"Not Found",VLOOKUP(C802,'AOP25'!M:M,1,0))</f>
        <v>#N/A</v>
      </c>
      <c r="G802" t="e">
        <f t="shared" si="12"/>
        <v>#N/A</v>
      </c>
    </row>
    <row r="803" spans="1:7" hidden="1" x14ac:dyDescent="0.25">
      <c r="A803">
        <f>BIdetails!G806</f>
        <v>0</v>
      </c>
      <c r="B803">
        <f>BIdetails!H806</f>
        <v>0</v>
      </c>
      <c r="C803">
        <f>BIdetails!J806</f>
        <v>0</v>
      </c>
      <c r="D803">
        <f>BIdetails!K806</f>
        <v>0</v>
      </c>
      <c r="E803" s="165">
        <f>BIdetails!M806</f>
        <v>0</v>
      </c>
      <c r="F803" t="e">
        <f>IF(ISERROR(IF(OR(C803="#",C803=0),"",VLOOKUP(C803,'AOP25'!M:M,1,0))),"Not Found",VLOOKUP(C803,'AOP25'!M:M,1,0))</f>
        <v>#N/A</v>
      </c>
      <c r="G803" t="e">
        <f t="shared" si="12"/>
        <v>#N/A</v>
      </c>
    </row>
    <row r="804" spans="1:7" hidden="1" x14ac:dyDescent="0.25">
      <c r="A804">
        <f>BIdetails!G807</f>
        <v>0</v>
      </c>
      <c r="B804">
        <f>BIdetails!H807</f>
        <v>0</v>
      </c>
      <c r="C804">
        <f>BIdetails!J807</f>
        <v>0</v>
      </c>
      <c r="D804">
        <f>BIdetails!K807</f>
        <v>0</v>
      </c>
      <c r="E804" s="165">
        <f>BIdetails!M807</f>
        <v>0</v>
      </c>
      <c r="F804" t="e">
        <f>IF(ISERROR(IF(OR(C804="#",C804=0),"",VLOOKUP(C804,'AOP25'!M:M,1,0))),"Not Found",VLOOKUP(C804,'AOP25'!M:M,1,0))</f>
        <v>#N/A</v>
      </c>
      <c r="G804" t="e">
        <f t="shared" si="12"/>
        <v>#N/A</v>
      </c>
    </row>
    <row r="805" spans="1:7" hidden="1" x14ac:dyDescent="0.25">
      <c r="A805">
        <f>BIdetails!G808</f>
        <v>0</v>
      </c>
      <c r="B805">
        <f>BIdetails!H808</f>
        <v>0</v>
      </c>
      <c r="C805">
        <f>BIdetails!J808</f>
        <v>0</v>
      </c>
      <c r="D805">
        <f>BIdetails!K808</f>
        <v>0</v>
      </c>
      <c r="E805" s="165">
        <f>BIdetails!M808</f>
        <v>0</v>
      </c>
      <c r="F805" t="e">
        <f>IF(ISERROR(IF(OR(C805="#",C805=0),"",VLOOKUP(C805,'AOP25'!M:M,1,0))),"Not Found",VLOOKUP(C805,'AOP25'!M:M,1,0))</f>
        <v>#N/A</v>
      </c>
      <c r="G805" t="e">
        <f t="shared" si="12"/>
        <v>#N/A</v>
      </c>
    </row>
    <row r="806" spans="1:7" hidden="1" x14ac:dyDescent="0.25">
      <c r="A806">
        <f>BIdetails!G809</f>
        <v>0</v>
      </c>
      <c r="B806">
        <f>BIdetails!H809</f>
        <v>0</v>
      </c>
      <c r="C806">
        <f>BIdetails!J809</f>
        <v>0</v>
      </c>
      <c r="D806">
        <f>BIdetails!K809</f>
        <v>0</v>
      </c>
      <c r="E806" s="165">
        <f>BIdetails!M809</f>
        <v>0</v>
      </c>
      <c r="F806" t="e">
        <f>IF(ISERROR(IF(OR(C806="#",C806=0),"",VLOOKUP(C806,'AOP25'!M:M,1,0))),"Not Found",VLOOKUP(C806,'AOP25'!M:M,1,0))</f>
        <v>#N/A</v>
      </c>
      <c r="G806" t="e">
        <f t="shared" si="12"/>
        <v>#N/A</v>
      </c>
    </row>
    <row r="807" spans="1:7" x14ac:dyDescent="0.25">
      <c r="A807">
        <f>BIdetails!G810</f>
        <v>0</v>
      </c>
      <c r="B807">
        <f>BIdetails!H810</f>
        <v>0</v>
      </c>
      <c r="C807">
        <f>BIdetails!J810</f>
        <v>0</v>
      </c>
      <c r="D807">
        <f>BIdetails!K810</f>
        <v>0</v>
      </c>
      <c r="E807" s="165">
        <f>BIdetails!M810</f>
        <v>0</v>
      </c>
      <c r="F807" t="e">
        <f>IF(ISERROR(IF(OR(C807="#",C807=0),"",VLOOKUP(C807,'AOP25'!M:M,1,0))),"Not Found",VLOOKUP(C807,'AOP25'!M:M,1,0))</f>
        <v>#N/A</v>
      </c>
      <c r="G807" t="e">
        <f t="shared" si="12"/>
        <v>#N/A</v>
      </c>
    </row>
    <row r="808" spans="1:7" x14ac:dyDescent="0.25">
      <c r="A808">
        <f>BIdetails!G811</f>
        <v>0</v>
      </c>
      <c r="B808">
        <f>BIdetails!H811</f>
        <v>0</v>
      </c>
      <c r="C808">
        <f>BIdetails!J811</f>
        <v>0</v>
      </c>
      <c r="D808">
        <f>BIdetails!K811</f>
        <v>0</v>
      </c>
      <c r="E808" s="165">
        <f>BIdetails!M811</f>
        <v>0</v>
      </c>
      <c r="F808" t="e">
        <f>IF(ISERROR(IF(OR(C808="#",C808=0),"",VLOOKUP(C808,'AOP25'!M:M,1,0))),"Not Found",VLOOKUP(C808,'AOP25'!M:M,1,0))</f>
        <v>#N/A</v>
      </c>
      <c r="G808" t="e">
        <f t="shared" si="12"/>
        <v>#N/A</v>
      </c>
    </row>
    <row r="809" spans="1:7" x14ac:dyDescent="0.25">
      <c r="A809">
        <f>BIdetails!G812</f>
        <v>0</v>
      </c>
      <c r="B809">
        <f>BIdetails!H812</f>
        <v>0</v>
      </c>
      <c r="C809">
        <f>BIdetails!J812</f>
        <v>0</v>
      </c>
      <c r="D809">
        <f>BIdetails!K812</f>
        <v>0</v>
      </c>
      <c r="E809" s="165">
        <f>BIdetails!M812</f>
        <v>0</v>
      </c>
      <c r="F809" t="e">
        <f>IF(ISERROR(IF(OR(C809="#",C809=0),"",VLOOKUP(C809,'AOP25'!M:M,1,0))),"Not Found",VLOOKUP(C809,'AOP25'!M:M,1,0))</f>
        <v>#N/A</v>
      </c>
      <c r="G809" t="e">
        <f t="shared" si="12"/>
        <v>#N/A</v>
      </c>
    </row>
    <row r="810" spans="1:7" x14ac:dyDescent="0.25">
      <c r="A810">
        <f>BIdetails!G813</f>
        <v>0</v>
      </c>
      <c r="B810">
        <f>BIdetails!H813</f>
        <v>0</v>
      </c>
      <c r="C810">
        <f>BIdetails!J813</f>
        <v>0</v>
      </c>
      <c r="D810">
        <f>BIdetails!K813</f>
        <v>0</v>
      </c>
      <c r="E810" s="165">
        <f>BIdetails!M813</f>
        <v>0</v>
      </c>
      <c r="F810" t="e">
        <f>IF(ISERROR(IF(OR(C810="#",C810=0),"",VLOOKUP(C810,'AOP25'!M:M,1,0))),"Not Found",VLOOKUP(C810,'AOP25'!M:M,1,0))</f>
        <v>#N/A</v>
      </c>
      <c r="G810" t="e">
        <f t="shared" si="12"/>
        <v>#N/A</v>
      </c>
    </row>
    <row r="811" spans="1:7" x14ac:dyDescent="0.25">
      <c r="A811">
        <f>BIdetails!G814</f>
        <v>0</v>
      </c>
      <c r="B811">
        <f>BIdetails!H814</f>
        <v>0</v>
      </c>
      <c r="C811">
        <f>BIdetails!J814</f>
        <v>0</v>
      </c>
      <c r="D811">
        <f>BIdetails!K814</f>
        <v>0</v>
      </c>
      <c r="E811" s="165">
        <f>BIdetails!M814</f>
        <v>0</v>
      </c>
      <c r="F811" t="e">
        <f>IF(ISERROR(IF(OR(C811="#",C811=0),"",VLOOKUP(C811,'AOP25'!M:M,1,0))),"Not Found",VLOOKUP(C811,'AOP25'!M:M,1,0))</f>
        <v>#N/A</v>
      </c>
      <c r="G811" t="e">
        <f t="shared" si="12"/>
        <v>#N/A</v>
      </c>
    </row>
    <row r="812" spans="1:7" x14ac:dyDescent="0.25">
      <c r="A812">
        <f>BIdetails!G815</f>
        <v>0</v>
      </c>
      <c r="B812">
        <f>BIdetails!H815</f>
        <v>0</v>
      </c>
      <c r="C812">
        <f>BIdetails!J815</f>
        <v>0</v>
      </c>
      <c r="D812">
        <f>BIdetails!K815</f>
        <v>0</v>
      </c>
      <c r="E812" s="165">
        <f>BIdetails!M815</f>
        <v>0</v>
      </c>
      <c r="F812" t="e">
        <f>IF(ISERROR(IF(OR(C812="#",C812=0),"",VLOOKUP(C812,'AOP25'!M:M,1,0))),"Not Found",VLOOKUP(C812,'AOP25'!M:M,1,0))</f>
        <v>#N/A</v>
      </c>
      <c r="G812" t="e">
        <f t="shared" si="12"/>
        <v>#N/A</v>
      </c>
    </row>
    <row r="813" spans="1:7" hidden="1" x14ac:dyDescent="0.25">
      <c r="A813">
        <f>BIdetails!G816</f>
        <v>0</v>
      </c>
      <c r="B813">
        <f>BIdetails!H816</f>
        <v>0</v>
      </c>
      <c r="C813">
        <f>BIdetails!J816</f>
        <v>0</v>
      </c>
      <c r="D813">
        <f>BIdetails!K816</f>
        <v>0</v>
      </c>
      <c r="E813" s="165">
        <f>BIdetails!M816</f>
        <v>0</v>
      </c>
      <c r="F813" t="e">
        <f>IF(ISERROR(IF(OR(C813="#",C813=0),"",VLOOKUP(C813,'AOP25'!M:M,1,0))),"Not Found",VLOOKUP(C813,'AOP25'!M:M,1,0))</f>
        <v>#N/A</v>
      </c>
      <c r="G813" t="e">
        <f t="shared" si="12"/>
        <v>#N/A</v>
      </c>
    </row>
    <row r="814" spans="1:7" hidden="1" x14ac:dyDescent="0.25">
      <c r="A814">
        <f>BIdetails!G817</f>
        <v>0</v>
      </c>
      <c r="B814">
        <f>BIdetails!H817</f>
        <v>0</v>
      </c>
      <c r="C814">
        <f>BIdetails!J817</f>
        <v>0</v>
      </c>
      <c r="D814">
        <f>BIdetails!K817</f>
        <v>0</v>
      </c>
      <c r="E814" s="165">
        <f>BIdetails!M817</f>
        <v>0</v>
      </c>
      <c r="F814" t="e">
        <f>IF(ISERROR(IF(OR(C814="#",C814=0),"",VLOOKUP(C814,'AOP25'!M:M,1,0))),"Not Found",VLOOKUP(C814,'AOP25'!M:M,1,0))</f>
        <v>#N/A</v>
      </c>
      <c r="G814" t="e">
        <f t="shared" si="12"/>
        <v>#N/A</v>
      </c>
    </row>
    <row r="815" spans="1:7" hidden="1" x14ac:dyDescent="0.25">
      <c r="A815">
        <f>BIdetails!G818</f>
        <v>0</v>
      </c>
      <c r="B815">
        <f>BIdetails!H818</f>
        <v>0</v>
      </c>
      <c r="C815">
        <f>BIdetails!J818</f>
        <v>0</v>
      </c>
      <c r="D815">
        <f>BIdetails!K818</f>
        <v>0</v>
      </c>
      <c r="E815" s="165">
        <f>BIdetails!M818</f>
        <v>0</v>
      </c>
      <c r="F815" t="e">
        <f>IF(ISERROR(IF(OR(C815="#",C815=0),"",VLOOKUP(C815,'AOP25'!M:M,1,0))),"Not Found",VLOOKUP(C815,'AOP25'!M:M,1,0))</f>
        <v>#N/A</v>
      </c>
      <c r="G815" t="e">
        <f t="shared" si="12"/>
        <v>#N/A</v>
      </c>
    </row>
    <row r="816" spans="1:7" hidden="1" x14ac:dyDescent="0.25">
      <c r="A816">
        <f>BIdetails!G819</f>
        <v>0</v>
      </c>
      <c r="B816">
        <f>BIdetails!H819</f>
        <v>0</v>
      </c>
      <c r="C816">
        <f>BIdetails!J819</f>
        <v>0</v>
      </c>
      <c r="D816">
        <f>BIdetails!K819</f>
        <v>0</v>
      </c>
      <c r="E816" s="165">
        <f>BIdetails!M819</f>
        <v>0</v>
      </c>
      <c r="F816" t="e">
        <f>IF(ISERROR(IF(OR(C816="#",C816=0),"",VLOOKUP(C816,'AOP25'!M:M,1,0))),"Not Found",VLOOKUP(C816,'AOP25'!M:M,1,0))</f>
        <v>#N/A</v>
      </c>
      <c r="G816" t="e">
        <f t="shared" si="12"/>
        <v>#N/A</v>
      </c>
    </row>
    <row r="817" spans="1:7" hidden="1" x14ac:dyDescent="0.25">
      <c r="A817">
        <f>BIdetails!G820</f>
        <v>0</v>
      </c>
      <c r="B817">
        <f>BIdetails!H820</f>
        <v>0</v>
      </c>
      <c r="C817">
        <f>BIdetails!J820</f>
        <v>0</v>
      </c>
      <c r="D817">
        <f>BIdetails!K820</f>
        <v>0</v>
      </c>
      <c r="E817" s="165">
        <f>BIdetails!M820</f>
        <v>0</v>
      </c>
      <c r="F817" t="e">
        <f>IF(ISERROR(IF(OR(C817="#",C817=0),"",VLOOKUP(C817,'AOP25'!M:M,1,0))),"Not Found",VLOOKUP(C817,'AOP25'!M:M,1,0))</f>
        <v>#N/A</v>
      </c>
      <c r="G817" t="e">
        <f t="shared" si="12"/>
        <v>#N/A</v>
      </c>
    </row>
    <row r="818" spans="1:7" hidden="1" x14ac:dyDescent="0.25">
      <c r="A818">
        <f>BIdetails!G821</f>
        <v>0</v>
      </c>
      <c r="B818">
        <f>BIdetails!H821</f>
        <v>0</v>
      </c>
      <c r="C818">
        <f>BIdetails!J821</f>
        <v>0</v>
      </c>
      <c r="D818">
        <f>BIdetails!K821</f>
        <v>0</v>
      </c>
      <c r="E818" s="165">
        <f>BIdetails!M821</f>
        <v>0</v>
      </c>
      <c r="F818" t="e">
        <f>IF(ISERROR(IF(OR(C818="#",C818=0),"",VLOOKUP(C818,'AOP25'!M:M,1,0))),"Not Found",VLOOKUP(C818,'AOP25'!M:M,1,0))</f>
        <v>#N/A</v>
      </c>
      <c r="G818" t="e">
        <f t="shared" si="12"/>
        <v>#N/A</v>
      </c>
    </row>
    <row r="819" spans="1:7" hidden="1" x14ac:dyDescent="0.25">
      <c r="A819">
        <f>BIdetails!G822</f>
        <v>0</v>
      </c>
      <c r="B819">
        <f>BIdetails!H822</f>
        <v>0</v>
      </c>
      <c r="C819">
        <f>BIdetails!J822</f>
        <v>0</v>
      </c>
      <c r="D819">
        <f>BIdetails!K822</f>
        <v>0</v>
      </c>
      <c r="E819" s="165">
        <f>BIdetails!M822</f>
        <v>0</v>
      </c>
      <c r="F819" t="e">
        <f>IF(ISERROR(IF(OR(C819="#",C819=0),"",VLOOKUP(C819,'AOP25'!M:M,1,0))),"Not Found",VLOOKUP(C819,'AOP25'!M:M,1,0))</f>
        <v>#N/A</v>
      </c>
      <c r="G819" t="e">
        <f t="shared" si="12"/>
        <v>#N/A</v>
      </c>
    </row>
    <row r="820" spans="1:7" hidden="1" x14ac:dyDescent="0.25">
      <c r="A820">
        <f>BIdetails!G823</f>
        <v>0</v>
      </c>
      <c r="B820">
        <f>BIdetails!H823</f>
        <v>0</v>
      </c>
      <c r="C820">
        <f>BIdetails!J823</f>
        <v>0</v>
      </c>
      <c r="D820">
        <f>BIdetails!K823</f>
        <v>0</v>
      </c>
      <c r="E820" s="165">
        <f>BIdetails!M823</f>
        <v>0</v>
      </c>
      <c r="F820" t="e">
        <f>IF(ISERROR(IF(OR(C820="#",C820=0),"",VLOOKUP(C820,'AOP25'!M:M,1,0))),"Not Found",VLOOKUP(C820,'AOP25'!M:M,1,0))</f>
        <v>#N/A</v>
      </c>
      <c r="G820" t="e">
        <f t="shared" si="12"/>
        <v>#N/A</v>
      </c>
    </row>
    <row r="821" spans="1:7" hidden="1" x14ac:dyDescent="0.25">
      <c r="A821">
        <f>BIdetails!G824</f>
        <v>0</v>
      </c>
      <c r="B821">
        <f>BIdetails!H824</f>
        <v>0</v>
      </c>
      <c r="C821">
        <f>BIdetails!J824</f>
        <v>0</v>
      </c>
      <c r="D821">
        <f>BIdetails!K824</f>
        <v>0</v>
      </c>
      <c r="E821" s="165">
        <f>BIdetails!M824</f>
        <v>0</v>
      </c>
      <c r="F821" t="e">
        <f>IF(ISERROR(IF(OR(C821="#",C821=0),"",VLOOKUP(C821,'AOP25'!M:M,1,0))),"Not Found",VLOOKUP(C821,'AOP25'!M:M,1,0))</f>
        <v>#N/A</v>
      </c>
      <c r="G821" t="e">
        <f t="shared" si="12"/>
        <v>#N/A</v>
      </c>
    </row>
    <row r="822" spans="1:7" hidden="1" x14ac:dyDescent="0.25">
      <c r="A822">
        <f>BIdetails!G825</f>
        <v>0</v>
      </c>
      <c r="B822">
        <f>BIdetails!H825</f>
        <v>0</v>
      </c>
      <c r="C822">
        <f>BIdetails!J825</f>
        <v>0</v>
      </c>
      <c r="D822">
        <f>BIdetails!K825</f>
        <v>0</v>
      </c>
      <c r="E822" s="165">
        <f>BIdetails!M825</f>
        <v>0</v>
      </c>
      <c r="F822" t="e">
        <f>IF(ISERROR(IF(OR(C822="#",C822=0),"",VLOOKUP(C822,'AOP25'!M:M,1,0))),"Not Found",VLOOKUP(C822,'AOP25'!M:M,1,0))</f>
        <v>#N/A</v>
      </c>
      <c r="G822" t="e">
        <f t="shared" si="12"/>
        <v>#N/A</v>
      </c>
    </row>
    <row r="823" spans="1:7" hidden="1" x14ac:dyDescent="0.25">
      <c r="A823">
        <f>BIdetails!G826</f>
        <v>0</v>
      </c>
      <c r="B823">
        <f>BIdetails!H826</f>
        <v>0</v>
      </c>
      <c r="C823">
        <f>BIdetails!J826</f>
        <v>0</v>
      </c>
      <c r="D823">
        <f>BIdetails!K826</f>
        <v>0</v>
      </c>
      <c r="E823" s="165">
        <f>BIdetails!M826</f>
        <v>0</v>
      </c>
      <c r="F823" t="e">
        <f>IF(ISERROR(IF(OR(C823="#",C823=0),"",VLOOKUP(C823,'AOP25'!M:M,1,0))),"Not Found",VLOOKUP(C823,'AOP25'!M:M,1,0))</f>
        <v>#N/A</v>
      </c>
      <c r="G823" t="e">
        <f t="shared" si="12"/>
        <v>#N/A</v>
      </c>
    </row>
    <row r="824" spans="1:7" hidden="1" x14ac:dyDescent="0.25">
      <c r="A824">
        <f>BIdetails!G827</f>
        <v>0</v>
      </c>
      <c r="B824">
        <f>BIdetails!H827</f>
        <v>0</v>
      </c>
      <c r="C824">
        <f>BIdetails!J827</f>
        <v>0</v>
      </c>
      <c r="D824">
        <f>BIdetails!K827</f>
        <v>0</v>
      </c>
      <c r="E824" s="165">
        <f>BIdetails!M827</f>
        <v>0</v>
      </c>
      <c r="F824" t="e">
        <f>IF(ISERROR(IF(OR(C824="#",C824=0),"",VLOOKUP(C824,'AOP25'!M:M,1,0))),"Not Found",VLOOKUP(C824,'AOP25'!M:M,1,0))</f>
        <v>#N/A</v>
      </c>
      <c r="G824" t="e">
        <f t="shared" si="12"/>
        <v>#N/A</v>
      </c>
    </row>
    <row r="825" spans="1:7" hidden="1" x14ac:dyDescent="0.25">
      <c r="A825">
        <f>BIdetails!G828</f>
        <v>0</v>
      </c>
      <c r="B825">
        <f>BIdetails!H828</f>
        <v>0</v>
      </c>
      <c r="C825">
        <f>BIdetails!J828</f>
        <v>0</v>
      </c>
      <c r="D825">
        <f>BIdetails!K828</f>
        <v>0</v>
      </c>
      <c r="E825" s="165">
        <f>BIdetails!M828</f>
        <v>0</v>
      </c>
      <c r="F825" t="e">
        <f>IF(ISERROR(IF(OR(C825="#",C825=0),"",VLOOKUP(C825,'AOP25'!M:M,1,0))),"Not Found",VLOOKUP(C825,'AOP25'!M:M,1,0))</f>
        <v>#N/A</v>
      </c>
      <c r="G825" t="e">
        <f t="shared" si="12"/>
        <v>#N/A</v>
      </c>
    </row>
    <row r="826" spans="1:7" hidden="1" x14ac:dyDescent="0.25">
      <c r="A826">
        <f>BIdetails!G829</f>
        <v>0</v>
      </c>
      <c r="B826">
        <f>BIdetails!H829</f>
        <v>0</v>
      </c>
      <c r="C826">
        <f>BIdetails!J829</f>
        <v>0</v>
      </c>
      <c r="D826">
        <f>BIdetails!K829</f>
        <v>0</v>
      </c>
      <c r="E826" s="165">
        <f>BIdetails!M829</f>
        <v>0</v>
      </c>
      <c r="F826" t="e">
        <f>IF(ISERROR(IF(OR(C826="#",C826=0),"",VLOOKUP(C826,'AOP25'!M:M,1,0))),"Not Found",VLOOKUP(C826,'AOP25'!M:M,1,0))</f>
        <v>#N/A</v>
      </c>
      <c r="G826" t="e">
        <f t="shared" ref="G826:G889" si="13">IF(NOT(ISERROR(VLOOKUP(C826,$K$2:$K$50,1,0))),"Y",VLOOKUP(C826,$K$2:$K$50,1,0))</f>
        <v>#N/A</v>
      </c>
    </row>
    <row r="827" spans="1:7" hidden="1" x14ac:dyDescent="0.25">
      <c r="A827">
        <f>BIdetails!G830</f>
        <v>0</v>
      </c>
      <c r="B827">
        <f>BIdetails!H830</f>
        <v>0</v>
      </c>
      <c r="C827">
        <f>BIdetails!J830</f>
        <v>0</v>
      </c>
      <c r="D827">
        <f>BIdetails!K830</f>
        <v>0</v>
      </c>
      <c r="E827" s="165">
        <f>BIdetails!M830</f>
        <v>0</v>
      </c>
      <c r="F827" t="e">
        <f>IF(ISERROR(IF(OR(C827="#",C827=0),"",VLOOKUP(C827,'AOP25'!M:M,1,0))),"Not Found",VLOOKUP(C827,'AOP25'!M:M,1,0))</f>
        <v>#N/A</v>
      </c>
      <c r="G827" t="e">
        <f t="shared" si="13"/>
        <v>#N/A</v>
      </c>
    </row>
    <row r="828" spans="1:7" hidden="1" x14ac:dyDescent="0.25">
      <c r="A828">
        <f>BIdetails!G831</f>
        <v>0</v>
      </c>
      <c r="B828">
        <f>BIdetails!H831</f>
        <v>0</v>
      </c>
      <c r="C828">
        <f>BIdetails!J831</f>
        <v>0</v>
      </c>
      <c r="D828">
        <f>BIdetails!K831</f>
        <v>0</v>
      </c>
      <c r="E828" s="165">
        <f>BIdetails!M831</f>
        <v>0</v>
      </c>
      <c r="F828" t="e">
        <f>IF(ISERROR(IF(OR(C828="#",C828=0),"",VLOOKUP(C828,'AOP25'!M:M,1,0))),"Not Found",VLOOKUP(C828,'AOP25'!M:M,1,0))</f>
        <v>#N/A</v>
      </c>
      <c r="G828" t="e">
        <f t="shared" si="13"/>
        <v>#N/A</v>
      </c>
    </row>
    <row r="829" spans="1:7" hidden="1" x14ac:dyDescent="0.25">
      <c r="A829">
        <f>BIdetails!G832</f>
        <v>0</v>
      </c>
      <c r="B829">
        <f>BIdetails!H832</f>
        <v>0</v>
      </c>
      <c r="C829">
        <f>BIdetails!J832</f>
        <v>0</v>
      </c>
      <c r="D829">
        <f>BIdetails!K832</f>
        <v>0</v>
      </c>
      <c r="E829" s="165">
        <f>BIdetails!M832</f>
        <v>0</v>
      </c>
      <c r="F829" t="e">
        <f>IF(ISERROR(IF(OR(C829="#",C829=0),"",VLOOKUP(C829,'AOP25'!M:M,1,0))),"Not Found",VLOOKUP(C829,'AOP25'!M:M,1,0))</f>
        <v>#N/A</v>
      </c>
      <c r="G829" t="e">
        <f t="shared" si="13"/>
        <v>#N/A</v>
      </c>
    </row>
    <row r="830" spans="1:7" hidden="1" x14ac:dyDescent="0.25">
      <c r="A830">
        <f>BIdetails!G833</f>
        <v>0</v>
      </c>
      <c r="B830">
        <f>BIdetails!H833</f>
        <v>0</v>
      </c>
      <c r="C830">
        <f>BIdetails!J833</f>
        <v>0</v>
      </c>
      <c r="D830">
        <f>BIdetails!K833</f>
        <v>0</v>
      </c>
      <c r="E830" s="165">
        <f>BIdetails!M833</f>
        <v>0</v>
      </c>
      <c r="F830" t="e">
        <f>IF(ISERROR(IF(OR(C830="#",C830=0),"",VLOOKUP(C830,'AOP25'!M:M,1,0))),"Not Found",VLOOKUP(C830,'AOP25'!M:M,1,0))</f>
        <v>#N/A</v>
      </c>
      <c r="G830" t="e">
        <f t="shared" si="13"/>
        <v>#N/A</v>
      </c>
    </row>
    <row r="831" spans="1:7" hidden="1" x14ac:dyDescent="0.25">
      <c r="A831">
        <f>BIdetails!G834</f>
        <v>0</v>
      </c>
      <c r="B831">
        <f>BIdetails!H834</f>
        <v>0</v>
      </c>
      <c r="C831">
        <f>BIdetails!J834</f>
        <v>0</v>
      </c>
      <c r="D831">
        <f>BIdetails!K834</f>
        <v>0</v>
      </c>
      <c r="E831" s="165">
        <f>BIdetails!M834</f>
        <v>0</v>
      </c>
      <c r="F831" t="e">
        <f>IF(ISERROR(IF(OR(C831="#",C831=0),"",VLOOKUP(C831,'AOP25'!M:M,1,0))),"Not Found",VLOOKUP(C831,'AOP25'!M:M,1,0))</f>
        <v>#N/A</v>
      </c>
      <c r="G831" t="e">
        <f t="shared" si="13"/>
        <v>#N/A</v>
      </c>
    </row>
    <row r="832" spans="1:7" hidden="1" x14ac:dyDescent="0.25">
      <c r="A832">
        <f>BIdetails!G835</f>
        <v>0</v>
      </c>
      <c r="B832">
        <f>BIdetails!H835</f>
        <v>0</v>
      </c>
      <c r="C832">
        <f>BIdetails!J835</f>
        <v>0</v>
      </c>
      <c r="D832">
        <f>BIdetails!K835</f>
        <v>0</v>
      </c>
      <c r="E832" s="165">
        <f>BIdetails!M835</f>
        <v>0</v>
      </c>
      <c r="F832" t="e">
        <f>IF(ISERROR(IF(OR(C832="#",C832=0),"",VLOOKUP(C832,'AOP25'!M:M,1,0))),"Not Found",VLOOKUP(C832,'AOP25'!M:M,1,0))</f>
        <v>#N/A</v>
      </c>
      <c r="G832" t="e">
        <f t="shared" si="13"/>
        <v>#N/A</v>
      </c>
    </row>
    <row r="833" spans="1:7" hidden="1" x14ac:dyDescent="0.25">
      <c r="A833">
        <f>BIdetails!G836</f>
        <v>0</v>
      </c>
      <c r="B833">
        <f>BIdetails!H836</f>
        <v>0</v>
      </c>
      <c r="C833">
        <f>BIdetails!J836</f>
        <v>0</v>
      </c>
      <c r="D833">
        <f>BIdetails!K836</f>
        <v>0</v>
      </c>
      <c r="E833" s="165">
        <f>BIdetails!M836</f>
        <v>0</v>
      </c>
      <c r="F833" t="e">
        <f>IF(ISERROR(IF(OR(C833="#",C833=0),"",VLOOKUP(C833,'AOP25'!M:M,1,0))),"Not Found",VLOOKUP(C833,'AOP25'!M:M,1,0))</f>
        <v>#N/A</v>
      </c>
      <c r="G833" t="e">
        <f t="shared" si="13"/>
        <v>#N/A</v>
      </c>
    </row>
    <row r="834" spans="1:7" hidden="1" x14ac:dyDescent="0.25">
      <c r="A834">
        <f>BIdetails!G837</f>
        <v>0</v>
      </c>
      <c r="B834">
        <f>BIdetails!H837</f>
        <v>0</v>
      </c>
      <c r="C834">
        <f>BIdetails!J837</f>
        <v>0</v>
      </c>
      <c r="D834">
        <f>BIdetails!K837</f>
        <v>0</v>
      </c>
      <c r="E834" s="165">
        <f>BIdetails!M837</f>
        <v>0</v>
      </c>
      <c r="F834" t="e">
        <f>IF(ISERROR(IF(OR(C834="#",C834=0),"",VLOOKUP(C834,'AOP25'!M:M,1,0))),"Not Found",VLOOKUP(C834,'AOP25'!M:M,1,0))</f>
        <v>#N/A</v>
      </c>
      <c r="G834" t="e">
        <f t="shared" si="13"/>
        <v>#N/A</v>
      </c>
    </row>
    <row r="835" spans="1:7" hidden="1" x14ac:dyDescent="0.25">
      <c r="A835">
        <f>BIdetails!G838</f>
        <v>0</v>
      </c>
      <c r="B835">
        <f>BIdetails!H838</f>
        <v>0</v>
      </c>
      <c r="C835">
        <f>BIdetails!J838</f>
        <v>0</v>
      </c>
      <c r="D835">
        <f>BIdetails!K838</f>
        <v>0</v>
      </c>
      <c r="E835" s="165">
        <f>BIdetails!M838</f>
        <v>0</v>
      </c>
      <c r="F835" t="e">
        <f>IF(ISERROR(IF(OR(C835="#",C835=0),"",VLOOKUP(C835,'AOP25'!M:M,1,0))),"Not Found",VLOOKUP(C835,'AOP25'!M:M,1,0))</f>
        <v>#N/A</v>
      </c>
      <c r="G835" t="e">
        <f t="shared" si="13"/>
        <v>#N/A</v>
      </c>
    </row>
    <row r="836" spans="1:7" hidden="1" x14ac:dyDescent="0.25">
      <c r="A836">
        <f>BIdetails!G839</f>
        <v>0</v>
      </c>
      <c r="B836">
        <f>BIdetails!H839</f>
        <v>0</v>
      </c>
      <c r="C836">
        <f>BIdetails!J839</f>
        <v>0</v>
      </c>
      <c r="D836">
        <f>BIdetails!K839</f>
        <v>0</v>
      </c>
      <c r="E836" s="165">
        <f>BIdetails!M839</f>
        <v>0</v>
      </c>
      <c r="F836" t="e">
        <f>IF(ISERROR(IF(OR(C836="#",C836=0),"",VLOOKUP(C836,'AOP25'!M:M,1,0))),"Not Found",VLOOKUP(C836,'AOP25'!M:M,1,0))</f>
        <v>#N/A</v>
      </c>
      <c r="G836" t="e">
        <f t="shared" si="13"/>
        <v>#N/A</v>
      </c>
    </row>
    <row r="837" spans="1:7" hidden="1" x14ac:dyDescent="0.25">
      <c r="A837">
        <f>BIdetails!G840</f>
        <v>0</v>
      </c>
      <c r="B837">
        <f>BIdetails!H840</f>
        <v>0</v>
      </c>
      <c r="C837">
        <f>BIdetails!J840</f>
        <v>0</v>
      </c>
      <c r="D837">
        <f>BIdetails!K840</f>
        <v>0</v>
      </c>
      <c r="E837" s="165">
        <f>BIdetails!M840</f>
        <v>0</v>
      </c>
      <c r="F837" t="e">
        <f>IF(ISERROR(IF(OR(C837="#",C837=0),"",VLOOKUP(C837,'AOP25'!M:M,1,0))),"Not Found",VLOOKUP(C837,'AOP25'!M:M,1,0))</f>
        <v>#N/A</v>
      </c>
      <c r="G837" t="e">
        <f t="shared" si="13"/>
        <v>#N/A</v>
      </c>
    </row>
    <row r="838" spans="1:7" hidden="1" x14ac:dyDescent="0.25">
      <c r="A838">
        <f>BIdetails!G841</f>
        <v>0</v>
      </c>
      <c r="B838">
        <f>BIdetails!H841</f>
        <v>0</v>
      </c>
      <c r="C838">
        <f>BIdetails!J841</f>
        <v>0</v>
      </c>
      <c r="D838">
        <f>BIdetails!K841</f>
        <v>0</v>
      </c>
      <c r="E838" s="165">
        <f>BIdetails!M841</f>
        <v>0</v>
      </c>
      <c r="F838" t="e">
        <f>IF(ISERROR(IF(OR(C838="#",C838=0),"",VLOOKUP(C838,'AOP25'!M:M,1,0))),"Not Found",VLOOKUP(C838,'AOP25'!M:M,1,0))</f>
        <v>#N/A</v>
      </c>
      <c r="G838" t="e">
        <f t="shared" si="13"/>
        <v>#N/A</v>
      </c>
    </row>
    <row r="839" spans="1:7" hidden="1" x14ac:dyDescent="0.25">
      <c r="A839">
        <f>BIdetails!G842</f>
        <v>0</v>
      </c>
      <c r="B839">
        <f>BIdetails!H842</f>
        <v>0</v>
      </c>
      <c r="C839">
        <f>BIdetails!J842</f>
        <v>0</v>
      </c>
      <c r="D839">
        <f>BIdetails!K842</f>
        <v>0</v>
      </c>
      <c r="E839" s="165">
        <f>BIdetails!M842</f>
        <v>0</v>
      </c>
      <c r="F839" t="e">
        <f>IF(ISERROR(IF(OR(C839="#",C839=0),"",VLOOKUP(C839,'AOP25'!M:M,1,0))),"Not Found",VLOOKUP(C839,'AOP25'!M:M,1,0))</f>
        <v>#N/A</v>
      </c>
      <c r="G839" t="e">
        <f t="shared" si="13"/>
        <v>#N/A</v>
      </c>
    </row>
    <row r="840" spans="1:7" hidden="1" x14ac:dyDescent="0.25">
      <c r="A840">
        <f>BIdetails!G843</f>
        <v>0</v>
      </c>
      <c r="B840">
        <f>BIdetails!H843</f>
        <v>0</v>
      </c>
      <c r="C840">
        <f>BIdetails!J843</f>
        <v>0</v>
      </c>
      <c r="D840">
        <f>BIdetails!K843</f>
        <v>0</v>
      </c>
      <c r="E840" s="165">
        <f>BIdetails!M843</f>
        <v>0</v>
      </c>
      <c r="F840" t="e">
        <f>IF(ISERROR(IF(OR(C840="#",C840=0),"",VLOOKUP(C840,'AOP25'!M:M,1,0))),"Not Found",VLOOKUP(C840,'AOP25'!M:M,1,0))</f>
        <v>#N/A</v>
      </c>
      <c r="G840" t="e">
        <f t="shared" si="13"/>
        <v>#N/A</v>
      </c>
    </row>
    <row r="841" spans="1:7" hidden="1" x14ac:dyDescent="0.25">
      <c r="A841">
        <f>BIdetails!G844</f>
        <v>0</v>
      </c>
      <c r="B841">
        <f>BIdetails!H844</f>
        <v>0</v>
      </c>
      <c r="C841">
        <f>BIdetails!J844</f>
        <v>0</v>
      </c>
      <c r="D841">
        <f>BIdetails!K844</f>
        <v>0</v>
      </c>
      <c r="E841" s="165">
        <f>BIdetails!M844</f>
        <v>0</v>
      </c>
      <c r="F841" t="e">
        <f>IF(ISERROR(IF(OR(C841="#",C841=0),"",VLOOKUP(C841,'AOP25'!M:M,1,0))),"Not Found",VLOOKUP(C841,'AOP25'!M:M,1,0))</f>
        <v>#N/A</v>
      </c>
      <c r="G841" t="e">
        <f t="shared" si="13"/>
        <v>#N/A</v>
      </c>
    </row>
    <row r="842" spans="1:7" hidden="1" x14ac:dyDescent="0.25">
      <c r="A842">
        <f>BIdetails!G845</f>
        <v>0</v>
      </c>
      <c r="B842">
        <f>BIdetails!H845</f>
        <v>0</v>
      </c>
      <c r="C842">
        <f>BIdetails!J845</f>
        <v>0</v>
      </c>
      <c r="D842">
        <f>BIdetails!K845</f>
        <v>0</v>
      </c>
      <c r="E842" s="165">
        <f>BIdetails!M845</f>
        <v>0</v>
      </c>
      <c r="F842" t="e">
        <f>IF(ISERROR(IF(OR(C842="#",C842=0),"",VLOOKUP(C842,'AOP25'!M:M,1,0))),"Not Found",VLOOKUP(C842,'AOP25'!M:M,1,0))</f>
        <v>#N/A</v>
      </c>
      <c r="G842" t="e">
        <f t="shared" si="13"/>
        <v>#N/A</v>
      </c>
    </row>
    <row r="843" spans="1:7" hidden="1" x14ac:dyDescent="0.25">
      <c r="A843">
        <f>BIdetails!G846</f>
        <v>0</v>
      </c>
      <c r="B843">
        <f>BIdetails!H846</f>
        <v>0</v>
      </c>
      <c r="C843">
        <f>BIdetails!J846</f>
        <v>0</v>
      </c>
      <c r="D843">
        <f>BIdetails!K846</f>
        <v>0</v>
      </c>
      <c r="E843" s="165">
        <f>BIdetails!M846</f>
        <v>0</v>
      </c>
      <c r="F843" t="e">
        <f>IF(ISERROR(IF(OR(C843="#",C843=0),"",VLOOKUP(C843,'AOP25'!M:M,1,0))),"Not Found",VLOOKUP(C843,'AOP25'!M:M,1,0))</f>
        <v>#N/A</v>
      </c>
      <c r="G843" t="e">
        <f t="shared" si="13"/>
        <v>#N/A</v>
      </c>
    </row>
    <row r="844" spans="1:7" hidden="1" x14ac:dyDescent="0.25">
      <c r="A844">
        <f>BIdetails!G847</f>
        <v>0</v>
      </c>
      <c r="B844">
        <f>BIdetails!H847</f>
        <v>0</v>
      </c>
      <c r="C844">
        <f>BIdetails!J847</f>
        <v>0</v>
      </c>
      <c r="D844">
        <f>BIdetails!K847</f>
        <v>0</v>
      </c>
      <c r="E844" s="165">
        <f>BIdetails!M847</f>
        <v>0</v>
      </c>
      <c r="F844" t="e">
        <f>IF(ISERROR(IF(OR(C844="#",C844=0),"",VLOOKUP(C844,'AOP25'!M:M,1,0))),"Not Found",VLOOKUP(C844,'AOP25'!M:M,1,0))</f>
        <v>#N/A</v>
      </c>
      <c r="G844" t="e">
        <f t="shared" si="13"/>
        <v>#N/A</v>
      </c>
    </row>
    <row r="845" spans="1:7" hidden="1" x14ac:dyDescent="0.25">
      <c r="A845">
        <f>BIdetails!G848</f>
        <v>0</v>
      </c>
      <c r="B845">
        <f>BIdetails!H848</f>
        <v>0</v>
      </c>
      <c r="C845">
        <f>BIdetails!J848</f>
        <v>0</v>
      </c>
      <c r="D845">
        <f>BIdetails!K848</f>
        <v>0</v>
      </c>
      <c r="E845" s="165">
        <f>BIdetails!M848</f>
        <v>0</v>
      </c>
      <c r="F845" t="e">
        <f>IF(ISERROR(IF(OR(C845="#",C845=0),"",VLOOKUP(C845,'AOP25'!M:M,1,0))),"Not Found",VLOOKUP(C845,'AOP25'!M:M,1,0))</f>
        <v>#N/A</v>
      </c>
      <c r="G845" t="e">
        <f t="shared" si="13"/>
        <v>#N/A</v>
      </c>
    </row>
    <row r="846" spans="1:7" hidden="1" x14ac:dyDescent="0.25">
      <c r="A846">
        <f>BIdetails!G849</f>
        <v>0</v>
      </c>
      <c r="B846">
        <f>BIdetails!H849</f>
        <v>0</v>
      </c>
      <c r="C846">
        <f>BIdetails!J849</f>
        <v>0</v>
      </c>
      <c r="D846">
        <f>BIdetails!K849</f>
        <v>0</v>
      </c>
      <c r="E846" s="165">
        <f>BIdetails!M849</f>
        <v>0</v>
      </c>
      <c r="F846" t="e">
        <f>IF(ISERROR(IF(OR(C846="#",C846=0),"",VLOOKUP(C846,'AOP25'!M:M,1,0))),"Not Found",VLOOKUP(C846,'AOP25'!M:M,1,0))</f>
        <v>#N/A</v>
      </c>
      <c r="G846" t="e">
        <f t="shared" si="13"/>
        <v>#N/A</v>
      </c>
    </row>
    <row r="847" spans="1:7" hidden="1" x14ac:dyDescent="0.25">
      <c r="A847">
        <f>BIdetails!G850</f>
        <v>0</v>
      </c>
      <c r="B847">
        <f>BIdetails!H850</f>
        <v>0</v>
      </c>
      <c r="C847">
        <f>BIdetails!J850</f>
        <v>0</v>
      </c>
      <c r="D847">
        <f>BIdetails!K850</f>
        <v>0</v>
      </c>
      <c r="E847" s="165">
        <f>BIdetails!M850</f>
        <v>0</v>
      </c>
      <c r="F847" t="e">
        <f>IF(ISERROR(IF(OR(C847="#",C847=0),"",VLOOKUP(C847,'AOP25'!M:M,1,0))),"Not Found",VLOOKUP(C847,'AOP25'!M:M,1,0))</f>
        <v>#N/A</v>
      </c>
      <c r="G847" t="e">
        <f t="shared" si="13"/>
        <v>#N/A</v>
      </c>
    </row>
    <row r="848" spans="1:7" hidden="1" x14ac:dyDescent="0.25">
      <c r="A848">
        <f>BIdetails!G851</f>
        <v>0</v>
      </c>
      <c r="B848">
        <f>BIdetails!H851</f>
        <v>0</v>
      </c>
      <c r="C848">
        <f>BIdetails!J851</f>
        <v>0</v>
      </c>
      <c r="D848">
        <f>BIdetails!K851</f>
        <v>0</v>
      </c>
      <c r="E848" s="165">
        <f>BIdetails!M851</f>
        <v>0</v>
      </c>
      <c r="F848" t="e">
        <f>IF(ISERROR(IF(OR(C848="#",C848=0),"",VLOOKUP(C848,'AOP25'!M:M,1,0))),"Not Found",VLOOKUP(C848,'AOP25'!M:M,1,0))</f>
        <v>#N/A</v>
      </c>
      <c r="G848" t="e">
        <f t="shared" si="13"/>
        <v>#N/A</v>
      </c>
    </row>
    <row r="849" spans="1:7" hidden="1" x14ac:dyDescent="0.25">
      <c r="A849">
        <f>BIdetails!G852</f>
        <v>0</v>
      </c>
      <c r="B849">
        <f>BIdetails!H852</f>
        <v>0</v>
      </c>
      <c r="C849">
        <f>BIdetails!J852</f>
        <v>0</v>
      </c>
      <c r="D849">
        <f>BIdetails!K852</f>
        <v>0</v>
      </c>
      <c r="E849" s="165">
        <f>BIdetails!M852</f>
        <v>0</v>
      </c>
      <c r="F849" t="e">
        <f>IF(ISERROR(IF(OR(C849="#",C849=0),"",VLOOKUP(C849,'AOP25'!M:M,1,0))),"Not Found",VLOOKUP(C849,'AOP25'!M:M,1,0))</f>
        <v>#N/A</v>
      </c>
      <c r="G849" t="e">
        <f t="shared" si="13"/>
        <v>#N/A</v>
      </c>
    </row>
    <row r="850" spans="1:7" hidden="1" x14ac:dyDescent="0.25">
      <c r="A850">
        <f>BIdetails!G853</f>
        <v>0</v>
      </c>
      <c r="B850">
        <f>BIdetails!H853</f>
        <v>0</v>
      </c>
      <c r="C850">
        <f>BIdetails!J853</f>
        <v>0</v>
      </c>
      <c r="D850">
        <f>BIdetails!K853</f>
        <v>0</v>
      </c>
      <c r="E850" s="165">
        <f>BIdetails!M853</f>
        <v>0</v>
      </c>
      <c r="F850" t="e">
        <f>IF(ISERROR(IF(OR(C850="#",C850=0),"",VLOOKUP(C850,'AOP25'!M:M,1,0))),"Not Found",VLOOKUP(C850,'AOP25'!M:M,1,0))</f>
        <v>#N/A</v>
      </c>
      <c r="G850" t="e">
        <f t="shared" si="13"/>
        <v>#N/A</v>
      </c>
    </row>
    <row r="851" spans="1:7" hidden="1" x14ac:dyDescent="0.25">
      <c r="A851">
        <f>BIdetails!G854</f>
        <v>0</v>
      </c>
      <c r="B851">
        <f>BIdetails!H854</f>
        <v>0</v>
      </c>
      <c r="C851">
        <f>BIdetails!J854</f>
        <v>0</v>
      </c>
      <c r="D851">
        <f>BIdetails!K854</f>
        <v>0</v>
      </c>
      <c r="E851" s="165">
        <f>BIdetails!M854</f>
        <v>0</v>
      </c>
      <c r="F851" t="e">
        <f>IF(ISERROR(IF(OR(C851="#",C851=0),"",VLOOKUP(C851,'AOP25'!M:M,1,0))),"Not Found",VLOOKUP(C851,'AOP25'!M:M,1,0))</f>
        <v>#N/A</v>
      </c>
      <c r="G851" t="e">
        <f t="shared" si="13"/>
        <v>#N/A</v>
      </c>
    </row>
    <row r="852" spans="1:7" hidden="1" x14ac:dyDescent="0.25">
      <c r="A852">
        <f>BIdetails!G855</f>
        <v>0</v>
      </c>
      <c r="B852">
        <f>BIdetails!H855</f>
        <v>0</v>
      </c>
      <c r="C852">
        <f>BIdetails!J855</f>
        <v>0</v>
      </c>
      <c r="D852">
        <f>BIdetails!K855</f>
        <v>0</v>
      </c>
      <c r="E852" s="165">
        <f>BIdetails!M855</f>
        <v>0</v>
      </c>
      <c r="F852" t="e">
        <f>IF(ISERROR(IF(OR(C852="#",C852=0),"",VLOOKUP(C852,'AOP25'!M:M,1,0))),"Not Found",VLOOKUP(C852,'AOP25'!M:M,1,0))</f>
        <v>#N/A</v>
      </c>
      <c r="G852" t="e">
        <f t="shared" si="13"/>
        <v>#N/A</v>
      </c>
    </row>
    <row r="853" spans="1:7" hidden="1" x14ac:dyDescent="0.25">
      <c r="A853">
        <f>BIdetails!G856</f>
        <v>0</v>
      </c>
      <c r="B853">
        <f>BIdetails!H856</f>
        <v>0</v>
      </c>
      <c r="C853">
        <f>BIdetails!J856</f>
        <v>0</v>
      </c>
      <c r="D853">
        <f>BIdetails!K856</f>
        <v>0</v>
      </c>
      <c r="E853" s="165">
        <f>BIdetails!M856</f>
        <v>0</v>
      </c>
      <c r="F853" t="e">
        <f>IF(ISERROR(IF(OR(C853="#",C853=0),"",VLOOKUP(C853,'AOP25'!M:M,1,0))),"Not Found",VLOOKUP(C853,'AOP25'!M:M,1,0))</f>
        <v>#N/A</v>
      </c>
      <c r="G853" t="e">
        <f t="shared" si="13"/>
        <v>#N/A</v>
      </c>
    </row>
    <row r="854" spans="1:7" hidden="1" x14ac:dyDescent="0.25">
      <c r="A854">
        <f>BIdetails!G857</f>
        <v>0</v>
      </c>
      <c r="B854">
        <f>BIdetails!H857</f>
        <v>0</v>
      </c>
      <c r="C854">
        <f>BIdetails!J857</f>
        <v>0</v>
      </c>
      <c r="D854">
        <f>BIdetails!K857</f>
        <v>0</v>
      </c>
      <c r="E854" s="165">
        <f>BIdetails!M857</f>
        <v>0</v>
      </c>
      <c r="F854" t="e">
        <f>IF(ISERROR(IF(OR(C854="#",C854=0),"",VLOOKUP(C854,'AOP25'!M:M,1,0))),"Not Found",VLOOKUP(C854,'AOP25'!M:M,1,0))</f>
        <v>#N/A</v>
      </c>
      <c r="G854" t="e">
        <f t="shared" si="13"/>
        <v>#N/A</v>
      </c>
    </row>
    <row r="855" spans="1:7" hidden="1" x14ac:dyDescent="0.25">
      <c r="A855">
        <f>BIdetails!G858</f>
        <v>0</v>
      </c>
      <c r="B855">
        <f>BIdetails!H858</f>
        <v>0</v>
      </c>
      <c r="C855">
        <f>BIdetails!J858</f>
        <v>0</v>
      </c>
      <c r="D855">
        <f>BIdetails!K858</f>
        <v>0</v>
      </c>
      <c r="E855" s="165">
        <f>BIdetails!M858</f>
        <v>0</v>
      </c>
      <c r="F855" t="e">
        <f>IF(ISERROR(IF(OR(C855="#",C855=0),"",VLOOKUP(C855,'AOP25'!M:M,1,0))),"Not Found",VLOOKUP(C855,'AOP25'!M:M,1,0))</f>
        <v>#N/A</v>
      </c>
      <c r="G855" t="e">
        <f t="shared" si="13"/>
        <v>#N/A</v>
      </c>
    </row>
    <row r="856" spans="1:7" hidden="1" x14ac:dyDescent="0.25">
      <c r="A856">
        <f>BIdetails!G859</f>
        <v>0</v>
      </c>
      <c r="B856">
        <f>BIdetails!H859</f>
        <v>0</v>
      </c>
      <c r="C856">
        <f>BIdetails!J859</f>
        <v>0</v>
      </c>
      <c r="D856">
        <f>BIdetails!K859</f>
        <v>0</v>
      </c>
      <c r="E856" s="165">
        <f>BIdetails!M859</f>
        <v>0</v>
      </c>
      <c r="F856" t="e">
        <f>IF(ISERROR(IF(OR(C856="#",C856=0),"",VLOOKUP(C856,'AOP25'!M:M,1,0))),"Not Found",VLOOKUP(C856,'AOP25'!M:M,1,0))</f>
        <v>#N/A</v>
      </c>
      <c r="G856" t="e">
        <f t="shared" si="13"/>
        <v>#N/A</v>
      </c>
    </row>
    <row r="857" spans="1:7" hidden="1" x14ac:dyDescent="0.25">
      <c r="A857">
        <f>BIdetails!G860</f>
        <v>0</v>
      </c>
      <c r="B857">
        <f>BIdetails!H860</f>
        <v>0</v>
      </c>
      <c r="C857">
        <f>BIdetails!J860</f>
        <v>0</v>
      </c>
      <c r="D857">
        <f>BIdetails!K860</f>
        <v>0</v>
      </c>
      <c r="E857" s="165">
        <f>BIdetails!M860</f>
        <v>0</v>
      </c>
      <c r="F857" t="e">
        <f>IF(ISERROR(IF(OR(C857="#",C857=0),"",VLOOKUP(C857,'AOP25'!M:M,1,0))),"Not Found",VLOOKUP(C857,'AOP25'!M:M,1,0))</f>
        <v>#N/A</v>
      </c>
      <c r="G857" t="e">
        <f t="shared" si="13"/>
        <v>#N/A</v>
      </c>
    </row>
    <row r="858" spans="1:7" hidden="1" x14ac:dyDescent="0.25">
      <c r="A858">
        <f>BIdetails!G861</f>
        <v>0</v>
      </c>
      <c r="B858">
        <f>BIdetails!H861</f>
        <v>0</v>
      </c>
      <c r="C858">
        <f>BIdetails!J861</f>
        <v>0</v>
      </c>
      <c r="D858">
        <f>BIdetails!K861</f>
        <v>0</v>
      </c>
      <c r="E858" s="165">
        <f>BIdetails!M861</f>
        <v>0</v>
      </c>
      <c r="F858" t="e">
        <f>IF(ISERROR(IF(OR(C858="#",C858=0),"",VLOOKUP(C858,'AOP25'!M:M,1,0))),"Not Found",VLOOKUP(C858,'AOP25'!M:M,1,0))</f>
        <v>#N/A</v>
      </c>
      <c r="G858" t="e">
        <f t="shared" si="13"/>
        <v>#N/A</v>
      </c>
    </row>
    <row r="859" spans="1:7" hidden="1" x14ac:dyDescent="0.25">
      <c r="A859">
        <f>BIdetails!G862</f>
        <v>0</v>
      </c>
      <c r="B859">
        <f>BIdetails!H862</f>
        <v>0</v>
      </c>
      <c r="C859">
        <f>BIdetails!J862</f>
        <v>0</v>
      </c>
      <c r="D859">
        <f>BIdetails!K862</f>
        <v>0</v>
      </c>
      <c r="E859" s="165">
        <f>BIdetails!M862</f>
        <v>0</v>
      </c>
      <c r="F859" t="e">
        <f>IF(ISERROR(IF(OR(C859="#",C859=0),"",VLOOKUP(C859,'AOP25'!M:M,1,0))),"Not Found",VLOOKUP(C859,'AOP25'!M:M,1,0))</f>
        <v>#N/A</v>
      </c>
      <c r="G859" t="e">
        <f t="shared" si="13"/>
        <v>#N/A</v>
      </c>
    </row>
    <row r="860" spans="1:7" hidden="1" x14ac:dyDescent="0.25">
      <c r="A860">
        <f>BIdetails!G863</f>
        <v>0</v>
      </c>
      <c r="B860">
        <f>BIdetails!H863</f>
        <v>0</v>
      </c>
      <c r="C860">
        <f>BIdetails!J863</f>
        <v>0</v>
      </c>
      <c r="D860">
        <f>BIdetails!K863</f>
        <v>0</v>
      </c>
      <c r="E860" s="165">
        <f>BIdetails!M863</f>
        <v>0</v>
      </c>
      <c r="F860" t="e">
        <f>IF(ISERROR(IF(OR(C860="#",C860=0),"",VLOOKUP(C860,'AOP25'!M:M,1,0))),"Not Found",VLOOKUP(C860,'AOP25'!M:M,1,0))</f>
        <v>#N/A</v>
      </c>
      <c r="G860" t="e">
        <f t="shared" si="13"/>
        <v>#N/A</v>
      </c>
    </row>
    <row r="861" spans="1:7" hidden="1" x14ac:dyDescent="0.25">
      <c r="A861">
        <f>BIdetails!G864</f>
        <v>0</v>
      </c>
      <c r="B861">
        <f>BIdetails!H864</f>
        <v>0</v>
      </c>
      <c r="C861">
        <f>BIdetails!J864</f>
        <v>0</v>
      </c>
      <c r="D861">
        <f>BIdetails!K864</f>
        <v>0</v>
      </c>
      <c r="E861" s="165">
        <f>BIdetails!M864</f>
        <v>0</v>
      </c>
      <c r="F861" t="e">
        <f>IF(ISERROR(IF(OR(C861="#",C861=0),"",VLOOKUP(C861,'AOP25'!M:M,1,0))),"Not Found",VLOOKUP(C861,'AOP25'!M:M,1,0))</f>
        <v>#N/A</v>
      </c>
      <c r="G861" t="e">
        <f t="shared" si="13"/>
        <v>#N/A</v>
      </c>
    </row>
    <row r="862" spans="1:7" hidden="1" x14ac:dyDescent="0.25">
      <c r="A862">
        <f>BIdetails!G865</f>
        <v>0</v>
      </c>
      <c r="B862">
        <f>BIdetails!H865</f>
        <v>0</v>
      </c>
      <c r="C862">
        <f>BIdetails!J865</f>
        <v>0</v>
      </c>
      <c r="D862">
        <f>BIdetails!K865</f>
        <v>0</v>
      </c>
      <c r="E862" s="165">
        <f>BIdetails!M865</f>
        <v>0</v>
      </c>
      <c r="F862" t="e">
        <f>IF(ISERROR(IF(OR(C862="#",C862=0),"",VLOOKUP(C862,'AOP25'!M:M,1,0))),"Not Found",VLOOKUP(C862,'AOP25'!M:M,1,0))</f>
        <v>#N/A</v>
      </c>
      <c r="G862" t="e">
        <f t="shared" si="13"/>
        <v>#N/A</v>
      </c>
    </row>
    <row r="863" spans="1:7" hidden="1" x14ac:dyDescent="0.25">
      <c r="A863">
        <f>BIdetails!G866</f>
        <v>0</v>
      </c>
      <c r="B863">
        <f>BIdetails!H866</f>
        <v>0</v>
      </c>
      <c r="C863">
        <f>BIdetails!J866</f>
        <v>0</v>
      </c>
      <c r="D863">
        <f>BIdetails!K866</f>
        <v>0</v>
      </c>
      <c r="E863" s="165">
        <f>BIdetails!M866</f>
        <v>0</v>
      </c>
      <c r="F863" t="e">
        <f>IF(ISERROR(IF(OR(C863="#",C863=0),"",VLOOKUP(C863,'AOP25'!M:M,1,0))),"Not Found",VLOOKUP(C863,'AOP25'!M:M,1,0))</f>
        <v>#N/A</v>
      </c>
      <c r="G863" t="e">
        <f t="shared" si="13"/>
        <v>#N/A</v>
      </c>
    </row>
    <row r="864" spans="1:7" hidden="1" x14ac:dyDescent="0.25">
      <c r="A864">
        <f>BIdetails!G867</f>
        <v>0</v>
      </c>
      <c r="B864">
        <f>BIdetails!H867</f>
        <v>0</v>
      </c>
      <c r="C864">
        <f>BIdetails!J867</f>
        <v>0</v>
      </c>
      <c r="D864">
        <f>BIdetails!K867</f>
        <v>0</v>
      </c>
      <c r="E864" s="165">
        <f>BIdetails!M867</f>
        <v>0</v>
      </c>
      <c r="F864" t="e">
        <f>IF(ISERROR(IF(OR(C864="#",C864=0),"",VLOOKUP(C864,'AOP25'!M:M,1,0))),"Not Found",VLOOKUP(C864,'AOP25'!M:M,1,0))</f>
        <v>#N/A</v>
      </c>
      <c r="G864" t="e">
        <f t="shared" si="13"/>
        <v>#N/A</v>
      </c>
    </row>
    <row r="865" spans="1:7" hidden="1" x14ac:dyDescent="0.25">
      <c r="A865">
        <f>BIdetails!G868</f>
        <v>0</v>
      </c>
      <c r="B865">
        <f>BIdetails!H868</f>
        <v>0</v>
      </c>
      <c r="C865">
        <f>BIdetails!J868</f>
        <v>0</v>
      </c>
      <c r="D865">
        <f>BIdetails!K868</f>
        <v>0</v>
      </c>
      <c r="E865" s="165">
        <f>BIdetails!M868</f>
        <v>0</v>
      </c>
      <c r="F865" t="e">
        <f>IF(ISERROR(IF(OR(C865="#",C865=0),"",VLOOKUP(C865,'AOP25'!M:M,1,0))),"Not Found",VLOOKUP(C865,'AOP25'!M:M,1,0))</f>
        <v>#N/A</v>
      </c>
      <c r="G865" t="e">
        <f t="shared" si="13"/>
        <v>#N/A</v>
      </c>
    </row>
    <row r="866" spans="1:7" hidden="1" x14ac:dyDescent="0.25">
      <c r="A866">
        <f>BIdetails!G869</f>
        <v>0</v>
      </c>
      <c r="B866">
        <f>BIdetails!H869</f>
        <v>0</v>
      </c>
      <c r="C866">
        <f>BIdetails!J869</f>
        <v>0</v>
      </c>
      <c r="D866">
        <f>BIdetails!K869</f>
        <v>0</v>
      </c>
      <c r="E866" s="165">
        <f>BIdetails!M869</f>
        <v>0</v>
      </c>
      <c r="F866" t="e">
        <f>IF(ISERROR(IF(OR(C866="#",C866=0),"",VLOOKUP(C866,'AOP25'!M:M,1,0))),"Not Found",VLOOKUP(C866,'AOP25'!M:M,1,0))</f>
        <v>#N/A</v>
      </c>
      <c r="G866" t="e">
        <f t="shared" si="13"/>
        <v>#N/A</v>
      </c>
    </row>
    <row r="867" spans="1:7" hidden="1" x14ac:dyDescent="0.25">
      <c r="A867">
        <f>BIdetails!G870</f>
        <v>0</v>
      </c>
      <c r="B867">
        <f>BIdetails!H870</f>
        <v>0</v>
      </c>
      <c r="C867">
        <f>BIdetails!J870</f>
        <v>0</v>
      </c>
      <c r="D867">
        <f>BIdetails!K870</f>
        <v>0</v>
      </c>
      <c r="E867" s="165">
        <f>BIdetails!M870</f>
        <v>0</v>
      </c>
      <c r="F867" t="e">
        <f>IF(ISERROR(IF(OR(C867="#",C867=0),"",VLOOKUP(C867,'AOP25'!M:M,1,0))),"Not Found",VLOOKUP(C867,'AOP25'!M:M,1,0))</f>
        <v>#N/A</v>
      </c>
      <c r="G867" t="e">
        <f t="shared" si="13"/>
        <v>#N/A</v>
      </c>
    </row>
    <row r="868" spans="1:7" hidden="1" x14ac:dyDescent="0.25">
      <c r="A868">
        <f>BIdetails!G871</f>
        <v>0</v>
      </c>
      <c r="B868">
        <f>BIdetails!H871</f>
        <v>0</v>
      </c>
      <c r="C868">
        <f>BIdetails!J871</f>
        <v>0</v>
      </c>
      <c r="D868">
        <f>BIdetails!K871</f>
        <v>0</v>
      </c>
      <c r="E868" s="165">
        <f>BIdetails!M871</f>
        <v>0</v>
      </c>
      <c r="F868" t="e">
        <f>IF(ISERROR(IF(OR(C868="#",C868=0),"",VLOOKUP(C868,'AOP25'!M:M,1,0))),"Not Found",VLOOKUP(C868,'AOP25'!M:M,1,0))</f>
        <v>#N/A</v>
      </c>
      <c r="G868" t="e">
        <f t="shared" si="13"/>
        <v>#N/A</v>
      </c>
    </row>
    <row r="869" spans="1:7" hidden="1" x14ac:dyDescent="0.25">
      <c r="A869">
        <f>BIdetails!G872</f>
        <v>0</v>
      </c>
      <c r="B869">
        <f>BIdetails!H872</f>
        <v>0</v>
      </c>
      <c r="C869">
        <f>BIdetails!J872</f>
        <v>0</v>
      </c>
      <c r="D869">
        <f>BIdetails!K872</f>
        <v>0</v>
      </c>
      <c r="E869" s="165">
        <f>BIdetails!M872</f>
        <v>0</v>
      </c>
      <c r="F869" t="e">
        <f>IF(ISERROR(IF(OR(C869="#",C869=0),"",VLOOKUP(C869,'AOP25'!M:M,1,0))),"Not Found",VLOOKUP(C869,'AOP25'!M:M,1,0))</f>
        <v>#N/A</v>
      </c>
      <c r="G869" t="e">
        <f t="shared" si="13"/>
        <v>#N/A</v>
      </c>
    </row>
    <row r="870" spans="1:7" hidden="1" x14ac:dyDescent="0.25">
      <c r="A870">
        <f>BIdetails!G873</f>
        <v>0</v>
      </c>
      <c r="B870">
        <f>BIdetails!H873</f>
        <v>0</v>
      </c>
      <c r="C870">
        <f>BIdetails!J873</f>
        <v>0</v>
      </c>
      <c r="D870">
        <f>BIdetails!K873</f>
        <v>0</v>
      </c>
      <c r="E870" s="165">
        <f>BIdetails!M873</f>
        <v>0</v>
      </c>
      <c r="F870" t="e">
        <f>IF(ISERROR(IF(OR(C870="#",C870=0),"",VLOOKUP(C870,'AOP25'!M:M,1,0))),"Not Found",VLOOKUP(C870,'AOP25'!M:M,1,0))</f>
        <v>#N/A</v>
      </c>
      <c r="G870" t="e">
        <f t="shared" si="13"/>
        <v>#N/A</v>
      </c>
    </row>
    <row r="871" spans="1:7" hidden="1" x14ac:dyDescent="0.25">
      <c r="A871">
        <f>BIdetails!G874</f>
        <v>0</v>
      </c>
      <c r="B871">
        <f>BIdetails!H874</f>
        <v>0</v>
      </c>
      <c r="C871">
        <f>BIdetails!J874</f>
        <v>0</v>
      </c>
      <c r="D871">
        <f>BIdetails!K874</f>
        <v>0</v>
      </c>
      <c r="E871" s="165">
        <f>BIdetails!M874</f>
        <v>0</v>
      </c>
      <c r="F871" t="e">
        <f>IF(ISERROR(IF(OR(C871="#",C871=0),"",VLOOKUP(C871,'AOP25'!M:M,1,0))),"Not Found",VLOOKUP(C871,'AOP25'!M:M,1,0))</f>
        <v>#N/A</v>
      </c>
      <c r="G871" t="e">
        <f t="shared" si="13"/>
        <v>#N/A</v>
      </c>
    </row>
    <row r="872" spans="1:7" hidden="1" x14ac:dyDescent="0.25">
      <c r="A872">
        <f>BIdetails!G875</f>
        <v>0</v>
      </c>
      <c r="B872">
        <f>BIdetails!H875</f>
        <v>0</v>
      </c>
      <c r="C872">
        <f>BIdetails!J875</f>
        <v>0</v>
      </c>
      <c r="D872">
        <f>BIdetails!K875</f>
        <v>0</v>
      </c>
      <c r="E872" s="165">
        <f>BIdetails!M875</f>
        <v>0</v>
      </c>
      <c r="F872" t="e">
        <f>IF(ISERROR(IF(OR(C872="#",C872=0),"",VLOOKUP(C872,'AOP25'!M:M,1,0))),"Not Found",VLOOKUP(C872,'AOP25'!M:M,1,0))</f>
        <v>#N/A</v>
      </c>
      <c r="G872" t="e">
        <f t="shared" si="13"/>
        <v>#N/A</v>
      </c>
    </row>
    <row r="873" spans="1:7" hidden="1" x14ac:dyDescent="0.25">
      <c r="A873">
        <f>BIdetails!G876</f>
        <v>0</v>
      </c>
      <c r="B873">
        <f>BIdetails!H876</f>
        <v>0</v>
      </c>
      <c r="C873">
        <f>BIdetails!J876</f>
        <v>0</v>
      </c>
      <c r="D873">
        <f>BIdetails!K876</f>
        <v>0</v>
      </c>
      <c r="E873" s="165">
        <f>BIdetails!M876</f>
        <v>0</v>
      </c>
      <c r="F873" t="e">
        <f>IF(ISERROR(IF(OR(C873="#",C873=0),"",VLOOKUP(C873,'AOP25'!M:M,1,0))),"Not Found",VLOOKUP(C873,'AOP25'!M:M,1,0))</f>
        <v>#N/A</v>
      </c>
      <c r="G873" t="e">
        <f t="shared" si="13"/>
        <v>#N/A</v>
      </c>
    </row>
    <row r="874" spans="1:7" hidden="1" x14ac:dyDescent="0.25">
      <c r="A874">
        <f>BIdetails!G877</f>
        <v>0</v>
      </c>
      <c r="B874">
        <f>BIdetails!H877</f>
        <v>0</v>
      </c>
      <c r="C874">
        <f>BIdetails!J877</f>
        <v>0</v>
      </c>
      <c r="D874">
        <f>BIdetails!K877</f>
        <v>0</v>
      </c>
      <c r="E874" s="165">
        <f>BIdetails!M877</f>
        <v>0</v>
      </c>
      <c r="F874" t="e">
        <f>IF(ISERROR(IF(OR(C874="#",C874=0),"",VLOOKUP(C874,'AOP25'!M:M,1,0))),"Not Found",VLOOKUP(C874,'AOP25'!M:M,1,0))</f>
        <v>#N/A</v>
      </c>
      <c r="G874" t="e">
        <f t="shared" si="13"/>
        <v>#N/A</v>
      </c>
    </row>
    <row r="875" spans="1:7" hidden="1" x14ac:dyDescent="0.25">
      <c r="A875">
        <f>BIdetails!G878</f>
        <v>0</v>
      </c>
      <c r="B875">
        <f>BIdetails!H878</f>
        <v>0</v>
      </c>
      <c r="C875">
        <f>BIdetails!J878</f>
        <v>0</v>
      </c>
      <c r="D875">
        <f>BIdetails!K878</f>
        <v>0</v>
      </c>
      <c r="E875" s="165">
        <f>BIdetails!M878</f>
        <v>0</v>
      </c>
      <c r="F875" t="e">
        <f>IF(ISERROR(IF(OR(C875="#",C875=0),"",VLOOKUP(C875,'AOP25'!M:M,1,0))),"Not Found",VLOOKUP(C875,'AOP25'!M:M,1,0))</f>
        <v>#N/A</v>
      </c>
      <c r="G875" t="e">
        <f t="shared" si="13"/>
        <v>#N/A</v>
      </c>
    </row>
    <row r="876" spans="1:7" hidden="1" x14ac:dyDescent="0.25">
      <c r="A876">
        <f>BIdetails!G879</f>
        <v>0</v>
      </c>
      <c r="B876">
        <f>BIdetails!H879</f>
        <v>0</v>
      </c>
      <c r="C876">
        <f>BIdetails!J879</f>
        <v>0</v>
      </c>
      <c r="D876">
        <f>BIdetails!K879</f>
        <v>0</v>
      </c>
      <c r="E876" s="165">
        <f>BIdetails!M879</f>
        <v>0</v>
      </c>
      <c r="F876" t="e">
        <f>IF(ISERROR(IF(OR(C876="#",C876=0),"",VLOOKUP(C876,'AOP25'!M:M,1,0))),"Not Found",VLOOKUP(C876,'AOP25'!M:M,1,0))</f>
        <v>#N/A</v>
      </c>
      <c r="G876" t="e">
        <f t="shared" si="13"/>
        <v>#N/A</v>
      </c>
    </row>
    <row r="877" spans="1:7" hidden="1" x14ac:dyDescent="0.25">
      <c r="A877">
        <f>BIdetails!G880</f>
        <v>0</v>
      </c>
      <c r="B877">
        <f>BIdetails!H880</f>
        <v>0</v>
      </c>
      <c r="C877">
        <f>BIdetails!J880</f>
        <v>0</v>
      </c>
      <c r="D877">
        <f>BIdetails!K880</f>
        <v>0</v>
      </c>
      <c r="E877" s="165">
        <f>BIdetails!M880</f>
        <v>0</v>
      </c>
      <c r="F877" t="e">
        <f>IF(ISERROR(IF(OR(C877="#",C877=0),"",VLOOKUP(C877,'AOP25'!M:M,1,0))),"Not Found",VLOOKUP(C877,'AOP25'!M:M,1,0))</f>
        <v>#N/A</v>
      </c>
      <c r="G877" t="e">
        <f t="shared" si="13"/>
        <v>#N/A</v>
      </c>
    </row>
    <row r="878" spans="1:7" hidden="1" x14ac:dyDescent="0.25">
      <c r="A878">
        <f>BIdetails!G881</f>
        <v>0</v>
      </c>
      <c r="B878">
        <f>BIdetails!H881</f>
        <v>0</v>
      </c>
      <c r="C878">
        <f>BIdetails!J881</f>
        <v>0</v>
      </c>
      <c r="D878">
        <f>BIdetails!K881</f>
        <v>0</v>
      </c>
      <c r="E878" s="165">
        <f>BIdetails!M881</f>
        <v>0</v>
      </c>
      <c r="F878" t="e">
        <f>IF(ISERROR(IF(OR(C878="#",C878=0),"",VLOOKUP(C878,'AOP25'!M:M,1,0))),"Not Found",VLOOKUP(C878,'AOP25'!M:M,1,0))</f>
        <v>#N/A</v>
      </c>
      <c r="G878" t="e">
        <f t="shared" si="13"/>
        <v>#N/A</v>
      </c>
    </row>
    <row r="879" spans="1:7" hidden="1" x14ac:dyDescent="0.25">
      <c r="A879">
        <f>BIdetails!G882</f>
        <v>0</v>
      </c>
      <c r="B879">
        <f>BIdetails!H882</f>
        <v>0</v>
      </c>
      <c r="C879">
        <f>BIdetails!J882</f>
        <v>0</v>
      </c>
      <c r="D879">
        <f>BIdetails!K882</f>
        <v>0</v>
      </c>
      <c r="E879" s="165">
        <f>BIdetails!M882</f>
        <v>0</v>
      </c>
      <c r="F879" t="e">
        <f>IF(ISERROR(IF(OR(C879="#",C879=0),"",VLOOKUP(C879,'AOP25'!M:M,1,0))),"Not Found",VLOOKUP(C879,'AOP25'!M:M,1,0))</f>
        <v>#N/A</v>
      </c>
      <c r="G879" t="e">
        <f t="shared" si="13"/>
        <v>#N/A</v>
      </c>
    </row>
    <row r="880" spans="1:7" hidden="1" x14ac:dyDescent="0.25">
      <c r="A880">
        <f>BIdetails!G883</f>
        <v>0</v>
      </c>
      <c r="B880">
        <f>BIdetails!H883</f>
        <v>0</v>
      </c>
      <c r="C880">
        <f>BIdetails!J883</f>
        <v>0</v>
      </c>
      <c r="D880">
        <f>BIdetails!K883</f>
        <v>0</v>
      </c>
      <c r="E880" s="165">
        <f>BIdetails!M883</f>
        <v>0</v>
      </c>
      <c r="F880" t="e">
        <f>IF(ISERROR(IF(OR(C880="#",C880=0),"",VLOOKUP(C880,'AOP25'!M:M,1,0))),"Not Found",VLOOKUP(C880,'AOP25'!M:M,1,0))</f>
        <v>#N/A</v>
      </c>
      <c r="G880" t="e">
        <f t="shared" si="13"/>
        <v>#N/A</v>
      </c>
    </row>
    <row r="881" spans="1:7" hidden="1" x14ac:dyDescent="0.25">
      <c r="A881">
        <f>BIdetails!G884</f>
        <v>0</v>
      </c>
      <c r="B881">
        <f>BIdetails!H884</f>
        <v>0</v>
      </c>
      <c r="C881">
        <f>BIdetails!J884</f>
        <v>0</v>
      </c>
      <c r="D881">
        <f>BIdetails!K884</f>
        <v>0</v>
      </c>
      <c r="E881" s="165">
        <f>BIdetails!M884</f>
        <v>0</v>
      </c>
      <c r="F881" t="e">
        <f>IF(ISERROR(IF(OR(C881="#",C881=0),"",VLOOKUP(C881,'AOP25'!M:M,1,0))),"Not Found",VLOOKUP(C881,'AOP25'!M:M,1,0))</f>
        <v>#N/A</v>
      </c>
      <c r="G881" t="e">
        <f t="shared" si="13"/>
        <v>#N/A</v>
      </c>
    </row>
    <row r="882" spans="1:7" hidden="1" x14ac:dyDescent="0.25">
      <c r="A882">
        <f>BIdetails!G885</f>
        <v>0</v>
      </c>
      <c r="B882">
        <f>BIdetails!H885</f>
        <v>0</v>
      </c>
      <c r="C882">
        <f>BIdetails!J885</f>
        <v>0</v>
      </c>
      <c r="D882">
        <f>BIdetails!K885</f>
        <v>0</v>
      </c>
      <c r="E882" s="165">
        <f>BIdetails!M885</f>
        <v>0</v>
      </c>
      <c r="F882" t="e">
        <f>IF(ISERROR(IF(OR(C882="#",C882=0),"",VLOOKUP(C882,'AOP25'!M:M,1,0))),"Not Found",VLOOKUP(C882,'AOP25'!M:M,1,0))</f>
        <v>#N/A</v>
      </c>
      <c r="G882" t="e">
        <f t="shared" si="13"/>
        <v>#N/A</v>
      </c>
    </row>
    <row r="883" spans="1:7" hidden="1" x14ac:dyDescent="0.25">
      <c r="A883">
        <f>BIdetails!G886</f>
        <v>0</v>
      </c>
      <c r="B883">
        <f>BIdetails!H886</f>
        <v>0</v>
      </c>
      <c r="C883">
        <f>BIdetails!J886</f>
        <v>0</v>
      </c>
      <c r="D883">
        <f>BIdetails!K886</f>
        <v>0</v>
      </c>
      <c r="E883" s="165">
        <f>BIdetails!M886</f>
        <v>0</v>
      </c>
      <c r="F883" t="e">
        <f>IF(ISERROR(IF(OR(C883="#",C883=0),"",VLOOKUP(C883,'AOP25'!M:M,1,0))),"Not Found",VLOOKUP(C883,'AOP25'!M:M,1,0))</f>
        <v>#N/A</v>
      </c>
      <c r="G883" t="e">
        <f t="shared" si="13"/>
        <v>#N/A</v>
      </c>
    </row>
    <row r="884" spans="1:7" hidden="1" x14ac:dyDescent="0.25">
      <c r="A884">
        <f>BIdetails!G887</f>
        <v>0</v>
      </c>
      <c r="B884">
        <f>BIdetails!H887</f>
        <v>0</v>
      </c>
      <c r="C884">
        <f>BIdetails!J887</f>
        <v>0</v>
      </c>
      <c r="D884">
        <f>BIdetails!K887</f>
        <v>0</v>
      </c>
      <c r="E884" s="165">
        <f>BIdetails!M887</f>
        <v>0</v>
      </c>
      <c r="F884" t="e">
        <f>IF(ISERROR(IF(OR(C884="#",C884=0),"",VLOOKUP(C884,'AOP25'!M:M,1,0))),"Not Found",VLOOKUP(C884,'AOP25'!M:M,1,0))</f>
        <v>#N/A</v>
      </c>
      <c r="G884" t="e">
        <f t="shared" si="13"/>
        <v>#N/A</v>
      </c>
    </row>
    <row r="885" spans="1:7" x14ac:dyDescent="0.25">
      <c r="A885">
        <f>BIdetails!G888</f>
        <v>0</v>
      </c>
      <c r="B885">
        <f>BIdetails!H888</f>
        <v>0</v>
      </c>
      <c r="C885">
        <f>BIdetails!J888</f>
        <v>0</v>
      </c>
      <c r="D885">
        <f>BIdetails!K888</f>
        <v>0</v>
      </c>
      <c r="E885" s="165">
        <f>BIdetails!M888</f>
        <v>0</v>
      </c>
      <c r="F885" t="e">
        <f>IF(ISERROR(IF(OR(C885="#",C885=0),"",VLOOKUP(C885,'AOP25'!M:M,1,0))),"Not Found",VLOOKUP(C885,'AOP25'!M:M,1,0))</f>
        <v>#N/A</v>
      </c>
      <c r="G885" t="e">
        <f t="shared" si="13"/>
        <v>#N/A</v>
      </c>
    </row>
    <row r="886" spans="1:7" x14ac:dyDescent="0.25">
      <c r="A886">
        <f>BIdetails!G889</f>
        <v>0</v>
      </c>
      <c r="B886">
        <f>BIdetails!H889</f>
        <v>0</v>
      </c>
      <c r="C886">
        <f>BIdetails!J889</f>
        <v>0</v>
      </c>
      <c r="D886">
        <f>BIdetails!K889</f>
        <v>0</v>
      </c>
      <c r="E886" s="165">
        <f>BIdetails!M889</f>
        <v>0</v>
      </c>
      <c r="F886" t="e">
        <f>IF(ISERROR(IF(OR(C886="#",C886=0),"",VLOOKUP(C886,'AOP25'!M:M,1,0))),"Not Found",VLOOKUP(C886,'AOP25'!M:M,1,0))</f>
        <v>#N/A</v>
      </c>
      <c r="G886" t="e">
        <f t="shared" si="13"/>
        <v>#N/A</v>
      </c>
    </row>
    <row r="887" spans="1:7" hidden="1" x14ac:dyDescent="0.25">
      <c r="A887">
        <f>BIdetails!G890</f>
        <v>0</v>
      </c>
      <c r="B887">
        <f>BIdetails!H890</f>
        <v>0</v>
      </c>
      <c r="C887">
        <f>BIdetails!J890</f>
        <v>0</v>
      </c>
      <c r="D887">
        <f>BIdetails!K890</f>
        <v>0</v>
      </c>
      <c r="E887" s="165">
        <f>BIdetails!M890</f>
        <v>0</v>
      </c>
      <c r="F887" t="e">
        <f>IF(ISERROR(IF(OR(C887="#",C887=0),"",VLOOKUP(C887,'AOP25'!M:M,1,0))),"Not Found",VLOOKUP(C887,'AOP25'!M:M,1,0))</f>
        <v>#N/A</v>
      </c>
      <c r="G887" t="e">
        <f t="shared" si="13"/>
        <v>#N/A</v>
      </c>
    </row>
    <row r="888" spans="1:7" hidden="1" x14ac:dyDescent="0.25">
      <c r="A888">
        <f>BIdetails!G891</f>
        <v>0</v>
      </c>
      <c r="B888">
        <f>BIdetails!H891</f>
        <v>0</v>
      </c>
      <c r="C888">
        <f>BIdetails!J891</f>
        <v>0</v>
      </c>
      <c r="D888">
        <f>BIdetails!K891</f>
        <v>0</v>
      </c>
      <c r="E888" s="165">
        <f>BIdetails!M891</f>
        <v>0</v>
      </c>
      <c r="F888" t="e">
        <f>IF(ISERROR(IF(OR(C888="#",C888=0),"",VLOOKUP(C888,'AOP25'!M:M,1,0))),"Not Found",VLOOKUP(C888,'AOP25'!M:M,1,0))</f>
        <v>#N/A</v>
      </c>
      <c r="G888" t="e">
        <f t="shared" si="13"/>
        <v>#N/A</v>
      </c>
    </row>
    <row r="889" spans="1:7" hidden="1" x14ac:dyDescent="0.25">
      <c r="A889">
        <f>BIdetails!G892</f>
        <v>0</v>
      </c>
      <c r="B889">
        <f>BIdetails!H892</f>
        <v>0</v>
      </c>
      <c r="C889">
        <f>BIdetails!J892</f>
        <v>0</v>
      </c>
      <c r="D889">
        <f>BIdetails!K892</f>
        <v>0</v>
      </c>
      <c r="E889" s="165">
        <f>BIdetails!M892</f>
        <v>0</v>
      </c>
      <c r="F889" t="e">
        <f>IF(ISERROR(IF(OR(C889="#",C889=0),"",VLOOKUP(C889,'AOP25'!M:M,1,0))),"Not Found",VLOOKUP(C889,'AOP25'!M:M,1,0))</f>
        <v>#N/A</v>
      </c>
      <c r="G889" t="e">
        <f t="shared" si="13"/>
        <v>#N/A</v>
      </c>
    </row>
    <row r="890" spans="1:7" hidden="1" x14ac:dyDescent="0.25">
      <c r="A890">
        <f>BIdetails!G893</f>
        <v>0</v>
      </c>
      <c r="B890">
        <f>BIdetails!H893</f>
        <v>0</v>
      </c>
      <c r="C890">
        <f>BIdetails!J893</f>
        <v>0</v>
      </c>
      <c r="D890">
        <f>BIdetails!K893</f>
        <v>0</v>
      </c>
      <c r="E890" s="165">
        <f>BIdetails!M893</f>
        <v>0</v>
      </c>
      <c r="F890" t="e">
        <f>IF(ISERROR(IF(OR(C890="#",C890=0),"",VLOOKUP(C890,'AOP25'!M:M,1,0))),"Not Found",VLOOKUP(C890,'AOP25'!M:M,1,0))</f>
        <v>#N/A</v>
      </c>
      <c r="G890" t="e">
        <f t="shared" ref="G890:G953" si="14">IF(NOT(ISERROR(VLOOKUP(C890,$K$2:$K$50,1,0))),"Y",VLOOKUP(C890,$K$2:$K$50,1,0))</f>
        <v>#N/A</v>
      </c>
    </row>
    <row r="891" spans="1:7" hidden="1" x14ac:dyDescent="0.25">
      <c r="A891">
        <f>BIdetails!G894</f>
        <v>0</v>
      </c>
      <c r="B891">
        <f>BIdetails!H894</f>
        <v>0</v>
      </c>
      <c r="C891">
        <f>BIdetails!J894</f>
        <v>0</v>
      </c>
      <c r="D891">
        <f>BIdetails!K894</f>
        <v>0</v>
      </c>
      <c r="E891" s="165">
        <f>BIdetails!M894</f>
        <v>0</v>
      </c>
      <c r="F891" t="e">
        <f>IF(ISERROR(IF(OR(C891="#",C891=0),"",VLOOKUP(C891,'AOP25'!M:M,1,0))),"Not Found",VLOOKUP(C891,'AOP25'!M:M,1,0))</f>
        <v>#N/A</v>
      </c>
      <c r="G891" t="e">
        <f t="shared" si="14"/>
        <v>#N/A</v>
      </c>
    </row>
    <row r="892" spans="1:7" hidden="1" x14ac:dyDescent="0.25">
      <c r="A892">
        <f>BIdetails!G895</f>
        <v>0</v>
      </c>
      <c r="B892">
        <f>BIdetails!H895</f>
        <v>0</v>
      </c>
      <c r="C892">
        <f>BIdetails!J895</f>
        <v>0</v>
      </c>
      <c r="D892">
        <f>BIdetails!K895</f>
        <v>0</v>
      </c>
      <c r="E892" s="165">
        <f>BIdetails!M895</f>
        <v>0</v>
      </c>
      <c r="F892" t="e">
        <f>IF(ISERROR(IF(OR(C892="#",C892=0),"",VLOOKUP(C892,'AOP25'!M:M,1,0))),"Not Found",VLOOKUP(C892,'AOP25'!M:M,1,0))</f>
        <v>#N/A</v>
      </c>
      <c r="G892" t="e">
        <f t="shared" si="14"/>
        <v>#N/A</v>
      </c>
    </row>
    <row r="893" spans="1:7" hidden="1" x14ac:dyDescent="0.25">
      <c r="A893">
        <f>BIdetails!G896</f>
        <v>0</v>
      </c>
      <c r="B893">
        <f>BIdetails!H896</f>
        <v>0</v>
      </c>
      <c r="C893">
        <f>BIdetails!J896</f>
        <v>0</v>
      </c>
      <c r="D893">
        <f>BIdetails!K896</f>
        <v>0</v>
      </c>
      <c r="E893" s="165">
        <f>BIdetails!M896</f>
        <v>0</v>
      </c>
      <c r="F893" t="e">
        <f>IF(ISERROR(IF(OR(C893="#",C893=0),"",VLOOKUP(C893,'AOP25'!M:M,1,0))),"Not Found",VLOOKUP(C893,'AOP25'!M:M,1,0))</f>
        <v>#N/A</v>
      </c>
      <c r="G893" t="e">
        <f t="shared" si="14"/>
        <v>#N/A</v>
      </c>
    </row>
    <row r="894" spans="1:7" x14ac:dyDescent="0.25">
      <c r="A894">
        <f>BIdetails!G897</f>
        <v>0</v>
      </c>
      <c r="B894">
        <f>BIdetails!H897</f>
        <v>0</v>
      </c>
      <c r="C894">
        <f>BIdetails!J897</f>
        <v>0</v>
      </c>
      <c r="D894">
        <f>BIdetails!K897</f>
        <v>0</v>
      </c>
      <c r="E894" s="165">
        <f>BIdetails!M897</f>
        <v>0</v>
      </c>
      <c r="F894" t="e">
        <f>IF(ISERROR(IF(OR(C894="#",C894=0),"",VLOOKUP(C894,'AOP25'!M:M,1,0))),"Not Found",VLOOKUP(C894,'AOP25'!M:M,1,0))</f>
        <v>#N/A</v>
      </c>
      <c r="G894" t="e">
        <f t="shared" si="14"/>
        <v>#N/A</v>
      </c>
    </row>
    <row r="895" spans="1:7" hidden="1" x14ac:dyDescent="0.25">
      <c r="A895">
        <f>BIdetails!G898</f>
        <v>0</v>
      </c>
      <c r="B895">
        <f>BIdetails!H898</f>
        <v>0</v>
      </c>
      <c r="C895">
        <f>BIdetails!J898</f>
        <v>0</v>
      </c>
      <c r="D895">
        <f>BIdetails!K898</f>
        <v>0</v>
      </c>
      <c r="E895" s="165">
        <f>BIdetails!M898</f>
        <v>0</v>
      </c>
      <c r="F895" t="e">
        <f>IF(ISERROR(IF(OR(C895="#",C895=0),"",VLOOKUP(C895,'AOP25'!M:M,1,0))),"Not Found",VLOOKUP(C895,'AOP25'!M:M,1,0))</f>
        <v>#N/A</v>
      </c>
      <c r="G895" t="e">
        <f t="shared" si="14"/>
        <v>#N/A</v>
      </c>
    </row>
    <row r="896" spans="1:7" hidden="1" x14ac:dyDescent="0.25">
      <c r="A896">
        <f>BIdetails!G899</f>
        <v>0</v>
      </c>
      <c r="B896">
        <f>BIdetails!H899</f>
        <v>0</v>
      </c>
      <c r="C896">
        <f>BIdetails!J899</f>
        <v>0</v>
      </c>
      <c r="D896">
        <f>BIdetails!K899</f>
        <v>0</v>
      </c>
      <c r="E896" s="165">
        <f>BIdetails!M899</f>
        <v>0</v>
      </c>
      <c r="F896" t="e">
        <f>IF(ISERROR(IF(OR(C896="#",C896=0),"",VLOOKUP(C896,'AOP25'!M:M,1,0))),"Not Found",VLOOKUP(C896,'AOP25'!M:M,1,0))</f>
        <v>#N/A</v>
      </c>
      <c r="G896" t="e">
        <f t="shared" si="14"/>
        <v>#N/A</v>
      </c>
    </row>
    <row r="897" spans="1:7" hidden="1" x14ac:dyDescent="0.25">
      <c r="A897">
        <f>BIdetails!G900</f>
        <v>0</v>
      </c>
      <c r="B897">
        <f>BIdetails!H900</f>
        <v>0</v>
      </c>
      <c r="C897">
        <f>BIdetails!J900</f>
        <v>0</v>
      </c>
      <c r="D897">
        <f>BIdetails!K900</f>
        <v>0</v>
      </c>
      <c r="E897" s="165">
        <f>BIdetails!M900</f>
        <v>0</v>
      </c>
      <c r="F897" t="e">
        <f>IF(ISERROR(IF(OR(C897="#",C897=0),"",VLOOKUP(C897,'AOP25'!M:M,1,0))),"Not Found",VLOOKUP(C897,'AOP25'!M:M,1,0))</f>
        <v>#N/A</v>
      </c>
      <c r="G897" t="e">
        <f t="shared" si="14"/>
        <v>#N/A</v>
      </c>
    </row>
    <row r="898" spans="1:7" hidden="1" x14ac:dyDescent="0.25">
      <c r="A898">
        <f>BIdetails!G901</f>
        <v>0</v>
      </c>
      <c r="B898">
        <f>BIdetails!H901</f>
        <v>0</v>
      </c>
      <c r="C898">
        <f>BIdetails!J901</f>
        <v>0</v>
      </c>
      <c r="D898">
        <f>BIdetails!K901</f>
        <v>0</v>
      </c>
      <c r="E898" s="165">
        <f>BIdetails!M901</f>
        <v>0</v>
      </c>
      <c r="F898" t="e">
        <f>IF(ISERROR(IF(OR(C898="#",C898=0),"",VLOOKUP(C898,'AOP25'!M:M,1,0))),"Not Found",VLOOKUP(C898,'AOP25'!M:M,1,0))</f>
        <v>#N/A</v>
      </c>
      <c r="G898" t="e">
        <f t="shared" si="14"/>
        <v>#N/A</v>
      </c>
    </row>
    <row r="899" spans="1:7" hidden="1" x14ac:dyDescent="0.25">
      <c r="A899">
        <f>BIdetails!G902</f>
        <v>0</v>
      </c>
      <c r="B899">
        <f>BIdetails!H902</f>
        <v>0</v>
      </c>
      <c r="C899">
        <f>BIdetails!J902</f>
        <v>0</v>
      </c>
      <c r="D899">
        <f>BIdetails!K902</f>
        <v>0</v>
      </c>
      <c r="E899" s="165">
        <f>BIdetails!M902</f>
        <v>0</v>
      </c>
      <c r="F899" t="e">
        <f>IF(ISERROR(IF(OR(C899="#",C899=0),"",VLOOKUP(C899,'AOP25'!M:M,1,0))),"Not Found",VLOOKUP(C899,'AOP25'!M:M,1,0))</f>
        <v>#N/A</v>
      </c>
      <c r="G899" t="e">
        <f t="shared" si="14"/>
        <v>#N/A</v>
      </c>
    </row>
    <row r="900" spans="1:7" hidden="1" x14ac:dyDescent="0.25">
      <c r="A900">
        <f>BIdetails!G903</f>
        <v>0</v>
      </c>
      <c r="B900">
        <f>BIdetails!H903</f>
        <v>0</v>
      </c>
      <c r="C900">
        <f>BIdetails!J903</f>
        <v>0</v>
      </c>
      <c r="D900">
        <f>BIdetails!K903</f>
        <v>0</v>
      </c>
      <c r="E900" s="165">
        <f>BIdetails!M903</f>
        <v>0</v>
      </c>
      <c r="F900" t="e">
        <f>IF(ISERROR(IF(OR(C900="#",C900=0),"",VLOOKUP(C900,'AOP25'!M:M,1,0))),"Not Found",VLOOKUP(C900,'AOP25'!M:M,1,0))</f>
        <v>#N/A</v>
      </c>
      <c r="G900" t="e">
        <f t="shared" si="14"/>
        <v>#N/A</v>
      </c>
    </row>
    <row r="901" spans="1:7" hidden="1" x14ac:dyDescent="0.25">
      <c r="A901">
        <f>BIdetails!G904</f>
        <v>0</v>
      </c>
      <c r="B901">
        <f>BIdetails!H904</f>
        <v>0</v>
      </c>
      <c r="C901">
        <f>BIdetails!J904</f>
        <v>0</v>
      </c>
      <c r="D901">
        <f>BIdetails!K904</f>
        <v>0</v>
      </c>
      <c r="E901" s="165">
        <f>BIdetails!M904</f>
        <v>0</v>
      </c>
      <c r="F901" t="e">
        <f>IF(ISERROR(IF(OR(C901="#",C901=0),"",VLOOKUP(C901,'AOP25'!M:M,1,0))),"Not Found",VLOOKUP(C901,'AOP25'!M:M,1,0))</f>
        <v>#N/A</v>
      </c>
      <c r="G901" t="e">
        <f t="shared" si="14"/>
        <v>#N/A</v>
      </c>
    </row>
    <row r="902" spans="1:7" hidden="1" x14ac:dyDescent="0.25">
      <c r="A902">
        <f>BIdetails!G905</f>
        <v>0</v>
      </c>
      <c r="B902">
        <f>BIdetails!H905</f>
        <v>0</v>
      </c>
      <c r="C902">
        <f>BIdetails!J905</f>
        <v>0</v>
      </c>
      <c r="D902">
        <f>BIdetails!K905</f>
        <v>0</v>
      </c>
      <c r="E902" s="165">
        <f>BIdetails!M905</f>
        <v>0</v>
      </c>
      <c r="F902" t="e">
        <f>IF(ISERROR(IF(OR(C902="#",C902=0),"",VLOOKUP(C902,'AOP25'!M:M,1,0))),"Not Found",VLOOKUP(C902,'AOP25'!M:M,1,0))</f>
        <v>#N/A</v>
      </c>
      <c r="G902" t="e">
        <f t="shared" si="14"/>
        <v>#N/A</v>
      </c>
    </row>
    <row r="903" spans="1:7" hidden="1" x14ac:dyDescent="0.25">
      <c r="A903">
        <f>BIdetails!G906</f>
        <v>0</v>
      </c>
      <c r="B903">
        <f>BIdetails!H906</f>
        <v>0</v>
      </c>
      <c r="C903">
        <f>BIdetails!J906</f>
        <v>0</v>
      </c>
      <c r="D903">
        <f>BIdetails!K906</f>
        <v>0</v>
      </c>
      <c r="E903" s="165">
        <f>BIdetails!M906</f>
        <v>0</v>
      </c>
      <c r="F903" t="e">
        <f>IF(ISERROR(IF(OR(C903="#",C903=0),"",VLOOKUP(C903,'AOP25'!M:M,1,0))),"Not Found",VLOOKUP(C903,'AOP25'!M:M,1,0))</f>
        <v>#N/A</v>
      </c>
      <c r="G903" t="e">
        <f t="shared" si="14"/>
        <v>#N/A</v>
      </c>
    </row>
    <row r="904" spans="1:7" hidden="1" x14ac:dyDescent="0.25">
      <c r="A904">
        <f>BIdetails!G907</f>
        <v>0</v>
      </c>
      <c r="B904">
        <f>BIdetails!H907</f>
        <v>0</v>
      </c>
      <c r="C904">
        <f>BIdetails!J907</f>
        <v>0</v>
      </c>
      <c r="D904">
        <f>BIdetails!K907</f>
        <v>0</v>
      </c>
      <c r="E904" s="165">
        <f>BIdetails!M907</f>
        <v>0</v>
      </c>
      <c r="F904" t="e">
        <f>IF(ISERROR(IF(OR(C904="#",C904=0),"",VLOOKUP(C904,'AOP25'!M:M,1,0))),"Not Found",VLOOKUP(C904,'AOP25'!M:M,1,0))</f>
        <v>#N/A</v>
      </c>
      <c r="G904" t="e">
        <f t="shared" si="14"/>
        <v>#N/A</v>
      </c>
    </row>
    <row r="905" spans="1:7" hidden="1" x14ac:dyDescent="0.25">
      <c r="A905">
        <f>BIdetails!G908</f>
        <v>0</v>
      </c>
      <c r="B905">
        <f>BIdetails!H908</f>
        <v>0</v>
      </c>
      <c r="C905">
        <f>BIdetails!J908</f>
        <v>0</v>
      </c>
      <c r="D905">
        <f>BIdetails!K908</f>
        <v>0</v>
      </c>
      <c r="E905" s="165">
        <f>BIdetails!M908</f>
        <v>0</v>
      </c>
      <c r="F905" t="e">
        <f>IF(ISERROR(IF(OR(C905="#",C905=0),"",VLOOKUP(C905,'AOP25'!M:M,1,0))),"Not Found",VLOOKUP(C905,'AOP25'!M:M,1,0))</f>
        <v>#N/A</v>
      </c>
      <c r="G905" t="e">
        <f t="shared" si="14"/>
        <v>#N/A</v>
      </c>
    </row>
    <row r="906" spans="1:7" hidden="1" x14ac:dyDescent="0.25">
      <c r="A906">
        <f>BIdetails!G909</f>
        <v>0</v>
      </c>
      <c r="B906">
        <f>BIdetails!H909</f>
        <v>0</v>
      </c>
      <c r="C906">
        <f>BIdetails!J909</f>
        <v>0</v>
      </c>
      <c r="D906">
        <f>BIdetails!K909</f>
        <v>0</v>
      </c>
      <c r="E906" s="165">
        <f>BIdetails!M909</f>
        <v>0</v>
      </c>
      <c r="F906" t="e">
        <f>IF(ISERROR(IF(OR(C906="#",C906=0),"",VLOOKUP(C906,'AOP25'!M:M,1,0))),"Not Found",VLOOKUP(C906,'AOP25'!M:M,1,0))</f>
        <v>#N/A</v>
      </c>
      <c r="G906" t="e">
        <f t="shared" si="14"/>
        <v>#N/A</v>
      </c>
    </row>
    <row r="907" spans="1:7" hidden="1" x14ac:dyDescent="0.25">
      <c r="A907">
        <f>BIdetails!G910</f>
        <v>0</v>
      </c>
      <c r="B907">
        <f>BIdetails!H910</f>
        <v>0</v>
      </c>
      <c r="C907">
        <f>BIdetails!J910</f>
        <v>0</v>
      </c>
      <c r="D907">
        <f>BIdetails!K910</f>
        <v>0</v>
      </c>
      <c r="E907" s="165">
        <f>BIdetails!M910</f>
        <v>0</v>
      </c>
      <c r="F907" t="e">
        <f>IF(ISERROR(IF(OR(C907="#",C907=0),"",VLOOKUP(C907,'AOP25'!M:M,1,0))),"Not Found",VLOOKUP(C907,'AOP25'!M:M,1,0))</f>
        <v>#N/A</v>
      </c>
      <c r="G907" t="e">
        <f t="shared" si="14"/>
        <v>#N/A</v>
      </c>
    </row>
    <row r="908" spans="1:7" hidden="1" x14ac:dyDescent="0.25">
      <c r="A908">
        <f>BIdetails!G911</f>
        <v>0</v>
      </c>
      <c r="B908">
        <f>BIdetails!H911</f>
        <v>0</v>
      </c>
      <c r="C908">
        <f>BIdetails!J911</f>
        <v>0</v>
      </c>
      <c r="D908">
        <f>BIdetails!K911</f>
        <v>0</v>
      </c>
      <c r="E908" s="165">
        <f>BIdetails!M911</f>
        <v>0</v>
      </c>
      <c r="F908" t="e">
        <f>IF(ISERROR(IF(OR(C908="#",C908=0),"",VLOOKUP(C908,'AOP25'!M:M,1,0))),"Not Found",VLOOKUP(C908,'AOP25'!M:M,1,0))</f>
        <v>#N/A</v>
      </c>
      <c r="G908" t="e">
        <f t="shared" si="14"/>
        <v>#N/A</v>
      </c>
    </row>
    <row r="909" spans="1:7" hidden="1" x14ac:dyDescent="0.25">
      <c r="A909">
        <f>BIdetails!G912</f>
        <v>0</v>
      </c>
      <c r="B909">
        <f>BIdetails!H912</f>
        <v>0</v>
      </c>
      <c r="C909">
        <f>BIdetails!J912</f>
        <v>0</v>
      </c>
      <c r="D909">
        <f>BIdetails!K912</f>
        <v>0</v>
      </c>
      <c r="E909" s="165">
        <f>BIdetails!M912</f>
        <v>0</v>
      </c>
      <c r="F909" t="e">
        <f>IF(ISERROR(IF(OR(C909="#",C909=0),"",VLOOKUP(C909,'AOP25'!M:M,1,0))),"Not Found",VLOOKUP(C909,'AOP25'!M:M,1,0))</f>
        <v>#N/A</v>
      </c>
      <c r="G909" t="e">
        <f t="shared" si="14"/>
        <v>#N/A</v>
      </c>
    </row>
    <row r="910" spans="1:7" hidden="1" x14ac:dyDescent="0.25">
      <c r="A910">
        <f>BIdetails!G913</f>
        <v>0</v>
      </c>
      <c r="B910">
        <f>BIdetails!H913</f>
        <v>0</v>
      </c>
      <c r="C910">
        <f>BIdetails!J913</f>
        <v>0</v>
      </c>
      <c r="D910">
        <f>BIdetails!K913</f>
        <v>0</v>
      </c>
      <c r="E910" s="165">
        <f>BIdetails!M913</f>
        <v>0</v>
      </c>
      <c r="F910" t="e">
        <f>IF(ISERROR(IF(OR(C910="#",C910=0),"",VLOOKUP(C910,'AOP25'!M:M,1,0))),"Not Found",VLOOKUP(C910,'AOP25'!M:M,1,0))</f>
        <v>#N/A</v>
      </c>
      <c r="G910" t="e">
        <f t="shared" si="14"/>
        <v>#N/A</v>
      </c>
    </row>
    <row r="911" spans="1:7" hidden="1" x14ac:dyDescent="0.25">
      <c r="A911">
        <f>BIdetails!G914</f>
        <v>0</v>
      </c>
      <c r="B911">
        <f>BIdetails!H914</f>
        <v>0</v>
      </c>
      <c r="C911">
        <f>BIdetails!J914</f>
        <v>0</v>
      </c>
      <c r="D911">
        <f>BIdetails!K914</f>
        <v>0</v>
      </c>
      <c r="E911" s="165">
        <f>BIdetails!M914</f>
        <v>0</v>
      </c>
      <c r="F911" t="e">
        <f>IF(ISERROR(IF(OR(C911="#",C911=0),"",VLOOKUP(C911,'AOP25'!M:M,1,0))),"Not Found",VLOOKUP(C911,'AOP25'!M:M,1,0))</f>
        <v>#N/A</v>
      </c>
      <c r="G911" t="e">
        <f t="shared" si="14"/>
        <v>#N/A</v>
      </c>
    </row>
    <row r="912" spans="1:7" hidden="1" x14ac:dyDescent="0.25">
      <c r="A912">
        <f>BIdetails!G915</f>
        <v>0</v>
      </c>
      <c r="B912">
        <f>BIdetails!H915</f>
        <v>0</v>
      </c>
      <c r="C912">
        <f>BIdetails!J915</f>
        <v>0</v>
      </c>
      <c r="D912">
        <f>BIdetails!K915</f>
        <v>0</v>
      </c>
      <c r="E912" s="165">
        <f>BIdetails!M915</f>
        <v>0</v>
      </c>
      <c r="F912" t="e">
        <f>IF(ISERROR(IF(OR(C912="#",C912=0),"",VLOOKUP(C912,'AOP25'!M:M,1,0))),"Not Found",VLOOKUP(C912,'AOP25'!M:M,1,0))</f>
        <v>#N/A</v>
      </c>
      <c r="G912" t="e">
        <f t="shared" si="14"/>
        <v>#N/A</v>
      </c>
    </row>
    <row r="913" spans="1:7" hidden="1" x14ac:dyDescent="0.25">
      <c r="A913">
        <f>BIdetails!G916</f>
        <v>0</v>
      </c>
      <c r="B913">
        <f>BIdetails!H916</f>
        <v>0</v>
      </c>
      <c r="C913">
        <f>BIdetails!J916</f>
        <v>0</v>
      </c>
      <c r="D913">
        <f>BIdetails!K916</f>
        <v>0</v>
      </c>
      <c r="E913" s="165">
        <f>BIdetails!M916</f>
        <v>0</v>
      </c>
      <c r="F913" t="e">
        <f>IF(ISERROR(IF(OR(C913="#",C913=0),"",VLOOKUP(C913,'AOP25'!M:M,1,0))),"Not Found",VLOOKUP(C913,'AOP25'!M:M,1,0))</f>
        <v>#N/A</v>
      </c>
      <c r="G913" t="e">
        <f t="shared" si="14"/>
        <v>#N/A</v>
      </c>
    </row>
    <row r="914" spans="1:7" hidden="1" x14ac:dyDescent="0.25">
      <c r="A914">
        <f>BIdetails!G917</f>
        <v>0</v>
      </c>
      <c r="B914">
        <f>BIdetails!H917</f>
        <v>0</v>
      </c>
      <c r="C914">
        <f>BIdetails!J917</f>
        <v>0</v>
      </c>
      <c r="D914">
        <f>BIdetails!K917</f>
        <v>0</v>
      </c>
      <c r="E914" s="165">
        <f>BIdetails!M917</f>
        <v>0</v>
      </c>
      <c r="F914" t="e">
        <f>IF(ISERROR(IF(OR(C914="#",C914=0),"",VLOOKUP(C914,'AOP25'!M:M,1,0))),"Not Found",VLOOKUP(C914,'AOP25'!M:M,1,0))</f>
        <v>#N/A</v>
      </c>
      <c r="G914" t="e">
        <f t="shared" si="14"/>
        <v>#N/A</v>
      </c>
    </row>
    <row r="915" spans="1:7" hidden="1" x14ac:dyDescent="0.25">
      <c r="A915">
        <f>BIdetails!G918</f>
        <v>0</v>
      </c>
      <c r="B915">
        <f>BIdetails!H918</f>
        <v>0</v>
      </c>
      <c r="C915">
        <f>BIdetails!J918</f>
        <v>0</v>
      </c>
      <c r="D915">
        <f>BIdetails!K918</f>
        <v>0</v>
      </c>
      <c r="E915" s="165">
        <f>BIdetails!M918</f>
        <v>0</v>
      </c>
      <c r="F915" t="e">
        <f>IF(ISERROR(IF(OR(C915="#",C915=0),"",VLOOKUP(C915,'AOP25'!M:M,1,0))),"Not Found",VLOOKUP(C915,'AOP25'!M:M,1,0))</f>
        <v>#N/A</v>
      </c>
      <c r="G915" t="e">
        <f t="shared" si="14"/>
        <v>#N/A</v>
      </c>
    </row>
    <row r="916" spans="1:7" hidden="1" x14ac:dyDescent="0.25">
      <c r="A916">
        <f>BIdetails!G919</f>
        <v>0</v>
      </c>
      <c r="B916">
        <f>BIdetails!H919</f>
        <v>0</v>
      </c>
      <c r="C916">
        <f>BIdetails!J919</f>
        <v>0</v>
      </c>
      <c r="D916">
        <f>BIdetails!K919</f>
        <v>0</v>
      </c>
      <c r="E916" s="165">
        <f>BIdetails!M919</f>
        <v>0</v>
      </c>
      <c r="F916" t="e">
        <f>IF(ISERROR(IF(OR(C916="#",C916=0),"",VLOOKUP(C916,'AOP25'!M:M,1,0))),"Not Found",VLOOKUP(C916,'AOP25'!M:M,1,0))</f>
        <v>#N/A</v>
      </c>
      <c r="G916" t="e">
        <f t="shared" si="14"/>
        <v>#N/A</v>
      </c>
    </row>
    <row r="917" spans="1:7" hidden="1" x14ac:dyDescent="0.25">
      <c r="A917">
        <f>BIdetails!G920</f>
        <v>0</v>
      </c>
      <c r="B917">
        <f>BIdetails!H920</f>
        <v>0</v>
      </c>
      <c r="C917">
        <f>BIdetails!J920</f>
        <v>0</v>
      </c>
      <c r="D917">
        <f>BIdetails!K920</f>
        <v>0</v>
      </c>
      <c r="E917" s="165">
        <f>BIdetails!M920</f>
        <v>0</v>
      </c>
      <c r="F917" t="e">
        <f>IF(ISERROR(IF(OR(C917="#",C917=0),"",VLOOKUP(C917,'AOP25'!M:M,1,0))),"Not Found",VLOOKUP(C917,'AOP25'!M:M,1,0))</f>
        <v>#N/A</v>
      </c>
      <c r="G917" t="e">
        <f t="shared" si="14"/>
        <v>#N/A</v>
      </c>
    </row>
    <row r="918" spans="1:7" hidden="1" x14ac:dyDescent="0.25">
      <c r="A918">
        <f>BIdetails!G921</f>
        <v>0</v>
      </c>
      <c r="B918">
        <f>BIdetails!H921</f>
        <v>0</v>
      </c>
      <c r="C918">
        <f>BIdetails!J921</f>
        <v>0</v>
      </c>
      <c r="D918">
        <f>BIdetails!K921</f>
        <v>0</v>
      </c>
      <c r="E918" s="165">
        <f>BIdetails!M921</f>
        <v>0</v>
      </c>
      <c r="F918" t="e">
        <f>IF(ISERROR(IF(OR(C918="#",C918=0),"",VLOOKUP(C918,'AOP25'!M:M,1,0))),"Not Found",VLOOKUP(C918,'AOP25'!M:M,1,0))</f>
        <v>#N/A</v>
      </c>
      <c r="G918" t="e">
        <f t="shared" si="14"/>
        <v>#N/A</v>
      </c>
    </row>
    <row r="919" spans="1:7" hidden="1" x14ac:dyDescent="0.25">
      <c r="A919">
        <f>BIdetails!G922</f>
        <v>0</v>
      </c>
      <c r="B919">
        <f>BIdetails!H922</f>
        <v>0</v>
      </c>
      <c r="C919">
        <f>BIdetails!J922</f>
        <v>0</v>
      </c>
      <c r="D919">
        <f>BIdetails!K922</f>
        <v>0</v>
      </c>
      <c r="E919" s="165">
        <f>BIdetails!M922</f>
        <v>0</v>
      </c>
      <c r="F919" t="e">
        <f>IF(ISERROR(IF(OR(C919="#",C919=0),"",VLOOKUP(C919,'AOP25'!M:M,1,0))),"Not Found",VLOOKUP(C919,'AOP25'!M:M,1,0))</f>
        <v>#N/A</v>
      </c>
      <c r="G919" t="e">
        <f t="shared" si="14"/>
        <v>#N/A</v>
      </c>
    </row>
    <row r="920" spans="1:7" hidden="1" x14ac:dyDescent="0.25">
      <c r="A920">
        <f>BIdetails!G923</f>
        <v>0</v>
      </c>
      <c r="B920">
        <f>BIdetails!H923</f>
        <v>0</v>
      </c>
      <c r="C920">
        <f>BIdetails!J923</f>
        <v>0</v>
      </c>
      <c r="D920">
        <f>BIdetails!K923</f>
        <v>0</v>
      </c>
      <c r="E920" s="165">
        <f>BIdetails!M923</f>
        <v>0</v>
      </c>
      <c r="F920" t="e">
        <f>IF(ISERROR(IF(OR(C920="#",C920=0),"",VLOOKUP(C920,'AOP25'!M:M,1,0))),"Not Found",VLOOKUP(C920,'AOP25'!M:M,1,0))</f>
        <v>#N/A</v>
      </c>
      <c r="G920" t="e">
        <f t="shared" si="14"/>
        <v>#N/A</v>
      </c>
    </row>
    <row r="921" spans="1:7" hidden="1" x14ac:dyDescent="0.25">
      <c r="A921">
        <f>BIdetails!G924</f>
        <v>0</v>
      </c>
      <c r="B921">
        <f>BIdetails!H924</f>
        <v>0</v>
      </c>
      <c r="C921">
        <f>BIdetails!J924</f>
        <v>0</v>
      </c>
      <c r="D921">
        <f>BIdetails!K924</f>
        <v>0</v>
      </c>
      <c r="E921" s="165">
        <f>BIdetails!M924</f>
        <v>0</v>
      </c>
      <c r="F921" t="e">
        <f>IF(ISERROR(IF(OR(C921="#",C921=0),"",VLOOKUP(C921,'AOP25'!M:M,1,0))),"Not Found",VLOOKUP(C921,'AOP25'!M:M,1,0))</f>
        <v>#N/A</v>
      </c>
      <c r="G921" t="e">
        <f t="shared" si="14"/>
        <v>#N/A</v>
      </c>
    </row>
    <row r="922" spans="1:7" hidden="1" x14ac:dyDescent="0.25">
      <c r="A922">
        <f>BIdetails!G925</f>
        <v>0</v>
      </c>
      <c r="B922">
        <f>BIdetails!H925</f>
        <v>0</v>
      </c>
      <c r="C922">
        <f>BIdetails!J925</f>
        <v>0</v>
      </c>
      <c r="D922">
        <f>BIdetails!K925</f>
        <v>0</v>
      </c>
      <c r="E922" s="165">
        <f>BIdetails!M925</f>
        <v>0</v>
      </c>
      <c r="F922" t="e">
        <f>IF(ISERROR(IF(OR(C922="#",C922=0),"",VLOOKUP(C922,'AOP25'!M:M,1,0))),"Not Found",VLOOKUP(C922,'AOP25'!M:M,1,0))</f>
        <v>#N/A</v>
      </c>
      <c r="G922" t="e">
        <f t="shared" si="14"/>
        <v>#N/A</v>
      </c>
    </row>
    <row r="923" spans="1:7" hidden="1" x14ac:dyDescent="0.25">
      <c r="A923">
        <f>BIdetails!G926</f>
        <v>0</v>
      </c>
      <c r="B923">
        <f>BIdetails!H926</f>
        <v>0</v>
      </c>
      <c r="C923">
        <f>BIdetails!J926</f>
        <v>0</v>
      </c>
      <c r="D923">
        <f>BIdetails!K926</f>
        <v>0</v>
      </c>
      <c r="E923" s="165">
        <f>BIdetails!M926</f>
        <v>0</v>
      </c>
      <c r="F923" t="e">
        <f>IF(ISERROR(IF(OR(C923="#",C923=0),"",VLOOKUP(C923,'AOP25'!M:M,1,0))),"Not Found",VLOOKUP(C923,'AOP25'!M:M,1,0))</f>
        <v>#N/A</v>
      </c>
      <c r="G923" t="e">
        <f t="shared" si="14"/>
        <v>#N/A</v>
      </c>
    </row>
    <row r="924" spans="1:7" hidden="1" x14ac:dyDescent="0.25">
      <c r="A924">
        <f>BIdetails!G927</f>
        <v>0</v>
      </c>
      <c r="B924">
        <f>BIdetails!H927</f>
        <v>0</v>
      </c>
      <c r="C924">
        <f>BIdetails!J927</f>
        <v>0</v>
      </c>
      <c r="D924">
        <f>BIdetails!K927</f>
        <v>0</v>
      </c>
      <c r="E924" s="165">
        <f>BIdetails!M927</f>
        <v>0</v>
      </c>
      <c r="F924" t="e">
        <f>IF(ISERROR(IF(OR(C924="#",C924=0),"",VLOOKUP(C924,'AOP25'!M:M,1,0))),"Not Found",VLOOKUP(C924,'AOP25'!M:M,1,0))</f>
        <v>#N/A</v>
      </c>
      <c r="G924" t="e">
        <f t="shared" si="14"/>
        <v>#N/A</v>
      </c>
    </row>
    <row r="925" spans="1:7" hidden="1" x14ac:dyDescent="0.25">
      <c r="A925">
        <f>BIdetails!G928</f>
        <v>0</v>
      </c>
      <c r="B925">
        <f>BIdetails!H928</f>
        <v>0</v>
      </c>
      <c r="C925">
        <f>BIdetails!J928</f>
        <v>0</v>
      </c>
      <c r="D925">
        <f>BIdetails!K928</f>
        <v>0</v>
      </c>
      <c r="E925" s="165">
        <f>BIdetails!M928</f>
        <v>0</v>
      </c>
      <c r="F925" t="e">
        <f>IF(ISERROR(IF(OR(C925="#",C925=0),"",VLOOKUP(C925,'AOP25'!M:M,1,0))),"Not Found",VLOOKUP(C925,'AOP25'!M:M,1,0))</f>
        <v>#N/A</v>
      </c>
      <c r="G925" t="e">
        <f t="shared" si="14"/>
        <v>#N/A</v>
      </c>
    </row>
    <row r="926" spans="1:7" hidden="1" x14ac:dyDescent="0.25">
      <c r="A926">
        <f>BIdetails!G929</f>
        <v>0</v>
      </c>
      <c r="B926">
        <f>BIdetails!H929</f>
        <v>0</v>
      </c>
      <c r="C926">
        <f>BIdetails!J929</f>
        <v>0</v>
      </c>
      <c r="D926">
        <f>BIdetails!K929</f>
        <v>0</v>
      </c>
      <c r="E926" s="165">
        <f>BIdetails!M929</f>
        <v>0</v>
      </c>
      <c r="F926" t="e">
        <f>IF(ISERROR(IF(OR(C926="#",C926=0),"",VLOOKUP(C926,'AOP25'!M:M,1,0))),"Not Found",VLOOKUP(C926,'AOP25'!M:M,1,0))</f>
        <v>#N/A</v>
      </c>
      <c r="G926" t="e">
        <f t="shared" si="14"/>
        <v>#N/A</v>
      </c>
    </row>
    <row r="927" spans="1:7" x14ac:dyDescent="0.25">
      <c r="A927">
        <f>BIdetails!G930</f>
        <v>0</v>
      </c>
      <c r="B927">
        <f>BIdetails!H930</f>
        <v>0</v>
      </c>
      <c r="C927">
        <f>BIdetails!J930</f>
        <v>0</v>
      </c>
      <c r="D927">
        <f>BIdetails!K930</f>
        <v>0</v>
      </c>
      <c r="E927" s="165">
        <f>BIdetails!M930</f>
        <v>0</v>
      </c>
      <c r="F927" t="e">
        <f>IF(ISERROR(IF(OR(C927="#",C927=0),"",VLOOKUP(C927,'AOP25'!M:M,1,0))),"Not Found",VLOOKUP(C927,'AOP25'!M:M,1,0))</f>
        <v>#N/A</v>
      </c>
      <c r="G927" t="e">
        <f t="shared" si="14"/>
        <v>#N/A</v>
      </c>
    </row>
    <row r="928" spans="1:7" hidden="1" x14ac:dyDescent="0.25">
      <c r="A928">
        <f>BIdetails!G931</f>
        <v>0</v>
      </c>
      <c r="B928">
        <f>BIdetails!H931</f>
        <v>0</v>
      </c>
      <c r="C928">
        <f>BIdetails!J931</f>
        <v>0</v>
      </c>
      <c r="D928">
        <f>BIdetails!K931</f>
        <v>0</v>
      </c>
      <c r="E928" s="165">
        <f>BIdetails!M931</f>
        <v>0</v>
      </c>
      <c r="F928" t="e">
        <f>IF(ISERROR(IF(OR(C928="#",C928=0),"",VLOOKUP(C928,'AOP25'!M:M,1,0))),"Not Found",VLOOKUP(C928,'AOP25'!M:M,1,0))</f>
        <v>#N/A</v>
      </c>
      <c r="G928" t="e">
        <f t="shared" si="14"/>
        <v>#N/A</v>
      </c>
    </row>
    <row r="929" spans="1:7" hidden="1" x14ac:dyDescent="0.25">
      <c r="A929">
        <f>BIdetails!G932</f>
        <v>0</v>
      </c>
      <c r="B929">
        <f>BIdetails!H932</f>
        <v>0</v>
      </c>
      <c r="C929">
        <f>BIdetails!J932</f>
        <v>0</v>
      </c>
      <c r="D929">
        <f>BIdetails!K932</f>
        <v>0</v>
      </c>
      <c r="E929" s="165">
        <f>BIdetails!M932</f>
        <v>0</v>
      </c>
      <c r="F929" t="e">
        <f>IF(ISERROR(IF(OR(C929="#",C929=0),"",VLOOKUP(C929,'AOP25'!M:M,1,0))),"Not Found",VLOOKUP(C929,'AOP25'!M:M,1,0))</f>
        <v>#N/A</v>
      </c>
      <c r="G929" t="e">
        <f t="shared" si="14"/>
        <v>#N/A</v>
      </c>
    </row>
    <row r="930" spans="1:7" hidden="1" x14ac:dyDescent="0.25">
      <c r="A930">
        <f>BIdetails!G933</f>
        <v>0</v>
      </c>
      <c r="B930">
        <f>BIdetails!H933</f>
        <v>0</v>
      </c>
      <c r="C930">
        <f>BIdetails!J933</f>
        <v>0</v>
      </c>
      <c r="D930">
        <f>BIdetails!K933</f>
        <v>0</v>
      </c>
      <c r="E930" s="165">
        <f>BIdetails!M933</f>
        <v>0</v>
      </c>
      <c r="F930" t="e">
        <f>IF(ISERROR(IF(OR(C930="#",C930=0),"",VLOOKUP(C930,'AOP25'!M:M,1,0))),"Not Found",VLOOKUP(C930,'AOP25'!M:M,1,0))</f>
        <v>#N/A</v>
      </c>
      <c r="G930" t="e">
        <f t="shared" si="14"/>
        <v>#N/A</v>
      </c>
    </row>
    <row r="931" spans="1:7" hidden="1" x14ac:dyDescent="0.25">
      <c r="A931">
        <f>BIdetails!G934</f>
        <v>0</v>
      </c>
      <c r="B931">
        <f>BIdetails!H934</f>
        <v>0</v>
      </c>
      <c r="C931">
        <f>BIdetails!J934</f>
        <v>0</v>
      </c>
      <c r="D931">
        <f>BIdetails!K934</f>
        <v>0</v>
      </c>
      <c r="E931" s="165">
        <f>BIdetails!M934</f>
        <v>0</v>
      </c>
      <c r="F931" t="e">
        <f>IF(ISERROR(IF(OR(C931="#",C931=0),"",VLOOKUP(C931,'AOP25'!M:M,1,0))),"Not Found",VLOOKUP(C931,'AOP25'!M:M,1,0))</f>
        <v>#N/A</v>
      </c>
      <c r="G931" t="e">
        <f t="shared" si="14"/>
        <v>#N/A</v>
      </c>
    </row>
    <row r="932" spans="1:7" x14ac:dyDescent="0.25">
      <c r="A932">
        <f>BIdetails!G935</f>
        <v>0</v>
      </c>
      <c r="B932">
        <f>BIdetails!H935</f>
        <v>0</v>
      </c>
      <c r="C932">
        <f>BIdetails!J935</f>
        <v>0</v>
      </c>
      <c r="D932">
        <f>BIdetails!K935</f>
        <v>0</v>
      </c>
      <c r="E932" s="165">
        <f>BIdetails!M935</f>
        <v>0</v>
      </c>
      <c r="F932" t="e">
        <f>IF(ISERROR(IF(OR(C932="#",C932=0),"",VLOOKUP(C932,'AOP25'!M:M,1,0))),"Not Found",VLOOKUP(C932,'AOP25'!M:M,1,0))</f>
        <v>#N/A</v>
      </c>
      <c r="G932" t="e">
        <f t="shared" si="14"/>
        <v>#N/A</v>
      </c>
    </row>
    <row r="933" spans="1:7" x14ac:dyDescent="0.25">
      <c r="A933">
        <f>BIdetails!G936</f>
        <v>0</v>
      </c>
      <c r="B933">
        <f>BIdetails!H936</f>
        <v>0</v>
      </c>
      <c r="C933">
        <f>BIdetails!J936</f>
        <v>0</v>
      </c>
      <c r="D933">
        <f>BIdetails!K936</f>
        <v>0</v>
      </c>
      <c r="E933" s="165">
        <f>BIdetails!M936</f>
        <v>0</v>
      </c>
      <c r="F933" t="e">
        <f>IF(ISERROR(IF(OR(C933="#",C933=0),"",VLOOKUP(C933,'AOP25'!M:M,1,0))),"Not Found",VLOOKUP(C933,'AOP25'!M:M,1,0))</f>
        <v>#N/A</v>
      </c>
      <c r="G933" t="e">
        <f t="shared" si="14"/>
        <v>#N/A</v>
      </c>
    </row>
    <row r="934" spans="1:7" hidden="1" x14ac:dyDescent="0.25">
      <c r="A934">
        <f>BIdetails!G937</f>
        <v>0</v>
      </c>
      <c r="B934">
        <f>BIdetails!H937</f>
        <v>0</v>
      </c>
      <c r="C934">
        <f>BIdetails!J937</f>
        <v>0</v>
      </c>
      <c r="D934">
        <f>BIdetails!K937</f>
        <v>0</v>
      </c>
      <c r="E934" s="165">
        <f>BIdetails!M937</f>
        <v>0</v>
      </c>
      <c r="F934" t="e">
        <f>IF(ISERROR(IF(OR(C934="#",C934=0),"",VLOOKUP(C934,'AOP25'!M:M,1,0))),"Not Found",VLOOKUP(C934,'AOP25'!M:M,1,0))</f>
        <v>#N/A</v>
      </c>
      <c r="G934" t="e">
        <f t="shared" si="14"/>
        <v>#N/A</v>
      </c>
    </row>
    <row r="935" spans="1:7" hidden="1" x14ac:dyDescent="0.25">
      <c r="A935">
        <f>BIdetails!G938</f>
        <v>0</v>
      </c>
      <c r="B935">
        <f>BIdetails!H938</f>
        <v>0</v>
      </c>
      <c r="C935">
        <f>BIdetails!J938</f>
        <v>0</v>
      </c>
      <c r="D935">
        <f>BIdetails!K938</f>
        <v>0</v>
      </c>
      <c r="E935" s="165">
        <f>BIdetails!M938</f>
        <v>0</v>
      </c>
      <c r="F935" t="e">
        <f>IF(ISERROR(IF(OR(C935="#",C935=0),"",VLOOKUP(C935,'AOP25'!M:M,1,0))),"Not Found",VLOOKUP(C935,'AOP25'!M:M,1,0))</f>
        <v>#N/A</v>
      </c>
      <c r="G935" t="e">
        <f t="shared" si="14"/>
        <v>#N/A</v>
      </c>
    </row>
    <row r="936" spans="1:7" hidden="1" x14ac:dyDescent="0.25">
      <c r="A936">
        <f>BIdetails!G939</f>
        <v>0</v>
      </c>
      <c r="B936">
        <f>BIdetails!H939</f>
        <v>0</v>
      </c>
      <c r="C936">
        <f>BIdetails!J939</f>
        <v>0</v>
      </c>
      <c r="D936">
        <f>BIdetails!K939</f>
        <v>0</v>
      </c>
      <c r="E936" s="165">
        <f>BIdetails!M939</f>
        <v>0</v>
      </c>
      <c r="F936" t="e">
        <f>IF(ISERROR(IF(OR(C936="#",C936=0),"",VLOOKUP(C936,'AOP25'!M:M,1,0))),"Not Found",VLOOKUP(C936,'AOP25'!M:M,1,0))</f>
        <v>#N/A</v>
      </c>
      <c r="G936" t="e">
        <f t="shared" si="14"/>
        <v>#N/A</v>
      </c>
    </row>
    <row r="937" spans="1:7" hidden="1" x14ac:dyDescent="0.25">
      <c r="A937">
        <f>BIdetails!G940</f>
        <v>0</v>
      </c>
      <c r="B937">
        <f>BIdetails!H940</f>
        <v>0</v>
      </c>
      <c r="C937">
        <f>BIdetails!J940</f>
        <v>0</v>
      </c>
      <c r="D937">
        <f>BIdetails!K940</f>
        <v>0</v>
      </c>
      <c r="E937" s="165">
        <f>BIdetails!M940</f>
        <v>0</v>
      </c>
      <c r="F937" t="e">
        <f>IF(ISERROR(IF(OR(C937="#",C937=0),"",VLOOKUP(C937,'AOP25'!M:M,1,0))),"Not Found",VLOOKUP(C937,'AOP25'!M:M,1,0))</f>
        <v>#N/A</v>
      </c>
      <c r="G937" t="e">
        <f t="shared" si="14"/>
        <v>#N/A</v>
      </c>
    </row>
    <row r="938" spans="1:7" hidden="1" x14ac:dyDescent="0.25">
      <c r="A938">
        <f>BIdetails!G941</f>
        <v>0</v>
      </c>
      <c r="B938">
        <f>BIdetails!H941</f>
        <v>0</v>
      </c>
      <c r="C938">
        <f>BIdetails!J941</f>
        <v>0</v>
      </c>
      <c r="D938">
        <f>BIdetails!K941</f>
        <v>0</v>
      </c>
      <c r="E938" s="165">
        <f>BIdetails!M941</f>
        <v>0</v>
      </c>
      <c r="F938" t="e">
        <f>IF(ISERROR(IF(OR(C938="#",C938=0),"",VLOOKUP(C938,'AOP25'!M:M,1,0))),"Not Found",VLOOKUP(C938,'AOP25'!M:M,1,0))</f>
        <v>#N/A</v>
      </c>
      <c r="G938" t="e">
        <f t="shared" si="14"/>
        <v>#N/A</v>
      </c>
    </row>
    <row r="939" spans="1:7" hidden="1" x14ac:dyDescent="0.25">
      <c r="A939">
        <f>BIdetails!G942</f>
        <v>0</v>
      </c>
      <c r="B939">
        <f>BIdetails!H942</f>
        <v>0</v>
      </c>
      <c r="C939">
        <f>BIdetails!J942</f>
        <v>0</v>
      </c>
      <c r="D939">
        <f>BIdetails!K942</f>
        <v>0</v>
      </c>
      <c r="E939" s="165">
        <f>BIdetails!M942</f>
        <v>0</v>
      </c>
      <c r="F939" t="e">
        <f>IF(ISERROR(IF(OR(C939="#",C939=0),"",VLOOKUP(C939,'AOP25'!M:M,1,0))),"Not Found",VLOOKUP(C939,'AOP25'!M:M,1,0))</f>
        <v>#N/A</v>
      </c>
      <c r="G939" t="e">
        <f t="shared" si="14"/>
        <v>#N/A</v>
      </c>
    </row>
    <row r="940" spans="1:7" x14ac:dyDescent="0.25">
      <c r="A940">
        <f>BIdetails!G943</f>
        <v>0</v>
      </c>
      <c r="B940">
        <f>BIdetails!H943</f>
        <v>0</v>
      </c>
      <c r="C940">
        <f>BIdetails!J943</f>
        <v>0</v>
      </c>
      <c r="D940">
        <f>BIdetails!K943</f>
        <v>0</v>
      </c>
      <c r="E940" s="165">
        <f>BIdetails!M943</f>
        <v>0</v>
      </c>
      <c r="F940" t="e">
        <f>IF(ISERROR(IF(OR(C940="#",C940=0),"",VLOOKUP(C940,'AOP25'!M:M,1,0))),"Not Found",VLOOKUP(C940,'AOP25'!M:M,1,0))</f>
        <v>#N/A</v>
      </c>
      <c r="G940" t="e">
        <f t="shared" si="14"/>
        <v>#N/A</v>
      </c>
    </row>
    <row r="941" spans="1:7" hidden="1" x14ac:dyDescent="0.25">
      <c r="A941">
        <f>BIdetails!G944</f>
        <v>0</v>
      </c>
      <c r="B941">
        <f>BIdetails!H944</f>
        <v>0</v>
      </c>
      <c r="C941">
        <f>BIdetails!J944</f>
        <v>0</v>
      </c>
      <c r="D941">
        <f>BIdetails!K944</f>
        <v>0</v>
      </c>
      <c r="E941" s="165">
        <f>BIdetails!M944</f>
        <v>0</v>
      </c>
      <c r="F941" t="e">
        <f>IF(ISERROR(IF(OR(C941="#",C941=0),"",VLOOKUP(C941,'AOP25'!M:M,1,0))),"Not Found",VLOOKUP(C941,'AOP25'!M:M,1,0))</f>
        <v>#N/A</v>
      </c>
      <c r="G941" t="e">
        <f t="shared" si="14"/>
        <v>#N/A</v>
      </c>
    </row>
    <row r="942" spans="1:7" hidden="1" x14ac:dyDescent="0.25">
      <c r="A942">
        <f>BIdetails!G945</f>
        <v>0</v>
      </c>
      <c r="B942">
        <f>BIdetails!H945</f>
        <v>0</v>
      </c>
      <c r="C942">
        <f>BIdetails!J945</f>
        <v>0</v>
      </c>
      <c r="D942">
        <f>BIdetails!K945</f>
        <v>0</v>
      </c>
      <c r="E942" s="165">
        <f>BIdetails!M945</f>
        <v>0</v>
      </c>
      <c r="F942" t="e">
        <f>IF(ISERROR(IF(OR(C942="#",C942=0),"",VLOOKUP(C942,'AOP25'!M:M,1,0))),"Not Found",VLOOKUP(C942,'AOP25'!M:M,1,0))</f>
        <v>#N/A</v>
      </c>
      <c r="G942" t="e">
        <f t="shared" si="14"/>
        <v>#N/A</v>
      </c>
    </row>
    <row r="943" spans="1:7" hidden="1" x14ac:dyDescent="0.25">
      <c r="A943">
        <f>BIdetails!G946</f>
        <v>0</v>
      </c>
      <c r="B943">
        <f>BIdetails!H946</f>
        <v>0</v>
      </c>
      <c r="C943">
        <f>BIdetails!J946</f>
        <v>0</v>
      </c>
      <c r="D943">
        <f>BIdetails!K946</f>
        <v>0</v>
      </c>
      <c r="E943" s="165">
        <f>BIdetails!M946</f>
        <v>0</v>
      </c>
      <c r="F943" t="e">
        <f>IF(ISERROR(IF(OR(C943="#",C943=0),"",VLOOKUP(C943,'AOP25'!M:M,1,0))),"Not Found",VLOOKUP(C943,'AOP25'!M:M,1,0))</f>
        <v>#N/A</v>
      </c>
      <c r="G943" t="e">
        <f t="shared" si="14"/>
        <v>#N/A</v>
      </c>
    </row>
    <row r="944" spans="1:7" hidden="1" x14ac:dyDescent="0.25">
      <c r="A944">
        <f>BIdetails!G947</f>
        <v>0</v>
      </c>
      <c r="B944">
        <f>BIdetails!H947</f>
        <v>0</v>
      </c>
      <c r="C944">
        <f>BIdetails!J947</f>
        <v>0</v>
      </c>
      <c r="D944">
        <f>BIdetails!K947</f>
        <v>0</v>
      </c>
      <c r="E944" s="165">
        <f>BIdetails!M947</f>
        <v>0</v>
      </c>
      <c r="F944" t="e">
        <f>IF(ISERROR(IF(OR(C944="#",C944=0),"",VLOOKUP(C944,'AOP25'!M:M,1,0))),"Not Found",VLOOKUP(C944,'AOP25'!M:M,1,0))</f>
        <v>#N/A</v>
      </c>
      <c r="G944" t="e">
        <f t="shared" si="14"/>
        <v>#N/A</v>
      </c>
    </row>
    <row r="945" spans="1:7" hidden="1" x14ac:dyDescent="0.25">
      <c r="A945">
        <f>BIdetails!G948</f>
        <v>0</v>
      </c>
      <c r="B945">
        <f>BIdetails!H948</f>
        <v>0</v>
      </c>
      <c r="C945">
        <f>BIdetails!J948</f>
        <v>0</v>
      </c>
      <c r="D945">
        <f>BIdetails!K948</f>
        <v>0</v>
      </c>
      <c r="E945" s="165">
        <f>BIdetails!M948</f>
        <v>0</v>
      </c>
      <c r="F945" t="e">
        <f>IF(ISERROR(IF(OR(C945="#",C945=0),"",VLOOKUP(C945,'AOP25'!M:M,1,0))),"Not Found",VLOOKUP(C945,'AOP25'!M:M,1,0))</f>
        <v>#N/A</v>
      </c>
      <c r="G945" t="e">
        <f t="shared" si="14"/>
        <v>#N/A</v>
      </c>
    </row>
    <row r="946" spans="1:7" x14ac:dyDescent="0.25">
      <c r="A946">
        <f>BIdetails!G949</f>
        <v>0</v>
      </c>
      <c r="B946">
        <f>BIdetails!H949</f>
        <v>0</v>
      </c>
      <c r="C946">
        <f>BIdetails!J949</f>
        <v>0</v>
      </c>
      <c r="D946">
        <f>BIdetails!K949</f>
        <v>0</v>
      </c>
      <c r="E946" s="165">
        <f>BIdetails!M949</f>
        <v>0</v>
      </c>
      <c r="F946" t="e">
        <f>IF(ISERROR(IF(OR(C946="#",C946=0),"",VLOOKUP(C946,'AOP25'!M:M,1,0))),"Not Found",VLOOKUP(C946,'AOP25'!M:M,1,0))</f>
        <v>#N/A</v>
      </c>
      <c r="G946" t="e">
        <f t="shared" si="14"/>
        <v>#N/A</v>
      </c>
    </row>
    <row r="947" spans="1:7" hidden="1" x14ac:dyDescent="0.25">
      <c r="A947">
        <f>BIdetails!G950</f>
        <v>0</v>
      </c>
      <c r="B947">
        <f>BIdetails!H950</f>
        <v>0</v>
      </c>
      <c r="C947">
        <f>BIdetails!J950</f>
        <v>0</v>
      </c>
      <c r="D947">
        <f>BIdetails!K950</f>
        <v>0</v>
      </c>
      <c r="E947" s="165">
        <f>BIdetails!M950</f>
        <v>0</v>
      </c>
      <c r="F947" t="e">
        <f>IF(ISERROR(IF(OR(C947="#",C947=0),"",VLOOKUP(C947,'AOP25'!M:M,1,0))),"Not Found",VLOOKUP(C947,'AOP25'!M:M,1,0))</f>
        <v>#N/A</v>
      </c>
      <c r="G947" t="e">
        <f t="shared" si="14"/>
        <v>#N/A</v>
      </c>
    </row>
    <row r="948" spans="1:7" hidden="1" x14ac:dyDescent="0.25">
      <c r="A948">
        <f>BIdetails!G951</f>
        <v>0</v>
      </c>
      <c r="B948">
        <f>BIdetails!H951</f>
        <v>0</v>
      </c>
      <c r="C948">
        <f>BIdetails!J951</f>
        <v>0</v>
      </c>
      <c r="D948">
        <f>BIdetails!K951</f>
        <v>0</v>
      </c>
      <c r="E948" s="165">
        <f>BIdetails!M951</f>
        <v>0</v>
      </c>
      <c r="F948" t="e">
        <f>IF(ISERROR(IF(OR(C948="#",C948=0),"",VLOOKUP(C948,'AOP25'!M:M,1,0))),"Not Found",VLOOKUP(C948,'AOP25'!M:M,1,0))</f>
        <v>#N/A</v>
      </c>
      <c r="G948" t="e">
        <f t="shared" si="14"/>
        <v>#N/A</v>
      </c>
    </row>
    <row r="949" spans="1:7" hidden="1" x14ac:dyDescent="0.25">
      <c r="A949">
        <f>BIdetails!G952</f>
        <v>0</v>
      </c>
      <c r="B949">
        <f>BIdetails!H952</f>
        <v>0</v>
      </c>
      <c r="C949">
        <f>BIdetails!J952</f>
        <v>0</v>
      </c>
      <c r="D949">
        <f>BIdetails!K952</f>
        <v>0</v>
      </c>
      <c r="E949" s="165">
        <f>BIdetails!M952</f>
        <v>0</v>
      </c>
      <c r="F949" t="e">
        <f>IF(ISERROR(IF(OR(C949="#",C949=0),"",VLOOKUP(C949,'AOP25'!M:M,1,0))),"Not Found",VLOOKUP(C949,'AOP25'!M:M,1,0))</f>
        <v>#N/A</v>
      </c>
      <c r="G949" t="e">
        <f t="shared" si="14"/>
        <v>#N/A</v>
      </c>
    </row>
    <row r="950" spans="1:7" hidden="1" x14ac:dyDescent="0.25">
      <c r="A950">
        <f>BIdetails!G953</f>
        <v>0</v>
      </c>
      <c r="B950">
        <f>BIdetails!H953</f>
        <v>0</v>
      </c>
      <c r="C950">
        <f>BIdetails!J953</f>
        <v>0</v>
      </c>
      <c r="D950">
        <f>BIdetails!K953</f>
        <v>0</v>
      </c>
      <c r="E950" s="165">
        <f>BIdetails!M953</f>
        <v>0</v>
      </c>
      <c r="F950" t="e">
        <f>IF(ISERROR(IF(OR(C950="#",C950=0),"",VLOOKUP(C950,'AOP25'!M:M,1,0))),"Not Found",VLOOKUP(C950,'AOP25'!M:M,1,0))</f>
        <v>#N/A</v>
      </c>
      <c r="G950" t="e">
        <f t="shared" si="14"/>
        <v>#N/A</v>
      </c>
    </row>
    <row r="951" spans="1:7" hidden="1" x14ac:dyDescent="0.25">
      <c r="A951">
        <f>BIdetails!G954</f>
        <v>0</v>
      </c>
      <c r="B951">
        <f>BIdetails!H954</f>
        <v>0</v>
      </c>
      <c r="C951">
        <f>BIdetails!J954</f>
        <v>0</v>
      </c>
      <c r="D951">
        <f>BIdetails!K954</f>
        <v>0</v>
      </c>
      <c r="E951" s="165">
        <f>BIdetails!M954</f>
        <v>0</v>
      </c>
      <c r="F951" t="e">
        <f>IF(ISERROR(IF(OR(C951="#",C951=0),"",VLOOKUP(C951,'AOP25'!M:M,1,0))),"Not Found",VLOOKUP(C951,'AOP25'!M:M,1,0))</f>
        <v>#N/A</v>
      </c>
      <c r="G951" t="e">
        <f t="shared" si="14"/>
        <v>#N/A</v>
      </c>
    </row>
    <row r="952" spans="1:7" hidden="1" x14ac:dyDescent="0.25">
      <c r="A952">
        <f>BIdetails!G955</f>
        <v>0</v>
      </c>
      <c r="B952">
        <f>BIdetails!H955</f>
        <v>0</v>
      </c>
      <c r="C952">
        <f>BIdetails!J955</f>
        <v>0</v>
      </c>
      <c r="D952">
        <f>BIdetails!K955</f>
        <v>0</v>
      </c>
      <c r="E952" s="165">
        <f>BIdetails!M955</f>
        <v>0</v>
      </c>
      <c r="F952" t="e">
        <f>IF(ISERROR(IF(OR(C952="#",C952=0),"",VLOOKUP(C952,'AOP25'!M:M,1,0))),"Not Found",VLOOKUP(C952,'AOP25'!M:M,1,0))</f>
        <v>#N/A</v>
      </c>
      <c r="G952" t="e">
        <f t="shared" si="14"/>
        <v>#N/A</v>
      </c>
    </row>
    <row r="953" spans="1:7" hidden="1" x14ac:dyDescent="0.25">
      <c r="A953">
        <f>BIdetails!G956</f>
        <v>0</v>
      </c>
      <c r="B953">
        <f>BIdetails!H956</f>
        <v>0</v>
      </c>
      <c r="C953">
        <f>BIdetails!J956</f>
        <v>0</v>
      </c>
      <c r="D953">
        <f>BIdetails!K956</f>
        <v>0</v>
      </c>
      <c r="E953" s="165">
        <f>BIdetails!M956</f>
        <v>0</v>
      </c>
      <c r="F953" t="e">
        <f>IF(ISERROR(IF(OR(C953="#",C953=0),"",VLOOKUP(C953,'AOP25'!M:M,1,0))),"Not Found",VLOOKUP(C953,'AOP25'!M:M,1,0))</f>
        <v>#N/A</v>
      </c>
      <c r="G953" t="e">
        <f t="shared" si="14"/>
        <v>#N/A</v>
      </c>
    </row>
    <row r="954" spans="1:7" hidden="1" x14ac:dyDescent="0.25">
      <c r="A954">
        <f>BIdetails!G957</f>
        <v>0</v>
      </c>
      <c r="B954">
        <f>BIdetails!H957</f>
        <v>0</v>
      </c>
      <c r="C954">
        <f>BIdetails!J957</f>
        <v>0</v>
      </c>
      <c r="D954">
        <f>BIdetails!K957</f>
        <v>0</v>
      </c>
      <c r="E954" s="165">
        <f>BIdetails!M957</f>
        <v>0</v>
      </c>
      <c r="F954" t="e">
        <f>IF(ISERROR(IF(OR(C954="#",C954=0),"",VLOOKUP(C954,'AOP25'!M:M,1,0))),"Not Found",VLOOKUP(C954,'AOP25'!M:M,1,0))</f>
        <v>#N/A</v>
      </c>
      <c r="G954" t="e">
        <f t="shared" ref="G954:G1000" si="15">IF(NOT(ISERROR(VLOOKUP(C954,$K$2:$K$50,1,0))),"Y",VLOOKUP(C954,$K$2:$K$50,1,0))</f>
        <v>#N/A</v>
      </c>
    </row>
    <row r="955" spans="1:7" hidden="1" x14ac:dyDescent="0.25">
      <c r="A955">
        <f>BIdetails!G958</f>
        <v>0</v>
      </c>
      <c r="B955">
        <f>BIdetails!H958</f>
        <v>0</v>
      </c>
      <c r="C955">
        <f>BIdetails!J958</f>
        <v>0</v>
      </c>
      <c r="D955">
        <f>BIdetails!K958</f>
        <v>0</v>
      </c>
      <c r="E955" s="165">
        <f>BIdetails!M958</f>
        <v>0</v>
      </c>
      <c r="F955" t="e">
        <f>IF(ISERROR(IF(OR(C955="#",C955=0),"",VLOOKUP(C955,'AOP25'!M:M,1,0))),"Not Found",VLOOKUP(C955,'AOP25'!M:M,1,0))</f>
        <v>#N/A</v>
      </c>
      <c r="G955" t="e">
        <f t="shared" si="15"/>
        <v>#N/A</v>
      </c>
    </row>
    <row r="956" spans="1:7" x14ac:dyDescent="0.25">
      <c r="A956">
        <f>BIdetails!G959</f>
        <v>0</v>
      </c>
      <c r="B956">
        <f>BIdetails!H959</f>
        <v>0</v>
      </c>
      <c r="C956">
        <f>BIdetails!J959</f>
        <v>0</v>
      </c>
      <c r="D956">
        <f>BIdetails!K959</f>
        <v>0</v>
      </c>
      <c r="E956" s="165">
        <f>BIdetails!M959</f>
        <v>0</v>
      </c>
      <c r="F956" t="e">
        <f>IF(ISERROR(IF(OR(C956="#",C956=0),"",VLOOKUP(C956,'AOP25'!M:M,1,0))),"Not Found",VLOOKUP(C956,'AOP25'!M:M,1,0))</f>
        <v>#N/A</v>
      </c>
      <c r="G956" t="e">
        <f t="shared" si="15"/>
        <v>#N/A</v>
      </c>
    </row>
    <row r="957" spans="1:7" x14ac:dyDescent="0.25">
      <c r="A957">
        <f>BIdetails!G960</f>
        <v>0</v>
      </c>
      <c r="B957">
        <f>BIdetails!H960</f>
        <v>0</v>
      </c>
      <c r="C957">
        <f>BIdetails!J960</f>
        <v>0</v>
      </c>
      <c r="D957">
        <f>BIdetails!K960</f>
        <v>0</v>
      </c>
      <c r="E957" s="165">
        <f>BIdetails!M960</f>
        <v>0</v>
      </c>
      <c r="F957" t="e">
        <f>IF(ISERROR(IF(OR(C957="#",C957=0),"",VLOOKUP(C957,'AOP25'!M:M,1,0))),"Not Found",VLOOKUP(C957,'AOP25'!M:M,1,0))</f>
        <v>#N/A</v>
      </c>
      <c r="G957" t="e">
        <f t="shared" si="15"/>
        <v>#N/A</v>
      </c>
    </row>
    <row r="958" spans="1:7" hidden="1" x14ac:dyDescent="0.25">
      <c r="A958">
        <f>BIdetails!G961</f>
        <v>0</v>
      </c>
      <c r="B958">
        <f>BIdetails!H961</f>
        <v>0</v>
      </c>
      <c r="C958">
        <f>BIdetails!J961</f>
        <v>0</v>
      </c>
      <c r="D958">
        <f>BIdetails!K961</f>
        <v>0</v>
      </c>
      <c r="E958" s="165">
        <f>BIdetails!M961</f>
        <v>0</v>
      </c>
      <c r="F958" t="e">
        <f>IF(ISERROR(IF(OR(C958="#",C958=0),"",VLOOKUP(C958,'AOP25'!M:M,1,0))),"Not Found",VLOOKUP(C958,'AOP25'!M:M,1,0))</f>
        <v>#N/A</v>
      </c>
      <c r="G958" t="e">
        <f t="shared" si="15"/>
        <v>#N/A</v>
      </c>
    </row>
    <row r="959" spans="1:7" hidden="1" x14ac:dyDescent="0.25">
      <c r="A959">
        <f>BIdetails!G962</f>
        <v>0</v>
      </c>
      <c r="B959">
        <f>BIdetails!H962</f>
        <v>0</v>
      </c>
      <c r="C959">
        <f>BIdetails!J962</f>
        <v>0</v>
      </c>
      <c r="D959">
        <f>BIdetails!K962</f>
        <v>0</v>
      </c>
      <c r="E959" s="165">
        <f>BIdetails!M962</f>
        <v>0</v>
      </c>
      <c r="F959" t="e">
        <f>IF(ISERROR(IF(OR(C959="#",C959=0),"",VLOOKUP(C959,'AOP25'!M:M,1,0))),"Not Found",VLOOKUP(C959,'AOP25'!M:M,1,0))</f>
        <v>#N/A</v>
      </c>
      <c r="G959" t="e">
        <f t="shared" si="15"/>
        <v>#N/A</v>
      </c>
    </row>
    <row r="960" spans="1:7" hidden="1" x14ac:dyDescent="0.25">
      <c r="A960">
        <f>BIdetails!G963</f>
        <v>0</v>
      </c>
      <c r="B960">
        <f>BIdetails!H963</f>
        <v>0</v>
      </c>
      <c r="C960">
        <f>BIdetails!J963</f>
        <v>0</v>
      </c>
      <c r="D960">
        <f>BIdetails!K963</f>
        <v>0</v>
      </c>
      <c r="E960" s="165">
        <f>BIdetails!M963</f>
        <v>0</v>
      </c>
      <c r="F960" t="e">
        <f>IF(ISERROR(IF(OR(C960="#",C960=0),"",VLOOKUP(C960,'AOP25'!M:M,1,0))),"Not Found",VLOOKUP(C960,'AOP25'!M:M,1,0))</f>
        <v>#N/A</v>
      </c>
      <c r="G960" t="e">
        <f t="shared" si="15"/>
        <v>#N/A</v>
      </c>
    </row>
    <row r="961" spans="1:7" hidden="1" x14ac:dyDescent="0.25">
      <c r="A961">
        <f>BIdetails!G964</f>
        <v>0</v>
      </c>
      <c r="B961">
        <f>BIdetails!H964</f>
        <v>0</v>
      </c>
      <c r="C961">
        <f>BIdetails!J964</f>
        <v>0</v>
      </c>
      <c r="D961">
        <f>BIdetails!K964</f>
        <v>0</v>
      </c>
      <c r="E961" s="165">
        <f>BIdetails!M964</f>
        <v>0</v>
      </c>
      <c r="F961" t="e">
        <f>IF(ISERROR(IF(OR(C961="#",C961=0),"",VLOOKUP(C961,'AOP25'!M:M,1,0))),"Not Found",VLOOKUP(C961,'AOP25'!M:M,1,0))</f>
        <v>#N/A</v>
      </c>
      <c r="G961" t="e">
        <f t="shared" si="15"/>
        <v>#N/A</v>
      </c>
    </row>
    <row r="962" spans="1:7" hidden="1" x14ac:dyDescent="0.25">
      <c r="A962">
        <f>BIdetails!G965</f>
        <v>0</v>
      </c>
      <c r="B962">
        <f>BIdetails!H965</f>
        <v>0</v>
      </c>
      <c r="C962">
        <f>BIdetails!J965</f>
        <v>0</v>
      </c>
      <c r="D962">
        <f>BIdetails!K965</f>
        <v>0</v>
      </c>
      <c r="E962" s="165">
        <f>BIdetails!M965</f>
        <v>0</v>
      </c>
      <c r="F962" t="e">
        <f>IF(ISERROR(IF(OR(C962="#",C962=0),"",VLOOKUP(C962,'AOP25'!M:M,1,0))),"Not Found",VLOOKUP(C962,'AOP25'!M:M,1,0))</f>
        <v>#N/A</v>
      </c>
      <c r="G962" t="e">
        <f t="shared" si="15"/>
        <v>#N/A</v>
      </c>
    </row>
    <row r="963" spans="1:7" hidden="1" x14ac:dyDescent="0.25">
      <c r="A963">
        <f>BIdetails!G966</f>
        <v>0</v>
      </c>
      <c r="B963">
        <f>BIdetails!H966</f>
        <v>0</v>
      </c>
      <c r="C963">
        <f>BIdetails!J966</f>
        <v>0</v>
      </c>
      <c r="D963">
        <f>BIdetails!K966</f>
        <v>0</v>
      </c>
      <c r="E963" s="165">
        <f>BIdetails!M966</f>
        <v>0</v>
      </c>
      <c r="F963" t="e">
        <f>IF(ISERROR(IF(OR(C963="#",C963=0),"",VLOOKUP(C963,'AOP25'!M:M,1,0))),"Not Found",VLOOKUP(C963,'AOP25'!M:M,1,0))</f>
        <v>#N/A</v>
      </c>
      <c r="G963" t="e">
        <f t="shared" si="15"/>
        <v>#N/A</v>
      </c>
    </row>
    <row r="964" spans="1:7" hidden="1" x14ac:dyDescent="0.25">
      <c r="A964">
        <f>BIdetails!G967</f>
        <v>0</v>
      </c>
      <c r="B964">
        <f>BIdetails!H967</f>
        <v>0</v>
      </c>
      <c r="C964">
        <f>BIdetails!J967</f>
        <v>0</v>
      </c>
      <c r="D964">
        <f>BIdetails!K967</f>
        <v>0</v>
      </c>
      <c r="E964" s="165">
        <f>BIdetails!M967</f>
        <v>0</v>
      </c>
      <c r="F964" t="e">
        <f>IF(ISERROR(IF(OR(C964="#",C964=0),"",VLOOKUP(C964,'AOP25'!M:M,1,0))),"Not Found",VLOOKUP(C964,'AOP25'!M:M,1,0))</f>
        <v>#N/A</v>
      </c>
      <c r="G964" t="e">
        <f t="shared" si="15"/>
        <v>#N/A</v>
      </c>
    </row>
    <row r="965" spans="1:7" hidden="1" x14ac:dyDescent="0.25">
      <c r="A965">
        <f>BIdetails!G968</f>
        <v>0</v>
      </c>
      <c r="B965">
        <f>BIdetails!H968</f>
        <v>0</v>
      </c>
      <c r="C965">
        <f>BIdetails!J968</f>
        <v>0</v>
      </c>
      <c r="D965">
        <f>BIdetails!K968</f>
        <v>0</v>
      </c>
      <c r="E965" s="165">
        <f>BIdetails!M968</f>
        <v>0</v>
      </c>
      <c r="F965" t="e">
        <f>IF(ISERROR(IF(OR(C965="#",C965=0),"",VLOOKUP(C965,'AOP25'!M:M,1,0))),"Not Found",VLOOKUP(C965,'AOP25'!M:M,1,0))</f>
        <v>#N/A</v>
      </c>
      <c r="G965" t="e">
        <f t="shared" si="15"/>
        <v>#N/A</v>
      </c>
    </row>
    <row r="966" spans="1:7" hidden="1" x14ac:dyDescent="0.25">
      <c r="A966">
        <f>BIdetails!G969</f>
        <v>0</v>
      </c>
      <c r="B966">
        <f>BIdetails!H969</f>
        <v>0</v>
      </c>
      <c r="C966">
        <f>BIdetails!J969</f>
        <v>0</v>
      </c>
      <c r="D966">
        <f>BIdetails!K969</f>
        <v>0</v>
      </c>
      <c r="E966" s="165">
        <f>BIdetails!M969</f>
        <v>0</v>
      </c>
      <c r="F966" t="e">
        <f>IF(ISERROR(IF(OR(C966="#",C966=0),"",VLOOKUP(C966,'AOP25'!M:M,1,0))),"Not Found",VLOOKUP(C966,'AOP25'!M:M,1,0))</f>
        <v>#N/A</v>
      </c>
      <c r="G966" t="e">
        <f t="shared" si="15"/>
        <v>#N/A</v>
      </c>
    </row>
    <row r="967" spans="1:7" hidden="1" x14ac:dyDescent="0.25">
      <c r="A967">
        <f>BIdetails!G970</f>
        <v>0</v>
      </c>
      <c r="B967">
        <f>BIdetails!H970</f>
        <v>0</v>
      </c>
      <c r="C967">
        <f>BIdetails!J970</f>
        <v>0</v>
      </c>
      <c r="D967">
        <f>BIdetails!K970</f>
        <v>0</v>
      </c>
      <c r="E967" s="165">
        <f>BIdetails!M970</f>
        <v>0</v>
      </c>
      <c r="F967" t="e">
        <f>IF(ISERROR(IF(OR(C967="#",C967=0),"",VLOOKUP(C967,'AOP25'!M:M,1,0))),"Not Found",VLOOKUP(C967,'AOP25'!M:M,1,0))</f>
        <v>#N/A</v>
      </c>
      <c r="G967" t="e">
        <f t="shared" si="15"/>
        <v>#N/A</v>
      </c>
    </row>
    <row r="968" spans="1:7" hidden="1" x14ac:dyDescent="0.25">
      <c r="A968">
        <f>BIdetails!G971</f>
        <v>0</v>
      </c>
      <c r="B968">
        <f>BIdetails!H971</f>
        <v>0</v>
      </c>
      <c r="C968">
        <f>BIdetails!J971</f>
        <v>0</v>
      </c>
      <c r="D968">
        <f>BIdetails!K971</f>
        <v>0</v>
      </c>
      <c r="E968" s="165">
        <f>BIdetails!M971</f>
        <v>0</v>
      </c>
      <c r="F968" t="e">
        <f>IF(ISERROR(IF(OR(C968="#",C968=0),"",VLOOKUP(C968,'AOP25'!M:M,1,0))),"Not Found",VLOOKUP(C968,'AOP25'!M:M,1,0))</f>
        <v>#N/A</v>
      </c>
      <c r="G968" t="e">
        <f t="shared" si="15"/>
        <v>#N/A</v>
      </c>
    </row>
    <row r="969" spans="1:7" hidden="1" x14ac:dyDescent="0.25">
      <c r="A969">
        <f>BIdetails!G972</f>
        <v>0</v>
      </c>
      <c r="B969">
        <f>BIdetails!H972</f>
        <v>0</v>
      </c>
      <c r="C969">
        <f>BIdetails!J972</f>
        <v>0</v>
      </c>
      <c r="D969">
        <f>BIdetails!K972</f>
        <v>0</v>
      </c>
      <c r="E969" s="165">
        <f>BIdetails!M972</f>
        <v>0</v>
      </c>
      <c r="F969" t="e">
        <f>IF(ISERROR(IF(OR(C969="#",C969=0),"",VLOOKUP(C969,'AOP25'!M:M,1,0))),"Not Found",VLOOKUP(C969,'AOP25'!M:M,1,0))</f>
        <v>#N/A</v>
      </c>
      <c r="G969" t="e">
        <f t="shared" si="15"/>
        <v>#N/A</v>
      </c>
    </row>
    <row r="970" spans="1:7" hidden="1" x14ac:dyDescent="0.25">
      <c r="A970">
        <f>BIdetails!G973</f>
        <v>0</v>
      </c>
      <c r="B970">
        <f>BIdetails!H973</f>
        <v>0</v>
      </c>
      <c r="C970">
        <f>BIdetails!J973</f>
        <v>0</v>
      </c>
      <c r="D970">
        <f>BIdetails!K973</f>
        <v>0</v>
      </c>
      <c r="E970" s="165">
        <f>BIdetails!M973</f>
        <v>0</v>
      </c>
      <c r="F970" t="e">
        <f>IF(ISERROR(IF(OR(C970="#",C970=0),"",VLOOKUP(C970,'AOP25'!M:M,1,0))),"Not Found",VLOOKUP(C970,'AOP25'!M:M,1,0))</f>
        <v>#N/A</v>
      </c>
      <c r="G970" t="e">
        <f t="shared" si="15"/>
        <v>#N/A</v>
      </c>
    </row>
    <row r="971" spans="1:7" hidden="1" x14ac:dyDescent="0.25">
      <c r="A971">
        <f>BIdetails!G974</f>
        <v>0</v>
      </c>
      <c r="B971">
        <f>BIdetails!H974</f>
        <v>0</v>
      </c>
      <c r="C971">
        <f>BIdetails!J974</f>
        <v>0</v>
      </c>
      <c r="D971">
        <f>BIdetails!K974</f>
        <v>0</v>
      </c>
      <c r="E971" s="165">
        <f>BIdetails!M974</f>
        <v>0</v>
      </c>
      <c r="F971" t="e">
        <f>IF(ISERROR(IF(OR(C971="#",C971=0),"",VLOOKUP(C971,'AOP25'!M:M,1,0))),"Not Found",VLOOKUP(C971,'AOP25'!M:M,1,0))</f>
        <v>#N/A</v>
      </c>
      <c r="G971" t="e">
        <f t="shared" si="15"/>
        <v>#N/A</v>
      </c>
    </row>
    <row r="972" spans="1:7" hidden="1" x14ac:dyDescent="0.25">
      <c r="A972">
        <f>BIdetails!G975</f>
        <v>0</v>
      </c>
      <c r="B972">
        <f>BIdetails!H975</f>
        <v>0</v>
      </c>
      <c r="C972">
        <f>BIdetails!J975</f>
        <v>0</v>
      </c>
      <c r="D972">
        <f>BIdetails!K975</f>
        <v>0</v>
      </c>
      <c r="E972" s="165">
        <f>BIdetails!M975</f>
        <v>0</v>
      </c>
      <c r="F972" t="e">
        <f>IF(ISERROR(IF(OR(C972="#",C972=0),"",VLOOKUP(C972,'AOP25'!M:M,1,0))),"Not Found",VLOOKUP(C972,'AOP25'!M:M,1,0))</f>
        <v>#N/A</v>
      </c>
      <c r="G972" t="e">
        <f t="shared" si="15"/>
        <v>#N/A</v>
      </c>
    </row>
    <row r="973" spans="1:7" hidden="1" x14ac:dyDescent="0.25">
      <c r="A973">
        <f>BIdetails!G976</f>
        <v>0</v>
      </c>
      <c r="B973">
        <f>BIdetails!H976</f>
        <v>0</v>
      </c>
      <c r="C973">
        <f>BIdetails!J976</f>
        <v>0</v>
      </c>
      <c r="D973">
        <f>BIdetails!K976</f>
        <v>0</v>
      </c>
      <c r="E973" s="165">
        <f>BIdetails!M976</f>
        <v>0</v>
      </c>
      <c r="F973" t="e">
        <f>IF(ISERROR(IF(OR(C973="#",C973=0),"",VLOOKUP(C973,'AOP25'!M:M,1,0))),"Not Found",VLOOKUP(C973,'AOP25'!M:M,1,0))</f>
        <v>#N/A</v>
      </c>
      <c r="G973" t="e">
        <f t="shared" si="15"/>
        <v>#N/A</v>
      </c>
    </row>
    <row r="974" spans="1:7" hidden="1" x14ac:dyDescent="0.25">
      <c r="A974">
        <f>BIdetails!G977</f>
        <v>0</v>
      </c>
      <c r="B974">
        <f>BIdetails!H977</f>
        <v>0</v>
      </c>
      <c r="C974">
        <f>BIdetails!J977</f>
        <v>0</v>
      </c>
      <c r="D974">
        <f>BIdetails!K977</f>
        <v>0</v>
      </c>
      <c r="E974" s="165">
        <f>BIdetails!M977</f>
        <v>0</v>
      </c>
      <c r="F974" t="e">
        <f>IF(ISERROR(IF(OR(C974="#",C974=0),"",VLOOKUP(C974,'AOP25'!M:M,1,0))),"Not Found",VLOOKUP(C974,'AOP25'!M:M,1,0))</f>
        <v>#N/A</v>
      </c>
      <c r="G974" t="e">
        <f t="shared" si="15"/>
        <v>#N/A</v>
      </c>
    </row>
    <row r="975" spans="1:7" hidden="1" x14ac:dyDescent="0.25">
      <c r="A975">
        <f>BIdetails!G978</f>
        <v>0</v>
      </c>
      <c r="B975">
        <f>BIdetails!H978</f>
        <v>0</v>
      </c>
      <c r="C975">
        <f>BIdetails!J978</f>
        <v>0</v>
      </c>
      <c r="D975">
        <f>BIdetails!K978</f>
        <v>0</v>
      </c>
      <c r="E975" s="165">
        <f>BIdetails!M978</f>
        <v>0</v>
      </c>
      <c r="F975" t="e">
        <f>IF(ISERROR(IF(OR(C975="#",C975=0),"",VLOOKUP(C975,'AOP25'!M:M,1,0))),"Not Found",VLOOKUP(C975,'AOP25'!M:M,1,0))</f>
        <v>#N/A</v>
      </c>
      <c r="G975" t="e">
        <f t="shared" si="15"/>
        <v>#N/A</v>
      </c>
    </row>
    <row r="976" spans="1:7" hidden="1" x14ac:dyDescent="0.25">
      <c r="A976">
        <f>BIdetails!G979</f>
        <v>0</v>
      </c>
      <c r="B976">
        <f>BIdetails!H979</f>
        <v>0</v>
      </c>
      <c r="C976">
        <f>BIdetails!J979</f>
        <v>0</v>
      </c>
      <c r="D976">
        <f>BIdetails!K979</f>
        <v>0</v>
      </c>
      <c r="E976" s="165">
        <f>BIdetails!M979</f>
        <v>0</v>
      </c>
      <c r="F976" t="e">
        <f>IF(ISERROR(IF(OR(C976="#",C976=0),"",VLOOKUP(C976,'AOP25'!M:M,1,0))),"Not Found",VLOOKUP(C976,'AOP25'!M:M,1,0))</f>
        <v>#N/A</v>
      </c>
      <c r="G976" t="e">
        <f t="shared" si="15"/>
        <v>#N/A</v>
      </c>
    </row>
    <row r="977" spans="1:7" hidden="1" x14ac:dyDescent="0.25">
      <c r="A977">
        <f>BIdetails!G980</f>
        <v>0</v>
      </c>
      <c r="B977">
        <f>BIdetails!H980</f>
        <v>0</v>
      </c>
      <c r="C977">
        <f>BIdetails!J980</f>
        <v>0</v>
      </c>
      <c r="D977">
        <f>BIdetails!K980</f>
        <v>0</v>
      </c>
      <c r="E977" s="165">
        <f>BIdetails!M980</f>
        <v>0</v>
      </c>
      <c r="F977" t="e">
        <f>IF(ISERROR(IF(OR(C977="#",C977=0),"",VLOOKUP(C977,'AOP25'!M:M,1,0))),"Not Found",VLOOKUP(C977,'AOP25'!M:M,1,0))</f>
        <v>#N/A</v>
      </c>
      <c r="G977" t="e">
        <f t="shared" si="15"/>
        <v>#N/A</v>
      </c>
    </row>
    <row r="978" spans="1:7" hidden="1" x14ac:dyDescent="0.25">
      <c r="A978">
        <f>BIdetails!G981</f>
        <v>0</v>
      </c>
      <c r="B978">
        <f>BIdetails!H981</f>
        <v>0</v>
      </c>
      <c r="C978">
        <f>BIdetails!J981</f>
        <v>0</v>
      </c>
      <c r="D978">
        <f>BIdetails!K981</f>
        <v>0</v>
      </c>
      <c r="E978" s="165">
        <f>BIdetails!M981</f>
        <v>0</v>
      </c>
      <c r="F978" t="e">
        <f>IF(ISERROR(IF(OR(C978="#",C978=0),"",VLOOKUP(C978,'AOP25'!M:M,1,0))),"Not Found",VLOOKUP(C978,'AOP25'!M:M,1,0))</f>
        <v>#N/A</v>
      </c>
      <c r="G978" t="e">
        <f t="shared" si="15"/>
        <v>#N/A</v>
      </c>
    </row>
    <row r="979" spans="1:7" hidden="1" x14ac:dyDescent="0.25">
      <c r="A979">
        <f>BIdetails!G982</f>
        <v>0</v>
      </c>
      <c r="B979">
        <f>BIdetails!H982</f>
        <v>0</v>
      </c>
      <c r="C979">
        <f>BIdetails!J982</f>
        <v>0</v>
      </c>
      <c r="D979">
        <f>BIdetails!K982</f>
        <v>0</v>
      </c>
      <c r="E979" s="165">
        <f>BIdetails!M982</f>
        <v>0</v>
      </c>
      <c r="F979" t="e">
        <f>IF(ISERROR(IF(OR(C979="#",C979=0),"",VLOOKUP(C979,'AOP25'!M:M,1,0))),"Not Found",VLOOKUP(C979,'AOP25'!M:M,1,0))</f>
        <v>#N/A</v>
      </c>
      <c r="G979" t="e">
        <f t="shared" si="15"/>
        <v>#N/A</v>
      </c>
    </row>
    <row r="980" spans="1:7" x14ac:dyDescent="0.25">
      <c r="A980">
        <f>BIdetails!G983</f>
        <v>0</v>
      </c>
      <c r="B980">
        <f>BIdetails!H983</f>
        <v>0</v>
      </c>
      <c r="C980">
        <f>BIdetails!J983</f>
        <v>0</v>
      </c>
      <c r="D980">
        <f>BIdetails!K983</f>
        <v>0</v>
      </c>
      <c r="E980" s="165">
        <f>BIdetails!M983</f>
        <v>0</v>
      </c>
      <c r="F980" t="e">
        <f>IF(ISERROR(IF(OR(C980="#",C980=0),"",VLOOKUP(C980,'AOP25'!M:M,1,0))),"Not Found",VLOOKUP(C980,'AOP25'!M:M,1,0))</f>
        <v>#N/A</v>
      </c>
      <c r="G980" t="e">
        <f t="shared" si="15"/>
        <v>#N/A</v>
      </c>
    </row>
    <row r="981" spans="1:7" x14ac:dyDescent="0.25">
      <c r="A981">
        <f>BIdetails!G984</f>
        <v>0</v>
      </c>
      <c r="B981">
        <f>BIdetails!H984</f>
        <v>0</v>
      </c>
      <c r="C981">
        <f>BIdetails!J984</f>
        <v>0</v>
      </c>
      <c r="D981">
        <f>BIdetails!K984</f>
        <v>0</v>
      </c>
      <c r="E981" s="165">
        <f>BIdetails!M984</f>
        <v>0</v>
      </c>
      <c r="F981" t="e">
        <f>IF(ISERROR(IF(OR(C981="#",C981=0),"",VLOOKUP(C981,'AOP25'!M:M,1,0))),"Not Found",VLOOKUP(C981,'AOP25'!M:M,1,0))</f>
        <v>#N/A</v>
      </c>
      <c r="G981" t="e">
        <f t="shared" si="15"/>
        <v>#N/A</v>
      </c>
    </row>
    <row r="982" spans="1:7" x14ac:dyDescent="0.25">
      <c r="A982">
        <f>BIdetails!G985</f>
        <v>0</v>
      </c>
      <c r="B982">
        <f>BIdetails!H985</f>
        <v>0</v>
      </c>
      <c r="C982">
        <f>BIdetails!J985</f>
        <v>0</v>
      </c>
      <c r="D982">
        <f>BIdetails!K985</f>
        <v>0</v>
      </c>
      <c r="E982" s="165">
        <f>BIdetails!M985</f>
        <v>0</v>
      </c>
      <c r="F982" t="e">
        <f>IF(ISERROR(IF(OR(C982="#",C982=0),"",VLOOKUP(C982,'AOP25'!M:M,1,0))),"Not Found",VLOOKUP(C982,'AOP25'!M:M,1,0))</f>
        <v>#N/A</v>
      </c>
      <c r="G982" t="e">
        <f t="shared" si="15"/>
        <v>#N/A</v>
      </c>
    </row>
    <row r="983" spans="1:7" x14ac:dyDescent="0.25">
      <c r="A983">
        <f>BIdetails!G986</f>
        <v>0</v>
      </c>
      <c r="B983">
        <f>BIdetails!H986</f>
        <v>0</v>
      </c>
      <c r="C983">
        <f>BIdetails!J986</f>
        <v>0</v>
      </c>
      <c r="D983">
        <f>BIdetails!K986</f>
        <v>0</v>
      </c>
      <c r="E983" s="165">
        <f>BIdetails!M986</f>
        <v>0</v>
      </c>
      <c r="F983" t="e">
        <f>IF(ISERROR(IF(OR(C983="#",C983=0),"",VLOOKUP(C983,'AOP25'!M:M,1,0))),"Not Found",VLOOKUP(C983,'AOP25'!M:M,1,0))</f>
        <v>#N/A</v>
      </c>
      <c r="G983" t="e">
        <f t="shared" si="15"/>
        <v>#N/A</v>
      </c>
    </row>
    <row r="984" spans="1:7" hidden="1" x14ac:dyDescent="0.25">
      <c r="A984">
        <f>BIdetails!G987</f>
        <v>0</v>
      </c>
      <c r="B984">
        <f>BIdetails!H987</f>
        <v>0</v>
      </c>
      <c r="C984">
        <f>BIdetails!J987</f>
        <v>0</v>
      </c>
      <c r="D984">
        <f>BIdetails!K987</f>
        <v>0</v>
      </c>
      <c r="E984" s="165">
        <f>BIdetails!M987</f>
        <v>0</v>
      </c>
      <c r="F984" t="e">
        <f>IF(ISERROR(IF(OR(C984="#",C984=0),"",VLOOKUP(C984,'AOP25'!M:M,1,0))),"Not Found",VLOOKUP(C984,'AOP25'!M:M,1,0))</f>
        <v>#N/A</v>
      </c>
      <c r="G984" t="e">
        <f t="shared" si="15"/>
        <v>#N/A</v>
      </c>
    </row>
    <row r="985" spans="1:7" x14ac:dyDescent="0.25">
      <c r="A985">
        <f>BIdetails!G988</f>
        <v>0</v>
      </c>
      <c r="B985">
        <f>BIdetails!H988</f>
        <v>0</v>
      </c>
      <c r="C985">
        <f>BIdetails!J988</f>
        <v>0</v>
      </c>
      <c r="D985">
        <f>BIdetails!K988</f>
        <v>0</v>
      </c>
      <c r="E985" s="165">
        <f>BIdetails!M988</f>
        <v>0</v>
      </c>
      <c r="F985" t="e">
        <f>IF(ISERROR(IF(OR(C985="#",C985=0),"",VLOOKUP(C985,'AOP25'!M:M,1,0))),"Not Found",VLOOKUP(C985,'AOP25'!M:M,1,0))</f>
        <v>#N/A</v>
      </c>
      <c r="G985" t="e">
        <f t="shared" si="15"/>
        <v>#N/A</v>
      </c>
    </row>
    <row r="986" spans="1:7" x14ac:dyDescent="0.25">
      <c r="A986">
        <f>BIdetails!G989</f>
        <v>0</v>
      </c>
      <c r="B986">
        <f>BIdetails!H989</f>
        <v>0</v>
      </c>
      <c r="C986">
        <f>BIdetails!J989</f>
        <v>0</v>
      </c>
      <c r="D986">
        <f>BIdetails!K989</f>
        <v>0</v>
      </c>
      <c r="E986" s="165">
        <f>BIdetails!M989</f>
        <v>0</v>
      </c>
      <c r="F986" t="e">
        <f>IF(ISERROR(IF(OR(C986="#",C986=0),"",VLOOKUP(C986,'AOP25'!M:M,1,0))),"Not Found",VLOOKUP(C986,'AOP25'!M:M,1,0))</f>
        <v>#N/A</v>
      </c>
      <c r="G986" t="e">
        <f t="shared" si="15"/>
        <v>#N/A</v>
      </c>
    </row>
    <row r="987" spans="1:7" hidden="1" x14ac:dyDescent="0.25">
      <c r="A987">
        <f>BIdetails!G990</f>
        <v>0</v>
      </c>
      <c r="B987">
        <f>BIdetails!H990</f>
        <v>0</v>
      </c>
      <c r="C987">
        <f>BIdetails!J990</f>
        <v>0</v>
      </c>
      <c r="D987">
        <f>BIdetails!K990</f>
        <v>0</v>
      </c>
      <c r="E987" s="165">
        <f>BIdetails!M990</f>
        <v>0</v>
      </c>
      <c r="F987" t="e">
        <f>IF(ISERROR(IF(OR(C987="#",C987=0),"",VLOOKUP(C987,'AOP25'!M:M,1,0))),"Not Found",VLOOKUP(C987,'AOP25'!M:M,1,0))</f>
        <v>#N/A</v>
      </c>
      <c r="G987" t="e">
        <f t="shared" si="15"/>
        <v>#N/A</v>
      </c>
    </row>
    <row r="988" spans="1:7" hidden="1" x14ac:dyDescent="0.25">
      <c r="A988">
        <f>BIdetails!G991</f>
        <v>0</v>
      </c>
      <c r="B988">
        <f>BIdetails!H991</f>
        <v>0</v>
      </c>
      <c r="C988">
        <f>BIdetails!J991</f>
        <v>0</v>
      </c>
      <c r="D988">
        <f>BIdetails!K991</f>
        <v>0</v>
      </c>
      <c r="E988" s="165">
        <f>BIdetails!M991</f>
        <v>0</v>
      </c>
      <c r="F988" t="e">
        <f>IF(ISERROR(IF(OR(C988="#",C988=0),"",VLOOKUP(C988,'AOP25'!M:M,1,0))),"Not Found",VLOOKUP(C988,'AOP25'!M:M,1,0))</f>
        <v>#N/A</v>
      </c>
      <c r="G988" t="e">
        <f t="shared" si="15"/>
        <v>#N/A</v>
      </c>
    </row>
    <row r="989" spans="1:7" x14ac:dyDescent="0.25">
      <c r="A989">
        <f>BIdetails!G992</f>
        <v>0</v>
      </c>
      <c r="B989">
        <f>BIdetails!H992</f>
        <v>0</v>
      </c>
      <c r="C989">
        <f>BIdetails!J992</f>
        <v>0</v>
      </c>
      <c r="D989">
        <f>BIdetails!K992</f>
        <v>0</v>
      </c>
      <c r="E989" s="165">
        <f>BIdetails!M992</f>
        <v>0</v>
      </c>
      <c r="F989" t="e">
        <f>IF(ISERROR(IF(OR(C989="#",C989=0),"",VLOOKUP(C989,'AOP25'!M:M,1,0))),"Not Found",VLOOKUP(C989,'AOP25'!M:M,1,0))</f>
        <v>#N/A</v>
      </c>
      <c r="G989" t="e">
        <f t="shared" si="15"/>
        <v>#N/A</v>
      </c>
    </row>
    <row r="990" spans="1:7" x14ac:dyDescent="0.25">
      <c r="A990">
        <f>BIdetails!G993</f>
        <v>0</v>
      </c>
      <c r="B990">
        <f>BIdetails!H993</f>
        <v>0</v>
      </c>
      <c r="C990">
        <f>BIdetails!J993</f>
        <v>0</v>
      </c>
      <c r="D990">
        <f>BIdetails!K993</f>
        <v>0</v>
      </c>
      <c r="E990" s="165">
        <f>BIdetails!M993</f>
        <v>0</v>
      </c>
      <c r="F990" t="e">
        <f>IF(ISERROR(IF(OR(C990="#",C990=0),"",VLOOKUP(C990,'AOP25'!M:M,1,0))),"Not Found",VLOOKUP(C990,'AOP25'!M:M,1,0))</f>
        <v>#N/A</v>
      </c>
      <c r="G990" t="e">
        <f t="shared" si="15"/>
        <v>#N/A</v>
      </c>
    </row>
    <row r="991" spans="1:7" x14ac:dyDescent="0.25">
      <c r="A991">
        <f>BIdetails!G994</f>
        <v>0</v>
      </c>
      <c r="B991">
        <f>BIdetails!H994</f>
        <v>0</v>
      </c>
      <c r="C991">
        <f>BIdetails!J994</f>
        <v>0</v>
      </c>
      <c r="D991">
        <f>BIdetails!K994</f>
        <v>0</v>
      </c>
      <c r="E991" s="165">
        <f>BIdetails!M994</f>
        <v>0</v>
      </c>
      <c r="F991" t="e">
        <f>IF(ISERROR(IF(OR(C991="#",C991=0),"",VLOOKUP(C991,'AOP25'!M:M,1,0))),"Not Found",VLOOKUP(C991,'AOP25'!M:M,1,0))</f>
        <v>#N/A</v>
      </c>
      <c r="G991" t="e">
        <f t="shared" si="15"/>
        <v>#N/A</v>
      </c>
    </row>
    <row r="992" spans="1:7" x14ac:dyDescent="0.25">
      <c r="A992">
        <f>BIdetails!G995</f>
        <v>0</v>
      </c>
      <c r="B992">
        <f>BIdetails!H995</f>
        <v>0</v>
      </c>
      <c r="C992">
        <f>BIdetails!J995</f>
        <v>0</v>
      </c>
      <c r="D992">
        <f>BIdetails!K995</f>
        <v>0</v>
      </c>
      <c r="E992" s="165">
        <f>BIdetails!M995</f>
        <v>0</v>
      </c>
      <c r="F992" t="e">
        <f>IF(ISERROR(IF(OR(C992="#",C992=0),"",VLOOKUP(C992,'AOP25'!M:M,1,0))),"Not Found",VLOOKUP(C992,'AOP25'!M:M,1,0))</f>
        <v>#N/A</v>
      </c>
      <c r="G992" t="e">
        <f t="shared" si="15"/>
        <v>#N/A</v>
      </c>
    </row>
    <row r="993" spans="1:7" x14ac:dyDescent="0.25">
      <c r="A993">
        <f>BIdetails!G996</f>
        <v>0</v>
      </c>
      <c r="B993">
        <f>BIdetails!H996</f>
        <v>0</v>
      </c>
      <c r="C993">
        <f>BIdetails!J996</f>
        <v>0</v>
      </c>
      <c r="D993">
        <f>BIdetails!K996</f>
        <v>0</v>
      </c>
      <c r="E993" s="165">
        <f>BIdetails!M996</f>
        <v>0</v>
      </c>
      <c r="F993" t="e">
        <f>IF(ISERROR(IF(OR(C993="#",C993=0),"",VLOOKUP(C993,'AOP25'!M:M,1,0))),"Not Found",VLOOKUP(C993,'AOP25'!M:M,1,0))</f>
        <v>#N/A</v>
      </c>
      <c r="G993" t="e">
        <f t="shared" si="15"/>
        <v>#N/A</v>
      </c>
    </row>
    <row r="994" spans="1:7" x14ac:dyDescent="0.25">
      <c r="A994">
        <f>BIdetails!G997</f>
        <v>0</v>
      </c>
      <c r="B994">
        <f>BIdetails!H997</f>
        <v>0</v>
      </c>
      <c r="C994">
        <f>BIdetails!J997</f>
        <v>0</v>
      </c>
      <c r="D994">
        <f>BIdetails!K997</f>
        <v>0</v>
      </c>
      <c r="E994" s="165">
        <f>BIdetails!M997</f>
        <v>0</v>
      </c>
      <c r="F994" t="e">
        <f>IF(ISERROR(IF(OR(C994="#",C994=0),"",VLOOKUP(C994,'AOP25'!M:M,1,0))),"Not Found",VLOOKUP(C994,'AOP25'!M:M,1,0))</f>
        <v>#N/A</v>
      </c>
      <c r="G994" t="e">
        <f t="shared" si="15"/>
        <v>#N/A</v>
      </c>
    </row>
    <row r="995" spans="1:7" hidden="1" x14ac:dyDescent="0.25">
      <c r="A995">
        <f>BIdetails!G998</f>
        <v>0</v>
      </c>
      <c r="B995">
        <f>BIdetails!H998</f>
        <v>0</v>
      </c>
      <c r="C995">
        <f>BIdetails!J998</f>
        <v>0</v>
      </c>
      <c r="D995">
        <f>BIdetails!K998</f>
        <v>0</v>
      </c>
      <c r="E995" s="165">
        <f>BIdetails!M998</f>
        <v>0</v>
      </c>
      <c r="F995" t="e">
        <f>IF(ISERROR(IF(OR(C995="#",C995=0),"",VLOOKUP(C995,'AOP25'!M:M,1,0))),"Not Found",VLOOKUP(C995,'AOP25'!M:M,1,0))</f>
        <v>#N/A</v>
      </c>
      <c r="G995" t="e">
        <f t="shared" si="15"/>
        <v>#N/A</v>
      </c>
    </row>
    <row r="996" spans="1:7" hidden="1" x14ac:dyDescent="0.25">
      <c r="A996">
        <f>BIdetails!G999</f>
        <v>0</v>
      </c>
      <c r="B996">
        <f>BIdetails!H999</f>
        <v>0</v>
      </c>
      <c r="C996">
        <f>BIdetails!J999</f>
        <v>0</v>
      </c>
      <c r="D996">
        <f>BIdetails!K999</f>
        <v>0</v>
      </c>
      <c r="E996" s="165">
        <f>BIdetails!M999</f>
        <v>0</v>
      </c>
      <c r="F996" t="e">
        <f>IF(ISERROR(IF(OR(C996="#",C996=0),"",VLOOKUP(C996,'AOP25'!M:M,1,0))),"Not Found",VLOOKUP(C996,'AOP25'!M:M,1,0))</f>
        <v>#N/A</v>
      </c>
      <c r="G996" t="e">
        <f t="shared" si="15"/>
        <v>#N/A</v>
      </c>
    </row>
    <row r="997" spans="1:7" hidden="1" x14ac:dyDescent="0.25">
      <c r="A997">
        <f>BIdetails!G1000</f>
        <v>0</v>
      </c>
      <c r="B997">
        <f>BIdetails!H1000</f>
        <v>0</v>
      </c>
      <c r="C997">
        <f>BIdetails!J1000</f>
        <v>0</v>
      </c>
      <c r="D997">
        <f>BIdetails!K1000</f>
        <v>0</v>
      </c>
      <c r="E997" s="165">
        <f>BIdetails!M1000</f>
        <v>0</v>
      </c>
      <c r="F997" t="e">
        <f>IF(ISERROR(IF(OR(C997="#",C997=0),"",VLOOKUP(C997,'AOP25'!M:M,1,0))),"Not Found",VLOOKUP(C997,'AOP25'!M:M,1,0))</f>
        <v>#N/A</v>
      </c>
      <c r="G997" t="e">
        <f t="shared" si="15"/>
        <v>#N/A</v>
      </c>
    </row>
    <row r="998" spans="1:7" hidden="1" x14ac:dyDescent="0.25">
      <c r="A998">
        <f>BIdetails!G1001</f>
        <v>0</v>
      </c>
      <c r="B998">
        <f>BIdetails!H1001</f>
        <v>0</v>
      </c>
      <c r="C998">
        <f>BIdetails!J1001</f>
        <v>0</v>
      </c>
      <c r="D998">
        <f>BIdetails!K1001</f>
        <v>0</v>
      </c>
      <c r="E998" s="165">
        <f>BIdetails!M1001</f>
        <v>0</v>
      </c>
      <c r="F998" t="e">
        <f>IF(ISERROR(IF(OR(C998="#",C998=0),"",VLOOKUP(C998,'AOP25'!M:M,1,0))),"Not Found",VLOOKUP(C998,'AOP25'!M:M,1,0))</f>
        <v>#N/A</v>
      </c>
      <c r="G998" t="e">
        <f t="shared" si="15"/>
        <v>#N/A</v>
      </c>
    </row>
    <row r="999" spans="1:7" hidden="1" x14ac:dyDescent="0.25">
      <c r="A999">
        <f>BIdetails!G1002</f>
        <v>0</v>
      </c>
      <c r="B999">
        <f>BIdetails!H1002</f>
        <v>0</v>
      </c>
      <c r="C999">
        <f>BIdetails!J1002</f>
        <v>0</v>
      </c>
      <c r="D999">
        <f>BIdetails!K1002</f>
        <v>0</v>
      </c>
      <c r="E999" s="165">
        <f>BIdetails!M1002</f>
        <v>0</v>
      </c>
      <c r="F999" t="e">
        <f>IF(ISERROR(IF(OR(C999="#",C999=0),"",VLOOKUP(C999,'AOP25'!M:M,1,0))),"Not Found",VLOOKUP(C999,'AOP25'!M:M,1,0))</f>
        <v>#N/A</v>
      </c>
      <c r="G999" t="e">
        <f t="shared" si="15"/>
        <v>#N/A</v>
      </c>
    </row>
    <row r="1000" spans="1:7" hidden="1" x14ac:dyDescent="0.25">
      <c r="A1000">
        <f>BIdetails!G1003</f>
        <v>0</v>
      </c>
      <c r="B1000">
        <f>BIdetails!H1003</f>
        <v>0</v>
      </c>
      <c r="C1000">
        <f>BIdetails!J1003</f>
        <v>0</v>
      </c>
      <c r="D1000">
        <f>BIdetails!K1003</f>
        <v>0</v>
      </c>
      <c r="E1000" s="165">
        <f>BIdetails!M1003</f>
        <v>0</v>
      </c>
      <c r="F1000" t="e">
        <f>IF(ISERROR(IF(OR(C1000="#",C1000=0),"",VLOOKUP(C1000,'AOP25'!M:M,1,0))),"Not Found",VLOOKUP(C1000,'AOP25'!M:M,1,0))</f>
        <v>#N/A</v>
      </c>
      <c r="G1000" t="e">
        <f t="shared" si="15"/>
        <v>#N/A</v>
      </c>
    </row>
  </sheetData>
  <autoFilter ref="A1:P1000" xr:uid="{2F691C08-748C-46CF-9E91-3E0910D61070}">
    <filterColumn colId="5">
      <filters>
        <filter val="Not Found"/>
      </filters>
    </filterColumn>
  </autoFilter>
  <sortState xmlns:xlrd2="http://schemas.microsoft.com/office/spreadsheetml/2017/richdata2" ref="K3:L134">
    <sortCondition ref="K134"/>
  </sortState>
  <pageMargins left="0.7" right="0.7" top="0.75" bottom="0.75" header="0.3" footer="0.3"/>
  <pageSetup orientation="portrait" r:id="rId1"/>
  <customProperties>
    <customPr name="_pios_id" r:id="rId2"/>
    <customPr name="EpmWorksheetKeyString_GUID" r:id="rId3"/>
  </customProperties>
  <drawing r:id="rId4"/>
  <legacyDrawing r:id="rId5"/>
  <controls>
    <mc:AlternateContent xmlns:mc="http://schemas.openxmlformats.org/markup-compatibility/2006">
      <mc:Choice Requires="x14">
        <control shapeId="10241" r:id="rId6" name="CommandButton1">
          <controlPr defaultSize="0" print="0" autoLine="0" r:id="rId7">
            <anchor>
              <from>
                <xdr:col>6</xdr:col>
                <xdr:colOff>333375</xdr:colOff>
                <xdr:row>1</xdr:row>
                <xdr:rowOff>28575</xdr:rowOff>
              </from>
              <to>
                <xdr:col>7</xdr:col>
                <xdr:colOff>57150</xdr:colOff>
                <xdr:row>3</xdr:row>
                <xdr:rowOff>76200</xdr:rowOff>
              </to>
            </anchor>
          </controlPr>
        </control>
      </mc:Choice>
      <mc:Fallback>
        <control shapeId="10241" r:id="rId6" name="CommandButton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B2:R76"/>
  <sheetViews>
    <sheetView showGridLines="0" topLeftCell="A29" zoomScale="80" zoomScaleNormal="80" workbookViewId="0">
      <selection activeCell="G50" activeCellId="2" sqref="G40:G42 G44 G50"/>
    </sheetView>
  </sheetViews>
  <sheetFormatPr defaultRowHeight="15" x14ac:dyDescent="0.25"/>
  <cols>
    <col min="1" max="1" width="2.42578125" customWidth="1"/>
    <col min="2" max="2" width="19.5703125" customWidth="1"/>
    <col min="3" max="3" width="11.140625" customWidth="1"/>
    <col min="4" max="4" width="19.5703125" customWidth="1"/>
    <col min="5" max="5" width="16" customWidth="1"/>
    <col min="6" max="6" width="19.42578125" customWidth="1"/>
    <col min="7" max="7" width="16" customWidth="1"/>
    <col min="8" max="8" width="19.5703125" customWidth="1"/>
    <col min="9" max="9" width="10.5703125" bestFit="1" customWidth="1"/>
    <col min="10" max="10" width="2.42578125" customWidth="1"/>
    <col min="11" max="11" width="16.5703125" customWidth="1"/>
    <col min="12" max="12" width="17.5703125" customWidth="1"/>
    <col min="13" max="13" width="14.5703125" bestFit="1" customWidth="1"/>
    <col min="14" max="14" width="11.5703125" bestFit="1" customWidth="1"/>
    <col min="15" max="15" width="11.42578125" bestFit="1" customWidth="1"/>
    <col min="16" max="16" width="18.5703125" customWidth="1"/>
    <col min="17" max="17" width="13.5703125" bestFit="1" customWidth="1"/>
    <col min="18" max="18" width="10.42578125" bestFit="1" customWidth="1"/>
  </cols>
  <sheetData>
    <row r="2" spans="2:18" x14ac:dyDescent="0.25">
      <c r="B2" s="9" t="s">
        <v>3261</v>
      </c>
      <c r="C2" s="9"/>
      <c r="D2" s="118">
        <v>45471</v>
      </c>
    </row>
    <row r="3" spans="2:18" ht="15.75" thickBot="1" x14ac:dyDescent="0.3"/>
    <row r="4" spans="2:18" ht="15.75" thickBot="1" x14ac:dyDescent="0.3">
      <c r="B4" s="110" t="s">
        <v>103</v>
      </c>
      <c r="D4" s="42">
        <v>68427709</v>
      </c>
      <c r="E4" s="43"/>
      <c r="F4" s="157"/>
      <c r="G4" s="42">
        <v>68427719</v>
      </c>
      <c r="H4" s="43"/>
      <c r="I4" s="157"/>
      <c r="K4" s="42" t="s">
        <v>12</v>
      </c>
      <c r="L4" s="156"/>
      <c r="M4" s="157"/>
    </row>
    <row r="5" spans="2:18" ht="15.75" thickBot="1" x14ac:dyDescent="0.3"/>
    <row r="6" spans="2:18" ht="15.75" thickBot="1" x14ac:dyDescent="0.3">
      <c r="B6" s="110" t="s">
        <v>3262</v>
      </c>
      <c r="C6" s="9"/>
      <c r="D6" s="54" t="str">
        <f>"AOP "&amp;(Summary!F7-1)</f>
        <v>AOP 2024</v>
      </c>
      <c r="E6" s="55" t="s">
        <v>3263</v>
      </c>
      <c r="F6" s="103" t="str">
        <f>"AOP "&amp;Summary!F7</f>
        <v>AOP 2025</v>
      </c>
      <c r="G6" s="54" t="str">
        <f>D6</f>
        <v>AOP 2024</v>
      </c>
      <c r="H6" s="55" t="s">
        <v>3263</v>
      </c>
      <c r="I6" s="103" t="str">
        <f>F6</f>
        <v>AOP 2025</v>
      </c>
      <c r="K6" s="54" t="str">
        <f>D6</f>
        <v>AOP 2024</v>
      </c>
      <c r="L6" s="55" t="s">
        <v>3263</v>
      </c>
      <c r="M6" s="103" t="str">
        <f>F6</f>
        <v>AOP 2025</v>
      </c>
    </row>
    <row r="7" spans="2:18" ht="15.75" thickBot="1" x14ac:dyDescent="0.3">
      <c r="O7" s="5"/>
    </row>
    <row r="8" spans="2:18" x14ac:dyDescent="0.25">
      <c r="B8" s="63" t="s">
        <v>1633</v>
      </c>
      <c r="D8" s="111" cm="1">
        <f t="array" ref="D8">SUMPRODUCT(('AOP25'!$B$2:$B$403='AOP 2025 Summary'!$B8)*('AOP25'!$D$2:$D$403=$D$4)*('AOP25'!$T$2:$T$403))</f>
        <v>0</v>
      </c>
      <c r="E8" s="104" cm="1">
        <f t="array" ref="E8">SUMPRODUCT(('AOP25'!$B$2:$B$403='AOP 2025 Summary'!$B8)*('AOP25'!$D$2:$D$403=$D$4)*('AOP25'!$V$2:$V$403))</f>
        <v>4354516.08</v>
      </c>
      <c r="F8" s="105">
        <f>SUM(D8:E8)</f>
        <v>4354516.08</v>
      </c>
      <c r="G8" s="111" cm="1">
        <f t="array" ref="G8">SUMPRODUCT(('AOP25'!$B$2:$B$403='AOP 2025 Summary'!$B8)*('AOP25'!$D$2:$D$403=$G$4)*('AOP25'!$T$2:$T$403))</f>
        <v>0</v>
      </c>
      <c r="H8" s="104" cm="1">
        <f t="array" ref="H8">SUMPRODUCT(('AOP25'!$B$2:$B$403='AOP 2025 Summary'!$B8)*('AOP25'!$D$2:$D$403=$G$4)*('AOP25'!$V$2:$V$403))</f>
        <v>0</v>
      </c>
      <c r="I8" s="105">
        <f>SUM(G8:H8)</f>
        <v>0</v>
      </c>
      <c r="K8" s="158">
        <f>D8+G8</f>
        <v>0</v>
      </c>
      <c r="L8" s="159">
        <f t="shared" ref="L8:M8" si="0">E8+H8</f>
        <v>4354516.08</v>
      </c>
      <c r="M8" s="105">
        <f t="shared" si="0"/>
        <v>4354516.08</v>
      </c>
      <c r="Q8" s="130"/>
      <c r="R8" s="130"/>
    </row>
    <row r="9" spans="2:18" x14ac:dyDescent="0.25">
      <c r="B9" s="64" t="s">
        <v>1604</v>
      </c>
      <c r="D9" s="112" cm="1">
        <f t="array" ref="D9">SUMPRODUCT(('AOP25'!$B$2:$B$403='AOP 2025 Summary'!$B9)*('AOP25'!$D$2:$D$403=$D$4)*('AOP25'!$T$2:$T$403))</f>
        <v>2560050</v>
      </c>
      <c r="E9" s="106" cm="1">
        <f t="array" ref="E9">SUMPRODUCT(('AOP25'!$B$2:$B$403='AOP 2025 Summary'!$B9)*('AOP25'!$D$2:$D$403=$D$4)*('AOP25'!$V$2:$V$403))</f>
        <v>-2560050</v>
      </c>
      <c r="F9" s="107">
        <f t="shared" ref="F9:F12" si="1">SUM(D9:E9)</f>
        <v>0</v>
      </c>
      <c r="G9" s="112" cm="1">
        <f t="array" ref="G9">SUMPRODUCT(('AOP25'!$B$2:$B$403='AOP 2025 Summary'!$B9)*('AOP25'!$D$2:$D$403=$G$4)*('AOP25'!$T$2:$T$403))</f>
        <v>40000</v>
      </c>
      <c r="H9" s="106" cm="1">
        <f t="array" ref="H9">SUMPRODUCT(('AOP25'!$B$2:$B$403='AOP 2025 Summary'!$B9)*('AOP25'!$D$2:$D$403=$G$4)*('AOP25'!$V$2:$V$403))</f>
        <v>-40000</v>
      </c>
      <c r="I9" s="107">
        <f t="shared" ref="I9:I12" si="2">SUM(G9:H9)</f>
        <v>0</v>
      </c>
      <c r="K9" s="160">
        <f t="shared" ref="K9:K12" si="3">D9+G9</f>
        <v>2600050</v>
      </c>
      <c r="L9" s="130">
        <f t="shared" ref="L9:L12" si="4">E9+H9</f>
        <v>-2600050</v>
      </c>
      <c r="M9" s="107">
        <f t="shared" ref="M9:M12" si="5">F9+I9</f>
        <v>0</v>
      </c>
    </row>
    <row r="10" spans="2:18" x14ac:dyDescent="0.25">
      <c r="B10" s="64" t="s">
        <v>3264</v>
      </c>
      <c r="D10" s="112" cm="1">
        <f t="array" ref="D10">SUMPRODUCT(('AOP25'!$B$2:$B$403='AOP 2025 Summary'!$B10)*('AOP25'!$D$2:$D$403=$D$4)*('AOP25'!$T$2:$T$403))</f>
        <v>14225764</v>
      </c>
      <c r="E10" s="106" cm="1">
        <f t="array" ref="E10">SUMPRODUCT(('AOP25'!$B$2:$B$403='AOP 2025 Summary'!$B10)*('AOP25'!$D$2:$D$403=$D$4)*('AOP25'!$V$2:$V$403))</f>
        <v>-2635664</v>
      </c>
      <c r="F10" s="107">
        <f t="shared" si="1"/>
        <v>11590100</v>
      </c>
      <c r="G10" s="112" cm="1">
        <f t="array" ref="G10">SUMPRODUCT(('AOP25'!$B$2:$B$403='AOP 2025 Summary'!$B10)*('AOP25'!$D$2:$D$403=$G$4)*('AOP25'!$T$2:$T$403))</f>
        <v>0</v>
      </c>
      <c r="H10" s="106" cm="1">
        <f t="array" ref="H10">SUMPRODUCT(('AOP25'!$B$2:$B$403='AOP 2025 Summary'!$B10)*('AOP25'!$D$2:$D$403=$G$4)*('AOP25'!$V$2:$V$403))</f>
        <v>0</v>
      </c>
      <c r="I10" s="107">
        <f t="shared" si="2"/>
        <v>0</v>
      </c>
      <c r="K10" s="160">
        <f t="shared" si="3"/>
        <v>14225764</v>
      </c>
      <c r="L10" s="130">
        <f t="shared" si="4"/>
        <v>-2635664</v>
      </c>
      <c r="M10" s="107">
        <f t="shared" si="5"/>
        <v>11590100</v>
      </c>
    </row>
    <row r="11" spans="2:18" x14ac:dyDescent="0.25">
      <c r="B11" s="64" t="s">
        <v>3265</v>
      </c>
      <c r="D11" s="112" cm="1">
        <f t="array" ref="D11">SUMPRODUCT(('AOP25'!$B$2:$B$403='AOP 2025 Summary'!$B11)*('AOP25'!$D$2:$D$403=$D$4)*('AOP25'!$T$2:$T$403))</f>
        <v>12990963</v>
      </c>
      <c r="E11" s="106" cm="1">
        <f t="array" ref="E11">SUMPRODUCT(('AOP25'!$B$2:$B$403='AOP 2025 Summary'!$B11)*('AOP25'!$D$2:$D$403=$D$4)*('AOP25'!$V$2:$V$403))</f>
        <v>3633300</v>
      </c>
      <c r="F11" s="107">
        <f t="shared" si="1"/>
        <v>16624263</v>
      </c>
      <c r="G11" s="112" cm="1">
        <f t="array" ref="G11">SUMPRODUCT(('AOP25'!$B$2:$B$403='AOP 2025 Summary'!$B11)*('AOP25'!$D$2:$D$403=$G$4)*('AOP25'!$T$2:$T$403))</f>
        <v>5506000</v>
      </c>
      <c r="H11" s="106" cm="1">
        <f t="array" ref="H11">SUMPRODUCT(('AOP25'!$B$2:$B$403='AOP 2025 Summary'!$B11)*('AOP25'!$D$2:$D$403=$G$4)*('AOP25'!$V$2:$V$403))</f>
        <v>546000</v>
      </c>
      <c r="I11" s="107">
        <f t="shared" si="2"/>
        <v>6052000</v>
      </c>
      <c r="K11" s="160">
        <f t="shared" si="3"/>
        <v>18496963</v>
      </c>
      <c r="L11" s="130">
        <f t="shared" si="4"/>
        <v>4179300</v>
      </c>
      <c r="M11" s="107">
        <f t="shared" si="5"/>
        <v>22676263</v>
      </c>
      <c r="Q11" s="5"/>
    </row>
    <row r="12" spans="2:18" ht="15.75" thickBot="1" x14ac:dyDescent="0.3">
      <c r="B12" s="53" t="s">
        <v>3266</v>
      </c>
      <c r="D12" s="113" cm="1">
        <f t="array" ref="D12">SUMPRODUCT(('AOP25'!$B$2:$B$403='AOP 2025 Summary'!$B12)*('AOP25'!$D$2:$D$403=$D$4)*('AOP25'!$T$2:$T$403))</f>
        <v>24052345</v>
      </c>
      <c r="E12" s="108" cm="1">
        <f t="array" ref="E12">SUMPRODUCT(('AOP25'!$B$2:$B$403='AOP 2025 Summary'!$B12)*('AOP25'!$D$2:$D$403=$D$4)*('AOP25'!$V$2:$V$403))</f>
        <v>0</v>
      </c>
      <c r="F12" s="109">
        <f t="shared" si="1"/>
        <v>24052345</v>
      </c>
      <c r="G12" s="113" cm="1">
        <f t="array" ref="G12">SUMPRODUCT(('AOP25'!$B$2:$B$403='AOP 2025 Summary'!$B12)*('AOP25'!$D$2:$D$403=$G$4)*('AOP25'!$T$2:$T$403))</f>
        <v>429980</v>
      </c>
      <c r="H12" s="108" cm="1">
        <f t="array" ref="H12">SUMPRODUCT(('AOP25'!$B$2:$B$403='AOP 2025 Summary'!$B12)*('AOP25'!$D$2:$D$403=$G$4)*('AOP25'!$V$2:$V$403))</f>
        <v>0</v>
      </c>
      <c r="I12" s="109">
        <f t="shared" si="2"/>
        <v>429980</v>
      </c>
      <c r="K12" s="161">
        <f t="shared" si="3"/>
        <v>24482325</v>
      </c>
      <c r="L12" s="162">
        <f t="shared" si="4"/>
        <v>0</v>
      </c>
      <c r="M12" s="109">
        <f t="shared" si="5"/>
        <v>24482325</v>
      </c>
    </row>
    <row r="13" spans="2:18" ht="15.75" thickBot="1" x14ac:dyDescent="0.3">
      <c r="Q13" s="130"/>
    </row>
    <row r="14" spans="2:18" ht="15.75" thickBot="1" x14ac:dyDescent="0.3">
      <c r="B14" s="114" t="s">
        <v>12</v>
      </c>
      <c r="D14" s="115">
        <f t="shared" ref="D14:I14" si="6">SUM(D8:D13)</f>
        <v>53829122</v>
      </c>
      <c r="E14" s="116">
        <f t="shared" si="6"/>
        <v>2792102.08</v>
      </c>
      <c r="F14" s="117">
        <f t="shared" si="6"/>
        <v>56621224.079999998</v>
      </c>
      <c r="G14" s="115">
        <f t="shared" si="6"/>
        <v>5975980</v>
      </c>
      <c r="H14" s="116">
        <f t="shared" si="6"/>
        <v>506000</v>
      </c>
      <c r="I14" s="117">
        <f t="shared" si="6"/>
        <v>6481980</v>
      </c>
      <c r="K14" s="115">
        <f>SUM(K8:K13)</f>
        <v>59805102</v>
      </c>
      <c r="L14" s="116">
        <f>SUM(L8:L13)</f>
        <v>3298102.08</v>
      </c>
      <c r="M14" s="117">
        <f>SUM(M8:M13)</f>
        <v>63103204.079999998</v>
      </c>
      <c r="Q14" s="130"/>
    </row>
    <row r="15" spans="2:18" ht="15.75" thickBot="1" x14ac:dyDescent="0.3"/>
    <row r="16" spans="2:18" ht="15.75" thickBot="1" x14ac:dyDescent="0.3">
      <c r="B16" s="134" t="s">
        <v>2570</v>
      </c>
      <c r="C16" s="189"/>
      <c r="D16" s="131" t="str">
        <f>D6</f>
        <v>AOP 2024</v>
      </c>
      <c r="E16" s="132" t="s">
        <v>3267</v>
      </c>
      <c r="F16" s="133" t="s">
        <v>3268</v>
      </c>
      <c r="G16" s="131" t="str">
        <f>F6</f>
        <v>AOP 2025</v>
      </c>
      <c r="H16" s="132" t="s">
        <v>3267</v>
      </c>
      <c r="I16" s="133" t="s">
        <v>3268</v>
      </c>
      <c r="K16" s="131" t="s">
        <v>3269</v>
      </c>
      <c r="L16" s="132" t="s">
        <v>3270</v>
      </c>
      <c r="M16" s="133" t="s">
        <v>3271</v>
      </c>
    </row>
    <row r="17" spans="2:17" ht="15.75" thickBot="1" x14ac:dyDescent="0.3"/>
    <row r="18" spans="2:17" x14ac:dyDescent="0.25">
      <c r="B18" s="63" t="s">
        <v>2767</v>
      </c>
      <c r="D18" s="111" cm="1">
        <f t="array" ref="D18">SUMPRODUCT(('AOP25'!$Q$2:$Q$403='AOP 2025 Summary'!$B18)*('AOP25'!$T$2:$T$403))</f>
        <v>2865950</v>
      </c>
      <c r="E18" s="11"/>
      <c r="F18" s="12"/>
      <c r="G18" s="111" cm="1">
        <f t="array" ref="G18">SUMPRODUCT(('AOP25'!$Q$2:$Q$403='AOP 2025 Summary'!$B18)*('AOP25'!$U$2:$U$403))</f>
        <v>3320860</v>
      </c>
      <c r="H18" s="11"/>
      <c r="I18" s="12"/>
      <c r="K18" s="185">
        <f t="shared" ref="K18:K19" si="7">IF(ISERROR((H18-E18)/H18),0,(H18-E18)/H18)</f>
        <v>0</v>
      </c>
      <c r="L18" s="159">
        <f>G18-D18</f>
        <v>454910</v>
      </c>
      <c r="M18" s="186">
        <f t="shared" ref="M18:M30" si="8">IF(ISERROR((I18-F18)/I18),0,(I18-F18)/I18)</f>
        <v>0</v>
      </c>
    </row>
    <row r="19" spans="2:17" x14ac:dyDescent="0.25">
      <c r="B19" s="64" t="s">
        <v>2822</v>
      </c>
      <c r="D19" s="112" cm="1">
        <f t="array" ref="D19">SUMPRODUCT(('AOP25'!$Q$2:$Q$403='AOP 2025 Summary'!$B19)*('AOP25'!$T$2:$T$403))</f>
        <v>889500</v>
      </c>
      <c r="F19" s="14"/>
      <c r="G19" s="112" cm="1">
        <f t="array" ref="G19">SUMPRODUCT(('AOP25'!$Q$2:$Q$403='AOP 2025 Summary'!$B19)*('AOP25'!$U$2:$U$403))</f>
        <v>898900</v>
      </c>
      <c r="I19" s="14"/>
      <c r="K19" s="135">
        <f t="shared" si="7"/>
        <v>0</v>
      </c>
      <c r="L19" s="130">
        <f t="shared" ref="L19:L30" si="9">G19-D19</f>
        <v>9400</v>
      </c>
      <c r="M19" s="136">
        <f t="shared" si="8"/>
        <v>0</v>
      </c>
      <c r="O19" s="130">
        <f>M14-G32</f>
        <v>0</v>
      </c>
    </row>
    <row r="20" spans="2:17" s="125" customFormat="1" x14ac:dyDescent="0.25">
      <c r="B20" s="64" t="s">
        <v>2805</v>
      </c>
      <c r="C20" s="126"/>
      <c r="D20" s="112" cm="1">
        <f t="array" ref="D20">SUMPRODUCT(('AOP25'!$Q$2:$Q$403='AOP 2025 Summary'!$B20)*('AOP25'!$T$2:$T$403))</f>
        <v>1941000</v>
      </c>
      <c r="E20" s="236">
        <v>1764</v>
      </c>
      <c r="F20" s="190">
        <f>D20/E20</f>
        <v>1100.3401360544217</v>
      </c>
      <c r="G20" s="112" cm="1">
        <f t="array" ref="G20">SUMPRODUCT(('AOP25'!$Q$2:$Q$403='AOP 2025 Summary'!$B20)*('AOP25'!$U$2:$U$403))</f>
        <v>2125000</v>
      </c>
      <c r="H20" s="236">
        <v>935</v>
      </c>
      <c r="I20" s="107">
        <f t="shared" ref="I20" si="10">G20/H20</f>
        <v>2272.7272727272725</v>
      </c>
      <c r="K20" s="135">
        <f>IF(ISERROR((H20-E20)/H20),0,(H20-E20)/H20)</f>
        <v>-0.88663101604278072</v>
      </c>
      <c r="L20" s="130">
        <f t="shared" si="9"/>
        <v>184000</v>
      </c>
      <c r="M20" s="136">
        <f>IF(ISERROR((I20-F20)/I20),0,(I20-F20)/I20)</f>
        <v>0.51585034013605446</v>
      </c>
    </row>
    <row r="21" spans="2:17" x14ac:dyDescent="0.25">
      <c r="B21" s="64" t="s">
        <v>2800</v>
      </c>
      <c r="D21" s="112" cm="1">
        <f t="array" ref="D21">SUMPRODUCT(('AOP25'!$Q$2:$Q$403='AOP 2025 Summary'!$B21)*('AOP25'!$T$2:$T$403))</f>
        <v>462000</v>
      </c>
      <c r="E21" s="236">
        <v>1019</v>
      </c>
      <c r="F21" s="190">
        <v>539</v>
      </c>
      <c r="G21" s="112" cm="1">
        <f t="array" ref="G21">SUMPRODUCT(('AOP25'!$Q$2:$Q$403='AOP 2025 Summary'!$B21)*('AOP25'!$U$2:$U$403))</f>
        <v>492000</v>
      </c>
      <c r="H21" s="236">
        <v>421</v>
      </c>
      <c r="I21" s="107">
        <f t="shared" ref="I21:I27" si="11">G21/H21</f>
        <v>1168.6460807600949</v>
      </c>
      <c r="K21" s="135">
        <f t="shared" ref="K21:K30" si="12">IF(ISERROR((H21-E21)/H21),0,(H21-E21)/H21)</f>
        <v>-1.4204275534441806</v>
      </c>
      <c r="L21" s="130">
        <f t="shared" si="9"/>
        <v>30000</v>
      </c>
      <c r="M21" s="136">
        <f t="shared" si="8"/>
        <v>0.53878252032520324</v>
      </c>
    </row>
    <row r="22" spans="2:17" x14ac:dyDescent="0.25">
      <c r="B22" s="64" t="s">
        <v>2813</v>
      </c>
      <c r="D22" s="112" cm="1">
        <f t="array" ref="D22">SUMPRODUCT(('AOP25'!$Q$2:$Q$403='AOP 2025 Summary'!$B22)*('AOP25'!$T$2:$T$403))</f>
        <v>3361980</v>
      </c>
      <c r="E22" s="236">
        <v>972</v>
      </c>
      <c r="F22" s="190">
        <f t="shared" ref="F22:F25" si="13">D22/E22</f>
        <v>3458.8271604938273</v>
      </c>
      <c r="G22" s="112" cm="1">
        <f t="array" ref="G22">SUMPRODUCT(('AOP25'!$Q$2:$Q$403='AOP 2025 Summary'!$B22)*('AOP25'!$U$2:$U$403))</f>
        <v>3732980</v>
      </c>
      <c r="H22" s="236">
        <v>876</v>
      </c>
      <c r="I22" s="107">
        <f t="shared" si="11"/>
        <v>4261.3926940639267</v>
      </c>
      <c r="K22" s="135">
        <f t="shared" si="12"/>
        <v>-0.1095890410958904</v>
      </c>
      <c r="L22" s="130">
        <f t="shared" si="9"/>
        <v>371000</v>
      </c>
      <c r="M22" s="136">
        <f t="shared" si="8"/>
        <v>0.18833409431805345</v>
      </c>
    </row>
    <row r="23" spans="2:17" x14ac:dyDescent="0.25">
      <c r="B23" s="64" t="s">
        <v>3015</v>
      </c>
      <c r="D23" s="112" cm="1">
        <f t="array" ref="D23">SUMPRODUCT(('AOP25'!$Q$2:$Q$403='AOP 2025 Summary'!$B23)*('AOP25'!$T$2:$T$403))</f>
        <v>670000</v>
      </c>
      <c r="E23" s="236">
        <v>264</v>
      </c>
      <c r="F23" s="190">
        <f t="shared" si="13"/>
        <v>2537.878787878788</v>
      </c>
      <c r="G23" s="112" cm="1">
        <f t="array" ref="G23">SUMPRODUCT(('AOP25'!$Q$2:$Q$403='AOP 2025 Summary'!$B23)*('AOP25'!$U$2:$U$403))</f>
        <v>650000</v>
      </c>
      <c r="H23" s="236">
        <v>246</v>
      </c>
      <c r="I23" s="107">
        <f t="shared" si="11"/>
        <v>2642.2764227642278</v>
      </c>
      <c r="K23" s="135">
        <f t="shared" si="12"/>
        <v>-7.3170731707317069E-2</v>
      </c>
      <c r="L23" s="130">
        <f t="shared" si="9"/>
        <v>-20000</v>
      </c>
      <c r="M23" s="136">
        <f t="shared" si="8"/>
        <v>3.9510489510489542E-2</v>
      </c>
    </row>
    <row r="24" spans="2:17" x14ac:dyDescent="0.25">
      <c r="B24" s="64" t="s">
        <v>2762</v>
      </c>
      <c r="D24" s="112" cm="1">
        <f t="array" ref="D24">SUMPRODUCT(('AOP25'!$Q$2:$Q$403='AOP 2025 Summary'!$B24)*('AOP25'!$T$2:$T$403))</f>
        <v>29603624</v>
      </c>
      <c r="E24" s="168">
        <v>9375</v>
      </c>
      <c r="F24" s="190">
        <f t="shared" si="13"/>
        <v>3157.7198933333334</v>
      </c>
      <c r="G24" s="112" cm="1">
        <f t="array" ref="G24">SUMPRODUCT(('AOP25'!$Q$2:$Q$403='AOP 2025 Summary'!$B24)*('AOP25'!$U$2:$U$403))</f>
        <v>30509060</v>
      </c>
      <c r="H24" s="168">
        <v>9151</v>
      </c>
      <c r="I24" s="107">
        <f t="shared" si="11"/>
        <v>3333.9591301497103</v>
      </c>
      <c r="K24" s="135">
        <f t="shared" si="12"/>
        <v>-2.4478199103923067E-2</v>
      </c>
      <c r="L24" s="130">
        <f t="shared" si="9"/>
        <v>905436</v>
      </c>
      <c r="M24" s="136">
        <f t="shared" si="8"/>
        <v>5.2861846812280185E-2</v>
      </c>
      <c r="O24" s="125"/>
    </row>
    <row r="25" spans="2:17" x14ac:dyDescent="0.25">
      <c r="B25" s="64" t="s">
        <v>2750</v>
      </c>
      <c r="D25" s="112" cm="1">
        <f t="array" ref="D25">SUMPRODUCT(('AOP25'!$Q$2:$Q$403='AOP 2025 Summary'!$B25)*('AOP25'!$T$2:$T$403))</f>
        <v>17755048</v>
      </c>
      <c r="E25" s="236">
        <v>5329</v>
      </c>
      <c r="F25" s="190">
        <f t="shared" si="13"/>
        <v>3331.7785700881968</v>
      </c>
      <c r="G25" s="112" cm="1">
        <f t="array" ref="G25">SUMPRODUCT(('AOP25'!$Q$2:$Q$403='AOP 2025 Summary'!$B25)*('AOP25'!$U$2:$U$403))</f>
        <v>16858548</v>
      </c>
      <c r="H25" s="236">
        <v>5277</v>
      </c>
      <c r="I25" s="107">
        <f t="shared" si="11"/>
        <v>3194.7220011370096</v>
      </c>
      <c r="K25" s="135">
        <f t="shared" si="12"/>
        <v>-9.8540837597119579E-3</v>
      </c>
      <c r="L25" s="130">
        <f t="shared" si="9"/>
        <v>-896500</v>
      </c>
      <c r="M25" s="136">
        <f t="shared" si="8"/>
        <v>-4.2900937515817805E-2</v>
      </c>
      <c r="O25" s="125"/>
      <c r="P25" s="130"/>
      <c r="Q25" s="130"/>
    </row>
    <row r="26" spans="2:17" x14ac:dyDescent="0.25">
      <c r="B26" s="64" t="s">
        <v>2756</v>
      </c>
      <c r="D26" s="112" cm="1">
        <f t="array" ref="D26">SUMPRODUCT(('AOP25'!$Q$2:$Q$403='AOP 2025 Summary'!$B26)*('AOP25'!$T$2:$T$403))</f>
        <v>1380000</v>
      </c>
      <c r="E26" s="106"/>
      <c r="F26" s="190"/>
      <c r="G26" s="112" cm="1">
        <f t="array" ref="G26">SUMPRODUCT(('AOP25'!$Q$2:$Q$403='AOP 2025 Summary'!$B26)*('AOP25'!$U$2:$U$403))</f>
        <v>3668356.0799999996</v>
      </c>
      <c r="H26" s="236"/>
      <c r="I26" s="107" t="e">
        <f t="shared" si="11"/>
        <v>#DIV/0!</v>
      </c>
      <c r="K26" s="135">
        <f t="shared" si="12"/>
        <v>0</v>
      </c>
      <c r="L26" s="130">
        <f t="shared" si="9"/>
        <v>2288356.0799999996</v>
      </c>
      <c r="M26" s="136">
        <f t="shared" si="8"/>
        <v>0</v>
      </c>
    </row>
    <row r="27" spans="2:17" x14ac:dyDescent="0.25">
      <c r="B27" s="64" t="s">
        <v>2862</v>
      </c>
      <c r="D27" s="112" cm="1">
        <f t="array" ref="D27">SUMPRODUCT(('AOP25'!$Q$2:$Q$403='AOP 2025 Summary'!$B27)*('AOP25'!$T$2:$T$403))</f>
        <v>380000</v>
      </c>
      <c r="E27" s="106">
        <v>0</v>
      </c>
      <c r="F27" s="190"/>
      <c r="G27" s="112" cm="1">
        <f t="array" ref="G27">SUMPRODUCT(('AOP25'!$Q$2:$Q$403='AOP 2025 Summary'!$B27)*('AOP25'!$U$2:$U$403))</f>
        <v>380000</v>
      </c>
      <c r="H27" s="236">
        <v>45</v>
      </c>
      <c r="I27" s="107">
        <f t="shared" si="11"/>
        <v>8444.4444444444453</v>
      </c>
      <c r="K27" s="135">
        <f t="shared" si="12"/>
        <v>1</v>
      </c>
      <c r="L27" s="130">
        <f t="shared" si="9"/>
        <v>0</v>
      </c>
      <c r="M27" s="136">
        <f t="shared" si="8"/>
        <v>1</v>
      </c>
    </row>
    <row r="28" spans="2:17" x14ac:dyDescent="0.25">
      <c r="B28" s="64" t="s">
        <v>3272</v>
      </c>
      <c r="D28" s="112" cm="1">
        <f t="array" ref="D28">SUMPRODUCT(('AOP25'!$Q$2:$Q$403='AOP 2025 Summary'!$B28)*('AOP25'!$T$2:$T$403))</f>
        <v>0</v>
      </c>
      <c r="E28" s="106">
        <v>0</v>
      </c>
      <c r="F28" s="190"/>
      <c r="G28" s="112" cm="1">
        <f t="array" ref="G28">SUMPRODUCT(('AOP25'!$Q$2:$Q$403='AOP 2025 Summary'!$B28)*('AOP25'!$U$2:$U$403))</f>
        <v>0</v>
      </c>
      <c r="H28" s="106"/>
      <c r="I28" s="107"/>
      <c r="K28" s="135">
        <f t="shared" si="12"/>
        <v>0</v>
      </c>
      <c r="L28" s="130">
        <f t="shared" si="9"/>
        <v>0</v>
      </c>
      <c r="M28" s="136">
        <f t="shared" si="8"/>
        <v>0</v>
      </c>
    </row>
    <row r="29" spans="2:17" x14ac:dyDescent="0.25">
      <c r="B29" s="64" t="s">
        <v>2854</v>
      </c>
      <c r="D29" s="112" cm="1">
        <f t="array" ref="D29">SUMPRODUCT(('AOP25'!$Q$2:$Q$403='AOP 2025 Summary'!$B29)*('AOP25'!$T$2:$T$403))</f>
        <v>297000</v>
      </c>
      <c r="E29" s="106">
        <v>0</v>
      </c>
      <c r="F29" s="190"/>
      <c r="G29" s="112" cm="1">
        <f t="array" ref="G29">SUMPRODUCT(('AOP25'!$Q$2:$Q$403='AOP 2025 Summary'!$B29)*('AOP25'!$U$2:$U$403))</f>
        <v>300000</v>
      </c>
      <c r="H29" s="106"/>
      <c r="I29" s="107"/>
      <c r="K29" s="135">
        <f t="shared" si="12"/>
        <v>0</v>
      </c>
      <c r="L29" s="130">
        <f t="shared" si="9"/>
        <v>3000</v>
      </c>
      <c r="M29" s="136">
        <f t="shared" si="8"/>
        <v>0</v>
      </c>
    </row>
    <row r="30" spans="2:17" ht="15.75" thickBot="1" x14ac:dyDescent="0.3">
      <c r="B30" s="53" t="s">
        <v>2903</v>
      </c>
      <c r="D30" s="113" cm="1">
        <f t="array" ref="D30">SUMPRODUCT(('AOP25'!$Q$2:$Q$403='AOP 2025 Summary'!$B30)*('AOP25'!$T$2:$T$403))</f>
        <v>199000</v>
      </c>
      <c r="E30" s="16"/>
      <c r="F30" s="216"/>
      <c r="G30" s="113" cm="1">
        <f t="array" ref="G30">SUMPRODUCT(('AOP25'!$Q$2:$Q$403='AOP 2025 Summary'!$B30)*('AOP25'!$U$2:$U$403))</f>
        <v>167500</v>
      </c>
      <c r="H30" s="16"/>
      <c r="I30" s="17"/>
      <c r="K30" s="187">
        <f t="shared" si="12"/>
        <v>0</v>
      </c>
      <c r="L30" s="162">
        <f t="shared" si="9"/>
        <v>-31500</v>
      </c>
      <c r="M30" s="188">
        <f t="shared" si="8"/>
        <v>0</v>
      </c>
    </row>
    <row r="31" spans="2:17" ht="15.75" thickBot="1" x14ac:dyDescent="0.3"/>
    <row r="32" spans="2:17" ht="15.75" thickBot="1" x14ac:dyDescent="0.3">
      <c r="B32" s="114" t="s">
        <v>12</v>
      </c>
      <c r="D32" s="115">
        <f>SUM(D18:D30)</f>
        <v>59805102</v>
      </c>
      <c r="E32" s="128"/>
      <c r="F32" s="128"/>
      <c r="G32" s="115">
        <f>SUM(G18:G30)</f>
        <v>63103204.079999998</v>
      </c>
      <c r="H32" s="128"/>
      <c r="I32" s="129"/>
      <c r="K32" s="127"/>
      <c r="L32" s="116">
        <f>SUM(L18:L31)</f>
        <v>3298102.0799999996</v>
      </c>
      <c r="M32" s="129"/>
    </row>
    <row r="33" spans="2:7" ht="15.75" thickBot="1" x14ac:dyDescent="0.3">
      <c r="E33" s="124"/>
    </row>
    <row r="34" spans="2:7" ht="15.75" thickBot="1" x14ac:dyDescent="0.3">
      <c r="B34" s="54" t="s">
        <v>3236</v>
      </c>
      <c r="C34" s="128"/>
      <c r="D34" s="128"/>
      <c r="E34" s="132" t="str">
        <f>D6</f>
        <v>AOP 2024</v>
      </c>
      <c r="F34" s="132" t="str">
        <f>F6</f>
        <v>AOP 2025</v>
      </c>
      <c r="G34" s="133" t="s">
        <v>3263</v>
      </c>
    </row>
    <row r="35" spans="2:7" ht="15.75" thickBot="1" x14ac:dyDescent="0.3"/>
    <row r="36" spans="2:7" x14ac:dyDescent="0.25">
      <c r="B36" s="10" t="s">
        <v>2915</v>
      </c>
      <c r="C36" s="11"/>
      <c r="D36" s="11" t="s">
        <v>3273</v>
      </c>
      <c r="E36" s="104" cm="1">
        <f t="array" ref="E36">SUMPRODUCT(('AOP25'!$R$2:$R$402='AOP 2025 Summary'!$B36)*('AOP25'!$T$2:$T$402))</f>
        <v>610000</v>
      </c>
      <c r="F36" s="104" cm="1">
        <f t="array" ref="F36">SUMPRODUCT(('AOP25'!$R$2:$R$402='AOP 2025 Summary'!$B36)*('AOP25'!$U$2:$U$402))</f>
        <v>610000</v>
      </c>
      <c r="G36" s="212">
        <f>F36-E36</f>
        <v>0</v>
      </c>
    </row>
    <row r="37" spans="2:7" x14ac:dyDescent="0.25">
      <c r="B37" s="13" t="s">
        <v>321</v>
      </c>
      <c r="D37" t="s">
        <v>3274</v>
      </c>
      <c r="E37" s="106" cm="1">
        <f t="array" ref="E37">SUMPRODUCT(('AOP25'!$R$2:$R$402='AOP 2025 Summary'!$B37)*('AOP25'!$T$2:$T$402))</f>
        <v>1263850</v>
      </c>
      <c r="F37" s="106" cm="1">
        <f t="array" ref="F37">SUMPRODUCT(('AOP25'!$R$2:$R$402='AOP 2025 Summary'!$B37)*('AOP25'!$U$2:$U$402))</f>
        <v>1462360</v>
      </c>
      <c r="G37" s="148">
        <f t="shared" ref="G37:G55" si="14">F37-E37</f>
        <v>198510</v>
      </c>
    </row>
    <row r="38" spans="2:7" x14ac:dyDescent="0.25">
      <c r="B38" s="13" t="s">
        <v>3275</v>
      </c>
      <c r="C38" s="130"/>
      <c r="E38" s="106" cm="1">
        <f t="array" ref="E38">SUMPRODUCT(('AOP25'!$R$2:$R$402='AOP 2025 Summary'!$B38)*('AOP25'!$T$2:$T$402))</f>
        <v>0</v>
      </c>
      <c r="F38" s="106" cm="1">
        <f t="array" ref="F38">SUMPRODUCT(('AOP25'!$R$2:$R$402='AOP 2025 Summary'!$B38)*('AOP25'!$U$2:$U$402))</f>
        <v>0</v>
      </c>
      <c r="G38" s="148">
        <f t="shared" si="14"/>
        <v>0</v>
      </c>
    </row>
    <row r="39" spans="2:7" x14ac:dyDescent="0.25">
      <c r="B39" s="13" t="s">
        <v>3145</v>
      </c>
      <c r="C39" s="130"/>
      <c r="D39" t="s">
        <v>3273</v>
      </c>
      <c r="E39" s="106" cm="1">
        <f t="array" ref="E39">SUMPRODUCT(('AOP25'!$R$2:$R$402='AOP 2025 Summary'!$B39)*('AOP25'!$T$2:$T$402))</f>
        <v>130000</v>
      </c>
      <c r="F39" s="106" cm="1">
        <f t="array" ref="F39">SUMPRODUCT(('AOP25'!$R$2:$R$402='AOP 2025 Summary'!$B39)*('AOP25'!$U$2:$U$402))</f>
        <v>130000</v>
      </c>
      <c r="G39" s="148">
        <f t="shared" si="14"/>
        <v>0</v>
      </c>
    </row>
    <row r="40" spans="2:7" x14ac:dyDescent="0.25">
      <c r="B40" s="13" t="s">
        <v>2809</v>
      </c>
      <c r="C40" s="130"/>
      <c r="D40" t="s">
        <v>3276</v>
      </c>
      <c r="E40" s="106" cm="1">
        <f t="array" ref="E40">SUMPRODUCT(('AOP25'!$R$2:$R$402='AOP 2025 Summary'!$B40)*('AOP25'!$T$2:$T$402))</f>
        <v>18239124</v>
      </c>
      <c r="F40" s="106" cm="1">
        <f t="array" ref="F40">SUMPRODUCT(('AOP25'!$R$2:$R$402='AOP 2025 Summary'!$B40)*('AOP25'!$U$2:$U$402))</f>
        <v>19554560</v>
      </c>
      <c r="G40" s="148">
        <f t="shared" si="14"/>
        <v>1315436</v>
      </c>
    </row>
    <row r="41" spans="2:7" x14ac:dyDescent="0.25">
      <c r="B41" s="13" t="s">
        <v>2751</v>
      </c>
      <c r="C41" s="130"/>
      <c r="D41" t="s">
        <v>3276</v>
      </c>
      <c r="E41" s="106" cm="1">
        <f t="array" ref="E41">SUMPRODUCT(('AOP25'!$R$2:$R$402='AOP 2025 Summary'!$B41)*('AOP25'!$T$2:$T$402))</f>
        <v>17328648</v>
      </c>
      <c r="F41" s="106" cm="1">
        <f t="array" ref="F41">SUMPRODUCT(('AOP25'!$R$2:$R$402='AOP 2025 Summary'!$B41)*('AOP25'!$U$2:$U$402))</f>
        <v>16561148</v>
      </c>
      <c r="G41" s="148">
        <f t="shared" si="14"/>
        <v>-767500</v>
      </c>
    </row>
    <row r="42" spans="2:7" x14ac:dyDescent="0.25">
      <c r="B42" s="13" t="s">
        <v>40</v>
      </c>
      <c r="C42" s="130"/>
      <c r="D42" t="s">
        <v>3276</v>
      </c>
      <c r="E42" s="106" cm="1">
        <f t="array" ref="E42">SUMPRODUCT(('AOP25'!$R$2:$R$402='AOP 2025 Summary'!$B42)*('AOP25'!$T$2:$T$402))</f>
        <v>2643700</v>
      </c>
      <c r="F42" s="106" cm="1">
        <f t="array" ref="F42">SUMPRODUCT(('AOP25'!$R$2:$R$402='AOP 2025 Summary'!$B42)*('AOP25'!$U$2:$U$402))</f>
        <v>2708600</v>
      </c>
      <c r="G42" s="148">
        <f t="shared" si="14"/>
        <v>64900</v>
      </c>
    </row>
    <row r="43" spans="2:7" x14ac:dyDescent="0.25">
      <c r="B43" s="13" t="s">
        <v>2801</v>
      </c>
      <c r="C43" s="130"/>
      <c r="D43" t="s">
        <v>3277</v>
      </c>
      <c r="E43" s="106" cm="1">
        <f t="array" ref="E43">SUMPRODUCT(('AOP25'!$R$2:$R$402='AOP 2025 Summary'!$B43)*('AOP25'!$T$2:$T$402))</f>
        <v>6211980</v>
      </c>
      <c r="F43" s="106" cm="1">
        <f t="array" ref="F43">SUMPRODUCT(('AOP25'!$R$2:$R$402='AOP 2025 Summary'!$B43)*('AOP25'!$U$2:$U$402))</f>
        <v>6738980</v>
      </c>
      <c r="G43" s="148">
        <f t="shared" si="14"/>
        <v>527000</v>
      </c>
    </row>
    <row r="44" spans="2:7" x14ac:dyDescent="0.25">
      <c r="B44" s="13" t="s">
        <v>2886</v>
      </c>
      <c r="C44" s="130"/>
      <c r="D44" t="s">
        <v>3276</v>
      </c>
      <c r="E44" s="106" cm="1">
        <f t="array" ref="E44">SUMPRODUCT(('AOP25'!$R$2:$R$402='AOP 2025 Summary'!$B44)*('AOP25'!$T$2:$T$402))</f>
        <v>1390000</v>
      </c>
      <c r="F44" s="106" cm="1">
        <f t="array" ref="F44">SUMPRODUCT(('AOP25'!$R$2:$R$402='AOP 2025 Summary'!$B44)*('AOP25'!$U$2:$U$402))</f>
        <v>1390000</v>
      </c>
      <c r="G44" s="148">
        <f t="shared" si="14"/>
        <v>0</v>
      </c>
    </row>
    <row r="45" spans="2:7" x14ac:dyDescent="0.25">
      <c r="B45" s="13" t="s">
        <v>2793</v>
      </c>
      <c r="C45" s="130"/>
      <c r="D45" t="s">
        <v>3274</v>
      </c>
      <c r="E45" s="106" cm="1">
        <f t="array" ref="E45">SUMPRODUCT(('AOP25'!$R$2:$R$402='AOP 2025 Summary'!$B45)*('AOP25'!$T$2:$T$402))</f>
        <v>2063200</v>
      </c>
      <c r="F45" s="106" cm="1">
        <f t="array" ref="F45">SUMPRODUCT(('AOP25'!$R$2:$R$402='AOP 2025 Summary'!$B45)*('AOP25'!$U$2:$U$402))</f>
        <v>2196200</v>
      </c>
      <c r="G45" s="148">
        <f t="shared" si="14"/>
        <v>133000</v>
      </c>
    </row>
    <row r="46" spans="2:7" x14ac:dyDescent="0.25">
      <c r="B46" s="13" t="s">
        <v>2855</v>
      </c>
      <c r="C46" s="130"/>
      <c r="D46" t="s">
        <v>3273</v>
      </c>
      <c r="E46" s="106" cm="1">
        <f t="array" ref="E46">SUMPRODUCT(('AOP25'!$R$2:$R$402='AOP 2025 Summary'!$B46)*('AOP25'!$T$2:$T$402))</f>
        <v>758000</v>
      </c>
      <c r="F46" s="106" cm="1">
        <f t="array" ref="F46">SUMPRODUCT(('AOP25'!$R$2:$R$402='AOP 2025 Summary'!$B46)*('AOP25'!$U$2:$U$402))</f>
        <v>809000</v>
      </c>
      <c r="G46" s="148">
        <f t="shared" si="14"/>
        <v>51000</v>
      </c>
    </row>
    <row r="47" spans="2:7" ht="13.35" customHeight="1" x14ac:dyDescent="0.25">
      <c r="B47" s="13" t="s">
        <v>2851</v>
      </c>
      <c r="D47" t="s">
        <v>3273</v>
      </c>
      <c r="E47" s="106" cm="1">
        <f t="array" ref="E47">SUMPRODUCT(('AOP25'!$R$2:$R$402='AOP 2025 Summary'!$B47)*('AOP25'!$T$2:$T$402))</f>
        <v>1641800</v>
      </c>
      <c r="F47" s="106" cm="1">
        <f t="array" ref="F47">SUMPRODUCT(('AOP25'!$R$2:$R$402='AOP 2025 Summary'!$B47)*('AOP25'!$U$2:$U$402))</f>
        <v>1513300</v>
      </c>
      <c r="G47" s="148">
        <f t="shared" si="14"/>
        <v>-128500</v>
      </c>
    </row>
    <row r="48" spans="2:7" x14ac:dyDescent="0.25">
      <c r="B48" s="13" t="s">
        <v>2768</v>
      </c>
      <c r="D48" t="s">
        <v>3273</v>
      </c>
      <c r="E48" s="106" cm="1">
        <f t="array" ref="E48">SUMPRODUCT(('AOP25'!$R$2:$R$402='AOP 2025 Summary'!$B48)*('AOP25'!$T$2:$T$402))</f>
        <v>2171300</v>
      </c>
      <c r="F48" s="106" cm="1">
        <f t="array" ref="F48">SUMPRODUCT(('AOP25'!$R$2:$R$402='AOP 2025 Summary'!$B48)*('AOP25'!$U$2:$U$402))</f>
        <v>1925200</v>
      </c>
      <c r="G48" s="148">
        <f t="shared" si="14"/>
        <v>-246100</v>
      </c>
    </row>
    <row r="49" spans="2:7" x14ac:dyDescent="0.25">
      <c r="B49" s="13" t="s">
        <v>3016</v>
      </c>
      <c r="D49" t="s">
        <v>3274</v>
      </c>
      <c r="E49" s="106" cm="1">
        <f t="array" ref="E49">SUMPRODUCT(('AOP25'!$R$2:$R$402='AOP 2025 Summary'!$B49)*('AOP25'!$T$2:$T$402))</f>
        <v>1125000</v>
      </c>
      <c r="F49" s="106" cm="1">
        <f t="array" ref="F49">SUMPRODUCT(('AOP25'!$R$2:$R$402='AOP 2025 Summary'!$B49)*('AOP25'!$U$2:$U$402))</f>
        <v>1142000</v>
      </c>
      <c r="G49" s="148">
        <f t="shared" si="14"/>
        <v>17000</v>
      </c>
    </row>
    <row r="50" spans="2:7" x14ac:dyDescent="0.25">
      <c r="B50" s="13" t="s">
        <v>850</v>
      </c>
      <c r="D50" t="s">
        <v>3276</v>
      </c>
      <c r="E50" s="106" cm="1">
        <f t="array" ref="E50">SUMPRODUCT(('AOP25'!$R$2:$R$402='AOP 2025 Summary'!$B50)*('AOP25'!$T$2:$T$402))</f>
        <v>2409500</v>
      </c>
      <c r="F50" s="106" cm="1">
        <f t="array" ref="F50">SUMPRODUCT(('AOP25'!$R$2:$R$402='AOP 2025 Summary'!$B50)*('AOP25'!$U$2:$U$402))</f>
        <v>2314500</v>
      </c>
      <c r="G50" s="148">
        <f t="shared" si="14"/>
        <v>-95000</v>
      </c>
    </row>
    <row r="51" spans="2:7" x14ac:dyDescent="0.25">
      <c r="B51" s="13" t="s">
        <v>2959</v>
      </c>
      <c r="D51" t="s">
        <v>3273</v>
      </c>
      <c r="E51" s="106" cm="1">
        <f t="array" ref="E51">SUMPRODUCT(('AOP25'!$R$2:$R$402='AOP 2025 Summary'!$B51)*('AOP25'!$T$2:$T$402))</f>
        <v>173000</v>
      </c>
      <c r="F51" s="106" cm="1">
        <f t="array" ref="F51">SUMPRODUCT(('AOP25'!$R$2:$R$402='AOP 2025 Summary'!$B51)*('AOP25'!$U$2:$U$402))</f>
        <v>173000</v>
      </c>
      <c r="G51" s="148">
        <f t="shared" si="14"/>
        <v>0</v>
      </c>
    </row>
    <row r="52" spans="2:7" x14ac:dyDescent="0.25">
      <c r="B52" s="13" t="s">
        <v>2757</v>
      </c>
      <c r="D52" t="s">
        <v>3273</v>
      </c>
      <c r="E52" s="106" cm="1">
        <f t="array" ref="E52">SUMPRODUCT(('AOP25'!$R$2:$R$402='AOP 2025 Summary'!$B52)*('AOP25'!$T$2:$T$402))</f>
        <v>1646000</v>
      </c>
      <c r="F52" s="106" cm="1">
        <f t="array" ref="F52">SUMPRODUCT(('AOP25'!$R$2:$R$402='AOP 2025 Summary'!$B52)*('AOP25'!$U$2:$U$402))</f>
        <v>3874356.0799999996</v>
      </c>
      <c r="G52" s="148">
        <f t="shared" si="14"/>
        <v>2228356.0799999996</v>
      </c>
    </row>
    <row r="53" spans="2:7" x14ac:dyDescent="0.25">
      <c r="B53" s="13" t="s">
        <v>3249</v>
      </c>
      <c r="D53" s="106"/>
      <c r="E53" s="106" cm="1">
        <f t="array" ref="E53">SUMPRODUCT(('AOP25'!$R$2:$R$402='AOP 2025 Summary'!$B53)*('AOP25'!$T$2:$T$402))</f>
        <v>0</v>
      </c>
      <c r="F53" s="106" cm="1">
        <f t="array" ref="F53">SUMPRODUCT(('AOP25'!$R$2:$R$402='AOP 2025 Summary'!$B53)*('AOP25'!$U$2:$U$402))</f>
        <v>0</v>
      </c>
      <c r="G53" s="148">
        <f t="shared" si="14"/>
        <v>0</v>
      </c>
    </row>
    <row r="54" spans="2:7" x14ac:dyDescent="0.25">
      <c r="B54" s="13"/>
      <c r="D54" s="106"/>
      <c r="E54" s="106" cm="1">
        <f t="array" ref="E54">SUMPRODUCT(('AOP25'!$R$2:$R$402='AOP 2025 Summary'!$B54)*('AOP25'!$T$2:$T$402))</f>
        <v>0</v>
      </c>
      <c r="F54" s="106" cm="1">
        <f t="array" ref="F54">SUMPRODUCT(('AOP25'!$R$2:$R$402='AOP 2025 Summary'!$B54)*('AOP25'!$U$2:$U$402))</f>
        <v>0</v>
      </c>
      <c r="G54" s="148">
        <f t="shared" si="14"/>
        <v>0</v>
      </c>
    </row>
    <row r="55" spans="2:7" ht="15.75" thickBot="1" x14ac:dyDescent="0.3">
      <c r="B55" s="15"/>
      <c r="C55" s="50"/>
      <c r="D55" s="108"/>
      <c r="E55" s="108" cm="1">
        <f t="array" ref="E55">SUMPRODUCT(('AOP25'!$R$2:$R$402='AOP 2025 Summary'!$B55)*('AOP25'!$T$2:$T$402))</f>
        <v>0</v>
      </c>
      <c r="F55" s="108" cm="1">
        <f t="array" ref="F55">SUMPRODUCT(('AOP25'!$R$2:$R$402='AOP 2025 Summary'!$B55)*('AOP25'!$U$2:$U$402))</f>
        <v>0</v>
      </c>
      <c r="G55" s="149">
        <f t="shared" si="14"/>
        <v>0</v>
      </c>
    </row>
    <row r="56" spans="2:7" ht="15.75" thickBot="1" x14ac:dyDescent="0.3">
      <c r="D56" s="106"/>
      <c r="E56" s="106"/>
      <c r="F56" s="106"/>
      <c r="G56" s="106"/>
    </row>
    <row r="57" spans="2:7" ht="15.75" thickBot="1" x14ac:dyDescent="0.3">
      <c r="B57" s="54" t="s">
        <v>12</v>
      </c>
      <c r="C57" s="55"/>
      <c r="D57" s="55"/>
      <c r="E57" s="146">
        <f>SUM(E36:E55)</f>
        <v>59805102</v>
      </c>
      <c r="F57" s="146">
        <f t="shared" ref="F57:G57" si="15">SUM(F36:F55)</f>
        <v>63103204.079999998</v>
      </c>
      <c r="G57" s="184">
        <f t="shared" si="15"/>
        <v>3298102.0799999996</v>
      </c>
    </row>
    <row r="58" spans="2:7" x14ac:dyDescent="0.25">
      <c r="D58" s="106"/>
      <c r="E58" s="106"/>
      <c r="F58" s="130"/>
    </row>
    <row r="59" spans="2:7" x14ac:dyDescent="0.25">
      <c r="D59" s="106"/>
      <c r="E59" s="106"/>
      <c r="F59" s="130"/>
      <c r="G59" s="130"/>
    </row>
    <row r="60" spans="2:7" x14ac:dyDescent="0.25">
      <c r="D60" s="106"/>
      <c r="E60" s="106"/>
      <c r="F60" s="130"/>
    </row>
    <row r="61" spans="2:7" x14ac:dyDescent="0.25">
      <c r="D61" s="106"/>
      <c r="E61" s="106"/>
      <c r="F61" s="130"/>
    </row>
    <row r="62" spans="2:7" x14ac:dyDescent="0.25">
      <c r="D62" s="106"/>
      <c r="E62" s="106"/>
      <c r="F62" s="130"/>
    </row>
    <row r="64" spans="2:7" x14ac:dyDescent="0.25">
      <c r="B64" s="9"/>
      <c r="C64" s="9"/>
      <c r="D64" s="213"/>
      <c r="E64" s="213"/>
      <c r="F64" s="213"/>
    </row>
    <row r="65" spans="9:9" x14ac:dyDescent="0.25">
      <c r="I65" s="189"/>
    </row>
    <row r="76" spans="9:9" x14ac:dyDescent="0.25">
      <c r="I76" s="189"/>
    </row>
  </sheetData>
  <pageMargins left="0.7" right="0.7" top="0.75" bottom="0.75" header="0.3" footer="0.3"/>
  <pageSetup orientation="portrait" r:id="rId1"/>
  <customProperties>
    <customPr name="_pios_id" r:id="rId2"/>
    <customPr name="EpmWorksheetKeyString_GUID"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CB028-AE77-4047-BBCD-75C5C8197CD2}">
  <sheetPr codeName="Sheet8"/>
  <dimension ref="A1:L19"/>
  <sheetViews>
    <sheetView zoomScale="80" zoomScaleNormal="80" workbookViewId="0">
      <selection activeCell="B22" sqref="B22"/>
    </sheetView>
  </sheetViews>
  <sheetFormatPr defaultRowHeight="15" x14ac:dyDescent="0.25"/>
  <cols>
    <col min="1" max="2" width="10.42578125" customWidth="1"/>
    <col min="3" max="3" width="28.5703125" customWidth="1"/>
    <col min="4" max="4" width="13.5703125" customWidth="1"/>
    <col min="5" max="7" width="15.5703125" customWidth="1"/>
    <col min="8" max="8" width="18.5703125" customWidth="1"/>
    <col min="9" max="9" width="12.42578125" customWidth="1"/>
    <col min="10" max="10" width="24" customWidth="1"/>
    <col min="11" max="11" width="23.42578125" customWidth="1"/>
    <col min="12" max="12" width="22" customWidth="1"/>
  </cols>
  <sheetData>
    <row r="1" spans="1:12" x14ac:dyDescent="0.25">
      <c r="A1" s="9" t="s">
        <v>3278</v>
      </c>
      <c r="B1" s="9" t="s">
        <v>3279</v>
      </c>
      <c r="C1" s="9" t="s">
        <v>3280</v>
      </c>
      <c r="D1" s="9" t="s">
        <v>3281</v>
      </c>
      <c r="E1" s="9" t="s">
        <v>3282</v>
      </c>
      <c r="F1" s="9" t="s">
        <v>3283</v>
      </c>
      <c r="G1" s="9" t="s">
        <v>3284</v>
      </c>
      <c r="H1" s="9" t="s">
        <v>3285</v>
      </c>
      <c r="I1" s="9" t="s">
        <v>3286</v>
      </c>
      <c r="J1" s="9" t="s">
        <v>3287</v>
      </c>
      <c r="K1" s="9" t="s">
        <v>3288</v>
      </c>
      <c r="L1" s="9" t="s">
        <v>3289</v>
      </c>
    </row>
    <row r="2" spans="1:12" x14ac:dyDescent="0.25">
      <c r="A2">
        <v>1</v>
      </c>
      <c r="B2" t="s">
        <v>2773</v>
      </c>
      <c r="C2" t="s">
        <v>3290</v>
      </c>
      <c r="D2" s="214">
        <f>39787*2</f>
        <v>79574</v>
      </c>
      <c r="E2" t="s">
        <v>1075</v>
      </c>
      <c r="F2" t="s">
        <v>649</v>
      </c>
      <c r="G2" s="222" t="s">
        <v>3277</v>
      </c>
      <c r="H2" s="222">
        <v>68427719</v>
      </c>
      <c r="I2" s="222" t="s">
        <v>3291</v>
      </c>
      <c r="J2" s="222">
        <v>68427709</v>
      </c>
      <c r="L2" s="230" t="s">
        <v>3292</v>
      </c>
    </row>
    <row r="3" spans="1:12" x14ac:dyDescent="0.25">
      <c r="A3">
        <v>2</v>
      </c>
      <c r="B3" t="s">
        <v>2773</v>
      </c>
      <c r="C3" t="s">
        <v>3293</v>
      </c>
      <c r="D3" s="214">
        <v>30888</v>
      </c>
      <c r="E3" t="s">
        <v>1075</v>
      </c>
      <c r="F3" t="s">
        <v>649</v>
      </c>
      <c r="G3" s="222" t="s">
        <v>3277</v>
      </c>
      <c r="H3" s="222">
        <v>68427719</v>
      </c>
      <c r="I3" s="222" t="s">
        <v>3291</v>
      </c>
      <c r="J3" s="222">
        <v>68427709</v>
      </c>
      <c r="L3" s="230" t="s">
        <v>3292</v>
      </c>
    </row>
    <row r="4" spans="1:12" x14ac:dyDescent="0.25">
      <c r="A4">
        <v>3</v>
      </c>
      <c r="B4" t="s">
        <v>2773</v>
      </c>
      <c r="C4" t="s">
        <v>3294</v>
      </c>
      <c r="D4" s="214">
        <v>215000</v>
      </c>
      <c r="E4" t="s">
        <v>3295</v>
      </c>
      <c r="F4" t="s">
        <v>649</v>
      </c>
      <c r="G4" s="222" t="s">
        <v>3277</v>
      </c>
      <c r="H4" s="222">
        <v>68427719</v>
      </c>
      <c r="I4" s="222" t="s">
        <v>3291</v>
      </c>
      <c r="J4" s="222">
        <v>68427709</v>
      </c>
      <c r="L4" s="230" t="s">
        <v>3292</v>
      </c>
    </row>
    <row r="5" spans="1:12" x14ac:dyDescent="0.25">
      <c r="A5">
        <v>4</v>
      </c>
      <c r="B5" t="s">
        <v>2773</v>
      </c>
      <c r="C5" t="s">
        <v>3296</v>
      </c>
      <c r="D5" s="214">
        <v>262000</v>
      </c>
      <c r="E5" t="s">
        <v>3297</v>
      </c>
      <c r="F5" t="s">
        <v>649</v>
      </c>
      <c r="G5" s="222" t="s">
        <v>3277</v>
      </c>
      <c r="H5" s="222">
        <v>68427719</v>
      </c>
      <c r="I5" s="222" t="s">
        <v>3291</v>
      </c>
      <c r="J5" s="222">
        <v>68427709</v>
      </c>
      <c r="L5" s="230" t="s">
        <v>3292</v>
      </c>
    </row>
    <row r="6" spans="1:12" ht="75" x14ac:dyDescent="0.25">
      <c r="A6">
        <v>5</v>
      </c>
      <c r="B6" t="s">
        <v>2773</v>
      </c>
      <c r="C6" t="s">
        <v>3298</v>
      </c>
      <c r="D6" s="214" t="s">
        <v>3299</v>
      </c>
      <c r="E6" t="s">
        <v>3300</v>
      </c>
      <c r="F6" t="s">
        <v>1976</v>
      </c>
      <c r="G6" t="s">
        <v>321</v>
      </c>
      <c r="H6" t="s">
        <v>1976</v>
      </c>
      <c r="I6" s="222" t="s">
        <v>3291</v>
      </c>
      <c r="J6" s="222">
        <v>68427709</v>
      </c>
      <c r="K6" s="225" t="s">
        <v>3301</v>
      </c>
      <c r="L6" s="224" t="s">
        <v>3302</v>
      </c>
    </row>
    <row r="7" spans="1:12" x14ac:dyDescent="0.25">
      <c r="A7">
        <v>6</v>
      </c>
      <c r="B7" t="s">
        <v>2773</v>
      </c>
      <c r="C7" t="s">
        <v>3303</v>
      </c>
      <c r="D7" s="214" t="s">
        <v>1979</v>
      </c>
      <c r="E7" t="s">
        <v>3304</v>
      </c>
      <c r="F7" t="s">
        <v>1979</v>
      </c>
      <c r="H7" t="s">
        <v>1979</v>
      </c>
      <c r="J7" t="s">
        <v>1979</v>
      </c>
      <c r="K7" t="s">
        <v>3305</v>
      </c>
      <c r="L7" s="224" t="s">
        <v>3302</v>
      </c>
    </row>
    <row r="8" spans="1:12" ht="30" x14ac:dyDescent="0.25">
      <c r="A8">
        <v>7</v>
      </c>
      <c r="B8" t="s">
        <v>3306</v>
      </c>
      <c r="C8" t="s">
        <v>3307</v>
      </c>
      <c r="D8" s="214">
        <v>2990</v>
      </c>
      <c r="E8" t="s">
        <v>3308</v>
      </c>
      <c r="F8" t="s">
        <v>3309</v>
      </c>
      <c r="G8">
        <v>6702</v>
      </c>
      <c r="I8" t="s">
        <v>3291</v>
      </c>
      <c r="J8">
        <v>68427709</v>
      </c>
      <c r="K8" s="226" t="s">
        <v>3310</v>
      </c>
      <c r="L8" s="224" t="s">
        <v>3302</v>
      </c>
    </row>
    <row r="9" spans="1:12" x14ac:dyDescent="0.25">
      <c r="A9">
        <v>8</v>
      </c>
      <c r="B9" t="s">
        <v>3306</v>
      </c>
      <c r="C9" t="s">
        <v>3311</v>
      </c>
      <c r="D9" s="214">
        <v>3960</v>
      </c>
      <c r="E9" t="s">
        <v>3312</v>
      </c>
      <c r="F9" t="s">
        <v>3309</v>
      </c>
      <c r="G9">
        <v>6574</v>
      </c>
      <c r="I9" t="s">
        <v>3291</v>
      </c>
      <c r="J9">
        <v>68427709</v>
      </c>
      <c r="K9">
        <v>5400976398</v>
      </c>
      <c r="L9" s="230" t="s">
        <v>3292</v>
      </c>
    </row>
    <row r="10" spans="1:12" ht="60" x14ac:dyDescent="0.25">
      <c r="A10">
        <v>9</v>
      </c>
      <c r="B10" t="s">
        <v>3306</v>
      </c>
      <c r="C10" t="s">
        <v>3313</v>
      </c>
      <c r="D10" t="s">
        <v>3314</v>
      </c>
      <c r="E10" s="226" t="s">
        <v>3315</v>
      </c>
      <c r="H10">
        <v>68427709</v>
      </c>
      <c r="J10" t="s">
        <v>3316</v>
      </c>
      <c r="K10" s="226" t="s">
        <v>3317</v>
      </c>
      <c r="L10" t="s">
        <v>3302</v>
      </c>
    </row>
    <row r="13" spans="1:12" x14ac:dyDescent="0.25">
      <c r="C13" s="220"/>
    </row>
    <row r="14" spans="1:12" x14ac:dyDescent="0.25">
      <c r="C14" s="221"/>
    </row>
    <row r="15" spans="1:12" x14ac:dyDescent="0.25">
      <c r="C15" s="221"/>
    </row>
    <row r="16" spans="1:12" x14ac:dyDescent="0.25">
      <c r="C16" s="221"/>
    </row>
    <row r="17" spans="3:3" x14ac:dyDescent="0.25">
      <c r="C17" s="221"/>
    </row>
    <row r="18" spans="3:3" x14ac:dyDescent="0.25">
      <c r="C18" s="221"/>
    </row>
    <row r="19" spans="3:3" x14ac:dyDescent="0.25">
      <c r="C19" s="221"/>
    </row>
  </sheetData>
  <pageMargins left="0.7" right="0.7" top="0.75" bottom="0.75" header="0.3" footer="0.3"/>
  <pageSetup paperSize="9" orientation="portrait" r:id="rId1"/>
  <customProperties>
    <customPr name="_pios_id" r:id="rId2"/>
    <customPr name="EpmWorksheetKeyString_GUID" r:id="rId3"/>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2:C74"/>
  <sheetViews>
    <sheetView topLeftCell="A13" workbookViewId="0">
      <selection activeCell="A13" sqref="A13"/>
    </sheetView>
  </sheetViews>
  <sheetFormatPr defaultColWidth="9.42578125" defaultRowHeight="15" x14ac:dyDescent="0.25"/>
  <cols>
    <col min="1" max="1" width="136.5703125" style="37" bestFit="1" customWidth="1"/>
    <col min="2" max="16384" width="9.42578125" style="37"/>
  </cols>
  <sheetData>
    <row r="2" spans="1:3" x14ac:dyDescent="0.25">
      <c r="A2" s="37" t="s">
        <v>3318</v>
      </c>
    </row>
    <row r="4" spans="1:3" x14ac:dyDescent="0.25">
      <c r="A4" s="86" t="s">
        <v>3319</v>
      </c>
      <c r="B4" s="85"/>
      <c r="C4" s="85"/>
    </row>
    <row r="5" spans="1:3" x14ac:dyDescent="0.25">
      <c r="A5" s="87"/>
      <c r="B5" s="85"/>
      <c r="C5" s="85"/>
    </row>
    <row r="6" spans="1:3" x14ac:dyDescent="0.25">
      <c r="A6" s="86" t="s">
        <v>3262</v>
      </c>
      <c r="B6" s="85"/>
      <c r="C6" s="85"/>
    </row>
    <row r="7" spans="1:3" x14ac:dyDescent="0.25">
      <c r="A7" s="85" t="s">
        <v>3320</v>
      </c>
      <c r="B7" s="85"/>
      <c r="C7" s="85"/>
    </row>
    <row r="8" spans="1:3" x14ac:dyDescent="0.25">
      <c r="A8" s="85" t="s">
        <v>3321</v>
      </c>
      <c r="B8" s="85"/>
      <c r="C8" s="85"/>
    </row>
    <row r="9" spans="1:3" x14ac:dyDescent="0.25">
      <c r="A9" s="85" t="s">
        <v>3322</v>
      </c>
      <c r="B9" s="85"/>
      <c r="C9" s="85"/>
    </row>
    <row r="10" spans="1:3" x14ac:dyDescent="0.25">
      <c r="A10" s="85" t="s">
        <v>3323</v>
      </c>
      <c r="B10" s="85"/>
      <c r="C10" s="85"/>
    </row>
    <row r="11" spans="1:3" x14ac:dyDescent="0.25">
      <c r="A11" s="85" t="s">
        <v>3324</v>
      </c>
      <c r="B11" s="85"/>
      <c r="C11" s="85"/>
    </row>
    <row r="12" spans="1:3" x14ac:dyDescent="0.25">
      <c r="A12" s="85" t="s">
        <v>3325</v>
      </c>
      <c r="B12" s="85"/>
      <c r="C12" s="85"/>
    </row>
    <row r="13" spans="1:3" x14ac:dyDescent="0.25">
      <c r="A13" s="85"/>
      <c r="B13" s="85"/>
      <c r="C13" s="85"/>
    </row>
    <row r="14" spans="1:3" x14ac:dyDescent="0.25">
      <c r="A14" s="86" t="s">
        <v>3</v>
      </c>
      <c r="B14" s="85"/>
      <c r="C14" s="85"/>
    </row>
    <row r="15" spans="1:3" x14ac:dyDescent="0.25">
      <c r="A15" s="85" t="s">
        <v>3326</v>
      </c>
      <c r="B15" s="85"/>
      <c r="C15" s="85"/>
    </row>
    <row r="16" spans="1:3" x14ac:dyDescent="0.25">
      <c r="A16" s="85" t="s">
        <v>3327</v>
      </c>
      <c r="B16" s="85"/>
      <c r="C16" s="85"/>
    </row>
    <row r="17" spans="1:3" x14ac:dyDescent="0.25">
      <c r="A17" s="85" t="s">
        <v>3328</v>
      </c>
      <c r="B17" s="85"/>
      <c r="C17" s="85"/>
    </row>
    <row r="18" spans="1:3" x14ac:dyDescent="0.25">
      <c r="A18" s="85" t="s">
        <v>3329</v>
      </c>
      <c r="B18" s="85"/>
      <c r="C18" s="85"/>
    </row>
    <row r="19" spans="1:3" x14ac:dyDescent="0.25">
      <c r="A19" s="85" t="s">
        <v>3330</v>
      </c>
      <c r="B19" s="85"/>
      <c r="C19" s="85"/>
    </row>
    <row r="20" spans="1:3" x14ac:dyDescent="0.25">
      <c r="A20" s="85" t="s">
        <v>3331</v>
      </c>
      <c r="B20" s="85"/>
      <c r="C20" s="85"/>
    </row>
    <row r="21" spans="1:3" x14ac:dyDescent="0.25">
      <c r="A21" s="85" t="s">
        <v>3332</v>
      </c>
      <c r="B21" s="85"/>
      <c r="C21" s="85"/>
    </row>
    <row r="22" spans="1:3" x14ac:dyDescent="0.25">
      <c r="A22" s="85"/>
      <c r="B22" s="85"/>
      <c r="C22" s="85"/>
    </row>
    <row r="25" spans="1:3" x14ac:dyDescent="0.25">
      <c r="A25" s="86" t="s">
        <v>3333</v>
      </c>
      <c r="B25" s="85"/>
      <c r="C25" s="85"/>
    </row>
    <row r="26" spans="1:3" x14ac:dyDescent="0.25">
      <c r="A26" s="85"/>
      <c r="B26" s="85"/>
      <c r="C26" s="85"/>
    </row>
    <row r="27" spans="1:3" x14ac:dyDescent="0.25">
      <c r="A27" s="86" t="s">
        <v>3334</v>
      </c>
      <c r="B27" s="85"/>
      <c r="C27" s="85"/>
    </row>
    <row r="28" spans="1:3" x14ac:dyDescent="0.25">
      <c r="A28" s="85"/>
      <c r="B28" s="85"/>
      <c r="C28" s="85"/>
    </row>
    <row r="29" spans="1:3" x14ac:dyDescent="0.25">
      <c r="A29" s="85" t="s">
        <v>3335</v>
      </c>
      <c r="B29" s="85"/>
      <c r="C29" s="85"/>
    </row>
    <row r="30" spans="1:3" x14ac:dyDescent="0.25">
      <c r="A30" s="85" t="s">
        <v>3336</v>
      </c>
      <c r="B30" s="85"/>
      <c r="C30" s="85"/>
    </row>
    <row r="31" spans="1:3" x14ac:dyDescent="0.25">
      <c r="A31" s="85" t="s">
        <v>3337</v>
      </c>
      <c r="B31" s="85"/>
      <c r="C31" s="85"/>
    </row>
    <row r="32" spans="1:3" x14ac:dyDescent="0.25">
      <c r="A32" s="85" t="s">
        <v>3338</v>
      </c>
      <c r="B32" s="85"/>
      <c r="C32" s="85"/>
    </row>
    <row r="33" spans="1:3" x14ac:dyDescent="0.25">
      <c r="A33" s="85" t="s">
        <v>3339</v>
      </c>
      <c r="B33" s="85"/>
      <c r="C33" s="85"/>
    </row>
    <row r="34" spans="1:3" x14ac:dyDescent="0.25">
      <c r="A34" s="85"/>
      <c r="B34" s="85"/>
      <c r="C34" s="85"/>
    </row>
    <row r="35" spans="1:3" x14ac:dyDescent="0.25">
      <c r="A35" s="85"/>
      <c r="B35" s="85"/>
      <c r="C35" s="85"/>
    </row>
    <row r="36" spans="1:3" x14ac:dyDescent="0.25">
      <c r="A36" s="85"/>
      <c r="B36" s="85"/>
      <c r="C36" s="85"/>
    </row>
    <row r="37" spans="1:3" x14ac:dyDescent="0.25">
      <c r="A37" s="85"/>
      <c r="B37" s="85"/>
      <c r="C37" s="85"/>
    </row>
    <row r="38" spans="1:3" x14ac:dyDescent="0.25">
      <c r="A38" s="85"/>
      <c r="B38" s="85"/>
      <c r="C38" s="85"/>
    </row>
    <row r="39" spans="1:3" x14ac:dyDescent="0.25">
      <c r="A39" s="85"/>
      <c r="B39" s="85"/>
      <c r="C39" s="85"/>
    </row>
    <row r="40" spans="1:3" x14ac:dyDescent="0.25">
      <c r="A40" s="85"/>
      <c r="B40" s="85"/>
      <c r="C40" s="85"/>
    </row>
    <row r="41" spans="1:3" x14ac:dyDescent="0.25">
      <c r="A41" s="85"/>
      <c r="B41" s="85"/>
      <c r="C41" s="85"/>
    </row>
    <row r="42" spans="1:3" x14ac:dyDescent="0.25">
      <c r="A42" s="85"/>
      <c r="B42" s="85"/>
      <c r="C42" s="85"/>
    </row>
    <row r="43" spans="1:3" x14ac:dyDescent="0.25">
      <c r="A43" s="85"/>
      <c r="B43" s="85"/>
      <c r="C43" s="85"/>
    </row>
    <row r="44" spans="1:3" x14ac:dyDescent="0.25">
      <c r="A44" s="85"/>
      <c r="B44" s="85"/>
      <c r="C44" s="85"/>
    </row>
    <row r="45" spans="1:3" x14ac:dyDescent="0.25">
      <c r="A45" s="85"/>
      <c r="B45" s="85"/>
      <c r="C45" s="85"/>
    </row>
    <row r="46" spans="1:3" x14ac:dyDescent="0.25">
      <c r="A46" s="85"/>
      <c r="B46" s="85"/>
      <c r="C46" s="85"/>
    </row>
    <row r="47" spans="1:3" x14ac:dyDescent="0.25">
      <c r="A47" s="85"/>
      <c r="B47" s="85"/>
      <c r="C47" s="85"/>
    </row>
    <row r="48" spans="1:3" x14ac:dyDescent="0.25">
      <c r="A48" s="85"/>
      <c r="B48" s="85"/>
      <c r="C48" s="85"/>
    </row>
    <row r="49" spans="1:3" x14ac:dyDescent="0.25">
      <c r="A49" s="85"/>
      <c r="B49" s="85"/>
      <c r="C49" s="85"/>
    </row>
    <row r="50" spans="1:3" x14ac:dyDescent="0.25">
      <c r="A50" s="86" t="s">
        <v>3340</v>
      </c>
      <c r="B50" s="85"/>
      <c r="C50" s="85"/>
    </row>
    <row r="51" spans="1:3" x14ac:dyDescent="0.25">
      <c r="A51" s="85" t="s">
        <v>3341</v>
      </c>
      <c r="B51" s="85"/>
      <c r="C51" s="85"/>
    </row>
    <row r="52" spans="1:3" x14ac:dyDescent="0.25">
      <c r="A52" s="85" t="s">
        <v>3342</v>
      </c>
      <c r="B52" s="85"/>
      <c r="C52" s="85"/>
    </row>
    <row r="53" spans="1:3" x14ac:dyDescent="0.25">
      <c r="A53" s="85"/>
      <c r="B53" s="85"/>
      <c r="C53" s="85"/>
    </row>
    <row r="54" spans="1:3" x14ac:dyDescent="0.25">
      <c r="A54" s="85" t="s">
        <v>3343</v>
      </c>
      <c r="B54" s="85"/>
      <c r="C54" s="85"/>
    </row>
    <row r="55" spans="1:3" x14ac:dyDescent="0.25">
      <c r="A55" s="85" t="s">
        <v>3344</v>
      </c>
      <c r="B55" s="85"/>
      <c r="C55" s="85"/>
    </row>
    <row r="56" spans="1:3" x14ac:dyDescent="0.25">
      <c r="A56" s="85" t="s">
        <v>3345</v>
      </c>
      <c r="B56" s="85"/>
      <c r="C56" s="85"/>
    </row>
    <row r="57" spans="1:3" x14ac:dyDescent="0.25">
      <c r="A57" s="85"/>
      <c r="B57" s="85"/>
      <c r="C57" s="85"/>
    </row>
    <row r="58" spans="1:3" x14ac:dyDescent="0.25">
      <c r="A58" s="85" t="s">
        <v>3346</v>
      </c>
      <c r="B58" s="85"/>
      <c r="C58" s="85"/>
    </row>
    <row r="59" spans="1:3" x14ac:dyDescent="0.25">
      <c r="A59" s="85" t="s">
        <v>3347</v>
      </c>
      <c r="B59" s="85"/>
      <c r="C59" s="85"/>
    </row>
    <row r="60" spans="1:3" x14ac:dyDescent="0.25">
      <c r="A60" s="85"/>
      <c r="B60" s="85"/>
      <c r="C60" s="85"/>
    </row>
    <row r="61" spans="1:3" x14ac:dyDescent="0.25">
      <c r="A61" s="85"/>
      <c r="B61" s="85"/>
      <c r="C61" s="85"/>
    </row>
    <row r="62" spans="1:3" x14ac:dyDescent="0.25">
      <c r="A62" s="86" t="s">
        <v>3348</v>
      </c>
      <c r="B62" s="85"/>
      <c r="C62" s="85"/>
    </row>
    <row r="63" spans="1:3" x14ac:dyDescent="0.25">
      <c r="A63" s="85" t="s">
        <v>3349</v>
      </c>
      <c r="B63" s="85"/>
      <c r="C63" s="85"/>
    </row>
    <row r="64" spans="1:3" x14ac:dyDescent="0.25">
      <c r="A64" s="85" t="s">
        <v>3350</v>
      </c>
      <c r="B64" s="85"/>
      <c r="C64" s="85"/>
    </row>
    <row r="65" spans="1:3" x14ac:dyDescent="0.25">
      <c r="A65" s="85" t="s">
        <v>3351</v>
      </c>
      <c r="B65" s="85"/>
      <c r="C65" s="85"/>
    </row>
    <row r="66" spans="1:3" x14ac:dyDescent="0.25">
      <c r="A66" s="85" t="s">
        <v>3352</v>
      </c>
      <c r="B66" s="85"/>
      <c r="C66" s="85"/>
    </row>
    <row r="67" spans="1:3" x14ac:dyDescent="0.25">
      <c r="A67" s="85"/>
      <c r="B67" s="85"/>
      <c r="C67" s="85"/>
    </row>
    <row r="68" spans="1:3" x14ac:dyDescent="0.25">
      <c r="A68" s="86" t="s">
        <v>3353</v>
      </c>
      <c r="B68" s="85"/>
      <c r="C68" s="85"/>
    </row>
    <row r="69" spans="1:3" x14ac:dyDescent="0.25">
      <c r="A69" s="85" t="s">
        <v>3354</v>
      </c>
      <c r="B69" s="85"/>
      <c r="C69" s="85"/>
    </row>
    <row r="70" spans="1:3" x14ac:dyDescent="0.25">
      <c r="A70" s="85" t="s">
        <v>3355</v>
      </c>
      <c r="B70" s="85"/>
      <c r="C70" s="85"/>
    </row>
    <row r="71" spans="1:3" x14ac:dyDescent="0.25">
      <c r="A71" s="85" t="s">
        <v>3356</v>
      </c>
      <c r="B71" s="85"/>
      <c r="C71" s="85"/>
    </row>
    <row r="72" spans="1:3" x14ac:dyDescent="0.25">
      <c r="A72" s="85"/>
      <c r="B72" s="85"/>
      <c r="C72" s="85"/>
    </row>
    <row r="73" spans="1:3" x14ac:dyDescent="0.25">
      <c r="A73" s="85"/>
      <c r="B73" s="85"/>
      <c r="C73" s="85"/>
    </row>
    <row r="74" spans="1:3" x14ac:dyDescent="0.25">
      <c r="A74" s="85"/>
      <c r="B74" s="85"/>
      <c r="C74" s="85"/>
    </row>
  </sheetData>
  <pageMargins left="0.7" right="0.7" top="0.75" bottom="0.75" header="0.3" footer="0.3"/>
  <pageSetup paperSize="9" orientation="portrait" r:id="rId1"/>
  <customProperties>
    <customPr name="_pios_id" r:id="rId2"/>
    <customPr name="EpmWorksheetKeyString_GUID" r:id="rId3"/>
  </customProperties>
  <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ABCF9-9B1E-4F6A-B05F-8A271B46AA7F}">
  <sheetPr codeName="Sheet15"/>
  <dimension ref="A1:B22"/>
  <sheetViews>
    <sheetView workbookViewId="0">
      <selection activeCell="B5" sqref="B5"/>
    </sheetView>
  </sheetViews>
  <sheetFormatPr defaultRowHeight="15" x14ac:dyDescent="0.25"/>
  <cols>
    <col min="2" max="2" width="135.42578125" bestFit="1" customWidth="1"/>
  </cols>
  <sheetData>
    <row r="1" spans="1:2" x14ac:dyDescent="0.25">
      <c r="A1" s="9" t="s">
        <v>3357</v>
      </c>
      <c r="B1" s="9" t="s">
        <v>11</v>
      </c>
    </row>
    <row r="2" spans="1:2" x14ac:dyDescent="0.25">
      <c r="A2">
        <v>1</v>
      </c>
      <c r="B2" t="s">
        <v>3358</v>
      </c>
    </row>
    <row r="3" spans="1:2" x14ac:dyDescent="0.25">
      <c r="A3">
        <v>2</v>
      </c>
      <c r="B3" t="s">
        <v>3359</v>
      </c>
    </row>
    <row r="4" spans="1:2" x14ac:dyDescent="0.25">
      <c r="A4">
        <v>3</v>
      </c>
      <c r="B4" t="s">
        <v>3360</v>
      </c>
    </row>
    <row r="5" spans="1:2" x14ac:dyDescent="0.25">
      <c r="A5">
        <v>4</v>
      </c>
      <c r="B5" t="s">
        <v>3361</v>
      </c>
    </row>
    <row r="6" spans="1:2" x14ac:dyDescent="0.25">
      <c r="A6">
        <v>5</v>
      </c>
      <c r="B6" t="s">
        <v>3362</v>
      </c>
    </row>
    <row r="7" spans="1:2" x14ac:dyDescent="0.25">
      <c r="A7">
        <v>6</v>
      </c>
      <c r="B7" t="s">
        <v>3363</v>
      </c>
    </row>
    <row r="8" spans="1:2" x14ac:dyDescent="0.25">
      <c r="A8">
        <v>7</v>
      </c>
      <c r="B8" t="s">
        <v>3364</v>
      </c>
    </row>
    <row r="9" spans="1:2" x14ac:dyDescent="0.25">
      <c r="A9">
        <v>8</v>
      </c>
      <c r="B9" t="s">
        <v>3365</v>
      </c>
    </row>
    <row r="10" spans="1:2" x14ac:dyDescent="0.25">
      <c r="A10">
        <v>9</v>
      </c>
      <c r="B10" t="s">
        <v>3366</v>
      </c>
    </row>
    <row r="11" spans="1:2" x14ac:dyDescent="0.25">
      <c r="A11">
        <v>10</v>
      </c>
      <c r="B11" t="s">
        <v>3367</v>
      </c>
    </row>
    <row r="12" spans="1:2" x14ac:dyDescent="0.25">
      <c r="A12">
        <v>11</v>
      </c>
      <c r="B12" t="s">
        <v>3368</v>
      </c>
    </row>
    <row r="13" spans="1:2" x14ac:dyDescent="0.25">
      <c r="A13">
        <v>12</v>
      </c>
      <c r="B13" t="s">
        <v>3369</v>
      </c>
    </row>
    <row r="14" spans="1:2" x14ac:dyDescent="0.25">
      <c r="A14">
        <v>13</v>
      </c>
      <c r="B14" t="s">
        <v>3370</v>
      </c>
    </row>
    <row r="15" spans="1:2" x14ac:dyDescent="0.25">
      <c r="A15">
        <v>14</v>
      </c>
      <c r="B15" t="s">
        <v>3371</v>
      </c>
    </row>
    <row r="16" spans="1:2" x14ac:dyDescent="0.25">
      <c r="A16">
        <v>15</v>
      </c>
    </row>
    <row r="17" spans="1:1" x14ac:dyDescent="0.25">
      <c r="A17">
        <v>16</v>
      </c>
    </row>
    <row r="18" spans="1:1" x14ac:dyDescent="0.25">
      <c r="A18">
        <v>17</v>
      </c>
    </row>
    <row r="19" spans="1:1" x14ac:dyDescent="0.25">
      <c r="A19">
        <v>18</v>
      </c>
    </row>
    <row r="20" spans="1:1" x14ac:dyDescent="0.25">
      <c r="A20">
        <v>19</v>
      </c>
    </row>
    <row r="21" spans="1:1" x14ac:dyDescent="0.25">
      <c r="A21">
        <v>20</v>
      </c>
    </row>
    <row r="22" spans="1:1" x14ac:dyDescent="0.25">
      <c r="A22">
        <v>21</v>
      </c>
    </row>
  </sheetData>
  <pageMargins left="0.7" right="0.7" top="0.75" bottom="0.75" header="0.3" footer="0.3"/>
  <pageSetup paperSize="9" orientation="portrait" horizontalDpi="4294967293" r:id="rId1"/>
  <customProperties>
    <customPr name="_pios_id" r:id="rId2"/>
    <customPr name="EpmWorksheetKeyString_GUID"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A70E1-627C-4D58-A5B3-625E08210C45}">
  <sheetPr codeName="Sheet16"/>
  <dimension ref="B2:D11"/>
  <sheetViews>
    <sheetView workbookViewId="0">
      <selection activeCell="C11" sqref="C11"/>
    </sheetView>
  </sheetViews>
  <sheetFormatPr defaultRowHeight="15" x14ac:dyDescent="0.25"/>
  <cols>
    <col min="3" max="3" width="83.5703125" customWidth="1"/>
    <col min="4" max="4" width="12.42578125" customWidth="1"/>
  </cols>
  <sheetData>
    <row r="2" spans="2:4" x14ac:dyDescent="0.25">
      <c r="B2" t="s">
        <v>3257</v>
      </c>
      <c r="C2" t="s">
        <v>3372</v>
      </c>
      <c r="D2" t="s">
        <v>105</v>
      </c>
    </row>
    <row r="3" spans="2:4" x14ac:dyDescent="0.25">
      <c r="B3">
        <v>1</v>
      </c>
      <c r="C3" t="s">
        <v>3373</v>
      </c>
      <c r="D3" t="s">
        <v>3292</v>
      </c>
    </row>
    <row r="4" spans="2:4" x14ac:dyDescent="0.25">
      <c r="B4">
        <v>2</v>
      </c>
      <c r="C4" t="s">
        <v>3374</v>
      </c>
      <c r="D4" t="s">
        <v>3292</v>
      </c>
    </row>
    <row r="5" spans="2:4" x14ac:dyDescent="0.25">
      <c r="B5">
        <v>3</v>
      </c>
      <c r="C5" t="s">
        <v>3375</v>
      </c>
      <c r="D5" t="s">
        <v>3292</v>
      </c>
    </row>
    <row r="6" spans="2:4" x14ac:dyDescent="0.25">
      <c r="B6">
        <v>4</v>
      </c>
      <c r="C6" t="s">
        <v>3376</v>
      </c>
      <c r="D6" t="s">
        <v>3292</v>
      </c>
    </row>
    <row r="7" spans="2:4" x14ac:dyDescent="0.25">
      <c r="B7">
        <v>5</v>
      </c>
      <c r="C7" t="s">
        <v>3377</v>
      </c>
      <c r="D7" t="s">
        <v>3292</v>
      </c>
    </row>
    <row r="8" spans="2:4" x14ac:dyDescent="0.25">
      <c r="B8">
        <v>6</v>
      </c>
      <c r="C8" t="s">
        <v>3378</v>
      </c>
      <c r="D8" t="s">
        <v>3292</v>
      </c>
    </row>
    <row r="9" spans="2:4" x14ac:dyDescent="0.25">
      <c r="B9">
        <v>7</v>
      </c>
      <c r="C9" t="s">
        <v>3379</v>
      </c>
      <c r="D9" t="s">
        <v>3292</v>
      </c>
    </row>
    <row r="10" spans="2:4" x14ac:dyDescent="0.25">
      <c r="B10">
        <v>8</v>
      </c>
      <c r="C10" t="s">
        <v>3380</v>
      </c>
      <c r="D10" t="s">
        <v>3292</v>
      </c>
    </row>
    <row r="11" spans="2:4" x14ac:dyDescent="0.25">
      <c r="B11">
        <v>9</v>
      </c>
    </row>
  </sheetData>
  <pageMargins left="0.7" right="0.7" top="0.75" bottom="0.75" header="0.3" footer="0.3"/>
  <pageSetup paperSize="9" orientation="portrait" r:id="rId1"/>
  <customProperties>
    <customPr name="_pios_id" r:id="rId2"/>
    <customPr name="EpmWorksheetKeyString_GUID" r:id="rId3"/>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CDBE6-A839-461A-9D55-E0C436B6D153}">
  <sheetPr codeName="Sheet12" filterMode="1"/>
  <dimension ref="A1:R113"/>
  <sheetViews>
    <sheetView zoomScale="85" zoomScaleNormal="85" workbookViewId="0">
      <selection activeCell="C2" sqref="C2"/>
    </sheetView>
  </sheetViews>
  <sheetFormatPr defaultRowHeight="15" x14ac:dyDescent="0.25"/>
  <cols>
    <col min="1" max="1" width="10" bestFit="1" customWidth="1"/>
    <col min="2" max="2" width="35.42578125" customWidth="1"/>
    <col min="3" max="3" width="12.42578125" customWidth="1"/>
    <col min="4" max="5" width="16.5703125" customWidth="1"/>
    <col min="6" max="6" width="16.42578125" customWidth="1"/>
    <col min="7" max="7" width="20" customWidth="1"/>
    <col min="8" max="8" width="31.5703125" bestFit="1" customWidth="1"/>
    <col min="9" max="9" width="27.5703125" customWidth="1"/>
    <col min="10" max="11" width="7.5703125" customWidth="1"/>
    <col min="12" max="13" width="10.5703125" customWidth="1"/>
    <col min="14" max="15" width="16.5703125" customWidth="1"/>
    <col min="16" max="16" width="16.42578125" bestFit="1" customWidth="1"/>
    <col min="17" max="17" width="44.5703125" bestFit="1" customWidth="1"/>
  </cols>
  <sheetData>
    <row r="1" spans="1:17" x14ac:dyDescent="0.25">
      <c r="B1" t="s">
        <v>108</v>
      </c>
      <c r="C1">
        <v>2023</v>
      </c>
      <c r="E1" t="s">
        <v>3381</v>
      </c>
      <c r="F1" s="41">
        <v>45278</v>
      </c>
    </row>
    <row r="2" spans="1:17" x14ac:dyDescent="0.25">
      <c r="B2" t="s">
        <v>3382</v>
      </c>
      <c r="C2" s="199">
        <v>950000</v>
      </c>
    </row>
    <row r="3" spans="1:17" x14ac:dyDescent="0.25">
      <c r="B3" t="s">
        <v>3383</v>
      </c>
      <c r="C3" cm="1">
        <f t="array" ref="C3">SUMPRODUCT(($C$7:$C$105="non-sap")*($D$7:$D$105="Operational")*($H$7:$H$105="Managed Hosting (Private Cloud)")*($K$7:$K$105))</f>
        <v>92</v>
      </c>
    </row>
    <row r="4" spans="1:17" x14ac:dyDescent="0.25">
      <c r="B4" t="s">
        <v>3384</v>
      </c>
      <c r="C4" s="200">
        <f>C2/C3</f>
        <v>10326.08695652174</v>
      </c>
      <c r="E4" t="s">
        <v>3385</v>
      </c>
      <c r="G4" t="s">
        <v>3386</v>
      </c>
      <c r="H4" s="95" t="s">
        <v>34</v>
      </c>
      <c r="L4" s="9" t="s">
        <v>12</v>
      </c>
      <c r="M4" s="201">
        <f>SUM(M7:M105)</f>
        <v>900900</v>
      </c>
      <c r="N4" s="201">
        <f>SUM(N7:N105)</f>
        <v>932000</v>
      </c>
      <c r="O4" s="201">
        <f>SUM(O7:O105)</f>
        <v>-31100</v>
      </c>
    </row>
    <row r="6" spans="1:17" s="9" customFormat="1" x14ac:dyDescent="0.25">
      <c r="A6" s="202" t="s">
        <v>3387</v>
      </c>
      <c r="B6" s="203" t="s">
        <v>3388</v>
      </c>
      <c r="C6" s="203" t="s">
        <v>3389</v>
      </c>
      <c r="D6" s="203" t="s">
        <v>3390</v>
      </c>
      <c r="E6" s="203" t="s">
        <v>3391</v>
      </c>
      <c r="F6" s="203" t="s">
        <v>3392</v>
      </c>
      <c r="G6" s="203" t="s">
        <v>3393</v>
      </c>
      <c r="H6" s="203" t="s">
        <v>3394</v>
      </c>
      <c r="I6" s="204" t="s">
        <v>3395</v>
      </c>
      <c r="J6" s="205" t="s">
        <v>3396</v>
      </c>
      <c r="K6" s="202" t="s">
        <v>3397</v>
      </c>
      <c r="L6" s="203" t="s">
        <v>3398</v>
      </c>
      <c r="M6" s="203" t="s">
        <v>3399</v>
      </c>
      <c r="N6" s="203" t="s">
        <v>3400</v>
      </c>
      <c r="O6" s="203" t="s">
        <v>3263</v>
      </c>
      <c r="P6" s="203" t="s">
        <v>3401</v>
      </c>
      <c r="Q6" s="204" t="s">
        <v>110</v>
      </c>
    </row>
    <row r="7" spans="1:17" hidden="1" x14ac:dyDescent="0.25">
      <c r="A7" s="206" t="s">
        <v>2772</v>
      </c>
      <c r="B7" t="s">
        <v>3402</v>
      </c>
      <c r="C7" t="s">
        <v>437</v>
      </c>
      <c r="D7" t="s">
        <v>2111</v>
      </c>
      <c r="E7" t="s">
        <v>3403</v>
      </c>
      <c r="F7" t="s">
        <v>2135</v>
      </c>
      <c r="G7" t="s">
        <v>1063</v>
      </c>
      <c r="H7" t="s">
        <v>2114</v>
      </c>
      <c r="I7" t="s">
        <v>3404</v>
      </c>
      <c r="J7">
        <v>1</v>
      </c>
      <c r="K7">
        <v>11</v>
      </c>
      <c r="L7" s="207">
        <f>IF(C7="non-sap",$C$4,0)</f>
        <v>0</v>
      </c>
      <c r="M7" s="207">
        <f>IF(AND(C7="non-sap",D7="Operational"),CEILING((K7*L7),100),0)</f>
        <v>0</v>
      </c>
      <c r="N7" s="207" cm="1">
        <f t="array" ref="N7">SUMPRODUCT(('AOP25'!$E$2:$E$402=$H$4)*('AOP25'!$J$2:$J$402='Infra Cost Non Sap 2024'!A7)*('AOP25'!$T$2:$T$402))</f>
        <v>0</v>
      </c>
      <c r="O7" s="207">
        <f>M7-N7</f>
        <v>0</v>
      </c>
      <c r="P7" t="s">
        <v>2880</v>
      </c>
      <c r="Q7" s="141"/>
    </row>
    <row r="8" spans="1:17" hidden="1" x14ac:dyDescent="0.25">
      <c r="A8" s="206" t="s">
        <v>3130</v>
      </c>
      <c r="B8" t="s">
        <v>3405</v>
      </c>
      <c r="C8" t="s">
        <v>437</v>
      </c>
      <c r="D8" t="s">
        <v>2111</v>
      </c>
      <c r="E8" t="s">
        <v>3403</v>
      </c>
      <c r="F8" t="s">
        <v>850</v>
      </c>
      <c r="G8" t="s">
        <v>1293</v>
      </c>
      <c r="H8" t="s">
        <v>2114</v>
      </c>
      <c r="I8" t="s">
        <v>3404</v>
      </c>
      <c r="J8">
        <v>1</v>
      </c>
      <c r="K8">
        <v>4</v>
      </c>
      <c r="L8" s="207">
        <f t="shared" ref="L8:L71" si="0">IF(C8="non-sap",$C$4,0)</f>
        <v>0</v>
      </c>
      <c r="M8" s="207">
        <f t="shared" ref="M8:M71" si="1">IF(AND(C8="non-sap",D8="Operational"),CEILING((K8*L8),100),0)</f>
        <v>0</v>
      </c>
      <c r="N8" s="199" cm="1">
        <f t="array" ref="N8">SUMPRODUCT(('AOP25'!$E$2:$E$402=$H$4)*('AOP25'!$J$2:$J$402='Infra Cost Non Sap 2024'!A8)*('AOP25'!$T$2:$T$402))</f>
        <v>0</v>
      </c>
      <c r="O8" s="207">
        <f t="shared" ref="O8:O71" si="2">M8-N8</f>
        <v>0</v>
      </c>
      <c r="P8" t="s">
        <v>2880</v>
      </c>
      <c r="Q8" s="141"/>
    </row>
    <row r="9" spans="1:17" hidden="1" x14ac:dyDescent="0.25">
      <c r="A9" s="206" t="s">
        <v>3406</v>
      </c>
      <c r="B9" t="s">
        <v>3407</v>
      </c>
      <c r="C9" t="s">
        <v>437</v>
      </c>
      <c r="D9" t="s">
        <v>3408</v>
      </c>
      <c r="E9" t="s">
        <v>3403</v>
      </c>
      <c r="F9" t="s">
        <v>3409</v>
      </c>
      <c r="G9" t="s">
        <v>311</v>
      </c>
      <c r="H9" t="s">
        <v>1604</v>
      </c>
      <c r="I9" t="s">
        <v>1604</v>
      </c>
      <c r="J9">
        <v>1</v>
      </c>
      <c r="K9">
        <v>0</v>
      </c>
      <c r="L9" s="207">
        <f t="shared" si="0"/>
        <v>0</v>
      </c>
      <c r="M9" s="207">
        <f t="shared" si="1"/>
        <v>0</v>
      </c>
      <c r="N9" s="199" cm="1">
        <f t="array" ref="N9">SUMPRODUCT(('AOP25'!$E$2:$E$402=$H$4)*('AOP25'!$J$2:$J$402='Infra Cost Non Sap 2024'!A9)*('AOP25'!$T$2:$T$402))</f>
        <v>0</v>
      </c>
      <c r="O9" s="207">
        <f t="shared" si="2"/>
        <v>0</v>
      </c>
      <c r="P9" t="s">
        <v>2880</v>
      </c>
      <c r="Q9" s="141"/>
    </row>
    <row r="10" spans="1:17" hidden="1" x14ac:dyDescent="0.25">
      <c r="A10" s="206" t="s">
        <v>3132</v>
      </c>
      <c r="B10" t="s">
        <v>3410</v>
      </c>
      <c r="C10" t="s">
        <v>437</v>
      </c>
      <c r="D10" t="s">
        <v>2111</v>
      </c>
      <c r="E10" t="s">
        <v>3403</v>
      </c>
      <c r="F10" t="s">
        <v>3411</v>
      </c>
      <c r="G10" t="s">
        <v>3412</v>
      </c>
      <c r="H10" t="s">
        <v>2114</v>
      </c>
      <c r="I10" t="s">
        <v>3404</v>
      </c>
      <c r="J10">
        <v>1</v>
      </c>
      <c r="K10">
        <v>8</v>
      </c>
      <c r="L10" s="207">
        <f t="shared" si="0"/>
        <v>0</v>
      </c>
      <c r="M10" s="207">
        <f t="shared" si="1"/>
        <v>0</v>
      </c>
      <c r="N10" s="199" cm="1">
        <f t="array" ref="N10">SUMPRODUCT(('AOP25'!$E$2:$E$402=$H$4)*('AOP25'!$J$2:$J$402='Infra Cost Non Sap 2024'!A10)*('AOP25'!$T$2:$T$402))</f>
        <v>0</v>
      </c>
      <c r="O10" s="207">
        <f t="shared" si="2"/>
        <v>0</v>
      </c>
      <c r="P10" t="s">
        <v>2880</v>
      </c>
      <c r="Q10" s="141"/>
    </row>
    <row r="11" spans="1:17" hidden="1" x14ac:dyDescent="0.25">
      <c r="A11" s="206" t="s">
        <v>3134</v>
      </c>
      <c r="B11" t="s">
        <v>3413</v>
      </c>
      <c r="C11" t="s">
        <v>437</v>
      </c>
      <c r="D11" t="s">
        <v>2111</v>
      </c>
      <c r="E11" t="s">
        <v>3403</v>
      </c>
      <c r="F11" t="s">
        <v>850</v>
      </c>
      <c r="G11" t="s">
        <v>1293</v>
      </c>
      <c r="H11" t="s">
        <v>2114</v>
      </c>
      <c r="I11" t="s">
        <v>3404</v>
      </c>
      <c r="J11">
        <v>1</v>
      </c>
      <c r="K11">
        <v>9</v>
      </c>
      <c r="L11" s="207">
        <f t="shared" si="0"/>
        <v>0</v>
      </c>
      <c r="M11" s="207">
        <f t="shared" si="1"/>
        <v>0</v>
      </c>
      <c r="N11" s="199" cm="1">
        <f t="array" ref="N11">SUMPRODUCT(('AOP25'!$E$2:$E$402=$H$4)*('AOP25'!$J$2:$J$402='Infra Cost Non Sap 2024'!A11)*('AOP25'!$T$2:$T$402))</f>
        <v>0</v>
      </c>
      <c r="O11" s="207">
        <f t="shared" si="2"/>
        <v>0</v>
      </c>
      <c r="P11" t="s">
        <v>2880</v>
      </c>
      <c r="Q11" s="141"/>
    </row>
    <row r="12" spans="1:17" hidden="1" x14ac:dyDescent="0.25">
      <c r="A12" s="206" t="s">
        <v>3414</v>
      </c>
      <c r="B12" t="s">
        <v>3415</v>
      </c>
      <c r="C12" t="s">
        <v>437</v>
      </c>
      <c r="D12" t="s">
        <v>2111</v>
      </c>
      <c r="E12" t="s">
        <v>3403</v>
      </c>
      <c r="F12" t="s">
        <v>3416</v>
      </c>
      <c r="G12" t="s">
        <v>3417</v>
      </c>
      <c r="H12" t="s">
        <v>2114</v>
      </c>
      <c r="I12" t="s">
        <v>3418</v>
      </c>
      <c r="J12">
        <v>1</v>
      </c>
      <c r="K12">
        <v>2</v>
      </c>
      <c r="L12" s="207">
        <f t="shared" si="0"/>
        <v>0</v>
      </c>
      <c r="M12" s="207">
        <f t="shared" si="1"/>
        <v>0</v>
      </c>
      <c r="N12" s="199" cm="1">
        <f t="array" ref="N12">SUMPRODUCT(('AOP25'!$E$2:$E$402=$H$4)*('AOP25'!$J$2:$J$402='Infra Cost Non Sap 2024'!A12)*('AOP25'!$T$2:$T$402))</f>
        <v>0</v>
      </c>
      <c r="O12" s="207">
        <f t="shared" si="2"/>
        <v>0</v>
      </c>
      <c r="P12" t="s">
        <v>2880</v>
      </c>
      <c r="Q12" s="141"/>
    </row>
    <row r="13" spans="1:17" hidden="1" x14ac:dyDescent="0.25">
      <c r="A13" s="206" t="s">
        <v>3137</v>
      </c>
      <c r="B13" t="s">
        <v>3419</v>
      </c>
      <c r="C13" t="s">
        <v>437</v>
      </c>
      <c r="D13" t="s">
        <v>1604</v>
      </c>
      <c r="E13" t="s">
        <v>3403</v>
      </c>
      <c r="F13" t="s">
        <v>2135</v>
      </c>
      <c r="G13" t="s">
        <v>3420</v>
      </c>
      <c r="H13" t="s">
        <v>1604</v>
      </c>
      <c r="I13" t="s">
        <v>1604</v>
      </c>
      <c r="J13">
        <v>1</v>
      </c>
      <c r="K13">
        <v>0</v>
      </c>
      <c r="L13" s="207">
        <f t="shared" si="0"/>
        <v>0</v>
      </c>
      <c r="M13" s="207">
        <f t="shared" si="1"/>
        <v>0</v>
      </c>
      <c r="N13" s="199" cm="1">
        <f t="array" ref="N13">SUMPRODUCT(('AOP25'!$E$2:$E$402=$H$4)*('AOP25'!$J$2:$J$402='Infra Cost Non Sap 2024'!A13)*('AOP25'!$T$2:$T$402))</f>
        <v>0</v>
      </c>
      <c r="O13" s="207">
        <f t="shared" si="2"/>
        <v>0</v>
      </c>
      <c r="P13" t="s">
        <v>2880</v>
      </c>
      <c r="Q13" s="141"/>
    </row>
    <row r="14" spans="1:17" hidden="1" x14ac:dyDescent="0.25">
      <c r="A14" s="206" t="s">
        <v>3022</v>
      </c>
      <c r="B14" t="s">
        <v>3421</v>
      </c>
      <c r="C14" t="s">
        <v>437</v>
      </c>
      <c r="D14" t="s">
        <v>2111</v>
      </c>
      <c r="E14" t="s">
        <v>3403</v>
      </c>
      <c r="F14" t="s">
        <v>2135</v>
      </c>
      <c r="G14" t="s">
        <v>3420</v>
      </c>
      <c r="H14" t="s">
        <v>2114</v>
      </c>
      <c r="I14" t="s">
        <v>3422</v>
      </c>
      <c r="J14">
        <v>1</v>
      </c>
      <c r="K14">
        <v>3</v>
      </c>
      <c r="L14" s="207">
        <f t="shared" si="0"/>
        <v>0</v>
      </c>
      <c r="M14" s="207">
        <f t="shared" si="1"/>
        <v>0</v>
      </c>
      <c r="N14" s="199" cm="1">
        <f t="array" ref="N14">SUMPRODUCT(('AOP25'!$E$2:$E$402=$H$4)*('AOP25'!$J$2:$J$402='Infra Cost Non Sap 2024'!A14)*('AOP25'!$T$2:$T$402))</f>
        <v>0</v>
      </c>
      <c r="O14" s="207">
        <f t="shared" si="2"/>
        <v>0</v>
      </c>
      <c r="P14" t="s">
        <v>2880</v>
      </c>
      <c r="Q14" s="141"/>
    </row>
    <row r="15" spans="1:17" hidden="1" x14ac:dyDescent="0.25">
      <c r="A15" s="227" t="s">
        <v>3423</v>
      </c>
      <c r="B15" s="168" t="s">
        <v>3424</v>
      </c>
      <c r="C15" s="168" t="s">
        <v>437</v>
      </c>
      <c r="D15" s="168" t="s">
        <v>2111</v>
      </c>
      <c r="E15" s="168" t="s">
        <v>3403</v>
      </c>
      <c r="F15" s="168" t="s">
        <v>2795</v>
      </c>
      <c r="G15" s="168" t="s">
        <v>1063</v>
      </c>
      <c r="H15" s="168" t="s">
        <v>2114</v>
      </c>
      <c r="I15" s="168" t="s">
        <v>3404</v>
      </c>
      <c r="J15" s="168">
        <v>1</v>
      </c>
      <c r="K15" s="168">
        <v>2</v>
      </c>
      <c r="L15" s="228">
        <f t="shared" si="0"/>
        <v>0</v>
      </c>
      <c r="M15" s="228">
        <f t="shared" si="1"/>
        <v>0</v>
      </c>
      <c r="N15" s="239" cm="1">
        <f t="array" ref="N15">SUMPRODUCT(('AOP25'!$E$2:$E$402=$H$4)*('AOP25'!$J$2:$J$402='Infra Cost Non Sap 2024'!A15)*('AOP25'!$T$2:$T$402))</f>
        <v>0</v>
      </c>
      <c r="O15" s="228">
        <f t="shared" si="2"/>
        <v>0</v>
      </c>
      <c r="P15" s="168" t="s">
        <v>2880</v>
      </c>
      <c r="Q15" s="229" t="s">
        <v>3425</v>
      </c>
    </row>
    <row r="16" spans="1:17" hidden="1" x14ac:dyDescent="0.25">
      <c r="A16" s="206" t="s">
        <v>3426</v>
      </c>
      <c r="B16" t="s">
        <v>3427</v>
      </c>
      <c r="C16" t="s">
        <v>437</v>
      </c>
      <c r="D16" t="s">
        <v>2111</v>
      </c>
      <c r="E16" t="s">
        <v>3403</v>
      </c>
      <c r="F16" t="s">
        <v>2795</v>
      </c>
      <c r="G16" t="s">
        <v>1063</v>
      </c>
      <c r="H16" t="s">
        <v>2114</v>
      </c>
      <c r="I16" t="s">
        <v>3404</v>
      </c>
      <c r="J16">
        <v>1</v>
      </c>
      <c r="K16">
        <v>3</v>
      </c>
      <c r="L16" s="207">
        <f t="shared" si="0"/>
        <v>0</v>
      </c>
      <c r="M16" s="207">
        <f t="shared" si="1"/>
        <v>0</v>
      </c>
      <c r="N16" s="199" cm="1">
        <f t="array" ref="N16">SUMPRODUCT(('AOP25'!$E$2:$E$402=$H$4)*('AOP25'!$J$2:$J$402='Infra Cost Non Sap 2024'!A16)*('AOP25'!$T$2:$T$402))</f>
        <v>0</v>
      </c>
      <c r="O16" s="207">
        <f t="shared" si="2"/>
        <v>0</v>
      </c>
      <c r="P16" t="s">
        <v>2880</v>
      </c>
      <c r="Q16" s="141"/>
    </row>
    <row r="17" spans="1:17" x14ac:dyDescent="0.25">
      <c r="A17" s="206" t="s">
        <v>2005</v>
      </c>
      <c r="B17" t="s">
        <v>3428</v>
      </c>
      <c r="C17" t="s">
        <v>2110</v>
      </c>
      <c r="D17" t="s">
        <v>2111</v>
      </c>
      <c r="E17" t="s">
        <v>3403</v>
      </c>
      <c r="F17" t="s">
        <v>3429</v>
      </c>
      <c r="G17" t="s">
        <v>3144</v>
      </c>
      <c r="H17" t="s">
        <v>2114</v>
      </c>
      <c r="I17" t="s">
        <v>3404</v>
      </c>
      <c r="J17">
        <v>1</v>
      </c>
      <c r="K17">
        <v>4</v>
      </c>
      <c r="L17" s="207">
        <f t="shared" si="0"/>
        <v>10326.08695652174</v>
      </c>
      <c r="M17" s="207">
        <f t="shared" si="1"/>
        <v>41400</v>
      </c>
      <c r="N17" s="199" cm="1">
        <f t="array" ref="N17">SUMPRODUCT(('AOP25'!$E$2:$E$402=$H$4)*('AOP25'!$J$2:$J$402='Infra Cost Non Sap 2024'!A17)*('AOP25'!$T$2:$T$402))</f>
        <v>41400</v>
      </c>
      <c r="O17" s="207">
        <f t="shared" si="2"/>
        <v>0</v>
      </c>
      <c r="P17" t="s">
        <v>2880</v>
      </c>
      <c r="Q17" s="141" t="s">
        <v>3430</v>
      </c>
    </row>
    <row r="18" spans="1:17" x14ac:dyDescent="0.25">
      <c r="A18" s="206" t="s">
        <v>2007</v>
      </c>
      <c r="B18" t="s">
        <v>3431</v>
      </c>
      <c r="C18" t="s">
        <v>2110</v>
      </c>
      <c r="D18" t="s">
        <v>2111</v>
      </c>
      <c r="E18" t="s">
        <v>3403</v>
      </c>
      <c r="F18" t="s">
        <v>3432</v>
      </c>
      <c r="G18" t="s">
        <v>227</v>
      </c>
      <c r="H18" t="s">
        <v>2114</v>
      </c>
      <c r="I18" t="s">
        <v>2115</v>
      </c>
      <c r="J18">
        <v>1</v>
      </c>
      <c r="K18">
        <v>4</v>
      </c>
      <c r="L18" s="207">
        <f t="shared" si="0"/>
        <v>10326.08695652174</v>
      </c>
      <c r="M18" s="207">
        <f t="shared" si="1"/>
        <v>41400</v>
      </c>
      <c r="N18" s="199" cm="1">
        <f t="array" ref="N18">SUMPRODUCT(('AOP25'!$E$2:$E$402=$H$4)*('AOP25'!$J$2:$J$402='Infra Cost Non Sap 2024'!A18)*('AOP25'!$T$2:$T$402))</f>
        <v>41400</v>
      </c>
      <c r="O18" s="207">
        <f t="shared" si="2"/>
        <v>0</v>
      </c>
      <c r="P18" t="s">
        <v>3433</v>
      </c>
      <c r="Q18" s="141" t="s">
        <v>3434</v>
      </c>
    </row>
    <row r="19" spans="1:17" hidden="1" x14ac:dyDescent="0.25">
      <c r="A19" s="227" t="s">
        <v>2009</v>
      </c>
      <c r="B19" s="168" t="s">
        <v>3435</v>
      </c>
      <c r="C19" s="168" t="s">
        <v>2110</v>
      </c>
      <c r="D19" s="168" t="s">
        <v>2111</v>
      </c>
      <c r="E19" s="168" t="s">
        <v>3403</v>
      </c>
      <c r="F19" s="168" t="s">
        <v>3432</v>
      </c>
      <c r="G19" s="168" t="s">
        <v>227</v>
      </c>
      <c r="H19" s="168" t="s">
        <v>2114</v>
      </c>
      <c r="I19" s="168" t="s">
        <v>3422</v>
      </c>
      <c r="J19" s="168">
        <v>1</v>
      </c>
      <c r="K19" s="168">
        <v>0</v>
      </c>
      <c r="L19" s="228">
        <f t="shared" si="0"/>
        <v>10326.08695652174</v>
      </c>
      <c r="M19" s="228">
        <f t="shared" si="1"/>
        <v>0</v>
      </c>
      <c r="N19" s="239" cm="1">
        <f t="array" ref="N19">SUMPRODUCT(('AOP25'!$E$2:$E$402=$H$4)*('AOP25'!$J$2:$J$402='Infra Cost Non Sap 2024'!A19)*('AOP25'!$T$2:$T$402))</f>
        <v>0</v>
      </c>
      <c r="O19" s="228">
        <f t="shared" si="2"/>
        <v>0</v>
      </c>
      <c r="P19" s="168" t="s">
        <v>3433</v>
      </c>
      <c r="Q19" s="229" t="s">
        <v>3434</v>
      </c>
    </row>
    <row r="20" spans="1:17" hidden="1" x14ac:dyDescent="0.25">
      <c r="A20" s="227" t="s">
        <v>2011</v>
      </c>
      <c r="B20" s="168" t="s">
        <v>3436</v>
      </c>
      <c r="C20" s="168" t="s">
        <v>2110</v>
      </c>
      <c r="D20" s="168" t="s">
        <v>2111</v>
      </c>
      <c r="E20" s="168" t="s">
        <v>3403</v>
      </c>
      <c r="F20" s="168" t="s">
        <v>3429</v>
      </c>
      <c r="G20" s="168" t="s">
        <v>1225</v>
      </c>
      <c r="H20" s="168" t="s">
        <v>2114</v>
      </c>
      <c r="I20" s="168" t="s">
        <v>3422</v>
      </c>
      <c r="J20" s="168">
        <v>1</v>
      </c>
      <c r="K20" s="168">
        <v>0</v>
      </c>
      <c r="L20" s="228">
        <f t="shared" si="0"/>
        <v>10326.08695652174</v>
      </c>
      <c r="M20" s="228">
        <f t="shared" si="1"/>
        <v>0</v>
      </c>
      <c r="N20" s="239" cm="1">
        <f t="array" ref="N20">SUMPRODUCT(('AOP25'!$E$2:$E$402=$H$4)*('AOP25'!$J$2:$J$402='Infra Cost Non Sap 2024'!A20)*('AOP25'!$T$2:$T$402))</f>
        <v>0</v>
      </c>
      <c r="O20" s="228">
        <f t="shared" si="2"/>
        <v>0</v>
      </c>
      <c r="P20" s="168" t="s">
        <v>3433</v>
      </c>
      <c r="Q20" s="229"/>
    </row>
    <row r="21" spans="1:17" x14ac:dyDescent="0.25">
      <c r="A21" s="227" t="s">
        <v>2013</v>
      </c>
      <c r="B21" s="168" t="s">
        <v>3437</v>
      </c>
      <c r="C21" s="168" t="s">
        <v>2110</v>
      </c>
      <c r="D21" s="168" t="s">
        <v>2111</v>
      </c>
      <c r="E21" s="168" t="s">
        <v>3403</v>
      </c>
      <c r="F21" s="168" t="s">
        <v>3438</v>
      </c>
      <c r="G21" s="168" t="s">
        <v>227</v>
      </c>
      <c r="H21" s="168" t="s">
        <v>2114</v>
      </c>
      <c r="I21" s="168" t="s">
        <v>3422</v>
      </c>
      <c r="J21" s="168">
        <v>1</v>
      </c>
      <c r="K21" s="168">
        <v>1</v>
      </c>
      <c r="L21" s="228">
        <f t="shared" si="0"/>
        <v>10326.08695652174</v>
      </c>
      <c r="M21" s="228">
        <f t="shared" si="1"/>
        <v>10400</v>
      </c>
      <c r="N21" s="239" cm="1">
        <f t="array" ref="N21">SUMPRODUCT(('AOP25'!$E$2:$E$402=$H$4)*('AOP25'!$J$2:$J$402='Infra Cost Non Sap 2024'!A21)*('AOP25'!$T$2:$T$402))</f>
        <v>10400</v>
      </c>
      <c r="O21" s="228">
        <f t="shared" si="2"/>
        <v>0</v>
      </c>
      <c r="P21" s="168" t="s">
        <v>3433</v>
      </c>
      <c r="Q21" s="229" t="s">
        <v>3439</v>
      </c>
    </row>
    <row r="22" spans="1:17" x14ac:dyDescent="0.25">
      <c r="A22" s="206" t="s">
        <v>2015</v>
      </c>
      <c r="B22" t="s">
        <v>3440</v>
      </c>
      <c r="C22" t="s">
        <v>2110</v>
      </c>
      <c r="D22" t="s">
        <v>2111</v>
      </c>
      <c r="E22" t="s">
        <v>3403</v>
      </c>
      <c r="F22" t="s">
        <v>3432</v>
      </c>
      <c r="G22" t="s">
        <v>227</v>
      </c>
      <c r="H22" t="s">
        <v>2114</v>
      </c>
      <c r="I22" t="s">
        <v>2115</v>
      </c>
      <c r="J22">
        <v>1</v>
      </c>
      <c r="K22">
        <v>2</v>
      </c>
      <c r="L22" s="207">
        <f t="shared" si="0"/>
        <v>10326.08695652174</v>
      </c>
      <c r="M22" s="207">
        <f t="shared" si="1"/>
        <v>20700</v>
      </c>
      <c r="N22" s="199" cm="1">
        <f t="array" ref="N22">SUMPRODUCT(('AOP25'!$E$2:$E$402=$H$4)*('AOP25'!$J$2:$J$402='Infra Cost Non Sap 2024'!A22)*('AOP25'!$T$2:$T$402))</f>
        <v>20700</v>
      </c>
      <c r="O22" s="207">
        <f t="shared" si="2"/>
        <v>0</v>
      </c>
      <c r="P22" t="s">
        <v>3433</v>
      </c>
      <c r="Q22" s="141"/>
    </row>
    <row r="23" spans="1:17" hidden="1" x14ac:dyDescent="0.25">
      <c r="A23" s="227" t="s">
        <v>2017</v>
      </c>
      <c r="B23" s="168" t="s">
        <v>3441</v>
      </c>
      <c r="C23" s="168" t="s">
        <v>2110</v>
      </c>
      <c r="D23" s="168" t="s">
        <v>2111</v>
      </c>
      <c r="E23" s="168" t="s">
        <v>3403</v>
      </c>
      <c r="F23" s="168" t="s">
        <v>3432</v>
      </c>
      <c r="G23" s="168" t="s">
        <v>3442</v>
      </c>
      <c r="H23" s="168" t="s">
        <v>2114</v>
      </c>
      <c r="I23" s="168" t="s">
        <v>3404</v>
      </c>
      <c r="J23" s="168">
        <v>1</v>
      </c>
      <c r="K23" s="168">
        <v>0</v>
      </c>
      <c r="L23" s="228">
        <f t="shared" si="0"/>
        <v>10326.08695652174</v>
      </c>
      <c r="M23" s="228">
        <f t="shared" si="1"/>
        <v>0</v>
      </c>
      <c r="N23" s="239" cm="1">
        <f t="array" ref="N23">SUMPRODUCT(('AOP25'!$E$2:$E$402=$H$4)*('AOP25'!$J$2:$J$402='Infra Cost Non Sap 2024'!A23)*('AOP25'!$T$2:$T$402))</f>
        <v>0</v>
      </c>
      <c r="O23" s="228">
        <f t="shared" si="2"/>
        <v>0</v>
      </c>
      <c r="P23" s="168" t="s">
        <v>2880</v>
      </c>
      <c r="Q23" s="229" t="s">
        <v>3443</v>
      </c>
    </row>
    <row r="24" spans="1:17" x14ac:dyDescent="0.25">
      <c r="A24" s="206" t="s">
        <v>2019</v>
      </c>
      <c r="B24" t="s">
        <v>3444</v>
      </c>
      <c r="C24" t="s">
        <v>2110</v>
      </c>
      <c r="D24" t="s">
        <v>2111</v>
      </c>
      <c r="E24" t="s">
        <v>3403</v>
      </c>
      <c r="F24" t="s">
        <v>3416</v>
      </c>
      <c r="G24" t="s">
        <v>3417</v>
      </c>
      <c r="H24" t="s">
        <v>2114</v>
      </c>
      <c r="I24" t="s">
        <v>3404</v>
      </c>
      <c r="J24">
        <v>1</v>
      </c>
      <c r="K24">
        <v>6</v>
      </c>
      <c r="L24" s="207">
        <f t="shared" si="0"/>
        <v>10326.08695652174</v>
      </c>
      <c r="M24" s="207">
        <f t="shared" si="1"/>
        <v>62000</v>
      </c>
      <c r="N24" s="199" cm="1">
        <f t="array" ref="N24">SUMPRODUCT(('AOP25'!$E$2:$E$402=$H$4)*('AOP25'!$J$2:$J$402='Infra Cost Non Sap 2024'!A24)*('AOP25'!$T$2:$T$402))</f>
        <v>62000</v>
      </c>
      <c r="O24" s="207">
        <f t="shared" si="2"/>
        <v>0</v>
      </c>
      <c r="P24" t="s">
        <v>3433</v>
      </c>
      <c r="Q24" s="141"/>
    </row>
    <row r="25" spans="1:17" x14ac:dyDescent="0.25">
      <c r="A25" s="206" t="s">
        <v>2021</v>
      </c>
      <c r="B25" t="s">
        <v>3445</v>
      </c>
      <c r="C25" t="s">
        <v>2110</v>
      </c>
      <c r="D25" t="s">
        <v>2111</v>
      </c>
      <c r="E25" t="s">
        <v>2112</v>
      </c>
      <c r="F25" t="s">
        <v>3446</v>
      </c>
      <c r="G25" t="s">
        <v>3447</v>
      </c>
      <c r="H25" t="s">
        <v>2114</v>
      </c>
      <c r="I25" t="s">
        <v>2115</v>
      </c>
      <c r="J25">
        <v>1</v>
      </c>
      <c r="K25">
        <v>1</v>
      </c>
      <c r="L25" s="207">
        <f t="shared" si="0"/>
        <v>10326.08695652174</v>
      </c>
      <c r="M25" s="207">
        <f t="shared" si="1"/>
        <v>10400</v>
      </c>
      <c r="N25" s="199" cm="1">
        <f t="array" ref="N25">SUMPRODUCT(('AOP25'!$E$2:$E$402=$H$4)*('AOP25'!$J$2:$J$402='Infra Cost Non Sap 2024'!A25)*('AOP25'!$T$2:$T$402))</f>
        <v>10400</v>
      </c>
      <c r="O25" s="207">
        <f t="shared" si="2"/>
        <v>0</v>
      </c>
      <c r="P25" t="s">
        <v>3433</v>
      </c>
      <c r="Q25" s="141"/>
    </row>
    <row r="26" spans="1:17" hidden="1" x14ac:dyDescent="0.25">
      <c r="A26" s="206" t="s">
        <v>3448</v>
      </c>
      <c r="B26" t="s">
        <v>3449</v>
      </c>
      <c r="C26" t="s">
        <v>437</v>
      </c>
      <c r="D26" t="s">
        <v>1604</v>
      </c>
      <c r="E26" t="s">
        <v>3403</v>
      </c>
      <c r="F26" t="s">
        <v>3446</v>
      </c>
      <c r="G26" t="s">
        <v>1063</v>
      </c>
      <c r="H26" t="s">
        <v>3408</v>
      </c>
      <c r="I26" t="s">
        <v>3418</v>
      </c>
      <c r="J26">
        <v>1</v>
      </c>
      <c r="K26">
        <v>1</v>
      </c>
      <c r="L26" s="207">
        <f t="shared" si="0"/>
        <v>0</v>
      </c>
      <c r="M26" s="207">
        <f t="shared" si="1"/>
        <v>0</v>
      </c>
      <c r="N26" s="199" cm="1">
        <f t="array" ref="N26">SUMPRODUCT(('AOP25'!$E$2:$E$402=$H$4)*('AOP25'!$J$2:$J$402='Infra Cost Non Sap 2024'!A26)*('AOP25'!$T$2:$T$402))</f>
        <v>0</v>
      </c>
      <c r="O26" s="207">
        <f t="shared" si="2"/>
        <v>0</v>
      </c>
      <c r="P26" t="s">
        <v>2880</v>
      </c>
      <c r="Q26" s="141"/>
    </row>
    <row r="27" spans="1:17" x14ac:dyDescent="0.25">
      <c r="A27" s="206" t="s">
        <v>2023</v>
      </c>
      <c r="B27" t="s">
        <v>3450</v>
      </c>
      <c r="C27" t="s">
        <v>2110</v>
      </c>
      <c r="D27" t="s">
        <v>2111</v>
      </c>
      <c r="E27" t="s">
        <v>3451</v>
      </c>
      <c r="F27" t="s">
        <v>2135</v>
      </c>
      <c r="G27" t="s">
        <v>3452</v>
      </c>
      <c r="H27" t="s">
        <v>2114</v>
      </c>
      <c r="I27" t="s">
        <v>2115</v>
      </c>
      <c r="J27">
        <v>1</v>
      </c>
      <c r="K27">
        <v>2</v>
      </c>
      <c r="L27" s="207">
        <f t="shared" si="0"/>
        <v>10326.08695652174</v>
      </c>
      <c r="M27" s="207">
        <f t="shared" si="1"/>
        <v>20700</v>
      </c>
      <c r="N27" s="199" cm="1">
        <f t="array" ref="N27">SUMPRODUCT(('AOP25'!$E$2:$E$402=$H$4)*('AOP25'!$J$2:$J$402='Infra Cost Non Sap 2024'!A27)*('AOP25'!$T$2:$T$402))</f>
        <v>20700</v>
      </c>
      <c r="O27" s="207">
        <f t="shared" si="2"/>
        <v>0</v>
      </c>
      <c r="P27" t="s">
        <v>3433</v>
      </c>
      <c r="Q27" s="141"/>
    </row>
    <row r="28" spans="1:17" hidden="1" x14ac:dyDescent="0.25">
      <c r="A28" s="206" t="s">
        <v>3453</v>
      </c>
      <c r="B28" t="s">
        <v>3454</v>
      </c>
      <c r="C28" t="s">
        <v>2110</v>
      </c>
      <c r="D28" t="s">
        <v>1604</v>
      </c>
      <c r="E28" t="s">
        <v>2112</v>
      </c>
      <c r="F28" t="s">
        <v>3438</v>
      </c>
      <c r="G28" t="s">
        <v>3447</v>
      </c>
      <c r="H28" t="s">
        <v>1604</v>
      </c>
      <c r="I28" t="s">
        <v>3418</v>
      </c>
      <c r="J28">
        <v>1</v>
      </c>
      <c r="K28">
        <v>1</v>
      </c>
      <c r="L28" s="207">
        <f t="shared" si="0"/>
        <v>10326.08695652174</v>
      </c>
      <c r="M28" s="207">
        <f t="shared" si="1"/>
        <v>0</v>
      </c>
      <c r="N28" s="199" cm="1">
        <f t="array" ref="N28">SUMPRODUCT(('AOP25'!$E$2:$E$402=$H$4)*('AOP25'!$J$2:$J$402='Infra Cost Non Sap 2024'!A28)*('AOP25'!$T$2:$T$402))</f>
        <v>0</v>
      </c>
      <c r="O28" s="207">
        <f t="shared" si="2"/>
        <v>0</v>
      </c>
      <c r="P28" t="s">
        <v>3433</v>
      </c>
      <c r="Q28" s="141"/>
    </row>
    <row r="29" spans="1:17" x14ac:dyDescent="0.25">
      <c r="A29" s="206" t="s">
        <v>2025</v>
      </c>
      <c r="B29" t="s">
        <v>2104</v>
      </c>
      <c r="C29" t="s">
        <v>2110</v>
      </c>
      <c r="D29" t="s">
        <v>2111</v>
      </c>
      <c r="E29" t="s">
        <v>3403</v>
      </c>
      <c r="F29" t="s">
        <v>3409</v>
      </c>
      <c r="G29" t="s">
        <v>1293</v>
      </c>
      <c r="H29" t="s">
        <v>2114</v>
      </c>
      <c r="I29" t="s">
        <v>1604</v>
      </c>
      <c r="J29">
        <v>1</v>
      </c>
      <c r="K29">
        <v>3</v>
      </c>
      <c r="L29" s="207">
        <f t="shared" si="0"/>
        <v>10326.08695652174</v>
      </c>
      <c r="M29" s="207"/>
      <c r="N29" s="199" cm="1">
        <f t="array" ref="N29">SUMPRODUCT(('AOP25'!$E$2:$E$402=$H$4)*('AOP25'!$J$2:$J$402='Infra Cost Non Sap 2024'!A29)*('AOP25'!$T$2:$T$402))</f>
        <v>31000</v>
      </c>
      <c r="O29" s="207">
        <f t="shared" si="2"/>
        <v>-31000</v>
      </c>
      <c r="P29" t="s">
        <v>3433</v>
      </c>
      <c r="Q29" s="141"/>
    </row>
    <row r="30" spans="1:17" x14ac:dyDescent="0.25">
      <c r="A30" s="206" t="s">
        <v>2027</v>
      </c>
      <c r="B30" t="s">
        <v>3455</v>
      </c>
      <c r="C30" t="s">
        <v>2110</v>
      </c>
      <c r="D30" t="s">
        <v>2111</v>
      </c>
      <c r="E30" t="s">
        <v>3451</v>
      </c>
      <c r="F30" t="s">
        <v>3432</v>
      </c>
      <c r="G30" t="s">
        <v>3456</v>
      </c>
      <c r="H30" t="s">
        <v>2114</v>
      </c>
      <c r="I30" t="s">
        <v>2115</v>
      </c>
      <c r="J30">
        <v>1</v>
      </c>
      <c r="K30">
        <v>1</v>
      </c>
      <c r="L30" s="207">
        <f t="shared" si="0"/>
        <v>10326.08695652174</v>
      </c>
      <c r="M30" s="207">
        <f t="shared" si="1"/>
        <v>10400</v>
      </c>
      <c r="N30" s="199" cm="1">
        <f t="array" ref="N30">SUMPRODUCT(('AOP25'!$E$2:$E$402=$H$4)*('AOP25'!$J$2:$J$402='Infra Cost Non Sap 2024'!A30)*('AOP25'!$T$2:$T$402))</f>
        <v>10400</v>
      </c>
      <c r="O30" s="207">
        <f t="shared" si="2"/>
        <v>0</v>
      </c>
      <c r="P30" t="s">
        <v>3433</v>
      </c>
      <c r="Q30" s="141"/>
    </row>
    <row r="31" spans="1:17" hidden="1" x14ac:dyDescent="0.25">
      <c r="A31" s="206" t="s">
        <v>3457</v>
      </c>
      <c r="B31" t="s">
        <v>3458</v>
      </c>
      <c r="C31" t="s">
        <v>2110</v>
      </c>
      <c r="D31" t="s">
        <v>1604</v>
      </c>
      <c r="E31" t="s">
        <v>3451</v>
      </c>
      <c r="F31" t="s">
        <v>3438</v>
      </c>
      <c r="G31" t="s">
        <v>3452</v>
      </c>
      <c r="H31" t="s">
        <v>1604</v>
      </c>
      <c r="I31" t="s">
        <v>3418</v>
      </c>
      <c r="J31">
        <v>1</v>
      </c>
      <c r="K31">
        <v>1</v>
      </c>
      <c r="L31" s="207">
        <f t="shared" si="0"/>
        <v>10326.08695652174</v>
      </c>
      <c r="M31" s="207">
        <f t="shared" si="1"/>
        <v>0</v>
      </c>
      <c r="N31" s="199" cm="1">
        <f t="array" ref="N31">SUMPRODUCT(('AOP25'!$E$2:$E$402=$H$4)*('AOP25'!$J$2:$J$402='Infra Cost Non Sap 2024'!A31)*('AOP25'!$T$2:$T$402))</f>
        <v>0</v>
      </c>
      <c r="O31" s="207">
        <f t="shared" si="2"/>
        <v>0</v>
      </c>
      <c r="P31" t="s">
        <v>3433</v>
      </c>
      <c r="Q31" s="141"/>
    </row>
    <row r="32" spans="1:17" x14ac:dyDescent="0.25">
      <c r="A32" s="206" t="s">
        <v>2029</v>
      </c>
      <c r="B32" t="s">
        <v>3459</v>
      </c>
      <c r="C32" t="s">
        <v>2110</v>
      </c>
      <c r="D32" t="s">
        <v>2111</v>
      </c>
      <c r="E32" t="s">
        <v>3403</v>
      </c>
      <c r="F32" t="s">
        <v>3438</v>
      </c>
      <c r="G32" t="s">
        <v>227</v>
      </c>
      <c r="H32" t="s">
        <v>2114</v>
      </c>
      <c r="I32" t="s">
        <v>2115</v>
      </c>
      <c r="J32">
        <v>1</v>
      </c>
      <c r="K32">
        <v>1</v>
      </c>
      <c r="L32" s="207">
        <f t="shared" si="0"/>
        <v>10326.08695652174</v>
      </c>
      <c r="M32" s="207">
        <f t="shared" si="1"/>
        <v>10400</v>
      </c>
      <c r="N32" s="199" cm="1">
        <f t="array" ref="N32">SUMPRODUCT(('AOP25'!$E$2:$E$402=$H$4)*('AOP25'!$J$2:$J$402='Infra Cost Non Sap 2024'!A32)*('AOP25'!$T$2:$T$402))</f>
        <v>10400</v>
      </c>
      <c r="O32" s="207">
        <f t="shared" si="2"/>
        <v>0</v>
      </c>
      <c r="P32" t="s">
        <v>3433</v>
      </c>
      <c r="Q32" s="141"/>
    </row>
    <row r="33" spans="1:17" x14ac:dyDescent="0.25">
      <c r="A33" s="206" t="s">
        <v>2031</v>
      </c>
      <c r="B33" t="s">
        <v>3460</v>
      </c>
      <c r="C33" t="s">
        <v>2110</v>
      </c>
      <c r="D33" t="s">
        <v>2111</v>
      </c>
      <c r="E33" t="s">
        <v>3451</v>
      </c>
      <c r="F33" t="s">
        <v>3461</v>
      </c>
      <c r="G33" t="s">
        <v>3462</v>
      </c>
      <c r="H33" t="s">
        <v>2114</v>
      </c>
      <c r="I33" t="s">
        <v>2115</v>
      </c>
      <c r="J33">
        <v>1</v>
      </c>
      <c r="K33">
        <v>2</v>
      </c>
      <c r="L33" s="207">
        <f t="shared" si="0"/>
        <v>10326.08695652174</v>
      </c>
      <c r="M33" s="207">
        <f t="shared" si="1"/>
        <v>20700</v>
      </c>
      <c r="N33" s="199" cm="1">
        <f t="array" ref="N33">SUMPRODUCT(('AOP25'!$E$2:$E$402=$H$4)*('AOP25'!$J$2:$J$402='Infra Cost Non Sap 2024'!A33)*('AOP25'!$T$2:$T$402))</f>
        <v>20700</v>
      </c>
      <c r="O33" s="207">
        <f t="shared" si="2"/>
        <v>0</v>
      </c>
      <c r="P33" t="s">
        <v>3433</v>
      </c>
      <c r="Q33" s="141"/>
    </row>
    <row r="34" spans="1:17" x14ac:dyDescent="0.25">
      <c r="A34" s="206" t="s">
        <v>2033</v>
      </c>
      <c r="B34" t="s">
        <v>3463</v>
      </c>
      <c r="C34" t="s">
        <v>2110</v>
      </c>
      <c r="D34" t="s">
        <v>2111</v>
      </c>
      <c r="E34" t="s">
        <v>3451</v>
      </c>
      <c r="F34" t="s">
        <v>850</v>
      </c>
      <c r="G34" t="s">
        <v>2113</v>
      </c>
      <c r="H34" t="s">
        <v>2114</v>
      </c>
      <c r="I34" t="s">
        <v>2115</v>
      </c>
      <c r="J34">
        <v>1</v>
      </c>
      <c r="K34">
        <v>2</v>
      </c>
      <c r="L34" s="207">
        <f t="shared" si="0"/>
        <v>10326.08695652174</v>
      </c>
      <c r="M34" s="207">
        <f t="shared" si="1"/>
        <v>20700</v>
      </c>
      <c r="N34" s="199" cm="1">
        <f t="array" ref="N34">SUMPRODUCT(('AOP25'!$E$2:$E$402=$H$4)*('AOP25'!$J$2:$J$402='Infra Cost Non Sap 2024'!A34)*('AOP25'!$T$2:$T$402))</f>
        <v>20700</v>
      </c>
      <c r="O34" s="207">
        <f t="shared" si="2"/>
        <v>0</v>
      </c>
      <c r="P34" t="s">
        <v>3433</v>
      </c>
      <c r="Q34" s="141"/>
    </row>
    <row r="35" spans="1:17" x14ac:dyDescent="0.25">
      <c r="A35" s="206" t="s">
        <v>2035</v>
      </c>
      <c r="B35" t="s">
        <v>3464</v>
      </c>
      <c r="C35" t="s">
        <v>2110</v>
      </c>
      <c r="D35" t="s">
        <v>2111</v>
      </c>
      <c r="E35" t="s">
        <v>3451</v>
      </c>
      <c r="F35" t="s">
        <v>3438</v>
      </c>
      <c r="G35" t="s">
        <v>2113</v>
      </c>
      <c r="H35" t="s">
        <v>2114</v>
      </c>
      <c r="I35" t="s">
        <v>2115</v>
      </c>
      <c r="J35">
        <v>1</v>
      </c>
      <c r="K35">
        <v>1</v>
      </c>
      <c r="L35" s="207">
        <f t="shared" si="0"/>
        <v>10326.08695652174</v>
      </c>
      <c r="M35" s="207">
        <f t="shared" si="1"/>
        <v>10400</v>
      </c>
      <c r="N35" s="199" cm="1">
        <f t="array" ref="N35">SUMPRODUCT(('AOP25'!$E$2:$E$402=$H$4)*('AOP25'!$J$2:$J$402='Infra Cost Non Sap 2024'!A35)*('AOP25'!$T$2:$T$402))</f>
        <v>10400</v>
      </c>
      <c r="O35" s="207">
        <f t="shared" si="2"/>
        <v>0</v>
      </c>
      <c r="P35" t="s">
        <v>3433</v>
      </c>
      <c r="Q35" s="141"/>
    </row>
    <row r="36" spans="1:17" x14ac:dyDescent="0.25">
      <c r="A36" s="206" t="s">
        <v>2037</v>
      </c>
      <c r="B36" t="s">
        <v>3465</v>
      </c>
      <c r="C36" t="s">
        <v>2110</v>
      </c>
      <c r="D36" t="s">
        <v>2111</v>
      </c>
      <c r="E36" t="s">
        <v>3451</v>
      </c>
      <c r="F36" t="s">
        <v>3446</v>
      </c>
      <c r="G36" t="s">
        <v>3466</v>
      </c>
      <c r="H36" t="s">
        <v>2114</v>
      </c>
      <c r="I36" t="s">
        <v>3418</v>
      </c>
      <c r="J36">
        <v>1</v>
      </c>
      <c r="K36">
        <v>2</v>
      </c>
      <c r="L36" s="207">
        <f t="shared" si="0"/>
        <v>10326.08695652174</v>
      </c>
      <c r="M36" s="207">
        <f t="shared" si="1"/>
        <v>20700</v>
      </c>
      <c r="N36" s="199" cm="1">
        <f t="array" ref="N36">SUMPRODUCT(('AOP25'!$E$2:$E$402=$H$4)*('AOP25'!$J$2:$J$402='Infra Cost Non Sap 2024'!A36)*('AOP25'!$T$2:$T$402))</f>
        <v>20700</v>
      </c>
      <c r="O36" s="207">
        <f t="shared" si="2"/>
        <v>0</v>
      </c>
      <c r="P36" t="s">
        <v>3433</v>
      </c>
      <c r="Q36" s="141"/>
    </row>
    <row r="37" spans="1:17" hidden="1" x14ac:dyDescent="0.25">
      <c r="A37" s="206" t="s">
        <v>3467</v>
      </c>
      <c r="B37" t="s">
        <v>3468</v>
      </c>
      <c r="C37" t="s">
        <v>2110</v>
      </c>
      <c r="D37" t="s">
        <v>1604</v>
      </c>
      <c r="E37" t="s">
        <v>3451</v>
      </c>
      <c r="F37" t="s">
        <v>850</v>
      </c>
      <c r="G37" t="s">
        <v>3469</v>
      </c>
      <c r="H37" t="s">
        <v>2114</v>
      </c>
      <c r="I37" t="s">
        <v>1604</v>
      </c>
      <c r="J37">
        <v>1</v>
      </c>
      <c r="K37">
        <v>0</v>
      </c>
      <c r="L37" s="207">
        <f t="shared" si="0"/>
        <v>10326.08695652174</v>
      </c>
      <c r="M37" s="207">
        <f t="shared" si="1"/>
        <v>0</v>
      </c>
      <c r="N37" s="199" cm="1">
        <f t="array" ref="N37">SUMPRODUCT(('AOP25'!$E$2:$E$402=$H$4)*('AOP25'!$J$2:$J$402='Infra Cost Non Sap 2024'!A37)*('AOP25'!$T$2:$T$402))</f>
        <v>0</v>
      </c>
      <c r="O37" s="207">
        <f t="shared" si="2"/>
        <v>0</v>
      </c>
      <c r="P37" t="s">
        <v>3433</v>
      </c>
      <c r="Q37" s="141" t="s">
        <v>3470</v>
      </c>
    </row>
    <row r="38" spans="1:17" x14ac:dyDescent="0.25">
      <c r="A38" s="206" t="s">
        <v>2039</v>
      </c>
      <c r="B38" t="s">
        <v>3471</v>
      </c>
      <c r="C38" t="s">
        <v>2110</v>
      </c>
      <c r="D38" t="s">
        <v>2111</v>
      </c>
      <c r="E38" t="s">
        <v>3451</v>
      </c>
      <c r="F38" t="s">
        <v>850</v>
      </c>
      <c r="G38" t="s">
        <v>3466</v>
      </c>
      <c r="H38" t="s">
        <v>2114</v>
      </c>
      <c r="I38" t="s">
        <v>1604</v>
      </c>
      <c r="J38">
        <v>1</v>
      </c>
      <c r="K38">
        <v>2</v>
      </c>
      <c r="L38" s="207">
        <f t="shared" si="0"/>
        <v>10326.08695652174</v>
      </c>
      <c r="M38" s="207">
        <f t="shared" si="1"/>
        <v>20700</v>
      </c>
      <c r="N38" s="199" cm="1">
        <f t="array" ref="N38">SUMPRODUCT(('AOP25'!$E$2:$E$402=$H$4)*('AOP25'!$J$2:$J$402='Infra Cost Non Sap 2024'!A38)*('AOP25'!$T$2:$T$402))</f>
        <v>20700</v>
      </c>
      <c r="O38" s="207">
        <f t="shared" si="2"/>
        <v>0</v>
      </c>
      <c r="P38" t="s">
        <v>3433</v>
      </c>
      <c r="Q38" s="141"/>
    </row>
    <row r="39" spans="1:17" x14ac:dyDescent="0.25">
      <c r="A39" s="206" t="s">
        <v>2041</v>
      </c>
      <c r="B39" t="s">
        <v>3472</v>
      </c>
      <c r="C39" t="s">
        <v>2110</v>
      </c>
      <c r="D39" t="s">
        <v>2111</v>
      </c>
      <c r="E39" t="s">
        <v>3451</v>
      </c>
      <c r="F39" t="s">
        <v>3446</v>
      </c>
      <c r="G39" t="s">
        <v>3466</v>
      </c>
      <c r="H39" t="s">
        <v>2114</v>
      </c>
      <c r="I39" t="s">
        <v>3422</v>
      </c>
      <c r="J39">
        <v>1</v>
      </c>
      <c r="K39">
        <v>2</v>
      </c>
      <c r="L39" s="207">
        <f t="shared" si="0"/>
        <v>10326.08695652174</v>
      </c>
      <c r="M39" s="207">
        <f t="shared" si="1"/>
        <v>20700</v>
      </c>
      <c r="N39" s="199" cm="1">
        <f t="array" ref="N39">SUMPRODUCT(('AOP25'!$E$2:$E$402=$H$4)*('AOP25'!$J$2:$J$402='Infra Cost Non Sap 2024'!A39)*('AOP25'!$T$2:$T$402))</f>
        <v>20700</v>
      </c>
      <c r="O39" s="207">
        <f t="shared" si="2"/>
        <v>0</v>
      </c>
      <c r="P39" t="s">
        <v>3433</v>
      </c>
      <c r="Q39" s="141"/>
    </row>
    <row r="40" spans="1:17" x14ac:dyDescent="0.25">
      <c r="A40" s="206" t="s">
        <v>2043</v>
      </c>
      <c r="B40" t="s">
        <v>3473</v>
      </c>
      <c r="C40" t="s">
        <v>2110</v>
      </c>
      <c r="D40" t="s">
        <v>2111</v>
      </c>
      <c r="E40" t="s">
        <v>3451</v>
      </c>
      <c r="F40" t="s">
        <v>3432</v>
      </c>
      <c r="G40" t="s">
        <v>3466</v>
      </c>
      <c r="H40" t="s">
        <v>2114</v>
      </c>
      <c r="I40" t="s">
        <v>3422</v>
      </c>
      <c r="J40">
        <v>1</v>
      </c>
      <c r="K40">
        <v>1</v>
      </c>
      <c r="L40" s="207">
        <f t="shared" si="0"/>
        <v>10326.08695652174</v>
      </c>
      <c r="M40" s="207">
        <f t="shared" si="1"/>
        <v>10400</v>
      </c>
      <c r="N40" s="199" cm="1">
        <f t="array" ref="N40">SUMPRODUCT(('AOP25'!$E$2:$E$402=$H$4)*('AOP25'!$J$2:$J$402='Infra Cost Non Sap 2024'!A40)*('AOP25'!$T$2:$T$402))</f>
        <v>10400</v>
      </c>
      <c r="O40" s="207">
        <f t="shared" si="2"/>
        <v>0</v>
      </c>
      <c r="P40" t="s">
        <v>3433</v>
      </c>
      <c r="Q40" s="141"/>
    </row>
    <row r="41" spans="1:17" hidden="1" x14ac:dyDescent="0.25">
      <c r="A41" s="206" t="s">
        <v>3189</v>
      </c>
      <c r="B41" t="s">
        <v>774</v>
      </c>
      <c r="C41" t="s">
        <v>2110</v>
      </c>
      <c r="D41" t="s">
        <v>1604</v>
      </c>
      <c r="E41" t="s">
        <v>3403</v>
      </c>
      <c r="F41" t="s">
        <v>850</v>
      </c>
      <c r="G41" t="s">
        <v>1225</v>
      </c>
      <c r="H41" t="s">
        <v>3422</v>
      </c>
      <c r="I41" t="s">
        <v>3422</v>
      </c>
      <c r="J41">
        <v>1</v>
      </c>
      <c r="K41">
        <v>1</v>
      </c>
      <c r="L41" s="207">
        <f t="shared" si="0"/>
        <v>10326.08695652174</v>
      </c>
      <c r="M41" s="207">
        <f t="shared" si="1"/>
        <v>0</v>
      </c>
      <c r="N41" s="199" cm="1">
        <f t="array" ref="N41">SUMPRODUCT(('AOP25'!$E$2:$E$402=$H$4)*('AOP25'!$J$2:$J$402='Infra Cost Non Sap 2024'!A41)*('AOP25'!$T$2:$T$402))</f>
        <v>0</v>
      </c>
      <c r="O41" s="207">
        <f t="shared" si="2"/>
        <v>0</v>
      </c>
      <c r="P41" t="s">
        <v>3433</v>
      </c>
      <c r="Q41" s="141"/>
    </row>
    <row r="42" spans="1:17" x14ac:dyDescent="0.25">
      <c r="A42" s="206" t="s">
        <v>2045</v>
      </c>
      <c r="B42" t="s">
        <v>3474</v>
      </c>
      <c r="C42" t="s">
        <v>2110</v>
      </c>
      <c r="D42" t="s">
        <v>2111</v>
      </c>
      <c r="E42" t="s">
        <v>3451</v>
      </c>
      <c r="F42" t="s">
        <v>3438</v>
      </c>
      <c r="G42" t="s">
        <v>2136</v>
      </c>
      <c r="H42" t="s">
        <v>2114</v>
      </c>
      <c r="I42" t="s">
        <v>3422</v>
      </c>
      <c r="J42">
        <v>1</v>
      </c>
      <c r="K42">
        <v>1</v>
      </c>
      <c r="L42" s="207">
        <f t="shared" si="0"/>
        <v>10326.08695652174</v>
      </c>
      <c r="M42" s="207">
        <f t="shared" si="1"/>
        <v>10400</v>
      </c>
      <c r="N42" s="199" cm="1">
        <f t="array" ref="N42">SUMPRODUCT(('AOP25'!$E$2:$E$402=$H$4)*('AOP25'!$J$2:$J$402='Infra Cost Non Sap 2024'!A42)*('AOP25'!$T$2:$T$402))</f>
        <v>10400</v>
      </c>
      <c r="O42" s="207">
        <f t="shared" si="2"/>
        <v>0</v>
      </c>
      <c r="P42" t="s">
        <v>3433</v>
      </c>
      <c r="Q42" s="141"/>
    </row>
    <row r="43" spans="1:17" hidden="1" x14ac:dyDescent="0.25">
      <c r="A43" s="206" t="s">
        <v>3475</v>
      </c>
      <c r="B43" t="s">
        <v>3476</v>
      </c>
      <c r="C43" t="s">
        <v>2110</v>
      </c>
      <c r="D43" t="s">
        <v>1604</v>
      </c>
      <c r="E43" t="s">
        <v>2112</v>
      </c>
      <c r="F43" t="s">
        <v>3438</v>
      </c>
      <c r="G43" t="s">
        <v>3469</v>
      </c>
      <c r="H43" t="s">
        <v>1604</v>
      </c>
      <c r="I43" t="s">
        <v>3418</v>
      </c>
      <c r="J43">
        <v>1</v>
      </c>
      <c r="K43">
        <v>1</v>
      </c>
      <c r="L43" s="207">
        <f t="shared" si="0"/>
        <v>10326.08695652174</v>
      </c>
      <c r="M43" s="207">
        <f t="shared" si="1"/>
        <v>0</v>
      </c>
      <c r="N43" s="199" cm="1">
        <f t="array" ref="N43">SUMPRODUCT(('AOP25'!$E$2:$E$402=$H$4)*('AOP25'!$J$2:$J$402='Infra Cost Non Sap 2024'!A43)*('AOP25'!$T$2:$T$402))</f>
        <v>0</v>
      </c>
      <c r="O43" s="207">
        <f t="shared" si="2"/>
        <v>0</v>
      </c>
      <c r="P43" t="s">
        <v>3433</v>
      </c>
      <c r="Q43" s="141"/>
    </row>
    <row r="44" spans="1:17" hidden="1" x14ac:dyDescent="0.25">
      <c r="A44" s="206" t="s">
        <v>3477</v>
      </c>
      <c r="B44" t="s">
        <v>3478</v>
      </c>
      <c r="C44" t="s">
        <v>2110</v>
      </c>
      <c r="D44" t="s">
        <v>1604</v>
      </c>
      <c r="E44" t="s">
        <v>3451</v>
      </c>
      <c r="F44" t="s">
        <v>3409</v>
      </c>
      <c r="G44" t="s">
        <v>3447</v>
      </c>
      <c r="H44" t="s">
        <v>1604</v>
      </c>
      <c r="I44" t="s">
        <v>1604</v>
      </c>
      <c r="J44">
        <v>1</v>
      </c>
      <c r="K44">
        <v>0</v>
      </c>
      <c r="L44" s="207">
        <f t="shared" si="0"/>
        <v>10326.08695652174</v>
      </c>
      <c r="M44" s="207">
        <f t="shared" si="1"/>
        <v>0</v>
      </c>
      <c r="N44" s="199" cm="1">
        <f t="array" ref="N44">SUMPRODUCT(('AOP25'!$E$2:$E$402=$H$4)*('AOP25'!$J$2:$J$402='Infra Cost Non Sap 2024'!A44)*('AOP25'!$T$2:$T$402))</f>
        <v>0</v>
      </c>
      <c r="O44" s="207">
        <f t="shared" si="2"/>
        <v>0</v>
      </c>
      <c r="P44" t="s">
        <v>3433</v>
      </c>
      <c r="Q44" s="141"/>
    </row>
    <row r="45" spans="1:17" x14ac:dyDescent="0.25">
      <c r="A45" s="206" t="s">
        <v>2047</v>
      </c>
      <c r="B45" t="s">
        <v>3479</v>
      </c>
      <c r="C45" t="s">
        <v>2110</v>
      </c>
      <c r="D45" t="s">
        <v>2111</v>
      </c>
      <c r="E45" t="s">
        <v>2112</v>
      </c>
      <c r="F45" t="s">
        <v>3438</v>
      </c>
      <c r="G45" t="s">
        <v>3447</v>
      </c>
      <c r="H45" t="s">
        <v>2114</v>
      </c>
      <c r="I45" t="s">
        <v>2115</v>
      </c>
      <c r="J45">
        <v>1</v>
      </c>
      <c r="K45">
        <v>1</v>
      </c>
      <c r="L45" s="207">
        <f t="shared" si="0"/>
        <v>10326.08695652174</v>
      </c>
      <c r="M45" s="207">
        <f t="shared" si="1"/>
        <v>10400</v>
      </c>
      <c r="N45" s="199" cm="1">
        <f t="array" ref="N45">SUMPRODUCT(('AOP25'!$E$2:$E$402=$H$4)*('AOP25'!$J$2:$J$402='Infra Cost Non Sap 2024'!A45)*('AOP25'!$T$2:$T$402))</f>
        <v>10400</v>
      </c>
      <c r="O45" s="207">
        <f t="shared" si="2"/>
        <v>0</v>
      </c>
      <c r="P45" t="s">
        <v>3433</v>
      </c>
      <c r="Q45" s="141"/>
    </row>
    <row r="46" spans="1:17" x14ac:dyDescent="0.25">
      <c r="A46" s="206" t="s">
        <v>2049</v>
      </c>
      <c r="B46" t="s">
        <v>3480</v>
      </c>
      <c r="C46" t="s">
        <v>2110</v>
      </c>
      <c r="D46" t="s">
        <v>2111</v>
      </c>
      <c r="E46" t="s">
        <v>3451</v>
      </c>
      <c r="F46" t="s">
        <v>3481</v>
      </c>
      <c r="G46" t="s">
        <v>3452</v>
      </c>
      <c r="H46" t="s">
        <v>2114</v>
      </c>
      <c r="I46" t="s">
        <v>2115</v>
      </c>
      <c r="J46">
        <v>1</v>
      </c>
      <c r="K46">
        <v>1</v>
      </c>
      <c r="L46" s="207">
        <f t="shared" si="0"/>
        <v>10326.08695652174</v>
      </c>
      <c r="M46" s="207"/>
      <c r="N46" s="199" cm="1">
        <f t="array" ref="N46">SUMPRODUCT(('AOP25'!$E$2:$E$402=$H$4)*('AOP25'!$J$2:$J$402='Infra Cost Non Sap 2024'!A46)*('AOP25'!$T$2:$T$402))</f>
        <v>10400</v>
      </c>
      <c r="O46" s="207">
        <f t="shared" si="2"/>
        <v>-10400</v>
      </c>
      <c r="P46" t="s">
        <v>3433</v>
      </c>
      <c r="Q46" s="141"/>
    </row>
    <row r="47" spans="1:17" x14ac:dyDescent="0.25">
      <c r="A47" s="206" t="s">
        <v>2051</v>
      </c>
      <c r="B47" t="s">
        <v>3482</v>
      </c>
      <c r="C47" t="s">
        <v>2110</v>
      </c>
      <c r="D47" t="s">
        <v>2111</v>
      </c>
      <c r="E47" t="s">
        <v>2112</v>
      </c>
      <c r="F47" t="s">
        <v>3483</v>
      </c>
      <c r="G47" t="s">
        <v>3452</v>
      </c>
      <c r="H47" t="s">
        <v>2114</v>
      </c>
      <c r="I47" t="s">
        <v>2115</v>
      </c>
      <c r="J47">
        <v>1</v>
      </c>
      <c r="K47">
        <v>2</v>
      </c>
      <c r="L47" s="207">
        <f t="shared" si="0"/>
        <v>10326.08695652174</v>
      </c>
      <c r="M47" s="207">
        <f t="shared" si="1"/>
        <v>20700</v>
      </c>
      <c r="N47" s="199" cm="1">
        <f t="array" ref="N47">SUMPRODUCT(('AOP25'!$E$2:$E$402=$H$4)*('AOP25'!$J$2:$J$402='Infra Cost Non Sap 2024'!A47)*('AOP25'!$T$2:$T$402))</f>
        <v>0</v>
      </c>
      <c r="O47" s="207">
        <f t="shared" si="2"/>
        <v>20700</v>
      </c>
      <c r="P47" t="s">
        <v>3433</v>
      </c>
      <c r="Q47" s="141"/>
    </row>
    <row r="48" spans="1:17" hidden="1" x14ac:dyDescent="0.25">
      <c r="A48" s="206" t="s">
        <v>3484</v>
      </c>
      <c r="B48" t="s">
        <v>3485</v>
      </c>
      <c r="C48" t="s">
        <v>2110</v>
      </c>
      <c r="D48" t="s">
        <v>1604</v>
      </c>
      <c r="E48" t="s">
        <v>3451</v>
      </c>
      <c r="F48" t="s">
        <v>3409</v>
      </c>
      <c r="G48" t="s">
        <v>3486</v>
      </c>
      <c r="H48" t="s">
        <v>1604</v>
      </c>
      <c r="I48" t="s">
        <v>3418</v>
      </c>
      <c r="J48">
        <v>1</v>
      </c>
      <c r="K48">
        <v>1</v>
      </c>
      <c r="L48" s="207">
        <f t="shared" si="0"/>
        <v>10326.08695652174</v>
      </c>
      <c r="M48" s="207">
        <f t="shared" si="1"/>
        <v>0</v>
      </c>
      <c r="N48" s="199" cm="1">
        <f t="array" ref="N48">SUMPRODUCT(('AOP25'!$E$2:$E$402=$H$4)*('AOP25'!$J$2:$J$402='Infra Cost Non Sap 2024'!A48)*('AOP25'!$T$2:$T$402))</f>
        <v>0</v>
      </c>
      <c r="O48" s="207">
        <f t="shared" si="2"/>
        <v>0</v>
      </c>
      <c r="P48" t="s">
        <v>3433</v>
      </c>
      <c r="Q48" s="141"/>
    </row>
    <row r="49" spans="1:17" x14ac:dyDescent="0.25">
      <c r="A49" s="206" t="s">
        <v>2054</v>
      </c>
      <c r="B49" t="s">
        <v>3487</v>
      </c>
      <c r="C49" t="s">
        <v>2110</v>
      </c>
      <c r="D49" t="s">
        <v>2111</v>
      </c>
      <c r="E49" t="s">
        <v>3451</v>
      </c>
      <c r="F49" t="s">
        <v>3446</v>
      </c>
      <c r="G49" t="s">
        <v>3452</v>
      </c>
      <c r="H49" t="s">
        <v>2114</v>
      </c>
      <c r="I49" t="s">
        <v>2115</v>
      </c>
      <c r="J49">
        <v>1</v>
      </c>
      <c r="K49">
        <v>1</v>
      </c>
      <c r="L49" s="207">
        <f t="shared" si="0"/>
        <v>10326.08695652174</v>
      </c>
      <c r="M49" s="207">
        <f t="shared" si="1"/>
        <v>10400</v>
      </c>
      <c r="N49" s="199" cm="1">
        <f t="array" ref="N49">SUMPRODUCT(('AOP25'!$E$2:$E$402=$H$4)*('AOP25'!$J$2:$J$402='Infra Cost Non Sap 2024'!A49)*('AOP25'!$T$2:$T$402))</f>
        <v>10400</v>
      </c>
      <c r="O49" s="207">
        <f t="shared" si="2"/>
        <v>0</v>
      </c>
      <c r="P49" t="s">
        <v>3433</v>
      </c>
      <c r="Q49" s="141"/>
    </row>
    <row r="50" spans="1:17" x14ac:dyDescent="0.25">
      <c r="A50" s="206" t="s">
        <v>2056</v>
      </c>
      <c r="B50" t="s">
        <v>3488</v>
      </c>
      <c r="C50" t="s">
        <v>2110</v>
      </c>
      <c r="D50" t="s">
        <v>2111</v>
      </c>
      <c r="E50" t="s">
        <v>3451</v>
      </c>
      <c r="F50" t="s">
        <v>2795</v>
      </c>
      <c r="G50" t="s">
        <v>3489</v>
      </c>
      <c r="H50" t="s">
        <v>2114</v>
      </c>
      <c r="I50" t="s">
        <v>2115</v>
      </c>
      <c r="J50">
        <v>1</v>
      </c>
      <c r="K50">
        <v>1</v>
      </c>
      <c r="L50" s="207">
        <f t="shared" si="0"/>
        <v>10326.08695652174</v>
      </c>
      <c r="M50" s="207">
        <f t="shared" si="1"/>
        <v>10400</v>
      </c>
      <c r="N50" s="199" cm="1">
        <f t="array" ref="N50">SUMPRODUCT(('AOP25'!$E$2:$E$402=$H$4)*('AOP25'!$J$2:$J$402='Infra Cost Non Sap 2024'!A50)*('AOP25'!$T$2:$T$402))</f>
        <v>10400</v>
      </c>
      <c r="O50" s="207">
        <f t="shared" si="2"/>
        <v>0</v>
      </c>
      <c r="P50" t="s">
        <v>3433</v>
      </c>
      <c r="Q50" s="141"/>
    </row>
    <row r="51" spans="1:17" hidden="1" x14ac:dyDescent="0.25">
      <c r="A51" s="206" t="s">
        <v>3490</v>
      </c>
      <c r="B51" t="s">
        <v>3491</v>
      </c>
      <c r="C51" t="s">
        <v>2110</v>
      </c>
      <c r="D51" t="s">
        <v>1604</v>
      </c>
      <c r="E51" t="s">
        <v>3451</v>
      </c>
      <c r="F51" t="s">
        <v>3416</v>
      </c>
      <c r="G51" t="s">
        <v>3492</v>
      </c>
      <c r="H51" t="s">
        <v>1604</v>
      </c>
      <c r="I51" t="s">
        <v>1604</v>
      </c>
      <c r="J51">
        <v>1</v>
      </c>
      <c r="K51">
        <v>0</v>
      </c>
      <c r="L51" s="207">
        <f t="shared" si="0"/>
        <v>10326.08695652174</v>
      </c>
      <c r="M51" s="207">
        <f t="shared" si="1"/>
        <v>0</v>
      </c>
      <c r="N51" s="199" cm="1">
        <f t="array" ref="N51">SUMPRODUCT(('AOP25'!$E$2:$E$402=$H$4)*('AOP25'!$J$2:$J$402='Infra Cost Non Sap 2024'!A51)*('AOP25'!$T$2:$T$402))</f>
        <v>0</v>
      </c>
      <c r="O51" s="207">
        <f t="shared" si="2"/>
        <v>0</v>
      </c>
      <c r="P51" t="s">
        <v>3433</v>
      </c>
      <c r="Q51" s="141"/>
    </row>
    <row r="52" spans="1:17" x14ac:dyDescent="0.25">
      <c r="A52" s="206" t="s">
        <v>2058</v>
      </c>
      <c r="B52" t="s">
        <v>3493</v>
      </c>
      <c r="C52" t="s">
        <v>2110</v>
      </c>
      <c r="D52" t="s">
        <v>2111</v>
      </c>
      <c r="E52" t="s">
        <v>3451</v>
      </c>
      <c r="F52" t="s">
        <v>3446</v>
      </c>
      <c r="G52" t="s">
        <v>3492</v>
      </c>
      <c r="H52" t="s">
        <v>2114</v>
      </c>
      <c r="I52" t="s">
        <v>3418</v>
      </c>
      <c r="J52">
        <v>1</v>
      </c>
      <c r="K52">
        <v>2</v>
      </c>
      <c r="L52" s="207">
        <f t="shared" si="0"/>
        <v>10326.08695652174</v>
      </c>
      <c r="M52" s="207">
        <f t="shared" si="1"/>
        <v>20700</v>
      </c>
      <c r="N52" s="199" cm="1">
        <f t="array" ref="N52">SUMPRODUCT(('AOP25'!$E$2:$E$402=$H$4)*('AOP25'!$J$2:$J$402='Infra Cost Non Sap 2024'!A52)*('AOP25'!$T$2:$T$402))</f>
        <v>20700</v>
      </c>
      <c r="O52" s="207">
        <f t="shared" si="2"/>
        <v>0</v>
      </c>
      <c r="P52" t="s">
        <v>3433</v>
      </c>
      <c r="Q52" s="141"/>
    </row>
    <row r="53" spans="1:17" hidden="1" x14ac:dyDescent="0.25">
      <c r="A53" s="206" t="s">
        <v>3165</v>
      </c>
      <c r="B53" t="s">
        <v>3494</v>
      </c>
      <c r="C53" t="s">
        <v>437</v>
      </c>
      <c r="D53" t="s">
        <v>2111</v>
      </c>
      <c r="E53" t="s">
        <v>3403</v>
      </c>
      <c r="F53" t="s">
        <v>3438</v>
      </c>
      <c r="G53" t="s">
        <v>1063</v>
      </c>
      <c r="H53" t="s">
        <v>2114</v>
      </c>
      <c r="I53" t="s">
        <v>2115</v>
      </c>
      <c r="J53">
        <v>1</v>
      </c>
      <c r="K53">
        <v>3</v>
      </c>
      <c r="L53" s="207">
        <f t="shared" si="0"/>
        <v>0</v>
      </c>
      <c r="M53" s="207">
        <f t="shared" si="1"/>
        <v>0</v>
      </c>
      <c r="N53" s="199" cm="1">
        <f t="array" ref="N53">SUMPRODUCT(('AOP25'!$E$2:$E$402=$H$4)*('AOP25'!$J$2:$J$402='Infra Cost Non Sap 2024'!A53)*('AOP25'!$T$2:$T$402))</f>
        <v>0</v>
      </c>
      <c r="O53" s="207">
        <f t="shared" si="2"/>
        <v>0</v>
      </c>
      <c r="P53" t="s">
        <v>2880</v>
      </c>
      <c r="Q53" s="141"/>
    </row>
    <row r="54" spans="1:17" x14ac:dyDescent="0.25">
      <c r="A54" s="206" t="s">
        <v>2060</v>
      </c>
      <c r="B54" t="s">
        <v>3495</v>
      </c>
      <c r="C54" t="s">
        <v>2110</v>
      </c>
      <c r="D54" t="s">
        <v>2111</v>
      </c>
      <c r="E54" t="s">
        <v>2112</v>
      </c>
      <c r="F54" t="s">
        <v>3409</v>
      </c>
      <c r="G54" t="s">
        <v>2113</v>
      </c>
      <c r="H54" t="s">
        <v>2114</v>
      </c>
      <c r="I54" t="s">
        <v>2115</v>
      </c>
      <c r="J54">
        <v>1</v>
      </c>
      <c r="K54">
        <v>2</v>
      </c>
      <c r="L54" s="207">
        <f t="shared" si="0"/>
        <v>10326.08695652174</v>
      </c>
      <c r="M54" s="207">
        <f t="shared" si="1"/>
        <v>20700</v>
      </c>
      <c r="N54" s="199" cm="1">
        <f t="array" ref="N54">SUMPRODUCT(('AOP25'!$E$2:$E$402=$H$4)*('AOP25'!$J$2:$J$402='Infra Cost Non Sap 2024'!A54)*('AOP25'!$T$2:$T$402))</f>
        <v>20700</v>
      </c>
      <c r="O54" s="207">
        <f t="shared" si="2"/>
        <v>0</v>
      </c>
      <c r="P54" t="s">
        <v>3433</v>
      </c>
      <c r="Q54" s="141"/>
    </row>
    <row r="55" spans="1:17" x14ac:dyDescent="0.25">
      <c r="A55" s="206" t="s">
        <v>2062</v>
      </c>
      <c r="B55" t="s">
        <v>3496</v>
      </c>
      <c r="C55" t="s">
        <v>2110</v>
      </c>
      <c r="D55" t="s">
        <v>2111</v>
      </c>
      <c r="E55" t="s">
        <v>3451</v>
      </c>
      <c r="F55" t="s">
        <v>3481</v>
      </c>
      <c r="G55" t="s">
        <v>3497</v>
      </c>
      <c r="H55" t="s">
        <v>2114</v>
      </c>
      <c r="I55" t="s">
        <v>2115</v>
      </c>
      <c r="J55">
        <v>1</v>
      </c>
      <c r="K55">
        <v>1</v>
      </c>
      <c r="L55" s="207">
        <f t="shared" si="0"/>
        <v>10326.08695652174</v>
      </c>
      <c r="M55" s="207">
        <f t="shared" si="1"/>
        <v>10400</v>
      </c>
      <c r="N55" s="199" cm="1">
        <f t="array" ref="N55">SUMPRODUCT(('AOP25'!$E$2:$E$402=$H$4)*('AOP25'!$J$2:$J$402='Infra Cost Non Sap 2024'!A55)*('AOP25'!$T$2:$T$402))</f>
        <v>10400</v>
      </c>
      <c r="O55" s="207">
        <f t="shared" si="2"/>
        <v>0</v>
      </c>
      <c r="P55" t="s">
        <v>3433</v>
      </c>
      <c r="Q55" s="141"/>
    </row>
    <row r="56" spans="1:17" x14ac:dyDescent="0.25">
      <c r="A56" s="206" t="s">
        <v>2064</v>
      </c>
      <c r="B56" t="s">
        <v>3498</v>
      </c>
      <c r="C56" t="s">
        <v>2110</v>
      </c>
      <c r="D56" t="s">
        <v>2111</v>
      </c>
      <c r="E56" t="s">
        <v>3403</v>
      </c>
      <c r="F56" t="s">
        <v>850</v>
      </c>
      <c r="G56" t="s">
        <v>3447</v>
      </c>
      <c r="H56" t="s">
        <v>2114</v>
      </c>
      <c r="I56" t="s">
        <v>3404</v>
      </c>
      <c r="J56">
        <v>1</v>
      </c>
      <c r="K56">
        <v>3</v>
      </c>
      <c r="L56" s="207">
        <f t="shared" si="0"/>
        <v>10326.08695652174</v>
      </c>
      <c r="M56" s="207">
        <f t="shared" si="1"/>
        <v>31000</v>
      </c>
      <c r="N56" s="199" cm="1">
        <f t="array" ref="N56">SUMPRODUCT(('AOP25'!$E$2:$E$402=$H$4)*('AOP25'!$J$2:$J$402='Infra Cost Non Sap 2024'!A56)*('AOP25'!$T$2:$T$402))</f>
        <v>31000</v>
      </c>
      <c r="O56" s="207">
        <f t="shared" si="2"/>
        <v>0</v>
      </c>
      <c r="P56" t="s">
        <v>3433</v>
      </c>
      <c r="Q56" s="141"/>
    </row>
    <row r="57" spans="1:17" x14ac:dyDescent="0.25">
      <c r="A57" s="206" t="s">
        <v>2066</v>
      </c>
      <c r="B57" t="s">
        <v>3499</v>
      </c>
      <c r="C57" t="s">
        <v>2110</v>
      </c>
      <c r="D57" t="s">
        <v>2111</v>
      </c>
      <c r="E57" t="s">
        <v>3403</v>
      </c>
      <c r="F57" t="s">
        <v>2135</v>
      </c>
      <c r="G57" t="s">
        <v>1063</v>
      </c>
      <c r="H57" t="s">
        <v>2114</v>
      </c>
      <c r="I57" t="s">
        <v>3404</v>
      </c>
      <c r="J57">
        <v>1</v>
      </c>
      <c r="K57">
        <v>2</v>
      </c>
      <c r="L57" s="207">
        <f t="shared" si="0"/>
        <v>10326.08695652174</v>
      </c>
      <c r="M57" s="207">
        <f t="shared" si="1"/>
        <v>20700</v>
      </c>
      <c r="N57" s="199" cm="1">
        <f t="array" ref="N57">SUMPRODUCT(('AOP25'!$E$2:$E$402=$H$4)*('AOP25'!$J$2:$J$402='Infra Cost Non Sap 2024'!A57)*('AOP25'!$T$2:$T$402))</f>
        <v>20700</v>
      </c>
      <c r="O57" s="207">
        <f t="shared" si="2"/>
        <v>0</v>
      </c>
      <c r="P57" t="s">
        <v>2880</v>
      </c>
      <c r="Q57" s="141"/>
    </row>
    <row r="58" spans="1:17" hidden="1" x14ac:dyDescent="0.25">
      <c r="A58" s="206" t="s">
        <v>3500</v>
      </c>
      <c r="B58" t="s">
        <v>3501</v>
      </c>
      <c r="C58" t="s">
        <v>437</v>
      </c>
      <c r="D58" t="s">
        <v>2111</v>
      </c>
      <c r="E58" t="s">
        <v>3403</v>
      </c>
      <c r="F58" t="s">
        <v>3446</v>
      </c>
      <c r="G58" t="s">
        <v>1063</v>
      </c>
      <c r="H58" t="s">
        <v>2114</v>
      </c>
      <c r="I58" t="s">
        <v>3404</v>
      </c>
      <c r="J58">
        <v>1</v>
      </c>
      <c r="K58">
        <v>2</v>
      </c>
      <c r="L58" s="207">
        <f t="shared" si="0"/>
        <v>0</v>
      </c>
      <c r="M58" s="207">
        <f t="shared" si="1"/>
        <v>0</v>
      </c>
      <c r="N58" s="199" cm="1">
        <f t="array" ref="N58">SUMPRODUCT(('AOP25'!$E$2:$E$402=$H$4)*('AOP25'!$J$2:$J$402='Infra Cost Non Sap 2024'!A58)*('AOP25'!$T$2:$T$402))</f>
        <v>0</v>
      </c>
      <c r="O58" s="207">
        <f t="shared" si="2"/>
        <v>0</v>
      </c>
      <c r="P58" t="s">
        <v>2880</v>
      </c>
      <c r="Q58" s="141"/>
    </row>
    <row r="59" spans="1:17" hidden="1" x14ac:dyDescent="0.25">
      <c r="A59" s="206" t="s">
        <v>3502</v>
      </c>
      <c r="B59" t="s">
        <v>3503</v>
      </c>
      <c r="C59" t="s">
        <v>437</v>
      </c>
      <c r="D59" t="s">
        <v>2111</v>
      </c>
      <c r="E59" t="s">
        <v>3403</v>
      </c>
      <c r="F59" t="s">
        <v>3446</v>
      </c>
      <c r="G59" t="s">
        <v>1063</v>
      </c>
      <c r="H59" t="s">
        <v>2114</v>
      </c>
      <c r="I59" t="s">
        <v>3404</v>
      </c>
      <c r="J59">
        <v>1</v>
      </c>
      <c r="K59">
        <v>2</v>
      </c>
      <c r="L59" s="207">
        <f t="shared" si="0"/>
        <v>0</v>
      </c>
      <c r="M59" s="207">
        <f t="shared" si="1"/>
        <v>0</v>
      </c>
      <c r="N59" s="199" cm="1">
        <f t="array" ref="N59">SUMPRODUCT(('AOP25'!$E$2:$E$402=$H$4)*('AOP25'!$J$2:$J$402='Infra Cost Non Sap 2024'!A59)*('AOP25'!$T$2:$T$402))</f>
        <v>0</v>
      </c>
      <c r="O59" s="207">
        <f t="shared" si="2"/>
        <v>0</v>
      </c>
      <c r="P59" t="s">
        <v>2880</v>
      </c>
      <c r="Q59" s="141"/>
    </row>
    <row r="60" spans="1:17" hidden="1" x14ac:dyDescent="0.25">
      <c r="A60" s="206" t="s">
        <v>3504</v>
      </c>
      <c r="B60" t="s">
        <v>3505</v>
      </c>
      <c r="C60" t="s">
        <v>437</v>
      </c>
      <c r="D60" t="s">
        <v>2111</v>
      </c>
      <c r="E60" t="s">
        <v>3403</v>
      </c>
      <c r="F60" t="s">
        <v>2135</v>
      </c>
      <c r="G60" t="s">
        <v>1293</v>
      </c>
      <c r="H60" t="s">
        <v>2114</v>
      </c>
      <c r="I60" t="s">
        <v>3404</v>
      </c>
      <c r="J60">
        <v>1</v>
      </c>
      <c r="K60">
        <v>6</v>
      </c>
      <c r="L60" s="207">
        <f t="shared" si="0"/>
        <v>0</v>
      </c>
      <c r="M60" s="207">
        <f t="shared" si="1"/>
        <v>0</v>
      </c>
      <c r="N60" s="199" cm="1">
        <f t="array" ref="N60">SUMPRODUCT(('AOP25'!$E$2:$E$402=$H$4)*('AOP25'!$J$2:$J$402='Infra Cost Non Sap 2024'!A60)*('AOP25'!$T$2:$T$402))</f>
        <v>0</v>
      </c>
      <c r="O60" s="207">
        <f t="shared" si="2"/>
        <v>0</v>
      </c>
      <c r="P60" t="s">
        <v>2880</v>
      </c>
      <c r="Q60" s="141"/>
    </row>
    <row r="61" spans="1:17" x14ac:dyDescent="0.25">
      <c r="A61" s="206" t="s">
        <v>2068</v>
      </c>
      <c r="B61" t="s">
        <v>3506</v>
      </c>
      <c r="C61" t="s">
        <v>2110</v>
      </c>
      <c r="D61" t="s">
        <v>2111</v>
      </c>
      <c r="E61" t="s">
        <v>3403</v>
      </c>
      <c r="F61" t="s">
        <v>3409</v>
      </c>
      <c r="G61" t="s">
        <v>1283</v>
      </c>
      <c r="H61" t="s">
        <v>2114</v>
      </c>
      <c r="I61" t="s">
        <v>2115</v>
      </c>
      <c r="J61">
        <v>1</v>
      </c>
      <c r="K61">
        <v>4</v>
      </c>
      <c r="L61" s="207">
        <f t="shared" si="0"/>
        <v>10326.08695652174</v>
      </c>
      <c r="M61" s="207">
        <f t="shared" si="1"/>
        <v>41400</v>
      </c>
      <c r="N61" s="199" cm="1">
        <f t="array" ref="N61">SUMPRODUCT(('AOP25'!$E$2:$E$402=$H$4)*('AOP25'!$J$2:$J$402='Infra Cost Non Sap 2024'!A61)*('AOP25'!$T$2:$T$402))</f>
        <v>41400</v>
      </c>
      <c r="O61" s="207">
        <f t="shared" si="2"/>
        <v>0</v>
      </c>
      <c r="P61" t="s">
        <v>3433</v>
      </c>
      <c r="Q61" s="141"/>
    </row>
    <row r="62" spans="1:17" hidden="1" x14ac:dyDescent="0.25">
      <c r="A62" s="206" t="s">
        <v>2937</v>
      </c>
      <c r="B62" t="s">
        <v>2689</v>
      </c>
      <c r="C62" t="s">
        <v>2110</v>
      </c>
      <c r="D62" t="s">
        <v>1604</v>
      </c>
      <c r="E62" t="s">
        <v>3403</v>
      </c>
      <c r="F62" t="s">
        <v>2135</v>
      </c>
      <c r="G62" t="s">
        <v>3507</v>
      </c>
      <c r="H62" t="s">
        <v>3422</v>
      </c>
      <c r="I62" t="s">
        <v>3422</v>
      </c>
      <c r="J62">
        <v>1</v>
      </c>
      <c r="K62">
        <v>2</v>
      </c>
      <c r="L62" s="207">
        <f t="shared" si="0"/>
        <v>10326.08695652174</v>
      </c>
      <c r="M62" s="207">
        <f t="shared" si="1"/>
        <v>0</v>
      </c>
      <c r="N62" s="199" cm="1">
        <f t="array" ref="N62">SUMPRODUCT(('AOP25'!$E$2:$E$402=$H$4)*('AOP25'!$J$2:$J$402='Infra Cost Non Sap 2024'!A62)*('AOP25'!$T$2:$T$402))</f>
        <v>0</v>
      </c>
      <c r="O62" s="207">
        <f t="shared" si="2"/>
        <v>0</v>
      </c>
      <c r="P62" t="s">
        <v>3433</v>
      </c>
      <c r="Q62" s="141"/>
    </row>
    <row r="63" spans="1:17" x14ac:dyDescent="0.25">
      <c r="A63" s="206" t="s">
        <v>2070</v>
      </c>
      <c r="B63" t="s">
        <v>111</v>
      </c>
      <c r="C63" t="s">
        <v>2110</v>
      </c>
      <c r="D63" t="s">
        <v>2111</v>
      </c>
      <c r="E63" t="s">
        <v>3403</v>
      </c>
      <c r="F63" t="s">
        <v>850</v>
      </c>
      <c r="G63" t="s">
        <v>1225</v>
      </c>
      <c r="H63" t="s">
        <v>2114</v>
      </c>
      <c r="I63" t="s">
        <v>2115</v>
      </c>
      <c r="J63">
        <v>1</v>
      </c>
      <c r="K63">
        <v>1</v>
      </c>
      <c r="L63" s="207">
        <f t="shared" si="0"/>
        <v>10326.08695652174</v>
      </c>
      <c r="M63" s="207">
        <f t="shared" si="1"/>
        <v>10400</v>
      </c>
      <c r="N63" s="199" cm="1">
        <f t="array" ref="N63">SUMPRODUCT(('AOP25'!$E$2:$E$402=$H$4)*('AOP25'!$J$2:$J$402='Infra Cost Non Sap 2024'!A63)*('AOP25'!$T$2:$T$402))</f>
        <v>10400</v>
      </c>
      <c r="O63" s="207">
        <f t="shared" si="2"/>
        <v>0</v>
      </c>
      <c r="P63" t="s">
        <v>3433</v>
      </c>
      <c r="Q63" s="141"/>
    </row>
    <row r="64" spans="1:17" hidden="1" x14ac:dyDescent="0.25">
      <c r="A64" s="206" t="s">
        <v>3508</v>
      </c>
      <c r="B64" t="s">
        <v>118</v>
      </c>
      <c r="C64" t="s">
        <v>2110</v>
      </c>
      <c r="D64" t="s">
        <v>1604</v>
      </c>
      <c r="E64" t="s">
        <v>3403</v>
      </c>
      <c r="F64" t="s">
        <v>2915</v>
      </c>
      <c r="G64" t="s">
        <v>1225</v>
      </c>
      <c r="H64" t="s">
        <v>2114</v>
      </c>
      <c r="I64" t="s">
        <v>3422</v>
      </c>
      <c r="J64">
        <v>1</v>
      </c>
      <c r="K64">
        <v>1</v>
      </c>
      <c r="L64" s="207">
        <f t="shared" si="0"/>
        <v>10326.08695652174</v>
      </c>
      <c r="M64" s="207">
        <f t="shared" si="1"/>
        <v>0</v>
      </c>
      <c r="N64" s="199" cm="1">
        <f t="array" ref="N64">SUMPRODUCT(('AOP25'!$E$2:$E$402=$H$4)*('AOP25'!$J$2:$J$402='Infra Cost Non Sap 2024'!A64)*('AOP25'!$T$2:$T$402))</f>
        <v>0</v>
      </c>
      <c r="O64" s="207">
        <f t="shared" si="2"/>
        <v>0</v>
      </c>
      <c r="P64" t="s">
        <v>3433</v>
      </c>
      <c r="Q64" s="141"/>
    </row>
    <row r="65" spans="1:17" hidden="1" x14ac:dyDescent="0.25">
      <c r="A65" s="206" t="s">
        <v>3509</v>
      </c>
      <c r="B65" t="s">
        <v>3510</v>
      </c>
      <c r="C65" t="s">
        <v>2110</v>
      </c>
      <c r="D65" t="s">
        <v>1604</v>
      </c>
      <c r="E65" t="s">
        <v>3451</v>
      </c>
      <c r="F65" t="s">
        <v>3446</v>
      </c>
      <c r="G65" t="s">
        <v>3452</v>
      </c>
      <c r="H65" t="s">
        <v>1604</v>
      </c>
      <c r="I65" t="s">
        <v>1604</v>
      </c>
      <c r="J65">
        <v>1</v>
      </c>
      <c r="K65">
        <v>0</v>
      </c>
      <c r="L65" s="207">
        <f t="shared" si="0"/>
        <v>10326.08695652174</v>
      </c>
      <c r="M65" s="207">
        <f t="shared" si="1"/>
        <v>0</v>
      </c>
      <c r="N65" s="199" cm="1">
        <f t="array" ref="N65">SUMPRODUCT(('AOP25'!$E$2:$E$402=$H$4)*('AOP25'!$J$2:$J$402='Infra Cost Non Sap 2024'!A65)*('AOP25'!$T$2:$T$402))</f>
        <v>0</v>
      </c>
      <c r="O65" s="207">
        <f t="shared" si="2"/>
        <v>0</v>
      </c>
      <c r="P65" t="s">
        <v>3433</v>
      </c>
      <c r="Q65" s="141"/>
    </row>
    <row r="66" spans="1:17" x14ac:dyDescent="0.25">
      <c r="A66" s="206" t="s">
        <v>2072</v>
      </c>
      <c r="B66" t="s">
        <v>3511</v>
      </c>
      <c r="C66" t="s">
        <v>2110</v>
      </c>
      <c r="D66" t="s">
        <v>2111</v>
      </c>
      <c r="E66" t="s">
        <v>3403</v>
      </c>
      <c r="F66" t="s">
        <v>3483</v>
      </c>
      <c r="G66" t="s">
        <v>1099</v>
      </c>
      <c r="H66" t="s">
        <v>2114</v>
      </c>
      <c r="I66" t="s">
        <v>3422</v>
      </c>
      <c r="J66">
        <v>1</v>
      </c>
      <c r="K66">
        <v>1</v>
      </c>
      <c r="L66" s="207">
        <f t="shared" si="0"/>
        <v>10326.08695652174</v>
      </c>
      <c r="M66" s="207">
        <f t="shared" si="1"/>
        <v>10400</v>
      </c>
      <c r="N66" s="199" cm="1">
        <f t="array" ref="N66">SUMPRODUCT(('AOP25'!$E$2:$E$402=$H$4)*('AOP25'!$J$2:$J$402='Infra Cost Non Sap 2024'!A66)*('AOP25'!$T$2:$T$402))</f>
        <v>10400</v>
      </c>
      <c r="O66" s="207">
        <f t="shared" si="2"/>
        <v>0</v>
      </c>
      <c r="P66" t="s">
        <v>3433</v>
      </c>
      <c r="Q66" s="141"/>
    </row>
    <row r="67" spans="1:17" hidden="1" x14ac:dyDescent="0.25">
      <c r="A67" s="206" t="s">
        <v>3512</v>
      </c>
      <c r="B67" t="s">
        <v>3513</v>
      </c>
      <c r="C67" t="s">
        <v>437</v>
      </c>
      <c r="D67" t="s">
        <v>2111</v>
      </c>
      <c r="E67" t="s">
        <v>3403</v>
      </c>
      <c r="F67" t="s">
        <v>3483</v>
      </c>
      <c r="G67" t="s">
        <v>1063</v>
      </c>
      <c r="H67" t="s">
        <v>2114</v>
      </c>
      <c r="I67" t="s">
        <v>3404</v>
      </c>
      <c r="J67">
        <v>1</v>
      </c>
      <c r="K67">
        <v>3</v>
      </c>
      <c r="L67" s="207">
        <f t="shared" si="0"/>
        <v>0</v>
      </c>
      <c r="M67" s="207">
        <f t="shared" si="1"/>
        <v>0</v>
      </c>
      <c r="N67" s="199" cm="1">
        <f t="array" ref="N67">SUMPRODUCT(('AOP25'!$E$2:$E$402=$H$4)*('AOP25'!$J$2:$J$402='Infra Cost Non Sap 2024'!A67)*('AOP25'!$T$2:$T$402))</f>
        <v>0</v>
      </c>
      <c r="O67" s="207">
        <f t="shared" si="2"/>
        <v>0</v>
      </c>
      <c r="P67" t="s">
        <v>2880</v>
      </c>
      <c r="Q67" s="141"/>
    </row>
    <row r="68" spans="1:17" x14ac:dyDescent="0.25">
      <c r="A68" s="206" t="s">
        <v>2074</v>
      </c>
      <c r="B68" t="s">
        <v>3514</v>
      </c>
      <c r="C68" t="s">
        <v>2110</v>
      </c>
      <c r="D68" t="s">
        <v>2111</v>
      </c>
      <c r="E68" t="s">
        <v>3403</v>
      </c>
      <c r="F68" t="s">
        <v>3438</v>
      </c>
      <c r="G68" t="s">
        <v>3515</v>
      </c>
      <c r="H68" t="s">
        <v>2114</v>
      </c>
      <c r="I68" t="s">
        <v>2115</v>
      </c>
      <c r="J68">
        <v>1</v>
      </c>
      <c r="K68">
        <v>4</v>
      </c>
      <c r="L68" s="207">
        <f t="shared" si="0"/>
        <v>10326.08695652174</v>
      </c>
      <c r="M68" s="207">
        <f t="shared" si="1"/>
        <v>41400</v>
      </c>
      <c r="N68" s="199" cm="1">
        <f t="array" ref="N68">SUMPRODUCT(('AOP25'!$E$2:$E$402=$H$4)*('AOP25'!$J$2:$J$402='Infra Cost Non Sap 2024'!A68)*('AOP25'!$T$2:$T$402))</f>
        <v>41400</v>
      </c>
      <c r="O68" s="207">
        <f t="shared" si="2"/>
        <v>0</v>
      </c>
      <c r="P68" t="s">
        <v>2795</v>
      </c>
      <c r="Q68" s="141"/>
    </row>
    <row r="69" spans="1:17" hidden="1" x14ac:dyDescent="0.25">
      <c r="A69" s="206" t="s">
        <v>3516</v>
      </c>
      <c r="B69" t="s">
        <v>3517</v>
      </c>
      <c r="C69" t="s">
        <v>2110</v>
      </c>
      <c r="D69" t="s">
        <v>1604</v>
      </c>
      <c r="E69" t="s">
        <v>3403</v>
      </c>
      <c r="F69" t="s">
        <v>3518</v>
      </c>
      <c r="G69" t="s">
        <v>1293</v>
      </c>
      <c r="H69" t="s">
        <v>1604</v>
      </c>
      <c r="I69" t="s">
        <v>3418</v>
      </c>
      <c r="J69">
        <v>1</v>
      </c>
      <c r="K69">
        <v>1</v>
      </c>
      <c r="L69" s="207">
        <f t="shared" si="0"/>
        <v>10326.08695652174</v>
      </c>
      <c r="M69" s="207">
        <f t="shared" si="1"/>
        <v>0</v>
      </c>
      <c r="N69" s="199" cm="1">
        <f t="array" ref="N69">SUMPRODUCT(('AOP25'!$E$2:$E$402=$H$4)*('AOP25'!$J$2:$J$402='Infra Cost Non Sap 2024'!A69)*('AOP25'!$T$2:$T$402))</f>
        <v>0</v>
      </c>
      <c r="O69" s="207">
        <f t="shared" si="2"/>
        <v>0</v>
      </c>
      <c r="P69" t="s">
        <v>3433</v>
      </c>
      <c r="Q69" s="141"/>
    </row>
    <row r="70" spans="1:17" x14ac:dyDescent="0.25">
      <c r="A70" s="206" t="s">
        <v>2076</v>
      </c>
      <c r="B70" t="s">
        <v>3519</v>
      </c>
      <c r="C70" t="s">
        <v>2110</v>
      </c>
      <c r="D70" t="s">
        <v>2111</v>
      </c>
      <c r="E70" t="s">
        <v>3403</v>
      </c>
      <c r="F70" t="s">
        <v>850</v>
      </c>
      <c r="G70" t="s">
        <v>656</v>
      </c>
      <c r="H70" t="s">
        <v>2114</v>
      </c>
      <c r="I70" t="s">
        <v>3422</v>
      </c>
      <c r="J70">
        <v>1</v>
      </c>
      <c r="K70">
        <v>10</v>
      </c>
      <c r="L70" s="207">
        <f t="shared" si="0"/>
        <v>10326.08695652174</v>
      </c>
      <c r="M70" s="207">
        <f t="shared" si="1"/>
        <v>103300</v>
      </c>
      <c r="N70" s="199" cm="1">
        <f t="array" ref="N70">SUMPRODUCT(('AOP25'!$E$2:$E$402=$H$4)*('AOP25'!$J$2:$J$402='Infra Cost Non Sap 2024'!A70)*('AOP25'!$T$2:$T$402))</f>
        <v>103300</v>
      </c>
      <c r="O70" s="207">
        <f t="shared" si="2"/>
        <v>0</v>
      </c>
      <c r="P70" t="s">
        <v>3433</v>
      </c>
      <c r="Q70" s="141"/>
    </row>
    <row r="71" spans="1:17" x14ac:dyDescent="0.25">
      <c r="A71" s="206" t="s">
        <v>2078</v>
      </c>
      <c r="B71" t="s">
        <v>3520</v>
      </c>
      <c r="C71" t="s">
        <v>2110</v>
      </c>
      <c r="D71" t="s">
        <v>2111</v>
      </c>
      <c r="E71" t="s">
        <v>3403</v>
      </c>
      <c r="F71" t="s">
        <v>2795</v>
      </c>
      <c r="G71" t="s">
        <v>3521</v>
      </c>
      <c r="H71" t="s">
        <v>2114</v>
      </c>
      <c r="I71" t="s">
        <v>3522</v>
      </c>
      <c r="J71">
        <v>1</v>
      </c>
      <c r="K71">
        <v>4</v>
      </c>
      <c r="L71" s="207">
        <f t="shared" si="0"/>
        <v>10326.08695652174</v>
      </c>
      <c r="M71" s="207">
        <f t="shared" si="1"/>
        <v>41400</v>
      </c>
      <c r="N71" s="199" cm="1">
        <f t="array" ref="N71">SUMPRODUCT(('AOP25'!$E$2:$E$402=$H$4)*('AOP25'!$J$2:$J$402='Infra Cost Non Sap 2024'!A71)*('AOP25'!$T$2:$T$402))</f>
        <v>41400</v>
      </c>
      <c r="O71" s="207">
        <f t="shared" si="2"/>
        <v>0</v>
      </c>
      <c r="P71" t="s">
        <v>3433</v>
      </c>
      <c r="Q71" s="141" t="s">
        <v>3523</v>
      </c>
    </row>
    <row r="72" spans="1:17" x14ac:dyDescent="0.25">
      <c r="A72" s="206" t="s">
        <v>2080</v>
      </c>
      <c r="B72" t="s">
        <v>2109</v>
      </c>
      <c r="C72" t="s">
        <v>2110</v>
      </c>
      <c r="D72" t="s">
        <v>2111</v>
      </c>
      <c r="E72" t="s">
        <v>2112</v>
      </c>
      <c r="F72" t="s">
        <v>850</v>
      </c>
      <c r="G72" t="s">
        <v>2113</v>
      </c>
      <c r="H72" t="s">
        <v>2114</v>
      </c>
      <c r="I72" t="s">
        <v>2115</v>
      </c>
      <c r="J72">
        <v>1</v>
      </c>
      <c r="K72">
        <v>1</v>
      </c>
      <c r="L72" s="207">
        <f t="shared" ref="L72:L86" si="3">IF(C72="non-sap",$C$4,0)</f>
        <v>10326.08695652174</v>
      </c>
      <c r="M72" s="207">
        <f t="shared" ref="M72:M86" si="4">IF(AND(C72="non-sap",D72="Operational"),CEILING((K72*L72),100),0)</f>
        <v>10400</v>
      </c>
      <c r="N72" s="199" cm="1">
        <f t="array" ref="N72">SUMPRODUCT(('AOP25'!$E$2:$E$402=$H$4)*('AOP25'!$J$2:$J$402='Infra Cost Non Sap 2024'!A72)*('AOP25'!$T$2:$T$402))</f>
        <v>10400</v>
      </c>
      <c r="O72" s="207">
        <f t="shared" ref="O72:O86" si="5">M72-N72</f>
        <v>0</v>
      </c>
      <c r="P72" t="s">
        <v>3433</v>
      </c>
      <c r="Q72" s="141"/>
    </row>
    <row r="73" spans="1:17" hidden="1" x14ac:dyDescent="0.25">
      <c r="A73" s="206" t="s">
        <v>3524</v>
      </c>
      <c r="B73" t="s">
        <v>3525</v>
      </c>
      <c r="C73" t="s">
        <v>2110</v>
      </c>
      <c r="D73" t="s">
        <v>1604</v>
      </c>
      <c r="E73" t="s">
        <v>2112</v>
      </c>
      <c r="F73" t="s">
        <v>2135</v>
      </c>
      <c r="G73" t="s">
        <v>3526</v>
      </c>
      <c r="H73" t="s">
        <v>3422</v>
      </c>
      <c r="I73" t="s">
        <v>3422</v>
      </c>
      <c r="J73">
        <v>1</v>
      </c>
      <c r="K73">
        <v>2</v>
      </c>
      <c r="L73" s="207">
        <f t="shared" si="3"/>
        <v>10326.08695652174</v>
      </c>
      <c r="M73" s="207">
        <f t="shared" si="4"/>
        <v>0</v>
      </c>
      <c r="N73" s="199" cm="1">
        <f t="array" ref="N73">SUMPRODUCT(('AOP25'!$E$2:$E$402=$H$4)*('AOP25'!$J$2:$J$402='Infra Cost Non Sap 2024'!A73)*('AOP25'!$T$2:$T$402))</f>
        <v>0</v>
      </c>
      <c r="O73" s="207">
        <f t="shared" si="5"/>
        <v>0</v>
      </c>
      <c r="P73" t="s">
        <v>3433</v>
      </c>
      <c r="Q73" s="141"/>
    </row>
    <row r="74" spans="1:17" x14ac:dyDescent="0.25">
      <c r="A74" s="206" t="s">
        <v>2082</v>
      </c>
      <c r="B74" t="s">
        <v>3527</v>
      </c>
      <c r="C74" t="s">
        <v>2110</v>
      </c>
      <c r="D74" t="s">
        <v>2111</v>
      </c>
      <c r="E74" t="s">
        <v>3403</v>
      </c>
      <c r="F74" t="s">
        <v>3481</v>
      </c>
      <c r="G74" t="s">
        <v>3417</v>
      </c>
      <c r="H74" t="s">
        <v>2114</v>
      </c>
      <c r="I74" t="s">
        <v>3404</v>
      </c>
      <c r="J74">
        <v>1</v>
      </c>
      <c r="K74">
        <v>1</v>
      </c>
      <c r="L74" s="207">
        <f t="shared" si="3"/>
        <v>10326.08695652174</v>
      </c>
      <c r="M74" s="207">
        <f t="shared" si="4"/>
        <v>10400</v>
      </c>
      <c r="N74" s="199" cm="1">
        <f t="array" ref="N74">SUMPRODUCT(('AOP25'!$E$2:$E$402=$H$4)*('AOP25'!$J$2:$J$402='Infra Cost Non Sap 2024'!A74)*('AOP25'!$T$2:$T$402))</f>
        <v>10400</v>
      </c>
      <c r="O74" s="207">
        <f t="shared" si="5"/>
        <v>0</v>
      </c>
      <c r="P74" t="s">
        <v>3433</v>
      </c>
      <c r="Q74" s="141"/>
    </row>
    <row r="75" spans="1:17" hidden="1" x14ac:dyDescent="0.25">
      <c r="A75" s="206" t="s">
        <v>3147</v>
      </c>
      <c r="B75" t="s">
        <v>3528</v>
      </c>
      <c r="C75" t="s">
        <v>437</v>
      </c>
      <c r="D75" t="s">
        <v>2111</v>
      </c>
      <c r="E75" t="s">
        <v>3403</v>
      </c>
      <c r="F75" t="s">
        <v>3446</v>
      </c>
      <c r="G75" t="s">
        <v>3529</v>
      </c>
      <c r="H75" t="s">
        <v>2114</v>
      </c>
      <c r="I75" t="s">
        <v>3404</v>
      </c>
      <c r="J75">
        <v>1</v>
      </c>
      <c r="K75">
        <v>8</v>
      </c>
      <c r="L75" s="207">
        <f t="shared" si="3"/>
        <v>0</v>
      </c>
      <c r="M75" s="207">
        <f t="shared" si="4"/>
        <v>0</v>
      </c>
      <c r="N75" s="199" cm="1">
        <f t="array" ref="N75">SUMPRODUCT(('AOP25'!$E$2:$E$402=$H$4)*('AOP25'!$J$2:$J$402='Infra Cost Non Sap 2024'!A75)*('AOP25'!$T$2:$T$402))</f>
        <v>0</v>
      </c>
      <c r="O75" s="207">
        <f t="shared" si="5"/>
        <v>0</v>
      </c>
      <c r="P75" t="s">
        <v>2880</v>
      </c>
      <c r="Q75" s="141"/>
    </row>
    <row r="76" spans="1:17" x14ac:dyDescent="0.25">
      <c r="A76" s="206" t="s">
        <v>2084</v>
      </c>
      <c r="B76" t="s">
        <v>3530</v>
      </c>
      <c r="C76" t="s">
        <v>2110</v>
      </c>
      <c r="D76" t="s">
        <v>2111</v>
      </c>
      <c r="E76" t="s">
        <v>3403</v>
      </c>
      <c r="F76" t="s">
        <v>3432</v>
      </c>
      <c r="G76" t="s">
        <v>197</v>
      </c>
      <c r="H76" t="s">
        <v>2114</v>
      </c>
      <c r="I76" t="s">
        <v>2115</v>
      </c>
      <c r="J76">
        <v>1</v>
      </c>
      <c r="K76">
        <v>3</v>
      </c>
      <c r="L76" s="207">
        <f t="shared" si="3"/>
        <v>10326.08695652174</v>
      </c>
      <c r="M76" s="207">
        <f t="shared" si="4"/>
        <v>31000</v>
      </c>
      <c r="N76" s="199" cm="1">
        <f t="array" ref="N76">SUMPRODUCT(('AOP25'!$E$2:$E$402=$H$4)*('AOP25'!$J$2:$J$402='Infra Cost Non Sap 2024'!A76)*('AOP25'!$T$2:$T$402))</f>
        <v>31000</v>
      </c>
      <c r="O76" s="207">
        <f t="shared" si="5"/>
        <v>0</v>
      </c>
      <c r="P76" t="s">
        <v>3433</v>
      </c>
      <c r="Q76" s="141"/>
    </row>
    <row r="77" spans="1:17" x14ac:dyDescent="0.25">
      <c r="A77" s="206" t="s">
        <v>2086</v>
      </c>
      <c r="B77" t="s">
        <v>3531</v>
      </c>
      <c r="C77" t="s">
        <v>2110</v>
      </c>
      <c r="D77" t="s">
        <v>2111</v>
      </c>
      <c r="E77" t="s">
        <v>3451</v>
      </c>
      <c r="F77" t="s">
        <v>3446</v>
      </c>
      <c r="G77" t="s">
        <v>3526</v>
      </c>
      <c r="H77" t="s">
        <v>2114</v>
      </c>
      <c r="I77" t="s">
        <v>2115</v>
      </c>
      <c r="J77">
        <v>1</v>
      </c>
      <c r="K77">
        <v>3</v>
      </c>
      <c r="L77" s="207">
        <f t="shared" si="3"/>
        <v>10326.08695652174</v>
      </c>
      <c r="M77" s="207">
        <f t="shared" si="4"/>
        <v>31000</v>
      </c>
      <c r="N77" s="199" cm="1">
        <f t="array" ref="N77">SUMPRODUCT(('AOP25'!$E$2:$E$402=$H$4)*('AOP25'!$J$2:$J$402='Infra Cost Non Sap 2024'!A77)*('AOP25'!$T$2:$T$402))</f>
        <v>31000</v>
      </c>
      <c r="O77" s="207">
        <f t="shared" si="5"/>
        <v>0</v>
      </c>
      <c r="P77" t="s">
        <v>3433</v>
      </c>
      <c r="Q77" s="141"/>
    </row>
    <row r="78" spans="1:17" hidden="1" x14ac:dyDescent="0.25">
      <c r="A78" s="206" t="s">
        <v>2811</v>
      </c>
      <c r="B78" t="s">
        <v>3532</v>
      </c>
      <c r="C78" t="s">
        <v>2110</v>
      </c>
      <c r="D78" t="s">
        <v>1604</v>
      </c>
      <c r="E78" t="s">
        <v>3403</v>
      </c>
      <c r="F78" t="s">
        <v>2135</v>
      </c>
      <c r="G78" t="s">
        <v>279</v>
      </c>
      <c r="H78" t="s">
        <v>2114</v>
      </c>
      <c r="I78" t="s">
        <v>3418</v>
      </c>
      <c r="J78">
        <v>1</v>
      </c>
      <c r="K78">
        <v>0</v>
      </c>
      <c r="L78" s="207">
        <f t="shared" si="3"/>
        <v>10326.08695652174</v>
      </c>
      <c r="M78" s="207">
        <f t="shared" si="4"/>
        <v>0</v>
      </c>
      <c r="N78" s="199" cm="1">
        <f t="array" ref="N78">SUMPRODUCT(('AOP25'!$E$2:$E$402=$H$4)*('AOP25'!$J$2:$J$402='Infra Cost Non Sap 2024'!A78)*('AOP25'!$T$2:$T$402))</f>
        <v>0</v>
      </c>
      <c r="O78" s="207">
        <f t="shared" si="5"/>
        <v>0</v>
      </c>
      <c r="P78" t="s">
        <v>2795</v>
      </c>
      <c r="Q78" s="141" t="s">
        <v>3533</v>
      </c>
    </row>
    <row r="79" spans="1:17" x14ac:dyDescent="0.25">
      <c r="A79" s="206" t="s">
        <v>2088</v>
      </c>
      <c r="B79" t="s">
        <v>3534</v>
      </c>
      <c r="C79" t="s">
        <v>2110</v>
      </c>
      <c r="D79" t="s">
        <v>2111</v>
      </c>
      <c r="E79" t="s">
        <v>2112</v>
      </c>
      <c r="F79" t="s">
        <v>3446</v>
      </c>
      <c r="G79" t="s">
        <v>3489</v>
      </c>
      <c r="H79" t="s">
        <v>2114</v>
      </c>
      <c r="I79" t="s">
        <v>2115</v>
      </c>
      <c r="J79">
        <v>1</v>
      </c>
      <c r="K79">
        <v>1</v>
      </c>
      <c r="L79" s="207">
        <f t="shared" si="3"/>
        <v>10326.08695652174</v>
      </c>
      <c r="M79" s="207">
        <f t="shared" si="4"/>
        <v>10400</v>
      </c>
      <c r="N79" s="199" cm="1">
        <f t="array" ref="N79">SUMPRODUCT(('AOP25'!$E$2:$E$402=$H$4)*('AOP25'!$J$2:$J$402='Infra Cost Non Sap 2024'!A79)*('AOP25'!$T$2:$T$402))</f>
        <v>10400</v>
      </c>
      <c r="O79" s="207">
        <f t="shared" si="5"/>
        <v>0</v>
      </c>
      <c r="P79" t="s">
        <v>3433</v>
      </c>
      <c r="Q79" s="141"/>
    </row>
    <row r="80" spans="1:17" x14ac:dyDescent="0.25">
      <c r="A80" s="206" t="s">
        <v>2090</v>
      </c>
      <c r="B80" t="s">
        <v>3535</v>
      </c>
      <c r="C80" t="s">
        <v>2110</v>
      </c>
      <c r="D80" t="s">
        <v>2111</v>
      </c>
      <c r="E80" t="s">
        <v>2112</v>
      </c>
      <c r="F80" t="s">
        <v>3446</v>
      </c>
      <c r="G80" t="s">
        <v>3526</v>
      </c>
      <c r="H80" t="s">
        <v>2114</v>
      </c>
      <c r="I80" t="s">
        <v>2115</v>
      </c>
      <c r="J80">
        <v>1</v>
      </c>
      <c r="K80">
        <v>1</v>
      </c>
      <c r="L80" s="207">
        <f t="shared" si="3"/>
        <v>10326.08695652174</v>
      </c>
      <c r="M80" s="207">
        <f t="shared" si="4"/>
        <v>10400</v>
      </c>
      <c r="N80" s="199" cm="1">
        <f t="array" ref="N80">SUMPRODUCT(('AOP25'!$E$2:$E$402=$H$4)*('AOP25'!$J$2:$J$402='Infra Cost Non Sap 2024'!A80)*('AOP25'!$T$2:$T$402))</f>
        <v>10400</v>
      </c>
      <c r="O80" s="207">
        <f t="shared" si="5"/>
        <v>0</v>
      </c>
      <c r="P80" t="s">
        <v>3433</v>
      </c>
      <c r="Q80" s="141"/>
    </row>
    <row r="81" spans="1:17" hidden="1" x14ac:dyDescent="0.25">
      <c r="A81" s="206" t="s">
        <v>3536</v>
      </c>
      <c r="B81" t="s">
        <v>3537</v>
      </c>
      <c r="C81" t="s">
        <v>437</v>
      </c>
      <c r="D81" t="s">
        <v>2111</v>
      </c>
      <c r="E81" t="s">
        <v>3403</v>
      </c>
      <c r="F81" t="s">
        <v>3483</v>
      </c>
      <c r="G81" t="s">
        <v>1063</v>
      </c>
      <c r="H81" t="s">
        <v>2114</v>
      </c>
      <c r="I81" t="s">
        <v>3404</v>
      </c>
      <c r="J81">
        <v>1</v>
      </c>
      <c r="K81">
        <v>2</v>
      </c>
      <c r="L81" s="207">
        <f t="shared" si="3"/>
        <v>0</v>
      </c>
      <c r="M81" s="207">
        <f t="shared" si="4"/>
        <v>0</v>
      </c>
      <c r="N81" s="199" cm="1">
        <f t="array" ref="N81">SUMPRODUCT(('AOP25'!$E$2:$E$402=$H$4)*('AOP25'!$J$2:$J$402='Infra Cost Non Sap 2024'!A81)*('AOP25'!$T$2:$T$402))</f>
        <v>0</v>
      </c>
      <c r="O81" s="207">
        <f t="shared" si="5"/>
        <v>0</v>
      </c>
      <c r="P81" t="s">
        <v>2880</v>
      </c>
      <c r="Q81" s="141"/>
    </row>
    <row r="82" spans="1:17" x14ac:dyDescent="0.25">
      <c r="A82" s="206" t="s">
        <v>2092</v>
      </c>
      <c r="B82" t="s">
        <v>3538</v>
      </c>
      <c r="C82" t="s">
        <v>2110</v>
      </c>
      <c r="D82" t="s">
        <v>2111</v>
      </c>
      <c r="E82" t="s">
        <v>3403</v>
      </c>
      <c r="F82" t="s">
        <v>3483</v>
      </c>
      <c r="G82" t="s">
        <v>1293</v>
      </c>
      <c r="H82" t="s">
        <v>2114</v>
      </c>
      <c r="I82" t="s">
        <v>2115</v>
      </c>
      <c r="J82">
        <v>1</v>
      </c>
      <c r="K82">
        <v>2</v>
      </c>
      <c r="L82" s="207">
        <f t="shared" si="3"/>
        <v>10326.08695652174</v>
      </c>
      <c r="M82" s="207">
        <f t="shared" si="4"/>
        <v>20700</v>
      </c>
      <c r="N82" s="199" cm="1">
        <f t="array" ref="N82">SUMPRODUCT(('AOP25'!$E$2:$E$402=$H$4)*('AOP25'!$J$2:$J$402='Infra Cost Non Sap 2024'!A82)*('AOP25'!$T$2:$T$402))</f>
        <v>20700</v>
      </c>
      <c r="O82" s="207">
        <f t="shared" si="5"/>
        <v>0</v>
      </c>
      <c r="P82" t="s">
        <v>3433</v>
      </c>
      <c r="Q82" s="141"/>
    </row>
    <row r="83" spans="1:17" hidden="1" x14ac:dyDescent="0.25">
      <c r="A83" s="206" t="s">
        <v>3539</v>
      </c>
      <c r="B83" t="s">
        <v>3540</v>
      </c>
      <c r="C83" t="s">
        <v>2110</v>
      </c>
      <c r="D83" t="s">
        <v>1604</v>
      </c>
      <c r="E83" t="s">
        <v>3403</v>
      </c>
      <c r="F83" t="s">
        <v>3446</v>
      </c>
      <c r="G83" t="s">
        <v>116</v>
      </c>
      <c r="H83" t="s">
        <v>2114</v>
      </c>
      <c r="I83" t="s">
        <v>3404</v>
      </c>
      <c r="J83">
        <v>1</v>
      </c>
      <c r="K83">
        <v>0</v>
      </c>
      <c r="L83" s="207">
        <f t="shared" si="3"/>
        <v>10326.08695652174</v>
      </c>
      <c r="M83" s="207">
        <f t="shared" si="4"/>
        <v>0</v>
      </c>
      <c r="N83" s="199" cm="1">
        <f t="array" ref="N83">SUMPRODUCT(('AOP25'!$E$2:$E$402=$H$4)*('AOP25'!$J$2:$J$402='Infra Cost Non Sap 2024'!A83)*('AOP25'!$T$2:$T$402))</f>
        <v>0</v>
      </c>
      <c r="O83" s="207">
        <f t="shared" si="5"/>
        <v>0</v>
      </c>
      <c r="P83" t="s">
        <v>2880</v>
      </c>
      <c r="Q83" s="141" t="s">
        <v>3541</v>
      </c>
    </row>
    <row r="84" spans="1:17" x14ac:dyDescent="0.25">
      <c r="A84" s="206" t="s">
        <v>2094</v>
      </c>
      <c r="B84" t="s">
        <v>2134</v>
      </c>
      <c r="C84" t="s">
        <v>2110</v>
      </c>
      <c r="D84" t="s">
        <v>2111</v>
      </c>
      <c r="E84" t="s">
        <v>2112</v>
      </c>
      <c r="F84" t="s">
        <v>2135</v>
      </c>
      <c r="G84" t="s">
        <v>2136</v>
      </c>
      <c r="H84" t="s">
        <v>2114</v>
      </c>
      <c r="I84" t="s">
        <v>2115</v>
      </c>
      <c r="J84">
        <v>1</v>
      </c>
      <c r="K84">
        <v>1</v>
      </c>
      <c r="L84" s="207">
        <f t="shared" si="3"/>
        <v>10326.08695652174</v>
      </c>
      <c r="M84" s="207">
        <f t="shared" si="4"/>
        <v>10400</v>
      </c>
      <c r="N84" s="199" cm="1">
        <f t="array" ref="N84">SUMPRODUCT(('AOP25'!$E$2:$E$402=$H$4)*('AOP25'!$J$2:$J$402='Infra Cost Non Sap 2024'!A84)*('AOP25'!$T$2:$T$402))</f>
        <v>10400</v>
      </c>
      <c r="O84" s="207">
        <f t="shared" si="5"/>
        <v>0</v>
      </c>
      <c r="P84" t="s">
        <v>3433</v>
      </c>
      <c r="Q84" s="141"/>
    </row>
    <row r="85" spans="1:17" x14ac:dyDescent="0.25">
      <c r="A85" s="206" t="s">
        <v>2096</v>
      </c>
      <c r="B85" t="s">
        <v>3542</v>
      </c>
      <c r="C85" t="s">
        <v>2110</v>
      </c>
      <c r="D85" t="s">
        <v>2111</v>
      </c>
      <c r="E85" t="s">
        <v>2112</v>
      </c>
      <c r="F85" t="s">
        <v>850</v>
      </c>
      <c r="G85" t="s">
        <v>3466</v>
      </c>
      <c r="H85" t="s">
        <v>2114</v>
      </c>
      <c r="I85" t="s">
        <v>2115</v>
      </c>
      <c r="J85">
        <v>1</v>
      </c>
      <c r="K85">
        <v>1</v>
      </c>
      <c r="L85" s="207">
        <f t="shared" si="3"/>
        <v>10326.08695652174</v>
      </c>
      <c r="M85" s="207"/>
      <c r="N85" s="199" cm="1">
        <f t="array" ref="N85">SUMPRODUCT(('AOP25'!$E$2:$E$402=$H$4)*('AOP25'!$J$2:$J$402='Infra Cost Non Sap 2024'!A85)*('AOP25'!$T$2:$T$402))</f>
        <v>10400</v>
      </c>
      <c r="O85" s="207">
        <f t="shared" si="5"/>
        <v>-10400</v>
      </c>
      <c r="P85" t="s">
        <v>3433</v>
      </c>
      <c r="Q85" s="141"/>
    </row>
    <row r="86" spans="1:17" hidden="1" x14ac:dyDescent="0.25">
      <c r="A86" s="206" t="s">
        <v>3403</v>
      </c>
      <c r="B86" t="s">
        <v>3543</v>
      </c>
      <c r="C86" t="s">
        <v>3544</v>
      </c>
      <c r="D86" t="s">
        <v>2111</v>
      </c>
      <c r="E86" t="s">
        <v>58</v>
      </c>
      <c r="F86" t="s">
        <v>3545</v>
      </c>
      <c r="G86" t="s">
        <v>58</v>
      </c>
      <c r="H86" t="s">
        <v>2114</v>
      </c>
      <c r="I86" t="s">
        <v>2115</v>
      </c>
      <c r="J86">
        <v>1</v>
      </c>
      <c r="K86">
        <v>24</v>
      </c>
      <c r="L86" s="207">
        <f t="shared" si="3"/>
        <v>0</v>
      </c>
      <c r="M86" s="207">
        <f t="shared" si="4"/>
        <v>0</v>
      </c>
      <c r="N86" s="199" cm="1">
        <f t="array" ref="N86">SUMPRODUCT(('AOP25'!$E$2:$E$402=$H$4)*('AOP25'!$J$2:$J$402='Infra Cost Non Sap 2024'!A86)*('AOP25'!$T$2:$T$402))</f>
        <v>0</v>
      </c>
      <c r="O86" s="207">
        <f t="shared" si="5"/>
        <v>0</v>
      </c>
      <c r="Q86" s="141"/>
    </row>
    <row r="87" spans="1:17" hidden="1" x14ac:dyDescent="0.25">
      <c r="A87" s="206"/>
      <c r="D87" t="s">
        <v>58</v>
      </c>
      <c r="E87" t="s">
        <v>58</v>
      </c>
      <c r="F87" t="s">
        <v>58</v>
      </c>
      <c r="G87" t="s">
        <v>58</v>
      </c>
      <c r="H87" t="s">
        <v>58</v>
      </c>
      <c r="I87" t="s">
        <v>58</v>
      </c>
      <c r="L87" s="207"/>
      <c r="M87" s="207"/>
      <c r="N87" s="207"/>
      <c r="O87" s="207"/>
      <c r="Q87" s="141"/>
    </row>
    <row r="88" spans="1:17" x14ac:dyDescent="0.25">
      <c r="A88" s="206"/>
      <c r="Q88" s="141"/>
    </row>
    <row r="89" spans="1:17" x14ac:dyDescent="0.25">
      <c r="A89" s="206"/>
      <c r="Q89" s="141"/>
    </row>
    <row r="90" spans="1:17" x14ac:dyDescent="0.25">
      <c r="A90" s="206"/>
      <c r="Q90" s="141"/>
    </row>
    <row r="91" spans="1:17" x14ac:dyDescent="0.25">
      <c r="A91" s="206"/>
      <c r="Q91" s="141"/>
    </row>
    <row r="92" spans="1:17" x14ac:dyDescent="0.25">
      <c r="A92" s="206"/>
      <c r="Q92" s="141"/>
    </row>
    <row r="93" spans="1:17" x14ac:dyDescent="0.25">
      <c r="A93" s="206"/>
      <c r="Q93" s="141"/>
    </row>
    <row r="94" spans="1:17" x14ac:dyDescent="0.25">
      <c r="A94" s="206"/>
      <c r="Q94" s="141"/>
    </row>
    <row r="95" spans="1:17" x14ac:dyDescent="0.25">
      <c r="A95" s="206"/>
      <c r="Q95" s="141"/>
    </row>
    <row r="96" spans="1:17" x14ac:dyDescent="0.25">
      <c r="A96" s="206"/>
      <c r="Q96" s="141"/>
    </row>
    <row r="97" spans="1:18" x14ac:dyDescent="0.25">
      <c r="A97" s="206"/>
      <c r="Q97" s="141"/>
    </row>
    <row r="98" spans="1:18" x14ac:dyDescent="0.25">
      <c r="A98" s="206"/>
      <c r="Q98" s="141"/>
    </row>
    <row r="99" spans="1:18" x14ac:dyDescent="0.25">
      <c r="A99" s="206"/>
      <c r="Q99" s="141"/>
    </row>
    <row r="100" spans="1:18" x14ac:dyDescent="0.25">
      <c r="A100" s="206"/>
      <c r="Q100" s="141"/>
    </row>
    <row r="101" spans="1:18" x14ac:dyDescent="0.25">
      <c r="A101" s="206"/>
      <c r="Q101" s="141"/>
    </row>
    <row r="102" spans="1:18" x14ac:dyDescent="0.25">
      <c r="A102" s="206"/>
      <c r="Q102" s="141"/>
    </row>
    <row r="103" spans="1:18" x14ac:dyDescent="0.25">
      <c r="A103" s="206"/>
      <c r="Q103" s="141"/>
    </row>
    <row r="104" spans="1:18" x14ac:dyDescent="0.25">
      <c r="A104" s="206"/>
      <c r="Q104" s="141"/>
    </row>
    <row r="105" spans="1:18" x14ac:dyDescent="0.25">
      <c r="A105" s="208"/>
      <c r="B105" s="209"/>
      <c r="C105" s="209"/>
      <c r="D105" s="209"/>
      <c r="E105" s="209"/>
      <c r="F105" s="209"/>
      <c r="G105" s="209"/>
      <c r="H105" s="209"/>
      <c r="I105" s="209"/>
      <c r="J105" s="209"/>
      <c r="K105" s="209"/>
      <c r="L105" s="209"/>
      <c r="M105" s="209"/>
      <c r="N105" s="209"/>
      <c r="O105" s="209"/>
      <c r="P105" s="209"/>
      <c r="Q105" s="210"/>
    </row>
    <row r="106" spans="1:18" x14ac:dyDescent="0.25">
      <c r="M106" s="211"/>
      <c r="N106" s="211"/>
      <c r="O106" s="211"/>
    </row>
    <row r="107" spans="1:18" x14ac:dyDescent="0.25">
      <c r="I107" t="s">
        <v>3546</v>
      </c>
      <c r="K107" cm="1">
        <f t="array" ref="K107">SUMPRODUCT(($C$7:$C$105="sap")*($D$7:$D$105="Operational")*($H$7:$H$105="Managed Hosting (Private Cloud)")*($K$7:$K$105))</f>
        <v>68</v>
      </c>
    </row>
    <row r="108" spans="1:18" x14ac:dyDescent="0.25">
      <c r="I108" t="s">
        <v>3547</v>
      </c>
      <c r="K108" s="191" cm="1">
        <f t="array" ref="K108">SUMPRODUCT(($C$7:$C$105="non-sap")*($D$7:$D$105="Operational")*($H$7:$H$105="Managed Hosting (Private Cloud)")*($K$7:$K$105))</f>
        <v>92</v>
      </c>
      <c r="M108" s="211"/>
      <c r="N108" s="211"/>
      <c r="O108" s="211"/>
      <c r="P108" s="211"/>
      <c r="Q108" s="199"/>
      <c r="R108" s="211"/>
    </row>
    <row r="109" spans="1:18" x14ac:dyDescent="0.25">
      <c r="I109" t="s">
        <v>3544</v>
      </c>
      <c r="K109" cm="1">
        <f t="array" ref="K109">SUMPRODUCT(($C$7:$C$105="general")*($D$7:$D$105="Operational")*($H$7:$H$105="Managed Hosting (Private Cloud)")*($K$7:$K$105))</f>
        <v>24</v>
      </c>
      <c r="Q109" s="211"/>
    </row>
    <row r="110" spans="1:18" x14ac:dyDescent="0.25">
      <c r="I110" t="s">
        <v>1604</v>
      </c>
      <c r="K110" cm="1">
        <f t="array" ref="K110">SUMPRODUCT(($D$7:$D$105="Decommissioned")*($K$7:$K$105))</f>
        <v>12</v>
      </c>
    </row>
    <row r="112" spans="1:18" x14ac:dyDescent="0.25">
      <c r="I112" t="s">
        <v>12</v>
      </c>
      <c r="K112">
        <f>SUM(K107:K110)</f>
        <v>196</v>
      </c>
    </row>
    <row r="113" spans="11:11" x14ac:dyDescent="0.25">
      <c r="K113">
        <f>SUM(K7:K86)</f>
        <v>196</v>
      </c>
    </row>
  </sheetData>
  <autoFilter ref="A6:R87" xr:uid="{BD9CDBE6-A839-461A-9D55-E0C436B6D153}">
    <filterColumn colId="2">
      <filters>
        <filter val="Non-SAP"/>
      </filters>
    </filterColumn>
    <filterColumn colId="12">
      <filters>
        <filter val="10.400"/>
        <filter val="103.300"/>
        <filter val="20.700"/>
        <filter val="31.000"/>
        <filter val="41.400"/>
        <filter val="62.000"/>
      </filters>
    </filterColumn>
  </autoFilter>
  <pageMargins left="0.7" right="0.7" top="0.75" bottom="0.75" header="0.3" footer="0.3"/>
  <pageSetup paperSize="9" orientation="portrait" horizontalDpi="4294967293" r:id="rId1"/>
  <customProperties>
    <customPr name="_pios_id" r:id="rId2"/>
    <customPr name="EpmWorksheetKeyString_GUID" r:id="rId3"/>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9A0-F167-4E23-9C46-98335321BA10}">
  <sheetPr codeName="Sheet14"/>
  <dimension ref="A1:M10"/>
  <sheetViews>
    <sheetView workbookViewId="0">
      <selection activeCell="C7" sqref="C7"/>
    </sheetView>
  </sheetViews>
  <sheetFormatPr defaultRowHeight="15" x14ac:dyDescent="0.25"/>
  <cols>
    <col min="1" max="1" width="7.5703125" bestFit="1" customWidth="1"/>
    <col min="2" max="2" width="9.42578125" bestFit="1" customWidth="1"/>
    <col min="3" max="3" width="39.5703125" customWidth="1"/>
    <col min="4" max="4" width="19.5703125" customWidth="1"/>
    <col min="5" max="5" width="18" customWidth="1"/>
    <col min="6" max="6" width="10.42578125" bestFit="1" customWidth="1"/>
    <col min="7" max="7" width="23.5703125" bestFit="1" customWidth="1"/>
    <col min="8" max="8" width="17.5703125" bestFit="1" customWidth="1"/>
    <col min="9" max="9" width="25" bestFit="1" customWidth="1"/>
    <col min="10" max="10" width="19.42578125" bestFit="1" customWidth="1"/>
    <col min="11" max="11" width="17.5703125" customWidth="1"/>
    <col min="12" max="12" width="58.5703125" bestFit="1" customWidth="1"/>
  </cols>
  <sheetData>
    <row r="1" spans="1:13" x14ac:dyDescent="0.25">
      <c r="A1" s="9" t="s">
        <v>3278</v>
      </c>
      <c r="B1" s="9" t="s">
        <v>3279</v>
      </c>
      <c r="C1" s="9" t="s">
        <v>3280</v>
      </c>
      <c r="D1" s="9" t="s">
        <v>3281</v>
      </c>
      <c r="E1" s="9" t="s">
        <v>3282</v>
      </c>
      <c r="F1" s="9" t="s">
        <v>3283</v>
      </c>
      <c r="G1" s="9" t="s">
        <v>3284</v>
      </c>
      <c r="H1" s="9" t="s">
        <v>3285</v>
      </c>
      <c r="I1" s="9" t="s">
        <v>3286</v>
      </c>
      <c r="J1" s="9" t="s">
        <v>3287</v>
      </c>
      <c r="K1" s="9" t="s">
        <v>3288</v>
      </c>
      <c r="L1" s="9" t="s">
        <v>3289</v>
      </c>
    </row>
    <row r="2" spans="1:13" x14ac:dyDescent="0.25">
      <c r="A2">
        <v>1</v>
      </c>
      <c r="B2" t="s">
        <v>2773</v>
      </c>
      <c r="C2" t="s">
        <v>3548</v>
      </c>
      <c r="D2" s="214">
        <v>157000</v>
      </c>
      <c r="E2" t="s">
        <v>2766</v>
      </c>
      <c r="F2" t="s">
        <v>3549</v>
      </c>
      <c r="I2" s="222" t="s">
        <v>3291</v>
      </c>
      <c r="J2" s="222">
        <v>68427709</v>
      </c>
      <c r="L2" s="215" t="s">
        <v>3550</v>
      </c>
    </row>
    <row r="3" spans="1:13" x14ac:dyDescent="0.25">
      <c r="A3">
        <v>2</v>
      </c>
      <c r="B3" t="s">
        <v>2773</v>
      </c>
      <c r="C3" t="s">
        <v>3551</v>
      </c>
      <c r="D3" s="241">
        <v>100000</v>
      </c>
      <c r="E3" t="s">
        <v>3552</v>
      </c>
      <c r="F3" t="s">
        <v>3549</v>
      </c>
      <c r="G3" t="s">
        <v>3553</v>
      </c>
      <c r="I3" s="222" t="s">
        <v>3291</v>
      </c>
      <c r="J3" s="222">
        <v>68427709</v>
      </c>
      <c r="K3" t="s">
        <v>3554</v>
      </c>
      <c r="L3" s="215" t="s">
        <v>3550</v>
      </c>
    </row>
    <row r="4" spans="1:13" x14ac:dyDescent="0.25">
      <c r="A4">
        <v>3</v>
      </c>
      <c r="B4" t="s">
        <v>2773</v>
      </c>
      <c r="C4" t="s">
        <v>3555</v>
      </c>
      <c r="D4" s="214">
        <v>85700</v>
      </c>
      <c r="E4" t="s">
        <v>1075</v>
      </c>
      <c r="F4" t="s">
        <v>649</v>
      </c>
      <c r="G4" s="222" t="s">
        <v>3277</v>
      </c>
      <c r="H4" s="222">
        <v>68427719</v>
      </c>
      <c r="I4" s="222" t="s">
        <v>3291</v>
      </c>
      <c r="J4" s="222">
        <v>68427709</v>
      </c>
      <c r="L4" s="215" t="s">
        <v>3556</v>
      </c>
      <c r="M4" t="s">
        <v>3557</v>
      </c>
    </row>
    <row r="5" spans="1:13" x14ac:dyDescent="0.25">
      <c r="A5">
        <v>4</v>
      </c>
      <c r="B5" t="s">
        <v>2773</v>
      </c>
      <c r="C5" t="s">
        <v>3558</v>
      </c>
      <c r="D5" s="214">
        <v>66500</v>
      </c>
      <c r="E5" t="s">
        <v>1075</v>
      </c>
      <c r="F5" t="s">
        <v>649</v>
      </c>
      <c r="G5" s="222" t="s">
        <v>3277</v>
      </c>
      <c r="H5" s="222">
        <v>68427719</v>
      </c>
      <c r="I5" s="222" t="s">
        <v>3291</v>
      </c>
      <c r="J5" s="222">
        <v>68427709</v>
      </c>
      <c r="L5" s="215" t="s">
        <v>3556</v>
      </c>
      <c r="M5" t="s">
        <v>3557</v>
      </c>
    </row>
    <row r="6" spans="1:13" x14ac:dyDescent="0.25">
      <c r="A6">
        <v>5</v>
      </c>
      <c r="B6" t="s">
        <v>2773</v>
      </c>
      <c r="C6" t="s">
        <v>3294</v>
      </c>
      <c r="D6" s="214">
        <v>215000</v>
      </c>
      <c r="E6" t="s">
        <v>3295</v>
      </c>
      <c r="F6" t="s">
        <v>649</v>
      </c>
      <c r="G6" s="222" t="s">
        <v>3277</v>
      </c>
      <c r="H6" s="222">
        <v>68427719</v>
      </c>
      <c r="I6" s="222" t="s">
        <v>3291</v>
      </c>
      <c r="J6" s="222">
        <v>68427709</v>
      </c>
      <c r="L6" s="215" t="s">
        <v>3556</v>
      </c>
      <c r="M6" t="s">
        <v>3557</v>
      </c>
    </row>
    <row r="7" spans="1:13" x14ac:dyDescent="0.25">
      <c r="A7">
        <v>6</v>
      </c>
      <c r="B7" t="s">
        <v>2773</v>
      </c>
      <c r="C7" t="s">
        <v>3296</v>
      </c>
      <c r="D7" s="240">
        <v>262000</v>
      </c>
      <c r="E7" t="s">
        <v>3297</v>
      </c>
      <c r="F7" t="s">
        <v>649</v>
      </c>
      <c r="G7" s="222" t="s">
        <v>3277</v>
      </c>
      <c r="H7" s="222">
        <v>68427719</v>
      </c>
      <c r="I7" s="222" t="s">
        <v>3291</v>
      </c>
      <c r="J7" s="222">
        <v>68427709</v>
      </c>
      <c r="L7" s="215" t="s">
        <v>3556</v>
      </c>
      <c r="M7" t="s">
        <v>3557</v>
      </c>
    </row>
    <row r="8" spans="1:13" x14ac:dyDescent="0.25">
      <c r="A8">
        <v>7</v>
      </c>
      <c r="B8" t="s">
        <v>2773</v>
      </c>
      <c r="C8" t="s">
        <v>3559</v>
      </c>
      <c r="D8" s="214">
        <v>38000</v>
      </c>
      <c r="E8" t="s">
        <v>672</v>
      </c>
      <c r="F8" t="s">
        <v>3560</v>
      </c>
      <c r="G8" s="222" t="s">
        <v>321</v>
      </c>
      <c r="H8">
        <v>20190</v>
      </c>
      <c r="I8" s="222" t="s">
        <v>3291</v>
      </c>
      <c r="J8" s="222">
        <v>68427709</v>
      </c>
      <c r="L8" s="215" t="s">
        <v>3556</v>
      </c>
    </row>
    <row r="9" spans="1:13" x14ac:dyDescent="0.25">
      <c r="A9">
        <v>8</v>
      </c>
      <c r="B9" t="s">
        <v>2773</v>
      </c>
      <c r="C9" t="s">
        <v>3561</v>
      </c>
      <c r="D9" s="214">
        <v>28000</v>
      </c>
      <c r="E9" t="s">
        <v>1075</v>
      </c>
      <c r="F9" t="s">
        <v>649</v>
      </c>
      <c r="G9" s="222" t="s">
        <v>3277</v>
      </c>
      <c r="H9" s="222">
        <v>68427719</v>
      </c>
      <c r="I9" s="222" t="s">
        <v>3291</v>
      </c>
      <c r="J9" s="222">
        <v>68427709</v>
      </c>
      <c r="L9" s="215" t="s">
        <v>3556</v>
      </c>
    </row>
    <row r="10" spans="1:13" x14ac:dyDescent="0.25">
      <c r="B10" t="s">
        <v>3306</v>
      </c>
      <c r="C10" t="s">
        <v>3562</v>
      </c>
      <c r="D10" s="214">
        <v>48000</v>
      </c>
      <c r="E10" t="s">
        <v>3507</v>
      </c>
      <c r="G10" t="s">
        <v>3563</v>
      </c>
      <c r="H10">
        <v>68427709</v>
      </c>
      <c r="I10" t="s">
        <v>3291</v>
      </c>
      <c r="L10" t="s">
        <v>3550</v>
      </c>
    </row>
  </sheetData>
  <pageMargins left="0.7" right="0.7" top="0.75" bottom="0.75" header="0.3" footer="0.3"/>
  <pageSetup paperSize="9" orientation="portrait" r:id="rId1"/>
  <customProperties>
    <customPr name="_pios_id" r:id="rId2"/>
    <customPr name="EpmWorksheetKeyString_GUID"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SharedWithUsers xmlns="a48fe159-de10-4fbe-bf63-7d15f6aa84d6">
      <UserInfo>
        <DisplayName>Uppal, Rohan</DisplayName>
        <AccountId>4887</AccountId>
        <AccountType/>
      </UserInfo>
      <UserInfo>
        <DisplayName>Hryb, Tamara</DisplayName>
        <AccountId>4704</AccountId>
        <AccountType/>
      </UserInfo>
      <UserInfo>
        <DisplayName>Rodrigues, Oscar</DisplayName>
        <AccountId>19291</AccountId>
        <AccountType/>
      </UserInfo>
      <UserInfo>
        <DisplayName>Gaysinsky Segura, Sylvia</DisplayName>
        <AccountId>130</AccountId>
        <AccountType/>
      </UserInfo>
    </SharedWithUsers>
    <lcf76f155ced4ddcb4097134ff3c332f xmlns="7fcfb2eb-ffd0-4b03-a124-a152ea7aad25">
      <Terms xmlns="http://schemas.microsoft.com/office/infopath/2007/PartnerControls"/>
    </lcf76f155ced4ddcb4097134ff3c332f>
    <TaxCatchAll xmlns="07e397c1-4dcd-4254-bcef-c5032c2d906f" xsi:nil="true"/>
    <ArchiverLinkFileType xmlns="7fcfb2eb-ffd0-4b03-a124-a152ea7aad25" xsi:nil="true"/>
  </documentManagement>
</p:properties>
</file>

<file path=customXml/item2.xml><?xml version="1.0" encoding="utf-8"?>
<Application xmlns="http://www.sap.com/cof/excel/application">
  <Version>2</Version>
  <Revision>2.8.1000.96894</Revision>
</Application>
</file>

<file path=customXml/item3.xml><?xml version="1.0" encoding="utf-8"?>
<?mso-contentType ?>
<SharedContentType xmlns="Microsoft.SharePoint.Taxonomy.ContentTypeSync" SourceId="00b5f185-b19a-4336-a4ec-f1b99802f1ef" ContentTypeId="0x01" PreviousValue="false"/>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ct:contentTypeSchema xmlns:ct="http://schemas.microsoft.com/office/2006/metadata/contentType" xmlns:ma="http://schemas.microsoft.com/office/2006/metadata/properties/metaAttributes" ct:_="" ma:_="" ma:contentTypeName="Document" ma:contentTypeID="0x0101000A60ACD97A97374B8788FEB381C2CCBE" ma:contentTypeVersion="340" ma:contentTypeDescription="Create a new document." ma:contentTypeScope="" ma:versionID="cba7d5649e72db0a22e5f0551d155a04">
  <xsd:schema xmlns:xsd="http://www.w3.org/2001/XMLSchema" xmlns:xs="http://www.w3.org/2001/XMLSchema" xmlns:p="http://schemas.microsoft.com/office/2006/metadata/properties" xmlns:ns1="http://schemas.microsoft.com/sharepoint/v3" xmlns:ns2="7fcfb2eb-ffd0-4b03-a124-a152ea7aad25" xmlns:ns3="a48fe159-de10-4fbe-bf63-7d15f6aa84d6" xmlns:ns4="07e397c1-4dcd-4254-bcef-c5032c2d906f" targetNamespace="http://schemas.microsoft.com/office/2006/metadata/properties" ma:root="true" ma:fieldsID="bf44a487c5f0e23b2c0a5905470797d3" ns1:_="" ns2:_="" ns3:_="" ns4:_="">
    <xsd:import namespace="http://schemas.microsoft.com/sharepoint/v3"/>
    <xsd:import namespace="7fcfb2eb-ffd0-4b03-a124-a152ea7aad25"/>
    <xsd:import namespace="a48fe159-de10-4fbe-bf63-7d15f6aa84d6"/>
    <xsd:import namespace="07e397c1-4dcd-4254-bcef-c5032c2d906f"/>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1:_ip_UnifiedCompliancePolicyProperties" minOccurs="0"/>
                <xsd:element ref="ns1:_ip_UnifiedCompliancePolicyUIAction" minOccurs="0"/>
                <xsd:element ref="ns2:MediaServiceAutoTags" minOccurs="0"/>
                <xsd:element ref="ns2:MediaServiceOCR" minOccurs="0"/>
                <xsd:element ref="ns2:MediaServiceAutoKeyPoints" minOccurs="0"/>
                <xsd:element ref="ns2:MediaServiceKeyPoints" minOccurs="0"/>
                <xsd:element ref="ns2:MediaServiceGenerationTime" minOccurs="0"/>
                <xsd:element ref="ns2:MediaServiceEventHashCode" minOccurs="0"/>
                <xsd:element ref="ns2:MediaServiceDateTaken" minOccurs="0"/>
                <xsd:element ref="ns2:MediaLengthInSeconds" minOccurs="0"/>
                <xsd:element ref="ns2:MediaServiceObjectDetectorVersions" minOccurs="0"/>
                <xsd:element ref="ns2:lcf76f155ced4ddcb4097134ff3c332f" minOccurs="0"/>
                <xsd:element ref="ns4:TaxCatchAll" minOccurs="0"/>
                <xsd:element ref="ns2:ArchiverLinkFileTyp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Unified Compliance Policy Properties" ma:hidden="true" ma:internalName="_ip_UnifiedCompliancePolicyProperties">
      <xsd:simpleType>
        <xsd:restriction base="dms:Note"/>
      </xsd:simpleType>
    </xsd:element>
    <xsd:element name="_ip_UnifiedCompliancePolicyUIAction" ma:index="1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fcfb2eb-ffd0-4b03-a124-a152ea7aad25"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00b5f185-b19a-4336-a4ec-f1b99802f1ef" ma:termSetId="09814cd3-568e-fe90-9814-8d621ff8fb84" ma:anchorId="fba54fb3-c3e1-fe81-a776-ca4b69148c4d" ma:open="true" ma:isKeyword="false">
      <xsd:complexType>
        <xsd:sequence>
          <xsd:element ref="pc:Terms" minOccurs="0" maxOccurs="1"/>
        </xsd:sequence>
      </xsd:complexType>
    </xsd:element>
    <xsd:element name="ArchiverLinkFileType" ma:index="26" nillable="true" ma:displayName="ArchiverLinkFileType" ma:hidden="true" ma:internalName="ArchiverLinkFileType">
      <xsd:simpleType>
        <xsd:restriction base="dms:Text"/>
      </xsd:simpleType>
    </xsd:element>
    <xsd:element name="MediaServiceSearchProperties" ma:index="2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48fe159-de10-4fbe-bf63-7d15f6aa84d6"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7e397c1-4dcd-4254-bcef-c5032c2d906f" elementFormDefault="qualified">
    <xsd:import namespace="http://schemas.microsoft.com/office/2006/documentManagement/types"/>
    <xsd:import namespace="http://schemas.microsoft.com/office/infopath/2007/PartnerControls"/>
    <xsd:element name="TaxCatchAll" ma:index="25" nillable="true" ma:displayName="Taxonomy Catch All Column" ma:hidden="true" ma:list="{02ea1edc-b326-435f-94be-b576db85a731}" ma:internalName="TaxCatchAll" ma:showField="CatchAllData" ma:web="d6f5ce16-57e2-4aab-8a0b-fbed20d92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92EE77-7D88-443A-BE73-9ED1294C9EA9}">
  <ds:schemaRefs>
    <ds:schemaRef ds:uri="http://schemas.microsoft.com/office/2006/metadata/properties"/>
    <ds:schemaRef ds:uri="http://schemas.openxmlformats.org/package/2006/metadata/core-properties"/>
    <ds:schemaRef ds:uri="http://schemas.microsoft.com/office/infopath/2007/PartnerControls"/>
    <ds:schemaRef ds:uri="http://purl.org/dc/terms/"/>
    <ds:schemaRef ds:uri="http://schemas.microsoft.com/office/2006/documentManagement/types"/>
    <ds:schemaRef ds:uri="07e397c1-4dcd-4254-bcef-c5032c2d906f"/>
    <ds:schemaRef ds:uri="http://purl.org/dc/dcmitype/"/>
    <ds:schemaRef ds:uri="7fcfb2eb-ffd0-4b03-a124-a152ea7aad25"/>
    <ds:schemaRef ds:uri="http://schemas.microsoft.com/sharepoint/v3"/>
    <ds:schemaRef ds:uri="http://purl.org/dc/elements/1.1/"/>
    <ds:schemaRef ds:uri="a48fe159-de10-4fbe-bf63-7d15f6aa84d6"/>
    <ds:schemaRef ds:uri="http://www.w3.org/XML/1998/namespace"/>
  </ds:schemaRefs>
</ds:datastoreItem>
</file>

<file path=customXml/itemProps2.xml><?xml version="1.0" encoding="utf-8"?>
<ds:datastoreItem xmlns:ds="http://schemas.openxmlformats.org/officeDocument/2006/customXml" ds:itemID="{FE88AAD4-BD89-4A24-92D2-4F5689BFF2BE}">
  <ds:schemaRefs>
    <ds:schemaRef ds:uri="http://www.sap.com/cof/excel/application"/>
  </ds:schemaRefs>
</ds:datastoreItem>
</file>

<file path=customXml/itemProps3.xml><?xml version="1.0" encoding="utf-8"?>
<ds:datastoreItem xmlns:ds="http://schemas.openxmlformats.org/officeDocument/2006/customXml" ds:itemID="{52DE26F6-82F1-4D2B-8EED-18D475D9523E}">
  <ds:schemaRefs>
    <ds:schemaRef ds:uri="Microsoft.SharePoint.Taxonomy.ContentTypeSync"/>
  </ds:schemaRefs>
</ds:datastoreItem>
</file>

<file path=customXml/itemProps4.xml><?xml version="1.0" encoding="utf-8"?>
<ds:datastoreItem xmlns:ds="http://schemas.openxmlformats.org/officeDocument/2006/customXml" ds:itemID="{44AD7590-A757-4FCB-9785-ED7F564BD163}">
  <ds:schemaRefs>
    <ds:schemaRef ds:uri="http://schemas.microsoft.com/sharepoint/v3/contenttype/forms"/>
  </ds:schemaRefs>
</ds:datastoreItem>
</file>

<file path=customXml/itemProps5.xml><?xml version="1.0" encoding="utf-8"?>
<ds:datastoreItem xmlns:ds="http://schemas.openxmlformats.org/officeDocument/2006/customXml" ds:itemID="{180CECF0-0075-4557-B986-2185958A65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fcfb2eb-ffd0-4b03-a124-a152ea7aad25"/>
    <ds:schemaRef ds:uri="a48fe159-de10-4fbe-bf63-7d15f6aa84d6"/>
    <ds:schemaRef ds:uri="07e397c1-4dcd-4254-bcef-c5032c2d90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4</vt:i4>
      </vt:variant>
    </vt:vector>
  </HeadingPairs>
  <TitlesOfParts>
    <vt:vector size="19" baseType="lpstr">
      <vt:lpstr>Summary</vt:lpstr>
      <vt:lpstr>LE</vt:lpstr>
      <vt:lpstr>BW Summary</vt:lpstr>
      <vt:lpstr>Change log</vt:lpstr>
      <vt:lpstr>AOP25</vt:lpstr>
      <vt:lpstr>ListBoxValues</vt:lpstr>
      <vt:lpstr>BIdetails</vt:lpstr>
      <vt:lpstr>POs not in AOP</vt:lpstr>
      <vt:lpstr>AOP 2025 Summary</vt:lpstr>
      <vt:lpstr>Cross charge Agreements 2023</vt:lpstr>
      <vt:lpstr>Documentation</vt:lpstr>
      <vt:lpstr>New File Creation</vt:lpstr>
      <vt:lpstr>Improvements 2023</vt:lpstr>
      <vt:lpstr>Infra Cost Non Sap 2024</vt:lpstr>
      <vt:lpstr>Cross charge agreements</vt:lpstr>
      <vt:lpstr>'AOP 2025 Summary'!Extract</vt:lpstr>
      <vt:lpstr>ListBoxValues!Extract</vt:lpstr>
      <vt:lpstr>SAPCrosstab2</vt:lpstr>
      <vt:lpstr>SAPCrosstab3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Wormgoor, Mark</dc:creator>
  <cp:keywords/>
  <dc:description/>
  <cp:lastModifiedBy>Cavalari Consolini, Diego</cp:lastModifiedBy>
  <cp:revision/>
  <dcterms:created xsi:type="dcterms:W3CDTF">2017-11-24T10:50:34Z</dcterms:created>
  <dcterms:modified xsi:type="dcterms:W3CDTF">2025-01-13T09:06:18Z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0x0101000A60ACD97A97374B8788FEB381C2CCBE</vt:lpwstr>
  </property>
  <property fmtid="{D5CDD505-2E9C-101B-9397-08002B2CF9AE}" pid="3" name="MSIP_Label_6fd6a3f1-13ee-4193-aae5-4c5d46d7a876_Enabled">
    <vt:lpwstr>True</vt:lpwstr>
  </property>
  <property fmtid="{D5CDD505-2E9C-101B-9397-08002B2CF9AE}" pid="4" name="MSIP_Label_6fd6a3f1-13ee-4193-aae5-4c5d46d7a876_SiteId">
    <vt:lpwstr>22d30701-ec5e-4bdc-ba4f-b9234053b0a9</vt:lpwstr>
  </property>
  <property fmtid="{D5CDD505-2E9C-101B-9397-08002B2CF9AE}" pid="5" name="MSIP_Label_6fd6a3f1-13ee-4193-aae5-4c5d46d7a876_Ref">
    <vt:lpwstr>https://api.informationprotection.azure.com/api/22d30701-ec5e-4bdc-ba4f-b9234053b0a9</vt:lpwstr>
  </property>
  <property fmtid="{D5CDD505-2E9C-101B-9397-08002B2CF9AE}" pid="6" name="MSIP_Label_6fd6a3f1-13ee-4193-aae5-4c5d46d7a876_Owner">
    <vt:lpwstr>mark.wormgoor@jdecoffee.com</vt:lpwstr>
  </property>
  <property fmtid="{D5CDD505-2E9C-101B-9397-08002B2CF9AE}" pid="7" name="MSIP_Label_6fd6a3f1-13ee-4193-aae5-4c5d46d7a876_SetDate">
    <vt:lpwstr>2019-02-04T09:53:20.4403451+01:00</vt:lpwstr>
  </property>
  <property fmtid="{D5CDD505-2E9C-101B-9397-08002B2CF9AE}" pid="8" name="MSIP_Label_6fd6a3f1-13ee-4193-aae5-4c5d46d7a876_Name">
    <vt:lpwstr>JDE Public</vt:lpwstr>
  </property>
  <property fmtid="{D5CDD505-2E9C-101B-9397-08002B2CF9AE}" pid="9" name="MSIP_Label_6fd6a3f1-13ee-4193-aae5-4c5d46d7a876_Application">
    <vt:lpwstr>Microsoft Azure Information Protection</vt:lpwstr>
  </property>
  <property fmtid="{D5CDD505-2E9C-101B-9397-08002B2CF9AE}" pid="10" name="MSIP_Label_6fd6a3f1-13ee-4193-aae5-4c5d46d7a876_Extended_MSFT_Method">
    <vt:lpwstr>Automatic</vt:lpwstr>
  </property>
  <property fmtid="{D5CDD505-2E9C-101B-9397-08002B2CF9AE}" pid="11" name="Sensitivity">
    <vt:lpwstr>JDE Public</vt:lpwstr>
  </property>
  <property fmtid="{D5CDD505-2E9C-101B-9397-08002B2CF9AE}" pid="12" name="AuthorIds_UIVersion_70656">
    <vt:lpwstr>2252</vt:lpwstr>
  </property>
  <property fmtid="{D5CDD505-2E9C-101B-9397-08002B2CF9AE}" pid="13" name="AuthorIds_UIVersion_88064">
    <vt:lpwstr>2252</vt:lpwstr>
  </property>
  <property fmtid="{D5CDD505-2E9C-101B-9397-08002B2CF9AE}" pid="14" name="CustomUiType">
    <vt:lpwstr>2</vt:lpwstr>
  </property>
  <property fmtid="{D5CDD505-2E9C-101B-9397-08002B2CF9AE}" pid="15" name="MediaServiceImageTags">
    <vt:lpwstr/>
  </property>
</Properties>
</file>