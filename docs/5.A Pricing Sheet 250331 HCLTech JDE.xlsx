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offeeandtea-my.sharepoint.com/personal/diego_cavalariconsolini_jdecoffee_com/Documents/Finance/"/>
    </mc:Choice>
  </mc:AlternateContent>
  <xr:revisionPtr revIDLastSave="79" documentId="8_{8B2054AE-6CCF-4331-A7B6-0E4AE4446BBF}" xr6:coauthVersionLast="47" xr6:coauthVersionMax="47" xr10:uidLastSave="{9DF93E44-0C39-4E05-B175-A6E61FB860F8}"/>
  <bookViews>
    <workbookView xWindow="19095" yWindow="0" windowWidth="38610" windowHeight="20985" activeTab="2" xr2:uid="{30031A53-7092-254F-973F-D86F24D594BB}"/>
  </bookViews>
  <sheets>
    <sheet name="introduction" sheetId="2" r:id="rId1"/>
    <sheet name="Summary" sheetId="3" r:id="rId2"/>
    <sheet name="Monthly Recurring Charges" sheetId="4" r:id="rId3"/>
    <sheet name="RU info" sheetId="10" r:id="rId4"/>
    <sheet name="RU mapping" sheetId="15" r:id="rId5"/>
    <sheet name="Devices" sheetId="16" r:id="rId6"/>
    <sheet name="One-time Charges" sheetId="5" r:id="rId7"/>
    <sheet name="Service Requests" sheetId="6" r:id="rId8"/>
    <sheet name="Demand Requests" sheetId="7" r:id="rId9"/>
    <sheet name="Optional Pricing" sheetId="17" r:id="rId10"/>
  </sheets>
  <definedNames>
    <definedName name="____kzerfkz" hidden="1">#REF!</definedName>
    <definedName name="_1" hidden="1">#REF!</definedName>
    <definedName name="_xlnm._FilterDatabase" localSheetId="5" hidden="1">Devices!$A$19:$Y$60</definedName>
    <definedName name="_xlnm._FilterDatabase" localSheetId="2" hidden="1">'Monthly Recurring Charges'!$A$6:$BG$62</definedName>
    <definedName name="_Key1" hidden="1">#REF!</definedName>
    <definedName name="_Order1" hidden="1">255</definedName>
    <definedName name="_Sort" hidden="1">#REF!</definedName>
    <definedName name="AccessOpt" hidden="1">"Yes"</definedName>
    <definedName name="aefadad" hidden="1">#REF!</definedName>
    <definedName name="afaefaefaf" hidden="1">#REF!</definedName>
    <definedName name="afafazdazf" hidden="1">#REF!</definedName>
    <definedName name="anscount" hidden="1">1</definedName>
    <definedName name="Australia" hidden="1">NTWRK_COST_FIXED</definedName>
    <definedName name="azfdazdazxfza" hidden="1">#REF!</definedName>
    <definedName name="azndlkaznd" hidden="1">#REF!</definedName>
    <definedName name="Colo">#REF!</definedName>
    <definedName name="Data">#REF!</definedName>
    <definedName name="efaazdazfazfdza" hidden="1">{#N/A,#N/A,TRUE,"COVER";#N/A,#N/A,TRUE,"DIAGRAM";#N/A,#N/A,TRUE,"DEFINITION";#N/A,#N/A,TRUE,"ALLIANCE"}</definedName>
    <definedName name="EV__EXPOPTIONS__" hidden="1">0</definedName>
    <definedName name="EV__LASTREFTIME__" hidden="1">40522.4079166667</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Expired" hidden="1">FALSE</definedName>
    <definedName name="fafazdzadc" hidden="1">#REF!</definedName>
    <definedName name="fazazfazfazdada" hidden="1">{"reports",#N/A,FALSE,"Balance Sheet"}</definedName>
    <definedName name="fazdaxafzdax" hidden="1">{"'Synthesis'!$F$3:$Q$18"}</definedName>
    <definedName name="fazdazdazfdza" hidden="1">{"UKGAAP balance sheet",#N/A,FALSE,"Balance Sheet"}</definedName>
    <definedName name="Features">#REF!</definedName>
    <definedName name="Functional">#REF!</definedName>
    <definedName name="fzefzfzf" hidden="1">#REF!</definedName>
    <definedName name="General">#REF!</definedName>
    <definedName name="HTML_CodePage" hidden="1">1252</definedName>
    <definedName name="HTML_Control" hidden="1">{"'Synthesis'!$F$3:$Q$18"}</definedName>
    <definedName name="HTML_Description" hidden="1">""</definedName>
    <definedName name="HTML_Email" hidden="1">"gwenael.riou@francetelecom.com"</definedName>
    <definedName name="HTML_Header" hidden="1">"Code Pays ISO-Alpha 3"</definedName>
    <definedName name="HTML_LastUpdate" hidden="1">"02/08/02"</definedName>
    <definedName name="HTML_LineAfter" hidden="1">TRUE</definedName>
    <definedName name="HTML_LineBefore" hidden="1">TRUE</definedName>
    <definedName name="HTML_Name" hidden="1">"Gwenaël RIOU"</definedName>
    <definedName name="HTML_OBDlg2" hidden="1">TRUE</definedName>
    <definedName name="HTML_OBDlg4" hidden="1">TRUE</definedName>
    <definedName name="HTML_OS" hidden="1">0</definedName>
    <definedName name="HTML_PathFile" hidden="1">"V:\dire\!didre Réseaux en Production\Saint Gobain\------ St Gobain - SITES CENTRAUX ------\bo\HTM\MPLSLineNumberAndSpeedPerCountry.htm"</definedName>
    <definedName name="HTML_Title" hidden="1">"Code Pays"</definedName>
    <definedName name="intEstimateVolume" localSheetId="5">'Demand Requests'!$N$4</definedName>
    <definedName name="intEstimateVolume">'Demand Requests'!$N$4</definedName>
    <definedName name="IVR_Features_flag" hidden="1">#REF!</definedName>
    <definedName name="kyd.ChngCell.01." hidden="1">"x"</definedName>
    <definedName name="kyd.CounterLimitCell.01." hidden="1">"x"</definedName>
    <definedName name="kyd.Dim.01." hidden="1">""</definedName>
    <definedName name="kyd.ElementList.01." hidden="1">"x"</definedName>
    <definedName name="kyd.ElementType.01." hidden="1">0</definedName>
    <definedName name="kyd.ItemType.01." hidden="1">0</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0</definedName>
    <definedName name="kyd.PanicStop." hidden="1">FALSE</definedName>
    <definedName name="kyd.ParentName.01." hidden="1">""</definedName>
    <definedName name="kyd.PreScreenData." hidden="1">FALSE</definedName>
    <definedName name="kyd.PrintParent.01." hidden="1">FALSE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limcount" hidden="1">1</definedName>
    <definedName name="MinPerCall" hidden="1">3</definedName>
    <definedName name="Non_Functional">#REF!</definedName>
    <definedName name="Non_Technical">#REF!</definedName>
    <definedName name="PC_msg" hidden="1">"Yes"</definedName>
    <definedName name="percPreTargetAdjustment" localSheetId="5">'Monthly Recurring Charges'!$AP$3</definedName>
    <definedName name="percPreTargetAdjustment">'Monthly Recurring Charges'!$AP$3</definedName>
    <definedName name="Relative">#REF!</definedName>
    <definedName name="rgzefzef" hidden="1">#REF!</definedName>
    <definedName name="sencount" hidden="1">1</definedName>
    <definedName name="SuperUser" hidden="1">FALSE</definedName>
    <definedName name="Technical">#REF!</definedName>
    <definedName name="Ver" hidden="1">63</definedName>
    <definedName name="wrn.DetailedAccounts." hidden="1">{"TotalP&amp;L",#N/A,FALSE,"Total";"MotorP&amp;L",#N/A,FALSE,"Motor";"PropertyP&amp;L",#N/A,FALSE,"Property";"SpecialistP&amp;L",#N/A,FALSE,"Specialist"}</definedName>
    <definedName name="wrn.Import._.figures." hidden="1">{"reports",#N/A,FALSE,"Balance Sheet"}</definedName>
    <definedName name="wrn.srxsq494." hidden="1">{#N/A,#N/A,TRUE,"COVER";#N/A,#N/A,TRUE,"DIAGRAM";#N/A,#N/A,TRUE,"DEFINITION";#N/A,#N/A,TRUE,"ALLIANCE"}</definedName>
    <definedName name="wrn.UK._.GAAP._.BS." hidden="1">{"UKGAAP balance sheet",#N/A,FALSE,"Balance Sheet"}</definedName>
    <definedName name="Xfer_MCC" hidden="1">#REF!</definedName>
    <definedName name="zafazddxzad" hidden="1">NTWRK_COST_FIXED</definedName>
    <definedName name="zefzefzef" hidden="1">#REF!</definedName>
    <definedName name="zfzfzfz" hidden="1">#REF!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7" i="4" l="1"/>
  <c r="I67" i="4"/>
  <c r="AX64" i="4"/>
  <c r="AY64" i="4"/>
  <c r="I65" i="4"/>
  <c r="K68" i="4"/>
  <c r="J68" i="4"/>
  <c r="I68" i="4"/>
  <c r="K67" i="4" l="1"/>
  <c r="I70" i="4"/>
  <c r="I71" i="4"/>
  <c r="J71" i="4"/>
  <c r="K71" i="4" s="1"/>
  <c r="I72" i="4"/>
  <c r="J72" i="4"/>
  <c r="K72" i="4" s="1"/>
  <c r="I73" i="4"/>
  <c r="J73" i="4"/>
  <c r="K73" i="4" s="1"/>
  <c r="J70" i="4"/>
  <c r="K70" i="4" s="1"/>
  <c r="K65" i="4"/>
  <c r="I66" i="4"/>
  <c r="K66" i="4"/>
  <c r="J66" i="4"/>
  <c r="J65" i="4"/>
  <c r="H3" i="17"/>
  <c r="I20" i="4"/>
  <c r="J20" i="4"/>
  <c r="K20" i="4"/>
  <c r="L20" i="4"/>
  <c r="M20" i="4"/>
  <c r="G16" i="6" l="1"/>
  <c r="G17" i="6" l="1"/>
  <c r="G27" i="6" l="1"/>
  <c r="AN62" i="4"/>
  <c r="AM62" i="4"/>
  <c r="AL62" i="4"/>
  <c r="AK62" i="4"/>
  <c r="AJ62" i="4"/>
  <c r="AI62" i="4"/>
  <c r="AH62" i="4"/>
  <c r="AG62" i="4"/>
  <c r="AF62" i="4"/>
  <c r="AE62" i="4"/>
  <c r="AD62" i="4"/>
  <c r="AC62" i="4"/>
  <c r="AA62" i="4"/>
  <c r="Z62" i="4"/>
  <c r="Y62" i="4"/>
  <c r="X62" i="4"/>
  <c r="W62" i="4"/>
  <c r="V62" i="4"/>
  <c r="U62" i="4"/>
  <c r="AN61" i="4"/>
  <c r="AM61" i="4"/>
  <c r="AL61" i="4"/>
  <c r="AK61" i="4"/>
  <c r="AJ61" i="4"/>
  <c r="AI61" i="4"/>
  <c r="AH61" i="4"/>
  <c r="AG61" i="4"/>
  <c r="AF61" i="4"/>
  <c r="AE61" i="4"/>
  <c r="AD61" i="4"/>
  <c r="AC61" i="4"/>
  <c r="AA61" i="4"/>
  <c r="Z61" i="4"/>
  <c r="Y61" i="4"/>
  <c r="X61" i="4"/>
  <c r="W61" i="4"/>
  <c r="V61" i="4"/>
  <c r="U61" i="4"/>
  <c r="AN60" i="4"/>
  <c r="AM60" i="4"/>
  <c r="AL60" i="4"/>
  <c r="AK60" i="4"/>
  <c r="AJ60" i="4"/>
  <c r="AI60" i="4"/>
  <c r="AH60" i="4"/>
  <c r="AG60" i="4"/>
  <c r="AF60" i="4"/>
  <c r="AE60" i="4"/>
  <c r="AD60" i="4"/>
  <c r="AC60" i="4"/>
  <c r="AA60" i="4"/>
  <c r="Z60" i="4"/>
  <c r="Y60" i="4"/>
  <c r="X60" i="4"/>
  <c r="W60" i="4"/>
  <c r="V60" i="4"/>
  <c r="U60" i="4"/>
  <c r="AN59" i="4"/>
  <c r="AM59" i="4"/>
  <c r="AL59" i="4"/>
  <c r="AK59" i="4"/>
  <c r="AJ59" i="4"/>
  <c r="AI59" i="4"/>
  <c r="AH59" i="4"/>
  <c r="AG59" i="4"/>
  <c r="AF59" i="4"/>
  <c r="AE59" i="4"/>
  <c r="AD59" i="4"/>
  <c r="AC59" i="4"/>
  <c r="AA59" i="4"/>
  <c r="Z59" i="4"/>
  <c r="Y59" i="4"/>
  <c r="X59" i="4"/>
  <c r="W59" i="4"/>
  <c r="V59" i="4"/>
  <c r="U59" i="4"/>
  <c r="U56" i="4"/>
  <c r="U55" i="4"/>
  <c r="U54" i="4"/>
  <c r="U53" i="4"/>
  <c r="U52" i="4"/>
  <c r="U51" i="4"/>
  <c r="U50" i="4"/>
  <c r="U49" i="4"/>
  <c r="U47" i="4"/>
  <c r="U46" i="4"/>
  <c r="U44" i="4"/>
  <c r="U43" i="4"/>
  <c r="U42" i="4"/>
  <c r="U40" i="4"/>
  <c r="AN37" i="4"/>
  <c r="AM37" i="4"/>
  <c r="AL37" i="4"/>
  <c r="AK37" i="4"/>
  <c r="AJ37" i="4"/>
  <c r="AI37" i="4"/>
  <c r="AH37" i="4"/>
  <c r="AG37" i="4"/>
  <c r="AF37" i="4"/>
  <c r="AE37" i="4"/>
  <c r="AD37" i="4"/>
  <c r="AC37" i="4"/>
  <c r="AA37" i="4"/>
  <c r="Z37" i="4"/>
  <c r="Y37" i="4"/>
  <c r="X37" i="4"/>
  <c r="W37" i="4"/>
  <c r="V37" i="4"/>
  <c r="U37" i="4"/>
  <c r="AN36" i="4"/>
  <c r="AM36" i="4"/>
  <c r="AL36" i="4"/>
  <c r="AK36" i="4"/>
  <c r="AJ36" i="4"/>
  <c r="AI36" i="4"/>
  <c r="AH36" i="4"/>
  <c r="AG36" i="4"/>
  <c r="AF36" i="4"/>
  <c r="AE36" i="4"/>
  <c r="AD36" i="4"/>
  <c r="AC36" i="4"/>
  <c r="AA36" i="4"/>
  <c r="Z36" i="4"/>
  <c r="Y36" i="4"/>
  <c r="X36" i="4"/>
  <c r="W36" i="4"/>
  <c r="V36" i="4"/>
  <c r="U36" i="4"/>
  <c r="AN34" i="4"/>
  <c r="AM34" i="4"/>
  <c r="AL34" i="4"/>
  <c r="AK34" i="4"/>
  <c r="AJ34" i="4"/>
  <c r="AI34" i="4"/>
  <c r="AH34" i="4"/>
  <c r="AG34" i="4"/>
  <c r="AF34" i="4"/>
  <c r="AE34" i="4"/>
  <c r="AD34" i="4"/>
  <c r="AC34" i="4"/>
  <c r="AA34" i="4"/>
  <c r="Z34" i="4"/>
  <c r="Y34" i="4"/>
  <c r="X34" i="4"/>
  <c r="W34" i="4"/>
  <c r="V34" i="4"/>
  <c r="U34" i="4"/>
  <c r="AN33" i="4"/>
  <c r="AM33" i="4"/>
  <c r="AL33" i="4"/>
  <c r="AK33" i="4"/>
  <c r="AJ33" i="4"/>
  <c r="AI33" i="4"/>
  <c r="AH33" i="4"/>
  <c r="AG33" i="4"/>
  <c r="AF33" i="4"/>
  <c r="AE33" i="4"/>
  <c r="AD33" i="4"/>
  <c r="AC33" i="4"/>
  <c r="AA33" i="4"/>
  <c r="Z33" i="4"/>
  <c r="Y33" i="4"/>
  <c r="X33" i="4"/>
  <c r="W33" i="4"/>
  <c r="V33" i="4"/>
  <c r="U33" i="4"/>
  <c r="AN32" i="4"/>
  <c r="AM32" i="4"/>
  <c r="AL32" i="4"/>
  <c r="AK32" i="4"/>
  <c r="AJ32" i="4"/>
  <c r="AI32" i="4"/>
  <c r="AH32" i="4"/>
  <c r="AG32" i="4"/>
  <c r="AF32" i="4"/>
  <c r="AE32" i="4"/>
  <c r="AD32" i="4"/>
  <c r="AC32" i="4"/>
  <c r="AA32" i="4"/>
  <c r="Z32" i="4"/>
  <c r="Y32" i="4"/>
  <c r="X32" i="4"/>
  <c r="W32" i="4"/>
  <c r="V32" i="4"/>
  <c r="U32" i="4"/>
  <c r="AN30" i="4"/>
  <c r="AM30" i="4"/>
  <c r="AL30" i="4"/>
  <c r="AK30" i="4"/>
  <c r="AJ30" i="4"/>
  <c r="AI30" i="4"/>
  <c r="AH30" i="4"/>
  <c r="AG30" i="4"/>
  <c r="AF30" i="4"/>
  <c r="AE30" i="4"/>
  <c r="AD30" i="4"/>
  <c r="AC30" i="4"/>
  <c r="AA30" i="4"/>
  <c r="Z30" i="4"/>
  <c r="Y30" i="4"/>
  <c r="X30" i="4"/>
  <c r="W30" i="4"/>
  <c r="V30" i="4"/>
  <c r="U30" i="4"/>
  <c r="AN27" i="4"/>
  <c r="AM27" i="4"/>
  <c r="AL27" i="4"/>
  <c r="AK27" i="4"/>
  <c r="AJ27" i="4"/>
  <c r="AI27" i="4"/>
  <c r="AH27" i="4"/>
  <c r="AG27" i="4"/>
  <c r="AF27" i="4"/>
  <c r="AE27" i="4"/>
  <c r="AD27" i="4"/>
  <c r="AC27" i="4"/>
  <c r="AA27" i="4"/>
  <c r="Z27" i="4"/>
  <c r="Y27" i="4"/>
  <c r="X27" i="4"/>
  <c r="W27" i="4"/>
  <c r="V27" i="4"/>
  <c r="U27" i="4"/>
  <c r="AN26" i="4"/>
  <c r="AM26" i="4"/>
  <c r="AL26" i="4"/>
  <c r="AK26" i="4"/>
  <c r="AJ26" i="4"/>
  <c r="AI26" i="4"/>
  <c r="AH26" i="4"/>
  <c r="AG26" i="4"/>
  <c r="AF26" i="4"/>
  <c r="AE26" i="4"/>
  <c r="AD26" i="4"/>
  <c r="AC26" i="4"/>
  <c r="AA26" i="4"/>
  <c r="Z26" i="4"/>
  <c r="Y26" i="4"/>
  <c r="X26" i="4"/>
  <c r="W26" i="4"/>
  <c r="V26" i="4"/>
  <c r="U26" i="4"/>
  <c r="AN25" i="4"/>
  <c r="AM25" i="4"/>
  <c r="AL25" i="4"/>
  <c r="AK25" i="4"/>
  <c r="AJ25" i="4"/>
  <c r="AI25" i="4"/>
  <c r="AH25" i="4"/>
  <c r="AG25" i="4"/>
  <c r="AF25" i="4"/>
  <c r="AE25" i="4"/>
  <c r="AD25" i="4"/>
  <c r="AC25" i="4"/>
  <c r="AA25" i="4"/>
  <c r="Z25" i="4"/>
  <c r="Y25" i="4"/>
  <c r="X25" i="4"/>
  <c r="W25" i="4"/>
  <c r="V25" i="4"/>
  <c r="U25" i="4"/>
  <c r="AN24" i="4"/>
  <c r="AM24" i="4"/>
  <c r="AL24" i="4"/>
  <c r="AK24" i="4"/>
  <c r="AJ24" i="4"/>
  <c r="AI24" i="4"/>
  <c r="AH24" i="4"/>
  <c r="AG24" i="4"/>
  <c r="AF24" i="4"/>
  <c r="AE24" i="4"/>
  <c r="AD24" i="4"/>
  <c r="AC24" i="4"/>
  <c r="AA24" i="4"/>
  <c r="Z24" i="4"/>
  <c r="Y24" i="4"/>
  <c r="X24" i="4"/>
  <c r="W24" i="4"/>
  <c r="V24" i="4"/>
  <c r="U24" i="4"/>
  <c r="AN23" i="4"/>
  <c r="AM23" i="4"/>
  <c r="AL23" i="4"/>
  <c r="AK23" i="4"/>
  <c r="AJ23" i="4"/>
  <c r="AI23" i="4"/>
  <c r="AH23" i="4"/>
  <c r="AG23" i="4"/>
  <c r="AF23" i="4"/>
  <c r="AE23" i="4"/>
  <c r="AD23" i="4"/>
  <c r="AC23" i="4"/>
  <c r="AA23" i="4"/>
  <c r="Z23" i="4"/>
  <c r="Y23" i="4"/>
  <c r="X23" i="4"/>
  <c r="W23" i="4"/>
  <c r="V23" i="4"/>
  <c r="U23" i="4"/>
  <c r="AN22" i="4"/>
  <c r="AM22" i="4"/>
  <c r="AL22" i="4"/>
  <c r="AK22" i="4"/>
  <c r="AJ22" i="4"/>
  <c r="AI22" i="4"/>
  <c r="AH22" i="4"/>
  <c r="AG22" i="4"/>
  <c r="AF22" i="4"/>
  <c r="AE22" i="4"/>
  <c r="AD22" i="4"/>
  <c r="AC22" i="4"/>
  <c r="AA22" i="4"/>
  <c r="Z22" i="4"/>
  <c r="Y22" i="4"/>
  <c r="X22" i="4"/>
  <c r="W22" i="4"/>
  <c r="V22" i="4"/>
  <c r="U22" i="4"/>
  <c r="AN21" i="4"/>
  <c r="AM21" i="4"/>
  <c r="AL21" i="4"/>
  <c r="AK21" i="4"/>
  <c r="AJ21" i="4"/>
  <c r="AI21" i="4"/>
  <c r="AH21" i="4"/>
  <c r="AG21" i="4"/>
  <c r="AF21" i="4"/>
  <c r="AE21" i="4"/>
  <c r="AD21" i="4"/>
  <c r="AC21" i="4"/>
  <c r="AA21" i="4"/>
  <c r="Z21" i="4"/>
  <c r="Y21" i="4"/>
  <c r="X21" i="4"/>
  <c r="W21" i="4"/>
  <c r="V21" i="4"/>
  <c r="U21" i="4"/>
  <c r="AN20" i="4"/>
  <c r="AM20" i="4"/>
  <c r="AL20" i="4"/>
  <c r="AK20" i="4"/>
  <c r="AJ20" i="4"/>
  <c r="AI20" i="4"/>
  <c r="AH20" i="4"/>
  <c r="AG20" i="4"/>
  <c r="AF20" i="4"/>
  <c r="AE20" i="4"/>
  <c r="AD20" i="4"/>
  <c r="AC20" i="4"/>
  <c r="AA20" i="4"/>
  <c r="Z20" i="4"/>
  <c r="Y20" i="4"/>
  <c r="X20" i="4"/>
  <c r="W20" i="4"/>
  <c r="V20" i="4"/>
  <c r="U20" i="4"/>
  <c r="AN19" i="4"/>
  <c r="AM19" i="4"/>
  <c r="AL19" i="4"/>
  <c r="AK19" i="4"/>
  <c r="AJ19" i="4"/>
  <c r="AI19" i="4"/>
  <c r="AH19" i="4"/>
  <c r="AG19" i="4"/>
  <c r="AF19" i="4"/>
  <c r="AE19" i="4"/>
  <c r="AD19" i="4"/>
  <c r="AC19" i="4"/>
  <c r="AA19" i="4"/>
  <c r="Z19" i="4"/>
  <c r="Y19" i="4"/>
  <c r="X19" i="4"/>
  <c r="W19" i="4"/>
  <c r="V19" i="4"/>
  <c r="U19" i="4"/>
  <c r="AN16" i="4"/>
  <c r="AM16" i="4"/>
  <c r="AL16" i="4"/>
  <c r="AK16" i="4"/>
  <c r="AJ16" i="4"/>
  <c r="AI16" i="4"/>
  <c r="AH16" i="4"/>
  <c r="AG16" i="4"/>
  <c r="AF16" i="4"/>
  <c r="AE16" i="4"/>
  <c r="AD16" i="4"/>
  <c r="AC16" i="4"/>
  <c r="AA16" i="4"/>
  <c r="Z16" i="4"/>
  <c r="Y16" i="4"/>
  <c r="X16" i="4"/>
  <c r="W16" i="4"/>
  <c r="V16" i="4"/>
  <c r="U16" i="4"/>
  <c r="AN15" i="4"/>
  <c r="AM15" i="4"/>
  <c r="AL15" i="4"/>
  <c r="AK15" i="4"/>
  <c r="AJ15" i="4"/>
  <c r="AI15" i="4"/>
  <c r="AH15" i="4"/>
  <c r="AG15" i="4"/>
  <c r="AF15" i="4"/>
  <c r="AE15" i="4"/>
  <c r="AD15" i="4"/>
  <c r="AC15" i="4"/>
  <c r="AA15" i="4"/>
  <c r="Z15" i="4"/>
  <c r="Y15" i="4"/>
  <c r="X15" i="4"/>
  <c r="W15" i="4"/>
  <c r="V15" i="4"/>
  <c r="U15" i="4"/>
  <c r="AN14" i="4"/>
  <c r="AM14" i="4"/>
  <c r="AL14" i="4"/>
  <c r="AK14" i="4"/>
  <c r="AJ14" i="4"/>
  <c r="AI14" i="4"/>
  <c r="AH14" i="4"/>
  <c r="AG14" i="4"/>
  <c r="AF14" i="4"/>
  <c r="AE14" i="4"/>
  <c r="AD14" i="4"/>
  <c r="AC14" i="4"/>
  <c r="AA14" i="4"/>
  <c r="Z14" i="4"/>
  <c r="Y14" i="4"/>
  <c r="X14" i="4"/>
  <c r="W14" i="4"/>
  <c r="V14" i="4"/>
  <c r="U14" i="4"/>
  <c r="AN13" i="4"/>
  <c r="AM13" i="4"/>
  <c r="AL13" i="4"/>
  <c r="AK13" i="4"/>
  <c r="AJ13" i="4"/>
  <c r="AI13" i="4"/>
  <c r="AH13" i="4"/>
  <c r="AG13" i="4"/>
  <c r="AF13" i="4"/>
  <c r="AE13" i="4"/>
  <c r="AD13" i="4"/>
  <c r="AC13" i="4"/>
  <c r="AA13" i="4"/>
  <c r="Z13" i="4"/>
  <c r="Y13" i="4"/>
  <c r="X13" i="4"/>
  <c r="W13" i="4"/>
  <c r="V13" i="4"/>
  <c r="U13" i="4"/>
  <c r="AN12" i="4"/>
  <c r="AM12" i="4"/>
  <c r="AL12" i="4"/>
  <c r="AK12" i="4"/>
  <c r="AJ12" i="4"/>
  <c r="AI12" i="4"/>
  <c r="AH12" i="4"/>
  <c r="AG12" i="4"/>
  <c r="AF12" i="4"/>
  <c r="AE12" i="4"/>
  <c r="AD12" i="4"/>
  <c r="AC12" i="4"/>
  <c r="AA12" i="4"/>
  <c r="Z12" i="4"/>
  <c r="Y12" i="4"/>
  <c r="X12" i="4"/>
  <c r="W12" i="4"/>
  <c r="V12" i="4"/>
  <c r="U12" i="4"/>
  <c r="AN9" i="4"/>
  <c r="AM9" i="4"/>
  <c r="AL9" i="4"/>
  <c r="AK9" i="4"/>
  <c r="AJ9" i="4"/>
  <c r="AI9" i="4"/>
  <c r="AH9" i="4"/>
  <c r="AG9" i="4"/>
  <c r="AF9" i="4"/>
  <c r="AE9" i="4"/>
  <c r="AD9" i="4"/>
  <c r="AC9" i="4"/>
  <c r="AA9" i="4"/>
  <c r="Z9" i="4"/>
  <c r="Y9" i="4"/>
  <c r="X9" i="4"/>
  <c r="W9" i="4"/>
  <c r="V9" i="4"/>
  <c r="U9" i="4"/>
  <c r="T60" i="16"/>
  <c r="T59" i="16"/>
  <c r="T58" i="16"/>
  <c r="T57" i="16"/>
  <c r="T56" i="16"/>
  <c r="T55" i="16"/>
  <c r="T54" i="16"/>
  <c r="T53" i="16"/>
  <c r="T52" i="16"/>
  <c r="T51" i="16"/>
  <c r="T50" i="16"/>
  <c r="T49" i="16"/>
  <c r="T48" i="16"/>
  <c r="T47" i="16"/>
  <c r="T46" i="16"/>
  <c r="T45" i="16"/>
  <c r="T44" i="16"/>
  <c r="T43" i="16"/>
  <c r="T42" i="16"/>
  <c r="T41" i="16"/>
  <c r="T40" i="16"/>
  <c r="T39" i="16"/>
  <c r="T38" i="16"/>
  <c r="T37" i="16"/>
  <c r="T36" i="16"/>
  <c r="T35" i="16"/>
  <c r="T34" i="16"/>
  <c r="T33" i="16"/>
  <c r="T32" i="16"/>
  <c r="T31" i="16"/>
  <c r="T30" i="16"/>
  <c r="T29" i="16"/>
  <c r="T28" i="16"/>
  <c r="T27" i="16"/>
  <c r="T26" i="16"/>
  <c r="T25" i="16"/>
  <c r="T24" i="16"/>
  <c r="T23" i="16"/>
  <c r="T22" i="16"/>
  <c r="T21" i="16"/>
  <c r="T20"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O9" i="16"/>
  <c r="O8" i="16"/>
  <c r="T61" i="16" l="1"/>
  <c r="L61" i="16"/>
  <c r="N106" i="7"/>
  <c r="N105" i="7"/>
  <c r="N104" i="7"/>
  <c r="N103" i="7"/>
  <c r="N102" i="7"/>
  <c r="N101" i="7"/>
  <c r="N100" i="7"/>
  <c r="N99" i="7"/>
  <c r="N98" i="7"/>
  <c r="N97" i="7"/>
  <c r="N96" i="7"/>
  <c r="N95" i="7"/>
  <c r="N94" i="7"/>
  <c r="N93" i="7"/>
  <c r="N92" i="7"/>
  <c r="N91" i="7"/>
  <c r="N90" i="7"/>
  <c r="N89" i="7"/>
  <c r="N88" i="7"/>
  <c r="N87" i="7"/>
  <c r="N86" i="7"/>
  <c r="N85" i="7"/>
  <c r="N84" i="7"/>
  <c r="N83" i="7"/>
  <c r="N82" i="7"/>
  <c r="N81" i="7"/>
  <c r="N80" i="7"/>
  <c r="N79" i="7"/>
  <c r="N78" i="7"/>
  <c r="N77" i="7"/>
  <c r="N76" i="7"/>
  <c r="N75" i="7"/>
  <c r="N74" i="7"/>
  <c r="N73" i="7"/>
  <c r="N72" i="7"/>
  <c r="N71" i="7"/>
  <c r="N70" i="7"/>
  <c r="N69" i="7"/>
  <c r="N68" i="7"/>
  <c r="N67" i="7"/>
  <c r="N66" i="7"/>
  <c r="G9" i="16"/>
  <c r="G8" i="16"/>
  <c r="V44" i="4"/>
  <c r="S61" i="16"/>
  <c r="R61" i="16"/>
  <c r="Q61" i="16"/>
  <c r="P61" i="16"/>
  <c r="O61" i="16"/>
  <c r="N61" i="16"/>
  <c r="K61" i="16"/>
  <c r="J61" i="16"/>
  <c r="I61" i="16"/>
  <c r="H61" i="16"/>
  <c r="G61" i="16"/>
  <c r="F61" i="16"/>
  <c r="O10" i="16"/>
  <c r="K9" i="16"/>
  <c r="J9" i="16"/>
  <c r="I9" i="16"/>
  <c r="H9" i="16"/>
  <c r="K8" i="16"/>
  <c r="J8" i="16"/>
  <c r="I8" i="16"/>
  <c r="H8" i="16"/>
  <c r="AS20" i="4"/>
  <c r="AR20" i="4"/>
  <c r="AN50" i="4"/>
  <c r="AM50" i="4"/>
  <c r="AL50" i="4"/>
  <c r="AK50" i="4"/>
  <c r="AJ50" i="4"/>
  <c r="AI50" i="4"/>
  <c r="AH50" i="4"/>
  <c r="AG50" i="4"/>
  <c r="AF50" i="4"/>
  <c r="AE50" i="4"/>
  <c r="AD50" i="4"/>
  <c r="AC50" i="4"/>
  <c r="AA50" i="4"/>
  <c r="Z50" i="4"/>
  <c r="Y50" i="4"/>
  <c r="X50" i="4"/>
  <c r="W50" i="4"/>
  <c r="V50" i="4"/>
  <c r="AT55" i="4"/>
  <c r="AT54" i="4"/>
  <c r="AT43" i="4"/>
  <c r="AU27" i="4"/>
  <c r="AU44" i="4"/>
  <c r="AK47" i="4"/>
  <c r="AG46" i="4"/>
  <c r="AT22" i="4"/>
  <c r="AS22" i="4"/>
  <c r="AR22" i="4"/>
  <c r="AT42" i="4"/>
  <c r="N60" i="7"/>
  <c r="N59" i="7"/>
  <c r="N58" i="7"/>
  <c r="N56" i="7"/>
  <c r="N55" i="7"/>
  <c r="N53" i="7"/>
  <c r="N52" i="7"/>
  <c r="N50" i="7"/>
  <c r="N49" i="7"/>
  <c r="N48" i="7"/>
  <c r="N42" i="7"/>
  <c r="N41" i="7"/>
  <c r="N40" i="7"/>
  <c r="N38" i="7"/>
  <c r="N37" i="7"/>
  <c r="N35" i="7"/>
  <c r="N34" i="7"/>
  <c r="N32" i="7"/>
  <c r="N31" i="7"/>
  <c r="N30" i="7"/>
  <c r="AT53" i="4"/>
  <c r="AT52" i="4"/>
  <c r="G8" i="6"/>
  <c r="G7" i="6"/>
  <c r="N24" i="7"/>
  <c r="N23" i="7"/>
  <c r="N22" i="7"/>
  <c r="N20" i="7"/>
  <c r="N19" i="7"/>
  <c r="N17" i="7"/>
  <c r="N16" i="7"/>
  <c r="N14" i="7"/>
  <c r="N13" i="7"/>
  <c r="N12" i="7"/>
  <c r="AD55" i="4" l="1"/>
  <c r="AK55" i="4"/>
  <c r="AL55" i="4"/>
  <c r="V55" i="4"/>
  <c r="AC53" i="4"/>
  <c r="AA55" i="4"/>
  <c r="AD53" i="4"/>
  <c r="V54" i="4"/>
  <c r="AG54" i="4"/>
  <c r="AI53" i="4"/>
  <c r="AJ53" i="4"/>
  <c r="AA52" i="4"/>
  <c r="AL53" i="4"/>
  <c r="Z53" i="4"/>
  <c r="AN53" i="4"/>
  <c r="AJ55" i="4"/>
  <c r="W54" i="4"/>
  <c r="V52" i="4"/>
  <c r="X55" i="4"/>
  <c r="AN54" i="4"/>
  <c r="W53" i="4"/>
  <c r="AL54" i="4"/>
  <c r="W55" i="4"/>
  <c r="AM54" i="4"/>
  <c r="V53" i="4"/>
  <c r="Z55" i="4"/>
  <c r="AG52" i="4"/>
  <c r="AC55" i="4"/>
  <c r="AM52" i="4"/>
  <c r="AH55" i="4"/>
  <c r="AL52" i="4"/>
  <c r="AN52" i="4"/>
  <c r="AI55" i="4"/>
  <c r="H10" i="16"/>
  <c r="H13" i="16" s="1"/>
  <c r="AK42" i="4"/>
  <c r="I10" i="16"/>
  <c r="I13" i="16" s="1"/>
  <c r="Z42" i="4"/>
  <c r="AU52" i="4"/>
  <c r="AU53" i="4"/>
  <c r="AF53" i="4"/>
  <c r="S8" i="16"/>
  <c r="R8" i="16"/>
  <c r="Q8" i="16"/>
  <c r="P8" i="16"/>
  <c r="J10" i="16"/>
  <c r="J13" i="16" s="1"/>
  <c r="P9" i="16"/>
  <c r="Q9" i="16"/>
  <c r="R9" i="16"/>
  <c r="S9" i="16"/>
  <c r="AG43" i="4"/>
  <c r="K10" i="16"/>
  <c r="K13" i="16" s="1"/>
  <c r="AU55" i="4"/>
  <c r="X53" i="4"/>
  <c r="AK53" i="4"/>
  <c r="AM55" i="4"/>
  <c r="AH42" i="4"/>
  <c r="AM42" i="4"/>
  <c r="AA42" i="4"/>
  <c r="AJ42" i="4"/>
  <c r="AL42" i="4"/>
  <c r="AH43" i="4"/>
  <c r="G10" i="16"/>
  <c r="G12" i="16" s="1"/>
  <c r="H12" i="16" s="1"/>
  <c r="AM47" i="4"/>
  <c r="AF44" i="4"/>
  <c r="AL44" i="4"/>
  <c r="V43" i="4"/>
  <c r="AI43" i="4"/>
  <c r="AJ43" i="4"/>
  <c r="AK43" i="4"/>
  <c r="W43" i="4"/>
  <c r="X43" i="4"/>
  <c r="AU20" i="4"/>
  <c r="AN44" i="4"/>
  <c r="AD42" i="4"/>
  <c r="AL43" i="4"/>
  <c r="W44" i="4"/>
  <c r="AE42" i="4"/>
  <c r="AN43" i="4"/>
  <c r="AD47" i="4"/>
  <c r="AD52" i="4"/>
  <c r="AD54" i="4"/>
  <c r="Z46" i="4"/>
  <c r="AM44" i="4"/>
  <c r="Z43" i="4"/>
  <c r="AN42" i="4"/>
  <c r="AH46" i="4"/>
  <c r="X54" i="4"/>
  <c r="AC43" i="4"/>
  <c r="W42" i="4"/>
  <c r="X44" i="4"/>
  <c r="Y52" i="4"/>
  <c r="Y54" i="4"/>
  <c r="AF42" i="4"/>
  <c r="AD43" i="4"/>
  <c r="AD44" i="4"/>
  <c r="AE47" i="4"/>
  <c r="AE52" i="4"/>
  <c r="AE54" i="4"/>
  <c r="AE55" i="4"/>
  <c r="AN55" i="4"/>
  <c r="Y42" i="4"/>
  <c r="Y44" i="4"/>
  <c r="Z52" i="4"/>
  <c r="Z54" i="4"/>
  <c r="AG42" i="4"/>
  <c r="AF43" i="4"/>
  <c r="AE44" i="4"/>
  <c r="AL47" i="4"/>
  <c r="AF52" i="4"/>
  <c r="AH53" i="4"/>
  <c r="AF54" i="4"/>
  <c r="AF55" i="4"/>
  <c r="V42" i="4"/>
  <c r="Z44" i="4"/>
  <c r="X47" i="4"/>
  <c r="AC46" i="4"/>
  <c r="AK46" i="4"/>
  <c r="AG47" i="4"/>
  <c r="V46" i="4"/>
  <c r="AA44" i="4"/>
  <c r="Y47" i="4"/>
  <c r="AA54" i="4"/>
  <c r="AH44" i="4"/>
  <c r="AD46" i="4"/>
  <c r="AL46" i="4"/>
  <c r="AH47" i="4"/>
  <c r="AH52" i="4"/>
  <c r="AH54" i="4"/>
  <c r="V47" i="4"/>
  <c r="Y43" i="4"/>
  <c r="W46" i="4"/>
  <c r="Z47" i="4"/>
  <c r="Y53" i="4"/>
  <c r="AI42" i="4"/>
  <c r="AE43" i="4"/>
  <c r="AM43" i="4"/>
  <c r="AI44" i="4"/>
  <c r="AE46" i="4"/>
  <c r="AM46" i="4"/>
  <c r="AI47" i="4"/>
  <c r="AI52" i="4"/>
  <c r="AE53" i="4"/>
  <c r="AM53" i="4"/>
  <c r="AI54" i="4"/>
  <c r="AA46" i="4"/>
  <c r="AI46" i="4"/>
  <c r="W47" i="4"/>
  <c r="AJ46" i="4"/>
  <c r="AF47" i="4"/>
  <c r="AG44" i="4"/>
  <c r="AA47" i="4"/>
  <c r="AF46" i="4"/>
  <c r="AJ47" i="4"/>
  <c r="AN47" i="4"/>
  <c r="X46" i="4"/>
  <c r="W52" i="4"/>
  <c r="AJ44" i="4"/>
  <c r="AN46" i="4"/>
  <c r="AJ52" i="4"/>
  <c r="AJ54" i="4"/>
  <c r="X42" i="4"/>
  <c r="AA43" i="4"/>
  <c r="Y46" i="4"/>
  <c r="X52" i="4"/>
  <c r="AA53" i="4"/>
  <c r="Y55" i="4"/>
  <c r="AC42" i="4"/>
  <c r="AC44" i="4"/>
  <c r="AK44" i="4"/>
  <c r="AC47" i="4"/>
  <c r="AC52" i="4"/>
  <c r="AK52" i="4"/>
  <c r="AG53" i="4"/>
  <c r="AC54" i="4"/>
  <c r="AK54" i="4"/>
  <c r="AG55" i="4"/>
  <c r="AU54" i="4"/>
  <c r="AU22" i="4"/>
  <c r="AR54" i="4" l="1"/>
  <c r="AV53" i="4"/>
  <c r="AR55" i="4"/>
  <c r="AS55" i="4"/>
  <c r="AS54" i="4"/>
  <c r="AV20" i="4"/>
  <c r="AV52" i="4"/>
  <c r="AR52" i="4"/>
  <c r="AV55" i="4"/>
  <c r="P10" i="16"/>
  <c r="AS53" i="4"/>
  <c r="AS52" i="4"/>
  <c r="AR53" i="4"/>
  <c r="AV22" i="4"/>
  <c r="AV54" i="4"/>
  <c r="Q10" i="16" l="1"/>
  <c r="AT25" i="4"/>
  <c r="AS25" i="4"/>
  <c r="AR25" i="4"/>
  <c r="F44" i="4"/>
  <c r="F43" i="4"/>
  <c r="F27" i="4"/>
  <c r="F34" i="4"/>
  <c r="E27" i="4"/>
  <c r="D27" i="4"/>
  <c r="R10" i="16" l="1"/>
  <c r="AU25" i="4"/>
  <c r="AS50" i="4"/>
  <c r="AR50" i="4"/>
  <c r="S10" i="16" l="1"/>
  <c r="AV25" i="4"/>
  <c r="AV50" i="4"/>
  <c r="F47" i="4" l="1"/>
  <c r="E47" i="4"/>
  <c r="D47" i="4"/>
  <c r="F46" i="4"/>
  <c r="E46" i="4"/>
  <c r="D46" i="4"/>
  <c r="E44" i="4"/>
  <c r="D44" i="4"/>
  <c r="E43" i="4"/>
  <c r="D43" i="4"/>
  <c r="E42" i="4"/>
  <c r="D42" i="4"/>
  <c r="C47" i="4"/>
  <c r="C46" i="4"/>
  <c r="C45" i="4"/>
  <c r="C44" i="4"/>
  <c r="C43" i="4"/>
  <c r="C42" i="4"/>
  <c r="C41" i="4"/>
  <c r="AT60" i="4"/>
  <c r="AS60" i="4"/>
  <c r="AR60" i="4"/>
  <c r="AT61" i="4"/>
  <c r="AS61" i="4"/>
  <c r="AR61" i="4"/>
  <c r="AU47" i="4"/>
  <c r="AS47" i="4"/>
  <c r="AR47" i="4"/>
  <c r="AS46" i="4"/>
  <c r="AR46" i="4"/>
  <c r="AS44" i="4"/>
  <c r="AR44" i="4"/>
  <c r="AU43" i="4"/>
  <c r="AS43" i="4"/>
  <c r="AR43" i="4"/>
  <c r="AU42" i="4"/>
  <c r="AS42" i="4"/>
  <c r="AR42" i="4"/>
  <c r="AT33" i="4"/>
  <c r="AS33" i="4"/>
  <c r="AR33" i="4"/>
  <c r="AT26" i="4"/>
  <c r="AS26" i="4"/>
  <c r="AR26" i="4"/>
  <c r="AT24" i="4"/>
  <c r="AS24" i="4"/>
  <c r="AR24" i="4"/>
  <c r="AT14" i="4"/>
  <c r="AS14" i="4"/>
  <c r="AR14" i="4"/>
  <c r="AT13" i="4"/>
  <c r="AS13" i="4"/>
  <c r="AR13" i="4"/>
  <c r="AT12" i="4"/>
  <c r="AS12" i="4"/>
  <c r="AR12" i="4"/>
  <c r="AU60" i="4" l="1"/>
  <c r="AU14" i="4"/>
  <c r="AU26" i="4"/>
  <c r="AU12" i="4"/>
  <c r="AV42" i="4"/>
  <c r="AU33" i="4"/>
  <c r="AU24" i="4"/>
  <c r="AU61" i="4"/>
  <c r="AV43" i="4"/>
  <c r="AV47" i="4"/>
  <c r="AU46" i="4"/>
  <c r="AU13" i="4"/>
  <c r="AV33" i="4" l="1"/>
  <c r="AV14" i="4"/>
  <c r="AV60" i="4"/>
  <c r="AV24" i="4"/>
  <c r="AV26" i="4"/>
  <c r="AV12" i="4"/>
  <c r="AV44" i="4"/>
  <c r="AV61" i="4"/>
  <c r="AV46" i="4"/>
  <c r="AV13" i="4"/>
  <c r="H34" i="3" l="1"/>
  <c r="G34" i="3"/>
  <c r="F34" i="3"/>
  <c r="E34" i="3"/>
  <c r="L10" i="5"/>
  <c r="H19" i="3" s="1"/>
  <c r="K10" i="5"/>
  <c r="G19" i="3" s="1"/>
  <c r="J10" i="5"/>
  <c r="F19" i="3" s="1"/>
  <c r="I10" i="5"/>
  <c r="E19" i="3" s="1"/>
  <c r="H81" i="5"/>
  <c r="I81" i="5"/>
  <c r="J81" i="5"/>
  <c r="K81" i="5"/>
  <c r="L81" i="5"/>
  <c r="H82" i="5"/>
  <c r="I82" i="5"/>
  <c r="J82" i="5"/>
  <c r="K82" i="5"/>
  <c r="L82" i="5"/>
  <c r="H83" i="5"/>
  <c r="I83" i="5"/>
  <c r="J83" i="5"/>
  <c r="K83" i="5"/>
  <c r="L83" i="5"/>
  <c r="H84" i="5"/>
  <c r="I84" i="5"/>
  <c r="J84" i="5"/>
  <c r="K84" i="5"/>
  <c r="L84" i="5"/>
  <c r="H85" i="5"/>
  <c r="I85" i="5"/>
  <c r="J85" i="5"/>
  <c r="K85" i="5"/>
  <c r="L85" i="5"/>
  <c r="H86" i="5"/>
  <c r="I86" i="5"/>
  <c r="J86" i="5"/>
  <c r="K86" i="5"/>
  <c r="L86" i="5"/>
  <c r="H87" i="5"/>
  <c r="I87" i="5"/>
  <c r="J87" i="5"/>
  <c r="K87" i="5"/>
  <c r="L87" i="5"/>
  <c r="H88" i="5"/>
  <c r="I88" i="5"/>
  <c r="J88" i="5"/>
  <c r="K88" i="5"/>
  <c r="L88" i="5"/>
  <c r="H89" i="5"/>
  <c r="I89" i="5"/>
  <c r="J89" i="5"/>
  <c r="K89" i="5"/>
  <c r="L89" i="5"/>
  <c r="H90" i="5"/>
  <c r="I90" i="5"/>
  <c r="J90" i="5"/>
  <c r="K90" i="5"/>
  <c r="L90" i="5"/>
  <c r="H91" i="5"/>
  <c r="I91" i="5"/>
  <c r="J91" i="5"/>
  <c r="K91" i="5"/>
  <c r="L91" i="5"/>
  <c r="H80" i="5"/>
  <c r="AT62" i="4"/>
  <c r="AS62" i="4"/>
  <c r="AR62" i="4"/>
  <c r="AT59" i="4"/>
  <c r="AS59" i="4"/>
  <c r="AR59" i="4"/>
  <c r="AT51" i="4"/>
  <c r="AT49" i="4"/>
  <c r="AT40" i="4"/>
  <c r="AU37" i="4"/>
  <c r="AS37" i="4"/>
  <c r="AR37" i="4"/>
  <c r="AU36" i="4"/>
  <c r="AS36" i="4"/>
  <c r="AR36" i="4"/>
  <c r="AT34" i="4"/>
  <c r="AS34" i="4"/>
  <c r="AR34" i="4"/>
  <c r="AT32" i="4"/>
  <c r="AS32" i="4"/>
  <c r="AR32" i="4"/>
  <c r="AT30" i="4"/>
  <c r="AS30" i="4"/>
  <c r="AR30" i="4"/>
  <c r="AS27" i="4"/>
  <c r="AR27" i="4"/>
  <c r="AT23" i="4"/>
  <c r="AS23" i="4"/>
  <c r="AR23" i="4"/>
  <c r="AT21" i="4"/>
  <c r="AS21" i="4"/>
  <c r="AR21" i="4"/>
  <c r="AT19" i="4"/>
  <c r="AS19" i="4"/>
  <c r="AR19" i="4"/>
  <c r="AT16" i="4"/>
  <c r="AS16" i="4"/>
  <c r="AR16" i="4"/>
  <c r="AT15" i="4"/>
  <c r="AS15" i="4"/>
  <c r="AR15" i="4"/>
  <c r="AT9" i="4"/>
  <c r="AS9" i="4"/>
  <c r="AR9" i="4"/>
  <c r="AU32" i="4" l="1"/>
  <c r="AU16" i="4"/>
  <c r="AU21" i="4"/>
  <c r="AU9" i="4"/>
  <c r="AG51" i="4"/>
  <c r="AN51" i="4"/>
  <c r="AF51" i="4"/>
  <c r="W51" i="4"/>
  <c r="AH51" i="4"/>
  <c r="V51" i="4"/>
  <c r="AJ51" i="4"/>
  <c r="AI51" i="4"/>
  <c r="AM51" i="4"/>
  <c r="AE51" i="4"/>
  <c r="AA51" i="4"/>
  <c r="AL51" i="4"/>
  <c r="AD51" i="4"/>
  <c r="Z51" i="4"/>
  <c r="AK51" i="4"/>
  <c r="AC51" i="4"/>
  <c r="Y51" i="4"/>
  <c r="X51" i="4"/>
  <c r="AU40" i="4"/>
  <c r="AH40" i="4"/>
  <c r="Y40" i="4"/>
  <c r="X40" i="4"/>
  <c r="AI40" i="4"/>
  <c r="AG40" i="4"/>
  <c r="AK40" i="4"/>
  <c r="AC40" i="4"/>
  <c r="AJ40" i="4"/>
  <c r="AA40" i="4"/>
  <c r="Z40" i="4"/>
  <c r="AN40" i="4"/>
  <c r="AF40" i="4"/>
  <c r="W40" i="4"/>
  <c r="AM40" i="4"/>
  <c r="AE40" i="4"/>
  <c r="V40" i="4"/>
  <c r="AL40" i="4"/>
  <c r="AD40" i="4"/>
  <c r="AU49" i="4"/>
  <c r="AG49" i="4"/>
  <c r="W49" i="4"/>
  <c r="AN49" i="4"/>
  <c r="AF49" i="4"/>
  <c r="V49" i="4"/>
  <c r="AC49" i="4"/>
  <c r="Z49" i="4"/>
  <c r="AT56" i="4"/>
  <c r="AJ49" i="4"/>
  <c r="AI49" i="4"/>
  <c r="AH49" i="4"/>
  <c r="AM49" i="4"/>
  <c r="AE49" i="4"/>
  <c r="AL49" i="4"/>
  <c r="AD49" i="4"/>
  <c r="AK49" i="4"/>
  <c r="AA49" i="4"/>
  <c r="Y49" i="4"/>
  <c r="X49" i="4"/>
  <c r="H79" i="5"/>
  <c r="K104" i="5"/>
  <c r="J104" i="5"/>
  <c r="H78" i="5"/>
  <c r="D32" i="3" s="1"/>
  <c r="L104" i="5"/>
  <c r="I79" i="5"/>
  <c r="L79" i="5"/>
  <c r="J79" i="5"/>
  <c r="K79" i="5"/>
  <c r="H104" i="5"/>
  <c r="D34" i="3" s="1"/>
  <c r="I34" i="3" s="1"/>
  <c r="I104" i="5"/>
  <c r="AU23" i="4"/>
  <c r="AU30" i="4"/>
  <c r="AU51" i="4"/>
  <c r="AU62" i="4"/>
  <c r="AU59" i="4"/>
  <c r="AV37" i="4"/>
  <c r="AV36" i="4"/>
  <c r="AU34" i="4"/>
  <c r="AU19" i="4"/>
  <c r="AU15" i="4"/>
  <c r="AV32" i="4" l="1"/>
  <c r="AV16" i="4"/>
  <c r="AV21" i="4"/>
  <c r="AR51" i="4"/>
  <c r="AV62" i="4"/>
  <c r="AV30" i="4"/>
  <c r="AV49" i="4"/>
  <c r="AV40" i="4"/>
  <c r="AV9" i="4"/>
  <c r="AS49" i="4"/>
  <c r="AR49" i="4"/>
  <c r="AS40" i="4"/>
  <c r="AR40" i="4"/>
  <c r="AK56" i="4"/>
  <c r="AC56" i="4"/>
  <c r="AJ56" i="4"/>
  <c r="AD56" i="4"/>
  <c r="AA56" i="4"/>
  <c r="AN56" i="4"/>
  <c r="AF56" i="4"/>
  <c r="AM56" i="4"/>
  <c r="AE56" i="4"/>
  <c r="AI56" i="4"/>
  <c r="Z56" i="4"/>
  <c r="V56" i="4"/>
  <c r="AH56" i="4"/>
  <c r="Y56" i="4"/>
  <c r="AG56" i="4"/>
  <c r="X56" i="4"/>
  <c r="W56" i="4"/>
  <c r="AL56" i="4"/>
  <c r="AU56" i="4"/>
  <c r="AS51" i="4"/>
  <c r="AV23" i="4"/>
  <c r="AV27" i="4"/>
  <c r="AV51" i="4"/>
  <c r="AV59" i="4"/>
  <c r="AV34" i="4"/>
  <c r="AV19" i="4"/>
  <c r="AV15" i="4"/>
  <c r="AR56" i="4" l="1"/>
  <c r="AS56" i="4"/>
  <c r="AV56" i="4"/>
  <c r="P58" i="4" l="1"/>
  <c r="N109" i="7" l="1"/>
  <c r="D28" i="3" s="1"/>
  <c r="E28" i="3" s="1"/>
  <c r="F28" i="3" s="1"/>
  <c r="G28" i="3" s="1"/>
  <c r="H28" i="3" s="1"/>
  <c r="C33" i="3" l="1"/>
  <c r="C32" i="3"/>
  <c r="C31" i="3"/>
  <c r="C22" i="3"/>
  <c r="C21" i="3"/>
  <c r="C20" i="3"/>
  <c r="C19" i="3"/>
  <c r="C18" i="3"/>
  <c r="L80" i="5" l="1"/>
  <c r="L78" i="5" s="1"/>
  <c r="K80" i="5"/>
  <c r="K78" i="5" s="1"/>
  <c r="J80" i="5"/>
  <c r="J78" i="5" s="1"/>
  <c r="I80" i="5"/>
  <c r="I78" i="5" s="1"/>
  <c r="H32" i="3" l="1"/>
  <c r="G32" i="3"/>
  <c r="E32" i="3"/>
  <c r="F32" i="3"/>
  <c r="P39" i="4"/>
  <c r="P29" i="4"/>
  <c r="P18" i="4"/>
  <c r="P11" i="4"/>
  <c r="P8" i="4"/>
  <c r="Q7" i="4"/>
  <c r="I28" i="3"/>
  <c r="Q58" i="4" l="1"/>
  <c r="R7" i="4"/>
  <c r="R29" i="4" s="1"/>
  <c r="I32" i="3"/>
  <c r="Q8" i="4"/>
  <c r="Q11" i="4"/>
  <c r="Q39" i="4"/>
  <c r="Q18" i="4"/>
  <c r="Q29" i="4"/>
  <c r="R58" i="4" l="1"/>
  <c r="R8" i="4"/>
  <c r="R11" i="4"/>
  <c r="S7" i="4"/>
  <c r="S29" i="4" s="1"/>
  <c r="R18" i="4"/>
  <c r="R39" i="4"/>
  <c r="S11" i="4" l="1"/>
  <c r="T7" i="4"/>
  <c r="T8" i="4" s="1"/>
  <c r="S58" i="4"/>
  <c r="S8" i="4"/>
  <c r="S39" i="4"/>
  <c r="S18" i="4"/>
  <c r="T11" i="4" l="1"/>
  <c r="T18" i="4"/>
  <c r="T29" i="4"/>
  <c r="U7" i="4"/>
  <c r="U29" i="4" s="1"/>
  <c r="T39" i="4"/>
  <c r="T58" i="4"/>
  <c r="U58" i="4" l="1"/>
  <c r="V7" i="4"/>
  <c r="V8" i="4" s="1"/>
  <c r="U39" i="4"/>
  <c r="U8" i="4"/>
  <c r="U11" i="4"/>
  <c r="U18" i="4"/>
  <c r="W7" i="4" l="1"/>
  <c r="W58" i="4" s="1"/>
  <c r="V11" i="4"/>
  <c r="V18" i="4"/>
  <c r="V29" i="4"/>
  <c r="V39" i="4"/>
  <c r="V58" i="4"/>
  <c r="W8" i="4" l="1"/>
  <c r="W11" i="4"/>
  <c r="W29" i="4"/>
  <c r="X7" i="4"/>
  <c r="Y7" i="4" s="1"/>
  <c r="W18" i="4"/>
  <c r="W39" i="4"/>
  <c r="X8" i="4" l="1"/>
  <c r="X11" i="4"/>
  <c r="X39" i="4"/>
  <c r="X58" i="4"/>
  <c r="X18" i="4"/>
  <c r="X29" i="4"/>
  <c r="Y58" i="4"/>
  <c r="Y39" i="4"/>
  <c r="Z7" i="4"/>
  <c r="Y18" i="4"/>
  <c r="Y11" i="4"/>
  <c r="Y29" i="4"/>
  <c r="Y8" i="4"/>
  <c r="Z58" i="4" l="1"/>
  <c r="Z39" i="4"/>
  <c r="AA7" i="4"/>
  <c r="Z8" i="4"/>
  <c r="Z29" i="4"/>
  <c r="Z18" i="4"/>
  <c r="Z11" i="4"/>
  <c r="AA58" i="4" l="1"/>
  <c r="AA39" i="4"/>
  <c r="AC7" i="4"/>
  <c r="AA18" i="4"/>
  <c r="AA11" i="4"/>
  <c r="AA29" i="4"/>
  <c r="AA8" i="4"/>
  <c r="AC58" i="4" l="1"/>
  <c r="AC39" i="4"/>
  <c r="AD7" i="4"/>
  <c r="AC29" i="4"/>
  <c r="AC18" i="4"/>
  <c r="AC11" i="4"/>
  <c r="AC8" i="4"/>
  <c r="AD58" i="4" l="1"/>
  <c r="AD39" i="4"/>
  <c r="AE7" i="4"/>
  <c r="AD29" i="4"/>
  <c r="AD18" i="4"/>
  <c r="AD11" i="4"/>
  <c r="AD8" i="4"/>
  <c r="AE58" i="4" l="1"/>
  <c r="AE39" i="4"/>
  <c r="AF7" i="4"/>
  <c r="AE29" i="4"/>
  <c r="AE18" i="4"/>
  <c r="AE11" i="4"/>
  <c r="AE8" i="4"/>
  <c r="AF58" i="4" l="1"/>
  <c r="AF39" i="4"/>
  <c r="AG7" i="4"/>
  <c r="AF29" i="4"/>
  <c r="AF18" i="4"/>
  <c r="AF11" i="4"/>
  <c r="AF8" i="4"/>
  <c r="AG58" i="4" l="1"/>
  <c r="AG39" i="4"/>
  <c r="AH7" i="4"/>
  <c r="AG29" i="4"/>
  <c r="AG18" i="4"/>
  <c r="AG11" i="4"/>
  <c r="AG8" i="4"/>
  <c r="AH58" i="4" l="1"/>
  <c r="AH39" i="4"/>
  <c r="AI7" i="4"/>
  <c r="AH29" i="4"/>
  <c r="AH11" i="4"/>
  <c r="AH8" i="4"/>
  <c r="AH18" i="4"/>
  <c r="AI58" i="4" l="1"/>
  <c r="AI39" i="4"/>
  <c r="AJ7" i="4"/>
  <c r="AI18" i="4"/>
  <c r="AI11" i="4"/>
  <c r="AI29" i="4"/>
  <c r="AI8" i="4"/>
  <c r="AJ58" i="4" l="1"/>
  <c r="AJ39" i="4"/>
  <c r="AK7" i="4"/>
  <c r="AJ18" i="4"/>
  <c r="AJ8" i="4"/>
  <c r="AJ29" i="4"/>
  <c r="AJ11" i="4"/>
  <c r="AK58" i="4" l="1"/>
  <c r="AK39" i="4"/>
  <c r="AL7" i="4"/>
  <c r="AK29" i="4"/>
  <c r="AK18" i="4"/>
  <c r="AK11" i="4"/>
  <c r="AK8" i="4"/>
  <c r="AL58" i="4" l="1"/>
  <c r="AL39" i="4"/>
  <c r="AM7" i="4"/>
  <c r="AL29" i="4"/>
  <c r="AL18" i="4"/>
  <c r="AL11" i="4"/>
  <c r="AL8" i="4"/>
  <c r="AM58" i="4" l="1"/>
  <c r="AM39" i="4"/>
  <c r="AN7" i="4"/>
  <c r="AM29" i="4"/>
  <c r="AM18" i="4"/>
  <c r="AM11" i="4"/>
  <c r="AM8" i="4"/>
  <c r="AN58" i="4" l="1"/>
  <c r="AN39" i="4"/>
  <c r="AN29" i="4"/>
  <c r="AN18" i="4"/>
  <c r="AN11" i="4"/>
  <c r="AN8" i="4"/>
  <c r="H75" i="5" l="1"/>
  <c r="I75" i="5" l="1"/>
  <c r="L75" i="5"/>
  <c r="K75" i="5"/>
  <c r="J75" i="5" l="1"/>
  <c r="Q63" i="16" l="1" a="1"/>
  <c r="Q63" i="16" s="1"/>
  <c r="O63" i="16" a="1"/>
  <c r="O63" i="16" s="1"/>
  <c r="S63" i="16" a="1"/>
  <c r="S63" i="16" s="1"/>
  <c r="N63" i="16" a="1"/>
  <c r="N63" i="16" s="1"/>
  <c r="R63" i="16" a="1"/>
  <c r="R63" i="16" s="1"/>
  <c r="P63" i="16" a="1"/>
  <c r="P63" i="16" s="1"/>
  <c r="S64" i="16" l="1"/>
  <c r="J63" i="16" a="1"/>
  <c r="J63" i="16" s="1"/>
  <c r="G63" i="16" a="1"/>
  <c r="G63" i="16" s="1"/>
  <c r="F63" i="16" a="1"/>
  <c r="F63" i="16" s="1"/>
  <c r="I63" i="16" a="1"/>
  <c r="I63" i="16" s="1"/>
  <c r="K63" i="16" a="1"/>
  <c r="K63" i="16" s="1"/>
  <c r="H63" i="16" a="1"/>
  <c r="H63" i="16" s="1"/>
  <c r="K64" i="16" l="1"/>
  <c r="H10" i="5" l="1"/>
  <c r="D19" i="3" s="1"/>
  <c r="J93" i="5"/>
  <c r="F33" i="3" s="1"/>
  <c r="I93" i="5"/>
  <c r="E33" i="3" s="1"/>
  <c r="L93" i="5"/>
  <c r="H33" i="3" s="1"/>
  <c r="K93" i="5"/>
  <c r="G33" i="3" s="1"/>
  <c r="H93" i="5"/>
  <c r="D33" i="3" s="1"/>
  <c r="I33" i="3" l="1"/>
  <c r="I19" i="3"/>
  <c r="J9" i="5" l="1"/>
  <c r="F23" i="3" s="1"/>
  <c r="K9" i="5" l="1"/>
  <c r="G23" i="3" s="1"/>
  <c r="I9" i="5"/>
  <c r="E23" i="3" s="1"/>
  <c r="AX16" i="4" l="1"/>
  <c r="AX20" i="4"/>
  <c r="AX15" i="4" l="1"/>
  <c r="AX13" i="4"/>
  <c r="AX62" i="4"/>
  <c r="AX12" i="4"/>
  <c r="AX24" i="4"/>
  <c r="AX56" i="4"/>
  <c r="AX22" i="4"/>
  <c r="H51" i="5"/>
  <c r="D22" i="3" s="1"/>
  <c r="I51" i="5"/>
  <c r="E22" i="3" s="1"/>
  <c r="L9" i="5"/>
  <c r="H23" i="3" s="1"/>
  <c r="AY16" i="4"/>
  <c r="AY20" i="4"/>
  <c r="AY15" i="4"/>
  <c r="I24" i="5"/>
  <c r="AY13" i="4"/>
  <c r="H24" i="5"/>
  <c r="AX14" i="4"/>
  <c r="D20" i="3" l="1"/>
  <c r="AX11" i="4"/>
  <c r="AX7" i="4"/>
  <c r="D14" i="3" s="1"/>
  <c r="AX19" i="4"/>
  <c r="E20" i="3"/>
  <c r="AX55" i="4"/>
  <c r="AX21" i="4"/>
  <c r="AX54" i="4"/>
  <c r="AY14" i="4"/>
  <c r="AY7" i="4" s="1"/>
  <c r="E14" i="3" s="1"/>
  <c r="H9" i="5"/>
  <c r="D23" i="3" s="1"/>
  <c r="I23" i="3" s="1"/>
  <c r="AX50" i="4"/>
  <c r="AX59" i="4"/>
  <c r="AY55" i="4"/>
  <c r="AX25" i="4"/>
  <c r="D7" i="17"/>
  <c r="AX61" i="4"/>
  <c r="C7" i="17"/>
  <c r="AZ15" i="4"/>
  <c r="AX26" i="4"/>
  <c r="AX49" i="4"/>
  <c r="AY56" i="4"/>
  <c r="AX53" i="4"/>
  <c r="AX51" i="4"/>
  <c r="AY54" i="4"/>
  <c r="AX30" i="4"/>
  <c r="AZ16" i="4"/>
  <c r="AX40" i="4"/>
  <c r="AX52" i="4"/>
  <c r="J51" i="5"/>
  <c r="F22" i="3" s="1"/>
  <c r="AX23" i="4"/>
  <c r="AY22" i="4"/>
  <c r="AX60" i="4"/>
  <c r="AZ13" i="4"/>
  <c r="AY21" i="4"/>
  <c r="H45" i="5"/>
  <c r="D21" i="3" s="1"/>
  <c r="AY19" i="4"/>
  <c r="AY24" i="4"/>
  <c r="AY12" i="4"/>
  <c r="AY11" i="4" s="1"/>
  <c r="E8" i="3" s="1"/>
  <c r="H76" i="5" l="1"/>
  <c r="I47" i="4"/>
  <c r="AX47" i="4" s="1"/>
  <c r="AX37" i="4"/>
  <c r="AY32" i="4"/>
  <c r="J42" i="4"/>
  <c r="AY42" i="4" s="1"/>
  <c r="I43" i="4"/>
  <c r="AX43" i="4" s="1"/>
  <c r="AX33" i="4"/>
  <c r="I45" i="5"/>
  <c r="AY33" i="4"/>
  <c r="J43" i="4"/>
  <c r="AY43" i="4" s="1"/>
  <c r="I27" i="4"/>
  <c r="AX27" i="4" s="1"/>
  <c r="AX18" i="4" s="1"/>
  <c r="AX34" i="4"/>
  <c r="I44" i="4"/>
  <c r="AX44" i="4" s="1"/>
  <c r="H8" i="5"/>
  <c r="AX36" i="4"/>
  <c r="I46" i="4"/>
  <c r="AX46" i="4" s="1"/>
  <c r="D24" i="3"/>
  <c r="AX58" i="4"/>
  <c r="I42" i="4"/>
  <c r="AX42" i="4" s="1"/>
  <c r="AX32" i="4"/>
  <c r="D8" i="3"/>
  <c r="AY62" i="4"/>
  <c r="AZ21" i="4"/>
  <c r="BB13" i="4"/>
  <c r="BA13" i="4"/>
  <c r="AY49" i="4"/>
  <c r="BB15" i="4"/>
  <c r="BA15" i="4"/>
  <c r="BD15" i="4" s="1"/>
  <c r="J24" i="5"/>
  <c r="AZ12" i="4"/>
  <c r="AZ11" i="4" s="1"/>
  <c r="F8" i="3" s="1"/>
  <c r="AY61" i="4"/>
  <c r="AY25" i="4"/>
  <c r="AY59" i="4"/>
  <c r="AY30" i="4"/>
  <c r="AY51" i="4"/>
  <c r="BB20" i="4"/>
  <c r="BA20" i="4"/>
  <c r="AZ56" i="4"/>
  <c r="AZ24" i="4"/>
  <c r="AY60" i="4"/>
  <c r="AZ54" i="4"/>
  <c r="AZ20" i="4"/>
  <c r="L51" i="5"/>
  <c r="H22" i="3" s="1"/>
  <c r="K51" i="5"/>
  <c r="G22" i="3" s="1"/>
  <c r="AZ62" i="4"/>
  <c r="AZ19" i="4"/>
  <c r="AY23" i="4"/>
  <c r="AY52" i="4"/>
  <c r="AX9" i="4"/>
  <c r="AY26" i="4"/>
  <c r="AY40" i="4"/>
  <c r="AY53" i="4"/>
  <c r="AZ55" i="4"/>
  <c r="AY50" i="4"/>
  <c r="BB16" i="4"/>
  <c r="K24" i="5"/>
  <c r="L24" i="5"/>
  <c r="AX29" i="4" l="1"/>
  <c r="I22" i="3"/>
  <c r="H69" i="5"/>
  <c r="H70" i="5"/>
  <c r="D13" i="3"/>
  <c r="BD20" i="4"/>
  <c r="AZ32" i="4"/>
  <c r="K42" i="4"/>
  <c r="AZ42" i="4" s="1"/>
  <c r="G20" i="3"/>
  <c r="AY34" i="4"/>
  <c r="J27" i="4"/>
  <c r="AY27" i="4" s="1"/>
  <c r="AY18" i="4" s="1"/>
  <c r="E9" i="3" s="1"/>
  <c r="J44" i="4"/>
  <c r="AY44" i="4" s="1"/>
  <c r="AY37" i="4"/>
  <c r="J47" i="4"/>
  <c r="AY47" i="4" s="1"/>
  <c r="I76" i="5"/>
  <c r="H73" i="5"/>
  <c r="H74" i="5"/>
  <c r="D9" i="3"/>
  <c r="D11" i="3"/>
  <c r="J46" i="4"/>
  <c r="AY46" i="4" s="1"/>
  <c r="AY36" i="4"/>
  <c r="E21" i="3"/>
  <c r="I8" i="5"/>
  <c r="AX39" i="4"/>
  <c r="H20" i="3"/>
  <c r="H71" i="5"/>
  <c r="AY58" i="4"/>
  <c r="E13" i="3" s="1"/>
  <c r="F20" i="3"/>
  <c r="AX8" i="4"/>
  <c r="BD13" i="4"/>
  <c r="AZ51" i="4"/>
  <c r="BB54" i="4"/>
  <c r="BB56" i="4"/>
  <c r="BA56" i="4"/>
  <c r="G7" i="17"/>
  <c r="AZ40" i="4"/>
  <c r="AZ14" i="4"/>
  <c r="AZ7" i="4" s="1"/>
  <c r="F14" i="3" s="1"/>
  <c r="AZ52" i="4"/>
  <c r="BB24" i="4"/>
  <c r="AZ30" i="4"/>
  <c r="AZ59" i="4"/>
  <c r="BB14" i="4"/>
  <c r="BB7" i="4" s="1"/>
  <c r="H14" i="3" s="1"/>
  <c r="BA14" i="4"/>
  <c r="AZ23" i="4"/>
  <c r="BB19" i="4"/>
  <c r="BA19" i="4"/>
  <c r="AZ22" i="4"/>
  <c r="AZ60" i="4"/>
  <c r="BB12" i="4"/>
  <c r="BB11" i="4" s="1"/>
  <c r="H8" i="3" s="1"/>
  <c r="BA16" i="4"/>
  <c r="BD16" i="4" s="1"/>
  <c r="BB22" i="4"/>
  <c r="BA22" i="4"/>
  <c r="AZ61" i="4"/>
  <c r="BB62" i="4"/>
  <c r="BA62" i="4"/>
  <c r="BB21" i="4"/>
  <c r="BB55" i="4"/>
  <c r="AZ53" i="4"/>
  <c r="AZ25" i="4"/>
  <c r="BA7" i="4" l="1"/>
  <c r="G14" i="3" s="1"/>
  <c r="AY39" i="4"/>
  <c r="E12" i="3" s="1"/>
  <c r="BD14" i="4"/>
  <c r="BD56" i="4"/>
  <c r="AY29" i="4"/>
  <c r="E11" i="3" s="1"/>
  <c r="I14" i="3"/>
  <c r="AZ34" i="4"/>
  <c r="K27" i="4"/>
  <c r="AZ27" i="4" s="1"/>
  <c r="K44" i="4"/>
  <c r="AZ44" i="4" s="1"/>
  <c r="E7" i="17"/>
  <c r="E24" i="3"/>
  <c r="I74" i="5"/>
  <c r="J76" i="5"/>
  <c r="K45" i="5"/>
  <c r="BD22" i="4"/>
  <c r="K46" i="4"/>
  <c r="AZ46" i="4" s="1"/>
  <c r="AZ36" i="4"/>
  <c r="D12" i="3"/>
  <c r="M42" i="4"/>
  <c r="BB42" i="4" s="1"/>
  <c r="BB32" i="4"/>
  <c r="BA33" i="4"/>
  <c r="L43" i="4"/>
  <c r="BA43" i="4" s="1"/>
  <c r="L45" i="5"/>
  <c r="BD19" i="4"/>
  <c r="AZ58" i="4"/>
  <c r="F13" i="3" s="1"/>
  <c r="I73" i="5"/>
  <c r="I20" i="3"/>
  <c r="BB33" i="4"/>
  <c r="M43" i="4"/>
  <c r="BB43" i="4" s="1"/>
  <c r="H72" i="5"/>
  <c r="H67" i="5" s="1"/>
  <c r="D31" i="3" s="1"/>
  <c r="AX5" i="4"/>
  <c r="D7" i="3"/>
  <c r="I70" i="5"/>
  <c r="BD62" i="4"/>
  <c r="J45" i="5"/>
  <c r="I71" i="5"/>
  <c r="I69" i="5"/>
  <c r="AZ33" i="4"/>
  <c r="K43" i="4"/>
  <c r="AZ43" i="4" s="1"/>
  <c r="H5" i="17"/>
  <c r="BB51" i="4"/>
  <c r="AZ49" i="4"/>
  <c r="BB50" i="4"/>
  <c r="BA50" i="4"/>
  <c r="BB49" i="4"/>
  <c r="BA49" i="4"/>
  <c r="BA55" i="4"/>
  <c r="BD55" i="4" s="1"/>
  <c r="AZ50" i="4"/>
  <c r="BB60" i="4"/>
  <c r="AY9" i="4"/>
  <c r="BB53" i="4"/>
  <c r="BA53" i="4"/>
  <c r="BB59" i="4"/>
  <c r="BB52" i="4"/>
  <c r="BA52" i="4"/>
  <c r="BD52" i="4" s="1"/>
  <c r="BA24" i="4"/>
  <c r="BD24" i="4" s="1"/>
  <c r="BB25" i="4"/>
  <c r="BA25" i="4"/>
  <c r="AZ26" i="4"/>
  <c r="BB61" i="4"/>
  <c r="BA12" i="4"/>
  <c r="BB30" i="4"/>
  <c r="BB40" i="4"/>
  <c r="BA21" i="4"/>
  <c r="BD21" i="4" s="1"/>
  <c r="BB26" i="4"/>
  <c r="BA26" i="4"/>
  <c r="BB23" i="4"/>
  <c r="BA54" i="4"/>
  <c r="BD54" i="4" s="1"/>
  <c r="BD53" i="4" l="1"/>
  <c r="BD43" i="4"/>
  <c r="AZ18" i="4"/>
  <c r="F9" i="3" s="1"/>
  <c r="BD50" i="4"/>
  <c r="BD25" i="4"/>
  <c r="D35" i="3"/>
  <c r="J71" i="5"/>
  <c r="G21" i="3"/>
  <c r="G24" i="3" s="1"/>
  <c r="K8" i="5"/>
  <c r="L42" i="4"/>
  <c r="BA42" i="4" s="1"/>
  <c r="BD42" i="4" s="1"/>
  <c r="BA32" i="4"/>
  <c r="BD32" i="4" s="1"/>
  <c r="H7" i="17"/>
  <c r="L47" i="4"/>
  <c r="BA47" i="4" s="1"/>
  <c r="BA37" i="4"/>
  <c r="BD49" i="4"/>
  <c r="F21" i="3"/>
  <c r="J8" i="5"/>
  <c r="F7" i="17"/>
  <c r="L76" i="5"/>
  <c r="K76" i="5"/>
  <c r="BB37" i="4"/>
  <c r="M47" i="4"/>
  <c r="BB47" i="4" s="1"/>
  <c r="L27" i="4"/>
  <c r="BA27" i="4" s="1"/>
  <c r="BA34" i="4"/>
  <c r="L44" i="4"/>
  <c r="BA44" i="4" s="1"/>
  <c r="BD26" i="4"/>
  <c r="BA11" i="4"/>
  <c r="BD12" i="4"/>
  <c r="BB58" i="4"/>
  <c r="H13" i="3" s="1"/>
  <c r="BB34" i="4"/>
  <c r="M44" i="4"/>
  <c r="BB44" i="4" s="1"/>
  <c r="M27" i="4"/>
  <c r="BB27" i="4" s="1"/>
  <c r="BB18" i="4" s="1"/>
  <c r="H9" i="3" s="1"/>
  <c r="BD33" i="4"/>
  <c r="J69" i="5"/>
  <c r="J70" i="5"/>
  <c r="J74" i="5"/>
  <c r="AY8" i="4"/>
  <c r="K47" i="4"/>
  <c r="AZ47" i="4" s="1"/>
  <c r="AZ39" i="4" s="1"/>
  <c r="AZ37" i="4"/>
  <c r="AZ29" i="4" s="1"/>
  <c r="L34" i="6"/>
  <c r="G26" i="3" s="1"/>
  <c r="M34" i="6"/>
  <c r="H26" i="3" s="1"/>
  <c r="K34" i="6"/>
  <c r="F26" i="3" s="1"/>
  <c r="J34" i="6"/>
  <c r="E26" i="3" s="1"/>
  <c r="I72" i="5"/>
  <c r="I67" i="5" s="1"/>
  <c r="E31" i="3" s="1"/>
  <c r="E35" i="3" s="1"/>
  <c r="J73" i="5"/>
  <c r="BB36" i="4"/>
  <c r="M46" i="4"/>
  <c r="BB46" i="4" s="1"/>
  <c r="H21" i="3"/>
  <c r="H24" i="3" s="1"/>
  <c r="L8" i="5"/>
  <c r="BA30" i="4"/>
  <c r="AZ9" i="4"/>
  <c r="AZ8" i="4" s="1"/>
  <c r="BA59" i="4"/>
  <c r="BA60" i="4"/>
  <c r="BD60" i="4" s="1"/>
  <c r="BA23" i="4"/>
  <c r="BD23" i="4" s="1"/>
  <c r="BA51" i="4"/>
  <c r="BD51" i="4" s="1"/>
  <c r="BA40" i="4"/>
  <c r="BA61" i="4"/>
  <c r="BD61" i="4" s="1"/>
  <c r="BD27" i="4" l="1"/>
  <c r="BB29" i="4"/>
  <c r="H11" i="3" s="1"/>
  <c r="BD44" i="4"/>
  <c r="BD34" i="4"/>
  <c r="BD37" i="4"/>
  <c r="BD47" i="4"/>
  <c r="F11" i="3"/>
  <c r="BD40" i="4"/>
  <c r="L69" i="5"/>
  <c r="K69" i="5"/>
  <c r="G8" i="3"/>
  <c r="I8" i="3" s="1"/>
  <c r="BD11" i="4"/>
  <c r="AY5" i="4"/>
  <c r="E7" i="3"/>
  <c r="L74" i="5"/>
  <c r="K74" i="5"/>
  <c r="BB39" i="4"/>
  <c r="H12" i="3" s="1"/>
  <c r="L71" i="5"/>
  <c r="K71" i="5"/>
  <c r="L46" i="4"/>
  <c r="BA46" i="4" s="1"/>
  <c r="BA39" i="4" s="1"/>
  <c r="BA36" i="4"/>
  <c r="BD36" i="4" s="1"/>
  <c r="F7" i="3"/>
  <c r="AZ5" i="4"/>
  <c r="L73" i="5"/>
  <c r="K73" i="5"/>
  <c r="BD30" i="4"/>
  <c r="BA18" i="4"/>
  <c r="J72" i="5"/>
  <c r="J67" i="5" s="1"/>
  <c r="F31" i="3" s="1"/>
  <c r="F12" i="3"/>
  <c r="F24" i="3"/>
  <c r="I24" i="3" s="1"/>
  <c r="I21" i="3"/>
  <c r="BA58" i="4"/>
  <c r="BD59" i="4"/>
  <c r="L70" i="5"/>
  <c r="K70" i="5"/>
  <c r="BA9" i="4"/>
  <c r="BA8" i="4" s="1"/>
  <c r="BB9" i="4"/>
  <c r="BB8" i="4" s="1"/>
  <c r="BA29" i="4" l="1"/>
  <c r="G11" i="3" s="1"/>
  <c r="I11" i="3" s="1"/>
  <c r="F35" i="3"/>
  <c r="G12" i="3"/>
  <c r="I12" i="3" s="1"/>
  <c r="BD39" i="4"/>
  <c r="G9" i="3"/>
  <c r="I9" i="3" s="1"/>
  <c r="BD18" i="4"/>
  <c r="BD46" i="4"/>
  <c r="H7" i="3"/>
  <c r="BB5" i="4"/>
  <c r="G7" i="3"/>
  <c r="BA5" i="4"/>
  <c r="BD9" i="4"/>
  <c r="BD8" i="4"/>
  <c r="G13" i="3"/>
  <c r="I13" i="3" s="1"/>
  <c r="BD58" i="4"/>
  <c r="L72" i="5"/>
  <c r="L67" i="5" s="1"/>
  <c r="H31" i="3" s="1"/>
  <c r="H35" i="3" s="1"/>
  <c r="K72" i="5"/>
  <c r="K67" i="5" s="1"/>
  <c r="G31" i="3" s="1"/>
  <c r="I7" i="3" l="1"/>
  <c r="BD29" i="4"/>
  <c r="G35" i="3"/>
  <c r="I31" i="3"/>
  <c r="BD5" i="4"/>
  <c r="BD3" i="4"/>
  <c r="I35" i="3"/>
  <c r="Q12" i="16" l="1"/>
  <c r="O12" i="16"/>
  <c r="P12" i="16"/>
  <c r="R12" i="16"/>
  <c r="S12" i="16"/>
  <c r="BD2" i="4"/>
  <c r="S13" i="16" l="1"/>
  <c r="Q79" i="16" l="1"/>
  <c r="I34" i="6" l="1"/>
  <c r="O79" i="16" l="1"/>
  <c r="P79" i="16"/>
  <c r="S79" i="16"/>
  <c r="D26" i="3"/>
  <c r="I26" i="3" s="1"/>
  <c r="R79" i="16"/>
  <c r="S80" i="16" s="1"/>
  <c r="I86" i="16" l="1"/>
  <c r="F10" i="3" s="1"/>
  <c r="F15" i="3" s="1"/>
  <c r="F39" i="3" s="1"/>
  <c r="F40" i="3" s="1"/>
  <c r="K86" i="16"/>
  <c r="H10" i="3" s="1"/>
  <c r="H15" i="3" s="1"/>
  <c r="H39" i="3" s="1"/>
  <c r="H40" i="3" s="1"/>
  <c r="J86" i="16"/>
  <c r="G10" i="3" s="1"/>
  <c r="G15" i="3" s="1"/>
  <c r="G39" i="3" s="1"/>
  <c r="G40" i="3" s="1"/>
  <c r="H86" i="16"/>
  <c r="E10" i="3" s="1"/>
  <c r="E15" i="3" s="1"/>
  <c r="E39" i="3" s="1"/>
  <c r="E40" i="3" s="1"/>
  <c r="G86" i="16"/>
  <c r="D10" i="3" s="1"/>
  <c r="I10" i="3" l="1"/>
  <c r="D15" i="3"/>
  <c r="D39" i="3" s="1"/>
  <c r="I39" i="3" l="1"/>
  <c r="D40" i="3"/>
  <c r="I15" i="3"/>
  <c r="I40" i="3"/>
  <c r="I17"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<sst xmlns="http://schemas.openxmlformats.org/spreadsheetml/2006/main" count="2137" uniqueCount="649">
  <si>
    <t>Schedule 5.A (Pricing Sheet) – introduction</t>
  </si>
  <si>
    <t>This document lists Pricing for the items set out.</t>
  </si>
  <si>
    <t>Worksheet</t>
  </si>
  <si>
    <t>Description</t>
  </si>
  <si>
    <t>Charges</t>
  </si>
  <si>
    <t>Summary</t>
  </si>
  <si>
    <t>Overview of the Charges prognosed</t>
  </si>
  <si>
    <t>Total</t>
  </si>
  <si>
    <t>Monthly Recurring Charges</t>
  </si>
  <si>
    <t>Prices that are repetitive, often based on measured volumes</t>
  </si>
  <si>
    <t>MRC</t>
  </si>
  <si>
    <t>RU info</t>
  </si>
  <si>
    <t>Resource Unit measurement and baseline bands</t>
  </si>
  <si>
    <t>RU mapping</t>
  </si>
  <si>
    <t>Show which sections of which service description are covered under which resource units – note that documents other than the referenced service descriptions also contain obligations.</t>
  </si>
  <si>
    <t>Devices</t>
  </si>
  <si>
    <t>Local pricing for laptops, desktops, and printers</t>
  </si>
  <si>
    <t>One-time Charges</t>
  </si>
  <si>
    <t>Prices that are paid once for every execution of an item</t>
  </si>
  <si>
    <t>OTC</t>
  </si>
  <si>
    <t>Service Requests</t>
  </si>
  <si>
    <t>One-time Charges for selected standard changes</t>
  </si>
  <si>
    <t>Demand Requests</t>
  </si>
  <si>
    <t>Hourly Rates for Projects and other work</t>
  </si>
  <si>
    <t>Attachment to the:</t>
  </si>
  <si>
    <t>Schedule 5 (Service Pricing)</t>
  </si>
  <si>
    <t>of the:</t>
  </si>
  <si>
    <t>Technology Services</t>
  </si>
  <si>
    <t>between:</t>
  </si>
  <si>
    <t>Koninklijke Douwe Egberts B.V.</t>
  </si>
  <si>
    <t>and:</t>
  </si>
  <si>
    <t>Classification:</t>
  </si>
  <si>
    <t>Confidential Information</t>
  </si>
  <si>
    <t>Schedule 5.A (Pricing Sheet) – Summary</t>
  </si>
  <si>
    <t>Area</t>
  </si>
  <si>
    <t>Year 01</t>
  </si>
  <si>
    <t>Year 02</t>
  </si>
  <si>
    <t>Year 03</t>
  </si>
  <si>
    <t>Year 04</t>
  </si>
  <si>
    <t>Year 05</t>
  </si>
  <si>
    <t>Remarks</t>
  </si>
  <si>
    <t>Service Integration and Management (SIAM)</t>
  </si>
  <si>
    <t>Service Desk Services (SDS)</t>
  </si>
  <si>
    <t>Workplace Services (WPS)</t>
  </si>
  <si>
    <t>Cloud and Infrastructure Services (CIS)</t>
  </si>
  <si>
    <t>Operational Technology Services (OTS)</t>
  </si>
  <si>
    <t>Security Services (SEC)</t>
  </si>
  <si>
    <t>Options</t>
  </si>
  <si>
    <t>Subtotal</t>
  </si>
  <si>
    <t>at estimated volume</t>
  </si>
  <si>
    <t>Exit</t>
  </si>
  <si>
    <t>Excluded from total</t>
  </si>
  <si>
    <t>Last year of Term included in total</t>
  </si>
  <si>
    <t>Total Agreement Value</t>
  </si>
  <si>
    <t>At forecasted Baseline Quantities</t>
  </si>
  <si>
    <t>Without Options</t>
  </si>
  <si>
    <t>Total = Recurring Charges + these One-time Charges: 
• Transition and Transformation
• Service Requests
• Demand Requests
• Remaining value Sole-use Assets
• Exit Assistance</t>
  </si>
  <si>
    <t>Schedule 5.A (Pricing Sheet) – Monthly Recurring Charges (MRC)</t>
  </si>
  <si>
    <t>Interim Services Unit Price Adjustment</t>
  </si>
  <si>
    <t>Operational Services Domain</t>
  </si>
  <si>
    <t>€</t>
  </si>
  <si>
    <t>Monthly Unit Price</t>
  </si>
  <si>
    <t>#</t>
  </si>
  <si>
    <t>Baseline Quantity forecast</t>
  </si>
  <si>
    <t>Service Start Date (month # after Agreement Start Date)</t>
  </si>
  <si>
    <t>Forecasted Charges</t>
  </si>
  <si>
    <t>Service Component</t>
  </si>
  <si>
    <t>Year 01 month</t>
  </si>
  <si>
    <t>Year 02 month</t>
  </si>
  <si>
    <t>Y1+Y2 are averages, may show ramp-up</t>
  </si>
  <si>
    <t>Resource Unit</t>
  </si>
  <si>
    <t>Invoicing</t>
  </si>
  <si>
    <t>Baseline band</t>
  </si>
  <si>
    <t>Option</t>
  </si>
  <si>
    <t>Current</t>
  </si>
  <si>
    <t>Data source (indicative only, to be validated during Transition)'</t>
  </si>
  <si>
    <t>Total of Options</t>
  </si>
  <si>
    <t>Domain totals exclude Options</t>
  </si>
  <si>
    <t>Service Integration and Management</t>
  </si>
  <si>
    <t>Fixed monthly</t>
  </si>
  <si>
    <t>central</t>
  </si>
  <si>
    <t>n/a</t>
  </si>
  <si>
    <t>Baseline band: +/- 2 Service Providers in Attachment 3.B3.L (Integrated Service Providers)</t>
  </si>
  <si>
    <t>Standard</t>
  </si>
  <si>
    <t>User</t>
  </si>
  <si>
    <t>normal</t>
  </si>
  <si>
    <t>Users in a country that may have a local-language add-on are counted too</t>
  </si>
  <si>
    <t>Users File: Account Type "User" + "Generic"</t>
  </si>
  <si>
    <t>Brazilian Portuguese</t>
  </si>
  <si>
    <t>local</t>
  </si>
  <si>
    <t>Baseline band measured on number of Users in Brazil: 2050</t>
  </si>
  <si>
    <t>Users File: Country "Brazil", Account Type "User"</t>
  </si>
  <si>
    <t>German</t>
  </si>
  <si>
    <t>Baseline band measured on number of Users in Germany: 1515</t>
  </si>
  <si>
    <t>Users File: Country "Germany", Account Type "User"</t>
  </si>
  <si>
    <t>French</t>
  </si>
  <si>
    <t>Baseline band measured on number of Users in France: 872</t>
  </si>
  <si>
    <t>Users File: Country "France", Account Type "User"</t>
  </si>
  <si>
    <t>Mandarin</t>
  </si>
  <si>
    <t>Baseline band measured on number of Users in China: 213</t>
  </si>
  <si>
    <t>Users File: Country "China", Account Type "User"</t>
  </si>
  <si>
    <t>Managed PC</t>
  </si>
  <si>
    <t>PC device</t>
  </si>
  <si>
    <t>For OpEx ( DaaS) + CapEx (Non-DaaS) PCs</t>
  </si>
  <si>
    <t>Device CMDB File: Total device count</t>
  </si>
  <si>
    <t>Uplift on 'Managed PC' for ReadyTech kiosk</t>
  </si>
  <si>
    <t>wide</t>
  </si>
  <si>
    <t>Company Smartphone and Company Tablet</t>
  </si>
  <si>
    <t>Mobile Device</t>
  </si>
  <si>
    <t>Baseline band is for Company Smartphone + Company Tablet + Managed Mobile</t>
  </si>
  <si>
    <t>October Factory Tables Invoice from Accenture</t>
  </si>
  <si>
    <t>Managed Mobile</t>
  </si>
  <si>
    <t xml:space="preserve">InTune File: minus factory tablet volume from Accenture invoicing. </t>
  </si>
  <si>
    <t>Microsoft 365 full usage</t>
  </si>
  <si>
    <t>Users File: O365 License Type "Enterprise"</t>
  </si>
  <si>
    <t>Microsoft 365 light usage</t>
  </si>
  <si>
    <t>Users File: O365 License Type "Firstline"</t>
  </si>
  <si>
    <t>Teams meeting room platform management</t>
  </si>
  <si>
    <t>Azure Virtual Desktop</t>
  </si>
  <si>
    <t>Workspace/Host Pool</t>
  </si>
  <si>
    <t>CIS Managed OS for On-site 'Office in a Box’ server</t>
  </si>
  <si>
    <t>Server CMDB file: Server Function "EUS", Hosting Location "On Prem"</t>
  </si>
  <si>
    <t>Cloud Center of Excellence – IT part</t>
  </si>
  <si>
    <t>Workload management</t>
  </si>
  <si>
    <t xml:space="preserve"> </t>
  </si>
  <si>
    <t>Managed database non-PaaS</t>
  </si>
  <si>
    <t>Database Instance</t>
  </si>
  <si>
    <t>Baseline band is for all database instances combined</t>
  </si>
  <si>
    <t>Database CMDB File: Infra Type "blank"</t>
  </si>
  <si>
    <t>Managed operating system (OS) – in Azure</t>
  </si>
  <si>
    <t>OS instance</t>
  </si>
  <si>
    <t>Managed operating system (OS) – on premises</t>
  </si>
  <si>
    <t>On-premises server</t>
  </si>
  <si>
    <t>On-premises server – Service Management</t>
  </si>
  <si>
    <t>Physical Server</t>
  </si>
  <si>
    <t>Baseline band is for all Physical Servers combined</t>
  </si>
  <si>
    <t>On-premises server – Hardware Maintenance</t>
  </si>
  <si>
    <t>Music3 rollout assumed complete as of 1st of October 2025</t>
  </si>
  <si>
    <t>Cloud Center of Excellence – OT part</t>
  </si>
  <si>
    <t>common for OTS workloads: Yr3 forecast based on MUSIC3: +15 assumed based on OT app servers listed in Managed operationing System (OS) - on premises.</t>
  </si>
  <si>
    <t xml:space="preserve">Database CMDB File: Infra type "OT"
Music3 is an ongoing OT Cyber Security project. The changes in volumes + &amp; - will be introduced in phases between now and the end of September 2025 which is the current planned completion date of the project. </t>
  </si>
  <si>
    <t>OT-specific Services</t>
  </si>
  <si>
    <t>Factory OT services</t>
  </si>
  <si>
    <t>Factory</t>
  </si>
  <si>
    <t xml:space="preserve">1 AD per factory in MUSIC3 scope. </t>
  </si>
  <si>
    <t>Claroty OT security</t>
  </si>
  <si>
    <t>Sensor</t>
  </si>
  <si>
    <t>Server CMDB File: Server Function "MUOTMON"</t>
  </si>
  <si>
    <t>Remote Access</t>
  </si>
  <si>
    <t>Public Key Infrastructure</t>
  </si>
  <si>
    <t>Endpoint Protection Services</t>
  </si>
  <si>
    <t>Security Integration Services – OT part</t>
  </si>
  <si>
    <t>Security Operation Center – OT part</t>
  </si>
  <si>
    <t>Backup and Recovery for non-Supplier-managed systems</t>
  </si>
  <si>
    <t>Approximately 20 engineering stations per factory</t>
  </si>
  <si>
    <t>Security Integration Services – IT part</t>
  </si>
  <si>
    <t>Security Operation Center – IT part</t>
  </si>
  <si>
    <t>Vulnerability Management Services</t>
  </si>
  <si>
    <t>April</t>
  </si>
  <si>
    <t>May</t>
  </si>
  <si>
    <t>June</t>
  </si>
  <si>
    <t>July</t>
  </si>
  <si>
    <t>August</t>
  </si>
  <si>
    <t>September</t>
  </si>
  <si>
    <t>October</t>
  </si>
  <si>
    <t>November</t>
  </si>
  <si>
    <t>December</t>
  </si>
  <si>
    <t>January</t>
  </si>
  <si>
    <t>February</t>
  </si>
  <si>
    <t>March</t>
  </si>
  <si>
    <t>Schedule 5.A (Pricing Sheet) – Resource Unit information</t>
  </si>
  <si>
    <t>Default Unit measurements for Monthly Recurring Charges</t>
  </si>
  <si>
    <t>The following common definitions apply to describe default (standard) Units and Unit measurements as used in the Unit Price section below. Each Unit is measured as set out in Schedule 5.B (Charges) for that month, based on information in Customer’s ITSM Tooling – which may originate from other systems.</t>
  </si>
  <si>
    <t>Unit Measurement</t>
  </si>
  <si>
    <t>Definition of measuring</t>
  </si>
  <si>
    <t>Single Price for a complete or part of a Service Component, including any underpinning Service Components.</t>
  </si>
  <si>
    <t>The number of Users ('named') which:
• are Personnel, excluding Personnel of Supplier and Supplier Third Parties
• are authorized to use the respective Service (such as SDS or AVD), and
• are active in Customer's authoritative source ('lastSignInDateTime' is in the last 60 Days).
Authorization is maintained in the user account directory and synchronized with the ITSM Tooling where it is reported from.</t>
  </si>
  <si>
    <t>A personal computer class of device that:
• runs an agreed workplace operating system, and 
• is assigned to one or more Users, and
• is in the ‘Monitor and Service’ stage set out in Schedule 3.B3 (Asset Lifecycle Services) – meaning for example not being provisioned, in stock, or retired.</t>
  </si>
  <si>
    <t>A smartphone or tablet computer class of device that:
• runs an agreed operating system for the mobile world, such as Apple iOS, iPadOS, or Google Android (variations), and 
• is assigned to one or more Users, and
• is in the ‘Monitor and Service’ stage set out in Schedule 3.B3 (Asset Lifecycle Services) – meaning for example not being provisioned, in stock, or retired.</t>
  </si>
  <si>
    <t>Meeting room</t>
  </si>
  <si>
    <t>A physical room at a Customer Location with the required audiovisual equipment active in Customer's Microsoft Teams environment.</t>
  </si>
  <si>
    <t>Is an independent, functional, physical compute host:
• physically located in a Customer Location (on-premises), and is typically used to run one or more virtual OS instances, and
• is in the ‘Monitor and Service’ stage set out in Schedule 3.B2 (Asset Lifecycle Responsibilities).
This number is measured and reported using the IT Service Management Tool</t>
  </si>
  <si>
    <t xml:space="preserve">The number of databases instances (this includes all databases of the instance). This number is measured and reported using the ITSM Tooling, based on input from for example the public cloud ‘update manager / subscriptions / tagging’ in. One counted database instance can ‘serve’ one or more Applications, and vice versa one Application can ‘use’ one or more databases.
For the avoidance of doubt: Platform-as-a-Service (PaaS, using NIST definition) databases are not counted as databases. </t>
  </si>
  <si>
    <t>The number of Operating Systems (OS)
• are running ('started') or defined ('allocated'), and
• which run (any version of) the operating systems agreed.
This information is maintained in the cloud provider's management system and the ITSM Tooling, and synchronized with the ITSM Tooling where it is reported from.</t>
  </si>
  <si>
    <t>Means a Customer Location with production facilities where the provisioning of this Service is Accepted</t>
  </si>
  <si>
    <t xml:space="preserve">Sensor </t>
  </si>
  <si>
    <t>Means the number of active Claroty sensors, as measured in the console(s) and reported from the ITSM Tooling.</t>
  </si>
  <si>
    <t>Endpoint</t>
  </si>
  <si>
    <t>Protected endpoints in scope of Endpoint Protection or Vulnerability Management, such as laptops, smartphones, servers, or any other connected devices, as measured in the respective tool and reported from the ITSM Tooling.</t>
  </si>
  <si>
    <t>Workspace</t>
  </si>
  <si>
    <t>A workspace in Azure Virtual Desktop is a logical grouping of application groups. Each application group must be associated with a workspace for users to see the desktops and applications published to them, as measured in the AVD service and reported from the ITSM Tooling.</t>
  </si>
  <si>
    <t>Default Baseline bands</t>
  </si>
  <si>
    <t>Baseline band tolerance are set at …</t>
  </si>
  <si>
    <t>Normal</t>
  </si>
  <si>
    <t>25% above and below the total of all Baselines for this Service component</t>
  </si>
  <si>
    <t>Wide</t>
  </si>
  <si>
    <t>100% above and below the total of all Baselines for this Service component</t>
  </si>
  <si>
    <t>Not applicable, or N/A</t>
  </si>
  <si>
    <t>not applicable, meaning the Price is valid at any volume</t>
  </si>
  <si>
    <t>Schedule 5.A (Pricing Sheet) – Resource Unit Mapping to Service Descriptions</t>
  </si>
  <si>
    <t>This worksheet creates a direct link between Resource Units and the Service descriptions of Schedule 3 Operational Services. Other obligations from other Agreement documents are not affected.</t>
  </si>
  <si>
    <t>It is indicative only, as It only aims to increase understanding of the relation between the documents and pricing, without being complete (i.e. obligations in the documents take precedence).</t>
  </si>
  <si>
    <t>Service Domain – Document – Chapter – Section</t>
  </si>
  <si>
    <t>Schedule 3.B1 (Service Description and Responsibilities)</t>
  </si>
  <si>
    <t>x</t>
  </si>
  <si>
    <t>Schedule 3.B2 (Asset Lifecycle Responsibilities)</t>
  </si>
  <si>
    <t>3.3 Network connections</t>
  </si>
  <si>
    <t>3.4 Underpinning Assets</t>
  </si>
  <si>
    <t>Schedule 3.B3 (Service Integration and Management)</t>
  </si>
  <si>
    <t>1 Introduction</t>
  </si>
  <si>
    <t/>
  </si>
  <si>
    <t>1.1 Context</t>
  </si>
  <si>
    <t>2 Service portfolio catalogue components</t>
  </si>
  <si>
    <t>3 Service Responsibilities</t>
  </si>
  <si>
    <t>3.1 Service Integration and Management</t>
  </si>
  <si>
    <t>3.2 Coordinated performance</t>
  </si>
  <si>
    <t>3.3 Responsibility to escalate</t>
  </si>
  <si>
    <t>3.4 Operational Level Agreements</t>
  </si>
  <si>
    <t>3.5 Progress monitoring and management</t>
  </si>
  <si>
    <t>4 Service Outcomes</t>
  </si>
  <si>
    <t>5 Reporting</t>
  </si>
  <si>
    <t>Schedule 3.B5 (Service Desk Services)</t>
  </si>
  <si>
    <t>3.1 Responsibility assignment matrixes</t>
  </si>
  <si>
    <t>3.2 Service Desk</t>
  </si>
  <si>
    <t>Managed Computer</t>
  </si>
  <si>
    <t xml:space="preserve"> Teams certified equipment</t>
  </si>
  <si>
    <t>3.1 Hardware</t>
  </si>
  <si>
    <t>3.1.1 Personal Computers (PCs)</t>
  </si>
  <si>
    <t>For OpEx + CapEx devices</t>
  </si>
  <si>
    <t>3.1.2 Smartphones and tablets – Company Smartphone and Tablet</t>
  </si>
  <si>
    <t>3.1.2 Smartphones and tablets – Managed mobile</t>
  </si>
  <si>
    <t>3.1.3 Other Hardware – Meeting room Hardware</t>
  </si>
  <si>
    <t>3.2 Software – User Software</t>
  </si>
  <si>
    <t>Schedule 3.B6 (Workplace Services)</t>
  </si>
  <si>
    <t>2 Service Portfolio Catalogue items</t>
  </si>
  <si>
    <t>3.2 Software Distribution and Application Packaging</t>
  </si>
  <si>
    <t>3.3 Profile Management</t>
  </si>
  <si>
    <t>4.1 Collaboration platform management</t>
  </si>
  <si>
    <t>4.1.1 Microsoft  Services</t>
  </si>
  <si>
    <t>4.1.2 Productivity suite</t>
  </si>
  <si>
    <t>4.1.3 Email filtering</t>
  </si>
  <si>
    <t>4.2 Viva Engage</t>
  </si>
  <si>
    <t>4.3 Infrastructure Services</t>
  </si>
  <si>
    <t>4.3.1 File service</t>
  </si>
  <si>
    <t>4.3.2 Printing management</t>
  </si>
  <si>
    <t>For CapEx + OpEx devices</t>
  </si>
  <si>
    <t>4.3.3 DNS, DHCP, IPAM and NTP (DDI)</t>
  </si>
  <si>
    <t>4.3.4 Secure access network - VPN</t>
  </si>
  <si>
    <t>4.3.5 Entra Application Proxy</t>
  </si>
  <si>
    <t>4.3.6 Hardware and Software Asset management</t>
  </si>
  <si>
    <t>4.3.7 RADIUS generic directory service</t>
  </si>
  <si>
    <t>4.4 Identity and Access Management</t>
  </si>
  <si>
    <t>4.4.1 Source feed from authoritative system</t>
  </si>
  <si>
    <t>4.4.2 Active Directory</t>
  </si>
  <si>
    <t>4.4.3 Cloud and Federated Identity Management</t>
  </si>
  <si>
    <t>4.4.4 Self-service password reset (SSPR)</t>
  </si>
  <si>
    <t>4.4.5 Conditional Access</t>
  </si>
  <si>
    <t>4.4.6 Public Key Infrastructure</t>
  </si>
  <si>
    <t>4.4.7 Identity and Access Management Responsibilities</t>
  </si>
  <si>
    <t>4.5 Workplace management</t>
  </si>
  <si>
    <t>4.5.1 Common for endpoint management</t>
  </si>
  <si>
    <t>4.5.2 Windows management</t>
  </si>
  <si>
    <t>4.5.3 Mobile device management</t>
  </si>
  <si>
    <t>4.5.4 Bring Your Own (BYO)</t>
  </si>
  <si>
    <t>4.5.5 Microsoft Teams certified equipment</t>
  </si>
  <si>
    <t>4.5.6 Endpoint protection</t>
  </si>
  <si>
    <t>4.5.7 Software packaging</t>
  </si>
  <si>
    <t>4.5.8 Managed PC Software</t>
  </si>
  <si>
    <t>4.5.9 Managed OS for On-site 'Office in a Box’ workplace servers</t>
  </si>
  <si>
    <t>See also Schedule 3.B7 (Cloud and Infrastructure Services)</t>
  </si>
  <si>
    <t>4.5.10 Remote app and/or desktop</t>
  </si>
  <si>
    <t>Note: Hardware maintenance is set out in Schedule 3.B2 (Asset Lifecycle Responsibilities)</t>
  </si>
  <si>
    <t>3.2 Software – Application Software</t>
  </si>
  <si>
    <t>3.4 Underpinning Assets – Cloud</t>
  </si>
  <si>
    <t>3.4 Underpinning Assets – On-premises Server</t>
  </si>
  <si>
    <t>3.4 Underpinning Assets – Underpinning Software</t>
  </si>
  <si>
    <t>3.4 Underpinning Assets – Underpinning Back-end</t>
  </si>
  <si>
    <t>Schedule 3.B7 (Cloud and Infrastructure Services)</t>
  </si>
  <si>
    <t>3.2 Cloud Center of Excellence (CCoE)</t>
  </si>
  <si>
    <t>3.3 CCoE responsibilities for workload management</t>
  </si>
  <si>
    <t>3.3.1 General IT Operations Management</t>
  </si>
  <si>
    <t>3.3.2 System Administration</t>
  </si>
  <si>
    <t>3.3.3 Storage and Data Management</t>
  </si>
  <si>
    <t>3.3.4 Backup and Recovery</t>
  </si>
  <si>
    <t>3.3.5 Database Management</t>
  </si>
  <si>
    <t>3.3.6 Hardware and Software Asset management</t>
  </si>
  <si>
    <t>3.4 Database Management</t>
  </si>
  <si>
    <t>4.3 Azure platform functionality</t>
  </si>
  <si>
    <t>4.3.1 Managed Virtual Machine Scale Set</t>
  </si>
  <si>
    <t>4.3.2 Managed Application Gateway, Front Door, and WAF</t>
  </si>
  <si>
    <t>4.3.3 Managed Private DNS Zones</t>
  </si>
  <si>
    <t>4.3.4 Managed Storage Accounts</t>
  </si>
  <si>
    <t>4.3.5 Managed AI, Machine Learning, and Cognitive Services</t>
  </si>
  <si>
    <t>4.3.6 Managed Azure App Services, Logic Apps, and Azure Functions</t>
  </si>
  <si>
    <t>4.3.7 Managed Key Vaults</t>
  </si>
  <si>
    <t>4.3.8 Managed Containers</t>
  </si>
  <si>
    <t>4.3.9 Managed Azure API Management</t>
  </si>
  <si>
    <t>4.3.10 Managed Messaging and Eventing Services</t>
  </si>
  <si>
    <t>4.3.11 Bastion management stations (RDP and SSH)</t>
  </si>
  <si>
    <t>4.4 Managed database</t>
  </si>
  <si>
    <t>4.5 Managed operating system (OS)</t>
  </si>
  <si>
    <t>4.5.1 Managed OS Windows</t>
  </si>
  <si>
    <t>4.5.1.1 Managed File Transfer</t>
  </si>
  <si>
    <t>4.5.2 Managed OS Linux</t>
  </si>
  <si>
    <t>4.6 On-premises server and storage Service Management</t>
  </si>
  <si>
    <t>Backup and Recovery</t>
  </si>
  <si>
    <t>Schedule 3.B8 (Operational Technology Services)</t>
  </si>
  <si>
    <t>1.2 Responsibility assignment matrixes</t>
  </si>
  <si>
    <t>2 Service Portfolio Catalogue components</t>
  </si>
  <si>
    <t>3 Re-used Workplace Services</t>
  </si>
  <si>
    <t>3.1 WPS – Infrastructure Services</t>
  </si>
  <si>
    <t>3.1.1 File service</t>
  </si>
  <si>
    <t>3.1.2 Printing management</t>
  </si>
  <si>
    <t>3.1.3 DNS, DHCP, IPAM and NTP (DDI)</t>
  </si>
  <si>
    <t>3.1.4 Secure access network – VPN</t>
  </si>
  <si>
    <t>3.1.5 Entra Application Proxy</t>
  </si>
  <si>
    <t>3.1.6 Hardware and Software Asset management</t>
  </si>
  <si>
    <t>3.1.7 RADIUS generic directory service</t>
  </si>
  <si>
    <t>3.2 WPS – Identity and Access Management</t>
  </si>
  <si>
    <t>3.2.1 Source feed from authoritative system</t>
  </si>
  <si>
    <t>3.2.2 Active Directory</t>
  </si>
  <si>
    <t>3.2.3 Cloud and Federated Identity Management</t>
  </si>
  <si>
    <t>3.2.4 Self-service password reset (SSPR)</t>
  </si>
  <si>
    <t>3.2.5 Conditional Access (Multi-factor Authentication)</t>
  </si>
  <si>
    <t>3.2.6 Public Key Infrastructure</t>
  </si>
  <si>
    <t>3.2.7 Identity and Access Management Responsibilities</t>
  </si>
  <si>
    <t>4 Re-used Cloud and Infrastructure Services (CIS)</t>
  </si>
  <si>
    <t>4.1 CIS  – Cloud Center of Excellence</t>
  </si>
  <si>
    <t>4.2 CCoE responsibilities for workload management</t>
  </si>
  <si>
    <t>4.2.1 General IT Operations Management</t>
  </si>
  <si>
    <t>4.2.2 System Administration</t>
  </si>
  <si>
    <t>4.2.3 Storage and Data Management</t>
  </si>
  <si>
    <t>4.2.4 Backup and Recovery</t>
  </si>
  <si>
    <t>4.2.5 Database Management</t>
  </si>
  <si>
    <t>4.2.6 Hardware and Software Asset management</t>
  </si>
  <si>
    <t>4.3 CIS – Managed database</t>
  </si>
  <si>
    <t>4.4 CIS – Managed Operating Systems</t>
  </si>
  <si>
    <t>4.5 CIS – On-premises server and storage Service Management</t>
  </si>
  <si>
    <t>5 Re-used Security Services (SEC)</t>
  </si>
  <si>
    <t>5.1 SEC – Security Integration Services</t>
  </si>
  <si>
    <t>5.2 SEC – Security Operation Center</t>
  </si>
  <si>
    <t>5.2.1 Internet Content Adaptation Protocol (ICAP)</t>
  </si>
  <si>
    <t>5.3 SEC – Endpoint Protection Services</t>
  </si>
  <si>
    <t>5.4 SEC – Vulnerability Management Services</t>
  </si>
  <si>
    <t>6 OT-specific Services</t>
  </si>
  <si>
    <t>6.1 Governance</t>
  </si>
  <si>
    <t>6.2 Remote Access</t>
  </si>
  <si>
    <t>6.2.1 BeyondTrust Privileged Remote Access</t>
  </si>
  <si>
    <t>6.2.2 Windows management stations (RDS)</t>
  </si>
  <si>
    <t>6.3 Mail relay service</t>
  </si>
  <si>
    <t>6.4 Managed File Transfer Seeburger</t>
  </si>
  <si>
    <t>7 Reporting</t>
  </si>
  <si>
    <t>Security Integration Services (SIS)</t>
  </si>
  <si>
    <t>Security Operation Center (SOC)</t>
  </si>
  <si>
    <t>Schedule 3.B9 (Security Services)</t>
  </si>
  <si>
    <t>3.2 Security Integration Services (SIS)</t>
  </si>
  <si>
    <t>3.2.1 General Roles and Responsibilities</t>
  </si>
  <si>
    <t>3.2.2 Security Integration and Operations Responsibilities</t>
  </si>
  <si>
    <t>3.3 Security Operation Center (SOC)</t>
  </si>
  <si>
    <t>3.3.1 Monitoring Responsibilities</t>
  </si>
  <si>
    <t>3.3.2 Security Incident Management Responsibilities</t>
  </si>
  <si>
    <t>3.3.3 Security Device Management Roles and Responsibilities</t>
  </si>
  <si>
    <t>3.3.4 Privileged access management</t>
  </si>
  <si>
    <t>3.4 Security Operation Center (SOC)</t>
  </si>
  <si>
    <t>3.4.1 Security Operations Center (SOC) – Common</t>
  </si>
  <si>
    <t>3.4.2 Security incident management</t>
  </si>
  <si>
    <t>3.4.3 Threat Hunting</t>
  </si>
  <si>
    <t>3.4.4 Log Management</t>
  </si>
  <si>
    <t>3.4.5 Red / purple team</t>
  </si>
  <si>
    <t>3.5 Endpoint Protection Services (EPS)</t>
  </si>
  <si>
    <t>3.5.1 Endpoint Security Management Responsibilities</t>
  </si>
  <si>
    <t>3.6 Vulnerability Management Services (VMS)</t>
  </si>
  <si>
    <t>3.6.1 Security (Risk and) Vulnerability Management Responsibilities</t>
  </si>
  <si>
    <t>3.6.2 Web Application Scan</t>
  </si>
  <si>
    <t>4.1 Security Integration Services (SIS)</t>
  </si>
  <si>
    <t>4.2 Security Operation Center (SOC)</t>
  </si>
  <si>
    <t>4.2.1 Security Operations Center (SOC) technology</t>
  </si>
  <si>
    <t>4.2.2 Security Information and Event management (SIEM) and User and entity behavior analytics (UEBA)</t>
  </si>
  <si>
    <t>4.2.3 Security orchestration, automation and response (SOAR)</t>
  </si>
  <si>
    <t>4.2.4 Privileged access management</t>
  </si>
  <si>
    <t>4.3 Endpoint Protection Services (EPS)</t>
  </si>
  <si>
    <t>4.4 Vulnerability Management Services (VMS)</t>
  </si>
  <si>
    <t>4.4.1 Posture and vulnerability management</t>
  </si>
  <si>
    <t>4.5 Email and Web Security Management</t>
  </si>
  <si>
    <t>Schedule 5.A (Pricing Sheet) – Devices</t>
  </si>
  <si>
    <t>Devices as Operational Expenses (DaaS)</t>
  </si>
  <si>
    <t>New DaaS install volumes</t>
  </si>
  <si>
    <t>Total installed DaaS volumes</t>
  </si>
  <si>
    <t>During target lifespan</t>
  </si>
  <si>
    <t>After target lifespan</t>
  </si>
  <si>
    <t>Target lifespan is  as set out in Schedule 3.B2 (Asset Lifecycle Responsibilities)</t>
  </si>
  <si>
    <t>Laptop</t>
  </si>
  <si>
    <t>Laptop PC (i5, 16GB, 256GB); Device, localized power adapter (no bag or other accessories)</t>
  </si>
  <si>
    <t>Desktop</t>
  </si>
  <si>
    <t>Desktop PC (i5, 16GB, 256GB); Device and localized keyboard (no display or other accessories)</t>
  </si>
  <si>
    <t>remarks</t>
  </si>
  <si>
    <t>One-time Charge</t>
  </si>
  <si>
    <t>Laptop PC (i5, 16GB, 256GB)</t>
  </si>
  <si>
    <t>Desktop PC (i5, 16GB, 256GB)</t>
  </si>
  <si>
    <t>Australia</t>
  </si>
  <si>
    <t>Austria</t>
  </si>
  <si>
    <t>Belgium</t>
  </si>
  <si>
    <t>Brazil</t>
  </si>
  <si>
    <t>Bulgaria</t>
  </si>
  <si>
    <t>China</t>
  </si>
  <si>
    <t>Czech Republic</t>
  </si>
  <si>
    <t>Denmark</t>
  </si>
  <si>
    <t>France</t>
  </si>
  <si>
    <t>Georgia</t>
  </si>
  <si>
    <t>Germany</t>
  </si>
  <si>
    <t>Greece</t>
  </si>
  <si>
    <t>Hong Kong</t>
  </si>
  <si>
    <t>Hungary</t>
  </si>
  <si>
    <t>Ireland</t>
  </si>
  <si>
    <t>Italy</t>
  </si>
  <si>
    <t>Kazakhstan</t>
  </si>
  <si>
    <t>Lithuania</t>
  </si>
  <si>
    <t>Malaysia</t>
  </si>
  <si>
    <t>Mexico</t>
  </si>
  <si>
    <t>Morocco</t>
  </si>
  <si>
    <t>Myanmar</t>
  </si>
  <si>
    <t>Netherlands</t>
  </si>
  <si>
    <t>New Zealand</t>
  </si>
  <si>
    <t>Norway</t>
  </si>
  <si>
    <t>Poland</t>
  </si>
  <si>
    <t>Portugal</t>
  </si>
  <si>
    <t>Romania</t>
  </si>
  <si>
    <t>Singapore</t>
  </si>
  <si>
    <t>Slovakia</t>
  </si>
  <si>
    <t>South Africa</t>
  </si>
  <si>
    <t>Spain</t>
  </si>
  <si>
    <t>Sweden</t>
  </si>
  <si>
    <t>Switzerland</t>
  </si>
  <si>
    <t>Thailand</t>
  </si>
  <si>
    <t>Turkey</t>
  </si>
  <si>
    <t>Ukraine</t>
  </si>
  <si>
    <t>United Kingdom</t>
  </si>
  <si>
    <t>USA</t>
  </si>
  <si>
    <t>Uzbekistan</t>
  </si>
  <si>
    <t>Vietnam</t>
  </si>
  <si>
    <t>Printers as operational expenses (MPS + 'per-click')</t>
  </si>
  <si>
    <t>Country</t>
  </si>
  <si>
    <t>Volumes</t>
  </si>
  <si>
    <t>Per-click charges</t>
  </si>
  <si>
    <t>A4 pages</t>
  </si>
  <si>
    <t>A3 pages</t>
  </si>
  <si>
    <t>A4</t>
  </si>
  <si>
    <t>A3</t>
  </si>
  <si>
    <t>Black</t>
  </si>
  <si>
    <t>Color</t>
  </si>
  <si>
    <t>MPS</t>
  </si>
  <si>
    <t>Managed printer small mono</t>
  </si>
  <si>
    <t>As reference point, existing model is an  HP LaserJet Enterprise E50145dn</t>
  </si>
  <si>
    <t>Managed printer small color</t>
  </si>
  <si>
    <t>As reference point, existing model is an  HP Color LaserJet Enterprise X55745dn</t>
  </si>
  <si>
    <t>Managed printer medium mono</t>
  </si>
  <si>
    <t>As reference point, existing model is an  HP LaserJet Managed MFP E52645dn</t>
  </si>
  <si>
    <t>Managed printer medium color</t>
  </si>
  <si>
    <t>As reference point, existing model is an  HP Color LaserJet Enterprise MFP X58045dn</t>
  </si>
  <si>
    <t>Managed printer large mono</t>
  </si>
  <si>
    <t>As reference point, existing model is an  HP LaserJet Managed Flow MFP E731z</t>
  </si>
  <si>
    <t>Managed printer large color</t>
  </si>
  <si>
    <t>As reference point, existing model is an  HP Color LaserJet Managed MFP E786dn</t>
  </si>
  <si>
    <t>Estimates for summary</t>
  </si>
  <si>
    <t>Schedule 5.A (Pricing Sheet) – One-time Charges (OTC)</t>
  </si>
  <si>
    <t>Section in Schedule 5.B (Pricing Principles)</t>
  </si>
  <si>
    <t>Service</t>
  </si>
  <si>
    <t>(totals exclude Options)</t>
  </si>
  <si>
    <r>
      <t xml:space="preserve">Payment Milestone name </t>
    </r>
    <r>
      <rPr>
        <sz val="11"/>
        <color rgb="FF3F3A31"/>
        <rFont val="Aptos Narrow"/>
        <family val="2"/>
      </rPr>
      <t>as listed in Attachment 4.B.L2 (Integrated Deliverable Tracker)</t>
    </r>
  </si>
  <si>
    <t>IDT Milestone ID</t>
  </si>
  <si>
    <t>3.1</t>
  </si>
  <si>
    <t>Transition and Transformation</t>
  </si>
  <si>
    <t>Note: Schedule 5.C (Service Credit Procedure) applies.</t>
  </si>
  <si>
    <t>Transition</t>
  </si>
  <si>
    <t>Transformation</t>
  </si>
  <si>
    <t>Other – In-flight Projects or future Projects</t>
  </si>
  <si>
    <t>Transfer of Assets</t>
  </si>
  <si>
    <t>Transfer of Existing Services' DaaS PCs</t>
  </si>
  <si>
    <t>(due to layout requirements, this is set out in worksheet 'Service Requests')</t>
  </si>
  <si>
    <t>3.2</t>
  </si>
  <si>
    <t>(due to layout requirements, this is set out in worksheet 'Demand Requests')</t>
  </si>
  <si>
    <t>3.3</t>
  </si>
  <si>
    <t>Termination for Convenience Fee</t>
  </si>
  <si>
    <t>Termination Fee at completion of the Exit for the complete Domain, at the END of the period</t>
  </si>
  <si>
    <t>Year 01 – month of the Term</t>
  </si>
  <si>
    <t>Year-end 01</t>
  </si>
  <si>
    <t>Year-end 02</t>
  </si>
  <si>
    <t>Year-end 03</t>
  </si>
  <si>
    <t>Year-end 04</t>
  </si>
  <si>
    <t>Year-end 05</t>
  </si>
  <si>
    <t>3.4</t>
  </si>
  <si>
    <t>Remaining value Sole-use Assets</t>
  </si>
  <si>
    <t>Note: remaining value for  devices as operational expenses (PCs, printers) is governed by the 'Device-specific terms' chapter of Schedule 5.B (Pricing Principles) and therefore must NOT be included here.</t>
  </si>
  <si>
    <t>Prices are at the END of that period</t>
  </si>
  <si>
    <t>3.5</t>
  </si>
  <si>
    <t>Exit Assistance</t>
  </si>
  <si>
    <t>At Acceptance of Exit for Domain:</t>
  </si>
  <si>
    <t>Options for Termination Fee, Remaining value, and Exit Assistance</t>
  </si>
  <si>
    <t>Schedule 5.A (Pricing Sheet) – Service Requests (One-time Charges)</t>
  </si>
  <si>
    <t>Service Domain</t>
  </si>
  <si>
    <t>Monthly volume</t>
  </si>
  <si>
    <t>Price in</t>
  </si>
  <si>
    <t>Service Request</t>
  </si>
  <si>
    <t>Pricing unit</t>
  </si>
  <si>
    <t>estimate</t>
  </si>
  <si>
    <t>On-board a Service Provider into the SIAM Service, including into common processes</t>
  </si>
  <si>
    <t>Remove a Service Provider from the SIAM Service, including from the common processes</t>
  </si>
  <si>
    <t>Project coordination, Service Provider management, and administration for a move or on-boarding of a Customer Location</t>
  </si>
  <si>
    <t>Note to Bidder: 'copy + insert copied' rows as needed.</t>
  </si>
  <si>
    <t>Subtotal at estimated volume</t>
  </si>
  <si>
    <t xml:space="preserve">Supplier will charge Customer </t>
  </si>
  <si>
    <t xml:space="preserve">the above-listed one-time Charges </t>
  </si>
  <si>
    <t xml:space="preserve">as the sole compensation for executing </t>
  </si>
  <si>
    <t>a Service Request, for every such request.</t>
  </si>
  <si>
    <t>Schedule 5.A (Pricing Sheet) – Demand Requests (One-time Charges)</t>
  </si>
  <si>
    <t>Geography</t>
  </si>
  <si>
    <t>2025 Hourly Rate</t>
  </si>
  <si>
    <t>Estimate is calculated at this (fictious) volume of hours for all job titles and all skill levels</t>
  </si>
  <si>
    <r>
      <t xml:space="preserve">Job Title / Labor Category </t>
    </r>
    <r>
      <rPr>
        <b/>
        <vertAlign val="superscript"/>
        <sz val="11"/>
        <color rgb="FF35585D"/>
        <rFont val="Aptos Narrow"/>
        <family val="2"/>
      </rPr>
      <t>1)</t>
    </r>
  </si>
  <si>
    <t>Level 1</t>
  </si>
  <si>
    <t>Level 2</t>
  </si>
  <si>
    <t>Level 3</t>
  </si>
  <si>
    <t>Level 4</t>
  </si>
  <si>
    <t>Level 5</t>
  </si>
  <si>
    <t>Level 6</t>
  </si>
  <si>
    <t>Level 7</t>
  </si>
  <si>
    <t>Estimate</t>
  </si>
  <si>
    <t>Follow</t>
  </si>
  <si>
    <t>Assist</t>
  </si>
  <si>
    <t>Apply</t>
  </si>
  <si>
    <t>Enable</t>
  </si>
  <si>
    <t>Ensure, Advise</t>
  </si>
  <si>
    <t>Initiate, influence</t>
  </si>
  <si>
    <t>Set strategy, inspire, mobilize</t>
  </si>
  <si>
    <t>Typical Project locations – Long-term 2) work</t>
  </si>
  <si>
    <t>Customer IT headquarters: On-site</t>
  </si>
  <si>
    <t>Utrecht, Netherlands</t>
  </si>
  <si>
    <t>Change analysis and implementation</t>
  </si>
  <si>
    <t>Project management (PRMG) or Programme management (PGMG)</t>
  </si>
  <si>
    <t>Portfolio, programme and project support (PROF) or Quality management (QUMG)</t>
  </si>
  <si>
    <t>Business situation analysis (BUSA) or Requirements definition and management (REQM)</t>
  </si>
  <si>
    <t>Strategy and architecture</t>
  </si>
  <si>
    <t>Enterprise and business architecture (STPL)</t>
  </si>
  <si>
    <t>Technical / Solution architecture (ARCH) and Specialist advice (TECH)</t>
  </si>
  <si>
    <t>Systems Development</t>
  </si>
  <si>
    <t>Systems design (DESN) or Network design (NTDS) or User experience design (HCEV)</t>
  </si>
  <si>
    <t>Programming/software development (PROG) or Functional Testing (TEST) or Systems integration and build (SINT)</t>
  </si>
  <si>
    <t>Delivery and operation</t>
  </si>
  <si>
    <t>Technology service management (ITMG)</t>
  </si>
  <si>
    <t>Application support (ASUP) or Infrastructure Operations (ITOP) or Network support (NTAS) or System software (SYSP)</t>
  </si>
  <si>
    <t>Information security (SCTY)</t>
  </si>
  <si>
    <t>Supplier delivery center in European Union / European Economic Area (EU/EEA): Near-shore</t>
  </si>
  <si>
    <t>Supplier location</t>
  </si>
  <si>
    <t>Supplier delivery center off-shore</t>
  </si>
  <si>
    <t>On-site Services</t>
  </si>
  <si>
    <t>Provisioning of the following role, in any Customer Location in the countries listed below.</t>
  </si>
  <si>
    <t>Ad-hoc</t>
  </si>
  <si>
    <t>Long-term</t>
  </si>
  <si>
    <t>2) 3)</t>
  </si>
  <si>
    <t>Systems installation and removal (HSIN)</t>
  </si>
  <si>
    <t>Single ticket dispatch Next Business Day (NBD)</t>
  </si>
  <si>
    <t>Single ticket dispatch Five Business Days (5BD)</t>
  </si>
  <si>
    <t>Emergency single ticket dispatch Same Business Day (SBD)</t>
  </si>
  <si>
    <t>Single ticket dispatch: additional hour</t>
  </si>
  <si>
    <t>Scheduled Half Day</t>
  </si>
  <si>
    <t>Scheduled Full Day</t>
  </si>
  <si>
    <t>1) Job Title / Labor Category</t>
  </si>
  <si>
    <t>The 'Skills Framework for the Information Age' (SFIA) is used to select Personnel profiles anticipated to be required, see</t>
  </si>
  <si>
    <t>https://sfia-online.org/en/sfia-9</t>
  </si>
  <si>
    <t>If Bidder wishes to propose an alternative system – possibly more aligned to Bidder's internal terminology) than such proposal is permitted, under these conditions:</t>
  </si>
  <si>
    <t>• The system uses a 'skills' and 'level' system that is based on objectively measurable qualities of Personnel, i.e. not just 'years in the job' or 'junior/medior/senior'.</t>
  </si>
  <si>
    <t>• Bidder endeavors to realistically match the skills and levels requested.</t>
  </si>
  <si>
    <t>• The system's 'skills' job descriptions and 'levels' quality description are shared with Customer during the Tender for Customer to assess.</t>
  </si>
  <si>
    <t>2) Long-term</t>
  </si>
  <si>
    <t>One or more days per week for multiple weeks.</t>
  </si>
  <si>
    <t>3) Response times are during Business Hours</t>
  </si>
  <si>
    <t>• NBD means that the visit will be at the latest on the next Business Day after</t>
  </si>
  <si>
    <t>it was requested (for example request on Monday, visit on Tuesday).</t>
  </si>
  <si>
    <t>• 5BD means that the visit will be at the latest on the fifth Business Day after</t>
  </si>
  <si>
    <t>it was requested (for example request on Monday, visit latest next Monday).</t>
  </si>
  <si>
    <t>• SBD means that the visit will be during the same Business Day as it was requested</t>
  </si>
  <si>
    <t>• Half day: Half a work day 'shift' of work at Customer Location</t>
  </si>
  <si>
    <t>• Full day: Full work day 'shift' of work at Customer Location</t>
  </si>
  <si>
    <t>DaaS</t>
  </si>
  <si>
    <t>New install volumes</t>
  </si>
  <si>
    <t>Specify if country is "DaaS" or "Non-DaaS"</t>
  </si>
  <si>
    <t>Project</t>
  </si>
  <si>
    <t>Rest 2025</t>
  </si>
  <si>
    <t>Note: 2030 is not requested on purpose</t>
  </si>
  <si>
    <t>Subtotals Non-DaaS</t>
  </si>
  <si>
    <t>Simplified subtotals for summary</t>
  </si>
  <si>
    <t>Baseline band is for all OS instances combined
RDS Servers are due to be decommissioned but baseline maintained allowing for increased cloud adoption</t>
  </si>
  <si>
    <t xml:space="preserve">250228 Server CMDB File: Hosting location = "Cloud", ACN Server Function = "LAHS"&amp;"RDS"
</t>
  </si>
  <si>
    <t xml:space="preserve">
RDS Servers are due to be decommissioned however difference is minimal so baseline maintained. </t>
  </si>
  <si>
    <t>Server CMDB File": Hosting Location = "On-Prem", Is Virtual = "Physical" &amp; "Virtual" ("Yes"&amp;"No"), ACN Server Function = "LAHS"&amp;"RDS"</t>
  </si>
  <si>
    <t>250228 Server CMDB File: Server CMDB File: Hosting Location = "On-Prem", Is Virtual = "Physical" ("No"),  ACN Server Function = "LAHS"&amp;"RDS"&amp;"EUS"</t>
  </si>
  <si>
    <t>Baseline band is for all OS instances combined
Compared to values from azure reporting there is a discrepancy of 18 servers. Azure values used, discrepancy to be investigated by JDE
Assumptions for volume increase vs CMDB driving by Music3 program are in  the 250228Server CMDB File</t>
  </si>
  <si>
    <t>250228Server CMDB File: Hosting Location = "Cloud", ACN Server Function = "MU-LAHS" &amp;"MU-RAS"</t>
  </si>
  <si>
    <t>Assumptions for volume increase vs CMDB driving by Music3 program are in  the 250228Server CMDB File</t>
  </si>
  <si>
    <t>250228Server CMDB File: Hosting Location = "On-Prem", Is Virtual = "Virtual"&amp;"Physical" ("Yes"&amp; "No"), ACN Server Function = "MU-LAHS"&amp;"MU-RAS"</t>
  </si>
  <si>
    <t>Baseline band is for all Physical Servers combined
For Yr1 forecast increased from current based on Music3 Completion: Details in 250228 Server CMDB File</t>
  </si>
  <si>
    <t xml:space="preserve">250228Server CMDB File: Hosting Location = "On-Prem", Is Virtual = "Physical" ("No"), ACN Server Function = "MU-LAHS" </t>
  </si>
  <si>
    <t>CIS Managed OS for On-site and Azure WPS servers</t>
  </si>
  <si>
    <t xml:space="preserve">  [ list all Assets that are marked Sole-use in Attachment 3.B3.L Asset Lists ]</t>
  </si>
  <si>
    <t>2025 is average</t>
  </si>
  <si>
    <t>showing ramp-up.</t>
  </si>
  <si>
    <t>Excludes pre-existing DaaS.</t>
  </si>
  <si>
    <t>One time charges for Movement of existing stock to Drive consolidation of Stock rooms</t>
  </si>
  <si>
    <t>OS Update win 11 to 12 /13</t>
  </si>
  <si>
    <t>Juriba Setup</t>
  </si>
  <si>
    <t>Device Refresh Project</t>
  </si>
  <si>
    <t>Uplift for shipping joiner's laptop to specified address rather than to Customer Location</t>
  </si>
  <si>
    <t>Create/update Medium Complexity MSI software package</t>
  </si>
  <si>
    <t>Per Package</t>
  </si>
  <si>
    <t>Installation of Claroty Sensor (Netherlands)</t>
  </si>
  <si>
    <t>Per Sensor</t>
  </si>
  <si>
    <t>Additional hour is equal to 1st hr of dispatch ticket for the same SLA
Eg. For NBD ticket, 2nd hr price = 1st hr price for NBD</t>
  </si>
  <si>
    <t>Optional Items</t>
  </si>
  <si>
    <t>Year 1</t>
  </si>
  <si>
    <t>Year 2</t>
  </si>
  <si>
    <t>Year 3</t>
  </si>
  <si>
    <t>Year 4</t>
  </si>
  <si>
    <t>Year 5</t>
  </si>
  <si>
    <t xml:space="preserve">DLP </t>
  </si>
  <si>
    <t>India</t>
  </si>
  <si>
    <t>Non-Daas</t>
  </si>
  <si>
    <t>Follow Me Printing</t>
  </si>
  <si>
    <t>Hardware Maintenance - Storage</t>
  </si>
  <si>
    <t>M60
M146</t>
  </si>
  <si>
    <t>M33</t>
  </si>
  <si>
    <t>M207</t>
  </si>
  <si>
    <t>M152</t>
  </si>
  <si>
    <t>M72</t>
  </si>
  <si>
    <t xml:space="preserve">-   </t>
  </si>
  <si>
    <t>M59
M209
M64</t>
  </si>
  <si>
    <t>M59
M66 
M152</t>
  </si>
  <si>
    <t xml:space="preserve">M185 
M68 </t>
  </si>
  <si>
    <t xml:space="preserve">M185 
M70 </t>
  </si>
  <si>
    <t>Devices*</t>
  </si>
  <si>
    <t>Others (including Supplier's investment in transition and transformation)</t>
  </si>
  <si>
    <t xml:space="preserve">* Device related termination charges are based on the estimated refresh plan and shall be adjusted based on the actual refresh plan as per the formula defined in the Agreement. </t>
  </si>
  <si>
    <t xml:space="preserve">Indicative price proposed as per Diego's request </t>
  </si>
  <si>
    <t xml:space="preserve">HCL Technologies B V </t>
  </si>
  <si>
    <t>Σ€</t>
  </si>
  <si>
    <t>Σ#</t>
  </si>
  <si>
    <t>i</t>
  </si>
  <si>
    <t>apr-dez (y2) 3q</t>
  </si>
  <si>
    <t>jan-mar (y1) 1q</t>
  </si>
  <si>
    <t>aop 26 jan -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</si>
</sst>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00_);_(* \(#,##0.00\);_(* &quot;-&quot;??_);_(@_)"/>
    <numFmt numFmtId="165" formatCode="#,##0.00,,;[Red]\-#,##0.00,,;;"/>
    <numFmt numFmtId="166" formatCode="&quot;€&quot;\ #,##0"/>
    <numFmt numFmtId="167" formatCode="00"/>
    <numFmt numFmtId="168" formatCode="_ &quot;€&quot;\ * #,##0.0000_ ;_ &quot;€&quot;\ * \-#,##0.0000_ ;_ &quot;€&quot;\ * &quot;-&quot;??_ ;_ @_ "/>
    <numFmt numFmtId="169" formatCode="_([$€-2]\ * #,##0.00_);_([$€-2]\ * \(#,##0.00\);_([$€-2]\ * &quot;-&quot;??_);_(@_)"/>
    <numFmt numFmtId="170" formatCode="_ * #,##0_ ;_ * \-#,##0_ ;_ * &quot;-&quot;??_ ;_ @_ "/>
    <numFmt numFmtId="171" formatCode="_(* #,##0.0000_);_(* \(#,##0.0000\);_(* &quot;-&quot;????_);_(@_)"/>
    <numFmt numFmtId="172" formatCode="_ * #,##0.00_ ;_ * \-#,##0.00_ ;_ * &quot;-&quot;_ ;_ @_ "/>
    <numFmt numFmtId="173" formatCode="0.0%"/>
    <numFmt numFmtId="174" formatCode="_(* #,##0_);_(* \(#,##0\);_(* &quot;-&quot;??_);_(@_)"/>
  </numFmts>
  <fonts count="45" x14ac:knownFonts="1">
    <font>
      <sz val="11"/>
      <color theme="1"/>
      <name val="Aptos Narrow"/>
      <family val="2"/>
    </font>
    <font>
      <sz val="11"/>
      <color theme="1"/>
      <name val="Aptos Narrow"/>
      <family val="2"/>
      <scheme val="minor"/>
    </font>
    <font>
      <sz val="11"/>
      <color theme="1"/>
      <name val="Aptos Narrow"/>
      <family val="2"/>
    </font>
    <font>
      <sz val="11"/>
      <color theme="1"/>
      <name val="Arial"/>
      <family val="2"/>
    </font>
    <font>
      <b/>
      <sz val="11"/>
      <color theme="1"/>
      <name val="Arial"/>
      <family val="2"/>
    </font>
    <font>
      <sz val="9"/>
      <color theme="1"/>
      <name val="Arial"/>
      <family val="2"/>
    </font>
    <font>
      <sz val="11"/>
      <color rgb="FF3F3F3F"/>
      <name val="Arial"/>
      <family val="2"/>
    </font>
    <font>
      <b/>
      <sz val="14"/>
      <color rgb="FF44546A"/>
      <name val="Arial"/>
      <family val="2"/>
    </font>
    <font>
      <b/>
      <sz val="11"/>
      <color rgb="FF3F3F76"/>
      <name val="Arial"/>
      <family val="2"/>
    </font>
    <font>
      <u/>
      <sz val="11"/>
      <color theme="10"/>
      <name val="Arial"/>
      <family val="2"/>
    </font>
    <font>
      <b/>
      <i/>
      <sz val="9"/>
      <color rgb="FF7F7F7F"/>
      <name val="Arial"/>
      <family val="2"/>
    </font>
    <font>
      <i/>
      <sz val="10"/>
      <color rgb="FF7F7F7F"/>
      <name val="Arial"/>
      <family val="2"/>
    </font>
    <font>
      <sz val="11"/>
      <color theme="0"/>
      <name val="Aptos Narrow"/>
      <family val="2"/>
    </font>
    <font>
      <sz val="11"/>
      <color rgb="FF9C0006"/>
      <name val="Aptos Narrow"/>
      <family val="2"/>
    </font>
    <font>
      <b/>
      <sz val="11"/>
      <color rgb="FFFA7D00"/>
      <name val="Aptos Narrow"/>
      <family val="2"/>
    </font>
    <font>
      <b/>
      <sz val="11"/>
      <color theme="0"/>
      <name val="Aptos Narrow"/>
      <family val="2"/>
    </font>
    <font>
      <i/>
      <sz val="11"/>
      <color rgb="FF7F7F7F"/>
      <name val="Aptos Narrow"/>
      <family val="2"/>
    </font>
    <font>
      <sz val="11"/>
      <color rgb="FF006100"/>
      <name val="Aptos Narrow"/>
      <family val="2"/>
    </font>
    <font>
      <b/>
      <sz val="11"/>
      <color rgb="FF35585D"/>
      <name val="Aptos Narrow"/>
      <family val="2"/>
    </font>
    <font>
      <sz val="11"/>
      <color rgb="FF3F3F76"/>
      <name val="Aptos Narrow"/>
      <family val="2"/>
    </font>
    <font>
      <sz val="11"/>
      <color rgb="FFFA7D00"/>
      <name val="Aptos Narrow"/>
      <family val="2"/>
    </font>
    <font>
      <sz val="11"/>
      <color rgb="FF9C5700"/>
      <name val="Aptos Narrow"/>
      <family val="2"/>
    </font>
    <font>
      <b/>
      <sz val="11"/>
      <color rgb="FF3F3F3F"/>
      <name val="Aptos Narrow"/>
      <family val="2"/>
    </font>
    <font>
      <b/>
      <sz val="11"/>
      <color theme="1"/>
      <name val="Aptos Narrow"/>
      <family val="2"/>
    </font>
    <font>
      <sz val="11"/>
      <color rgb="FFFF0000"/>
      <name val="Aptos Narrow"/>
      <family val="2"/>
    </font>
    <font>
      <b/>
      <vertAlign val="superscript"/>
      <sz val="11"/>
      <color rgb="FF35585D"/>
      <name val="Aptos Narrow"/>
      <family val="2"/>
    </font>
    <font>
      <b/>
      <sz val="11"/>
      <color theme="1"/>
      <name val="Aptos Narrow"/>
      <family val="2"/>
    </font>
    <font>
      <b/>
      <sz val="11"/>
      <color rgb="FF3F3F3F"/>
      <name val="Arial"/>
      <family val="2"/>
    </font>
    <font>
      <sz val="11"/>
      <color rgb="FF3F3F3F"/>
      <name val="Aptos Narrow"/>
      <family val="2"/>
    </font>
    <font>
      <sz val="11"/>
      <color theme="1"/>
      <name val="Aptos Narrow"/>
      <family val="2"/>
    </font>
    <font>
      <b/>
      <sz val="15"/>
      <color rgb="FF3F3A31"/>
      <name val="Aptos Narrow"/>
      <family val="2"/>
    </font>
    <font>
      <b/>
      <sz val="13"/>
      <color rgb="FF3F3A31"/>
      <name val="Aptos Narrow"/>
      <family val="2"/>
    </font>
    <font>
      <b/>
      <sz val="11"/>
      <color rgb="FF3F3A31"/>
      <name val="Aptos Narrow"/>
      <family val="2"/>
    </font>
    <font>
      <b/>
      <sz val="18"/>
      <color rgb="FF3F3A31"/>
      <name val="Aptos Display"/>
      <family val="2"/>
      <scheme val="major"/>
    </font>
    <font>
      <sz val="11"/>
      <name val="Aptos Narrow"/>
      <family val="2"/>
    </font>
    <font>
      <b/>
      <sz val="11"/>
      <color rgb="FF3F3A31"/>
      <name val="Aptos Narrow"/>
      <family val="2"/>
    </font>
    <font>
      <sz val="11"/>
      <color rgb="FFC00000"/>
      <name val="Aptos Narrow"/>
      <family val="2"/>
    </font>
    <font>
      <sz val="11"/>
      <name val="Aptos Narrow"/>
      <family val="2"/>
    </font>
    <font>
      <sz val="11"/>
      <color rgb="FF3F3A31"/>
      <name val="Aptos Narrow"/>
      <family val="2"/>
    </font>
    <font>
      <sz val="8"/>
      <name val="Aptos Narrow"/>
      <family val="2"/>
    </font>
    <font>
      <b/>
      <sz val="11"/>
      <color rgb="FF3F3F3F"/>
      <name val="Aptos Narrow"/>
      <family val="2"/>
    </font>
    <font>
      <sz val="11"/>
      <color rgb="FFC00000"/>
      <name val="Aptos Narrow"/>
      <family val="2"/>
    </font>
    <font>
      <b/>
      <sz val="11"/>
      <color rgb="FFC00000"/>
      <name val="Aptos Narrow"/>
      <family val="2"/>
    </font>
    <font>
      <b/>
      <sz val="11"/>
      <color rgb="FFC00000"/>
      <name val="Aptos Narrow"/>
      <family val="2"/>
    </font>
    <font>
      <b/>
      <sz val="11"/>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8" tint="0.79998168889431442"/>
        <bgColor indexed="64"/>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ck">
        <color rgb="FF35585D"/>
      </top>
      <bottom/>
      <diagonal/>
    </border>
    <border>
      <left/>
      <right/>
      <top style="thin">
        <color rgb="FF35585D"/>
      </top>
      <bottom/>
      <diagonal/>
    </border>
    <border>
      <left/>
      <right/>
      <top style="thin">
        <color rgb="FF35585D"/>
      </top>
      <bottom style="double">
        <color rgb="FF35585D"/>
      </bottom>
      <diagonal/>
    </border>
    <border>
      <left style="thin">
        <color rgb="FF7F7F7F"/>
      </left>
      <right/>
      <top style="thin">
        <color rgb="FF7F7F7F"/>
      </top>
      <bottom style="thin">
        <color rgb="FF7F7F7F"/>
      </bottom>
      <diagonal/>
    </border>
    <border>
      <left style="medium">
        <color theme="1"/>
      </left>
      <right/>
      <top/>
      <bottom/>
      <diagonal/>
    </border>
    <border>
      <left style="medium">
        <color theme="1"/>
      </left>
      <right style="thin">
        <color rgb="FF7F7F7F"/>
      </right>
      <top style="thin">
        <color rgb="FF7F7F7F"/>
      </top>
      <bottom style="thin">
        <color rgb="FF7F7F7F"/>
      </bottom>
      <diagonal/>
    </border>
    <border>
      <left style="thin">
        <color indexed="64"/>
      </left>
      <right style="thin">
        <color indexed="64"/>
      </right>
      <top style="thin">
        <color rgb="FF3F3F3F"/>
      </top>
      <bottom style="double">
        <color rgb="FF35585D"/>
      </bottom>
      <diagonal/>
    </border>
    <border>
      <left/>
      <right style="thin">
        <color rgb="FF7F7F7F"/>
      </right>
      <top style="thin">
        <color rgb="FF7F7F7F"/>
      </top>
      <bottom style="thin">
        <color rgb="FF7F7F7F"/>
      </bottom>
      <diagonal/>
    </border>
    <border>
      <left style="medium">
        <color indexed="64"/>
      </left>
      <right style="medium">
        <color indexed="64"/>
      </right>
      <top style="medium">
        <color indexed="64"/>
      </top>
      <bottom style="thin">
        <color rgb="FF7F7F7F"/>
      </bottom>
      <diagonal/>
    </border>
    <border>
      <left style="medium">
        <color indexed="64"/>
      </left>
      <right style="medium">
        <color indexed="64"/>
      </right>
      <top style="thin">
        <color rgb="FF7F7F7F"/>
      </top>
      <bottom style="thin">
        <color rgb="FF7F7F7F"/>
      </bottom>
      <diagonal/>
    </border>
    <border>
      <left style="medium">
        <color indexed="64"/>
      </left>
      <right style="medium">
        <color indexed="64"/>
      </right>
      <top style="thin">
        <color rgb="FF7F7F7F"/>
      </top>
      <bottom style="medium">
        <color indexed="64"/>
      </bottom>
      <diagonal/>
    </border>
    <border>
      <left/>
      <right/>
      <top/>
      <bottom style="medium">
        <color rgb="FF35585D"/>
      </bottom>
      <diagonal/>
    </border>
    <border>
      <left/>
      <right/>
      <top style="thick">
        <color rgb="FF3F3A31"/>
      </top>
      <bottom/>
      <diagonal/>
    </border>
    <border>
      <left/>
      <right/>
      <top style="thick">
        <color rgb="FF8C7454"/>
      </top>
      <bottom/>
      <diagonal/>
    </border>
    <border>
      <left/>
      <right/>
      <top style="medium">
        <color rgb="FF8C7454"/>
      </top>
      <bottom/>
      <diagonal/>
    </border>
    <border>
      <left/>
      <right/>
      <top style="thin">
        <color rgb="FF7F7F7F"/>
      </top>
      <bottom/>
      <diagonal/>
    </border>
  </borders>
  <cellStyleXfs count="50">
    <xf numFmtId="0" fontId="0" fillId="0" borderId="0">
      <alignment vertical="top"/>
    </xf>
    <xf numFmtId="43" fontId="2" fillId="0" borderId="0" applyFont="0" applyFill="0" applyBorder="0" applyProtection="0">
      <alignment vertical="top"/>
    </xf>
    <xf numFmtId="41" fontId="2" fillId="0" borderId="0" applyFont="0" applyFill="0" applyBorder="0" applyProtection="0">
      <alignment vertical="top"/>
    </xf>
    <xf numFmtId="44" fontId="2" fillId="0" borderId="0" applyFont="0" applyFill="0" applyBorder="0" applyProtection="0">
      <alignment vertical="top"/>
    </xf>
    <xf numFmtId="42" fontId="2" fillId="0" borderId="0" applyFont="0" applyFill="0" applyBorder="0" applyProtection="0">
      <alignment vertical="top"/>
    </xf>
    <xf numFmtId="9" fontId="2" fillId="0" borderId="0" applyFont="0" applyFill="0" applyBorder="0" applyProtection="0">
      <alignment vertical="top"/>
    </xf>
    <xf numFmtId="0" fontId="33" fillId="0" borderId="0" applyNumberFormat="0" applyFill="0" applyBorder="0" applyProtection="0">
      <alignment vertical="top"/>
    </xf>
    <xf numFmtId="0" fontId="30" fillId="0" borderId="18" applyNumberFormat="0" applyFill="0" applyProtection="0">
      <alignment vertical="top"/>
    </xf>
    <xf numFmtId="0" fontId="31" fillId="0" borderId="19" applyNumberFormat="0" applyFill="0" applyProtection="0">
      <alignment vertical="top"/>
    </xf>
    <xf numFmtId="0" fontId="32" fillId="0" borderId="20" applyNumberFormat="0" applyFill="0" applyProtection="0">
      <alignment vertical="top"/>
    </xf>
    <xf numFmtId="0" fontId="32" fillId="0" borderId="0" applyNumberFormat="0" applyFill="0" applyBorder="0" applyProtection="0">
      <alignment vertical="top"/>
    </xf>
    <xf numFmtId="0" fontId="17" fillId="2" borderId="0" applyNumberFormat="0" applyBorder="0" applyProtection="0">
      <alignment vertical="top"/>
    </xf>
    <xf numFmtId="0" fontId="13" fillId="3" borderId="0" applyNumberFormat="0" applyBorder="0" applyProtection="0">
      <alignment vertical="top"/>
    </xf>
    <xf numFmtId="0" fontId="21" fillId="4" borderId="0" applyNumberFormat="0" applyBorder="0" applyProtection="0">
      <alignment vertical="top"/>
    </xf>
    <xf numFmtId="0" fontId="19" fillId="5" borderId="1" applyNumberFormat="0" applyProtection="0">
      <alignment vertical="top"/>
    </xf>
    <xf numFmtId="0" fontId="22" fillId="6" borderId="2" applyNumberFormat="0" applyProtection="0">
      <alignment vertical="top"/>
    </xf>
    <xf numFmtId="0" fontId="14" fillId="6" borderId="1" applyNumberFormat="0" applyProtection="0">
      <alignment vertical="top"/>
    </xf>
    <xf numFmtId="0" fontId="20" fillId="0" borderId="3" applyNumberFormat="0" applyFill="0" applyProtection="0">
      <alignment vertical="top"/>
    </xf>
    <xf numFmtId="0" fontId="15" fillId="7" borderId="4" applyNumberFormat="0" applyProtection="0">
      <alignment vertical="top"/>
    </xf>
    <xf numFmtId="0" fontId="24" fillId="0" borderId="0" applyNumberFormat="0" applyFill="0" applyBorder="0" applyProtection="0">
      <alignment vertical="top"/>
    </xf>
    <xf numFmtId="0" fontId="2" fillId="8" borderId="5" applyNumberFormat="0" applyFont="0" applyProtection="0">
      <alignment vertical="top"/>
    </xf>
    <xf numFmtId="0" fontId="16" fillId="0" borderId="0" applyNumberFormat="0" applyFill="0" applyBorder="0" applyProtection="0">
      <alignment vertical="top"/>
    </xf>
    <xf numFmtId="0" fontId="23" fillId="0" borderId="8" applyNumberFormat="0" applyFill="0" applyProtection="0">
      <alignment vertical="top"/>
    </xf>
    <xf numFmtId="0" fontId="12" fillId="9" borderId="0" applyNumberFormat="0" applyBorder="0" applyProtection="0">
      <alignment vertical="top"/>
    </xf>
    <xf numFmtId="0" fontId="2" fillId="10" borderId="0" applyNumberFormat="0" applyBorder="0" applyProtection="0">
      <alignment vertical="top"/>
    </xf>
    <xf numFmtId="0" fontId="2" fillId="11" borderId="0" applyNumberFormat="0" applyBorder="0" applyProtection="0">
      <alignment vertical="top"/>
    </xf>
    <xf numFmtId="0" fontId="2" fillId="12" borderId="0" applyNumberFormat="0" applyBorder="0" applyProtection="0">
      <alignment vertical="top"/>
    </xf>
    <xf numFmtId="0" fontId="12" fillId="13" borderId="0" applyNumberFormat="0" applyBorder="0" applyProtection="0">
      <alignment vertical="top"/>
    </xf>
    <xf numFmtId="0" fontId="2" fillId="14" borderId="0" applyNumberFormat="0" applyBorder="0" applyProtection="0">
      <alignment vertical="top"/>
    </xf>
    <xf numFmtId="0" fontId="2" fillId="15" borderId="0" applyNumberFormat="0" applyBorder="0" applyProtection="0">
      <alignment vertical="top"/>
    </xf>
    <xf numFmtId="0" fontId="2" fillId="16" borderId="0" applyNumberFormat="0" applyBorder="0" applyProtection="0">
      <alignment vertical="top"/>
    </xf>
    <xf numFmtId="0" fontId="12" fillId="17" borderId="0" applyNumberFormat="0" applyBorder="0" applyProtection="0">
      <alignment vertical="top"/>
    </xf>
    <xf numFmtId="0" fontId="2" fillId="18" borderId="0" applyNumberFormat="0" applyBorder="0" applyProtection="0">
      <alignment vertical="top"/>
    </xf>
    <xf numFmtId="0" fontId="2" fillId="19" borderId="0" applyNumberFormat="0" applyBorder="0" applyProtection="0">
      <alignment vertical="top"/>
    </xf>
    <xf numFmtId="0" fontId="2" fillId="20" borderId="0" applyNumberFormat="0" applyBorder="0" applyProtection="0">
      <alignment vertical="top"/>
    </xf>
    <xf numFmtId="0" fontId="12" fillId="21" borderId="0" applyNumberFormat="0" applyBorder="0" applyProtection="0">
      <alignment vertical="top"/>
    </xf>
    <xf numFmtId="0" fontId="2" fillId="22" borderId="0" applyNumberFormat="0" applyBorder="0" applyProtection="0">
      <alignment vertical="top"/>
    </xf>
    <xf numFmtId="0" fontId="2" fillId="23" borderId="0" applyNumberFormat="0" applyBorder="0" applyProtection="0">
      <alignment vertical="top"/>
    </xf>
    <xf numFmtId="0" fontId="2" fillId="24" borderId="0" applyNumberFormat="0" applyBorder="0" applyProtection="0">
      <alignment vertical="top"/>
    </xf>
    <xf numFmtId="0" fontId="12" fillId="25" borderId="0" applyNumberFormat="0" applyBorder="0" applyProtection="0">
      <alignment vertical="top"/>
    </xf>
    <xf numFmtId="0" fontId="2" fillId="26" borderId="0" applyNumberFormat="0" applyBorder="0" applyProtection="0">
      <alignment vertical="top"/>
    </xf>
    <xf numFmtId="0" fontId="2" fillId="27" borderId="0" applyNumberFormat="0" applyBorder="0" applyProtection="0">
      <alignment vertical="top"/>
    </xf>
    <xf numFmtId="0" fontId="2" fillId="28" borderId="0" applyNumberFormat="0" applyBorder="0" applyProtection="0">
      <alignment vertical="top"/>
    </xf>
    <xf numFmtId="0" fontId="12" fillId="29" borderId="0" applyNumberFormat="0" applyBorder="0" applyProtection="0">
      <alignment vertical="top"/>
    </xf>
    <xf numFmtId="0" fontId="2" fillId="30" borderId="0" applyNumberFormat="0" applyBorder="0" applyProtection="0">
      <alignment vertical="top"/>
    </xf>
    <xf numFmtId="0" fontId="2" fillId="31" borderId="0" applyNumberFormat="0" applyBorder="0" applyProtection="0">
      <alignment vertical="top"/>
    </xf>
    <xf numFmtId="0" fontId="2" fillId="32" borderId="0" applyNumberFormat="0" applyBorder="0" applyProtection="0">
      <alignment vertical="top"/>
    </xf>
    <xf numFmtId="165" fontId="2" fillId="0" borderId="0" applyFont="0" applyFill="0" applyBorder="0" applyProtection="0">
      <alignment vertical="top"/>
    </xf>
    <xf numFmtId="0" fontId="9" fillId="0" borderId="0" applyNumberFormat="0" applyFill="0" applyBorder="0" applyAlignment="0" applyProtection="0">
      <alignment vertical="top"/>
    </xf>
    <xf numFmtId="0" fontId="1" fillId="0" borderId="0"/>
  </cellStyleXfs>
  <cellXfs count="147">
    <xf numFmtId="0" fontId="0" fillId="0" borderId="0" xfId="0">
      <alignment vertical="top"/>
    </xf>
    <xf numFmtId="0" fontId="33" fillId="0" borderId="0" xfId="6">
      <alignment vertical="top"/>
    </xf>
    <xf numFmtId="0" fontId="30" fillId="0" borderId="18" xfId="7">
      <alignment vertical="top"/>
    </xf>
    <xf numFmtId="0" fontId="31" fillId="0" borderId="19" xfId="8">
      <alignment vertical="top"/>
    </xf>
    <xf numFmtId="0" fontId="32" fillId="0" borderId="20" xfId="9">
      <alignment vertical="top"/>
    </xf>
    <xf numFmtId="0" fontId="32" fillId="0" borderId="7" xfId="10" applyBorder="1">
      <alignment vertical="top"/>
    </xf>
    <xf numFmtId="0" fontId="16" fillId="0" borderId="0" xfId="21">
      <alignment vertical="top"/>
    </xf>
    <xf numFmtId="0" fontId="16" fillId="0" borderId="6" xfId="21" applyBorder="1">
      <alignment vertical="top"/>
    </xf>
    <xf numFmtId="0" fontId="16" fillId="0" borderId="0" xfId="21" applyAlignment="1">
      <alignment vertical="top" wrapText="1"/>
    </xf>
    <xf numFmtId="0" fontId="4" fillId="0" borderId="0" xfId="0" applyFont="1" applyAlignment="1">
      <alignment horizontal="right" vertical="top"/>
    </xf>
    <xf numFmtId="0" fontId="0" fillId="0" borderId="0" xfId="0" applyAlignment="1">
      <alignment horizontal="left" vertical="top" indent="1"/>
    </xf>
    <xf numFmtId="0" fontId="32" fillId="0" borderId="0" xfId="9" applyBorder="1">
      <alignment vertical="top"/>
    </xf>
    <xf numFmtId="9" fontId="3" fillId="6" borderId="2" xfId="5" applyFont="1" applyFill="1" applyBorder="1">
      <alignment vertical="top"/>
    </xf>
    <xf numFmtId="3" fontId="22" fillId="6" borderId="2" xfId="15" applyNumberFormat="1">
      <alignment vertical="top"/>
    </xf>
    <xf numFmtId="3" fontId="19" fillId="5" borderId="1" xfId="14" applyNumberFormat="1">
      <alignment vertical="top"/>
    </xf>
    <xf numFmtId="0" fontId="0" fillId="0" borderId="0" xfId="0" applyAlignment="1">
      <alignment vertical="top" wrapText="1"/>
    </xf>
    <xf numFmtId="0" fontId="32" fillId="0" borderId="20" xfId="9" applyAlignment="1">
      <alignment vertical="top" wrapText="1"/>
    </xf>
    <xf numFmtId="0" fontId="32" fillId="0" borderId="0" xfId="9" applyBorder="1" applyAlignment="1">
      <alignment vertical="top" wrapText="1"/>
    </xf>
    <xf numFmtId="0" fontId="31" fillId="0" borderId="19" xfId="8" applyAlignment="1">
      <alignment vertical="top" wrapText="1"/>
    </xf>
    <xf numFmtId="0" fontId="19" fillId="5" borderId="1" xfId="14" applyAlignment="1">
      <alignment vertical="top" wrapText="1"/>
    </xf>
    <xf numFmtId="0" fontId="19" fillId="5" borderId="1" xfId="14">
      <alignment vertical="top"/>
    </xf>
    <xf numFmtId="0" fontId="16" fillId="0" borderId="0" xfId="21" applyBorder="1">
      <alignment vertical="top"/>
    </xf>
    <xf numFmtId="0" fontId="32" fillId="0" borderId="0" xfId="9" applyBorder="1" applyAlignment="1">
      <alignment horizontal="left" vertical="top"/>
    </xf>
    <xf numFmtId="167" fontId="0" fillId="0" borderId="0" xfId="0" applyNumberFormat="1">
      <alignment vertical="top"/>
    </xf>
    <xf numFmtId="0" fontId="6" fillId="6" borderId="2" xfId="15" applyFont="1">
      <alignment vertical="top"/>
    </xf>
    <xf numFmtId="0" fontId="32" fillId="0" borderId="10" xfId="9" applyBorder="1">
      <alignment vertical="top"/>
    </xf>
    <xf numFmtId="167" fontId="0" fillId="0" borderId="10" xfId="0" applyNumberFormat="1" applyBorder="1">
      <alignment vertical="top"/>
    </xf>
    <xf numFmtId="0" fontId="7" fillId="0" borderId="10" xfId="0" applyFont="1" applyBorder="1">
      <alignment vertical="top"/>
    </xf>
    <xf numFmtId="0" fontId="0" fillId="0" borderId="0" xfId="0" applyAlignment="1">
      <alignment horizontal="right" vertical="top"/>
    </xf>
    <xf numFmtId="0" fontId="23" fillId="0" borderId="8" xfId="22">
      <alignment vertical="top"/>
    </xf>
    <xf numFmtId="166" fontId="23" fillId="6" borderId="8" xfId="22" applyNumberFormat="1" applyFill="1">
      <alignment vertical="top"/>
    </xf>
    <xf numFmtId="0" fontId="23" fillId="0" borderId="8" xfId="22" applyAlignment="1">
      <alignment horizontal="right" vertical="top"/>
    </xf>
    <xf numFmtId="0" fontId="22" fillId="6" borderId="2" xfId="15">
      <alignment vertical="top"/>
    </xf>
    <xf numFmtId="0" fontId="4" fillId="0" borderId="0" xfId="0" applyFont="1">
      <alignment vertical="top"/>
    </xf>
    <xf numFmtId="0" fontId="16" fillId="0" borderId="7" xfId="21" applyBorder="1">
      <alignment vertical="top"/>
    </xf>
    <xf numFmtId="0" fontId="9" fillId="0" borderId="0" xfId="48">
      <alignment vertical="top"/>
    </xf>
    <xf numFmtId="0" fontId="10" fillId="0" borderId="0" xfId="21" applyFont="1">
      <alignment vertical="top"/>
    </xf>
    <xf numFmtId="0" fontId="11" fillId="0" borderId="0" xfId="21" applyFont="1" applyAlignment="1">
      <alignment horizontal="right" vertical="top"/>
    </xf>
    <xf numFmtId="0" fontId="0" fillId="0" borderId="0" xfId="0" applyAlignment="1">
      <alignment horizontal="left" vertical="top"/>
    </xf>
    <xf numFmtId="0" fontId="32" fillId="0" borderId="17" xfId="9" applyBorder="1">
      <alignment vertical="top"/>
    </xf>
    <xf numFmtId="0" fontId="16" fillId="0" borderId="17" xfId="21" applyBorder="1">
      <alignment vertical="top"/>
    </xf>
    <xf numFmtId="0" fontId="32" fillId="0" borderId="0" xfId="10">
      <alignment vertical="top"/>
    </xf>
    <xf numFmtId="0" fontId="5" fillId="8" borderId="5" xfId="20" applyFont="1">
      <alignment vertical="top"/>
    </xf>
    <xf numFmtId="42" fontId="19" fillId="5" borderId="1" xfId="4" applyFont="1" applyFill="1" applyBorder="1">
      <alignment vertical="top"/>
    </xf>
    <xf numFmtId="42" fontId="0" fillId="0" borderId="0" xfId="4" applyFont="1">
      <alignment vertical="top"/>
    </xf>
    <xf numFmtId="44" fontId="0" fillId="0" borderId="0" xfId="3" applyFont="1">
      <alignment vertical="top"/>
    </xf>
    <xf numFmtId="44" fontId="18" fillId="0" borderId="7" xfId="3" applyFont="1" applyBorder="1">
      <alignment vertical="top"/>
    </xf>
    <xf numFmtId="44" fontId="19" fillId="5" borderId="1" xfId="3" applyFont="1" applyFill="1" applyBorder="1">
      <alignment vertical="top"/>
    </xf>
    <xf numFmtId="44" fontId="23" fillId="0" borderId="8" xfId="3" applyFont="1" applyBorder="1">
      <alignment vertical="top"/>
    </xf>
    <xf numFmtId="44" fontId="23" fillId="0" borderId="8" xfId="3" applyFont="1" applyBorder="1" applyAlignment="1">
      <alignment horizontal="right" vertical="top"/>
    </xf>
    <xf numFmtId="42" fontId="18" fillId="0" borderId="7" xfId="4" applyFont="1" applyBorder="1">
      <alignment vertical="top"/>
    </xf>
    <xf numFmtId="42" fontId="6" fillId="6" borderId="2" xfId="4" applyFont="1" applyFill="1" applyBorder="1">
      <alignment vertical="top"/>
    </xf>
    <xf numFmtId="42" fontId="23" fillId="6" borderId="8" xfId="4" applyFont="1" applyFill="1" applyBorder="1">
      <alignment vertical="top"/>
    </xf>
    <xf numFmtId="42" fontId="16" fillId="0" borderId="0" xfId="4" applyFont="1">
      <alignment vertical="top"/>
    </xf>
    <xf numFmtId="42" fontId="19" fillId="5" borderId="11" xfId="4" applyFont="1" applyFill="1" applyBorder="1">
      <alignment vertical="top"/>
    </xf>
    <xf numFmtId="42" fontId="19" fillId="5" borderId="9" xfId="4" applyFont="1" applyFill="1" applyBorder="1">
      <alignment vertical="top"/>
    </xf>
    <xf numFmtId="42" fontId="8" fillId="5" borderId="14" xfId="4" applyFont="1" applyFill="1" applyBorder="1">
      <alignment vertical="top"/>
    </xf>
    <xf numFmtId="42" fontId="19" fillId="5" borderId="13" xfId="4" applyFont="1" applyFill="1" applyBorder="1">
      <alignment vertical="top"/>
    </xf>
    <xf numFmtId="42" fontId="8" fillId="5" borderId="15" xfId="4" applyFont="1" applyFill="1" applyBorder="1">
      <alignment vertical="top"/>
    </xf>
    <xf numFmtId="42" fontId="8" fillId="5" borderId="16" xfId="4" applyFont="1" applyFill="1" applyBorder="1">
      <alignment vertical="top"/>
    </xf>
    <xf numFmtId="44" fontId="16" fillId="0" borderId="0" xfId="3" applyFont="1">
      <alignment vertical="top"/>
    </xf>
    <xf numFmtId="42" fontId="22" fillId="6" borderId="2" xfId="4" applyFont="1" applyFill="1" applyBorder="1">
      <alignment vertical="top"/>
    </xf>
    <xf numFmtId="42" fontId="23" fillId="6" borderId="12" xfId="4" applyFont="1" applyFill="1" applyBorder="1">
      <alignment vertical="top"/>
    </xf>
    <xf numFmtId="42" fontId="6" fillId="33" borderId="2" xfId="4" applyFont="1" applyFill="1" applyBorder="1">
      <alignment vertical="top"/>
    </xf>
    <xf numFmtId="42" fontId="11" fillId="0" borderId="0" xfId="4" applyFont="1">
      <alignment vertical="top"/>
    </xf>
    <xf numFmtId="0" fontId="26" fillId="0" borderId="0" xfId="0" applyFont="1">
      <alignment vertical="top"/>
    </xf>
    <xf numFmtId="3" fontId="14" fillId="6" borderId="1" xfId="16" applyNumberFormat="1">
      <alignment vertical="top"/>
    </xf>
    <xf numFmtId="0" fontId="16" fillId="0" borderId="0" xfId="0" applyFont="1">
      <alignment vertical="top"/>
    </xf>
    <xf numFmtId="42" fontId="16" fillId="0" borderId="0" xfId="21" applyNumberFormat="1">
      <alignment vertical="top"/>
    </xf>
    <xf numFmtId="42" fontId="27" fillId="33" borderId="2" xfId="4" applyFont="1" applyFill="1" applyBorder="1">
      <alignment vertical="top"/>
    </xf>
    <xf numFmtId="0" fontId="0" fillId="8" borderId="5" xfId="20" applyFont="1">
      <alignment vertical="top"/>
    </xf>
    <xf numFmtId="44" fontId="22" fillId="6" borderId="2" xfId="15" applyNumberFormat="1">
      <alignment vertical="top"/>
    </xf>
    <xf numFmtId="0" fontId="28" fillId="6" borderId="2" xfId="15" applyFont="1">
      <alignment vertical="top"/>
    </xf>
    <xf numFmtId="0" fontId="19" fillId="5" borderId="1" xfId="14" applyAlignment="1">
      <alignment horizontal="left" vertical="top" wrapText="1" indent="1"/>
    </xf>
    <xf numFmtId="42" fontId="23" fillId="0" borderId="8" xfId="22" applyNumberFormat="1">
      <alignment vertical="top"/>
    </xf>
    <xf numFmtId="0" fontId="0" fillId="0" borderId="0" xfId="0" applyAlignment="1"/>
    <xf numFmtId="0" fontId="16" fillId="0" borderId="0" xfId="21" applyNumberFormat="1" applyAlignment="1"/>
    <xf numFmtId="0" fontId="0" fillId="0" borderId="0" xfId="0" applyAlignment="1">
      <alignment horizontal="center" vertical="top"/>
    </xf>
    <xf numFmtId="0" fontId="31" fillId="0" borderId="19" xfId="8" applyAlignment="1">
      <alignment horizontal="center" vertical="top"/>
    </xf>
    <xf numFmtId="0" fontId="0" fillId="0" borderId="0" xfId="0" applyAlignment="1">
      <alignment horizontal="center" textRotation="90"/>
    </xf>
    <xf numFmtId="42" fontId="31" fillId="0" borderId="19" xfId="8" applyNumberFormat="1">
      <alignment vertical="top"/>
    </xf>
    <xf numFmtId="42" fontId="32" fillId="0" borderId="20" xfId="9" applyNumberFormat="1">
      <alignment vertical="top"/>
    </xf>
    <xf numFmtId="0" fontId="16" fillId="0" borderId="19" xfId="21" applyBorder="1">
      <alignment vertical="top"/>
    </xf>
    <xf numFmtId="0" fontId="16" fillId="0" borderId="20" xfId="21" applyBorder="1">
      <alignment vertical="top"/>
    </xf>
    <xf numFmtId="44" fontId="31" fillId="0" borderId="19" xfId="8" applyNumberFormat="1">
      <alignment vertical="top"/>
    </xf>
    <xf numFmtId="0" fontId="19" fillId="5" borderId="1" xfId="14" quotePrefix="1">
      <alignment vertical="top"/>
    </xf>
    <xf numFmtId="9" fontId="16" fillId="0" borderId="19" xfId="21" applyNumberFormat="1" applyBorder="1">
      <alignment vertical="top"/>
    </xf>
    <xf numFmtId="0" fontId="31" fillId="0" borderId="18" xfId="7" applyFont="1">
      <alignment vertical="top"/>
    </xf>
    <xf numFmtId="42" fontId="31" fillId="0" borderId="18" xfId="7" applyNumberFormat="1" applyFont="1">
      <alignment vertical="top"/>
    </xf>
    <xf numFmtId="0" fontId="34" fillId="0" borderId="0" xfId="0" applyFont="1">
      <alignment vertical="top"/>
    </xf>
    <xf numFmtId="0" fontId="34" fillId="0" borderId="0" xfId="0" applyFont="1" applyAlignment="1">
      <alignment vertical="top" wrapText="1"/>
    </xf>
    <xf numFmtId="0" fontId="35" fillId="0" borderId="0" xfId="10" applyFont="1">
      <alignment vertical="top"/>
    </xf>
    <xf numFmtId="0" fontId="31" fillId="0" borderId="19" xfId="8" applyAlignment="1">
      <alignment horizontal="left" vertical="top"/>
    </xf>
    <xf numFmtId="0" fontId="37" fillId="0" borderId="0" xfId="0" applyFont="1" applyAlignment="1">
      <alignment vertical="top" wrapText="1"/>
    </xf>
    <xf numFmtId="0" fontId="16" fillId="0" borderId="0" xfId="21" applyAlignment="1">
      <alignment horizontal="left" vertical="top" wrapText="1"/>
    </xf>
    <xf numFmtId="0" fontId="16" fillId="0" borderId="18" xfId="21" applyBorder="1">
      <alignment vertical="top"/>
    </xf>
    <xf numFmtId="0" fontId="32" fillId="0" borderId="0" xfId="10" applyAlignment="1">
      <alignment vertical="top" wrapText="1"/>
    </xf>
    <xf numFmtId="41" fontId="23" fillId="0" borderId="8" xfId="2" applyFont="1" applyBorder="1">
      <alignment vertical="top"/>
    </xf>
    <xf numFmtId="0" fontId="38" fillId="0" borderId="0" xfId="10" applyFont="1">
      <alignment vertical="top"/>
    </xf>
    <xf numFmtId="42" fontId="29" fillId="0" borderId="8" xfId="4" applyFont="1" applyBorder="1">
      <alignment vertical="top"/>
    </xf>
    <xf numFmtId="0" fontId="29" fillId="0" borderId="0" xfId="0" applyFont="1">
      <alignment vertical="top"/>
    </xf>
    <xf numFmtId="0" fontId="23" fillId="0" borderId="0" xfId="0" applyFont="1">
      <alignment vertical="top"/>
    </xf>
    <xf numFmtId="3" fontId="28" fillId="6" borderId="2" xfId="15" applyNumberFormat="1" applyFont="1">
      <alignment vertical="top"/>
    </xf>
    <xf numFmtId="41" fontId="29" fillId="0" borderId="8" xfId="2" applyFont="1" applyBorder="1">
      <alignment vertical="top"/>
    </xf>
    <xf numFmtId="41" fontId="29" fillId="0" borderId="0" xfId="2" applyFont="1" applyBorder="1">
      <alignment vertical="top"/>
    </xf>
    <xf numFmtId="168" fontId="19" fillId="5" borderId="1" xfId="3" applyNumberFormat="1" applyFont="1" applyFill="1" applyBorder="1">
      <alignment vertical="top"/>
    </xf>
    <xf numFmtId="168" fontId="0" fillId="0" borderId="0" xfId="3" applyNumberFormat="1" applyFont="1">
      <alignment vertical="top"/>
    </xf>
    <xf numFmtId="0" fontId="38" fillId="0" borderId="0" xfId="10" applyFont="1" applyAlignment="1">
      <alignment horizontal="right" vertical="top"/>
    </xf>
    <xf numFmtId="0" fontId="40" fillId="6" borderId="2" xfId="15" applyFont="1">
      <alignment vertical="top"/>
    </xf>
    <xf numFmtId="42" fontId="0" fillId="0" borderId="0" xfId="0" applyNumberFormat="1">
      <alignment vertical="top"/>
    </xf>
    <xf numFmtId="41" fontId="0" fillId="0" borderId="0" xfId="0" applyNumberFormat="1">
      <alignment vertical="top"/>
    </xf>
    <xf numFmtId="3" fontId="42" fillId="6" borderId="2" xfId="15" applyNumberFormat="1" applyFont="1">
      <alignment vertical="top"/>
    </xf>
    <xf numFmtId="0" fontId="41" fillId="6" borderId="2" xfId="15" applyFont="1">
      <alignment vertical="top"/>
    </xf>
    <xf numFmtId="0" fontId="37" fillId="0" borderId="0" xfId="0" applyFont="1">
      <alignment vertical="top"/>
    </xf>
    <xf numFmtId="3" fontId="36" fillId="5" borderId="1" xfId="14" applyNumberFormat="1" applyFont="1">
      <alignment vertical="top"/>
    </xf>
    <xf numFmtId="42" fontId="41" fillId="0" borderId="8" xfId="4" applyFont="1" applyBorder="1">
      <alignment vertical="top"/>
    </xf>
    <xf numFmtId="0" fontId="43" fillId="6" borderId="2" xfId="15" applyFont="1">
      <alignment vertical="top"/>
    </xf>
    <xf numFmtId="49" fontId="16" fillId="0" borderId="0" xfId="21" quotePrefix="1" applyNumberFormat="1" applyBorder="1" applyAlignment="1">
      <alignment horizontal="right" vertical="top"/>
    </xf>
    <xf numFmtId="164" fontId="0" fillId="0" borderId="0" xfId="0" applyNumberFormat="1">
      <alignment vertical="top"/>
    </xf>
    <xf numFmtId="43" fontId="0" fillId="0" borderId="0" xfId="1" applyFont="1">
      <alignment vertical="top"/>
    </xf>
    <xf numFmtId="169" fontId="0" fillId="0" borderId="0" xfId="1" applyNumberFormat="1" applyFont="1">
      <alignment vertical="top"/>
    </xf>
    <xf numFmtId="169" fontId="23" fillId="0" borderId="0" xfId="1" applyNumberFormat="1" applyFont="1">
      <alignment vertical="top"/>
    </xf>
    <xf numFmtId="169" fontId="0" fillId="0" borderId="0" xfId="0" applyNumberFormat="1">
      <alignment vertical="top"/>
    </xf>
    <xf numFmtId="169" fontId="23" fillId="0" borderId="0" xfId="0" applyNumberFormat="1" applyFont="1">
      <alignment vertical="top"/>
    </xf>
    <xf numFmtId="170" fontId="0" fillId="0" borderId="0" xfId="1" applyNumberFormat="1" applyFont="1">
      <alignment vertical="top"/>
    </xf>
    <xf numFmtId="170" fontId="0" fillId="0" borderId="0" xfId="0" applyNumberFormat="1">
      <alignment vertical="top"/>
    </xf>
    <xf numFmtId="171" fontId="0" fillId="0" borderId="0" xfId="0" applyNumberFormat="1">
      <alignment vertical="top"/>
    </xf>
    <xf numFmtId="164" fontId="16" fillId="0" borderId="0" xfId="21" applyNumberFormat="1">
      <alignment vertical="top"/>
    </xf>
    <xf numFmtId="172" fontId="29" fillId="0" borderId="0" xfId="2" applyNumberFormat="1" applyFont="1" applyBorder="1">
      <alignment vertical="top"/>
    </xf>
    <xf numFmtId="41" fontId="0" fillId="0" borderId="0" xfId="0" applyNumberFormat="1" applyAlignment="1">
      <alignment horizontal="right" vertical="top"/>
    </xf>
    <xf numFmtId="170" fontId="29" fillId="0" borderId="0" xfId="1" applyNumberFormat="1" applyFont="1" applyBorder="1">
      <alignment vertical="top"/>
    </xf>
    <xf numFmtId="9" fontId="0" fillId="0" borderId="0" xfId="0" applyNumberFormat="1">
      <alignment vertical="top"/>
    </xf>
    <xf numFmtId="42" fontId="32" fillId="0" borderId="0" xfId="9" applyNumberFormat="1" applyBorder="1" applyAlignment="1">
      <alignment horizontal="right" vertical="top"/>
    </xf>
    <xf numFmtId="173" fontId="0" fillId="0" borderId="0" xfId="0" applyNumberFormat="1" applyAlignment="1">
      <alignment horizontal="right" vertical="top"/>
    </xf>
    <xf numFmtId="9" fontId="32" fillId="0" borderId="0" xfId="9" applyNumberFormat="1" applyBorder="1">
      <alignment vertical="top"/>
    </xf>
    <xf numFmtId="174" fontId="0" fillId="0" borderId="0" xfId="0" applyNumberFormat="1">
      <alignment vertical="top"/>
    </xf>
    <xf numFmtId="174" fontId="19" fillId="5" borderId="1" xfId="14" applyNumberFormat="1" applyAlignment="1">
      <alignment horizontal="left" vertical="center"/>
    </xf>
    <xf numFmtId="174" fontId="19" fillId="5" borderId="1" xfId="14" applyNumberFormat="1">
      <alignment vertical="top"/>
    </xf>
    <xf numFmtId="0" fontId="44" fillId="6" borderId="2" xfId="15" applyFont="1">
      <alignment vertical="top"/>
    </xf>
    <xf numFmtId="41" fontId="44" fillId="0" borderId="8" xfId="2" applyFont="1" applyBorder="1">
      <alignment vertical="top"/>
    </xf>
    <xf numFmtId="42" fontId="34" fillId="0" borderId="8" xfId="22" applyNumberFormat="1" applyFont="1">
      <alignment vertical="top"/>
    </xf>
    <xf numFmtId="3" fontId="44" fillId="6" borderId="2" xfId="15" applyNumberFormat="1" applyFont="1">
      <alignment vertical="top"/>
    </xf>
    <xf numFmtId="0" fontId="34" fillId="34" borderId="0" xfId="0" applyFont="1" applyFill="1">
      <alignment vertical="top"/>
    </xf>
    <xf numFmtId="0" fontId="0" fillId="34" borderId="0" xfId="0" applyFill="1">
      <alignment vertical="top"/>
    </xf>
    <xf numFmtId="44" fontId="0" fillId="0" borderId="21" xfId="3" applyFont="1" applyBorder="1" applyAlignment="1">
      <alignment horizontal="center" vertical="top"/>
    </xf>
    <xf numFmtId="0" fontId="36" fillId="34" borderId="0" xfId="0" applyFont="1" applyFill="1">
      <alignment vertical="top"/>
    </xf>
    <xf numFmtId="42" fontId="22" fillId="34" borderId="2" xfId="4" applyFont="1" applyFill="1" applyBorder="1">
      <alignment vertical="top"/>
    </xf>
  </cellXfs>
  <cellStyles count="50">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1" builtinId="3" customBuiltin="1"/>
    <cellStyle name="Comma [0]" xfId="2" builtinId="6" customBuiltin="1"/>
    <cellStyle name="Currency" xfId="3" builtinId="4" customBuiltin="1"/>
    <cellStyle name="Currency [0]" xfId="4" builtinId="7" customBuiltin="1"/>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48" builtinId="8"/>
    <cellStyle name="Input" xfId="14" builtinId="20" customBuiltin="1"/>
    <cellStyle name="Linked Cell" xfId="17" builtinId="24" customBuiltin="1"/>
    <cellStyle name="Millions" xfId="47" xr:uid="{EE0145F6-B2E7-46E0-ADF4-5F9008BBCF67}"/>
    <cellStyle name="Neutral" xfId="13" builtinId="28" customBuiltin="1"/>
    <cellStyle name="Normal" xfId="0" builtinId="0" customBuiltin="1"/>
    <cellStyle name="Normal 2" xfId="49" xr:uid="{3F15C7F5-F0CD-4643-91AC-E26682000385}"/>
    <cellStyle name="Note" xfId="20" builtinId="10" customBuiltin="1"/>
    <cellStyle name="Output" xfId="15" builtinId="21" customBuiltin="1"/>
    <cellStyle name="Percent" xfId="5" builtinId="5" customBuiltin="1"/>
    <cellStyle name="Title" xfId="6" builtinId="15" customBuiltin="1"/>
    <cellStyle name="Total" xfId="22" builtinId="25" customBuiltin="1"/>
    <cellStyle name="Warning Text" xfId="19" builtinId="11" customBuiltin="1"/>
  </cellStyles>
  <dxfs count="14">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i val="0"/>
        <color auto="1"/>
      </font>
    </dxf>
    <dxf>
      <font>
        <b/>
        <i val="0"/>
        <color auto="1"/>
      </font>
    </dxf>
    <dxf>
      <border>
        <top style="double">
          <color rgb="FF35585D"/>
        </top>
        <bottom style="medium">
          <color rgb="FF35585D"/>
        </bottom>
      </border>
    </dxf>
    <dxf>
      <font>
        <b/>
        <i val="0"/>
        <color theme="0"/>
      </font>
      <fill>
        <patternFill patternType="solid">
          <fgColor auto="1"/>
          <bgColor rgb="FF403A32"/>
        </patternFill>
      </fill>
      <border>
        <bottom style="medium">
          <color theme="1"/>
        </bottom>
      </border>
    </dxf>
    <dxf>
      <font>
        <color theme="1"/>
      </font>
      <border>
        <left style="thin">
          <color rgb="FF35585D"/>
        </left>
        <right style="thin">
          <color rgb="FF35585D"/>
        </right>
        <top style="thick">
          <color rgb="FF35585D"/>
        </top>
        <bottom style="thick">
          <color rgb="FF35585D"/>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i val="0"/>
        <color auto="1"/>
      </font>
    </dxf>
    <dxf>
      <font>
        <b/>
        <i val="0"/>
        <color auto="1"/>
      </font>
    </dxf>
    <dxf>
      <border>
        <top style="double">
          <color rgb="FF35585D"/>
        </top>
        <bottom style="medium">
          <color rgb="FF35585D"/>
        </bottom>
      </border>
    </dxf>
    <dxf>
      <font>
        <b/>
        <i val="0"/>
        <color theme="0"/>
      </font>
      <fill>
        <patternFill patternType="solid">
          <fgColor auto="1"/>
          <bgColor rgb="FF35585D"/>
        </patternFill>
      </fill>
      <border>
        <bottom style="medium">
          <color theme="1"/>
        </bottom>
      </border>
    </dxf>
    <dxf>
      <font>
        <color theme="1"/>
      </font>
      <border>
        <left style="thin">
          <color rgb="FF35585D"/>
        </left>
        <right style="thin">
          <color rgb="FF35585D"/>
        </right>
        <top style="thick">
          <color rgb="FF35585D"/>
        </top>
        <bottom style="thick">
          <color rgb="FF35585D"/>
        </bottom>
      </border>
    </dxf>
  </dxfs>
  <tableStyles count="2" defaultTableStyle="Whitebridge" defaultPivotStyle="PivotStyleLight16">
    <tableStyle name="Whitebridge" pivot="0" count="7" xr9:uid="{1BAEF3AD-E8C5-46D9-969A-55FEA5B40D03}">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Whitebridge 2" pivot="0" count="7" xr9:uid="{5FEDBA9F-E468-784F-8036-7DE3E5D78A6F}">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FFF9BD"/>
      <color rgb="FF00B587"/>
      <color rgb="FF3558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4DF43B-64EB-9A44-856A-8162149FE71E}" name="Table1" displayName="Table1" ref="B6:D14" totalsRowShown="0">
  <autoFilter ref="B6:D14" xr:uid="{EE4DF43B-64EB-9A44-856A-8162149FE71E}"/>
  <tableColumns count="3">
    <tableColumn id="1" xr3:uid="{26863E90-1391-584B-A82E-5C5FF8F21351}" name="Worksheet"/>
    <tableColumn id="2" xr3:uid="{51658E4B-F551-274A-BDD0-F10EF2C84B06}" name="Description"/>
    <tableColumn id="3" xr3:uid="{224E1523-D310-FA49-A6D1-0F24044D7E5A}" name="Charges"/>
  </tableColumns>
  <tableStyleInfo name="Whitebridg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hyperlink" Target="https://sfia-online.org/en/sfia-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913C0-3B50-4E47-BD2C-A44DE34B98EE}">
  <dimension ref="B1:D23"/>
  <sheetViews>
    <sheetView zoomScale="70" zoomScaleNormal="70" workbookViewId="0">
      <selection activeCell="C23" sqref="C23"/>
    </sheetView>
  </sheetViews>
  <sheetFormatPr defaultColWidth="11.140625" defaultRowHeight="15" x14ac:dyDescent="0.25"/>
  <cols>
    <col min="1" max="1" width="3.42578125" customWidth="1"/>
    <col min="2" max="2" width="25" customWidth="1"/>
    <col min="3" max="3" width="65" customWidth="1"/>
    <col min="4" max="4" width="11.140625" customWidth="1"/>
  </cols>
  <sheetData>
    <row r="1" spans="2:4" ht="24" x14ac:dyDescent="0.25">
      <c r="B1" s="1" t="s">
        <v>0</v>
      </c>
    </row>
    <row r="4" spans="2:4" x14ac:dyDescent="0.25">
      <c r="B4" t="s">
        <v>1</v>
      </c>
    </row>
    <row r="6" spans="2:4" x14ac:dyDescent="0.25">
      <c r="B6" t="s">
        <v>2</v>
      </c>
      <c r="C6" t="s">
        <v>3</v>
      </c>
      <c r="D6" t="s">
        <v>4</v>
      </c>
    </row>
    <row r="7" spans="2:4" x14ac:dyDescent="0.25">
      <c r="B7" t="s">
        <v>5</v>
      </c>
      <c r="C7" t="s">
        <v>6</v>
      </c>
      <c r="D7" t="s">
        <v>7</v>
      </c>
    </row>
    <row r="8" spans="2:4" x14ac:dyDescent="0.25">
      <c r="B8" t="s">
        <v>8</v>
      </c>
      <c r="C8" t="s">
        <v>9</v>
      </c>
      <c r="D8" t="s">
        <v>10</v>
      </c>
    </row>
    <row r="9" spans="2:4" x14ac:dyDescent="0.25">
      <c r="B9" t="s">
        <v>11</v>
      </c>
      <c r="C9" t="s">
        <v>12</v>
      </c>
      <c r="D9" t="s">
        <v>10</v>
      </c>
    </row>
    <row r="10" spans="2:4" ht="45" x14ac:dyDescent="0.25">
      <c r="B10" t="s">
        <v>13</v>
      </c>
      <c r="C10" s="15" t="s">
        <v>14</v>
      </c>
      <c r="D10" t="s">
        <v>10</v>
      </c>
    </row>
    <row r="11" spans="2:4" x14ac:dyDescent="0.25">
      <c r="B11" t="s">
        <v>15</v>
      </c>
      <c r="C11" s="15" t="s">
        <v>16</v>
      </c>
      <c r="D11" t="s">
        <v>10</v>
      </c>
    </row>
    <row r="12" spans="2:4" x14ac:dyDescent="0.25">
      <c r="B12" t="s">
        <v>17</v>
      </c>
      <c r="C12" t="s">
        <v>18</v>
      </c>
      <c r="D12" t="s">
        <v>19</v>
      </c>
    </row>
    <row r="13" spans="2:4" x14ac:dyDescent="0.25">
      <c r="B13" t="s">
        <v>20</v>
      </c>
      <c r="C13" t="s">
        <v>21</v>
      </c>
      <c r="D13" t="s">
        <v>19</v>
      </c>
    </row>
    <row r="14" spans="2:4" x14ac:dyDescent="0.25">
      <c r="B14" t="s">
        <v>22</v>
      </c>
      <c r="C14" t="s">
        <v>23</v>
      </c>
      <c r="D14" t="s">
        <v>19</v>
      </c>
    </row>
    <row r="19" spans="2:3" x14ac:dyDescent="0.25">
      <c r="B19" t="s">
        <v>24</v>
      </c>
      <c r="C19" t="s">
        <v>25</v>
      </c>
    </row>
    <row r="20" spans="2:3" x14ac:dyDescent="0.25">
      <c r="B20" t="s">
        <v>26</v>
      </c>
      <c r="C20" t="s">
        <v>27</v>
      </c>
    </row>
    <row r="21" spans="2:3" x14ac:dyDescent="0.25">
      <c r="B21" t="s">
        <v>28</v>
      </c>
      <c r="C21" t="s">
        <v>29</v>
      </c>
    </row>
    <row r="22" spans="2:3" x14ac:dyDescent="0.25">
      <c r="B22" t="s">
        <v>30</v>
      </c>
      <c r="C22" t="s">
        <v>642</v>
      </c>
    </row>
    <row r="23" spans="2:3" x14ac:dyDescent="0.25">
      <c r="B23" t="s">
        <v>31</v>
      </c>
      <c r="C23"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7D25-959F-AC4C-BD76-6D6A275B5C78}">
  <dimension ref="A1:M55"/>
  <sheetViews>
    <sheetView zoomScaleNormal="100" workbookViewId="0">
      <selection activeCell="B2" sqref="B2"/>
    </sheetView>
  </sheetViews>
  <sheetFormatPr defaultColWidth="11.140625" defaultRowHeight="15" x14ac:dyDescent="0.25"/>
  <cols>
    <col min="1" max="1" width="3.42578125" customWidth="1"/>
    <col min="2" max="2" width="3" customWidth="1"/>
    <col min="3" max="3" width="49" customWidth="1"/>
    <col min="4" max="9" width="17" customWidth="1"/>
    <col min="10" max="10" width="65" style="8" customWidth="1"/>
    <col min="11" max="12" width="13.85546875" bestFit="1" customWidth="1"/>
  </cols>
  <sheetData>
    <row r="1" spans="1:13" ht="24" x14ac:dyDescent="0.25">
      <c r="A1" s="1" t="s">
        <v>33</v>
      </c>
    </row>
    <row r="3" spans="1:13" ht="15.75" thickBot="1" x14ac:dyDescent="0.3"/>
    <row r="4" spans="1:13" ht="20.25" thickTop="1" x14ac:dyDescent="0.25">
      <c r="A4" s="2"/>
      <c r="B4" s="2" t="s">
        <v>34</v>
      </c>
      <c r="C4" s="2"/>
      <c r="D4" s="87" t="s">
        <v>35</v>
      </c>
      <c r="E4" s="87" t="s">
        <v>36</v>
      </c>
      <c r="F4" s="87" t="s">
        <v>37</v>
      </c>
      <c r="G4" s="87" t="s">
        <v>38</v>
      </c>
      <c r="H4" s="87" t="s">
        <v>39</v>
      </c>
      <c r="I4" s="87" t="s">
        <v>7</v>
      </c>
      <c r="J4" s="8" t="s">
        <v>40</v>
      </c>
    </row>
    <row r="5" spans="1:13" ht="15.75" thickBot="1" x14ac:dyDescent="0.3">
      <c r="D5" s="44"/>
      <c r="E5" s="44"/>
      <c r="F5" s="44"/>
      <c r="G5" s="44"/>
      <c r="H5" s="44"/>
      <c r="I5" s="44"/>
    </row>
    <row r="6" spans="1:13" ht="18" thickTop="1" x14ac:dyDescent="0.25">
      <c r="B6" s="3" t="s">
        <v>8</v>
      </c>
      <c r="C6" s="3"/>
      <c r="D6" s="80"/>
      <c r="E6" s="80"/>
      <c r="F6" s="80"/>
      <c r="G6" s="80"/>
      <c r="H6" s="80"/>
      <c r="I6" s="80"/>
      <c r="K6" s="8"/>
      <c r="L6" s="8"/>
      <c r="M6" s="8"/>
    </row>
    <row r="7" spans="1:13" x14ac:dyDescent="0.25">
      <c r="C7" s="38" t="s">
        <v>41</v>
      </c>
      <c r="D7" s="51">
        <f>'Monthly Recurring Charges'!AX8</f>
        <v>482083.4001727961</v>
      </c>
      <c r="E7" s="51">
        <f>'Monthly Recurring Charges'!AY8</f>
        <v>818164.3991504024</v>
      </c>
      <c r="F7" s="51">
        <f>'Monthly Recurring Charges'!AZ8</f>
        <v>793619.46717589046</v>
      </c>
      <c r="G7" s="51">
        <f>'Monthly Recurring Charges'!BA8</f>
        <v>769810.88316061383</v>
      </c>
      <c r="H7" s="51">
        <f>'Monthly Recurring Charges'!BB8</f>
        <v>746716.55666579539</v>
      </c>
      <c r="I7" s="61">
        <f t="shared" ref="I7:I14" si="0">SUM(D7:H7)</f>
        <v>3610394.7063254979</v>
      </c>
      <c r="K7" s="8"/>
      <c r="L7" s="8"/>
      <c r="M7" s="8"/>
    </row>
    <row r="8" spans="1:13" x14ac:dyDescent="0.25">
      <c r="C8" s="38" t="s">
        <v>42</v>
      </c>
      <c r="D8" s="51">
        <f>'Monthly Recurring Charges'!AX11</f>
        <v>375947.95574121369</v>
      </c>
      <c r="E8" s="51">
        <f>'Monthly Recurring Charges'!AY11</f>
        <v>618702.92144839722</v>
      </c>
      <c r="F8" s="51">
        <f>'Monthly Recurring Charges'!AZ11</f>
        <v>587767.77537597739</v>
      </c>
      <c r="G8" s="51">
        <f>'Monthly Recurring Charges'!BA11</f>
        <v>558379.38660717849</v>
      </c>
      <c r="H8" s="51">
        <f>'Monthly Recurring Charges'!BB11</f>
        <v>530460.41727681947</v>
      </c>
      <c r="I8" s="61">
        <f t="shared" si="0"/>
        <v>2671258.456449586</v>
      </c>
      <c r="K8" s="8"/>
      <c r="L8" s="8"/>
      <c r="M8" s="8"/>
    </row>
    <row r="9" spans="1:13" x14ac:dyDescent="0.25">
      <c r="C9" s="38" t="s">
        <v>43</v>
      </c>
      <c r="D9" s="51">
        <f>'Monthly Recurring Charges'!AX18</f>
        <v>1959711.1723018824</v>
      </c>
      <c r="E9" s="51">
        <f>'Monthly Recurring Charges'!AY18</f>
        <v>3225124.6721310974</v>
      </c>
      <c r="F9" s="51">
        <f>'Monthly Recurring Charges'!AZ18</f>
        <v>3027947.711328011</v>
      </c>
      <c r="G9" s="51">
        <f>'Monthly Recurring Charges'!BA18</f>
        <v>2876550.3257616106</v>
      </c>
      <c r="H9" s="51">
        <f>'Monthly Recurring Charges'!BB18</f>
        <v>2732722.8094735295</v>
      </c>
      <c r="I9" s="61">
        <f t="shared" si="0"/>
        <v>13822056.690996131</v>
      </c>
      <c r="K9" s="8"/>
      <c r="L9" s="8"/>
      <c r="M9" s="8"/>
    </row>
    <row r="10" spans="1:13" x14ac:dyDescent="0.25">
      <c r="C10" s="10" t="s">
        <v>15</v>
      </c>
      <c r="D10" s="51">
        <f>Devices!G86</f>
        <v>1209499.7196272337</v>
      </c>
      <c r="E10" s="51">
        <f>Devices!H86</f>
        <v>2008751.5290530757</v>
      </c>
      <c r="F10" s="51">
        <f>Devices!I86</f>
        <v>2391385.564832781</v>
      </c>
      <c r="G10" s="51">
        <f>Devices!J86</f>
        <v>3025907.1758108381</v>
      </c>
      <c r="H10" s="51">
        <f>Devices!K86</f>
        <v>3108123.5167601877</v>
      </c>
      <c r="I10" s="61">
        <f t="shared" si="0"/>
        <v>11743667.506084116</v>
      </c>
      <c r="K10" s="8"/>
      <c r="L10" s="8"/>
      <c r="M10" s="8"/>
    </row>
    <row r="11" spans="1:13" x14ac:dyDescent="0.25">
      <c r="C11" s="38" t="s">
        <v>44</v>
      </c>
      <c r="D11" s="51">
        <f>'Monthly Recurring Charges'!AX29</f>
        <v>210944.84798627702</v>
      </c>
      <c r="E11" s="51">
        <f>'Monthly Recurring Charges'!AY29</f>
        <v>347154.94982884452</v>
      </c>
      <c r="F11" s="51">
        <f>'Monthly Recurring Charges'!AZ29</f>
        <v>297411.48708561499</v>
      </c>
      <c r="G11" s="51">
        <f>'Monthly Recurring Charges'!BA29</f>
        <v>282540.91273133422</v>
      </c>
      <c r="H11" s="51">
        <f>'Monthly Recurring Charges'!BB29</f>
        <v>268413.86709476745</v>
      </c>
      <c r="I11" s="61">
        <f t="shared" si="0"/>
        <v>1406466.0647268381</v>
      </c>
      <c r="K11" s="8"/>
      <c r="L11" s="8"/>
      <c r="M11" s="8"/>
    </row>
    <row r="12" spans="1:13" x14ac:dyDescent="0.25">
      <c r="C12" s="38" t="s">
        <v>45</v>
      </c>
      <c r="D12" s="51">
        <f>'Monthly Recurring Charges'!AX39</f>
        <v>659134.53821616096</v>
      </c>
      <c r="E12" s="51">
        <f>'Monthly Recurring Charges'!AY39</f>
        <v>1088781.8569779245</v>
      </c>
      <c r="F12" s="51">
        <f>'Monthly Recurring Charges'!AZ39</f>
        <v>1034342.7641290284</v>
      </c>
      <c r="G12" s="51">
        <f>'Monthly Recurring Charges'!BA39</f>
        <v>982625.62592257664</v>
      </c>
      <c r="H12" s="51">
        <f>'Monthly Recurring Charges'!BB39</f>
        <v>933494.344626448</v>
      </c>
      <c r="I12" s="61">
        <f t="shared" si="0"/>
        <v>4698379.1298721386</v>
      </c>
      <c r="K12" s="8"/>
      <c r="L12" s="8"/>
      <c r="M12" s="8"/>
    </row>
    <row r="13" spans="1:13" x14ac:dyDescent="0.25">
      <c r="C13" s="38" t="s">
        <v>46</v>
      </c>
      <c r="D13" s="51">
        <f>'Monthly Recurring Charges'!AX58</f>
        <v>412009.4741408471</v>
      </c>
      <c r="E13" s="51">
        <f>'Monthly Recurring Charges'!AY58</f>
        <v>678049.87744322256</v>
      </c>
      <c r="F13" s="51">
        <f>'Monthly Recurring Charges'!AZ58</f>
        <v>644147.38357106142</v>
      </c>
      <c r="G13" s="51">
        <f>'Monthly Recurring Charges'!BA58</f>
        <v>611940.01439250843</v>
      </c>
      <c r="H13" s="51">
        <f>'Monthly Recurring Charges'!BB58</f>
        <v>581343.01367288292</v>
      </c>
      <c r="I13" s="61">
        <f t="shared" si="0"/>
        <v>2927489.7632205226</v>
      </c>
      <c r="K13" s="8"/>
      <c r="L13" s="8"/>
      <c r="M13" s="8"/>
    </row>
    <row r="14" spans="1:13" x14ac:dyDescent="0.25">
      <c r="C14" s="28" t="s">
        <v>47</v>
      </c>
      <c r="D14" s="63">
        <f>'Monthly Recurring Charges'!AX7</f>
        <v>125601.36953560669</v>
      </c>
      <c r="E14" s="63">
        <f>'Monthly Recurring Charges'!AY7</f>
        <v>206703.96815002701</v>
      </c>
      <c r="F14" s="63">
        <f>'Monthly Recurring Charges'!AZ7</f>
        <v>244328.9164421474</v>
      </c>
      <c r="G14" s="63">
        <f>'Monthly Recurring Charges'!BA7</f>
        <v>233447.17342436954</v>
      </c>
      <c r="H14" s="63">
        <f>'Monthly Recurring Charges'!BB7</f>
        <v>223109.51755748055</v>
      </c>
      <c r="I14" s="69">
        <f t="shared" si="0"/>
        <v>1033190.9451096312</v>
      </c>
      <c r="K14" s="8"/>
      <c r="L14" s="8"/>
      <c r="M14" s="8"/>
    </row>
    <row r="15" spans="1:13" ht="15.75" thickBot="1" x14ac:dyDescent="0.3">
      <c r="C15" s="9" t="s">
        <v>48</v>
      </c>
      <c r="D15" s="62">
        <f t="shared" ref="D15:I15" si="1">SUM(D7:D14)</f>
        <v>5434932.4777220171</v>
      </c>
      <c r="E15" s="62">
        <f t="shared" si="1"/>
        <v>8991434.1741829906</v>
      </c>
      <c r="F15" s="62">
        <f t="shared" si="1"/>
        <v>9020951.069940513</v>
      </c>
      <c r="G15" s="62">
        <f t="shared" si="1"/>
        <v>9341201.4978110306</v>
      </c>
      <c r="H15" s="62">
        <f t="shared" si="1"/>
        <v>9124384.0431279112</v>
      </c>
      <c r="I15" s="62">
        <f t="shared" si="1"/>
        <v>41912903.262784459</v>
      </c>
      <c r="K15" s="8"/>
      <c r="L15" s="8"/>
      <c r="M15" s="8"/>
    </row>
    <row r="16" spans="1:13" ht="16.5" thickTop="1" thickBot="1" x14ac:dyDescent="0.3">
      <c r="D16" s="44"/>
      <c r="E16" s="44"/>
      <c r="F16" s="44"/>
      <c r="G16" s="44"/>
      <c r="H16" s="44"/>
      <c r="I16" s="44"/>
      <c r="K16" s="8"/>
      <c r="L16" s="8"/>
      <c r="M16" s="8"/>
    </row>
    <row r="17" spans="2:13" ht="18" thickTop="1" x14ac:dyDescent="0.25">
      <c r="B17" s="3" t="s">
        <v>17</v>
      </c>
      <c r="C17" s="3"/>
      <c r="D17" s="80"/>
      <c r="E17" s="80"/>
      <c r="F17" s="80"/>
      <c r="G17" s="80"/>
      <c r="H17" s="80"/>
      <c r="I17" s="80">
        <f>I15+I26</f>
        <v>42504340.59509477</v>
      </c>
      <c r="K17" s="8"/>
      <c r="L17" s="8"/>
      <c r="M17" s="8"/>
    </row>
    <row r="18" spans="2:13" x14ac:dyDescent="0.25">
      <c r="C18" s="5" t="str">
        <f>'One-time Charges'!B8</f>
        <v>Transition and Transformation</v>
      </c>
      <c r="D18" s="50"/>
      <c r="E18" s="50"/>
      <c r="F18" s="50"/>
      <c r="G18" s="50"/>
      <c r="H18" s="50"/>
      <c r="I18" s="50"/>
      <c r="K18" s="8"/>
      <c r="L18" s="8"/>
      <c r="M18" s="8"/>
    </row>
    <row r="19" spans="2:13" x14ac:dyDescent="0.25">
      <c r="C19" s="38" t="str">
        <f>'One-time Charges'!C10</f>
        <v>Transition</v>
      </c>
      <c r="D19" s="51">
        <f>'One-time Charges'!H10</f>
        <v>0</v>
      </c>
      <c r="E19" s="63">
        <f>'One-time Charges'!I10</f>
        <v>0</v>
      </c>
      <c r="F19" s="63">
        <f>'One-time Charges'!J10</f>
        <v>0</v>
      </c>
      <c r="G19" s="63">
        <f>'One-time Charges'!K10</f>
        <v>0</v>
      </c>
      <c r="H19" s="63">
        <f>'One-time Charges'!L10</f>
        <v>0</v>
      </c>
      <c r="I19" s="61">
        <f t="shared" ref="I19:I24" si="2">SUM(D19:H19)</f>
        <v>0</v>
      </c>
      <c r="K19" s="8"/>
      <c r="L19" s="8"/>
      <c r="M19" s="8"/>
    </row>
    <row r="20" spans="2:13" x14ac:dyDescent="0.25">
      <c r="C20" s="38" t="str">
        <f>'One-time Charges'!C24</f>
        <v>Transformation</v>
      </c>
      <c r="D20" s="51">
        <f>'One-time Charges'!H24</f>
        <v>0</v>
      </c>
      <c r="E20" s="51">
        <f>'One-time Charges'!I24</f>
        <v>365488.93706881319</v>
      </c>
      <c r="F20" s="63">
        <f>'One-time Charges'!J24</f>
        <v>365488.93706881319</v>
      </c>
      <c r="G20" s="63">
        <f>'One-time Charges'!K24</f>
        <v>365488.93706881319</v>
      </c>
      <c r="H20" s="63">
        <f>'One-time Charges'!L24</f>
        <v>365488.93706881319</v>
      </c>
      <c r="I20" s="61">
        <f t="shared" si="2"/>
        <v>1461955.7482752528</v>
      </c>
      <c r="K20" s="8"/>
      <c r="L20" s="8"/>
      <c r="M20" s="8"/>
    </row>
    <row r="21" spans="2:13" x14ac:dyDescent="0.25">
      <c r="C21" s="38" t="str">
        <f>'One-time Charges'!C45</f>
        <v>Other – In-flight Projects or future Projects</v>
      </c>
      <c r="D21" s="51">
        <f>'One-time Charges'!H45</f>
        <v>0</v>
      </c>
      <c r="E21" s="51">
        <f>'One-time Charges'!I45</f>
        <v>131220.04991833094</v>
      </c>
      <c r="F21" s="51">
        <f>'One-time Charges'!J45</f>
        <v>131220.04991833094</v>
      </c>
      <c r="G21" s="51">
        <f>'One-time Charges'!K45</f>
        <v>131220.04991833094</v>
      </c>
      <c r="H21" s="51">
        <f>'One-time Charges'!L45</f>
        <v>454449.45845723036</v>
      </c>
      <c r="I21" s="61">
        <f t="shared" si="2"/>
        <v>848109.60821222316</v>
      </c>
      <c r="K21" s="8"/>
      <c r="L21" s="8"/>
      <c r="M21" s="8"/>
    </row>
    <row r="22" spans="2:13" x14ac:dyDescent="0.25">
      <c r="C22" s="38" t="str">
        <f>'One-time Charges'!C51</f>
        <v>Transfer of Assets</v>
      </c>
      <c r="D22" s="51">
        <f>'One-time Charges'!H51</f>
        <v>0</v>
      </c>
      <c r="E22" s="63">
        <f>'One-time Charges'!I51</f>
        <v>0</v>
      </c>
      <c r="F22" s="63">
        <f>'One-time Charges'!J51</f>
        <v>0</v>
      </c>
      <c r="G22" s="63">
        <f>'One-time Charges'!K51</f>
        <v>0</v>
      </c>
      <c r="H22" s="63">
        <f>'One-time Charges'!L51</f>
        <v>0</v>
      </c>
      <c r="I22" s="61">
        <f t="shared" si="2"/>
        <v>0</v>
      </c>
      <c r="K22" s="8"/>
    </row>
    <row r="23" spans="2:13" x14ac:dyDescent="0.25">
      <c r="C23" s="28" t="s">
        <v>47</v>
      </c>
      <c r="D23" s="63">
        <f>'One-time Charges'!H9</f>
        <v>0</v>
      </c>
      <c r="E23" s="63">
        <f>'One-time Charges'!I9</f>
        <v>0</v>
      </c>
      <c r="F23" s="63">
        <f>'One-time Charges'!J9</f>
        <v>233172.15428427016</v>
      </c>
      <c r="G23" s="63">
        <f>'One-time Charges'!K9</f>
        <v>0</v>
      </c>
      <c r="H23" s="63">
        <f>'One-time Charges'!L9</f>
        <v>0</v>
      </c>
      <c r="I23" s="69">
        <f t="shared" si="2"/>
        <v>233172.15428427016</v>
      </c>
      <c r="K23" s="8"/>
    </row>
    <row r="24" spans="2:13" ht="15.75" thickBot="1" x14ac:dyDescent="0.3">
      <c r="C24" s="9" t="s">
        <v>48</v>
      </c>
      <c r="D24" s="62">
        <f t="shared" ref="D24:H24" si="3">SUM(D19:D23)</f>
        <v>0</v>
      </c>
      <c r="E24" s="62">
        <f t="shared" si="3"/>
        <v>496708.9869871441</v>
      </c>
      <c r="F24" s="62">
        <f t="shared" si="3"/>
        <v>729881.14127141424</v>
      </c>
      <c r="G24" s="62">
        <f t="shared" si="3"/>
        <v>496708.9869871441</v>
      </c>
      <c r="H24" s="62">
        <f t="shared" si="3"/>
        <v>819938.39552604361</v>
      </c>
      <c r="I24" s="62">
        <f t="shared" si="2"/>
        <v>2543237.5107717463</v>
      </c>
      <c r="K24" s="8"/>
    </row>
    <row r="25" spans="2:13" ht="15.75" thickTop="1" x14ac:dyDescent="0.25">
      <c r="D25" s="44"/>
      <c r="E25" s="44"/>
      <c r="F25" s="44"/>
      <c r="G25" s="44"/>
      <c r="H25" s="44"/>
      <c r="I25" s="44"/>
      <c r="K25" s="8"/>
    </row>
    <row r="26" spans="2:13" x14ac:dyDescent="0.25">
      <c r="C26" s="5" t="s">
        <v>20</v>
      </c>
      <c r="D26" s="51">
        <f>'Service Requests'!I34</f>
        <v>118287.46646206159</v>
      </c>
      <c r="E26" s="51">
        <f>'Service Requests'!J34</f>
        <v>118287.46646206159</v>
      </c>
      <c r="F26" s="51">
        <f>'Service Requests'!K34</f>
        <v>118287.46646206159</v>
      </c>
      <c r="G26" s="51">
        <f>'Service Requests'!L34</f>
        <v>118287.46646206159</v>
      </c>
      <c r="H26" s="51">
        <f>'Service Requests'!M34</f>
        <v>118287.46646206159</v>
      </c>
      <c r="I26" s="61">
        <f>SUM(D26:H26)</f>
        <v>591437.332310308</v>
      </c>
      <c r="J26" s="8" t="s">
        <v>49</v>
      </c>
      <c r="K26" s="8"/>
    </row>
    <row r="27" spans="2:13" x14ac:dyDescent="0.25">
      <c r="D27" s="44"/>
      <c r="E27" s="44"/>
      <c r="F27" s="44"/>
      <c r="G27" s="44"/>
      <c r="H27" s="44"/>
      <c r="I27" s="44"/>
      <c r="K27" s="8"/>
    </row>
    <row r="28" spans="2:13" x14ac:dyDescent="0.25">
      <c r="C28" s="5" t="s">
        <v>22</v>
      </c>
      <c r="D28" s="51">
        <f>'Demand Requests'!N109</f>
        <v>299497.90101540543</v>
      </c>
      <c r="E28" s="51">
        <f t="shared" ref="E28:H28" si="4">D28</f>
        <v>299497.90101540543</v>
      </c>
      <c r="F28" s="51">
        <f t="shared" si="4"/>
        <v>299497.90101540543</v>
      </c>
      <c r="G28" s="51">
        <f t="shared" si="4"/>
        <v>299497.90101540543</v>
      </c>
      <c r="H28" s="51">
        <f t="shared" si="4"/>
        <v>299497.90101540543</v>
      </c>
      <c r="I28" s="61">
        <f>SUM(D28:H28)</f>
        <v>1497489.5050770273</v>
      </c>
      <c r="J28" s="8" t="s">
        <v>49</v>
      </c>
      <c r="K28" s="8"/>
    </row>
    <row r="29" spans="2:13" x14ac:dyDescent="0.25">
      <c r="D29" s="44"/>
      <c r="E29" s="44"/>
      <c r="F29" s="44"/>
      <c r="G29" s="44"/>
      <c r="H29" s="44"/>
      <c r="I29" s="44"/>
      <c r="K29" s="8"/>
    </row>
    <row r="30" spans="2:13" x14ac:dyDescent="0.25">
      <c r="C30" s="5" t="s">
        <v>50</v>
      </c>
      <c r="D30" s="50"/>
      <c r="E30" s="50"/>
      <c r="F30" s="50"/>
      <c r="G30" s="50"/>
      <c r="H30" s="50"/>
      <c r="I30" s="50"/>
      <c r="K30" s="8"/>
    </row>
    <row r="31" spans="2:13" x14ac:dyDescent="0.25">
      <c r="C31" s="38" t="str">
        <f>'One-time Charges'!B67</f>
        <v>Termination for Convenience Fee</v>
      </c>
      <c r="D31" s="51">
        <f>'One-time Charges'!H67</f>
        <v>6634171.2980123376</v>
      </c>
      <c r="E31" s="51">
        <f>'One-time Charges'!I67</f>
        <v>10362538.806862997</v>
      </c>
      <c r="F31" s="51">
        <f>'One-time Charges'!J67</f>
        <v>8904112.2457763702</v>
      </c>
      <c r="G31" s="51">
        <f>'One-time Charges'!K67</f>
        <v>7049765.8013960766</v>
      </c>
      <c r="H31" s="63">
        <f>'One-time Charges'!L67</f>
        <v>4020820.432121234</v>
      </c>
      <c r="I31" s="61">
        <f>SUM(D31:H31)</f>
        <v>36971408.584169015</v>
      </c>
      <c r="J31" s="8" t="s">
        <v>51</v>
      </c>
      <c r="K31" s="8"/>
    </row>
    <row r="32" spans="2:13" x14ac:dyDescent="0.25">
      <c r="C32" s="38" t="str">
        <f>'One-time Charges'!B78</f>
        <v>Remaining value Sole-use Assets</v>
      </c>
      <c r="D32" s="51">
        <f>SUM('One-time Charges'!H78:H78)</f>
        <v>0</v>
      </c>
      <c r="E32" s="51">
        <f>SUM('One-time Charges'!I78:I79)</f>
        <v>0</v>
      </c>
      <c r="F32" s="51">
        <f>SUM('One-time Charges'!J78:J79)</f>
        <v>0</v>
      </c>
      <c r="G32" s="51">
        <f>SUM('One-time Charges'!K78:K79)</f>
        <v>0</v>
      </c>
      <c r="H32" s="63">
        <f>SUM('One-time Charges'!L78:L79)</f>
        <v>0</v>
      </c>
      <c r="I32" s="61">
        <f>SUM(D32:H32)</f>
        <v>0</v>
      </c>
      <c r="J32" s="8" t="s">
        <v>52</v>
      </c>
      <c r="K32" s="8"/>
    </row>
    <row r="33" spans="1:11" x14ac:dyDescent="0.25">
      <c r="C33" s="38" t="str">
        <f>'One-time Charges'!B93</f>
        <v>Exit Assistance</v>
      </c>
      <c r="D33" s="51">
        <f>'One-time Charges'!H93</f>
        <v>629264.84328151739</v>
      </c>
      <c r="E33" s="51">
        <f>'One-time Charges'!I93</f>
        <v>629264.84328151739</v>
      </c>
      <c r="F33" s="51">
        <f>'One-time Charges'!J93</f>
        <v>629264.84328151739</v>
      </c>
      <c r="G33" s="51">
        <f>'One-time Charges'!K93</f>
        <v>629264.84328151739</v>
      </c>
      <c r="H33" s="51">
        <f>'One-time Charges'!L93</f>
        <v>629264.84328151739</v>
      </c>
      <c r="I33" s="61">
        <f>SUM(D33:H33)</f>
        <v>3146324.2164075868</v>
      </c>
      <c r="J33" s="8" t="s">
        <v>52</v>
      </c>
      <c r="K33" s="8"/>
    </row>
    <row r="34" spans="1:11" x14ac:dyDescent="0.25">
      <c r="C34" s="28" t="s">
        <v>47</v>
      </c>
      <c r="D34" s="63">
        <f>'One-time Charges'!H104</f>
        <v>0</v>
      </c>
      <c r="E34" s="63">
        <f>'One-time Charges'!I22</f>
        <v>0</v>
      </c>
      <c r="F34" s="63">
        <f>'One-time Charges'!J22</f>
        <v>0</v>
      </c>
      <c r="G34" s="63">
        <f>'One-time Charges'!K22</f>
        <v>0</v>
      </c>
      <c r="H34" s="63">
        <f>'One-time Charges'!L22</f>
        <v>0</v>
      </c>
      <c r="I34" s="69">
        <f>SUM(D34:H34)</f>
        <v>0</v>
      </c>
      <c r="J34" s="8" t="s">
        <v>52</v>
      </c>
      <c r="K34" s="8"/>
    </row>
    <row r="35" spans="1:11" ht="15.75" thickBot="1" x14ac:dyDescent="0.3">
      <c r="C35" s="9" t="s">
        <v>48</v>
      </c>
      <c r="D35" s="62">
        <f>SUM(D31:D34)</f>
        <v>7263436.1412938554</v>
      </c>
      <c r="E35" s="62">
        <f t="shared" ref="E35:H35" si="5">SUM(E31:E34)</f>
        <v>10991803.650144514</v>
      </c>
      <c r="F35" s="62">
        <f t="shared" si="5"/>
        <v>9533377.089057887</v>
      </c>
      <c r="G35" s="62">
        <f t="shared" si="5"/>
        <v>7679030.6446775943</v>
      </c>
      <c r="H35" s="62">
        <f t="shared" si="5"/>
        <v>4650085.2754027518</v>
      </c>
      <c r="I35" s="62">
        <f>SUM(D35:H35)</f>
        <v>40117732.800576605</v>
      </c>
      <c r="K35" s="8"/>
    </row>
    <row r="36" spans="1:11" ht="15.75" thickTop="1" x14ac:dyDescent="0.25">
      <c r="D36" s="44"/>
      <c r="E36" s="44"/>
      <c r="F36" s="44"/>
      <c r="G36" s="44"/>
      <c r="H36" s="44"/>
      <c r="I36" s="44"/>
      <c r="K36" s="8"/>
    </row>
    <row r="37" spans="1:11" ht="15.75" thickBot="1" x14ac:dyDescent="0.3">
      <c r="D37" s="44"/>
      <c r="E37" s="44"/>
      <c r="F37" s="44"/>
      <c r="G37" s="44"/>
      <c r="H37" s="44"/>
      <c r="I37" s="44"/>
      <c r="K37" s="8"/>
    </row>
    <row r="38" spans="1:11" ht="20.25" thickTop="1" x14ac:dyDescent="0.25">
      <c r="A38" s="2"/>
      <c r="B38" s="2" t="s">
        <v>53</v>
      </c>
      <c r="C38" s="2"/>
      <c r="D38" s="88" t="s">
        <v>35</v>
      </c>
      <c r="E38" s="88" t="s">
        <v>36</v>
      </c>
      <c r="F38" s="88" t="s">
        <v>37</v>
      </c>
      <c r="G38" s="88" t="s">
        <v>38</v>
      </c>
      <c r="H38" s="88" t="s">
        <v>39</v>
      </c>
      <c r="I38" s="88" t="s">
        <v>7</v>
      </c>
      <c r="K38" s="8"/>
    </row>
    <row r="39" spans="1:11" ht="15.75" thickBot="1" x14ac:dyDescent="0.3">
      <c r="C39" s="9" t="s">
        <v>7</v>
      </c>
      <c r="D39" s="52">
        <f>D15+D24+D26+D28</f>
        <v>5852717.8451994844</v>
      </c>
      <c r="E39" s="52">
        <f>E15+E24+E26+E28</f>
        <v>9905928.5286475997</v>
      </c>
      <c r="F39" s="52">
        <f>F15+F24+F26+F28</f>
        <v>10168617.578689393</v>
      </c>
      <c r="G39" s="52">
        <f>G15+G24+G26+G28</f>
        <v>10255695.85227564</v>
      </c>
      <c r="H39" s="52">
        <f>H15+H24+H26+H28+H32+H33+H34</f>
        <v>10991372.649412937</v>
      </c>
      <c r="I39" s="52">
        <f>SUM(D39:H39)</f>
        <v>47174332.454225056</v>
      </c>
      <c r="J39" s="8" t="s">
        <v>54</v>
      </c>
      <c r="K39" s="8"/>
    </row>
    <row r="40" spans="1:11" ht="15.75" thickTop="1" x14ac:dyDescent="0.25">
      <c r="C40" s="37" t="s">
        <v>55</v>
      </c>
      <c r="D40" s="64">
        <f>D39-D14-D23</f>
        <v>5727116.475663878</v>
      </c>
      <c r="E40" s="64">
        <f>E39-E14-E23</f>
        <v>9699224.5604975726</v>
      </c>
      <c r="F40" s="64">
        <f t="shared" ref="F40:G40" si="6">F39-F14-F23</f>
        <v>9691116.5079629757</v>
      </c>
      <c r="G40" s="64">
        <f t="shared" si="6"/>
        <v>10022248.678851271</v>
      </c>
      <c r="H40" s="64">
        <f>H39-H14-H23-H35</f>
        <v>6118177.8564527044</v>
      </c>
      <c r="I40" s="64">
        <f>SUM(I7:I13,I19:I22,I26,I28,I32:I33)-'One-time Charges'!M79</f>
        <v>48425028.727957234</v>
      </c>
      <c r="K40" s="8"/>
    </row>
    <row r="41" spans="1:11" ht="90" x14ac:dyDescent="0.25">
      <c r="H41" s="8"/>
      <c r="I41" s="8"/>
      <c r="J41" s="8" t="s">
        <v>56</v>
      </c>
    </row>
    <row r="42" spans="1:11" x14ac:dyDescent="0.25">
      <c r="H42" s="8"/>
      <c r="I42" s="8"/>
    </row>
    <row r="43" spans="1:11" x14ac:dyDescent="0.25">
      <c r="H43" s="8"/>
      <c r="I43" s="8"/>
    </row>
    <row r="44" spans="1:11" x14ac:dyDescent="0.25">
      <c r="H44" s="8"/>
      <c r="I44" s="8"/>
    </row>
    <row r="45" spans="1:11" x14ac:dyDescent="0.25">
      <c r="H45" s="8"/>
      <c r="I45" s="8"/>
    </row>
    <row r="46" spans="1:11" x14ac:dyDescent="0.25">
      <c r="H46" s="8"/>
      <c r="I46" s="8"/>
    </row>
    <row r="47" spans="1:11" x14ac:dyDescent="0.25">
      <c r="H47" s="8"/>
      <c r="I47" s="8"/>
    </row>
    <row r="48" spans="1:11" x14ac:dyDescent="0.25">
      <c r="H48" s="8"/>
      <c r="I48" s="8"/>
    </row>
    <row r="49" spans="8:9" x14ac:dyDescent="0.25">
      <c r="H49" s="8"/>
      <c r="I49" s="8"/>
    </row>
    <row r="50" spans="8:9" x14ac:dyDescent="0.25">
      <c r="H50" s="8"/>
      <c r="I50" s="8"/>
    </row>
    <row r="51" spans="8:9" x14ac:dyDescent="0.25">
      <c r="H51" s="8"/>
      <c r="I51" s="8"/>
    </row>
    <row r="52" spans="8:9" x14ac:dyDescent="0.25">
      <c r="H52" s="8"/>
      <c r="I52" s="8"/>
    </row>
    <row r="53" spans="8:9" x14ac:dyDescent="0.25">
      <c r="H53" s="8"/>
      <c r="I53" s="8"/>
    </row>
    <row r="54" spans="8:9" x14ac:dyDescent="0.25">
      <c r="H54" s="8"/>
      <c r="I54" s="8"/>
    </row>
    <row r="55" spans="8:9" x14ac:dyDescent="0.25">
      <c r="H55" s="8"/>
      <c r="I55"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6E91-7C93-6C4D-852C-C601E77DEC51}">
  <sheetPr>
    <outlinePr summaryBelow="0" summaryRight="0"/>
  </sheetPr>
  <dimension ref="A1:BG75"/>
  <sheetViews>
    <sheetView tabSelected="1" topLeftCell="A43" zoomScale="130" zoomScaleNormal="130" workbookViewId="0">
      <selection activeCell="K65" sqref="K65"/>
    </sheetView>
  </sheetViews>
  <sheetFormatPr defaultColWidth="11.140625" defaultRowHeight="15" outlineLevelCol="1" x14ac:dyDescent="0.25"/>
  <cols>
    <col min="1" max="1" width="2.85546875" customWidth="1"/>
    <col min="2" max="2" width="3" customWidth="1"/>
    <col min="3" max="3" width="44" bestFit="1" customWidth="1"/>
    <col min="4" max="4" width="17" customWidth="1" outlineLevel="1"/>
    <col min="5" max="6" width="8.85546875" customWidth="1" outlineLevel="1"/>
    <col min="7" max="7" width="34.42578125" bestFit="1" customWidth="1" outlineLevel="1"/>
    <col min="8" max="8" width="2.85546875" customWidth="1"/>
    <col min="9" max="13" width="15" customWidth="1" outlineLevel="1"/>
    <col min="14" max="14" width="3" customWidth="1"/>
    <col min="15" max="15" width="11.140625" outlineLevel="1"/>
    <col min="16" max="27" width="11.140625" customWidth="1" outlineLevel="1"/>
    <col min="28" max="28" width="3" customWidth="1" outlineLevel="1"/>
    <col min="29" max="40" width="11.140625" customWidth="1" outlineLevel="1"/>
    <col min="41" max="41" width="3" customWidth="1" outlineLevel="1"/>
    <col min="42" max="42" width="7" customWidth="1" outlineLevel="1"/>
    <col min="43" max="43" width="3" customWidth="1"/>
    <col min="44" max="48" width="11.140625" outlineLevel="1"/>
    <col min="49" max="49" width="3" customWidth="1"/>
    <col min="50" max="54" width="17" customWidth="1" outlineLevel="1"/>
    <col min="55" max="55" width="3" customWidth="1" outlineLevel="1"/>
    <col min="56" max="56" width="17" customWidth="1" outlineLevel="1"/>
    <col min="57" max="57" width="3" customWidth="1"/>
    <col min="58" max="58" width="65" style="6" customWidth="1" outlineLevel="1"/>
    <col min="59" max="59" width="104" style="6" bestFit="1" customWidth="1" outlineLevel="1"/>
  </cols>
  <sheetData>
    <row r="1" spans="1:59" ht="24" x14ac:dyDescent="0.25">
      <c r="A1" s="1" t="s">
        <v>57</v>
      </c>
    </row>
    <row r="2" spans="1:59" x14ac:dyDescent="0.25">
      <c r="BD2" s="118">
        <f>BD3/BD5</f>
        <v>2.0354609196886808</v>
      </c>
    </row>
    <row r="3" spans="1:59"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28" t="s">
        <v>58</v>
      </c>
      <c r="AP3" s="12"/>
      <c r="AR3" s="11"/>
      <c r="AS3" s="11"/>
      <c r="AT3" s="11"/>
      <c r="AU3" s="11"/>
      <c r="AV3" s="11"/>
      <c r="AW3" s="11"/>
      <c r="AX3" s="11"/>
      <c r="AY3" s="11"/>
      <c r="AZ3" s="11"/>
      <c r="BA3" s="11"/>
      <c r="BB3" s="11"/>
      <c r="BC3" s="11"/>
      <c r="BD3" s="11">
        <f>SUBTOTAL(9,BD6:BD63)</f>
        <v>59305280.568291061</v>
      </c>
      <c r="BE3" s="11"/>
      <c r="BF3" s="21"/>
      <c r="BG3" s="21"/>
    </row>
    <row r="4" spans="1:59" x14ac:dyDescent="0.25">
      <c r="A4" s="11"/>
      <c r="B4" s="11" t="s">
        <v>59</v>
      </c>
      <c r="C4" s="11"/>
      <c r="D4" s="11"/>
      <c r="E4" s="11"/>
      <c r="F4" s="11"/>
      <c r="G4" s="11"/>
      <c r="H4" s="11" t="s">
        <v>60</v>
      </c>
      <c r="I4" s="11" t="s">
        <v>61</v>
      </c>
      <c r="J4" s="11"/>
      <c r="K4" s="11"/>
      <c r="L4" s="11"/>
      <c r="M4" s="11"/>
      <c r="N4" s="11" t="s">
        <v>62</v>
      </c>
      <c r="O4" s="11" t="s">
        <v>63</v>
      </c>
      <c r="P4" s="11"/>
      <c r="Q4" s="11"/>
      <c r="R4" s="11"/>
      <c r="S4" s="11"/>
      <c r="T4" s="11"/>
      <c r="U4" s="11"/>
      <c r="V4" s="11"/>
      <c r="W4" s="11"/>
      <c r="X4" s="11"/>
      <c r="Y4" s="11"/>
      <c r="Z4" s="11"/>
      <c r="AA4" s="11"/>
      <c r="AB4" s="11"/>
      <c r="AC4" s="11"/>
      <c r="AD4" s="11"/>
      <c r="AE4" s="11"/>
      <c r="AF4" s="11"/>
      <c r="AG4" s="11"/>
      <c r="AH4" s="11"/>
      <c r="AI4" s="11"/>
      <c r="AJ4" s="11"/>
      <c r="AK4" s="11"/>
      <c r="AL4" s="11"/>
      <c r="AM4" s="11"/>
      <c r="AN4" s="11"/>
      <c r="AP4" s="28" t="s">
        <v>64</v>
      </c>
      <c r="AQ4" s="11" t="s">
        <v>644</v>
      </c>
      <c r="AR4" s="11"/>
      <c r="AS4" s="11"/>
      <c r="AT4" s="11"/>
      <c r="AU4" s="11"/>
      <c r="AV4" s="11"/>
      <c r="AW4" s="11" t="s">
        <v>643</v>
      </c>
      <c r="AX4" s="11" t="s">
        <v>65</v>
      </c>
      <c r="AY4" s="134"/>
      <c r="AZ4" s="134"/>
      <c r="BA4" s="134"/>
      <c r="BB4" s="134"/>
      <c r="BC4" s="11"/>
      <c r="BD4" s="11"/>
      <c r="BE4" s="11" t="s">
        <v>645</v>
      </c>
      <c r="BF4" s="21"/>
      <c r="BG4" s="21"/>
    </row>
    <row r="5" spans="1:59" x14ac:dyDescent="0.25">
      <c r="A5" s="11"/>
      <c r="B5" s="11"/>
      <c r="C5" s="11" t="s">
        <v>66</v>
      </c>
      <c r="D5" s="11"/>
      <c r="E5" s="11"/>
      <c r="F5" s="11"/>
      <c r="G5" s="11"/>
      <c r="H5" s="11"/>
      <c r="J5" s="11"/>
      <c r="K5" s="11"/>
      <c r="L5" s="11"/>
      <c r="M5" s="11"/>
      <c r="N5" s="11"/>
      <c r="O5" s="11"/>
      <c r="P5" s="11" t="s">
        <v>67</v>
      </c>
      <c r="Q5" s="11"/>
      <c r="R5" s="11"/>
      <c r="S5" s="11"/>
      <c r="T5" s="11"/>
      <c r="U5" s="11"/>
      <c r="V5" s="11"/>
      <c r="W5" s="11"/>
      <c r="X5" s="11"/>
      <c r="Y5" s="11"/>
      <c r="Z5" s="11"/>
      <c r="AA5" s="11"/>
      <c r="AB5" s="11"/>
      <c r="AC5" s="11" t="s">
        <v>68</v>
      </c>
      <c r="AD5" s="11"/>
      <c r="AE5" s="11"/>
      <c r="AF5" s="11"/>
      <c r="AG5" s="11"/>
      <c r="AH5" s="11"/>
      <c r="AI5" s="11"/>
      <c r="AJ5" s="11"/>
      <c r="AK5" s="11"/>
      <c r="AL5" s="11"/>
      <c r="AM5" s="11"/>
      <c r="AN5" s="11"/>
      <c r="AO5" s="11"/>
      <c r="AP5" s="11"/>
      <c r="AQ5" s="11"/>
      <c r="AR5" s="21" t="s">
        <v>69</v>
      </c>
      <c r="AS5" s="11"/>
      <c r="AT5" s="11"/>
      <c r="AU5" s="11"/>
      <c r="AV5" s="11"/>
      <c r="AW5" s="11"/>
      <c r="AX5" s="132">
        <f t="shared" ref="AX5:BB5" si="0">AX8+AX11+AX18+AX29+AX39+AX58</f>
        <v>4099831.3885591775</v>
      </c>
      <c r="AY5" s="132">
        <f t="shared" si="0"/>
        <v>6775978.6769798882</v>
      </c>
      <c r="AZ5" s="132">
        <f t="shared" si="0"/>
        <v>6385236.5886655841</v>
      </c>
      <c r="BA5" s="132">
        <f t="shared" si="0"/>
        <v>6081847.1485758228</v>
      </c>
      <c r="BB5" s="132">
        <f t="shared" si="0"/>
        <v>5793151.0088102426</v>
      </c>
      <c r="BC5" s="11"/>
      <c r="BD5" s="132">
        <f>BD8+BD11+BD18+BD29+BD39+BD58</f>
        <v>29136044.811590716</v>
      </c>
      <c r="BE5" s="11"/>
      <c r="BF5" s="21"/>
      <c r="BG5" s="21"/>
    </row>
    <row r="6" spans="1:59" ht="15.75" thickBot="1" x14ac:dyDescent="0.3">
      <c r="A6" s="39"/>
      <c r="B6" s="39"/>
      <c r="C6" s="39"/>
      <c r="D6" s="39" t="s">
        <v>70</v>
      </c>
      <c r="E6" s="39" t="s">
        <v>71</v>
      </c>
      <c r="F6" s="39" t="s">
        <v>72</v>
      </c>
      <c r="G6" s="39" t="s">
        <v>73</v>
      </c>
      <c r="H6" s="39"/>
      <c r="I6" s="39" t="s">
        <v>35</v>
      </c>
      <c r="J6" s="39" t="s">
        <v>36</v>
      </c>
      <c r="K6" s="39" t="s">
        <v>37</v>
      </c>
      <c r="L6" s="39" t="s">
        <v>38</v>
      </c>
      <c r="M6" s="39" t="s">
        <v>39</v>
      </c>
      <c r="N6" s="39"/>
      <c r="O6" s="39" t="s">
        <v>74</v>
      </c>
      <c r="P6" s="39">
        <v>1</v>
      </c>
      <c r="Q6" s="39">
        <v>2</v>
      </c>
      <c r="R6" s="39">
        <v>3</v>
      </c>
      <c r="S6" s="39">
        <v>4</v>
      </c>
      <c r="T6" s="39">
        <v>5</v>
      </c>
      <c r="U6" s="39">
        <v>6</v>
      </c>
      <c r="V6" s="39">
        <v>7</v>
      </c>
      <c r="W6" s="39">
        <v>8</v>
      </c>
      <c r="X6" s="39">
        <v>9</v>
      </c>
      <c r="Y6" s="39">
        <v>10</v>
      </c>
      <c r="Z6" s="39">
        <v>11</v>
      </c>
      <c r="AA6" s="39">
        <v>12</v>
      </c>
      <c r="AB6" s="39"/>
      <c r="AC6" s="39">
        <v>1</v>
      </c>
      <c r="AD6" s="39">
        <v>2</v>
      </c>
      <c r="AE6" s="39">
        <v>3</v>
      </c>
      <c r="AF6" s="39">
        <v>4</v>
      </c>
      <c r="AG6" s="39">
        <v>5</v>
      </c>
      <c r="AH6" s="39">
        <v>6</v>
      </c>
      <c r="AI6" s="39">
        <v>7</v>
      </c>
      <c r="AJ6" s="39">
        <v>8</v>
      </c>
      <c r="AK6" s="39">
        <v>9</v>
      </c>
      <c r="AL6" s="39">
        <v>10</v>
      </c>
      <c r="AM6" s="39">
        <v>11</v>
      </c>
      <c r="AN6" s="39">
        <v>12</v>
      </c>
      <c r="AO6" s="39"/>
      <c r="AP6" s="39"/>
      <c r="AQ6" s="39"/>
      <c r="AR6" s="39" t="s">
        <v>35</v>
      </c>
      <c r="AS6" s="39" t="s">
        <v>36</v>
      </c>
      <c r="AT6" s="39" t="s">
        <v>37</v>
      </c>
      <c r="AU6" s="39" t="s">
        <v>38</v>
      </c>
      <c r="AV6" s="39" t="s">
        <v>39</v>
      </c>
      <c r="AW6" s="39"/>
      <c r="AX6" s="39" t="s">
        <v>35</v>
      </c>
      <c r="AY6" s="39" t="s">
        <v>36</v>
      </c>
      <c r="AZ6" s="39" t="s">
        <v>37</v>
      </c>
      <c r="BA6" s="39" t="s">
        <v>38</v>
      </c>
      <c r="BB6" s="39" t="s">
        <v>39</v>
      </c>
      <c r="BC6" s="39"/>
      <c r="BD6" s="39" t="s">
        <v>7</v>
      </c>
      <c r="BE6" s="39"/>
      <c r="BF6" s="40" t="s">
        <v>40</v>
      </c>
      <c r="BG6" s="40" t="s">
        <v>75</v>
      </c>
    </row>
    <row r="7" spans="1:59" s="6" customFormat="1" ht="15.75" thickBot="1" x14ac:dyDescent="0.3">
      <c r="I7" s="60"/>
      <c r="J7" s="60"/>
      <c r="K7" s="60"/>
      <c r="L7" s="60"/>
      <c r="M7" s="60"/>
      <c r="P7" s="6">
        <v>1</v>
      </c>
      <c r="Q7" s="6">
        <f>P7+1</f>
        <v>2</v>
      </c>
      <c r="R7" s="6">
        <f t="shared" ref="R7:AN7" si="1">Q7+1</f>
        <v>3</v>
      </c>
      <c r="S7" s="6">
        <f t="shared" si="1"/>
        <v>4</v>
      </c>
      <c r="T7" s="6">
        <f t="shared" si="1"/>
        <v>5</v>
      </c>
      <c r="U7" s="6">
        <f t="shared" si="1"/>
        <v>6</v>
      </c>
      <c r="V7" s="6">
        <f t="shared" si="1"/>
        <v>7</v>
      </c>
      <c r="W7" s="6">
        <f t="shared" si="1"/>
        <v>8</v>
      </c>
      <c r="X7" s="6">
        <f t="shared" si="1"/>
        <v>9</v>
      </c>
      <c r="Y7" s="6">
        <f t="shared" si="1"/>
        <v>10</v>
      </c>
      <c r="Z7" s="6">
        <f t="shared" si="1"/>
        <v>11</v>
      </c>
      <c r="AA7" s="6">
        <f t="shared" si="1"/>
        <v>12</v>
      </c>
      <c r="AC7" s="6">
        <f>AA7+1</f>
        <v>13</v>
      </c>
      <c r="AD7" s="6">
        <f t="shared" si="1"/>
        <v>14</v>
      </c>
      <c r="AE7" s="6">
        <f t="shared" si="1"/>
        <v>15</v>
      </c>
      <c r="AF7" s="6">
        <f t="shared" si="1"/>
        <v>16</v>
      </c>
      <c r="AG7" s="6">
        <f t="shared" si="1"/>
        <v>17</v>
      </c>
      <c r="AH7" s="6">
        <f t="shared" si="1"/>
        <v>18</v>
      </c>
      <c r="AI7" s="6">
        <f t="shared" si="1"/>
        <v>19</v>
      </c>
      <c r="AJ7" s="6">
        <f t="shared" si="1"/>
        <v>20</v>
      </c>
      <c r="AK7" s="6">
        <f t="shared" si="1"/>
        <v>21</v>
      </c>
      <c r="AL7" s="6">
        <f t="shared" si="1"/>
        <v>22</v>
      </c>
      <c r="AM7" s="6">
        <f t="shared" si="1"/>
        <v>23</v>
      </c>
      <c r="AN7" s="6">
        <f t="shared" si="1"/>
        <v>24</v>
      </c>
      <c r="AT7" s="6">
        <v>12</v>
      </c>
      <c r="AU7" s="6">
        <v>12</v>
      </c>
      <c r="AV7" s="6">
        <v>12</v>
      </c>
      <c r="AX7" s="53">
        <f>SUMIFS(AX8:AX63,$G8:$G63,"Option")</f>
        <v>125601.36953560669</v>
      </c>
      <c r="AY7" s="53">
        <f>SUMIFS(AY8:AY63,$G8:$G63,"Option")</f>
        <v>206703.96815002701</v>
      </c>
      <c r="AZ7" s="53">
        <f>SUMIFS(AZ8:AZ63,$G8:$G63,"Option")</f>
        <v>244328.9164421474</v>
      </c>
      <c r="BA7" s="53">
        <f>SUMIFS(BA8:BA63,$G8:$G63,"Option")</f>
        <v>233447.17342436954</v>
      </c>
      <c r="BB7" s="53">
        <f>SUMIFS(BB8:BB63,$G8:$G63,"Option")</f>
        <v>223109.51755748055</v>
      </c>
      <c r="BC7" s="53"/>
      <c r="BD7" s="53"/>
      <c r="BF7" s="6" t="s">
        <v>76</v>
      </c>
    </row>
    <row r="8" spans="1:59" ht="18" thickTop="1" x14ac:dyDescent="0.25">
      <c r="A8" s="3"/>
      <c r="B8" s="3" t="s">
        <v>41</v>
      </c>
      <c r="C8" s="3"/>
      <c r="D8" s="3"/>
      <c r="E8" s="3"/>
      <c r="F8" s="3"/>
      <c r="G8" s="3"/>
      <c r="H8" s="3"/>
      <c r="I8" s="84"/>
      <c r="J8" s="84"/>
      <c r="K8" s="84"/>
      <c r="L8" s="84"/>
      <c r="M8" s="84"/>
      <c r="N8" s="3"/>
      <c r="O8" s="3"/>
      <c r="P8" s="86">
        <f t="shared" ref="P8:AA8" si="2">IF(P$7&lt;$AP$8,percPreTargetAdjustment,0%)</f>
        <v>0</v>
      </c>
      <c r="Q8" s="86">
        <f t="shared" si="2"/>
        <v>0</v>
      </c>
      <c r="R8" s="86">
        <f t="shared" si="2"/>
        <v>0</v>
      </c>
      <c r="S8" s="86">
        <f t="shared" si="2"/>
        <v>0</v>
      </c>
      <c r="T8" s="86">
        <f t="shared" si="2"/>
        <v>0</v>
      </c>
      <c r="U8" s="86">
        <f t="shared" si="2"/>
        <v>0</v>
      </c>
      <c r="V8" s="86">
        <f t="shared" si="2"/>
        <v>0</v>
      </c>
      <c r="W8" s="86">
        <f t="shared" si="2"/>
        <v>0</v>
      </c>
      <c r="X8" s="86">
        <f t="shared" si="2"/>
        <v>0</v>
      </c>
      <c r="Y8" s="86">
        <f t="shared" si="2"/>
        <v>0</v>
      </c>
      <c r="Z8" s="86">
        <f t="shared" si="2"/>
        <v>0</v>
      </c>
      <c r="AA8" s="86">
        <f t="shared" si="2"/>
        <v>0</v>
      </c>
      <c r="AB8" s="82"/>
      <c r="AC8" s="86">
        <f t="shared" ref="AC8:AN8" si="3">IF(AC$7&lt;$AP$8,percPreTargetAdjustment,0%)</f>
        <v>0</v>
      </c>
      <c r="AD8" s="86">
        <f t="shared" si="3"/>
        <v>0</v>
      </c>
      <c r="AE8" s="86">
        <f t="shared" si="3"/>
        <v>0</v>
      </c>
      <c r="AF8" s="86">
        <f t="shared" si="3"/>
        <v>0</v>
      </c>
      <c r="AG8" s="86">
        <f t="shared" si="3"/>
        <v>0</v>
      </c>
      <c r="AH8" s="86">
        <f t="shared" si="3"/>
        <v>0</v>
      </c>
      <c r="AI8" s="86">
        <f t="shared" si="3"/>
        <v>0</v>
      </c>
      <c r="AJ8" s="86">
        <f t="shared" si="3"/>
        <v>0</v>
      </c>
      <c r="AK8" s="86">
        <f t="shared" si="3"/>
        <v>0</v>
      </c>
      <c r="AL8" s="86">
        <f t="shared" si="3"/>
        <v>0</v>
      </c>
      <c r="AM8" s="86">
        <f t="shared" si="3"/>
        <v>0</v>
      </c>
      <c r="AN8" s="86">
        <f t="shared" si="3"/>
        <v>0</v>
      </c>
      <c r="AO8" s="82"/>
      <c r="AP8" s="20">
        <v>8</v>
      </c>
      <c r="AQ8" s="3"/>
      <c r="AR8" s="3"/>
      <c r="AS8" s="3"/>
      <c r="AT8" s="3"/>
      <c r="AU8" s="3"/>
      <c r="AV8" s="3"/>
      <c r="AW8" s="3"/>
      <c r="AX8" s="80">
        <f>SUMIFS(AX9:AX10,$G9:$G10,"&lt;&gt;Option")</f>
        <v>482083.4001727961</v>
      </c>
      <c r="AY8" s="80">
        <f>SUMIFS(AY9:AY10,$G9:$G10,"&lt;&gt;Option")</f>
        <v>818164.3991504024</v>
      </c>
      <c r="AZ8" s="80">
        <f>SUMIFS(AZ9:AZ10,$G9:$G10,"&lt;&gt;Option")</f>
        <v>793619.46717589046</v>
      </c>
      <c r="BA8" s="80">
        <f>SUMIFS(BA9:BA10,$G9:$G10,"&lt;&gt;Option")</f>
        <v>769810.88316061383</v>
      </c>
      <c r="BB8" s="80">
        <f>SUMIFS(BB9:BB10,$G9:$G10,"&lt;&gt;Option")</f>
        <v>746716.55666579539</v>
      </c>
      <c r="BC8" s="80"/>
      <c r="BD8" s="80">
        <f>SUM(AX8:BB8)</f>
        <v>3610394.7063254979</v>
      </c>
      <c r="BE8" s="3"/>
      <c r="BF8" s="82" t="s">
        <v>77</v>
      </c>
      <c r="BG8" s="82"/>
    </row>
    <row r="9" spans="1:59" x14ac:dyDescent="0.25">
      <c r="C9" t="s">
        <v>78</v>
      </c>
      <c r="D9" t="s">
        <v>79</v>
      </c>
      <c r="E9" t="s">
        <v>80</v>
      </c>
      <c r="F9" t="s">
        <v>81</v>
      </c>
      <c r="I9" s="47">
        <v>68869.057167542313</v>
      </c>
      <c r="J9" s="47">
        <v>68180.366595866886</v>
      </c>
      <c r="K9" s="47">
        <v>66134.955597990876</v>
      </c>
      <c r="L9" s="47">
        <v>64150.906930051155</v>
      </c>
      <c r="M9" s="47">
        <v>62226.379722149613</v>
      </c>
      <c r="O9" s="13">
        <v>1</v>
      </c>
      <c r="P9" s="14"/>
      <c r="Q9" s="14"/>
      <c r="R9" s="14"/>
      <c r="S9" s="14"/>
      <c r="T9" s="14"/>
      <c r="U9" s="14">
        <f t="shared" ref="U9:AA9" si="4">$O$9</f>
        <v>1</v>
      </c>
      <c r="V9" s="14">
        <f t="shared" si="4"/>
        <v>1</v>
      </c>
      <c r="W9" s="14">
        <f t="shared" si="4"/>
        <v>1</v>
      </c>
      <c r="X9" s="14">
        <f t="shared" si="4"/>
        <v>1</v>
      </c>
      <c r="Y9" s="14">
        <f t="shared" si="4"/>
        <v>1</v>
      </c>
      <c r="Z9" s="14">
        <f t="shared" si="4"/>
        <v>1</v>
      </c>
      <c r="AA9" s="14">
        <f t="shared" si="4"/>
        <v>1</v>
      </c>
      <c r="AC9" s="14">
        <f>$O$9</f>
        <v>1</v>
      </c>
      <c r="AD9" s="14">
        <f t="shared" ref="AD9:AN9" si="5">$O$9</f>
        <v>1</v>
      </c>
      <c r="AE9" s="14">
        <f t="shared" si="5"/>
        <v>1</v>
      </c>
      <c r="AF9" s="14">
        <f t="shared" si="5"/>
        <v>1</v>
      </c>
      <c r="AG9" s="14">
        <f t="shared" si="5"/>
        <v>1</v>
      </c>
      <c r="AH9" s="14">
        <f t="shared" si="5"/>
        <v>1</v>
      </c>
      <c r="AI9" s="14">
        <f t="shared" si="5"/>
        <v>1</v>
      </c>
      <c r="AJ9" s="14">
        <f t="shared" si="5"/>
        <v>1</v>
      </c>
      <c r="AK9" s="14">
        <f t="shared" si="5"/>
        <v>1</v>
      </c>
      <c r="AL9" s="14">
        <f t="shared" si="5"/>
        <v>1</v>
      </c>
      <c r="AM9" s="14">
        <f t="shared" si="5"/>
        <v>1</v>
      </c>
      <c r="AN9" s="14">
        <f t="shared" si="5"/>
        <v>1</v>
      </c>
      <c r="AR9" s="66">
        <f>IFERROR(AVERAGE(P9:AA9),0)</f>
        <v>1</v>
      </c>
      <c r="AS9" s="66">
        <f>IFERROR(AVERAGE(AC9:AN9),0)</f>
        <v>1</v>
      </c>
      <c r="AT9" s="13">
        <f>O9</f>
        <v>1</v>
      </c>
      <c r="AU9" s="13">
        <f>AT9</f>
        <v>1</v>
      </c>
      <c r="AV9" s="13">
        <f>AU9</f>
        <v>1</v>
      </c>
      <c r="AX9" s="61">
        <f>P9*(I9*(100%+P$8))+Q9*(I9*(100%+Q$8))+R9*(I9*(100%+R$8))+S9*(I9*(100%+S$8))+T9*(I9*(100%+T$8))+U9*(I9*(100%+U$8))+V9*(I9*(100%+V$8))+W9*(I9*(100%+W$8))+X9*(I9*(100%+X$8))+Y9*(I9*(100%+Y$8))+Z9*(I9*(100%+Z$8))+AA9*(I9*(100%+AA$8))</f>
        <v>482083.4001727961</v>
      </c>
      <c r="AY9" s="61">
        <f>AC9*(J9*(100%+AC$8))+AD9*(J9*(100%+AD$8))+AE9*(J9*(100%+AE$8))+AF9*(J9*(100%+AF$8))+AG9*(J9*(100%+AG$8))+AH9*(J9*(100%+AH$8))+AI9*(J9*(100%+AI$8))+AJ9*(J9*(100%+AJ$8))+AK9*(J9*(100%+AK$8))+AL9*(J9*(100%+AL$8))+AM9*(J9*(100%+AM$8))+AN9*(J9*(100%+AN$8))</f>
        <v>818164.3991504024</v>
      </c>
      <c r="AZ9" s="61">
        <f>K9*AT9*AT$7</f>
        <v>793619.46717589046</v>
      </c>
      <c r="BA9" s="61">
        <f>L9*AU9*AU$7</f>
        <v>769810.88316061383</v>
      </c>
      <c r="BB9" s="61">
        <f>M9*AV9*AV$7</f>
        <v>746716.55666579539</v>
      </c>
      <c r="BC9" s="53"/>
      <c r="BD9" s="61">
        <f>SUM(AX9:BB9)</f>
        <v>3610394.7063254979</v>
      </c>
      <c r="BE9" s="6"/>
      <c r="BF9" s="6" t="s">
        <v>82</v>
      </c>
    </row>
    <row r="10" spans="1:59" ht="15.75" thickBot="1" x14ac:dyDescent="0.3">
      <c r="I10" s="45"/>
      <c r="J10" s="45"/>
      <c r="K10" s="45"/>
      <c r="L10" s="45"/>
      <c r="M10" s="45"/>
      <c r="AX10" s="44"/>
      <c r="AY10" s="44"/>
      <c r="AZ10" s="44"/>
      <c r="BA10" s="44"/>
      <c r="BB10" s="44"/>
      <c r="BC10" s="44"/>
      <c r="BD10" s="44"/>
    </row>
    <row r="11" spans="1:59" ht="18" thickTop="1" x14ac:dyDescent="0.25">
      <c r="A11" s="3"/>
      <c r="B11" s="3" t="s">
        <v>42</v>
      </c>
      <c r="C11" s="3"/>
      <c r="D11" s="3"/>
      <c r="E11" s="3"/>
      <c r="F11" s="3"/>
      <c r="G11" s="3"/>
      <c r="H11" s="3"/>
      <c r="I11" s="84"/>
      <c r="J11" s="84"/>
      <c r="K11" s="84"/>
      <c r="L11" s="84"/>
      <c r="M11" s="84"/>
      <c r="N11" s="3"/>
      <c r="O11" s="3"/>
      <c r="P11" s="86">
        <f t="shared" ref="P11:AA11" si="6">IF(P$7&lt;$AP$11,percPreTargetAdjustment,0%)</f>
        <v>0</v>
      </c>
      <c r="Q11" s="86">
        <f t="shared" si="6"/>
        <v>0</v>
      </c>
      <c r="R11" s="86">
        <f t="shared" si="6"/>
        <v>0</v>
      </c>
      <c r="S11" s="86">
        <f t="shared" si="6"/>
        <v>0</v>
      </c>
      <c r="T11" s="86">
        <f t="shared" si="6"/>
        <v>0</v>
      </c>
      <c r="U11" s="86">
        <f t="shared" si="6"/>
        <v>0</v>
      </c>
      <c r="V11" s="86">
        <f t="shared" si="6"/>
        <v>0</v>
      </c>
      <c r="W11" s="86">
        <f t="shared" si="6"/>
        <v>0</v>
      </c>
      <c r="X11" s="86">
        <f t="shared" si="6"/>
        <v>0</v>
      </c>
      <c r="Y11" s="86">
        <f t="shared" si="6"/>
        <v>0</v>
      </c>
      <c r="Z11" s="86">
        <f t="shared" si="6"/>
        <v>0</v>
      </c>
      <c r="AA11" s="86">
        <f t="shared" si="6"/>
        <v>0</v>
      </c>
      <c r="AB11" s="82"/>
      <c r="AC11" s="86">
        <f t="shared" ref="AC11:AN11" si="7">IF(AC$7&lt;$AP$11,percPreTargetAdjustment,0%)</f>
        <v>0</v>
      </c>
      <c r="AD11" s="86">
        <f t="shared" si="7"/>
        <v>0</v>
      </c>
      <c r="AE11" s="86">
        <f t="shared" si="7"/>
        <v>0</v>
      </c>
      <c r="AF11" s="86">
        <f t="shared" si="7"/>
        <v>0</v>
      </c>
      <c r="AG11" s="86">
        <f t="shared" si="7"/>
        <v>0</v>
      </c>
      <c r="AH11" s="86">
        <f t="shared" si="7"/>
        <v>0</v>
      </c>
      <c r="AI11" s="86">
        <f t="shared" si="7"/>
        <v>0</v>
      </c>
      <c r="AJ11" s="86">
        <f t="shared" si="7"/>
        <v>0</v>
      </c>
      <c r="AK11" s="86">
        <f t="shared" si="7"/>
        <v>0</v>
      </c>
      <c r="AL11" s="86">
        <f t="shared" si="7"/>
        <v>0</v>
      </c>
      <c r="AM11" s="86">
        <f t="shared" si="7"/>
        <v>0</v>
      </c>
      <c r="AN11" s="86">
        <f t="shared" si="7"/>
        <v>0</v>
      </c>
      <c r="AO11" s="82"/>
      <c r="AP11" s="20"/>
      <c r="AQ11" s="3"/>
      <c r="AR11" s="3"/>
      <c r="AS11" s="3"/>
      <c r="AT11" s="3"/>
      <c r="AU11" s="3"/>
      <c r="AV11" s="3"/>
      <c r="AW11" s="3"/>
      <c r="AX11" s="80">
        <f>SUMIFS(AX12:AX17,$G12:$G17,"&lt;&gt;Option")</f>
        <v>375947.95574121369</v>
      </c>
      <c r="AY11" s="80">
        <f>SUMIFS(AY12:AY17,$G12:$G17,"&lt;&gt;Option")</f>
        <v>618702.92144839722</v>
      </c>
      <c r="AZ11" s="80">
        <f>SUMIFS(AZ12:AZ17,$G12:$G17,"&lt;&gt;Option")</f>
        <v>587767.77537597739</v>
      </c>
      <c r="BA11" s="80">
        <f>SUMIFS(BA12:BA17,$G12:$G17,"&lt;&gt;Option")</f>
        <v>558379.38660717849</v>
      </c>
      <c r="BB11" s="80">
        <f>SUMIFS(BB12:BB17,$G12:$G17,"&lt;&gt;Option")</f>
        <v>530460.41727681947</v>
      </c>
      <c r="BC11" s="80"/>
      <c r="BD11" s="80">
        <f t="shared" ref="BD11:BD16" si="8">SUM(AX11:BB11)</f>
        <v>2671258.456449586</v>
      </c>
      <c r="BE11" s="3"/>
      <c r="BF11" s="82"/>
      <c r="BG11" s="82"/>
    </row>
    <row r="12" spans="1:59" x14ac:dyDescent="0.25">
      <c r="C12" t="s">
        <v>83</v>
      </c>
      <c r="D12" t="s">
        <v>84</v>
      </c>
      <c r="E12" t="s">
        <v>80</v>
      </c>
      <c r="F12" t="s">
        <v>85</v>
      </c>
      <c r="I12" s="47">
        <v>3.3566781762608362</v>
      </c>
      <c r="J12" s="47">
        <v>3.2224110492104026</v>
      </c>
      <c r="K12" s="47">
        <v>3.0612904967498822</v>
      </c>
      <c r="L12" s="47">
        <v>2.9082259719123882</v>
      </c>
      <c r="M12" s="47">
        <v>2.7628146733167682</v>
      </c>
      <c r="O12" s="13">
        <v>16000</v>
      </c>
      <c r="P12" s="14"/>
      <c r="Q12" s="14"/>
      <c r="R12" s="14"/>
      <c r="S12" s="14"/>
      <c r="T12" s="14"/>
      <c r="U12" s="14">
        <f t="shared" ref="U12:AA12" si="9">$O$12</f>
        <v>16000</v>
      </c>
      <c r="V12" s="14">
        <f t="shared" si="9"/>
        <v>16000</v>
      </c>
      <c r="W12" s="14">
        <f t="shared" si="9"/>
        <v>16000</v>
      </c>
      <c r="X12" s="14">
        <f t="shared" si="9"/>
        <v>16000</v>
      </c>
      <c r="Y12" s="14">
        <f t="shared" si="9"/>
        <v>16000</v>
      </c>
      <c r="Z12" s="14">
        <f t="shared" si="9"/>
        <v>16000</v>
      </c>
      <c r="AA12" s="14">
        <f t="shared" si="9"/>
        <v>16000</v>
      </c>
      <c r="AC12" s="14">
        <f>$O$12</f>
        <v>16000</v>
      </c>
      <c r="AD12" s="14">
        <f t="shared" ref="AD12:AN12" si="10">$O$12</f>
        <v>16000</v>
      </c>
      <c r="AE12" s="14">
        <f t="shared" si="10"/>
        <v>16000</v>
      </c>
      <c r="AF12" s="14">
        <f t="shared" si="10"/>
        <v>16000</v>
      </c>
      <c r="AG12" s="14">
        <f t="shared" si="10"/>
        <v>16000</v>
      </c>
      <c r="AH12" s="14">
        <f t="shared" si="10"/>
        <v>16000</v>
      </c>
      <c r="AI12" s="14">
        <f t="shared" si="10"/>
        <v>16000</v>
      </c>
      <c r="AJ12" s="14">
        <f t="shared" si="10"/>
        <v>16000</v>
      </c>
      <c r="AK12" s="14">
        <f t="shared" si="10"/>
        <v>16000</v>
      </c>
      <c r="AL12" s="14">
        <f t="shared" si="10"/>
        <v>16000</v>
      </c>
      <c r="AM12" s="14">
        <f t="shared" si="10"/>
        <v>16000</v>
      </c>
      <c r="AN12" s="14">
        <f t="shared" si="10"/>
        <v>16000</v>
      </c>
      <c r="AR12" s="66">
        <f>IFERROR(AVERAGE(P12:AA12),0)</f>
        <v>16000</v>
      </c>
      <c r="AS12" s="66">
        <f>IFERROR(AVERAGE(AC12:AN12),0)</f>
        <v>16000</v>
      </c>
      <c r="AT12" s="13">
        <f>O12</f>
        <v>16000</v>
      </c>
      <c r="AU12" s="13">
        <f t="shared" ref="AU12:AU14" si="11">AT12</f>
        <v>16000</v>
      </c>
      <c r="AV12" s="13">
        <f t="shared" ref="AV12:AV14" si="12">AU12</f>
        <v>16000</v>
      </c>
      <c r="AX12" s="61">
        <f>P12*(I12*(100%+P$11))+Q12*(I12*(100%+Q$11))+R12*(I12*(100%+R$11))+S12*(I12*(100%+S$11))+T12*(I12*(100%+T$11))+U12*(I12*(100%+U$11))+V12*(I12*(100%+V$11))+W12*(I12*(100%+W$11))+X12*(I12*(100%+X$11))+Y12*(I12*(100%+Y$11))+Z12*(I12*(100%+Z$11))+AA12*(I12*(100%+AA$11))</f>
        <v>375947.95574121369</v>
      </c>
      <c r="AY12" s="61">
        <f>AC12*(J12*(100%+AC$11))+AD12*(J12*(100%+AD$11))+AE12*(J12*(100%+AE$11))+AF12*(J12*(100%+AF$11))+AG12*(J12*(100%+AG$11))+AH12*(J12*(100%+AH$11))+AI12*(J12*(100%+AI$11))+AJ12*(J12*(100%+AJ$11))+AK12*(J12*(100%+AK$11))+AL12*(J12*(100%+AL$11))+AM12*(J12*(100%+AM$11))+AN12*(J12*(100%+AN$11))</f>
        <v>618702.92144839722</v>
      </c>
      <c r="AZ12" s="61">
        <f t="shared" ref="AZ12:BB16" si="13">K12*AT12*AT$7</f>
        <v>587767.77537597739</v>
      </c>
      <c r="BA12" s="61">
        <f t="shared" si="13"/>
        <v>558379.38660717849</v>
      </c>
      <c r="BB12" s="61">
        <f t="shared" si="13"/>
        <v>530460.41727681947</v>
      </c>
      <c r="BC12" s="53"/>
      <c r="BD12" s="61">
        <f t="shared" si="8"/>
        <v>2671258.456449586</v>
      </c>
      <c r="BE12" s="6"/>
      <c r="BF12" s="6" t="s">
        <v>86</v>
      </c>
      <c r="BG12" s="6" t="s">
        <v>87</v>
      </c>
    </row>
    <row r="13" spans="1:59" x14ac:dyDescent="0.25">
      <c r="C13" t="s">
        <v>88</v>
      </c>
      <c r="D13" t="s">
        <v>79</v>
      </c>
      <c r="E13" t="s">
        <v>89</v>
      </c>
      <c r="F13" t="s">
        <v>85</v>
      </c>
      <c r="G13" t="s">
        <v>73</v>
      </c>
      <c r="I13" s="47">
        <v>4366.9151881543039</v>
      </c>
      <c r="J13" s="47">
        <v>4192.2385806281318</v>
      </c>
      <c r="K13" s="47">
        <v>3982.626651596725</v>
      </c>
      <c r="L13" s="47">
        <v>3783.4953190168885</v>
      </c>
      <c r="M13" s="47">
        <v>3594.3205530660439</v>
      </c>
      <c r="O13" s="13">
        <v>1</v>
      </c>
      <c r="P13" s="14"/>
      <c r="Q13" s="14"/>
      <c r="R13" s="14"/>
      <c r="S13" s="14"/>
      <c r="T13" s="14"/>
      <c r="U13" s="14">
        <f t="shared" ref="U13:AA13" si="14">$O$13</f>
        <v>1</v>
      </c>
      <c r="V13" s="14">
        <f t="shared" si="14"/>
        <v>1</v>
      </c>
      <c r="W13" s="14">
        <f t="shared" si="14"/>
        <v>1</v>
      </c>
      <c r="X13" s="14">
        <f t="shared" si="14"/>
        <v>1</v>
      </c>
      <c r="Y13" s="14">
        <f t="shared" si="14"/>
        <v>1</v>
      </c>
      <c r="Z13" s="14">
        <f t="shared" si="14"/>
        <v>1</v>
      </c>
      <c r="AA13" s="14">
        <f t="shared" si="14"/>
        <v>1</v>
      </c>
      <c r="AC13" s="14">
        <f>$O$13</f>
        <v>1</v>
      </c>
      <c r="AD13" s="14">
        <f t="shared" ref="AD13:AN13" si="15">$O$13</f>
        <v>1</v>
      </c>
      <c r="AE13" s="14">
        <f t="shared" si="15"/>
        <v>1</v>
      </c>
      <c r="AF13" s="14">
        <f t="shared" si="15"/>
        <v>1</v>
      </c>
      <c r="AG13" s="14">
        <f t="shared" si="15"/>
        <v>1</v>
      </c>
      <c r="AH13" s="14">
        <f t="shared" si="15"/>
        <v>1</v>
      </c>
      <c r="AI13" s="14">
        <f t="shared" si="15"/>
        <v>1</v>
      </c>
      <c r="AJ13" s="14">
        <f t="shared" si="15"/>
        <v>1</v>
      </c>
      <c r="AK13" s="14">
        <f t="shared" si="15"/>
        <v>1</v>
      </c>
      <c r="AL13" s="14">
        <f t="shared" si="15"/>
        <v>1</v>
      </c>
      <c r="AM13" s="14">
        <f t="shared" si="15"/>
        <v>1</v>
      </c>
      <c r="AN13" s="14">
        <f t="shared" si="15"/>
        <v>1</v>
      </c>
      <c r="AR13" s="66">
        <f>IFERROR(AVERAGE(P13:AA13),0)</f>
        <v>1</v>
      </c>
      <c r="AS13" s="66">
        <f>IFERROR(AVERAGE(AC13:AN13),0)</f>
        <v>1</v>
      </c>
      <c r="AT13" s="13">
        <f>O13</f>
        <v>1</v>
      </c>
      <c r="AU13" s="13">
        <f t="shared" si="11"/>
        <v>1</v>
      </c>
      <c r="AV13" s="13">
        <f t="shared" si="12"/>
        <v>1</v>
      </c>
      <c r="AX13" s="61">
        <f>P13*(I13*(100%+P$11))+Q13*(I13*(100%+Q$11))+R13*(I13*(100%+R$11))+S13*(I13*(100%+S$11))+T13*(I13*(100%+T$11))+U13*(I13*(100%+U$11))+V13*(I13*(100%+V$11))+W13*(I13*(100%+W$11))+X13*(I13*(100%+X$11))+Y13*(I13*(100%+Y$11))+Z13*(I13*(100%+Z$11))+AA13*(I13*(100%+AA$11))</f>
        <v>30568.406317080127</v>
      </c>
      <c r="AY13" s="61">
        <f>AC13*(J13*(100%+AC$11))+AD13*(J13*(100%+AD$11))+AE13*(J13*(100%+AE$11))+AF13*(J13*(100%+AF$11))+AG13*(J13*(100%+AG$11))+AH13*(J13*(100%+AH$11))+AI13*(J13*(100%+AI$11))+AJ13*(J13*(100%+AJ$11))+AK13*(J13*(100%+AK$11))+AL13*(J13*(100%+AL$11))+AM13*(J13*(100%+AM$11))+AN13*(J13*(100%+AN$11))</f>
        <v>50306.862967537578</v>
      </c>
      <c r="AZ13" s="61">
        <f t="shared" si="13"/>
        <v>47791.519819160698</v>
      </c>
      <c r="BA13" s="61">
        <f t="shared" si="13"/>
        <v>45401.94382820266</v>
      </c>
      <c r="BB13" s="61">
        <f t="shared" si="13"/>
        <v>43131.846636792528</v>
      </c>
      <c r="BC13" s="53"/>
      <c r="BD13" s="61">
        <f t="shared" si="8"/>
        <v>217200.5795687736</v>
      </c>
      <c r="BE13" s="6"/>
      <c r="BF13" s="6" t="s">
        <v>90</v>
      </c>
      <c r="BG13" s="6" t="s">
        <v>91</v>
      </c>
    </row>
    <row r="14" spans="1:59" x14ac:dyDescent="0.25">
      <c r="C14" t="s">
        <v>92</v>
      </c>
      <c r="D14" t="s">
        <v>79</v>
      </c>
      <c r="E14" t="s">
        <v>89</v>
      </c>
      <c r="F14" t="s">
        <v>85</v>
      </c>
      <c r="G14" t="s">
        <v>73</v>
      </c>
      <c r="I14" s="47">
        <v>5651.4585318058762</v>
      </c>
      <c r="J14" s="47">
        <v>5425.4001905336418</v>
      </c>
      <c r="K14" s="47">
        <v>5154.130181006959</v>
      </c>
      <c r="L14" s="47">
        <v>4896.4236719566115</v>
      </c>
      <c r="M14" s="47">
        <v>4651.6024883587806</v>
      </c>
      <c r="O14" s="13">
        <v>1</v>
      </c>
      <c r="P14" s="14"/>
      <c r="Q14" s="14"/>
      <c r="R14" s="14"/>
      <c r="S14" s="14"/>
      <c r="T14" s="14"/>
      <c r="U14" s="14">
        <f t="shared" ref="U14:AA14" si="16">$O$14</f>
        <v>1</v>
      </c>
      <c r="V14" s="14">
        <f t="shared" si="16"/>
        <v>1</v>
      </c>
      <c r="W14" s="14">
        <f t="shared" si="16"/>
        <v>1</v>
      </c>
      <c r="X14" s="14">
        <f t="shared" si="16"/>
        <v>1</v>
      </c>
      <c r="Y14" s="14">
        <f t="shared" si="16"/>
        <v>1</v>
      </c>
      <c r="Z14" s="14">
        <f t="shared" si="16"/>
        <v>1</v>
      </c>
      <c r="AA14" s="14">
        <f t="shared" si="16"/>
        <v>1</v>
      </c>
      <c r="AC14" s="14">
        <f>$O$14</f>
        <v>1</v>
      </c>
      <c r="AD14" s="14">
        <f t="shared" ref="AD14:AN14" si="17">$O$14</f>
        <v>1</v>
      </c>
      <c r="AE14" s="14">
        <f t="shared" si="17"/>
        <v>1</v>
      </c>
      <c r="AF14" s="14">
        <f t="shared" si="17"/>
        <v>1</v>
      </c>
      <c r="AG14" s="14">
        <f t="shared" si="17"/>
        <v>1</v>
      </c>
      <c r="AH14" s="14">
        <f t="shared" si="17"/>
        <v>1</v>
      </c>
      <c r="AI14" s="14">
        <f t="shared" si="17"/>
        <v>1</v>
      </c>
      <c r="AJ14" s="14">
        <f t="shared" si="17"/>
        <v>1</v>
      </c>
      <c r="AK14" s="14">
        <f t="shared" si="17"/>
        <v>1</v>
      </c>
      <c r="AL14" s="14">
        <f t="shared" si="17"/>
        <v>1</v>
      </c>
      <c r="AM14" s="14">
        <f t="shared" si="17"/>
        <v>1</v>
      </c>
      <c r="AN14" s="14">
        <f t="shared" si="17"/>
        <v>1</v>
      </c>
      <c r="AR14" s="66">
        <f>IFERROR(AVERAGE(P14:AA14),0)</f>
        <v>1</v>
      </c>
      <c r="AS14" s="66">
        <f>IFERROR(AVERAGE(AC14:AN14),0)</f>
        <v>1</v>
      </c>
      <c r="AT14" s="13">
        <f>O14</f>
        <v>1</v>
      </c>
      <c r="AU14" s="13">
        <f t="shared" si="11"/>
        <v>1</v>
      </c>
      <c r="AV14" s="13">
        <f t="shared" si="12"/>
        <v>1</v>
      </c>
      <c r="AX14" s="61">
        <f>P14*(I14*(100%+P$11))+Q14*(I14*(100%+Q$11))+R14*(I14*(100%+R$11))+S14*(I14*(100%+S$11))+T14*(I14*(100%+T$11))+U14*(I14*(100%+U$11))+V14*(I14*(100%+V$11))+W14*(I14*(100%+W$11))+X14*(I14*(100%+X$11))+Y14*(I14*(100%+Y$11))+Z14*(I14*(100%+Z$11))+AA14*(I14*(100%+AA$11))</f>
        <v>39560.209722641128</v>
      </c>
      <c r="AY14" s="61">
        <f>AC14*(J14*(100%+AC$11))+AD14*(J14*(100%+AD$11))+AE14*(J14*(100%+AE$11))+AF14*(J14*(100%+AF$11))+AG14*(J14*(100%+AG$11))+AH14*(J14*(100%+AH$11))+AI14*(J14*(100%+AI$11))+AJ14*(J14*(100%+AJ$11))+AK14*(J14*(100%+AK$11))+AL14*(J14*(100%+AL$11))+AM14*(J14*(100%+AM$11))+AN14*(J14*(100%+AN$11))</f>
        <v>65104.802286403698</v>
      </c>
      <c r="AZ14" s="61">
        <f t="shared" si="13"/>
        <v>61849.562172083504</v>
      </c>
      <c r="BA14" s="61">
        <f t="shared" si="13"/>
        <v>58757.084063479342</v>
      </c>
      <c r="BB14" s="61">
        <f t="shared" si="13"/>
        <v>55819.229860305364</v>
      </c>
      <c r="BC14" s="53"/>
      <c r="BD14" s="61">
        <f t="shared" si="8"/>
        <v>281090.88810491306</v>
      </c>
      <c r="BE14" s="6"/>
      <c r="BF14" s="6" t="s">
        <v>93</v>
      </c>
      <c r="BG14" s="6" t="s">
        <v>94</v>
      </c>
    </row>
    <row r="15" spans="1:59" x14ac:dyDescent="0.25">
      <c r="C15" t="s">
        <v>95</v>
      </c>
      <c r="D15" t="s">
        <v>79</v>
      </c>
      <c r="E15" t="s">
        <v>89</v>
      </c>
      <c r="F15" t="s">
        <v>85</v>
      </c>
      <c r="G15" t="s">
        <v>73</v>
      </c>
      <c r="I15" s="47">
        <v>5039.3868510585135</v>
      </c>
      <c r="J15" s="47">
        <v>4837.8113770161726</v>
      </c>
      <c r="K15" s="47">
        <v>4595.9208081653642</v>
      </c>
      <c r="L15" s="47">
        <v>4366.1247677570955</v>
      </c>
      <c r="M15" s="47">
        <v>4147.8185293692404</v>
      </c>
      <c r="O15" s="13">
        <v>1</v>
      </c>
      <c r="P15" s="14"/>
      <c r="Q15" s="14"/>
      <c r="R15" s="14"/>
      <c r="S15" s="14"/>
      <c r="T15" s="14"/>
      <c r="U15" s="14">
        <f t="shared" ref="U15:AA15" si="18">$O$15</f>
        <v>1</v>
      </c>
      <c r="V15" s="14">
        <f t="shared" si="18"/>
        <v>1</v>
      </c>
      <c r="W15" s="14">
        <f t="shared" si="18"/>
        <v>1</v>
      </c>
      <c r="X15" s="14">
        <f t="shared" si="18"/>
        <v>1</v>
      </c>
      <c r="Y15" s="14">
        <f t="shared" si="18"/>
        <v>1</v>
      </c>
      <c r="Z15" s="14">
        <f t="shared" si="18"/>
        <v>1</v>
      </c>
      <c r="AA15" s="14">
        <f t="shared" si="18"/>
        <v>1</v>
      </c>
      <c r="AC15" s="14">
        <f>$O$15</f>
        <v>1</v>
      </c>
      <c r="AD15" s="14">
        <f t="shared" ref="AD15:AN15" si="19">$O$15</f>
        <v>1</v>
      </c>
      <c r="AE15" s="14">
        <f t="shared" si="19"/>
        <v>1</v>
      </c>
      <c r="AF15" s="14">
        <f t="shared" si="19"/>
        <v>1</v>
      </c>
      <c r="AG15" s="14">
        <f t="shared" si="19"/>
        <v>1</v>
      </c>
      <c r="AH15" s="14">
        <f t="shared" si="19"/>
        <v>1</v>
      </c>
      <c r="AI15" s="14">
        <f t="shared" si="19"/>
        <v>1</v>
      </c>
      <c r="AJ15" s="14">
        <f t="shared" si="19"/>
        <v>1</v>
      </c>
      <c r="AK15" s="14">
        <f t="shared" si="19"/>
        <v>1</v>
      </c>
      <c r="AL15" s="14">
        <f t="shared" si="19"/>
        <v>1</v>
      </c>
      <c r="AM15" s="14">
        <f t="shared" si="19"/>
        <v>1</v>
      </c>
      <c r="AN15" s="14">
        <f t="shared" si="19"/>
        <v>1</v>
      </c>
      <c r="AR15" s="66">
        <f>IFERROR(AVERAGE(P15:AA15),0)</f>
        <v>1</v>
      </c>
      <c r="AS15" s="66">
        <f>IFERROR(AVERAGE(AC15:AN15),0)</f>
        <v>1</v>
      </c>
      <c r="AT15" s="13">
        <f>O15</f>
        <v>1</v>
      </c>
      <c r="AU15" s="13">
        <f t="shared" ref="AU15:AV16" si="20">AT15</f>
        <v>1</v>
      </c>
      <c r="AV15" s="13">
        <f t="shared" si="20"/>
        <v>1</v>
      </c>
      <c r="AX15" s="61">
        <f>P15*(I15*(100%+P$11))+Q15*(I15*(100%+Q$11))+R15*(I15*(100%+R$11))+S15*(I15*(100%+S$11))+T15*(I15*(100%+T$11))+U15*(I15*(100%+U$11))+V15*(I15*(100%+V$11))+W15*(I15*(100%+W$11))+X15*(I15*(100%+X$11))+Y15*(I15*(100%+Y$11))+Z15*(I15*(100%+Z$11))+AA15*(I15*(100%+AA$11))</f>
        <v>35275.707957409591</v>
      </c>
      <c r="AY15" s="61">
        <f>AC15*(J15*(100%+AC$11))+AD15*(J15*(100%+AD$11))+AE15*(J15*(100%+AE$11))+AF15*(J15*(100%+AF$11))+AG15*(J15*(100%+AG$11))+AH15*(J15*(100%+AH$11))+AI15*(J15*(100%+AI$11))+AJ15*(J15*(100%+AJ$11))+AK15*(J15*(100%+AK$11))+AL15*(J15*(100%+AL$11))+AM15*(J15*(100%+AM$11))+AN15*(J15*(100%+AN$11))</f>
        <v>58053.736524194072</v>
      </c>
      <c r="AZ15" s="61">
        <f t="shared" si="13"/>
        <v>55151.049697984374</v>
      </c>
      <c r="BA15" s="61">
        <f t="shared" si="13"/>
        <v>52393.497213085146</v>
      </c>
      <c r="BB15" s="61">
        <f t="shared" si="13"/>
        <v>49773.822352430885</v>
      </c>
      <c r="BC15" s="53"/>
      <c r="BD15" s="61">
        <f t="shared" si="8"/>
        <v>250647.81374510407</v>
      </c>
      <c r="BE15" s="6"/>
      <c r="BF15" s="6" t="s">
        <v>96</v>
      </c>
      <c r="BG15" s="6" t="s">
        <v>97</v>
      </c>
    </row>
    <row r="16" spans="1:59" x14ac:dyDescent="0.25">
      <c r="C16" t="s">
        <v>98</v>
      </c>
      <c r="D16" t="s">
        <v>79</v>
      </c>
      <c r="E16" t="s">
        <v>89</v>
      </c>
      <c r="F16" t="s">
        <v>85</v>
      </c>
      <c r="G16" t="s">
        <v>73</v>
      </c>
      <c r="I16" s="47">
        <v>2885.2922197822631</v>
      </c>
      <c r="J16" s="47">
        <v>2769.8805309909726</v>
      </c>
      <c r="K16" s="47">
        <v>2631.3865044414238</v>
      </c>
      <c r="L16" s="47">
        <v>2499.8171792193521</v>
      </c>
      <c r="M16" s="47">
        <v>2374.8263202583844</v>
      </c>
      <c r="O16" s="13">
        <v>1</v>
      </c>
      <c r="P16" s="14"/>
      <c r="Q16" s="14"/>
      <c r="R16" s="14"/>
      <c r="S16" s="14"/>
      <c r="T16" s="14"/>
      <c r="U16" s="14">
        <f t="shared" ref="U16:AA16" si="21">$O$16</f>
        <v>1</v>
      </c>
      <c r="V16" s="14">
        <f t="shared" si="21"/>
        <v>1</v>
      </c>
      <c r="W16" s="14">
        <f t="shared" si="21"/>
        <v>1</v>
      </c>
      <c r="X16" s="14">
        <f t="shared" si="21"/>
        <v>1</v>
      </c>
      <c r="Y16" s="14">
        <f t="shared" si="21"/>
        <v>1</v>
      </c>
      <c r="Z16" s="14">
        <f t="shared" si="21"/>
        <v>1</v>
      </c>
      <c r="AA16" s="14">
        <f t="shared" si="21"/>
        <v>1</v>
      </c>
      <c r="AC16" s="14">
        <f>$O$16</f>
        <v>1</v>
      </c>
      <c r="AD16" s="14">
        <f t="shared" ref="AD16:AN16" si="22">$O$16</f>
        <v>1</v>
      </c>
      <c r="AE16" s="14">
        <f t="shared" si="22"/>
        <v>1</v>
      </c>
      <c r="AF16" s="14">
        <f t="shared" si="22"/>
        <v>1</v>
      </c>
      <c r="AG16" s="14">
        <f t="shared" si="22"/>
        <v>1</v>
      </c>
      <c r="AH16" s="14">
        <f t="shared" si="22"/>
        <v>1</v>
      </c>
      <c r="AI16" s="14">
        <f t="shared" si="22"/>
        <v>1</v>
      </c>
      <c r="AJ16" s="14">
        <f t="shared" si="22"/>
        <v>1</v>
      </c>
      <c r="AK16" s="14">
        <f t="shared" si="22"/>
        <v>1</v>
      </c>
      <c r="AL16" s="14">
        <f t="shared" si="22"/>
        <v>1</v>
      </c>
      <c r="AM16" s="14">
        <f t="shared" si="22"/>
        <v>1</v>
      </c>
      <c r="AN16" s="14">
        <f t="shared" si="22"/>
        <v>1</v>
      </c>
      <c r="AR16" s="66">
        <f>IFERROR(AVERAGE(P16:AA16),0)</f>
        <v>1</v>
      </c>
      <c r="AS16" s="66">
        <f>IFERROR(AVERAGE(AC16:AN16),0)</f>
        <v>1</v>
      </c>
      <c r="AT16" s="13">
        <f>O16</f>
        <v>1</v>
      </c>
      <c r="AU16" s="13">
        <f t="shared" si="20"/>
        <v>1</v>
      </c>
      <c r="AV16" s="13">
        <f t="shared" si="20"/>
        <v>1</v>
      </c>
      <c r="AX16" s="61">
        <f>P16*(I16*(100%+P$11))+Q16*(I16*(100%+Q$11))+R16*(I16*(100%+R$11))+S16*(I16*(100%+S$11))+T16*(I16*(100%+T$11))+U16*(I16*(100%+U$11))+V16*(I16*(100%+V$11))+W16*(I16*(100%+W$11))+X16*(I16*(100%+X$11))+Y16*(I16*(100%+Y$11))+Z16*(I16*(100%+Z$11))+AA16*(I16*(100%+AA$11))</f>
        <v>20197.045538475842</v>
      </c>
      <c r="AY16" s="61">
        <f>AC16*(J16*(100%+AC$11))+AD16*(J16*(100%+AD$11))+AE16*(J16*(100%+AE$11))+AF16*(J16*(100%+AF$11))+AG16*(J16*(100%+AG$11))+AH16*(J16*(100%+AH$11))+AI16*(J16*(100%+AI$11))+AJ16*(J16*(100%+AJ$11))+AK16*(J16*(100%+AK$11))+AL16*(J16*(100%+AL$11))+AM16*(J16*(100%+AM$11))+AN16*(J16*(100%+AN$11))</f>
        <v>33238.566371891669</v>
      </c>
      <c r="AZ16" s="61">
        <f t="shared" si="13"/>
        <v>31576.638053297087</v>
      </c>
      <c r="BA16" s="61">
        <f t="shared" si="13"/>
        <v>29997.806150632226</v>
      </c>
      <c r="BB16" s="61">
        <f t="shared" si="13"/>
        <v>28497.915843100614</v>
      </c>
      <c r="BC16" s="53"/>
      <c r="BD16" s="61">
        <f t="shared" si="8"/>
        <v>143507.97195739744</v>
      </c>
      <c r="BE16" s="6"/>
      <c r="BF16" s="6" t="s">
        <v>99</v>
      </c>
      <c r="BG16" s="6" t="s">
        <v>100</v>
      </c>
    </row>
    <row r="17" spans="1:59" ht="15.75" thickBot="1" x14ac:dyDescent="0.3">
      <c r="I17" s="45"/>
      <c r="J17" s="45"/>
      <c r="K17" s="45"/>
      <c r="L17" s="45"/>
      <c r="M17" s="45"/>
      <c r="AX17" s="44"/>
      <c r="AY17" s="44"/>
      <c r="AZ17" s="44"/>
      <c r="BA17" s="44"/>
      <c r="BB17" s="44"/>
      <c r="BC17" s="44"/>
      <c r="BD17" s="44"/>
    </row>
    <row r="18" spans="1:59" ht="18" thickTop="1" x14ac:dyDescent="0.25">
      <c r="A18" s="3"/>
      <c r="B18" s="3" t="s">
        <v>43</v>
      </c>
      <c r="C18" s="3"/>
      <c r="D18" s="3"/>
      <c r="E18" s="3"/>
      <c r="F18" s="3"/>
      <c r="G18" s="3"/>
      <c r="H18" s="3"/>
      <c r="I18" s="84"/>
      <c r="J18" s="84"/>
      <c r="K18" s="84"/>
      <c r="L18" s="84"/>
      <c r="M18" s="84"/>
      <c r="N18" s="3"/>
      <c r="O18" s="3"/>
      <c r="P18" s="86">
        <f t="shared" ref="P18:AA18" si="23">IF(P$7&lt;$AP$18,percPreTargetAdjustment,0%)</f>
        <v>0</v>
      </c>
      <c r="Q18" s="86">
        <f t="shared" si="23"/>
        <v>0</v>
      </c>
      <c r="R18" s="86">
        <f t="shared" si="23"/>
        <v>0</v>
      </c>
      <c r="S18" s="86">
        <f t="shared" si="23"/>
        <v>0</v>
      </c>
      <c r="T18" s="86">
        <f t="shared" si="23"/>
        <v>0</v>
      </c>
      <c r="U18" s="86">
        <f t="shared" si="23"/>
        <v>0</v>
      </c>
      <c r="V18" s="86">
        <f t="shared" si="23"/>
        <v>0</v>
      </c>
      <c r="W18" s="86">
        <f t="shared" si="23"/>
        <v>0</v>
      </c>
      <c r="X18" s="86">
        <f t="shared" si="23"/>
        <v>0</v>
      </c>
      <c r="Y18" s="86">
        <f t="shared" si="23"/>
        <v>0</v>
      </c>
      <c r="Z18" s="86">
        <f t="shared" si="23"/>
        <v>0</v>
      </c>
      <c r="AA18" s="86">
        <f t="shared" si="23"/>
        <v>0</v>
      </c>
      <c r="AB18" s="82"/>
      <c r="AC18" s="86">
        <f t="shared" ref="AC18:AN18" si="24">IF(AC$7&lt;$AP$18,percPreTargetAdjustment,0%)</f>
        <v>0</v>
      </c>
      <c r="AD18" s="86">
        <f t="shared" si="24"/>
        <v>0</v>
      </c>
      <c r="AE18" s="86">
        <f t="shared" si="24"/>
        <v>0</v>
      </c>
      <c r="AF18" s="86">
        <f t="shared" si="24"/>
        <v>0</v>
      </c>
      <c r="AG18" s="86">
        <f t="shared" si="24"/>
        <v>0</v>
      </c>
      <c r="AH18" s="86">
        <f t="shared" si="24"/>
        <v>0</v>
      </c>
      <c r="AI18" s="86">
        <f t="shared" si="24"/>
        <v>0</v>
      </c>
      <c r="AJ18" s="86">
        <f t="shared" si="24"/>
        <v>0</v>
      </c>
      <c r="AK18" s="86">
        <f t="shared" si="24"/>
        <v>0</v>
      </c>
      <c r="AL18" s="86">
        <f t="shared" si="24"/>
        <v>0</v>
      </c>
      <c r="AM18" s="86">
        <f t="shared" si="24"/>
        <v>0</v>
      </c>
      <c r="AN18" s="86">
        <f t="shared" si="24"/>
        <v>0</v>
      </c>
      <c r="AO18" s="82"/>
      <c r="AP18" s="20"/>
      <c r="AQ18" s="3"/>
      <c r="AR18" s="3"/>
      <c r="AS18" s="3"/>
      <c r="AT18" s="3"/>
      <c r="AU18" s="3"/>
      <c r="AV18" s="3"/>
      <c r="AW18" s="3"/>
      <c r="AX18" s="80">
        <f>SUMIFS(AX19:AX28,$G19:$G28,"&lt;&gt;Option")</f>
        <v>1959711.1723018824</v>
      </c>
      <c r="AY18" s="80">
        <f>SUMIFS(AY19:AY28,$G19:$G28,"&lt;&gt;Option")</f>
        <v>3225124.6721310974</v>
      </c>
      <c r="AZ18" s="80">
        <f>SUMIFS(AZ19:AZ28,$G19:$G28,"&lt;&gt;Option")</f>
        <v>3027947.711328011</v>
      </c>
      <c r="BA18" s="80">
        <f>SUMIFS(BA19:BA28,$G19:$G28,"&lt;&gt;Option")</f>
        <v>2876550.3257616106</v>
      </c>
      <c r="BB18" s="80">
        <f>SUMIFS(BB19:BB28,$G19:$G28,"&lt;&gt;Option")</f>
        <v>2732722.8094735295</v>
      </c>
      <c r="BC18" s="80"/>
      <c r="BD18" s="80">
        <f t="shared" ref="BD18:BD27" si="25">SUM(AX18:BB18)</f>
        <v>13822056.690996131</v>
      </c>
      <c r="BE18" s="3"/>
      <c r="BF18" s="82"/>
      <c r="BG18" s="82"/>
    </row>
    <row r="19" spans="1:59" x14ac:dyDescent="0.25">
      <c r="C19" t="s">
        <v>101</v>
      </c>
      <c r="D19" t="s">
        <v>102</v>
      </c>
      <c r="E19" t="s">
        <v>89</v>
      </c>
      <c r="F19" t="s">
        <v>85</v>
      </c>
      <c r="I19" s="47">
        <v>19.431734843778539</v>
      </c>
      <c r="J19" s="47">
        <v>18.654465450027399</v>
      </c>
      <c r="K19" s="47">
        <v>17.721742177526025</v>
      </c>
      <c r="L19" s="47">
        <v>16.835655068649725</v>
      </c>
      <c r="M19" s="47">
        <v>15.993872315217239</v>
      </c>
      <c r="O19" s="141">
        <v>10156</v>
      </c>
      <c r="P19" s="14"/>
      <c r="Q19" s="14"/>
      <c r="R19" s="14"/>
      <c r="S19" s="14"/>
      <c r="T19" s="14"/>
      <c r="U19" s="14">
        <f t="shared" ref="U19:AA19" si="26">$O$19</f>
        <v>10156</v>
      </c>
      <c r="V19" s="14">
        <f t="shared" si="26"/>
        <v>10156</v>
      </c>
      <c r="W19" s="14">
        <f t="shared" si="26"/>
        <v>10156</v>
      </c>
      <c r="X19" s="14">
        <f t="shared" si="26"/>
        <v>10156</v>
      </c>
      <c r="Y19" s="14">
        <f t="shared" si="26"/>
        <v>10156</v>
      </c>
      <c r="Z19" s="14">
        <f t="shared" si="26"/>
        <v>10156</v>
      </c>
      <c r="AA19" s="14">
        <f t="shared" si="26"/>
        <v>10156</v>
      </c>
      <c r="AC19" s="14">
        <f>$O$19</f>
        <v>10156</v>
      </c>
      <c r="AD19" s="14">
        <f t="shared" ref="AD19:AN19" si="27">$O$19</f>
        <v>10156</v>
      </c>
      <c r="AE19" s="14">
        <f t="shared" si="27"/>
        <v>10156</v>
      </c>
      <c r="AF19" s="14">
        <f t="shared" si="27"/>
        <v>10156</v>
      </c>
      <c r="AG19" s="14">
        <f t="shared" si="27"/>
        <v>10156</v>
      </c>
      <c r="AH19" s="14">
        <f t="shared" si="27"/>
        <v>10156</v>
      </c>
      <c r="AI19" s="14">
        <f t="shared" si="27"/>
        <v>10156</v>
      </c>
      <c r="AJ19" s="14">
        <f t="shared" si="27"/>
        <v>10156</v>
      </c>
      <c r="AK19" s="14">
        <f t="shared" si="27"/>
        <v>10156</v>
      </c>
      <c r="AL19" s="14">
        <f t="shared" si="27"/>
        <v>10156</v>
      </c>
      <c r="AM19" s="14">
        <f t="shared" si="27"/>
        <v>10156</v>
      </c>
      <c r="AN19" s="14">
        <f t="shared" si="27"/>
        <v>10156</v>
      </c>
      <c r="AR19" s="66">
        <f t="shared" ref="AR19:AR27" si="28">IFERROR(AVERAGE(P19:AA19),0)</f>
        <v>10156</v>
      </c>
      <c r="AS19" s="66">
        <f t="shared" ref="AS19:AS27" si="29">IFERROR(AVERAGE(AC19:AN19),0)</f>
        <v>10156</v>
      </c>
      <c r="AT19" s="13">
        <f t="shared" ref="AT19:AT23" si="30">O19</f>
        <v>10156</v>
      </c>
      <c r="AU19" s="13">
        <f t="shared" ref="AU19:AV27" si="31">AT19</f>
        <v>10156</v>
      </c>
      <c r="AV19" s="13">
        <f t="shared" si="31"/>
        <v>10156</v>
      </c>
      <c r="AX19" s="61">
        <f t="shared" ref="AX19:AX27" si="32">P19*(I19*(100%+P$18))+Q19*(I19*(100%+Q$18))+R19*(I19*(100%+R$18))+S19*(I19*(100%+S$18))+T19*(I19*(100%+T$18))+U19*(I19*(100%+U$18))+V19*(I19*(100%+V$18))+W19*(I19*(100%+W$18))+X19*(I19*(100%+X$18))+Y19*(I19*(100%+Y$18))+Z19*(I19*(100%+Z$18))+AA19*(I19*(100%+AA$18))</f>
        <v>1381440.8935139037</v>
      </c>
      <c r="AY19" s="61">
        <f t="shared" ref="AY19:AY27" si="33">AC19*(J19*(100%+AC$18))+AD19*(J19*(100%+AD$18))+AE19*(J19*(100%+AE$18))+AF19*(J19*(100%+AF$18))+AG19*(J19*(100%+AG$18))+AH19*(J19*(100%+AH$18))+AI19*(J19*(100%+AI$18))+AJ19*(J19*(100%+AJ$18))+AK19*(J19*(100%+AK$18))+AL19*(J19*(100%+AL$18))+AM19*(J19*(100%+AM$18))+AN19*(J19*(100%+AN$18))</f>
        <v>2273457.0133257392</v>
      </c>
      <c r="AZ19" s="61">
        <f t="shared" ref="AZ19:BB27" si="34">K19*AT19*AT$7</f>
        <v>2159784.1626594518</v>
      </c>
      <c r="BA19" s="61">
        <f t="shared" si="34"/>
        <v>2051794.9545264794</v>
      </c>
      <c r="BB19" s="61">
        <f t="shared" si="34"/>
        <v>1949205.2068001553</v>
      </c>
      <c r="BC19" s="53"/>
      <c r="BD19" s="61">
        <f t="shared" si="25"/>
        <v>9815682.2308257297</v>
      </c>
      <c r="BF19" s="6" t="s">
        <v>103</v>
      </c>
      <c r="BG19" s="6" t="s">
        <v>104</v>
      </c>
    </row>
    <row r="20" spans="1:59" x14ac:dyDescent="0.25">
      <c r="C20" s="89" t="s">
        <v>105</v>
      </c>
      <c r="D20" t="s">
        <v>102</v>
      </c>
      <c r="E20" t="s">
        <v>89</v>
      </c>
      <c r="F20" t="s">
        <v>106</v>
      </c>
      <c r="G20" s="89" t="s">
        <v>73</v>
      </c>
      <c r="I20" s="47">
        <f>I19+Devices!$V$9</f>
        <v>41.676781582603937</v>
      </c>
      <c r="J20" s="47">
        <f>J19+Devices!$V$9</f>
        <v>40.899512188852796</v>
      </c>
      <c r="K20" s="47">
        <f>K19+Devices!$V$9</f>
        <v>39.966788916351419</v>
      </c>
      <c r="L20" s="47">
        <f>L19+Devices!$V$9</f>
        <v>39.080701807475123</v>
      </c>
      <c r="M20" s="47">
        <f>M19+Devices!$V$9</f>
        <v>38.23891905404264</v>
      </c>
      <c r="O20" s="13">
        <v>0</v>
      </c>
      <c r="P20" s="14"/>
      <c r="Q20" s="14"/>
      <c r="R20" s="14"/>
      <c r="S20" s="14"/>
      <c r="T20" s="14"/>
      <c r="U20" s="14">
        <f t="shared" ref="U20:AA20" si="35">$O$20</f>
        <v>0</v>
      </c>
      <c r="V20" s="14">
        <f t="shared" si="35"/>
        <v>0</v>
      </c>
      <c r="W20" s="14">
        <f t="shared" si="35"/>
        <v>0</v>
      </c>
      <c r="X20" s="14">
        <f t="shared" si="35"/>
        <v>0</v>
      </c>
      <c r="Y20" s="14">
        <f t="shared" si="35"/>
        <v>0</v>
      </c>
      <c r="Z20" s="14">
        <f t="shared" si="35"/>
        <v>0</v>
      </c>
      <c r="AA20" s="14">
        <f t="shared" si="35"/>
        <v>0</v>
      </c>
      <c r="AC20" s="14">
        <f>$O$20</f>
        <v>0</v>
      </c>
      <c r="AD20" s="14">
        <f t="shared" ref="AD20:AN20" si="36">$O$20</f>
        <v>0</v>
      </c>
      <c r="AE20" s="14">
        <f t="shared" si="36"/>
        <v>0</v>
      </c>
      <c r="AF20" s="14">
        <f t="shared" si="36"/>
        <v>0</v>
      </c>
      <c r="AG20" s="14">
        <f t="shared" si="36"/>
        <v>0</v>
      </c>
      <c r="AH20" s="14">
        <f t="shared" si="36"/>
        <v>0</v>
      </c>
      <c r="AI20" s="14">
        <f t="shared" si="36"/>
        <v>0</v>
      </c>
      <c r="AJ20" s="14">
        <f t="shared" si="36"/>
        <v>0</v>
      </c>
      <c r="AK20" s="14">
        <f t="shared" si="36"/>
        <v>0</v>
      </c>
      <c r="AL20" s="14">
        <f t="shared" si="36"/>
        <v>0</v>
      </c>
      <c r="AM20" s="14">
        <f t="shared" si="36"/>
        <v>0</v>
      </c>
      <c r="AN20" s="14">
        <f t="shared" si="36"/>
        <v>0</v>
      </c>
      <c r="AR20" s="66">
        <f t="shared" ref="AR20" si="37">IFERROR(AVERAGE(P20:AA20),0)</f>
        <v>0</v>
      </c>
      <c r="AS20" s="66">
        <f t="shared" ref="AS20" si="38">IFERROR(AVERAGE(AC20:AN20),0)</f>
        <v>0</v>
      </c>
      <c r="AT20" s="13">
        <v>100</v>
      </c>
      <c r="AU20" s="13">
        <f t="shared" ref="AU20" si="39">AT20</f>
        <v>100</v>
      </c>
      <c r="AV20" s="13">
        <f t="shared" ref="AV20" si="40">AU20</f>
        <v>100</v>
      </c>
      <c r="AX20" s="61">
        <f t="shared" ref="AX20" si="41">P20*(I20*(100%+P$18))+Q20*(I20*(100%+Q$18))+R20*(I20*(100%+R$18))+S20*(I20*(100%+S$18))+T20*(I20*(100%+T$18))+U20*(I20*(100%+U$18))+V20*(I20*(100%+V$18))+W20*(I20*(100%+W$18))+X20*(I20*(100%+X$18))+Y20*(I20*(100%+Y$18))+Z20*(I20*(100%+Z$18))+AA20*(I20*(100%+AA$18))</f>
        <v>0</v>
      </c>
      <c r="AY20" s="61">
        <f t="shared" ref="AY20" si="42">AC20*(J20*(100%+AC$18))+AD20*(J20*(100%+AD$18))+AE20*(J20*(100%+AE$18))+AF20*(J20*(100%+AF$18))+AG20*(J20*(100%+AG$18))+AH20*(J20*(100%+AH$18))+AI20*(J20*(100%+AI$18))+AJ20*(J20*(100%+AJ$18))+AK20*(J20*(100%+AK$18))+AL20*(J20*(100%+AL$18))+AM20*(J20*(100%+AM$18))+AN20*(J20*(100%+AN$18))</f>
        <v>0</v>
      </c>
      <c r="AZ20" s="61">
        <f t="shared" ref="AZ20" si="43">K20*AT20*AT$7</f>
        <v>47960.146699621706</v>
      </c>
      <c r="BA20" s="61">
        <f t="shared" ref="BA20" si="44">L20*AU20*AU$7</f>
        <v>46896.84216897015</v>
      </c>
      <c r="BB20" s="61">
        <f t="shared" ref="BB20" si="45">M20*AV20*AV$7</f>
        <v>45886.70286485117</v>
      </c>
      <c r="BC20" s="53"/>
      <c r="BD20" s="61">
        <f t="shared" si="25"/>
        <v>140743.69173344303</v>
      </c>
    </row>
    <row r="21" spans="1:59" x14ac:dyDescent="0.25">
      <c r="C21" t="s">
        <v>107</v>
      </c>
      <c r="D21" t="s">
        <v>108</v>
      </c>
      <c r="E21" t="s">
        <v>89</v>
      </c>
      <c r="F21" t="s">
        <v>106</v>
      </c>
      <c r="I21" s="47">
        <v>13.474286857988266</v>
      </c>
      <c r="J21" s="47">
        <v>12.935315383668735</v>
      </c>
      <c r="K21" s="47">
        <v>12.2885496144853</v>
      </c>
      <c r="L21" s="47">
        <v>11.674122133761033</v>
      </c>
      <c r="M21" s="47">
        <v>11.090416027072981</v>
      </c>
      <c r="O21" s="13">
        <v>459</v>
      </c>
      <c r="P21" s="14"/>
      <c r="Q21" s="14"/>
      <c r="R21" s="14"/>
      <c r="S21" s="14"/>
      <c r="T21" s="14"/>
      <c r="U21" s="14">
        <f t="shared" ref="U21:AA21" si="46">$O$21</f>
        <v>459</v>
      </c>
      <c r="V21" s="14">
        <f t="shared" si="46"/>
        <v>459</v>
      </c>
      <c r="W21" s="14">
        <f t="shared" si="46"/>
        <v>459</v>
      </c>
      <c r="X21" s="14">
        <f t="shared" si="46"/>
        <v>459</v>
      </c>
      <c r="Y21" s="14">
        <f t="shared" si="46"/>
        <v>459</v>
      </c>
      <c r="Z21" s="14">
        <f t="shared" si="46"/>
        <v>459</v>
      </c>
      <c r="AA21" s="14">
        <f t="shared" si="46"/>
        <v>459</v>
      </c>
      <c r="AC21" s="14">
        <f>$O$21</f>
        <v>459</v>
      </c>
      <c r="AD21" s="14">
        <f t="shared" ref="AD21:AN21" si="47">$O$21</f>
        <v>459</v>
      </c>
      <c r="AE21" s="14">
        <f t="shared" si="47"/>
        <v>459</v>
      </c>
      <c r="AF21" s="14">
        <f t="shared" si="47"/>
        <v>459</v>
      </c>
      <c r="AG21" s="14">
        <f t="shared" si="47"/>
        <v>459</v>
      </c>
      <c r="AH21" s="14">
        <f t="shared" si="47"/>
        <v>459</v>
      </c>
      <c r="AI21" s="14">
        <f t="shared" si="47"/>
        <v>459</v>
      </c>
      <c r="AJ21" s="14">
        <f t="shared" si="47"/>
        <v>459</v>
      </c>
      <c r="AK21" s="14">
        <f t="shared" si="47"/>
        <v>459</v>
      </c>
      <c r="AL21" s="14">
        <f t="shared" si="47"/>
        <v>459</v>
      </c>
      <c r="AM21" s="14">
        <f t="shared" si="47"/>
        <v>459</v>
      </c>
      <c r="AN21" s="14">
        <f t="shared" si="47"/>
        <v>459</v>
      </c>
      <c r="AR21" s="66">
        <f t="shared" si="28"/>
        <v>459</v>
      </c>
      <c r="AS21" s="66">
        <f t="shared" si="29"/>
        <v>459</v>
      </c>
      <c r="AT21" s="13">
        <f t="shared" si="30"/>
        <v>459</v>
      </c>
      <c r="AU21" s="13">
        <f t="shared" si="31"/>
        <v>459</v>
      </c>
      <c r="AV21" s="13">
        <f t="shared" si="31"/>
        <v>459</v>
      </c>
      <c r="AX21" s="61">
        <f t="shared" si="32"/>
        <v>43292.883674716308</v>
      </c>
      <c r="AY21" s="61">
        <f t="shared" si="33"/>
        <v>71247.717133247395</v>
      </c>
      <c r="AZ21" s="61">
        <f t="shared" si="34"/>
        <v>67685.331276585028</v>
      </c>
      <c r="BA21" s="61">
        <f t="shared" si="34"/>
        <v>64301.064712755775</v>
      </c>
      <c r="BB21" s="61">
        <f t="shared" si="34"/>
        <v>61086.01147711798</v>
      </c>
      <c r="BC21" s="53"/>
      <c r="BD21" s="61">
        <f t="shared" si="25"/>
        <v>307613.00827442249</v>
      </c>
      <c r="BF21" s="6" t="s">
        <v>109</v>
      </c>
      <c r="BG21" s="6" t="s">
        <v>110</v>
      </c>
    </row>
    <row r="22" spans="1:59" x14ac:dyDescent="0.25">
      <c r="C22" t="s">
        <v>111</v>
      </c>
      <c r="D22" t="s">
        <v>108</v>
      </c>
      <c r="E22" t="s">
        <v>89</v>
      </c>
      <c r="F22" t="s">
        <v>106</v>
      </c>
      <c r="I22" s="47">
        <v>1.759710546522059</v>
      </c>
      <c r="J22" s="47">
        <v>1.6893221246611765</v>
      </c>
      <c r="K22" s="47">
        <v>1.6048560184281175</v>
      </c>
      <c r="L22" s="47">
        <v>1.5246132175067115</v>
      </c>
      <c r="M22" s="47">
        <v>1.4483825566313759</v>
      </c>
      <c r="O22" s="13">
        <v>9688</v>
      </c>
      <c r="P22" s="14"/>
      <c r="Q22" s="14"/>
      <c r="R22" s="14"/>
      <c r="S22" s="14"/>
      <c r="T22" s="14"/>
      <c r="U22" s="14">
        <f t="shared" ref="U22:AA22" si="48">$O$22</f>
        <v>9688</v>
      </c>
      <c r="V22" s="14">
        <f t="shared" si="48"/>
        <v>9688</v>
      </c>
      <c r="W22" s="14">
        <f t="shared" si="48"/>
        <v>9688</v>
      </c>
      <c r="X22" s="14">
        <f t="shared" si="48"/>
        <v>9688</v>
      </c>
      <c r="Y22" s="14">
        <f t="shared" si="48"/>
        <v>9688</v>
      </c>
      <c r="Z22" s="14">
        <f t="shared" si="48"/>
        <v>9688</v>
      </c>
      <c r="AA22" s="14">
        <f t="shared" si="48"/>
        <v>9688</v>
      </c>
      <c r="AC22" s="14">
        <f>$O$22</f>
        <v>9688</v>
      </c>
      <c r="AD22" s="14">
        <f t="shared" ref="AD22:AN22" si="49">$O$22</f>
        <v>9688</v>
      </c>
      <c r="AE22" s="14">
        <f t="shared" si="49"/>
        <v>9688</v>
      </c>
      <c r="AF22" s="14">
        <f t="shared" si="49"/>
        <v>9688</v>
      </c>
      <c r="AG22" s="14">
        <f t="shared" si="49"/>
        <v>9688</v>
      </c>
      <c r="AH22" s="14">
        <f t="shared" si="49"/>
        <v>9688</v>
      </c>
      <c r="AI22" s="14">
        <f t="shared" si="49"/>
        <v>9688</v>
      </c>
      <c r="AJ22" s="14">
        <f t="shared" si="49"/>
        <v>9688</v>
      </c>
      <c r="AK22" s="14">
        <f t="shared" si="49"/>
        <v>9688</v>
      </c>
      <c r="AL22" s="14">
        <f t="shared" si="49"/>
        <v>9688</v>
      </c>
      <c r="AM22" s="14">
        <f t="shared" si="49"/>
        <v>9688</v>
      </c>
      <c r="AN22" s="14">
        <f t="shared" si="49"/>
        <v>9688</v>
      </c>
      <c r="AR22" s="66">
        <f t="shared" ref="AR22" si="50">IFERROR(AVERAGE(P22:AA22),0)</f>
        <v>9688</v>
      </c>
      <c r="AS22" s="66">
        <f t="shared" ref="AS22" si="51">IFERROR(AVERAGE(AC22:AN22),0)</f>
        <v>9688</v>
      </c>
      <c r="AT22" s="13">
        <f t="shared" ref="AT22" si="52">O22</f>
        <v>9688</v>
      </c>
      <c r="AU22" s="13">
        <f t="shared" ref="AU22" si="53">AT22</f>
        <v>9688</v>
      </c>
      <c r="AV22" s="13">
        <f t="shared" ref="AV22" si="54">AU22</f>
        <v>9688</v>
      </c>
      <c r="AX22" s="61">
        <f t="shared" si="32"/>
        <v>119336.53042293995</v>
      </c>
      <c r="AY22" s="61">
        <f t="shared" si="33"/>
        <v>196393.83292460974</v>
      </c>
      <c r="AZ22" s="61">
        <f t="shared" si="34"/>
        <v>186574.14127837922</v>
      </c>
      <c r="BA22" s="61">
        <f t="shared" si="34"/>
        <v>177245.43421446026</v>
      </c>
      <c r="BB22" s="61">
        <f t="shared" si="34"/>
        <v>168383.16250373723</v>
      </c>
      <c r="BC22" s="53"/>
      <c r="BD22" s="61">
        <f t="shared" si="25"/>
        <v>847933.10134412651</v>
      </c>
      <c r="BF22" s="6" t="s">
        <v>109</v>
      </c>
      <c r="BG22" s="6" t="s">
        <v>112</v>
      </c>
    </row>
    <row r="23" spans="1:59" x14ac:dyDescent="0.25">
      <c r="C23" t="s">
        <v>113</v>
      </c>
      <c r="D23" t="s">
        <v>84</v>
      </c>
      <c r="E23" t="s">
        <v>89</v>
      </c>
      <c r="F23" t="s">
        <v>85</v>
      </c>
      <c r="I23" s="47">
        <v>3.032917929782454</v>
      </c>
      <c r="J23" s="47">
        <v>2.911601212591155</v>
      </c>
      <c r="K23" s="47">
        <v>2.7660211519615974</v>
      </c>
      <c r="L23" s="47">
        <v>2.6277200943635171</v>
      </c>
      <c r="M23" s="47">
        <v>2.4963340896453414</v>
      </c>
      <c r="O23" s="13">
        <v>12250</v>
      </c>
      <c r="P23" s="14"/>
      <c r="Q23" s="14"/>
      <c r="R23" s="14"/>
      <c r="S23" s="14"/>
      <c r="T23" s="14"/>
      <c r="U23" s="14">
        <f t="shared" ref="U23:AA23" si="55">$O$23</f>
        <v>12250</v>
      </c>
      <c r="V23" s="14">
        <f t="shared" si="55"/>
        <v>12250</v>
      </c>
      <c r="W23" s="14">
        <f t="shared" si="55"/>
        <v>12250</v>
      </c>
      <c r="X23" s="14">
        <f t="shared" si="55"/>
        <v>12250</v>
      </c>
      <c r="Y23" s="14">
        <f t="shared" si="55"/>
        <v>12250</v>
      </c>
      <c r="Z23" s="14">
        <f t="shared" si="55"/>
        <v>12250</v>
      </c>
      <c r="AA23" s="14">
        <f t="shared" si="55"/>
        <v>12250</v>
      </c>
      <c r="AC23" s="14">
        <f>$O$23</f>
        <v>12250</v>
      </c>
      <c r="AD23" s="14">
        <f t="shared" ref="AD23:AN23" si="56">$O$23</f>
        <v>12250</v>
      </c>
      <c r="AE23" s="14">
        <f t="shared" si="56"/>
        <v>12250</v>
      </c>
      <c r="AF23" s="14">
        <f t="shared" si="56"/>
        <v>12250</v>
      </c>
      <c r="AG23" s="14">
        <f t="shared" si="56"/>
        <v>12250</v>
      </c>
      <c r="AH23" s="14">
        <f t="shared" si="56"/>
        <v>12250</v>
      </c>
      <c r="AI23" s="14">
        <f t="shared" si="56"/>
        <v>12250</v>
      </c>
      <c r="AJ23" s="14">
        <f t="shared" si="56"/>
        <v>12250</v>
      </c>
      <c r="AK23" s="14">
        <f t="shared" si="56"/>
        <v>12250</v>
      </c>
      <c r="AL23" s="14">
        <f t="shared" si="56"/>
        <v>12250</v>
      </c>
      <c r="AM23" s="14">
        <f t="shared" si="56"/>
        <v>12250</v>
      </c>
      <c r="AN23" s="14">
        <f t="shared" si="56"/>
        <v>12250</v>
      </c>
      <c r="AR23" s="66">
        <f t="shared" si="28"/>
        <v>12250</v>
      </c>
      <c r="AS23" s="66">
        <f t="shared" si="29"/>
        <v>12250</v>
      </c>
      <c r="AT23" s="13">
        <f t="shared" si="30"/>
        <v>12250</v>
      </c>
      <c r="AU23" s="13">
        <f t="shared" si="31"/>
        <v>12250</v>
      </c>
      <c r="AV23" s="13">
        <f t="shared" si="31"/>
        <v>12250</v>
      </c>
      <c r="AX23" s="61">
        <f t="shared" si="32"/>
        <v>260072.71247884541</v>
      </c>
      <c r="AY23" s="61">
        <f t="shared" si="33"/>
        <v>428005.3782508999</v>
      </c>
      <c r="AZ23" s="61">
        <f t="shared" si="34"/>
        <v>406605.10933835478</v>
      </c>
      <c r="BA23" s="61">
        <f t="shared" si="34"/>
        <v>386274.85387143702</v>
      </c>
      <c r="BB23" s="61">
        <f t="shared" si="34"/>
        <v>366961.11117786518</v>
      </c>
      <c r="BC23" s="53"/>
      <c r="BD23" s="61">
        <f t="shared" si="25"/>
        <v>1847919.1651174023</v>
      </c>
      <c r="BG23" s="6" t="s">
        <v>114</v>
      </c>
    </row>
    <row r="24" spans="1:59" x14ac:dyDescent="0.25">
      <c r="C24" t="s">
        <v>115</v>
      </c>
      <c r="D24" t="s">
        <v>84</v>
      </c>
      <c r="E24" t="s">
        <v>89</v>
      </c>
      <c r="F24" t="s">
        <v>106</v>
      </c>
      <c r="I24" s="47">
        <v>2.4515912664503317</v>
      </c>
      <c r="J24" s="47">
        <v>2.3535276157923182</v>
      </c>
      <c r="K24" s="47">
        <v>2.2358512350027024</v>
      </c>
      <c r="L24" s="47">
        <v>2.1240586732525668</v>
      </c>
      <c r="M24" s="47">
        <v>2.0178557395899381</v>
      </c>
      <c r="O24" s="13">
        <v>2600</v>
      </c>
      <c r="P24" s="14"/>
      <c r="Q24" s="14"/>
      <c r="R24" s="14"/>
      <c r="S24" s="14"/>
      <c r="T24" s="14"/>
      <c r="U24" s="14">
        <f t="shared" ref="U24:AA24" si="57">$O$24</f>
        <v>2600</v>
      </c>
      <c r="V24" s="14">
        <f t="shared" si="57"/>
        <v>2600</v>
      </c>
      <c r="W24" s="14">
        <f t="shared" si="57"/>
        <v>2600</v>
      </c>
      <c r="X24" s="14">
        <f t="shared" si="57"/>
        <v>2600</v>
      </c>
      <c r="Y24" s="14">
        <f t="shared" si="57"/>
        <v>2600</v>
      </c>
      <c r="Z24" s="14">
        <f t="shared" si="57"/>
        <v>2600</v>
      </c>
      <c r="AA24" s="14">
        <f t="shared" si="57"/>
        <v>2600</v>
      </c>
      <c r="AC24" s="14">
        <f>$O$24</f>
        <v>2600</v>
      </c>
      <c r="AD24" s="14">
        <f t="shared" ref="AD24:AN24" si="58">$O$24</f>
        <v>2600</v>
      </c>
      <c r="AE24" s="14">
        <f t="shared" si="58"/>
        <v>2600</v>
      </c>
      <c r="AF24" s="14">
        <f t="shared" si="58"/>
        <v>2600</v>
      </c>
      <c r="AG24" s="14">
        <f t="shared" si="58"/>
        <v>2600</v>
      </c>
      <c r="AH24" s="14">
        <f t="shared" si="58"/>
        <v>2600</v>
      </c>
      <c r="AI24" s="14">
        <f t="shared" si="58"/>
        <v>2600</v>
      </c>
      <c r="AJ24" s="14">
        <f t="shared" si="58"/>
        <v>2600</v>
      </c>
      <c r="AK24" s="14">
        <f t="shared" si="58"/>
        <v>2600</v>
      </c>
      <c r="AL24" s="14">
        <f t="shared" si="58"/>
        <v>2600</v>
      </c>
      <c r="AM24" s="14">
        <f t="shared" si="58"/>
        <v>2600</v>
      </c>
      <c r="AN24" s="14">
        <f t="shared" si="58"/>
        <v>2600</v>
      </c>
      <c r="AR24" s="66">
        <f t="shared" ref="AR24:AR26" si="59">IFERROR(AVERAGE(P24:AA24),0)</f>
        <v>2600</v>
      </c>
      <c r="AS24" s="66">
        <f t="shared" ref="AS24:AS26" si="60">IFERROR(AVERAGE(AC24:AN24),0)</f>
        <v>2600</v>
      </c>
      <c r="AT24" s="13">
        <f t="shared" ref="AT24:AT26" si="61">O24</f>
        <v>2600</v>
      </c>
      <c r="AU24" s="13">
        <f t="shared" ref="AU24:AU26" si="62">AT24</f>
        <v>2600</v>
      </c>
      <c r="AV24" s="13">
        <f t="shared" ref="AV24:AV26" si="63">AU24</f>
        <v>2600</v>
      </c>
      <c r="AX24" s="61">
        <f t="shared" si="32"/>
        <v>44618.961049396043</v>
      </c>
      <c r="AY24" s="61">
        <f t="shared" si="33"/>
        <v>73430.061612720339</v>
      </c>
      <c r="AZ24" s="61">
        <f t="shared" si="34"/>
        <v>69758.558532084309</v>
      </c>
      <c r="BA24" s="61">
        <f t="shared" si="34"/>
        <v>66270.630605480081</v>
      </c>
      <c r="BB24" s="61">
        <f t="shared" si="34"/>
        <v>62957.099075206075</v>
      </c>
      <c r="BC24" s="53"/>
      <c r="BD24" s="61">
        <f t="shared" si="25"/>
        <v>317035.31087488687</v>
      </c>
      <c r="BG24" s="6" t="s">
        <v>116</v>
      </c>
    </row>
    <row r="25" spans="1:59" x14ac:dyDescent="0.25">
      <c r="C25" t="s">
        <v>117</v>
      </c>
      <c r="D25" s="89" t="s">
        <v>79</v>
      </c>
      <c r="E25" t="s">
        <v>80</v>
      </c>
      <c r="F25" t="s">
        <v>81</v>
      </c>
      <c r="I25" s="47">
        <v>6836.2610476810505</v>
      </c>
      <c r="J25" s="47">
        <v>6562.8106057738078</v>
      </c>
      <c r="K25" s="47">
        <v>6234.6700754851163</v>
      </c>
      <c r="L25" s="47">
        <v>5922.9365717108603</v>
      </c>
      <c r="M25" s="47">
        <v>5626.7897431253177</v>
      </c>
      <c r="O25" s="13">
        <v>1</v>
      </c>
      <c r="P25" s="14"/>
      <c r="Q25" s="14"/>
      <c r="R25" s="14"/>
      <c r="S25" s="14"/>
      <c r="T25" s="14"/>
      <c r="U25" s="14">
        <f t="shared" ref="U25:AA25" si="64">$O$25</f>
        <v>1</v>
      </c>
      <c r="V25" s="14">
        <f t="shared" si="64"/>
        <v>1</v>
      </c>
      <c r="W25" s="14">
        <f t="shared" si="64"/>
        <v>1</v>
      </c>
      <c r="X25" s="14">
        <f t="shared" si="64"/>
        <v>1</v>
      </c>
      <c r="Y25" s="14">
        <f t="shared" si="64"/>
        <v>1</v>
      </c>
      <c r="Z25" s="14">
        <f t="shared" si="64"/>
        <v>1</v>
      </c>
      <c r="AA25" s="14">
        <f t="shared" si="64"/>
        <v>1</v>
      </c>
      <c r="AC25" s="14">
        <f>$O$25</f>
        <v>1</v>
      </c>
      <c r="AD25" s="14">
        <f t="shared" ref="AD25:AN25" si="65">$O$25</f>
        <v>1</v>
      </c>
      <c r="AE25" s="14">
        <f t="shared" si="65"/>
        <v>1</v>
      </c>
      <c r="AF25" s="14">
        <f t="shared" si="65"/>
        <v>1</v>
      </c>
      <c r="AG25" s="14">
        <f t="shared" si="65"/>
        <v>1</v>
      </c>
      <c r="AH25" s="14">
        <f t="shared" si="65"/>
        <v>1</v>
      </c>
      <c r="AI25" s="14">
        <f t="shared" si="65"/>
        <v>1</v>
      </c>
      <c r="AJ25" s="14">
        <f t="shared" si="65"/>
        <v>1</v>
      </c>
      <c r="AK25" s="14">
        <f t="shared" si="65"/>
        <v>1</v>
      </c>
      <c r="AL25" s="14">
        <f t="shared" si="65"/>
        <v>1</v>
      </c>
      <c r="AM25" s="14">
        <f t="shared" si="65"/>
        <v>1</v>
      </c>
      <c r="AN25" s="14">
        <f t="shared" si="65"/>
        <v>1</v>
      </c>
      <c r="AR25" s="66">
        <f t="shared" ref="AR25" si="66">IFERROR(AVERAGE(P25:AA25),0)</f>
        <v>1</v>
      </c>
      <c r="AS25" s="66">
        <f t="shared" ref="AS25" si="67">IFERROR(AVERAGE(AC25:AN25),0)</f>
        <v>1</v>
      </c>
      <c r="AT25" s="13">
        <f t="shared" ref="AT25" si="68">O25</f>
        <v>1</v>
      </c>
      <c r="AU25" s="13">
        <f t="shared" ref="AU25" si="69">AT25</f>
        <v>1</v>
      </c>
      <c r="AV25" s="13">
        <f t="shared" ref="AV25" si="70">AU25</f>
        <v>1</v>
      </c>
      <c r="AX25" s="61">
        <f t="shared" si="32"/>
        <v>47853.827333767353</v>
      </c>
      <c r="AY25" s="61">
        <f t="shared" si="33"/>
        <v>78753.727269285664</v>
      </c>
      <c r="AZ25" s="61">
        <f t="shared" si="34"/>
        <v>74816.040905821399</v>
      </c>
      <c r="BA25" s="61">
        <f t="shared" si="34"/>
        <v>71075.238860530328</v>
      </c>
      <c r="BB25" s="61">
        <f t="shared" si="34"/>
        <v>67521.476917503809</v>
      </c>
      <c r="BC25" s="53"/>
      <c r="BD25" s="61">
        <f t="shared" si="25"/>
        <v>340020.31128690857</v>
      </c>
    </row>
    <row r="26" spans="1:59" x14ac:dyDescent="0.25">
      <c r="C26" t="s">
        <v>118</v>
      </c>
      <c r="D26" s="89" t="s">
        <v>119</v>
      </c>
      <c r="E26" t="s">
        <v>80</v>
      </c>
      <c r="F26" t="s">
        <v>81</v>
      </c>
      <c r="I26" s="47">
        <v>892.49795808681142</v>
      </c>
      <c r="J26" s="47">
        <v>856.79803976333903</v>
      </c>
      <c r="K26" s="47">
        <v>813.95813777517196</v>
      </c>
      <c r="L26" s="47">
        <v>773.2602308864133</v>
      </c>
      <c r="M26" s="47">
        <v>734.59721934209256</v>
      </c>
      <c r="O26" s="13">
        <v>5</v>
      </c>
      <c r="P26" s="14"/>
      <c r="Q26" s="14"/>
      <c r="R26" s="14"/>
      <c r="S26" s="14"/>
      <c r="T26" s="14"/>
      <c r="U26" s="14">
        <f t="shared" ref="U26:AA26" si="71">$O$26</f>
        <v>5</v>
      </c>
      <c r="V26" s="14">
        <f t="shared" si="71"/>
        <v>5</v>
      </c>
      <c r="W26" s="14">
        <f t="shared" si="71"/>
        <v>5</v>
      </c>
      <c r="X26" s="14">
        <f t="shared" si="71"/>
        <v>5</v>
      </c>
      <c r="Y26" s="14">
        <f t="shared" si="71"/>
        <v>5</v>
      </c>
      <c r="Z26" s="14">
        <f t="shared" si="71"/>
        <v>5</v>
      </c>
      <c r="AA26" s="14">
        <f t="shared" si="71"/>
        <v>5</v>
      </c>
      <c r="AC26" s="14">
        <f>$O$26</f>
        <v>5</v>
      </c>
      <c r="AD26" s="14">
        <f t="shared" ref="AD26:AN26" si="72">$O$26</f>
        <v>5</v>
      </c>
      <c r="AE26" s="14">
        <f t="shared" si="72"/>
        <v>5</v>
      </c>
      <c r="AF26" s="14">
        <f t="shared" si="72"/>
        <v>5</v>
      </c>
      <c r="AG26" s="14">
        <f t="shared" si="72"/>
        <v>5</v>
      </c>
      <c r="AH26" s="14">
        <f t="shared" si="72"/>
        <v>5</v>
      </c>
      <c r="AI26" s="14">
        <f t="shared" si="72"/>
        <v>5</v>
      </c>
      <c r="AJ26" s="14">
        <f t="shared" si="72"/>
        <v>5</v>
      </c>
      <c r="AK26" s="14">
        <f t="shared" si="72"/>
        <v>5</v>
      </c>
      <c r="AL26" s="14">
        <f t="shared" si="72"/>
        <v>5</v>
      </c>
      <c r="AM26" s="14">
        <f t="shared" si="72"/>
        <v>5</v>
      </c>
      <c r="AN26" s="14">
        <f t="shared" si="72"/>
        <v>5</v>
      </c>
      <c r="AR26" s="66">
        <f t="shared" si="59"/>
        <v>5</v>
      </c>
      <c r="AS26" s="66">
        <f t="shared" si="60"/>
        <v>5</v>
      </c>
      <c r="AT26" s="13">
        <f t="shared" si="61"/>
        <v>5</v>
      </c>
      <c r="AU26" s="13">
        <f t="shared" si="62"/>
        <v>5</v>
      </c>
      <c r="AV26" s="13">
        <f t="shared" si="63"/>
        <v>5</v>
      </c>
      <c r="AX26" s="61">
        <f t="shared" si="32"/>
        <v>31237.428533038401</v>
      </c>
      <c r="AY26" s="61">
        <f t="shared" si="33"/>
        <v>51407.882385800352</v>
      </c>
      <c r="AZ26" s="61">
        <f t="shared" si="34"/>
        <v>48837.488266510321</v>
      </c>
      <c r="BA26" s="61">
        <f t="shared" si="34"/>
        <v>46395.613853184797</v>
      </c>
      <c r="BB26" s="61">
        <f t="shared" si="34"/>
        <v>44075.833160525552</v>
      </c>
      <c r="BC26" s="53"/>
      <c r="BD26" s="61">
        <f t="shared" si="25"/>
        <v>221954.24619905942</v>
      </c>
    </row>
    <row r="27" spans="1:59" x14ac:dyDescent="0.25">
      <c r="C27" s="113" t="s">
        <v>602</v>
      </c>
      <c r="D27" s="72" t="str">
        <f>D34</f>
        <v>OS instance</v>
      </c>
      <c r="E27" s="72" t="str">
        <f>E34</f>
        <v>local</v>
      </c>
      <c r="F27" s="72" t="str">
        <f>$F$33</f>
        <v>normal</v>
      </c>
      <c r="I27" s="71">
        <f>I34</f>
        <v>16.91871231825548</v>
      </c>
      <c r="J27" s="71">
        <f>J34</f>
        <v>16.241963825525261</v>
      </c>
      <c r="K27" s="71">
        <f>K34</f>
        <v>15.429865634248996</v>
      </c>
      <c r="L27" s="71">
        <f>L34</f>
        <v>14.658372352536547</v>
      </c>
      <c r="M27" s="71">
        <f>M34</f>
        <v>13.925453734909722</v>
      </c>
      <c r="O27" s="13">
        <v>269</v>
      </c>
      <c r="P27" s="14"/>
      <c r="Q27" s="14"/>
      <c r="R27" s="14"/>
      <c r="S27" s="14"/>
      <c r="T27" s="14"/>
      <c r="U27" s="14">
        <f t="shared" ref="U27:AA27" si="73">$O$27</f>
        <v>269</v>
      </c>
      <c r="V27" s="14">
        <f t="shared" si="73"/>
        <v>269</v>
      </c>
      <c r="W27" s="14">
        <f t="shared" si="73"/>
        <v>269</v>
      </c>
      <c r="X27" s="14">
        <f t="shared" si="73"/>
        <v>269</v>
      </c>
      <c r="Y27" s="14">
        <f t="shared" si="73"/>
        <v>269</v>
      </c>
      <c r="Z27" s="14">
        <f t="shared" si="73"/>
        <v>269</v>
      </c>
      <c r="AA27" s="14">
        <f t="shared" si="73"/>
        <v>269</v>
      </c>
      <c r="AC27" s="14">
        <f>$O$27</f>
        <v>269</v>
      </c>
      <c r="AD27" s="14">
        <f t="shared" ref="AD27:AN27" si="74">$O$27</f>
        <v>269</v>
      </c>
      <c r="AE27" s="14">
        <f t="shared" si="74"/>
        <v>269</v>
      </c>
      <c r="AF27" s="14">
        <f t="shared" si="74"/>
        <v>269</v>
      </c>
      <c r="AG27" s="14">
        <f t="shared" si="74"/>
        <v>269</v>
      </c>
      <c r="AH27" s="14">
        <f t="shared" si="74"/>
        <v>269</v>
      </c>
      <c r="AI27" s="14">
        <f t="shared" si="74"/>
        <v>269</v>
      </c>
      <c r="AJ27" s="14">
        <f t="shared" si="74"/>
        <v>269</v>
      </c>
      <c r="AK27" s="14">
        <f t="shared" si="74"/>
        <v>269</v>
      </c>
      <c r="AL27" s="14">
        <f t="shared" si="74"/>
        <v>269</v>
      </c>
      <c r="AM27" s="14">
        <f t="shared" si="74"/>
        <v>269</v>
      </c>
      <c r="AN27" s="14">
        <f t="shared" si="74"/>
        <v>269</v>
      </c>
      <c r="AR27" s="66">
        <f t="shared" si="28"/>
        <v>269</v>
      </c>
      <c r="AS27" s="66">
        <f t="shared" si="29"/>
        <v>269</v>
      </c>
      <c r="AT27" s="13">
        <v>75</v>
      </c>
      <c r="AU27" s="13">
        <f>AT27</f>
        <v>75</v>
      </c>
      <c r="AV27" s="13">
        <f t="shared" si="31"/>
        <v>75</v>
      </c>
      <c r="AX27" s="61">
        <f t="shared" si="32"/>
        <v>31857.935295275067</v>
      </c>
      <c r="AY27" s="61">
        <f t="shared" si="33"/>
        <v>52429.059228795551</v>
      </c>
      <c r="AZ27" s="61">
        <f t="shared" si="34"/>
        <v>13886.879070824096</v>
      </c>
      <c r="BA27" s="61">
        <f t="shared" si="34"/>
        <v>13192.535117282892</v>
      </c>
      <c r="BB27" s="61">
        <f t="shared" si="34"/>
        <v>12532.908361418749</v>
      </c>
      <c r="BC27" s="53"/>
      <c r="BD27" s="61">
        <f t="shared" si="25"/>
        <v>123899.31707359636</v>
      </c>
      <c r="BG27" s="6" t="s">
        <v>121</v>
      </c>
    </row>
    <row r="28" spans="1:59" ht="15.75" thickBot="1" x14ac:dyDescent="0.3">
      <c r="I28" s="45"/>
      <c r="J28" s="45"/>
      <c r="K28" s="45"/>
      <c r="L28" s="45"/>
      <c r="M28" s="45"/>
      <c r="AX28" s="44"/>
      <c r="AY28" s="44"/>
      <c r="AZ28" s="44"/>
      <c r="BA28" s="44"/>
      <c r="BB28" s="44"/>
      <c r="BC28" s="44"/>
      <c r="BD28" s="44"/>
    </row>
    <row r="29" spans="1:59" ht="18" thickTop="1" x14ac:dyDescent="0.25">
      <c r="A29" s="3"/>
      <c r="B29" s="3" t="s">
        <v>44</v>
      </c>
      <c r="C29" s="3"/>
      <c r="D29" s="3"/>
      <c r="E29" s="3"/>
      <c r="F29" s="3"/>
      <c r="G29" s="3"/>
      <c r="H29" s="3"/>
      <c r="I29" s="84"/>
      <c r="J29" s="84"/>
      <c r="K29" s="84"/>
      <c r="L29" s="84"/>
      <c r="M29" s="84"/>
      <c r="N29" s="3"/>
      <c r="O29" s="3"/>
      <c r="P29" s="86">
        <f t="shared" ref="P29:AA29" si="75">IF(P$7&lt;$AP$29,percPreTargetAdjustment,0%)</f>
        <v>0</v>
      </c>
      <c r="Q29" s="86">
        <f t="shared" si="75"/>
        <v>0</v>
      </c>
      <c r="R29" s="86">
        <f t="shared" si="75"/>
        <v>0</v>
      </c>
      <c r="S29" s="86">
        <f t="shared" si="75"/>
        <v>0</v>
      </c>
      <c r="T29" s="86">
        <f t="shared" si="75"/>
        <v>0</v>
      </c>
      <c r="U29" s="86">
        <f t="shared" si="75"/>
        <v>0</v>
      </c>
      <c r="V29" s="86">
        <f t="shared" si="75"/>
        <v>0</v>
      </c>
      <c r="W29" s="86">
        <f t="shared" si="75"/>
        <v>0</v>
      </c>
      <c r="X29" s="86">
        <f t="shared" si="75"/>
        <v>0</v>
      </c>
      <c r="Y29" s="86">
        <f t="shared" si="75"/>
        <v>0</v>
      </c>
      <c r="Z29" s="86">
        <f t="shared" si="75"/>
        <v>0</v>
      </c>
      <c r="AA29" s="86">
        <f t="shared" si="75"/>
        <v>0</v>
      </c>
      <c r="AB29" s="82"/>
      <c r="AC29" s="86">
        <f t="shared" ref="AC29:AN29" si="76">IF(AC$7&lt;$AP$29,percPreTargetAdjustment,0%)</f>
        <v>0</v>
      </c>
      <c r="AD29" s="86">
        <f t="shared" si="76"/>
        <v>0</v>
      </c>
      <c r="AE29" s="86">
        <f t="shared" si="76"/>
        <v>0</v>
      </c>
      <c r="AF29" s="86">
        <f t="shared" si="76"/>
        <v>0</v>
      </c>
      <c r="AG29" s="86">
        <f t="shared" si="76"/>
        <v>0</v>
      </c>
      <c r="AH29" s="86">
        <f t="shared" si="76"/>
        <v>0</v>
      </c>
      <c r="AI29" s="86">
        <f t="shared" si="76"/>
        <v>0</v>
      </c>
      <c r="AJ29" s="86">
        <f t="shared" si="76"/>
        <v>0</v>
      </c>
      <c r="AK29" s="86">
        <f t="shared" si="76"/>
        <v>0</v>
      </c>
      <c r="AL29" s="86">
        <f t="shared" si="76"/>
        <v>0</v>
      </c>
      <c r="AM29" s="86">
        <f t="shared" si="76"/>
        <v>0</v>
      </c>
      <c r="AN29" s="86">
        <f t="shared" si="76"/>
        <v>0</v>
      </c>
      <c r="AO29" s="82"/>
      <c r="AP29" s="20"/>
      <c r="AQ29" s="3"/>
      <c r="AR29" s="3"/>
      <c r="AS29" s="3"/>
      <c r="AT29" s="3"/>
      <c r="AU29" s="3"/>
      <c r="AV29" s="3"/>
      <c r="AW29" s="3"/>
      <c r="AX29" s="80">
        <f>SUMIFS(AX30:AX38,$G30:$G38,"&lt;&gt;Option")</f>
        <v>210944.84798627702</v>
      </c>
      <c r="AY29" s="80">
        <f>SUMIFS(AY30:AY38,$G30:$G38,"&lt;&gt;Option")</f>
        <v>347154.94982884452</v>
      </c>
      <c r="AZ29" s="80">
        <f>SUMIFS(AZ30:AZ38,$G30:$G38,"&lt;&gt;Option")</f>
        <v>297411.48708561499</v>
      </c>
      <c r="BA29" s="80">
        <f>SUMIFS(BA30:BA38,$G30:$G38,"&lt;&gt;Option")</f>
        <v>282540.91273133422</v>
      </c>
      <c r="BB29" s="80">
        <f>SUMIFS(BB30:BB38,$G30:$G38,"&lt;&gt;Option")</f>
        <v>268413.86709476745</v>
      </c>
      <c r="BC29" s="80"/>
      <c r="BD29" s="80">
        <f>SUM(AX29:BB29)</f>
        <v>1406466.0647268381</v>
      </c>
      <c r="BE29" s="3"/>
      <c r="BF29" s="82"/>
      <c r="BG29" s="82"/>
    </row>
    <row r="30" spans="1:59" x14ac:dyDescent="0.25">
      <c r="C30" t="s">
        <v>122</v>
      </c>
      <c r="D30" t="s">
        <v>79</v>
      </c>
      <c r="E30" t="s">
        <v>80</v>
      </c>
      <c r="F30" t="s">
        <v>81</v>
      </c>
      <c r="I30" s="47">
        <v>18880.861961461324</v>
      </c>
      <c r="J30" s="47">
        <v>18125.627483002874</v>
      </c>
      <c r="K30" s="47">
        <v>17219.346108852729</v>
      </c>
      <c r="L30" s="47">
        <v>16358.378803410093</v>
      </c>
      <c r="M30" s="47">
        <v>15540.459863239586</v>
      </c>
      <c r="O30" s="13">
        <v>1</v>
      </c>
      <c r="P30" s="14"/>
      <c r="Q30" s="14"/>
      <c r="R30" s="14"/>
      <c r="S30" s="14"/>
      <c r="T30" s="14"/>
      <c r="U30" s="14">
        <f t="shared" ref="U30:AA30" si="77">$O$30</f>
        <v>1</v>
      </c>
      <c r="V30" s="14">
        <f t="shared" si="77"/>
        <v>1</v>
      </c>
      <c r="W30" s="14">
        <f t="shared" si="77"/>
        <v>1</v>
      </c>
      <c r="X30" s="14">
        <f t="shared" si="77"/>
        <v>1</v>
      </c>
      <c r="Y30" s="14">
        <f t="shared" si="77"/>
        <v>1</v>
      </c>
      <c r="Z30" s="14">
        <f t="shared" si="77"/>
        <v>1</v>
      </c>
      <c r="AA30" s="14">
        <f t="shared" si="77"/>
        <v>1</v>
      </c>
      <c r="AC30" s="14">
        <f>$O$30</f>
        <v>1</v>
      </c>
      <c r="AD30" s="14">
        <f t="shared" ref="AD30:AN30" si="78">$O$30</f>
        <v>1</v>
      </c>
      <c r="AE30" s="14">
        <f t="shared" si="78"/>
        <v>1</v>
      </c>
      <c r="AF30" s="14">
        <f t="shared" si="78"/>
        <v>1</v>
      </c>
      <c r="AG30" s="14">
        <f t="shared" si="78"/>
        <v>1</v>
      </c>
      <c r="AH30" s="14">
        <f t="shared" si="78"/>
        <v>1</v>
      </c>
      <c r="AI30" s="14">
        <f t="shared" si="78"/>
        <v>1</v>
      </c>
      <c r="AJ30" s="14">
        <f t="shared" si="78"/>
        <v>1</v>
      </c>
      <c r="AK30" s="14">
        <f t="shared" si="78"/>
        <v>1</v>
      </c>
      <c r="AL30" s="14">
        <f t="shared" si="78"/>
        <v>1</v>
      </c>
      <c r="AM30" s="14">
        <f t="shared" si="78"/>
        <v>1</v>
      </c>
      <c r="AN30" s="14">
        <f t="shared" si="78"/>
        <v>1</v>
      </c>
      <c r="AR30" s="66">
        <f>IFERROR(AVERAGE(P30:AA30),0)</f>
        <v>1</v>
      </c>
      <c r="AS30" s="66">
        <f>IFERROR(AVERAGE(AC30:AN30),0)</f>
        <v>1</v>
      </c>
      <c r="AT30" s="13">
        <f>O30</f>
        <v>1</v>
      </c>
      <c r="AU30" s="13">
        <f>AT30</f>
        <v>1</v>
      </c>
      <c r="AV30" s="13">
        <f>AU30</f>
        <v>1</v>
      </c>
      <c r="AX30" s="61">
        <f>P30*(I30*(100%+P$29))+Q30*(I30*(100%+Q$29))+R30*(I30*(100%+R$29))+S30*(I30*(100%+S$29))+T30*(I30*(100%+T$29))+U30*(I30*(100%+U$29))+V30*(I30*(100%+V$29))+W30*(I30*(100%+W$29))+X30*(I30*(100%+X$29))+Y30*(I30*(100%+Y$29))+Z30*(I30*(100%+Z$29))+AA30*(I30*(100%+AA$29))</f>
        <v>132166.03373022928</v>
      </c>
      <c r="AY30" s="61">
        <f>AC30*(J30*(100%+AC$29))+AD30*(J30*(100%+AD$29))+AE30*(J30*(100%+AE$29))+AF30*(J30*(100%+AF$29))+AG30*(J30*(100%+AG$29))+AH30*(J30*(100%+AH$29))+AI30*(J30*(100%+AI$29))+AJ30*(J30*(100%+AJ$29))+AK30*(J30*(100%+AK$29))+AL30*(J30*(100%+AL$29))+AM30*(J30*(100%+AM$29))+AN30*(J30*(100%+AN$29))</f>
        <v>217507.52979603448</v>
      </c>
      <c r="AZ30" s="61">
        <f>K30*AT30*AT$7</f>
        <v>206632.15330623277</v>
      </c>
      <c r="BA30" s="61">
        <f>L30*AU30*AU$7</f>
        <v>196300.5456409211</v>
      </c>
      <c r="BB30" s="61">
        <f>M30*AV30*AV$7</f>
        <v>186485.51835887504</v>
      </c>
      <c r="BC30" s="53"/>
      <c r="BD30" s="61">
        <f>SUM(AX30:BB30)</f>
        <v>939091.78083229263</v>
      </c>
      <c r="BE30" s="6"/>
    </row>
    <row r="31" spans="1:59" x14ac:dyDescent="0.25">
      <c r="B31" s="5"/>
      <c r="C31" s="5" t="s">
        <v>123</v>
      </c>
      <c r="D31" s="5"/>
      <c r="E31" s="5"/>
      <c r="F31" s="5"/>
      <c r="G31" s="5"/>
      <c r="H31" s="5"/>
      <c r="I31" s="46"/>
      <c r="J31" s="46"/>
      <c r="K31" s="46"/>
      <c r="L31" s="46"/>
      <c r="M31" s="46"/>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t="s">
        <v>124</v>
      </c>
      <c r="AU31" s="5" t="s">
        <v>124</v>
      </c>
      <c r="AV31" s="5" t="s">
        <v>124</v>
      </c>
      <c r="AW31" s="5"/>
      <c r="AX31" s="50"/>
      <c r="AY31" s="50"/>
      <c r="AZ31" s="50"/>
      <c r="BA31" s="50"/>
      <c r="BB31" s="50"/>
      <c r="BC31" s="53"/>
      <c r="BD31" s="50"/>
      <c r="BE31" s="6"/>
    </row>
    <row r="32" spans="1:59" x14ac:dyDescent="0.25">
      <c r="C32" t="s">
        <v>125</v>
      </c>
      <c r="D32" t="s">
        <v>126</v>
      </c>
      <c r="E32" t="s">
        <v>89</v>
      </c>
      <c r="F32" t="s">
        <v>106</v>
      </c>
      <c r="I32" s="47">
        <v>18.583130476249806</v>
      </c>
      <c r="J32" s="47">
        <v>17.839805257199817</v>
      </c>
      <c r="K32" s="47">
        <v>16.947814994339822</v>
      </c>
      <c r="L32" s="47">
        <v>16.100424244622833</v>
      </c>
      <c r="M32" s="47">
        <v>15.295403032391691</v>
      </c>
      <c r="O32" s="13">
        <v>130</v>
      </c>
      <c r="P32" s="14"/>
      <c r="Q32" s="14"/>
      <c r="R32" s="14"/>
      <c r="S32" s="14"/>
      <c r="T32" s="14"/>
      <c r="U32" s="14">
        <f t="shared" ref="U32:AA32" si="79">$O$32</f>
        <v>130</v>
      </c>
      <c r="V32" s="14">
        <f t="shared" si="79"/>
        <v>130</v>
      </c>
      <c r="W32" s="14">
        <f t="shared" si="79"/>
        <v>130</v>
      </c>
      <c r="X32" s="14">
        <f t="shared" si="79"/>
        <v>130</v>
      </c>
      <c r="Y32" s="14">
        <f t="shared" si="79"/>
        <v>130</v>
      </c>
      <c r="Z32" s="14">
        <f t="shared" si="79"/>
        <v>130</v>
      </c>
      <c r="AA32" s="14">
        <f t="shared" si="79"/>
        <v>130</v>
      </c>
      <c r="AC32" s="14">
        <f t="shared" ref="AC32:AN32" si="80">$O$32</f>
        <v>130</v>
      </c>
      <c r="AD32" s="14">
        <f t="shared" si="80"/>
        <v>130</v>
      </c>
      <c r="AE32" s="14">
        <f t="shared" si="80"/>
        <v>130</v>
      </c>
      <c r="AF32" s="14">
        <f t="shared" si="80"/>
        <v>130</v>
      </c>
      <c r="AG32" s="14">
        <f t="shared" si="80"/>
        <v>130</v>
      </c>
      <c r="AH32" s="14">
        <f t="shared" si="80"/>
        <v>130</v>
      </c>
      <c r="AI32" s="14">
        <f t="shared" si="80"/>
        <v>130</v>
      </c>
      <c r="AJ32" s="14">
        <f t="shared" si="80"/>
        <v>130</v>
      </c>
      <c r="AK32" s="14">
        <f t="shared" si="80"/>
        <v>130</v>
      </c>
      <c r="AL32" s="14">
        <f t="shared" si="80"/>
        <v>130</v>
      </c>
      <c r="AM32" s="14">
        <f t="shared" si="80"/>
        <v>130</v>
      </c>
      <c r="AN32" s="14">
        <f t="shared" si="80"/>
        <v>130</v>
      </c>
      <c r="AR32" s="66">
        <f>IFERROR(AVERAGE(P32:AA32),0)</f>
        <v>130</v>
      </c>
      <c r="AS32" s="66">
        <f>IFERROR(AVERAGE(AC32:AN32),0)</f>
        <v>130</v>
      </c>
      <c r="AT32" s="13">
        <f>O32</f>
        <v>130</v>
      </c>
      <c r="AU32" s="13">
        <f t="shared" ref="AU32:AV34" si="81">AT32</f>
        <v>130</v>
      </c>
      <c r="AV32" s="13">
        <f t="shared" si="81"/>
        <v>130</v>
      </c>
      <c r="AX32" s="61">
        <f>P32*(I32*(100%+P$29))+Q32*(I32*(100%+Q$29))+R32*(I32*(100%+R$29))+S32*(I32*(100%+S$29))+T32*(I32*(100%+T$29))+U32*(I32*(100%+U$29))+V32*(I32*(100%+V$29))+W32*(I32*(100%+W$29))+X32*(I32*(100%+X$29))+Y32*(I32*(100%+Y$29))+Z32*(I32*(100%+Z$29))+AA32*(I32*(100%+AA$29))</f>
        <v>16910.648733387323</v>
      </c>
      <c r="AY32" s="61">
        <f>AC32*(J32*(100%+AC$29))+AD32*(J32*(100%+AD$29))+AE32*(J32*(100%+AE$29))+AF32*(J32*(100%+AF$29))+AG32*(J32*(100%+AG$29))+AH32*(J32*(100%+AH$29))+AI32*(J32*(100%+AI$29))+AJ32*(J32*(100%+AJ$29))+AK32*(J32*(100%+AK$29))+AL32*(J32*(100%+AL$29))+AM32*(J32*(100%+AM$29))+AN32*(J32*(100%+AN$29))</f>
        <v>27830.096201231714</v>
      </c>
      <c r="AZ32" s="61">
        <f t="shared" ref="AZ32:BB34" si="82">K32*AT32*AT$7</f>
        <v>26438.591391170121</v>
      </c>
      <c r="BA32" s="61">
        <f t="shared" si="82"/>
        <v>25116.661821611619</v>
      </c>
      <c r="BB32" s="61">
        <f t="shared" si="82"/>
        <v>23860.82873053104</v>
      </c>
      <c r="BC32" s="53"/>
      <c r="BD32" s="61">
        <f>SUM(AX32:BB32)</f>
        <v>120156.82687793182</v>
      </c>
      <c r="BE32" s="6"/>
      <c r="BF32" s="6" t="s">
        <v>127</v>
      </c>
      <c r="BG32" s="6" t="s">
        <v>128</v>
      </c>
    </row>
    <row r="33" spans="1:59" ht="67.5" customHeight="1" x14ac:dyDescent="0.25">
      <c r="C33" t="s">
        <v>129</v>
      </c>
      <c r="D33" t="s">
        <v>130</v>
      </c>
      <c r="E33" t="s">
        <v>89</v>
      </c>
      <c r="F33" t="s">
        <v>85</v>
      </c>
      <c r="I33" s="47">
        <v>19.174621207632423</v>
      </c>
      <c r="J33" s="47">
        <v>18.407636359327125</v>
      </c>
      <c r="K33" s="47">
        <v>17.487254541360773</v>
      </c>
      <c r="L33" s="47">
        <v>16.61289181429273</v>
      </c>
      <c r="M33" s="47">
        <v>15.782247223578095</v>
      </c>
      <c r="O33" s="13">
        <v>102</v>
      </c>
      <c r="P33" s="14"/>
      <c r="Q33" s="14"/>
      <c r="R33" s="14"/>
      <c r="S33" s="14"/>
      <c r="T33" s="14"/>
      <c r="U33" s="14">
        <f t="shared" ref="U33:AA33" si="83">$O$33</f>
        <v>102</v>
      </c>
      <c r="V33" s="14">
        <f t="shared" si="83"/>
        <v>102</v>
      </c>
      <c r="W33" s="14">
        <f t="shared" si="83"/>
        <v>102</v>
      </c>
      <c r="X33" s="14">
        <f t="shared" si="83"/>
        <v>102</v>
      </c>
      <c r="Y33" s="14">
        <f t="shared" si="83"/>
        <v>102</v>
      </c>
      <c r="Z33" s="14">
        <f t="shared" si="83"/>
        <v>102</v>
      </c>
      <c r="AA33" s="14">
        <f t="shared" si="83"/>
        <v>102</v>
      </c>
      <c r="AC33" s="14">
        <f t="shared" ref="AC33:AN33" si="84">$O$33</f>
        <v>102</v>
      </c>
      <c r="AD33" s="14">
        <f t="shared" si="84"/>
        <v>102</v>
      </c>
      <c r="AE33" s="14">
        <f t="shared" si="84"/>
        <v>102</v>
      </c>
      <c r="AF33" s="14">
        <f t="shared" si="84"/>
        <v>102</v>
      </c>
      <c r="AG33" s="14">
        <f t="shared" si="84"/>
        <v>102</v>
      </c>
      <c r="AH33" s="14">
        <f t="shared" si="84"/>
        <v>102</v>
      </c>
      <c r="AI33" s="14">
        <f t="shared" si="84"/>
        <v>102</v>
      </c>
      <c r="AJ33" s="14">
        <f t="shared" si="84"/>
        <v>102</v>
      </c>
      <c r="AK33" s="14">
        <f t="shared" si="84"/>
        <v>102</v>
      </c>
      <c r="AL33" s="14">
        <f t="shared" si="84"/>
        <v>102</v>
      </c>
      <c r="AM33" s="14">
        <f t="shared" si="84"/>
        <v>102</v>
      </c>
      <c r="AN33" s="14">
        <f t="shared" si="84"/>
        <v>102</v>
      </c>
      <c r="AR33" s="66">
        <f>IFERROR(AVERAGE(P33:AA33),0)</f>
        <v>102</v>
      </c>
      <c r="AS33" s="66">
        <f>IFERROR(AVERAGE(AC33:AN33),0)</f>
        <v>102</v>
      </c>
      <c r="AT33" s="13">
        <f>O33</f>
        <v>102</v>
      </c>
      <c r="AU33" s="13">
        <f t="shared" ref="AU33" si="85">AT33</f>
        <v>102</v>
      </c>
      <c r="AV33" s="13">
        <f t="shared" ref="AV33" si="86">AU33</f>
        <v>102</v>
      </c>
      <c r="AX33" s="61">
        <f>P33*(I33*(100%+P$29))+Q33*(I33*(100%+Q$29))+R33*(I33*(100%+R$29))+S33*(I33*(100%+S$29))+T33*(I33*(100%+T$29))+U33*(I33*(100%+U$29))+V33*(I33*(100%+V$29))+W33*(I33*(100%+W$29))+X33*(I33*(100%+X$29))+Y33*(I33*(100%+Y$29))+Z33*(I33*(100%+Z$29))+AA33*(I33*(100%+AA$29))</f>
        <v>13690.679542249551</v>
      </c>
      <c r="AY33" s="61">
        <f>AC33*(J33*(100%+AC$29))+AD33*(J33*(100%+AD$29))+AE33*(J33*(100%+AE$29))+AF33*(J33*(100%+AF$29))+AG33*(J33*(100%+AG$29))+AH33*(J33*(100%+AH$29))+AI33*(J33*(100%+AI$29))+AJ33*(J33*(100%+AJ$29))+AK33*(J33*(100%+AK$29))+AL33*(J33*(100%+AL$29))+AM33*(J33*(100%+AM$29))+AN33*(J33*(100%+AN$29))</f>
        <v>22530.946903816395</v>
      </c>
      <c r="AZ33" s="61">
        <f t="shared" si="82"/>
        <v>21404.399558625584</v>
      </c>
      <c r="BA33" s="61">
        <f t="shared" si="82"/>
        <v>20334.179580694301</v>
      </c>
      <c r="BB33" s="61">
        <f t="shared" si="82"/>
        <v>19317.470601659588</v>
      </c>
      <c r="BC33" s="53"/>
      <c r="BD33" s="61">
        <f>SUM(AX33:BB33)</f>
        <v>97277.676187045421</v>
      </c>
      <c r="BE33" s="6"/>
      <c r="BF33" s="8" t="s">
        <v>591</v>
      </c>
      <c r="BG33" s="8" t="s">
        <v>592</v>
      </c>
    </row>
    <row r="34" spans="1:59" ht="63" customHeight="1" x14ac:dyDescent="0.25">
      <c r="C34" t="s">
        <v>131</v>
      </c>
      <c r="D34" t="s">
        <v>130</v>
      </c>
      <c r="E34" t="s">
        <v>89</v>
      </c>
      <c r="F34" s="72" t="str">
        <f>$F$33</f>
        <v>normal</v>
      </c>
      <c r="I34" s="47">
        <v>16.91871231825548</v>
      </c>
      <c r="J34" s="47">
        <v>16.241963825525261</v>
      </c>
      <c r="K34" s="47">
        <v>15.429865634248996</v>
      </c>
      <c r="L34" s="47">
        <v>14.658372352536547</v>
      </c>
      <c r="M34" s="47">
        <v>13.925453734909722</v>
      </c>
      <c r="O34" s="13">
        <v>22</v>
      </c>
      <c r="P34" s="14"/>
      <c r="Q34" s="14"/>
      <c r="R34" s="14"/>
      <c r="S34" s="14"/>
      <c r="T34" s="14"/>
      <c r="U34" s="14">
        <f t="shared" ref="U34:AA34" si="87">$O$34</f>
        <v>22</v>
      </c>
      <c r="V34" s="14">
        <f t="shared" si="87"/>
        <v>22</v>
      </c>
      <c r="W34" s="14">
        <f t="shared" si="87"/>
        <v>22</v>
      </c>
      <c r="X34" s="14">
        <f t="shared" si="87"/>
        <v>22</v>
      </c>
      <c r="Y34" s="14">
        <f t="shared" si="87"/>
        <v>22</v>
      </c>
      <c r="Z34" s="14">
        <f t="shared" si="87"/>
        <v>22</v>
      </c>
      <c r="AA34" s="14">
        <f t="shared" si="87"/>
        <v>22</v>
      </c>
      <c r="AC34" s="14">
        <f t="shared" ref="AC34:AN34" si="88">$O$34</f>
        <v>22</v>
      </c>
      <c r="AD34" s="14">
        <f t="shared" si="88"/>
        <v>22</v>
      </c>
      <c r="AE34" s="14">
        <f t="shared" si="88"/>
        <v>22</v>
      </c>
      <c r="AF34" s="14">
        <f t="shared" si="88"/>
        <v>22</v>
      </c>
      <c r="AG34" s="14">
        <f t="shared" si="88"/>
        <v>22</v>
      </c>
      <c r="AH34" s="14">
        <f t="shared" si="88"/>
        <v>22</v>
      </c>
      <c r="AI34" s="14">
        <f t="shared" si="88"/>
        <v>22</v>
      </c>
      <c r="AJ34" s="14">
        <f t="shared" si="88"/>
        <v>22</v>
      </c>
      <c r="AK34" s="14">
        <f t="shared" si="88"/>
        <v>22</v>
      </c>
      <c r="AL34" s="14">
        <f t="shared" si="88"/>
        <v>22</v>
      </c>
      <c r="AM34" s="14">
        <f t="shared" si="88"/>
        <v>22</v>
      </c>
      <c r="AN34" s="14">
        <f t="shared" si="88"/>
        <v>22</v>
      </c>
      <c r="AR34" s="66">
        <f>IFERROR(AVERAGE(P34:AA34),0)</f>
        <v>22</v>
      </c>
      <c r="AS34" s="66">
        <f>IFERROR(AVERAGE(AC34:AN34),0)</f>
        <v>22</v>
      </c>
      <c r="AT34" s="13">
        <f>O34</f>
        <v>22</v>
      </c>
      <c r="AU34" s="13">
        <f t="shared" si="81"/>
        <v>22</v>
      </c>
      <c r="AV34" s="13">
        <f t="shared" si="81"/>
        <v>22</v>
      </c>
      <c r="AX34" s="61">
        <f>P34*(I34*(100%+P$29))+Q34*(I34*(100%+Q$29))+R34*(I34*(100%+R$29))+S34*(I34*(100%+S$29))+T34*(I34*(100%+T$29))+U34*(I34*(100%+U$29))+V34*(I34*(100%+V$29))+W34*(I34*(100%+W$29))+X34*(I34*(100%+X$29))+Y34*(I34*(100%+Y$29))+Z34*(I34*(100%+Z$29))+AA34*(I34*(100%+AA$29))</f>
        <v>2605.4816970113443</v>
      </c>
      <c r="AY34" s="61">
        <f>AC34*(J34*(100%+AC$29))+AD34*(J34*(100%+AD$29))+AE34*(J34*(100%+AE$29))+AF34*(J34*(100%+AF$29))+AG34*(J34*(100%+AG$29))+AH34*(J34*(100%+AH$29))+AI34*(J34*(100%+AI$29))+AJ34*(J34*(100%+AJ$29))+AK34*(J34*(100%+AK$29))+AL34*(J34*(100%+AL$29))+AM34*(J34*(100%+AM$29))+AN34*(J34*(100%+AN$29))</f>
        <v>4287.8784499386684</v>
      </c>
      <c r="AZ34" s="61">
        <f t="shared" si="82"/>
        <v>4073.4845274417348</v>
      </c>
      <c r="BA34" s="61">
        <f t="shared" si="82"/>
        <v>3869.8103010696486</v>
      </c>
      <c r="BB34" s="61">
        <f t="shared" si="82"/>
        <v>3676.3197860161663</v>
      </c>
      <c r="BC34" s="53"/>
      <c r="BD34" s="61">
        <f>SUM(AX34:BB34)</f>
        <v>18512.974761477562</v>
      </c>
      <c r="BE34" s="6"/>
      <c r="BF34" s="8" t="s">
        <v>593</v>
      </c>
      <c r="BG34" s="8" t="s">
        <v>594</v>
      </c>
    </row>
    <row r="35" spans="1:59" x14ac:dyDescent="0.25">
      <c r="B35" s="5"/>
      <c r="C35" s="5" t="s">
        <v>132</v>
      </c>
      <c r="D35" s="5"/>
      <c r="E35" s="5"/>
      <c r="F35" s="5"/>
      <c r="G35" s="5"/>
      <c r="H35" s="5"/>
      <c r="I35" s="46"/>
      <c r="J35" s="46"/>
      <c r="K35" s="46"/>
      <c r="L35" s="46"/>
      <c r="M35" s="46"/>
      <c r="N35" s="5"/>
      <c r="O35" s="13"/>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t="s">
        <v>124</v>
      </c>
      <c r="AU35" s="5" t="s">
        <v>124</v>
      </c>
      <c r="AV35" s="5" t="s">
        <v>124</v>
      </c>
      <c r="AW35" s="5"/>
      <c r="AX35" s="50"/>
      <c r="AY35" s="50"/>
      <c r="AZ35" s="50"/>
      <c r="BA35" s="50"/>
      <c r="BB35" s="50"/>
      <c r="BC35" s="53"/>
      <c r="BD35" s="50"/>
      <c r="BE35" s="6"/>
    </row>
    <row r="36" spans="1:59" ht="30" x14ac:dyDescent="0.25">
      <c r="C36" t="s">
        <v>133</v>
      </c>
      <c r="D36" t="s">
        <v>134</v>
      </c>
      <c r="E36" t="s">
        <v>89</v>
      </c>
      <c r="F36" t="s">
        <v>106</v>
      </c>
      <c r="I36" s="47">
        <v>39.269276908771815</v>
      </c>
      <c r="J36" s="47">
        <v>37.698505832420942</v>
      </c>
      <c r="K36" s="47">
        <v>35.813580540799897</v>
      </c>
      <c r="L36" s="47">
        <v>34.022901513759898</v>
      </c>
      <c r="M36" s="47">
        <v>32.321756438071908</v>
      </c>
      <c r="O36" s="13">
        <v>55</v>
      </c>
      <c r="P36" s="14"/>
      <c r="Q36" s="14"/>
      <c r="R36" s="14"/>
      <c r="S36" s="14"/>
      <c r="T36" s="14"/>
      <c r="U36" s="14">
        <f t="shared" ref="U36:AA36" si="89">$O$36</f>
        <v>55</v>
      </c>
      <c r="V36" s="14">
        <f t="shared" si="89"/>
        <v>55</v>
      </c>
      <c r="W36" s="14">
        <f t="shared" si="89"/>
        <v>55</v>
      </c>
      <c r="X36" s="14">
        <f t="shared" si="89"/>
        <v>55</v>
      </c>
      <c r="Y36" s="14">
        <f t="shared" si="89"/>
        <v>55</v>
      </c>
      <c r="Z36" s="14">
        <f t="shared" si="89"/>
        <v>55</v>
      </c>
      <c r="AA36" s="14">
        <f t="shared" si="89"/>
        <v>55</v>
      </c>
      <c r="AC36" s="14">
        <f t="shared" ref="AC36:AN36" si="90">$O$36</f>
        <v>55</v>
      </c>
      <c r="AD36" s="14">
        <f t="shared" si="90"/>
        <v>55</v>
      </c>
      <c r="AE36" s="14">
        <f t="shared" si="90"/>
        <v>55</v>
      </c>
      <c r="AF36" s="14">
        <f t="shared" si="90"/>
        <v>55</v>
      </c>
      <c r="AG36" s="14">
        <f t="shared" si="90"/>
        <v>55</v>
      </c>
      <c r="AH36" s="14">
        <f t="shared" si="90"/>
        <v>55</v>
      </c>
      <c r="AI36" s="14">
        <f t="shared" si="90"/>
        <v>55</v>
      </c>
      <c r="AJ36" s="14">
        <f t="shared" si="90"/>
        <v>55</v>
      </c>
      <c r="AK36" s="14">
        <f t="shared" si="90"/>
        <v>55</v>
      </c>
      <c r="AL36" s="14">
        <f t="shared" si="90"/>
        <v>55</v>
      </c>
      <c r="AM36" s="14">
        <f t="shared" si="90"/>
        <v>55</v>
      </c>
      <c r="AN36" s="14">
        <f t="shared" si="90"/>
        <v>55</v>
      </c>
      <c r="AR36" s="66">
        <f t="shared" ref="AR36:AR37" si="91">IFERROR(AVERAGE(P36:AA36),0)</f>
        <v>55</v>
      </c>
      <c r="AS36" s="66">
        <f t="shared" ref="AS36:AS37" si="92">IFERROR(AVERAGE(AC36:AN36),0)</f>
        <v>55</v>
      </c>
      <c r="AT36" s="13">
        <v>30</v>
      </c>
      <c r="AU36" s="13">
        <f t="shared" ref="AU36:AV37" si="93">AT36</f>
        <v>30</v>
      </c>
      <c r="AV36" s="13">
        <f t="shared" si="93"/>
        <v>30</v>
      </c>
      <c r="AX36" s="61">
        <f>P36*(I36*(100%+P$29))+Q36*(I36*(100%+Q$29))+R36*(I36*(100%+R$29))+S36*(I36*(100%+S$29))+T36*(I36*(100%+T$29))+U36*(I36*(100%+U$29))+V36*(I36*(100%+V$29))+W36*(I36*(100%+W$29))+X36*(I36*(100%+X$29))+Y36*(I36*(100%+Y$29))+Z36*(I36*(100%+Z$29))+AA36*(I36*(100%+AA$29))</f>
        <v>15118.671609877149</v>
      </c>
      <c r="AY36" s="61">
        <f>AC36*(J36*(100%+AC$29))+AD36*(J36*(100%+AD$29))+AE36*(J36*(100%+AE$29))+AF36*(J36*(100%+AF$29))+AG36*(J36*(100%+AG$29))+AH36*(J36*(100%+AH$29))+AI36*(J36*(100%+AI$29))+AJ36*(J36*(100%+AJ$29))+AK36*(J36*(100%+AK$29))+AL36*(J36*(100%+AL$29))+AM36*(J36*(100%+AM$29))+AN36*(J36*(100%+AN$29))</f>
        <v>24881.013849397816</v>
      </c>
      <c r="AZ36" s="61">
        <f t="shared" ref="AZ36:BB37" si="94">K36*AT36*AT$7</f>
        <v>12892.888994687964</v>
      </c>
      <c r="BA36" s="61">
        <f t="shared" si="94"/>
        <v>12248.244544953563</v>
      </c>
      <c r="BB36" s="61">
        <f t="shared" si="94"/>
        <v>11635.832317705886</v>
      </c>
      <c r="BC36" s="53"/>
      <c r="BD36" s="61">
        <f>SUM(AX36:BB36)</f>
        <v>76776.651316622389</v>
      </c>
      <c r="BE36" s="6"/>
      <c r="BF36" s="6" t="s">
        <v>135</v>
      </c>
      <c r="BG36" s="8" t="s">
        <v>595</v>
      </c>
    </row>
    <row r="37" spans="1:59" x14ac:dyDescent="0.25">
      <c r="C37" t="s">
        <v>136</v>
      </c>
      <c r="D37" t="s">
        <v>134</v>
      </c>
      <c r="E37" t="s">
        <v>89</v>
      </c>
      <c r="F37" t="s">
        <v>106</v>
      </c>
      <c r="I37" s="47">
        <v>79.099565385772479</v>
      </c>
      <c r="J37" s="47">
        <v>75.935582770341568</v>
      </c>
      <c r="K37" s="47">
        <v>72.138803631824487</v>
      </c>
      <c r="L37" s="47">
        <v>68.531863450233246</v>
      </c>
      <c r="M37" s="47">
        <v>65.105270277721601</v>
      </c>
      <c r="O37" s="13">
        <v>55</v>
      </c>
      <c r="P37" s="14"/>
      <c r="Q37" s="14"/>
      <c r="R37" s="14"/>
      <c r="S37" s="14"/>
      <c r="T37" s="14"/>
      <c r="U37" s="14">
        <f t="shared" ref="U37:AA37" si="95">$O$37</f>
        <v>55</v>
      </c>
      <c r="V37" s="14">
        <f t="shared" si="95"/>
        <v>55</v>
      </c>
      <c r="W37" s="14">
        <f t="shared" si="95"/>
        <v>55</v>
      </c>
      <c r="X37" s="14">
        <f t="shared" si="95"/>
        <v>55</v>
      </c>
      <c r="Y37" s="14">
        <f t="shared" si="95"/>
        <v>55</v>
      </c>
      <c r="Z37" s="14">
        <f t="shared" si="95"/>
        <v>55</v>
      </c>
      <c r="AA37" s="14">
        <f t="shared" si="95"/>
        <v>55</v>
      </c>
      <c r="AC37" s="14">
        <f t="shared" ref="AC37:AN37" si="96">$O$37</f>
        <v>55</v>
      </c>
      <c r="AD37" s="14">
        <f t="shared" si="96"/>
        <v>55</v>
      </c>
      <c r="AE37" s="14">
        <f t="shared" si="96"/>
        <v>55</v>
      </c>
      <c r="AF37" s="14">
        <f t="shared" si="96"/>
        <v>55</v>
      </c>
      <c r="AG37" s="14">
        <f t="shared" si="96"/>
        <v>55</v>
      </c>
      <c r="AH37" s="14">
        <f t="shared" si="96"/>
        <v>55</v>
      </c>
      <c r="AI37" s="14">
        <f t="shared" si="96"/>
        <v>55</v>
      </c>
      <c r="AJ37" s="14">
        <f t="shared" si="96"/>
        <v>55</v>
      </c>
      <c r="AK37" s="14">
        <f t="shared" si="96"/>
        <v>55</v>
      </c>
      <c r="AL37" s="14">
        <f t="shared" si="96"/>
        <v>55</v>
      </c>
      <c r="AM37" s="14">
        <f t="shared" si="96"/>
        <v>55</v>
      </c>
      <c r="AN37" s="14">
        <f t="shared" si="96"/>
        <v>55</v>
      </c>
      <c r="AR37" s="66">
        <f t="shared" si="91"/>
        <v>55</v>
      </c>
      <c r="AS37" s="66">
        <f t="shared" si="92"/>
        <v>55</v>
      </c>
      <c r="AT37" s="13">
        <v>30</v>
      </c>
      <c r="AU37" s="13">
        <f t="shared" si="93"/>
        <v>30</v>
      </c>
      <c r="AV37" s="13">
        <f t="shared" si="93"/>
        <v>30</v>
      </c>
      <c r="AX37" s="61">
        <f>P37*(I37*(100%+P$29))+Q37*(I37*(100%+Q$29))+R37*(I37*(100%+R$29))+S37*(I37*(100%+S$29))+T37*(I37*(100%+T$29))+U37*(I37*(100%+U$29))+V37*(I37*(100%+V$29))+W37*(I37*(100%+W$29))+X37*(I37*(100%+X$29))+Y37*(I37*(100%+Y$29))+Z37*(I37*(100%+Z$29))+AA37*(I37*(100%+AA$29))</f>
        <v>30453.332673522396</v>
      </c>
      <c r="AY37" s="61">
        <f>AC37*(J37*(100%+AC$29))+AD37*(J37*(100%+AD$29))+AE37*(J37*(100%+AE$29))+AF37*(J37*(100%+AF$29))+AG37*(J37*(100%+AG$29))+AH37*(J37*(100%+AH$29))+AI37*(J37*(100%+AI$29))+AJ37*(J37*(100%+AJ$29))+AK37*(J37*(100%+AK$29))+AL37*(J37*(100%+AL$29))+AM37*(J37*(100%+AM$29))+AN37*(J37*(100%+AN$29))</f>
        <v>50117.484628425438</v>
      </c>
      <c r="AZ37" s="61">
        <f t="shared" si="94"/>
        <v>25969.969307456817</v>
      </c>
      <c r="BA37" s="61">
        <f t="shared" si="94"/>
        <v>24671.470842083967</v>
      </c>
      <c r="BB37" s="61">
        <f t="shared" si="94"/>
        <v>23437.897299979777</v>
      </c>
      <c r="BC37" s="53"/>
      <c r="BD37" s="61">
        <f>SUM(AX37:BB37)</f>
        <v>154650.15475146839</v>
      </c>
      <c r="BF37" s="6" t="s">
        <v>135</v>
      </c>
    </row>
    <row r="38" spans="1:59" ht="15.75" thickBot="1" x14ac:dyDescent="0.3">
      <c r="I38" s="45"/>
      <c r="J38" s="45"/>
      <c r="K38" s="45"/>
      <c r="L38" s="45"/>
      <c r="M38" s="45"/>
      <c r="AX38" s="44"/>
      <c r="AY38" s="44"/>
      <c r="AZ38" s="44"/>
      <c r="BA38" s="44"/>
      <c r="BB38" s="44"/>
      <c r="BC38" s="44"/>
      <c r="BD38" s="44"/>
    </row>
    <row r="39" spans="1:59" ht="18" thickTop="1" x14ac:dyDescent="0.25">
      <c r="A39" s="3"/>
      <c r="B39" s="3" t="s">
        <v>45</v>
      </c>
      <c r="C39" s="3"/>
      <c r="D39" s="3"/>
      <c r="E39" s="3"/>
      <c r="F39" s="3"/>
      <c r="G39" s="3"/>
      <c r="H39" s="3"/>
      <c r="I39" s="84"/>
      <c r="J39" s="84"/>
      <c r="K39" s="84"/>
      <c r="L39" s="84"/>
      <c r="M39" s="84"/>
      <c r="N39" s="3"/>
      <c r="O39" s="3"/>
      <c r="P39" s="86">
        <f t="shared" ref="P39:AA39" si="97">IF(P$7&lt;$AP$39,percPreTargetAdjustment,0%)</f>
        <v>0</v>
      </c>
      <c r="Q39" s="86">
        <f t="shared" si="97"/>
        <v>0</v>
      </c>
      <c r="R39" s="86">
        <f t="shared" si="97"/>
        <v>0</v>
      </c>
      <c r="S39" s="86">
        <f t="shared" si="97"/>
        <v>0</v>
      </c>
      <c r="T39" s="86">
        <f t="shared" si="97"/>
        <v>0</v>
      </c>
      <c r="U39" s="86">
        <f t="shared" si="97"/>
        <v>0</v>
      </c>
      <c r="V39" s="86">
        <f t="shared" si="97"/>
        <v>0</v>
      </c>
      <c r="W39" s="86">
        <f t="shared" si="97"/>
        <v>0</v>
      </c>
      <c r="X39" s="86">
        <f t="shared" si="97"/>
        <v>0</v>
      </c>
      <c r="Y39" s="86">
        <f t="shared" si="97"/>
        <v>0</v>
      </c>
      <c r="Z39" s="86">
        <f t="shared" si="97"/>
        <v>0</v>
      </c>
      <c r="AA39" s="86">
        <f t="shared" si="97"/>
        <v>0</v>
      </c>
      <c r="AB39" s="82"/>
      <c r="AC39" s="86">
        <f t="shared" ref="AC39:AN39" si="98">IF(AC$7&lt;$AP$39,percPreTargetAdjustment,0%)</f>
        <v>0</v>
      </c>
      <c r="AD39" s="86">
        <f t="shared" si="98"/>
        <v>0</v>
      </c>
      <c r="AE39" s="86">
        <f t="shared" si="98"/>
        <v>0</v>
      </c>
      <c r="AF39" s="86">
        <f t="shared" si="98"/>
        <v>0</v>
      </c>
      <c r="AG39" s="86">
        <f t="shared" si="98"/>
        <v>0</v>
      </c>
      <c r="AH39" s="86">
        <f t="shared" si="98"/>
        <v>0</v>
      </c>
      <c r="AI39" s="86">
        <f t="shared" si="98"/>
        <v>0</v>
      </c>
      <c r="AJ39" s="86">
        <f t="shared" si="98"/>
        <v>0</v>
      </c>
      <c r="AK39" s="86">
        <f t="shared" si="98"/>
        <v>0</v>
      </c>
      <c r="AL39" s="86">
        <f t="shared" si="98"/>
        <v>0</v>
      </c>
      <c r="AM39" s="86">
        <f t="shared" si="98"/>
        <v>0</v>
      </c>
      <c r="AN39" s="86">
        <f t="shared" si="98"/>
        <v>0</v>
      </c>
      <c r="AO39" s="82"/>
      <c r="AP39" s="20"/>
      <c r="AQ39" s="3"/>
      <c r="AR39" s="3"/>
      <c r="AS39" s="3"/>
      <c r="AT39" s="3"/>
      <c r="AU39" s="3"/>
      <c r="AV39" s="3"/>
      <c r="AW39" s="3"/>
      <c r="AX39" s="80">
        <f>SUMIFS(AX40:AX57,$G40:$G57,"&lt;&gt;Option")</f>
        <v>659134.53821616096</v>
      </c>
      <c r="AY39" s="80">
        <f>SUMIFS(AY40:AY57,$G40:$G57,"&lt;&gt;Option")</f>
        <v>1088781.8569779245</v>
      </c>
      <c r="AZ39" s="80">
        <f>SUMIFS(AZ40:AZ57,$G40:$G57,"&lt;&gt;Option")</f>
        <v>1034342.7641290284</v>
      </c>
      <c r="BA39" s="80">
        <f>SUMIFS(BA40:BA57,$G40:$G57,"&lt;&gt;Option")</f>
        <v>982625.62592257664</v>
      </c>
      <c r="BB39" s="80">
        <f>SUMIFS(BB40:BB57,$G40:$G57,"&lt;&gt;Option")</f>
        <v>933494.344626448</v>
      </c>
      <c r="BC39" s="80"/>
      <c r="BD39" s="80">
        <f>SUM(AX39:BB39)</f>
        <v>4698379.1298721386</v>
      </c>
      <c r="BE39" s="3"/>
      <c r="BF39" s="82" t="s">
        <v>137</v>
      </c>
      <c r="BG39" s="82"/>
    </row>
    <row r="40" spans="1:59" x14ac:dyDescent="0.25">
      <c r="C40" t="s">
        <v>138</v>
      </c>
      <c r="D40" t="s">
        <v>79</v>
      </c>
      <c r="E40" t="s">
        <v>80</v>
      </c>
      <c r="F40" t="s">
        <v>81</v>
      </c>
      <c r="I40" s="47">
        <v>10112.58022464422</v>
      </c>
      <c r="J40" s="47">
        <v>9708.0770156584513</v>
      </c>
      <c r="K40" s="47">
        <v>9222.6731648755285</v>
      </c>
      <c r="L40" s="47">
        <v>8761.5395066317506</v>
      </c>
      <c r="M40" s="47">
        <v>8323.4625313001616</v>
      </c>
      <c r="O40" s="13">
        <v>1</v>
      </c>
      <c r="P40" s="14"/>
      <c r="Q40" s="14"/>
      <c r="R40" s="14"/>
      <c r="S40" s="14"/>
      <c r="T40" s="14"/>
      <c r="U40" s="14">
        <f t="shared" ref="U40" si="99">$O$40</f>
        <v>1</v>
      </c>
      <c r="V40" s="102">
        <f>$AT40</f>
        <v>1</v>
      </c>
      <c r="W40" s="102">
        <f t="shared" ref="W40:AA44" si="100">$AT40</f>
        <v>1</v>
      </c>
      <c r="X40" s="102">
        <f t="shared" si="100"/>
        <v>1</v>
      </c>
      <c r="Y40" s="102">
        <f t="shared" si="100"/>
        <v>1</v>
      </c>
      <c r="Z40" s="102">
        <f t="shared" si="100"/>
        <v>1</v>
      </c>
      <c r="AA40" s="102">
        <f t="shared" si="100"/>
        <v>1</v>
      </c>
      <c r="AC40" s="102">
        <f t="shared" ref="AC40:AN44" si="101">$AT40</f>
        <v>1</v>
      </c>
      <c r="AD40" s="102">
        <f t="shared" si="101"/>
        <v>1</v>
      </c>
      <c r="AE40" s="102">
        <f t="shared" si="101"/>
        <v>1</v>
      </c>
      <c r="AF40" s="102">
        <f t="shared" si="101"/>
        <v>1</v>
      </c>
      <c r="AG40" s="102">
        <f t="shared" si="101"/>
        <v>1</v>
      </c>
      <c r="AH40" s="102">
        <f t="shared" si="101"/>
        <v>1</v>
      </c>
      <c r="AI40" s="102">
        <f t="shared" si="101"/>
        <v>1</v>
      </c>
      <c r="AJ40" s="102">
        <f t="shared" si="101"/>
        <v>1</v>
      </c>
      <c r="AK40" s="102">
        <f t="shared" si="101"/>
        <v>1</v>
      </c>
      <c r="AL40" s="102">
        <f t="shared" si="101"/>
        <v>1</v>
      </c>
      <c r="AM40" s="102">
        <f t="shared" si="101"/>
        <v>1</v>
      </c>
      <c r="AN40" s="102">
        <f t="shared" si="101"/>
        <v>1</v>
      </c>
      <c r="AR40" s="66">
        <f>IFERROR(AVERAGE(P40:AA40),0)</f>
        <v>1</v>
      </c>
      <c r="AS40" s="66">
        <f>IFERROR(AVERAGE(AC40:AN40),0)</f>
        <v>1</v>
      </c>
      <c r="AT40" s="13">
        <f>O40</f>
        <v>1</v>
      </c>
      <c r="AU40" s="13">
        <f>AT40</f>
        <v>1</v>
      </c>
      <c r="AV40" s="13">
        <f>AU40</f>
        <v>1</v>
      </c>
      <c r="AX40" s="61">
        <f>P40*(I40*(100%+P$39))+Q40*(I40*(100%+Q$39))+R40*(I40*(100%+R$39))+S40*(I40*(100%+S$39))+T40*(I40*(100%+T$39))+U40*(I40*(100%+U$39))+V40*(I40*(100%+V$39))+W40*(I40*(100%+W$39))+X40*(I40*(100%+X$39))+Y40*(I40*(100%+Y$39))+Z40*(I40*(100%+Z$39))+AA40*(I40*(100%+AA$39))</f>
        <v>70788.061572509541</v>
      </c>
      <c r="AY40" s="61">
        <f>AC40*(J40*(100%+AC$39))+AD40*(J40*(100%+AD$39))+AE40*(J40*(100%+AE$39))+AF40*(J40*(100%+AF$39))+AG40*(J40*(100%+AG$39))+AH40*(J40*(100%+AH$39))+AI40*(J40*(100%+AI$39))+AJ40*(J40*(100%+AJ$39))+AK40*(J40*(100%+AK$39))+AL40*(J40*(100%+AL$39))+AM40*(J40*(100%+AM$39))+AN40*(J40*(100%+AN$39))</f>
        <v>116496.92418790139</v>
      </c>
      <c r="AZ40" s="61">
        <f>K40*AT40*AT$7</f>
        <v>110672.07797850634</v>
      </c>
      <c r="BA40" s="61">
        <f>L40*AU40*AU$7</f>
        <v>105138.47407958101</v>
      </c>
      <c r="BB40" s="61">
        <f>M40*AV40*AV$7</f>
        <v>99881.550375601946</v>
      </c>
      <c r="BC40" s="53"/>
      <c r="BD40" s="61">
        <f>SUM(AX40:BB40)</f>
        <v>502977.08819410019</v>
      </c>
      <c r="BE40" s="6"/>
    </row>
    <row r="41" spans="1:59" x14ac:dyDescent="0.25">
      <c r="B41" s="5"/>
      <c r="C41" s="32" t="str">
        <f t="shared" ref="C41:C47" si="102">C31</f>
        <v>Workload management</v>
      </c>
      <c r="D41" s="5"/>
      <c r="E41" s="5"/>
      <c r="F41" s="5"/>
      <c r="G41" s="5"/>
      <c r="H41" s="5"/>
      <c r="I41" s="46"/>
      <c r="J41" s="46"/>
      <c r="K41" s="46"/>
      <c r="L41" s="46"/>
      <c r="M41" s="46"/>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t="s">
        <v>124</v>
      </c>
      <c r="AU41" s="5" t="s">
        <v>124</v>
      </c>
      <c r="AV41" s="5" t="s">
        <v>124</v>
      </c>
      <c r="AW41" s="5"/>
      <c r="AX41" s="50"/>
      <c r="AY41" s="50"/>
      <c r="AZ41" s="50"/>
      <c r="BA41" s="50"/>
      <c r="BB41" s="50"/>
      <c r="BC41" s="53"/>
      <c r="BD41" s="50"/>
      <c r="BE41" s="6"/>
    </row>
    <row r="42" spans="1:59" ht="45" x14ac:dyDescent="0.25">
      <c r="C42" s="72" t="str">
        <f t="shared" si="102"/>
        <v>Managed database non-PaaS</v>
      </c>
      <c r="D42" s="72" t="str">
        <f>D32</f>
        <v>Database Instance</v>
      </c>
      <c r="E42" s="72" t="str">
        <f>E32</f>
        <v>local</v>
      </c>
      <c r="F42" s="72" t="s">
        <v>106</v>
      </c>
      <c r="I42" s="71">
        <f t="shared" ref="I42:M44" si="103">I32</f>
        <v>18.583130476249806</v>
      </c>
      <c r="J42" s="71">
        <f t="shared" si="103"/>
        <v>17.839805257199817</v>
      </c>
      <c r="K42" s="71">
        <f t="shared" si="103"/>
        <v>16.947814994339822</v>
      </c>
      <c r="L42" s="71">
        <f t="shared" si="103"/>
        <v>16.100424244622833</v>
      </c>
      <c r="M42" s="71">
        <f t="shared" si="103"/>
        <v>15.295403032391691</v>
      </c>
      <c r="O42" s="13">
        <v>86</v>
      </c>
      <c r="P42" s="14"/>
      <c r="Q42" s="14"/>
      <c r="R42" s="14"/>
      <c r="S42" s="14"/>
      <c r="T42" s="14"/>
      <c r="U42" s="14">
        <f t="shared" ref="U42" si="104">$O$42</f>
        <v>86</v>
      </c>
      <c r="V42" s="102">
        <f>$AT42</f>
        <v>101</v>
      </c>
      <c r="W42" s="102">
        <f t="shared" si="100"/>
        <v>101</v>
      </c>
      <c r="X42" s="102">
        <f t="shared" si="100"/>
        <v>101</v>
      </c>
      <c r="Y42" s="102">
        <f t="shared" si="100"/>
        <v>101</v>
      </c>
      <c r="Z42" s="102">
        <f t="shared" si="100"/>
        <v>101</v>
      </c>
      <c r="AA42" s="102">
        <f t="shared" si="100"/>
        <v>101</v>
      </c>
      <c r="AC42" s="102">
        <f t="shared" si="101"/>
        <v>101</v>
      </c>
      <c r="AD42" s="102">
        <f t="shared" si="101"/>
        <v>101</v>
      </c>
      <c r="AE42" s="102">
        <f t="shared" si="101"/>
        <v>101</v>
      </c>
      <c r="AF42" s="102">
        <f t="shared" si="101"/>
        <v>101</v>
      </c>
      <c r="AG42" s="102">
        <f t="shared" si="101"/>
        <v>101</v>
      </c>
      <c r="AH42" s="102">
        <f t="shared" si="101"/>
        <v>101</v>
      </c>
      <c r="AI42" s="102">
        <f t="shared" si="101"/>
        <v>101</v>
      </c>
      <c r="AJ42" s="102">
        <f t="shared" si="101"/>
        <v>101</v>
      </c>
      <c r="AK42" s="102">
        <f t="shared" si="101"/>
        <v>101</v>
      </c>
      <c r="AL42" s="102">
        <f t="shared" si="101"/>
        <v>101</v>
      </c>
      <c r="AM42" s="102">
        <f t="shared" si="101"/>
        <v>101</v>
      </c>
      <c r="AN42" s="102">
        <f t="shared" si="101"/>
        <v>101</v>
      </c>
      <c r="AR42" s="66">
        <f>IFERROR(AVERAGE(P42:AA42),0)</f>
        <v>98.857142857142861</v>
      </c>
      <c r="AS42" s="66">
        <f>IFERROR(AVERAGE(AC42:AN42),0)</f>
        <v>101</v>
      </c>
      <c r="AT42" s="13">
        <f>O42+15</f>
        <v>101</v>
      </c>
      <c r="AU42" s="13">
        <f t="shared" ref="AU42:AU43" si="105">AT42</f>
        <v>101</v>
      </c>
      <c r="AV42" s="13">
        <f t="shared" ref="AV42:AV44" si="106">AU42</f>
        <v>101</v>
      </c>
      <c r="AX42" s="61">
        <f>P42*(I42*(100%+P$29))+Q42*(I42*(100%+Q$29))+R42*(I42*(100%+R$29))+S42*(I42*(100%+S$29))+T42*(I42*(100%+T$29))+U42*(I42*(100%+U$29))+V42*(I42*(100%+V$29))+W42*(I42*(100%+W$29))+X42*(I42*(100%+X$29))+Y42*(I42*(100%+Y$29))+Z42*(I42*(100%+Z$29))+AA42*(I42*(100%+AA$29))</f>
        <v>12859.526289564863</v>
      </c>
      <c r="AY42" s="61">
        <f>AC42*(J42*(100%+AC$29))+AD42*(J42*(100%+AD$29))+AE42*(J42*(100%+AE$29))+AF42*(J42*(100%+AF$29))+AG42*(J42*(100%+AG$29))+AH42*(J42*(100%+AH$29))+AI42*(J42*(100%+AI$29))+AJ42*(J42*(100%+AJ$29))+AK42*(J42*(100%+AK$29))+AL42*(J42*(100%+AL$29))+AM42*(J42*(100%+AM$29))+AN42*(J42*(100%+AN$29))</f>
        <v>21621.843971726179</v>
      </c>
      <c r="AZ42" s="61">
        <f t="shared" ref="AZ42:BB44" si="107">K42*AT42*AT$7</f>
        <v>20540.751773139866</v>
      </c>
      <c r="BA42" s="61">
        <f t="shared" si="107"/>
        <v>19513.714184482873</v>
      </c>
      <c r="BB42" s="61">
        <f t="shared" si="107"/>
        <v>18538.028475258732</v>
      </c>
      <c r="BC42" s="53"/>
      <c r="BD42" s="61">
        <f>SUM(AX42:BB42)</f>
        <v>93073.864694172516</v>
      </c>
      <c r="BE42" s="6"/>
      <c r="BF42" s="8" t="s">
        <v>139</v>
      </c>
      <c r="BG42" s="8" t="s">
        <v>140</v>
      </c>
    </row>
    <row r="43" spans="1:59" ht="90" x14ac:dyDescent="0.25">
      <c r="C43" s="72" t="str">
        <f t="shared" si="102"/>
        <v>Managed operating system (OS) – in Azure</v>
      </c>
      <c r="D43" s="72" t="str">
        <f t="shared" ref="D43:E43" si="108">D33</f>
        <v>OS instance</v>
      </c>
      <c r="E43" s="72" t="str">
        <f t="shared" si="108"/>
        <v>local</v>
      </c>
      <c r="F43" s="72" t="str">
        <f>$F$33</f>
        <v>normal</v>
      </c>
      <c r="I43" s="71">
        <f t="shared" si="103"/>
        <v>19.174621207632423</v>
      </c>
      <c r="J43" s="71">
        <f t="shared" si="103"/>
        <v>18.407636359327125</v>
      </c>
      <c r="K43" s="71">
        <f t="shared" si="103"/>
        <v>17.487254541360773</v>
      </c>
      <c r="L43" s="71">
        <f t="shared" si="103"/>
        <v>16.61289181429273</v>
      </c>
      <c r="M43" s="71">
        <f t="shared" si="103"/>
        <v>15.782247223578095</v>
      </c>
      <c r="O43" s="13">
        <v>115</v>
      </c>
      <c r="P43" s="14"/>
      <c r="Q43" s="14"/>
      <c r="R43" s="14"/>
      <c r="S43" s="14"/>
      <c r="T43" s="14"/>
      <c r="U43" s="14">
        <f t="shared" ref="U43" si="109">$O$43</f>
        <v>115</v>
      </c>
      <c r="V43" s="102">
        <f>$AT43</f>
        <v>115</v>
      </c>
      <c r="W43" s="102">
        <f t="shared" si="100"/>
        <v>115</v>
      </c>
      <c r="X43" s="102">
        <f t="shared" si="100"/>
        <v>115</v>
      </c>
      <c r="Y43" s="102">
        <f t="shared" si="100"/>
        <v>115</v>
      </c>
      <c r="Z43" s="102">
        <f t="shared" si="100"/>
        <v>115</v>
      </c>
      <c r="AA43" s="102">
        <f t="shared" si="100"/>
        <v>115</v>
      </c>
      <c r="AC43" s="102">
        <f t="shared" si="101"/>
        <v>115</v>
      </c>
      <c r="AD43" s="102">
        <f t="shared" si="101"/>
        <v>115</v>
      </c>
      <c r="AE43" s="102">
        <f t="shared" si="101"/>
        <v>115</v>
      </c>
      <c r="AF43" s="102">
        <f t="shared" si="101"/>
        <v>115</v>
      </c>
      <c r="AG43" s="102">
        <f t="shared" si="101"/>
        <v>115</v>
      </c>
      <c r="AH43" s="102">
        <f t="shared" si="101"/>
        <v>115</v>
      </c>
      <c r="AI43" s="102">
        <f t="shared" si="101"/>
        <v>115</v>
      </c>
      <c r="AJ43" s="102">
        <f t="shared" si="101"/>
        <v>115</v>
      </c>
      <c r="AK43" s="102">
        <f t="shared" si="101"/>
        <v>115</v>
      </c>
      <c r="AL43" s="102">
        <f t="shared" si="101"/>
        <v>115</v>
      </c>
      <c r="AM43" s="102">
        <f t="shared" si="101"/>
        <v>115</v>
      </c>
      <c r="AN43" s="102">
        <f t="shared" si="101"/>
        <v>115</v>
      </c>
      <c r="AR43" s="66">
        <f>IFERROR(AVERAGE(P43:AA43),0)</f>
        <v>115</v>
      </c>
      <c r="AS43" s="66">
        <f>IFERROR(AVERAGE(AC43:AN43),0)</f>
        <v>115</v>
      </c>
      <c r="AT43" s="13">
        <f>O43</f>
        <v>115</v>
      </c>
      <c r="AU43" s="13">
        <f t="shared" si="105"/>
        <v>115</v>
      </c>
      <c r="AV43" s="13">
        <f t="shared" si="106"/>
        <v>115</v>
      </c>
      <c r="AX43" s="61">
        <f>P43*(I43*(100%+P$29))+Q43*(I43*(100%+Q$29))+R43*(I43*(100%+R$29))+S43*(I43*(100%+S$29))+T43*(I43*(100%+T$29))+U43*(I43*(100%+U$29))+V43*(I43*(100%+V$29))+W43*(I43*(100%+W$29))+X43*(I43*(100%+X$29))+Y43*(I43*(100%+Y$29))+Z43*(I43*(100%+Z$29))+AA43*(I43*(100%+AA$29))</f>
        <v>15435.570072144101</v>
      </c>
      <c r="AY43" s="61">
        <f>AC43*(J43*(100%+AC$29))+AD43*(J43*(100%+AD$29))+AE43*(J43*(100%+AE$29))+AF43*(J43*(100%+AF$29))+AG43*(J43*(100%+AG$29))+AH43*(J43*(100%+AH$29))+AI43*(J43*(100%+AI$29))+AJ43*(J43*(100%+AJ$29))+AK43*(J43*(100%+AK$29))+AL43*(J43*(100%+AL$29))+AM43*(J43*(100%+AM$29))+AN43*(J43*(100%+AN$29))</f>
        <v>25402.538175871432</v>
      </c>
      <c r="AZ43" s="61">
        <f t="shared" si="107"/>
        <v>24132.411267077867</v>
      </c>
      <c r="BA43" s="61">
        <f t="shared" si="107"/>
        <v>22925.790703723971</v>
      </c>
      <c r="BB43" s="61">
        <f t="shared" si="107"/>
        <v>21779.501168537769</v>
      </c>
      <c r="BC43" s="53"/>
      <c r="BD43" s="61">
        <f>SUM(AX43:BB43)</f>
        <v>109675.81138735515</v>
      </c>
      <c r="BE43" s="6"/>
      <c r="BF43" s="8" t="s">
        <v>596</v>
      </c>
      <c r="BG43" s="8" t="s">
        <v>597</v>
      </c>
    </row>
    <row r="44" spans="1:59" ht="30" x14ac:dyDescent="0.25">
      <c r="C44" s="72" t="str">
        <f t="shared" si="102"/>
        <v>Managed operating system (OS) – on premises</v>
      </c>
      <c r="D44" s="72" t="str">
        <f t="shared" ref="D44:E44" si="110">D34</f>
        <v>OS instance</v>
      </c>
      <c r="E44" s="72" t="str">
        <f t="shared" si="110"/>
        <v>local</v>
      </c>
      <c r="F44" s="72" t="str">
        <f>$F$33</f>
        <v>normal</v>
      </c>
      <c r="I44" s="71">
        <f t="shared" si="103"/>
        <v>16.91871231825548</v>
      </c>
      <c r="J44" s="71">
        <f t="shared" si="103"/>
        <v>16.241963825525261</v>
      </c>
      <c r="K44" s="71">
        <f t="shared" si="103"/>
        <v>15.429865634248996</v>
      </c>
      <c r="L44" s="71">
        <f t="shared" si="103"/>
        <v>14.658372352536547</v>
      </c>
      <c r="M44" s="71">
        <f t="shared" si="103"/>
        <v>13.925453734909722</v>
      </c>
      <c r="O44" s="13">
        <v>789</v>
      </c>
      <c r="P44" s="14"/>
      <c r="Q44" s="14"/>
      <c r="R44" s="14"/>
      <c r="S44" s="14"/>
      <c r="T44" s="14"/>
      <c r="U44" s="14">
        <f t="shared" ref="U44" si="111">$O$44</f>
        <v>789</v>
      </c>
      <c r="V44" s="102">
        <f>$AT44</f>
        <v>789</v>
      </c>
      <c r="W44" s="102">
        <f t="shared" si="100"/>
        <v>789</v>
      </c>
      <c r="X44" s="102">
        <f t="shared" si="100"/>
        <v>789</v>
      </c>
      <c r="Y44" s="102">
        <f t="shared" si="100"/>
        <v>789</v>
      </c>
      <c r="Z44" s="102">
        <f t="shared" si="100"/>
        <v>789</v>
      </c>
      <c r="AA44" s="102">
        <f t="shared" si="100"/>
        <v>789</v>
      </c>
      <c r="AC44" s="102">
        <f t="shared" si="101"/>
        <v>789</v>
      </c>
      <c r="AD44" s="102">
        <f t="shared" si="101"/>
        <v>789</v>
      </c>
      <c r="AE44" s="102">
        <f t="shared" si="101"/>
        <v>789</v>
      </c>
      <c r="AF44" s="102">
        <f t="shared" si="101"/>
        <v>789</v>
      </c>
      <c r="AG44" s="102">
        <f t="shared" si="101"/>
        <v>789</v>
      </c>
      <c r="AH44" s="102">
        <f t="shared" si="101"/>
        <v>789</v>
      </c>
      <c r="AI44" s="102">
        <f t="shared" si="101"/>
        <v>789</v>
      </c>
      <c r="AJ44" s="102">
        <f t="shared" si="101"/>
        <v>789</v>
      </c>
      <c r="AK44" s="102">
        <f t="shared" si="101"/>
        <v>789</v>
      </c>
      <c r="AL44" s="102">
        <f t="shared" si="101"/>
        <v>789</v>
      </c>
      <c r="AM44" s="102">
        <f t="shared" si="101"/>
        <v>789</v>
      </c>
      <c r="AN44" s="102">
        <f t="shared" si="101"/>
        <v>789</v>
      </c>
      <c r="AR44" s="66">
        <f>IFERROR(AVERAGE(P44:AA44),0)</f>
        <v>789</v>
      </c>
      <c r="AS44" s="66">
        <f>IFERROR(AVERAGE(AC44:AN44),0)</f>
        <v>789</v>
      </c>
      <c r="AT44" s="111">
        <v>789</v>
      </c>
      <c r="AU44" s="13">
        <f>AT44</f>
        <v>789</v>
      </c>
      <c r="AV44" s="13">
        <f t="shared" si="106"/>
        <v>789</v>
      </c>
      <c r="AX44" s="61">
        <f>P44*(I44*(100%+P$29))+Q44*(I44*(100%+Q$29))+R44*(I44*(100%+R$29))+S44*(I44*(100%+S$29))+T44*(I44*(100%+T$29))+U44*(I44*(100%+U$29))+V44*(I44*(100%+V$29))+W44*(I44*(100%+W$29))+X44*(I44*(100%+X$29))+Y44*(I44*(100%+Y$29))+Z44*(I44*(100%+Z$29))+AA44*(I44*(100%+AA$29))</f>
        <v>93442.048133725038</v>
      </c>
      <c r="AY44" s="61">
        <f>AC44*(J44*(100%+AC$29))+AD44*(J44*(100%+AD$29))+AE44*(J44*(100%+AE$29))+AF44*(J44*(100%+AF$29))+AG44*(J44*(100%+AG$29))+AH44*(J44*(100%+AH$29))+AI44*(J44*(100%+AI$29))+AJ44*(J44*(100%+AJ$29))+AK44*(J44*(100%+AK$29))+AL44*(J44*(100%+AL$29))+AM44*(J44*(100%+AM$29))+AN44*(J44*(100%+AN$29))</f>
        <v>153778.91350007316</v>
      </c>
      <c r="AZ44" s="61">
        <f t="shared" si="107"/>
        <v>146089.9678250695</v>
      </c>
      <c r="BA44" s="61">
        <f t="shared" si="107"/>
        <v>138785.46943381603</v>
      </c>
      <c r="BB44" s="61">
        <f t="shared" si="107"/>
        <v>131846.19596212526</v>
      </c>
      <c r="BC44" s="53"/>
      <c r="BD44" s="61">
        <f>SUM(AX44:BB44)</f>
        <v>663942.59485480888</v>
      </c>
      <c r="BE44" s="6"/>
      <c r="BF44" s="94" t="s">
        <v>598</v>
      </c>
      <c r="BG44" s="8" t="s">
        <v>599</v>
      </c>
    </row>
    <row r="45" spans="1:59" x14ac:dyDescent="0.25">
      <c r="B45" s="5"/>
      <c r="C45" s="32" t="str">
        <f t="shared" si="102"/>
        <v>On-premises server</v>
      </c>
      <c r="D45" s="5"/>
      <c r="E45" s="5"/>
      <c r="F45" s="5"/>
      <c r="G45" s="5"/>
      <c r="H45" s="5"/>
      <c r="I45" s="46"/>
      <c r="J45" s="46"/>
      <c r="K45" s="46"/>
      <c r="L45" s="46"/>
      <c r="M45" s="46"/>
      <c r="N45" s="5"/>
      <c r="O45" s="13"/>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t="s">
        <v>124</v>
      </c>
      <c r="AU45" s="5" t="s">
        <v>124</v>
      </c>
      <c r="AV45" s="5" t="s">
        <v>124</v>
      </c>
      <c r="AW45" s="5"/>
      <c r="AX45" s="50"/>
      <c r="AY45" s="50"/>
      <c r="AZ45" s="50"/>
      <c r="BA45" s="50"/>
      <c r="BB45" s="50"/>
      <c r="BC45" s="53"/>
      <c r="BD45" s="50"/>
      <c r="BE45" s="6"/>
    </row>
    <row r="46" spans="1:59" ht="60" x14ac:dyDescent="0.25">
      <c r="C46" s="72" t="str">
        <f t="shared" si="102"/>
        <v>On-premises server – Service Management</v>
      </c>
      <c r="D46" s="72" t="str">
        <f t="shared" ref="D46:F46" si="112">D36</f>
        <v>Physical Server</v>
      </c>
      <c r="E46" s="72" t="str">
        <f t="shared" si="112"/>
        <v>local</v>
      </c>
      <c r="F46" s="72" t="str">
        <f t="shared" si="112"/>
        <v>wide</v>
      </c>
      <c r="I46" s="71">
        <f t="shared" ref="I46:M47" si="113">I36</f>
        <v>39.269276908771815</v>
      </c>
      <c r="J46" s="71">
        <f t="shared" si="113"/>
        <v>37.698505832420942</v>
      </c>
      <c r="K46" s="71">
        <f t="shared" si="113"/>
        <v>35.813580540799897</v>
      </c>
      <c r="L46" s="71">
        <f t="shared" si="113"/>
        <v>34.022901513759898</v>
      </c>
      <c r="M46" s="71">
        <f t="shared" si="113"/>
        <v>32.321756438071908</v>
      </c>
      <c r="O46" s="13">
        <v>158</v>
      </c>
      <c r="P46" s="14"/>
      <c r="Q46" s="14"/>
      <c r="R46" s="14"/>
      <c r="S46" s="14"/>
      <c r="T46" s="14"/>
      <c r="U46" s="14">
        <f t="shared" ref="U46" si="114">$O$46</f>
        <v>158</v>
      </c>
      <c r="V46" s="102">
        <f>$AT46</f>
        <v>158</v>
      </c>
      <c r="W46" s="102">
        <f t="shared" ref="W46:AA47" si="115">$AT46</f>
        <v>158</v>
      </c>
      <c r="X46" s="102">
        <f t="shared" si="115"/>
        <v>158</v>
      </c>
      <c r="Y46" s="102">
        <f t="shared" si="115"/>
        <v>158</v>
      </c>
      <c r="Z46" s="102">
        <f t="shared" si="115"/>
        <v>158</v>
      </c>
      <c r="AA46" s="102">
        <f t="shared" si="115"/>
        <v>158</v>
      </c>
      <c r="AC46" s="102">
        <f t="shared" ref="AC46:AN47" si="116">$AT46</f>
        <v>158</v>
      </c>
      <c r="AD46" s="102">
        <f t="shared" si="116"/>
        <v>158</v>
      </c>
      <c r="AE46" s="102">
        <f t="shared" si="116"/>
        <v>158</v>
      </c>
      <c r="AF46" s="102">
        <f t="shared" si="116"/>
        <v>158</v>
      </c>
      <c r="AG46" s="102">
        <f t="shared" si="116"/>
        <v>158</v>
      </c>
      <c r="AH46" s="102">
        <f t="shared" si="116"/>
        <v>158</v>
      </c>
      <c r="AI46" s="102">
        <f t="shared" si="116"/>
        <v>158</v>
      </c>
      <c r="AJ46" s="102">
        <f t="shared" si="116"/>
        <v>158</v>
      </c>
      <c r="AK46" s="102">
        <f t="shared" si="116"/>
        <v>158</v>
      </c>
      <c r="AL46" s="102">
        <f t="shared" si="116"/>
        <v>158</v>
      </c>
      <c r="AM46" s="102">
        <f t="shared" si="116"/>
        <v>158</v>
      </c>
      <c r="AN46" s="102">
        <f t="shared" si="116"/>
        <v>158</v>
      </c>
      <c r="AR46" s="66">
        <f t="shared" ref="AR46:AR47" si="117">IFERROR(AVERAGE(P46:AA46),0)</f>
        <v>158</v>
      </c>
      <c r="AS46" s="66">
        <f t="shared" ref="AS46:AS47" si="118">IFERROR(AVERAGE(AC46:AN46),0)</f>
        <v>158</v>
      </c>
      <c r="AT46" s="111">
        <v>158</v>
      </c>
      <c r="AU46" s="13">
        <f t="shared" ref="AU46:AU47" si="119">AT46</f>
        <v>158</v>
      </c>
      <c r="AV46" s="13">
        <f t="shared" ref="AV46:AV47" si="120">AU46</f>
        <v>158</v>
      </c>
      <c r="AX46" s="61">
        <f>P46*(I46*(100%+P$29))+Q46*(I46*(100%+Q$29))+R46*(I46*(100%+R$29))+S46*(I46*(100%+S$29))+T46*(I46*(100%+T$29))+U46*(I46*(100%+U$29))+V46*(I46*(100%+V$29))+W46*(I46*(100%+W$29))+X46*(I46*(100%+X$29))+Y46*(I46*(100%+Y$29))+Z46*(I46*(100%+Z$29))+AA46*(I46*(100%+AA$29))</f>
        <v>43431.820261101624</v>
      </c>
      <c r="AY46" s="61">
        <f>AC46*(J46*(100%+AC$29))+AD46*(J46*(100%+AD$29))+AE46*(J46*(100%+AE$29))+AF46*(J46*(100%+AF$29))+AG46*(J46*(100%+AG$29))+AH46*(J46*(100%+AH$29))+AI46*(J46*(100%+AI$29))+AJ46*(J46*(100%+AJ$29))+AK46*(J46*(100%+AK$29))+AL46*(J46*(100%+AL$29))+AM46*(J46*(100%+AM$29))+AN46*(J46*(100%+AN$29))</f>
        <v>71476.367058270116</v>
      </c>
      <c r="AZ46" s="61">
        <f t="shared" ref="AZ46:BB47" si="121">K46*AT46*AT$7</f>
        <v>67902.548705356603</v>
      </c>
      <c r="BA46" s="61">
        <f t="shared" si="121"/>
        <v>64507.421270088758</v>
      </c>
      <c r="BB46" s="61">
        <f t="shared" si="121"/>
        <v>61282.050206584347</v>
      </c>
      <c r="BC46" s="53"/>
      <c r="BD46" s="61">
        <f>SUM(AX46:BB46)</f>
        <v>308600.20750140143</v>
      </c>
      <c r="BE46" s="6"/>
      <c r="BF46" s="8" t="s">
        <v>600</v>
      </c>
      <c r="BG46" s="8" t="s">
        <v>601</v>
      </c>
    </row>
    <row r="47" spans="1:59" x14ac:dyDescent="0.25">
      <c r="C47" s="72" t="str">
        <f t="shared" si="102"/>
        <v>On-premises server – Hardware Maintenance</v>
      </c>
      <c r="D47" s="72" t="str">
        <f t="shared" ref="D47:F47" si="122">D37</f>
        <v>Physical Server</v>
      </c>
      <c r="E47" s="72" t="str">
        <f t="shared" si="122"/>
        <v>local</v>
      </c>
      <c r="F47" s="72" t="str">
        <f t="shared" si="122"/>
        <v>wide</v>
      </c>
      <c r="I47" s="71">
        <f t="shared" si="113"/>
        <v>79.099565385772479</v>
      </c>
      <c r="J47" s="71">
        <f t="shared" si="113"/>
        <v>75.935582770341568</v>
      </c>
      <c r="K47" s="71">
        <f t="shared" si="113"/>
        <v>72.138803631824487</v>
      </c>
      <c r="L47" s="71">
        <f t="shared" si="113"/>
        <v>68.531863450233246</v>
      </c>
      <c r="M47" s="71">
        <f t="shared" si="113"/>
        <v>65.105270277721601</v>
      </c>
      <c r="O47" s="13">
        <v>158</v>
      </c>
      <c r="P47" s="14"/>
      <c r="Q47" s="14"/>
      <c r="R47" s="14"/>
      <c r="S47" s="14"/>
      <c r="T47" s="14"/>
      <c r="U47" s="14">
        <f t="shared" ref="U47" si="123">$O$47</f>
        <v>158</v>
      </c>
      <c r="V47" s="102">
        <f>$AT47</f>
        <v>158</v>
      </c>
      <c r="W47" s="102">
        <f t="shared" si="115"/>
        <v>158</v>
      </c>
      <c r="X47" s="102">
        <f t="shared" si="115"/>
        <v>158</v>
      </c>
      <c r="Y47" s="102">
        <f t="shared" si="115"/>
        <v>158</v>
      </c>
      <c r="Z47" s="102">
        <f t="shared" si="115"/>
        <v>158</v>
      </c>
      <c r="AA47" s="102">
        <f t="shared" si="115"/>
        <v>158</v>
      </c>
      <c r="AC47" s="102">
        <f t="shared" si="116"/>
        <v>158</v>
      </c>
      <c r="AD47" s="102">
        <f t="shared" si="116"/>
        <v>158</v>
      </c>
      <c r="AE47" s="102">
        <f t="shared" si="116"/>
        <v>158</v>
      </c>
      <c r="AF47" s="102">
        <f t="shared" si="116"/>
        <v>158</v>
      </c>
      <c r="AG47" s="102">
        <f t="shared" si="116"/>
        <v>158</v>
      </c>
      <c r="AH47" s="102">
        <f t="shared" si="116"/>
        <v>158</v>
      </c>
      <c r="AI47" s="102">
        <f t="shared" si="116"/>
        <v>158</v>
      </c>
      <c r="AJ47" s="102">
        <f t="shared" si="116"/>
        <v>158</v>
      </c>
      <c r="AK47" s="102">
        <f t="shared" si="116"/>
        <v>158</v>
      </c>
      <c r="AL47" s="102">
        <f t="shared" si="116"/>
        <v>158</v>
      </c>
      <c r="AM47" s="102">
        <f t="shared" si="116"/>
        <v>158</v>
      </c>
      <c r="AN47" s="102">
        <f t="shared" si="116"/>
        <v>158</v>
      </c>
      <c r="AR47" s="66">
        <f t="shared" si="117"/>
        <v>158</v>
      </c>
      <c r="AS47" s="66">
        <f t="shared" si="118"/>
        <v>158</v>
      </c>
      <c r="AT47" s="111">
        <v>158</v>
      </c>
      <c r="AU47" s="13">
        <f t="shared" si="119"/>
        <v>158</v>
      </c>
      <c r="AV47" s="13">
        <f t="shared" si="120"/>
        <v>158</v>
      </c>
      <c r="AX47" s="61">
        <f>P47*(I47*(100%+P$29))+Q47*(I47*(100%+Q$29))+R47*(I47*(100%+R$29))+S47*(I47*(100%+S$29))+T47*(I47*(100%+T$29))+U47*(I47*(100%+U$29))+V47*(I47*(100%+V$29))+W47*(I47*(100%+W$29))+X47*(I47*(100%+X$29))+Y47*(I47*(100%+Y$29))+Z47*(I47*(100%+Z$29))+AA47*(I47*(100%+AA$29))</f>
        <v>87484.119316664364</v>
      </c>
      <c r="AY47" s="61">
        <f>AC47*(J47*(100%+AC$29))+AD47*(J47*(100%+AD$29))+AE47*(J47*(100%+AE$29))+AF47*(J47*(100%+AF$29))+AG47*(J47*(100%+AG$29))+AH47*(J47*(100%+AH$29))+AI47*(J47*(100%+AI$29))+AJ47*(J47*(100%+AJ$29))+AK47*(J47*(100%+AK$29))+AL47*(J47*(100%+AL$29))+AM47*(J47*(100%+AM$29))+AN47*(J47*(100%+AN$29))</f>
        <v>143973.86493256761</v>
      </c>
      <c r="AZ47" s="61">
        <f t="shared" si="121"/>
        <v>136775.17168593922</v>
      </c>
      <c r="BA47" s="61">
        <f t="shared" si="121"/>
        <v>129936.41310164225</v>
      </c>
      <c r="BB47" s="61">
        <f t="shared" si="121"/>
        <v>123439.59244656016</v>
      </c>
      <c r="BC47" s="53"/>
      <c r="BD47" s="61">
        <f>SUM(AX47:BB47)</f>
        <v>621609.16148337361</v>
      </c>
      <c r="BF47" s="6" t="s">
        <v>135</v>
      </c>
    </row>
    <row r="48" spans="1:59" x14ac:dyDescent="0.25">
      <c r="B48" s="5"/>
      <c r="C48" s="5" t="s">
        <v>141</v>
      </c>
      <c r="D48" s="5"/>
      <c r="E48" s="5"/>
      <c r="F48" s="5"/>
      <c r="G48" s="5"/>
      <c r="H48" s="5"/>
      <c r="I48" s="46"/>
      <c r="J48" s="46"/>
      <c r="K48" s="46"/>
      <c r="L48" s="46"/>
      <c r="M48" s="46"/>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t="s">
        <v>124</v>
      </c>
      <c r="AU48" s="5" t="s">
        <v>124</v>
      </c>
      <c r="AV48" s="5" t="s">
        <v>124</v>
      </c>
      <c r="AW48" s="5"/>
      <c r="AX48" s="50"/>
      <c r="AY48" s="50"/>
      <c r="AZ48" s="50"/>
      <c r="BA48" s="50"/>
      <c r="BB48" s="50"/>
      <c r="BC48" s="53"/>
      <c r="BD48" s="50"/>
      <c r="BE48" s="6"/>
    </row>
    <row r="49" spans="1:59" x14ac:dyDescent="0.25">
      <c r="C49" s="93" t="s">
        <v>142</v>
      </c>
      <c r="D49" t="s">
        <v>143</v>
      </c>
      <c r="E49" t="s">
        <v>89</v>
      </c>
      <c r="F49" t="s">
        <v>81</v>
      </c>
      <c r="I49" s="47">
        <v>974.68793287400229</v>
      </c>
      <c r="J49" s="47">
        <v>935.70041555904209</v>
      </c>
      <c r="K49" s="47">
        <v>888.91539478108996</v>
      </c>
      <c r="L49" s="47">
        <v>844.46962504203532</v>
      </c>
      <c r="M49" s="47">
        <v>802.24614378993363</v>
      </c>
      <c r="O49" s="13">
        <v>20</v>
      </c>
      <c r="P49" s="14"/>
      <c r="Q49" s="14"/>
      <c r="R49" s="14"/>
      <c r="S49" s="14"/>
      <c r="T49" s="14"/>
      <c r="U49" s="14">
        <f t="shared" ref="U49" si="124">$O$49</f>
        <v>20</v>
      </c>
      <c r="V49" s="102">
        <f t="shared" ref="V49:V56" si="125">$AT49</f>
        <v>20</v>
      </c>
      <c r="W49" s="102">
        <f t="shared" ref="W49:AA56" si="126">$AT49</f>
        <v>20</v>
      </c>
      <c r="X49" s="102">
        <f t="shared" si="126"/>
        <v>20</v>
      </c>
      <c r="Y49" s="102">
        <f t="shared" si="126"/>
        <v>20</v>
      </c>
      <c r="Z49" s="102">
        <f t="shared" si="126"/>
        <v>20</v>
      </c>
      <c r="AA49" s="102">
        <f t="shared" si="126"/>
        <v>20</v>
      </c>
      <c r="AC49" s="102">
        <f t="shared" ref="AC49:AN56" si="127">$AT49</f>
        <v>20</v>
      </c>
      <c r="AD49" s="102">
        <f t="shared" si="127"/>
        <v>20</v>
      </c>
      <c r="AE49" s="102">
        <f t="shared" si="127"/>
        <v>20</v>
      </c>
      <c r="AF49" s="102">
        <f t="shared" si="127"/>
        <v>20</v>
      </c>
      <c r="AG49" s="102">
        <f t="shared" si="127"/>
        <v>20</v>
      </c>
      <c r="AH49" s="102">
        <f t="shared" si="127"/>
        <v>20</v>
      </c>
      <c r="AI49" s="102">
        <f t="shared" si="127"/>
        <v>20</v>
      </c>
      <c r="AJ49" s="102">
        <f t="shared" si="127"/>
        <v>20</v>
      </c>
      <c r="AK49" s="102">
        <f t="shared" si="127"/>
        <v>20</v>
      </c>
      <c r="AL49" s="102">
        <f t="shared" si="127"/>
        <v>20</v>
      </c>
      <c r="AM49" s="102">
        <f t="shared" si="127"/>
        <v>20</v>
      </c>
      <c r="AN49" s="102">
        <f t="shared" si="127"/>
        <v>20</v>
      </c>
      <c r="AR49" s="66">
        <f t="shared" ref="AR49:AR56" si="128">IFERROR(AVERAGE(P49:AA49),0)</f>
        <v>20</v>
      </c>
      <c r="AS49" s="66">
        <f t="shared" ref="AS49:AS56" si="129">IFERROR(AVERAGE(AC49:AN49),0)</f>
        <v>20</v>
      </c>
      <c r="AT49" s="13">
        <f t="shared" ref="AT49:AT53" si="130">O49</f>
        <v>20</v>
      </c>
      <c r="AU49" s="13">
        <f t="shared" ref="AU49:AV50" si="131">AT49</f>
        <v>20</v>
      </c>
      <c r="AV49" s="13">
        <f t="shared" si="131"/>
        <v>20</v>
      </c>
      <c r="AX49" s="61">
        <f t="shared" ref="AX49:AX56" si="132">P49*(I49*(100%+P$39))+Q49*(I49*(100%+Q$39))+R49*(I49*(100%+R$39))+S49*(I49*(100%+S$39))+T49*(I49*(100%+T$39))+U49*(I49*(100%+U$39))+V49*(I49*(100%+V$39))+W49*(I49*(100%+W$39))+X49*(I49*(100%+X$39))+Y49*(I49*(100%+Y$39))+Z49*(I49*(100%+Z$39))+AA49*(I49*(100%+AA$39))</f>
        <v>136456.31060236029</v>
      </c>
      <c r="AY49" s="61">
        <f t="shared" ref="AY49:AY56" si="133">AC49*(J49*(100%+AC$39))+AD49*(J49*(100%+AD$39))+AE49*(J49*(100%+AE$39))+AF49*(J49*(100%+AF$39))+AG49*(J49*(100%+AG$39))+AH49*(J49*(100%+AH$39))+AI49*(J49*(100%+AI$39))+AJ49*(J49*(100%+AJ$39))+AK49*(J49*(100%+AK$39))+AL49*(J49*(100%+AL$39))+AM49*(J49*(100%+AM$39))+AN49*(J49*(100%+AN$39))</f>
        <v>224568.09973417004</v>
      </c>
      <c r="AZ49" s="61">
        <f t="shared" ref="AZ49:BB56" si="134">K49*AT49*AT$7</f>
        <v>213339.69474746159</v>
      </c>
      <c r="BA49" s="61">
        <f t="shared" si="134"/>
        <v>202672.71001008846</v>
      </c>
      <c r="BB49" s="61">
        <f t="shared" si="134"/>
        <v>192539.07450958408</v>
      </c>
      <c r="BC49" s="53"/>
      <c r="BD49" s="61">
        <f>SUM(AX49:BB49)</f>
        <v>969575.8896036644</v>
      </c>
      <c r="BG49" s="6" t="s">
        <v>144</v>
      </c>
    </row>
    <row r="50" spans="1:59" x14ac:dyDescent="0.25">
      <c r="C50" s="143" t="s">
        <v>145</v>
      </c>
      <c r="D50" s="143" t="s">
        <v>146</v>
      </c>
      <c r="E50" s="143" t="s">
        <v>89</v>
      </c>
      <c r="F50" s="143" t="s">
        <v>85</v>
      </c>
      <c r="G50" s="143"/>
      <c r="I50" s="47">
        <v>31.771338012162772</v>
      </c>
      <c r="J50" s="47">
        <v>30.500484491676257</v>
      </c>
      <c r="K50" s="47">
        <v>28.975460267092444</v>
      </c>
      <c r="L50" s="47">
        <v>27.526687253737819</v>
      </c>
      <c r="M50" s="47">
        <v>26.150352891050929</v>
      </c>
      <c r="O50" s="13">
        <v>187</v>
      </c>
      <c r="P50" s="14"/>
      <c r="Q50" s="14"/>
      <c r="R50" s="14"/>
      <c r="S50" s="14"/>
      <c r="T50" s="14"/>
      <c r="U50" s="14">
        <f t="shared" ref="U50" si="135">$O$50</f>
        <v>187</v>
      </c>
      <c r="V50" s="102">
        <f t="shared" si="125"/>
        <v>200</v>
      </c>
      <c r="W50" s="102">
        <f t="shared" si="126"/>
        <v>200</v>
      </c>
      <c r="X50" s="102">
        <f t="shared" si="126"/>
        <v>200</v>
      </c>
      <c r="Y50" s="102">
        <f t="shared" si="126"/>
        <v>200</v>
      </c>
      <c r="Z50" s="102">
        <f t="shared" si="126"/>
        <v>200</v>
      </c>
      <c r="AA50" s="102">
        <f t="shared" si="126"/>
        <v>200</v>
      </c>
      <c r="AC50" s="102">
        <f t="shared" si="127"/>
        <v>200</v>
      </c>
      <c r="AD50" s="102">
        <f t="shared" si="127"/>
        <v>200</v>
      </c>
      <c r="AE50" s="102">
        <f t="shared" si="127"/>
        <v>200</v>
      </c>
      <c r="AF50" s="102">
        <f t="shared" si="127"/>
        <v>200</v>
      </c>
      <c r="AG50" s="102">
        <f t="shared" si="127"/>
        <v>200</v>
      </c>
      <c r="AH50" s="102">
        <f t="shared" si="127"/>
        <v>200</v>
      </c>
      <c r="AI50" s="102">
        <f t="shared" si="127"/>
        <v>200</v>
      </c>
      <c r="AJ50" s="102">
        <f t="shared" si="127"/>
        <v>200</v>
      </c>
      <c r="AK50" s="102">
        <f t="shared" si="127"/>
        <v>200</v>
      </c>
      <c r="AL50" s="102">
        <f t="shared" si="127"/>
        <v>200</v>
      </c>
      <c r="AM50" s="102">
        <f t="shared" si="127"/>
        <v>200</v>
      </c>
      <c r="AN50" s="102">
        <f t="shared" si="127"/>
        <v>200</v>
      </c>
      <c r="AR50" s="66">
        <f t="shared" ref="AR50" si="136">IFERROR(AVERAGE(P50:AA50),0)</f>
        <v>198.14285714285714</v>
      </c>
      <c r="AS50" s="66">
        <f t="shared" ref="AS50" si="137">IFERROR(AVERAGE(AC50:AN50),0)</f>
        <v>200</v>
      </c>
      <c r="AT50" s="13">
        <v>200</v>
      </c>
      <c r="AU50" s="13">
        <v>200</v>
      </c>
      <c r="AV50" s="13">
        <f t="shared" si="131"/>
        <v>200</v>
      </c>
      <c r="AX50" s="146">
        <f t="shared" si="132"/>
        <v>44066.845822869771</v>
      </c>
      <c r="AY50" s="146">
        <f>AC50*(J50*(100%+AC$39))+AD50*(J50*(100%+AD$39))+AE50*(J50*(100%+AE$39))+AF50*(J50*(100%+AF$39))+AG50*(J50*(100%+AG$39))+AH50*(J50*(100%+AH$39))+AI50*(J50*(100%+AI$39))+AJ50*(J50*(100%+AJ$39))+AK50*(J50*(100%+AK$39))+AL50*(J50*(100%+AL$39))+AM50*(J50*(100%+AM$39))+AN50*(J50*(100%+AN$39))</f>
        <v>73201.16278002302</v>
      </c>
      <c r="AZ50" s="61">
        <f t="shared" si="134"/>
        <v>69541.10464102187</v>
      </c>
      <c r="BA50" s="61">
        <f t="shared" si="134"/>
        <v>66064.049408970764</v>
      </c>
      <c r="BB50" s="61">
        <f t="shared" si="134"/>
        <v>62760.846938522227</v>
      </c>
      <c r="BC50" s="53"/>
      <c r="BD50" s="61">
        <f>SUM(AX50:BB50)</f>
        <v>315634.00959140767</v>
      </c>
      <c r="BG50" s="6" t="s">
        <v>147</v>
      </c>
    </row>
    <row r="51" spans="1:59" x14ac:dyDescent="0.25">
      <c r="C51" t="s">
        <v>148</v>
      </c>
      <c r="D51" t="s">
        <v>79</v>
      </c>
      <c r="E51" t="s">
        <v>80</v>
      </c>
      <c r="F51" t="s">
        <v>81</v>
      </c>
      <c r="I51" s="47">
        <v>3835.6678032903769</v>
      </c>
      <c r="J51" s="47">
        <v>3682.2410911587617</v>
      </c>
      <c r="K51" s="47">
        <v>3498.1290366008234</v>
      </c>
      <c r="L51" s="47">
        <v>3323.2225847707819</v>
      </c>
      <c r="M51" s="47">
        <v>3157.0614555322427</v>
      </c>
      <c r="O51" s="13">
        <v>1</v>
      </c>
      <c r="P51" s="14"/>
      <c r="Q51" s="14"/>
      <c r="R51" s="14"/>
      <c r="S51" s="14"/>
      <c r="T51" s="14"/>
      <c r="U51" s="14">
        <f t="shared" ref="U51" si="138">$O$51</f>
        <v>1</v>
      </c>
      <c r="V51" s="102">
        <f t="shared" si="125"/>
        <v>1</v>
      </c>
      <c r="W51" s="102">
        <f t="shared" si="126"/>
        <v>1</v>
      </c>
      <c r="X51" s="102">
        <f t="shared" si="126"/>
        <v>1</v>
      </c>
      <c r="Y51" s="102">
        <f t="shared" si="126"/>
        <v>1</v>
      </c>
      <c r="Z51" s="102">
        <f t="shared" si="126"/>
        <v>1</v>
      </c>
      <c r="AA51" s="102">
        <f t="shared" si="126"/>
        <v>1</v>
      </c>
      <c r="AC51" s="102">
        <f t="shared" si="127"/>
        <v>1</v>
      </c>
      <c r="AD51" s="102">
        <f t="shared" si="127"/>
        <v>1</v>
      </c>
      <c r="AE51" s="102">
        <f t="shared" si="127"/>
        <v>1</v>
      </c>
      <c r="AF51" s="102">
        <f t="shared" si="127"/>
        <v>1</v>
      </c>
      <c r="AG51" s="102">
        <f t="shared" si="127"/>
        <v>1</v>
      </c>
      <c r="AH51" s="102">
        <f t="shared" si="127"/>
        <v>1</v>
      </c>
      <c r="AI51" s="102">
        <f t="shared" si="127"/>
        <v>1</v>
      </c>
      <c r="AJ51" s="102">
        <f t="shared" si="127"/>
        <v>1</v>
      </c>
      <c r="AK51" s="102">
        <f t="shared" si="127"/>
        <v>1</v>
      </c>
      <c r="AL51" s="102">
        <f t="shared" si="127"/>
        <v>1</v>
      </c>
      <c r="AM51" s="102">
        <f t="shared" si="127"/>
        <v>1</v>
      </c>
      <c r="AN51" s="102">
        <f t="shared" si="127"/>
        <v>1</v>
      </c>
      <c r="AR51" s="66">
        <f t="shared" si="128"/>
        <v>1</v>
      </c>
      <c r="AS51" s="66">
        <f t="shared" si="129"/>
        <v>1</v>
      </c>
      <c r="AT51" s="13">
        <f t="shared" si="130"/>
        <v>1</v>
      </c>
      <c r="AU51" s="13">
        <f t="shared" ref="AU51:AV56" si="139">AT51</f>
        <v>1</v>
      </c>
      <c r="AV51" s="13">
        <f t="shared" si="139"/>
        <v>1</v>
      </c>
      <c r="AX51" s="61">
        <f t="shared" si="132"/>
        <v>26849.674623032639</v>
      </c>
      <c r="AY51" s="61">
        <f t="shared" si="133"/>
        <v>44186.89309390515</v>
      </c>
      <c r="AZ51" s="61">
        <f t="shared" si="134"/>
        <v>41977.548439209881</v>
      </c>
      <c r="BA51" s="61">
        <f t="shared" si="134"/>
        <v>39878.671017249384</v>
      </c>
      <c r="BB51" s="61">
        <f t="shared" si="134"/>
        <v>37884.737466386912</v>
      </c>
      <c r="BC51" s="53"/>
      <c r="BD51" s="61">
        <f>SUM(AX51:BB51)</f>
        <v>190777.52463978395</v>
      </c>
    </row>
    <row r="52" spans="1:59" x14ac:dyDescent="0.25">
      <c r="C52" t="s">
        <v>149</v>
      </c>
      <c r="D52" t="s">
        <v>79</v>
      </c>
      <c r="E52" t="s">
        <v>80</v>
      </c>
      <c r="F52" t="s">
        <v>81</v>
      </c>
      <c r="I52" s="47">
        <v>4588.334115470785</v>
      </c>
      <c r="J52" s="47">
        <v>4404.800750851954</v>
      </c>
      <c r="K52" s="47">
        <v>4184.5607133093554</v>
      </c>
      <c r="L52" s="47">
        <v>3975.3326776438876</v>
      </c>
      <c r="M52" s="47">
        <v>3776.566043761693</v>
      </c>
      <c r="O52" s="13">
        <v>1</v>
      </c>
      <c r="P52" s="14"/>
      <c r="Q52" s="14"/>
      <c r="R52" s="14"/>
      <c r="S52" s="14"/>
      <c r="T52" s="14"/>
      <c r="U52" s="14">
        <f t="shared" ref="U52" si="140">$O$52</f>
        <v>1</v>
      </c>
      <c r="V52" s="102">
        <f t="shared" si="125"/>
        <v>1</v>
      </c>
      <c r="W52" s="102">
        <f t="shared" si="126"/>
        <v>1</v>
      </c>
      <c r="X52" s="102">
        <f t="shared" si="126"/>
        <v>1</v>
      </c>
      <c r="Y52" s="102">
        <f t="shared" si="126"/>
        <v>1</v>
      </c>
      <c r="Z52" s="102">
        <f t="shared" si="126"/>
        <v>1</v>
      </c>
      <c r="AA52" s="102">
        <f t="shared" si="126"/>
        <v>1</v>
      </c>
      <c r="AC52" s="102">
        <f t="shared" si="127"/>
        <v>1</v>
      </c>
      <c r="AD52" s="102">
        <f t="shared" si="127"/>
        <v>1</v>
      </c>
      <c r="AE52" s="102">
        <f t="shared" si="127"/>
        <v>1</v>
      </c>
      <c r="AF52" s="102">
        <f t="shared" si="127"/>
        <v>1</v>
      </c>
      <c r="AG52" s="102">
        <f t="shared" si="127"/>
        <v>1</v>
      </c>
      <c r="AH52" s="102">
        <f t="shared" si="127"/>
        <v>1</v>
      </c>
      <c r="AI52" s="102">
        <f t="shared" si="127"/>
        <v>1</v>
      </c>
      <c r="AJ52" s="102">
        <f t="shared" si="127"/>
        <v>1</v>
      </c>
      <c r="AK52" s="102">
        <f t="shared" si="127"/>
        <v>1</v>
      </c>
      <c r="AL52" s="102">
        <f t="shared" si="127"/>
        <v>1</v>
      </c>
      <c r="AM52" s="102">
        <f t="shared" si="127"/>
        <v>1</v>
      </c>
      <c r="AN52" s="102">
        <f t="shared" si="127"/>
        <v>1</v>
      </c>
      <c r="AR52" s="66">
        <f t="shared" si="128"/>
        <v>1</v>
      </c>
      <c r="AS52" s="66">
        <f t="shared" si="129"/>
        <v>1</v>
      </c>
      <c r="AT52" s="13">
        <f t="shared" si="130"/>
        <v>1</v>
      </c>
      <c r="AU52" s="13">
        <f t="shared" si="139"/>
        <v>1</v>
      </c>
      <c r="AV52" s="13">
        <f t="shared" si="139"/>
        <v>1</v>
      </c>
      <c r="AX52" s="61">
        <f t="shared" si="132"/>
        <v>32118.338808295495</v>
      </c>
      <c r="AY52" s="61">
        <f t="shared" si="133"/>
        <v>52857.609010223438</v>
      </c>
      <c r="AZ52" s="61">
        <f t="shared" si="134"/>
        <v>50214.728559712268</v>
      </c>
      <c r="BA52" s="61">
        <f t="shared" si="134"/>
        <v>47703.992131726649</v>
      </c>
      <c r="BB52" s="61">
        <f t="shared" si="134"/>
        <v>45318.792525140314</v>
      </c>
      <c r="BC52" s="53"/>
      <c r="BD52" s="61">
        <f t="shared" ref="BD52:BD56" si="141">SUM(AX52:BB52)</f>
        <v>228213.46103509815</v>
      </c>
      <c r="BE52" s="6"/>
    </row>
    <row r="53" spans="1:59" x14ac:dyDescent="0.25">
      <c r="C53" s="143" t="s">
        <v>150</v>
      </c>
      <c r="D53" s="143" t="s">
        <v>79</v>
      </c>
      <c r="E53" s="143" t="s">
        <v>80</v>
      </c>
      <c r="F53" s="143" t="s">
        <v>81</v>
      </c>
      <c r="G53" s="143"/>
      <c r="I53" s="47">
        <v>1694.4028663513525</v>
      </c>
      <c r="J53" s="47">
        <v>1626.6267516972982</v>
      </c>
      <c r="K53" s="47">
        <v>1545.295414112433</v>
      </c>
      <c r="L53" s="47">
        <v>1468.0306434068114</v>
      </c>
      <c r="M53" s="47">
        <v>1394.6291112364706</v>
      </c>
      <c r="O53" s="13">
        <v>1</v>
      </c>
      <c r="P53" s="14"/>
      <c r="Q53" s="14"/>
      <c r="R53" s="14"/>
      <c r="S53" s="14"/>
      <c r="T53" s="14"/>
      <c r="U53" s="14">
        <f t="shared" ref="U53" si="142">$O$53</f>
        <v>1</v>
      </c>
      <c r="V53" s="102">
        <f t="shared" si="125"/>
        <v>1</v>
      </c>
      <c r="W53" s="102">
        <f t="shared" si="126"/>
        <v>1</v>
      </c>
      <c r="X53" s="102">
        <f t="shared" si="126"/>
        <v>1</v>
      </c>
      <c r="Y53" s="102">
        <f t="shared" si="126"/>
        <v>1</v>
      </c>
      <c r="Z53" s="102">
        <f t="shared" si="126"/>
        <v>1</v>
      </c>
      <c r="AA53" s="102">
        <f t="shared" si="126"/>
        <v>1</v>
      </c>
      <c r="AC53" s="102">
        <f t="shared" si="127"/>
        <v>1</v>
      </c>
      <c r="AD53" s="102">
        <f t="shared" si="127"/>
        <v>1</v>
      </c>
      <c r="AE53" s="102">
        <f t="shared" si="127"/>
        <v>1</v>
      </c>
      <c r="AF53" s="102">
        <f t="shared" si="127"/>
        <v>1</v>
      </c>
      <c r="AG53" s="102">
        <f t="shared" si="127"/>
        <v>1</v>
      </c>
      <c r="AH53" s="102">
        <f t="shared" si="127"/>
        <v>1</v>
      </c>
      <c r="AI53" s="102">
        <f t="shared" si="127"/>
        <v>1</v>
      </c>
      <c r="AJ53" s="102">
        <f t="shared" si="127"/>
        <v>1</v>
      </c>
      <c r="AK53" s="102">
        <f t="shared" si="127"/>
        <v>1</v>
      </c>
      <c r="AL53" s="102">
        <f t="shared" si="127"/>
        <v>1</v>
      </c>
      <c r="AM53" s="102">
        <f t="shared" si="127"/>
        <v>1</v>
      </c>
      <c r="AN53" s="102">
        <f t="shared" si="127"/>
        <v>1</v>
      </c>
      <c r="AR53" s="66">
        <f t="shared" si="128"/>
        <v>1</v>
      </c>
      <c r="AS53" s="66">
        <f t="shared" si="129"/>
        <v>1</v>
      </c>
      <c r="AT53" s="13">
        <f t="shared" si="130"/>
        <v>1</v>
      </c>
      <c r="AU53" s="13">
        <f t="shared" si="139"/>
        <v>1</v>
      </c>
      <c r="AV53" s="13">
        <f t="shared" si="139"/>
        <v>1</v>
      </c>
      <c r="AX53" s="146">
        <f t="shared" si="132"/>
        <v>11860.820064459467</v>
      </c>
      <c r="AY53" s="146">
        <f t="shared" si="133"/>
        <v>19519.521020367578</v>
      </c>
      <c r="AZ53" s="61">
        <f t="shared" si="134"/>
        <v>18543.544969349197</v>
      </c>
      <c r="BA53" s="61">
        <f t="shared" si="134"/>
        <v>17616.367720881735</v>
      </c>
      <c r="BB53" s="61">
        <f t="shared" si="134"/>
        <v>16735.549334837648</v>
      </c>
      <c r="BC53" s="53"/>
      <c r="BD53" s="61">
        <f t="shared" si="141"/>
        <v>84275.803109895627</v>
      </c>
      <c r="BE53" s="6"/>
    </row>
    <row r="54" spans="1:59" x14ac:dyDescent="0.25">
      <c r="C54" s="142" t="s">
        <v>151</v>
      </c>
      <c r="D54" s="143" t="s">
        <v>79</v>
      </c>
      <c r="E54" s="143" t="s">
        <v>80</v>
      </c>
      <c r="F54" s="143" t="s">
        <v>81</v>
      </c>
      <c r="G54" s="143"/>
      <c r="I54" s="47">
        <v>562.96257329713683</v>
      </c>
      <c r="J54" s="47">
        <v>540.44407036525138</v>
      </c>
      <c r="K54" s="47">
        <v>513.42186684698879</v>
      </c>
      <c r="L54" s="47">
        <v>487.75077350463926</v>
      </c>
      <c r="M54" s="47">
        <v>463.36323482940725</v>
      </c>
      <c r="O54" s="13">
        <v>1</v>
      </c>
      <c r="P54" s="14"/>
      <c r="Q54" s="14"/>
      <c r="R54" s="14"/>
      <c r="S54" s="14"/>
      <c r="T54" s="14"/>
      <c r="U54" s="14">
        <f t="shared" ref="U54" si="143">$O$54</f>
        <v>1</v>
      </c>
      <c r="V54" s="102">
        <f t="shared" si="125"/>
        <v>1</v>
      </c>
      <c r="W54" s="102">
        <f t="shared" si="126"/>
        <v>1</v>
      </c>
      <c r="X54" s="102">
        <f t="shared" si="126"/>
        <v>1</v>
      </c>
      <c r="Y54" s="102">
        <f t="shared" si="126"/>
        <v>1</v>
      </c>
      <c r="Z54" s="102">
        <f t="shared" si="126"/>
        <v>1</v>
      </c>
      <c r="AA54" s="102">
        <f t="shared" si="126"/>
        <v>1</v>
      </c>
      <c r="AC54" s="102">
        <f t="shared" si="127"/>
        <v>1</v>
      </c>
      <c r="AD54" s="102">
        <f t="shared" si="127"/>
        <v>1</v>
      </c>
      <c r="AE54" s="102">
        <f t="shared" si="127"/>
        <v>1</v>
      </c>
      <c r="AF54" s="102">
        <f t="shared" si="127"/>
        <v>1</v>
      </c>
      <c r="AG54" s="102">
        <f t="shared" si="127"/>
        <v>1</v>
      </c>
      <c r="AH54" s="102">
        <f t="shared" si="127"/>
        <v>1</v>
      </c>
      <c r="AI54" s="102">
        <f t="shared" si="127"/>
        <v>1</v>
      </c>
      <c r="AJ54" s="102">
        <f t="shared" si="127"/>
        <v>1</v>
      </c>
      <c r="AK54" s="102">
        <f t="shared" si="127"/>
        <v>1</v>
      </c>
      <c r="AL54" s="102">
        <f t="shared" si="127"/>
        <v>1</v>
      </c>
      <c r="AM54" s="102">
        <f t="shared" si="127"/>
        <v>1</v>
      </c>
      <c r="AN54" s="102">
        <f t="shared" si="127"/>
        <v>1</v>
      </c>
      <c r="AR54" s="66">
        <f t="shared" ref="AR54:AR55" si="144">IFERROR(AVERAGE(P54:AA54),0)</f>
        <v>1</v>
      </c>
      <c r="AS54" s="66">
        <f t="shared" ref="AS54:AS55" si="145">IFERROR(AVERAGE(AC54:AN54),0)</f>
        <v>1</v>
      </c>
      <c r="AT54" s="13">
        <f t="shared" ref="AT54:AT55" si="146">O54</f>
        <v>1</v>
      </c>
      <c r="AU54" s="13">
        <f t="shared" ref="AU54:AU55" si="147">AT54</f>
        <v>1</v>
      </c>
      <c r="AV54" s="13">
        <f t="shared" ref="AV54:AV55" si="148">AU54</f>
        <v>1</v>
      </c>
      <c r="AX54" s="146">
        <f t="shared" si="132"/>
        <v>3940.7380130799575</v>
      </c>
      <c r="AY54" s="146">
        <f t="shared" si="133"/>
        <v>6485.3288443830179</v>
      </c>
      <c r="AZ54" s="61">
        <f t="shared" si="134"/>
        <v>6161.062402163865</v>
      </c>
      <c r="BA54" s="61">
        <f t="shared" si="134"/>
        <v>5853.0092820556711</v>
      </c>
      <c r="BB54" s="61">
        <f t="shared" si="134"/>
        <v>5560.358817952887</v>
      </c>
      <c r="BC54" s="53"/>
      <c r="BD54" s="61">
        <f t="shared" ref="BD54" si="149">SUM(AX54:BB54)</f>
        <v>28000.497359635396</v>
      </c>
      <c r="BE54" s="6"/>
    </row>
    <row r="55" spans="1:59" x14ac:dyDescent="0.25">
      <c r="C55" s="142" t="s">
        <v>152</v>
      </c>
      <c r="D55" s="143" t="s">
        <v>79</v>
      </c>
      <c r="E55" s="143" t="s">
        <v>80</v>
      </c>
      <c r="F55" s="143" t="s">
        <v>81</v>
      </c>
      <c r="G55" s="143"/>
      <c r="I55" s="47">
        <v>9977.3361632066772</v>
      </c>
      <c r="J55" s="47">
        <v>9578.2427166784091</v>
      </c>
      <c r="K55" s="47">
        <v>9099.3305808444893</v>
      </c>
      <c r="L55" s="47">
        <v>8644.3640518022639</v>
      </c>
      <c r="M55" s="47">
        <v>8212.145849212151</v>
      </c>
      <c r="O55" s="13">
        <v>1</v>
      </c>
      <c r="P55" s="14"/>
      <c r="Q55" s="14"/>
      <c r="R55" s="14"/>
      <c r="S55" s="14"/>
      <c r="T55" s="14"/>
      <c r="U55" s="14">
        <f t="shared" ref="U55" si="150">$O$55</f>
        <v>1</v>
      </c>
      <c r="V55" s="102">
        <f t="shared" si="125"/>
        <v>1</v>
      </c>
      <c r="W55" s="102">
        <f t="shared" si="126"/>
        <v>1</v>
      </c>
      <c r="X55" s="102">
        <f t="shared" si="126"/>
        <v>1</v>
      </c>
      <c r="Y55" s="102">
        <f t="shared" si="126"/>
        <v>1</v>
      </c>
      <c r="Z55" s="102">
        <f t="shared" si="126"/>
        <v>1</v>
      </c>
      <c r="AA55" s="102">
        <f t="shared" si="126"/>
        <v>1</v>
      </c>
      <c r="AC55" s="102">
        <f t="shared" si="127"/>
        <v>1</v>
      </c>
      <c r="AD55" s="102">
        <f t="shared" si="127"/>
        <v>1</v>
      </c>
      <c r="AE55" s="102">
        <f t="shared" si="127"/>
        <v>1</v>
      </c>
      <c r="AF55" s="102">
        <f t="shared" si="127"/>
        <v>1</v>
      </c>
      <c r="AG55" s="102">
        <f t="shared" si="127"/>
        <v>1</v>
      </c>
      <c r="AH55" s="102">
        <f t="shared" si="127"/>
        <v>1</v>
      </c>
      <c r="AI55" s="102">
        <f t="shared" si="127"/>
        <v>1</v>
      </c>
      <c r="AJ55" s="102">
        <f t="shared" si="127"/>
        <v>1</v>
      </c>
      <c r="AK55" s="102">
        <f t="shared" si="127"/>
        <v>1</v>
      </c>
      <c r="AL55" s="102">
        <f t="shared" si="127"/>
        <v>1</v>
      </c>
      <c r="AM55" s="102">
        <f t="shared" si="127"/>
        <v>1</v>
      </c>
      <c r="AN55" s="102">
        <f t="shared" si="127"/>
        <v>1</v>
      </c>
      <c r="AR55" s="66">
        <f t="shared" si="144"/>
        <v>1</v>
      </c>
      <c r="AS55" s="66">
        <f t="shared" si="145"/>
        <v>1</v>
      </c>
      <c r="AT55" s="13">
        <f t="shared" si="146"/>
        <v>1</v>
      </c>
      <c r="AU55" s="13">
        <f t="shared" si="147"/>
        <v>1</v>
      </c>
      <c r="AV55" s="13">
        <f t="shared" si="148"/>
        <v>1</v>
      </c>
      <c r="AX55" s="146">
        <f t="shared" ref="AX55" si="151">P55*(I55*(100%+P$39))+Q55*(I55*(100%+Q$39))+R55*(I55*(100%+R$39))+S55*(I55*(100%+S$39))+T55*(I55*(100%+T$39))+U55*(I55*(100%+U$39))+V55*(I55*(100%+V$39))+W55*(I55*(100%+W$39))+X55*(I55*(100%+X$39))+Y55*(I55*(100%+Y$39))+Z55*(I55*(100%+Z$39))+AA55*(I55*(100%+AA$39))</f>
        <v>69841.353142446751</v>
      </c>
      <c r="AY55" s="146">
        <f t="shared" ref="AY55" si="152">AC55*(J55*(100%+AC$39))+AD55*(J55*(100%+AD$39))+AE55*(J55*(100%+AE$39))+AF55*(J55*(100%+AF$39))+AG55*(J55*(100%+AG$39))+AH55*(J55*(100%+AH$39))+AI55*(J55*(100%+AI$39))+AJ55*(J55*(100%+AJ$39))+AK55*(J55*(100%+AK$39))+AL55*(J55*(100%+AL$39))+AM55*(J55*(100%+AM$39))+AN55*(J55*(100%+AN$39))</f>
        <v>114938.91260014089</v>
      </c>
      <c r="AZ55" s="61">
        <f t="shared" ref="AZ55" si="153">K55*AT55*AT$7</f>
        <v>109191.96697013387</v>
      </c>
      <c r="BA55" s="61">
        <f t="shared" ref="BA55" si="154">L55*AU55*AU$7</f>
        <v>103732.36862162716</v>
      </c>
      <c r="BB55" s="61">
        <f t="shared" ref="BB55" si="155">M55*AV55*AV$7</f>
        <v>98545.750190545805</v>
      </c>
      <c r="BC55" s="53"/>
      <c r="BD55" s="61">
        <f t="shared" ref="BD55" si="156">SUM(AX55:BB55)</f>
        <v>496250.35152489448</v>
      </c>
      <c r="BE55" s="6"/>
    </row>
    <row r="56" spans="1:59" x14ac:dyDescent="0.25">
      <c r="C56" s="89" t="s">
        <v>153</v>
      </c>
      <c r="D56" t="s">
        <v>130</v>
      </c>
      <c r="E56" t="s">
        <v>89</v>
      </c>
      <c r="F56" t="s">
        <v>81</v>
      </c>
      <c r="I56" s="47">
        <v>4.3997131224612458</v>
      </c>
      <c r="J56" s="47">
        <v>4.2237245975627955</v>
      </c>
      <c r="K56" s="47">
        <v>4.0125383676846562</v>
      </c>
      <c r="L56" s="47">
        <v>3.8119114493004229</v>
      </c>
      <c r="M56" s="47">
        <v>3.6213158768354017</v>
      </c>
      <c r="O56" s="13"/>
      <c r="P56" s="14"/>
      <c r="Q56" s="14"/>
      <c r="R56" s="14"/>
      <c r="S56" s="14"/>
      <c r="T56" s="14"/>
      <c r="U56" s="14">
        <f t="shared" ref="U56" si="157">$O$56</f>
        <v>0</v>
      </c>
      <c r="V56" s="102">
        <f t="shared" si="125"/>
        <v>400</v>
      </c>
      <c r="W56" s="102">
        <f t="shared" si="126"/>
        <v>400</v>
      </c>
      <c r="X56" s="102">
        <f t="shared" si="126"/>
        <v>400</v>
      </c>
      <c r="Y56" s="102">
        <f t="shared" si="126"/>
        <v>400</v>
      </c>
      <c r="Z56" s="102">
        <f t="shared" si="126"/>
        <v>400</v>
      </c>
      <c r="AA56" s="102">
        <f t="shared" si="126"/>
        <v>400</v>
      </c>
      <c r="AC56" s="102">
        <f t="shared" si="127"/>
        <v>400</v>
      </c>
      <c r="AD56" s="102">
        <f t="shared" si="127"/>
        <v>400</v>
      </c>
      <c r="AE56" s="102">
        <f t="shared" si="127"/>
        <v>400</v>
      </c>
      <c r="AF56" s="102">
        <f t="shared" si="127"/>
        <v>400</v>
      </c>
      <c r="AG56" s="102">
        <f t="shared" si="127"/>
        <v>400</v>
      </c>
      <c r="AH56" s="102">
        <f t="shared" si="127"/>
        <v>400</v>
      </c>
      <c r="AI56" s="102">
        <f t="shared" si="127"/>
        <v>400</v>
      </c>
      <c r="AJ56" s="102">
        <f t="shared" si="127"/>
        <v>400</v>
      </c>
      <c r="AK56" s="102">
        <f t="shared" si="127"/>
        <v>400</v>
      </c>
      <c r="AL56" s="102">
        <f t="shared" si="127"/>
        <v>400</v>
      </c>
      <c r="AM56" s="102">
        <f t="shared" si="127"/>
        <v>400</v>
      </c>
      <c r="AN56" s="102">
        <f t="shared" si="127"/>
        <v>400</v>
      </c>
      <c r="AR56" s="66">
        <f t="shared" si="128"/>
        <v>342.85714285714283</v>
      </c>
      <c r="AS56" s="66">
        <f t="shared" si="129"/>
        <v>400</v>
      </c>
      <c r="AT56" s="13">
        <f>AT49*20</f>
        <v>400</v>
      </c>
      <c r="AU56" s="13">
        <f t="shared" si="139"/>
        <v>400</v>
      </c>
      <c r="AV56" s="13">
        <f t="shared" si="139"/>
        <v>400</v>
      </c>
      <c r="AX56" s="61">
        <f t="shared" si="132"/>
        <v>10559.311493906989</v>
      </c>
      <c r="AY56" s="61">
        <f t="shared" si="133"/>
        <v>20273.878068301419</v>
      </c>
      <c r="AZ56" s="61">
        <f t="shared" si="134"/>
        <v>19260.184164886352</v>
      </c>
      <c r="BA56" s="61">
        <f t="shared" si="134"/>
        <v>18297.174956642029</v>
      </c>
      <c r="BB56" s="61">
        <f t="shared" si="134"/>
        <v>17382.316208809927</v>
      </c>
      <c r="BC56" s="53"/>
      <c r="BD56" s="61">
        <f t="shared" si="141"/>
        <v>85772.864892546728</v>
      </c>
      <c r="BE56" s="6"/>
      <c r="BG56" s="6" t="s">
        <v>154</v>
      </c>
    </row>
    <row r="57" spans="1:59" ht="15.75" thickBot="1" x14ac:dyDescent="0.3">
      <c r="D57" t="s">
        <v>124</v>
      </c>
    </row>
    <row r="58" spans="1:59" ht="18" thickTop="1" x14ac:dyDescent="0.25">
      <c r="A58" s="3"/>
      <c r="B58" s="3" t="s">
        <v>46</v>
      </c>
      <c r="C58" s="3"/>
      <c r="D58" s="3"/>
      <c r="E58" s="3"/>
      <c r="F58" s="3"/>
      <c r="G58" s="3"/>
      <c r="H58" s="3"/>
      <c r="I58" s="84"/>
      <c r="J58" s="84"/>
      <c r="K58" s="84"/>
      <c r="L58" s="84"/>
      <c r="M58" s="84"/>
      <c r="N58" s="3"/>
      <c r="O58" s="3"/>
      <c r="P58" s="86">
        <f t="shared" ref="P58:AA58" si="158">IF(P$7&lt;$AP$58,percPreTargetAdjustment,0%)</f>
        <v>0</v>
      </c>
      <c r="Q58" s="86">
        <f t="shared" si="158"/>
        <v>0</v>
      </c>
      <c r="R58" s="86">
        <f t="shared" si="158"/>
        <v>0</v>
      </c>
      <c r="S58" s="86">
        <f t="shared" si="158"/>
        <v>0</v>
      </c>
      <c r="T58" s="86">
        <f t="shared" si="158"/>
        <v>0</v>
      </c>
      <c r="U58" s="86">
        <f t="shared" si="158"/>
        <v>0</v>
      </c>
      <c r="V58" s="86">
        <f t="shared" si="158"/>
        <v>0</v>
      </c>
      <c r="W58" s="86">
        <f t="shared" si="158"/>
        <v>0</v>
      </c>
      <c r="X58" s="86">
        <f t="shared" si="158"/>
        <v>0</v>
      </c>
      <c r="Y58" s="86">
        <f t="shared" si="158"/>
        <v>0</v>
      </c>
      <c r="Z58" s="86">
        <f t="shared" si="158"/>
        <v>0</v>
      </c>
      <c r="AA58" s="86">
        <f t="shared" si="158"/>
        <v>0</v>
      </c>
      <c r="AB58" s="82"/>
      <c r="AC58" s="86">
        <f t="shared" ref="AC58:AN58" si="159">IF(AC$7&lt;$AP$58,percPreTargetAdjustment,0%)</f>
        <v>0</v>
      </c>
      <c r="AD58" s="86">
        <f t="shared" si="159"/>
        <v>0</v>
      </c>
      <c r="AE58" s="86">
        <f t="shared" si="159"/>
        <v>0</v>
      </c>
      <c r="AF58" s="86">
        <f t="shared" si="159"/>
        <v>0</v>
      </c>
      <c r="AG58" s="86">
        <f t="shared" si="159"/>
        <v>0</v>
      </c>
      <c r="AH58" s="86">
        <f t="shared" si="159"/>
        <v>0</v>
      </c>
      <c r="AI58" s="86">
        <f t="shared" si="159"/>
        <v>0</v>
      </c>
      <c r="AJ58" s="86">
        <f t="shared" si="159"/>
        <v>0</v>
      </c>
      <c r="AK58" s="86">
        <f t="shared" si="159"/>
        <v>0</v>
      </c>
      <c r="AL58" s="86">
        <f t="shared" si="159"/>
        <v>0</v>
      </c>
      <c r="AM58" s="86">
        <f t="shared" si="159"/>
        <v>0</v>
      </c>
      <c r="AN58" s="86">
        <f t="shared" si="159"/>
        <v>0</v>
      </c>
      <c r="AO58" s="82"/>
      <c r="AP58" s="20"/>
      <c r="AQ58" s="3"/>
      <c r="AR58" s="3"/>
      <c r="AS58" s="3"/>
      <c r="AT58" s="3"/>
      <c r="AU58" s="3"/>
      <c r="AV58" s="3"/>
      <c r="AW58" s="3"/>
      <c r="AX58" s="80">
        <f>SUMIFS(AX59:AX63,$G59:$G63,"&lt;&gt;Option")</f>
        <v>412009.4741408471</v>
      </c>
      <c r="AY58" s="80">
        <f>SUMIFS(AY59:AY63,$G59:$G63,"&lt;&gt;Option")</f>
        <v>678049.87744322256</v>
      </c>
      <c r="AZ58" s="80">
        <f>SUMIFS(AZ59:AZ63,$G59:$G63,"&lt;&gt;Option")</f>
        <v>644147.38357106142</v>
      </c>
      <c r="BA58" s="80">
        <f>SUMIFS(BA59:BA63,$G59:$G63,"&lt;&gt;Option")</f>
        <v>611940.01439250843</v>
      </c>
      <c r="BB58" s="80">
        <f>SUMIFS(BB59:BB63,$G59:$G63,"&lt;&gt;Option")</f>
        <v>581343.01367288292</v>
      </c>
      <c r="BC58" s="80"/>
      <c r="BD58" s="80">
        <f>SUM(AX58:BB58)</f>
        <v>2927489.7632205226</v>
      </c>
      <c r="BE58" s="3"/>
      <c r="BF58" s="82"/>
      <c r="BG58" s="82"/>
    </row>
    <row r="59" spans="1:59" x14ac:dyDescent="0.25">
      <c r="C59" s="142" t="s">
        <v>155</v>
      </c>
      <c r="D59" s="143" t="s">
        <v>79</v>
      </c>
      <c r="E59" s="143" t="s">
        <v>80</v>
      </c>
      <c r="F59" s="143" t="s">
        <v>81</v>
      </c>
      <c r="G59" s="145"/>
      <c r="I59" s="47">
        <v>10014.883040974937</v>
      </c>
      <c r="J59" s="47">
        <v>9614.2877193359382</v>
      </c>
      <c r="K59" s="47">
        <v>9133.5733333691405</v>
      </c>
      <c r="L59" s="47">
        <v>8676.894666700684</v>
      </c>
      <c r="M59" s="47">
        <v>8243.0499333656498</v>
      </c>
      <c r="O59" s="13">
        <v>1</v>
      </c>
      <c r="P59" s="14"/>
      <c r="Q59" s="14"/>
      <c r="R59" s="14"/>
      <c r="S59" s="14"/>
      <c r="T59" s="14"/>
      <c r="U59" s="14">
        <f t="shared" ref="U59:AA59" si="160">$O$59</f>
        <v>1</v>
      </c>
      <c r="V59" s="14">
        <f t="shared" si="160"/>
        <v>1</v>
      </c>
      <c r="W59" s="14">
        <f t="shared" si="160"/>
        <v>1</v>
      </c>
      <c r="X59" s="14">
        <f t="shared" si="160"/>
        <v>1</v>
      </c>
      <c r="Y59" s="14">
        <f t="shared" si="160"/>
        <v>1</v>
      </c>
      <c r="Z59" s="14">
        <f t="shared" si="160"/>
        <v>1</v>
      </c>
      <c r="AA59" s="14">
        <f t="shared" si="160"/>
        <v>1</v>
      </c>
      <c r="AC59" s="14">
        <f t="shared" ref="AC59:AN59" si="161">$O$59</f>
        <v>1</v>
      </c>
      <c r="AD59" s="14">
        <f t="shared" si="161"/>
        <v>1</v>
      </c>
      <c r="AE59" s="14">
        <f t="shared" si="161"/>
        <v>1</v>
      </c>
      <c r="AF59" s="14">
        <f t="shared" si="161"/>
        <v>1</v>
      </c>
      <c r="AG59" s="14">
        <f t="shared" si="161"/>
        <v>1</v>
      </c>
      <c r="AH59" s="14">
        <f t="shared" si="161"/>
        <v>1</v>
      </c>
      <c r="AI59" s="14">
        <f t="shared" si="161"/>
        <v>1</v>
      </c>
      <c r="AJ59" s="14">
        <f t="shared" si="161"/>
        <v>1</v>
      </c>
      <c r="AK59" s="14">
        <f t="shared" si="161"/>
        <v>1</v>
      </c>
      <c r="AL59" s="14">
        <f t="shared" si="161"/>
        <v>1</v>
      </c>
      <c r="AM59" s="14">
        <f t="shared" si="161"/>
        <v>1</v>
      </c>
      <c r="AN59" s="14">
        <f t="shared" si="161"/>
        <v>1</v>
      </c>
      <c r="AR59" s="66">
        <f t="shared" ref="AR59:AR62" si="162">IFERROR(AVERAGE(P59:AA59),0)</f>
        <v>1</v>
      </c>
      <c r="AS59" s="66">
        <f t="shared" ref="AS59:AS62" si="163">IFERROR(AVERAGE(AC59:AN59),0)</f>
        <v>1</v>
      </c>
      <c r="AT59" s="13">
        <f t="shared" ref="AT59:AT62" si="164">O59</f>
        <v>1</v>
      </c>
      <c r="AU59" s="13">
        <f t="shared" ref="AU59:AV61" si="165">AT59</f>
        <v>1</v>
      </c>
      <c r="AV59" s="13">
        <f t="shared" si="165"/>
        <v>1</v>
      </c>
      <c r="AX59" s="146">
        <f>P59*(I59*(100%+P$58))+Q59*(I59*(100%+Q$58))+R59*(I59*(100%+R$58))+S59*(I59*(100%+S$58))+T59*(I59*(100%+T$58))+U59*(I59*(100%+U$58))+V59*(I59*(100%+V$58))+W59*(I59*(100%+W$58))+X59*(I59*(100%+X$58))+Y59*(I59*(100%+Y$58))+Z59*(I59*(100%+Z$58))+AA59*(I59*(100%+AA$58))</f>
        <v>70104.181286824562</v>
      </c>
      <c r="AY59" s="146">
        <f>AC59*(J59*(100%+AC$58))+AD59*(J59*(100%+AD$58))+AE59*(J59*(100%+AE$58))+AF59*(J59*(100%+AF$58))+AG59*(J59*(100%+AG$58))+AH59*(J59*(100%+AH$58))+AI59*(J59*(100%+AI$58))+AJ59*(J59*(100%+AJ$58))+AK59*(J59*(100%+AK$58))+AL59*(J59*(100%+AL$58))+AM59*(J59*(100%+AM$58))+AN59*(J59*(100%+AN$58))</f>
        <v>115371.45263203123</v>
      </c>
      <c r="AZ59" s="61">
        <f t="shared" ref="AZ59:BB62" si="166">K59*AT59*AT$7</f>
        <v>109602.88000042969</v>
      </c>
      <c r="BA59" s="61">
        <f t="shared" si="166"/>
        <v>104122.73600040821</v>
      </c>
      <c r="BB59" s="61">
        <f t="shared" si="166"/>
        <v>98916.599200387805</v>
      </c>
      <c r="BC59" s="53"/>
      <c r="BD59" s="61">
        <f>SUM(AX59:BB59)</f>
        <v>498117.84912008152</v>
      </c>
      <c r="BE59" s="6"/>
    </row>
    <row r="60" spans="1:59" x14ac:dyDescent="0.25">
      <c r="C60" s="142" t="s">
        <v>156</v>
      </c>
      <c r="D60" s="143" t="s">
        <v>79</v>
      </c>
      <c r="E60" s="143" t="s">
        <v>80</v>
      </c>
      <c r="F60" s="143" t="s">
        <v>81</v>
      </c>
      <c r="G60" s="145"/>
      <c r="I60" s="47">
        <v>32472.284852132783</v>
      </c>
      <c r="J60" s="47">
        <v>31173.393458047471</v>
      </c>
      <c r="K60" s="47">
        <v>29614.723785145095</v>
      </c>
      <c r="L60" s="47">
        <v>28133.98759588784</v>
      </c>
      <c r="M60" s="47">
        <v>26727.28821609345</v>
      </c>
      <c r="O60" s="13">
        <v>1</v>
      </c>
      <c r="P60" s="14"/>
      <c r="Q60" s="14"/>
      <c r="R60" s="14"/>
      <c r="S60" s="14"/>
      <c r="T60" s="14"/>
      <c r="U60" s="14">
        <f t="shared" ref="U60:AA60" si="167">$O$60</f>
        <v>1</v>
      </c>
      <c r="V60" s="14">
        <f t="shared" si="167"/>
        <v>1</v>
      </c>
      <c r="W60" s="14">
        <f t="shared" si="167"/>
        <v>1</v>
      </c>
      <c r="X60" s="14">
        <f t="shared" si="167"/>
        <v>1</v>
      </c>
      <c r="Y60" s="14">
        <f t="shared" si="167"/>
        <v>1</v>
      </c>
      <c r="Z60" s="14">
        <f t="shared" si="167"/>
        <v>1</v>
      </c>
      <c r="AA60" s="14">
        <f t="shared" si="167"/>
        <v>1</v>
      </c>
      <c r="AC60" s="14">
        <f t="shared" ref="AC60:AN60" si="168">$O$60</f>
        <v>1</v>
      </c>
      <c r="AD60" s="14">
        <f t="shared" si="168"/>
        <v>1</v>
      </c>
      <c r="AE60" s="14">
        <f t="shared" si="168"/>
        <v>1</v>
      </c>
      <c r="AF60" s="14">
        <f t="shared" si="168"/>
        <v>1</v>
      </c>
      <c r="AG60" s="14">
        <f t="shared" si="168"/>
        <v>1</v>
      </c>
      <c r="AH60" s="14">
        <f t="shared" si="168"/>
        <v>1</v>
      </c>
      <c r="AI60" s="14">
        <f t="shared" si="168"/>
        <v>1</v>
      </c>
      <c r="AJ60" s="14">
        <f t="shared" si="168"/>
        <v>1</v>
      </c>
      <c r="AK60" s="14">
        <f t="shared" si="168"/>
        <v>1</v>
      </c>
      <c r="AL60" s="14">
        <f t="shared" si="168"/>
        <v>1</v>
      </c>
      <c r="AM60" s="14">
        <f t="shared" si="168"/>
        <v>1</v>
      </c>
      <c r="AN60" s="14">
        <f t="shared" si="168"/>
        <v>1</v>
      </c>
      <c r="AR60" s="66">
        <f t="shared" si="162"/>
        <v>1</v>
      </c>
      <c r="AS60" s="66">
        <f t="shared" si="163"/>
        <v>1</v>
      </c>
      <c r="AT60" s="13">
        <f t="shared" si="164"/>
        <v>1</v>
      </c>
      <c r="AU60" s="13">
        <f t="shared" ref="AU60" si="169">AT60</f>
        <v>1</v>
      </c>
      <c r="AV60" s="13">
        <f t="shared" ref="AV60" si="170">AU60</f>
        <v>1</v>
      </c>
      <c r="AX60" s="146">
        <f>P60*(I60*(100%+P$58))+Q60*(I60*(100%+Q$58))+R60*(I60*(100%+R$58))+S60*(I60*(100%+S$58))+T60*(I60*(100%+T$58))+U60*(I60*(100%+U$58))+V60*(I60*(100%+V$58))+W60*(I60*(100%+W$58))+X60*(I60*(100%+X$58))+Y60*(I60*(100%+Y$58))+Z60*(I60*(100%+Z$58))+AA60*(I60*(100%+AA$58))</f>
        <v>227305.99396492948</v>
      </c>
      <c r="AY60" s="146">
        <f>AC60*(J60*(100%+AC$58))+AD60*(J60*(100%+AD$58))+AE60*(J60*(100%+AE$58))+AF60*(J60*(100%+AF$58))+AG60*(J60*(100%+AG$58))+AH60*(J60*(100%+AH$58))+AI60*(J60*(100%+AI$58))+AJ60*(J60*(100%+AJ$58))+AK60*(J60*(100%+AK$58))+AL60*(J60*(100%+AL$58))+AM60*(J60*(100%+AM$58))+AN60*(J60*(100%+AN$58))</f>
        <v>374080.72149656963</v>
      </c>
      <c r="AZ60" s="61">
        <f t="shared" si="166"/>
        <v>355376.68542174116</v>
      </c>
      <c r="BA60" s="61">
        <f t="shared" si="166"/>
        <v>337607.85115065408</v>
      </c>
      <c r="BB60" s="61">
        <f t="shared" si="166"/>
        <v>320727.45859312138</v>
      </c>
      <c r="BC60" s="53"/>
      <c r="BD60" s="61">
        <f>SUM(AX60:BB60)</f>
        <v>1615098.7106270157</v>
      </c>
      <c r="BE60" s="6"/>
    </row>
    <row r="61" spans="1:59" x14ac:dyDescent="0.25">
      <c r="C61" s="143" t="s">
        <v>150</v>
      </c>
      <c r="D61" s="143" t="s">
        <v>79</v>
      </c>
      <c r="E61" s="143" t="s">
        <v>80</v>
      </c>
      <c r="F61" s="143" t="s">
        <v>81</v>
      </c>
      <c r="G61" s="143"/>
      <c r="I61" s="47">
        <v>9601.616242657663</v>
      </c>
      <c r="J61" s="47">
        <v>9217.5515929513549</v>
      </c>
      <c r="K61" s="47">
        <v>8756.6740133037874</v>
      </c>
      <c r="L61" s="47">
        <v>8318.8403126385965</v>
      </c>
      <c r="M61" s="47">
        <v>7902.8982970066654</v>
      </c>
      <c r="O61" s="13">
        <v>1</v>
      </c>
      <c r="P61" s="14"/>
      <c r="Q61" s="14"/>
      <c r="R61" s="14"/>
      <c r="S61" s="14"/>
      <c r="T61" s="14"/>
      <c r="U61" s="14">
        <f t="shared" ref="U61:AA61" si="171">$O$61</f>
        <v>1</v>
      </c>
      <c r="V61" s="14">
        <f t="shared" si="171"/>
        <v>1</v>
      </c>
      <c r="W61" s="14">
        <f t="shared" si="171"/>
        <v>1</v>
      </c>
      <c r="X61" s="14">
        <f t="shared" si="171"/>
        <v>1</v>
      </c>
      <c r="Y61" s="14">
        <f t="shared" si="171"/>
        <v>1</v>
      </c>
      <c r="Z61" s="14">
        <f t="shared" si="171"/>
        <v>1</v>
      </c>
      <c r="AA61" s="14">
        <f t="shared" si="171"/>
        <v>1</v>
      </c>
      <c r="AC61" s="14">
        <f t="shared" ref="AC61:AN61" si="172">$O$61</f>
        <v>1</v>
      </c>
      <c r="AD61" s="14">
        <f t="shared" si="172"/>
        <v>1</v>
      </c>
      <c r="AE61" s="14">
        <f t="shared" si="172"/>
        <v>1</v>
      </c>
      <c r="AF61" s="14">
        <f t="shared" si="172"/>
        <v>1</v>
      </c>
      <c r="AG61" s="14">
        <f t="shared" si="172"/>
        <v>1</v>
      </c>
      <c r="AH61" s="14">
        <f t="shared" si="172"/>
        <v>1</v>
      </c>
      <c r="AI61" s="14">
        <f t="shared" si="172"/>
        <v>1</v>
      </c>
      <c r="AJ61" s="14">
        <f t="shared" si="172"/>
        <v>1</v>
      </c>
      <c r="AK61" s="14">
        <f t="shared" si="172"/>
        <v>1</v>
      </c>
      <c r="AL61" s="14">
        <f t="shared" si="172"/>
        <v>1</v>
      </c>
      <c r="AM61" s="14">
        <f t="shared" si="172"/>
        <v>1</v>
      </c>
      <c r="AN61" s="14">
        <f t="shared" si="172"/>
        <v>1</v>
      </c>
      <c r="AR61" s="66">
        <f t="shared" ref="AR61" si="173">IFERROR(AVERAGE(P61:AA61),0)</f>
        <v>1</v>
      </c>
      <c r="AS61" s="66">
        <f t="shared" ref="AS61" si="174">IFERROR(AVERAGE(AC61:AN61),0)</f>
        <v>1</v>
      </c>
      <c r="AT61" s="13">
        <f t="shared" ref="AT61" si="175">O61</f>
        <v>1</v>
      </c>
      <c r="AU61" s="13">
        <f t="shared" si="165"/>
        <v>1</v>
      </c>
      <c r="AV61" s="13">
        <f t="shared" si="165"/>
        <v>1</v>
      </c>
      <c r="AX61" s="146">
        <f>P61*(I61*(100%+P$58))+Q61*(I61*(100%+Q$58))+R61*(I61*(100%+R$58))+S61*(I61*(100%+S$58))+T61*(I61*(100%+T$58))+U61*(I61*(100%+U$58))+V61*(I61*(100%+V$58))+W61*(I61*(100%+W$58))+X61*(I61*(100%+X$58))+Y61*(I61*(100%+Y$58))+Z61*(I61*(100%+Z$58))+AA61*(I61*(100%+AA$58))</f>
        <v>67211.313698603641</v>
      </c>
      <c r="AY61" s="146">
        <f>AC61*(J61*(100%+AC$58))+AD61*(J61*(100%+AD$58))+AE61*(J61*(100%+AE$58))+AF61*(J61*(100%+AF$58))+AG61*(J61*(100%+AG$58))+AH61*(J61*(100%+AH$58))+AI61*(J61*(100%+AI$58))+AJ61*(J61*(100%+AJ$58))+AK61*(J61*(100%+AK$58))+AL61*(J61*(100%+AL$58))+AM61*(J61*(100%+AM$58))+AN61*(J61*(100%+AN$58))</f>
        <v>110610.61911541624</v>
      </c>
      <c r="AZ61" s="61">
        <f t="shared" si="166"/>
        <v>105080.08815964544</v>
      </c>
      <c r="BA61" s="61">
        <f t="shared" si="166"/>
        <v>99826.083751663158</v>
      </c>
      <c r="BB61" s="61">
        <f t="shared" si="166"/>
        <v>94834.779564079989</v>
      </c>
      <c r="BC61" s="53"/>
      <c r="BD61" s="61">
        <f>SUM(AX61:BB61)</f>
        <v>477562.88428940845</v>
      </c>
      <c r="BE61" s="6"/>
    </row>
    <row r="62" spans="1:59" x14ac:dyDescent="0.25">
      <c r="C62" s="143" t="s">
        <v>157</v>
      </c>
      <c r="D62" s="143" t="s">
        <v>79</v>
      </c>
      <c r="E62" s="143" t="s">
        <v>80</v>
      </c>
      <c r="F62" s="143" t="s">
        <v>81</v>
      </c>
      <c r="G62" s="143"/>
      <c r="I62" s="47">
        <v>6769.7121700699163</v>
      </c>
      <c r="J62" s="47">
        <v>6498.9236832671204</v>
      </c>
      <c r="K62" s="47">
        <v>6173.9774991037639</v>
      </c>
      <c r="L62" s="47">
        <v>5865.2786241485765</v>
      </c>
      <c r="M62" s="47">
        <v>5572.0146929411467</v>
      </c>
      <c r="O62" s="13">
        <v>1</v>
      </c>
      <c r="P62" s="14"/>
      <c r="Q62" s="14"/>
      <c r="R62" s="14"/>
      <c r="S62" s="14"/>
      <c r="T62" s="14"/>
      <c r="U62" s="14">
        <f t="shared" ref="U62:AA62" si="176">$O$62</f>
        <v>1</v>
      </c>
      <c r="V62" s="14">
        <f t="shared" si="176"/>
        <v>1</v>
      </c>
      <c r="W62" s="14">
        <f t="shared" si="176"/>
        <v>1</v>
      </c>
      <c r="X62" s="14">
        <f t="shared" si="176"/>
        <v>1</v>
      </c>
      <c r="Y62" s="14">
        <f t="shared" si="176"/>
        <v>1</v>
      </c>
      <c r="Z62" s="14">
        <f t="shared" si="176"/>
        <v>1</v>
      </c>
      <c r="AA62" s="14">
        <f t="shared" si="176"/>
        <v>1</v>
      </c>
      <c r="AC62" s="14">
        <f t="shared" ref="AC62:AN62" si="177">$O$62</f>
        <v>1</v>
      </c>
      <c r="AD62" s="14">
        <f t="shared" si="177"/>
        <v>1</v>
      </c>
      <c r="AE62" s="14">
        <f t="shared" si="177"/>
        <v>1</v>
      </c>
      <c r="AF62" s="14">
        <f t="shared" si="177"/>
        <v>1</v>
      </c>
      <c r="AG62" s="14">
        <f t="shared" si="177"/>
        <v>1</v>
      </c>
      <c r="AH62" s="14">
        <f t="shared" si="177"/>
        <v>1</v>
      </c>
      <c r="AI62" s="14">
        <f t="shared" si="177"/>
        <v>1</v>
      </c>
      <c r="AJ62" s="14">
        <f t="shared" si="177"/>
        <v>1</v>
      </c>
      <c r="AK62" s="14">
        <f t="shared" si="177"/>
        <v>1</v>
      </c>
      <c r="AL62" s="14">
        <f t="shared" si="177"/>
        <v>1</v>
      </c>
      <c r="AM62" s="14">
        <f t="shared" si="177"/>
        <v>1</v>
      </c>
      <c r="AN62" s="14">
        <f t="shared" si="177"/>
        <v>1</v>
      </c>
      <c r="AR62" s="66">
        <f t="shared" si="162"/>
        <v>1</v>
      </c>
      <c r="AS62" s="66">
        <f t="shared" si="163"/>
        <v>1</v>
      </c>
      <c r="AT62" s="13">
        <f t="shared" si="164"/>
        <v>1</v>
      </c>
      <c r="AU62" s="13">
        <f t="shared" ref="AU62:AV62" si="178">AT62</f>
        <v>1</v>
      </c>
      <c r="AV62" s="13">
        <f t="shared" si="178"/>
        <v>1</v>
      </c>
      <c r="AX62" s="146">
        <f>P62*(I62*(100%+P$58))+Q62*(I62*(100%+Q$58))+R62*(I62*(100%+R$58))+S62*(I62*(100%+S$58))+T62*(I62*(100%+T$58))+U62*(I62*(100%+U$58))+V62*(I62*(100%+V$58))+W62*(I62*(100%+W$58))+X62*(I62*(100%+X$58))+Y62*(I62*(100%+Y$58))+Z62*(I62*(100%+Z$58))+AA62*(I62*(100%+AA$58))</f>
        <v>47387.985190489409</v>
      </c>
      <c r="AY62" s="146">
        <f>AC62*(J62*(100%+AC$58))+AD62*(J62*(100%+AD$58))+AE62*(J62*(100%+AE$58))+AF62*(J62*(100%+AF$58))+AG62*(J62*(100%+AG$58))+AH62*(J62*(100%+AH$58))+AI62*(J62*(100%+AI$58))+AJ62*(J62*(100%+AJ$58))+AK62*(J62*(100%+AK$58))+AL62*(J62*(100%+AL$58))+AM62*(J62*(100%+AM$58))+AN62*(J62*(100%+AN$58))</f>
        <v>77987.084199205448</v>
      </c>
      <c r="AZ62" s="61">
        <f t="shared" si="166"/>
        <v>74087.72998924517</v>
      </c>
      <c r="BA62" s="61">
        <f t="shared" si="166"/>
        <v>70383.343489782914</v>
      </c>
      <c r="BB62" s="61">
        <f t="shared" si="166"/>
        <v>66864.176315293764</v>
      </c>
      <c r="BC62" s="53"/>
      <c r="BD62" s="61">
        <f>SUM(AX62:BB62)</f>
        <v>336710.31918401667</v>
      </c>
      <c r="BE62" s="6"/>
    </row>
    <row r="63" spans="1:59" x14ac:dyDescent="0.25">
      <c r="I63" s="144" t="s">
        <v>648</v>
      </c>
      <c r="J63" s="144"/>
      <c r="K63" s="45"/>
      <c r="L63" s="45"/>
      <c r="M63" s="45"/>
      <c r="AX63" s="44"/>
      <c r="AY63" s="44"/>
      <c r="AZ63" s="44"/>
      <c r="BA63" s="44"/>
      <c r="BB63" s="44"/>
      <c r="BC63" s="44"/>
      <c r="BD63" s="44"/>
    </row>
    <row r="64" spans="1:59" x14ac:dyDescent="0.25">
      <c r="I64" s="45" t="s">
        <v>647</v>
      </c>
      <c r="J64" s="45" t="s">
        <v>646</v>
      </c>
      <c r="K64" s="45"/>
      <c r="P64" t="s">
        <v>158</v>
      </c>
      <c r="Q64" t="s">
        <v>159</v>
      </c>
      <c r="R64" t="s">
        <v>160</v>
      </c>
      <c r="S64" t="s">
        <v>161</v>
      </c>
      <c r="T64" t="s">
        <v>162</v>
      </c>
      <c r="U64" t="s">
        <v>163</v>
      </c>
      <c r="V64" t="s">
        <v>164</v>
      </c>
      <c r="W64" t="s">
        <v>165</v>
      </c>
      <c r="X64" t="s">
        <v>166</v>
      </c>
      <c r="Y64" t="s">
        <v>167</v>
      </c>
      <c r="Z64" t="s">
        <v>168</v>
      </c>
      <c r="AA64" t="s">
        <v>169</v>
      </c>
      <c r="AX64" s="109">
        <f>AX50*0.25</f>
        <v>11016.711455717443</v>
      </c>
      <c r="AY64" s="109">
        <f>AY50*0.75</f>
        <v>54900.872085017269</v>
      </c>
    </row>
    <row r="65" spans="7:11" x14ac:dyDescent="0.25">
      <c r="G65" s="142" t="s">
        <v>151</v>
      </c>
      <c r="I65" s="45">
        <f>I54*3</f>
        <v>1688.8877198914106</v>
      </c>
      <c r="J65" s="45">
        <f>J54*9</f>
        <v>4863.9966332872627</v>
      </c>
      <c r="K65" s="45">
        <f>J65+I65</f>
        <v>6552.8843531786733</v>
      </c>
    </row>
    <row r="66" spans="7:11" x14ac:dyDescent="0.25">
      <c r="G66" s="142" t="s">
        <v>152</v>
      </c>
      <c r="I66" s="45">
        <f>I55*3</f>
        <v>29932.008489620031</v>
      </c>
      <c r="J66" s="45">
        <f>J55*9</f>
        <v>86204.184450105677</v>
      </c>
      <c r="K66" s="45">
        <f>J66+I66</f>
        <v>116136.1929397257</v>
      </c>
    </row>
    <row r="67" spans="7:11" x14ac:dyDescent="0.25">
      <c r="G67" t="s">
        <v>145</v>
      </c>
      <c r="I67" s="45">
        <f>I50*3*200</f>
        <v>19062.802807297663</v>
      </c>
      <c r="J67" s="45">
        <f>J50*9*200</f>
        <v>54900.872085017261</v>
      </c>
      <c r="K67" s="45">
        <f t="shared" ref="K67:K68" si="179">J67+I67</f>
        <v>73963.674892314928</v>
      </c>
    </row>
    <row r="68" spans="7:11" x14ac:dyDescent="0.25">
      <c r="G68" t="s">
        <v>150</v>
      </c>
      <c r="I68" s="45">
        <f>I53*3</f>
        <v>5083.2085990540572</v>
      </c>
      <c r="J68" s="45">
        <f>J53*9</f>
        <v>14639.640765275684</v>
      </c>
      <c r="K68" s="45">
        <f t="shared" si="179"/>
        <v>19722.849364329741</v>
      </c>
    </row>
    <row r="70" spans="7:11" x14ac:dyDescent="0.25">
      <c r="G70" s="89" t="s">
        <v>155</v>
      </c>
      <c r="I70" s="45">
        <f>I59*3</f>
        <v>30044.649122924813</v>
      </c>
      <c r="J70" s="45">
        <f>J59*9</f>
        <v>86528.589474023436</v>
      </c>
      <c r="K70" s="45">
        <f>J70+I70</f>
        <v>116573.23859694824</v>
      </c>
    </row>
    <row r="71" spans="7:11" x14ac:dyDescent="0.25">
      <c r="G71" s="89" t="s">
        <v>156</v>
      </c>
      <c r="I71" s="45">
        <f>I60*3</f>
        <v>97416.85455639835</v>
      </c>
      <c r="J71" s="45">
        <f>J60*9</f>
        <v>280560.54112242721</v>
      </c>
      <c r="K71" s="45">
        <f>J71+I71</f>
        <v>377977.39567882556</v>
      </c>
    </row>
    <row r="72" spans="7:11" x14ac:dyDescent="0.25">
      <c r="G72" t="s">
        <v>150</v>
      </c>
      <c r="I72" s="45">
        <f>I61*3</f>
        <v>28804.848727972989</v>
      </c>
      <c r="J72" s="45">
        <f>J61*9</f>
        <v>82957.964336562189</v>
      </c>
      <c r="K72" s="45">
        <f>J72+I72</f>
        <v>111762.81306453518</v>
      </c>
    </row>
    <row r="73" spans="7:11" x14ac:dyDescent="0.25">
      <c r="G73" t="s">
        <v>157</v>
      </c>
      <c r="I73" s="45">
        <f>I62*3</f>
        <v>20309.136510209748</v>
      </c>
      <c r="J73" s="45">
        <f>J62*9</f>
        <v>58490.313149404086</v>
      </c>
      <c r="K73" s="45">
        <f>J73+I73</f>
        <v>78799.449659613834</v>
      </c>
    </row>
    <row r="75" spans="7:11" x14ac:dyDescent="0.25">
      <c r="I75" s="45"/>
    </row>
  </sheetData>
  <mergeCells count="1">
    <mergeCell ref="I63:J63"/>
  </mergeCells>
  <phoneticPr fontId="39"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7301C-CF91-1846-BB4E-88A2F8AC5230}">
  <dimension ref="A1:C24"/>
  <sheetViews>
    <sheetView zoomScaleNormal="100" workbookViewId="0">
      <selection activeCell="B25" sqref="B25"/>
    </sheetView>
  </sheetViews>
  <sheetFormatPr defaultColWidth="11.140625" defaultRowHeight="15" x14ac:dyDescent="0.25"/>
  <cols>
    <col min="1" max="1" width="2.85546875" customWidth="1"/>
    <col min="2" max="2" width="17" customWidth="1"/>
    <col min="3" max="3" width="96.85546875" customWidth="1"/>
  </cols>
  <sheetData>
    <row r="1" spans="1:3" ht="24" x14ac:dyDescent="0.25">
      <c r="A1" s="1" t="s">
        <v>170</v>
      </c>
    </row>
    <row r="3" spans="1:3" ht="15.75" thickBot="1" x14ac:dyDescent="0.3"/>
    <row r="4" spans="1:3" ht="20.25" thickTop="1" x14ac:dyDescent="0.25">
      <c r="A4" s="2"/>
      <c r="B4" s="2" t="s">
        <v>171</v>
      </c>
      <c r="C4" s="2"/>
    </row>
    <row r="5" spans="1:3" ht="45" x14ac:dyDescent="0.25">
      <c r="A5" s="41"/>
      <c r="B5" s="41"/>
      <c r="C5" s="15" t="s">
        <v>172</v>
      </c>
    </row>
    <row r="6" spans="1:3" x14ac:dyDescent="0.25">
      <c r="A6" s="41"/>
      <c r="B6" s="41" t="s">
        <v>173</v>
      </c>
      <c r="C6" s="41" t="s">
        <v>174</v>
      </c>
    </row>
    <row r="7" spans="1:3" ht="30" x14ac:dyDescent="0.25">
      <c r="B7" t="s">
        <v>79</v>
      </c>
      <c r="C7" s="15" t="s">
        <v>175</v>
      </c>
    </row>
    <row r="8" spans="1:3" ht="90" x14ac:dyDescent="0.25">
      <c r="B8" t="s">
        <v>84</v>
      </c>
      <c r="C8" s="15" t="s">
        <v>176</v>
      </c>
    </row>
    <row r="9" spans="1:3" ht="75" x14ac:dyDescent="0.25">
      <c r="B9" t="s">
        <v>102</v>
      </c>
      <c r="C9" s="15" t="s">
        <v>177</v>
      </c>
    </row>
    <row r="10" spans="1:3" ht="90" x14ac:dyDescent="0.25">
      <c r="B10" t="s">
        <v>108</v>
      </c>
      <c r="C10" s="15" t="s">
        <v>178</v>
      </c>
    </row>
    <row r="11" spans="1:3" ht="30" x14ac:dyDescent="0.25">
      <c r="B11" t="s">
        <v>179</v>
      </c>
      <c r="C11" s="15" t="s">
        <v>180</v>
      </c>
    </row>
    <row r="12" spans="1:3" ht="75" x14ac:dyDescent="0.25">
      <c r="B12" t="s">
        <v>134</v>
      </c>
      <c r="C12" s="15" t="s">
        <v>181</v>
      </c>
    </row>
    <row r="13" spans="1:3" ht="90" x14ac:dyDescent="0.25">
      <c r="B13" t="s">
        <v>126</v>
      </c>
      <c r="C13" s="15" t="s">
        <v>182</v>
      </c>
    </row>
    <row r="14" spans="1:3" ht="75" x14ac:dyDescent="0.25">
      <c r="B14" t="s">
        <v>130</v>
      </c>
      <c r="C14" s="15" t="s">
        <v>183</v>
      </c>
    </row>
    <row r="15" spans="1:3" x14ac:dyDescent="0.25">
      <c r="B15" t="s">
        <v>143</v>
      </c>
      <c r="C15" s="15" t="s">
        <v>184</v>
      </c>
    </row>
    <row r="16" spans="1:3" ht="30" x14ac:dyDescent="0.25">
      <c r="B16" t="s">
        <v>185</v>
      </c>
      <c r="C16" s="15" t="s">
        <v>186</v>
      </c>
    </row>
    <row r="17" spans="1:3" ht="45" x14ac:dyDescent="0.25">
      <c r="B17" t="s">
        <v>187</v>
      </c>
      <c r="C17" s="90" t="s">
        <v>188</v>
      </c>
    </row>
    <row r="18" spans="1:3" ht="45" x14ac:dyDescent="0.25">
      <c r="B18" s="89" t="s">
        <v>189</v>
      </c>
      <c r="C18" s="15" t="s">
        <v>190</v>
      </c>
    </row>
    <row r="19" spans="1:3" ht="15.75" thickBot="1" x14ac:dyDescent="0.3">
      <c r="C19" s="15"/>
    </row>
    <row r="20" spans="1:3" ht="20.25" thickTop="1" x14ac:dyDescent="0.25">
      <c r="A20" s="2"/>
      <c r="B20" s="2" t="s">
        <v>191</v>
      </c>
      <c r="C20" s="2"/>
    </row>
    <row r="21" spans="1:3" x14ac:dyDescent="0.25">
      <c r="A21" s="41"/>
      <c r="B21" s="41" t="s">
        <v>72</v>
      </c>
      <c r="C21" s="41" t="s">
        <v>192</v>
      </c>
    </row>
    <row r="22" spans="1:3" x14ac:dyDescent="0.25">
      <c r="B22" t="s">
        <v>193</v>
      </c>
      <c r="C22" s="15" t="s">
        <v>194</v>
      </c>
    </row>
    <row r="23" spans="1:3" x14ac:dyDescent="0.25">
      <c r="B23" t="s">
        <v>195</v>
      </c>
      <c r="C23" s="15" t="s">
        <v>196</v>
      </c>
    </row>
    <row r="24" spans="1:3" x14ac:dyDescent="0.25">
      <c r="B24" t="s">
        <v>197</v>
      </c>
      <c r="C24" s="15" t="s">
        <v>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843DA-B5A2-364A-9287-382B5F0BAAC8}">
  <dimension ref="A1:U245"/>
  <sheetViews>
    <sheetView zoomScaleNormal="100" workbookViewId="0"/>
  </sheetViews>
  <sheetFormatPr defaultColWidth="11.42578125" defaultRowHeight="15" x14ac:dyDescent="0.25"/>
  <cols>
    <col min="1" max="1" width="2.85546875" style="101" customWidth="1"/>
    <col min="2" max="5" width="2.85546875" customWidth="1"/>
    <col min="6" max="6" width="32.85546875" customWidth="1"/>
    <col min="7" max="20" width="4.85546875" style="77" customWidth="1"/>
    <col min="21" max="21" width="36.85546875" style="6" customWidth="1"/>
  </cols>
  <sheetData>
    <row r="1" spans="1:21" ht="24" x14ac:dyDescent="0.25">
      <c r="A1" s="1" t="s">
        <v>199</v>
      </c>
    </row>
    <row r="2" spans="1:21" x14ac:dyDescent="0.25">
      <c r="A2" s="100" t="s">
        <v>200</v>
      </c>
    </row>
    <row r="3" spans="1:21" x14ac:dyDescent="0.25">
      <c r="A3" s="100" t="s">
        <v>201</v>
      </c>
    </row>
    <row r="4" spans="1:21" x14ac:dyDescent="0.25">
      <c r="A4" s="100"/>
    </row>
    <row r="5" spans="1:21" ht="15.75" thickBot="1" x14ac:dyDescent="0.3">
      <c r="A5" s="101" t="s">
        <v>202</v>
      </c>
      <c r="G5" s="77" t="s">
        <v>70</v>
      </c>
      <c r="U5" s="6" t="s">
        <v>40</v>
      </c>
    </row>
    <row r="6" spans="1:21" ht="18" thickTop="1" x14ac:dyDescent="0.25">
      <c r="A6" s="3" t="s">
        <v>41</v>
      </c>
      <c r="B6" s="3"/>
      <c r="C6" s="3"/>
      <c r="D6" s="3"/>
      <c r="E6" s="3"/>
      <c r="F6" s="3"/>
      <c r="G6" s="78"/>
      <c r="H6" s="78"/>
      <c r="I6" s="78"/>
      <c r="J6" s="78"/>
      <c r="K6" s="78"/>
      <c r="L6" s="78"/>
      <c r="M6" s="78"/>
      <c r="N6" s="78"/>
      <c r="O6" s="78"/>
      <c r="P6" s="78"/>
      <c r="Q6" s="78"/>
      <c r="R6" s="78"/>
      <c r="S6" s="78"/>
      <c r="T6" s="78"/>
      <c r="U6" s="82"/>
    </row>
    <row r="7" spans="1:21" ht="168.95" customHeight="1" x14ac:dyDescent="0.25">
      <c r="G7" s="79" t="s">
        <v>78</v>
      </c>
      <c r="H7" s="79"/>
      <c r="I7" s="79"/>
      <c r="J7" s="79"/>
      <c r="K7" s="79"/>
      <c r="L7" s="79"/>
      <c r="M7" s="79"/>
      <c r="N7" s="79"/>
      <c r="O7" s="79"/>
      <c r="P7" s="79"/>
      <c r="Q7" s="79"/>
      <c r="R7" s="79"/>
      <c r="S7" s="79"/>
      <c r="T7" s="79"/>
    </row>
    <row r="8" spans="1:21" x14ac:dyDescent="0.25">
      <c r="A8" s="65" t="s">
        <v>203</v>
      </c>
      <c r="G8" s="77" t="s">
        <v>204</v>
      </c>
      <c r="H8" s="79"/>
      <c r="I8" s="79"/>
      <c r="J8" s="79"/>
      <c r="K8" s="79"/>
      <c r="L8" s="79"/>
      <c r="M8" s="79"/>
      <c r="N8" s="79"/>
      <c r="O8" s="79"/>
      <c r="P8" s="79"/>
      <c r="Q8" s="79"/>
      <c r="R8" s="79"/>
      <c r="S8" s="79"/>
      <c r="T8" s="79"/>
    </row>
    <row r="9" spans="1:21" x14ac:dyDescent="0.25">
      <c r="A9" s="65" t="s">
        <v>205</v>
      </c>
      <c r="G9" s="77" t="s">
        <v>204</v>
      </c>
      <c r="H9" s="79"/>
      <c r="I9" s="79"/>
      <c r="J9" s="79"/>
      <c r="K9" s="79"/>
      <c r="L9" s="79"/>
      <c r="M9" s="79"/>
      <c r="N9" s="79"/>
      <c r="O9" s="79"/>
      <c r="P9" s="79"/>
      <c r="Q9" s="79"/>
      <c r="R9" s="79"/>
      <c r="S9" s="79"/>
      <c r="T9" s="79"/>
    </row>
    <row r="10" spans="1:21" x14ac:dyDescent="0.25">
      <c r="A10" s="65"/>
      <c r="B10" t="s">
        <v>206</v>
      </c>
      <c r="G10" s="77" t="s">
        <v>204</v>
      </c>
      <c r="H10" s="79"/>
      <c r="I10" s="79"/>
      <c r="J10" s="79"/>
      <c r="K10" s="79"/>
      <c r="L10" s="79"/>
      <c r="M10" s="79"/>
      <c r="N10" s="79"/>
      <c r="O10" s="79"/>
      <c r="P10" s="79"/>
      <c r="Q10" s="79"/>
      <c r="R10" s="79"/>
      <c r="S10" s="79"/>
      <c r="T10" s="79"/>
    </row>
    <row r="11" spans="1:21" x14ac:dyDescent="0.25">
      <c r="A11" s="65"/>
      <c r="B11" t="s">
        <v>207</v>
      </c>
      <c r="G11" s="77" t="s">
        <v>204</v>
      </c>
      <c r="H11" s="79"/>
      <c r="I11" s="79"/>
      <c r="J11" s="79"/>
      <c r="K11" s="79"/>
      <c r="L11" s="79"/>
      <c r="M11" s="79"/>
      <c r="N11" s="79"/>
      <c r="O11" s="79"/>
      <c r="P11" s="79"/>
      <c r="Q11" s="79"/>
      <c r="R11" s="79"/>
      <c r="S11" s="79"/>
      <c r="T11" s="79"/>
    </row>
    <row r="12" spans="1:21" x14ac:dyDescent="0.25">
      <c r="A12" s="65" t="s">
        <v>208</v>
      </c>
      <c r="G12" s="77" t="s">
        <v>204</v>
      </c>
      <c r="H12" s="79"/>
      <c r="I12" s="79"/>
      <c r="J12" s="79"/>
      <c r="K12" s="79"/>
      <c r="L12" s="79"/>
      <c r="M12" s="79"/>
      <c r="N12" s="79"/>
      <c r="O12" s="79"/>
      <c r="P12" s="79"/>
      <c r="Q12" s="79"/>
      <c r="R12" s="79"/>
      <c r="S12" s="79"/>
      <c r="T12" s="79"/>
    </row>
    <row r="13" spans="1:21" x14ac:dyDescent="0.25">
      <c r="B13" s="75" t="s">
        <v>209</v>
      </c>
      <c r="C13" s="75"/>
      <c r="G13" s="77" t="s">
        <v>204</v>
      </c>
    </row>
    <row r="14" spans="1:21" x14ac:dyDescent="0.25">
      <c r="B14" s="75" t="s">
        <v>210</v>
      </c>
      <c r="C14" s="75" t="s">
        <v>211</v>
      </c>
      <c r="G14" s="77" t="s">
        <v>204</v>
      </c>
    </row>
    <row r="15" spans="1:21" x14ac:dyDescent="0.25">
      <c r="B15" s="75" t="s">
        <v>212</v>
      </c>
      <c r="C15" s="75"/>
      <c r="G15" s="77" t="s">
        <v>204</v>
      </c>
    </row>
    <row r="16" spans="1:21" x14ac:dyDescent="0.25">
      <c r="B16" s="75" t="s">
        <v>213</v>
      </c>
      <c r="C16" s="75"/>
      <c r="G16" s="77" t="s">
        <v>204</v>
      </c>
    </row>
    <row r="17" spans="1:21" x14ac:dyDescent="0.25">
      <c r="B17" s="75" t="s">
        <v>210</v>
      </c>
      <c r="C17" s="75" t="s">
        <v>214</v>
      </c>
      <c r="G17" s="77" t="s">
        <v>204</v>
      </c>
    </row>
    <row r="18" spans="1:21" x14ac:dyDescent="0.25">
      <c r="B18" s="75" t="s">
        <v>210</v>
      </c>
      <c r="C18" s="75" t="s">
        <v>215</v>
      </c>
      <c r="G18" s="77" t="s">
        <v>204</v>
      </c>
    </row>
    <row r="19" spans="1:21" x14ac:dyDescent="0.25">
      <c r="B19" s="75" t="s">
        <v>210</v>
      </c>
      <c r="C19" s="75" t="s">
        <v>216</v>
      </c>
      <c r="G19" s="77" t="s">
        <v>204</v>
      </c>
    </row>
    <row r="20" spans="1:21" x14ac:dyDescent="0.25">
      <c r="B20" s="75" t="s">
        <v>210</v>
      </c>
      <c r="C20" s="75" t="s">
        <v>217</v>
      </c>
      <c r="G20" s="77" t="s">
        <v>204</v>
      </c>
    </row>
    <row r="21" spans="1:21" x14ac:dyDescent="0.25">
      <c r="B21" s="75" t="s">
        <v>210</v>
      </c>
      <c r="C21" s="75" t="s">
        <v>218</v>
      </c>
      <c r="G21" s="77" t="s">
        <v>204</v>
      </c>
    </row>
    <row r="22" spans="1:21" x14ac:dyDescent="0.25">
      <c r="B22" s="75" t="s">
        <v>219</v>
      </c>
      <c r="C22" s="75"/>
      <c r="G22" s="77" t="s">
        <v>204</v>
      </c>
    </row>
    <row r="23" spans="1:21" x14ac:dyDescent="0.25">
      <c r="B23" s="75" t="s">
        <v>220</v>
      </c>
      <c r="C23" s="75"/>
      <c r="G23" s="77" t="s">
        <v>204</v>
      </c>
    </row>
    <row r="24" spans="1:21" ht="15.75" thickBot="1" x14ac:dyDescent="0.3"/>
    <row r="25" spans="1:21" ht="18" thickTop="1" x14ac:dyDescent="0.25">
      <c r="A25" s="3" t="s">
        <v>42</v>
      </c>
      <c r="B25" s="3"/>
      <c r="C25" s="3"/>
      <c r="D25" s="3"/>
      <c r="E25" s="3"/>
      <c r="F25" s="3"/>
      <c r="G25" s="78"/>
      <c r="H25" s="78"/>
      <c r="I25" s="78"/>
      <c r="J25" s="78"/>
      <c r="K25" s="78"/>
      <c r="L25" s="78"/>
      <c r="M25" s="78"/>
      <c r="N25" s="78"/>
      <c r="O25" s="78"/>
      <c r="P25" s="78"/>
      <c r="Q25" s="78"/>
      <c r="R25" s="78"/>
      <c r="S25" s="78"/>
      <c r="T25" s="78"/>
      <c r="U25" s="82"/>
    </row>
    <row r="26" spans="1:21" ht="102" x14ac:dyDescent="0.25">
      <c r="G26" s="79" t="s">
        <v>83</v>
      </c>
      <c r="H26" s="79" t="s">
        <v>88</v>
      </c>
      <c r="I26" s="79" t="s">
        <v>92</v>
      </c>
      <c r="J26" s="79" t="s">
        <v>95</v>
      </c>
      <c r="K26" s="79" t="s">
        <v>98</v>
      </c>
      <c r="L26" s="79"/>
      <c r="M26" s="79"/>
      <c r="N26" s="79"/>
      <c r="O26" s="79"/>
      <c r="P26" s="79"/>
      <c r="Q26" s="79"/>
      <c r="R26" s="79"/>
      <c r="S26" s="79"/>
      <c r="T26" s="79"/>
    </row>
    <row r="27" spans="1:21" x14ac:dyDescent="0.25">
      <c r="A27" s="65" t="s">
        <v>203</v>
      </c>
      <c r="G27" s="77" t="s">
        <v>204</v>
      </c>
      <c r="H27" s="77" t="s">
        <v>204</v>
      </c>
      <c r="I27" s="77" t="s">
        <v>204</v>
      </c>
      <c r="J27" s="77" t="s">
        <v>204</v>
      </c>
      <c r="K27" s="77" t="s">
        <v>204</v>
      </c>
      <c r="L27" s="79"/>
      <c r="M27" s="79"/>
      <c r="N27" s="79"/>
      <c r="O27" s="79"/>
      <c r="P27" s="79"/>
      <c r="Q27" s="79"/>
      <c r="R27" s="79"/>
      <c r="S27" s="79"/>
      <c r="T27" s="79"/>
    </row>
    <row r="28" spans="1:21" x14ac:dyDescent="0.25">
      <c r="A28" s="65" t="s">
        <v>205</v>
      </c>
      <c r="G28" s="77" t="s">
        <v>204</v>
      </c>
      <c r="H28" s="77" t="s">
        <v>204</v>
      </c>
      <c r="I28" s="77" t="s">
        <v>204</v>
      </c>
      <c r="J28" s="77" t="s">
        <v>204</v>
      </c>
      <c r="K28" s="77" t="s">
        <v>204</v>
      </c>
      <c r="L28" s="79"/>
      <c r="M28" s="79"/>
      <c r="N28" s="79"/>
      <c r="O28" s="79"/>
      <c r="P28" s="79"/>
      <c r="Q28" s="79"/>
      <c r="R28" s="79"/>
      <c r="S28" s="79"/>
      <c r="T28" s="79"/>
    </row>
    <row r="29" spans="1:21" x14ac:dyDescent="0.25">
      <c r="A29" s="65"/>
      <c r="B29" t="s">
        <v>206</v>
      </c>
      <c r="G29" s="77" t="s">
        <v>204</v>
      </c>
      <c r="H29" s="77" t="s">
        <v>204</v>
      </c>
      <c r="I29" s="77" t="s">
        <v>204</v>
      </c>
      <c r="J29" s="77" t="s">
        <v>204</v>
      </c>
      <c r="K29" s="77" t="s">
        <v>204</v>
      </c>
      <c r="L29" s="79"/>
      <c r="M29" s="79"/>
      <c r="N29" s="79"/>
      <c r="O29" s="79"/>
      <c r="P29" s="79"/>
      <c r="Q29" s="79"/>
      <c r="R29" s="79"/>
      <c r="S29" s="79"/>
      <c r="T29" s="79"/>
    </row>
    <row r="30" spans="1:21" x14ac:dyDescent="0.25">
      <c r="A30" s="65"/>
      <c r="B30" t="s">
        <v>207</v>
      </c>
      <c r="G30" s="77" t="s">
        <v>204</v>
      </c>
      <c r="H30" s="77" t="s">
        <v>204</v>
      </c>
      <c r="I30" s="77" t="s">
        <v>204</v>
      </c>
      <c r="J30" s="77" t="s">
        <v>204</v>
      </c>
      <c r="K30" s="77" t="s">
        <v>204</v>
      </c>
      <c r="L30" s="79"/>
      <c r="M30" s="79"/>
      <c r="N30" s="79"/>
      <c r="O30" s="79"/>
      <c r="P30" s="79"/>
      <c r="Q30" s="79"/>
      <c r="R30" s="79"/>
      <c r="S30" s="79"/>
      <c r="T30" s="79"/>
    </row>
    <row r="31" spans="1:21" x14ac:dyDescent="0.25">
      <c r="A31" s="65" t="s">
        <v>221</v>
      </c>
      <c r="G31" s="77" t="s">
        <v>204</v>
      </c>
      <c r="H31" s="77" t="s">
        <v>204</v>
      </c>
      <c r="I31" s="77" t="s">
        <v>204</v>
      </c>
      <c r="J31" s="77" t="s">
        <v>204</v>
      </c>
      <c r="K31" s="77" t="s">
        <v>204</v>
      </c>
      <c r="L31" s="79"/>
      <c r="M31" s="79"/>
      <c r="N31" s="79"/>
      <c r="O31" s="79"/>
      <c r="P31" s="79"/>
      <c r="Q31" s="79"/>
      <c r="R31" s="79"/>
      <c r="S31" s="79"/>
      <c r="T31" s="79"/>
    </row>
    <row r="32" spans="1:21" x14ac:dyDescent="0.25">
      <c r="B32" s="75" t="s">
        <v>209</v>
      </c>
      <c r="C32" s="75"/>
      <c r="D32" s="75"/>
      <c r="G32" s="77" t="s">
        <v>204</v>
      </c>
      <c r="H32" s="77" t="s">
        <v>204</v>
      </c>
      <c r="I32" s="77" t="s">
        <v>204</v>
      </c>
      <c r="J32" s="77" t="s">
        <v>204</v>
      </c>
      <c r="K32" s="77" t="s">
        <v>204</v>
      </c>
    </row>
    <row r="33" spans="1:21" x14ac:dyDescent="0.25">
      <c r="B33" s="75" t="s">
        <v>210</v>
      </c>
      <c r="C33" s="75" t="s">
        <v>211</v>
      </c>
      <c r="G33" s="77" t="s">
        <v>204</v>
      </c>
      <c r="H33" s="77" t="s">
        <v>204</v>
      </c>
      <c r="I33" s="77" t="s">
        <v>204</v>
      </c>
      <c r="J33" s="77" t="s">
        <v>204</v>
      </c>
      <c r="K33" s="77" t="s">
        <v>204</v>
      </c>
    </row>
    <row r="34" spans="1:21" x14ac:dyDescent="0.25">
      <c r="B34" s="75" t="s">
        <v>212</v>
      </c>
      <c r="C34" s="75"/>
      <c r="G34" s="77" t="s">
        <v>204</v>
      </c>
      <c r="H34" s="77" t="s">
        <v>204</v>
      </c>
      <c r="I34" s="77" t="s">
        <v>204</v>
      </c>
      <c r="J34" s="77" t="s">
        <v>204</v>
      </c>
      <c r="K34" s="77" t="s">
        <v>204</v>
      </c>
    </row>
    <row r="35" spans="1:21" x14ac:dyDescent="0.25">
      <c r="B35" s="75" t="s">
        <v>213</v>
      </c>
      <c r="C35" s="75"/>
      <c r="G35" s="77" t="s">
        <v>204</v>
      </c>
      <c r="H35" s="77" t="s">
        <v>204</v>
      </c>
      <c r="I35" s="77" t="s">
        <v>204</v>
      </c>
      <c r="J35" s="77" t="s">
        <v>204</v>
      </c>
      <c r="K35" s="77" t="s">
        <v>204</v>
      </c>
    </row>
    <row r="36" spans="1:21" x14ac:dyDescent="0.25">
      <c r="B36" s="75" t="s">
        <v>210</v>
      </c>
      <c r="C36" s="75" t="s">
        <v>222</v>
      </c>
      <c r="G36" s="77" t="s">
        <v>204</v>
      </c>
      <c r="H36" s="77" t="s">
        <v>204</v>
      </c>
      <c r="I36" s="77" t="s">
        <v>204</v>
      </c>
      <c r="J36" s="77" t="s">
        <v>204</v>
      </c>
      <c r="K36" s="77" t="s">
        <v>204</v>
      </c>
    </row>
    <row r="37" spans="1:21" x14ac:dyDescent="0.25">
      <c r="B37" s="75" t="s">
        <v>210</v>
      </c>
      <c r="C37" s="75" t="s">
        <v>223</v>
      </c>
      <c r="G37" s="77" t="s">
        <v>204</v>
      </c>
      <c r="H37" s="77" t="s">
        <v>204</v>
      </c>
      <c r="I37" s="77" t="s">
        <v>204</v>
      </c>
      <c r="J37" s="77" t="s">
        <v>204</v>
      </c>
      <c r="K37" s="77" t="s">
        <v>204</v>
      </c>
    </row>
    <row r="38" spans="1:21" x14ac:dyDescent="0.25">
      <c r="B38" s="75" t="s">
        <v>219</v>
      </c>
      <c r="C38" s="75"/>
      <c r="G38" s="77" t="s">
        <v>204</v>
      </c>
      <c r="H38" s="77" t="s">
        <v>204</v>
      </c>
      <c r="I38" s="77" t="s">
        <v>204</v>
      </c>
      <c r="J38" s="77" t="s">
        <v>204</v>
      </c>
      <c r="K38" s="77" t="s">
        <v>204</v>
      </c>
    </row>
    <row r="39" spans="1:21" x14ac:dyDescent="0.25">
      <c r="B39" s="75" t="s">
        <v>220</v>
      </c>
      <c r="C39" s="75"/>
      <c r="G39" s="77" t="s">
        <v>204</v>
      </c>
      <c r="H39" s="77" t="s">
        <v>204</v>
      </c>
      <c r="I39" s="77" t="s">
        <v>204</v>
      </c>
      <c r="J39" s="77" t="s">
        <v>204</v>
      </c>
      <c r="K39" s="77" t="s">
        <v>204</v>
      </c>
    </row>
    <row r="40" spans="1:21" ht="15.75" thickBot="1" x14ac:dyDescent="0.3"/>
    <row r="41" spans="1:21" ht="18" thickTop="1" x14ac:dyDescent="0.25">
      <c r="A41" s="3" t="s">
        <v>43</v>
      </c>
      <c r="B41" s="3"/>
      <c r="C41" s="3"/>
      <c r="D41" s="3"/>
      <c r="E41" s="3"/>
      <c r="F41" s="3"/>
      <c r="G41" s="78"/>
      <c r="H41" s="78"/>
      <c r="I41" s="78"/>
      <c r="J41" s="78"/>
      <c r="K41" s="78"/>
      <c r="L41" s="78"/>
      <c r="M41" s="78"/>
      <c r="N41" s="78"/>
      <c r="O41" s="78"/>
      <c r="P41" s="78"/>
      <c r="Q41" s="78"/>
      <c r="R41" s="78"/>
      <c r="S41" s="78"/>
      <c r="T41" s="78"/>
      <c r="U41" s="82"/>
    </row>
    <row r="42" spans="1:21" ht="239.25" x14ac:dyDescent="0.25">
      <c r="G42" s="79" t="s">
        <v>224</v>
      </c>
      <c r="H42" s="79" t="s">
        <v>107</v>
      </c>
      <c r="I42" s="79" t="s">
        <v>111</v>
      </c>
      <c r="J42" s="79" t="s">
        <v>113</v>
      </c>
      <c r="K42" s="79" t="s">
        <v>115</v>
      </c>
      <c r="L42" s="79" t="s">
        <v>225</v>
      </c>
      <c r="M42" s="79" t="s">
        <v>118</v>
      </c>
      <c r="N42" s="79" t="s">
        <v>120</v>
      </c>
      <c r="O42" s="79"/>
      <c r="P42" s="79"/>
      <c r="Q42" s="79"/>
      <c r="R42" s="79"/>
      <c r="S42" s="79"/>
      <c r="T42" s="79"/>
    </row>
    <row r="43" spans="1:21" x14ac:dyDescent="0.25">
      <c r="A43" s="65" t="s">
        <v>203</v>
      </c>
      <c r="G43" s="77" t="s">
        <v>204</v>
      </c>
      <c r="H43" s="77" t="s">
        <v>204</v>
      </c>
      <c r="I43" s="77" t="s">
        <v>204</v>
      </c>
      <c r="J43" s="77" t="s">
        <v>204</v>
      </c>
      <c r="K43" s="77" t="s">
        <v>204</v>
      </c>
      <c r="L43" s="77" t="s">
        <v>204</v>
      </c>
      <c r="M43" s="77" t="s">
        <v>204</v>
      </c>
      <c r="N43" s="77" t="s">
        <v>204</v>
      </c>
      <c r="O43" s="79"/>
      <c r="P43" s="79"/>
      <c r="Q43" s="79"/>
      <c r="R43" s="79"/>
      <c r="S43" s="79"/>
      <c r="T43" s="79"/>
    </row>
    <row r="44" spans="1:21" x14ac:dyDescent="0.25">
      <c r="A44" s="65" t="s">
        <v>205</v>
      </c>
      <c r="G44" s="77" t="s">
        <v>204</v>
      </c>
      <c r="H44" s="77" t="s">
        <v>204</v>
      </c>
      <c r="I44" s="77" t="s">
        <v>204</v>
      </c>
      <c r="J44" s="77" t="s">
        <v>204</v>
      </c>
      <c r="K44" s="77" t="s">
        <v>204</v>
      </c>
      <c r="L44" s="77" t="s">
        <v>204</v>
      </c>
      <c r="M44" s="77" t="s">
        <v>204</v>
      </c>
      <c r="N44" s="77" t="s">
        <v>204</v>
      </c>
      <c r="O44" s="79"/>
      <c r="P44" s="79"/>
      <c r="Q44" s="79"/>
      <c r="R44" s="79"/>
      <c r="S44" s="79"/>
      <c r="T44" s="79"/>
    </row>
    <row r="45" spans="1:21" x14ac:dyDescent="0.25">
      <c r="A45" s="65"/>
      <c r="B45" s="75" t="s">
        <v>226</v>
      </c>
      <c r="C45" s="75"/>
      <c r="O45" s="79"/>
      <c r="P45" s="79"/>
      <c r="Q45" s="79"/>
      <c r="R45" s="79"/>
      <c r="S45" s="79"/>
      <c r="T45" s="79"/>
    </row>
    <row r="46" spans="1:21" x14ac:dyDescent="0.25">
      <c r="A46" s="65"/>
      <c r="B46" s="75" t="s">
        <v>210</v>
      </c>
      <c r="C46" s="75" t="s">
        <v>227</v>
      </c>
      <c r="G46" s="77" t="s">
        <v>204</v>
      </c>
      <c r="L46" s="77" t="s">
        <v>204</v>
      </c>
      <c r="O46" s="79"/>
      <c r="P46" s="79"/>
      <c r="Q46" s="79"/>
      <c r="R46" s="79"/>
      <c r="S46" s="79"/>
      <c r="T46" s="79"/>
      <c r="U46" s="6" t="s">
        <v>228</v>
      </c>
    </row>
    <row r="47" spans="1:21" x14ac:dyDescent="0.25">
      <c r="A47" s="65"/>
      <c r="B47" s="75" t="s">
        <v>210</v>
      </c>
      <c r="C47" s="75" t="s">
        <v>229</v>
      </c>
      <c r="H47" s="77" t="s">
        <v>204</v>
      </c>
      <c r="O47" s="79"/>
      <c r="P47" s="79"/>
      <c r="Q47" s="79"/>
      <c r="R47" s="79"/>
      <c r="S47" s="79"/>
      <c r="T47" s="79"/>
    </row>
    <row r="48" spans="1:21" x14ac:dyDescent="0.25">
      <c r="A48" s="65"/>
      <c r="B48" s="75" t="s">
        <v>210</v>
      </c>
      <c r="C48" s="75" t="s">
        <v>230</v>
      </c>
      <c r="I48" s="77" t="s">
        <v>204</v>
      </c>
      <c r="O48" s="79"/>
      <c r="P48" s="79"/>
      <c r="Q48" s="79"/>
      <c r="R48" s="79"/>
      <c r="S48" s="79"/>
      <c r="T48" s="79"/>
    </row>
    <row r="49" spans="1:20" x14ac:dyDescent="0.25">
      <c r="A49" s="65"/>
      <c r="B49" s="75" t="s">
        <v>210</v>
      </c>
      <c r="C49" s="75" t="s">
        <v>231</v>
      </c>
      <c r="L49" s="77" t="s">
        <v>204</v>
      </c>
      <c r="O49" s="79"/>
      <c r="P49" s="79"/>
      <c r="Q49" s="79"/>
      <c r="R49" s="79"/>
      <c r="S49" s="79"/>
      <c r="T49" s="79"/>
    </row>
    <row r="50" spans="1:20" x14ac:dyDescent="0.25">
      <c r="A50" s="65"/>
      <c r="B50" t="s">
        <v>232</v>
      </c>
      <c r="G50" s="77" t="s">
        <v>204</v>
      </c>
      <c r="H50" s="77" t="s">
        <v>204</v>
      </c>
      <c r="I50" s="77" t="s">
        <v>204</v>
      </c>
      <c r="M50" s="77" t="s">
        <v>204</v>
      </c>
      <c r="O50" s="79"/>
      <c r="P50" s="79"/>
      <c r="Q50" s="79"/>
      <c r="R50" s="79"/>
      <c r="S50" s="79"/>
      <c r="T50" s="79"/>
    </row>
    <row r="51" spans="1:20" x14ac:dyDescent="0.25">
      <c r="A51" s="65"/>
      <c r="B51" t="s">
        <v>206</v>
      </c>
      <c r="G51" s="77" t="s">
        <v>204</v>
      </c>
      <c r="H51" s="77" t="s">
        <v>204</v>
      </c>
      <c r="I51" s="77" t="s">
        <v>204</v>
      </c>
      <c r="J51" s="77" t="s">
        <v>204</v>
      </c>
      <c r="K51" s="77" t="s">
        <v>204</v>
      </c>
      <c r="L51" s="77" t="s">
        <v>204</v>
      </c>
      <c r="M51" s="77" t="s">
        <v>204</v>
      </c>
      <c r="N51" s="77" t="s">
        <v>204</v>
      </c>
      <c r="O51" s="79"/>
      <c r="P51" s="79"/>
      <c r="Q51" s="79"/>
      <c r="R51" s="79"/>
      <c r="S51" s="79"/>
      <c r="T51" s="79"/>
    </row>
    <row r="52" spans="1:20" x14ac:dyDescent="0.25">
      <c r="A52" s="65"/>
      <c r="B52" t="s">
        <v>207</v>
      </c>
      <c r="G52" s="77" t="s">
        <v>204</v>
      </c>
      <c r="H52" s="77" t="s">
        <v>204</v>
      </c>
      <c r="I52" s="77" t="s">
        <v>204</v>
      </c>
      <c r="J52" s="77" t="s">
        <v>204</v>
      </c>
      <c r="K52" s="77" t="s">
        <v>204</v>
      </c>
      <c r="L52" s="77" t="s">
        <v>204</v>
      </c>
      <c r="M52" s="77" t="s">
        <v>204</v>
      </c>
      <c r="N52" s="77" t="s">
        <v>204</v>
      </c>
      <c r="O52" s="79"/>
      <c r="P52" s="79"/>
      <c r="Q52" s="79"/>
      <c r="R52" s="79"/>
      <c r="S52" s="79"/>
      <c r="T52" s="79"/>
    </row>
    <row r="53" spans="1:20" x14ac:dyDescent="0.25">
      <c r="A53" s="65" t="s">
        <v>233</v>
      </c>
      <c r="G53" s="77" t="s">
        <v>204</v>
      </c>
      <c r="H53" s="77" t="s">
        <v>204</v>
      </c>
      <c r="I53" s="77" t="s">
        <v>204</v>
      </c>
      <c r="J53" s="77" t="s">
        <v>204</v>
      </c>
      <c r="K53" s="77" t="s">
        <v>204</v>
      </c>
      <c r="L53" s="77" t="s">
        <v>204</v>
      </c>
      <c r="M53" s="77" t="s">
        <v>204</v>
      </c>
      <c r="N53" s="77" t="s">
        <v>204</v>
      </c>
      <c r="O53" s="79"/>
      <c r="P53" s="79"/>
      <c r="Q53" s="79"/>
      <c r="R53" s="79"/>
      <c r="S53" s="79"/>
      <c r="T53" s="79"/>
    </row>
    <row r="54" spans="1:20" x14ac:dyDescent="0.25">
      <c r="B54" s="75" t="s">
        <v>209</v>
      </c>
      <c r="C54" s="75"/>
      <c r="D54" s="75"/>
      <c r="G54" s="77" t="s">
        <v>204</v>
      </c>
      <c r="H54" s="77" t="s">
        <v>204</v>
      </c>
      <c r="I54" s="77" t="s">
        <v>204</v>
      </c>
      <c r="J54" s="77" t="s">
        <v>204</v>
      </c>
      <c r="K54" s="77" t="s">
        <v>204</v>
      </c>
      <c r="L54" s="77" t="s">
        <v>204</v>
      </c>
      <c r="M54" s="77" t="s">
        <v>204</v>
      </c>
      <c r="N54" s="77" t="s">
        <v>204</v>
      </c>
    </row>
    <row r="55" spans="1:20" x14ac:dyDescent="0.25">
      <c r="B55" s="75" t="s">
        <v>210</v>
      </c>
      <c r="C55" s="75" t="s">
        <v>211</v>
      </c>
      <c r="D55" s="75"/>
      <c r="G55" s="77" t="s">
        <v>204</v>
      </c>
      <c r="H55" s="77" t="s">
        <v>204</v>
      </c>
      <c r="I55" s="77" t="s">
        <v>204</v>
      </c>
      <c r="J55" s="77" t="s">
        <v>204</v>
      </c>
      <c r="K55" s="77" t="s">
        <v>204</v>
      </c>
      <c r="L55" s="77" t="s">
        <v>204</v>
      </c>
      <c r="M55" s="77" t="s">
        <v>204</v>
      </c>
      <c r="N55" s="77" t="s">
        <v>204</v>
      </c>
    </row>
    <row r="56" spans="1:20" x14ac:dyDescent="0.25">
      <c r="B56" s="75" t="s">
        <v>234</v>
      </c>
      <c r="C56" s="75"/>
      <c r="D56" s="75"/>
      <c r="G56" s="77" t="s">
        <v>204</v>
      </c>
      <c r="H56" s="77" t="s">
        <v>204</v>
      </c>
      <c r="I56" s="77" t="s">
        <v>204</v>
      </c>
      <c r="J56" s="77" t="s">
        <v>204</v>
      </c>
      <c r="K56" s="77" t="s">
        <v>204</v>
      </c>
      <c r="L56" s="77" t="s">
        <v>204</v>
      </c>
      <c r="M56" s="77" t="s">
        <v>204</v>
      </c>
      <c r="N56" s="77" t="s">
        <v>204</v>
      </c>
    </row>
    <row r="57" spans="1:20" x14ac:dyDescent="0.25">
      <c r="B57" s="75" t="s">
        <v>213</v>
      </c>
      <c r="C57" s="75"/>
      <c r="D57" s="75"/>
      <c r="G57" s="77" t="s">
        <v>204</v>
      </c>
      <c r="H57" s="77" t="s">
        <v>204</v>
      </c>
      <c r="I57" s="77" t="s">
        <v>204</v>
      </c>
      <c r="J57" s="77" t="s">
        <v>204</v>
      </c>
      <c r="K57" s="77" t="s">
        <v>204</v>
      </c>
      <c r="L57" s="77" t="s">
        <v>204</v>
      </c>
      <c r="M57" s="77" t="s">
        <v>204</v>
      </c>
      <c r="N57" s="77" t="s">
        <v>204</v>
      </c>
    </row>
    <row r="58" spans="1:20" x14ac:dyDescent="0.25">
      <c r="B58" s="75" t="s">
        <v>210</v>
      </c>
      <c r="C58" s="75" t="s">
        <v>222</v>
      </c>
      <c r="D58" s="75"/>
      <c r="G58" s="77" t="s">
        <v>204</v>
      </c>
      <c r="H58" s="77" t="s">
        <v>204</v>
      </c>
      <c r="I58" s="77" t="s">
        <v>204</v>
      </c>
      <c r="J58" s="77" t="s">
        <v>204</v>
      </c>
      <c r="K58" s="77" t="s">
        <v>204</v>
      </c>
      <c r="L58" s="77" t="s">
        <v>204</v>
      </c>
      <c r="M58" s="77" t="s">
        <v>204</v>
      </c>
      <c r="N58" s="77" t="s">
        <v>204</v>
      </c>
    </row>
    <row r="59" spans="1:20" x14ac:dyDescent="0.25">
      <c r="B59" s="75" t="s">
        <v>210</v>
      </c>
      <c r="C59" s="75" t="s">
        <v>235</v>
      </c>
      <c r="D59" s="75"/>
      <c r="G59" s="77" t="s">
        <v>204</v>
      </c>
      <c r="H59" s="77" t="s">
        <v>204</v>
      </c>
      <c r="I59" s="77" t="s">
        <v>204</v>
      </c>
      <c r="J59" s="77" t="s">
        <v>204</v>
      </c>
      <c r="L59" s="77" t="s">
        <v>204</v>
      </c>
      <c r="M59" s="77" t="s">
        <v>204</v>
      </c>
    </row>
    <row r="60" spans="1:20" x14ac:dyDescent="0.25">
      <c r="B60" s="75" t="s">
        <v>210</v>
      </c>
      <c r="C60" s="75" t="s">
        <v>236</v>
      </c>
      <c r="D60" s="75"/>
      <c r="G60" s="77" t="s">
        <v>204</v>
      </c>
      <c r="H60" s="77" t="s">
        <v>204</v>
      </c>
      <c r="I60" s="77" t="s">
        <v>204</v>
      </c>
      <c r="J60" s="77" t="s">
        <v>204</v>
      </c>
      <c r="K60" s="77" t="s">
        <v>204</v>
      </c>
      <c r="L60" s="77" t="s">
        <v>204</v>
      </c>
      <c r="M60" s="77" t="s">
        <v>204</v>
      </c>
      <c r="N60" s="77" t="s">
        <v>204</v>
      </c>
    </row>
    <row r="61" spans="1:20" x14ac:dyDescent="0.25">
      <c r="B61" s="75" t="s">
        <v>219</v>
      </c>
      <c r="C61" s="75"/>
      <c r="D61" s="75"/>
      <c r="G61" s="77" t="s">
        <v>204</v>
      </c>
      <c r="H61" s="77" t="s">
        <v>204</v>
      </c>
      <c r="I61" s="77" t="s">
        <v>204</v>
      </c>
      <c r="J61" s="77" t="s">
        <v>204</v>
      </c>
      <c r="K61" s="77" t="s">
        <v>204</v>
      </c>
      <c r="L61" s="77" t="s">
        <v>204</v>
      </c>
      <c r="M61" s="77" t="s">
        <v>204</v>
      </c>
      <c r="N61" s="77" t="s">
        <v>204</v>
      </c>
    </row>
    <row r="62" spans="1:20" x14ac:dyDescent="0.25">
      <c r="B62" s="75" t="s">
        <v>210</v>
      </c>
      <c r="C62" s="75" t="s">
        <v>237</v>
      </c>
      <c r="D62" s="75"/>
      <c r="J62" s="77" t="s">
        <v>204</v>
      </c>
      <c r="K62" s="77" t="s">
        <v>204</v>
      </c>
      <c r="M62" s="77" t="s">
        <v>204</v>
      </c>
    </row>
    <row r="63" spans="1:20" x14ac:dyDescent="0.25">
      <c r="B63" s="75" t="s">
        <v>210</v>
      </c>
      <c r="C63" s="75" t="s">
        <v>210</v>
      </c>
      <c r="D63" s="75" t="s">
        <v>238</v>
      </c>
      <c r="J63" s="77" t="s">
        <v>204</v>
      </c>
      <c r="K63" s="77" t="s">
        <v>204</v>
      </c>
      <c r="M63" s="77" t="s">
        <v>204</v>
      </c>
    </row>
    <row r="64" spans="1:20" x14ac:dyDescent="0.25">
      <c r="B64" s="75" t="s">
        <v>210</v>
      </c>
      <c r="C64" s="75" t="s">
        <v>210</v>
      </c>
      <c r="D64" s="75" t="s">
        <v>239</v>
      </c>
      <c r="J64" s="77" t="s">
        <v>204</v>
      </c>
      <c r="K64" s="77" t="s">
        <v>204</v>
      </c>
      <c r="M64" s="77" t="s">
        <v>204</v>
      </c>
    </row>
    <row r="65" spans="2:21" x14ac:dyDescent="0.25">
      <c r="B65" s="75" t="s">
        <v>210</v>
      </c>
      <c r="C65" s="75" t="s">
        <v>210</v>
      </c>
      <c r="D65" s="75" t="s">
        <v>240</v>
      </c>
      <c r="J65" s="77" t="s">
        <v>204</v>
      </c>
      <c r="K65" s="77" t="s">
        <v>204</v>
      </c>
    </row>
    <row r="66" spans="2:21" x14ac:dyDescent="0.25">
      <c r="B66" s="75" t="s">
        <v>210</v>
      </c>
      <c r="C66" s="75" t="s">
        <v>241</v>
      </c>
      <c r="D66" s="75"/>
      <c r="J66" s="77" t="s">
        <v>204</v>
      </c>
      <c r="K66" s="77" t="s">
        <v>204</v>
      </c>
    </row>
    <row r="67" spans="2:21" x14ac:dyDescent="0.25">
      <c r="B67" s="75" t="s">
        <v>210</v>
      </c>
      <c r="C67" s="75" t="s">
        <v>242</v>
      </c>
      <c r="D67" s="75"/>
      <c r="G67" s="77" t="s">
        <v>204</v>
      </c>
      <c r="H67" s="77" t="s">
        <v>204</v>
      </c>
      <c r="I67" s="77" t="s">
        <v>204</v>
      </c>
      <c r="L67" s="77" t="s">
        <v>204</v>
      </c>
      <c r="M67" s="77" t="s">
        <v>204</v>
      </c>
      <c r="N67" s="77" t="s">
        <v>204</v>
      </c>
    </row>
    <row r="68" spans="2:21" x14ac:dyDescent="0.25">
      <c r="B68" s="75" t="s">
        <v>210</v>
      </c>
      <c r="C68" s="75" t="s">
        <v>210</v>
      </c>
      <c r="D68" s="75" t="s">
        <v>243</v>
      </c>
      <c r="G68" s="77" t="s">
        <v>204</v>
      </c>
      <c r="J68" s="77" t="s">
        <v>204</v>
      </c>
      <c r="M68" s="77" t="s">
        <v>204</v>
      </c>
    </row>
    <row r="69" spans="2:21" x14ac:dyDescent="0.25">
      <c r="B69" s="75" t="s">
        <v>210</v>
      </c>
      <c r="C69" s="75" t="s">
        <v>210</v>
      </c>
      <c r="D69" s="75" t="s">
        <v>244</v>
      </c>
      <c r="G69" s="77" t="s">
        <v>204</v>
      </c>
      <c r="H69" s="77" t="s">
        <v>204</v>
      </c>
      <c r="I69" s="77" t="s">
        <v>204</v>
      </c>
      <c r="L69" s="77" t="s">
        <v>204</v>
      </c>
      <c r="N69" s="77" t="s">
        <v>204</v>
      </c>
      <c r="U69" s="6" t="s">
        <v>245</v>
      </c>
    </row>
    <row r="70" spans="2:21" x14ac:dyDescent="0.25">
      <c r="B70" s="75" t="s">
        <v>210</v>
      </c>
      <c r="C70" s="75" t="s">
        <v>210</v>
      </c>
      <c r="D70" s="75" t="s">
        <v>246</v>
      </c>
      <c r="G70" s="77" t="s">
        <v>204</v>
      </c>
      <c r="H70" s="77" t="s">
        <v>204</v>
      </c>
      <c r="I70" s="77" t="s">
        <v>204</v>
      </c>
    </row>
    <row r="71" spans="2:21" x14ac:dyDescent="0.25">
      <c r="B71" s="75" t="s">
        <v>210</v>
      </c>
      <c r="C71" s="75" t="s">
        <v>210</v>
      </c>
      <c r="D71" s="75" t="s">
        <v>247</v>
      </c>
      <c r="G71" s="77" t="s">
        <v>204</v>
      </c>
    </row>
    <row r="72" spans="2:21" x14ac:dyDescent="0.25">
      <c r="B72" s="75" t="s">
        <v>210</v>
      </c>
      <c r="C72" s="75" t="s">
        <v>210</v>
      </c>
      <c r="D72" s="75" t="s">
        <v>248</v>
      </c>
      <c r="J72" s="77" t="s">
        <v>204</v>
      </c>
      <c r="K72" s="77" t="s">
        <v>204</v>
      </c>
      <c r="M72" s="77" t="s">
        <v>204</v>
      </c>
    </row>
    <row r="73" spans="2:21" x14ac:dyDescent="0.25">
      <c r="B73" s="75" t="s">
        <v>210</v>
      </c>
      <c r="C73" s="75" t="s">
        <v>210</v>
      </c>
      <c r="D73" s="75" t="s">
        <v>249</v>
      </c>
      <c r="G73" s="77" t="s">
        <v>204</v>
      </c>
      <c r="H73" s="77" t="s">
        <v>204</v>
      </c>
      <c r="I73" s="77" t="s">
        <v>204</v>
      </c>
      <c r="J73" s="77" t="s">
        <v>204</v>
      </c>
      <c r="K73" s="77" t="s">
        <v>204</v>
      </c>
      <c r="L73" s="77" t="s">
        <v>204</v>
      </c>
      <c r="M73" s="77" t="s">
        <v>204</v>
      </c>
      <c r="N73" s="77" t="s">
        <v>204</v>
      </c>
    </row>
    <row r="74" spans="2:21" x14ac:dyDescent="0.25">
      <c r="B74" s="75" t="s">
        <v>210</v>
      </c>
      <c r="C74" s="75" t="s">
        <v>210</v>
      </c>
      <c r="D74" s="75" t="s">
        <v>250</v>
      </c>
      <c r="J74" s="77" t="s">
        <v>204</v>
      </c>
    </row>
    <row r="75" spans="2:21" x14ac:dyDescent="0.25">
      <c r="B75" s="75" t="s">
        <v>210</v>
      </c>
      <c r="C75" s="75" t="s">
        <v>251</v>
      </c>
      <c r="D75" s="75"/>
      <c r="G75" s="77" t="s">
        <v>204</v>
      </c>
      <c r="H75" s="77" t="s">
        <v>204</v>
      </c>
      <c r="I75" s="77" t="s">
        <v>204</v>
      </c>
      <c r="J75" s="77" t="s">
        <v>204</v>
      </c>
      <c r="K75" s="77" t="s">
        <v>204</v>
      </c>
      <c r="L75" s="77" t="s">
        <v>204</v>
      </c>
      <c r="M75" s="77" t="s">
        <v>204</v>
      </c>
      <c r="N75" s="77" t="s">
        <v>204</v>
      </c>
    </row>
    <row r="76" spans="2:21" x14ac:dyDescent="0.25">
      <c r="B76" s="75" t="s">
        <v>210</v>
      </c>
      <c r="C76" s="75" t="s">
        <v>210</v>
      </c>
      <c r="D76" s="75" t="s">
        <v>252</v>
      </c>
      <c r="J76" s="77" t="s">
        <v>204</v>
      </c>
      <c r="K76" s="77" t="s">
        <v>204</v>
      </c>
    </row>
    <row r="77" spans="2:21" x14ac:dyDescent="0.25">
      <c r="B77" s="75" t="s">
        <v>210</v>
      </c>
      <c r="C77" s="75" t="s">
        <v>210</v>
      </c>
      <c r="D77" s="75" t="s">
        <v>253</v>
      </c>
      <c r="J77" s="77" t="s">
        <v>204</v>
      </c>
      <c r="K77" s="77" t="s">
        <v>204</v>
      </c>
      <c r="N77" s="77" t="s">
        <v>204</v>
      </c>
    </row>
    <row r="78" spans="2:21" x14ac:dyDescent="0.25">
      <c r="B78" s="75" t="s">
        <v>210</v>
      </c>
      <c r="C78" s="75" t="s">
        <v>210</v>
      </c>
      <c r="D78" s="75" t="s">
        <v>254</v>
      </c>
      <c r="J78" s="77" t="s">
        <v>204</v>
      </c>
      <c r="K78" s="77" t="s">
        <v>204</v>
      </c>
    </row>
    <row r="79" spans="2:21" x14ac:dyDescent="0.25">
      <c r="B79" s="75" t="s">
        <v>210</v>
      </c>
      <c r="C79" s="75" t="s">
        <v>210</v>
      </c>
      <c r="D79" s="75" t="s">
        <v>255</v>
      </c>
      <c r="J79" s="77" t="s">
        <v>204</v>
      </c>
      <c r="K79" s="77" t="s">
        <v>204</v>
      </c>
    </row>
    <row r="80" spans="2:21" x14ac:dyDescent="0.25">
      <c r="B80" s="75" t="s">
        <v>210</v>
      </c>
      <c r="C80" s="75" t="s">
        <v>210</v>
      </c>
      <c r="D80" s="75" t="s">
        <v>256</v>
      </c>
      <c r="J80" s="77" t="s">
        <v>204</v>
      </c>
      <c r="K80" s="77" t="s">
        <v>204</v>
      </c>
    </row>
    <row r="81" spans="1:21" x14ac:dyDescent="0.25">
      <c r="B81" s="75" t="s">
        <v>210</v>
      </c>
      <c r="C81" s="75" t="s">
        <v>210</v>
      </c>
      <c r="D81" s="75" t="s">
        <v>257</v>
      </c>
      <c r="J81" s="77" t="s">
        <v>204</v>
      </c>
      <c r="K81" s="77" t="s">
        <v>204</v>
      </c>
    </row>
    <row r="82" spans="1:21" x14ac:dyDescent="0.25">
      <c r="B82" s="75" t="s">
        <v>210</v>
      </c>
      <c r="C82" s="75" t="s">
        <v>210</v>
      </c>
      <c r="D82" s="75" t="s">
        <v>258</v>
      </c>
      <c r="G82" s="77" t="s">
        <v>204</v>
      </c>
      <c r="H82" s="77" t="s">
        <v>204</v>
      </c>
      <c r="I82" s="77" t="s">
        <v>204</v>
      </c>
      <c r="J82" s="77" t="s">
        <v>204</v>
      </c>
      <c r="K82" s="77" t="s">
        <v>204</v>
      </c>
      <c r="M82" s="77" t="s">
        <v>204</v>
      </c>
    </row>
    <row r="83" spans="1:21" x14ac:dyDescent="0.25">
      <c r="B83" s="75" t="s">
        <v>210</v>
      </c>
      <c r="C83" s="75" t="s">
        <v>259</v>
      </c>
      <c r="D83" s="75"/>
      <c r="G83" s="77" t="s">
        <v>204</v>
      </c>
      <c r="H83" s="77" t="s">
        <v>204</v>
      </c>
      <c r="I83" s="77" t="s">
        <v>204</v>
      </c>
      <c r="J83" s="77" t="s">
        <v>204</v>
      </c>
      <c r="K83" s="77" t="s">
        <v>204</v>
      </c>
      <c r="L83" s="77" t="s">
        <v>204</v>
      </c>
      <c r="M83" s="77" t="s">
        <v>204</v>
      </c>
      <c r="N83" s="77" t="s">
        <v>204</v>
      </c>
    </row>
    <row r="84" spans="1:21" x14ac:dyDescent="0.25">
      <c r="B84" s="75" t="s">
        <v>210</v>
      </c>
      <c r="C84" s="75" t="s">
        <v>210</v>
      </c>
      <c r="D84" s="75" t="s">
        <v>260</v>
      </c>
      <c r="G84" s="77" t="s">
        <v>204</v>
      </c>
      <c r="H84" s="77" t="s">
        <v>204</v>
      </c>
      <c r="I84" s="77" t="s">
        <v>204</v>
      </c>
    </row>
    <row r="85" spans="1:21" x14ac:dyDescent="0.25">
      <c r="B85" s="75" t="s">
        <v>210</v>
      </c>
      <c r="C85" s="75" t="s">
        <v>210</v>
      </c>
      <c r="D85" s="75" t="s">
        <v>261</v>
      </c>
      <c r="G85" s="77" t="s">
        <v>204</v>
      </c>
      <c r="M85" s="77" t="s">
        <v>204</v>
      </c>
      <c r="N85" s="77" t="s">
        <v>204</v>
      </c>
    </row>
    <row r="86" spans="1:21" x14ac:dyDescent="0.25">
      <c r="B86" s="75" t="s">
        <v>210</v>
      </c>
      <c r="C86" s="75" t="s">
        <v>210</v>
      </c>
      <c r="D86" s="75" t="s">
        <v>262</v>
      </c>
      <c r="H86" s="77" t="s">
        <v>204</v>
      </c>
      <c r="I86" s="77" t="s">
        <v>204</v>
      </c>
    </row>
    <row r="87" spans="1:21" x14ac:dyDescent="0.25">
      <c r="B87" s="75" t="s">
        <v>210</v>
      </c>
      <c r="C87" s="75" t="s">
        <v>210</v>
      </c>
      <c r="D87" s="75" t="s">
        <v>263</v>
      </c>
      <c r="G87" s="77" t="s">
        <v>204</v>
      </c>
      <c r="H87" s="77" t="s">
        <v>204</v>
      </c>
      <c r="I87" s="77" t="s">
        <v>204</v>
      </c>
    </row>
    <row r="88" spans="1:21" x14ac:dyDescent="0.25">
      <c r="B88" s="75" t="s">
        <v>210</v>
      </c>
      <c r="C88" s="75" t="s">
        <v>210</v>
      </c>
      <c r="D88" s="75" t="s">
        <v>264</v>
      </c>
      <c r="L88" s="77" t="s">
        <v>204</v>
      </c>
    </row>
    <row r="89" spans="1:21" x14ac:dyDescent="0.25">
      <c r="B89" s="75" t="s">
        <v>210</v>
      </c>
      <c r="C89" s="75" t="s">
        <v>210</v>
      </c>
      <c r="D89" s="75" t="s">
        <v>265</v>
      </c>
      <c r="G89" s="77" t="s">
        <v>204</v>
      </c>
      <c r="H89" s="77" t="s">
        <v>204</v>
      </c>
      <c r="I89" s="77" t="s">
        <v>204</v>
      </c>
      <c r="L89" s="77" t="s">
        <v>204</v>
      </c>
      <c r="M89" s="77" t="s">
        <v>204</v>
      </c>
    </row>
    <row r="90" spans="1:21" x14ac:dyDescent="0.25">
      <c r="B90" s="75" t="s">
        <v>210</v>
      </c>
      <c r="C90" s="75" t="s">
        <v>210</v>
      </c>
      <c r="D90" s="75" t="s">
        <v>266</v>
      </c>
      <c r="G90" s="77" t="s">
        <v>204</v>
      </c>
      <c r="H90" s="77" t="s">
        <v>204</v>
      </c>
      <c r="I90" s="77" t="s">
        <v>204</v>
      </c>
      <c r="M90" s="77" t="s">
        <v>204</v>
      </c>
    </row>
    <row r="91" spans="1:21" x14ac:dyDescent="0.25">
      <c r="B91" s="75" t="s">
        <v>210</v>
      </c>
      <c r="C91" s="75" t="s">
        <v>210</v>
      </c>
      <c r="D91" s="75" t="s">
        <v>267</v>
      </c>
      <c r="G91" s="77" t="s">
        <v>204</v>
      </c>
      <c r="H91" s="77" t="s">
        <v>204</v>
      </c>
      <c r="I91" s="77" t="s">
        <v>204</v>
      </c>
      <c r="M91" s="77" t="s">
        <v>204</v>
      </c>
    </row>
    <row r="92" spans="1:21" x14ac:dyDescent="0.25">
      <c r="B92" s="75" t="s">
        <v>210</v>
      </c>
      <c r="C92" s="75" t="s">
        <v>210</v>
      </c>
      <c r="D92" s="75" t="s">
        <v>268</v>
      </c>
      <c r="N92" s="77" t="s">
        <v>204</v>
      </c>
      <c r="U92" s="6" t="s">
        <v>269</v>
      </c>
    </row>
    <row r="93" spans="1:21" x14ac:dyDescent="0.25">
      <c r="B93" s="75" t="s">
        <v>210</v>
      </c>
      <c r="C93" s="75" t="s">
        <v>210</v>
      </c>
      <c r="D93" s="75" t="s">
        <v>270</v>
      </c>
      <c r="M93" s="77" t="s">
        <v>204</v>
      </c>
    </row>
    <row r="94" spans="1:21" x14ac:dyDescent="0.25">
      <c r="B94" s="75" t="s">
        <v>220</v>
      </c>
      <c r="C94" s="75"/>
      <c r="D94" s="75"/>
      <c r="G94" s="77" t="s">
        <v>204</v>
      </c>
      <c r="H94" s="77" t="s">
        <v>204</v>
      </c>
      <c r="I94" s="77" t="s">
        <v>204</v>
      </c>
      <c r="J94" s="77" t="s">
        <v>204</v>
      </c>
      <c r="K94" s="77" t="s">
        <v>204</v>
      </c>
      <c r="L94" s="77" t="s">
        <v>204</v>
      </c>
      <c r="M94" s="77" t="s">
        <v>204</v>
      </c>
      <c r="N94" s="77" t="s">
        <v>204</v>
      </c>
    </row>
    <row r="95" spans="1:21" ht="15.75" thickBot="1" x14ac:dyDescent="0.3"/>
    <row r="96" spans="1:21" ht="18" thickTop="1" x14ac:dyDescent="0.25">
      <c r="A96" s="3" t="s">
        <v>44</v>
      </c>
      <c r="B96" s="3"/>
      <c r="C96" s="3"/>
      <c r="D96" s="3"/>
      <c r="E96" s="3"/>
      <c r="F96" s="3"/>
      <c r="G96" s="78"/>
      <c r="H96" s="78"/>
      <c r="I96" s="78"/>
      <c r="J96" s="78"/>
      <c r="K96" s="78"/>
      <c r="L96" s="78"/>
      <c r="M96" s="78"/>
      <c r="N96" s="78"/>
      <c r="O96" s="78"/>
      <c r="P96" s="78"/>
      <c r="Q96" s="78"/>
      <c r="R96" s="78"/>
      <c r="S96" s="78"/>
      <c r="T96" s="78"/>
      <c r="U96" s="82"/>
    </row>
    <row r="97" spans="1:21" ht="223.5" x14ac:dyDescent="0.25">
      <c r="G97" s="79" t="s">
        <v>122</v>
      </c>
      <c r="H97" s="79" t="s">
        <v>125</v>
      </c>
      <c r="I97" s="79" t="s">
        <v>129</v>
      </c>
      <c r="J97" s="79" t="s">
        <v>131</v>
      </c>
      <c r="K97" s="79" t="s">
        <v>133</v>
      </c>
      <c r="L97" s="79" t="s">
        <v>136</v>
      </c>
      <c r="M97" s="79"/>
      <c r="N97" s="79"/>
      <c r="O97" s="79"/>
      <c r="P97" s="79"/>
      <c r="Q97" s="79"/>
      <c r="R97" s="79"/>
      <c r="S97" s="79"/>
      <c r="T97" s="79"/>
      <c r="U97" s="8" t="s">
        <v>271</v>
      </c>
    </row>
    <row r="98" spans="1:21" x14ac:dyDescent="0.25">
      <c r="A98" s="65" t="s">
        <v>203</v>
      </c>
      <c r="G98" s="77" t="s">
        <v>204</v>
      </c>
      <c r="H98" s="77" t="s">
        <v>204</v>
      </c>
      <c r="I98" s="77" t="s">
        <v>204</v>
      </c>
      <c r="J98" s="77" t="s">
        <v>204</v>
      </c>
      <c r="K98" s="77" t="s">
        <v>204</v>
      </c>
      <c r="L98" s="77" t="s">
        <v>204</v>
      </c>
      <c r="O98" s="79"/>
      <c r="P98" s="79"/>
      <c r="Q98" s="79"/>
      <c r="R98" s="79"/>
      <c r="S98" s="79"/>
      <c r="T98" s="79"/>
    </row>
    <row r="99" spans="1:21" x14ac:dyDescent="0.25">
      <c r="A99" s="65" t="s">
        <v>205</v>
      </c>
      <c r="G99" s="77" t="s">
        <v>204</v>
      </c>
      <c r="H99" s="77" t="s">
        <v>204</v>
      </c>
      <c r="I99" s="77" t="s">
        <v>204</v>
      </c>
      <c r="J99" s="77" t="s">
        <v>204</v>
      </c>
      <c r="K99" s="77" t="s">
        <v>204</v>
      </c>
      <c r="L99" s="77" t="s">
        <v>204</v>
      </c>
      <c r="O99" s="79"/>
      <c r="P99" s="79"/>
      <c r="Q99" s="79"/>
      <c r="R99" s="79"/>
      <c r="S99" s="79"/>
      <c r="T99" s="79"/>
    </row>
    <row r="100" spans="1:21" x14ac:dyDescent="0.25">
      <c r="A100" s="65"/>
      <c r="B100" t="s">
        <v>272</v>
      </c>
      <c r="C100" s="75"/>
      <c r="G100" s="77" t="s">
        <v>204</v>
      </c>
      <c r="H100" s="77" t="s">
        <v>204</v>
      </c>
      <c r="I100" s="77" t="s">
        <v>204</v>
      </c>
      <c r="J100" s="77" t="s">
        <v>204</v>
      </c>
      <c r="K100" s="77" t="s">
        <v>204</v>
      </c>
      <c r="O100" s="79"/>
      <c r="P100" s="79"/>
      <c r="Q100" s="79"/>
      <c r="R100" s="79"/>
      <c r="S100" s="79"/>
      <c r="T100" s="79"/>
    </row>
    <row r="101" spans="1:21" x14ac:dyDescent="0.25">
      <c r="A101" s="65"/>
      <c r="B101" t="s">
        <v>206</v>
      </c>
      <c r="G101" s="77" t="s">
        <v>204</v>
      </c>
      <c r="H101" s="77" t="s">
        <v>204</v>
      </c>
      <c r="I101" s="77" t="s">
        <v>204</v>
      </c>
      <c r="J101" s="77" t="s">
        <v>204</v>
      </c>
      <c r="K101" s="77" t="s">
        <v>204</v>
      </c>
      <c r="L101" s="77" t="s">
        <v>204</v>
      </c>
      <c r="O101" s="79"/>
      <c r="P101" s="79"/>
      <c r="Q101" s="79"/>
      <c r="R101" s="79"/>
      <c r="S101" s="79"/>
      <c r="T101" s="79"/>
    </row>
    <row r="102" spans="1:21" x14ac:dyDescent="0.25">
      <c r="A102" s="65"/>
      <c r="B102" t="s">
        <v>273</v>
      </c>
      <c r="G102" s="77" t="s">
        <v>204</v>
      </c>
      <c r="I102" s="77" t="s">
        <v>204</v>
      </c>
      <c r="O102" s="79"/>
      <c r="P102" s="79"/>
      <c r="Q102" s="79"/>
      <c r="R102" s="79"/>
      <c r="S102" s="79"/>
      <c r="T102" s="79"/>
    </row>
    <row r="103" spans="1:21" x14ac:dyDescent="0.25">
      <c r="A103" s="65"/>
      <c r="B103" t="s">
        <v>274</v>
      </c>
      <c r="K103" s="77" t="s">
        <v>204</v>
      </c>
      <c r="L103" s="77" t="s">
        <v>204</v>
      </c>
      <c r="O103" s="79"/>
      <c r="P103" s="79"/>
      <c r="Q103" s="79"/>
      <c r="R103" s="79"/>
      <c r="S103" s="79"/>
      <c r="T103" s="79"/>
    </row>
    <row r="104" spans="1:21" x14ac:dyDescent="0.25">
      <c r="A104" s="65"/>
      <c r="B104" t="s">
        <v>275</v>
      </c>
      <c r="G104" s="77" t="s">
        <v>204</v>
      </c>
      <c r="H104" s="77" t="s">
        <v>204</v>
      </c>
      <c r="I104" s="77" t="s">
        <v>204</v>
      </c>
      <c r="J104" s="77" t="s">
        <v>204</v>
      </c>
      <c r="K104" s="77" t="s">
        <v>204</v>
      </c>
      <c r="L104" s="77" t="s">
        <v>204</v>
      </c>
      <c r="O104" s="79"/>
      <c r="P104" s="79"/>
      <c r="Q104" s="79"/>
      <c r="R104" s="79"/>
      <c r="S104" s="79"/>
      <c r="T104" s="79"/>
    </row>
    <row r="105" spans="1:21" x14ac:dyDescent="0.25">
      <c r="A105" s="65"/>
      <c r="B105" t="s">
        <v>276</v>
      </c>
      <c r="G105" s="77" t="s">
        <v>204</v>
      </c>
      <c r="H105" s="77" t="s">
        <v>204</v>
      </c>
      <c r="I105" s="77" t="s">
        <v>204</v>
      </c>
      <c r="J105" s="77" t="s">
        <v>204</v>
      </c>
      <c r="K105" s="77" t="s">
        <v>204</v>
      </c>
      <c r="L105" s="77" t="s">
        <v>204</v>
      </c>
      <c r="O105" s="79"/>
      <c r="P105" s="79"/>
      <c r="Q105" s="79"/>
      <c r="R105" s="79"/>
      <c r="S105" s="79"/>
      <c r="T105" s="79"/>
    </row>
    <row r="106" spans="1:21" x14ac:dyDescent="0.25">
      <c r="A106" s="65" t="s">
        <v>277</v>
      </c>
      <c r="G106" s="77" t="s">
        <v>204</v>
      </c>
      <c r="H106" s="77" t="s">
        <v>204</v>
      </c>
      <c r="I106" s="77" t="s">
        <v>204</v>
      </c>
      <c r="J106" s="77" t="s">
        <v>204</v>
      </c>
      <c r="K106" s="77" t="s">
        <v>204</v>
      </c>
      <c r="L106" s="77" t="s">
        <v>204</v>
      </c>
      <c r="O106" s="79"/>
      <c r="P106" s="79"/>
      <c r="Q106" s="79"/>
      <c r="R106" s="79"/>
      <c r="S106" s="79"/>
      <c r="T106" s="79"/>
    </row>
    <row r="107" spans="1:21" x14ac:dyDescent="0.25">
      <c r="B107" s="75" t="s">
        <v>209</v>
      </c>
      <c r="C107" s="75"/>
      <c r="D107" s="75"/>
      <c r="E107" s="75"/>
      <c r="G107" s="77" t="s">
        <v>204</v>
      </c>
      <c r="H107" s="77" t="s">
        <v>204</v>
      </c>
      <c r="I107" s="77" t="s">
        <v>204</v>
      </c>
      <c r="J107" s="77" t="s">
        <v>204</v>
      </c>
      <c r="K107" s="77" t="s">
        <v>204</v>
      </c>
      <c r="L107" s="77" t="s">
        <v>204</v>
      </c>
    </row>
    <row r="108" spans="1:21" x14ac:dyDescent="0.25">
      <c r="B108" s="75" t="s">
        <v>210</v>
      </c>
      <c r="C108" s="75" t="s">
        <v>211</v>
      </c>
      <c r="D108" s="75"/>
      <c r="E108" s="75"/>
      <c r="G108" s="77" t="s">
        <v>204</v>
      </c>
      <c r="H108" s="77" t="s">
        <v>204</v>
      </c>
      <c r="I108" s="77" t="s">
        <v>204</v>
      </c>
      <c r="J108" s="77" t="s">
        <v>204</v>
      </c>
      <c r="K108" s="77" t="s">
        <v>204</v>
      </c>
      <c r="L108" s="77" t="s">
        <v>204</v>
      </c>
    </row>
    <row r="109" spans="1:21" x14ac:dyDescent="0.25">
      <c r="B109" s="75" t="s">
        <v>234</v>
      </c>
      <c r="C109" s="75"/>
      <c r="D109" s="75"/>
      <c r="E109" s="75"/>
      <c r="G109" s="77" t="s">
        <v>204</v>
      </c>
      <c r="H109" s="77" t="s">
        <v>204</v>
      </c>
      <c r="I109" s="77" t="s">
        <v>204</v>
      </c>
      <c r="J109" s="77" t="s">
        <v>204</v>
      </c>
      <c r="K109" s="77" t="s">
        <v>204</v>
      </c>
      <c r="L109" s="77" t="s">
        <v>204</v>
      </c>
    </row>
    <row r="110" spans="1:21" x14ac:dyDescent="0.25">
      <c r="B110" s="75" t="s">
        <v>213</v>
      </c>
      <c r="C110" s="75"/>
      <c r="D110" s="75"/>
      <c r="E110" s="75"/>
      <c r="G110" s="77" t="s">
        <v>204</v>
      </c>
      <c r="H110" s="77" t="s">
        <v>204</v>
      </c>
      <c r="I110" s="77" t="s">
        <v>204</v>
      </c>
      <c r="J110" s="77" t="s">
        <v>204</v>
      </c>
      <c r="K110" s="77" t="s">
        <v>204</v>
      </c>
      <c r="L110" s="77" t="s">
        <v>204</v>
      </c>
    </row>
    <row r="111" spans="1:21" x14ac:dyDescent="0.25">
      <c r="B111" s="75" t="s">
        <v>210</v>
      </c>
      <c r="C111" s="75" t="s">
        <v>222</v>
      </c>
      <c r="D111" s="75"/>
      <c r="E111" s="75"/>
      <c r="G111" s="77" t="s">
        <v>204</v>
      </c>
      <c r="H111" s="77" t="s">
        <v>204</v>
      </c>
      <c r="I111" s="77" t="s">
        <v>204</v>
      </c>
      <c r="J111" s="77" t="s">
        <v>204</v>
      </c>
      <c r="K111" s="77" t="s">
        <v>204</v>
      </c>
      <c r="L111" s="77" t="s">
        <v>204</v>
      </c>
    </row>
    <row r="112" spans="1:21" x14ac:dyDescent="0.25">
      <c r="B112" s="75" t="s">
        <v>210</v>
      </c>
      <c r="C112" s="75" t="s">
        <v>278</v>
      </c>
      <c r="D112" s="75"/>
      <c r="E112" s="75"/>
      <c r="G112" s="77" t="s">
        <v>204</v>
      </c>
    </row>
    <row r="113" spans="2:12" x14ac:dyDescent="0.25">
      <c r="B113" s="75" t="s">
        <v>210</v>
      </c>
      <c r="C113" s="75" t="s">
        <v>279</v>
      </c>
      <c r="D113" s="75"/>
      <c r="E113" s="75"/>
      <c r="G113" s="77" t="s">
        <v>204</v>
      </c>
    </row>
    <row r="114" spans="2:12" x14ac:dyDescent="0.25">
      <c r="B114" s="75" t="s">
        <v>210</v>
      </c>
      <c r="C114" s="75" t="s">
        <v>210</v>
      </c>
      <c r="D114" s="75" t="s">
        <v>280</v>
      </c>
      <c r="E114" s="75"/>
      <c r="G114" s="77" t="s">
        <v>204</v>
      </c>
    </row>
    <row r="115" spans="2:12" x14ac:dyDescent="0.25">
      <c r="B115" s="75" t="s">
        <v>210</v>
      </c>
      <c r="C115" s="75" t="s">
        <v>210</v>
      </c>
      <c r="D115" s="75" t="s">
        <v>281</v>
      </c>
      <c r="E115" s="75"/>
      <c r="G115" s="77" t="s">
        <v>204</v>
      </c>
    </row>
    <row r="116" spans="2:12" x14ac:dyDescent="0.25">
      <c r="B116" s="75" t="s">
        <v>210</v>
      </c>
      <c r="C116" s="75" t="s">
        <v>210</v>
      </c>
      <c r="D116" s="75" t="s">
        <v>282</v>
      </c>
      <c r="E116" s="75"/>
      <c r="G116" s="77" t="s">
        <v>204</v>
      </c>
    </row>
    <row r="117" spans="2:12" x14ac:dyDescent="0.25">
      <c r="B117" s="75" t="s">
        <v>210</v>
      </c>
      <c r="C117" s="75" t="s">
        <v>210</v>
      </c>
      <c r="D117" s="75" t="s">
        <v>283</v>
      </c>
      <c r="E117" s="75"/>
      <c r="G117" s="77" t="s">
        <v>204</v>
      </c>
    </row>
    <row r="118" spans="2:12" x14ac:dyDescent="0.25">
      <c r="B118" s="75" t="s">
        <v>210</v>
      </c>
      <c r="C118" s="75" t="s">
        <v>210</v>
      </c>
      <c r="D118" s="75" t="s">
        <v>284</v>
      </c>
      <c r="E118" s="75"/>
      <c r="G118" s="77" t="s">
        <v>204</v>
      </c>
      <c r="H118" s="77" t="s">
        <v>204</v>
      </c>
    </row>
    <row r="119" spans="2:12" x14ac:dyDescent="0.25">
      <c r="B119" s="75" t="s">
        <v>210</v>
      </c>
      <c r="C119" s="75" t="s">
        <v>210</v>
      </c>
      <c r="D119" s="75" t="s">
        <v>285</v>
      </c>
      <c r="E119" s="75"/>
      <c r="G119" s="77" t="s">
        <v>204</v>
      </c>
      <c r="H119" s="77" t="s">
        <v>204</v>
      </c>
      <c r="I119" s="77" t="s">
        <v>204</v>
      </c>
      <c r="J119" s="77" t="s">
        <v>204</v>
      </c>
      <c r="K119" s="77" t="s">
        <v>204</v>
      </c>
      <c r="L119" s="77" t="s">
        <v>204</v>
      </c>
    </row>
    <row r="120" spans="2:12" x14ac:dyDescent="0.25">
      <c r="B120" s="75" t="s">
        <v>210</v>
      </c>
      <c r="C120" s="75" t="s">
        <v>286</v>
      </c>
      <c r="D120" s="75"/>
      <c r="E120" s="75"/>
      <c r="G120" s="77" t="s">
        <v>204</v>
      </c>
      <c r="H120" s="77" t="s">
        <v>204</v>
      </c>
    </row>
    <row r="121" spans="2:12" x14ac:dyDescent="0.25">
      <c r="B121" s="75" t="s">
        <v>210</v>
      </c>
      <c r="C121" s="75" t="s">
        <v>287</v>
      </c>
      <c r="D121" s="75"/>
      <c r="E121" s="75"/>
      <c r="G121" s="77" t="s">
        <v>204</v>
      </c>
    </row>
    <row r="122" spans="2:12" x14ac:dyDescent="0.25">
      <c r="B122" s="75" t="s">
        <v>210</v>
      </c>
      <c r="C122" s="75" t="s">
        <v>210</v>
      </c>
      <c r="D122" s="75" t="s">
        <v>288</v>
      </c>
      <c r="E122" s="75"/>
      <c r="G122" s="77" t="s">
        <v>204</v>
      </c>
    </row>
    <row r="123" spans="2:12" x14ac:dyDescent="0.25">
      <c r="B123" s="75" t="s">
        <v>210</v>
      </c>
      <c r="C123" s="75" t="s">
        <v>210</v>
      </c>
      <c r="D123" s="75" t="s">
        <v>289</v>
      </c>
      <c r="E123" s="75"/>
      <c r="G123" s="77" t="s">
        <v>204</v>
      </c>
    </row>
    <row r="124" spans="2:12" x14ac:dyDescent="0.25">
      <c r="B124" s="75" t="s">
        <v>210</v>
      </c>
      <c r="C124" s="75" t="s">
        <v>210</v>
      </c>
      <c r="D124" s="75" t="s">
        <v>290</v>
      </c>
      <c r="E124" s="75"/>
      <c r="G124" s="77" t="s">
        <v>204</v>
      </c>
    </row>
    <row r="125" spans="2:12" x14ac:dyDescent="0.25">
      <c r="B125" s="75" t="s">
        <v>210</v>
      </c>
      <c r="C125" s="75" t="s">
        <v>210</v>
      </c>
      <c r="D125" s="75" t="s">
        <v>291</v>
      </c>
      <c r="E125" s="75"/>
      <c r="G125" s="77" t="s">
        <v>204</v>
      </c>
    </row>
    <row r="126" spans="2:12" x14ac:dyDescent="0.25">
      <c r="B126" s="75" t="s">
        <v>210</v>
      </c>
      <c r="C126" s="75" t="s">
        <v>210</v>
      </c>
      <c r="D126" s="75" t="s">
        <v>292</v>
      </c>
      <c r="E126" s="75"/>
      <c r="G126" s="77" t="s">
        <v>204</v>
      </c>
    </row>
    <row r="127" spans="2:12" x14ac:dyDescent="0.25">
      <c r="B127" s="75" t="s">
        <v>210</v>
      </c>
      <c r="C127" s="75" t="s">
        <v>210</v>
      </c>
      <c r="D127" s="75" t="s">
        <v>293</v>
      </c>
      <c r="E127" s="75"/>
      <c r="G127" s="77" t="s">
        <v>204</v>
      </c>
    </row>
    <row r="128" spans="2:12" x14ac:dyDescent="0.25">
      <c r="B128" s="75" t="s">
        <v>210</v>
      </c>
      <c r="C128" s="75" t="s">
        <v>210</v>
      </c>
      <c r="D128" s="75" t="s">
        <v>294</v>
      </c>
      <c r="E128" s="75"/>
      <c r="G128" s="77" t="s">
        <v>204</v>
      </c>
    </row>
    <row r="129" spans="1:21" x14ac:dyDescent="0.25">
      <c r="B129" s="75" t="s">
        <v>210</v>
      </c>
      <c r="C129" s="75" t="s">
        <v>210</v>
      </c>
      <c r="D129" s="75" t="s">
        <v>295</v>
      </c>
      <c r="E129" s="75"/>
      <c r="G129" s="77" t="s">
        <v>204</v>
      </c>
    </row>
    <row r="130" spans="1:21" x14ac:dyDescent="0.25">
      <c r="B130" s="75" t="s">
        <v>210</v>
      </c>
      <c r="C130" s="75" t="s">
        <v>210</v>
      </c>
      <c r="D130" s="75" t="s">
        <v>296</v>
      </c>
      <c r="E130" s="75"/>
      <c r="G130" s="77" t="s">
        <v>204</v>
      </c>
    </row>
    <row r="131" spans="1:21" x14ac:dyDescent="0.25">
      <c r="B131" s="75" t="s">
        <v>210</v>
      </c>
      <c r="C131" s="75" t="s">
        <v>210</v>
      </c>
      <c r="D131" s="75" t="s">
        <v>297</v>
      </c>
      <c r="E131" s="75"/>
      <c r="G131" s="77" t="s">
        <v>204</v>
      </c>
    </row>
    <row r="132" spans="1:21" x14ac:dyDescent="0.25">
      <c r="B132" s="75" t="s">
        <v>210</v>
      </c>
      <c r="C132" s="75"/>
      <c r="D132" s="75" t="s">
        <v>298</v>
      </c>
      <c r="E132" s="75"/>
      <c r="G132" s="77" t="s">
        <v>204</v>
      </c>
    </row>
    <row r="133" spans="1:21" x14ac:dyDescent="0.25">
      <c r="B133" s="75" t="s">
        <v>210</v>
      </c>
      <c r="C133" s="75" t="s">
        <v>299</v>
      </c>
      <c r="D133" s="75"/>
      <c r="E133" s="75"/>
      <c r="G133" s="77" t="s">
        <v>204</v>
      </c>
      <c r="H133" s="77" t="s">
        <v>204</v>
      </c>
    </row>
    <row r="134" spans="1:21" x14ac:dyDescent="0.25">
      <c r="B134" s="75" t="s">
        <v>210</v>
      </c>
      <c r="C134" s="75" t="s">
        <v>300</v>
      </c>
      <c r="D134" s="75"/>
      <c r="E134" s="75"/>
      <c r="I134" s="77" t="s">
        <v>204</v>
      </c>
      <c r="J134" s="77" t="s">
        <v>204</v>
      </c>
      <c r="K134" s="77" t="s">
        <v>204</v>
      </c>
    </row>
    <row r="135" spans="1:21" x14ac:dyDescent="0.25">
      <c r="B135" s="75" t="s">
        <v>210</v>
      </c>
      <c r="C135" s="75" t="s">
        <v>210</v>
      </c>
      <c r="D135" s="75" t="s">
        <v>301</v>
      </c>
      <c r="E135" s="75"/>
      <c r="I135" s="77" t="s">
        <v>204</v>
      </c>
      <c r="J135" s="77" t="s">
        <v>204</v>
      </c>
      <c r="K135" s="77" t="s">
        <v>204</v>
      </c>
    </row>
    <row r="136" spans="1:21" x14ac:dyDescent="0.25">
      <c r="B136" s="75"/>
      <c r="C136" s="75"/>
      <c r="D136" s="75"/>
      <c r="E136" s="75" t="s">
        <v>302</v>
      </c>
      <c r="I136" s="77" t="s">
        <v>204</v>
      </c>
      <c r="J136" s="77" t="s">
        <v>204</v>
      </c>
    </row>
    <row r="137" spans="1:21" x14ac:dyDescent="0.25">
      <c r="B137" s="75" t="s">
        <v>210</v>
      </c>
      <c r="C137" s="75" t="s">
        <v>210</v>
      </c>
      <c r="D137" s="75" t="s">
        <v>303</v>
      </c>
      <c r="E137" s="75"/>
      <c r="I137" s="77" t="s">
        <v>204</v>
      </c>
      <c r="J137" s="77" t="s">
        <v>204</v>
      </c>
    </row>
    <row r="138" spans="1:21" x14ac:dyDescent="0.25">
      <c r="B138" s="75" t="s">
        <v>210</v>
      </c>
      <c r="C138" s="75" t="s">
        <v>304</v>
      </c>
      <c r="D138" s="75"/>
      <c r="E138" s="75"/>
      <c r="L138" s="77" t="s">
        <v>204</v>
      </c>
    </row>
    <row r="139" spans="1:21" x14ac:dyDescent="0.25">
      <c r="B139" s="75" t="s">
        <v>220</v>
      </c>
      <c r="C139" s="75"/>
      <c r="D139" s="75"/>
      <c r="E139" s="75"/>
      <c r="G139" s="77" t="s">
        <v>204</v>
      </c>
      <c r="H139" s="77" t="s">
        <v>204</v>
      </c>
      <c r="I139" s="77" t="s">
        <v>204</v>
      </c>
      <c r="J139" s="77" t="s">
        <v>204</v>
      </c>
      <c r="K139" s="77" t="s">
        <v>204</v>
      </c>
      <c r="L139" s="77" t="s">
        <v>204</v>
      </c>
    </row>
    <row r="140" spans="1:21" ht="15.75" thickBot="1" x14ac:dyDescent="0.3">
      <c r="B140" s="75"/>
      <c r="C140" s="75"/>
      <c r="D140" s="75"/>
      <c r="E140" s="75"/>
    </row>
    <row r="141" spans="1:21" ht="18" thickTop="1" x14ac:dyDescent="0.25">
      <c r="A141" s="3" t="s">
        <v>45</v>
      </c>
      <c r="B141" s="3"/>
      <c r="C141" s="3"/>
      <c r="D141" s="3"/>
      <c r="E141" s="3"/>
      <c r="F141" s="3"/>
      <c r="G141" s="78"/>
      <c r="H141" s="78"/>
      <c r="I141" s="78"/>
      <c r="J141" s="78"/>
      <c r="K141" s="78"/>
      <c r="L141" s="78"/>
      <c r="M141" s="78"/>
      <c r="N141" s="78"/>
      <c r="O141" s="78"/>
      <c r="P141" s="78"/>
      <c r="Q141" s="78"/>
      <c r="R141" s="78"/>
      <c r="S141" s="78"/>
      <c r="T141" s="78"/>
      <c r="U141" s="82"/>
    </row>
    <row r="142" spans="1:21" ht="223.5" x14ac:dyDescent="0.25">
      <c r="G142" s="79" t="s">
        <v>138</v>
      </c>
      <c r="H142" s="79" t="s">
        <v>125</v>
      </c>
      <c r="I142" s="79" t="s">
        <v>129</v>
      </c>
      <c r="J142" s="79" t="s">
        <v>131</v>
      </c>
      <c r="K142" s="79" t="s">
        <v>133</v>
      </c>
      <c r="L142" s="79" t="s">
        <v>136</v>
      </c>
      <c r="M142" s="79" t="s">
        <v>142</v>
      </c>
      <c r="N142" s="79" t="s">
        <v>145</v>
      </c>
      <c r="O142" s="79" t="s">
        <v>148</v>
      </c>
      <c r="P142" s="79" t="s">
        <v>149</v>
      </c>
      <c r="Q142" s="79" t="s">
        <v>150</v>
      </c>
      <c r="R142" s="79" t="s">
        <v>151</v>
      </c>
      <c r="S142" s="79" t="s">
        <v>152</v>
      </c>
      <c r="T142" s="79" t="s">
        <v>305</v>
      </c>
    </row>
    <row r="143" spans="1:21" x14ac:dyDescent="0.25">
      <c r="A143" s="65" t="s">
        <v>203</v>
      </c>
      <c r="G143" s="77" t="s">
        <v>204</v>
      </c>
      <c r="H143" s="77" t="s">
        <v>204</v>
      </c>
      <c r="I143" s="77" t="s">
        <v>204</v>
      </c>
      <c r="J143" s="77" t="s">
        <v>204</v>
      </c>
      <c r="K143" s="77" t="s">
        <v>204</v>
      </c>
      <c r="L143" s="77" t="s">
        <v>204</v>
      </c>
      <c r="M143" s="77" t="s">
        <v>204</v>
      </c>
      <c r="N143" s="77" t="s">
        <v>204</v>
      </c>
      <c r="O143" s="77" t="s">
        <v>204</v>
      </c>
      <c r="P143" s="77" t="s">
        <v>204</v>
      </c>
      <c r="Q143" s="77" t="s">
        <v>204</v>
      </c>
      <c r="R143" s="77" t="s">
        <v>204</v>
      </c>
      <c r="S143" s="77" t="s">
        <v>204</v>
      </c>
      <c r="T143" s="77" t="s">
        <v>204</v>
      </c>
    </row>
    <row r="144" spans="1:21" x14ac:dyDescent="0.25">
      <c r="A144" s="65" t="s">
        <v>205</v>
      </c>
      <c r="G144" s="77" t="s">
        <v>204</v>
      </c>
      <c r="H144" s="77" t="s">
        <v>204</v>
      </c>
      <c r="I144" s="77" t="s">
        <v>204</v>
      </c>
      <c r="J144" s="77" t="s">
        <v>204</v>
      </c>
      <c r="K144" s="77" t="s">
        <v>204</v>
      </c>
      <c r="L144" s="77" t="s">
        <v>204</v>
      </c>
      <c r="M144" s="77" t="s">
        <v>204</v>
      </c>
      <c r="N144" s="77" t="s">
        <v>204</v>
      </c>
      <c r="O144" s="77" t="s">
        <v>204</v>
      </c>
      <c r="P144" s="77" t="s">
        <v>204</v>
      </c>
      <c r="Q144" s="77" t="s">
        <v>204</v>
      </c>
      <c r="R144" s="77" t="s">
        <v>204</v>
      </c>
      <c r="S144" s="77" t="s">
        <v>204</v>
      </c>
      <c r="T144" s="77" t="s">
        <v>204</v>
      </c>
    </row>
    <row r="145" spans="1:20" x14ac:dyDescent="0.25">
      <c r="A145" s="65"/>
      <c r="B145" t="s">
        <v>272</v>
      </c>
      <c r="C145" s="75"/>
      <c r="G145" s="77" t="s">
        <v>204</v>
      </c>
      <c r="H145" s="77" t="s">
        <v>204</v>
      </c>
      <c r="I145" s="77" t="s">
        <v>204</v>
      </c>
      <c r="J145" s="77" t="s">
        <v>204</v>
      </c>
      <c r="K145" s="77" t="s">
        <v>204</v>
      </c>
    </row>
    <row r="146" spans="1:20" x14ac:dyDescent="0.25">
      <c r="A146" s="65"/>
      <c r="B146" t="s">
        <v>206</v>
      </c>
      <c r="G146" s="77" t="s">
        <v>204</v>
      </c>
      <c r="H146" s="77" t="s">
        <v>204</v>
      </c>
      <c r="I146" s="77" t="s">
        <v>204</v>
      </c>
      <c r="J146" s="77" t="s">
        <v>204</v>
      </c>
      <c r="K146" s="77" t="s">
        <v>204</v>
      </c>
      <c r="L146" s="77" t="s">
        <v>204</v>
      </c>
      <c r="M146" s="77" t="s">
        <v>204</v>
      </c>
      <c r="N146" s="77" t="s">
        <v>204</v>
      </c>
      <c r="O146" s="77" t="s">
        <v>204</v>
      </c>
      <c r="P146" s="77" t="s">
        <v>204</v>
      </c>
      <c r="Q146" s="77" t="s">
        <v>204</v>
      </c>
      <c r="R146" s="77" t="s">
        <v>204</v>
      </c>
      <c r="S146" s="77" t="s">
        <v>204</v>
      </c>
      <c r="T146" s="77" t="s">
        <v>204</v>
      </c>
    </row>
    <row r="147" spans="1:20" x14ac:dyDescent="0.25">
      <c r="A147" s="65"/>
      <c r="B147" t="s">
        <v>273</v>
      </c>
      <c r="G147" s="77" t="s">
        <v>204</v>
      </c>
      <c r="I147" s="77" t="s">
        <v>204</v>
      </c>
    </row>
    <row r="148" spans="1:20" x14ac:dyDescent="0.25">
      <c r="A148" s="65"/>
      <c r="B148" t="s">
        <v>274</v>
      </c>
      <c r="K148" s="77" t="s">
        <v>204</v>
      </c>
      <c r="L148" s="77" t="s">
        <v>204</v>
      </c>
      <c r="T148" s="77" t="s">
        <v>204</v>
      </c>
    </row>
    <row r="149" spans="1:20" x14ac:dyDescent="0.25">
      <c r="A149" s="65"/>
      <c r="B149" t="s">
        <v>275</v>
      </c>
      <c r="G149" s="77" t="s">
        <v>204</v>
      </c>
      <c r="H149" s="77" t="s">
        <v>204</v>
      </c>
      <c r="I149" s="77" t="s">
        <v>204</v>
      </c>
      <c r="J149" s="77" t="s">
        <v>204</v>
      </c>
      <c r="K149" s="77" t="s">
        <v>204</v>
      </c>
      <c r="L149" s="77" t="s">
        <v>204</v>
      </c>
      <c r="M149" s="77" t="s">
        <v>204</v>
      </c>
      <c r="N149" s="77" t="s">
        <v>204</v>
      </c>
      <c r="O149" s="77" t="s">
        <v>204</v>
      </c>
      <c r="P149" s="77" t="s">
        <v>204</v>
      </c>
      <c r="Q149" s="77" t="s">
        <v>204</v>
      </c>
      <c r="R149" s="77" t="s">
        <v>204</v>
      </c>
      <c r="S149" s="77" t="s">
        <v>204</v>
      </c>
      <c r="T149" s="77" t="s">
        <v>204</v>
      </c>
    </row>
    <row r="150" spans="1:20" x14ac:dyDescent="0.25">
      <c r="A150" s="65"/>
      <c r="B150" t="s">
        <v>276</v>
      </c>
      <c r="G150" s="77" t="s">
        <v>204</v>
      </c>
      <c r="H150" s="77" t="s">
        <v>204</v>
      </c>
      <c r="I150" s="77" t="s">
        <v>204</v>
      </c>
      <c r="J150" s="77" t="s">
        <v>204</v>
      </c>
      <c r="K150" s="77" t="s">
        <v>204</v>
      </c>
      <c r="L150" s="77" t="s">
        <v>204</v>
      </c>
      <c r="M150" s="77" t="s">
        <v>204</v>
      </c>
      <c r="N150" s="77" t="s">
        <v>204</v>
      </c>
      <c r="O150" s="77" t="s">
        <v>204</v>
      </c>
      <c r="P150" s="77" t="s">
        <v>204</v>
      </c>
      <c r="Q150" s="77" t="s">
        <v>204</v>
      </c>
      <c r="R150" s="77" t="s">
        <v>204</v>
      </c>
      <c r="S150" s="77" t="s">
        <v>204</v>
      </c>
      <c r="T150" s="77" t="s">
        <v>204</v>
      </c>
    </row>
    <row r="151" spans="1:20" x14ac:dyDescent="0.25">
      <c r="A151" s="65" t="s">
        <v>306</v>
      </c>
      <c r="G151" s="77" t="s">
        <v>204</v>
      </c>
      <c r="H151" s="77" t="s">
        <v>204</v>
      </c>
      <c r="I151" s="77" t="s">
        <v>204</v>
      </c>
      <c r="J151" s="77" t="s">
        <v>204</v>
      </c>
      <c r="K151" s="77" t="s">
        <v>204</v>
      </c>
      <c r="L151" s="77" t="s">
        <v>204</v>
      </c>
      <c r="M151" s="77" t="s">
        <v>204</v>
      </c>
      <c r="N151" s="77" t="s">
        <v>204</v>
      </c>
      <c r="O151" s="77" t="s">
        <v>204</v>
      </c>
      <c r="P151" s="77" t="s">
        <v>204</v>
      </c>
      <c r="Q151" s="77" t="s">
        <v>204</v>
      </c>
      <c r="R151" s="77" t="s">
        <v>204</v>
      </c>
      <c r="S151" s="77" t="s">
        <v>204</v>
      </c>
      <c r="T151" s="77" t="s">
        <v>204</v>
      </c>
    </row>
    <row r="152" spans="1:20" x14ac:dyDescent="0.25">
      <c r="B152" s="75" t="s">
        <v>209</v>
      </c>
      <c r="C152" s="75"/>
      <c r="D152" s="75"/>
      <c r="G152" s="77" t="s">
        <v>204</v>
      </c>
      <c r="H152" s="77" t="s">
        <v>204</v>
      </c>
      <c r="I152" s="77" t="s">
        <v>204</v>
      </c>
      <c r="J152" s="77" t="s">
        <v>204</v>
      </c>
      <c r="K152" s="77" t="s">
        <v>204</v>
      </c>
      <c r="L152" s="77" t="s">
        <v>204</v>
      </c>
      <c r="M152" s="77" t="s">
        <v>204</v>
      </c>
      <c r="N152" s="77" t="s">
        <v>204</v>
      </c>
      <c r="O152" s="77" t="s">
        <v>204</v>
      </c>
      <c r="P152" s="77" t="s">
        <v>204</v>
      </c>
      <c r="Q152" s="77" t="s">
        <v>204</v>
      </c>
      <c r="R152" s="77" t="s">
        <v>204</v>
      </c>
      <c r="S152" s="77" t="s">
        <v>204</v>
      </c>
      <c r="T152" s="77" t="s">
        <v>204</v>
      </c>
    </row>
    <row r="153" spans="1:20" x14ac:dyDescent="0.25">
      <c r="B153" t="s">
        <v>210</v>
      </c>
      <c r="C153" t="s">
        <v>211</v>
      </c>
      <c r="G153" s="77" t="s">
        <v>204</v>
      </c>
      <c r="H153" s="77" t="s">
        <v>204</v>
      </c>
      <c r="I153" s="77" t="s">
        <v>204</v>
      </c>
      <c r="J153" s="77" t="s">
        <v>204</v>
      </c>
      <c r="K153" s="77" t="s">
        <v>204</v>
      </c>
      <c r="L153" s="77" t="s">
        <v>204</v>
      </c>
      <c r="M153" s="77" t="s">
        <v>204</v>
      </c>
      <c r="N153" s="77" t="s">
        <v>204</v>
      </c>
      <c r="O153" s="77" t="s">
        <v>204</v>
      </c>
      <c r="P153" s="77" t="s">
        <v>204</v>
      </c>
      <c r="Q153" s="77" t="s">
        <v>204</v>
      </c>
      <c r="R153" s="77" t="s">
        <v>204</v>
      </c>
      <c r="S153" s="77" t="s">
        <v>204</v>
      </c>
      <c r="T153" s="77" t="s">
        <v>204</v>
      </c>
    </row>
    <row r="154" spans="1:20" x14ac:dyDescent="0.25">
      <c r="B154" t="s">
        <v>210</v>
      </c>
      <c r="C154" t="s">
        <v>307</v>
      </c>
      <c r="G154" s="77" t="s">
        <v>204</v>
      </c>
      <c r="H154" s="77" t="s">
        <v>204</v>
      </c>
      <c r="I154" s="77" t="s">
        <v>204</v>
      </c>
      <c r="J154" s="77" t="s">
        <v>204</v>
      </c>
      <c r="K154" s="77" t="s">
        <v>204</v>
      </c>
      <c r="L154" s="77" t="s">
        <v>204</v>
      </c>
      <c r="M154" s="77" t="s">
        <v>204</v>
      </c>
      <c r="N154" s="77" t="s">
        <v>204</v>
      </c>
      <c r="O154" s="77" t="s">
        <v>204</v>
      </c>
      <c r="P154" s="77" t="s">
        <v>204</v>
      </c>
      <c r="Q154" s="77" t="s">
        <v>204</v>
      </c>
      <c r="R154" s="77" t="s">
        <v>204</v>
      </c>
      <c r="S154" s="77" t="s">
        <v>204</v>
      </c>
      <c r="T154" s="77" t="s">
        <v>204</v>
      </c>
    </row>
    <row r="155" spans="1:20" x14ac:dyDescent="0.25">
      <c r="B155" t="s">
        <v>308</v>
      </c>
      <c r="G155" s="77" t="s">
        <v>204</v>
      </c>
      <c r="H155" s="77" t="s">
        <v>204</v>
      </c>
      <c r="I155" s="77" t="s">
        <v>204</v>
      </c>
      <c r="J155" s="77" t="s">
        <v>204</v>
      </c>
      <c r="K155" s="77" t="s">
        <v>204</v>
      </c>
      <c r="L155" s="77" t="s">
        <v>204</v>
      </c>
      <c r="M155" s="77" t="s">
        <v>204</v>
      </c>
      <c r="N155" s="77" t="s">
        <v>204</v>
      </c>
      <c r="O155" s="77" t="s">
        <v>204</v>
      </c>
      <c r="P155" s="77" t="s">
        <v>204</v>
      </c>
      <c r="Q155" s="77" t="s">
        <v>204</v>
      </c>
      <c r="R155" s="77" t="s">
        <v>204</v>
      </c>
      <c r="S155" s="77" t="s">
        <v>204</v>
      </c>
      <c r="T155" s="77" t="s">
        <v>204</v>
      </c>
    </row>
    <row r="156" spans="1:20" x14ac:dyDescent="0.25">
      <c r="B156" t="s">
        <v>309</v>
      </c>
      <c r="M156" s="77" t="s">
        <v>204</v>
      </c>
    </row>
    <row r="157" spans="1:20" x14ac:dyDescent="0.25">
      <c r="B157" t="s">
        <v>210</v>
      </c>
      <c r="C157" t="s">
        <v>310</v>
      </c>
      <c r="M157" s="77" t="s">
        <v>204</v>
      </c>
    </row>
    <row r="158" spans="1:20" x14ac:dyDescent="0.25">
      <c r="B158" t="s">
        <v>210</v>
      </c>
      <c r="C158" t="s">
        <v>210</v>
      </c>
      <c r="D158" t="s">
        <v>311</v>
      </c>
      <c r="M158" s="77" t="s">
        <v>204</v>
      </c>
    </row>
    <row r="159" spans="1:20" x14ac:dyDescent="0.25">
      <c r="B159" t="s">
        <v>210</v>
      </c>
      <c r="C159" t="s">
        <v>210</v>
      </c>
      <c r="D159" t="s">
        <v>312</v>
      </c>
      <c r="M159" s="77" t="s">
        <v>204</v>
      </c>
    </row>
    <row r="160" spans="1:20" x14ac:dyDescent="0.25">
      <c r="B160" t="s">
        <v>210</v>
      </c>
      <c r="C160" t="s">
        <v>210</v>
      </c>
      <c r="D160" t="s">
        <v>313</v>
      </c>
      <c r="M160" s="77" t="s">
        <v>204</v>
      </c>
    </row>
    <row r="161" spans="2:16" x14ac:dyDescent="0.25">
      <c r="B161" t="s">
        <v>210</v>
      </c>
      <c r="C161" t="s">
        <v>210</v>
      </c>
      <c r="D161" t="s">
        <v>314</v>
      </c>
      <c r="M161" s="77" t="s">
        <v>204</v>
      </c>
    </row>
    <row r="162" spans="2:16" x14ac:dyDescent="0.25">
      <c r="B162" t="s">
        <v>210</v>
      </c>
      <c r="C162" t="s">
        <v>210</v>
      </c>
      <c r="D162" t="s">
        <v>315</v>
      </c>
      <c r="M162" s="77" t="s">
        <v>204</v>
      </c>
    </row>
    <row r="163" spans="2:16" x14ac:dyDescent="0.25">
      <c r="B163" t="s">
        <v>210</v>
      </c>
      <c r="C163" t="s">
        <v>210</v>
      </c>
      <c r="D163" t="s">
        <v>316</v>
      </c>
      <c r="M163" s="77" t="s">
        <v>204</v>
      </c>
    </row>
    <row r="164" spans="2:16" x14ac:dyDescent="0.25">
      <c r="B164" t="s">
        <v>210</v>
      </c>
      <c r="C164" t="s">
        <v>210</v>
      </c>
      <c r="D164" t="s">
        <v>317</v>
      </c>
      <c r="M164" s="77" t="s">
        <v>204</v>
      </c>
    </row>
    <row r="165" spans="2:16" x14ac:dyDescent="0.25">
      <c r="B165" t="s">
        <v>210</v>
      </c>
      <c r="C165" t="s">
        <v>318</v>
      </c>
      <c r="M165" s="77" t="s">
        <v>204</v>
      </c>
    </row>
    <row r="166" spans="2:16" x14ac:dyDescent="0.25">
      <c r="B166" t="s">
        <v>210</v>
      </c>
      <c r="C166" t="s">
        <v>210</v>
      </c>
      <c r="D166" t="s">
        <v>319</v>
      </c>
      <c r="M166" s="77" t="s">
        <v>204</v>
      </c>
    </row>
    <row r="167" spans="2:16" x14ac:dyDescent="0.25">
      <c r="B167" t="s">
        <v>210</v>
      </c>
      <c r="C167" t="s">
        <v>210</v>
      </c>
      <c r="D167" t="s">
        <v>320</v>
      </c>
      <c r="M167" s="77" t="s">
        <v>204</v>
      </c>
    </row>
    <row r="168" spans="2:16" x14ac:dyDescent="0.25">
      <c r="B168" t="s">
        <v>210</v>
      </c>
      <c r="C168" t="s">
        <v>210</v>
      </c>
      <c r="D168" t="s">
        <v>321</v>
      </c>
      <c r="M168" s="77" t="s">
        <v>204</v>
      </c>
    </row>
    <row r="169" spans="2:16" x14ac:dyDescent="0.25">
      <c r="B169" t="s">
        <v>210</v>
      </c>
      <c r="C169" t="s">
        <v>210</v>
      </c>
      <c r="D169" t="s">
        <v>322</v>
      </c>
      <c r="M169" s="77" t="s">
        <v>204</v>
      </c>
    </row>
    <row r="170" spans="2:16" x14ac:dyDescent="0.25">
      <c r="B170" t="s">
        <v>210</v>
      </c>
      <c r="C170" t="s">
        <v>210</v>
      </c>
      <c r="D170" t="s">
        <v>323</v>
      </c>
      <c r="M170" s="77" t="s">
        <v>204</v>
      </c>
    </row>
    <row r="171" spans="2:16" x14ac:dyDescent="0.25">
      <c r="B171" t="s">
        <v>210</v>
      </c>
      <c r="C171" t="s">
        <v>210</v>
      </c>
      <c r="D171" t="s">
        <v>324</v>
      </c>
      <c r="P171" s="77" t="s">
        <v>204</v>
      </c>
    </row>
    <row r="172" spans="2:16" x14ac:dyDescent="0.25">
      <c r="B172" t="s">
        <v>210</v>
      </c>
      <c r="C172" t="s">
        <v>210</v>
      </c>
      <c r="D172" t="s">
        <v>325</v>
      </c>
      <c r="M172" s="77" t="s">
        <v>204</v>
      </c>
    </row>
    <row r="173" spans="2:16" x14ac:dyDescent="0.25">
      <c r="B173" t="s">
        <v>326</v>
      </c>
      <c r="G173" s="77" t="s">
        <v>204</v>
      </c>
    </row>
    <row r="174" spans="2:16" x14ac:dyDescent="0.25">
      <c r="B174" t="s">
        <v>210</v>
      </c>
      <c r="C174" t="s">
        <v>327</v>
      </c>
      <c r="G174" s="77" t="s">
        <v>204</v>
      </c>
    </row>
    <row r="175" spans="2:16" x14ac:dyDescent="0.25">
      <c r="B175" t="s">
        <v>210</v>
      </c>
      <c r="C175" t="s">
        <v>328</v>
      </c>
      <c r="G175" s="77" t="s">
        <v>204</v>
      </c>
    </row>
    <row r="176" spans="2:16" x14ac:dyDescent="0.25">
      <c r="B176" t="s">
        <v>210</v>
      </c>
      <c r="C176" t="s">
        <v>210</v>
      </c>
      <c r="D176" t="s">
        <v>329</v>
      </c>
      <c r="G176" s="77" t="s">
        <v>204</v>
      </c>
    </row>
    <row r="177" spans="2:20" x14ac:dyDescent="0.25">
      <c r="B177" t="s">
        <v>210</v>
      </c>
      <c r="C177" t="s">
        <v>210</v>
      </c>
      <c r="D177" t="s">
        <v>330</v>
      </c>
      <c r="G177" s="77" t="s">
        <v>204</v>
      </c>
    </row>
    <row r="178" spans="2:20" x14ac:dyDescent="0.25">
      <c r="B178" t="s">
        <v>210</v>
      </c>
      <c r="C178" t="s">
        <v>210</v>
      </c>
      <c r="D178" t="s">
        <v>331</v>
      </c>
      <c r="G178" s="77" t="s">
        <v>204</v>
      </c>
    </row>
    <row r="179" spans="2:20" x14ac:dyDescent="0.25">
      <c r="B179" t="s">
        <v>210</v>
      </c>
      <c r="C179" t="s">
        <v>210</v>
      </c>
      <c r="D179" t="s">
        <v>332</v>
      </c>
      <c r="G179" s="77" t="s">
        <v>204</v>
      </c>
      <c r="T179" s="77" t="s">
        <v>204</v>
      </c>
    </row>
    <row r="180" spans="2:20" x14ac:dyDescent="0.25">
      <c r="B180" t="s">
        <v>210</v>
      </c>
      <c r="C180" t="s">
        <v>210</v>
      </c>
      <c r="D180" t="s">
        <v>333</v>
      </c>
      <c r="G180" s="77" t="s">
        <v>204</v>
      </c>
    </row>
    <row r="181" spans="2:20" x14ac:dyDescent="0.25">
      <c r="B181" t="s">
        <v>210</v>
      </c>
      <c r="C181" t="s">
        <v>210</v>
      </c>
      <c r="D181" t="s">
        <v>334</v>
      </c>
      <c r="G181" s="77" t="s">
        <v>204</v>
      </c>
    </row>
    <row r="182" spans="2:20" x14ac:dyDescent="0.25">
      <c r="B182" t="s">
        <v>210</v>
      </c>
      <c r="C182" t="s">
        <v>335</v>
      </c>
      <c r="H182" s="77" t="s">
        <v>204</v>
      </c>
    </row>
    <row r="183" spans="2:20" x14ac:dyDescent="0.25">
      <c r="B183" t="s">
        <v>210</v>
      </c>
      <c r="C183" t="s">
        <v>336</v>
      </c>
      <c r="I183" s="77" t="s">
        <v>204</v>
      </c>
      <c r="J183" s="77" t="s">
        <v>204</v>
      </c>
      <c r="K183" s="77" t="s">
        <v>204</v>
      </c>
    </row>
    <row r="184" spans="2:20" x14ac:dyDescent="0.25">
      <c r="B184" t="s">
        <v>210</v>
      </c>
      <c r="C184" t="s">
        <v>337</v>
      </c>
      <c r="K184" s="77" t="s">
        <v>204</v>
      </c>
      <c r="L184" s="77" t="s">
        <v>204</v>
      </c>
    </row>
    <row r="185" spans="2:20" x14ac:dyDescent="0.25">
      <c r="B185" t="s">
        <v>338</v>
      </c>
      <c r="S185" s="77" t="s">
        <v>204</v>
      </c>
    </row>
    <row r="186" spans="2:20" x14ac:dyDescent="0.25">
      <c r="B186" t="s">
        <v>210</v>
      </c>
      <c r="C186" t="s">
        <v>339</v>
      </c>
      <c r="R186" s="77" t="s">
        <v>204</v>
      </c>
    </row>
    <row r="187" spans="2:20" x14ac:dyDescent="0.25">
      <c r="B187" t="s">
        <v>210</v>
      </c>
      <c r="C187" t="s">
        <v>340</v>
      </c>
      <c r="S187" s="77" t="s">
        <v>204</v>
      </c>
    </row>
    <row r="188" spans="2:20" x14ac:dyDescent="0.25">
      <c r="B188" t="s">
        <v>210</v>
      </c>
      <c r="C188" t="s">
        <v>210</v>
      </c>
      <c r="D188" t="s">
        <v>341</v>
      </c>
      <c r="S188" s="77" t="s">
        <v>204</v>
      </c>
    </row>
    <row r="189" spans="2:20" x14ac:dyDescent="0.25">
      <c r="B189" t="s">
        <v>210</v>
      </c>
      <c r="C189" t="s">
        <v>342</v>
      </c>
      <c r="Q189" s="77" t="s">
        <v>204</v>
      </c>
    </row>
    <row r="190" spans="2:20" x14ac:dyDescent="0.25">
      <c r="B190" t="s">
        <v>210</v>
      </c>
      <c r="C190" t="s">
        <v>343</v>
      </c>
      <c r="N190" s="77" t="s">
        <v>204</v>
      </c>
    </row>
    <row r="191" spans="2:20" x14ac:dyDescent="0.25">
      <c r="B191" t="s">
        <v>344</v>
      </c>
      <c r="M191" s="77" t="s">
        <v>204</v>
      </c>
    </row>
    <row r="192" spans="2:20" x14ac:dyDescent="0.25">
      <c r="B192" t="s">
        <v>210</v>
      </c>
      <c r="C192" t="s">
        <v>345</v>
      </c>
      <c r="M192" s="77" t="s">
        <v>204</v>
      </c>
    </row>
    <row r="193" spans="1:21" x14ac:dyDescent="0.25">
      <c r="B193" t="s">
        <v>210</v>
      </c>
      <c r="C193" t="s">
        <v>346</v>
      </c>
      <c r="O193" s="77" t="s">
        <v>204</v>
      </c>
    </row>
    <row r="194" spans="1:21" x14ac:dyDescent="0.25">
      <c r="B194" t="s">
        <v>210</v>
      </c>
      <c r="C194" t="s">
        <v>210</v>
      </c>
      <c r="D194" t="s">
        <v>347</v>
      </c>
      <c r="O194" s="77" t="s">
        <v>204</v>
      </c>
    </row>
    <row r="195" spans="1:21" x14ac:dyDescent="0.25">
      <c r="B195" t="s">
        <v>210</v>
      </c>
      <c r="C195" t="s">
        <v>210</v>
      </c>
      <c r="D195" t="s">
        <v>348</v>
      </c>
      <c r="O195" s="77" t="s">
        <v>204</v>
      </c>
    </row>
    <row r="196" spans="1:21" x14ac:dyDescent="0.25">
      <c r="B196" t="s">
        <v>210</v>
      </c>
      <c r="C196" t="s">
        <v>349</v>
      </c>
      <c r="M196" s="77" t="s">
        <v>204</v>
      </c>
    </row>
    <row r="197" spans="1:21" x14ac:dyDescent="0.25">
      <c r="B197" t="s">
        <v>210</v>
      </c>
      <c r="C197" t="s">
        <v>350</v>
      </c>
      <c r="M197" s="77" t="s">
        <v>204</v>
      </c>
    </row>
    <row r="198" spans="1:21" x14ac:dyDescent="0.25">
      <c r="B198" t="s">
        <v>351</v>
      </c>
      <c r="G198" s="77" t="s">
        <v>204</v>
      </c>
      <c r="H198" s="77" t="s">
        <v>204</v>
      </c>
      <c r="I198" s="77" t="s">
        <v>204</v>
      </c>
      <c r="J198" s="77" t="s">
        <v>204</v>
      </c>
      <c r="K198" s="77" t="s">
        <v>204</v>
      </c>
      <c r="L198" s="77" t="s">
        <v>204</v>
      </c>
      <c r="M198" s="77" t="s">
        <v>204</v>
      </c>
      <c r="N198" s="77" t="s">
        <v>204</v>
      </c>
      <c r="O198" s="77" t="s">
        <v>204</v>
      </c>
      <c r="P198" s="77" t="s">
        <v>204</v>
      </c>
      <c r="Q198" s="77" t="s">
        <v>204</v>
      </c>
      <c r="R198" s="77" t="s">
        <v>204</v>
      </c>
      <c r="S198" s="77" t="s">
        <v>204</v>
      </c>
      <c r="T198" s="77" t="s">
        <v>204</v>
      </c>
    </row>
    <row r="199" spans="1:21" ht="15.75" thickBot="1" x14ac:dyDescent="0.3"/>
    <row r="200" spans="1:21" ht="18" thickTop="1" x14ac:dyDescent="0.25">
      <c r="A200" s="3" t="s">
        <v>46</v>
      </c>
      <c r="B200" s="3"/>
      <c r="C200" s="3"/>
      <c r="D200" s="3"/>
      <c r="E200" s="3"/>
      <c r="F200" s="3"/>
      <c r="G200" s="78"/>
      <c r="H200" s="78"/>
      <c r="I200" s="78"/>
      <c r="J200" s="78"/>
      <c r="K200" s="78"/>
      <c r="L200" s="78"/>
      <c r="M200" s="78"/>
      <c r="N200" s="78"/>
      <c r="O200" s="78"/>
      <c r="P200" s="78"/>
      <c r="Q200" s="78"/>
      <c r="R200" s="78"/>
      <c r="S200" s="78"/>
      <c r="T200" s="78"/>
      <c r="U200" s="82"/>
    </row>
    <row r="201" spans="1:21" ht="169.5" x14ac:dyDescent="0.25">
      <c r="G201" s="79" t="s">
        <v>352</v>
      </c>
      <c r="H201" s="79" t="s">
        <v>353</v>
      </c>
      <c r="I201" s="79" t="s">
        <v>150</v>
      </c>
      <c r="J201" s="79" t="s">
        <v>157</v>
      </c>
      <c r="K201" s="79"/>
      <c r="L201" s="79"/>
      <c r="M201" s="79"/>
      <c r="N201" s="79"/>
      <c r="O201" s="79"/>
      <c r="P201" s="79"/>
      <c r="Q201" s="79"/>
      <c r="R201" s="79"/>
      <c r="S201" s="79"/>
      <c r="T201" s="79"/>
    </row>
    <row r="202" spans="1:21" x14ac:dyDescent="0.25">
      <c r="A202" s="65" t="s">
        <v>203</v>
      </c>
      <c r="G202" s="77" t="s">
        <v>204</v>
      </c>
      <c r="H202" s="77" t="s">
        <v>204</v>
      </c>
      <c r="I202" s="77" t="s">
        <v>204</v>
      </c>
      <c r="J202" s="77" t="s">
        <v>204</v>
      </c>
    </row>
    <row r="203" spans="1:21" x14ac:dyDescent="0.25">
      <c r="A203" s="65" t="s">
        <v>205</v>
      </c>
      <c r="G203" s="77" t="s">
        <v>204</v>
      </c>
      <c r="H203" s="77" t="s">
        <v>204</v>
      </c>
      <c r="I203" s="77" t="s">
        <v>204</v>
      </c>
      <c r="J203" s="77" t="s">
        <v>204</v>
      </c>
    </row>
    <row r="204" spans="1:21" x14ac:dyDescent="0.25">
      <c r="A204" s="65"/>
      <c r="B204" t="s">
        <v>206</v>
      </c>
      <c r="G204" s="77" t="s">
        <v>204</v>
      </c>
      <c r="H204" s="77" t="s">
        <v>204</v>
      </c>
      <c r="I204" s="77" t="s">
        <v>204</v>
      </c>
      <c r="J204" s="77" t="s">
        <v>204</v>
      </c>
    </row>
    <row r="205" spans="1:21" x14ac:dyDescent="0.25">
      <c r="A205" s="65"/>
      <c r="B205" t="s">
        <v>273</v>
      </c>
      <c r="H205" s="77" t="s">
        <v>204</v>
      </c>
      <c r="I205" s="77" t="s">
        <v>204</v>
      </c>
      <c r="J205" s="77" t="s">
        <v>204</v>
      </c>
    </row>
    <row r="206" spans="1:21" x14ac:dyDescent="0.25">
      <c r="A206" s="65"/>
      <c r="B206" t="s">
        <v>274</v>
      </c>
      <c r="I206" s="77" t="s">
        <v>204</v>
      </c>
      <c r="J206" s="77" t="s">
        <v>204</v>
      </c>
    </row>
    <row r="207" spans="1:21" x14ac:dyDescent="0.25">
      <c r="A207" s="65"/>
      <c r="B207" t="s">
        <v>275</v>
      </c>
      <c r="G207" s="77" t="s">
        <v>204</v>
      </c>
      <c r="H207" s="77" t="s">
        <v>204</v>
      </c>
      <c r="I207" s="77" t="s">
        <v>204</v>
      </c>
      <c r="J207" s="77" t="s">
        <v>204</v>
      </c>
    </row>
    <row r="208" spans="1:21" x14ac:dyDescent="0.25">
      <c r="A208" s="65"/>
      <c r="B208" t="s">
        <v>276</v>
      </c>
      <c r="G208" s="77" t="s">
        <v>204</v>
      </c>
      <c r="H208" s="77" t="s">
        <v>204</v>
      </c>
      <c r="I208" s="77" t="s">
        <v>204</v>
      </c>
      <c r="J208" s="77" t="s">
        <v>204</v>
      </c>
    </row>
    <row r="209" spans="1:10" x14ac:dyDescent="0.25">
      <c r="A209" s="65" t="s">
        <v>354</v>
      </c>
      <c r="G209" s="77" t="s">
        <v>204</v>
      </c>
      <c r="H209" s="77" t="s">
        <v>204</v>
      </c>
      <c r="I209" s="77" t="s">
        <v>204</v>
      </c>
      <c r="J209" s="77" t="s">
        <v>204</v>
      </c>
    </row>
    <row r="210" spans="1:10" x14ac:dyDescent="0.25">
      <c r="B210" s="75" t="s">
        <v>209</v>
      </c>
      <c r="C210" s="75"/>
      <c r="D210" s="75"/>
      <c r="G210" s="77" t="s">
        <v>204</v>
      </c>
      <c r="H210" s="77" t="s">
        <v>204</v>
      </c>
      <c r="I210" s="77" t="s">
        <v>204</v>
      </c>
      <c r="J210" s="77" t="s">
        <v>204</v>
      </c>
    </row>
    <row r="211" spans="1:10" x14ac:dyDescent="0.25">
      <c r="B211" s="75" t="s">
        <v>210</v>
      </c>
      <c r="C211" s="75" t="s">
        <v>211</v>
      </c>
      <c r="D211" s="75"/>
      <c r="G211" s="77" t="s">
        <v>204</v>
      </c>
      <c r="H211" s="77" t="s">
        <v>204</v>
      </c>
      <c r="I211" s="77" t="s">
        <v>204</v>
      </c>
      <c r="J211" s="77" t="s">
        <v>204</v>
      </c>
    </row>
    <row r="212" spans="1:10" x14ac:dyDescent="0.25">
      <c r="B212" s="75" t="s">
        <v>212</v>
      </c>
      <c r="C212" s="75"/>
      <c r="D212" s="75"/>
      <c r="G212" s="77" t="s">
        <v>204</v>
      </c>
      <c r="H212" s="77" t="s">
        <v>204</v>
      </c>
      <c r="I212" s="77" t="s">
        <v>204</v>
      </c>
      <c r="J212" s="77" t="s">
        <v>204</v>
      </c>
    </row>
    <row r="213" spans="1:10" x14ac:dyDescent="0.25">
      <c r="B213" s="75" t="s">
        <v>213</v>
      </c>
      <c r="C213" s="75"/>
      <c r="D213" s="75"/>
      <c r="G213" s="77" t="s">
        <v>204</v>
      </c>
      <c r="H213" s="77" t="s">
        <v>204</v>
      </c>
      <c r="I213" s="77" t="s">
        <v>204</v>
      </c>
      <c r="J213" s="77" t="s">
        <v>204</v>
      </c>
    </row>
    <row r="214" spans="1:10" x14ac:dyDescent="0.25">
      <c r="B214" s="75" t="s">
        <v>210</v>
      </c>
      <c r="C214" s="75" t="s">
        <v>222</v>
      </c>
      <c r="D214" s="75"/>
      <c r="G214" s="77" t="s">
        <v>204</v>
      </c>
      <c r="H214" s="77" t="s">
        <v>204</v>
      </c>
      <c r="I214" s="77" t="s">
        <v>204</v>
      </c>
      <c r="J214" s="77" t="s">
        <v>204</v>
      </c>
    </row>
    <row r="215" spans="1:10" x14ac:dyDescent="0.25">
      <c r="B215" s="75" t="s">
        <v>210</v>
      </c>
      <c r="C215" s="75" t="s">
        <v>355</v>
      </c>
      <c r="D215" s="75"/>
      <c r="G215" s="77" t="s">
        <v>204</v>
      </c>
    </row>
    <row r="216" spans="1:10" x14ac:dyDescent="0.25">
      <c r="B216" s="75" t="s">
        <v>210</v>
      </c>
      <c r="C216" s="75" t="s">
        <v>210</v>
      </c>
      <c r="D216" s="75" t="s">
        <v>356</v>
      </c>
      <c r="G216" s="77" t="s">
        <v>204</v>
      </c>
    </row>
    <row r="217" spans="1:10" x14ac:dyDescent="0.25">
      <c r="B217" s="75" t="s">
        <v>210</v>
      </c>
      <c r="C217" s="75" t="s">
        <v>210</v>
      </c>
      <c r="D217" s="75" t="s">
        <v>357</v>
      </c>
      <c r="G217" s="77" t="s">
        <v>204</v>
      </c>
    </row>
    <row r="218" spans="1:10" x14ac:dyDescent="0.25">
      <c r="B218" s="75" t="s">
        <v>210</v>
      </c>
      <c r="C218" s="75" t="s">
        <v>358</v>
      </c>
      <c r="D218" s="75"/>
      <c r="H218" s="77" t="s">
        <v>204</v>
      </c>
    </row>
    <row r="219" spans="1:10" x14ac:dyDescent="0.25">
      <c r="B219" s="75" t="s">
        <v>210</v>
      </c>
      <c r="C219" s="75" t="s">
        <v>210</v>
      </c>
      <c r="D219" s="75" t="s">
        <v>359</v>
      </c>
      <c r="H219" s="77" t="s">
        <v>204</v>
      </c>
    </row>
    <row r="220" spans="1:10" x14ac:dyDescent="0.25">
      <c r="B220" s="75" t="s">
        <v>210</v>
      </c>
      <c r="C220" s="75" t="s">
        <v>210</v>
      </c>
      <c r="D220" s="75" t="s">
        <v>360</v>
      </c>
      <c r="H220" s="77" t="s">
        <v>204</v>
      </c>
    </row>
    <row r="221" spans="1:10" x14ac:dyDescent="0.25">
      <c r="B221" s="75" t="s">
        <v>210</v>
      </c>
      <c r="C221" s="75" t="s">
        <v>210</v>
      </c>
      <c r="D221" s="75" t="s">
        <v>361</v>
      </c>
      <c r="H221" s="77" t="s">
        <v>204</v>
      </c>
    </row>
    <row r="222" spans="1:10" x14ac:dyDescent="0.25">
      <c r="B222" s="75" t="s">
        <v>210</v>
      </c>
      <c r="C222" s="75" t="s">
        <v>210</v>
      </c>
      <c r="D222" s="75" t="s">
        <v>362</v>
      </c>
      <c r="H222" s="77" t="s">
        <v>204</v>
      </c>
    </row>
    <row r="223" spans="1:10" x14ac:dyDescent="0.25">
      <c r="B223" s="75" t="s">
        <v>210</v>
      </c>
      <c r="C223" s="75" t="s">
        <v>363</v>
      </c>
      <c r="D223" s="75"/>
      <c r="H223" s="77" t="s">
        <v>204</v>
      </c>
    </row>
    <row r="224" spans="1:10" x14ac:dyDescent="0.25">
      <c r="B224" s="75" t="s">
        <v>210</v>
      </c>
      <c r="C224" s="75" t="s">
        <v>210</v>
      </c>
      <c r="D224" s="75" t="s">
        <v>364</v>
      </c>
      <c r="H224" s="77" t="s">
        <v>204</v>
      </c>
    </row>
    <row r="225" spans="2:10" x14ac:dyDescent="0.25">
      <c r="B225" s="75" t="s">
        <v>210</v>
      </c>
      <c r="C225" s="75" t="s">
        <v>210</v>
      </c>
      <c r="D225" s="75" t="s">
        <v>365</v>
      </c>
      <c r="H225" s="77" t="s">
        <v>204</v>
      </c>
    </row>
    <row r="226" spans="2:10" x14ac:dyDescent="0.25">
      <c r="B226" s="75" t="s">
        <v>210</v>
      </c>
      <c r="C226" s="75" t="s">
        <v>210</v>
      </c>
      <c r="D226" s="75" t="s">
        <v>366</v>
      </c>
      <c r="H226" s="77" t="s">
        <v>204</v>
      </c>
    </row>
    <row r="227" spans="2:10" x14ac:dyDescent="0.25">
      <c r="B227" s="75" t="s">
        <v>210</v>
      </c>
      <c r="C227" s="75" t="s">
        <v>210</v>
      </c>
      <c r="D227" s="75" t="s">
        <v>367</v>
      </c>
      <c r="H227" s="77" t="s">
        <v>204</v>
      </c>
    </row>
    <row r="228" spans="2:10" x14ac:dyDescent="0.25">
      <c r="B228" s="75" t="s">
        <v>210</v>
      </c>
      <c r="C228" s="75" t="s">
        <v>210</v>
      </c>
      <c r="D228" s="75" t="s">
        <v>368</v>
      </c>
      <c r="H228" s="77" t="s">
        <v>204</v>
      </c>
    </row>
    <row r="229" spans="2:10" x14ac:dyDescent="0.25">
      <c r="B229" s="75" t="s">
        <v>210</v>
      </c>
      <c r="C229" s="75" t="s">
        <v>369</v>
      </c>
      <c r="D229" s="75"/>
      <c r="I229" s="77" t="s">
        <v>204</v>
      </c>
    </row>
    <row r="230" spans="2:10" x14ac:dyDescent="0.25">
      <c r="B230" s="75" t="s">
        <v>210</v>
      </c>
      <c r="C230" s="75" t="s">
        <v>210</v>
      </c>
      <c r="D230" s="75" t="s">
        <v>370</v>
      </c>
      <c r="I230" s="77" t="s">
        <v>204</v>
      </c>
    </row>
    <row r="231" spans="2:10" x14ac:dyDescent="0.25">
      <c r="B231" s="75" t="s">
        <v>210</v>
      </c>
      <c r="C231" s="75" t="s">
        <v>371</v>
      </c>
      <c r="D231" s="75"/>
      <c r="J231" s="77" t="s">
        <v>204</v>
      </c>
    </row>
    <row r="232" spans="2:10" x14ac:dyDescent="0.25">
      <c r="B232" s="75" t="s">
        <v>210</v>
      </c>
      <c r="C232" s="75" t="s">
        <v>210</v>
      </c>
      <c r="D232" s="75" t="s">
        <v>372</v>
      </c>
      <c r="J232" s="77" t="s">
        <v>204</v>
      </c>
    </row>
    <row r="233" spans="2:10" x14ac:dyDescent="0.25">
      <c r="B233" s="75" t="s">
        <v>210</v>
      </c>
      <c r="C233" s="75" t="s">
        <v>210</v>
      </c>
      <c r="D233" s="75" t="s">
        <v>373</v>
      </c>
      <c r="J233" s="77" t="s">
        <v>204</v>
      </c>
    </row>
    <row r="234" spans="2:10" x14ac:dyDescent="0.25">
      <c r="B234" s="75" t="s">
        <v>219</v>
      </c>
      <c r="C234" s="75"/>
      <c r="D234" s="75"/>
      <c r="G234" s="77" t="s">
        <v>204</v>
      </c>
      <c r="H234" s="77" t="s">
        <v>204</v>
      </c>
      <c r="I234" s="77" t="s">
        <v>204</v>
      </c>
      <c r="J234" s="77" t="s">
        <v>204</v>
      </c>
    </row>
    <row r="235" spans="2:10" x14ac:dyDescent="0.25">
      <c r="B235" s="75" t="s">
        <v>210</v>
      </c>
      <c r="C235" s="75" t="s">
        <v>374</v>
      </c>
      <c r="D235" s="75"/>
      <c r="G235" s="77" t="s">
        <v>204</v>
      </c>
    </row>
    <row r="236" spans="2:10" x14ac:dyDescent="0.25">
      <c r="B236" s="75" t="s">
        <v>210</v>
      </c>
      <c r="C236" s="75" t="s">
        <v>375</v>
      </c>
      <c r="D236" s="75"/>
      <c r="H236" s="77" t="s">
        <v>204</v>
      </c>
    </row>
    <row r="237" spans="2:10" x14ac:dyDescent="0.25">
      <c r="B237" s="75" t="s">
        <v>210</v>
      </c>
      <c r="C237" s="75" t="s">
        <v>210</v>
      </c>
      <c r="D237" s="75" t="s">
        <v>376</v>
      </c>
      <c r="H237" s="77" t="s">
        <v>204</v>
      </c>
    </row>
    <row r="238" spans="2:10" x14ac:dyDescent="0.25">
      <c r="B238" s="75" t="s">
        <v>210</v>
      </c>
      <c r="C238" s="75" t="s">
        <v>210</v>
      </c>
      <c r="D238" s="75" t="s">
        <v>377</v>
      </c>
      <c r="H238" s="77" t="s">
        <v>204</v>
      </c>
    </row>
    <row r="239" spans="2:10" x14ac:dyDescent="0.25">
      <c r="B239" s="75" t="s">
        <v>210</v>
      </c>
      <c r="C239" s="75" t="s">
        <v>210</v>
      </c>
      <c r="D239" s="75" t="s">
        <v>378</v>
      </c>
      <c r="H239" s="77" t="s">
        <v>204</v>
      </c>
    </row>
    <row r="240" spans="2:10" x14ac:dyDescent="0.25">
      <c r="B240" s="75" t="s">
        <v>210</v>
      </c>
      <c r="C240" s="75" t="s">
        <v>210</v>
      </c>
      <c r="D240" s="75" t="s">
        <v>379</v>
      </c>
      <c r="H240" s="77" t="s">
        <v>204</v>
      </c>
    </row>
    <row r="241" spans="2:10" x14ac:dyDescent="0.25">
      <c r="B241" s="75" t="s">
        <v>210</v>
      </c>
      <c r="C241" s="75" t="s">
        <v>380</v>
      </c>
      <c r="D241" s="75"/>
      <c r="I241" s="77" t="s">
        <v>204</v>
      </c>
    </row>
    <row r="242" spans="2:10" x14ac:dyDescent="0.25">
      <c r="B242" s="75" t="s">
        <v>210</v>
      </c>
      <c r="C242" s="75" t="s">
        <v>381</v>
      </c>
      <c r="D242" s="75"/>
      <c r="J242" s="77" t="s">
        <v>204</v>
      </c>
    </row>
    <row r="243" spans="2:10" x14ac:dyDescent="0.25">
      <c r="B243" s="75" t="s">
        <v>210</v>
      </c>
      <c r="C243" s="75" t="s">
        <v>210</v>
      </c>
      <c r="D243" s="75" t="s">
        <v>382</v>
      </c>
      <c r="J243" s="77" t="s">
        <v>204</v>
      </c>
    </row>
    <row r="244" spans="2:10" x14ac:dyDescent="0.25">
      <c r="B244" t="s">
        <v>210</v>
      </c>
      <c r="C244" t="s">
        <v>383</v>
      </c>
      <c r="J244" s="77" t="s">
        <v>204</v>
      </c>
    </row>
    <row r="245" spans="2:10" x14ac:dyDescent="0.25">
      <c r="B245" t="s">
        <v>220</v>
      </c>
      <c r="G245" s="77" t="s">
        <v>204</v>
      </c>
      <c r="H245" s="77" t="s">
        <v>204</v>
      </c>
      <c r="I245" s="77" t="s">
        <v>204</v>
      </c>
      <c r="J245" s="77"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B2F39-C72F-484B-AB3A-9B75231DA6F7}">
  <sheetPr>
    <outlinePr summaryBelow="0" summaryRight="0"/>
  </sheetPr>
  <dimension ref="A1:Y86"/>
  <sheetViews>
    <sheetView zoomScaleNormal="100" workbookViewId="0">
      <selection activeCell="B2" sqref="B2"/>
    </sheetView>
  </sheetViews>
  <sheetFormatPr defaultColWidth="11.42578125" defaultRowHeight="15" x14ac:dyDescent="0.25"/>
  <cols>
    <col min="1" max="1" width="2.85546875" customWidth="1"/>
    <col min="2" max="2" width="24.42578125" bestFit="1" customWidth="1"/>
    <col min="3" max="3" width="2.85546875" customWidth="1"/>
    <col min="4" max="4" width="12.85546875" customWidth="1"/>
    <col min="5" max="5" width="2.85546875" customWidth="1"/>
    <col min="6" max="12" width="12.85546875" customWidth="1"/>
    <col min="13" max="13" width="2.85546875" customWidth="1"/>
    <col min="14" max="18" width="12.85546875" customWidth="1"/>
    <col min="19" max="19" width="14.42578125" bestFit="1" customWidth="1"/>
    <col min="20" max="20" width="16.85546875" customWidth="1"/>
    <col min="21" max="21" width="28.140625" bestFit="1" customWidth="1"/>
    <col min="22" max="23" width="12.85546875" customWidth="1"/>
    <col min="24" max="24" width="4.42578125" bestFit="1" customWidth="1"/>
    <col min="25" max="25" width="71.85546875" style="6" bestFit="1" customWidth="1"/>
  </cols>
  <sheetData>
    <row r="1" spans="1:25" ht="24" x14ac:dyDescent="0.25">
      <c r="A1" s="1" t="s">
        <v>384</v>
      </c>
      <c r="B1" s="1"/>
      <c r="C1" s="1"/>
      <c r="D1" s="1"/>
      <c r="E1" s="1"/>
      <c r="F1" s="1"/>
      <c r="G1" s="1"/>
      <c r="H1" s="1"/>
      <c r="I1" s="1"/>
      <c r="J1" s="1"/>
      <c r="K1" s="1"/>
      <c r="L1" s="1"/>
      <c r="M1" s="1"/>
      <c r="N1" s="1"/>
      <c r="O1" s="1"/>
      <c r="P1" s="1"/>
      <c r="Q1" s="1"/>
      <c r="R1" s="1"/>
      <c r="S1" s="1"/>
      <c r="T1" s="1"/>
      <c r="U1" s="1"/>
      <c r="X1" s="1"/>
    </row>
    <row r="2" spans="1:25" ht="15.75" thickBot="1" x14ac:dyDescent="0.3">
      <c r="Y2" s="6" t="s">
        <v>40</v>
      </c>
    </row>
    <row r="3" spans="1:25" ht="20.25" thickTop="1" x14ac:dyDescent="0.25">
      <c r="A3" s="2" t="s">
        <v>385</v>
      </c>
      <c r="B3" s="2"/>
      <c r="C3" s="2"/>
      <c r="D3" s="2"/>
      <c r="E3" s="2"/>
      <c r="F3" s="2"/>
      <c r="G3" s="2"/>
      <c r="H3" s="2"/>
      <c r="I3" s="2"/>
      <c r="J3" s="2"/>
      <c r="K3" s="2"/>
      <c r="L3" s="2"/>
      <c r="M3" s="2"/>
      <c r="N3" s="2"/>
      <c r="O3" s="2"/>
      <c r="P3" s="2"/>
      <c r="Q3" s="2"/>
      <c r="R3" s="2"/>
      <c r="S3" s="2"/>
      <c r="T3" s="2"/>
      <c r="U3" s="2"/>
      <c r="V3" s="2"/>
      <c r="W3" s="2"/>
      <c r="X3" s="2"/>
      <c r="Y3" s="95"/>
    </row>
    <row r="4" spans="1:25" ht="15.75" thickBot="1" x14ac:dyDescent="0.3">
      <c r="U4" s="28"/>
      <c r="X4" s="28"/>
    </row>
    <row r="5" spans="1:25" ht="18" thickTop="1" x14ac:dyDescent="0.25">
      <c r="A5" s="3"/>
      <c r="B5" s="3"/>
      <c r="C5" s="3"/>
      <c r="D5" s="3"/>
      <c r="E5" s="3" t="s">
        <v>386</v>
      </c>
      <c r="F5" s="3"/>
      <c r="G5" s="3"/>
      <c r="H5" s="3"/>
      <c r="I5" s="3"/>
      <c r="J5" s="3"/>
      <c r="K5" s="3"/>
      <c r="L5" s="3"/>
      <c r="M5" s="3" t="s">
        <v>387</v>
      </c>
      <c r="N5" s="3"/>
      <c r="O5" s="3"/>
      <c r="P5" s="3"/>
      <c r="Q5" s="3"/>
      <c r="R5" s="3"/>
      <c r="S5" s="3"/>
      <c r="T5" s="3"/>
      <c r="U5" s="3" t="s">
        <v>8</v>
      </c>
      <c r="V5" s="3"/>
      <c r="W5" s="3"/>
      <c r="X5" s="3"/>
      <c r="Y5" s="3"/>
    </row>
    <row r="6" spans="1:25" x14ac:dyDescent="0.25">
      <c r="V6" s="65"/>
      <c r="W6" s="65"/>
      <c r="Y6"/>
    </row>
    <row r="7" spans="1:25" ht="30" x14ac:dyDescent="0.25">
      <c r="D7" s="104"/>
      <c r="F7" s="104"/>
      <c r="G7" s="41">
        <v>2025</v>
      </c>
      <c r="H7" s="41">
        <v>2026</v>
      </c>
      <c r="I7" s="41">
        <v>2027</v>
      </c>
      <c r="J7" s="41">
        <v>2028</v>
      </c>
      <c r="K7" s="41">
        <v>2029</v>
      </c>
      <c r="L7" s="104"/>
      <c r="N7" s="104"/>
      <c r="O7" s="41">
        <v>2025</v>
      </c>
      <c r="P7" s="41">
        <v>2026</v>
      </c>
      <c r="Q7" s="41">
        <v>2027</v>
      </c>
      <c r="R7" s="41">
        <v>2028</v>
      </c>
      <c r="S7" s="41">
        <v>2029</v>
      </c>
      <c r="T7" s="104"/>
      <c r="V7" s="96" t="s">
        <v>388</v>
      </c>
      <c r="W7" s="96" t="s">
        <v>389</v>
      </c>
      <c r="Y7" s="6" t="s">
        <v>390</v>
      </c>
    </row>
    <row r="8" spans="1:25" x14ac:dyDescent="0.25">
      <c r="B8" t="s">
        <v>391</v>
      </c>
      <c r="D8" s="104"/>
      <c r="F8" s="104" t="s">
        <v>583</v>
      </c>
      <c r="G8" s="112">
        <f>SUMIF($D$20:$D$60,$F8,F$20:F$60)+ SUMIF($D$20:$D$60,$F8,G$20:G$60)</f>
        <v>3852</v>
      </c>
      <c r="H8" s="72">
        <f>SUMIF($D$20:$D$60,$F8,H$20:H$60)</f>
        <v>1463</v>
      </c>
      <c r="I8" s="72">
        <f>SUMIF($D$20:$D$60,$F8,I$20:I$60)</f>
        <v>1179</v>
      </c>
      <c r="J8" s="72">
        <f>SUMIF($D$20:$D$60,$F8,J$20:J$60)</f>
        <v>2140</v>
      </c>
      <c r="K8" s="72">
        <f>SUMIF($D$20:$D$60,$F8,K$20:K$60)</f>
        <v>277</v>
      </c>
      <c r="L8" s="104"/>
      <c r="N8" s="117" t="s">
        <v>604</v>
      </c>
      <c r="O8" s="114">
        <f>(SUMIF($D$20:$D$60,$F8,F$20:F$60)+ SUMIF($D$20:$D$60,$F8,G$20:G$60))*(4/12)</f>
        <v>1284</v>
      </c>
      <c r="P8" s="111">
        <f>SUM($G8:H8)</f>
        <v>5315</v>
      </c>
      <c r="Q8" s="111">
        <f>SUM($G8:I8)</f>
        <v>6494</v>
      </c>
      <c r="R8" s="111">
        <f>SUM($G8:J8)</f>
        <v>8634</v>
      </c>
      <c r="S8" s="111">
        <f>SUM($G8:K8)</f>
        <v>8911</v>
      </c>
      <c r="T8" s="130"/>
      <c r="U8" s="128"/>
      <c r="V8" s="47">
        <v>24.850818469692427</v>
      </c>
      <c r="W8" s="47">
        <v>21.123195699238561</v>
      </c>
      <c r="X8" s="131"/>
      <c r="Y8" s="6" t="s">
        <v>392</v>
      </c>
    </row>
    <row r="9" spans="1:25" x14ac:dyDescent="0.25">
      <c r="B9" t="s">
        <v>393</v>
      </c>
      <c r="D9" s="104"/>
      <c r="F9" s="104" t="s">
        <v>583</v>
      </c>
      <c r="G9" s="112">
        <f>SUMIF($D$20:$D$60,$F9,N$20:N$60)+ SUMIF($D$20:$D$60,$F9,O$20:O$60)</f>
        <v>694</v>
      </c>
      <c r="H9" s="72">
        <f>SUMIF($D$20:$D$60,$F9,P$20:P$60)</f>
        <v>75</v>
      </c>
      <c r="I9" s="72">
        <f>SUMIF($D$20:$D$60,$F9,Q$20:Q$60)</f>
        <v>17</v>
      </c>
      <c r="J9" s="72">
        <f>SUMIF($D$20:$D$60,$F9,R$20:R$60)</f>
        <v>39</v>
      </c>
      <c r="K9" s="72">
        <f>SUMIF($D$20:$D$60,$F9,S$20:S$60)</f>
        <v>40</v>
      </c>
      <c r="L9" s="104"/>
      <c r="N9" s="117" t="s">
        <v>605</v>
      </c>
      <c r="O9" s="114">
        <f>(SUMIF($D$20:$D$60,$F9,N$20:N$60)+ SUMIF($D$20:$D$60,$F9,O$20:O$60))*(4/12)</f>
        <v>231.33333333333331</v>
      </c>
      <c r="P9" s="111">
        <f>SUM($G9:H9)</f>
        <v>769</v>
      </c>
      <c r="Q9" s="111">
        <f>SUM($G9:I9)</f>
        <v>786</v>
      </c>
      <c r="R9" s="111">
        <f>SUM($G9:J9)</f>
        <v>825</v>
      </c>
      <c r="S9" s="111">
        <f>SUM($G9:K9)</f>
        <v>865</v>
      </c>
      <c r="T9" s="130"/>
      <c r="U9" s="128"/>
      <c r="V9" s="47">
        <v>22.245046738825398</v>
      </c>
      <c r="W9" s="47">
        <v>18.908289728001588</v>
      </c>
      <c r="X9" s="131"/>
      <c r="Y9" s="6" t="s">
        <v>394</v>
      </c>
    </row>
    <row r="10" spans="1:25" ht="15.75" thickBot="1" x14ac:dyDescent="0.3">
      <c r="D10" s="104"/>
      <c r="F10" s="104"/>
      <c r="G10" s="103">
        <f>SUM(G8:G9)</f>
        <v>4546</v>
      </c>
      <c r="H10" s="103">
        <f>SUM(H8:H9)</f>
        <v>1538</v>
      </c>
      <c r="I10" s="103">
        <f>SUM(I8:I9)</f>
        <v>1196</v>
      </c>
      <c r="J10" s="103">
        <f>SUM(J8:J9)</f>
        <v>2179</v>
      </c>
      <c r="K10" s="103">
        <f>SUM(K8:K9)</f>
        <v>317</v>
      </c>
      <c r="L10" s="104"/>
      <c r="N10" s="117" t="s">
        <v>606</v>
      </c>
      <c r="O10" s="103">
        <f>SUM(O8:O9)</f>
        <v>1515.3333333333333</v>
      </c>
      <c r="P10" s="103">
        <f>SUM(P8:P9)</f>
        <v>6084</v>
      </c>
      <c r="Q10" s="103">
        <f>SUM(Q8:Q9)</f>
        <v>7280</v>
      </c>
      <c r="R10" s="103">
        <f>SUM(R8:R9)</f>
        <v>9459</v>
      </c>
      <c r="S10" s="103">
        <f>SUM(S8:S9)</f>
        <v>9776</v>
      </c>
      <c r="T10" s="104"/>
      <c r="U10" s="129"/>
      <c r="X10" s="28"/>
    </row>
    <row r="11" spans="1:25" ht="15.75" thickTop="1" x14ac:dyDescent="0.25">
      <c r="D11" s="104"/>
      <c r="F11" s="104"/>
      <c r="G11" s="104"/>
      <c r="H11" s="104"/>
      <c r="I11" s="104"/>
      <c r="J11" s="104"/>
      <c r="K11" s="104"/>
      <c r="L11" s="104"/>
      <c r="N11" s="104"/>
      <c r="O11" s="104"/>
      <c r="P11" s="104"/>
      <c r="Q11" s="104"/>
      <c r="R11" s="104"/>
      <c r="S11" s="104"/>
      <c r="T11" s="104"/>
      <c r="U11" s="28"/>
      <c r="X11" s="28"/>
    </row>
    <row r="12" spans="1:25" ht="15.75" thickBot="1" x14ac:dyDescent="0.3">
      <c r="D12" s="104"/>
      <c r="F12" s="104"/>
      <c r="G12" s="104">
        <f>G10/3</f>
        <v>1515.3333333333333</v>
      </c>
      <c r="H12" s="104">
        <f>G12*2</f>
        <v>3030.6666666666665</v>
      </c>
      <c r="I12" s="104"/>
      <c r="J12" s="104"/>
      <c r="K12" s="104"/>
      <c r="L12" s="104"/>
      <c r="N12" s="104"/>
      <c r="O12" s="115">
        <f>SUMPRODUCT(O8:O9,$V$8:$V$9)*12</f>
        <v>444653.66072800022</v>
      </c>
      <c r="P12" s="115">
        <f>SUMPRODUCT(P8:P9,$V$8:$V$9)*12</f>
        <v>1790262.4933028638</v>
      </c>
      <c r="Q12" s="115">
        <f>SUMPRODUCT(Q8:Q9,$V$8:$V$9)*12</f>
        <v>2146389.8625467927</v>
      </c>
      <c r="R12" s="115">
        <f>SUMPRODUCT(R8:R9,$V$8:$V$9)*12</f>
        <v>2794969.5627222643</v>
      </c>
      <c r="S12" s="115">
        <f>SUMPRODUCT(S8:S9,$V$8:$V$9)*12</f>
        <v>2888251.3057501581</v>
      </c>
      <c r="T12" s="104"/>
      <c r="U12" s="28"/>
      <c r="X12" s="28"/>
    </row>
    <row r="13" spans="1:25" ht="16.5" thickTop="1" thickBot="1" x14ac:dyDescent="0.3">
      <c r="H13" s="110">
        <f>H10</f>
        <v>1538</v>
      </c>
      <c r="I13" s="110">
        <f>I10</f>
        <v>1196</v>
      </c>
      <c r="J13" s="110">
        <f t="shared" ref="J13:K13" si="0">J10</f>
        <v>2179</v>
      </c>
      <c r="K13" s="110">
        <f t="shared" si="0"/>
        <v>317</v>
      </c>
      <c r="S13" s="74">
        <f>SUM(O12:S12)</f>
        <v>10064526.885050079</v>
      </c>
      <c r="T13" s="109"/>
      <c r="U13" s="133"/>
      <c r="X13" s="28"/>
    </row>
    <row r="14" spans="1:25" ht="16.5" thickTop="1" thickBot="1" x14ac:dyDescent="0.3">
      <c r="U14" s="28"/>
      <c r="X14" s="28"/>
    </row>
    <row r="15" spans="1:25" ht="20.25" thickTop="1" x14ac:dyDescent="0.25">
      <c r="A15" s="2" t="s">
        <v>15</v>
      </c>
      <c r="B15" s="2"/>
      <c r="C15" s="2"/>
      <c r="D15" s="2"/>
      <c r="E15" s="2"/>
      <c r="F15" s="2"/>
      <c r="G15" s="2"/>
      <c r="H15" s="2"/>
      <c r="I15" s="2"/>
      <c r="J15" s="2"/>
      <c r="K15" s="2"/>
      <c r="L15" s="2"/>
      <c r="M15" s="2"/>
      <c r="N15" s="2"/>
      <c r="O15" s="2"/>
      <c r="P15" s="2"/>
      <c r="Q15" s="2"/>
      <c r="R15" s="2"/>
      <c r="S15" s="2"/>
      <c r="T15" s="2"/>
      <c r="U15" s="2"/>
      <c r="V15" s="2"/>
      <c r="W15" s="2"/>
      <c r="X15" s="2"/>
      <c r="Y15" s="95" t="s">
        <v>395</v>
      </c>
    </row>
    <row r="16" spans="1:25" ht="15.75" thickBot="1" x14ac:dyDescent="0.3">
      <c r="U16" s="28"/>
      <c r="X16" s="28"/>
    </row>
    <row r="17" spans="1:25" ht="18" thickTop="1" x14ac:dyDescent="0.25">
      <c r="A17" s="3"/>
      <c r="B17" s="3"/>
      <c r="C17" s="3"/>
      <c r="D17" s="3"/>
      <c r="E17" s="3" t="s">
        <v>584</v>
      </c>
      <c r="F17" s="3"/>
      <c r="G17" s="3"/>
      <c r="H17" s="3"/>
      <c r="I17" s="3"/>
      <c r="J17" s="3"/>
      <c r="K17" s="3"/>
      <c r="L17" s="3"/>
      <c r="M17" s="3"/>
      <c r="N17" s="3"/>
      <c r="O17" s="3"/>
      <c r="P17" s="3"/>
      <c r="Q17" s="3"/>
      <c r="R17" s="3"/>
      <c r="S17" s="3"/>
      <c r="T17" s="3"/>
      <c r="U17" s="3" t="s">
        <v>396</v>
      </c>
      <c r="V17" s="3"/>
      <c r="W17" s="3"/>
      <c r="X17" s="3"/>
      <c r="Y17" s="3"/>
    </row>
    <row r="18" spans="1:25" x14ac:dyDescent="0.25">
      <c r="D18" s="65"/>
      <c r="F18" s="65" t="s">
        <v>397</v>
      </c>
      <c r="G18" s="65"/>
      <c r="L18" s="65"/>
      <c r="N18" s="65" t="s">
        <v>398</v>
      </c>
      <c r="O18" s="65" t="s">
        <v>398</v>
      </c>
      <c r="T18" s="65"/>
      <c r="V18" s="65"/>
      <c r="W18" s="65"/>
      <c r="Y18"/>
    </row>
    <row r="19" spans="1:25" x14ac:dyDescent="0.25">
      <c r="D19" s="107" t="s">
        <v>585</v>
      </c>
      <c r="F19" s="98" t="s">
        <v>586</v>
      </c>
      <c r="G19" s="98" t="s">
        <v>587</v>
      </c>
      <c r="H19" s="98">
        <v>2026</v>
      </c>
      <c r="I19" s="98">
        <v>2027</v>
      </c>
      <c r="J19" s="98">
        <v>2028</v>
      </c>
      <c r="K19" s="98">
        <v>2029</v>
      </c>
      <c r="L19" s="91" t="s">
        <v>7</v>
      </c>
      <c r="N19" s="98" t="s">
        <v>586</v>
      </c>
      <c r="O19" s="98" t="s">
        <v>587</v>
      </c>
      <c r="P19" s="98">
        <v>2026</v>
      </c>
      <c r="Q19" s="98">
        <v>2027</v>
      </c>
      <c r="R19" s="98">
        <v>2028</v>
      </c>
      <c r="S19" s="98">
        <v>2029</v>
      </c>
      <c r="T19" s="91" t="s">
        <v>7</v>
      </c>
      <c r="V19" s="96" t="s">
        <v>391</v>
      </c>
      <c r="W19" s="96" t="s">
        <v>393</v>
      </c>
      <c r="Y19" s="76" t="s">
        <v>588</v>
      </c>
    </row>
    <row r="20" spans="1:25" x14ac:dyDescent="0.25">
      <c r="B20" t="s">
        <v>399</v>
      </c>
      <c r="D20" s="20" t="s">
        <v>583</v>
      </c>
      <c r="F20" s="72">
        <v>25</v>
      </c>
      <c r="G20" s="72">
        <v>39</v>
      </c>
      <c r="H20" s="72">
        <v>16</v>
      </c>
      <c r="I20" s="72">
        <v>43</v>
      </c>
      <c r="J20" s="72">
        <v>108</v>
      </c>
      <c r="K20" s="72">
        <v>1</v>
      </c>
      <c r="L20" s="108">
        <f>SUM(F20:K20)</f>
        <v>232</v>
      </c>
      <c r="N20" s="72">
        <v>5</v>
      </c>
      <c r="O20" s="72">
        <v>0</v>
      </c>
      <c r="P20" s="72">
        <v>0</v>
      </c>
      <c r="Q20" s="72">
        <v>1</v>
      </c>
      <c r="R20" s="72">
        <v>3</v>
      </c>
      <c r="S20" s="72">
        <v>0</v>
      </c>
      <c r="T20" s="108">
        <f t="shared" ref="T20:T60" si="1">SUM(N20:S20)</f>
        <v>9</v>
      </c>
      <c r="V20" s="47">
        <v>0</v>
      </c>
      <c r="W20" s="47">
        <v>0</v>
      </c>
    </row>
    <row r="21" spans="1:25" x14ac:dyDescent="0.25">
      <c r="B21" t="s">
        <v>400</v>
      </c>
      <c r="D21" s="20" t="s">
        <v>583</v>
      </c>
      <c r="F21" s="72">
        <v>3</v>
      </c>
      <c r="G21" s="72">
        <v>0</v>
      </c>
      <c r="H21" s="72">
        <v>0</v>
      </c>
      <c r="I21" s="72">
        <v>0</v>
      </c>
      <c r="J21" s="72">
        <v>41</v>
      </c>
      <c r="K21" s="72">
        <v>0</v>
      </c>
      <c r="L21" s="108">
        <f>SUM(F21:K21)</f>
        <v>44</v>
      </c>
      <c r="N21" s="72"/>
      <c r="O21" s="72"/>
      <c r="P21" s="72"/>
      <c r="Q21" s="72"/>
      <c r="R21" s="72"/>
      <c r="S21" s="72"/>
      <c r="T21" s="108">
        <f t="shared" si="1"/>
        <v>0</v>
      </c>
      <c r="V21" s="47">
        <v>0</v>
      </c>
      <c r="W21" s="47">
        <v>0</v>
      </c>
    </row>
    <row r="22" spans="1:25" x14ac:dyDescent="0.25">
      <c r="B22" t="s">
        <v>401</v>
      </c>
      <c r="D22" s="20" t="s">
        <v>583</v>
      </c>
      <c r="F22" s="72">
        <v>85</v>
      </c>
      <c r="G22" s="72">
        <v>23</v>
      </c>
      <c r="H22" s="72">
        <v>6</v>
      </c>
      <c r="I22" s="72">
        <v>17</v>
      </c>
      <c r="J22" s="72">
        <v>62</v>
      </c>
      <c r="K22" s="72">
        <v>22</v>
      </c>
      <c r="L22" s="108">
        <f>SUM(F22:K22)</f>
        <v>215</v>
      </c>
      <c r="N22" s="72"/>
      <c r="O22" s="72"/>
      <c r="P22" s="72"/>
      <c r="Q22" s="72"/>
      <c r="R22" s="72"/>
      <c r="S22" s="72"/>
      <c r="T22" s="108">
        <f t="shared" si="1"/>
        <v>0</v>
      </c>
      <c r="V22" s="47">
        <v>0</v>
      </c>
      <c r="W22" s="47">
        <v>0</v>
      </c>
    </row>
    <row r="23" spans="1:25" x14ac:dyDescent="0.25">
      <c r="B23" t="s">
        <v>402</v>
      </c>
      <c r="D23" s="20" t="s">
        <v>583</v>
      </c>
      <c r="F23" s="72">
        <v>473</v>
      </c>
      <c r="G23" s="72">
        <v>0</v>
      </c>
      <c r="H23" s="72">
        <v>8</v>
      </c>
      <c r="I23" s="72">
        <v>152</v>
      </c>
      <c r="J23" s="72">
        <v>238</v>
      </c>
      <c r="K23" s="72">
        <v>1</v>
      </c>
      <c r="L23" s="138">
        <f>SUM(F23:K23)</f>
        <v>872</v>
      </c>
      <c r="N23" s="72">
        <v>68</v>
      </c>
      <c r="O23" s="72">
        <v>0</v>
      </c>
      <c r="P23" s="72">
        <v>1</v>
      </c>
      <c r="Q23" s="72">
        <v>0</v>
      </c>
      <c r="R23" s="72">
        <v>0</v>
      </c>
      <c r="S23" s="72">
        <v>0</v>
      </c>
      <c r="T23" s="138">
        <f t="shared" si="1"/>
        <v>69</v>
      </c>
      <c r="V23" s="47">
        <v>0</v>
      </c>
      <c r="W23" s="47">
        <v>0</v>
      </c>
    </row>
    <row r="24" spans="1:25" x14ac:dyDescent="0.25">
      <c r="B24" t="s">
        <v>403</v>
      </c>
      <c r="D24" s="20" t="s">
        <v>583</v>
      </c>
      <c r="F24" s="72">
        <v>56</v>
      </c>
      <c r="G24" s="72">
        <v>3</v>
      </c>
      <c r="H24" s="72">
        <v>6</v>
      </c>
      <c r="I24" s="72">
        <v>8</v>
      </c>
      <c r="J24" s="72">
        <v>3</v>
      </c>
      <c r="K24" s="72">
        <v>54</v>
      </c>
      <c r="L24" s="108">
        <f>SUM(F24:K24)</f>
        <v>130</v>
      </c>
      <c r="N24" s="72">
        <v>5</v>
      </c>
      <c r="O24" s="72">
        <v>0</v>
      </c>
      <c r="P24" s="72">
        <v>0</v>
      </c>
      <c r="Q24" s="72">
        <v>2</v>
      </c>
      <c r="R24" s="72">
        <v>0</v>
      </c>
      <c r="S24" s="72">
        <v>0</v>
      </c>
      <c r="T24" s="108">
        <f t="shared" si="1"/>
        <v>7</v>
      </c>
      <c r="V24" s="47">
        <v>0</v>
      </c>
      <c r="W24" s="47">
        <v>0</v>
      </c>
    </row>
    <row r="25" spans="1:25" x14ac:dyDescent="0.25">
      <c r="B25" t="s">
        <v>404</v>
      </c>
      <c r="D25" s="20" t="s">
        <v>583</v>
      </c>
      <c r="F25" s="72">
        <v>90</v>
      </c>
      <c r="G25" s="72">
        <v>0</v>
      </c>
      <c r="H25" s="72">
        <v>132</v>
      </c>
      <c r="I25" s="72">
        <v>4</v>
      </c>
      <c r="J25" s="72">
        <v>3</v>
      </c>
      <c r="K25" s="72">
        <v>8</v>
      </c>
      <c r="L25" s="108">
        <f t="shared" ref="L25:L60" si="2">SUM(F25:K25)</f>
        <v>237</v>
      </c>
      <c r="N25" s="72">
        <v>1</v>
      </c>
      <c r="O25" s="72">
        <v>0</v>
      </c>
      <c r="P25" s="72">
        <v>12</v>
      </c>
      <c r="Q25" s="72">
        <v>1</v>
      </c>
      <c r="R25" s="72">
        <v>0</v>
      </c>
      <c r="S25" s="72">
        <v>0</v>
      </c>
      <c r="T25" s="108">
        <f t="shared" si="1"/>
        <v>14</v>
      </c>
      <c r="V25" s="47">
        <v>0</v>
      </c>
      <c r="W25" s="47">
        <v>0</v>
      </c>
    </row>
    <row r="26" spans="1:25" x14ac:dyDescent="0.25">
      <c r="B26" t="s">
        <v>405</v>
      </c>
      <c r="D26" s="20" t="s">
        <v>583</v>
      </c>
      <c r="F26" s="72">
        <v>131</v>
      </c>
      <c r="G26" s="72">
        <v>12</v>
      </c>
      <c r="H26" s="72">
        <v>10</v>
      </c>
      <c r="I26" s="72">
        <v>7</v>
      </c>
      <c r="J26" s="72">
        <v>12</v>
      </c>
      <c r="K26" s="72">
        <v>4</v>
      </c>
      <c r="L26" s="108">
        <f t="shared" si="2"/>
        <v>176</v>
      </c>
      <c r="N26" s="72">
        <v>30</v>
      </c>
      <c r="O26" s="72">
        <v>0</v>
      </c>
      <c r="P26" s="72">
        <v>1</v>
      </c>
      <c r="Q26" s="72">
        <v>0</v>
      </c>
      <c r="R26" s="72">
        <v>0</v>
      </c>
      <c r="S26" s="72">
        <v>0</v>
      </c>
      <c r="T26" s="108">
        <f t="shared" si="1"/>
        <v>31</v>
      </c>
      <c r="V26" s="47">
        <v>0</v>
      </c>
      <c r="W26" s="47">
        <v>0</v>
      </c>
    </row>
    <row r="27" spans="1:25" x14ac:dyDescent="0.25">
      <c r="B27" t="s">
        <v>406</v>
      </c>
      <c r="D27" s="20" t="s">
        <v>583</v>
      </c>
      <c r="F27" s="72">
        <v>48</v>
      </c>
      <c r="G27" s="72">
        <v>9</v>
      </c>
      <c r="H27" s="72">
        <v>156</v>
      </c>
      <c r="I27" s="72">
        <v>44</v>
      </c>
      <c r="J27" s="72">
        <v>32</v>
      </c>
      <c r="K27" s="72">
        <v>5</v>
      </c>
      <c r="L27" s="108">
        <f t="shared" si="2"/>
        <v>294</v>
      </c>
      <c r="N27" s="72">
        <v>2</v>
      </c>
      <c r="O27" s="72">
        <v>0</v>
      </c>
      <c r="P27" s="72">
        <v>0</v>
      </c>
      <c r="Q27" s="72">
        <v>0</v>
      </c>
      <c r="R27" s="72">
        <v>0</v>
      </c>
      <c r="S27" s="72">
        <v>0</v>
      </c>
      <c r="T27" s="108">
        <f t="shared" si="1"/>
        <v>2</v>
      </c>
      <c r="V27" s="47">
        <v>0</v>
      </c>
      <c r="W27" s="47">
        <v>0</v>
      </c>
    </row>
    <row r="28" spans="1:25" x14ac:dyDescent="0.25">
      <c r="B28" t="s">
        <v>407</v>
      </c>
      <c r="D28" s="20" t="s">
        <v>583</v>
      </c>
      <c r="F28" s="72">
        <v>332</v>
      </c>
      <c r="G28" s="72">
        <v>6</v>
      </c>
      <c r="H28" s="72">
        <v>81</v>
      </c>
      <c r="I28" s="72">
        <v>83</v>
      </c>
      <c r="J28" s="72">
        <v>133</v>
      </c>
      <c r="K28" s="72">
        <v>35</v>
      </c>
      <c r="L28" s="108">
        <f t="shared" si="2"/>
        <v>670</v>
      </c>
      <c r="N28" s="72">
        <v>66</v>
      </c>
      <c r="O28" s="72">
        <v>0</v>
      </c>
      <c r="P28" s="72">
        <v>18</v>
      </c>
      <c r="Q28" s="72">
        <v>11</v>
      </c>
      <c r="R28" s="72">
        <v>28</v>
      </c>
      <c r="S28" s="72">
        <v>30</v>
      </c>
      <c r="T28" s="108">
        <f t="shared" si="1"/>
        <v>153</v>
      </c>
      <c r="V28" s="47">
        <v>0</v>
      </c>
      <c r="W28" s="47">
        <v>0</v>
      </c>
    </row>
    <row r="29" spans="1:25" x14ac:dyDescent="0.25">
      <c r="B29" t="s">
        <v>408</v>
      </c>
      <c r="D29" s="20" t="s">
        <v>625</v>
      </c>
      <c r="F29" s="72">
        <v>26</v>
      </c>
      <c r="G29" s="72">
        <v>0</v>
      </c>
      <c r="H29" s="72">
        <v>0</v>
      </c>
      <c r="I29" s="72">
        <v>1</v>
      </c>
      <c r="J29" s="72">
        <v>0</v>
      </c>
      <c r="K29" s="72">
        <v>0</v>
      </c>
      <c r="L29" s="108">
        <f t="shared" si="2"/>
        <v>27</v>
      </c>
      <c r="N29" s="72"/>
      <c r="O29" s="72"/>
      <c r="P29" s="72"/>
      <c r="Q29" s="72"/>
      <c r="R29" s="72"/>
      <c r="S29" s="72"/>
      <c r="T29" s="108">
        <f t="shared" si="1"/>
        <v>0</v>
      </c>
      <c r="V29" s="47">
        <v>1609.511859052325</v>
      </c>
      <c r="W29" s="47">
        <v>0</v>
      </c>
    </row>
    <row r="30" spans="1:25" x14ac:dyDescent="0.25">
      <c r="B30" t="s">
        <v>409</v>
      </c>
      <c r="D30" s="20" t="s">
        <v>583</v>
      </c>
      <c r="F30" s="72">
        <v>425</v>
      </c>
      <c r="G30" s="72">
        <v>44</v>
      </c>
      <c r="H30" s="72">
        <v>138</v>
      </c>
      <c r="I30" s="72">
        <v>112</v>
      </c>
      <c r="J30" s="72">
        <v>280</v>
      </c>
      <c r="K30" s="72">
        <v>0</v>
      </c>
      <c r="L30" s="108">
        <f t="shared" si="2"/>
        <v>999</v>
      </c>
      <c r="N30" s="72">
        <v>157</v>
      </c>
      <c r="O30" s="72">
        <v>0</v>
      </c>
      <c r="P30" s="72">
        <v>0</v>
      </c>
      <c r="Q30" s="72">
        <v>0</v>
      </c>
      <c r="R30" s="72">
        <v>0</v>
      </c>
      <c r="S30" s="72">
        <v>0</v>
      </c>
      <c r="T30" s="108">
        <f t="shared" si="1"/>
        <v>157</v>
      </c>
      <c r="V30" s="47">
        <v>0</v>
      </c>
      <c r="W30" s="47">
        <v>0</v>
      </c>
    </row>
    <row r="31" spans="1:25" x14ac:dyDescent="0.25">
      <c r="B31" t="s">
        <v>410</v>
      </c>
      <c r="D31" s="20" t="s">
        <v>583</v>
      </c>
      <c r="F31" s="72">
        <v>21</v>
      </c>
      <c r="G31" s="72">
        <v>0</v>
      </c>
      <c r="H31" s="72">
        <v>2</v>
      </c>
      <c r="I31" s="72">
        <v>1</v>
      </c>
      <c r="J31" s="72">
        <v>58</v>
      </c>
      <c r="K31" s="72">
        <v>0</v>
      </c>
      <c r="L31" s="108">
        <f t="shared" si="2"/>
        <v>82</v>
      </c>
      <c r="N31" s="72">
        <v>11</v>
      </c>
      <c r="O31" s="72">
        <v>0</v>
      </c>
      <c r="P31" s="72">
        <v>0</v>
      </c>
      <c r="Q31" s="72">
        <v>0</v>
      </c>
      <c r="R31" s="72">
        <v>0</v>
      </c>
      <c r="S31" s="72">
        <v>0</v>
      </c>
      <c r="T31" s="108">
        <f t="shared" si="1"/>
        <v>11</v>
      </c>
      <c r="V31" s="47">
        <v>0</v>
      </c>
      <c r="W31" s="47">
        <v>0</v>
      </c>
    </row>
    <row r="32" spans="1:25" x14ac:dyDescent="0.25">
      <c r="B32" t="s">
        <v>411</v>
      </c>
      <c r="D32" s="20" t="s">
        <v>583</v>
      </c>
      <c r="F32" s="72">
        <v>5</v>
      </c>
      <c r="G32" s="72">
        <v>0</v>
      </c>
      <c r="H32" s="72">
        <v>5</v>
      </c>
      <c r="I32" s="72">
        <v>0</v>
      </c>
      <c r="J32" s="72">
        <v>0</v>
      </c>
      <c r="K32" s="72">
        <v>0</v>
      </c>
      <c r="L32" s="108">
        <f t="shared" si="2"/>
        <v>10</v>
      </c>
      <c r="N32" s="72"/>
      <c r="O32" s="72"/>
      <c r="P32" s="72"/>
      <c r="Q32" s="72"/>
      <c r="R32" s="72"/>
      <c r="S32" s="72"/>
      <c r="T32" s="108">
        <f t="shared" si="1"/>
        <v>0</v>
      </c>
      <c r="V32" s="47">
        <v>0</v>
      </c>
      <c r="W32" s="47">
        <v>0</v>
      </c>
    </row>
    <row r="33" spans="2:25" x14ac:dyDescent="0.25">
      <c r="B33" t="s">
        <v>412</v>
      </c>
      <c r="D33" s="20" t="s">
        <v>583</v>
      </c>
      <c r="F33" s="72">
        <v>21</v>
      </c>
      <c r="G33" s="72">
        <v>0</v>
      </c>
      <c r="H33" s="72">
        <v>19</v>
      </c>
      <c r="I33" s="72">
        <v>3</v>
      </c>
      <c r="J33" s="72">
        <v>20</v>
      </c>
      <c r="K33" s="72">
        <v>0</v>
      </c>
      <c r="L33" s="108">
        <f t="shared" si="2"/>
        <v>63</v>
      </c>
      <c r="N33" s="72"/>
      <c r="O33" s="72"/>
      <c r="P33" s="72"/>
      <c r="Q33" s="72"/>
      <c r="R33" s="72"/>
      <c r="S33" s="72"/>
      <c r="T33" s="108">
        <f t="shared" si="1"/>
        <v>0</v>
      </c>
      <c r="V33" s="47">
        <v>0</v>
      </c>
      <c r="W33" s="47">
        <v>0</v>
      </c>
    </row>
    <row r="34" spans="2:25" x14ac:dyDescent="0.25">
      <c r="B34" t="s">
        <v>413</v>
      </c>
      <c r="D34" s="20" t="s">
        <v>583</v>
      </c>
      <c r="F34" s="72">
        <v>0</v>
      </c>
      <c r="G34" s="72">
        <v>0</v>
      </c>
      <c r="H34" s="72">
        <v>0</v>
      </c>
      <c r="I34" s="72">
        <v>14</v>
      </c>
      <c r="J34" s="72">
        <v>0</v>
      </c>
      <c r="K34" s="72">
        <v>0</v>
      </c>
      <c r="L34" s="108">
        <f t="shared" si="2"/>
        <v>14</v>
      </c>
      <c r="N34" s="72"/>
      <c r="O34" s="72"/>
      <c r="P34" s="72"/>
      <c r="Q34" s="72"/>
      <c r="R34" s="72"/>
      <c r="S34" s="72"/>
      <c r="T34" s="108">
        <f t="shared" si="1"/>
        <v>0</v>
      </c>
      <c r="V34" s="47">
        <v>0</v>
      </c>
      <c r="W34" s="47">
        <v>0</v>
      </c>
    </row>
    <row r="35" spans="2:25" x14ac:dyDescent="0.25">
      <c r="B35" t="s">
        <v>414</v>
      </c>
      <c r="D35" s="20" t="s">
        <v>583</v>
      </c>
      <c r="F35" s="72">
        <v>42</v>
      </c>
      <c r="G35" s="72">
        <v>0</v>
      </c>
      <c r="H35" s="72">
        <v>0</v>
      </c>
      <c r="I35" s="72">
        <v>2</v>
      </c>
      <c r="J35" s="72">
        <v>0</v>
      </c>
      <c r="K35" s="72">
        <v>0</v>
      </c>
      <c r="L35" s="108">
        <f t="shared" si="2"/>
        <v>44</v>
      </c>
      <c r="N35" s="72"/>
      <c r="O35" s="72"/>
      <c r="P35" s="72"/>
      <c r="Q35" s="72"/>
      <c r="R35" s="72"/>
      <c r="S35" s="72"/>
      <c r="T35" s="108">
        <f t="shared" si="1"/>
        <v>0</v>
      </c>
      <c r="V35" s="47">
        <v>0</v>
      </c>
      <c r="W35" s="47">
        <v>0</v>
      </c>
    </row>
    <row r="36" spans="2:25" x14ac:dyDescent="0.25">
      <c r="B36" t="s">
        <v>415</v>
      </c>
      <c r="D36" s="20" t="s">
        <v>625</v>
      </c>
      <c r="F36" s="72">
        <v>44</v>
      </c>
      <c r="G36" s="72">
        <v>5</v>
      </c>
      <c r="H36" s="72">
        <v>0</v>
      </c>
      <c r="I36" s="72">
        <v>18</v>
      </c>
      <c r="J36" s="72">
        <v>9</v>
      </c>
      <c r="K36" s="72">
        <v>1</v>
      </c>
      <c r="L36" s="108">
        <f t="shared" si="2"/>
        <v>77</v>
      </c>
      <c r="N36" s="72">
        <v>3</v>
      </c>
      <c r="O36" s="72">
        <v>0</v>
      </c>
      <c r="P36" s="72">
        <v>0</v>
      </c>
      <c r="Q36" s="72">
        <v>0</v>
      </c>
      <c r="R36" s="72">
        <v>0</v>
      </c>
      <c r="S36" s="72">
        <v>0</v>
      </c>
      <c r="T36" s="108">
        <f t="shared" si="1"/>
        <v>3</v>
      </c>
      <c r="V36" s="47">
        <v>1383.1752598180035</v>
      </c>
      <c r="W36" s="47">
        <v>1534.0659906592471</v>
      </c>
      <c r="Y36" s="127"/>
    </row>
    <row r="37" spans="2:25" x14ac:dyDescent="0.25">
      <c r="B37" t="s">
        <v>416</v>
      </c>
      <c r="D37" s="20" t="s">
        <v>583</v>
      </c>
      <c r="F37" s="72">
        <v>9</v>
      </c>
      <c r="G37" s="72">
        <v>2</v>
      </c>
      <c r="H37" s="72">
        <v>1</v>
      </c>
      <c r="I37" s="72">
        <v>27</v>
      </c>
      <c r="J37" s="72">
        <v>0</v>
      </c>
      <c r="K37" s="72">
        <v>0</v>
      </c>
      <c r="L37" s="108">
        <f t="shared" si="2"/>
        <v>39</v>
      </c>
      <c r="N37" s="72"/>
      <c r="O37" s="72"/>
      <c r="P37" s="72"/>
      <c r="Q37" s="72"/>
      <c r="R37" s="72"/>
      <c r="S37" s="72"/>
      <c r="T37" s="108">
        <f t="shared" si="1"/>
        <v>0</v>
      </c>
      <c r="V37" s="47">
        <v>0</v>
      </c>
      <c r="W37" s="47">
        <v>0</v>
      </c>
    </row>
    <row r="38" spans="2:25" x14ac:dyDescent="0.25">
      <c r="B38" t="s">
        <v>417</v>
      </c>
      <c r="D38" s="20" t="s">
        <v>583</v>
      </c>
      <c r="F38" s="72">
        <v>221</v>
      </c>
      <c r="G38" s="72">
        <v>5</v>
      </c>
      <c r="H38" s="72">
        <v>159</v>
      </c>
      <c r="I38" s="72">
        <v>13</v>
      </c>
      <c r="J38" s="72">
        <v>8</v>
      </c>
      <c r="K38" s="72">
        <v>0</v>
      </c>
      <c r="L38" s="108">
        <f t="shared" si="2"/>
        <v>406</v>
      </c>
      <c r="N38" s="72">
        <v>0</v>
      </c>
      <c r="O38" s="72">
        <v>0</v>
      </c>
      <c r="P38" s="72">
        <v>27</v>
      </c>
      <c r="Q38" s="72">
        <v>0</v>
      </c>
      <c r="R38" s="72">
        <v>0</v>
      </c>
      <c r="S38" s="72">
        <v>0</v>
      </c>
      <c r="T38" s="108">
        <f t="shared" si="1"/>
        <v>27</v>
      </c>
      <c r="V38" s="47">
        <v>0</v>
      </c>
      <c r="W38" s="47">
        <v>0</v>
      </c>
    </row>
    <row r="39" spans="2:25" x14ac:dyDescent="0.25">
      <c r="B39" t="s">
        <v>418</v>
      </c>
      <c r="D39" s="20" t="s">
        <v>583</v>
      </c>
      <c r="F39" s="72">
        <v>16</v>
      </c>
      <c r="G39" s="72">
        <v>0</v>
      </c>
      <c r="H39" s="72">
        <v>0</v>
      </c>
      <c r="I39" s="72">
        <v>3</v>
      </c>
      <c r="J39" s="72">
        <v>3</v>
      </c>
      <c r="K39" s="72">
        <v>0</v>
      </c>
      <c r="L39" s="108">
        <f t="shared" si="2"/>
        <v>22</v>
      </c>
      <c r="N39" s="72"/>
      <c r="O39" s="72"/>
      <c r="P39" s="72"/>
      <c r="Q39" s="72"/>
      <c r="R39" s="72"/>
      <c r="S39" s="72"/>
      <c r="T39" s="108">
        <f t="shared" si="1"/>
        <v>0</v>
      </c>
      <c r="V39" s="47">
        <v>0</v>
      </c>
      <c r="W39" s="47">
        <v>0</v>
      </c>
    </row>
    <row r="40" spans="2:25" x14ac:dyDescent="0.25">
      <c r="B40" t="s">
        <v>419</v>
      </c>
      <c r="D40" s="20" t="s">
        <v>583</v>
      </c>
      <c r="F40" s="72">
        <v>26</v>
      </c>
      <c r="G40" s="72">
        <v>0</v>
      </c>
      <c r="H40" s="72">
        <v>0</v>
      </c>
      <c r="I40" s="72">
        <v>0</v>
      </c>
      <c r="J40" s="72">
        <v>0</v>
      </c>
      <c r="K40" s="72">
        <v>0</v>
      </c>
      <c r="L40" s="108">
        <f t="shared" si="2"/>
        <v>26</v>
      </c>
      <c r="N40" s="72">
        <v>7</v>
      </c>
      <c r="O40" s="72">
        <v>0</v>
      </c>
      <c r="P40" s="72">
        <v>0</v>
      </c>
      <c r="Q40" s="72">
        <v>0</v>
      </c>
      <c r="R40" s="72">
        <v>0</v>
      </c>
      <c r="S40" s="72">
        <v>0</v>
      </c>
      <c r="T40" s="108">
        <f t="shared" si="1"/>
        <v>7</v>
      </c>
      <c r="V40" s="47">
        <v>0</v>
      </c>
      <c r="W40" s="47">
        <v>0</v>
      </c>
    </row>
    <row r="41" spans="2:25" x14ac:dyDescent="0.25">
      <c r="B41" t="s">
        <v>420</v>
      </c>
      <c r="D41" s="20" t="s">
        <v>583</v>
      </c>
      <c r="F41" s="72">
        <v>8</v>
      </c>
      <c r="G41" s="72">
        <v>0</v>
      </c>
      <c r="H41" s="72">
        <v>13</v>
      </c>
      <c r="I41" s="72">
        <v>0</v>
      </c>
      <c r="J41" s="72">
        <v>0</v>
      </c>
      <c r="K41" s="72">
        <v>0</v>
      </c>
      <c r="L41" s="108">
        <f t="shared" si="2"/>
        <v>21</v>
      </c>
      <c r="N41" s="72"/>
      <c r="O41" s="72"/>
      <c r="P41" s="72"/>
      <c r="Q41" s="72"/>
      <c r="R41" s="72"/>
      <c r="S41" s="72"/>
      <c r="T41" s="108">
        <f t="shared" si="1"/>
        <v>0</v>
      </c>
      <c r="V41" s="47">
        <v>0</v>
      </c>
      <c r="W41" s="47">
        <v>0</v>
      </c>
    </row>
    <row r="42" spans="2:25" x14ac:dyDescent="0.25">
      <c r="B42" t="s">
        <v>421</v>
      </c>
      <c r="D42" s="20" t="s">
        <v>583</v>
      </c>
      <c r="F42" s="72">
        <v>611</v>
      </c>
      <c r="G42" s="72">
        <v>181</v>
      </c>
      <c r="H42" s="72">
        <v>438</v>
      </c>
      <c r="I42" s="72">
        <v>407</v>
      </c>
      <c r="J42" s="72">
        <v>584</v>
      </c>
      <c r="K42" s="72">
        <v>0</v>
      </c>
      <c r="L42" s="108">
        <f t="shared" si="2"/>
        <v>2221</v>
      </c>
      <c r="N42" s="72">
        <v>164</v>
      </c>
      <c r="O42" s="72">
        <v>5</v>
      </c>
      <c r="P42" s="72">
        <v>2</v>
      </c>
      <c r="Q42" s="72">
        <v>0</v>
      </c>
      <c r="R42" s="72">
        <v>0</v>
      </c>
      <c r="S42" s="72">
        <v>3</v>
      </c>
      <c r="T42" s="116">
        <f t="shared" si="1"/>
        <v>174</v>
      </c>
      <c r="V42" s="47">
        <v>0</v>
      </c>
      <c r="W42" s="47">
        <v>0</v>
      </c>
    </row>
    <row r="43" spans="2:25" x14ac:dyDescent="0.25">
      <c r="B43" t="s">
        <v>422</v>
      </c>
      <c r="D43" s="20" t="s">
        <v>583</v>
      </c>
      <c r="F43" s="72">
        <v>111</v>
      </c>
      <c r="G43" s="72">
        <v>0</v>
      </c>
      <c r="H43" s="72">
        <v>10</v>
      </c>
      <c r="I43" s="72">
        <v>3</v>
      </c>
      <c r="J43" s="72">
        <v>7</v>
      </c>
      <c r="K43" s="72">
        <v>5</v>
      </c>
      <c r="L43" s="108">
        <f t="shared" si="2"/>
        <v>136</v>
      </c>
      <c r="N43" s="72">
        <v>12</v>
      </c>
      <c r="O43" s="72">
        <v>0</v>
      </c>
      <c r="P43" s="72">
        <v>0</v>
      </c>
      <c r="Q43" s="72">
        <v>0</v>
      </c>
      <c r="R43" s="72">
        <v>0</v>
      </c>
      <c r="S43" s="72">
        <v>0</v>
      </c>
      <c r="T43" s="108">
        <f t="shared" si="1"/>
        <v>12</v>
      </c>
      <c r="V43" s="47">
        <v>0</v>
      </c>
      <c r="W43" s="47">
        <v>0</v>
      </c>
    </row>
    <row r="44" spans="2:25" x14ac:dyDescent="0.25">
      <c r="B44" t="s">
        <v>423</v>
      </c>
      <c r="D44" s="20" t="s">
        <v>583</v>
      </c>
      <c r="F44" s="72">
        <v>54</v>
      </c>
      <c r="G44" s="72">
        <v>0</v>
      </c>
      <c r="H44" s="72">
        <v>2</v>
      </c>
      <c r="I44" s="72">
        <v>9</v>
      </c>
      <c r="J44" s="72">
        <v>108</v>
      </c>
      <c r="K44" s="72">
        <v>0</v>
      </c>
      <c r="L44" s="108">
        <f t="shared" si="2"/>
        <v>173</v>
      </c>
      <c r="N44" s="72">
        <v>17</v>
      </c>
      <c r="O44" s="72">
        <v>0</v>
      </c>
      <c r="P44" s="72">
        <v>2</v>
      </c>
      <c r="Q44" s="72">
        <v>0</v>
      </c>
      <c r="R44" s="72">
        <v>2</v>
      </c>
      <c r="S44" s="72">
        <v>0</v>
      </c>
      <c r="T44" s="108">
        <f t="shared" si="1"/>
        <v>21</v>
      </c>
      <c r="V44" s="47">
        <v>0</v>
      </c>
      <c r="W44" s="47">
        <v>0</v>
      </c>
    </row>
    <row r="45" spans="2:25" x14ac:dyDescent="0.25">
      <c r="B45" t="s">
        <v>424</v>
      </c>
      <c r="D45" s="20" t="s">
        <v>583</v>
      </c>
      <c r="F45" s="72">
        <v>119</v>
      </c>
      <c r="G45" s="72">
        <v>8</v>
      </c>
      <c r="H45" s="72">
        <v>66</v>
      </c>
      <c r="I45" s="72">
        <v>7</v>
      </c>
      <c r="J45" s="72">
        <v>38</v>
      </c>
      <c r="K45" s="72">
        <v>0</v>
      </c>
      <c r="L45" s="108">
        <f t="shared" si="2"/>
        <v>238</v>
      </c>
      <c r="N45" s="72">
        <v>18</v>
      </c>
      <c r="O45" s="72">
        <v>0</v>
      </c>
      <c r="P45" s="72">
        <v>0</v>
      </c>
      <c r="Q45" s="72">
        <v>0</v>
      </c>
      <c r="R45" s="72">
        <v>6</v>
      </c>
      <c r="S45" s="72">
        <v>0</v>
      </c>
      <c r="T45" s="108">
        <f t="shared" si="1"/>
        <v>24</v>
      </c>
      <c r="V45" s="47">
        <v>0</v>
      </c>
      <c r="W45" s="47">
        <v>0</v>
      </c>
    </row>
    <row r="46" spans="2:25" x14ac:dyDescent="0.25">
      <c r="B46" t="s">
        <v>425</v>
      </c>
      <c r="D46" s="20" t="s">
        <v>583</v>
      </c>
      <c r="F46" s="72">
        <v>0</v>
      </c>
      <c r="G46" s="72">
        <v>0</v>
      </c>
      <c r="H46" s="72">
        <v>0</v>
      </c>
      <c r="I46" s="72">
        <v>0</v>
      </c>
      <c r="J46" s="72">
        <v>4</v>
      </c>
      <c r="K46" s="72">
        <v>0</v>
      </c>
      <c r="L46" s="108">
        <f t="shared" si="2"/>
        <v>4</v>
      </c>
      <c r="N46" s="72"/>
      <c r="O46" s="72"/>
      <c r="P46" s="72"/>
      <c r="Q46" s="72"/>
      <c r="R46" s="72"/>
      <c r="S46" s="72"/>
      <c r="T46" s="108">
        <f t="shared" si="1"/>
        <v>0</v>
      </c>
      <c r="V46" s="47">
        <v>0</v>
      </c>
      <c r="W46" s="47">
        <v>0</v>
      </c>
    </row>
    <row r="47" spans="2:25" x14ac:dyDescent="0.25">
      <c r="B47" t="s">
        <v>426</v>
      </c>
      <c r="D47" s="20" t="s">
        <v>583</v>
      </c>
      <c r="F47" s="72">
        <v>43</v>
      </c>
      <c r="G47" s="72">
        <v>0</v>
      </c>
      <c r="H47" s="72">
        <v>0</v>
      </c>
      <c r="I47" s="72">
        <v>0</v>
      </c>
      <c r="J47" s="72">
        <v>77</v>
      </c>
      <c r="K47" s="72">
        <v>0</v>
      </c>
      <c r="L47" s="108">
        <f t="shared" si="2"/>
        <v>120</v>
      </c>
      <c r="N47" s="72">
        <v>1</v>
      </c>
      <c r="O47" s="72">
        <v>0</v>
      </c>
      <c r="P47" s="72">
        <v>0</v>
      </c>
      <c r="Q47" s="72">
        <v>0</v>
      </c>
      <c r="R47" s="72">
        <v>0</v>
      </c>
      <c r="S47" s="72">
        <v>0</v>
      </c>
      <c r="T47" s="108">
        <f t="shared" si="1"/>
        <v>1</v>
      </c>
      <c r="V47" s="47">
        <v>0</v>
      </c>
      <c r="W47" s="47">
        <v>0</v>
      </c>
    </row>
    <row r="48" spans="2:25" x14ac:dyDescent="0.25">
      <c r="B48" t="s">
        <v>427</v>
      </c>
      <c r="D48" s="20" t="s">
        <v>583</v>
      </c>
      <c r="F48" s="72">
        <v>31</v>
      </c>
      <c r="G48" s="72">
        <v>1</v>
      </c>
      <c r="H48" s="72">
        <v>51</v>
      </c>
      <c r="I48" s="72">
        <v>0</v>
      </c>
      <c r="J48" s="72">
        <v>0</v>
      </c>
      <c r="K48" s="72">
        <v>9</v>
      </c>
      <c r="L48" s="108">
        <f t="shared" si="2"/>
        <v>92</v>
      </c>
      <c r="N48" s="72"/>
      <c r="O48" s="72"/>
      <c r="P48" s="72"/>
      <c r="Q48" s="72"/>
      <c r="R48" s="72"/>
      <c r="S48" s="72"/>
      <c r="T48" s="108">
        <f t="shared" si="1"/>
        <v>0</v>
      </c>
      <c r="V48" s="47">
        <v>0</v>
      </c>
      <c r="W48" s="47">
        <v>0</v>
      </c>
    </row>
    <row r="49" spans="2:24" x14ac:dyDescent="0.25">
      <c r="B49" t="s">
        <v>428</v>
      </c>
      <c r="D49" s="20" t="s">
        <v>583</v>
      </c>
      <c r="F49" s="72">
        <v>21</v>
      </c>
      <c r="G49" s="72">
        <v>0</v>
      </c>
      <c r="H49" s="72">
        <v>0</v>
      </c>
      <c r="I49" s="72">
        <v>0</v>
      </c>
      <c r="J49" s="72">
        <v>0</v>
      </c>
      <c r="K49" s="72">
        <v>1</v>
      </c>
      <c r="L49" s="108">
        <f t="shared" si="2"/>
        <v>22</v>
      </c>
      <c r="N49" s="72"/>
      <c r="O49" s="72"/>
      <c r="P49" s="72"/>
      <c r="Q49" s="72"/>
      <c r="R49" s="72"/>
      <c r="S49" s="72"/>
      <c r="T49" s="108">
        <f t="shared" si="1"/>
        <v>0</v>
      </c>
      <c r="V49" s="47">
        <v>0</v>
      </c>
      <c r="W49" s="47">
        <v>0</v>
      </c>
    </row>
    <row r="50" spans="2:24" x14ac:dyDescent="0.25">
      <c r="B50" t="s">
        <v>429</v>
      </c>
      <c r="D50" s="20" t="s">
        <v>583</v>
      </c>
      <c r="F50" s="72">
        <v>3</v>
      </c>
      <c r="G50" s="72">
        <v>0</v>
      </c>
      <c r="H50" s="72">
        <v>4</v>
      </c>
      <c r="I50" s="72">
        <v>13</v>
      </c>
      <c r="J50" s="72">
        <v>22</v>
      </c>
      <c r="K50" s="72">
        <v>0</v>
      </c>
      <c r="L50" s="108">
        <f t="shared" si="2"/>
        <v>42</v>
      </c>
      <c r="N50" s="72"/>
      <c r="O50" s="72"/>
      <c r="P50" s="72"/>
      <c r="Q50" s="72"/>
      <c r="R50" s="72"/>
      <c r="S50" s="72"/>
      <c r="T50" s="108">
        <f t="shared" si="1"/>
        <v>0</v>
      </c>
      <c r="V50" s="47">
        <v>0</v>
      </c>
      <c r="W50" s="47">
        <v>0</v>
      </c>
    </row>
    <row r="51" spans="2:24" x14ac:dyDescent="0.25">
      <c r="B51" t="s">
        <v>430</v>
      </c>
      <c r="D51" s="20" t="s">
        <v>583</v>
      </c>
      <c r="F51" s="72">
        <v>136</v>
      </c>
      <c r="G51" s="72">
        <v>0</v>
      </c>
      <c r="H51" s="72">
        <v>21</v>
      </c>
      <c r="I51" s="72">
        <v>5</v>
      </c>
      <c r="J51" s="72">
        <v>13</v>
      </c>
      <c r="K51" s="72">
        <v>0</v>
      </c>
      <c r="L51" s="108">
        <f t="shared" si="2"/>
        <v>175</v>
      </c>
      <c r="N51" s="72">
        <v>12</v>
      </c>
      <c r="O51" s="72">
        <v>0</v>
      </c>
      <c r="P51" s="72">
        <v>0</v>
      </c>
      <c r="Q51" s="72">
        <v>0</v>
      </c>
      <c r="R51" s="72">
        <v>0</v>
      </c>
      <c r="S51" s="72">
        <v>0</v>
      </c>
      <c r="T51" s="108">
        <f t="shared" si="1"/>
        <v>12</v>
      </c>
      <c r="V51" s="47">
        <v>0</v>
      </c>
      <c r="W51" s="47">
        <v>0</v>
      </c>
    </row>
    <row r="52" spans="2:24" x14ac:dyDescent="0.25">
      <c r="B52" t="s">
        <v>431</v>
      </c>
      <c r="D52" s="20" t="s">
        <v>583</v>
      </c>
      <c r="F52" s="72">
        <v>20</v>
      </c>
      <c r="G52" s="72">
        <v>0</v>
      </c>
      <c r="H52" s="72">
        <v>12</v>
      </c>
      <c r="I52" s="72">
        <v>11</v>
      </c>
      <c r="J52" s="72">
        <v>42</v>
      </c>
      <c r="K52" s="72">
        <v>0</v>
      </c>
      <c r="L52" s="108">
        <f t="shared" si="2"/>
        <v>85</v>
      </c>
      <c r="N52" s="72">
        <v>21</v>
      </c>
      <c r="O52" s="72">
        <v>0</v>
      </c>
      <c r="P52" s="72">
        <v>0</v>
      </c>
      <c r="Q52" s="72">
        <v>2</v>
      </c>
      <c r="R52" s="72">
        <v>0</v>
      </c>
      <c r="S52" s="72">
        <v>0</v>
      </c>
      <c r="T52" s="108">
        <f t="shared" si="1"/>
        <v>23</v>
      </c>
      <c r="V52" s="47">
        <v>0</v>
      </c>
      <c r="W52" s="47">
        <v>0</v>
      </c>
    </row>
    <row r="53" spans="2:24" x14ac:dyDescent="0.25">
      <c r="B53" t="s">
        <v>432</v>
      </c>
      <c r="D53" s="20" t="s">
        <v>583</v>
      </c>
      <c r="F53" s="72">
        <v>13</v>
      </c>
      <c r="G53" s="72">
        <v>13</v>
      </c>
      <c r="H53" s="72">
        <v>5</v>
      </c>
      <c r="I53" s="72">
        <v>2</v>
      </c>
      <c r="J53" s="72">
        <v>5</v>
      </c>
      <c r="K53" s="72">
        <v>6</v>
      </c>
      <c r="L53" s="108">
        <f t="shared" si="2"/>
        <v>44</v>
      </c>
      <c r="N53" s="72"/>
      <c r="O53" s="72"/>
      <c r="P53" s="72"/>
      <c r="Q53" s="72"/>
      <c r="R53" s="72"/>
      <c r="S53" s="72"/>
      <c r="T53" s="108">
        <f t="shared" si="1"/>
        <v>0</v>
      </c>
      <c r="V53" s="47">
        <v>0</v>
      </c>
      <c r="W53" s="47">
        <v>0</v>
      </c>
    </row>
    <row r="54" spans="2:24" x14ac:dyDescent="0.25">
      <c r="B54" t="s">
        <v>433</v>
      </c>
      <c r="D54" s="20" t="s">
        <v>583</v>
      </c>
      <c r="F54" s="72">
        <v>93</v>
      </c>
      <c r="G54" s="72">
        <v>0</v>
      </c>
      <c r="H54" s="72">
        <v>40</v>
      </c>
      <c r="I54" s="72">
        <v>2</v>
      </c>
      <c r="J54" s="72">
        <v>28</v>
      </c>
      <c r="K54" s="72">
        <v>76</v>
      </c>
      <c r="L54" s="108">
        <f t="shared" si="2"/>
        <v>239</v>
      </c>
      <c r="N54" s="72">
        <v>9</v>
      </c>
      <c r="O54" s="72">
        <v>0</v>
      </c>
      <c r="P54" s="72">
        <v>4</v>
      </c>
      <c r="Q54" s="72">
        <v>0</v>
      </c>
      <c r="R54" s="72">
        <v>0</v>
      </c>
      <c r="S54" s="72">
        <v>7</v>
      </c>
      <c r="T54" s="108">
        <f t="shared" si="1"/>
        <v>20</v>
      </c>
      <c r="V54" s="47">
        <v>0</v>
      </c>
      <c r="W54" s="47">
        <v>0</v>
      </c>
    </row>
    <row r="55" spans="2:24" x14ac:dyDescent="0.25">
      <c r="B55" t="s">
        <v>434</v>
      </c>
      <c r="D55" s="20" t="s">
        <v>583</v>
      </c>
      <c r="F55" s="72">
        <v>55</v>
      </c>
      <c r="G55" s="72">
        <v>0</v>
      </c>
      <c r="H55" s="72">
        <v>24</v>
      </c>
      <c r="I55" s="72">
        <v>0</v>
      </c>
      <c r="J55" s="72">
        <v>86</v>
      </c>
      <c r="K55" s="72">
        <v>0</v>
      </c>
      <c r="L55" s="108">
        <f t="shared" si="2"/>
        <v>165</v>
      </c>
      <c r="N55" s="72">
        <v>0</v>
      </c>
      <c r="O55" s="72">
        <v>0</v>
      </c>
      <c r="P55" s="72">
        <v>8</v>
      </c>
      <c r="Q55" s="72">
        <v>0</v>
      </c>
      <c r="R55" s="72">
        <v>0</v>
      </c>
      <c r="S55" s="72">
        <v>0</v>
      </c>
      <c r="T55" s="108">
        <f t="shared" si="1"/>
        <v>8</v>
      </c>
      <c r="V55" s="47">
        <v>0</v>
      </c>
      <c r="W55" s="47">
        <v>0</v>
      </c>
    </row>
    <row r="56" spans="2:24" x14ac:dyDescent="0.25">
      <c r="B56" t="s">
        <v>435</v>
      </c>
      <c r="D56" s="20" t="s">
        <v>625</v>
      </c>
      <c r="F56" s="72">
        <v>233</v>
      </c>
      <c r="G56" s="72">
        <v>0</v>
      </c>
      <c r="H56" s="72">
        <v>0</v>
      </c>
      <c r="I56" s="72">
        <v>0</v>
      </c>
      <c r="J56" s="72">
        <v>0</v>
      </c>
      <c r="K56" s="72">
        <v>0</v>
      </c>
      <c r="L56" s="108">
        <f t="shared" si="2"/>
        <v>233</v>
      </c>
      <c r="N56" s="72">
        <v>35</v>
      </c>
      <c r="O56" s="72">
        <v>0</v>
      </c>
      <c r="P56" s="72">
        <v>0</v>
      </c>
      <c r="Q56" s="72">
        <v>0</v>
      </c>
      <c r="R56" s="72">
        <v>0</v>
      </c>
      <c r="S56" s="72">
        <v>0</v>
      </c>
      <c r="T56" s="108">
        <f t="shared" si="1"/>
        <v>35</v>
      </c>
      <c r="V56" s="47">
        <v>1634.6604818500175</v>
      </c>
      <c r="W56" s="47">
        <v>1266.8618734337635</v>
      </c>
    </row>
    <row r="57" spans="2:24" x14ac:dyDescent="0.25">
      <c r="B57" t="s">
        <v>436</v>
      </c>
      <c r="D57" s="20" t="s">
        <v>583</v>
      </c>
      <c r="F57" s="72">
        <v>154</v>
      </c>
      <c r="G57" s="72">
        <v>1</v>
      </c>
      <c r="H57" s="72">
        <v>23</v>
      </c>
      <c r="I57" s="72">
        <v>83</v>
      </c>
      <c r="J57" s="72">
        <v>125</v>
      </c>
      <c r="K57" s="72">
        <v>50</v>
      </c>
      <c r="L57" s="108">
        <f t="shared" si="2"/>
        <v>436</v>
      </c>
      <c r="N57" s="72">
        <v>83</v>
      </c>
      <c r="O57" s="72">
        <v>0</v>
      </c>
      <c r="P57" s="72">
        <v>0</v>
      </c>
      <c r="Q57" s="72">
        <v>0</v>
      </c>
      <c r="R57" s="72">
        <v>0</v>
      </c>
      <c r="S57" s="72">
        <v>0</v>
      </c>
      <c r="T57" s="108">
        <f t="shared" si="1"/>
        <v>83</v>
      </c>
      <c r="V57" s="47">
        <v>0</v>
      </c>
      <c r="W57" s="47">
        <v>0</v>
      </c>
    </row>
    <row r="58" spans="2:24" x14ac:dyDescent="0.25">
      <c r="B58" t="s">
        <v>437</v>
      </c>
      <c r="D58" s="20" t="s">
        <v>583</v>
      </c>
      <c r="F58" s="72">
        <v>0</v>
      </c>
      <c r="G58" s="72">
        <v>0</v>
      </c>
      <c r="H58" s="72">
        <v>0</v>
      </c>
      <c r="I58" s="72">
        <v>102</v>
      </c>
      <c r="J58" s="72">
        <v>0</v>
      </c>
      <c r="K58" s="72">
        <v>0</v>
      </c>
      <c r="L58" s="108">
        <f t="shared" si="2"/>
        <v>102</v>
      </c>
      <c r="N58" s="72"/>
      <c r="O58" s="72"/>
      <c r="P58" s="72"/>
      <c r="Q58" s="72"/>
      <c r="R58" s="72"/>
      <c r="S58" s="72"/>
      <c r="T58" s="108">
        <f t="shared" si="1"/>
        <v>0</v>
      </c>
      <c r="V58" s="47">
        <v>0</v>
      </c>
      <c r="W58" s="47">
        <v>0</v>
      </c>
    </row>
    <row r="59" spans="2:24" x14ac:dyDescent="0.25">
      <c r="B59" t="s">
        <v>438</v>
      </c>
      <c r="D59" s="20" t="s">
        <v>625</v>
      </c>
      <c r="F59" s="72">
        <v>5</v>
      </c>
      <c r="G59" s="72">
        <v>0</v>
      </c>
      <c r="H59" s="72">
        <v>0</v>
      </c>
      <c r="I59" s="72">
        <v>0</v>
      </c>
      <c r="J59" s="72">
        <v>0</v>
      </c>
      <c r="K59" s="72">
        <v>0</v>
      </c>
      <c r="L59" s="108">
        <f t="shared" si="2"/>
        <v>5</v>
      </c>
      <c r="N59" s="72"/>
      <c r="O59" s="72"/>
      <c r="P59" s="72"/>
      <c r="Q59" s="72"/>
      <c r="R59" s="72"/>
      <c r="S59" s="72"/>
      <c r="T59" s="108">
        <f t="shared" si="1"/>
        <v>0</v>
      </c>
      <c r="V59" s="47">
        <v>1383.1742538730914</v>
      </c>
      <c r="W59" s="47">
        <v>0</v>
      </c>
    </row>
    <row r="60" spans="2:24" x14ac:dyDescent="0.25">
      <c r="B60" t="s">
        <v>439</v>
      </c>
      <c r="D60" s="20" t="s">
        <v>583</v>
      </c>
      <c r="F60" s="72">
        <v>4</v>
      </c>
      <c r="G60" s="72">
        <v>0</v>
      </c>
      <c r="H60" s="72">
        <v>15</v>
      </c>
      <c r="I60" s="72">
        <v>2</v>
      </c>
      <c r="J60" s="72">
        <v>0</v>
      </c>
      <c r="K60" s="72">
        <v>0</v>
      </c>
      <c r="L60" s="108">
        <f t="shared" si="2"/>
        <v>21</v>
      </c>
      <c r="N60" s="72"/>
      <c r="O60" s="72"/>
      <c r="P60" s="72"/>
      <c r="Q60" s="72"/>
      <c r="R60" s="72"/>
      <c r="S60" s="72"/>
      <c r="T60" s="108">
        <f t="shared" si="1"/>
        <v>0</v>
      </c>
      <c r="V60" s="47">
        <v>0</v>
      </c>
      <c r="W60" s="47">
        <v>0</v>
      </c>
    </row>
    <row r="61" spans="2:24" ht="15.75" thickBot="1" x14ac:dyDescent="0.3">
      <c r="F61" s="97">
        <f t="shared" ref="F61:L61" si="3">SUM(F20:F60)</f>
        <v>3813</v>
      </c>
      <c r="G61" s="97">
        <f t="shared" si="3"/>
        <v>352</v>
      </c>
      <c r="H61" s="97">
        <f t="shared" si="3"/>
        <v>1463</v>
      </c>
      <c r="I61" s="97">
        <f t="shared" si="3"/>
        <v>1198</v>
      </c>
      <c r="J61" s="97">
        <f t="shared" si="3"/>
        <v>2149</v>
      </c>
      <c r="K61" s="97">
        <f t="shared" si="3"/>
        <v>278</v>
      </c>
      <c r="L61" s="139">
        <f t="shared" si="3"/>
        <v>9253</v>
      </c>
      <c r="N61" s="97">
        <f t="shared" ref="N61:T61" si="4">SUM(N20:N60)</f>
        <v>727</v>
      </c>
      <c r="O61" s="97">
        <f t="shared" si="4"/>
        <v>5</v>
      </c>
      <c r="P61" s="97">
        <f t="shared" si="4"/>
        <v>75</v>
      </c>
      <c r="Q61" s="97">
        <f t="shared" si="4"/>
        <v>17</v>
      </c>
      <c r="R61" s="97">
        <f t="shared" si="4"/>
        <v>39</v>
      </c>
      <c r="S61" s="97">
        <f t="shared" si="4"/>
        <v>40</v>
      </c>
      <c r="T61" s="139">
        <f t="shared" si="4"/>
        <v>903</v>
      </c>
    </row>
    <row r="62" spans="2:24" ht="15.75" thickTop="1" x14ac:dyDescent="0.25"/>
    <row r="63" spans="2:24" ht="15.75" thickBot="1" x14ac:dyDescent="0.3">
      <c r="D63" s="28" t="s">
        <v>589</v>
      </c>
      <c r="F63" s="99">
        <f t="array" ref="F63">SUMPRODUCT(IF($D$20:$D$60="Non-DaaS",1, 0),F20:F60,$V20:$V60)</f>
        <v>490498.78330777219</v>
      </c>
      <c r="G63" s="99">
        <f t="array" ref="G63">SUMPRODUCT(IF($D$20:$D$60="Non-DaaS",1, 0),G20:G60,$V20:$V60)</f>
        <v>6915.8762990900177</v>
      </c>
      <c r="H63" s="99">
        <f t="array" ref="H63">SUMPRODUCT(IF($D$20:$D$60="Non-DaaS",1, 0),H20:H60,$V20:$V60)</f>
        <v>0</v>
      </c>
      <c r="I63" s="99">
        <f t="array" ref="I63">SUMPRODUCT(IF($D$20:$D$60="Non-DaaS",1, 0),I20:I60,$V20:$V60)</f>
        <v>26506.666535776385</v>
      </c>
      <c r="J63" s="99">
        <f t="array" ref="J63">SUMPRODUCT(IF($D$20:$D$60="Non-DaaS",1, 0),J20:J60,$V20:$V60)</f>
        <v>12448.577338362031</v>
      </c>
      <c r="K63" s="99">
        <f t="array" ref="K63">SUMPRODUCT(IF($D$20:$D$60="Non-DaaS",1, 0),K20:K60,$V20:$V60)</f>
        <v>1383.1752598180035</v>
      </c>
      <c r="N63" s="99" cm="1">
        <f t="array" ref="N63">SUMPRODUCT(IF($D$20:$D$60="Non-DaaS",1, 0),N20:N60,$W20:$W60)</f>
        <v>48942.363542159466</v>
      </c>
      <c r="O63" s="99" cm="1">
        <f t="array" ref="O63">SUMPRODUCT(IF($D$20:$D$60="Non-DaaS",1, 0),O20:O60,$W20:$W60)</f>
        <v>0</v>
      </c>
      <c r="P63" s="99" cm="1">
        <f t="array" ref="P63">SUMPRODUCT(IF($D$20:$D$60="Non-DaaS",1, 0),P20:P60,$W20:$W60)</f>
        <v>0</v>
      </c>
      <c r="Q63" s="99" cm="1">
        <f t="array" ref="Q63">SUMPRODUCT(IF($D$20:$D$60="Non-DaaS",1, 0),Q20:Q60,$W20:$W60)</f>
        <v>0</v>
      </c>
      <c r="R63" s="99" cm="1">
        <f t="array" ref="R63">SUMPRODUCT(IF($D$20:$D$60="Non-DaaS",1, 0),R20:R60,$W20:$W60)</f>
        <v>0</v>
      </c>
      <c r="S63" s="99" cm="1">
        <f t="array" ref="S63">SUMPRODUCT(IF($D$20:$D$60="Non-DaaS",1, 0),S20:S60,$W20:$W60)</f>
        <v>0</v>
      </c>
    </row>
    <row r="64" spans="2:24" ht="16.5" thickTop="1" thickBot="1" x14ac:dyDescent="0.3">
      <c r="K64" s="74">
        <f>SUM(F63:K63)</f>
        <v>537753.07874081866</v>
      </c>
      <c r="S64" s="74">
        <f>SUM(N63:S63)</f>
        <v>48942.363542159466</v>
      </c>
      <c r="U64" s="28"/>
      <c r="X64" s="28"/>
    </row>
    <row r="65" spans="1:25" ht="16.5" thickTop="1" thickBot="1" x14ac:dyDescent="0.3"/>
    <row r="66" spans="1:25" ht="20.25" thickTop="1" x14ac:dyDescent="0.25">
      <c r="A66" s="2" t="s">
        <v>440</v>
      </c>
      <c r="B66" s="2"/>
      <c r="C66" s="2"/>
      <c r="D66" s="2"/>
      <c r="E66" s="2"/>
      <c r="F66" s="2"/>
      <c r="G66" s="2"/>
      <c r="H66" s="2"/>
      <c r="I66" s="2"/>
      <c r="J66" s="2"/>
      <c r="K66" s="2"/>
      <c r="L66" s="2"/>
      <c r="M66" s="2"/>
      <c r="N66" s="2"/>
      <c r="O66" s="2"/>
      <c r="P66" s="2"/>
      <c r="Q66" s="2"/>
      <c r="R66" s="2"/>
      <c r="S66" s="2"/>
      <c r="T66" s="2"/>
      <c r="U66" s="2"/>
      <c r="V66" s="2"/>
      <c r="W66" s="2"/>
      <c r="X66" s="2"/>
      <c r="Y66" s="2"/>
    </row>
    <row r="67" spans="1:25" ht="15.75" thickBot="1" x14ac:dyDescent="0.3"/>
    <row r="68" spans="1:25" ht="18" thickTop="1" x14ac:dyDescent="0.25">
      <c r="B68" s="3" t="s">
        <v>441</v>
      </c>
      <c r="C68" s="3"/>
      <c r="D68" s="3"/>
      <c r="E68" s="3"/>
      <c r="F68" s="3" t="s">
        <v>442</v>
      </c>
      <c r="G68" s="3"/>
      <c r="H68" s="3"/>
      <c r="I68" s="3"/>
      <c r="J68" s="3"/>
      <c r="K68" s="3"/>
      <c r="L68" s="3"/>
      <c r="M68" s="3"/>
      <c r="N68" s="3" t="s">
        <v>10</v>
      </c>
      <c r="O68" s="3"/>
      <c r="P68" s="3" t="s">
        <v>443</v>
      </c>
      <c r="Q68" s="3"/>
      <c r="R68" s="3"/>
      <c r="S68" s="3"/>
      <c r="T68" s="3"/>
      <c r="U68" s="3"/>
      <c r="V68" s="3"/>
      <c r="W68" s="3"/>
      <c r="X68" s="3"/>
      <c r="Y68" s="3"/>
    </row>
    <row r="69" spans="1:25" x14ac:dyDescent="0.25">
      <c r="G69" s="41" t="s">
        <v>35</v>
      </c>
      <c r="H69" s="41" t="s">
        <v>444</v>
      </c>
      <c r="I69" s="41"/>
      <c r="J69" s="41" t="s">
        <v>445</v>
      </c>
      <c r="K69" s="41"/>
      <c r="O69" s="41" t="s">
        <v>35</v>
      </c>
      <c r="P69" s="41" t="s">
        <v>446</v>
      </c>
      <c r="Q69" s="41"/>
      <c r="R69" s="41" t="s">
        <v>447</v>
      </c>
      <c r="S69" s="41"/>
      <c r="Y69" s="76"/>
    </row>
    <row r="70" spans="1:25" x14ac:dyDescent="0.25">
      <c r="G70" s="41" t="s">
        <v>15</v>
      </c>
      <c r="H70" s="41" t="s">
        <v>448</v>
      </c>
      <c r="I70" s="41" t="s">
        <v>449</v>
      </c>
      <c r="J70" s="41" t="s">
        <v>448</v>
      </c>
      <c r="K70" s="41" t="s">
        <v>449</v>
      </c>
      <c r="O70" s="41" t="s">
        <v>450</v>
      </c>
      <c r="P70" s="41" t="s">
        <v>448</v>
      </c>
      <c r="Q70" s="41" t="s">
        <v>449</v>
      </c>
      <c r="R70" s="41" t="s">
        <v>448</v>
      </c>
      <c r="S70" s="41" t="s">
        <v>449</v>
      </c>
      <c r="Y70" s="76"/>
    </row>
    <row r="71" spans="1:25" x14ac:dyDescent="0.25">
      <c r="B71" t="s">
        <v>451</v>
      </c>
      <c r="G71" s="136">
        <v>65</v>
      </c>
      <c r="H71" s="137">
        <v>33452</v>
      </c>
      <c r="I71" s="135"/>
      <c r="J71" s="135"/>
      <c r="K71" s="135"/>
      <c r="O71" s="47">
        <v>13.623697360491528</v>
      </c>
      <c r="P71" s="105">
        <v>1.4837989047943473E-2</v>
      </c>
      <c r="Q71" s="106"/>
      <c r="R71" s="106"/>
      <c r="S71" s="106"/>
      <c r="Y71" s="6" t="s">
        <v>452</v>
      </c>
    </row>
    <row r="72" spans="1:25" x14ac:dyDescent="0.25">
      <c r="B72" t="s">
        <v>453</v>
      </c>
      <c r="G72" s="136">
        <v>1</v>
      </c>
      <c r="H72" s="137">
        <v>233</v>
      </c>
      <c r="I72" s="137" t="s">
        <v>633</v>
      </c>
      <c r="J72" s="135"/>
      <c r="K72" s="135"/>
      <c r="O72" s="47">
        <v>19.374547003870529</v>
      </c>
      <c r="P72" s="105">
        <v>1.5751533843166382E-2</v>
      </c>
      <c r="Q72" s="105">
        <v>7.6831676815237754E-2</v>
      </c>
      <c r="R72" s="106"/>
      <c r="S72" s="106"/>
      <c r="Y72" s="6" t="s">
        <v>454</v>
      </c>
    </row>
    <row r="73" spans="1:25" x14ac:dyDescent="0.25">
      <c r="B73" t="s">
        <v>455</v>
      </c>
      <c r="G73" s="136">
        <v>89</v>
      </c>
      <c r="H73" s="137">
        <v>73126</v>
      </c>
      <c r="I73" s="135"/>
      <c r="J73" s="135"/>
      <c r="K73" s="135"/>
      <c r="O73" s="47">
        <v>33.343819509488704</v>
      </c>
      <c r="P73" s="105">
        <v>9.0402569221489735E-3</v>
      </c>
      <c r="Q73" s="106"/>
      <c r="R73" s="106"/>
      <c r="S73" s="106"/>
      <c r="Y73" s="6" t="s">
        <v>456</v>
      </c>
    </row>
    <row r="74" spans="1:25" x14ac:dyDescent="0.25">
      <c r="B74" t="s">
        <v>457</v>
      </c>
      <c r="G74" s="136">
        <v>41</v>
      </c>
      <c r="H74" s="137">
        <v>17267</v>
      </c>
      <c r="I74" s="137">
        <v>24461</v>
      </c>
      <c r="J74" s="135"/>
      <c r="K74" s="135"/>
      <c r="O74" s="47">
        <v>41.737980781850496</v>
      </c>
      <c r="P74" s="105">
        <v>1.0092770280996794E-2</v>
      </c>
      <c r="Q74" s="105">
        <v>6.9905825532003446E-2</v>
      </c>
      <c r="R74" s="106"/>
      <c r="S74" s="106"/>
      <c r="Y74" s="6" t="s">
        <v>458</v>
      </c>
    </row>
    <row r="75" spans="1:25" x14ac:dyDescent="0.25">
      <c r="B75" t="s">
        <v>459</v>
      </c>
      <c r="G75" s="136">
        <v>14</v>
      </c>
      <c r="H75" s="137">
        <v>7291</v>
      </c>
      <c r="I75" s="135"/>
      <c r="J75" s="137">
        <v>729</v>
      </c>
      <c r="K75" s="135"/>
      <c r="O75" s="47">
        <v>64.448519330065594</v>
      </c>
      <c r="P75" s="105">
        <v>9.5851932404398682E-3</v>
      </c>
      <c r="Q75" s="106"/>
      <c r="R75" s="105">
        <v>1.9170386480879736E-2</v>
      </c>
      <c r="S75" s="106"/>
      <c r="T75" s="126"/>
      <c r="U75" s="119"/>
      <c r="V75" s="119"/>
      <c r="W75" s="118"/>
      <c r="Y75" s="6" t="s">
        <v>460</v>
      </c>
    </row>
    <row r="76" spans="1:25" x14ac:dyDescent="0.25">
      <c r="B76" t="s">
        <v>461</v>
      </c>
      <c r="G76" s="136">
        <v>69</v>
      </c>
      <c r="H76" s="137">
        <v>78738</v>
      </c>
      <c r="I76" s="137">
        <v>54592</v>
      </c>
      <c r="J76" s="137">
        <v>7874</v>
      </c>
      <c r="K76" s="137">
        <v>5459</v>
      </c>
      <c r="O76" s="47">
        <v>70.980919170912031</v>
      </c>
      <c r="P76" s="105">
        <v>6.9660622025796608E-3</v>
      </c>
      <c r="Q76" s="105">
        <v>4.6348376006422817E-2</v>
      </c>
      <c r="R76" s="105">
        <v>1.3932124405159322E-2</v>
      </c>
      <c r="S76" s="105">
        <v>9.2696752012845676E-2</v>
      </c>
      <c r="T76" s="126"/>
      <c r="U76" s="119"/>
      <c r="V76" s="119"/>
      <c r="W76" s="118"/>
      <c r="Y76" s="6" t="s">
        <v>462</v>
      </c>
    </row>
    <row r="77" spans="1:25" x14ac:dyDescent="0.25">
      <c r="T77" s="119"/>
      <c r="U77" s="119"/>
      <c r="V77" s="119"/>
      <c r="W77" s="118"/>
    </row>
    <row r="78" spans="1:25" x14ac:dyDescent="0.25">
      <c r="O78" t="s">
        <v>463</v>
      </c>
    </row>
    <row r="79" spans="1:25" ht="15.75" thickBot="1" x14ac:dyDescent="0.3">
      <c r="O79" s="140">
        <f>SUMPRODUCT(G71:G76,O71:O76)*12</f>
        <v>136604.81660700042</v>
      </c>
      <c r="P79" s="140">
        <f>SUMPRODUCT(H71:H76,P71:P76)*12</f>
        <v>23445.11590525278</v>
      </c>
      <c r="Q79" s="140">
        <f>SUMPRODUCT(I71:I76,Q71:Q76)*12</f>
        <v>50882.603295371649</v>
      </c>
      <c r="R79" s="140">
        <f t="shared" ref="R79:S79" si="5">SUMPRODUCT(J71:J76,R71:R76)*12</f>
        <v>1484.1211117294299</v>
      </c>
      <c r="S79" s="140">
        <f t="shared" si="5"/>
        <v>6072.378830857494</v>
      </c>
    </row>
    <row r="80" spans="1:25" ht="16.5" thickTop="1" thickBot="1" x14ac:dyDescent="0.3">
      <c r="O80" s="124"/>
      <c r="P80" s="124"/>
      <c r="Q80" s="124"/>
      <c r="S80" s="74">
        <f>SUM(O79:S79)</f>
        <v>218489.0357502118</v>
      </c>
      <c r="T80" s="119"/>
    </row>
    <row r="81" spans="1:25" ht="15.75" thickTop="1" x14ac:dyDescent="0.25">
      <c r="O81" s="125"/>
      <c r="P81" s="125"/>
      <c r="Q81" s="125"/>
      <c r="S81" s="118"/>
      <c r="T81" s="118"/>
      <c r="U81" s="118"/>
    </row>
    <row r="82" spans="1:25" ht="15.75" thickBot="1" x14ac:dyDescent="0.3"/>
    <row r="83" spans="1:25" ht="20.25" thickTop="1" x14ac:dyDescent="0.25">
      <c r="A83" s="2" t="s">
        <v>590</v>
      </c>
      <c r="B83" s="2"/>
      <c r="C83" s="2"/>
      <c r="D83" s="2"/>
      <c r="E83" s="2"/>
      <c r="F83" s="2"/>
      <c r="G83" s="2"/>
      <c r="H83" s="2"/>
      <c r="I83" s="2"/>
      <c r="J83" s="2"/>
      <c r="K83" s="2"/>
      <c r="L83" s="2"/>
      <c r="M83" s="2"/>
      <c r="N83" s="2"/>
      <c r="O83" s="2"/>
      <c r="P83" s="2"/>
      <c r="Q83" s="2"/>
      <c r="R83" s="2"/>
      <c r="S83" s="2"/>
      <c r="T83" s="2"/>
      <c r="U83" s="2"/>
      <c r="V83" s="2"/>
      <c r="W83" s="2"/>
      <c r="X83" s="2"/>
      <c r="Y83" s="2"/>
    </row>
    <row r="85" spans="1:25" ht="15.75" thickBot="1" x14ac:dyDescent="0.3">
      <c r="G85" s="39" t="s">
        <v>35</v>
      </c>
      <c r="H85" s="39" t="s">
        <v>36</v>
      </c>
      <c r="I85" s="39" t="s">
        <v>37</v>
      </c>
      <c r="J85" s="39" t="s">
        <v>38</v>
      </c>
      <c r="K85" s="39" t="s">
        <v>39</v>
      </c>
    </row>
    <row r="86" spans="1:25" x14ac:dyDescent="0.25">
      <c r="G86" s="109">
        <f>O12+F63+G63+N63+O63+S80</f>
        <v>1209499.7196272337</v>
      </c>
      <c r="H86" s="110">
        <f>P12+H63+P63+$S$80</f>
        <v>2008751.5290530757</v>
      </c>
      <c r="I86" s="110">
        <f>Q12+I63+Q63+$S$80</f>
        <v>2391385.564832781</v>
      </c>
      <c r="J86" s="110">
        <f>R12+J63+R63+$S$80</f>
        <v>3025907.1758108381</v>
      </c>
      <c r="K86" s="110">
        <f>S12+K63+S63+$S$80</f>
        <v>3108123.5167601877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73C4E-EA11-EA42-8C0F-BA959EE96705}">
  <sheetPr>
    <outlinePr summaryBelow="0" summaryRight="0"/>
  </sheetPr>
  <dimension ref="A1:BW104"/>
  <sheetViews>
    <sheetView topLeftCell="A8" zoomScaleNormal="100" workbookViewId="0">
      <selection activeCell="D28" sqref="D28"/>
    </sheetView>
  </sheetViews>
  <sheetFormatPr defaultColWidth="11.140625" defaultRowHeight="15" outlineLevelCol="1" x14ac:dyDescent="0.25"/>
  <cols>
    <col min="1" max="1" width="4.85546875" customWidth="1"/>
    <col min="2" max="3" width="3" customWidth="1"/>
    <col min="4" max="4" width="97" style="15" customWidth="1"/>
    <col min="5" max="5" width="25.140625" customWidth="1"/>
    <col min="7" max="7" width="3" customWidth="1"/>
    <col min="8" max="12" width="17" customWidth="1"/>
    <col min="13" max="13" width="3" customWidth="1"/>
    <col min="14" max="14" width="65" style="6" customWidth="1"/>
    <col min="15" max="15" width="3" customWidth="1"/>
    <col min="16" max="16" width="17.42578125" customWidth="1" outlineLevel="1"/>
    <col min="17" max="26" width="11.28515625" bestFit="1" customWidth="1" outlineLevel="1"/>
    <col min="27" max="27" width="12.85546875" bestFit="1" customWidth="1"/>
    <col min="28" max="38" width="11.28515625" bestFit="1" customWidth="1" outlineLevel="1"/>
    <col min="39" max="39" width="12.85546875" bestFit="1" customWidth="1"/>
    <col min="40" max="50" width="11.28515625" bestFit="1" customWidth="1" outlineLevel="1"/>
    <col min="51" max="51" width="12.85546875" bestFit="1" customWidth="1"/>
    <col min="52" max="62" width="11.28515625" bestFit="1" customWidth="1" outlineLevel="1"/>
    <col min="63" max="63" width="12.85546875" bestFit="1" customWidth="1"/>
    <col min="64" max="74" width="11.28515625" bestFit="1" customWidth="1" outlineLevel="1"/>
    <col min="75" max="75" width="12.85546875" bestFit="1" customWidth="1"/>
  </cols>
  <sheetData>
    <row r="1" spans="1:14" ht="24" x14ac:dyDescent="0.25">
      <c r="A1" s="1" t="s">
        <v>464</v>
      </c>
    </row>
    <row r="3" spans="1:14" x14ac:dyDescent="0.25">
      <c r="A3" s="11" t="s">
        <v>465</v>
      </c>
      <c r="B3" s="11"/>
      <c r="C3" s="11"/>
      <c r="D3" s="17"/>
      <c r="E3" s="11"/>
      <c r="F3" s="11"/>
      <c r="G3" s="11"/>
      <c r="H3" s="11"/>
      <c r="I3" s="11"/>
      <c r="J3" s="11"/>
      <c r="K3" s="11"/>
      <c r="L3" s="11"/>
      <c r="M3" s="11"/>
      <c r="N3" s="21"/>
    </row>
    <row r="4" spans="1:14" x14ac:dyDescent="0.25">
      <c r="B4" s="11" t="s">
        <v>466</v>
      </c>
      <c r="C4" s="11"/>
      <c r="D4" s="17"/>
      <c r="E4" s="11"/>
      <c r="F4" s="11"/>
      <c r="G4" s="11"/>
      <c r="H4" s="11"/>
      <c r="I4" s="11"/>
      <c r="J4" s="11"/>
      <c r="K4" s="11"/>
      <c r="L4" s="11"/>
      <c r="M4" s="11"/>
      <c r="N4" s="21"/>
    </row>
    <row r="5" spans="1:14" x14ac:dyDescent="0.25">
      <c r="B5" s="11"/>
      <c r="C5" s="11" t="s">
        <v>66</v>
      </c>
      <c r="D5" s="17"/>
      <c r="E5" s="11"/>
      <c r="F5" s="11"/>
      <c r="G5" s="11"/>
      <c r="H5" s="22" t="s">
        <v>467</v>
      </c>
      <c r="I5" s="11"/>
      <c r="J5" s="11"/>
      <c r="K5" s="11"/>
      <c r="L5" s="11"/>
      <c r="M5" s="11"/>
      <c r="N5" s="21"/>
    </row>
    <row r="6" spans="1:14" x14ac:dyDescent="0.25">
      <c r="B6" s="11"/>
      <c r="C6" s="11"/>
      <c r="D6" s="17" t="s">
        <v>468</v>
      </c>
      <c r="E6" s="11" t="s">
        <v>469</v>
      </c>
      <c r="F6" s="11" t="s">
        <v>73</v>
      </c>
      <c r="G6" s="11"/>
      <c r="H6" s="11" t="s">
        <v>35</v>
      </c>
      <c r="I6" s="11" t="s">
        <v>36</v>
      </c>
      <c r="J6" s="11" t="s">
        <v>37</v>
      </c>
      <c r="K6" s="11" t="s">
        <v>38</v>
      </c>
      <c r="L6" s="11" t="s">
        <v>39</v>
      </c>
      <c r="M6" s="11"/>
      <c r="N6" s="21" t="s">
        <v>40</v>
      </c>
    </row>
    <row r="7" spans="1:14" ht="15.75" thickBot="1" x14ac:dyDescent="0.3">
      <c r="B7" s="6"/>
      <c r="C7" s="6"/>
      <c r="D7" s="8"/>
      <c r="E7" s="6"/>
      <c r="F7" s="6"/>
      <c r="G7" s="6"/>
    </row>
    <row r="8" spans="1:14" ht="18" thickTop="1" x14ac:dyDescent="0.25">
      <c r="A8" s="3" t="s">
        <v>470</v>
      </c>
      <c r="B8" s="3" t="s">
        <v>471</v>
      </c>
      <c r="C8" s="3"/>
      <c r="D8" s="18"/>
      <c r="E8" s="3"/>
      <c r="F8" s="3"/>
      <c r="G8" s="3"/>
      <c r="H8" s="80">
        <f>H10+H24+H45+H51</f>
        <v>0</v>
      </c>
      <c r="I8" s="80">
        <f>I10+I24+I45+I51</f>
        <v>496708.9869871441</v>
      </c>
      <c r="J8" s="80">
        <f>J10+J24+J45+J51</f>
        <v>496708.9869871441</v>
      </c>
      <c r="K8" s="80">
        <f>K10+K24+K45+K51</f>
        <v>496708.9869871441</v>
      </c>
      <c r="L8" s="80">
        <f>L10+L24+L45+L51</f>
        <v>819938.39552604361</v>
      </c>
      <c r="M8" s="3"/>
      <c r="N8" s="82" t="s">
        <v>472</v>
      </c>
    </row>
    <row r="9" spans="1:14" ht="15.75" thickBot="1" x14ac:dyDescent="0.3">
      <c r="H9" s="68">
        <f>SUMIFS(H10:H59,$F10:$F59,"Option")</f>
        <v>0</v>
      </c>
      <c r="I9" s="68">
        <f>SUMIFS(I10:I59,$F10:$F59,"Option")</f>
        <v>0</v>
      </c>
      <c r="J9" s="68">
        <f>SUMIFS(J10:J59,$F10:$F59,"Option")</f>
        <v>233172.15428427016</v>
      </c>
      <c r="K9" s="68">
        <f>SUMIFS(K10:K59,$F10:$F59,"Option")</f>
        <v>0</v>
      </c>
      <c r="L9" s="68">
        <f>SUMIFS(L10:L59,$F10:$F59,"Option")</f>
        <v>0</v>
      </c>
      <c r="M9" s="6"/>
    </row>
    <row r="10" spans="1:14" x14ac:dyDescent="0.25">
      <c r="B10" s="4"/>
      <c r="C10" s="4" t="s">
        <v>473</v>
      </c>
      <c r="D10" s="16"/>
      <c r="E10" s="4"/>
      <c r="F10" s="4"/>
      <c r="G10" s="4"/>
      <c r="H10" s="81">
        <f>SUMIFS(H11:H23,$F11:$F23,"&lt;&gt;Option")</f>
        <v>0</v>
      </c>
      <c r="I10" s="81">
        <f t="shared" ref="I10:L10" si="0">SUMIFS(I11:I23,$F11:$F23,"&lt;&gt;Option")</f>
        <v>0</v>
      </c>
      <c r="J10" s="81">
        <f t="shared" si="0"/>
        <v>0</v>
      </c>
      <c r="K10" s="81">
        <f t="shared" si="0"/>
        <v>0</v>
      </c>
      <c r="L10" s="81">
        <f t="shared" si="0"/>
        <v>0</v>
      </c>
      <c r="M10" s="4"/>
      <c r="N10" s="83"/>
    </row>
    <row r="11" spans="1:14" x14ac:dyDescent="0.25">
      <c r="D11" s="19" t="s">
        <v>41</v>
      </c>
      <c r="E11" s="20"/>
      <c r="F11" s="20"/>
      <c r="H11" s="43">
        <v>0</v>
      </c>
      <c r="I11" s="43"/>
      <c r="J11" s="43"/>
      <c r="K11" s="43"/>
      <c r="L11" s="43"/>
    </row>
    <row r="12" spans="1:14" x14ac:dyDescent="0.25">
      <c r="D12" s="19" t="s">
        <v>42</v>
      </c>
      <c r="E12" s="20"/>
      <c r="F12" s="20"/>
      <c r="H12" s="43">
        <v>0</v>
      </c>
      <c r="I12" s="43"/>
      <c r="J12" s="43"/>
      <c r="K12" s="43"/>
      <c r="L12" s="43"/>
    </row>
    <row r="13" spans="1:14" x14ac:dyDescent="0.25">
      <c r="D13" s="73" t="s">
        <v>88</v>
      </c>
      <c r="E13" s="20"/>
      <c r="F13" s="20" t="s">
        <v>73</v>
      </c>
      <c r="H13" s="43">
        <v>0</v>
      </c>
      <c r="I13" s="43"/>
      <c r="J13" s="43"/>
      <c r="K13" s="43"/>
      <c r="L13" s="43"/>
    </row>
    <row r="14" spans="1:14" x14ac:dyDescent="0.25">
      <c r="D14" s="73" t="s">
        <v>92</v>
      </c>
      <c r="E14" s="20"/>
      <c r="F14" s="20" t="s">
        <v>73</v>
      </c>
      <c r="H14" s="43">
        <v>0</v>
      </c>
      <c r="I14" s="43"/>
      <c r="J14" s="43"/>
      <c r="K14" s="43"/>
      <c r="L14" s="43"/>
    </row>
    <row r="15" spans="1:14" x14ac:dyDescent="0.25">
      <c r="D15" s="73" t="s">
        <v>95</v>
      </c>
      <c r="E15" s="20"/>
      <c r="F15" s="20" t="s">
        <v>73</v>
      </c>
      <c r="H15" s="43">
        <v>0</v>
      </c>
      <c r="I15" s="43"/>
      <c r="J15" s="43"/>
      <c r="K15" s="43"/>
      <c r="L15" s="43"/>
    </row>
    <row r="16" spans="1:14" x14ac:dyDescent="0.25">
      <c r="D16" s="73" t="s">
        <v>98</v>
      </c>
      <c r="E16" s="20"/>
      <c r="F16" s="20" t="s">
        <v>73</v>
      </c>
      <c r="H16" s="43">
        <v>0</v>
      </c>
      <c r="I16" s="43"/>
      <c r="J16" s="43"/>
      <c r="K16" s="43"/>
      <c r="L16" s="43"/>
    </row>
    <row r="17" spans="2:14" x14ac:dyDescent="0.25">
      <c r="D17" s="73" t="s">
        <v>43</v>
      </c>
      <c r="E17" s="20"/>
      <c r="F17" s="20"/>
      <c r="H17" s="43">
        <v>0</v>
      </c>
      <c r="I17" s="43"/>
      <c r="J17" s="43"/>
      <c r="K17" s="43"/>
      <c r="L17" s="43"/>
    </row>
    <row r="18" spans="2:14" x14ac:dyDescent="0.25">
      <c r="D18" s="19" t="s">
        <v>44</v>
      </c>
      <c r="E18" s="20"/>
      <c r="F18" s="20"/>
      <c r="H18" s="43">
        <v>0</v>
      </c>
      <c r="I18" s="43"/>
      <c r="J18" s="43"/>
      <c r="K18" s="43"/>
      <c r="L18" s="43"/>
    </row>
    <row r="19" spans="2:14" x14ac:dyDescent="0.25">
      <c r="D19" s="19" t="s">
        <v>45</v>
      </c>
      <c r="E19" s="20"/>
      <c r="F19" s="20"/>
      <c r="H19" s="43">
        <v>0</v>
      </c>
      <c r="I19" s="43"/>
      <c r="J19" s="43"/>
      <c r="K19" s="43"/>
      <c r="L19" s="43"/>
    </row>
    <row r="20" spans="2:14" x14ac:dyDescent="0.25">
      <c r="D20" s="19" t="s">
        <v>46</v>
      </c>
      <c r="E20" s="20"/>
      <c r="F20" s="20"/>
      <c r="H20" s="43">
        <v>0</v>
      </c>
      <c r="I20" s="43"/>
      <c r="J20" s="43"/>
      <c r="K20" s="43"/>
      <c r="L20" s="43"/>
    </row>
    <row r="21" spans="2:14" x14ac:dyDescent="0.25">
      <c r="D21" s="19"/>
      <c r="E21" s="20"/>
      <c r="F21" s="20"/>
      <c r="H21" s="43"/>
      <c r="I21" s="43"/>
      <c r="J21" s="43"/>
      <c r="K21" s="43"/>
      <c r="L21" s="43"/>
    </row>
    <row r="22" spans="2:14" x14ac:dyDescent="0.25">
      <c r="D22" s="19"/>
      <c r="E22" s="20"/>
      <c r="F22" s="20"/>
      <c r="H22" s="43"/>
      <c r="I22" s="43"/>
      <c r="J22" s="43"/>
      <c r="K22" s="43"/>
      <c r="L22" s="43"/>
    </row>
    <row r="23" spans="2:14" ht="15.75" thickBot="1" x14ac:dyDescent="0.3">
      <c r="H23" s="44"/>
      <c r="I23" s="44"/>
      <c r="J23" s="44"/>
      <c r="K23" s="44"/>
      <c r="L23" s="44"/>
    </row>
    <row r="24" spans="2:14" x14ac:dyDescent="0.25">
      <c r="B24" s="4"/>
      <c r="C24" s="4" t="s">
        <v>474</v>
      </c>
      <c r="D24" s="16"/>
      <c r="E24" s="4"/>
      <c r="F24" s="4"/>
      <c r="G24" s="4"/>
      <c r="H24" s="81">
        <f>SUMIFS(H25:H44,$F25:$F44,"&lt;&gt;Option")</f>
        <v>0</v>
      </c>
      <c r="I24" s="81">
        <f>SUMIFS(I25:I44,$F25:$F44,"&lt;&gt;Option")</f>
        <v>365488.93706881319</v>
      </c>
      <c r="J24" s="81">
        <f>SUMIFS(J25:J44,$F25:$F44,"&lt;&gt;Option")</f>
        <v>365488.93706881319</v>
      </c>
      <c r="K24" s="81">
        <f>SUMIFS(K25:K44,$F25:$F44,"&lt;&gt;Option")</f>
        <v>365488.93706881319</v>
      </c>
      <c r="L24" s="81">
        <f>SUMIFS(L25:L44,$F25:$F44,"&lt;&gt;Option")</f>
        <v>365488.93706881319</v>
      </c>
      <c r="M24" s="4"/>
      <c r="N24" s="83"/>
    </row>
    <row r="25" spans="2:14" ht="30" x14ac:dyDescent="0.25">
      <c r="D25" s="19" t="s">
        <v>41</v>
      </c>
      <c r="E25" s="19" t="s">
        <v>628</v>
      </c>
      <c r="F25" s="20"/>
      <c r="H25" s="43">
        <v>0</v>
      </c>
      <c r="I25" s="43">
        <v>43894.306161659741</v>
      </c>
      <c r="J25" s="43">
        <v>43894.306161659741</v>
      </c>
      <c r="K25" s="43">
        <v>43894.306161659741</v>
      </c>
      <c r="L25" s="43">
        <v>43894.306161659741</v>
      </c>
    </row>
    <row r="26" spans="2:14" ht="45" x14ac:dyDescent="0.25">
      <c r="D26" s="19" t="s">
        <v>42</v>
      </c>
      <c r="E26" s="19" t="s">
        <v>634</v>
      </c>
      <c r="F26" s="20"/>
      <c r="H26" s="43">
        <v>0</v>
      </c>
      <c r="I26" s="43">
        <v>37190.624083332841</v>
      </c>
      <c r="J26" s="43">
        <v>37190.624083332841</v>
      </c>
      <c r="K26" s="43">
        <v>37190.624083332841</v>
      </c>
      <c r="L26" s="43">
        <v>37190.624083332841</v>
      </c>
    </row>
    <row r="27" spans="2:14" x14ac:dyDescent="0.25">
      <c r="D27" s="73" t="s">
        <v>88</v>
      </c>
      <c r="E27" s="20"/>
      <c r="F27" s="20" t="s">
        <v>73</v>
      </c>
      <c r="H27" s="43">
        <v>0</v>
      </c>
      <c r="I27" s="43">
        <v>0</v>
      </c>
      <c r="J27" s="43">
        <v>0</v>
      </c>
      <c r="K27" s="43">
        <v>0</v>
      </c>
      <c r="L27" s="43">
        <v>0</v>
      </c>
    </row>
    <row r="28" spans="2:14" x14ac:dyDescent="0.25">
      <c r="D28" s="73" t="s">
        <v>92</v>
      </c>
      <c r="E28" s="20"/>
      <c r="F28" s="20" t="s">
        <v>73</v>
      </c>
      <c r="H28" s="43">
        <v>0</v>
      </c>
      <c r="I28" s="43">
        <v>0</v>
      </c>
      <c r="J28" s="43">
        <v>0</v>
      </c>
      <c r="K28" s="43">
        <v>0</v>
      </c>
      <c r="L28" s="43">
        <v>0</v>
      </c>
    </row>
    <row r="29" spans="2:14" x14ac:dyDescent="0.25">
      <c r="D29" s="73" t="s">
        <v>95</v>
      </c>
      <c r="E29" s="20"/>
      <c r="F29" s="20" t="s">
        <v>73</v>
      </c>
      <c r="H29" s="43">
        <v>0</v>
      </c>
      <c r="I29" s="43">
        <v>0</v>
      </c>
      <c r="J29" s="43">
        <v>0</v>
      </c>
      <c r="K29" s="43">
        <v>0</v>
      </c>
      <c r="L29" s="43">
        <v>0</v>
      </c>
    </row>
    <row r="30" spans="2:14" x14ac:dyDescent="0.25">
      <c r="D30" s="73" t="s">
        <v>98</v>
      </c>
      <c r="E30" s="20"/>
      <c r="F30" s="20" t="s">
        <v>73</v>
      </c>
      <c r="H30" s="43">
        <v>0</v>
      </c>
      <c r="I30" s="43">
        <v>0</v>
      </c>
      <c r="J30" s="43">
        <v>0</v>
      </c>
      <c r="K30" s="43">
        <v>0</v>
      </c>
      <c r="L30" s="43">
        <v>0</v>
      </c>
    </row>
    <row r="31" spans="2:14" ht="45" x14ac:dyDescent="0.25">
      <c r="D31" s="19" t="s">
        <v>43</v>
      </c>
      <c r="E31" s="19" t="s">
        <v>635</v>
      </c>
      <c r="F31" s="20"/>
      <c r="H31" s="43">
        <v>0</v>
      </c>
      <c r="I31" s="43">
        <v>131875.20871933267</v>
      </c>
      <c r="J31" s="43">
        <v>131875.20871933267</v>
      </c>
      <c r="K31" s="43">
        <v>131875.20871933267</v>
      </c>
      <c r="L31" s="43">
        <v>131875.20871933267</v>
      </c>
    </row>
    <row r="32" spans="2:14" ht="30" x14ac:dyDescent="0.25">
      <c r="D32" s="19" t="s">
        <v>44</v>
      </c>
      <c r="E32" s="19" t="s">
        <v>636</v>
      </c>
      <c r="F32" s="20"/>
      <c r="H32" s="43">
        <v>0</v>
      </c>
      <c r="I32" s="43">
        <v>68477.181006537532</v>
      </c>
      <c r="J32" s="43">
        <v>68477.181006537532</v>
      </c>
      <c r="K32" s="43">
        <v>68477.181006537532</v>
      </c>
      <c r="L32" s="43">
        <v>68477.181006537532</v>
      </c>
    </row>
    <row r="33" spans="2:14" ht="30" x14ac:dyDescent="0.25">
      <c r="D33" s="19" t="s">
        <v>45</v>
      </c>
      <c r="E33" s="19" t="s">
        <v>637</v>
      </c>
      <c r="F33" s="20"/>
      <c r="H33" s="43">
        <v>0</v>
      </c>
      <c r="I33" s="43">
        <v>10911.760344779843</v>
      </c>
      <c r="J33" s="43">
        <v>10911.760344779843</v>
      </c>
      <c r="K33" s="43">
        <v>10911.760344779843</v>
      </c>
      <c r="L33" s="43">
        <v>10911.760344779843</v>
      </c>
    </row>
    <row r="34" spans="2:14" x14ac:dyDescent="0.25">
      <c r="D34" s="19" t="s">
        <v>46</v>
      </c>
      <c r="E34" s="19" t="s">
        <v>632</v>
      </c>
      <c r="F34" s="20"/>
      <c r="H34" s="43">
        <v>0</v>
      </c>
      <c r="I34" s="43">
        <v>8127.7624925547525</v>
      </c>
      <c r="J34" s="43">
        <v>8127.7624925547525</v>
      </c>
      <c r="K34" s="43">
        <v>8127.7624925547525</v>
      </c>
      <c r="L34" s="43">
        <v>8127.7624925547525</v>
      </c>
    </row>
    <row r="35" spans="2:14" x14ac:dyDescent="0.25">
      <c r="D35" s="19" t="s">
        <v>607</v>
      </c>
      <c r="E35" s="19" t="s">
        <v>631</v>
      </c>
      <c r="F35" s="20"/>
      <c r="H35" s="43">
        <v>0</v>
      </c>
      <c r="I35" s="43">
        <v>29236.159966095336</v>
      </c>
      <c r="J35" s="43">
        <v>29236.159966095336</v>
      </c>
      <c r="K35" s="43">
        <v>29236.159966095336</v>
      </c>
      <c r="L35" s="43">
        <v>29236.159966095336</v>
      </c>
    </row>
    <row r="36" spans="2:14" x14ac:dyDescent="0.25">
      <c r="D36" s="19" t="s">
        <v>626</v>
      </c>
      <c r="E36" s="19" t="s">
        <v>631</v>
      </c>
      <c r="F36" s="20"/>
      <c r="H36" s="43">
        <v>0</v>
      </c>
      <c r="I36" s="43">
        <v>35775.93429452055</v>
      </c>
      <c r="J36" s="43">
        <v>35775.93429452055</v>
      </c>
      <c r="K36" s="43">
        <v>35775.93429452055</v>
      </c>
      <c r="L36" s="43">
        <v>35775.93429452055</v>
      </c>
    </row>
    <row r="37" spans="2:14" x14ac:dyDescent="0.25">
      <c r="D37" s="19"/>
      <c r="E37" s="20"/>
      <c r="F37" s="20"/>
      <c r="H37" s="43"/>
      <c r="I37" s="43"/>
      <c r="J37" s="43"/>
      <c r="K37" s="43"/>
      <c r="L37" s="43"/>
    </row>
    <row r="38" spans="2:14" x14ac:dyDescent="0.25">
      <c r="D38" s="19"/>
      <c r="E38" s="20"/>
      <c r="F38" s="20"/>
      <c r="H38" s="43"/>
      <c r="I38" s="43"/>
      <c r="J38" s="43"/>
      <c r="K38" s="43"/>
      <c r="L38" s="43"/>
    </row>
    <row r="39" spans="2:14" x14ac:dyDescent="0.25">
      <c r="D39" s="19"/>
      <c r="E39" s="20"/>
      <c r="F39" s="20"/>
      <c r="H39" s="43"/>
      <c r="I39" s="43"/>
      <c r="J39" s="43"/>
      <c r="K39" s="43"/>
      <c r="L39" s="43"/>
    </row>
    <row r="40" spans="2:14" x14ac:dyDescent="0.25">
      <c r="D40" s="19"/>
      <c r="E40" s="20"/>
      <c r="F40" s="20"/>
      <c r="H40" s="43"/>
      <c r="I40" s="43"/>
      <c r="J40" s="43"/>
      <c r="K40" s="43"/>
      <c r="L40" s="43"/>
    </row>
    <row r="41" spans="2:14" x14ac:dyDescent="0.25">
      <c r="D41" s="19"/>
      <c r="E41" s="20"/>
      <c r="F41" s="20"/>
      <c r="H41" s="43"/>
      <c r="I41" s="43"/>
      <c r="J41" s="43"/>
      <c r="K41" s="43"/>
      <c r="L41" s="43"/>
    </row>
    <row r="42" spans="2:14" x14ac:dyDescent="0.25">
      <c r="D42" s="19"/>
      <c r="E42" s="20"/>
      <c r="F42" s="20"/>
      <c r="H42" s="43"/>
      <c r="I42" s="43"/>
      <c r="J42" s="43"/>
      <c r="K42" s="43"/>
      <c r="L42" s="43"/>
    </row>
    <row r="43" spans="2:14" x14ac:dyDescent="0.25">
      <c r="D43" s="19"/>
      <c r="E43" s="20"/>
      <c r="F43" s="20"/>
      <c r="H43" s="43"/>
      <c r="I43" s="43"/>
      <c r="J43" s="43"/>
      <c r="K43" s="43"/>
      <c r="L43" s="43"/>
    </row>
    <row r="44" spans="2:14" ht="15.75" thickBot="1" x14ac:dyDescent="0.3">
      <c r="H44" s="44"/>
      <c r="I44" s="44"/>
      <c r="J44" s="44"/>
      <c r="K44" s="44"/>
      <c r="L44" s="44"/>
    </row>
    <row r="45" spans="2:14" x14ac:dyDescent="0.25">
      <c r="B45" s="4"/>
      <c r="C45" s="4" t="s">
        <v>475</v>
      </c>
      <c r="D45" s="16"/>
      <c r="E45" s="4"/>
      <c r="F45" s="4"/>
      <c r="G45" s="4"/>
      <c r="H45" s="81">
        <f>SUMIFS(H46:H50,$F46:$F50,"&lt;&gt;Option")</f>
        <v>0</v>
      </c>
      <c r="I45" s="81">
        <f>SUMIFS(I46:I50,$F46:$F50,"&lt;&gt;Option")</f>
        <v>131220.04991833094</v>
      </c>
      <c r="J45" s="81">
        <f>SUMIFS(J46:J50,$F46:$F50,"&lt;&gt;Option")</f>
        <v>131220.04991833094</v>
      </c>
      <c r="K45" s="81">
        <f>SUMIFS(K46:K50,$F46:$F50,"&lt;&gt;Option")</f>
        <v>131220.04991833094</v>
      </c>
      <c r="L45" s="81">
        <f>SUMIFS(L46:L50,$F46:$F50,"&lt;&gt;Option")</f>
        <v>454449.45845723036</v>
      </c>
      <c r="M45" s="4"/>
      <c r="N45" s="83"/>
    </row>
    <row r="46" spans="2:14" x14ac:dyDescent="0.25">
      <c r="D46" s="19" t="s">
        <v>608</v>
      </c>
      <c r="E46" s="20"/>
      <c r="F46" s="20" t="s">
        <v>73</v>
      </c>
      <c r="H46" s="43">
        <v>0</v>
      </c>
      <c r="I46" s="43">
        <v>0</v>
      </c>
      <c r="J46" s="43">
        <v>233172.15428427016</v>
      </c>
      <c r="K46" s="43">
        <v>0</v>
      </c>
      <c r="L46" s="43">
        <v>0</v>
      </c>
    </row>
    <row r="47" spans="2:14" x14ac:dyDescent="0.25">
      <c r="D47" s="19" t="s">
        <v>609</v>
      </c>
      <c r="E47" s="19" t="s">
        <v>630</v>
      </c>
      <c r="F47" s="20"/>
      <c r="H47" s="43">
        <v>0</v>
      </c>
      <c r="I47" s="43">
        <v>36263.988951671301</v>
      </c>
      <c r="J47" s="43">
        <v>36263.988951671301</v>
      </c>
      <c r="K47" s="43">
        <v>36263.988951671301</v>
      </c>
      <c r="L47" s="43">
        <v>36263.988951671301</v>
      </c>
    </row>
    <row r="48" spans="2:14" x14ac:dyDescent="0.25">
      <c r="D48" s="19" t="s">
        <v>610</v>
      </c>
      <c r="E48" s="19" t="s">
        <v>629</v>
      </c>
      <c r="F48" s="20"/>
      <c r="H48" s="43">
        <v>0</v>
      </c>
      <c r="I48" s="43">
        <v>94956.060966659643</v>
      </c>
      <c r="J48" s="43">
        <v>94956.060966659643</v>
      </c>
      <c r="K48" s="43">
        <v>94956.060966659643</v>
      </c>
      <c r="L48" s="43">
        <v>418185.46950555907</v>
      </c>
    </row>
    <row r="49" spans="1:14" x14ac:dyDescent="0.25">
      <c r="D49" s="19"/>
      <c r="E49" s="20"/>
      <c r="F49" s="20"/>
      <c r="H49" s="43"/>
      <c r="I49" s="43"/>
      <c r="J49" s="43"/>
      <c r="K49" s="43"/>
      <c r="L49" s="43"/>
    </row>
    <row r="50" spans="1:14" ht="15.75" thickBot="1" x14ac:dyDescent="0.3">
      <c r="H50" s="44"/>
      <c r="I50" s="44"/>
      <c r="J50" s="44"/>
      <c r="K50" s="44"/>
      <c r="L50" s="44"/>
    </row>
    <row r="51" spans="1:14" x14ac:dyDescent="0.25">
      <c r="B51" s="4"/>
      <c r="C51" s="4" t="s">
        <v>476</v>
      </c>
      <c r="D51" s="16"/>
      <c r="E51" s="4"/>
      <c r="F51" s="4"/>
      <c r="G51" s="4"/>
      <c r="H51" s="81">
        <f>SUMIFS(H52:H59,$F52:$F59,"&lt;&gt;Option")</f>
        <v>0</v>
      </c>
      <c r="I51" s="81">
        <f t="shared" ref="I51:L51" si="1">SUMIFS(I52:I60,$F52:$F60,"&lt;&gt;Option")</f>
        <v>0</v>
      </c>
      <c r="J51" s="81">
        <f t="shared" si="1"/>
        <v>0</v>
      </c>
      <c r="K51" s="81">
        <f t="shared" si="1"/>
        <v>0</v>
      </c>
      <c r="L51" s="81">
        <f t="shared" si="1"/>
        <v>0</v>
      </c>
      <c r="M51" s="4"/>
      <c r="N51" s="83"/>
    </row>
    <row r="52" spans="1:14" x14ac:dyDescent="0.25">
      <c r="D52" s="19" t="s">
        <v>477</v>
      </c>
      <c r="E52" s="20"/>
      <c r="F52" s="20"/>
      <c r="H52" s="43">
        <v>0</v>
      </c>
      <c r="I52" s="43">
        <v>0</v>
      </c>
      <c r="J52" s="43">
        <v>0</v>
      </c>
      <c r="K52" s="43">
        <v>0</v>
      </c>
      <c r="L52" s="43">
        <v>0</v>
      </c>
    </row>
    <row r="53" spans="1:14" x14ac:dyDescent="0.25">
      <c r="D53" s="19"/>
      <c r="E53" s="20"/>
      <c r="F53" s="20"/>
      <c r="H53" s="43"/>
      <c r="I53" s="43"/>
      <c r="J53" s="43"/>
      <c r="K53" s="43"/>
      <c r="L53" s="43"/>
    </row>
    <row r="54" spans="1:14" x14ac:dyDescent="0.25">
      <c r="D54" s="19"/>
      <c r="E54" s="20"/>
      <c r="F54" s="20"/>
      <c r="H54" s="43"/>
      <c r="I54" s="43"/>
      <c r="J54" s="43"/>
      <c r="K54" s="43"/>
      <c r="L54" s="43"/>
    </row>
    <row r="55" spans="1:14" x14ac:dyDescent="0.25">
      <c r="D55" s="19"/>
      <c r="E55" s="20"/>
      <c r="F55" s="20"/>
      <c r="H55" s="43"/>
      <c r="I55" s="43"/>
      <c r="J55" s="43"/>
      <c r="K55" s="43"/>
      <c r="L55" s="43"/>
    </row>
    <row r="56" spans="1:14" x14ac:dyDescent="0.25">
      <c r="D56" s="19"/>
      <c r="E56" s="20"/>
      <c r="F56" s="20"/>
      <c r="H56" s="43"/>
      <c r="I56" s="43"/>
      <c r="J56" s="43"/>
      <c r="K56" s="43"/>
      <c r="L56" s="43"/>
    </row>
    <row r="57" spans="1:14" x14ac:dyDescent="0.25">
      <c r="D57" s="19"/>
      <c r="E57" s="20"/>
      <c r="F57" s="20"/>
      <c r="H57" s="43"/>
      <c r="I57" s="43"/>
      <c r="J57" s="43"/>
      <c r="K57" s="43"/>
      <c r="L57" s="43"/>
    </row>
    <row r="58" spans="1:14" x14ac:dyDescent="0.25">
      <c r="H58" s="44"/>
      <c r="I58" s="44"/>
      <c r="J58" s="44"/>
      <c r="K58" s="44"/>
      <c r="L58" s="44"/>
    </row>
    <row r="59" spans="1:14" ht="15.75" thickBot="1" x14ac:dyDescent="0.3">
      <c r="H59" s="44"/>
      <c r="I59" s="44"/>
      <c r="J59" s="44"/>
      <c r="K59" s="44"/>
      <c r="L59" s="44"/>
    </row>
    <row r="60" spans="1:14" ht="18" thickTop="1" x14ac:dyDescent="0.25">
      <c r="A60" s="92">
        <v>2</v>
      </c>
      <c r="B60" s="3" t="s">
        <v>20</v>
      </c>
      <c r="C60" s="3"/>
      <c r="D60" s="18"/>
      <c r="E60" s="3"/>
      <c r="F60" s="3"/>
      <c r="G60" s="3"/>
      <c r="H60" s="80"/>
      <c r="I60" s="80"/>
      <c r="J60" s="80"/>
      <c r="K60" s="80"/>
      <c r="L60" s="80"/>
      <c r="M60" s="3"/>
      <c r="N60" s="82"/>
    </row>
    <row r="61" spans="1:14" x14ac:dyDescent="0.25">
      <c r="D61" t="s">
        <v>478</v>
      </c>
      <c r="H61" s="44"/>
      <c r="I61" s="44"/>
      <c r="J61" s="44"/>
      <c r="K61" s="44"/>
      <c r="L61" s="44"/>
    </row>
    <row r="62" spans="1:14" ht="15.75" thickBot="1" x14ac:dyDescent="0.3">
      <c r="H62" s="44"/>
      <c r="I62" s="44"/>
      <c r="J62" s="44"/>
      <c r="K62" s="44"/>
      <c r="L62" s="44"/>
    </row>
    <row r="63" spans="1:14" ht="18" thickTop="1" x14ac:dyDescent="0.25">
      <c r="A63" s="3" t="s">
        <v>479</v>
      </c>
      <c r="B63" s="3" t="s">
        <v>22</v>
      </c>
      <c r="C63" s="3"/>
      <c r="D63" s="18"/>
      <c r="E63" s="3"/>
      <c r="F63" s="3"/>
      <c r="G63" s="3"/>
      <c r="H63" s="80"/>
      <c r="I63" s="80"/>
      <c r="J63" s="80"/>
      <c r="K63" s="80"/>
      <c r="L63" s="80"/>
      <c r="M63" s="3"/>
      <c r="N63" s="82"/>
    </row>
    <row r="64" spans="1:14" x14ac:dyDescent="0.25">
      <c r="D64" t="s">
        <v>480</v>
      </c>
      <c r="H64" s="44"/>
      <c r="I64" s="44"/>
      <c r="J64" s="44"/>
      <c r="K64" s="44"/>
      <c r="L64" s="44"/>
    </row>
    <row r="65" spans="1:75" x14ac:dyDescent="0.25">
      <c r="H65" s="44"/>
      <c r="I65" s="44"/>
      <c r="J65" s="44"/>
      <c r="K65" s="44"/>
      <c r="L65" s="44"/>
    </row>
    <row r="66" spans="1:75" ht="15.75" thickBot="1" x14ac:dyDescent="0.3">
      <c r="H66" s="44"/>
      <c r="I66" s="44"/>
      <c r="J66" s="44"/>
      <c r="K66" s="44"/>
      <c r="L66" s="44"/>
    </row>
    <row r="67" spans="1:75" ht="18.75" thickTop="1" x14ac:dyDescent="0.25">
      <c r="A67" s="3" t="s">
        <v>481</v>
      </c>
      <c r="B67" s="3" t="s">
        <v>482</v>
      </c>
      <c r="C67" s="3"/>
      <c r="D67" s="18"/>
      <c r="E67" s="3"/>
      <c r="F67" s="3"/>
      <c r="G67" s="3"/>
      <c r="H67" s="80">
        <f>SUMIFS(H69:H77,$F69:$F77,"&lt;&gt;Option")</f>
        <v>6634171.2980123376</v>
      </c>
      <c r="I67" s="80">
        <f>SUMIFS(I69:I77,$F69:$F77,"&lt;&gt;Option")</f>
        <v>10362538.806862997</v>
      </c>
      <c r="J67" s="80">
        <f>SUMIFS(J69:J77,$F69:$F77,"&lt;&gt;Option")</f>
        <v>8904112.2457763702</v>
      </c>
      <c r="K67" s="80">
        <f>SUMIFS(K69:K77,$F69:$F77,"&lt;&gt;Option")</f>
        <v>7049765.8013960766</v>
      </c>
      <c r="L67" s="80">
        <f>SUMIFS(L69:L77,$F69:$F77,"&lt;&gt;Option")</f>
        <v>4020820.432121234</v>
      </c>
      <c r="M67" s="3"/>
      <c r="N67" s="82" t="s">
        <v>483</v>
      </c>
      <c r="P67" s="25" t="s">
        <v>484</v>
      </c>
      <c r="AA67" s="6" t="s">
        <v>485</v>
      </c>
      <c r="AB67" s="25" t="s">
        <v>36</v>
      </c>
      <c r="AM67" s="6" t="s">
        <v>486</v>
      </c>
      <c r="AN67" s="25" t="s">
        <v>37</v>
      </c>
      <c r="AY67" s="6" t="s">
        <v>487</v>
      </c>
      <c r="AZ67" s="27" t="s">
        <v>38</v>
      </c>
      <c r="BK67" s="67" t="s">
        <v>488</v>
      </c>
      <c r="BL67" s="27" t="s">
        <v>39</v>
      </c>
      <c r="BW67" s="67" t="s">
        <v>489</v>
      </c>
    </row>
    <row r="68" spans="1:75" ht="15.75" thickBot="1" x14ac:dyDescent="0.3">
      <c r="D68"/>
      <c r="N68"/>
      <c r="P68" s="26">
        <v>1</v>
      </c>
      <c r="Q68" s="23">
        <v>2</v>
      </c>
      <c r="R68" s="23">
        <v>3</v>
      </c>
      <c r="S68" s="23">
        <v>4</v>
      </c>
      <c r="T68" s="23">
        <v>5</v>
      </c>
      <c r="U68" s="23">
        <v>6</v>
      </c>
      <c r="V68" s="23">
        <v>7</v>
      </c>
      <c r="W68" s="23">
        <v>8</v>
      </c>
      <c r="X68" s="23">
        <v>9</v>
      </c>
      <c r="Y68" s="23">
        <v>10</v>
      </c>
      <c r="Z68" s="23">
        <v>11</v>
      </c>
      <c r="AA68" s="23">
        <v>12</v>
      </c>
      <c r="AB68" s="26">
        <v>13</v>
      </c>
      <c r="AC68" s="23">
        <v>14</v>
      </c>
      <c r="AD68" s="23">
        <v>15</v>
      </c>
      <c r="AE68" s="23">
        <v>16</v>
      </c>
      <c r="AF68" s="23">
        <v>17</v>
      </c>
      <c r="AG68" s="23">
        <v>18</v>
      </c>
      <c r="AH68" s="23">
        <v>19</v>
      </c>
      <c r="AI68" s="23">
        <v>20</v>
      </c>
      <c r="AJ68" s="23">
        <v>21</v>
      </c>
      <c r="AK68" s="23">
        <v>22</v>
      </c>
      <c r="AL68" s="23">
        <v>23</v>
      </c>
      <c r="AM68" s="23">
        <v>24</v>
      </c>
      <c r="AN68" s="26">
        <v>25</v>
      </c>
      <c r="AO68" s="23">
        <v>26</v>
      </c>
      <c r="AP68" s="23">
        <v>27</v>
      </c>
      <c r="AQ68" s="23">
        <v>28</v>
      </c>
      <c r="AR68" s="23">
        <v>29</v>
      </c>
      <c r="AS68" s="23">
        <v>30</v>
      </c>
      <c r="AT68" s="23">
        <v>31</v>
      </c>
      <c r="AU68" s="23">
        <v>32</v>
      </c>
      <c r="AV68" s="23">
        <v>33</v>
      </c>
      <c r="AW68" s="23">
        <v>34</v>
      </c>
      <c r="AX68" s="23">
        <v>35</v>
      </c>
      <c r="AY68" s="23">
        <v>36</v>
      </c>
      <c r="AZ68" s="26">
        <v>37</v>
      </c>
      <c r="BA68" s="23">
        <v>38</v>
      </c>
      <c r="BB68" s="23">
        <v>39</v>
      </c>
      <c r="BC68" s="23">
        <v>40</v>
      </c>
      <c r="BD68" s="23">
        <v>41</v>
      </c>
      <c r="BE68" s="23">
        <v>42</v>
      </c>
      <c r="BF68" s="23">
        <v>43</v>
      </c>
      <c r="BG68" s="23">
        <v>44</v>
      </c>
      <c r="BH68" s="23">
        <v>45</v>
      </c>
      <c r="BI68" s="23">
        <v>46</v>
      </c>
      <c r="BJ68" s="23">
        <v>47</v>
      </c>
      <c r="BK68" s="23">
        <v>48</v>
      </c>
      <c r="BL68" s="26">
        <v>49</v>
      </c>
      <c r="BM68" s="23">
        <v>50</v>
      </c>
      <c r="BN68" s="23">
        <v>51</v>
      </c>
      <c r="BO68" s="23">
        <v>52</v>
      </c>
      <c r="BP68" s="23">
        <v>53</v>
      </c>
      <c r="BQ68" s="23">
        <v>54</v>
      </c>
      <c r="BR68" s="23">
        <v>55</v>
      </c>
      <c r="BS68" s="23">
        <v>56</v>
      </c>
      <c r="BT68" s="23">
        <v>57</v>
      </c>
      <c r="BU68" s="23">
        <v>58</v>
      </c>
      <c r="BV68" s="23">
        <v>59</v>
      </c>
      <c r="BW68" s="23">
        <v>60</v>
      </c>
    </row>
    <row r="69" spans="1:75" ht="15.75" thickBot="1" x14ac:dyDescent="0.3">
      <c r="D69" s="19" t="s">
        <v>41</v>
      </c>
      <c r="F69" s="20"/>
      <c r="H69" s="51">
        <f>AA69</f>
        <v>88107.423725149565</v>
      </c>
      <c r="I69" s="51">
        <f>AM69</f>
        <v>128706.63156476189</v>
      </c>
      <c r="J69" s="51">
        <f>AY69</f>
        <v>111920.72140446756</v>
      </c>
      <c r="K69" s="51">
        <f>SUM(BK69)</f>
        <v>85556.169077933388</v>
      </c>
      <c r="L69" s="51">
        <f>BW69</f>
        <v>-8.9130480773746967E-11</v>
      </c>
      <c r="P69" s="54">
        <v>89869.572199652554</v>
      </c>
      <c r="Q69" s="43">
        <v>89709.376883788646</v>
      </c>
      <c r="R69" s="43">
        <v>89549.181567924737</v>
      </c>
      <c r="S69" s="43">
        <v>89388.986252060829</v>
      </c>
      <c r="T69" s="43">
        <v>89228.790936196921</v>
      </c>
      <c r="U69" s="43">
        <v>89068.595620333013</v>
      </c>
      <c r="V69" s="43">
        <v>88908.400304469105</v>
      </c>
      <c r="W69" s="43">
        <v>88748.204988605197</v>
      </c>
      <c r="X69" s="43">
        <v>88588.009672741289</v>
      </c>
      <c r="Y69" s="43">
        <v>88427.814356877381</v>
      </c>
      <c r="Z69" s="55">
        <v>88267.619041013473</v>
      </c>
      <c r="AA69" s="56">
        <v>88107.423725149565</v>
      </c>
      <c r="AB69" s="57">
        <v>91490.691045117259</v>
      </c>
      <c r="AC69" s="43">
        <v>94873.958365084953</v>
      </c>
      <c r="AD69" s="43">
        <v>98257.225685052646</v>
      </c>
      <c r="AE69" s="43">
        <v>101640.49300502034</v>
      </c>
      <c r="AF69" s="43">
        <v>105023.76032498803</v>
      </c>
      <c r="AG69" s="43">
        <v>108407.02764495573</v>
      </c>
      <c r="AH69" s="43">
        <v>111790.29496492342</v>
      </c>
      <c r="AI69" s="43">
        <v>115173.56228489112</v>
      </c>
      <c r="AJ69" s="43">
        <v>118556.82960485881</v>
      </c>
      <c r="AK69" s="43">
        <v>121940.0969248265</v>
      </c>
      <c r="AL69" s="55">
        <v>125323.3642447942</v>
      </c>
      <c r="AM69" s="56">
        <v>128706.63156476189</v>
      </c>
      <c r="AN69" s="57">
        <v>127307.8057180707</v>
      </c>
      <c r="AO69" s="43">
        <v>125908.9798713795</v>
      </c>
      <c r="AP69" s="43">
        <v>124510.15402468831</v>
      </c>
      <c r="AQ69" s="43">
        <v>123111.32817799711</v>
      </c>
      <c r="AR69" s="43">
        <v>121712.50233130592</v>
      </c>
      <c r="AS69" s="43">
        <v>120313.67648461473</v>
      </c>
      <c r="AT69" s="43">
        <v>118914.85063792353</v>
      </c>
      <c r="AU69" s="43">
        <v>117516.02479123234</v>
      </c>
      <c r="AV69" s="43">
        <v>116117.19894454115</v>
      </c>
      <c r="AW69" s="43">
        <v>114718.37309784995</v>
      </c>
      <c r="AX69" s="55">
        <v>113319.54725115876</v>
      </c>
      <c r="AY69" s="56">
        <v>111920.72140446756</v>
      </c>
      <c r="AZ69" s="57">
        <v>109723.67537725638</v>
      </c>
      <c r="BA69" s="43">
        <v>107526.6293500452</v>
      </c>
      <c r="BB69" s="43">
        <v>105329.58332283402</v>
      </c>
      <c r="BC69" s="43">
        <v>103132.53729562284</v>
      </c>
      <c r="BD69" s="43">
        <v>100935.49126841166</v>
      </c>
      <c r="BE69" s="43">
        <v>98738.445241200476</v>
      </c>
      <c r="BF69" s="43">
        <v>96541.399213989294</v>
      </c>
      <c r="BG69" s="43">
        <v>94344.353186778113</v>
      </c>
      <c r="BH69" s="43">
        <v>92147.307159566932</v>
      </c>
      <c r="BI69" s="43">
        <v>89950.26113235575</v>
      </c>
      <c r="BJ69" s="55">
        <v>87753.215105144569</v>
      </c>
      <c r="BK69" s="56">
        <v>85556.169077933388</v>
      </c>
      <c r="BL69" s="57">
        <v>78426.488321438927</v>
      </c>
      <c r="BM69" s="43">
        <v>71296.807564944465</v>
      </c>
      <c r="BN69" s="43">
        <v>64167.126808450012</v>
      </c>
      <c r="BO69" s="43">
        <v>57037.446051955558</v>
      </c>
      <c r="BP69" s="43">
        <v>49907.765295461104</v>
      </c>
      <c r="BQ69" s="43">
        <v>42778.08453896665</v>
      </c>
      <c r="BR69" s="43">
        <v>35648.403782472196</v>
      </c>
      <c r="BS69" s="43">
        <v>28518.723025977739</v>
      </c>
      <c r="BT69" s="43">
        <v>21389.042269483281</v>
      </c>
      <c r="BU69" s="43">
        <v>14259.361512988824</v>
      </c>
      <c r="BV69" s="55">
        <v>7129.6807564943674</v>
      </c>
      <c r="BW69" s="56">
        <v>-8.9130480773746967E-11</v>
      </c>
    </row>
    <row r="70" spans="1:75" ht="15.75" thickBot="1" x14ac:dyDescent="0.3">
      <c r="D70" s="19" t="s">
        <v>42</v>
      </c>
      <c r="F70" s="20"/>
      <c r="H70" s="51">
        <f t="shared" ref="H70:H76" si="2">AA70</f>
        <v>96197.285508207642</v>
      </c>
      <c r="I70" s="51">
        <f t="shared" ref="I70:I76" si="3">AM70</f>
        <v>203089.78205765408</v>
      </c>
      <c r="J70" s="51">
        <f t="shared" ref="J70:J76" si="4">AY70</f>
        <v>159907.83946139945</v>
      </c>
      <c r="K70" s="51">
        <f t="shared" ref="K70:K76" si="5">SUM(BK70)</f>
        <v>124891.76497719795</v>
      </c>
      <c r="L70" s="51">
        <f t="shared" ref="L70:L76" si="6">BW70</f>
        <v>1.3460521586239338E-10</v>
      </c>
      <c r="P70" s="54">
        <v>98121.231218371817</v>
      </c>
      <c r="Q70" s="43">
        <v>97946.327062902346</v>
      </c>
      <c r="R70" s="43">
        <v>97771.422907432876</v>
      </c>
      <c r="S70" s="43">
        <v>97596.518751963406</v>
      </c>
      <c r="T70" s="43">
        <v>97421.614596493935</v>
      </c>
      <c r="U70" s="43">
        <v>97246.710441024465</v>
      </c>
      <c r="V70" s="43">
        <v>97071.806285554994</v>
      </c>
      <c r="W70" s="43">
        <v>96896.902130085524</v>
      </c>
      <c r="X70" s="43">
        <v>96721.997974616053</v>
      </c>
      <c r="Y70" s="43">
        <v>96547.093819146583</v>
      </c>
      <c r="Z70" s="55">
        <v>96372.189663677113</v>
      </c>
      <c r="AA70" s="56">
        <v>96197.285508207642</v>
      </c>
      <c r="AB70" s="57">
        <v>105104.99355399483</v>
      </c>
      <c r="AC70" s="43">
        <v>114012.70159978203</v>
      </c>
      <c r="AD70" s="43">
        <v>122920.40964556922</v>
      </c>
      <c r="AE70" s="43">
        <v>131828.11769135643</v>
      </c>
      <c r="AF70" s="43">
        <v>140735.82573714363</v>
      </c>
      <c r="AG70" s="43">
        <v>149643.53378293084</v>
      </c>
      <c r="AH70" s="43">
        <v>158551.24182871805</v>
      </c>
      <c r="AI70" s="43">
        <v>167458.94987450526</v>
      </c>
      <c r="AJ70" s="43">
        <v>176366.65792029246</v>
      </c>
      <c r="AK70" s="43">
        <v>185274.36596607967</v>
      </c>
      <c r="AL70" s="55">
        <v>194182.07401186688</v>
      </c>
      <c r="AM70" s="56">
        <v>203089.78205765408</v>
      </c>
      <c r="AN70" s="57">
        <v>199491.28684129953</v>
      </c>
      <c r="AO70" s="43">
        <v>195892.79162494498</v>
      </c>
      <c r="AP70" s="43">
        <v>192294.29640859042</v>
      </c>
      <c r="AQ70" s="43">
        <v>188695.80119223587</v>
      </c>
      <c r="AR70" s="43">
        <v>185097.30597588132</v>
      </c>
      <c r="AS70" s="43">
        <v>181498.81075952676</v>
      </c>
      <c r="AT70" s="43">
        <v>177900.31554317221</v>
      </c>
      <c r="AU70" s="43">
        <v>174301.82032681766</v>
      </c>
      <c r="AV70" s="43">
        <v>170703.32511046311</v>
      </c>
      <c r="AW70" s="43">
        <v>167104.82989410855</v>
      </c>
      <c r="AX70" s="55">
        <v>163506.334677754</v>
      </c>
      <c r="AY70" s="56">
        <v>159907.83946139945</v>
      </c>
      <c r="AZ70" s="57">
        <v>156989.83325438265</v>
      </c>
      <c r="BA70" s="43">
        <v>154071.82704736586</v>
      </c>
      <c r="BB70" s="43">
        <v>151153.82084034907</v>
      </c>
      <c r="BC70" s="43">
        <v>148235.81463333228</v>
      </c>
      <c r="BD70" s="43">
        <v>145317.80842631549</v>
      </c>
      <c r="BE70" s="43">
        <v>142399.8022192987</v>
      </c>
      <c r="BF70" s="43">
        <v>139481.79601228191</v>
      </c>
      <c r="BG70" s="43">
        <v>136563.78980526511</v>
      </c>
      <c r="BH70" s="43">
        <v>133645.78359824832</v>
      </c>
      <c r="BI70" s="43">
        <v>130727.77739123153</v>
      </c>
      <c r="BJ70" s="55">
        <v>127809.77118421474</v>
      </c>
      <c r="BK70" s="56">
        <v>124891.76497719795</v>
      </c>
      <c r="BL70" s="57">
        <v>114484.11789576479</v>
      </c>
      <c r="BM70" s="43">
        <v>104076.47081433164</v>
      </c>
      <c r="BN70" s="43">
        <v>93668.823732898483</v>
      </c>
      <c r="BO70" s="43">
        <v>83261.176651465328</v>
      </c>
      <c r="BP70" s="43">
        <v>72853.529570032173</v>
      </c>
      <c r="BQ70" s="43">
        <v>62445.882488599025</v>
      </c>
      <c r="BR70" s="43">
        <v>52038.235407165877</v>
      </c>
      <c r="BS70" s="43">
        <v>41630.58832573273</v>
      </c>
      <c r="BT70" s="43">
        <v>31222.941244299582</v>
      </c>
      <c r="BU70" s="43">
        <v>20815.294162866434</v>
      </c>
      <c r="BV70" s="55">
        <v>10407.647081433284</v>
      </c>
      <c r="BW70" s="56">
        <v>1.3460521586239338E-10</v>
      </c>
    </row>
    <row r="71" spans="1:75" ht="15.75" thickBot="1" x14ac:dyDescent="0.3">
      <c r="D71" s="19" t="s">
        <v>43</v>
      </c>
      <c r="F71" s="20"/>
      <c r="H71" s="51">
        <f t="shared" si="2"/>
        <v>358356.42947962193</v>
      </c>
      <c r="I71" s="51">
        <f t="shared" si="3"/>
        <v>646247.08340419747</v>
      </c>
      <c r="J71" s="51">
        <f t="shared" si="4"/>
        <v>535499.94363510201</v>
      </c>
      <c r="K71" s="51">
        <f t="shared" si="5"/>
        <v>401501.62769468466</v>
      </c>
      <c r="L71" s="51">
        <f t="shared" si="6"/>
        <v>5.6752469390630722E-10</v>
      </c>
      <c r="P71" s="54">
        <v>365523.5580692144</v>
      </c>
      <c r="Q71" s="43">
        <v>364872.00092470599</v>
      </c>
      <c r="R71" s="43">
        <v>364220.44378019759</v>
      </c>
      <c r="S71" s="43">
        <v>363568.88663568918</v>
      </c>
      <c r="T71" s="43">
        <v>362917.32949118078</v>
      </c>
      <c r="U71" s="43">
        <v>362265.77234667237</v>
      </c>
      <c r="V71" s="43">
        <v>361614.21520216396</v>
      </c>
      <c r="W71" s="43">
        <v>360962.65805765556</v>
      </c>
      <c r="X71" s="43">
        <v>360311.10091314715</v>
      </c>
      <c r="Y71" s="43">
        <v>359659.54376863874</v>
      </c>
      <c r="Z71" s="55">
        <v>359007.98662413034</v>
      </c>
      <c r="AA71" s="56">
        <v>358356.42947962193</v>
      </c>
      <c r="AB71" s="57">
        <v>382347.31730666989</v>
      </c>
      <c r="AC71" s="43">
        <v>406338.20513371786</v>
      </c>
      <c r="AD71" s="43">
        <v>430329.09296076582</v>
      </c>
      <c r="AE71" s="43">
        <v>454319.98078781378</v>
      </c>
      <c r="AF71" s="43">
        <v>478310.86861486174</v>
      </c>
      <c r="AG71" s="43">
        <v>502301.7564419097</v>
      </c>
      <c r="AH71" s="43">
        <v>526292.64426895767</v>
      </c>
      <c r="AI71" s="43">
        <v>550283.53209600563</v>
      </c>
      <c r="AJ71" s="43">
        <v>574274.41992305359</v>
      </c>
      <c r="AK71" s="43">
        <v>598265.30775010155</v>
      </c>
      <c r="AL71" s="55">
        <v>622256.19557714951</v>
      </c>
      <c r="AM71" s="56">
        <v>646247.08340419747</v>
      </c>
      <c r="AN71" s="57">
        <v>637018.15509010619</v>
      </c>
      <c r="AO71" s="43">
        <v>627789.2267760149</v>
      </c>
      <c r="AP71" s="43">
        <v>618560.29846192361</v>
      </c>
      <c r="AQ71" s="43">
        <v>609331.37014783232</v>
      </c>
      <c r="AR71" s="43">
        <v>600102.44183374103</v>
      </c>
      <c r="AS71" s="43">
        <v>590873.51351964974</v>
      </c>
      <c r="AT71" s="43">
        <v>581644.58520555845</v>
      </c>
      <c r="AU71" s="43">
        <v>572415.65689146717</v>
      </c>
      <c r="AV71" s="43">
        <v>563186.72857737588</v>
      </c>
      <c r="AW71" s="43">
        <v>553957.80026328459</v>
      </c>
      <c r="AX71" s="55">
        <v>544728.8719491933</v>
      </c>
      <c r="AY71" s="56">
        <v>535499.94363510201</v>
      </c>
      <c r="AZ71" s="57">
        <v>524333.4173067339</v>
      </c>
      <c r="BA71" s="43">
        <v>513166.89097836579</v>
      </c>
      <c r="BB71" s="43">
        <v>502000.36464999767</v>
      </c>
      <c r="BC71" s="43">
        <v>490833.83832162956</v>
      </c>
      <c r="BD71" s="43">
        <v>479667.31199326145</v>
      </c>
      <c r="BE71" s="43">
        <v>468500.78566489334</v>
      </c>
      <c r="BF71" s="43">
        <v>457334.25933652523</v>
      </c>
      <c r="BG71" s="43">
        <v>446167.73300815711</v>
      </c>
      <c r="BH71" s="43">
        <v>435001.206679789</v>
      </c>
      <c r="BI71" s="43">
        <v>423834.68035142089</v>
      </c>
      <c r="BJ71" s="55">
        <v>412668.15402305278</v>
      </c>
      <c r="BK71" s="56">
        <v>401501.62769468466</v>
      </c>
      <c r="BL71" s="57">
        <v>368043.15872012766</v>
      </c>
      <c r="BM71" s="43">
        <v>334584.68974557065</v>
      </c>
      <c r="BN71" s="43">
        <v>301126.22077101364</v>
      </c>
      <c r="BO71" s="43">
        <v>267667.75179645664</v>
      </c>
      <c r="BP71" s="43">
        <v>234209.28282189963</v>
      </c>
      <c r="BQ71" s="43">
        <v>200750.81384734262</v>
      </c>
      <c r="BR71" s="43">
        <v>167292.34487278562</v>
      </c>
      <c r="BS71" s="43">
        <v>133833.87589822861</v>
      </c>
      <c r="BT71" s="43">
        <v>100375.4069236716</v>
      </c>
      <c r="BU71" s="43">
        <v>66916.937949114596</v>
      </c>
      <c r="BV71" s="55">
        <v>33458.468974557582</v>
      </c>
      <c r="BW71" s="56">
        <v>5.6752469390630722E-10</v>
      </c>
    </row>
    <row r="72" spans="1:75" ht="15.75" thickBot="1" x14ac:dyDescent="0.3">
      <c r="D72" s="19" t="s">
        <v>44</v>
      </c>
      <c r="F72" s="20"/>
      <c r="H72" s="51">
        <f t="shared" si="2"/>
        <v>151140.29191029418</v>
      </c>
      <c r="I72" s="51">
        <f t="shared" si="3"/>
        <v>290661.87840209855</v>
      </c>
      <c r="J72" s="51">
        <f t="shared" si="4"/>
        <v>230212.46817356069</v>
      </c>
      <c r="K72" s="51">
        <f t="shared" si="5"/>
        <v>163363.23018606135</v>
      </c>
      <c r="L72" s="51">
        <f t="shared" si="6"/>
        <v>-1.964508555829525E-10</v>
      </c>
      <c r="P72" s="54">
        <v>154163.09774850015</v>
      </c>
      <c r="Q72" s="43">
        <v>153888.29721775415</v>
      </c>
      <c r="R72" s="43">
        <v>153613.49668700816</v>
      </c>
      <c r="S72" s="43">
        <v>153338.69615626216</v>
      </c>
      <c r="T72" s="43">
        <v>153063.89562551616</v>
      </c>
      <c r="U72" s="43">
        <v>152789.09509477016</v>
      </c>
      <c r="V72" s="43">
        <v>152514.29456402417</v>
      </c>
      <c r="W72" s="43">
        <v>152239.49403327817</v>
      </c>
      <c r="X72" s="43">
        <v>151964.69350253217</v>
      </c>
      <c r="Y72" s="43">
        <v>151689.89297178618</v>
      </c>
      <c r="Z72" s="55">
        <v>151415.09244104018</v>
      </c>
      <c r="AA72" s="56">
        <v>151140.29191029418</v>
      </c>
      <c r="AB72" s="57">
        <v>162767.09078461121</v>
      </c>
      <c r="AC72" s="43">
        <v>174393.88965892824</v>
      </c>
      <c r="AD72" s="43">
        <v>186020.68853324527</v>
      </c>
      <c r="AE72" s="43">
        <v>197647.48740756229</v>
      </c>
      <c r="AF72" s="43">
        <v>209274.28628187932</v>
      </c>
      <c r="AG72" s="43">
        <v>220901.08515619635</v>
      </c>
      <c r="AH72" s="43">
        <v>232527.88403051338</v>
      </c>
      <c r="AI72" s="43">
        <v>244154.68290483041</v>
      </c>
      <c r="AJ72" s="43">
        <v>255781.48177914743</v>
      </c>
      <c r="AK72" s="43">
        <v>267408.28065346449</v>
      </c>
      <c r="AL72" s="55">
        <v>279035.07952778152</v>
      </c>
      <c r="AM72" s="56">
        <v>290661.87840209855</v>
      </c>
      <c r="AN72" s="57">
        <v>285624.42754972039</v>
      </c>
      <c r="AO72" s="43">
        <v>280586.97669734224</v>
      </c>
      <c r="AP72" s="43">
        <v>275549.52584496408</v>
      </c>
      <c r="AQ72" s="43">
        <v>270512.07499258593</v>
      </c>
      <c r="AR72" s="43">
        <v>265474.62414020777</v>
      </c>
      <c r="AS72" s="43">
        <v>260437.17328782962</v>
      </c>
      <c r="AT72" s="43">
        <v>255399.72243545146</v>
      </c>
      <c r="AU72" s="43">
        <v>250362.27158307331</v>
      </c>
      <c r="AV72" s="43">
        <v>245324.82073069515</v>
      </c>
      <c r="AW72" s="43">
        <v>240287.369878317</v>
      </c>
      <c r="AX72" s="55">
        <v>235249.91902593884</v>
      </c>
      <c r="AY72" s="56">
        <v>230212.46817356069</v>
      </c>
      <c r="AZ72" s="57">
        <v>224641.69834126908</v>
      </c>
      <c r="BA72" s="43">
        <v>219070.92850897746</v>
      </c>
      <c r="BB72" s="43">
        <v>213500.15867668585</v>
      </c>
      <c r="BC72" s="43">
        <v>207929.38884439424</v>
      </c>
      <c r="BD72" s="43">
        <v>202358.61901210263</v>
      </c>
      <c r="BE72" s="43">
        <v>196787.84917981102</v>
      </c>
      <c r="BF72" s="43">
        <v>191217.07934751941</v>
      </c>
      <c r="BG72" s="43">
        <v>185646.3095152278</v>
      </c>
      <c r="BH72" s="43">
        <v>180075.53968293619</v>
      </c>
      <c r="BI72" s="43">
        <v>174504.76985064457</v>
      </c>
      <c r="BJ72" s="55">
        <v>168934.00001835296</v>
      </c>
      <c r="BK72" s="56">
        <v>163363.23018606135</v>
      </c>
      <c r="BL72" s="57">
        <v>149749.62767055622</v>
      </c>
      <c r="BM72" s="43">
        <v>136136.02515505109</v>
      </c>
      <c r="BN72" s="43">
        <v>122522.42263954596</v>
      </c>
      <c r="BO72" s="43">
        <v>108908.82012404082</v>
      </c>
      <c r="BP72" s="43">
        <v>95295.217608535691</v>
      </c>
      <c r="BQ72" s="43">
        <v>81681.615093030559</v>
      </c>
      <c r="BR72" s="43">
        <v>68068.012577525427</v>
      </c>
      <c r="BS72" s="43">
        <v>54454.410062020303</v>
      </c>
      <c r="BT72" s="43">
        <v>40840.807546515178</v>
      </c>
      <c r="BU72" s="43">
        <v>27227.205031010053</v>
      </c>
      <c r="BV72" s="55">
        <v>13613.602515504928</v>
      </c>
      <c r="BW72" s="56">
        <v>-1.964508555829525E-10</v>
      </c>
    </row>
    <row r="73" spans="1:75" ht="15.75" thickBot="1" x14ac:dyDescent="0.3">
      <c r="D73" s="19" t="s">
        <v>45</v>
      </c>
      <c r="F73" s="20"/>
      <c r="H73" s="51">
        <f t="shared" si="2"/>
        <v>54206.694233537273</v>
      </c>
      <c r="I73" s="51">
        <f t="shared" si="3"/>
        <v>80322.839656310345</v>
      </c>
      <c r="J73" s="51">
        <f t="shared" si="4"/>
        <v>70452.886061604033</v>
      </c>
      <c r="K73" s="51">
        <f t="shared" si="5"/>
        <v>65304.942248148633</v>
      </c>
      <c r="L73" s="51">
        <f t="shared" si="6"/>
        <v>1.6370904631912708E-11</v>
      </c>
      <c r="P73" s="54">
        <v>55290.828118207981</v>
      </c>
      <c r="Q73" s="43">
        <v>55192.270492328826</v>
      </c>
      <c r="R73" s="43">
        <v>55093.71286644967</v>
      </c>
      <c r="S73" s="43">
        <v>54995.155240570515</v>
      </c>
      <c r="T73" s="43">
        <v>54896.59761469136</v>
      </c>
      <c r="U73" s="43">
        <v>54798.039988812205</v>
      </c>
      <c r="V73" s="43">
        <v>54699.482362933049</v>
      </c>
      <c r="W73" s="43">
        <v>54600.924737053894</v>
      </c>
      <c r="X73" s="43">
        <v>54502.367111174739</v>
      </c>
      <c r="Y73" s="43">
        <v>54403.809485295584</v>
      </c>
      <c r="Z73" s="55">
        <v>54305.251859416428</v>
      </c>
      <c r="AA73" s="56">
        <v>54206.694233537273</v>
      </c>
      <c r="AB73" s="57">
        <v>56383.039685435033</v>
      </c>
      <c r="AC73" s="43">
        <v>58559.385137332793</v>
      </c>
      <c r="AD73" s="43">
        <v>60735.730589230552</v>
      </c>
      <c r="AE73" s="43">
        <v>62912.076041128312</v>
      </c>
      <c r="AF73" s="43">
        <v>65088.421493026071</v>
      </c>
      <c r="AG73" s="43">
        <v>67264.766944923831</v>
      </c>
      <c r="AH73" s="43">
        <v>69441.112396821583</v>
      </c>
      <c r="AI73" s="43">
        <v>71617.457848719336</v>
      </c>
      <c r="AJ73" s="43">
        <v>73793.803300617088</v>
      </c>
      <c r="AK73" s="43">
        <v>75970.14875251484</v>
      </c>
      <c r="AL73" s="55">
        <v>78146.494204412593</v>
      </c>
      <c r="AM73" s="56">
        <v>80322.839656310345</v>
      </c>
      <c r="AN73" s="57">
        <v>79500.343523418152</v>
      </c>
      <c r="AO73" s="43">
        <v>78677.84739052596</v>
      </c>
      <c r="AP73" s="43">
        <v>77855.351257633767</v>
      </c>
      <c r="AQ73" s="43">
        <v>77032.855124741574</v>
      </c>
      <c r="AR73" s="43">
        <v>76210.358991849382</v>
      </c>
      <c r="AS73" s="43">
        <v>75387.862858957189</v>
      </c>
      <c r="AT73" s="43">
        <v>74565.366726064996</v>
      </c>
      <c r="AU73" s="43">
        <v>73742.870593172804</v>
      </c>
      <c r="AV73" s="43">
        <v>72920.374460280611</v>
      </c>
      <c r="AW73" s="43">
        <v>72097.878327388418</v>
      </c>
      <c r="AX73" s="55">
        <v>71275.382194496226</v>
      </c>
      <c r="AY73" s="56">
        <v>70452.886061604033</v>
      </c>
      <c r="AZ73" s="57">
        <v>70023.890743816082</v>
      </c>
      <c r="BA73" s="43">
        <v>69594.895426028132</v>
      </c>
      <c r="BB73" s="43">
        <v>69165.900108240181</v>
      </c>
      <c r="BC73" s="43">
        <v>68736.90479045223</v>
      </c>
      <c r="BD73" s="43">
        <v>68307.90947266428</v>
      </c>
      <c r="BE73" s="43">
        <v>67878.914154876329</v>
      </c>
      <c r="BF73" s="43">
        <v>67449.918837088378</v>
      </c>
      <c r="BG73" s="43">
        <v>67020.923519300428</v>
      </c>
      <c r="BH73" s="43">
        <v>66591.928201512477</v>
      </c>
      <c r="BI73" s="43">
        <v>66162.932883724527</v>
      </c>
      <c r="BJ73" s="55">
        <v>65733.937565936576</v>
      </c>
      <c r="BK73" s="56">
        <v>65304.942248148633</v>
      </c>
      <c r="BL73" s="57">
        <v>59862.863727469579</v>
      </c>
      <c r="BM73" s="43">
        <v>54420.785206790526</v>
      </c>
      <c r="BN73" s="43">
        <v>48978.706686111473</v>
      </c>
      <c r="BO73" s="43">
        <v>43536.628165432419</v>
      </c>
      <c r="BP73" s="43">
        <v>38094.549644753366</v>
      </c>
      <c r="BQ73" s="43">
        <v>32652.471124074316</v>
      </c>
      <c r="BR73" s="43">
        <v>27210.392603395267</v>
      </c>
      <c r="BS73" s="43">
        <v>21768.314082716217</v>
      </c>
      <c r="BT73" s="43">
        <v>16326.235562037167</v>
      </c>
      <c r="BU73" s="43">
        <v>10884.157041358118</v>
      </c>
      <c r="BV73" s="55">
        <v>5442.078520679067</v>
      </c>
      <c r="BW73" s="56">
        <v>1.6370904631912708E-11</v>
      </c>
    </row>
    <row r="74" spans="1:75" ht="15.75" thickBot="1" x14ac:dyDescent="0.3">
      <c r="D74" s="19" t="s">
        <v>46</v>
      </c>
      <c r="F74" s="20"/>
      <c r="H74" s="51">
        <f t="shared" si="2"/>
        <v>54460.802371255413</v>
      </c>
      <c r="I74" s="51">
        <f t="shared" si="3"/>
        <v>54902.261890404625</v>
      </c>
      <c r="J74" s="51">
        <f t="shared" si="4"/>
        <v>54105.675500241749</v>
      </c>
      <c r="K74" s="51">
        <f t="shared" si="5"/>
        <v>50476.502737571544</v>
      </c>
      <c r="L74" s="51">
        <f t="shared" si="6"/>
        <v>-3.092281986027956E-11</v>
      </c>
      <c r="P74" s="54">
        <v>55550.018418680535</v>
      </c>
      <c r="Q74" s="43">
        <v>55450.998778005523</v>
      </c>
      <c r="R74" s="43">
        <v>55351.979137330512</v>
      </c>
      <c r="S74" s="43">
        <v>55252.959496655501</v>
      </c>
      <c r="T74" s="43">
        <v>55153.93985598049</v>
      </c>
      <c r="U74" s="43">
        <v>55054.920215305479</v>
      </c>
      <c r="V74" s="43">
        <v>54955.900574630468</v>
      </c>
      <c r="W74" s="43">
        <v>54856.880933955457</v>
      </c>
      <c r="X74" s="43">
        <v>54757.861293280446</v>
      </c>
      <c r="Y74" s="43">
        <v>54658.841652605435</v>
      </c>
      <c r="Z74" s="55">
        <v>54559.822011930424</v>
      </c>
      <c r="AA74" s="56">
        <v>54460.802371255413</v>
      </c>
      <c r="AB74" s="57">
        <v>54497.590664517847</v>
      </c>
      <c r="AC74" s="43">
        <v>54534.378957780282</v>
      </c>
      <c r="AD74" s="43">
        <v>54571.167251042716</v>
      </c>
      <c r="AE74" s="43">
        <v>54607.95554430515</v>
      </c>
      <c r="AF74" s="43">
        <v>54644.743837567585</v>
      </c>
      <c r="AG74" s="43">
        <v>54681.532130830019</v>
      </c>
      <c r="AH74" s="43">
        <v>54718.320424092453</v>
      </c>
      <c r="AI74" s="43">
        <v>54755.108717354888</v>
      </c>
      <c r="AJ74" s="43">
        <v>54791.897010617322</v>
      </c>
      <c r="AK74" s="43">
        <v>54828.685303879756</v>
      </c>
      <c r="AL74" s="55">
        <v>54865.473597142191</v>
      </c>
      <c r="AM74" s="56">
        <v>54902.261890404625</v>
      </c>
      <c r="AN74" s="57">
        <v>54835.879691224385</v>
      </c>
      <c r="AO74" s="43">
        <v>54769.497492044145</v>
      </c>
      <c r="AP74" s="43">
        <v>54703.115292863906</v>
      </c>
      <c r="AQ74" s="43">
        <v>54636.733093683666</v>
      </c>
      <c r="AR74" s="43">
        <v>54570.350894503426</v>
      </c>
      <c r="AS74" s="43">
        <v>54503.968695323187</v>
      </c>
      <c r="AT74" s="43">
        <v>54437.586496142947</v>
      </c>
      <c r="AU74" s="43">
        <v>54371.204296962707</v>
      </c>
      <c r="AV74" s="43">
        <v>54304.822097782468</v>
      </c>
      <c r="AW74" s="43">
        <v>54238.439898602228</v>
      </c>
      <c r="AX74" s="55">
        <v>54172.057699421988</v>
      </c>
      <c r="AY74" s="56">
        <v>54105.675500241749</v>
      </c>
      <c r="AZ74" s="57">
        <v>53803.244436685898</v>
      </c>
      <c r="BA74" s="43">
        <v>53500.813373130048</v>
      </c>
      <c r="BB74" s="43">
        <v>53198.382309574197</v>
      </c>
      <c r="BC74" s="43">
        <v>52895.951246018347</v>
      </c>
      <c r="BD74" s="43">
        <v>52593.520182462496</v>
      </c>
      <c r="BE74" s="43">
        <v>52291.089118906646</v>
      </c>
      <c r="BF74" s="43">
        <v>51988.658055350796</v>
      </c>
      <c r="BG74" s="43">
        <v>51686.226991794945</v>
      </c>
      <c r="BH74" s="43">
        <v>51383.795928239095</v>
      </c>
      <c r="BI74" s="43">
        <v>51081.364864683244</v>
      </c>
      <c r="BJ74" s="55">
        <v>50778.933801127394</v>
      </c>
      <c r="BK74" s="56">
        <v>50476.502737571544</v>
      </c>
      <c r="BL74" s="57">
        <v>46270.127509440579</v>
      </c>
      <c r="BM74" s="43">
        <v>42063.752281309615</v>
      </c>
      <c r="BN74" s="43">
        <v>37857.37705317865</v>
      </c>
      <c r="BO74" s="43">
        <v>33651.001825047686</v>
      </c>
      <c r="BP74" s="43">
        <v>29444.626596916722</v>
      </c>
      <c r="BQ74" s="43">
        <v>25238.251368785757</v>
      </c>
      <c r="BR74" s="43">
        <v>21031.876140654793</v>
      </c>
      <c r="BS74" s="43">
        <v>16825.500912523828</v>
      </c>
      <c r="BT74" s="43">
        <v>12619.125684392864</v>
      </c>
      <c r="BU74" s="43">
        <v>8412.7504562618997</v>
      </c>
      <c r="BV74" s="55">
        <v>4206.3752281309344</v>
      </c>
      <c r="BW74" s="56">
        <v>-3.092281986027956E-11</v>
      </c>
    </row>
    <row r="75" spans="1:75" ht="15.75" thickBot="1" x14ac:dyDescent="0.3">
      <c r="D75" s="19" t="s">
        <v>638</v>
      </c>
      <c r="F75" s="20"/>
      <c r="H75" s="51">
        <f t="shared" si="2"/>
        <v>2606952.8002183507</v>
      </c>
      <c r="I75" s="51">
        <f t="shared" si="3"/>
        <v>6540046.1519631287</v>
      </c>
      <c r="J75" s="51">
        <f t="shared" si="4"/>
        <v>6129637.9262570338</v>
      </c>
      <c r="K75" s="51">
        <f t="shared" si="5"/>
        <v>5352484.1718329992</v>
      </c>
      <c r="L75" s="51">
        <f t="shared" si="6"/>
        <v>4020820.4321212335</v>
      </c>
      <c r="P75" s="54">
        <v>3163686.9580561277</v>
      </c>
      <c r="Q75" s="43">
        <v>3112851.0493114814</v>
      </c>
      <c r="R75" s="43">
        <v>3062050.9345792476</v>
      </c>
      <c r="S75" s="43">
        <v>3011289.0543602719</v>
      </c>
      <c r="T75" s="43">
        <v>2960568.0761787351</v>
      </c>
      <c r="U75" s="43">
        <v>2909890.9216087405</v>
      </c>
      <c r="V75" s="43">
        <v>2859260.7972560111</v>
      </c>
      <c r="W75" s="43">
        <v>2808681.2303868402</v>
      </c>
      <c r="X75" s="43">
        <v>2758156.1100384258</v>
      </c>
      <c r="Y75" s="43">
        <v>2707689.7346203011</v>
      </c>
      <c r="Z75" s="55">
        <v>2657286.8672349225</v>
      </c>
      <c r="AA75" s="56">
        <v>2606952.8002183507</v>
      </c>
      <c r="AB75" s="57">
        <v>8252960.7928141821</v>
      </c>
      <c r="AC75" s="43">
        <v>8096631.6162372064</v>
      </c>
      <c r="AD75" s="43">
        <v>7940391.1180271171</v>
      </c>
      <c r="AE75" s="43">
        <v>7784247.6117808055</v>
      </c>
      <c r="AF75" s="43">
        <v>7628210.4838173529</v>
      </c>
      <c r="AG75" s="43">
        <v>7472290.3719650405</v>
      </c>
      <c r="AH75" s="43">
        <v>7316499.3813388152</v>
      </c>
      <c r="AI75" s="43">
        <v>7160851.3463557586</v>
      </c>
      <c r="AJ75" s="43">
        <v>7005362.150976222</v>
      </c>
      <c r="AK75" s="43">
        <v>6850050.1228467645</v>
      </c>
      <c r="AL75" s="55">
        <v>6694936.5220373962</v>
      </c>
      <c r="AM75" s="56">
        <v>6540046.1519631287</v>
      </c>
      <c r="AN75" s="57">
        <v>8154154.1178673049</v>
      </c>
      <c r="AO75" s="43">
        <v>7967239.6028629038</v>
      </c>
      <c r="AP75" s="43">
        <v>7780652.8122578608</v>
      </c>
      <c r="AQ75" s="43">
        <v>7594442.9047120791</v>
      </c>
      <c r="AR75" s="43">
        <v>7408669.3880770179</v>
      </c>
      <c r="AS75" s="43">
        <v>7223404.994171137</v>
      </c>
      <c r="AT75" s="43">
        <v>7038739.5681819329</v>
      </c>
      <c r="AU75" s="43">
        <v>6854785.4165937854</v>
      </c>
      <c r="AV75" s="43">
        <v>6671684.7942869039</v>
      </c>
      <c r="AW75" s="43">
        <v>6489620.6003929907</v>
      </c>
      <c r="AX75" s="55">
        <v>6308832.0106996531</v>
      </c>
      <c r="AY75" s="56">
        <v>6129637.9262570338</v>
      </c>
      <c r="AZ75" s="57">
        <v>8653246.6609644201</v>
      </c>
      <c r="BA75" s="43">
        <v>8428245.5967561621</v>
      </c>
      <c r="BB75" s="43">
        <v>8206762.1077676695</v>
      </c>
      <c r="BC75" s="43">
        <v>7990115.2847063551</v>
      </c>
      <c r="BD75" s="43">
        <v>7780377.9843981611</v>
      </c>
      <c r="BE75" s="43">
        <v>7581004.9682196407</v>
      </c>
      <c r="BF75" s="43">
        <v>7398214.8066485962</v>
      </c>
      <c r="BG75" s="43">
        <v>7244444.6406406406</v>
      </c>
      <c r="BH75" s="43">
        <v>7148714.4657588573</v>
      </c>
      <c r="BI75" s="43">
        <v>7198084.2686925074</v>
      </c>
      <c r="BJ75" s="55">
        <v>7827853.982887893</v>
      </c>
      <c r="BK75" s="56">
        <v>5352484.1718329992</v>
      </c>
      <c r="BL75" s="57">
        <v>7380171.3769928999</v>
      </c>
      <c r="BM75" s="43">
        <v>7132012.9354110034</v>
      </c>
      <c r="BN75" s="43">
        <v>6883854.4938291041</v>
      </c>
      <c r="BO75" s="43">
        <v>6635696.0522472076</v>
      </c>
      <c r="BP75" s="43">
        <v>6387537.6106653102</v>
      </c>
      <c r="BQ75" s="43">
        <v>6139379.1690834146</v>
      </c>
      <c r="BR75" s="43">
        <v>5891220.7275015153</v>
      </c>
      <c r="BS75" s="43">
        <v>5643062.2859196188</v>
      </c>
      <c r="BT75" s="43">
        <v>5394903.8443377214</v>
      </c>
      <c r="BU75" s="43">
        <v>5146745.4027558267</v>
      </c>
      <c r="BV75" s="55">
        <v>4898586.9611739255</v>
      </c>
      <c r="BW75" s="56">
        <v>4020820.4321212335</v>
      </c>
    </row>
    <row r="76" spans="1:75" x14ac:dyDescent="0.25">
      <c r="D76" s="19" t="s">
        <v>639</v>
      </c>
      <c r="F76" s="20"/>
      <c r="H76" s="51">
        <f t="shared" si="2"/>
        <v>3224749.5705659208</v>
      </c>
      <c r="I76" s="51">
        <f t="shared" si="3"/>
        <v>2418562.1779244407</v>
      </c>
      <c r="J76" s="51">
        <f t="shared" si="4"/>
        <v>1612374.7852829606</v>
      </c>
      <c r="K76" s="51">
        <f t="shared" si="5"/>
        <v>806187.39264148031</v>
      </c>
      <c r="L76" s="51">
        <f t="shared" si="6"/>
        <v>0</v>
      </c>
      <c r="P76" s="54">
        <v>0</v>
      </c>
      <c r="Q76" s="43">
        <v>0</v>
      </c>
      <c r="R76" s="43">
        <v>0</v>
      </c>
      <c r="S76" s="43">
        <v>0</v>
      </c>
      <c r="T76" s="43">
        <v>1400000</v>
      </c>
      <c r="U76" s="43">
        <v>1374545.4545454546</v>
      </c>
      <c r="V76" s="43">
        <v>3304115.750854128</v>
      </c>
      <c r="W76" s="43">
        <v>3288242.5147964861</v>
      </c>
      <c r="X76" s="43">
        <v>3272369.2787388451</v>
      </c>
      <c r="Y76" s="43">
        <v>3256496.0426812037</v>
      </c>
      <c r="Z76" s="55">
        <v>3240622.8066235622</v>
      </c>
      <c r="AA76" s="56">
        <v>3224749.5705659208</v>
      </c>
      <c r="AB76" s="57">
        <v>3157567.2878457978</v>
      </c>
      <c r="AC76" s="43">
        <v>3090385.0051256744</v>
      </c>
      <c r="AD76" s="43">
        <v>3023202.722405551</v>
      </c>
      <c r="AE76" s="43">
        <v>2956020.4396854276</v>
      </c>
      <c r="AF76" s="43">
        <v>2888838.1569653042</v>
      </c>
      <c r="AG76" s="43">
        <v>2821655.8742451807</v>
      </c>
      <c r="AH76" s="43">
        <v>2754473.5915250573</v>
      </c>
      <c r="AI76" s="43">
        <v>2687291.3088049339</v>
      </c>
      <c r="AJ76" s="43">
        <v>2620109.026084811</v>
      </c>
      <c r="AK76" s="43">
        <v>2552926.7433646871</v>
      </c>
      <c r="AL76" s="55">
        <v>2485744.4606445641</v>
      </c>
      <c r="AM76" s="56">
        <v>2418562.1779244407</v>
      </c>
      <c r="AN76" s="57">
        <v>2351379.8952043173</v>
      </c>
      <c r="AO76" s="43">
        <v>2284197.6124841939</v>
      </c>
      <c r="AP76" s="43">
        <v>2217015.3297640709</v>
      </c>
      <c r="AQ76" s="43">
        <v>2149833.0470439475</v>
      </c>
      <c r="AR76" s="43">
        <v>2082650.7643238239</v>
      </c>
      <c r="AS76" s="43">
        <v>2015468.4816037007</v>
      </c>
      <c r="AT76" s="43">
        <v>1948286.1988835772</v>
      </c>
      <c r="AU76" s="43">
        <v>1881103.9161634538</v>
      </c>
      <c r="AV76" s="43">
        <v>1813921.6334433304</v>
      </c>
      <c r="AW76" s="43">
        <v>1746739.3507232072</v>
      </c>
      <c r="AX76" s="55">
        <v>1679557.0680030838</v>
      </c>
      <c r="AY76" s="56">
        <v>1612374.7852829606</v>
      </c>
      <c r="AZ76" s="57">
        <v>1545192.5025628372</v>
      </c>
      <c r="BA76" s="43">
        <v>1478010.2198427138</v>
      </c>
      <c r="BB76" s="43">
        <v>1410827.9371225904</v>
      </c>
      <c r="BC76" s="43">
        <v>1343645.654402467</v>
      </c>
      <c r="BD76" s="43">
        <v>1276463.3716823435</v>
      </c>
      <c r="BE76" s="43">
        <v>1209281.0889622204</v>
      </c>
      <c r="BF76" s="43">
        <v>1142098.8062420969</v>
      </c>
      <c r="BG76" s="43">
        <v>1074916.5235219738</v>
      </c>
      <c r="BH76" s="43">
        <v>1007734.2408018503</v>
      </c>
      <c r="BI76" s="43">
        <v>940551.95808172692</v>
      </c>
      <c r="BJ76" s="55">
        <v>873369.67536160361</v>
      </c>
      <c r="BK76" s="56">
        <v>806187.39264148031</v>
      </c>
      <c r="BL76" s="57">
        <v>739005.1099213569</v>
      </c>
      <c r="BM76" s="43">
        <v>671822.82720123348</v>
      </c>
      <c r="BN76" s="43">
        <v>604640.54448111018</v>
      </c>
      <c r="BO76" s="43">
        <v>537458.26176098688</v>
      </c>
      <c r="BP76" s="43">
        <v>470275.97904086346</v>
      </c>
      <c r="BQ76" s="43">
        <v>403093.69632074016</v>
      </c>
      <c r="BR76" s="43">
        <v>335911.41360061674</v>
      </c>
      <c r="BS76" s="43">
        <v>268729.13088049344</v>
      </c>
      <c r="BT76" s="43">
        <v>201546.84816037008</v>
      </c>
      <c r="BU76" s="43">
        <v>134364.56544024672</v>
      </c>
      <c r="BV76" s="55">
        <v>67182.282720123359</v>
      </c>
      <c r="BW76" s="56">
        <v>0</v>
      </c>
    </row>
    <row r="77" spans="1:75" ht="30.75" thickBot="1" x14ac:dyDescent="0.3">
      <c r="D77" s="15" t="s">
        <v>640</v>
      </c>
      <c r="H77" s="44"/>
      <c r="I77" s="44"/>
      <c r="J77" s="44"/>
      <c r="K77" s="44"/>
      <c r="L77" s="44"/>
    </row>
    <row r="78" spans="1:75" ht="18.75" thickTop="1" x14ac:dyDescent="0.25">
      <c r="A78" s="3" t="s">
        <v>490</v>
      </c>
      <c r="B78" s="3" t="s">
        <v>491</v>
      </c>
      <c r="C78" s="3"/>
      <c r="D78" s="18"/>
      <c r="E78" s="3"/>
      <c r="F78" s="3"/>
      <c r="G78" s="3"/>
      <c r="H78" s="80">
        <f>SUMIFS(H80:H92,$F80:$F92,"&lt;&gt;Option")</f>
        <v>0</v>
      </c>
      <c r="I78" s="80">
        <f t="shared" ref="I78:L78" si="7">SUMIFS(I80:I92,$F80:$F92,"&lt;&gt;Option")</f>
        <v>0</v>
      </c>
      <c r="J78" s="80">
        <f t="shared" si="7"/>
        <v>0</v>
      </c>
      <c r="K78" s="80">
        <f t="shared" si="7"/>
        <v>0</v>
      </c>
      <c r="L78" s="80">
        <f t="shared" si="7"/>
        <v>0</v>
      </c>
      <c r="M78" s="3"/>
      <c r="N78" s="82"/>
      <c r="P78" s="25" t="s">
        <v>484</v>
      </c>
      <c r="AA78" s="6" t="s">
        <v>485</v>
      </c>
      <c r="AB78" s="25" t="s">
        <v>36</v>
      </c>
      <c r="AM78" s="6" t="s">
        <v>486</v>
      </c>
      <c r="AN78" s="25" t="s">
        <v>37</v>
      </c>
      <c r="AY78" s="6" t="s">
        <v>487</v>
      </c>
      <c r="AZ78" s="27" t="s">
        <v>38</v>
      </c>
      <c r="BK78" s="67" t="s">
        <v>488</v>
      </c>
      <c r="BL78" s="27" t="s">
        <v>39</v>
      </c>
      <c r="BW78" s="67" t="s">
        <v>489</v>
      </c>
    </row>
    <row r="79" spans="1:75" ht="30.75" thickBot="1" x14ac:dyDescent="0.3">
      <c r="D79" s="8" t="s">
        <v>492</v>
      </c>
      <c r="H79" s="53">
        <f>SUMIFS(H80:H92,$F80:$F92,"Option")</f>
        <v>0</v>
      </c>
      <c r="I79" s="53">
        <f>SUMIFS(I80:I92,$F80:$F92,"Option")</f>
        <v>0</v>
      </c>
      <c r="J79" s="53">
        <f>SUMIFS(J80:J92,$F80:$F92,"Option")</f>
        <v>0</v>
      </c>
      <c r="K79" s="53">
        <f>SUMIFS(K80:K92,$F80:$F92,"Option")</f>
        <v>0</v>
      </c>
      <c r="L79" s="53">
        <f>SUMIFS(L80:L92,$F80:$F92,"Option")</f>
        <v>0</v>
      </c>
      <c r="N79" s="6" t="s">
        <v>493</v>
      </c>
      <c r="P79" s="26">
        <v>1</v>
      </c>
      <c r="Q79" s="23">
        <v>2</v>
      </c>
      <c r="R79" s="23">
        <v>3</v>
      </c>
      <c r="S79" s="23">
        <v>4</v>
      </c>
      <c r="T79" s="23">
        <v>5</v>
      </c>
      <c r="U79" s="23">
        <v>6</v>
      </c>
      <c r="V79" s="23">
        <v>7</v>
      </c>
      <c r="W79" s="23">
        <v>8</v>
      </c>
      <c r="X79" s="23">
        <v>9</v>
      </c>
      <c r="Y79" s="23">
        <v>10</v>
      </c>
      <c r="Z79" s="23">
        <v>11</v>
      </c>
      <c r="AA79" s="23">
        <v>12</v>
      </c>
      <c r="AB79" s="26">
        <v>13</v>
      </c>
      <c r="AC79" s="23">
        <v>14</v>
      </c>
      <c r="AD79" s="23">
        <v>15</v>
      </c>
      <c r="AE79" s="23">
        <v>16</v>
      </c>
      <c r="AF79" s="23">
        <v>17</v>
      </c>
      <c r="AG79" s="23">
        <v>18</v>
      </c>
      <c r="AH79" s="23">
        <v>19</v>
      </c>
      <c r="AI79" s="23">
        <v>20</v>
      </c>
      <c r="AJ79" s="23">
        <v>21</v>
      </c>
      <c r="AK79" s="23">
        <v>22</v>
      </c>
      <c r="AL79" s="23">
        <v>23</v>
      </c>
      <c r="AM79" s="23">
        <v>24</v>
      </c>
      <c r="AN79" s="26">
        <v>25</v>
      </c>
      <c r="AO79" s="23">
        <v>26</v>
      </c>
      <c r="AP79" s="23">
        <v>27</v>
      </c>
      <c r="AQ79" s="23">
        <v>28</v>
      </c>
      <c r="AR79" s="23">
        <v>29</v>
      </c>
      <c r="AS79" s="23">
        <v>30</v>
      </c>
      <c r="AT79" s="23">
        <v>31</v>
      </c>
      <c r="AU79" s="23">
        <v>32</v>
      </c>
      <c r="AV79" s="23">
        <v>33</v>
      </c>
      <c r="AW79" s="23">
        <v>34</v>
      </c>
      <c r="AX79" s="23">
        <v>35</v>
      </c>
      <c r="AY79" s="23">
        <v>36</v>
      </c>
      <c r="AZ79" s="26">
        <v>37</v>
      </c>
      <c r="BA79" s="23">
        <v>38</v>
      </c>
      <c r="BB79" s="23">
        <v>39</v>
      </c>
      <c r="BC79" s="23">
        <v>40</v>
      </c>
      <c r="BD79" s="23">
        <v>41</v>
      </c>
      <c r="BE79" s="23">
        <v>42</v>
      </c>
      <c r="BF79" s="23">
        <v>43</v>
      </c>
      <c r="BG79" s="23">
        <v>44</v>
      </c>
      <c r="BH79" s="23">
        <v>45</v>
      </c>
      <c r="BI79" s="23">
        <v>46</v>
      </c>
      <c r="BJ79" s="23">
        <v>47</v>
      </c>
      <c r="BK79" s="23">
        <v>48</v>
      </c>
      <c r="BL79" s="26">
        <v>49</v>
      </c>
      <c r="BM79" s="23">
        <v>50</v>
      </c>
      <c r="BN79" s="23">
        <v>51</v>
      </c>
      <c r="BO79" s="23">
        <v>52</v>
      </c>
      <c r="BP79" s="23">
        <v>53</v>
      </c>
      <c r="BQ79" s="23">
        <v>54</v>
      </c>
      <c r="BR79" s="23">
        <v>55</v>
      </c>
      <c r="BS79" s="23">
        <v>56</v>
      </c>
      <c r="BT79" s="23">
        <v>57</v>
      </c>
      <c r="BU79" s="23">
        <v>58</v>
      </c>
      <c r="BV79" s="23">
        <v>59</v>
      </c>
      <c r="BW79" s="23">
        <v>60</v>
      </c>
    </row>
    <row r="80" spans="1:75" x14ac:dyDescent="0.25">
      <c r="D80" s="19"/>
      <c r="F80" s="20"/>
      <c r="H80" s="51">
        <f>AA80</f>
        <v>0</v>
      </c>
      <c r="I80" s="51">
        <f>AM80</f>
        <v>0</v>
      </c>
      <c r="J80" s="51">
        <f>AY80</f>
        <v>0</v>
      </c>
      <c r="K80" s="51">
        <f>SUM(BK80)</f>
        <v>0</v>
      </c>
      <c r="L80" s="51">
        <f>BW80</f>
        <v>0</v>
      </c>
      <c r="P80" s="54"/>
      <c r="Q80" s="43"/>
      <c r="R80" s="43"/>
      <c r="S80" s="43"/>
      <c r="T80" s="43"/>
      <c r="U80" s="43"/>
      <c r="V80" s="43"/>
      <c r="W80" s="43"/>
      <c r="X80" s="43"/>
      <c r="Y80" s="43"/>
      <c r="Z80" s="55"/>
      <c r="AA80" s="56"/>
      <c r="AB80" s="57"/>
      <c r="AC80" s="43"/>
      <c r="AD80" s="43"/>
      <c r="AE80" s="43"/>
      <c r="AF80" s="43"/>
      <c r="AG80" s="43"/>
      <c r="AH80" s="43"/>
      <c r="AI80" s="43"/>
      <c r="AJ80" s="43"/>
      <c r="AK80" s="43"/>
      <c r="AL80" s="55"/>
      <c r="AM80" s="56"/>
      <c r="AN80" s="57"/>
      <c r="AO80" s="43"/>
      <c r="AP80" s="43"/>
      <c r="AQ80" s="43"/>
      <c r="AR80" s="43"/>
      <c r="AS80" s="43"/>
      <c r="AT80" s="43"/>
      <c r="AU80" s="43"/>
      <c r="AV80" s="43"/>
      <c r="AW80" s="43"/>
      <c r="AX80" s="55"/>
      <c r="AY80" s="56"/>
      <c r="AZ80" s="57"/>
      <c r="BA80" s="43"/>
      <c r="BB80" s="43"/>
      <c r="BC80" s="43"/>
      <c r="BD80" s="43"/>
      <c r="BE80" s="43"/>
      <c r="BF80" s="43"/>
      <c r="BG80" s="43"/>
      <c r="BH80" s="43"/>
      <c r="BI80" s="43"/>
      <c r="BJ80" s="55"/>
      <c r="BK80" s="56"/>
      <c r="BL80" s="57"/>
      <c r="BM80" s="43"/>
      <c r="BN80" s="43"/>
      <c r="BO80" s="43"/>
      <c r="BP80" s="43"/>
      <c r="BQ80" s="43"/>
      <c r="BR80" s="43"/>
      <c r="BS80" s="43"/>
      <c r="BT80" s="43"/>
      <c r="BU80" s="43"/>
      <c r="BV80" s="55"/>
      <c r="BW80" s="56"/>
    </row>
    <row r="81" spans="1:75" x14ac:dyDescent="0.25">
      <c r="D81" s="19" t="s">
        <v>603</v>
      </c>
      <c r="F81" s="20"/>
      <c r="H81" s="51">
        <f t="shared" ref="H81:H91" si="8">AA81</f>
        <v>0</v>
      </c>
      <c r="I81" s="51">
        <f t="shared" ref="I81:I91" si="9">AM81</f>
        <v>0</v>
      </c>
      <c r="J81" s="51">
        <f t="shared" ref="J81:J91" si="10">AY81</f>
        <v>0</v>
      </c>
      <c r="K81" s="51">
        <f t="shared" ref="K81:K91" si="11">SUM(BK81)</f>
        <v>0</v>
      </c>
      <c r="L81" s="51">
        <f t="shared" ref="L81:L91" si="12">BW81</f>
        <v>0</v>
      </c>
      <c r="P81" s="54"/>
      <c r="Q81" s="43"/>
      <c r="R81" s="43"/>
      <c r="S81" s="43"/>
      <c r="T81" s="43"/>
      <c r="U81" s="43"/>
      <c r="V81" s="43"/>
      <c r="W81" s="43"/>
      <c r="X81" s="43"/>
      <c r="Y81" s="43"/>
      <c r="Z81" s="55"/>
      <c r="AA81" s="58"/>
      <c r="AB81" s="57"/>
      <c r="AC81" s="43"/>
      <c r="AD81" s="43"/>
      <c r="AE81" s="43"/>
      <c r="AF81" s="43"/>
      <c r="AG81" s="43"/>
      <c r="AH81" s="43"/>
      <c r="AI81" s="43"/>
      <c r="AJ81" s="43"/>
      <c r="AK81" s="43"/>
      <c r="AL81" s="55"/>
      <c r="AM81" s="58"/>
      <c r="AN81" s="57"/>
      <c r="AO81" s="43"/>
      <c r="AP81" s="43"/>
      <c r="AQ81" s="43"/>
      <c r="AR81" s="43"/>
      <c r="AS81" s="43"/>
      <c r="AT81" s="43"/>
      <c r="AU81" s="43"/>
      <c r="AV81" s="43"/>
      <c r="AW81" s="43"/>
      <c r="AX81" s="55"/>
      <c r="AY81" s="58"/>
      <c r="AZ81" s="57"/>
      <c r="BA81" s="43"/>
      <c r="BB81" s="43"/>
      <c r="BC81" s="43"/>
      <c r="BD81" s="43"/>
      <c r="BE81" s="43"/>
      <c r="BF81" s="43"/>
      <c r="BG81" s="43"/>
      <c r="BH81" s="43"/>
      <c r="BI81" s="43"/>
      <c r="BJ81" s="55"/>
      <c r="BK81" s="58"/>
      <c r="BL81" s="57"/>
      <c r="BM81" s="43"/>
      <c r="BN81" s="43"/>
      <c r="BO81" s="43"/>
      <c r="BP81" s="43"/>
      <c r="BQ81" s="43"/>
      <c r="BR81" s="43"/>
      <c r="BS81" s="43"/>
      <c r="BT81" s="43"/>
      <c r="BU81" s="43"/>
      <c r="BV81" s="55"/>
      <c r="BW81" s="58"/>
    </row>
    <row r="82" spans="1:75" x14ac:dyDescent="0.25">
      <c r="D82" s="19"/>
      <c r="F82" s="20"/>
      <c r="H82" s="51">
        <f t="shared" si="8"/>
        <v>0</v>
      </c>
      <c r="I82" s="51">
        <f t="shared" si="9"/>
        <v>0</v>
      </c>
      <c r="J82" s="51">
        <f t="shared" si="10"/>
        <v>0</v>
      </c>
      <c r="K82" s="51">
        <f t="shared" si="11"/>
        <v>0</v>
      </c>
      <c r="L82" s="51">
        <f t="shared" si="12"/>
        <v>0</v>
      </c>
      <c r="P82" s="54"/>
      <c r="Q82" s="43"/>
      <c r="R82" s="43"/>
      <c r="S82" s="43"/>
      <c r="T82" s="43"/>
      <c r="U82" s="43"/>
      <c r="V82" s="43"/>
      <c r="W82" s="43"/>
      <c r="X82" s="43"/>
      <c r="Y82" s="43"/>
      <c r="Z82" s="55"/>
      <c r="AA82" s="58"/>
      <c r="AB82" s="57"/>
      <c r="AC82" s="43"/>
      <c r="AD82" s="43"/>
      <c r="AE82" s="43"/>
      <c r="AF82" s="43"/>
      <c r="AG82" s="43"/>
      <c r="AH82" s="43"/>
      <c r="AI82" s="43"/>
      <c r="AJ82" s="43"/>
      <c r="AK82" s="43"/>
      <c r="AL82" s="55"/>
      <c r="AM82" s="58"/>
      <c r="AN82" s="57"/>
      <c r="AO82" s="43"/>
      <c r="AP82" s="43"/>
      <c r="AQ82" s="43"/>
      <c r="AR82" s="43"/>
      <c r="AS82" s="43"/>
      <c r="AT82" s="43"/>
      <c r="AU82" s="43"/>
      <c r="AV82" s="43"/>
      <c r="AW82" s="43"/>
      <c r="AX82" s="55"/>
      <c r="AY82" s="58"/>
      <c r="AZ82" s="57"/>
      <c r="BA82" s="43"/>
      <c r="BB82" s="43"/>
      <c r="BC82" s="43"/>
      <c r="BD82" s="43"/>
      <c r="BE82" s="43"/>
      <c r="BF82" s="43"/>
      <c r="BG82" s="43"/>
      <c r="BH82" s="43"/>
      <c r="BI82" s="43"/>
      <c r="BJ82" s="55"/>
      <c r="BK82" s="58"/>
      <c r="BL82" s="57"/>
      <c r="BM82" s="43"/>
      <c r="BN82" s="43"/>
      <c r="BO82" s="43"/>
      <c r="BP82" s="43"/>
      <c r="BQ82" s="43"/>
      <c r="BR82" s="43"/>
      <c r="BS82" s="43"/>
      <c r="BT82" s="43"/>
      <c r="BU82" s="43"/>
      <c r="BV82" s="55"/>
      <c r="BW82" s="58"/>
    </row>
    <row r="83" spans="1:75" x14ac:dyDescent="0.25">
      <c r="D83" s="19"/>
      <c r="F83" s="20"/>
      <c r="H83" s="51">
        <f t="shared" si="8"/>
        <v>0</v>
      </c>
      <c r="I83" s="51">
        <f t="shared" si="9"/>
        <v>0</v>
      </c>
      <c r="J83" s="51">
        <f t="shared" si="10"/>
        <v>0</v>
      </c>
      <c r="K83" s="51">
        <f t="shared" si="11"/>
        <v>0</v>
      </c>
      <c r="L83" s="51">
        <f t="shared" si="12"/>
        <v>0</v>
      </c>
      <c r="P83" s="54"/>
      <c r="Q83" s="43"/>
      <c r="R83" s="43"/>
      <c r="S83" s="43"/>
      <c r="T83" s="43"/>
      <c r="U83" s="43"/>
      <c r="V83" s="43"/>
      <c r="W83" s="43"/>
      <c r="X83" s="43"/>
      <c r="Y83" s="43"/>
      <c r="Z83" s="55"/>
      <c r="AA83" s="58"/>
      <c r="AB83" s="57"/>
      <c r="AC83" s="43"/>
      <c r="AD83" s="43"/>
      <c r="AE83" s="43"/>
      <c r="AF83" s="43"/>
      <c r="AG83" s="43"/>
      <c r="AH83" s="43"/>
      <c r="AI83" s="43"/>
      <c r="AJ83" s="43"/>
      <c r="AK83" s="43"/>
      <c r="AL83" s="55"/>
      <c r="AM83" s="58"/>
      <c r="AN83" s="57"/>
      <c r="AO83" s="43"/>
      <c r="AP83" s="43"/>
      <c r="AQ83" s="43"/>
      <c r="AR83" s="43"/>
      <c r="AS83" s="43"/>
      <c r="AT83" s="43"/>
      <c r="AU83" s="43"/>
      <c r="AV83" s="43"/>
      <c r="AW83" s="43"/>
      <c r="AX83" s="55"/>
      <c r="AY83" s="58"/>
      <c r="AZ83" s="57"/>
      <c r="BA83" s="43"/>
      <c r="BB83" s="43"/>
      <c r="BC83" s="43"/>
      <c r="BD83" s="43"/>
      <c r="BE83" s="43"/>
      <c r="BF83" s="43"/>
      <c r="BG83" s="43"/>
      <c r="BH83" s="43"/>
      <c r="BI83" s="43"/>
      <c r="BJ83" s="55"/>
      <c r="BK83" s="58"/>
      <c r="BL83" s="57"/>
      <c r="BM83" s="43"/>
      <c r="BN83" s="43"/>
      <c r="BO83" s="43"/>
      <c r="BP83" s="43"/>
      <c r="BQ83" s="43"/>
      <c r="BR83" s="43"/>
      <c r="BS83" s="43"/>
      <c r="BT83" s="43"/>
      <c r="BU83" s="43"/>
      <c r="BV83" s="55"/>
      <c r="BW83" s="58"/>
    </row>
    <row r="84" spans="1:75" x14ac:dyDescent="0.25">
      <c r="D84" s="19"/>
      <c r="F84" s="20"/>
      <c r="H84" s="51">
        <f t="shared" si="8"/>
        <v>0</v>
      </c>
      <c r="I84" s="51">
        <f t="shared" si="9"/>
        <v>0</v>
      </c>
      <c r="J84" s="51">
        <f t="shared" si="10"/>
        <v>0</v>
      </c>
      <c r="K84" s="51">
        <f t="shared" si="11"/>
        <v>0</v>
      </c>
      <c r="L84" s="51">
        <f t="shared" si="12"/>
        <v>0</v>
      </c>
      <c r="P84" s="54"/>
      <c r="Q84" s="43"/>
      <c r="R84" s="43"/>
      <c r="S84" s="43"/>
      <c r="T84" s="43"/>
      <c r="U84" s="43"/>
      <c r="V84" s="43"/>
      <c r="W84" s="43"/>
      <c r="X84" s="43"/>
      <c r="Y84" s="43"/>
      <c r="Z84" s="55"/>
      <c r="AA84" s="58"/>
      <c r="AB84" s="57"/>
      <c r="AC84" s="43"/>
      <c r="AD84" s="43"/>
      <c r="AE84" s="43"/>
      <c r="AF84" s="43"/>
      <c r="AG84" s="43"/>
      <c r="AH84" s="43"/>
      <c r="AI84" s="43"/>
      <c r="AJ84" s="43"/>
      <c r="AK84" s="43"/>
      <c r="AL84" s="55"/>
      <c r="AM84" s="58"/>
      <c r="AN84" s="57"/>
      <c r="AO84" s="43"/>
      <c r="AP84" s="43"/>
      <c r="AQ84" s="43"/>
      <c r="AR84" s="43"/>
      <c r="AS84" s="43"/>
      <c r="AT84" s="43"/>
      <c r="AU84" s="43"/>
      <c r="AV84" s="43"/>
      <c r="AW84" s="43"/>
      <c r="AX84" s="55"/>
      <c r="AY84" s="58"/>
      <c r="AZ84" s="57"/>
      <c r="BA84" s="43"/>
      <c r="BB84" s="43"/>
      <c r="BC84" s="43"/>
      <c r="BD84" s="43"/>
      <c r="BE84" s="43"/>
      <c r="BF84" s="43"/>
      <c r="BG84" s="43"/>
      <c r="BH84" s="43"/>
      <c r="BI84" s="43"/>
      <c r="BJ84" s="55"/>
      <c r="BK84" s="58"/>
      <c r="BL84" s="57"/>
      <c r="BM84" s="43"/>
      <c r="BN84" s="43"/>
      <c r="BO84" s="43"/>
      <c r="BP84" s="43"/>
      <c r="BQ84" s="43"/>
      <c r="BR84" s="43"/>
      <c r="BS84" s="43"/>
      <c r="BT84" s="43"/>
      <c r="BU84" s="43"/>
      <c r="BV84" s="55"/>
      <c r="BW84" s="58"/>
    </row>
    <row r="85" spans="1:75" x14ac:dyDescent="0.25">
      <c r="D85" s="19"/>
      <c r="F85" s="20"/>
      <c r="H85" s="51">
        <f t="shared" si="8"/>
        <v>0</v>
      </c>
      <c r="I85" s="51">
        <f t="shared" si="9"/>
        <v>0</v>
      </c>
      <c r="J85" s="51">
        <f t="shared" si="10"/>
        <v>0</v>
      </c>
      <c r="K85" s="51">
        <f t="shared" si="11"/>
        <v>0</v>
      </c>
      <c r="L85" s="51">
        <f t="shared" si="12"/>
        <v>0</v>
      </c>
      <c r="P85" s="54"/>
      <c r="Q85" s="43"/>
      <c r="R85" s="43"/>
      <c r="S85" s="43"/>
      <c r="T85" s="43"/>
      <c r="U85" s="43"/>
      <c r="V85" s="43"/>
      <c r="W85" s="43"/>
      <c r="X85" s="43"/>
      <c r="Y85" s="43"/>
      <c r="Z85" s="55"/>
      <c r="AA85" s="58"/>
      <c r="AB85" s="57"/>
      <c r="AC85" s="43"/>
      <c r="AD85" s="43"/>
      <c r="AE85" s="43"/>
      <c r="AF85" s="43"/>
      <c r="AG85" s="43"/>
      <c r="AH85" s="43"/>
      <c r="AI85" s="43"/>
      <c r="AJ85" s="43"/>
      <c r="AK85" s="43"/>
      <c r="AL85" s="55"/>
      <c r="AM85" s="58"/>
      <c r="AN85" s="57"/>
      <c r="AO85" s="43"/>
      <c r="AP85" s="43"/>
      <c r="AQ85" s="43"/>
      <c r="AR85" s="43"/>
      <c r="AS85" s="43"/>
      <c r="AT85" s="43"/>
      <c r="AU85" s="43"/>
      <c r="AV85" s="43"/>
      <c r="AW85" s="43"/>
      <c r="AX85" s="55"/>
      <c r="AY85" s="58"/>
      <c r="AZ85" s="57"/>
      <c r="BA85" s="43"/>
      <c r="BB85" s="43"/>
      <c r="BC85" s="43"/>
      <c r="BD85" s="43"/>
      <c r="BE85" s="43"/>
      <c r="BF85" s="43"/>
      <c r="BG85" s="43"/>
      <c r="BH85" s="43"/>
      <c r="BI85" s="43"/>
      <c r="BJ85" s="55"/>
      <c r="BK85" s="58"/>
      <c r="BL85" s="57"/>
      <c r="BM85" s="43"/>
      <c r="BN85" s="43"/>
      <c r="BO85" s="43"/>
      <c r="BP85" s="43"/>
      <c r="BQ85" s="43"/>
      <c r="BR85" s="43"/>
      <c r="BS85" s="43"/>
      <c r="BT85" s="43"/>
      <c r="BU85" s="43"/>
      <c r="BV85" s="55"/>
      <c r="BW85" s="58"/>
    </row>
    <row r="86" spans="1:75" x14ac:dyDescent="0.25">
      <c r="D86" s="19"/>
      <c r="F86" s="20"/>
      <c r="H86" s="51">
        <f t="shared" si="8"/>
        <v>0</v>
      </c>
      <c r="I86" s="51">
        <f t="shared" si="9"/>
        <v>0</v>
      </c>
      <c r="J86" s="51">
        <f t="shared" si="10"/>
        <v>0</v>
      </c>
      <c r="K86" s="51">
        <f t="shared" si="11"/>
        <v>0</v>
      </c>
      <c r="L86" s="51">
        <f t="shared" si="12"/>
        <v>0</v>
      </c>
      <c r="P86" s="54"/>
      <c r="Q86" s="43"/>
      <c r="R86" s="43"/>
      <c r="S86" s="43"/>
      <c r="T86" s="43"/>
      <c r="U86" s="43"/>
      <c r="V86" s="43"/>
      <c r="W86" s="43"/>
      <c r="X86" s="43"/>
      <c r="Y86" s="43"/>
      <c r="Z86" s="55"/>
      <c r="AA86" s="58"/>
      <c r="AB86" s="57"/>
      <c r="AC86" s="43"/>
      <c r="AD86" s="43"/>
      <c r="AE86" s="43"/>
      <c r="AF86" s="43"/>
      <c r="AG86" s="43"/>
      <c r="AH86" s="43"/>
      <c r="AI86" s="43"/>
      <c r="AJ86" s="43"/>
      <c r="AK86" s="43"/>
      <c r="AL86" s="55"/>
      <c r="AM86" s="58"/>
      <c r="AN86" s="57"/>
      <c r="AO86" s="43"/>
      <c r="AP86" s="43"/>
      <c r="AQ86" s="43"/>
      <c r="AR86" s="43"/>
      <c r="AS86" s="43"/>
      <c r="AT86" s="43"/>
      <c r="AU86" s="43"/>
      <c r="AV86" s="43"/>
      <c r="AW86" s="43"/>
      <c r="AX86" s="55"/>
      <c r="AY86" s="58"/>
      <c r="AZ86" s="57"/>
      <c r="BA86" s="43"/>
      <c r="BB86" s="43"/>
      <c r="BC86" s="43"/>
      <c r="BD86" s="43"/>
      <c r="BE86" s="43"/>
      <c r="BF86" s="43"/>
      <c r="BG86" s="43"/>
      <c r="BH86" s="43"/>
      <c r="BI86" s="43"/>
      <c r="BJ86" s="55"/>
      <c r="BK86" s="58"/>
      <c r="BL86" s="57"/>
      <c r="BM86" s="43"/>
      <c r="BN86" s="43"/>
      <c r="BO86" s="43"/>
      <c r="BP86" s="43"/>
      <c r="BQ86" s="43"/>
      <c r="BR86" s="43"/>
      <c r="BS86" s="43"/>
      <c r="BT86" s="43"/>
      <c r="BU86" s="43"/>
      <c r="BV86" s="55"/>
      <c r="BW86" s="58"/>
    </row>
    <row r="87" spans="1:75" x14ac:dyDescent="0.25">
      <c r="D87" s="19"/>
      <c r="F87" s="20"/>
      <c r="H87" s="51">
        <f t="shared" si="8"/>
        <v>0</v>
      </c>
      <c r="I87" s="51">
        <f t="shared" si="9"/>
        <v>0</v>
      </c>
      <c r="J87" s="51">
        <f t="shared" si="10"/>
        <v>0</v>
      </c>
      <c r="K87" s="51">
        <f t="shared" si="11"/>
        <v>0</v>
      </c>
      <c r="L87" s="51">
        <f t="shared" si="12"/>
        <v>0</v>
      </c>
      <c r="P87" s="54"/>
      <c r="Q87" s="43"/>
      <c r="R87" s="43"/>
      <c r="S87" s="43"/>
      <c r="T87" s="43"/>
      <c r="U87" s="43"/>
      <c r="V87" s="43"/>
      <c r="W87" s="43"/>
      <c r="X87" s="43"/>
      <c r="Y87" s="43"/>
      <c r="Z87" s="55"/>
      <c r="AA87" s="58"/>
      <c r="AB87" s="57"/>
      <c r="AC87" s="43"/>
      <c r="AD87" s="43"/>
      <c r="AE87" s="43"/>
      <c r="AF87" s="43"/>
      <c r="AG87" s="43"/>
      <c r="AH87" s="43"/>
      <c r="AI87" s="43"/>
      <c r="AJ87" s="43"/>
      <c r="AK87" s="43"/>
      <c r="AL87" s="55"/>
      <c r="AM87" s="58"/>
      <c r="AN87" s="57"/>
      <c r="AO87" s="43"/>
      <c r="AP87" s="43"/>
      <c r="AQ87" s="43"/>
      <c r="AR87" s="43"/>
      <c r="AS87" s="43"/>
      <c r="AT87" s="43"/>
      <c r="AU87" s="43"/>
      <c r="AV87" s="43"/>
      <c r="AW87" s="43"/>
      <c r="AX87" s="55"/>
      <c r="AY87" s="58"/>
      <c r="AZ87" s="57"/>
      <c r="BA87" s="43"/>
      <c r="BB87" s="43"/>
      <c r="BC87" s="43"/>
      <c r="BD87" s="43"/>
      <c r="BE87" s="43"/>
      <c r="BF87" s="43"/>
      <c r="BG87" s="43"/>
      <c r="BH87" s="43"/>
      <c r="BI87" s="43"/>
      <c r="BJ87" s="55"/>
      <c r="BK87" s="58"/>
      <c r="BL87" s="57"/>
      <c r="BM87" s="43"/>
      <c r="BN87" s="43"/>
      <c r="BO87" s="43"/>
      <c r="BP87" s="43"/>
      <c r="BQ87" s="43"/>
      <c r="BR87" s="43"/>
      <c r="BS87" s="43"/>
      <c r="BT87" s="43"/>
      <c r="BU87" s="43"/>
      <c r="BV87" s="55"/>
      <c r="BW87" s="58"/>
    </row>
    <row r="88" spans="1:75" x14ac:dyDescent="0.25">
      <c r="D88" s="19"/>
      <c r="F88" s="20"/>
      <c r="H88" s="51">
        <f t="shared" si="8"/>
        <v>0</v>
      </c>
      <c r="I88" s="51">
        <f t="shared" si="9"/>
        <v>0</v>
      </c>
      <c r="J88" s="51">
        <f t="shared" si="10"/>
        <v>0</v>
      </c>
      <c r="K88" s="51">
        <f t="shared" si="11"/>
        <v>0</v>
      </c>
      <c r="L88" s="51">
        <f t="shared" si="12"/>
        <v>0</v>
      </c>
      <c r="P88" s="54"/>
      <c r="Q88" s="43"/>
      <c r="R88" s="43"/>
      <c r="S88" s="43"/>
      <c r="T88" s="43"/>
      <c r="U88" s="43"/>
      <c r="V88" s="43"/>
      <c r="W88" s="43"/>
      <c r="X88" s="43"/>
      <c r="Y88" s="43"/>
      <c r="Z88" s="55"/>
      <c r="AA88" s="58"/>
      <c r="AB88" s="57"/>
      <c r="AC88" s="43"/>
      <c r="AD88" s="43"/>
      <c r="AE88" s="43"/>
      <c r="AF88" s="43"/>
      <c r="AG88" s="43"/>
      <c r="AH88" s="43"/>
      <c r="AI88" s="43"/>
      <c r="AJ88" s="43"/>
      <c r="AK88" s="43"/>
      <c r="AL88" s="55"/>
      <c r="AM88" s="58"/>
      <c r="AN88" s="57"/>
      <c r="AO88" s="43"/>
      <c r="AP88" s="43"/>
      <c r="AQ88" s="43"/>
      <c r="AR88" s="43"/>
      <c r="AS88" s="43"/>
      <c r="AT88" s="43"/>
      <c r="AU88" s="43"/>
      <c r="AV88" s="43"/>
      <c r="AW88" s="43"/>
      <c r="AX88" s="55"/>
      <c r="AY88" s="58"/>
      <c r="AZ88" s="57"/>
      <c r="BA88" s="43"/>
      <c r="BB88" s="43"/>
      <c r="BC88" s="43"/>
      <c r="BD88" s="43"/>
      <c r="BE88" s="43"/>
      <c r="BF88" s="43"/>
      <c r="BG88" s="43"/>
      <c r="BH88" s="43"/>
      <c r="BI88" s="43"/>
      <c r="BJ88" s="55"/>
      <c r="BK88" s="58"/>
      <c r="BL88" s="57"/>
      <c r="BM88" s="43"/>
      <c r="BN88" s="43"/>
      <c r="BO88" s="43"/>
      <c r="BP88" s="43"/>
      <c r="BQ88" s="43"/>
      <c r="BR88" s="43"/>
      <c r="BS88" s="43"/>
      <c r="BT88" s="43"/>
      <c r="BU88" s="43"/>
      <c r="BV88" s="55"/>
      <c r="BW88" s="58"/>
    </row>
    <row r="89" spans="1:75" x14ac:dyDescent="0.25">
      <c r="D89" s="19"/>
      <c r="F89" s="20"/>
      <c r="H89" s="51">
        <f t="shared" si="8"/>
        <v>0</v>
      </c>
      <c r="I89" s="51">
        <f t="shared" si="9"/>
        <v>0</v>
      </c>
      <c r="J89" s="51">
        <f t="shared" si="10"/>
        <v>0</v>
      </c>
      <c r="K89" s="51">
        <f t="shared" si="11"/>
        <v>0</v>
      </c>
      <c r="L89" s="51">
        <f t="shared" si="12"/>
        <v>0</v>
      </c>
      <c r="P89" s="54"/>
      <c r="Q89" s="43"/>
      <c r="R89" s="43"/>
      <c r="S89" s="43"/>
      <c r="T89" s="43"/>
      <c r="U89" s="43"/>
      <c r="V89" s="43"/>
      <c r="W89" s="43"/>
      <c r="X89" s="43"/>
      <c r="Y89" s="43"/>
      <c r="Z89" s="55"/>
      <c r="AA89" s="58"/>
      <c r="AB89" s="57"/>
      <c r="AC89" s="43"/>
      <c r="AD89" s="43"/>
      <c r="AE89" s="43"/>
      <c r="AF89" s="43"/>
      <c r="AG89" s="43"/>
      <c r="AH89" s="43"/>
      <c r="AI89" s="43"/>
      <c r="AJ89" s="43"/>
      <c r="AK89" s="43"/>
      <c r="AL89" s="55"/>
      <c r="AM89" s="58"/>
      <c r="AN89" s="57"/>
      <c r="AO89" s="43"/>
      <c r="AP89" s="43"/>
      <c r="AQ89" s="43"/>
      <c r="AR89" s="43"/>
      <c r="AS89" s="43"/>
      <c r="AT89" s="43"/>
      <c r="AU89" s="43"/>
      <c r="AV89" s="43"/>
      <c r="AW89" s="43"/>
      <c r="AX89" s="55"/>
      <c r="AY89" s="58"/>
      <c r="AZ89" s="57"/>
      <c r="BA89" s="43"/>
      <c r="BB89" s="43"/>
      <c r="BC89" s="43"/>
      <c r="BD89" s="43"/>
      <c r="BE89" s="43"/>
      <c r="BF89" s="43"/>
      <c r="BG89" s="43"/>
      <c r="BH89" s="43"/>
      <c r="BI89" s="43"/>
      <c r="BJ89" s="55"/>
      <c r="BK89" s="58"/>
      <c r="BL89" s="57"/>
      <c r="BM89" s="43"/>
      <c r="BN89" s="43"/>
      <c r="BO89" s="43"/>
      <c r="BP89" s="43"/>
      <c r="BQ89" s="43"/>
      <c r="BR89" s="43"/>
      <c r="BS89" s="43"/>
      <c r="BT89" s="43"/>
      <c r="BU89" s="43"/>
      <c r="BV89" s="55"/>
      <c r="BW89" s="58"/>
    </row>
    <row r="90" spans="1:75" x14ac:dyDescent="0.25">
      <c r="D90" s="19"/>
      <c r="F90" s="20"/>
      <c r="H90" s="51">
        <f t="shared" si="8"/>
        <v>0</v>
      </c>
      <c r="I90" s="51">
        <f t="shared" si="9"/>
        <v>0</v>
      </c>
      <c r="J90" s="51">
        <f t="shared" si="10"/>
        <v>0</v>
      </c>
      <c r="K90" s="51">
        <f t="shared" si="11"/>
        <v>0</v>
      </c>
      <c r="L90" s="51">
        <f t="shared" si="12"/>
        <v>0</v>
      </c>
      <c r="P90" s="54"/>
      <c r="Q90" s="43"/>
      <c r="R90" s="43"/>
      <c r="S90" s="43"/>
      <c r="T90" s="43"/>
      <c r="U90" s="43"/>
      <c r="V90" s="43"/>
      <c r="W90" s="43"/>
      <c r="X90" s="43"/>
      <c r="Y90" s="43"/>
      <c r="Z90" s="55"/>
      <c r="AA90" s="58"/>
      <c r="AB90" s="57"/>
      <c r="AC90" s="43"/>
      <c r="AD90" s="43"/>
      <c r="AE90" s="43"/>
      <c r="AF90" s="43"/>
      <c r="AG90" s="43"/>
      <c r="AH90" s="43"/>
      <c r="AI90" s="43"/>
      <c r="AJ90" s="43"/>
      <c r="AK90" s="43"/>
      <c r="AL90" s="55"/>
      <c r="AM90" s="58"/>
      <c r="AN90" s="57"/>
      <c r="AO90" s="43"/>
      <c r="AP90" s="43"/>
      <c r="AQ90" s="43"/>
      <c r="AR90" s="43"/>
      <c r="AS90" s="43"/>
      <c r="AT90" s="43"/>
      <c r="AU90" s="43"/>
      <c r="AV90" s="43"/>
      <c r="AW90" s="43"/>
      <c r="AX90" s="55"/>
      <c r="AY90" s="58"/>
      <c r="AZ90" s="57"/>
      <c r="BA90" s="43"/>
      <c r="BB90" s="43"/>
      <c r="BC90" s="43"/>
      <c r="BD90" s="43"/>
      <c r="BE90" s="43"/>
      <c r="BF90" s="43"/>
      <c r="BG90" s="43"/>
      <c r="BH90" s="43"/>
      <c r="BI90" s="43"/>
      <c r="BJ90" s="55"/>
      <c r="BK90" s="58"/>
      <c r="BL90" s="57"/>
      <c r="BM90" s="43"/>
      <c r="BN90" s="43"/>
      <c r="BO90" s="43"/>
      <c r="BP90" s="43"/>
      <c r="BQ90" s="43"/>
      <c r="BR90" s="43"/>
      <c r="BS90" s="43"/>
      <c r="BT90" s="43"/>
      <c r="BU90" s="43"/>
      <c r="BV90" s="55"/>
      <c r="BW90" s="58"/>
    </row>
    <row r="91" spans="1:75" ht="15.75" thickBot="1" x14ac:dyDescent="0.3">
      <c r="D91" s="19"/>
      <c r="F91" s="20"/>
      <c r="H91" s="51">
        <f t="shared" si="8"/>
        <v>0</v>
      </c>
      <c r="I91" s="51">
        <f t="shared" si="9"/>
        <v>0</v>
      </c>
      <c r="J91" s="51">
        <f t="shared" si="10"/>
        <v>0</v>
      </c>
      <c r="K91" s="51">
        <f t="shared" si="11"/>
        <v>0</v>
      </c>
      <c r="L91" s="51">
        <f t="shared" si="12"/>
        <v>0</v>
      </c>
      <c r="P91" s="54"/>
      <c r="Q91" s="43"/>
      <c r="R91" s="43"/>
      <c r="S91" s="43"/>
      <c r="T91" s="43"/>
      <c r="U91" s="43"/>
      <c r="V91" s="43"/>
      <c r="W91" s="43"/>
      <c r="X91" s="43"/>
      <c r="Y91" s="43"/>
      <c r="Z91" s="55"/>
      <c r="AA91" s="59"/>
      <c r="AB91" s="57"/>
      <c r="AC91" s="43"/>
      <c r="AD91" s="43"/>
      <c r="AE91" s="43"/>
      <c r="AF91" s="43"/>
      <c r="AG91" s="43"/>
      <c r="AH91" s="43"/>
      <c r="AI91" s="43"/>
      <c r="AJ91" s="43"/>
      <c r="AK91" s="43"/>
      <c r="AL91" s="55"/>
      <c r="AM91" s="59"/>
      <c r="AN91" s="57"/>
      <c r="AO91" s="43"/>
      <c r="AP91" s="43"/>
      <c r="AQ91" s="43"/>
      <c r="AR91" s="43"/>
      <c r="AS91" s="43"/>
      <c r="AT91" s="43"/>
      <c r="AU91" s="43"/>
      <c r="AV91" s="43"/>
      <c r="AW91" s="43"/>
      <c r="AX91" s="55"/>
      <c r="AY91" s="59"/>
      <c r="AZ91" s="57"/>
      <c r="BA91" s="43"/>
      <c r="BB91" s="43"/>
      <c r="BC91" s="43"/>
      <c r="BD91" s="43"/>
      <c r="BE91" s="43"/>
      <c r="BF91" s="43"/>
      <c r="BG91" s="43"/>
      <c r="BH91" s="43"/>
      <c r="BI91" s="43"/>
      <c r="BJ91" s="55"/>
      <c r="BK91" s="59"/>
      <c r="BL91" s="57"/>
      <c r="BM91" s="43"/>
      <c r="BN91" s="43"/>
      <c r="BO91" s="43"/>
      <c r="BP91" s="43"/>
      <c r="BQ91" s="43"/>
      <c r="BR91" s="43"/>
      <c r="BS91" s="43"/>
      <c r="BT91" s="43"/>
      <c r="BU91" s="43"/>
      <c r="BV91" s="55"/>
      <c r="BW91" s="59"/>
    </row>
    <row r="92" spans="1:75" ht="15.75" thickBot="1" x14ac:dyDescent="0.3">
      <c r="H92" s="44"/>
      <c r="I92" s="44"/>
      <c r="J92" s="44"/>
      <c r="K92" s="44"/>
      <c r="L92" s="44"/>
    </row>
    <row r="93" spans="1:75" ht="18" thickTop="1" x14ac:dyDescent="0.25">
      <c r="A93" s="3" t="s">
        <v>494</v>
      </c>
      <c r="B93" s="3" t="s">
        <v>495</v>
      </c>
      <c r="C93" s="3"/>
      <c r="D93" s="18"/>
      <c r="E93" s="3"/>
      <c r="F93" s="3"/>
      <c r="G93" s="3"/>
      <c r="H93" s="80">
        <f>SUMIFS(H95:H103,$F95:$F103,"&lt;&gt;Option")</f>
        <v>629264.84328151739</v>
      </c>
      <c r="I93" s="80">
        <f t="shared" ref="I93:L93" si="13">SUMIFS(I95:I103,$F95:$F103,"&lt;&gt;Option")</f>
        <v>629264.84328151739</v>
      </c>
      <c r="J93" s="80">
        <f t="shared" si="13"/>
        <v>629264.84328151739</v>
      </c>
      <c r="K93" s="80">
        <f t="shared" si="13"/>
        <v>629264.84328151739</v>
      </c>
      <c r="L93" s="80">
        <f t="shared" si="13"/>
        <v>629264.84328151739</v>
      </c>
      <c r="M93" s="3"/>
      <c r="N93" s="82"/>
    </row>
    <row r="94" spans="1:75" x14ac:dyDescent="0.25">
      <c r="C94" t="s">
        <v>496</v>
      </c>
      <c r="D94"/>
      <c r="H94" s="44"/>
      <c r="I94" s="44"/>
      <c r="J94" s="44"/>
      <c r="K94" s="44"/>
      <c r="L94" s="44"/>
    </row>
    <row r="95" spans="1:75" x14ac:dyDescent="0.25">
      <c r="D95" s="19" t="s">
        <v>41</v>
      </c>
      <c r="F95" s="20"/>
      <c r="H95" s="43">
        <v>121392.74502167638</v>
      </c>
      <c r="I95" s="43">
        <v>121392.74502167638</v>
      </c>
      <c r="J95" s="43">
        <v>121392.74502167638</v>
      </c>
      <c r="K95" s="43">
        <v>121392.74502167638</v>
      </c>
      <c r="L95" s="43">
        <v>121392.74502167638</v>
      </c>
    </row>
    <row r="96" spans="1:75" x14ac:dyDescent="0.25">
      <c r="D96" s="19" t="s">
        <v>42</v>
      </c>
      <c r="F96" s="20"/>
      <c r="H96" s="43">
        <v>39651.961747894718</v>
      </c>
      <c r="I96" s="43">
        <v>39651.961747894718</v>
      </c>
      <c r="J96" s="43">
        <v>39651.961747894718</v>
      </c>
      <c r="K96" s="43">
        <v>39651.961747894718</v>
      </c>
      <c r="L96" s="43">
        <v>39651.961747894718</v>
      </c>
    </row>
    <row r="97" spans="4:14" x14ac:dyDescent="0.25">
      <c r="D97" s="19" t="s">
        <v>43</v>
      </c>
      <c r="F97" s="20"/>
      <c r="H97" s="43">
        <v>155643.8999137342</v>
      </c>
      <c r="I97" s="43">
        <v>155643.8999137342</v>
      </c>
      <c r="J97" s="43">
        <v>155643.8999137342</v>
      </c>
      <c r="K97" s="43">
        <v>155643.8999137342</v>
      </c>
      <c r="L97" s="43">
        <v>155643.8999137342</v>
      </c>
    </row>
    <row r="98" spans="4:14" x14ac:dyDescent="0.25">
      <c r="D98" s="19" t="s">
        <v>44</v>
      </c>
      <c r="F98" s="20"/>
      <c r="H98" s="43">
        <v>151662.17976236224</v>
      </c>
      <c r="I98" s="43">
        <v>151662.17976236224</v>
      </c>
      <c r="J98" s="43">
        <v>151662.17976236224</v>
      </c>
      <c r="K98" s="43">
        <v>151662.17976236224</v>
      </c>
      <c r="L98" s="43">
        <v>151662.17976236224</v>
      </c>
    </row>
    <row r="99" spans="4:14" x14ac:dyDescent="0.25">
      <c r="D99" s="19" t="s">
        <v>45</v>
      </c>
      <c r="F99" s="20"/>
      <c r="H99" s="43">
        <v>59959.149295761148</v>
      </c>
      <c r="I99" s="43">
        <v>59959.149295761148</v>
      </c>
      <c r="J99" s="43">
        <v>59959.149295761148</v>
      </c>
      <c r="K99" s="43">
        <v>59959.149295761148</v>
      </c>
      <c r="L99" s="43">
        <v>59959.149295761148</v>
      </c>
    </row>
    <row r="100" spans="4:14" x14ac:dyDescent="0.25">
      <c r="D100" s="19" t="s">
        <v>46</v>
      </c>
      <c r="F100" s="20"/>
      <c r="H100" s="43">
        <v>100954.90754008866</v>
      </c>
      <c r="I100" s="43">
        <v>100954.90754008866</v>
      </c>
      <c r="J100" s="43">
        <v>100954.90754008866</v>
      </c>
      <c r="K100" s="43">
        <v>100954.90754008866</v>
      </c>
      <c r="L100" s="43">
        <v>100954.90754008866</v>
      </c>
    </row>
    <row r="101" spans="4:14" x14ac:dyDescent="0.25">
      <c r="D101" s="19"/>
      <c r="F101" s="20"/>
      <c r="H101" s="43"/>
      <c r="I101" s="43"/>
      <c r="J101" s="43"/>
      <c r="K101" s="43"/>
      <c r="L101" s="43"/>
    </row>
    <row r="102" spans="4:14" x14ac:dyDescent="0.25">
      <c r="D102" s="19"/>
      <c r="F102" s="20"/>
      <c r="H102" s="43"/>
      <c r="I102" s="43"/>
      <c r="J102" s="43"/>
      <c r="K102" s="43"/>
      <c r="L102" s="43"/>
    </row>
    <row r="104" spans="4:14" x14ac:dyDescent="0.25">
      <c r="H104" s="68">
        <f>SUMIFS(H69:H103,$F69:$F103,"Option")</f>
        <v>0</v>
      </c>
      <c r="I104" s="68">
        <f>SUMIFS(I69:I103,$F69:$F103,"Option")</f>
        <v>0</v>
      </c>
      <c r="J104" s="68">
        <f>SUMIFS(J69:J103,$F69:$F103,"Option")</f>
        <v>0</v>
      </c>
      <c r="K104" s="68">
        <f>SUMIFS(K69:K103,$F69:$F103,"Option")</f>
        <v>0</v>
      </c>
      <c r="L104" s="68">
        <f>SUMIFS(L69:L103,$F69:$F103,"Option")</f>
        <v>0</v>
      </c>
      <c r="N104" s="6" t="s">
        <v>497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BE105-9156-9543-8C17-4DEED1EDEACB}">
  <dimension ref="A1:O39"/>
  <sheetViews>
    <sheetView zoomScaleNormal="100" workbookViewId="0"/>
  </sheetViews>
  <sheetFormatPr defaultColWidth="11.140625" defaultRowHeight="15" x14ac:dyDescent="0.25"/>
  <cols>
    <col min="1" max="2" width="3" customWidth="1"/>
    <col min="3" max="3" width="58.42578125" customWidth="1"/>
    <col min="4" max="4" width="25" customWidth="1"/>
    <col min="5" max="5" width="20.85546875" customWidth="1"/>
    <col min="6" max="6" width="3" customWidth="1"/>
    <col min="8" max="8" width="3" customWidth="1"/>
    <col min="9" max="13" width="11.42578125" bestFit="1" customWidth="1"/>
    <col min="14" max="14" width="3" customWidth="1"/>
    <col min="15" max="15" width="65" style="6" customWidth="1"/>
  </cols>
  <sheetData>
    <row r="1" spans="1:15" ht="24" x14ac:dyDescent="0.25">
      <c r="A1" s="1" t="s">
        <v>498</v>
      </c>
    </row>
    <row r="3" spans="1:15" x14ac:dyDescent="0.25">
      <c r="B3" s="11" t="s">
        <v>499</v>
      </c>
      <c r="C3" s="17"/>
      <c r="G3" s="28" t="s">
        <v>500</v>
      </c>
      <c r="I3" t="s">
        <v>501</v>
      </c>
    </row>
    <row r="4" spans="1:15" x14ac:dyDescent="0.25">
      <c r="B4" s="11"/>
      <c r="C4" s="11" t="s">
        <v>502</v>
      </c>
      <c r="D4" s="11"/>
      <c r="E4" s="11" t="s">
        <v>503</v>
      </c>
      <c r="F4" s="11"/>
      <c r="G4" s="28" t="s">
        <v>504</v>
      </c>
      <c r="H4" s="11"/>
      <c r="I4" s="11" t="s">
        <v>35</v>
      </c>
      <c r="J4" s="11" t="s">
        <v>36</v>
      </c>
      <c r="K4" s="11" t="s">
        <v>37</v>
      </c>
      <c r="L4" s="11" t="s">
        <v>38</v>
      </c>
      <c r="M4" s="11" t="s">
        <v>39</v>
      </c>
      <c r="N4" s="11"/>
      <c r="O4" s="21" t="s">
        <v>40</v>
      </c>
    </row>
    <row r="5" spans="1:15" ht="15.75" thickBot="1" x14ac:dyDescent="0.3"/>
    <row r="6" spans="1:15" x14ac:dyDescent="0.25">
      <c r="A6" s="4"/>
      <c r="B6" s="4" t="s">
        <v>41</v>
      </c>
      <c r="C6" s="4"/>
      <c r="D6" s="4"/>
      <c r="E6" s="4"/>
      <c r="F6" s="4"/>
      <c r="G6" s="4"/>
      <c r="H6" s="4"/>
      <c r="I6" s="4"/>
      <c r="J6" s="4"/>
      <c r="K6" s="4"/>
      <c r="L6" s="4"/>
      <c r="M6" s="4"/>
      <c r="N6" s="4"/>
      <c r="O6" s="83"/>
    </row>
    <row r="7" spans="1:15" x14ac:dyDescent="0.25">
      <c r="C7" s="20" t="s">
        <v>505</v>
      </c>
      <c r="D7" s="20"/>
      <c r="E7" s="20"/>
      <c r="G7" s="24">
        <f>1/12</f>
        <v>8.3333333333333329E-2</v>
      </c>
      <c r="I7" s="47">
        <v>58067.795314987387</v>
      </c>
      <c r="J7" s="47">
        <v>58067.795314987387</v>
      </c>
      <c r="K7" s="47">
        <v>58067.795314987387</v>
      </c>
      <c r="L7" s="47">
        <v>58067.795314987387</v>
      </c>
      <c r="M7" s="47">
        <v>58067.795314987387</v>
      </c>
      <c r="O7" s="127"/>
    </row>
    <row r="8" spans="1:15" x14ac:dyDescent="0.25">
      <c r="C8" s="20" t="s">
        <v>506</v>
      </c>
      <c r="D8" s="20"/>
      <c r="E8" s="20"/>
      <c r="G8" s="24">
        <f>1/12</f>
        <v>8.3333333333333329E-2</v>
      </c>
      <c r="I8" s="47">
        <v>6701.8390066992888</v>
      </c>
      <c r="J8" s="47">
        <v>6701.8390066992888</v>
      </c>
      <c r="K8" s="47">
        <v>6701.8390066992888</v>
      </c>
      <c r="L8" s="47">
        <v>6701.8390066992888</v>
      </c>
      <c r="M8" s="47">
        <v>6701.8390066992888</v>
      </c>
      <c r="O8" s="127"/>
    </row>
    <row r="9" spans="1:15" x14ac:dyDescent="0.25">
      <c r="C9" s="20" t="s">
        <v>507</v>
      </c>
      <c r="D9" s="20"/>
      <c r="E9" s="20"/>
      <c r="G9" s="24">
        <v>0.5</v>
      </c>
      <c r="I9" s="47">
        <v>456.19566648963792</v>
      </c>
      <c r="J9" s="47">
        <v>456.19566648963792</v>
      </c>
      <c r="K9" s="47">
        <v>456.19566648963792</v>
      </c>
      <c r="L9" s="47">
        <v>456.19566648963792</v>
      </c>
      <c r="M9" s="47">
        <v>456.19566648963792</v>
      </c>
      <c r="O9" s="127"/>
    </row>
    <row r="10" spans="1:15" x14ac:dyDescent="0.25">
      <c r="C10" s="20"/>
      <c r="D10" s="20"/>
      <c r="E10" s="20"/>
      <c r="G10" s="24"/>
      <c r="I10" s="47"/>
      <c r="J10" s="47"/>
      <c r="K10" s="47"/>
      <c r="L10" s="47"/>
      <c r="M10" s="47"/>
    </row>
    <row r="11" spans="1:15" ht="15.75" thickBot="1" x14ac:dyDescent="0.3"/>
    <row r="12" spans="1:15" x14ac:dyDescent="0.25">
      <c r="A12" s="4"/>
      <c r="B12" s="4" t="s">
        <v>42</v>
      </c>
      <c r="C12" s="4"/>
      <c r="D12" s="4"/>
      <c r="E12" s="4"/>
      <c r="F12" s="4"/>
      <c r="G12" s="4"/>
      <c r="H12" s="4"/>
      <c r="I12" s="4"/>
      <c r="J12" s="4"/>
      <c r="K12" s="4"/>
      <c r="L12" s="4"/>
      <c r="M12" s="4"/>
      <c r="N12" s="4"/>
      <c r="O12" s="83"/>
    </row>
    <row r="13" spans="1:15" x14ac:dyDescent="0.25">
      <c r="C13" s="20"/>
      <c r="D13" s="20"/>
      <c r="E13" s="20"/>
      <c r="G13" s="24"/>
      <c r="I13" s="47">
        <v>0</v>
      </c>
      <c r="J13" s="47">
        <v>0</v>
      </c>
      <c r="K13" s="47">
        <v>0</v>
      </c>
      <c r="L13" s="47">
        <v>0</v>
      </c>
      <c r="M13" s="47">
        <v>0</v>
      </c>
    </row>
    <row r="14" spans="1:15" ht="15.75" thickBot="1" x14ac:dyDescent="0.3"/>
    <row r="15" spans="1:15" x14ac:dyDescent="0.25">
      <c r="A15" s="4"/>
      <c r="B15" s="4" t="s">
        <v>43</v>
      </c>
      <c r="C15" s="4"/>
      <c r="D15" s="4"/>
      <c r="E15" s="4"/>
      <c r="F15" s="4"/>
      <c r="G15" s="4"/>
      <c r="H15" s="4"/>
      <c r="I15" s="4"/>
      <c r="J15" s="4"/>
      <c r="K15" s="4"/>
      <c r="L15" s="4"/>
      <c r="M15" s="4"/>
      <c r="N15" s="4"/>
      <c r="O15" s="83"/>
    </row>
    <row r="16" spans="1:15" x14ac:dyDescent="0.25">
      <c r="C16" s="85" t="s">
        <v>611</v>
      </c>
      <c r="D16" s="20"/>
      <c r="E16" s="20" t="s">
        <v>391</v>
      </c>
      <c r="G16" s="24">
        <f>ROUND(8455/4/12*10%,)</f>
        <v>18</v>
      </c>
      <c r="I16" s="47">
        <v>226.65233823938956</v>
      </c>
      <c r="J16" s="47">
        <v>226.65233823938956</v>
      </c>
      <c r="K16" s="47">
        <v>226.65233823938956</v>
      </c>
      <c r="L16" s="47">
        <v>226.65233823938956</v>
      </c>
      <c r="M16" s="47">
        <v>226.65233823938956</v>
      </c>
      <c r="O16" s="127"/>
    </row>
    <row r="17" spans="1:15" x14ac:dyDescent="0.25">
      <c r="C17" s="85" t="s">
        <v>612</v>
      </c>
      <c r="D17" s="20"/>
      <c r="E17" s="20" t="s">
        <v>613</v>
      </c>
      <c r="G17" s="24">
        <f t="shared" ref="G17" si="0">1/12</f>
        <v>8.3333333333333329E-2</v>
      </c>
      <c r="I17" s="47">
        <v>571.31051884016051</v>
      </c>
      <c r="J17" s="47">
        <v>571.31051884016051</v>
      </c>
      <c r="K17" s="47">
        <v>571.31051884016051</v>
      </c>
      <c r="L17" s="47">
        <v>571.31051884016051</v>
      </c>
      <c r="M17" s="47">
        <v>571.31051884016051</v>
      </c>
      <c r="O17" s="127"/>
    </row>
    <row r="18" spans="1:15" x14ac:dyDescent="0.25">
      <c r="C18" s="85"/>
      <c r="D18" s="20"/>
      <c r="E18" s="20"/>
      <c r="G18" s="24"/>
      <c r="I18" s="47">
        <v>0</v>
      </c>
      <c r="J18" s="47">
        <v>0</v>
      </c>
      <c r="K18" s="47">
        <v>0</v>
      </c>
      <c r="L18" s="47">
        <v>0</v>
      </c>
      <c r="M18" s="47">
        <v>0</v>
      </c>
    </row>
    <row r="19" spans="1:15" x14ac:dyDescent="0.25">
      <c r="C19" s="85"/>
      <c r="D19" s="20"/>
      <c r="E19" s="20"/>
      <c r="G19" s="24"/>
      <c r="I19" s="47">
        <v>0</v>
      </c>
      <c r="J19" s="47">
        <v>0</v>
      </c>
      <c r="K19" s="47">
        <v>0</v>
      </c>
      <c r="L19" s="47">
        <v>0</v>
      </c>
      <c r="M19" s="47">
        <v>0</v>
      </c>
    </row>
    <row r="20" spans="1:15" ht="15.75" thickBot="1" x14ac:dyDescent="0.3"/>
    <row r="21" spans="1:15" x14ac:dyDescent="0.25">
      <c r="A21" s="4"/>
      <c r="B21" s="4" t="s">
        <v>44</v>
      </c>
      <c r="C21" s="4"/>
      <c r="D21" s="4"/>
      <c r="E21" s="4"/>
      <c r="F21" s="4"/>
      <c r="G21" s="4"/>
      <c r="H21" s="4"/>
      <c r="I21" s="4"/>
      <c r="J21" s="4"/>
      <c r="K21" s="4"/>
      <c r="L21" s="4"/>
      <c r="M21" s="4"/>
      <c r="N21" s="4"/>
      <c r="O21" s="83"/>
    </row>
    <row r="22" spans="1:15" x14ac:dyDescent="0.25">
      <c r="C22" s="19"/>
      <c r="D22" s="20"/>
      <c r="E22" s="20"/>
      <c r="G22" s="24"/>
      <c r="I22" s="47">
        <v>0</v>
      </c>
      <c r="J22" s="47">
        <v>0</v>
      </c>
      <c r="K22" s="47">
        <v>0</v>
      </c>
      <c r="L22" s="47">
        <v>0</v>
      </c>
      <c r="M22" s="47">
        <v>0</v>
      </c>
      <c r="O22" s="8"/>
    </row>
    <row r="23" spans="1:15" x14ac:dyDescent="0.25">
      <c r="C23" s="20"/>
      <c r="D23" s="20"/>
      <c r="E23" s="20"/>
      <c r="G23" s="24"/>
      <c r="I23" s="47">
        <v>0</v>
      </c>
      <c r="J23" s="47">
        <v>0</v>
      </c>
      <c r="K23" s="47">
        <v>0</v>
      </c>
      <c r="L23" s="47">
        <v>0</v>
      </c>
      <c r="M23" s="47">
        <v>0</v>
      </c>
    </row>
    <row r="24" spans="1:15" x14ac:dyDescent="0.25">
      <c r="C24" s="20"/>
      <c r="D24" s="20"/>
      <c r="E24" s="20"/>
      <c r="G24" s="24"/>
      <c r="I24" s="47">
        <v>0</v>
      </c>
      <c r="J24" s="47">
        <v>0</v>
      </c>
      <c r="K24" s="47">
        <v>0</v>
      </c>
      <c r="L24" s="47">
        <v>0</v>
      </c>
      <c r="M24" s="47">
        <v>0</v>
      </c>
    </row>
    <row r="25" spans="1:15" ht="15.75" thickBot="1" x14ac:dyDescent="0.3"/>
    <row r="26" spans="1:15" x14ac:dyDescent="0.25">
      <c r="A26" s="4"/>
      <c r="B26" s="4" t="s">
        <v>45</v>
      </c>
      <c r="C26" s="4"/>
      <c r="D26" s="4"/>
      <c r="E26" s="4"/>
      <c r="F26" s="4"/>
      <c r="G26" s="4"/>
      <c r="H26" s="4"/>
      <c r="I26" s="4"/>
      <c r="J26" s="4"/>
      <c r="K26" s="4"/>
      <c r="L26" s="4"/>
      <c r="M26" s="4"/>
      <c r="N26" s="4"/>
      <c r="O26" s="83"/>
    </row>
    <row r="27" spans="1:15" x14ac:dyDescent="0.25">
      <c r="C27" s="20" t="s">
        <v>614</v>
      </c>
      <c r="D27" s="20"/>
      <c r="E27" s="20" t="s">
        <v>615</v>
      </c>
      <c r="G27" s="24">
        <f t="shared" ref="G27" si="1">1/12</f>
        <v>8.3333333333333329E-2</v>
      </c>
      <c r="I27" s="47">
        <v>1252.4425628887773</v>
      </c>
      <c r="J27" s="47">
        <v>1252.4425628887773</v>
      </c>
      <c r="K27" s="47">
        <v>1252.4425628887773</v>
      </c>
      <c r="L27" s="47">
        <v>1252.4425628887773</v>
      </c>
      <c r="M27" s="47">
        <v>1252.4425628887773</v>
      </c>
    </row>
    <row r="28" spans="1:15" x14ac:dyDescent="0.25">
      <c r="C28" s="20"/>
      <c r="D28" s="20"/>
      <c r="E28" s="20"/>
      <c r="G28" s="24"/>
      <c r="I28" s="47"/>
      <c r="J28" s="47"/>
      <c r="K28" s="47"/>
      <c r="L28" s="47"/>
      <c r="M28" s="47"/>
    </row>
    <row r="29" spans="1:15" ht="15.75" thickBot="1" x14ac:dyDescent="0.3"/>
    <row r="30" spans="1:15" x14ac:dyDescent="0.25">
      <c r="A30" s="4"/>
      <c r="B30" s="4" t="s">
        <v>46</v>
      </c>
      <c r="C30" s="4"/>
      <c r="D30" s="4"/>
      <c r="E30" s="4"/>
      <c r="F30" s="4"/>
      <c r="G30" s="4"/>
      <c r="H30" s="4"/>
      <c r="I30" s="4"/>
      <c r="J30" s="4"/>
      <c r="K30" s="4"/>
      <c r="L30" s="4"/>
      <c r="M30" s="4"/>
      <c r="N30" s="4"/>
      <c r="O30" s="83"/>
    </row>
    <row r="31" spans="1:15" x14ac:dyDescent="0.25">
      <c r="C31" s="20"/>
      <c r="D31" s="20"/>
      <c r="E31" s="20"/>
      <c r="G31" s="24"/>
      <c r="I31" s="47">
        <v>0</v>
      </c>
      <c r="J31" s="47">
        <v>0</v>
      </c>
      <c r="K31" s="47">
        <v>0</v>
      </c>
      <c r="L31" s="47">
        <v>0</v>
      </c>
      <c r="M31" s="47">
        <v>0</v>
      </c>
    </row>
    <row r="34" spans="3:13" ht="15.75" thickBot="1" x14ac:dyDescent="0.3">
      <c r="C34" s="70" t="s">
        <v>508</v>
      </c>
      <c r="E34" s="29"/>
      <c r="F34" s="29"/>
      <c r="G34" s="31" t="s">
        <v>509</v>
      </c>
      <c r="I34" s="30">
        <f>SUMPRODUCT($G6:$G33,I6:I33)*12</f>
        <v>118287.46646206159</v>
      </c>
      <c r="J34" s="30">
        <f>SUMPRODUCT($G6:$G33,J6:J33)*12</f>
        <v>118287.46646206159</v>
      </c>
      <c r="K34" s="30">
        <f>SUMPRODUCT($G6:$G33,K6:K33)*12</f>
        <v>118287.46646206159</v>
      </c>
      <c r="L34" s="30">
        <f>SUMPRODUCT($G6:$G33,L6:L33)*12</f>
        <v>118287.46646206159</v>
      </c>
      <c r="M34" s="30">
        <f>SUMPRODUCT($G6:$G33,M6:M33)*12</f>
        <v>118287.46646206159</v>
      </c>
    </row>
    <row r="35" spans="3:13" ht="15.75" thickTop="1" x14ac:dyDescent="0.25"/>
    <row r="36" spans="3:13" x14ac:dyDescent="0.25">
      <c r="C36" t="s">
        <v>510</v>
      </c>
    </row>
    <row r="37" spans="3:13" x14ac:dyDescent="0.25">
      <c r="C37" t="s">
        <v>511</v>
      </c>
    </row>
    <row r="38" spans="3:13" x14ac:dyDescent="0.25">
      <c r="C38" t="s">
        <v>512</v>
      </c>
    </row>
    <row r="39" spans="3:13" x14ac:dyDescent="0.25">
      <c r="C39" t="s">
        <v>513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6786-B103-9A49-89F3-703BDE4B8C22}">
  <dimension ref="A1:P129"/>
  <sheetViews>
    <sheetView zoomScaleNormal="100" workbookViewId="0">
      <selection activeCell="I65" sqref="I65"/>
    </sheetView>
  </sheetViews>
  <sheetFormatPr defaultColWidth="11.140625" defaultRowHeight="15" x14ac:dyDescent="0.25"/>
  <cols>
    <col min="1" max="1" width="3" customWidth="1"/>
    <col min="2" max="3" width="3" style="33" customWidth="1"/>
    <col min="4" max="4" width="65" customWidth="1"/>
    <col min="5" max="5" width="3" customWidth="1"/>
    <col min="6" max="12" width="9" customWidth="1"/>
    <col min="13" max="13" width="3" customWidth="1"/>
    <col min="14" max="14" width="15" customWidth="1"/>
    <col min="15" max="15" width="3" customWidth="1"/>
    <col min="16" max="16" width="65" style="6" customWidth="1"/>
  </cols>
  <sheetData>
    <row r="1" spans="1:16" ht="24" x14ac:dyDescent="0.25">
      <c r="A1" s="1" t="s">
        <v>514</v>
      </c>
    </row>
    <row r="3" spans="1:16" x14ac:dyDescent="0.25">
      <c r="B3" s="11" t="s">
        <v>515</v>
      </c>
      <c r="C3" s="11"/>
      <c r="D3" s="11"/>
      <c r="E3" s="11"/>
      <c r="F3" s="11"/>
      <c r="G3" s="11"/>
      <c r="H3" s="11"/>
      <c r="I3" s="11"/>
      <c r="J3" s="11"/>
      <c r="K3" s="11"/>
      <c r="L3" s="11"/>
      <c r="M3" s="11"/>
      <c r="N3" s="11"/>
    </row>
    <row r="4" spans="1:16" x14ac:dyDescent="0.25">
      <c r="B4" s="11"/>
      <c r="C4" s="11" t="s">
        <v>66</v>
      </c>
      <c r="D4" s="11"/>
      <c r="E4" s="11"/>
      <c r="F4" s="11" t="s">
        <v>516</v>
      </c>
      <c r="G4" s="11"/>
      <c r="H4" s="11"/>
      <c r="I4" s="11"/>
      <c r="J4" s="11"/>
      <c r="K4" s="11"/>
      <c r="L4" s="11"/>
      <c r="M4" s="11"/>
      <c r="N4" s="32">
        <v>42</v>
      </c>
      <c r="P4" s="6" t="s">
        <v>517</v>
      </c>
    </row>
    <row r="5" spans="1:16" ht="16.5" x14ac:dyDescent="0.25">
      <c r="B5" s="11"/>
      <c r="C5" s="11"/>
      <c r="D5" s="11" t="s">
        <v>518</v>
      </c>
      <c r="E5" s="11"/>
      <c r="F5" s="20" t="s">
        <v>519</v>
      </c>
      <c r="G5" s="20" t="s">
        <v>520</v>
      </c>
      <c r="H5" s="20" t="s">
        <v>521</v>
      </c>
      <c r="I5" s="20" t="s">
        <v>522</v>
      </c>
      <c r="J5" s="20" t="s">
        <v>523</v>
      </c>
      <c r="K5" s="20" t="s">
        <v>524</v>
      </c>
      <c r="L5" s="20" t="s">
        <v>525</v>
      </c>
      <c r="M5" s="11"/>
      <c r="N5" s="11" t="s">
        <v>526</v>
      </c>
    </row>
    <row r="6" spans="1:16" s="6" customFormat="1" ht="15.75" thickBot="1" x14ac:dyDescent="0.3">
      <c r="A6"/>
      <c r="B6" s="36"/>
      <c r="F6" s="6" t="s">
        <v>527</v>
      </c>
      <c r="G6" s="6" t="s">
        <v>528</v>
      </c>
      <c r="H6" s="6" t="s">
        <v>529</v>
      </c>
      <c r="I6" s="6" t="s">
        <v>530</v>
      </c>
      <c r="J6" s="6" t="s">
        <v>531</v>
      </c>
      <c r="K6" s="6" t="s">
        <v>532</v>
      </c>
      <c r="L6" s="6" t="s">
        <v>533</v>
      </c>
      <c r="P6" s="6" t="s">
        <v>40</v>
      </c>
    </row>
    <row r="7" spans="1:16" ht="18" thickTop="1" x14ac:dyDescent="0.25">
      <c r="A7" s="3"/>
      <c r="B7" s="3" t="s">
        <v>534</v>
      </c>
      <c r="C7" s="3"/>
      <c r="D7" s="3"/>
      <c r="E7" s="84"/>
      <c r="F7" s="84"/>
      <c r="G7" s="84"/>
      <c r="H7" s="84"/>
      <c r="I7" s="84"/>
      <c r="J7" s="84"/>
      <c r="K7" s="84"/>
      <c r="L7" s="84"/>
      <c r="M7" s="84"/>
      <c r="N7" s="80"/>
      <c r="O7" s="3"/>
      <c r="P7" s="7"/>
    </row>
    <row r="8" spans="1:16" x14ac:dyDescent="0.25">
      <c r="E8" s="45"/>
      <c r="F8" s="45"/>
      <c r="G8" s="45"/>
      <c r="H8" s="45"/>
      <c r="I8" s="45"/>
      <c r="J8" s="45"/>
      <c r="K8" s="45"/>
      <c r="L8" s="45"/>
      <c r="M8" s="45"/>
      <c r="N8" s="44"/>
    </row>
    <row r="9" spans="1:16" x14ac:dyDescent="0.25">
      <c r="B9" s="5" t="s">
        <v>535</v>
      </c>
      <c r="C9" s="5"/>
      <c r="D9" s="5"/>
      <c r="E9" s="46"/>
      <c r="F9" s="46"/>
      <c r="G9" s="46"/>
      <c r="H9" s="46"/>
      <c r="I9" s="46"/>
      <c r="J9" s="46"/>
      <c r="K9" s="46"/>
      <c r="L9" s="46"/>
      <c r="M9" s="46"/>
      <c r="N9" s="50"/>
      <c r="O9" s="5"/>
      <c r="P9" s="34"/>
    </row>
    <row r="10" spans="1:16" x14ac:dyDescent="0.25">
      <c r="B10" s="32" t="s">
        <v>536</v>
      </c>
      <c r="C10" s="32"/>
      <c r="D10" s="32"/>
      <c r="E10" s="46"/>
      <c r="F10" s="46"/>
      <c r="G10" s="46"/>
      <c r="H10" s="46"/>
      <c r="I10" s="46"/>
      <c r="J10" s="46"/>
      <c r="K10" s="46"/>
      <c r="L10" s="46"/>
      <c r="M10" s="46"/>
      <c r="N10" s="50"/>
      <c r="O10" s="5"/>
      <c r="P10" s="21"/>
    </row>
    <row r="11" spans="1:16" x14ac:dyDescent="0.25">
      <c r="C11" s="33" t="s">
        <v>537</v>
      </c>
      <c r="E11" s="45"/>
      <c r="F11" s="45"/>
      <c r="G11" s="45"/>
      <c r="H11" s="45"/>
      <c r="I11" s="45"/>
      <c r="J11" s="45"/>
      <c r="K11" s="45"/>
      <c r="L11" s="45"/>
      <c r="M11" s="45"/>
      <c r="N11" s="44"/>
    </row>
    <row r="12" spans="1:16" x14ac:dyDescent="0.25">
      <c r="D12" t="s">
        <v>538</v>
      </c>
      <c r="E12" s="45"/>
      <c r="F12" s="45"/>
      <c r="G12" s="45"/>
      <c r="H12" s="47">
        <v>91.076091438166912</v>
      </c>
      <c r="I12" s="47">
        <v>100.18370058198362</v>
      </c>
      <c r="J12" s="47">
        <v>110.20207064018199</v>
      </c>
      <c r="K12" s="47">
        <v>121.2222777042002</v>
      </c>
      <c r="L12" s="47">
        <v>133.34450547462023</v>
      </c>
      <c r="M12" s="45"/>
      <c r="N12" s="51">
        <f>(IFERROR(AVERAGE(F12:L12),0)*intEstimateVolume)</f>
        <v>4670.6406250488844</v>
      </c>
    </row>
    <row r="13" spans="1:16" x14ac:dyDescent="0.25">
      <c r="D13" t="s">
        <v>539</v>
      </c>
      <c r="E13" s="45"/>
      <c r="F13" s="45"/>
      <c r="G13" s="47">
        <v>44.492123153621669</v>
      </c>
      <c r="H13" s="47">
        <v>48.941335468983837</v>
      </c>
      <c r="I13" s="47">
        <v>53.835469015882225</v>
      </c>
      <c r="J13" s="47">
        <v>59.21901591747045</v>
      </c>
      <c r="K13" s="47">
        <v>65.140917509217502</v>
      </c>
      <c r="L13" s="45"/>
      <c r="M13" s="45"/>
      <c r="N13" s="51">
        <f>(IFERROR(AVERAGE(F13:L13),0)*intEstimateVolume)</f>
        <v>2281.6824329474757</v>
      </c>
    </row>
    <row r="14" spans="1:16" x14ac:dyDescent="0.25">
      <c r="D14" t="s">
        <v>540</v>
      </c>
      <c r="E14" s="45"/>
      <c r="F14" s="45"/>
      <c r="G14" s="45"/>
      <c r="H14" s="47">
        <v>57.736584724717936</v>
      </c>
      <c r="I14" s="47">
        <v>63.510243197189737</v>
      </c>
      <c r="J14" s="47">
        <v>69.861267516908711</v>
      </c>
      <c r="K14" s="47">
        <v>76.847394268599587</v>
      </c>
      <c r="L14" s="45"/>
      <c r="M14" s="45"/>
      <c r="N14" s="51">
        <f>(IFERROR(AVERAGE(F14:L14),0)*intEstimateVolume)</f>
        <v>2813.5326419278681</v>
      </c>
    </row>
    <row r="15" spans="1:16" x14ac:dyDescent="0.25">
      <c r="C15" s="33" t="s">
        <v>541</v>
      </c>
      <c r="E15" s="45"/>
      <c r="F15" s="45"/>
      <c r="G15" s="45"/>
      <c r="H15" s="45"/>
      <c r="I15" s="45"/>
      <c r="J15" s="45"/>
      <c r="K15" s="45"/>
      <c r="L15" s="45"/>
      <c r="M15" s="45"/>
      <c r="N15" s="44"/>
    </row>
    <row r="16" spans="1:16" x14ac:dyDescent="0.25">
      <c r="D16" t="s">
        <v>542</v>
      </c>
      <c r="E16" s="45"/>
      <c r="F16" s="45"/>
      <c r="G16" s="45"/>
      <c r="H16" s="45"/>
      <c r="I16" s="45"/>
      <c r="J16" s="47">
        <v>81.028568866990724</v>
      </c>
      <c r="K16" s="47">
        <v>89.131425753689811</v>
      </c>
      <c r="L16" s="47">
        <v>100.21020286650914</v>
      </c>
      <c r="M16" s="45"/>
      <c r="N16" s="51">
        <f>(IFERROR(AVERAGE(F16:L16),0)*intEstimateVolume)</f>
        <v>3785.1827648206554</v>
      </c>
    </row>
    <row r="17" spans="2:16" x14ac:dyDescent="0.25">
      <c r="D17" t="s">
        <v>543</v>
      </c>
      <c r="E17" s="45"/>
      <c r="F17" s="45"/>
      <c r="G17" s="45"/>
      <c r="H17" s="45"/>
      <c r="I17" s="47">
        <v>64.587168295974649</v>
      </c>
      <c r="J17" s="47">
        <v>71.045885125572127</v>
      </c>
      <c r="K17" s="47">
        <v>78.150473638129341</v>
      </c>
      <c r="L17" s="45"/>
      <c r="M17" s="45"/>
      <c r="N17" s="51">
        <f>(IFERROR(AVERAGE(F17:L17),0)*intEstimateVolume)</f>
        <v>2992.9693788354652</v>
      </c>
    </row>
    <row r="18" spans="2:16" x14ac:dyDescent="0.25">
      <c r="C18" s="33" t="s">
        <v>544</v>
      </c>
      <c r="E18" s="45"/>
      <c r="F18" s="45"/>
      <c r="G18" s="45"/>
      <c r="H18" s="45"/>
      <c r="I18" s="45"/>
      <c r="J18" s="45"/>
      <c r="K18" s="45"/>
      <c r="L18" s="45"/>
      <c r="M18" s="45"/>
      <c r="N18" s="44"/>
    </row>
    <row r="19" spans="2:16" x14ac:dyDescent="0.25">
      <c r="D19" t="s">
        <v>545</v>
      </c>
      <c r="E19" s="45"/>
      <c r="F19" s="45"/>
      <c r="G19" s="45"/>
      <c r="H19" s="47">
        <v>63.673757153140414</v>
      </c>
      <c r="I19" s="47">
        <v>70.041132868454454</v>
      </c>
      <c r="J19" s="47">
        <v>77.045246155299907</v>
      </c>
      <c r="K19" s="45"/>
      <c r="L19" s="45"/>
      <c r="M19" s="45"/>
      <c r="N19" s="51">
        <f>(IFERROR(AVERAGE(F19:L19),0)*intEstimateVolume)</f>
        <v>2950.6419064765269</v>
      </c>
    </row>
    <row r="20" spans="2:16" x14ac:dyDescent="0.25">
      <c r="D20" t="s">
        <v>546</v>
      </c>
      <c r="E20" s="45"/>
      <c r="F20" s="45"/>
      <c r="G20" s="47">
        <v>63.673757153140414</v>
      </c>
      <c r="H20" s="47">
        <v>70.041132868454454</v>
      </c>
      <c r="I20" s="47">
        <v>77.045246155299907</v>
      </c>
      <c r="J20" s="47">
        <v>84.749770770829898</v>
      </c>
      <c r="K20" s="47">
        <v>93.224747847912894</v>
      </c>
      <c r="L20" s="45"/>
      <c r="M20" s="45"/>
      <c r="N20" s="51">
        <f>(IFERROR(AVERAGE(F20:L20),0)*intEstimateVolume)</f>
        <v>3265.3711002833561</v>
      </c>
    </row>
    <row r="21" spans="2:16" x14ac:dyDescent="0.25">
      <c r="C21" s="33" t="s">
        <v>547</v>
      </c>
      <c r="E21" s="45"/>
      <c r="F21" s="45"/>
      <c r="G21" s="45"/>
      <c r="H21" s="45"/>
      <c r="I21" s="45"/>
      <c r="J21" s="45"/>
      <c r="K21" s="45"/>
      <c r="L21" s="45"/>
      <c r="M21" s="45"/>
      <c r="N21" s="44"/>
    </row>
    <row r="22" spans="2:16" x14ac:dyDescent="0.25">
      <c r="D22" t="s">
        <v>548</v>
      </c>
      <c r="E22" s="45"/>
      <c r="F22" s="45"/>
      <c r="G22" s="45"/>
      <c r="H22" s="45"/>
      <c r="I22" s="45"/>
      <c r="J22" s="47">
        <v>67.344820912449109</v>
      </c>
      <c r="K22" s="47">
        <v>74.079303003694022</v>
      </c>
      <c r="L22" s="47">
        <v>81.487233304063437</v>
      </c>
      <c r="M22" s="45"/>
      <c r="N22" s="51">
        <f>(IFERROR(AVERAGE(F22:L22),0)*intEstimateVolume)</f>
        <v>3120.7590010828917</v>
      </c>
    </row>
    <row r="23" spans="2:16" x14ac:dyDescent="0.25">
      <c r="D23" t="s">
        <v>549</v>
      </c>
      <c r="E23" s="45"/>
      <c r="F23" s="45"/>
      <c r="G23" s="47">
        <v>57.736584724717936</v>
      </c>
      <c r="H23" s="47">
        <v>63.510243197189737</v>
      </c>
      <c r="I23" s="47">
        <v>69.861267516908711</v>
      </c>
      <c r="J23" s="47">
        <v>76.847394268599587</v>
      </c>
      <c r="K23" s="45"/>
      <c r="L23" s="45"/>
      <c r="M23" s="45"/>
      <c r="N23" s="51">
        <f>(IFERROR(AVERAGE(F23:L23),0)*intEstimateVolume)</f>
        <v>2813.5326419278681</v>
      </c>
    </row>
    <row r="24" spans="2:16" x14ac:dyDescent="0.25">
      <c r="D24" t="s">
        <v>550</v>
      </c>
      <c r="E24" s="45"/>
      <c r="F24" s="45"/>
      <c r="G24" s="45"/>
      <c r="H24" s="47">
        <v>59.41484013775672</v>
      </c>
      <c r="I24" s="47">
        <v>65.356324151532391</v>
      </c>
      <c r="J24" s="47">
        <v>71.891956566685636</v>
      </c>
      <c r="K24" s="47">
        <v>79.081152223354209</v>
      </c>
      <c r="L24" s="47">
        <v>86.989267445689634</v>
      </c>
      <c r="M24" s="45"/>
      <c r="N24" s="51">
        <f>(IFERROR(AVERAGE(F24:L24),0)*intEstimateVolume)</f>
        <v>3046.9617404101559</v>
      </c>
    </row>
    <row r="25" spans="2:16" x14ac:dyDescent="0.25">
      <c r="E25" s="45"/>
      <c r="F25" s="45"/>
      <c r="G25" s="45"/>
      <c r="H25" s="45"/>
      <c r="I25" s="45"/>
      <c r="J25" s="45"/>
      <c r="K25" s="45"/>
      <c r="L25" s="45"/>
      <c r="M25" s="45"/>
      <c r="N25" s="44"/>
    </row>
    <row r="26" spans="2:16" x14ac:dyDescent="0.25">
      <c r="B26" s="5" t="s">
        <v>551</v>
      </c>
      <c r="C26" s="5"/>
      <c r="D26" s="5"/>
      <c r="E26" s="46"/>
      <c r="F26" s="46"/>
      <c r="G26" s="46"/>
      <c r="H26" s="46"/>
      <c r="I26" s="46"/>
      <c r="J26" s="46"/>
      <c r="K26" s="46"/>
      <c r="L26" s="46"/>
      <c r="M26" s="46"/>
      <c r="N26" s="50"/>
      <c r="O26" s="5"/>
      <c r="P26" s="34"/>
    </row>
    <row r="27" spans="2:16" x14ac:dyDescent="0.25">
      <c r="B27" s="33" t="s">
        <v>552</v>
      </c>
      <c r="E27" s="45"/>
      <c r="F27" s="45"/>
      <c r="G27" s="45"/>
      <c r="H27" s="45"/>
      <c r="I27" s="45"/>
      <c r="J27" s="45"/>
      <c r="K27" s="45"/>
      <c r="L27" s="45"/>
      <c r="M27" s="45"/>
      <c r="N27" s="44"/>
    </row>
    <row r="28" spans="2:16" x14ac:dyDescent="0.25">
      <c r="B28" s="20"/>
      <c r="C28" s="20"/>
      <c r="D28" s="20" t="s">
        <v>424</v>
      </c>
      <c r="E28" s="45"/>
      <c r="F28" s="45"/>
      <c r="G28" s="45"/>
      <c r="H28" s="45"/>
      <c r="I28" s="45"/>
      <c r="J28" s="45"/>
      <c r="K28" s="45"/>
      <c r="L28" s="45"/>
      <c r="M28" s="45"/>
      <c r="N28" s="44"/>
    </row>
    <row r="29" spans="2:16" x14ac:dyDescent="0.25">
      <c r="C29" s="33" t="s">
        <v>537</v>
      </c>
      <c r="E29" s="45"/>
      <c r="F29" s="45"/>
      <c r="G29" s="45"/>
      <c r="H29" s="45"/>
      <c r="I29" s="45"/>
      <c r="J29" s="45"/>
      <c r="K29" s="45"/>
      <c r="L29" s="45"/>
      <c r="M29" s="45"/>
      <c r="N29" s="44"/>
    </row>
    <row r="30" spans="2:16" x14ac:dyDescent="0.25">
      <c r="D30" t="s">
        <v>538</v>
      </c>
      <c r="E30" s="45"/>
      <c r="F30" s="45"/>
      <c r="G30" s="45"/>
      <c r="H30" s="47">
        <v>70.623073768905542</v>
      </c>
      <c r="I30" s="47">
        <v>77.6853811457961</v>
      </c>
      <c r="J30" s="47">
        <v>85.453919260375713</v>
      </c>
      <c r="K30" s="47">
        <v>93.999311186413294</v>
      </c>
      <c r="L30" s="47">
        <v>103.39924230505463</v>
      </c>
      <c r="M30" s="45"/>
      <c r="N30" s="51">
        <f>(IFERROR(AVERAGE(F30:L30),0)*intEstimateVolume)</f>
        <v>3621.7517923989799</v>
      </c>
    </row>
    <row r="31" spans="2:16" x14ac:dyDescent="0.25">
      <c r="D31" t="s">
        <v>539</v>
      </c>
      <c r="E31" s="45"/>
      <c r="F31" s="45"/>
      <c r="G31" s="47">
        <v>26.953790024417433</v>
      </c>
      <c r="H31" s="47">
        <v>29.64916902685918</v>
      </c>
      <c r="I31" s="47">
        <v>32.614085929545098</v>
      </c>
      <c r="J31" s="47">
        <v>35.875494522499608</v>
      </c>
      <c r="K31" s="47">
        <v>40.17578397704245</v>
      </c>
      <c r="L31" s="45"/>
      <c r="M31" s="45"/>
      <c r="N31" s="51">
        <f>(IFERROR(AVERAGE(F31:L31),0)*intEstimateVolume)</f>
        <v>1388.2539172350555</v>
      </c>
    </row>
    <row r="32" spans="2:16" x14ac:dyDescent="0.25">
      <c r="D32" t="s">
        <v>540</v>
      </c>
      <c r="E32" s="45"/>
      <c r="F32" s="45"/>
      <c r="G32" s="45"/>
      <c r="H32" s="47">
        <v>34.380989052808786</v>
      </c>
      <c r="I32" s="47">
        <v>37.819087958089668</v>
      </c>
      <c r="J32" s="47">
        <v>41.600996753898634</v>
      </c>
      <c r="K32" s="47">
        <v>59.339564149692755</v>
      </c>
      <c r="L32" s="45"/>
      <c r="M32" s="45"/>
      <c r="N32" s="51">
        <f>(IFERROR(AVERAGE(F32:L32),0)*intEstimateVolume)</f>
        <v>1817.9766981021435</v>
      </c>
    </row>
    <row r="33" spans="2:16" x14ac:dyDescent="0.25">
      <c r="C33" s="33" t="s">
        <v>541</v>
      </c>
      <c r="E33" s="45"/>
      <c r="F33" s="45"/>
      <c r="G33" s="45"/>
      <c r="H33" s="45"/>
      <c r="I33" s="45"/>
      <c r="J33" s="45"/>
      <c r="K33" s="45"/>
      <c r="L33" s="45"/>
      <c r="M33" s="45"/>
      <c r="N33" s="44"/>
    </row>
    <row r="34" spans="2:16" x14ac:dyDescent="0.25">
      <c r="D34" t="s">
        <v>542</v>
      </c>
      <c r="E34" s="45"/>
      <c r="F34" s="45"/>
      <c r="G34" s="45"/>
      <c r="H34" s="45"/>
      <c r="I34" s="45"/>
      <c r="J34" s="47">
        <v>58.215779129885362</v>
      </c>
      <c r="K34" s="47">
        <v>64.037357042873907</v>
      </c>
      <c r="L34" s="47">
        <v>89.313256811629088</v>
      </c>
      <c r="M34" s="45"/>
      <c r="N34" s="51">
        <f>(IFERROR(AVERAGE(F34:L34),0)*intEstimateVolume)</f>
        <v>2961.929501781437</v>
      </c>
    </row>
    <row r="35" spans="2:16" x14ac:dyDescent="0.25">
      <c r="D35" t="s">
        <v>543</v>
      </c>
      <c r="E35" s="45"/>
      <c r="F35" s="45"/>
      <c r="G35" s="45"/>
      <c r="H35" s="45"/>
      <c r="I35" s="47">
        <v>41.298751271016677</v>
      </c>
      <c r="J35" s="47">
        <v>45.428626398118347</v>
      </c>
      <c r="K35" s="47">
        <v>49.971489037930183</v>
      </c>
      <c r="L35" s="45"/>
      <c r="M35" s="45"/>
      <c r="N35" s="51">
        <f>(IFERROR(AVERAGE(F35:L35),0)*intEstimateVolume)</f>
        <v>1913.7841338989128</v>
      </c>
    </row>
    <row r="36" spans="2:16" x14ac:dyDescent="0.25">
      <c r="C36" s="33" t="s">
        <v>544</v>
      </c>
      <c r="E36" s="45"/>
      <c r="F36" s="45"/>
      <c r="G36" s="45"/>
      <c r="H36" s="45"/>
      <c r="I36" s="45"/>
      <c r="J36" s="45"/>
      <c r="K36" s="45"/>
      <c r="L36" s="45"/>
      <c r="M36" s="45"/>
      <c r="N36" s="44"/>
    </row>
    <row r="37" spans="2:16" x14ac:dyDescent="0.25">
      <c r="D37" t="s">
        <v>545</v>
      </c>
      <c r="E37" s="45"/>
      <c r="F37" s="45"/>
      <c r="G37" s="45"/>
      <c r="H37" s="47">
        <v>34.572631248452332</v>
      </c>
      <c r="I37" s="47">
        <v>38.029894373297566</v>
      </c>
      <c r="J37" s="47">
        <v>41.832883810627322</v>
      </c>
      <c r="K37" s="45"/>
      <c r="L37" s="45"/>
      <c r="M37" s="45"/>
      <c r="N37" s="51">
        <f>(IFERROR(AVERAGE(F37:L37),0)*intEstimateVolume)</f>
        <v>1602.0957320532809</v>
      </c>
    </row>
    <row r="38" spans="2:16" x14ac:dyDescent="0.25">
      <c r="D38" t="s">
        <v>546</v>
      </c>
      <c r="E38" s="45"/>
      <c r="F38" s="45"/>
      <c r="G38" s="47">
        <v>34.572631248452332</v>
      </c>
      <c r="H38" s="47">
        <v>38.029894373297566</v>
      </c>
      <c r="I38" s="47">
        <v>41.832883810627322</v>
      </c>
      <c r="J38" s="47">
        <v>46.01617219169006</v>
      </c>
      <c r="K38" s="47">
        <v>50.617789410859068</v>
      </c>
      <c r="L38" s="45"/>
      <c r="M38" s="45"/>
      <c r="N38" s="51">
        <f>(IFERROR(AVERAGE(F38:L38),0)*intEstimateVolume)</f>
        <v>1772.9827166933812</v>
      </c>
    </row>
    <row r="39" spans="2:16" x14ac:dyDescent="0.25">
      <c r="C39" s="33" t="s">
        <v>547</v>
      </c>
      <c r="E39" s="45"/>
      <c r="F39" s="45"/>
      <c r="G39" s="45"/>
      <c r="H39" s="45"/>
      <c r="I39" s="45"/>
      <c r="J39" s="45"/>
      <c r="K39" s="45"/>
      <c r="L39" s="45"/>
      <c r="M39" s="45"/>
      <c r="N39" s="44"/>
    </row>
    <row r="40" spans="2:16" x14ac:dyDescent="0.25">
      <c r="D40" t="s">
        <v>548</v>
      </c>
      <c r="E40" s="45"/>
      <c r="F40" s="45"/>
      <c r="G40" s="45"/>
      <c r="H40" s="45"/>
      <c r="I40" s="45"/>
      <c r="J40" s="47">
        <v>52.86157960470279</v>
      </c>
      <c r="K40" s="47">
        <v>58.147737565173074</v>
      </c>
      <c r="L40" s="47">
        <v>63.962511321690386</v>
      </c>
      <c r="M40" s="45"/>
      <c r="N40" s="51">
        <f>(IFERROR(AVERAGE(F40:L40),0)*intEstimateVolume)</f>
        <v>2449.6055988819271</v>
      </c>
    </row>
    <row r="41" spans="2:16" x14ac:dyDescent="0.25">
      <c r="D41" t="s">
        <v>549</v>
      </c>
      <c r="E41" s="45"/>
      <c r="F41" s="45"/>
      <c r="G41" s="47">
        <v>34.380989052808786</v>
      </c>
      <c r="H41" s="47">
        <v>37.819087958089668</v>
      </c>
      <c r="I41" s="47">
        <v>41.600996753898634</v>
      </c>
      <c r="J41" s="47">
        <v>45.7610964292885</v>
      </c>
      <c r="K41" s="45"/>
      <c r="L41" s="45"/>
      <c r="M41" s="45"/>
      <c r="N41" s="51">
        <f>(IFERROR(AVERAGE(F41:L41),0)*intEstimateVolume)</f>
        <v>1675.4027870378986</v>
      </c>
    </row>
    <row r="42" spans="2:16" x14ac:dyDescent="0.25">
      <c r="D42" t="s">
        <v>550</v>
      </c>
      <c r="E42" s="45"/>
      <c r="F42" s="45"/>
      <c r="G42" s="45"/>
      <c r="H42" s="47">
        <v>53.02737104630959</v>
      </c>
      <c r="I42" s="47">
        <v>58.330108150940553</v>
      </c>
      <c r="J42" s="47">
        <v>64.163118966034617</v>
      </c>
      <c r="K42" s="47">
        <v>70.579430862638091</v>
      </c>
      <c r="L42" s="47">
        <v>77.63737394890191</v>
      </c>
      <c r="M42" s="45"/>
      <c r="N42" s="51">
        <f>(IFERROR(AVERAGE(F42:L42),0)*intEstimateVolume)</f>
        <v>2719.3941849885287</v>
      </c>
    </row>
    <row r="43" spans="2:16" x14ac:dyDescent="0.25">
      <c r="E43" s="45"/>
      <c r="F43" s="45"/>
      <c r="G43" s="45"/>
      <c r="H43" s="45"/>
      <c r="I43" s="45"/>
      <c r="J43" s="45"/>
      <c r="K43" s="45"/>
      <c r="L43" s="45"/>
      <c r="M43" s="45"/>
      <c r="N43" s="44"/>
    </row>
    <row r="44" spans="2:16" x14ac:dyDescent="0.25">
      <c r="B44" s="5" t="s">
        <v>553</v>
      </c>
      <c r="C44" s="5"/>
      <c r="D44" s="5"/>
      <c r="E44" s="46"/>
      <c r="F44" s="46"/>
      <c r="G44" s="46"/>
      <c r="H44" s="46"/>
      <c r="I44" s="46"/>
      <c r="J44" s="46"/>
      <c r="K44" s="46"/>
      <c r="L44" s="46"/>
      <c r="M44" s="46"/>
      <c r="N44" s="50"/>
      <c r="O44" s="5"/>
      <c r="P44" s="34"/>
    </row>
    <row r="45" spans="2:16" x14ac:dyDescent="0.25">
      <c r="B45" s="33" t="s">
        <v>552</v>
      </c>
      <c r="E45" s="45"/>
      <c r="F45" s="45"/>
      <c r="G45" s="45"/>
      <c r="H45" s="45"/>
      <c r="I45" s="45"/>
      <c r="J45" s="45"/>
      <c r="K45" s="45"/>
      <c r="L45" s="45"/>
      <c r="M45" s="45"/>
      <c r="N45" s="44"/>
    </row>
    <row r="46" spans="2:16" x14ac:dyDescent="0.25">
      <c r="B46" s="20"/>
      <c r="C46" s="20"/>
      <c r="D46" s="20" t="s">
        <v>624</v>
      </c>
      <c r="E46" s="45"/>
      <c r="F46" s="45"/>
      <c r="G46" s="45"/>
      <c r="H46" s="45"/>
      <c r="I46" s="45"/>
      <c r="J46" s="45"/>
      <c r="K46" s="45"/>
      <c r="L46" s="45"/>
      <c r="M46" s="45"/>
      <c r="N46" s="44"/>
    </row>
    <row r="47" spans="2:16" x14ac:dyDescent="0.25">
      <c r="C47" s="33" t="s">
        <v>537</v>
      </c>
      <c r="E47" s="45"/>
      <c r="F47" s="45"/>
      <c r="G47" s="45"/>
      <c r="H47" s="45"/>
      <c r="I47" s="45"/>
      <c r="J47" s="45"/>
      <c r="K47" s="45"/>
      <c r="L47" s="45"/>
      <c r="M47" s="45"/>
      <c r="N47" s="44"/>
    </row>
    <row r="48" spans="2:16" x14ac:dyDescent="0.25">
      <c r="D48" t="s">
        <v>538</v>
      </c>
      <c r="E48" s="45"/>
      <c r="F48" s="45"/>
      <c r="G48" s="45"/>
      <c r="H48" s="47">
        <v>14.547319678472144</v>
      </c>
      <c r="I48" s="47">
        <v>17.456783614166572</v>
      </c>
      <c r="J48" s="47">
        <v>20.948140336999884</v>
      </c>
      <c r="K48" s="47">
        <v>26.185399747920219</v>
      </c>
      <c r="L48" s="47">
        <v>31.422479697504262</v>
      </c>
      <c r="M48" s="45"/>
      <c r="N48" s="51">
        <f>(IFERROR(AVERAGE(F48:L48),0)*intEstimateVolume)</f>
        <v>928.70503383052983</v>
      </c>
    </row>
    <row r="49" spans="1:16" x14ac:dyDescent="0.25">
      <c r="D49" t="s">
        <v>539</v>
      </c>
      <c r="E49" s="45"/>
      <c r="F49" s="45"/>
      <c r="G49" s="47">
        <v>11.393342752585973</v>
      </c>
      <c r="H49" s="47">
        <v>13.672011303103167</v>
      </c>
      <c r="I49" s="47">
        <v>16.406413563723799</v>
      </c>
      <c r="J49" s="47">
        <v>19.687696276468557</v>
      </c>
      <c r="K49" s="47">
        <v>20.959724073994916</v>
      </c>
      <c r="L49" s="45"/>
      <c r="M49" s="45"/>
      <c r="N49" s="51">
        <f>(IFERROR(AVERAGE(F49:L49),0)*intEstimateVolume)</f>
        <v>689.80117894696195</v>
      </c>
    </row>
    <row r="50" spans="1:16" x14ac:dyDescent="0.25">
      <c r="D50" t="s">
        <v>540</v>
      </c>
      <c r="E50" s="45"/>
      <c r="F50" s="45"/>
      <c r="G50" s="45"/>
      <c r="H50" s="47">
        <v>13.97367365896242</v>
      </c>
      <c r="I50" s="47">
        <v>16.768408390754903</v>
      </c>
      <c r="J50" s="47">
        <v>20.122090068905884</v>
      </c>
      <c r="K50" s="47">
        <v>25.336140431952067</v>
      </c>
      <c r="L50" s="45"/>
      <c r="M50" s="45"/>
      <c r="N50" s="51">
        <f>(IFERROR(AVERAGE(F50:L50),0)*intEstimateVolume)</f>
        <v>800.10328178104044</v>
      </c>
    </row>
    <row r="51" spans="1:16" x14ac:dyDescent="0.25">
      <c r="C51" s="33" t="s">
        <v>541</v>
      </c>
      <c r="E51" s="45"/>
      <c r="F51" s="45"/>
      <c r="G51" s="45"/>
      <c r="H51" s="45"/>
      <c r="I51" s="45"/>
      <c r="J51" s="45"/>
      <c r="K51" s="45"/>
      <c r="L51" s="45"/>
      <c r="M51" s="45"/>
      <c r="N51" s="44"/>
    </row>
    <row r="52" spans="1:16" x14ac:dyDescent="0.25">
      <c r="D52" t="s">
        <v>542</v>
      </c>
      <c r="E52" s="45"/>
      <c r="F52" s="45"/>
      <c r="G52" s="45"/>
      <c r="H52" s="45"/>
      <c r="I52" s="45"/>
      <c r="J52" s="47">
        <v>38.81727839894787</v>
      </c>
      <c r="K52" s="47">
        <v>46.580734078737443</v>
      </c>
      <c r="L52" s="47">
        <v>62.717032057511105</v>
      </c>
      <c r="M52" s="45"/>
      <c r="N52" s="51">
        <f>(IFERROR(AVERAGE(F52:L52),0)*intEstimateVolume)</f>
        <v>2073.6106234927502</v>
      </c>
    </row>
    <row r="53" spans="1:16" x14ac:dyDescent="0.25">
      <c r="D53" t="s">
        <v>543</v>
      </c>
      <c r="E53" s="45"/>
      <c r="F53" s="45"/>
      <c r="G53" s="45"/>
      <c r="H53" s="45"/>
      <c r="I53" s="47">
        <v>28.825799633050838</v>
      </c>
      <c r="J53" s="47">
        <v>34.590959559661002</v>
      </c>
      <c r="K53" s="47">
        <v>41.509151471593199</v>
      </c>
      <c r="L53" s="45"/>
      <c r="M53" s="45"/>
      <c r="N53" s="51">
        <f>(IFERROR(AVERAGE(F53:L53),0)*intEstimateVolume)</f>
        <v>1468.9627493002704</v>
      </c>
    </row>
    <row r="54" spans="1:16" x14ac:dyDescent="0.25">
      <c r="C54" s="33" t="s">
        <v>544</v>
      </c>
      <c r="E54" s="45"/>
      <c r="F54" s="45"/>
      <c r="G54" s="45"/>
      <c r="H54" s="45"/>
      <c r="I54" s="45"/>
      <c r="J54" s="45"/>
      <c r="K54" s="45"/>
      <c r="L54" s="45"/>
      <c r="M54" s="45"/>
      <c r="N54" s="44"/>
    </row>
    <row r="55" spans="1:16" x14ac:dyDescent="0.25">
      <c r="D55" t="s">
        <v>545</v>
      </c>
      <c r="E55" s="45"/>
      <c r="F55" s="45"/>
      <c r="G55" s="45"/>
      <c r="H55" s="47">
        <v>14.352813699209948</v>
      </c>
      <c r="I55" s="47">
        <v>17.223376439051936</v>
      </c>
      <c r="J55" s="47">
        <v>20.668051726862323</v>
      </c>
      <c r="K55" s="45"/>
      <c r="L55" s="45"/>
      <c r="M55" s="45"/>
      <c r="N55" s="51">
        <f>(IFERROR(AVERAGE(F55:L55),0)*intEstimateVolume)</f>
        <v>731.41938611173896</v>
      </c>
    </row>
    <row r="56" spans="1:16" x14ac:dyDescent="0.25">
      <c r="D56" t="s">
        <v>546</v>
      </c>
      <c r="E56" s="45"/>
      <c r="F56" s="45"/>
      <c r="G56" s="47">
        <v>8.5123225381661722</v>
      </c>
      <c r="H56" s="47">
        <v>14.352813699209948</v>
      </c>
      <c r="I56" s="47">
        <v>17.223376439051936</v>
      </c>
      <c r="J56" s="47">
        <v>20.668051726862323</v>
      </c>
      <c r="K56" s="47">
        <v>24.801662072234787</v>
      </c>
      <c r="L56" s="45"/>
      <c r="M56" s="45"/>
      <c r="N56" s="51">
        <f>(IFERROR(AVERAGE(F56:L56),0)*intEstimateVolume)</f>
        <v>718.68910239441129</v>
      </c>
    </row>
    <row r="57" spans="1:16" x14ac:dyDescent="0.25">
      <c r="C57" s="33" t="s">
        <v>547</v>
      </c>
      <c r="E57" s="45"/>
      <c r="F57" s="45"/>
      <c r="G57" s="45"/>
      <c r="H57" s="45"/>
      <c r="I57" s="45"/>
      <c r="J57" s="45"/>
      <c r="K57" s="45"/>
      <c r="L57" s="45"/>
      <c r="M57" s="45"/>
      <c r="N57" s="44"/>
    </row>
    <row r="58" spans="1:16" x14ac:dyDescent="0.25">
      <c r="D58" t="s">
        <v>548</v>
      </c>
      <c r="E58" s="45"/>
      <c r="F58" s="45"/>
      <c r="G58" s="45"/>
      <c r="H58" s="45"/>
      <c r="I58" s="45"/>
      <c r="J58" s="47">
        <v>10.153655191594284</v>
      </c>
      <c r="K58" s="47">
        <v>12.184386229913141</v>
      </c>
      <c r="L58" s="47">
        <v>14.621263475895768</v>
      </c>
      <c r="M58" s="45"/>
      <c r="N58" s="51">
        <f>(IFERROR(AVERAGE(F58:L58),0)*intEstimateVolume)</f>
        <v>517.43026856364463</v>
      </c>
    </row>
    <row r="59" spans="1:16" x14ac:dyDescent="0.25">
      <c r="D59" t="s">
        <v>549</v>
      </c>
      <c r="E59" s="45"/>
      <c r="F59" s="45"/>
      <c r="G59" s="47">
        <v>8.4411962543202428</v>
      </c>
      <c r="H59" s="47">
        <v>13.97367365896242</v>
      </c>
      <c r="I59" s="47">
        <v>16.768408390754903</v>
      </c>
      <c r="J59" s="47">
        <v>20.122090068905884</v>
      </c>
      <c r="K59" s="45"/>
      <c r="L59" s="45"/>
      <c r="M59" s="45"/>
      <c r="N59" s="51">
        <f>(IFERROR(AVERAGE(F59:L59),0)*intEstimateVolume)</f>
        <v>622.7063679159063</v>
      </c>
    </row>
    <row r="60" spans="1:16" x14ac:dyDescent="0.25">
      <c r="D60" t="s">
        <v>550</v>
      </c>
      <c r="E60" s="45"/>
      <c r="F60" s="45"/>
      <c r="G60" s="45"/>
      <c r="H60" s="47">
        <v>11.200869788611458</v>
      </c>
      <c r="I60" s="47">
        <v>13.441043746333749</v>
      </c>
      <c r="J60" s="47">
        <v>16.129252495600497</v>
      </c>
      <c r="K60" s="47">
        <v>19.355102994720596</v>
      </c>
      <c r="L60" s="47">
        <v>23.226123593664713</v>
      </c>
      <c r="M60" s="45"/>
      <c r="N60" s="51">
        <f>(IFERROR(AVERAGE(F60:L60),0)*intEstimateVolume)</f>
        <v>700.16009799902042</v>
      </c>
    </row>
    <row r="61" spans="1:16" x14ac:dyDescent="0.25">
      <c r="E61" s="45"/>
      <c r="F61" s="45"/>
      <c r="G61" s="45"/>
      <c r="H61" s="45"/>
      <c r="I61" s="45"/>
      <c r="J61" s="45"/>
      <c r="K61" s="45"/>
      <c r="L61" s="45"/>
      <c r="M61" s="45"/>
      <c r="N61" s="44"/>
    </row>
    <row r="62" spans="1:16" ht="15.75" thickBot="1" x14ac:dyDescent="0.3">
      <c r="E62" s="45"/>
      <c r="F62" s="45"/>
      <c r="G62" s="45"/>
      <c r="H62" s="45"/>
      <c r="I62" s="45"/>
      <c r="J62" s="45"/>
      <c r="K62" s="45"/>
      <c r="L62" s="45"/>
      <c r="M62" s="45"/>
      <c r="N62" s="44"/>
    </row>
    <row r="63" spans="1:16" ht="18" thickTop="1" x14ac:dyDescent="0.25">
      <c r="A63" s="3"/>
      <c r="B63" s="3" t="s">
        <v>554</v>
      </c>
      <c r="C63" s="3"/>
      <c r="D63" s="3"/>
      <c r="E63" s="84"/>
      <c r="F63" s="84"/>
      <c r="G63" s="84"/>
      <c r="H63" s="84"/>
      <c r="I63" s="84"/>
      <c r="J63" s="84"/>
      <c r="K63" s="84"/>
      <c r="L63" s="84"/>
      <c r="M63" s="84"/>
      <c r="N63" s="80"/>
      <c r="O63" s="3"/>
      <c r="P63" s="7"/>
    </row>
    <row r="64" spans="1:16" x14ac:dyDescent="0.25">
      <c r="B64"/>
      <c r="C64" t="s">
        <v>555</v>
      </c>
      <c r="E64" s="45"/>
      <c r="F64" t="s">
        <v>556</v>
      </c>
      <c r="G64" t="s">
        <v>556</v>
      </c>
      <c r="H64" t="s">
        <v>556</v>
      </c>
      <c r="I64" t="s">
        <v>556</v>
      </c>
      <c r="J64" t="s">
        <v>557</v>
      </c>
      <c r="K64" t="s">
        <v>557</v>
      </c>
      <c r="M64" s="45" t="s">
        <v>558</v>
      </c>
      <c r="N64" s="44"/>
    </row>
    <row r="65" spans="2:16" ht="120" x14ac:dyDescent="0.25">
      <c r="B65"/>
      <c r="C65"/>
      <c r="D65" t="s">
        <v>559</v>
      </c>
      <c r="F65" s="15" t="s">
        <v>560</v>
      </c>
      <c r="G65" s="15" t="s">
        <v>561</v>
      </c>
      <c r="H65" s="15" t="s">
        <v>562</v>
      </c>
      <c r="I65" s="15" t="s">
        <v>563</v>
      </c>
      <c r="J65" s="15" t="s">
        <v>564</v>
      </c>
      <c r="K65" s="15" t="s">
        <v>565</v>
      </c>
      <c r="L65" s="15"/>
      <c r="P65"/>
    </row>
    <row r="66" spans="2:16" x14ac:dyDescent="0.25">
      <c r="B66" t="s">
        <v>399</v>
      </c>
      <c r="C66"/>
      <c r="E66" s="45"/>
      <c r="F66" s="47">
        <v>54.790199999999999</v>
      </c>
      <c r="G66" s="47">
        <v>51.746299999999998</v>
      </c>
      <c r="H66" s="47">
        <v>57.834099999999999</v>
      </c>
      <c r="I66" s="47" t="s">
        <v>616</v>
      </c>
      <c r="J66" s="47">
        <v>136.97550000000001</v>
      </c>
      <c r="K66" s="47">
        <v>273.95100000000002</v>
      </c>
      <c r="M66" s="45"/>
      <c r="N66" s="51">
        <f t="shared" ref="N66:N106" si="0">(IFERROR(AVERAGE(F66:K66),0)*intEstimateVolume)</f>
        <v>4832.4956400000001</v>
      </c>
    </row>
    <row r="67" spans="2:16" x14ac:dyDescent="0.25">
      <c r="B67" t="s">
        <v>400</v>
      </c>
      <c r="C67"/>
      <c r="E67" s="45"/>
      <c r="F67" s="47">
        <v>127.93</v>
      </c>
      <c r="G67" s="47">
        <v>127.93</v>
      </c>
      <c r="H67" s="47">
        <v>178.96</v>
      </c>
      <c r="I67" s="47" t="s">
        <v>616</v>
      </c>
      <c r="J67" s="47">
        <v>289.60000000000002</v>
      </c>
      <c r="K67" s="47">
        <v>398.03</v>
      </c>
      <c r="M67" s="45"/>
      <c r="N67" s="51">
        <f t="shared" si="0"/>
        <v>9428.58</v>
      </c>
    </row>
    <row r="68" spans="2:16" x14ac:dyDescent="0.25">
      <c r="B68" t="s">
        <v>401</v>
      </c>
      <c r="C68"/>
      <c r="E68" s="45"/>
      <c r="F68" s="47">
        <v>84</v>
      </c>
      <c r="G68" s="47">
        <v>74.399999999999991</v>
      </c>
      <c r="H68" s="47">
        <v>98.399999999999991</v>
      </c>
      <c r="I68" s="47" t="s">
        <v>616</v>
      </c>
      <c r="J68" s="47">
        <v>244.79999999999998</v>
      </c>
      <c r="K68" s="47">
        <v>414</v>
      </c>
      <c r="M68" s="45"/>
      <c r="N68" s="51">
        <f t="shared" si="0"/>
        <v>7691.0399999999991</v>
      </c>
    </row>
    <row r="69" spans="2:16" x14ac:dyDescent="0.25">
      <c r="B69" t="s">
        <v>402</v>
      </c>
      <c r="C69"/>
      <c r="E69" s="45"/>
      <c r="F69" s="47">
        <v>62.010336550000005</v>
      </c>
      <c r="G69" s="47">
        <v>62.010336550000005</v>
      </c>
      <c r="H69" s="47">
        <v>67.158364490000011</v>
      </c>
      <c r="I69" s="47" t="s">
        <v>616</v>
      </c>
      <c r="J69" s="47">
        <v>148.82480772</v>
      </c>
      <c r="K69" s="47">
        <v>198.43307696000002</v>
      </c>
      <c r="M69" s="45"/>
      <c r="N69" s="51">
        <f t="shared" si="0"/>
        <v>4522.8701470679998</v>
      </c>
    </row>
    <row r="70" spans="2:16" x14ac:dyDescent="0.25">
      <c r="B70" t="s">
        <v>403</v>
      </c>
      <c r="C70"/>
      <c r="E70" s="45"/>
      <c r="F70" s="47">
        <v>70.865526000000003</v>
      </c>
      <c r="G70" s="47">
        <v>65.87499600000001</v>
      </c>
      <c r="H70" s="47">
        <v>88.831434000000002</v>
      </c>
      <c r="I70" s="47" t="s">
        <v>616</v>
      </c>
      <c r="J70" s="47">
        <v>141.73105200000001</v>
      </c>
      <c r="K70" s="47">
        <v>241.541652</v>
      </c>
      <c r="M70" s="45"/>
      <c r="N70" s="51">
        <f t="shared" si="0"/>
        <v>5114.2951439999997</v>
      </c>
    </row>
    <row r="71" spans="2:16" x14ac:dyDescent="0.25">
      <c r="B71" t="s">
        <v>404</v>
      </c>
      <c r="C71"/>
      <c r="E71" s="45"/>
      <c r="F71" s="47">
        <v>31.828165000000002</v>
      </c>
      <c r="G71" s="47">
        <v>32.505360000000003</v>
      </c>
      <c r="H71" s="47">
        <v>44.017675000000004</v>
      </c>
      <c r="I71" s="47" t="s">
        <v>616</v>
      </c>
      <c r="J71" s="47">
        <v>94.265544000000006</v>
      </c>
      <c r="K71" s="47">
        <v>178.10228499999999</v>
      </c>
      <c r="M71" s="45"/>
      <c r="N71" s="51">
        <f t="shared" si="0"/>
        <v>3198.0398435999996</v>
      </c>
    </row>
    <row r="72" spans="2:16" x14ac:dyDescent="0.25">
      <c r="B72" t="s">
        <v>405</v>
      </c>
      <c r="C72"/>
      <c r="E72" s="45"/>
      <c r="F72" s="47">
        <v>77.852268000000009</v>
      </c>
      <c r="G72" s="47">
        <v>72.861738000000003</v>
      </c>
      <c r="H72" s="47">
        <v>97.814388000000008</v>
      </c>
      <c r="I72" s="47" t="s">
        <v>616</v>
      </c>
      <c r="J72" s="47">
        <v>171.67423200000002</v>
      </c>
      <c r="K72" s="47">
        <v>291.44695200000001</v>
      </c>
      <c r="M72" s="45"/>
      <c r="N72" s="51">
        <f t="shared" si="0"/>
        <v>5977.8564551999998</v>
      </c>
    </row>
    <row r="73" spans="2:16" x14ac:dyDescent="0.25">
      <c r="B73" t="s">
        <v>406</v>
      </c>
      <c r="C73"/>
      <c r="E73" s="45"/>
      <c r="F73" s="47">
        <v>148.62699767999999</v>
      </c>
      <c r="G73" s="47">
        <v>141.16802196</v>
      </c>
      <c r="H73" s="47">
        <v>255.538983</v>
      </c>
      <c r="I73" s="47" t="s">
        <v>616</v>
      </c>
      <c r="J73" s="47">
        <v>210.92325786000001</v>
      </c>
      <c r="K73" s="47">
        <v>421.84651572000001</v>
      </c>
      <c r="M73" s="45"/>
      <c r="N73" s="51">
        <f t="shared" si="0"/>
        <v>9896.0717202480009</v>
      </c>
    </row>
    <row r="74" spans="2:16" x14ac:dyDescent="0.25">
      <c r="B74" t="s">
        <v>407</v>
      </c>
      <c r="C74"/>
      <c r="E74" s="45"/>
      <c r="F74" s="47">
        <v>163.18</v>
      </c>
      <c r="G74" s="47">
        <v>163.18</v>
      </c>
      <c r="H74" s="47">
        <v>163.18</v>
      </c>
      <c r="I74" s="47" t="s">
        <v>616</v>
      </c>
      <c r="J74" s="47">
        <v>302.10000000000002</v>
      </c>
      <c r="K74" s="47">
        <v>404.16</v>
      </c>
      <c r="M74" s="45"/>
      <c r="N74" s="51">
        <f t="shared" si="0"/>
        <v>10044.720000000001</v>
      </c>
    </row>
    <row r="75" spans="2:16" x14ac:dyDescent="0.25">
      <c r="B75" t="s">
        <v>408</v>
      </c>
      <c r="C75"/>
      <c r="E75" s="45"/>
      <c r="F75" s="47">
        <v>80.487267840000001</v>
      </c>
      <c r="G75" s="47">
        <v>75.376965119999994</v>
      </c>
      <c r="H75" s="47">
        <v>100.92847872000002</v>
      </c>
      <c r="I75" s="47" t="s">
        <v>616</v>
      </c>
      <c r="J75" s="47">
        <v>196.74665472000001</v>
      </c>
      <c r="K75" s="47">
        <v>333.44725247999997</v>
      </c>
      <c r="M75" s="45"/>
      <c r="N75" s="51">
        <f t="shared" si="0"/>
        <v>6610.6875985920005</v>
      </c>
    </row>
    <row r="76" spans="2:16" x14ac:dyDescent="0.25">
      <c r="B76" t="s">
        <v>409</v>
      </c>
      <c r="C76"/>
      <c r="E76" s="45"/>
      <c r="F76" s="47">
        <v>136.51</v>
      </c>
      <c r="G76" s="47">
        <v>136.51</v>
      </c>
      <c r="H76" s="47">
        <v>136.51</v>
      </c>
      <c r="I76" s="47" t="s">
        <v>616</v>
      </c>
      <c r="J76" s="47">
        <v>308.89999999999998</v>
      </c>
      <c r="K76" s="47">
        <v>376.94</v>
      </c>
      <c r="M76" s="45"/>
      <c r="N76" s="51">
        <f t="shared" si="0"/>
        <v>9201.1080000000002</v>
      </c>
    </row>
    <row r="77" spans="2:16" x14ac:dyDescent="0.25">
      <c r="B77" t="s">
        <v>410</v>
      </c>
      <c r="C77"/>
      <c r="E77" s="45"/>
      <c r="F77" s="47">
        <v>80.819999999999993</v>
      </c>
      <c r="G77" s="47">
        <v>76.64</v>
      </c>
      <c r="H77" s="47">
        <v>94.74</v>
      </c>
      <c r="I77" s="47" t="s">
        <v>616</v>
      </c>
      <c r="J77" s="47">
        <v>168.91891891891893</v>
      </c>
      <c r="K77" s="47">
        <v>267.45495495495499</v>
      </c>
      <c r="M77" s="45"/>
      <c r="N77" s="51">
        <f t="shared" si="0"/>
        <v>5784.0205405405404</v>
      </c>
    </row>
    <row r="78" spans="2:16" x14ac:dyDescent="0.25">
      <c r="B78" t="s">
        <v>411</v>
      </c>
      <c r="C78"/>
      <c r="E78" s="45"/>
      <c r="F78" s="47">
        <v>51.535194000000004</v>
      </c>
      <c r="G78" s="47">
        <v>48.714860000000002</v>
      </c>
      <c r="H78" s="47">
        <v>68.585395000000005</v>
      </c>
      <c r="I78" s="47" t="s">
        <v>616</v>
      </c>
      <c r="J78" s="47">
        <v>141.52948800000001</v>
      </c>
      <c r="K78" s="47">
        <v>235.88248000000002</v>
      </c>
      <c r="M78" s="45"/>
      <c r="N78" s="51">
        <f t="shared" si="0"/>
        <v>4588.4783028000002</v>
      </c>
    </row>
    <row r="79" spans="2:16" x14ac:dyDescent="0.25">
      <c r="B79" t="s">
        <v>412</v>
      </c>
      <c r="C79"/>
      <c r="E79" s="45"/>
      <c r="F79" s="47">
        <v>64.14</v>
      </c>
      <c r="G79" s="47">
        <v>64.14</v>
      </c>
      <c r="H79" s="47">
        <v>76.900000000000006</v>
      </c>
      <c r="I79" s="47" t="s">
        <v>616</v>
      </c>
      <c r="J79" s="47">
        <v>123.75</v>
      </c>
      <c r="K79" s="47">
        <v>168.4</v>
      </c>
      <c r="M79" s="45"/>
      <c r="N79" s="51">
        <f t="shared" si="0"/>
        <v>4177.5720000000001</v>
      </c>
    </row>
    <row r="80" spans="2:16" x14ac:dyDescent="0.25">
      <c r="B80" t="s">
        <v>413</v>
      </c>
      <c r="C80"/>
      <c r="E80" s="45"/>
      <c r="F80" s="47">
        <v>80</v>
      </c>
      <c r="G80" s="47">
        <v>73</v>
      </c>
      <c r="H80" s="47">
        <v>90</v>
      </c>
      <c r="I80" s="47" t="s">
        <v>616</v>
      </c>
      <c r="J80" s="47">
        <v>180</v>
      </c>
      <c r="K80" s="47">
        <v>285</v>
      </c>
      <c r="M80" s="45"/>
      <c r="N80" s="51">
        <f t="shared" si="0"/>
        <v>5947.2</v>
      </c>
    </row>
    <row r="81" spans="2:14" x14ac:dyDescent="0.25">
      <c r="B81" t="s">
        <v>414</v>
      </c>
      <c r="C81"/>
      <c r="E81" s="45"/>
      <c r="F81" s="47">
        <v>104.92</v>
      </c>
      <c r="G81" s="47">
        <v>104.92</v>
      </c>
      <c r="H81" s="47">
        <v>121.48</v>
      </c>
      <c r="I81" s="47" t="s">
        <v>616</v>
      </c>
      <c r="J81" s="47">
        <v>299.41000000000003</v>
      </c>
      <c r="K81" s="47">
        <v>424.17</v>
      </c>
      <c r="M81" s="45"/>
      <c r="N81" s="51">
        <f t="shared" si="0"/>
        <v>8861.16</v>
      </c>
    </row>
    <row r="82" spans="2:14" x14ac:dyDescent="0.25">
      <c r="B82" t="s">
        <v>415</v>
      </c>
      <c r="C82"/>
      <c r="E82" s="45"/>
      <c r="F82" s="47">
        <v>170.79999999999998</v>
      </c>
      <c r="G82" s="47">
        <v>164.7</v>
      </c>
      <c r="H82" s="47">
        <v>231.79999999999998</v>
      </c>
      <c r="I82" s="47" t="s">
        <v>616</v>
      </c>
      <c r="J82" s="47">
        <v>244</v>
      </c>
      <c r="K82" s="47">
        <v>414.8</v>
      </c>
      <c r="M82" s="45"/>
      <c r="N82" s="51">
        <f t="shared" si="0"/>
        <v>10299.239999999998</v>
      </c>
    </row>
    <row r="83" spans="2:14" x14ac:dyDescent="0.25">
      <c r="B83" t="s">
        <v>416</v>
      </c>
      <c r="C83"/>
      <c r="E83" s="45"/>
      <c r="F83" s="47">
        <v>50.632911392405063</v>
      </c>
      <c r="G83" s="47">
        <v>39.381153305203938</v>
      </c>
      <c r="H83" s="47">
        <v>59.071729957805907</v>
      </c>
      <c r="I83" s="47" t="s">
        <v>616</v>
      </c>
      <c r="J83" s="47">
        <v>116.96202531645571</v>
      </c>
      <c r="K83" s="47">
        <v>194.93670886075952</v>
      </c>
      <c r="M83" s="45"/>
      <c r="N83" s="51">
        <f t="shared" si="0"/>
        <v>3872.2700421940926</v>
      </c>
    </row>
    <row r="84" spans="2:14" x14ac:dyDescent="0.25">
      <c r="B84" t="s">
        <v>417</v>
      </c>
      <c r="C84"/>
      <c r="E84" s="45"/>
      <c r="F84" s="47">
        <v>42.471854409600006</v>
      </c>
      <c r="G84" s="47">
        <v>42.67506902400001</v>
      </c>
      <c r="H84" s="47">
        <v>48.263470920000003</v>
      </c>
      <c r="I84" s="47" t="s">
        <v>616</v>
      </c>
      <c r="J84" s="47">
        <v>121.86344965680001</v>
      </c>
      <c r="K84" s="47">
        <v>196.31741361840002</v>
      </c>
      <c r="M84" s="45"/>
      <c r="N84" s="51">
        <f t="shared" si="0"/>
        <v>3793.3665640819208</v>
      </c>
    </row>
    <row r="85" spans="2:14" x14ac:dyDescent="0.25">
      <c r="B85" t="s">
        <v>418</v>
      </c>
      <c r="C85"/>
      <c r="E85" s="45"/>
      <c r="F85" s="47">
        <v>40.939056999999998</v>
      </c>
      <c r="G85" s="47">
        <v>40.939056999999998</v>
      </c>
      <c r="H85" s="47">
        <v>42.767122999999998</v>
      </c>
      <c r="I85" s="47" t="s">
        <v>616</v>
      </c>
      <c r="J85" s="47">
        <v>87.314205000000001</v>
      </c>
      <c r="K85" s="47">
        <v>147.30363399999999</v>
      </c>
      <c r="M85" s="45"/>
      <c r="N85" s="51">
        <f t="shared" si="0"/>
        <v>3017.8098383999995</v>
      </c>
    </row>
    <row r="86" spans="2:14" x14ac:dyDescent="0.25">
      <c r="B86" t="s">
        <v>419</v>
      </c>
      <c r="C86"/>
      <c r="E86" s="45"/>
      <c r="F86" s="47">
        <v>46.377269847972968</v>
      </c>
      <c r="G86" s="47">
        <v>44.990384690973691</v>
      </c>
      <c r="H86" s="47">
        <v>64.928177787162156</v>
      </c>
      <c r="I86" s="47" t="s">
        <v>616</v>
      </c>
      <c r="J86" s="47">
        <v>157.68271748310809</v>
      </c>
      <c r="K86" s="47">
        <v>306.08998099662159</v>
      </c>
      <c r="M86" s="45"/>
      <c r="N86" s="51">
        <f t="shared" si="0"/>
        <v>5208.575658769043</v>
      </c>
    </row>
    <row r="87" spans="2:14" x14ac:dyDescent="0.25">
      <c r="B87" t="s">
        <v>420</v>
      </c>
      <c r="C87"/>
      <c r="E87" s="45"/>
      <c r="F87" s="47">
        <v>61.757808750000009</v>
      </c>
      <c r="G87" s="47">
        <v>61.483329600000012</v>
      </c>
      <c r="H87" s="47">
        <v>68.619787500000001</v>
      </c>
      <c r="I87" s="47" t="s">
        <v>616</v>
      </c>
      <c r="J87" s="47">
        <v>116.65363875000001</v>
      </c>
      <c r="K87" s="47">
        <v>175.66665600000002</v>
      </c>
      <c r="M87" s="45"/>
      <c r="N87" s="51">
        <f t="shared" si="0"/>
        <v>4067.1222530400009</v>
      </c>
    </row>
    <row r="88" spans="2:14" x14ac:dyDescent="0.25">
      <c r="B88" t="s">
        <v>421</v>
      </c>
      <c r="C88"/>
      <c r="E88" s="45"/>
      <c r="F88" s="47">
        <v>94.96503496503496</v>
      </c>
      <c r="G88" s="47">
        <v>92.125161081585958</v>
      </c>
      <c r="H88" s="47">
        <v>132.95104895104893</v>
      </c>
      <c r="I88" s="47" t="s">
        <v>616</v>
      </c>
      <c r="J88" s="47">
        <v>273.00872502110894</v>
      </c>
      <c r="K88" s="47">
        <v>477.76526878694057</v>
      </c>
      <c r="M88" s="45"/>
      <c r="N88" s="51">
        <f t="shared" si="0"/>
        <v>8994.8480059680442</v>
      </c>
    </row>
    <row r="89" spans="2:14" x14ac:dyDescent="0.25">
      <c r="B89" t="s">
        <v>422</v>
      </c>
      <c r="C89"/>
      <c r="E89" s="45"/>
      <c r="F89" s="47">
        <v>49.812119999999993</v>
      </c>
      <c r="G89" s="47">
        <v>47.044779999999996</v>
      </c>
      <c r="H89" s="47">
        <v>52.579459999999997</v>
      </c>
      <c r="I89" s="47" t="s">
        <v>616</v>
      </c>
      <c r="J89" s="47">
        <v>124.5303</v>
      </c>
      <c r="K89" s="47">
        <v>249.06059999999999</v>
      </c>
      <c r="M89" s="45"/>
      <c r="N89" s="51">
        <f t="shared" si="0"/>
        <v>4393.4289839999992</v>
      </c>
    </row>
    <row r="90" spans="2:14" x14ac:dyDescent="0.25">
      <c r="B90" t="s">
        <v>423</v>
      </c>
      <c r="C90"/>
      <c r="E90" s="45"/>
      <c r="F90" s="47">
        <v>111.52740707999999</v>
      </c>
      <c r="G90" s="47">
        <v>99.657134999999997</v>
      </c>
      <c r="H90" s="47">
        <v>130.48440876000001</v>
      </c>
      <c r="I90" s="47" t="s">
        <v>616</v>
      </c>
      <c r="J90" s="47">
        <v>140.49441432</v>
      </c>
      <c r="K90" s="47">
        <v>281.07741276000002</v>
      </c>
      <c r="M90" s="45"/>
      <c r="N90" s="51">
        <f t="shared" si="0"/>
        <v>6411.2225345279994</v>
      </c>
    </row>
    <row r="91" spans="2:14" x14ac:dyDescent="0.25">
      <c r="B91" t="s">
        <v>424</v>
      </c>
      <c r="C91"/>
      <c r="E91" s="45"/>
      <c r="F91" s="47">
        <v>55.670769</v>
      </c>
      <c r="G91" s="47">
        <v>50.609789999999997</v>
      </c>
      <c r="H91" s="47">
        <v>63.262237499999998</v>
      </c>
      <c r="I91" s="47" t="s">
        <v>616</v>
      </c>
      <c r="J91" s="47">
        <v>98.689090499999992</v>
      </c>
      <c r="K91" s="47">
        <v>177.134265</v>
      </c>
      <c r="M91" s="45"/>
      <c r="N91" s="51">
        <f t="shared" si="0"/>
        <v>3741.0756768000006</v>
      </c>
    </row>
    <row r="92" spans="2:14" x14ac:dyDescent="0.25">
      <c r="B92" t="s">
        <v>425</v>
      </c>
      <c r="C92"/>
      <c r="E92" s="45"/>
      <c r="F92" s="47">
        <v>70.52</v>
      </c>
      <c r="G92" s="47">
        <v>70.52</v>
      </c>
      <c r="H92" s="47">
        <v>70.52</v>
      </c>
      <c r="I92" s="47" t="s">
        <v>616</v>
      </c>
      <c r="J92" s="47">
        <v>77.239999999999995</v>
      </c>
      <c r="K92" s="47">
        <v>148.18</v>
      </c>
      <c r="M92" s="45"/>
      <c r="N92" s="51">
        <f t="shared" si="0"/>
        <v>3670.6320000000001</v>
      </c>
    </row>
    <row r="93" spans="2:14" x14ac:dyDescent="0.25">
      <c r="B93" t="s">
        <v>426</v>
      </c>
      <c r="C93"/>
      <c r="E93" s="45"/>
      <c r="F93" s="47">
        <v>66.67</v>
      </c>
      <c r="G93" s="47">
        <v>66.67</v>
      </c>
      <c r="H93" s="47">
        <v>101.33</v>
      </c>
      <c r="I93" s="47" t="s">
        <v>616</v>
      </c>
      <c r="J93" s="47">
        <v>182.14285714285714</v>
      </c>
      <c r="K93" s="47">
        <v>212.5</v>
      </c>
      <c r="M93" s="45"/>
      <c r="N93" s="51">
        <f t="shared" si="0"/>
        <v>5286.228000000001</v>
      </c>
    </row>
    <row r="94" spans="2:14" x14ac:dyDescent="0.25">
      <c r="B94" t="s">
        <v>427</v>
      </c>
      <c r="C94"/>
      <c r="E94" s="45"/>
      <c r="F94" s="47">
        <v>56.317872000000001</v>
      </c>
      <c r="G94" s="47">
        <v>56.317872000000001</v>
      </c>
      <c r="H94" s="47">
        <v>59.205967999999999</v>
      </c>
      <c r="I94" s="47" t="s">
        <v>616</v>
      </c>
      <c r="J94" s="47">
        <v>166.06551999999999</v>
      </c>
      <c r="K94" s="47">
        <v>234.65780000000001</v>
      </c>
      <c r="M94" s="45"/>
      <c r="N94" s="51">
        <f t="shared" si="0"/>
        <v>4809.5462687999998</v>
      </c>
    </row>
    <row r="95" spans="2:14" x14ac:dyDescent="0.25">
      <c r="B95" t="s">
        <v>428</v>
      </c>
      <c r="C95"/>
      <c r="E95" s="45"/>
      <c r="F95" s="47">
        <v>48.824593128390596</v>
      </c>
      <c r="G95" s="47">
        <v>37.974683544303801</v>
      </c>
      <c r="H95" s="47">
        <v>56.962025316455701</v>
      </c>
      <c r="I95" s="47" t="s">
        <v>616</v>
      </c>
      <c r="J95" s="47">
        <v>112.78481012658229</v>
      </c>
      <c r="K95" s="47">
        <v>187.97468354430382</v>
      </c>
      <c r="M95" s="45"/>
      <c r="N95" s="51">
        <f t="shared" si="0"/>
        <v>3733.9746835443048</v>
      </c>
    </row>
    <row r="96" spans="2:14" x14ac:dyDescent="0.25">
      <c r="B96" t="s">
        <v>429</v>
      </c>
      <c r="C96"/>
      <c r="E96" s="45"/>
      <c r="F96" s="47">
        <v>8.3621339999999993</v>
      </c>
      <c r="G96" s="47">
        <v>4.1544359999999996</v>
      </c>
      <c r="H96" s="47">
        <v>8.3621339999999993</v>
      </c>
      <c r="I96" s="47" t="s">
        <v>616</v>
      </c>
      <c r="J96" s="47">
        <v>37.602972000000001</v>
      </c>
      <c r="K96" s="47">
        <v>74.992896000000002</v>
      </c>
      <c r="M96" s="45"/>
      <c r="N96" s="51">
        <f t="shared" si="0"/>
        <v>1121.1864048</v>
      </c>
    </row>
    <row r="97" spans="2:14" x14ac:dyDescent="0.25">
      <c r="B97" t="s">
        <v>430</v>
      </c>
      <c r="C97"/>
      <c r="E97" s="45"/>
      <c r="F97" s="47">
        <v>56.79</v>
      </c>
      <c r="G97" s="47">
        <v>56.79</v>
      </c>
      <c r="H97" s="47">
        <v>64.78</v>
      </c>
      <c r="I97" s="47" t="s">
        <v>616</v>
      </c>
      <c r="J97" s="47">
        <v>186.8</v>
      </c>
      <c r="K97" s="47">
        <v>213.13</v>
      </c>
      <c r="M97" s="45"/>
      <c r="N97" s="51">
        <f t="shared" si="0"/>
        <v>4857.6359999999995</v>
      </c>
    </row>
    <row r="98" spans="2:14" x14ac:dyDescent="0.25">
      <c r="B98" t="s">
        <v>431</v>
      </c>
      <c r="C98"/>
      <c r="E98" s="45"/>
      <c r="F98" s="47">
        <v>119.13995168000002</v>
      </c>
      <c r="G98" s="47">
        <v>106.42684708000002</v>
      </c>
      <c r="H98" s="47">
        <v>138.48203225</v>
      </c>
      <c r="I98" s="47" t="s">
        <v>616</v>
      </c>
      <c r="J98" s="47">
        <v>126.85862233000002</v>
      </c>
      <c r="K98" s="47">
        <v>252.89997365000002</v>
      </c>
      <c r="M98" s="45"/>
      <c r="N98" s="51">
        <f t="shared" si="0"/>
        <v>6247.9823867160012</v>
      </c>
    </row>
    <row r="99" spans="2:14" x14ac:dyDescent="0.25">
      <c r="B99" t="s">
        <v>432</v>
      </c>
      <c r="C99"/>
      <c r="E99" s="45"/>
      <c r="F99" s="47">
        <v>145</v>
      </c>
      <c r="G99" s="47">
        <v>140</v>
      </c>
      <c r="H99" s="47">
        <v>180</v>
      </c>
      <c r="I99" s="47" t="s">
        <v>616</v>
      </c>
      <c r="J99" s="47">
        <v>300</v>
      </c>
      <c r="K99" s="47">
        <v>470</v>
      </c>
      <c r="M99" s="45"/>
      <c r="N99" s="51">
        <f t="shared" si="0"/>
        <v>10374</v>
      </c>
    </row>
    <row r="100" spans="2:14" x14ac:dyDescent="0.25">
      <c r="B100" t="s">
        <v>433</v>
      </c>
      <c r="C100"/>
      <c r="E100" s="45"/>
      <c r="F100" s="47">
        <v>17.773199999999999</v>
      </c>
      <c r="G100" s="47">
        <v>14.811</v>
      </c>
      <c r="H100" s="47">
        <v>19.254300000000001</v>
      </c>
      <c r="I100" s="47" t="s">
        <v>616</v>
      </c>
      <c r="J100" s="47">
        <v>71.092799999999997</v>
      </c>
      <c r="K100" s="47">
        <v>142.18559999999999</v>
      </c>
      <c r="M100" s="45"/>
      <c r="N100" s="51">
        <f t="shared" si="0"/>
        <v>2226.9819599999996</v>
      </c>
    </row>
    <row r="101" spans="2:14" x14ac:dyDescent="0.25">
      <c r="B101" t="s">
        <v>434</v>
      </c>
      <c r="C101"/>
      <c r="E101" s="45"/>
      <c r="F101" s="47">
        <v>90.909090909090892</v>
      </c>
      <c r="G101" s="47">
        <v>88.190507662784796</v>
      </c>
      <c r="H101" s="47">
        <v>127.27272727272724</v>
      </c>
      <c r="I101" s="47" t="s">
        <v>616</v>
      </c>
      <c r="J101" s="47">
        <v>168.91891891891893</v>
      </c>
      <c r="K101" s="47">
        <v>281.53153153153158</v>
      </c>
      <c r="M101" s="45"/>
      <c r="N101" s="51">
        <f t="shared" si="0"/>
        <v>6357.3113208784498</v>
      </c>
    </row>
    <row r="102" spans="2:14" x14ac:dyDescent="0.25">
      <c r="B102" t="s">
        <v>435</v>
      </c>
      <c r="C102"/>
      <c r="E102" s="45"/>
      <c r="F102" s="47">
        <v>42.9</v>
      </c>
      <c r="G102" s="47">
        <v>42.9</v>
      </c>
      <c r="H102" s="47">
        <v>50.7</v>
      </c>
      <c r="I102" s="47" t="s">
        <v>616</v>
      </c>
      <c r="J102" s="47">
        <v>133.9</v>
      </c>
      <c r="K102" s="47">
        <v>219.70000000000002</v>
      </c>
      <c r="M102" s="45"/>
      <c r="N102" s="51">
        <f t="shared" si="0"/>
        <v>4116.84</v>
      </c>
    </row>
    <row r="103" spans="2:14" x14ac:dyDescent="0.25">
      <c r="B103" t="s">
        <v>436</v>
      </c>
      <c r="C103"/>
      <c r="E103" s="45"/>
      <c r="F103" s="47">
        <v>71.426786579999998</v>
      </c>
      <c r="G103" s="47">
        <v>71.426786579999998</v>
      </c>
      <c r="H103" s="47">
        <v>106.12083735</v>
      </c>
      <c r="I103" s="47" t="s">
        <v>616</v>
      </c>
      <c r="J103" s="47">
        <v>192.07325484</v>
      </c>
      <c r="K103" s="47">
        <v>299.32264997999999</v>
      </c>
      <c r="M103" s="45"/>
      <c r="N103" s="51">
        <f t="shared" si="0"/>
        <v>6219.1106487720008</v>
      </c>
    </row>
    <row r="104" spans="2:14" x14ac:dyDescent="0.25">
      <c r="B104" t="s">
        <v>437</v>
      </c>
      <c r="C104"/>
      <c r="E104" s="45"/>
      <c r="F104" s="47">
        <v>87.833328000000009</v>
      </c>
      <c r="G104" s="47">
        <v>87.833328000000009</v>
      </c>
      <c r="H104" s="47">
        <v>125.76135600000001</v>
      </c>
      <c r="I104" s="47" t="s">
        <v>616</v>
      </c>
      <c r="J104" s="47">
        <v>272.48293799999999</v>
      </c>
      <c r="K104" s="47">
        <v>419.20452</v>
      </c>
      <c r="M104" s="45"/>
      <c r="N104" s="51">
        <f t="shared" si="0"/>
        <v>8342.1699479999988</v>
      </c>
    </row>
    <row r="105" spans="2:14" x14ac:dyDescent="0.25">
      <c r="B105" t="s">
        <v>438</v>
      </c>
      <c r="C105"/>
      <c r="E105" s="45"/>
      <c r="F105" s="47">
        <v>73.061359200000012</v>
      </c>
      <c r="G105" s="47">
        <v>73.061359200000012</v>
      </c>
      <c r="H105" s="47">
        <v>91.326699000000005</v>
      </c>
      <c r="I105" s="47" t="s">
        <v>616</v>
      </c>
      <c r="J105" s="47">
        <v>224.05483487999999</v>
      </c>
      <c r="K105" s="47">
        <v>381.13675716000006</v>
      </c>
      <c r="M105" s="45"/>
      <c r="N105" s="51">
        <f t="shared" si="0"/>
        <v>7078.1844792960001</v>
      </c>
    </row>
    <row r="106" spans="2:14" x14ac:dyDescent="0.25">
      <c r="B106" t="s">
        <v>439</v>
      </c>
      <c r="C106"/>
      <c r="E106" s="45"/>
      <c r="F106" s="47">
        <v>32.937498000000005</v>
      </c>
      <c r="G106" s="47">
        <v>30.941286000000002</v>
      </c>
      <c r="H106" s="47">
        <v>34.933710000000005</v>
      </c>
      <c r="I106" s="47" t="s">
        <v>616</v>
      </c>
      <c r="J106" s="47">
        <v>64.876890000000003</v>
      </c>
      <c r="K106" s="47">
        <v>129.75378000000001</v>
      </c>
      <c r="M106" s="45"/>
      <c r="N106" s="51">
        <f t="shared" si="0"/>
        <v>2464.9225776000003</v>
      </c>
    </row>
    <row r="107" spans="2:14" x14ac:dyDescent="0.25">
      <c r="B107"/>
      <c r="C107"/>
      <c r="E107" s="45"/>
      <c r="F107" s="45"/>
      <c r="G107" s="45"/>
      <c r="H107" s="45"/>
      <c r="I107" s="45"/>
      <c r="J107" s="45"/>
      <c r="K107" s="45"/>
      <c r="L107" s="45"/>
      <c r="M107" s="45"/>
      <c r="N107" s="44"/>
    </row>
    <row r="108" spans="2:14" x14ac:dyDescent="0.25">
      <c r="B108"/>
      <c r="C108"/>
      <c r="E108" s="45"/>
      <c r="F108" s="45"/>
      <c r="G108" s="45"/>
      <c r="H108" s="45"/>
      <c r="I108" s="45"/>
      <c r="J108" s="45"/>
      <c r="K108" s="45"/>
      <c r="L108" s="45"/>
      <c r="M108" s="45"/>
      <c r="N108" s="44"/>
    </row>
    <row r="109" spans="2:14" ht="15.75" thickBot="1" x14ac:dyDescent="0.3">
      <c r="E109" s="45"/>
      <c r="F109" s="45"/>
      <c r="G109" s="45"/>
      <c r="H109" s="45"/>
      <c r="I109" s="45"/>
      <c r="J109" s="48"/>
      <c r="K109" s="48"/>
      <c r="L109" s="49" t="s">
        <v>509</v>
      </c>
      <c r="M109" s="45"/>
      <c r="N109" s="52">
        <f>SUM(N7:N108)</f>
        <v>299497.90101540543</v>
      </c>
    </row>
    <row r="110" spans="2:14" ht="15.75" thickTop="1" x14ac:dyDescent="0.25">
      <c r="C110" s="41" t="s">
        <v>566</v>
      </c>
      <c r="D110" s="41"/>
      <c r="E110" s="41"/>
      <c r="F110" s="41"/>
      <c r="G110" s="41"/>
      <c r="H110" s="41"/>
      <c r="I110" s="41"/>
      <c r="J110" s="41"/>
      <c r="K110" s="41"/>
      <c r="L110" s="41"/>
      <c r="M110" s="41"/>
      <c r="N110" s="41"/>
    </row>
    <row r="111" spans="2:14" x14ac:dyDescent="0.25">
      <c r="D111" t="s">
        <v>567</v>
      </c>
    </row>
    <row r="112" spans="2:14" x14ac:dyDescent="0.25">
      <c r="D112" s="35" t="s">
        <v>568</v>
      </c>
    </row>
    <row r="114" spans="3:14" x14ac:dyDescent="0.25">
      <c r="D114" s="42" t="s">
        <v>569</v>
      </c>
      <c r="E114" s="42"/>
      <c r="F114" s="42"/>
      <c r="G114" s="42"/>
      <c r="H114" s="42"/>
      <c r="I114" s="42"/>
      <c r="J114" s="42"/>
      <c r="K114" s="42"/>
      <c r="L114" s="42"/>
      <c r="M114" s="42"/>
      <c r="N114" s="42"/>
    </row>
    <row r="115" spans="3:14" x14ac:dyDescent="0.25">
      <c r="D115" s="42" t="s">
        <v>570</v>
      </c>
      <c r="E115" s="42"/>
      <c r="F115" s="42"/>
      <c r="G115" s="42"/>
      <c r="H115" s="42"/>
      <c r="I115" s="42"/>
      <c r="J115" s="42"/>
      <c r="K115" s="42"/>
      <c r="L115" s="42"/>
      <c r="M115" s="42"/>
      <c r="N115" s="42"/>
    </row>
    <row r="116" spans="3:14" x14ac:dyDescent="0.25">
      <c r="D116" s="42" t="s">
        <v>571</v>
      </c>
      <c r="E116" s="42"/>
      <c r="F116" s="42"/>
      <c r="G116" s="42"/>
      <c r="H116" s="42"/>
      <c r="I116" s="42"/>
      <c r="J116" s="42"/>
      <c r="K116" s="42"/>
      <c r="L116" s="42"/>
      <c r="M116" s="42"/>
      <c r="N116" s="42"/>
    </row>
    <row r="117" spans="3:14" x14ac:dyDescent="0.25">
      <c r="D117" s="42" t="s">
        <v>572</v>
      </c>
      <c r="E117" s="42"/>
      <c r="F117" s="42"/>
      <c r="G117" s="42"/>
      <c r="H117" s="42"/>
      <c r="I117" s="42"/>
      <c r="J117" s="42"/>
      <c r="K117" s="42"/>
      <c r="L117" s="42"/>
      <c r="M117" s="42"/>
      <c r="N117" s="42"/>
    </row>
    <row r="119" spans="3:14" x14ac:dyDescent="0.25">
      <c r="C119" s="91" t="s">
        <v>573</v>
      </c>
      <c r="D119" s="65"/>
    </row>
    <row r="120" spans="3:14" x14ac:dyDescent="0.25">
      <c r="D120" t="s">
        <v>574</v>
      </c>
    </row>
    <row r="122" spans="3:14" x14ac:dyDescent="0.25">
      <c r="C122" s="91" t="s">
        <v>575</v>
      </c>
      <c r="D122" s="65"/>
    </row>
    <row r="123" spans="3:14" x14ac:dyDescent="0.25">
      <c r="D123" t="s">
        <v>576</v>
      </c>
    </row>
    <row r="124" spans="3:14" x14ac:dyDescent="0.25">
      <c r="D124" t="s">
        <v>577</v>
      </c>
    </row>
    <row r="125" spans="3:14" x14ac:dyDescent="0.25">
      <c r="D125" t="s">
        <v>578</v>
      </c>
    </row>
    <row r="126" spans="3:14" x14ac:dyDescent="0.25">
      <c r="D126" t="s">
        <v>579</v>
      </c>
    </row>
    <row r="127" spans="3:14" x14ac:dyDescent="0.25">
      <c r="D127" t="s">
        <v>580</v>
      </c>
    </row>
    <row r="128" spans="3:14" x14ac:dyDescent="0.25">
      <c r="D128" t="s">
        <v>581</v>
      </c>
    </row>
    <row r="129" spans="4:4" x14ac:dyDescent="0.25">
      <c r="D129" t="s">
        <v>582</v>
      </c>
    </row>
  </sheetData>
  <hyperlinks>
    <hyperlink ref="D112" r:id="rId1" xr:uid="{53A54E02-C3AE-1B4F-AF2E-0E06A2F1FE3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4615-82DB-4E1C-96E7-4B480F596F1A}">
  <dimension ref="A1:I7"/>
  <sheetViews>
    <sheetView zoomScaleNormal="100" workbookViewId="0"/>
  </sheetViews>
  <sheetFormatPr defaultColWidth="8.85546875" defaultRowHeight="15" x14ac:dyDescent="0.25"/>
  <cols>
    <col min="3" max="7" width="12.85546875" bestFit="1" customWidth="1"/>
    <col min="8" max="8" width="14.42578125" bestFit="1" customWidth="1"/>
    <col min="9" max="9" width="26" customWidth="1"/>
  </cols>
  <sheetData>
    <row r="1" spans="1:9" x14ac:dyDescent="0.25">
      <c r="A1" s="101" t="s">
        <v>617</v>
      </c>
      <c r="B1" s="101"/>
      <c r="C1" s="101" t="s">
        <v>618</v>
      </c>
      <c r="D1" s="101" t="s">
        <v>619</v>
      </c>
      <c r="E1" s="101" t="s">
        <v>620</v>
      </c>
      <c r="F1" s="101" t="s">
        <v>621</v>
      </c>
      <c r="G1" s="101" t="s">
        <v>622</v>
      </c>
      <c r="H1" s="101" t="s">
        <v>7</v>
      </c>
      <c r="I1" s="101" t="s">
        <v>40</v>
      </c>
    </row>
    <row r="3" spans="1:9" ht="30" x14ac:dyDescent="0.25">
      <c r="A3" t="s">
        <v>623</v>
      </c>
      <c r="C3" s="120">
        <v>6865.7794639274653</v>
      </c>
      <c r="D3" s="120">
        <v>11299.1113463492</v>
      </c>
      <c r="E3" s="120">
        <v>10734.15577903174</v>
      </c>
      <c r="F3" s="120">
        <v>10197.447990080153</v>
      </c>
      <c r="G3" s="120">
        <v>9687.5755905761453</v>
      </c>
      <c r="H3" s="121">
        <f>SUM(C3:G3)</f>
        <v>48784.070169964703</v>
      </c>
      <c r="I3" s="15" t="s">
        <v>641</v>
      </c>
    </row>
    <row r="4" spans="1:9" x14ac:dyDescent="0.25">
      <c r="C4" s="120"/>
      <c r="D4" s="120"/>
      <c r="E4" s="120"/>
      <c r="F4" s="120"/>
      <c r="G4" s="120"/>
      <c r="H4" s="121"/>
    </row>
    <row r="5" spans="1:9" x14ac:dyDescent="0.25">
      <c r="A5" t="s">
        <v>627</v>
      </c>
      <c r="C5" s="120">
        <v>6343.6031134850091</v>
      </c>
      <c r="D5" s="120">
        <v>10439.7582667639</v>
      </c>
      <c r="E5" s="120">
        <v>9917.7703534257053</v>
      </c>
      <c r="F5" s="120">
        <v>9421.8818357544187</v>
      </c>
      <c r="G5" s="120">
        <v>8950.7877439666972</v>
      </c>
      <c r="H5" s="121">
        <f>SUM(C5:G5)</f>
        <v>45073.801313395736</v>
      </c>
    </row>
    <row r="6" spans="1:9" x14ac:dyDescent="0.25">
      <c r="C6" s="122"/>
      <c r="D6" s="122"/>
      <c r="E6" s="122"/>
      <c r="F6" s="122"/>
      <c r="G6" s="122"/>
      <c r="H6" s="122"/>
    </row>
    <row r="7" spans="1:9" x14ac:dyDescent="0.25">
      <c r="A7" s="101" t="s">
        <v>7</v>
      </c>
      <c r="C7" s="123">
        <f>SUM(C3:C6)</f>
        <v>13209.382577412474</v>
      </c>
      <c r="D7" s="123">
        <f t="shared" ref="D7:H7" si="0">SUM(D3:D6)</f>
        <v>21738.8696131131</v>
      </c>
      <c r="E7" s="123">
        <f t="shared" si="0"/>
        <v>20651.926132457447</v>
      </c>
      <c r="F7" s="123">
        <f t="shared" si="0"/>
        <v>19619.329825834571</v>
      </c>
      <c r="G7" s="123">
        <f t="shared" si="0"/>
        <v>18638.363334542842</v>
      </c>
      <c r="H7" s="123">
        <f t="shared" si="0"/>
        <v>93857.871483360446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00b5f185-b19a-4336-a4ec-f1b99802f1ef"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6DDF632101B84942A37F9B374FBC68D2" ma:contentTypeVersion="12" ma:contentTypeDescription="Create a new document." ma:contentTypeScope="" ma:versionID="9e7065439d5597314792954525f8f8df">
  <xsd:schema xmlns:xsd="http://www.w3.org/2001/XMLSchema" xmlns:xs="http://www.w3.org/2001/XMLSchema" xmlns:p="http://schemas.microsoft.com/office/2006/metadata/properties" xmlns:ns2="2893fbe4-c006-4da7-8018-9b9f6f6cf641" targetNamespace="http://schemas.microsoft.com/office/2006/metadata/properties" ma:root="true" ma:fieldsID="b0ba8c09d9955c202892f18a49a3c3d6" ns2:_="">
    <xsd:import namespace="2893fbe4-c006-4da7-8018-9b9f6f6cf6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3fbe4-c006-4da7-8018-9b9f6f6cf6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EBEB6D-ED46-49AC-B1EE-F9E9E0D92C6B}">
  <ds:schemaRefs>
    <ds:schemaRef ds:uri="http://schemas.microsoft.com/sharepoint/v3/contenttype/forms"/>
  </ds:schemaRefs>
</ds:datastoreItem>
</file>

<file path=customXml/itemProps2.xml><?xml version="1.0" encoding="utf-8"?>
<ds:datastoreItem xmlns:ds="http://schemas.openxmlformats.org/officeDocument/2006/customXml" ds:itemID="{14374A39-2FE0-48B1-BB0F-E9C4F8C3175D}">
  <ds:schemaRefs>
    <ds:schemaRef ds:uri="Microsoft.SharePoint.Taxonomy.ContentTypeSync"/>
  </ds:schemaRefs>
</ds:datastoreItem>
</file>

<file path=customXml/itemProps3.xml><?xml version="1.0" encoding="utf-8"?>
<ds:datastoreItem xmlns:ds="http://schemas.openxmlformats.org/officeDocument/2006/customXml" ds:itemID="{0640F99B-4F75-4D3F-84AA-E72E37DCE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3fbe4-c006-4da7-8018-9b9f6f6cf6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1ADE783-386B-4F64-BEA2-30F4A484D986}">
  <ds:schemaRefs>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2893fbe4-c006-4da7-8018-9b9f6f6cf641"/>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introduction</vt:lpstr>
      <vt:lpstr>Summary</vt:lpstr>
      <vt:lpstr>Monthly Recurring Charges</vt:lpstr>
      <vt:lpstr>RU info</vt:lpstr>
      <vt:lpstr>RU mapping</vt:lpstr>
      <vt:lpstr>Devices</vt:lpstr>
      <vt:lpstr>One-time Charges</vt:lpstr>
      <vt:lpstr>Service Requests</vt:lpstr>
      <vt:lpstr>Demand Requests</vt:lpstr>
      <vt:lpstr>Optional Pricing</vt:lpstr>
      <vt:lpstr>Devices!intEstimateVolume</vt:lpstr>
      <vt:lpstr>intEstimateVolume</vt:lpstr>
      <vt:lpstr>Devices!percPreTargetAdjustment</vt:lpstr>
      <vt:lpstr>percPreTargetAdjustment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Erwin Berkouwer</dc:creator>
  <cp:keywords/>
  <dc:description/>
  <cp:lastModifiedBy>Cavalari Consolini, Diego</cp:lastModifiedBy>
  <cp:revision/>
  <dcterms:created xsi:type="dcterms:W3CDTF">2024-01-24T16:25:58Z</dcterms:created>
  <dcterms:modified xsi:type="dcterms:W3CDTF">2025-07-28T21:11:32Z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0x0101006DDF632101B84942A37F9B374FBC68D2</vt:lpwstr>
  </property>
  <property fmtid="{D5CDD505-2E9C-101B-9397-08002B2CF9AE}" pid="3" name="MediaServiceImageTags">
    <vt:lpwstr/>
  </property>
  <property fmtid="{D5CDD505-2E9C-101B-9397-08002B2CF9AE}" pid="4" name="Order">
    <vt:r8>100500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TitusGUID">
    <vt:lpwstr>dbbad432-5b37-48aa-9b3e-8367dac87687</vt:lpwstr>
  </property>
  <property fmtid="{D5CDD505-2E9C-101B-9397-08002B2CF9AE}" pid="12" name="HCLClassD6">
    <vt:lpwstr>False</vt:lpwstr>
  </property>
  <property fmtid="{D5CDD505-2E9C-101B-9397-08002B2CF9AE}" pid="13" name="HCLClassification">
    <vt:lpwstr>HCL_Cla5s_C0nf1dent1al</vt:lpwstr>
  </property>
</Properties>
</file>