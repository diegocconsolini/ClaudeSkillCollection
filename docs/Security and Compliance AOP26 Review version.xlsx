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feeandtea-my.sharepoint.com/personal/diego_cavalariconsolini_jdecoffee_com/Documents/Finance/"/>
    </mc:Choice>
  </mc:AlternateContent>
  <xr:revisionPtr revIDLastSave="1" documentId="8_{F526C4FC-D1FC-4AFA-8C40-EBD95C2369A3}" xr6:coauthVersionLast="47" xr6:coauthVersionMax="47" xr10:uidLastSave="{B2F6CC30-98F3-492D-B91E-A2CEDF787398}"/>
  <bookViews>
    <workbookView xWindow="19095" yWindow="0" windowWidth="38610" windowHeight="20985" xr2:uid="{9988B596-C0CD-459A-8615-3ED0CF48D729}"/>
  </bookViews>
  <sheets>
    <sheet name="AOP26 Forecast" sheetId="1" r:id="rId1"/>
  </sheets>
  <externalReferences>
    <externalReference r:id="rId2"/>
  </externalReferences>
  <definedNames>
    <definedName name="_xlnm._FilterDatabase" localSheetId="0" hidden="1">'AOP26 Forecast'!$A$1:$AF$40</definedName>
    <definedName name="_FiltroDatabase" localSheetId="0" hidden="1">'AOP26 Forecast'!$1:$27</definedName>
    <definedName name="EPMWorkbookOptions_1" hidden="1">"P0cAAB+LCAAAAAAABADtnF1vokwUgO832f9gvFdmBFEa64Z3xC2JAhHc7aZpDMjYklXwHbC2/35H1AqKXW3dRpAbY2bOmTk8no+ZEWh8e56MC0+Y+I7nXhdhGRQL2B16tuM+XBdnwagE+eK35tcvjZ8e+W153m91GlBRv0D1XP/q2Xeui49BML1imPl8Xp6zZY88MBUAIHPb7ejDRzwxS47rB6Y7xMVXLfvvWkU6a6HQQJ7r4uFiTsNDM0Kw"</definedName>
    <definedName name="EPMWorkbookOptions_2" hidden="1">"G/xw8DzsjHW3zMBctdJ2xZzg5WyvMwV4Mp0RJ5yq72OiETzCdLwhLlODis1BW+sO/tOQ8hOCwd1KyTenz/PprOzOH8ruuOybxBxjXLJxeehNruqQhwsRxpoOmfvBHdWmn21ZERUk0W8jc+zj+wazsGZjmzidjp2hGeF4sI3rMeKjRJpXl95c2bA19RLZhmKB2dt149g2dlvOBLt+aOh+0Y2RfkyGSumP3vx1DOSNPdIMyAw3mISOt1TDq0jQ"</definedName>
    <definedName name="EPMWorkbookOptions_3" hidden="1">"3Lm6lSJ1iwA/B23zySNOQO0Kf4ml8k7fAfpth/hBxIDk/q2BXq3cD+hQqahc33X+n+HwykWE1L5iNJikzrfGWBKnwV0FkK3DyABJv0WoqxIbkyZoMMsviaP707H5ohFviknw0oRVvjrC1qhU5W2uxFVGQqlepcEDTFzhbKvG1Sx2MXNcK2HgjukHOh7TOMd2F08smq4SxOJOmShARZb6EUx3K4j35TtN7EmKcQPpVxHAQR0IgkCjd0dlz9A3"</definedName>
    <definedName name="EPMWorkbookOptions_4" hidden="1">"DiYmGT6+bEQLNEFeuc74urjwneJWEL396x6m22D+dtEnpMINFFXRkJ5DiUBBoibd5kSiwSMAIMAcyVY+4YQM5JMGc0g2jhSUf1b8WqIh6mq/t1jlvLf+AcDVATi8/MHslb8NxrjHGqohdpCqXGyy3wdGVrS+kUOJQ2nJqCsa6EZWvudo4mg6KhI7mXCaM8r9kiHKnXfnfZatVjmOOzzvVzKY90OEW1GMOmranfSkPNpijiOa5BUt7TzOJ4dR"</definedName>
    <definedName name="EPMWorkbookOptions_5" hidden="1">"qrLx6905jK9BUK/XDs9hbPZy2BJh3EmlcOGadjc9KRG+xl7sbjwRCACgkgOJAoG1ag4kGjJ1LvUecj6l7ntP7Wv6R45peJ5ljzin4bJX65YM4276fZHIOijtjnpKJKqGLnYLs8dFINRzF4kjqQB0sedUiUhYHmQAyflUPBlpn/ivfDV75Y4C3Dp2v+h93S4ORVWktNM4n3jVemqrjz7zTho+ezG7ghh3VO2i4zYZSR67p4zdnmagfo/SRe8/"</definedName>
    <definedName name="EPMWorkbookOptions_6" hidden="1">"TT0+fmvZi98IyK3jkH4v7e56cibp33afTwTrSFLEnqx+YvjWjwhfEwuWIHBCybYstsRVYb1kjWpmyeRt1hLYaqUyss8gfNcUt+48Q0b7FvKp99aTU+lf7qrkLSapP/b+F1C0G1GXWjmZGBk1vxkg2cz3VEBNQnJbRqIhq8oH/ik5ug4K2VvGxlnGnVa/6N3om2TyTekpA9qQux+4L/3oMIbHPJiVkvXsAmHcRysA8mUAQdrd9ORELnbRtpfI"</definedName>
    <definedName name="EPMWorkbookOptions_7" hidden="1">"xd7wtI8IqOdEtojkD2Mlm/mOcteVRL3fkz5z5QqPeRgrJSVvjZH66MJjJbrpaslo0O0oaXfV0xLJaSxo/DIu9khiB0QWYuSE6fwAoZg1yUINJuktI7HWtTgdbfdVLNHG3de3NHp4RLD/qLrqFLvrV3TEG0M5NMYmWQyqurr5hNeS282h7Po9NTSHByHGtfRuRygv+z9M4pjWGHcxediI77R//bIZY/USnOYf5RTQWj9HAAA="</definedName>
    <definedName name="EPMWorkbookOptions_9" hidden="1">"oZNTWTgMfQCYTNx2pceg4TB0UBAOMR6PSAOIROgIAiIbIqhRAveeqHuHw79hQTj8u6rP2CnPYKFuhyff1PDEwe69Yinz1wMGdJkvJkyx4Sz7VKye8fSyRz9c6ov+sJ2HoW0/EKX0fIgvm/K3K3x5yf1uOKYxnOIudu424lvlnz9t+lDmq4n/B3b711l9hQAA"</definedName>
    <definedName name="EV__EVCOM_OPTIONS__" hidden="1">8</definedName>
    <definedName name="EV__EXPOPTIONS__" hidden="1">1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0</definedName>
    <definedName name="EV__WBREFOPTIONS__" hidden="1">134217735</definedName>
    <definedName name="Ext_Serv">#REF!</definedName>
    <definedName name="Function">#REF!</definedName>
    <definedName name="MEWarning" hidden="1">1</definedName>
    <definedName name="SAPCrosstab1">#REF!</definedName>
    <definedName name="SUBF_LIST">#REF!</definedName>
    <definedName name="TRADINGP">#REF!</definedName>
    <definedName name="VENDR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0" i="1" l="1"/>
  <c r="Y40" i="1"/>
  <c r="X40" i="1"/>
  <c r="AB39" i="1"/>
  <c r="Y39" i="1"/>
  <c r="X39" i="1"/>
  <c r="AB38" i="1"/>
  <c r="Y38" i="1"/>
  <c r="X38" i="1"/>
  <c r="X37" i="1"/>
  <c r="Y37" i="1" s="1"/>
  <c r="Y36" i="1"/>
  <c r="X36" i="1"/>
  <c r="Y35" i="1"/>
  <c r="X35" i="1"/>
  <c r="X34" i="1"/>
  <c r="Y34" i="1" s="1"/>
  <c r="X33" i="1"/>
  <c r="Y33" i="1" s="1"/>
  <c r="Y32" i="1"/>
  <c r="X32" i="1"/>
  <c r="Y31" i="1"/>
  <c r="X31" i="1"/>
  <c r="AB30" i="1"/>
  <c r="AA30" i="1"/>
  <c r="X30" i="1"/>
  <c r="B30" i="1"/>
  <c r="Y30" i="1" s="1"/>
  <c r="AA29" i="1"/>
  <c r="AB29" i="1" s="1"/>
  <c r="X29" i="1"/>
  <c r="B29" i="1"/>
  <c r="Y29" i="1" s="1"/>
  <c r="AA28" i="1"/>
  <c r="AB28" i="1" s="1"/>
  <c r="Y28" i="1"/>
  <c r="X28" i="1"/>
  <c r="B28" i="1"/>
  <c r="AA27" i="1"/>
  <c r="AB27" i="1" s="1"/>
  <c r="X27" i="1"/>
  <c r="B27" i="1"/>
  <c r="Y27" i="1" s="1"/>
  <c r="AA26" i="1"/>
  <c r="AB26" i="1" s="1"/>
  <c r="X26" i="1"/>
  <c r="W26" i="1"/>
  <c r="B26" i="1"/>
  <c r="Y26" i="1" s="1"/>
  <c r="AA25" i="1"/>
  <c r="AB25" i="1" s="1"/>
  <c r="Y25" i="1"/>
  <c r="X25" i="1"/>
  <c r="W25" i="1"/>
  <c r="B25" i="1"/>
  <c r="AA24" i="1"/>
  <c r="AB24" i="1" s="1"/>
  <c r="W24" i="1"/>
  <c r="X24" i="1" s="1"/>
  <c r="B24" i="1"/>
  <c r="Y24" i="1" s="1"/>
  <c r="AA23" i="1"/>
  <c r="AB23" i="1" s="1"/>
  <c r="X23" i="1"/>
  <c r="B23" i="1"/>
  <c r="Y23" i="1" s="1"/>
  <c r="AA22" i="1"/>
  <c r="AB22" i="1" s="1"/>
  <c r="X22" i="1"/>
  <c r="B22" i="1"/>
  <c r="Y22" i="1" s="1"/>
  <c r="AA21" i="1"/>
  <c r="AB21" i="1" s="1"/>
  <c r="X21" i="1"/>
  <c r="B21" i="1"/>
  <c r="Y21" i="1" s="1"/>
  <c r="AA20" i="1"/>
  <c r="AB20" i="1" s="1"/>
  <c r="X20" i="1"/>
  <c r="B20" i="1"/>
  <c r="Y20" i="1" s="1"/>
  <c r="AA19" i="1"/>
  <c r="AB19" i="1" s="1"/>
  <c r="Y19" i="1"/>
  <c r="X19" i="1"/>
  <c r="B19" i="1"/>
  <c r="AA18" i="1"/>
  <c r="AB18" i="1" s="1"/>
  <c r="W18" i="1"/>
  <c r="X18" i="1" s="1"/>
  <c r="Y18" i="1" s="1"/>
  <c r="B18" i="1"/>
  <c r="AA17" i="1"/>
  <c r="AB17" i="1" s="1"/>
  <c r="W17" i="1"/>
  <c r="X17" i="1" s="1"/>
  <c r="Y17" i="1" s="1"/>
  <c r="B17" i="1"/>
  <c r="AA16" i="1"/>
  <c r="AB16" i="1" s="1"/>
  <c r="X16" i="1"/>
  <c r="Y16" i="1" s="1"/>
  <c r="AA15" i="1"/>
  <c r="AB15" i="1" s="1"/>
  <c r="Y15" i="1"/>
  <c r="X15" i="1"/>
  <c r="B15" i="1"/>
  <c r="AA14" i="1"/>
  <c r="AB14" i="1" s="1"/>
  <c r="Y14" i="1"/>
  <c r="X14" i="1"/>
  <c r="W14" i="1"/>
  <c r="B14" i="1"/>
  <c r="AA13" i="1"/>
  <c r="AB13" i="1" s="1"/>
  <c r="W13" i="1"/>
  <c r="X13" i="1" s="1"/>
  <c r="Y13" i="1" s="1"/>
  <c r="B13" i="1"/>
  <c r="AA12" i="1"/>
  <c r="AB12" i="1" s="1"/>
  <c r="X12" i="1"/>
  <c r="Y12" i="1" s="1"/>
  <c r="X11" i="1"/>
  <c r="AA10" i="1"/>
  <c r="AB10" i="1" s="1"/>
  <c r="W10" i="1"/>
  <c r="X10" i="1" s="1"/>
  <c r="Y10" i="1" s="1"/>
  <c r="B10" i="1"/>
  <c r="AA8" i="1"/>
  <c r="AB8" i="1" s="1"/>
  <c r="W8" i="1"/>
  <c r="X8" i="1" s="1"/>
  <c r="Y8" i="1" s="1"/>
  <c r="AA7" i="1"/>
  <c r="AB7" i="1" s="1"/>
  <c r="X7" i="1"/>
  <c r="Y7" i="1" s="1"/>
  <c r="W7" i="1"/>
  <c r="AA6" i="1"/>
  <c r="AB6" i="1" s="1"/>
  <c r="W6" i="1"/>
  <c r="X6" i="1" s="1"/>
  <c r="B6" i="1"/>
  <c r="Y6" i="1" s="1"/>
  <c r="AA5" i="1"/>
  <c r="AB5" i="1" s="1"/>
  <c r="X5" i="1"/>
  <c r="Y5" i="1" s="1"/>
  <c r="AA4" i="1"/>
  <c r="AB4" i="1" s="1"/>
  <c r="Y4" i="1"/>
  <c r="X4" i="1"/>
  <c r="B4" i="1"/>
  <c r="AA3" i="1"/>
  <c r="AB3" i="1" s="1"/>
  <c r="X3" i="1"/>
  <c r="Y3" i="1" s="1"/>
  <c r="B3" i="1"/>
  <c r="AA2" i="1"/>
  <c r="AB2" i="1" s="1"/>
  <c r="V2" i="1"/>
  <c r="V41" i="1" s="1"/>
  <c r="B2" i="1"/>
  <c r="W2" i="1" l="1"/>
  <c r="W41" i="1" l="1"/>
  <c r="X2" i="1"/>
  <c r="X41" i="1" l="1"/>
  <c r="Y2" i="1"/>
</calcChain>
</file>

<file path=xl/sharedStrings.xml><?xml version="1.0" encoding="utf-8"?>
<sst xmlns="http://schemas.openxmlformats.org/spreadsheetml/2006/main" count="463" uniqueCount="153">
  <si>
    <t>Status</t>
  </si>
  <si>
    <t>Trend</t>
  </si>
  <si>
    <t>Description</t>
  </si>
  <si>
    <t>Contract ID</t>
  </si>
  <si>
    <t>Cost Center</t>
  </si>
  <si>
    <t>GL</t>
  </si>
  <si>
    <t>Category</t>
  </si>
  <si>
    <t>Line in AOP template</t>
  </si>
  <si>
    <t>Service1</t>
  </si>
  <si>
    <t>Service2</t>
  </si>
  <si>
    <t>Vendor Code</t>
  </si>
  <si>
    <t>Vendor</t>
  </si>
  <si>
    <t>PO</t>
  </si>
  <si>
    <t>Line</t>
  </si>
  <si>
    <t>Team</t>
  </si>
  <si>
    <t>Owner</t>
  </si>
  <si>
    <t>Consulted</t>
  </si>
  <si>
    <t>Charging Basis</t>
  </si>
  <si>
    <t>FUNCTION</t>
  </si>
  <si>
    <t>AOP 2023</t>
  </si>
  <si>
    <t>AOP 2024</t>
  </si>
  <si>
    <t>AOP 2025</t>
  </si>
  <si>
    <t>AOP 2026 Forecast</t>
  </si>
  <si>
    <t>Variance</t>
  </si>
  <si>
    <t>% Change</t>
  </si>
  <si>
    <t>Comments</t>
  </si>
  <si>
    <t>Actuals</t>
  </si>
  <si>
    <t>% spent</t>
  </si>
  <si>
    <t>Invoice Schedule</t>
  </si>
  <si>
    <t>Method</t>
  </si>
  <si>
    <t>Timing</t>
  </si>
  <si>
    <t>Comments PMO / FIN</t>
  </si>
  <si>
    <t>Active</t>
  </si>
  <si>
    <t>Accenture SOC services (HCL after TnT)</t>
  </si>
  <si>
    <t>CW11420</t>
  </si>
  <si>
    <t>485073034</t>
  </si>
  <si>
    <t>Security</t>
  </si>
  <si>
    <t>PC and Connectivity</t>
  </si>
  <si>
    <t>PCConnectivity</t>
  </si>
  <si>
    <t>Accenture B.V</t>
  </si>
  <si>
    <t>Sameer</t>
  </si>
  <si>
    <t>Diego</t>
  </si>
  <si>
    <t>L-PC-USERS</t>
  </si>
  <si>
    <t>Oscar included total HCL costs "HCL central costs", need to align with Carolyn what will be on Security AOP26</t>
  </si>
  <si>
    <t>Monthly</t>
  </si>
  <si>
    <t>GR</t>
  </si>
  <si>
    <t>Spot</t>
  </si>
  <si>
    <t>Ad hoc support compliance (AMS)</t>
  </si>
  <si>
    <t>485074001</t>
  </si>
  <si>
    <t>Accenture Appl. supp</t>
  </si>
  <si>
    <t>Application Support</t>
  </si>
  <si>
    <t>SAP suite</t>
  </si>
  <si>
    <t>APP000018</t>
  </si>
  <si>
    <t>George</t>
  </si>
  <si>
    <t>L-SAP-USERS</t>
  </si>
  <si>
    <t>IAM application support? Check with George</t>
  </si>
  <si>
    <t>Avecto</t>
  </si>
  <si>
    <t>CW10007</t>
  </si>
  <si>
    <t>485074005</t>
  </si>
  <si>
    <t>Software li oth appl</t>
  </si>
  <si>
    <t>IT4IT</t>
  </si>
  <si>
    <t>APP001977</t>
  </si>
  <si>
    <t>Professional Developm Systems B.V.</t>
  </si>
  <si>
    <t>Migration to Beyond trust Priv Mangement SaaS included in 2026 + proportinal licenses in a 3 years model. Licenses 15k Migration 5K for 2026</t>
  </si>
  <si>
    <t>Yearly</t>
  </si>
  <si>
    <t>Pre Paid</t>
  </si>
  <si>
    <t>Increase</t>
  </si>
  <si>
    <t>Awareness and Campaign (IT + OT Local)</t>
  </si>
  <si>
    <t>Wicher</t>
  </si>
  <si>
    <t>IT Awareness Position Costs (+-80k) + OT Awareness Execution (100k)</t>
  </si>
  <si>
    <t>Awareness standard e-training subscription</t>
  </si>
  <si>
    <t>CW11529</t>
  </si>
  <si>
    <t>Sans Institute</t>
  </si>
  <si>
    <t>SANS  Contract</t>
  </si>
  <si>
    <t>No Change</t>
  </si>
  <si>
    <t>Bitsight subscription</t>
  </si>
  <si>
    <t>CW12936</t>
  </si>
  <si>
    <t>Add Mycelium / TPRM / Bitsight monitoring costs here (Diego)</t>
  </si>
  <si>
    <t>Cyberark</t>
  </si>
  <si>
    <t>CW60827</t>
  </si>
  <si>
    <t>APP003224</t>
  </si>
  <si>
    <t>Microsoft B.V.</t>
  </si>
  <si>
    <t>CyberArk Grabowsky Support</t>
  </si>
  <si>
    <t>E5 Support contract (EUC)</t>
  </si>
  <si>
    <t>CW13771</t>
  </si>
  <si>
    <t>Cloud Security Posture Management need to be added, pricing in pending from MS, CSMP is n ot part o</t>
  </si>
  <si>
    <t>New</t>
  </si>
  <si>
    <t>Cloud Security Posture Management</t>
  </si>
  <si>
    <t>TBD</t>
  </si>
  <si>
    <t>Email Protection</t>
  </si>
  <si>
    <t>CW13839</t>
  </si>
  <si>
    <t>Ironscales Ltd.</t>
  </si>
  <si>
    <t>adding 2000 inboxes from integrations (Peets and other companies)</t>
  </si>
  <si>
    <t>GRC Access Controls</t>
  </si>
  <si>
    <t>CW9851</t>
  </si>
  <si>
    <t>485074003</t>
  </si>
  <si>
    <t>Other Sup Appl Sup</t>
  </si>
  <si>
    <t>APP000026</t>
  </si>
  <si>
    <t>KPMG</t>
  </si>
  <si>
    <t>Pre</t>
  </si>
  <si>
    <t>GRC Process Control Support</t>
  </si>
  <si>
    <t>Post</t>
  </si>
  <si>
    <t>ICAP File scanning Managed Service</t>
  </si>
  <si>
    <t>Factory Security</t>
  </si>
  <si>
    <t>FactorySec</t>
  </si>
  <si>
    <t>OPSWAT</t>
  </si>
  <si>
    <t>OT Security Manager</t>
  </si>
  <si>
    <t>L-FACTORIES-SIZE</t>
  </si>
  <si>
    <t>Music3</t>
  </si>
  <si>
    <t xml:space="preserve"> Cross Check with Freya's spreadsheet M3</t>
  </si>
  <si>
    <t>ICS (AMS) position)</t>
  </si>
  <si>
    <t>Added the costs for Fllow-Ups with Owners activity in PwC contract.</t>
  </si>
  <si>
    <t>Identity &amp; Access mgt tool Savyint</t>
  </si>
  <si>
    <t>CW10840</t>
  </si>
  <si>
    <t>APP002649</t>
  </si>
  <si>
    <t>Saviynt Europe Ltd</t>
  </si>
  <si>
    <t>Mandiant Incident Response</t>
  </si>
  <si>
    <t>CW14704</t>
  </si>
  <si>
    <t>Google Cloud Emea Limited</t>
  </si>
  <si>
    <t>OT RAS - (Tech. Account Man.)</t>
  </si>
  <si>
    <t>CW59585</t>
  </si>
  <si>
    <t>Beyondtrust Corporation</t>
  </si>
  <si>
    <t>OT RAS - BeyondTrust Appliance B Series-VM Subscription</t>
  </si>
  <si>
    <t>OT RAS - BeyondTrust licenses Priviledged Remote Access (PRA)</t>
  </si>
  <si>
    <t>OT RAS - SIEM Tool Integration Subscription (PRA) &amp; Advanced Web Access Subscription</t>
  </si>
  <si>
    <t>OT SOC support</t>
  </si>
  <si>
    <t>HCL</t>
  </si>
  <si>
    <t>Oscar included total HCL costs "HCL central costs", need to align with Carolyn what will be on Security AOP26. Cross Check with Freya's spreadsheet M3</t>
  </si>
  <si>
    <t>Security tests, pentests, threat inteligence etc…</t>
  </si>
  <si>
    <t>CW6296</t>
  </si>
  <si>
    <t>5400868906 / 5401093321</t>
  </si>
  <si>
    <t>Change the description</t>
  </si>
  <si>
    <t>Protect4S</t>
  </si>
  <si>
    <t>CW13797</t>
  </si>
  <si>
    <t>APP002949</t>
  </si>
  <si>
    <t>Erp Security B.V.</t>
  </si>
  <si>
    <t>Recurring Security Assessments</t>
  </si>
  <si>
    <t>CW63996</t>
  </si>
  <si>
    <t>PWC Advisory</t>
  </si>
  <si>
    <t>NIST/NIS assesments and etc…</t>
  </si>
  <si>
    <t>Saviynt dedicated support team (EUC)</t>
  </si>
  <si>
    <t>CW62675</t>
  </si>
  <si>
    <t>SoftwareOne</t>
  </si>
  <si>
    <t>TxOne</t>
  </si>
  <si>
    <t>Symantec Advanced Threat Protection</t>
  </si>
  <si>
    <t>CW9402</t>
  </si>
  <si>
    <t>APP002630</t>
  </si>
  <si>
    <t>Insight Enterprise Netherlands B.V.</t>
  </si>
  <si>
    <t>Vulnerability scanning: Qualys Run Support</t>
  </si>
  <si>
    <t>APP000007</t>
  </si>
  <si>
    <t>Need to do a new quotation to confirm the costs Qualys expiration around MID 2026.</t>
  </si>
  <si>
    <t>EDR Service (Stellar ICS) Managed Services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</si>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</sst>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 [$€-413]\ * #,##0.00_ ;_ [$€-413]\ * \-#,##0.00_ ;_ [$€-413]\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2">
    <xf numFmtId="0" fontId="0" fillId="0" borderId="0" xfId="0"/>
    <xf numFmtId="0" fontId="5" fillId="4" borderId="1" xfId="0" applyFont="1" applyFill="1" applyBorder="1"/>
    <xf numFmtId="3" fontId="5" fillId="4" borderId="1" xfId="0" applyNumberFormat="1" applyFont="1" applyFill="1" applyBorder="1"/>
    <xf numFmtId="0" fontId="5" fillId="4" borderId="2" xfId="0" applyFont="1" applyFill="1" applyBorder="1"/>
    <xf numFmtId="0" fontId="0" fillId="4" borderId="3" xfId="0" applyFill="1" applyBorder="1"/>
    <xf numFmtId="3" fontId="5" fillId="4" borderId="4" xfId="0" applyNumberFormat="1" applyFont="1" applyFill="1" applyBorder="1"/>
    <xf numFmtId="0" fontId="5" fillId="4" borderId="1" xfId="0" applyFont="1" applyFill="1" applyBorder="1" applyAlignment="1">
      <alignment wrapText="1"/>
    </xf>
    <xf numFmtId="0" fontId="5" fillId="4" borderId="4" xfId="0" applyFont="1" applyFill="1" applyBorder="1"/>
    <xf numFmtId="0" fontId="0" fillId="0" borderId="1" xfId="0" applyBorder="1"/>
    <xf numFmtId="0" fontId="0" fillId="0" borderId="1" xfId="0" quotePrefix="1" applyBorder="1"/>
    <xf numFmtId="0" fontId="6" fillId="0" borderId="1" xfId="2" applyFont="1" applyFill="1" applyBorder="1"/>
    <xf numFmtId="0" fontId="6" fillId="0" borderId="1" xfId="2" applyFont="1" applyFill="1" applyBorder="1" applyAlignment="1">
      <alignment horizontal="right"/>
    </xf>
    <xf numFmtId="0" fontId="6" fillId="0" borderId="1" xfId="3" applyFont="1" applyFill="1" applyBorder="1"/>
    <xf numFmtId="3" fontId="0" fillId="5" borderId="5" xfId="0" applyNumberFormat="1" applyFill="1" applyBorder="1"/>
    <xf numFmtId="3" fontId="0" fillId="6" borderId="5" xfId="0" applyNumberFormat="1" applyFill="1" applyBorder="1"/>
    <xf numFmtId="9" fontId="0" fillId="0" borderId="0" xfId="1" applyFont="1"/>
    <xf numFmtId="0" fontId="4" fillId="7" borderId="5" xfId="0" applyFont="1" applyFill="1" applyBorder="1" applyAlignment="1">
      <alignment wrapText="1"/>
    </xf>
    <xf numFmtId="4" fontId="0" fillId="6" borderId="0" xfId="0" applyNumberFormat="1" applyFill="1"/>
    <xf numFmtId="164" fontId="0" fillId="8" borderId="0" xfId="0" applyNumberFormat="1" applyFill="1"/>
    <xf numFmtId="0" fontId="0" fillId="7" borderId="0" xfId="0" applyFill="1"/>
    <xf numFmtId="0" fontId="6" fillId="0" borderId="0" xfId="3" applyFont="1" applyFill="1"/>
    <xf numFmtId="0" fontId="6" fillId="0" borderId="0" xfId="2" applyFont="1" applyFill="1"/>
    <xf numFmtId="0" fontId="0" fillId="7" borderId="5" xfId="0" applyFill="1" applyBorder="1" applyAlignment="1">
      <alignment wrapText="1"/>
    </xf>
    <xf numFmtId="0" fontId="0" fillId="0" borderId="1" xfId="0" applyBorder="1" applyAlignment="1">
      <alignment horizontal="right"/>
    </xf>
    <xf numFmtId="3" fontId="0" fillId="9" borderId="5" xfId="0" applyNumberForma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right" vertical="top"/>
    </xf>
    <xf numFmtId="0" fontId="6" fillId="8" borderId="1" xfId="3" applyFont="1" applyFill="1" applyBorder="1"/>
    <xf numFmtId="3" fontId="0" fillId="10" borderId="5" xfId="0" applyNumberFormat="1" applyFill="1" applyBorder="1"/>
    <xf numFmtId="0" fontId="0" fillId="0" borderId="4" xfId="0" applyBorder="1" applyAlignment="1">
      <alignment wrapText="1"/>
    </xf>
    <xf numFmtId="3" fontId="0" fillId="11" borderId="5" xfId="0" applyNumberFormat="1" applyFill="1" applyBorder="1"/>
    <xf numFmtId="0" fontId="0" fillId="12" borderId="1" xfId="0" applyFill="1" applyBorder="1"/>
    <xf numFmtId="0" fontId="0" fillId="12" borderId="4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6" fillId="0" borderId="1" xfId="0" applyFont="1" applyBorder="1" applyAlignment="1">
      <alignment horizontal="right"/>
    </xf>
    <xf numFmtId="0" fontId="0" fillId="8" borderId="1" xfId="0" applyFill="1" applyBorder="1"/>
    <xf numFmtId="0" fontId="7" fillId="0" borderId="1" xfId="0" applyFont="1" applyBorder="1"/>
    <xf numFmtId="0" fontId="0" fillId="0" borderId="0" xfId="0" applyAlignment="1">
      <alignment horizontal="right"/>
    </xf>
    <xf numFmtId="0" fontId="6" fillId="0" borderId="0" xfId="3" applyFont="1" applyFill="1" applyAlignment="1">
      <alignment wrapText="1"/>
    </xf>
    <xf numFmtId="3" fontId="0" fillId="5" borderId="1" xfId="0" applyNumberFormat="1" applyFill="1" applyBorder="1"/>
    <xf numFmtId="9" fontId="0" fillId="0" borderId="6" xfId="1" applyFont="1" applyBorder="1"/>
    <xf numFmtId="4" fontId="0" fillId="6" borderId="1" xfId="0" applyNumberFormat="1" applyFill="1" applyBorder="1"/>
    <xf numFmtId="0" fontId="5" fillId="0" borderId="0" xfId="0" applyFont="1"/>
    <xf numFmtId="0" fontId="6" fillId="0" borderId="0" xfId="0" applyFont="1"/>
    <xf numFmtId="0" fontId="6" fillId="0" borderId="0" xfId="3" applyFont="1" applyFill="1" applyAlignment="1">
      <alignment horizontal="right"/>
    </xf>
    <xf numFmtId="3" fontId="0" fillId="0" borderId="0" xfId="0" applyNumberFormat="1"/>
    <xf numFmtId="4" fontId="0" fillId="0" borderId="0" xfId="0" applyNumberFormat="1"/>
    <xf numFmtId="0" fontId="6" fillId="0" borderId="0" xfId="0" applyFont="1" applyAlignment="1">
      <alignment horizontal="right"/>
    </xf>
    <xf numFmtId="165" fontId="0" fillId="0" borderId="0" xfId="0" applyNumberFormat="1" applyAlignment="1">
      <alignment wrapText="1"/>
    </xf>
    <xf numFmtId="0" fontId="0" fillId="0" borderId="0" xfId="0" applyAlignment="1">
      <alignment vertical="top"/>
    </xf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ffeeandtea-my.sharepoint.com/personal/diego_cavalariconsolini_jdecoffee_com/Documents/Finance/AOP26%20preview%20IT%20Operations%20Financials%20.xlsm" TargetMode="External"/><Relationship Id="rId1" Type="http://schemas.openxmlformats.org/officeDocument/2006/relationships/externalLinkPath" Target="AOP26%20preview%20IT%20Operations%20Financials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Summary"/>
      <sheetName val="Summary incl price reduction"/>
      <sheetName val="LE"/>
      <sheetName val="BW Summary"/>
      <sheetName val="Change log"/>
      <sheetName val="AOP25"/>
      <sheetName val="ListBoxValues"/>
      <sheetName val="AOP26 Forecast"/>
      <sheetName val="BIdetails"/>
      <sheetName val="POs not in AOP"/>
      <sheetName val="AOP 2025 Summary"/>
      <sheetName val="Cross charge Agreements 2023"/>
      <sheetName val="Documentation"/>
      <sheetName val="New File Creation"/>
      <sheetName val="Improvements 2023"/>
      <sheetName val="Infra Cost Non Sap 2024"/>
      <sheetName val="Cross charge agreements"/>
      <sheetName val="AOP25Reduce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J5" t="str">
            <v>5400868906</v>
          </cell>
          <cell r="K5" t="str">
            <v>20</v>
          </cell>
          <cell r="M5">
            <v>4004</v>
          </cell>
        </row>
        <row r="6">
          <cell r="J6" t="str">
            <v>5401087933</v>
          </cell>
          <cell r="K6" t="str">
            <v>10</v>
          </cell>
          <cell r="M6">
            <v>4659.8</v>
          </cell>
        </row>
        <row r="7">
          <cell r="J7" t="str">
            <v>5401058468</v>
          </cell>
          <cell r="K7" t="str">
            <v>20</v>
          </cell>
          <cell r="M7">
            <v>-11000</v>
          </cell>
        </row>
        <row r="8">
          <cell r="J8" t="str">
            <v>5401058468</v>
          </cell>
          <cell r="K8" t="str">
            <v>20</v>
          </cell>
          <cell r="M8">
            <v>10372.5</v>
          </cell>
        </row>
        <row r="9">
          <cell r="J9" t="str">
            <v>5400868906</v>
          </cell>
          <cell r="K9" t="str">
            <v>20</v>
          </cell>
          <cell r="M9">
            <v>4004</v>
          </cell>
        </row>
        <row r="10">
          <cell r="J10" t="str">
            <v>5401087933</v>
          </cell>
          <cell r="K10" t="str">
            <v>10</v>
          </cell>
          <cell r="M10">
            <v>4671.33</v>
          </cell>
        </row>
        <row r="11">
          <cell r="J11" t="str">
            <v>5401087931</v>
          </cell>
          <cell r="K11" t="str">
            <v>10</v>
          </cell>
          <cell r="M11">
            <v>12000</v>
          </cell>
        </row>
        <row r="12">
          <cell r="J12" t="str">
            <v>5400868906</v>
          </cell>
          <cell r="K12" t="str">
            <v>20</v>
          </cell>
          <cell r="M12">
            <v>4004</v>
          </cell>
        </row>
        <row r="13">
          <cell r="J13" t="str">
            <v>5401087933</v>
          </cell>
          <cell r="K13" t="str">
            <v>10</v>
          </cell>
          <cell r="M13">
            <v>4682.87</v>
          </cell>
        </row>
        <row r="14">
          <cell r="J14" t="str">
            <v>5401023605</v>
          </cell>
          <cell r="K14" t="str">
            <v>10</v>
          </cell>
          <cell r="M14">
            <v>-2500</v>
          </cell>
        </row>
        <row r="15">
          <cell r="J15" t="str">
            <v>5401023605</v>
          </cell>
          <cell r="K15" t="str">
            <v>10</v>
          </cell>
          <cell r="M15">
            <v>-2500</v>
          </cell>
        </row>
        <row r="16">
          <cell r="J16" t="str">
            <v>5401023605</v>
          </cell>
          <cell r="K16" t="str">
            <v>10</v>
          </cell>
          <cell r="M16">
            <v>-2500</v>
          </cell>
        </row>
        <row r="17">
          <cell r="J17" t="str">
            <v>5401087933</v>
          </cell>
          <cell r="K17" t="str">
            <v>10</v>
          </cell>
          <cell r="M17">
            <v>4671.33</v>
          </cell>
        </row>
        <row r="18">
          <cell r="J18" t="str">
            <v>5400868906</v>
          </cell>
          <cell r="K18" t="str">
            <v>20</v>
          </cell>
          <cell r="M18">
            <v>4004</v>
          </cell>
        </row>
        <row r="19">
          <cell r="J19" t="str">
            <v>5400868906</v>
          </cell>
          <cell r="K19" t="str">
            <v>20</v>
          </cell>
          <cell r="M19">
            <v>4004</v>
          </cell>
        </row>
        <row r="20">
          <cell r="J20" t="str">
            <v>5401087933</v>
          </cell>
          <cell r="K20" t="str">
            <v>10</v>
          </cell>
          <cell r="M20">
            <v>4682.87</v>
          </cell>
        </row>
        <row r="21">
          <cell r="J21" t="str">
            <v>5400868906</v>
          </cell>
          <cell r="K21" t="str">
            <v>20</v>
          </cell>
          <cell r="M21">
            <v>4004</v>
          </cell>
        </row>
        <row r="22">
          <cell r="J22" t="str">
            <v>5401087933</v>
          </cell>
          <cell r="K22" t="str">
            <v>10</v>
          </cell>
          <cell r="M22">
            <v>4671.33</v>
          </cell>
        </row>
        <row r="23">
          <cell r="J23" t="str">
            <v>5401060729</v>
          </cell>
          <cell r="K23" t="str">
            <v>10</v>
          </cell>
          <cell r="M23">
            <v>-80000</v>
          </cell>
        </row>
        <row r="24">
          <cell r="J24" t="str">
            <v>5401060729</v>
          </cell>
          <cell r="K24" t="str">
            <v>10</v>
          </cell>
          <cell r="M24">
            <v>70256.100000000006</v>
          </cell>
        </row>
        <row r="25">
          <cell r="J25" t="str">
            <v>5401060729</v>
          </cell>
          <cell r="K25" t="str">
            <v>10</v>
          </cell>
          <cell r="M25">
            <v>80000</v>
          </cell>
        </row>
        <row r="26">
          <cell r="J26" t="str">
            <v>5401060727</v>
          </cell>
          <cell r="K26" t="str">
            <v>10</v>
          </cell>
          <cell r="M26">
            <v>-25000</v>
          </cell>
        </row>
        <row r="27">
          <cell r="J27" t="str">
            <v>5401060727</v>
          </cell>
          <cell r="K27" t="str">
            <v>10</v>
          </cell>
          <cell r="M27">
            <v>26318.16</v>
          </cell>
        </row>
        <row r="28">
          <cell r="J28" t="str">
            <v>5401060727</v>
          </cell>
          <cell r="K28" t="str">
            <v>10</v>
          </cell>
          <cell r="M28">
            <v>28000</v>
          </cell>
        </row>
        <row r="29">
          <cell r="J29" t="str">
            <v>5401060725</v>
          </cell>
          <cell r="K29" t="str">
            <v>10</v>
          </cell>
          <cell r="M29">
            <v>-285000</v>
          </cell>
        </row>
        <row r="30">
          <cell r="J30" t="str">
            <v>5401060725</v>
          </cell>
          <cell r="K30" t="str">
            <v>10</v>
          </cell>
          <cell r="M30">
            <v>288038.03000000003</v>
          </cell>
        </row>
        <row r="31">
          <cell r="J31" t="str">
            <v>5401060725</v>
          </cell>
          <cell r="K31" t="str">
            <v>10</v>
          </cell>
          <cell r="M31">
            <v>290000</v>
          </cell>
        </row>
        <row r="32">
          <cell r="J32" t="str">
            <v>5401095571</v>
          </cell>
          <cell r="K32" t="str">
            <v>10</v>
          </cell>
          <cell r="M32">
            <v>4492.8</v>
          </cell>
        </row>
        <row r="33">
          <cell r="J33" t="str">
            <v>5401060727</v>
          </cell>
          <cell r="K33" t="str">
            <v>10</v>
          </cell>
          <cell r="M33">
            <v>80000</v>
          </cell>
        </row>
        <row r="34">
          <cell r="J34" t="str">
            <v>5401060727</v>
          </cell>
          <cell r="K34" t="str">
            <v>10</v>
          </cell>
          <cell r="M34">
            <v>-80000</v>
          </cell>
        </row>
        <row r="35">
          <cell r="J35" t="str">
            <v>5401060727</v>
          </cell>
          <cell r="K35" t="str">
            <v>10</v>
          </cell>
          <cell r="M35">
            <v>28000</v>
          </cell>
        </row>
        <row r="36">
          <cell r="J36" t="str">
            <v>5401060729</v>
          </cell>
          <cell r="K36" t="str">
            <v>10</v>
          </cell>
          <cell r="M36">
            <v>-80000</v>
          </cell>
        </row>
        <row r="37">
          <cell r="J37" t="str">
            <v>5401060729</v>
          </cell>
          <cell r="K37" t="str">
            <v>10</v>
          </cell>
          <cell r="M37">
            <v>70528.08</v>
          </cell>
        </row>
        <row r="38">
          <cell r="J38" t="str">
            <v>5401060729</v>
          </cell>
          <cell r="K38" t="str">
            <v>10</v>
          </cell>
          <cell r="M38">
            <v>80000</v>
          </cell>
        </row>
        <row r="39">
          <cell r="J39" t="str">
            <v>5401060727</v>
          </cell>
          <cell r="K39" t="str">
            <v>10</v>
          </cell>
          <cell r="M39">
            <v>-28000</v>
          </cell>
        </row>
        <row r="40">
          <cell r="J40" t="str">
            <v>5401060727</v>
          </cell>
          <cell r="K40" t="str">
            <v>10</v>
          </cell>
          <cell r="M40">
            <v>25841.14</v>
          </cell>
        </row>
        <row r="41">
          <cell r="J41" t="str">
            <v>5401060725</v>
          </cell>
          <cell r="K41" t="str">
            <v>10</v>
          </cell>
          <cell r="M41">
            <v>-290000</v>
          </cell>
        </row>
        <row r="42">
          <cell r="J42" t="str">
            <v>5401060725</v>
          </cell>
          <cell r="K42" t="str">
            <v>10</v>
          </cell>
          <cell r="M42">
            <v>297368.27</v>
          </cell>
        </row>
        <row r="43">
          <cell r="J43" t="str">
            <v>5401060725</v>
          </cell>
          <cell r="K43" t="str">
            <v>10</v>
          </cell>
          <cell r="M43">
            <v>300000</v>
          </cell>
        </row>
        <row r="44">
          <cell r="J44" t="str">
            <v>5401060729</v>
          </cell>
          <cell r="K44" t="str">
            <v>10</v>
          </cell>
          <cell r="M44">
            <v>-80000</v>
          </cell>
        </row>
        <row r="45">
          <cell r="J45" t="str">
            <v>5401060729</v>
          </cell>
          <cell r="K45" t="str">
            <v>10</v>
          </cell>
          <cell r="M45">
            <v>66387.06</v>
          </cell>
        </row>
        <row r="46">
          <cell r="J46" t="str">
            <v>5401060729</v>
          </cell>
          <cell r="K46" t="str">
            <v>10</v>
          </cell>
          <cell r="M46">
            <v>80000</v>
          </cell>
        </row>
        <row r="47">
          <cell r="J47" t="str">
            <v>5401060727</v>
          </cell>
          <cell r="K47" t="str">
            <v>10</v>
          </cell>
          <cell r="M47">
            <v>-28000</v>
          </cell>
        </row>
        <row r="48">
          <cell r="J48" t="str">
            <v>5401060727</v>
          </cell>
          <cell r="K48" t="str">
            <v>10</v>
          </cell>
          <cell r="M48">
            <v>23683.55</v>
          </cell>
        </row>
        <row r="49">
          <cell r="J49" t="str">
            <v>5401060727</v>
          </cell>
          <cell r="K49" t="str">
            <v>10</v>
          </cell>
          <cell r="M49">
            <v>28000</v>
          </cell>
        </row>
        <row r="50">
          <cell r="J50" t="str">
            <v>5401060725</v>
          </cell>
          <cell r="K50" t="str">
            <v>10</v>
          </cell>
          <cell r="M50">
            <v>-300000</v>
          </cell>
        </row>
        <row r="51">
          <cell r="J51" t="str">
            <v>5401060725</v>
          </cell>
          <cell r="K51" t="str">
            <v>10</v>
          </cell>
          <cell r="M51">
            <v>265976.51</v>
          </cell>
        </row>
        <row r="52">
          <cell r="J52" t="str">
            <v>5401060725</v>
          </cell>
          <cell r="K52" t="str">
            <v>10</v>
          </cell>
          <cell r="M52">
            <v>275000</v>
          </cell>
        </row>
        <row r="53">
          <cell r="J53" t="str">
            <v>5401060725</v>
          </cell>
          <cell r="K53" t="str">
            <v>10</v>
          </cell>
          <cell r="M53">
            <v>-275000</v>
          </cell>
        </row>
        <row r="54">
          <cell r="J54" t="str">
            <v>5401060725</v>
          </cell>
          <cell r="K54" t="str">
            <v>10</v>
          </cell>
          <cell r="M54">
            <v>275000</v>
          </cell>
        </row>
        <row r="55">
          <cell r="J55" t="str">
            <v>5401060725</v>
          </cell>
          <cell r="K55" t="str">
            <v>10</v>
          </cell>
          <cell r="M55">
            <v>-265976.51</v>
          </cell>
        </row>
        <row r="56">
          <cell r="J56" t="str">
            <v>5401060725</v>
          </cell>
          <cell r="K56" t="str">
            <v>10</v>
          </cell>
          <cell r="M56">
            <v>265968.08</v>
          </cell>
        </row>
        <row r="57">
          <cell r="J57" t="str">
            <v>5401060729</v>
          </cell>
          <cell r="K57" t="str">
            <v>10</v>
          </cell>
          <cell r="M57">
            <v>-80000</v>
          </cell>
        </row>
        <row r="58">
          <cell r="J58" t="str">
            <v>5401060727</v>
          </cell>
          <cell r="K58" t="str">
            <v>10</v>
          </cell>
          <cell r="M58">
            <v>-28000</v>
          </cell>
        </row>
        <row r="59">
          <cell r="J59" t="str">
            <v>5401060727</v>
          </cell>
          <cell r="K59" t="str">
            <v>10</v>
          </cell>
          <cell r="M59">
            <v>26071.37</v>
          </cell>
        </row>
        <row r="60">
          <cell r="J60" t="str">
            <v>5401060727</v>
          </cell>
          <cell r="K60" t="str">
            <v>10</v>
          </cell>
          <cell r="M60">
            <v>28000</v>
          </cell>
        </row>
        <row r="61">
          <cell r="J61" t="str">
            <v>5401060725</v>
          </cell>
          <cell r="K61" t="str">
            <v>10</v>
          </cell>
          <cell r="M61">
            <v>-275000</v>
          </cell>
        </row>
        <row r="62">
          <cell r="J62" t="str">
            <v>5401060725</v>
          </cell>
          <cell r="K62" t="str">
            <v>10</v>
          </cell>
          <cell r="M62">
            <v>282450.39</v>
          </cell>
        </row>
        <row r="63">
          <cell r="J63" t="str">
            <v>5401060725</v>
          </cell>
          <cell r="K63" t="str">
            <v>10</v>
          </cell>
          <cell r="M63">
            <v>285000</v>
          </cell>
        </row>
        <row r="64">
          <cell r="J64" t="str">
            <v>5401105308</v>
          </cell>
          <cell r="K64" t="str">
            <v>10</v>
          </cell>
          <cell r="M64">
            <v>560</v>
          </cell>
        </row>
        <row r="65">
          <cell r="J65" t="str">
            <v>5401107565</v>
          </cell>
          <cell r="K65" t="str">
            <v>10</v>
          </cell>
          <cell r="M65">
            <v>954.72</v>
          </cell>
        </row>
        <row r="66">
          <cell r="J66" t="str">
            <v>5401108482</v>
          </cell>
          <cell r="K66" t="str">
            <v>10</v>
          </cell>
          <cell r="M66">
            <v>56</v>
          </cell>
        </row>
        <row r="67">
          <cell r="J67" t="str">
            <v>5401060727</v>
          </cell>
          <cell r="K67" t="str">
            <v>10</v>
          </cell>
          <cell r="M67">
            <v>-28000</v>
          </cell>
        </row>
        <row r="68">
          <cell r="J68" t="str">
            <v>5401060727</v>
          </cell>
          <cell r="K68" t="str">
            <v>10</v>
          </cell>
          <cell r="M68">
            <v>24790.09</v>
          </cell>
        </row>
        <row r="69">
          <cell r="J69" t="str">
            <v>5401060725</v>
          </cell>
          <cell r="K69" t="str">
            <v>10</v>
          </cell>
          <cell r="M69">
            <v>-285000</v>
          </cell>
        </row>
        <row r="70">
          <cell r="J70" t="str">
            <v>5401060725</v>
          </cell>
          <cell r="K70" t="str">
            <v>10</v>
          </cell>
          <cell r="M70">
            <v>285309.17</v>
          </cell>
        </row>
        <row r="71">
          <cell r="J71" t="str">
            <v>5401060725</v>
          </cell>
          <cell r="K71" t="str">
            <v>10</v>
          </cell>
          <cell r="M71">
            <v>285000</v>
          </cell>
        </row>
        <row r="72">
          <cell r="J72" t="str">
            <v>5401060727</v>
          </cell>
          <cell r="K72" t="str">
            <v>10</v>
          </cell>
          <cell r="M72">
            <v>26000</v>
          </cell>
        </row>
        <row r="73">
          <cell r="J73" t="str">
            <v>5401060725</v>
          </cell>
          <cell r="K73" t="str">
            <v>10</v>
          </cell>
          <cell r="M73">
            <v>-285309.17</v>
          </cell>
        </row>
        <row r="74">
          <cell r="J74" t="str">
            <v>5401060725</v>
          </cell>
          <cell r="K74" t="str">
            <v>10</v>
          </cell>
          <cell r="M74">
            <v>260519.08</v>
          </cell>
        </row>
        <row r="75">
          <cell r="J75" t="str">
            <v>5401060727</v>
          </cell>
          <cell r="K75" t="str">
            <v>10</v>
          </cell>
          <cell r="M75">
            <v>-26000</v>
          </cell>
        </row>
        <row r="76">
          <cell r="J76" t="str">
            <v>5401060727</v>
          </cell>
          <cell r="K76" t="str">
            <v>10</v>
          </cell>
          <cell r="M76">
            <v>23345.360000000001</v>
          </cell>
        </row>
        <row r="77">
          <cell r="J77" t="str">
            <v>5401060727</v>
          </cell>
          <cell r="K77" t="str">
            <v>10</v>
          </cell>
          <cell r="M77">
            <v>25000</v>
          </cell>
        </row>
        <row r="78">
          <cell r="J78" t="str">
            <v>5401060725</v>
          </cell>
          <cell r="K78" t="str">
            <v>10</v>
          </cell>
          <cell r="M78">
            <v>-285000</v>
          </cell>
        </row>
        <row r="79">
          <cell r="J79" t="str">
            <v>5401060725</v>
          </cell>
          <cell r="K79" t="str">
            <v>10</v>
          </cell>
          <cell r="M79">
            <v>255518.85</v>
          </cell>
        </row>
        <row r="80">
          <cell r="J80" t="str">
            <v>5401060725</v>
          </cell>
          <cell r="K80" t="str">
            <v>10</v>
          </cell>
          <cell r="M80">
            <v>270000</v>
          </cell>
        </row>
        <row r="81">
          <cell r="J81" t="str">
            <v>#</v>
          </cell>
          <cell r="K81" t="str">
            <v>#</v>
          </cell>
          <cell r="M81">
            <v>236111.25</v>
          </cell>
        </row>
        <row r="82">
          <cell r="J82" t="str">
            <v>#</v>
          </cell>
          <cell r="K82" t="str">
            <v>#</v>
          </cell>
          <cell r="M82">
            <v>36000</v>
          </cell>
        </row>
        <row r="83">
          <cell r="J83" t="str">
            <v>#</v>
          </cell>
          <cell r="K83" t="str">
            <v>#</v>
          </cell>
          <cell r="M83">
            <v>194891</v>
          </cell>
        </row>
        <row r="84">
          <cell r="J84" t="str">
            <v>#</v>
          </cell>
          <cell r="K84" t="str">
            <v>#</v>
          </cell>
          <cell r="M84">
            <v>12447.94</v>
          </cell>
        </row>
        <row r="85">
          <cell r="J85" t="str">
            <v>#</v>
          </cell>
          <cell r="K85" t="str">
            <v>#</v>
          </cell>
          <cell r="M85">
            <v>14795</v>
          </cell>
        </row>
        <row r="86">
          <cell r="J86" t="str">
            <v>#</v>
          </cell>
          <cell r="K86" t="str">
            <v>#</v>
          </cell>
          <cell r="M86">
            <v>-4492.8</v>
          </cell>
        </row>
        <row r="87">
          <cell r="J87" t="str">
            <v>#</v>
          </cell>
          <cell r="K87" t="str">
            <v>#</v>
          </cell>
          <cell r="M87">
            <v>194892</v>
          </cell>
        </row>
        <row r="88">
          <cell r="J88" t="str">
            <v>#</v>
          </cell>
          <cell r="K88" t="str">
            <v>#</v>
          </cell>
          <cell r="M88">
            <v>2567976</v>
          </cell>
        </row>
        <row r="89">
          <cell r="J89" t="str">
            <v>#</v>
          </cell>
          <cell r="K89" t="str">
            <v>#</v>
          </cell>
          <cell r="M89">
            <v>100830</v>
          </cell>
        </row>
        <row r="90">
          <cell r="J90" t="str">
            <v>#</v>
          </cell>
          <cell r="K90" t="str">
            <v>#</v>
          </cell>
          <cell r="M90">
            <v>14796</v>
          </cell>
        </row>
        <row r="91">
          <cell r="J91" t="str">
            <v>#</v>
          </cell>
          <cell r="K91" t="str">
            <v>#</v>
          </cell>
          <cell r="M91">
            <v>252498</v>
          </cell>
        </row>
        <row r="92">
          <cell r="J92" t="str">
            <v>#</v>
          </cell>
          <cell r="K92" t="str">
            <v>#</v>
          </cell>
          <cell r="M92">
            <v>39102</v>
          </cell>
        </row>
        <row r="93">
          <cell r="J93" t="str">
            <v>#</v>
          </cell>
          <cell r="K93" t="str">
            <v>#</v>
          </cell>
          <cell r="M93">
            <v>13872</v>
          </cell>
        </row>
        <row r="94">
          <cell r="J94" t="str">
            <v>#</v>
          </cell>
          <cell r="K94" t="str">
            <v>#</v>
          </cell>
          <cell r="M94">
            <v>-323631.03000000003</v>
          </cell>
        </row>
        <row r="95">
          <cell r="J95" t="str">
            <v>#</v>
          </cell>
          <cell r="K95" t="str">
            <v>#</v>
          </cell>
          <cell r="M95">
            <v>-36000</v>
          </cell>
        </row>
        <row r="96">
          <cell r="J96" t="str">
            <v>#</v>
          </cell>
          <cell r="K96" t="str">
            <v>#</v>
          </cell>
          <cell r="M96">
            <v>-194891</v>
          </cell>
        </row>
        <row r="97">
          <cell r="J97" t="str">
            <v>#</v>
          </cell>
          <cell r="K97" t="str">
            <v>#</v>
          </cell>
          <cell r="M97">
            <v>-12447.94</v>
          </cell>
        </row>
        <row r="98">
          <cell r="J98" t="str">
            <v>#</v>
          </cell>
          <cell r="K98" t="str">
            <v>#</v>
          </cell>
          <cell r="M98">
            <v>-24180.2</v>
          </cell>
        </row>
        <row r="99">
          <cell r="J99" t="str">
            <v>#</v>
          </cell>
          <cell r="K99" t="str">
            <v>#</v>
          </cell>
          <cell r="M99">
            <v>-194892</v>
          </cell>
        </row>
        <row r="100">
          <cell r="J100" t="str">
            <v>#</v>
          </cell>
          <cell r="K100" t="str">
            <v>#</v>
          </cell>
          <cell r="M100">
            <v>-14796</v>
          </cell>
        </row>
        <row r="101">
          <cell r="J101" t="str">
            <v>#</v>
          </cell>
          <cell r="K101" t="str">
            <v>#</v>
          </cell>
          <cell r="M101">
            <v>-13872</v>
          </cell>
        </row>
        <row r="102">
          <cell r="J102" t="str">
            <v>#</v>
          </cell>
          <cell r="K102" t="str">
            <v>#</v>
          </cell>
          <cell r="M102">
            <v>-70528.08</v>
          </cell>
        </row>
        <row r="103">
          <cell r="J103" t="str">
            <v>#</v>
          </cell>
          <cell r="K103" t="str">
            <v>#</v>
          </cell>
          <cell r="M103">
            <v>-66387.06</v>
          </cell>
        </row>
        <row r="104">
          <cell r="J104" t="str">
            <v>#</v>
          </cell>
          <cell r="K104" t="str">
            <v>#</v>
          </cell>
          <cell r="M104">
            <v>9743.9</v>
          </cell>
        </row>
        <row r="105">
          <cell r="J105" t="str">
            <v>5401087930</v>
          </cell>
          <cell r="K105" t="str">
            <v>10</v>
          </cell>
          <cell r="M105">
            <v>12870.46</v>
          </cell>
        </row>
        <row r="106">
          <cell r="J106" t="str">
            <v>5401087908</v>
          </cell>
          <cell r="K106" t="str">
            <v>10</v>
          </cell>
          <cell r="M106">
            <v>10290</v>
          </cell>
        </row>
        <row r="107">
          <cell r="J107" t="str">
            <v>5401087930</v>
          </cell>
          <cell r="K107" t="str">
            <v>10</v>
          </cell>
          <cell r="M107">
            <v>12894.86</v>
          </cell>
        </row>
        <row r="108">
          <cell r="J108" t="str">
            <v>5401087908</v>
          </cell>
          <cell r="K108" t="str">
            <v>10</v>
          </cell>
          <cell r="M108">
            <v>10290</v>
          </cell>
        </row>
        <row r="109">
          <cell r="J109" t="str">
            <v>5401087908</v>
          </cell>
          <cell r="K109" t="str">
            <v>10</v>
          </cell>
          <cell r="M109">
            <v>10290</v>
          </cell>
        </row>
        <row r="110">
          <cell r="J110" t="str">
            <v>5401087930</v>
          </cell>
          <cell r="K110" t="str">
            <v>10</v>
          </cell>
          <cell r="M110">
            <v>12697.84</v>
          </cell>
        </row>
        <row r="111">
          <cell r="J111" t="str">
            <v>5401087930</v>
          </cell>
          <cell r="K111" t="str">
            <v>10</v>
          </cell>
          <cell r="M111">
            <v>12741.76</v>
          </cell>
        </row>
        <row r="112">
          <cell r="J112" t="str">
            <v>5401087908</v>
          </cell>
          <cell r="K112" t="str">
            <v>10</v>
          </cell>
          <cell r="M112">
            <v>10290</v>
          </cell>
        </row>
        <row r="113">
          <cell r="J113" t="str">
            <v>5401087930</v>
          </cell>
          <cell r="K113" t="str">
            <v>10</v>
          </cell>
          <cell r="M113">
            <v>12827.16</v>
          </cell>
        </row>
        <row r="114">
          <cell r="J114" t="str">
            <v>5401087908</v>
          </cell>
          <cell r="K114" t="str">
            <v>10</v>
          </cell>
          <cell r="M114">
            <v>10290</v>
          </cell>
        </row>
        <row r="115">
          <cell r="J115" t="str">
            <v>5401087908</v>
          </cell>
          <cell r="K115" t="str">
            <v>10</v>
          </cell>
          <cell r="M115">
            <v>10290</v>
          </cell>
        </row>
        <row r="116">
          <cell r="J116" t="str">
            <v>5401087930</v>
          </cell>
          <cell r="K116" t="str">
            <v>10</v>
          </cell>
          <cell r="M116">
            <v>12392.86</v>
          </cell>
        </row>
        <row r="117">
          <cell r="J117" t="str">
            <v>5401087922</v>
          </cell>
          <cell r="K117" t="str">
            <v>10</v>
          </cell>
          <cell r="M117">
            <v>220862.4</v>
          </cell>
        </row>
        <row r="118">
          <cell r="J118" t="str">
            <v>5401087922</v>
          </cell>
          <cell r="K118" t="str">
            <v>10</v>
          </cell>
          <cell r="M118">
            <v>2066</v>
          </cell>
        </row>
        <row r="119">
          <cell r="J119" t="str">
            <v>5401087922</v>
          </cell>
          <cell r="K119" t="str">
            <v>10</v>
          </cell>
          <cell r="M119">
            <v>52874</v>
          </cell>
        </row>
        <row r="120">
          <cell r="J120" t="str">
            <v>5401087922</v>
          </cell>
          <cell r="K120" t="str">
            <v>10</v>
          </cell>
          <cell r="M120">
            <v>431</v>
          </cell>
        </row>
        <row r="121">
          <cell r="J121" t="str">
            <v>5401087922</v>
          </cell>
          <cell r="K121" t="str">
            <v>10</v>
          </cell>
          <cell r="M121">
            <v>2462</v>
          </cell>
        </row>
        <row r="122">
          <cell r="J122" t="str">
            <v>5401087922</v>
          </cell>
          <cell r="K122" t="str">
            <v>10</v>
          </cell>
          <cell r="M122">
            <v>23</v>
          </cell>
        </row>
        <row r="123">
          <cell r="J123" t="str">
            <v>5401087923</v>
          </cell>
          <cell r="K123" t="str">
            <v>10</v>
          </cell>
          <cell r="M123">
            <v>44906.52</v>
          </cell>
        </row>
        <row r="124">
          <cell r="J124" t="str">
            <v>5401087923</v>
          </cell>
          <cell r="K124" t="str">
            <v>10</v>
          </cell>
          <cell r="M124">
            <v>429</v>
          </cell>
        </row>
        <row r="125">
          <cell r="J125" t="str">
            <v>5401087923</v>
          </cell>
          <cell r="K125" t="str">
            <v>10</v>
          </cell>
          <cell r="M125">
            <v>456.3</v>
          </cell>
        </row>
        <row r="126">
          <cell r="J126" t="str">
            <v>5401087924</v>
          </cell>
          <cell r="K126" t="str">
            <v>10</v>
          </cell>
          <cell r="M126">
            <v>33138.99</v>
          </cell>
        </row>
        <row r="127">
          <cell r="J127" t="str">
            <v>5401087924</v>
          </cell>
          <cell r="K127" t="str">
            <v>10</v>
          </cell>
          <cell r="M127">
            <v>294</v>
          </cell>
        </row>
        <row r="128">
          <cell r="J128" t="str">
            <v>5401087924</v>
          </cell>
          <cell r="K128" t="str">
            <v>10</v>
          </cell>
          <cell r="M128">
            <v>4580</v>
          </cell>
        </row>
        <row r="129">
          <cell r="J129" t="str">
            <v>5401087924</v>
          </cell>
          <cell r="K129" t="str">
            <v>10</v>
          </cell>
          <cell r="M129">
            <v>42</v>
          </cell>
        </row>
        <row r="130">
          <cell r="J130" t="str">
            <v>5401087924</v>
          </cell>
          <cell r="K130" t="str">
            <v>10</v>
          </cell>
          <cell r="M130">
            <v>42462.01</v>
          </cell>
        </row>
        <row r="131">
          <cell r="J131" t="str">
            <v>5401087924</v>
          </cell>
          <cell r="K131" t="str">
            <v>10</v>
          </cell>
          <cell r="M131">
            <v>388</v>
          </cell>
        </row>
        <row r="132">
          <cell r="J132" t="str">
            <v>5401087927</v>
          </cell>
          <cell r="K132" t="str">
            <v>10</v>
          </cell>
          <cell r="M132">
            <v>2242</v>
          </cell>
        </row>
        <row r="133">
          <cell r="J133" t="str">
            <v>5401087927</v>
          </cell>
          <cell r="K133" t="str">
            <v>10</v>
          </cell>
          <cell r="M133">
            <v>20</v>
          </cell>
        </row>
        <row r="134">
          <cell r="J134" t="str">
            <v>5401087928</v>
          </cell>
          <cell r="K134" t="str">
            <v>10</v>
          </cell>
          <cell r="M134">
            <v>21178</v>
          </cell>
        </row>
        <row r="135">
          <cell r="J135" t="str">
            <v>5401087928</v>
          </cell>
          <cell r="K135" t="str">
            <v>10</v>
          </cell>
          <cell r="M135">
            <v>204</v>
          </cell>
        </row>
        <row r="136">
          <cell r="J136" t="str">
            <v>5401087928</v>
          </cell>
          <cell r="K136" t="str">
            <v>10</v>
          </cell>
          <cell r="M136">
            <v>1381</v>
          </cell>
        </row>
        <row r="137">
          <cell r="J137" t="str">
            <v>5401087928</v>
          </cell>
          <cell r="K137" t="str">
            <v>10</v>
          </cell>
          <cell r="M137">
            <v>13</v>
          </cell>
        </row>
        <row r="138">
          <cell r="J138" t="str">
            <v>5401087929</v>
          </cell>
          <cell r="K138" t="str">
            <v>10</v>
          </cell>
          <cell r="M138">
            <v>1703.15</v>
          </cell>
        </row>
        <row r="139">
          <cell r="J139" t="str">
            <v>5401087929</v>
          </cell>
          <cell r="K139" t="str">
            <v>10</v>
          </cell>
          <cell r="M139">
            <v>25</v>
          </cell>
        </row>
        <row r="140">
          <cell r="J140" t="str">
            <v>5401023597</v>
          </cell>
          <cell r="K140" t="str">
            <v>10</v>
          </cell>
          <cell r="M140">
            <v>58</v>
          </cell>
        </row>
        <row r="141">
          <cell r="J141" t="str">
            <v>5401059853</v>
          </cell>
          <cell r="K141" t="str">
            <v>10</v>
          </cell>
          <cell r="M141">
            <v>6937.5</v>
          </cell>
        </row>
        <row r="142">
          <cell r="J142" t="str">
            <v>5401059853</v>
          </cell>
          <cell r="K142" t="str">
            <v>10</v>
          </cell>
          <cell r="M142">
            <v>63</v>
          </cell>
        </row>
        <row r="143">
          <cell r="J143" t="str">
            <v>5401077845</v>
          </cell>
          <cell r="K143" t="str">
            <v>10</v>
          </cell>
          <cell r="M143">
            <v>17098.62</v>
          </cell>
        </row>
        <row r="144">
          <cell r="J144" t="str">
            <v>5401087922</v>
          </cell>
          <cell r="K144" t="str">
            <v>10</v>
          </cell>
          <cell r="M144">
            <v>227886.29</v>
          </cell>
        </row>
        <row r="145">
          <cell r="J145" t="str">
            <v>5401087922</v>
          </cell>
          <cell r="K145" t="str">
            <v>10</v>
          </cell>
          <cell r="M145">
            <v>2066</v>
          </cell>
        </row>
        <row r="146">
          <cell r="J146" t="str">
            <v>5401087922</v>
          </cell>
          <cell r="K146" t="str">
            <v>10</v>
          </cell>
          <cell r="M146">
            <v>52874</v>
          </cell>
        </row>
        <row r="147">
          <cell r="J147" t="str">
            <v>5401087922</v>
          </cell>
          <cell r="K147" t="str">
            <v>10</v>
          </cell>
          <cell r="M147">
            <v>431</v>
          </cell>
        </row>
        <row r="148">
          <cell r="J148" t="str">
            <v>5401087922</v>
          </cell>
          <cell r="K148" t="str">
            <v>10</v>
          </cell>
          <cell r="M148">
            <v>2462</v>
          </cell>
        </row>
        <row r="149">
          <cell r="J149" t="str">
            <v>5401087922</v>
          </cell>
          <cell r="K149" t="str">
            <v>10</v>
          </cell>
          <cell r="M149">
            <v>23</v>
          </cell>
        </row>
        <row r="150">
          <cell r="J150" t="str">
            <v>5401087923</v>
          </cell>
          <cell r="K150" t="str">
            <v>10</v>
          </cell>
          <cell r="M150">
            <v>44906.52</v>
          </cell>
        </row>
        <row r="151">
          <cell r="J151" t="str">
            <v>5401087923</v>
          </cell>
          <cell r="K151" t="str">
            <v>10</v>
          </cell>
          <cell r="M151">
            <v>429</v>
          </cell>
        </row>
        <row r="152">
          <cell r="J152" t="str">
            <v>5401087923</v>
          </cell>
          <cell r="K152" t="str">
            <v>10</v>
          </cell>
          <cell r="M152">
            <v>456.3</v>
          </cell>
        </row>
        <row r="153">
          <cell r="J153" t="str">
            <v>5401087924</v>
          </cell>
          <cell r="K153" t="str">
            <v>10</v>
          </cell>
          <cell r="M153">
            <v>33138.99</v>
          </cell>
        </row>
        <row r="154">
          <cell r="J154" t="str">
            <v>5401087924</v>
          </cell>
          <cell r="K154" t="str">
            <v>10</v>
          </cell>
          <cell r="M154">
            <v>294</v>
          </cell>
        </row>
        <row r="155">
          <cell r="J155" t="str">
            <v>5401087924</v>
          </cell>
          <cell r="K155" t="str">
            <v>10</v>
          </cell>
          <cell r="M155">
            <v>4580</v>
          </cell>
        </row>
        <row r="156">
          <cell r="J156" t="str">
            <v>5401087924</v>
          </cell>
          <cell r="K156" t="str">
            <v>10</v>
          </cell>
          <cell r="M156">
            <v>42</v>
          </cell>
        </row>
        <row r="157">
          <cell r="J157" t="str">
            <v>5401087924</v>
          </cell>
          <cell r="K157" t="str">
            <v>10</v>
          </cell>
          <cell r="M157">
            <v>42462.01</v>
          </cell>
        </row>
        <row r="158">
          <cell r="J158" t="str">
            <v>5401087924</v>
          </cell>
          <cell r="K158" t="str">
            <v>10</v>
          </cell>
          <cell r="M158">
            <v>388</v>
          </cell>
        </row>
        <row r="159">
          <cell r="J159" t="str">
            <v>5401087928</v>
          </cell>
          <cell r="K159" t="str">
            <v>10</v>
          </cell>
          <cell r="M159">
            <v>21178</v>
          </cell>
        </row>
        <row r="160">
          <cell r="J160" t="str">
            <v>5401087928</v>
          </cell>
          <cell r="K160" t="str">
            <v>10</v>
          </cell>
          <cell r="M160">
            <v>204</v>
          </cell>
        </row>
        <row r="161">
          <cell r="J161" t="str">
            <v>5401087928</v>
          </cell>
          <cell r="K161" t="str">
            <v>10</v>
          </cell>
          <cell r="M161">
            <v>1381</v>
          </cell>
        </row>
        <row r="162">
          <cell r="J162" t="str">
            <v>5401087928</v>
          </cell>
          <cell r="K162" t="str">
            <v>10</v>
          </cell>
          <cell r="M162">
            <v>13</v>
          </cell>
        </row>
        <row r="163">
          <cell r="J163" t="str">
            <v>5401087927</v>
          </cell>
          <cell r="K163" t="str">
            <v>10</v>
          </cell>
          <cell r="M163">
            <v>2242</v>
          </cell>
        </row>
        <row r="164">
          <cell r="J164" t="str">
            <v>5401087927</v>
          </cell>
          <cell r="K164" t="str">
            <v>10</v>
          </cell>
          <cell r="M164">
            <v>20</v>
          </cell>
        </row>
        <row r="165">
          <cell r="J165" t="str">
            <v>5401087929</v>
          </cell>
          <cell r="K165" t="str">
            <v>10</v>
          </cell>
          <cell r="M165">
            <v>1703.15</v>
          </cell>
        </row>
        <row r="166">
          <cell r="J166" t="str">
            <v>5401087929</v>
          </cell>
          <cell r="K166" t="str">
            <v>10</v>
          </cell>
          <cell r="M166">
            <v>25</v>
          </cell>
        </row>
        <row r="167">
          <cell r="J167" t="str">
            <v>5401077845</v>
          </cell>
          <cell r="K167" t="str">
            <v>10</v>
          </cell>
          <cell r="M167">
            <v>183</v>
          </cell>
        </row>
        <row r="168">
          <cell r="J168" t="str">
            <v>5401087929</v>
          </cell>
          <cell r="K168" t="str">
            <v>10</v>
          </cell>
          <cell r="M168">
            <v>10</v>
          </cell>
        </row>
        <row r="169">
          <cell r="J169" t="str">
            <v>5401087922</v>
          </cell>
          <cell r="K169" t="str">
            <v>10</v>
          </cell>
          <cell r="M169">
            <v>2462</v>
          </cell>
        </row>
        <row r="170">
          <cell r="J170" t="str">
            <v>5401087922</v>
          </cell>
          <cell r="K170" t="str">
            <v>10</v>
          </cell>
          <cell r="M170">
            <v>23</v>
          </cell>
        </row>
        <row r="171">
          <cell r="J171" t="str">
            <v>5401087924</v>
          </cell>
          <cell r="K171" t="str">
            <v>10</v>
          </cell>
          <cell r="M171">
            <v>8437</v>
          </cell>
        </row>
        <row r="172">
          <cell r="J172" t="str">
            <v>5401087924</v>
          </cell>
          <cell r="K172" t="str">
            <v>10</v>
          </cell>
          <cell r="M172">
            <v>77</v>
          </cell>
        </row>
        <row r="173">
          <cell r="J173" t="str">
            <v>5401087923</v>
          </cell>
          <cell r="K173" t="str">
            <v>10</v>
          </cell>
          <cell r="M173">
            <v>44906.52</v>
          </cell>
        </row>
        <row r="174">
          <cell r="J174" t="str">
            <v>5401087923</v>
          </cell>
          <cell r="K174" t="str">
            <v>10</v>
          </cell>
          <cell r="M174">
            <v>429</v>
          </cell>
        </row>
        <row r="175">
          <cell r="J175" t="str">
            <v>5401087927</v>
          </cell>
          <cell r="K175" t="str">
            <v>10</v>
          </cell>
          <cell r="M175">
            <v>2242</v>
          </cell>
        </row>
        <row r="176">
          <cell r="J176" t="str">
            <v>5401087927</v>
          </cell>
          <cell r="K176" t="str">
            <v>10</v>
          </cell>
          <cell r="M176">
            <v>20</v>
          </cell>
        </row>
        <row r="177">
          <cell r="J177" t="str">
            <v>5401087923</v>
          </cell>
          <cell r="K177" t="str">
            <v>10</v>
          </cell>
          <cell r="M177">
            <v>456.3</v>
          </cell>
        </row>
        <row r="178">
          <cell r="J178" t="str">
            <v>5401098578</v>
          </cell>
          <cell r="K178" t="str">
            <v>10</v>
          </cell>
          <cell r="M178">
            <v>33090</v>
          </cell>
        </row>
        <row r="179">
          <cell r="J179" t="str">
            <v>5401098578</v>
          </cell>
          <cell r="K179" t="str">
            <v>10</v>
          </cell>
          <cell r="M179">
            <v>251</v>
          </cell>
        </row>
        <row r="180">
          <cell r="J180" t="str">
            <v>5401087928</v>
          </cell>
          <cell r="K180" t="str">
            <v>10</v>
          </cell>
          <cell r="M180">
            <v>1381</v>
          </cell>
        </row>
        <row r="181">
          <cell r="J181" t="str">
            <v>5401087928</v>
          </cell>
          <cell r="K181" t="str">
            <v>10</v>
          </cell>
          <cell r="M181">
            <v>13</v>
          </cell>
        </row>
        <row r="182">
          <cell r="J182" t="str">
            <v>5401087924</v>
          </cell>
          <cell r="K182" t="str">
            <v>10</v>
          </cell>
          <cell r="M182">
            <v>42462.01</v>
          </cell>
        </row>
        <row r="183">
          <cell r="J183" t="str">
            <v>5401087924</v>
          </cell>
          <cell r="K183" t="str">
            <v>10</v>
          </cell>
          <cell r="M183">
            <v>388</v>
          </cell>
        </row>
        <row r="184">
          <cell r="J184" t="str">
            <v>5401087924</v>
          </cell>
          <cell r="K184" t="str">
            <v>10</v>
          </cell>
          <cell r="M184">
            <v>4580</v>
          </cell>
        </row>
        <row r="185">
          <cell r="J185" t="str">
            <v>5401087924</v>
          </cell>
          <cell r="K185" t="str">
            <v>10</v>
          </cell>
          <cell r="M185">
            <v>42</v>
          </cell>
        </row>
        <row r="186">
          <cell r="J186" t="str">
            <v>5401087928</v>
          </cell>
          <cell r="K186" t="str">
            <v>10</v>
          </cell>
          <cell r="M186">
            <v>21178</v>
          </cell>
        </row>
        <row r="187">
          <cell r="J187" t="str">
            <v>5401087928</v>
          </cell>
          <cell r="K187" t="str">
            <v>10</v>
          </cell>
          <cell r="M187">
            <v>204</v>
          </cell>
        </row>
        <row r="188">
          <cell r="J188" t="str">
            <v>5401087922</v>
          </cell>
          <cell r="K188" t="str">
            <v>10</v>
          </cell>
          <cell r="M188">
            <v>44617.33</v>
          </cell>
        </row>
        <row r="189">
          <cell r="J189" t="str">
            <v>5401087922</v>
          </cell>
          <cell r="K189" t="str">
            <v>10</v>
          </cell>
          <cell r="M189">
            <v>431</v>
          </cell>
        </row>
        <row r="190">
          <cell r="J190" t="str">
            <v>5401087922</v>
          </cell>
          <cell r="K190" t="str">
            <v>10</v>
          </cell>
          <cell r="M190">
            <v>227886.29</v>
          </cell>
        </row>
        <row r="191">
          <cell r="J191" t="str">
            <v>5401087922</v>
          </cell>
          <cell r="K191" t="str">
            <v>10</v>
          </cell>
          <cell r="M191">
            <v>2066</v>
          </cell>
        </row>
        <row r="192">
          <cell r="J192" t="str">
            <v>5401087929</v>
          </cell>
          <cell r="K192" t="str">
            <v>10</v>
          </cell>
          <cell r="M192">
            <v>1703.15</v>
          </cell>
        </row>
        <row r="193">
          <cell r="J193" t="str">
            <v>5401087929</v>
          </cell>
          <cell r="K193" t="str">
            <v>10</v>
          </cell>
          <cell r="M193">
            <v>10</v>
          </cell>
        </row>
        <row r="194">
          <cell r="J194" t="str">
            <v>5401087925</v>
          </cell>
          <cell r="K194" t="str">
            <v>10</v>
          </cell>
          <cell r="M194">
            <v>2862.97</v>
          </cell>
        </row>
        <row r="195">
          <cell r="J195" t="str">
            <v>5401087922</v>
          </cell>
          <cell r="K195" t="str">
            <v>10</v>
          </cell>
          <cell r="M195">
            <v>227515.97</v>
          </cell>
        </row>
        <row r="196">
          <cell r="J196" t="str">
            <v>5401087922</v>
          </cell>
          <cell r="K196" t="str">
            <v>10</v>
          </cell>
          <cell r="M196">
            <v>49264.97</v>
          </cell>
        </row>
        <row r="197">
          <cell r="J197" t="str">
            <v>5401087922</v>
          </cell>
          <cell r="K197" t="str">
            <v>10</v>
          </cell>
          <cell r="M197">
            <v>2462</v>
          </cell>
        </row>
        <row r="198">
          <cell r="J198" t="str">
            <v>5401087923</v>
          </cell>
          <cell r="K198" t="str">
            <v>10</v>
          </cell>
          <cell r="M198">
            <v>44906.52</v>
          </cell>
        </row>
        <row r="199">
          <cell r="J199" t="str">
            <v>5401087923</v>
          </cell>
          <cell r="K199" t="str">
            <v>10</v>
          </cell>
          <cell r="M199">
            <v>456.3</v>
          </cell>
        </row>
        <row r="200">
          <cell r="J200" t="str">
            <v>5401087924</v>
          </cell>
          <cell r="K200" t="str">
            <v>10</v>
          </cell>
          <cell r="M200">
            <v>8437</v>
          </cell>
        </row>
        <row r="201">
          <cell r="J201" t="str">
            <v>5401087924</v>
          </cell>
          <cell r="K201" t="str">
            <v>10</v>
          </cell>
          <cell r="M201">
            <v>4580</v>
          </cell>
        </row>
        <row r="202">
          <cell r="J202" t="str">
            <v>5401087924</v>
          </cell>
          <cell r="K202" t="str">
            <v>10</v>
          </cell>
          <cell r="M202">
            <v>42462.01</v>
          </cell>
        </row>
        <row r="203">
          <cell r="J203" t="str">
            <v>5401098578</v>
          </cell>
          <cell r="K203" t="str">
            <v>10</v>
          </cell>
          <cell r="M203">
            <v>27404</v>
          </cell>
        </row>
        <row r="204">
          <cell r="J204" t="str">
            <v>5401087927</v>
          </cell>
          <cell r="K204" t="str">
            <v>10</v>
          </cell>
          <cell r="M204">
            <v>2242</v>
          </cell>
        </row>
        <row r="205">
          <cell r="J205" t="str">
            <v>5401087928</v>
          </cell>
          <cell r="K205" t="str">
            <v>10</v>
          </cell>
          <cell r="M205">
            <v>21178</v>
          </cell>
        </row>
        <row r="206">
          <cell r="J206" t="str">
            <v>5401087928</v>
          </cell>
          <cell r="K206" t="str">
            <v>10</v>
          </cell>
          <cell r="M206">
            <v>1381</v>
          </cell>
        </row>
        <row r="207">
          <cell r="J207" t="str">
            <v>5401087929</v>
          </cell>
          <cell r="K207" t="str">
            <v>10</v>
          </cell>
          <cell r="M207">
            <v>1703.15</v>
          </cell>
        </row>
        <row r="208">
          <cell r="J208" t="str">
            <v>5401087922</v>
          </cell>
          <cell r="K208" t="str">
            <v>10</v>
          </cell>
          <cell r="M208">
            <v>227820.72</v>
          </cell>
        </row>
        <row r="209">
          <cell r="J209" t="str">
            <v>5401087922</v>
          </cell>
          <cell r="K209" t="str">
            <v>10</v>
          </cell>
          <cell r="M209">
            <v>43171.97</v>
          </cell>
        </row>
        <row r="210">
          <cell r="J210" t="str">
            <v>5401087922</v>
          </cell>
          <cell r="K210" t="str">
            <v>10</v>
          </cell>
          <cell r="M210">
            <v>2462</v>
          </cell>
        </row>
        <row r="211">
          <cell r="J211" t="str">
            <v>5401087923</v>
          </cell>
          <cell r="K211" t="str">
            <v>10</v>
          </cell>
          <cell r="M211">
            <v>44508.52</v>
          </cell>
        </row>
        <row r="212">
          <cell r="J212" t="str">
            <v>5401087923</v>
          </cell>
          <cell r="K212" t="str">
            <v>10</v>
          </cell>
          <cell r="M212">
            <v>456.3</v>
          </cell>
        </row>
        <row r="213">
          <cell r="J213" t="str">
            <v>5401087924</v>
          </cell>
          <cell r="K213" t="str">
            <v>10</v>
          </cell>
          <cell r="M213">
            <v>8437</v>
          </cell>
        </row>
        <row r="214">
          <cell r="J214" t="str">
            <v>5401087924</v>
          </cell>
          <cell r="K214" t="str">
            <v>10</v>
          </cell>
          <cell r="M214">
            <v>4580</v>
          </cell>
        </row>
        <row r="215">
          <cell r="J215" t="str">
            <v>5401087924</v>
          </cell>
          <cell r="K215" t="str">
            <v>10</v>
          </cell>
          <cell r="M215">
            <v>42462.01</v>
          </cell>
        </row>
        <row r="216">
          <cell r="J216" t="str">
            <v>5401098578</v>
          </cell>
          <cell r="K216" t="str">
            <v>10</v>
          </cell>
          <cell r="M216">
            <v>27404</v>
          </cell>
        </row>
        <row r="217">
          <cell r="J217" t="str">
            <v>5401087927</v>
          </cell>
          <cell r="K217" t="str">
            <v>10</v>
          </cell>
          <cell r="M217">
            <v>2242</v>
          </cell>
        </row>
        <row r="218">
          <cell r="J218" t="str">
            <v>5401087928</v>
          </cell>
          <cell r="K218" t="str">
            <v>10</v>
          </cell>
          <cell r="M218">
            <v>21178</v>
          </cell>
        </row>
        <row r="219">
          <cell r="J219" t="str">
            <v>5401087928</v>
          </cell>
          <cell r="K219" t="str">
            <v>10</v>
          </cell>
          <cell r="M219">
            <v>1381</v>
          </cell>
        </row>
        <row r="220">
          <cell r="J220" t="str">
            <v>5401087929</v>
          </cell>
          <cell r="K220" t="str">
            <v>10</v>
          </cell>
          <cell r="M220">
            <v>1703.15</v>
          </cell>
        </row>
        <row r="221">
          <cell r="J221" t="str">
            <v>5401087925</v>
          </cell>
          <cell r="K221" t="str">
            <v>10</v>
          </cell>
          <cell r="M221">
            <v>462.5</v>
          </cell>
        </row>
        <row r="222">
          <cell r="J222" t="str">
            <v>5401087925</v>
          </cell>
          <cell r="K222" t="str">
            <v>10</v>
          </cell>
          <cell r="M222">
            <v>1583.82</v>
          </cell>
        </row>
        <row r="223">
          <cell r="J223" t="str">
            <v>5401087923</v>
          </cell>
          <cell r="K223" t="str">
            <v>10</v>
          </cell>
          <cell r="M223">
            <v>-44508.52</v>
          </cell>
        </row>
        <row r="224">
          <cell r="J224" t="str">
            <v>5401087923</v>
          </cell>
          <cell r="K224" t="str">
            <v>10</v>
          </cell>
          <cell r="M224">
            <v>44580.52</v>
          </cell>
        </row>
        <row r="225">
          <cell r="J225" t="str">
            <v>5401087922</v>
          </cell>
          <cell r="K225" t="str">
            <v>10</v>
          </cell>
          <cell r="M225">
            <v>232228.48000000001</v>
          </cell>
        </row>
        <row r="226">
          <cell r="J226" t="str">
            <v>5401087922</v>
          </cell>
          <cell r="K226" t="str">
            <v>10</v>
          </cell>
          <cell r="M226">
            <v>48070</v>
          </cell>
        </row>
        <row r="227">
          <cell r="J227" t="str">
            <v>5401087922</v>
          </cell>
          <cell r="K227" t="str">
            <v>10</v>
          </cell>
          <cell r="M227">
            <v>2462</v>
          </cell>
        </row>
        <row r="228">
          <cell r="J228" t="str">
            <v>5401087923</v>
          </cell>
          <cell r="K228" t="str">
            <v>10</v>
          </cell>
          <cell r="M228">
            <v>456.3</v>
          </cell>
        </row>
        <row r="229">
          <cell r="J229" t="str">
            <v>5401087923</v>
          </cell>
          <cell r="K229" t="str">
            <v>10</v>
          </cell>
          <cell r="M229">
            <v>44580.52</v>
          </cell>
        </row>
        <row r="230">
          <cell r="J230" t="str">
            <v>5401087924</v>
          </cell>
          <cell r="K230" t="str">
            <v>10</v>
          </cell>
          <cell r="M230">
            <v>8437</v>
          </cell>
        </row>
        <row r="231">
          <cell r="J231" t="str">
            <v>5401087924</v>
          </cell>
          <cell r="K231" t="str">
            <v>10</v>
          </cell>
          <cell r="M231">
            <v>4580</v>
          </cell>
        </row>
        <row r="232">
          <cell r="J232" t="str">
            <v>5401087924</v>
          </cell>
          <cell r="K232" t="str">
            <v>10</v>
          </cell>
          <cell r="M232">
            <v>42462.01</v>
          </cell>
        </row>
        <row r="233">
          <cell r="J233" t="str">
            <v>5401098578</v>
          </cell>
          <cell r="K233" t="str">
            <v>10</v>
          </cell>
          <cell r="M233">
            <v>27404</v>
          </cell>
        </row>
        <row r="234">
          <cell r="J234" t="str">
            <v>5401087927</v>
          </cell>
          <cell r="K234" t="str">
            <v>10</v>
          </cell>
          <cell r="M234">
            <v>2242</v>
          </cell>
        </row>
        <row r="235">
          <cell r="J235" t="str">
            <v>5401087928</v>
          </cell>
          <cell r="K235" t="str">
            <v>10</v>
          </cell>
          <cell r="M235">
            <v>21178</v>
          </cell>
        </row>
        <row r="236">
          <cell r="J236" t="str">
            <v>5401087928</v>
          </cell>
          <cell r="K236" t="str">
            <v>10</v>
          </cell>
          <cell r="M236">
            <v>1381</v>
          </cell>
        </row>
        <row r="237">
          <cell r="J237" t="str">
            <v>5401087929</v>
          </cell>
          <cell r="K237" t="str">
            <v>10</v>
          </cell>
          <cell r="M237">
            <v>1597.05</v>
          </cell>
        </row>
        <row r="238">
          <cell r="J238" t="str">
            <v>5401087929</v>
          </cell>
          <cell r="K238" t="str">
            <v>10</v>
          </cell>
          <cell r="M238">
            <v>-15</v>
          </cell>
        </row>
        <row r="239">
          <cell r="J239" t="str">
            <v>5401087929</v>
          </cell>
          <cell r="K239" t="str">
            <v>10</v>
          </cell>
          <cell r="M239">
            <v>15</v>
          </cell>
        </row>
        <row r="240">
          <cell r="J240" t="str">
            <v>5401087929</v>
          </cell>
          <cell r="K240" t="str">
            <v>10</v>
          </cell>
          <cell r="M240">
            <v>-15</v>
          </cell>
        </row>
        <row r="241">
          <cell r="J241" t="str">
            <v>5401087929</v>
          </cell>
          <cell r="K241" t="str">
            <v>10</v>
          </cell>
          <cell r="M241">
            <v>15</v>
          </cell>
        </row>
        <row r="242">
          <cell r="J242" t="str">
            <v>5401087929</v>
          </cell>
          <cell r="K242" t="str">
            <v>10</v>
          </cell>
          <cell r="M242">
            <v>-15</v>
          </cell>
        </row>
        <row r="243">
          <cell r="J243" t="str">
            <v>5401087929</v>
          </cell>
          <cell r="K243" t="str">
            <v>10</v>
          </cell>
          <cell r="M243">
            <v>15</v>
          </cell>
        </row>
        <row r="244">
          <cell r="J244" t="str">
            <v>5401087922</v>
          </cell>
          <cell r="K244" t="str">
            <v>10</v>
          </cell>
          <cell r="M244">
            <v>-5937.33</v>
          </cell>
        </row>
        <row r="245">
          <cell r="J245" t="str">
            <v>5401079380</v>
          </cell>
          <cell r="K245" t="str">
            <v>10</v>
          </cell>
          <cell r="M245">
            <v>1800</v>
          </cell>
        </row>
        <row r="246">
          <cell r="J246" t="str">
            <v>5400941603</v>
          </cell>
          <cell r="K246" t="str">
            <v>10</v>
          </cell>
          <cell r="M246">
            <v>4758.03</v>
          </cell>
        </row>
        <row r="247">
          <cell r="J247" t="str">
            <v>5400941603</v>
          </cell>
          <cell r="K247" t="str">
            <v>20</v>
          </cell>
          <cell r="M247">
            <v>4545.8500000000004</v>
          </cell>
        </row>
        <row r="248">
          <cell r="J248" t="str">
            <v>5400941603</v>
          </cell>
          <cell r="K248" t="str">
            <v>10</v>
          </cell>
          <cell r="M248">
            <v>4758.03</v>
          </cell>
        </row>
        <row r="249">
          <cell r="J249" t="str">
            <v>5400941603</v>
          </cell>
          <cell r="K249" t="str">
            <v>20</v>
          </cell>
          <cell r="M249">
            <v>4545.8500000000004</v>
          </cell>
        </row>
        <row r="250">
          <cell r="J250" t="str">
            <v>5400941603</v>
          </cell>
          <cell r="K250" t="str">
            <v>10</v>
          </cell>
          <cell r="M250">
            <v>82.5</v>
          </cell>
        </row>
        <row r="251">
          <cell r="J251" t="str">
            <v>5400941603</v>
          </cell>
          <cell r="K251" t="str">
            <v>10</v>
          </cell>
          <cell r="M251">
            <v>4758.03</v>
          </cell>
        </row>
        <row r="252">
          <cell r="J252" t="str">
            <v>5400941603</v>
          </cell>
          <cell r="K252" t="str">
            <v>20</v>
          </cell>
          <cell r="M252">
            <v>4545.8500000000004</v>
          </cell>
        </row>
        <row r="253">
          <cell r="J253" t="str">
            <v>5400941603</v>
          </cell>
          <cell r="K253" t="str">
            <v>10</v>
          </cell>
          <cell r="M253">
            <v>4895.07</v>
          </cell>
        </row>
        <row r="254">
          <cell r="J254" t="str">
            <v>5400941603</v>
          </cell>
          <cell r="K254" t="str">
            <v>20</v>
          </cell>
          <cell r="M254">
            <v>4676.53</v>
          </cell>
        </row>
        <row r="255">
          <cell r="J255" t="str">
            <v>5400941603</v>
          </cell>
          <cell r="K255" t="str">
            <v>20</v>
          </cell>
          <cell r="M255">
            <v>4676.53</v>
          </cell>
        </row>
        <row r="256">
          <cell r="J256" t="str">
            <v>5400941603</v>
          </cell>
          <cell r="K256" t="str">
            <v>10</v>
          </cell>
          <cell r="M256">
            <v>4895.07</v>
          </cell>
        </row>
        <row r="257">
          <cell r="J257" t="str">
            <v>5400941603</v>
          </cell>
          <cell r="K257" t="str">
            <v>10</v>
          </cell>
          <cell r="M257">
            <v>4895.07</v>
          </cell>
        </row>
        <row r="258">
          <cell r="J258" t="str">
            <v>5400941603</v>
          </cell>
          <cell r="K258" t="str">
            <v>20</v>
          </cell>
          <cell r="M258">
            <v>4676.53</v>
          </cell>
        </row>
        <row r="259">
          <cell r="J259" t="str">
            <v>5400918923</v>
          </cell>
          <cell r="K259" t="str">
            <v>20</v>
          </cell>
          <cell r="M259">
            <v>310</v>
          </cell>
        </row>
        <row r="260">
          <cell r="J260" t="str">
            <v>5400918923</v>
          </cell>
          <cell r="K260" t="str">
            <v>20</v>
          </cell>
          <cell r="M260">
            <v>310</v>
          </cell>
        </row>
        <row r="261">
          <cell r="J261" t="str">
            <v>5400918923</v>
          </cell>
          <cell r="K261" t="str">
            <v>20</v>
          </cell>
          <cell r="M261">
            <v>310</v>
          </cell>
        </row>
        <row r="262">
          <cell r="J262" t="str">
            <v>5401063675</v>
          </cell>
          <cell r="K262" t="str">
            <v>10</v>
          </cell>
          <cell r="M262">
            <v>-536.4</v>
          </cell>
        </row>
        <row r="263">
          <cell r="J263" t="str">
            <v>#</v>
          </cell>
          <cell r="K263" t="str">
            <v>#</v>
          </cell>
          <cell r="M263">
            <v>0</v>
          </cell>
        </row>
        <row r="264">
          <cell r="J264" t="str">
            <v>5401111762</v>
          </cell>
          <cell r="K264" t="str">
            <v>10</v>
          </cell>
          <cell r="M264">
            <v>310</v>
          </cell>
        </row>
        <row r="265">
          <cell r="J265" t="str">
            <v>5401111762</v>
          </cell>
          <cell r="K265" t="str">
            <v>10</v>
          </cell>
          <cell r="M265">
            <v>310</v>
          </cell>
        </row>
        <row r="266">
          <cell r="J266" t="str">
            <v>5401111762</v>
          </cell>
          <cell r="K266" t="str">
            <v>10</v>
          </cell>
          <cell r="M266">
            <v>310</v>
          </cell>
        </row>
        <row r="267">
          <cell r="J267" t="str">
            <v>5401058431</v>
          </cell>
          <cell r="K267" t="str">
            <v>20</v>
          </cell>
          <cell r="M267">
            <v>10000</v>
          </cell>
        </row>
        <row r="268">
          <cell r="J268" t="str">
            <v>5401058431</v>
          </cell>
          <cell r="K268" t="str">
            <v>20</v>
          </cell>
          <cell r="M268">
            <v>5500</v>
          </cell>
        </row>
        <row r="269">
          <cell r="J269" t="str">
            <v>5401058431</v>
          </cell>
          <cell r="K269" t="str">
            <v>20</v>
          </cell>
          <cell r="M269">
            <v>162.11000000000001</v>
          </cell>
        </row>
        <row r="270">
          <cell r="J270" t="str">
            <v>5401058431</v>
          </cell>
          <cell r="K270" t="str">
            <v>20</v>
          </cell>
          <cell r="M270">
            <v>10000</v>
          </cell>
        </row>
        <row r="271">
          <cell r="J271" t="str">
            <v>5401058431</v>
          </cell>
          <cell r="K271" t="str">
            <v>20</v>
          </cell>
          <cell r="M271">
            <v>5500</v>
          </cell>
        </row>
        <row r="272">
          <cell r="J272" t="str">
            <v>5401058431</v>
          </cell>
          <cell r="K272" t="str">
            <v>20</v>
          </cell>
          <cell r="M272">
            <v>10000</v>
          </cell>
        </row>
        <row r="273">
          <cell r="J273" t="str">
            <v>5401058431</v>
          </cell>
          <cell r="K273" t="str">
            <v>20</v>
          </cell>
          <cell r="M273">
            <v>5500</v>
          </cell>
        </row>
        <row r="274">
          <cell r="J274" t="str">
            <v>5401058431</v>
          </cell>
          <cell r="K274" t="str">
            <v>20</v>
          </cell>
          <cell r="M274">
            <v>-10000</v>
          </cell>
        </row>
        <row r="275">
          <cell r="J275" t="str">
            <v>5401058431</v>
          </cell>
          <cell r="K275" t="str">
            <v>20</v>
          </cell>
          <cell r="M275">
            <v>9303.7099999999991</v>
          </cell>
        </row>
        <row r="276">
          <cell r="J276" t="str">
            <v>5401058431</v>
          </cell>
          <cell r="K276" t="str">
            <v>20</v>
          </cell>
          <cell r="M276">
            <v>55.55</v>
          </cell>
        </row>
        <row r="277">
          <cell r="J277" t="str">
            <v>5401058431</v>
          </cell>
          <cell r="K277" t="str">
            <v>20</v>
          </cell>
          <cell r="M277">
            <v>88.11</v>
          </cell>
        </row>
        <row r="278">
          <cell r="J278" t="str">
            <v>5401058431</v>
          </cell>
          <cell r="K278" t="str">
            <v>20</v>
          </cell>
          <cell r="M278">
            <v>171.5</v>
          </cell>
        </row>
        <row r="279">
          <cell r="J279" t="str">
            <v>5401058431</v>
          </cell>
          <cell r="K279" t="str">
            <v>20</v>
          </cell>
          <cell r="M279">
            <v>708.71</v>
          </cell>
        </row>
        <row r="280">
          <cell r="J280" t="str">
            <v>5401058431</v>
          </cell>
          <cell r="K280" t="str">
            <v>20</v>
          </cell>
          <cell r="M280">
            <v>-5500</v>
          </cell>
        </row>
        <row r="281">
          <cell r="J281" t="str">
            <v>5401058431</v>
          </cell>
          <cell r="K281" t="str">
            <v>20</v>
          </cell>
          <cell r="M281">
            <v>5250.12</v>
          </cell>
        </row>
        <row r="282">
          <cell r="J282" t="str">
            <v>5401058431</v>
          </cell>
          <cell r="K282" t="str">
            <v>20</v>
          </cell>
          <cell r="M282">
            <v>5253.73</v>
          </cell>
        </row>
        <row r="283">
          <cell r="J283" t="str">
            <v>5401058431</v>
          </cell>
          <cell r="K283" t="str">
            <v>20</v>
          </cell>
          <cell r="M283">
            <v>10000</v>
          </cell>
        </row>
        <row r="284">
          <cell r="J284" t="str">
            <v>5401058431</v>
          </cell>
          <cell r="K284" t="str">
            <v>20</v>
          </cell>
          <cell r="M284">
            <v>250.91</v>
          </cell>
        </row>
        <row r="285">
          <cell r="J285" t="str">
            <v>5401058431</v>
          </cell>
          <cell r="K285" t="str">
            <v>20</v>
          </cell>
          <cell r="M285">
            <v>5360.3</v>
          </cell>
        </row>
        <row r="286">
          <cell r="J286" t="str">
            <v>5401058431</v>
          </cell>
          <cell r="K286" t="str">
            <v>20</v>
          </cell>
          <cell r="M286">
            <v>5222.71</v>
          </cell>
        </row>
        <row r="287">
          <cell r="J287" t="str">
            <v>5401058431</v>
          </cell>
          <cell r="K287" t="str">
            <v>20</v>
          </cell>
          <cell r="M287">
            <v>10265.709999999999</v>
          </cell>
        </row>
        <row r="288">
          <cell r="J288" t="str">
            <v>5401058431</v>
          </cell>
          <cell r="K288" t="str">
            <v>20</v>
          </cell>
          <cell r="M288">
            <v>10233.15</v>
          </cell>
        </row>
        <row r="289">
          <cell r="J289" t="str">
            <v>5401058431</v>
          </cell>
          <cell r="K289" t="str">
            <v>20</v>
          </cell>
          <cell r="M289">
            <v>5223.33</v>
          </cell>
        </row>
        <row r="290">
          <cell r="J290" t="str">
            <v>5401058431</v>
          </cell>
          <cell r="K290" t="str">
            <v>20</v>
          </cell>
          <cell r="M290">
            <v>-500</v>
          </cell>
        </row>
        <row r="291">
          <cell r="J291" t="str">
            <v>5400960037</v>
          </cell>
          <cell r="K291" t="str">
            <v>10</v>
          </cell>
          <cell r="M291">
            <v>7290</v>
          </cell>
        </row>
        <row r="292">
          <cell r="J292" t="str">
            <v>5400960037</v>
          </cell>
          <cell r="K292" t="str">
            <v>10</v>
          </cell>
          <cell r="M292">
            <v>7290</v>
          </cell>
        </row>
        <row r="293">
          <cell r="J293" t="str">
            <v>5400853131</v>
          </cell>
          <cell r="K293" t="str">
            <v>20</v>
          </cell>
          <cell r="M293">
            <v>5985</v>
          </cell>
        </row>
        <row r="294">
          <cell r="J294" t="str">
            <v>5400853131</v>
          </cell>
          <cell r="K294" t="str">
            <v>20</v>
          </cell>
          <cell r="M294">
            <v>5985</v>
          </cell>
        </row>
        <row r="295">
          <cell r="J295" t="str">
            <v>5400853131</v>
          </cell>
          <cell r="K295" t="str">
            <v>20</v>
          </cell>
          <cell r="M295">
            <v>5985</v>
          </cell>
        </row>
        <row r="296">
          <cell r="J296" t="str">
            <v>5400853131</v>
          </cell>
          <cell r="K296" t="str">
            <v>20</v>
          </cell>
          <cell r="M296">
            <v>5985</v>
          </cell>
        </row>
        <row r="297">
          <cell r="J297" t="str">
            <v>5400853131</v>
          </cell>
          <cell r="K297" t="str">
            <v>20</v>
          </cell>
          <cell r="M297">
            <v>5985</v>
          </cell>
        </row>
        <row r="298">
          <cell r="J298" t="str">
            <v>5400853131</v>
          </cell>
          <cell r="K298" t="str">
            <v>20</v>
          </cell>
          <cell r="M298">
            <v>5985</v>
          </cell>
        </row>
        <row r="299">
          <cell r="J299" t="str">
            <v>5401023590</v>
          </cell>
          <cell r="K299" t="str">
            <v>10</v>
          </cell>
          <cell r="M299">
            <v>8571.9699999999993</v>
          </cell>
        </row>
        <row r="300">
          <cell r="J300" t="str">
            <v>5401087887</v>
          </cell>
          <cell r="K300" t="str">
            <v>10</v>
          </cell>
          <cell r="M300">
            <v>150000</v>
          </cell>
        </row>
        <row r="301">
          <cell r="J301" t="str">
            <v>5401023592</v>
          </cell>
          <cell r="K301" t="str">
            <v>10</v>
          </cell>
          <cell r="M301">
            <v>-5000</v>
          </cell>
        </row>
        <row r="302">
          <cell r="J302" t="str">
            <v>5401023592</v>
          </cell>
          <cell r="K302" t="str">
            <v>10</v>
          </cell>
          <cell r="M302">
            <v>1029.05</v>
          </cell>
        </row>
        <row r="303">
          <cell r="J303" t="str">
            <v>5401023592</v>
          </cell>
          <cell r="K303" t="str">
            <v>10</v>
          </cell>
          <cell r="M303">
            <v>3970.95</v>
          </cell>
        </row>
        <row r="304">
          <cell r="J304" t="str">
            <v>5401023592</v>
          </cell>
          <cell r="K304" t="str">
            <v>10</v>
          </cell>
          <cell r="M304">
            <v>277.2</v>
          </cell>
        </row>
        <row r="305">
          <cell r="J305" t="str">
            <v>5401023590</v>
          </cell>
          <cell r="K305" t="str">
            <v>10</v>
          </cell>
          <cell r="M305">
            <v>8675.51</v>
          </cell>
        </row>
        <row r="306">
          <cell r="J306" t="str">
            <v>5401023592</v>
          </cell>
          <cell r="K306" t="str">
            <v>10</v>
          </cell>
          <cell r="M306">
            <v>-3970.95</v>
          </cell>
        </row>
        <row r="307">
          <cell r="J307" t="str">
            <v>5401023592</v>
          </cell>
          <cell r="K307" t="str">
            <v>10</v>
          </cell>
          <cell r="M307">
            <v>221.64</v>
          </cell>
        </row>
        <row r="308">
          <cell r="J308" t="str">
            <v>5401023592</v>
          </cell>
          <cell r="K308" t="str">
            <v>10</v>
          </cell>
          <cell r="M308">
            <v>1322.64</v>
          </cell>
        </row>
        <row r="309">
          <cell r="J309" t="str">
            <v>5401087887</v>
          </cell>
          <cell r="K309" t="str">
            <v>10</v>
          </cell>
          <cell r="M309">
            <v>150000</v>
          </cell>
        </row>
        <row r="310">
          <cell r="J310" t="str">
            <v>5401087891</v>
          </cell>
          <cell r="K310" t="str">
            <v>10</v>
          </cell>
          <cell r="M310">
            <v>8000</v>
          </cell>
        </row>
        <row r="311">
          <cell r="J311" t="str">
            <v>5401087887</v>
          </cell>
          <cell r="K311" t="str">
            <v>10</v>
          </cell>
          <cell r="M311">
            <v>3602.19</v>
          </cell>
        </row>
        <row r="312">
          <cell r="J312" t="str">
            <v>5401087891</v>
          </cell>
          <cell r="K312" t="str">
            <v>10</v>
          </cell>
          <cell r="M312">
            <v>1758.74</v>
          </cell>
        </row>
        <row r="313">
          <cell r="J313" t="str">
            <v>5401087891</v>
          </cell>
          <cell r="K313" t="str">
            <v>10</v>
          </cell>
          <cell r="M313">
            <v>437.51</v>
          </cell>
        </row>
        <row r="314">
          <cell r="J314" t="str">
            <v>5401087887</v>
          </cell>
          <cell r="K314" t="str">
            <v>10</v>
          </cell>
          <cell r="M314">
            <v>4819.2700000000004</v>
          </cell>
        </row>
        <row r="315">
          <cell r="J315" t="str">
            <v>5401087887</v>
          </cell>
          <cell r="K315" t="str">
            <v>10</v>
          </cell>
          <cell r="M315">
            <v>150000</v>
          </cell>
        </row>
        <row r="316">
          <cell r="J316" t="str">
            <v>5401087891</v>
          </cell>
          <cell r="K316" t="str">
            <v>10</v>
          </cell>
          <cell r="M316">
            <v>1707.56</v>
          </cell>
        </row>
        <row r="317">
          <cell r="J317" t="str">
            <v>5401087891</v>
          </cell>
          <cell r="K317" t="str">
            <v>10</v>
          </cell>
          <cell r="M317">
            <v>1424.48</v>
          </cell>
        </row>
        <row r="318">
          <cell r="J318" t="str">
            <v>5401087891</v>
          </cell>
          <cell r="K318" t="str">
            <v>10</v>
          </cell>
          <cell r="M318">
            <v>1039.04</v>
          </cell>
        </row>
        <row r="319">
          <cell r="J319" t="str">
            <v>5401023590</v>
          </cell>
          <cell r="K319" t="str">
            <v>10</v>
          </cell>
          <cell r="M319">
            <v>3500</v>
          </cell>
        </row>
        <row r="320">
          <cell r="J320" t="str">
            <v>5401023590</v>
          </cell>
          <cell r="K320" t="str">
            <v>10</v>
          </cell>
          <cell r="M320">
            <v>-3500</v>
          </cell>
        </row>
        <row r="321">
          <cell r="J321" t="str">
            <v>5401023590</v>
          </cell>
          <cell r="K321" t="str">
            <v>10</v>
          </cell>
          <cell r="M321">
            <v>3500</v>
          </cell>
        </row>
        <row r="322">
          <cell r="J322" t="str">
            <v>5401087887</v>
          </cell>
          <cell r="K322" t="str">
            <v>10</v>
          </cell>
          <cell r="M322">
            <v>1827.77</v>
          </cell>
        </row>
        <row r="323">
          <cell r="J323" t="str">
            <v>5401087891</v>
          </cell>
          <cell r="K323" t="str">
            <v>10</v>
          </cell>
          <cell r="M323">
            <v>3852.96</v>
          </cell>
        </row>
        <row r="324">
          <cell r="J324" t="str">
            <v>5401087891</v>
          </cell>
          <cell r="K324" t="str">
            <v>10</v>
          </cell>
          <cell r="M324">
            <v>2084.04</v>
          </cell>
        </row>
        <row r="325">
          <cell r="J325" t="str">
            <v>5401087887</v>
          </cell>
          <cell r="K325" t="str">
            <v>10</v>
          </cell>
          <cell r="M325">
            <v>150000</v>
          </cell>
        </row>
        <row r="326">
          <cell r="J326" t="str">
            <v>5401087887</v>
          </cell>
          <cell r="K326" t="str">
            <v>10</v>
          </cell>
          <cell r="M326">
            <v>150000</v>
          </cell>
        </row>
        <row r="327">
          <cell r="J327" t="str">
            <v>5401087887</v>
          </cell>
          <cell r="K327" t="str">
            <v>10</v>
          </cell>
          <cell r="M327">
            <v>1842.33</v>
          </cell>
        </row>
        <row r="328">
          <cell r="J328" t="str">
            <v>5401087891</v>
          </cell>
          <cell r="K328" t="str">
            <v>10</v>
          </cell>
          <cell r="M328">
            <v>10094.620000000001</v>
          </cell>
        </row>
        <row r="329">
          <cell r="J329" t="str">
            <v>5401087891</v>
          </cell>
          <cell r="K329" t="str">
            <v>10</v>
          </cell>
          <cell r="M329">
            <v>1205.19</v>
          </cell>
        </row>
        <row r="330">
          <cell r="J330" t="str">
            <v>5401087887</v>
          </cell>
          <cell r="K330" t="str">
            <v>10</v>
          </cell>
          <cell r="M330">
            <v>987.05</v>
          </cell>
        </row>
        <row r="331">
          <cell r="J331" t="str">
            <v>5401087887</v>
          </cell>
          <cell r="K331" t="str">
            <v>10</v>
          </cell>
          <cell r="M331">
            <v>150000</v>
          </cell>
        </row>
        <row r="332">
          <cell r="J332" t="str">
            <v>5401087891</v>
          </cell>
          <cell r="K332" t="str">
            <v>10</v>
          </cell>
          <cell r="M332">
            <v>5000</v>
          </cell>
        </row>
        <row r="333">
          <cell r="J333" t="str">
            <v>5401087891</v>
          </cell>
          <cell r="K333" t="str">
            <v>10</v>
          </cell>
          <cell r="M333">
            <v>5054.17</v>
          </cell>
        </row>
        <row r="334">
          <cell r="J334" t="str">
            <v>5401087891</v>
          </cell>
          <cell r="K334" t="str">
            <v>10</v>
          </cell>
          <cell r="M334">
            <v>8000</v>
          </cell>
        </row>
        <row r="335">
          <cell r="J335" t="str">
            <v>5401087891</v>
          </cell>
          <cell r="K335" t="str">
            <v>10</v>
          </cell>
          <cell r="M335">
            <v>0.3</v>
          </cell>
        </row>
        <row r="336">
          <cell r="J336" t="str">
            <v>#</v>
          </cell>
          <cell r="K336" t="str">
            <v>#</v>
          </cell>
          <cell r="M336">
            <v>-3500</v>
          </cell>
        </row>
        <row r="337">
          <cell r="J337" t="str">
            <v>5401047705</v>
          </cell>
          <cell r="K337" t="str">
            <v>30</v>
          </cell>
          <cell r="M337">
            <v>14560</v>
          </cell>
        </row>
        <row r="338">
          <cell r="J338" t="str">
            <v>5401047705</v>
          </cell>
          <cell r="K338" t="str">
            <v>30</v>
          </cell>
          <cell r="M338">
            <v>3600</v>
          </cell>
        </row>
        <row r="339">
          <cell r="J339" t="str">
            <v>5401087657</v>
          </cell>
          <cell r="K339" t="str">
            <v>10</v>
          </cell>
          <cell r="M339">
            <v>15000</v>
          </cell>
        </row>
        <row r="340">
          <cell r="J340" t="str">
            <v>5401087657</v>
          </cell>
          <cell r="K340" t="str">
            <v>10</v>
          </cell>
          <cell r="M340">
            <v>15000</v>
          </cell>
        </row>
        <row r="341">
          <cell r="J341" t="str">
            <v>5401087657</v>
          </cell>
          <cell r="K341" t="str">
            <v>10</v>
          </cell>
          <cell r="M341">
            <v>15000</v>
          </cell>
        </row>
        <row r="342">
          <cell r="J342" t="str">
            <v>5401087657</v>
          </cell>
          <cell r="K342" t="str">
            <v>10</v>
          </cell>
          <cell r="M342">
            <v>-15000</v>
          </cell>
        </row>
        <row r="343">
          <cell r="J343" t="str">
            <v>5401087657</v>
          </cell>
          <cell r="K343" t="str">
            <v>10</v>
          </cell>
          <cell r="M343">
            <v>13769.6</v>
          </cell>
        </row>
        <row r="344">
          <cell r="J344" t="str">
            <v>5401087657</v>
          </cell>
          <cell r="K344" t="str">
            <v>10</v>
          </cell>
          <cell r="M344">
            <v>9856</v>
          </cell>
        </row>
        <row r="345">
          <cell r="J345" t="str">
            <v>5401087657</v>
          </cell>
          <cell r="K345" t="str">
            <v>10</v>
          </cell>
          <cell r="M345">
            <v>3096</v>
          </cell>
        </row>
        <row r="346">
          <cell r="J346" t="str">
            <v>5401087657</v>
          </cell>
          <cell r="K346" t="str">
            <v>10</v>
          </cell>
          <cell r="M346">
            <v>11336</v>
          </cell>
        </row>
        <row r="347">
          <cell r="J347" t="str">
            <v>5401087657</v>
          </cell>
          <cell r="K347" t="str">
            <v>20</v>
          </cell>
          <cell r="M347">
            <v>28745.599999999999</v>
          </cell>
        </row>
        <row r="348">
          <cell r="J348" t="str">
            <v>5401023588</v>
          </cell>
          <cell r="K348" t="str">
            <v>10</v>
          </cell>
          <cell r="M348">
            <v>15785.86</v>
          </cell>
        </row>
        <row r="349">
          <cell r="J349" t="str">
            <v>5401087886</v>
          </cell>
          <cell r="K349" t="str">
            <v>10</v>
          </cell>
          <cell r="M349">
            <v>60000</v>
          </cell>
        </row>
        <row r="350">
          <cell r="J350" t="str">
            <v>5401065646</v>
          </cell>
          <cell r="K350" t="str">
            <v>10</v>
          </cell>
          <cell r="M350">
            <v>1407.75</v>
          </cell>
        </row>
        <row r="351">
          <cell r="J351" t="str">
            <v>5401023591</v>
          </cell>
          <cell r="K351" t="str">
            <v>10</v>
          </cell>
          <cell r="M351">
            <v>-350</v>
          </cell>
        </row>
        <row r="352">
          <cell r="J352" t="str">
            <v>5401023591</v>
          </cell>
          <cell r="K352" t="str">
            <v>10</v>
          </cell>
          <cell r="M352">
            <v>415.84</v>
          </cell>
        </row>
        <row r="353">
          <cell r="J353" t="str">
            <v>5401023588</v>
          </cell>
          <cell r="K353" t="str">
            <v>10</v>
          </cell>
          <cell r="M353">
            <v>17242.36</v>
          </cell>
        </row>
        <row r="354">
          <cell r="J354" t="str">
            <v>5401023591</v>
          </cell>
          <cell r="K354" t="str">
            <v>10</v>
          </cell>
          <cell r="M354">
            <v>524.54999999999995</v>
          </cell>
        </row>
        <row r="355">
          <cell r="J355" t="str">
            <v>5401023591</v>
          </cell>
          <cell r="K355" t="str">
            <v>10</v>
          </cell>
          <cell r="M355">
            <v>-350</v>
          </cell>
        </row>
        <row r="356">
          <cell r="J356" t="str">
            <v>5401087886</v>
          </cell>
          <cell r="K356" t="str">
            <v>10</v>
          </cell>
          <cell r="M356">
            <v>60000</v>
          </cell>
        </row>
        <row r="357">
          <cell r="J357" t="str">
            <v>5401087890</v>
          </cell>
          <cell r="K357" t="str">
            <v>10</v>
          </cell>
          <cell r="M357">
            <v>8000</v>
          </cell>
        </row>
        <row r="358">
          <cell r="J358" t="str">
            <v>5401087886</v>
          </cell>
          <cell r="K358" t="str">
            <v>10</v>
          </cell>
          <cell r="M358">
            <v>15175.29</v>
          </cell>
        </row>
        <row r="359">
          <cell r="J359" t="str">
            <v>5401087890</v>
          </cell>
          <cell r="K359" t="str">
            <v>10</v>
          </cell>
          <cell r="M359">
            <v>427.32</v>
          </cell>
        </row>
        <row r="360">
          <cell r="J360" t="str">
            <v>5401087890</v>
          </cell>
          <cell r="K360" t="str">
            <v>10</v>
          </cell>
          <cell r="M360">
            <v>35.4</v>
          </cell>
        </row>
        <row r="361">
          <cell r="J361" t="str">
            <v>5401087886</v>
          </cell>
          <cell r="K361" t="str">
            <v>10</v>
          </cell>
          <cell r="M361">
            <v>13010.5</v>
          </cell>
        </row>
        <row r="362">
          <cell r="J362" t="str">
            <v>5401065646</v>
          </cell>
          <cell r="K362" t="str">
            <v>10</v>
          </cell>
          <cell r="M362">
            <v>641.02</v>
          </cell>
        </row>
        <row r="363">
          <cell r="J363" t="str">
            <v>5401087890</v>
          </cell>
          <cell r="K363" t="str">
            <v>10</v>
          </cell>
          <cell r="M363">
            <v>160.36000000000001</v>
          </cell>
        </row>
        <row r="364">
          <cell r="J364" t="str">
            <v>5401087886</v>
          </cell>
          <cell r="K364" t="str">
            <v>10</v>
          </cell>
          <cell r="M364">
            <v>60000</v>
          </cell>
        </row>
        <row r="365">
          <cell r="J365" t="str">
            <v>5401087886</v>
          </cell>
          <cell r="K365" t="str">
            <v>10</v>
          </cell>
          <cell r="M365">
            <v>-60000</v>
          </cell>
        </row>
        <row r="366">
          <cell r="J366" t="str">
            <v>5401087886</v>
          </cell>
          <cell r="K366" t="str">
            <v>10</v>
          </cell>
          <cell r="M366">
            <v>60000</v>
          </cell>
        </row>
        <row r="367">
          <cell r="J367" t="str">
            <v>5401087886</v>
          </cell>
          <cell r="K367" t="str">
            <v>10</v>
          </cell>
          <cell r="M367">
            <v>13086.59</v>
          </cell>
        </row>
        <row r="368">
          <cell r="J368" t="str">
            <v>5401087886</v>
          </cell>
          <cell r="K368" t="str">
            <v>10</v>
          </cell>
          <cell r="M368">
            <v>60000</v>
          </cell>
        </row>
        <row r="369">
          <cell r="J369" t="str">
            <v>5401087890</v>
          </cell>
          <cell r="K369" t="str">
            <v>10</v>
          </cell>
          <cell r="M369">
            <v>573.75</v>
          </cell>
        </row>
        <row r="370">
          <cell r="J370" t="str">
            <v>5401087890</v>
          </cell>
          <cell r="K370" t="str">
            <v>10</v>
          </cell>
          <cell r="M370">
            <v>109.34</v>
          </cell>
        </row>
        <row r="371">
          <cell r="J371" t="str">
            <v>5401065646</v>
          </cell>
          <cell r="K371" t="str">
            <v>10</v>
          </cell>
          <cell r="M371">
            <v>106.84</v>
          </cell>
        </row>
        <row r="372">
          <cell r="J372" t="str">
            <v>5401087886</v>
          </cell>
          <cell r="K372" t="str">
            <v>10</v>
          </cell>
          <cell r="M372">
            <v>60000</v>
          </cell>
        </row>
        <row r="373">
          <cell r="J373" t="str">
            <v>5401087890</v>
          </cell>
          <cell r="K373" t="str">
            <v>10</v>
          </cell>
          <cell r="M373">
            <v>8000</v>
          </cell>
        </row>
        <row r="374">
          <cell r="J374" t="str">
            <v>5401087886</v>
          </cell>
          <cell r="K374" t="str">
            <v>10</v>
          </cell>
          <cell r="M374">
            <v>12696.03</v>
          </cell>
        </row>
        <row r="375">
          <cell r="J375" t="str">
            <v>5401087890</v>
          </cell>
          <cell r="K375" t="str">
            <v>10</v>
          </cell>
          <cell r="M375">
            <v>35.4</v>
          </cell>
        </row>
        <row r="376">
          <cell r="J376" t="str">
            <v>5401087886</v>
          </cell>
          <cell r="K376" t="str">
            <v>10</v>
          </cell>
          <cell r="M376">
            <v>12890.3</v>
          </cell>
        </row>
        <row r="377">
          <cell r="J377" t="str">
            <v>5401087886</v>
          </cell>
          <cell r="K377" t="str">
            <v>10</v>
          </cell>
          <cell r="M377">
            <v>60000</v>
          </cell>
        </row>
        <row r="378">
          <cell r="J378" t="str">
            <v>5401113577</v>
          </cell>
          <cell r="K378" t="str">
            <v>10</v>
          </cell>
          <cell r="M378">
            <v>3172.17</v>
          </cell>
        </row>
        <row r="379">
          <cell r="J379" t="str">
            <v>#</v>
          </cell>
          <cell r="K379" t="str">
            <v>#</v>
          </cell>
          <cell r="M379">
            <v>0</v>
          </cell>
        </row>
        <row r="380">
          <cell r="J380" t="str">
            <v>#</v>
          </cell>
          <cell r="K380" t="str">
            <v>#</v>
          </cell>
          <cell r="M380">
            <v>0</v>
          </cell>
        </row>
        <row r="381">
          <cell r="J381" t="str">
            <v>#</v>
          </cell>
          <cell r="K381" t="str">
            <v>#</v>
          </cell>
          <cell r="M381">
            <v>0</v>
          </cell>
        </row>
        <row r="382">
          <cell r="J382" t="str">
            <v>#</v>
          </cell>
          <cell r="K382" t="str">
            <v>#</v>
          </cell>
          <cell r="M382">
            <v>0</v>
          </cell>
        </row>
        <row r="383">
          <cell r="J383" t="str">
            <v>#</v>
          </cell>
          <cell r="K383" t="str">
            <v>#</v>
          </cell>
          <cell r="M383">
            <v>25000</v>
          </cell>
        </row>
        <row r="384">
          <cell r="J384" t="str">
            <v>5401068208</v>
          </cell>
          <cell r="K384" t="str">
            <v>10</v>
          </cell>
          <cell r="M384">
            <v>-24000</v>
          </cell>
        </row>
        <row r="385">
          <cell r="J385" t="str">
            <v>5401068208</v>
          </cell>
          <cell r="K385" t="str">
            <v>10</v>
          </cell>
          <cell r="M385">
            <v>23649.89</v>
          </cell>
        </row>
        <row r="386">
          <cell r="J386" t="str">
            <v>5401098602</v>
          </cell>
          <cell r="K386" t="str">
            <v>10</v>
          </cell>
          <cell r="M386">
            <v>23290.92</v>
          </cell>
        </row>
        <row r="387">
          <cell r="J387" t="str">
            <v>5401098602</v>
          </cell>
          <cell r="K387" t="str">
            <v>10</v>
          </cell>
          <cell r="M387">
            <v>24000</v>
          </cell>
        </row>
        <row r="388">
          <cell r="J388" t="str">
            <v>5401098602</v>
          </cell>
          <cell r="K388" t="str">
            <v>10</v>
          </cell>
          <cell r="M388">
            <v>24000</v>
          </cell>
        </row>
        <row r="389">
          <cell r="J389" t="str">
            <v>5401098602</v>
          </cell>
          <cell r="K389" t="str">
            <v>10</v>
          </cell>
          <cell r="M389">
            <v>-24000</v>
          </cell>
        </row>
        <row r="390">
          <cell r="J390" t="str">
            <v>5401098602</v>
          </cell>
          <cell r="K390" t="str">
            <v>10</v>
          </cell>
          <cell r="M390">
            <v>23232.06</v>
          </cell>
        </row>
        <row r="391">
          <cell r="J391" t="str">
            <v>5401098602</v>
          </cell>
          <cell r="K391" t="str">
            <v>10</v>
          </cell>
          <cell r="M391">
            <v>-24000</v>
          </cell>
        </row>
        <row r="392">
          <cell r="J392" t="str">
            <v>5401098602</v>
          </cell>
          <cell r="K392" t="str">
            <v>10</v>
          </cell>
          <cell r="M392">
            <v>23188.77</v>
          </cell>
        </row>
        <row r="393">
          <cell r="J393" t="str">
            <v>5401098602</v>
          </cell>
          <cell r="K393" t="str">
            <v>10</v>
          </cell>
          <cell r="M393">
            <v>23000</v>
          </cell>
        </row>
        <row r="394">
          <cell r="J394" t="str">
            <v>5401098602</v>
          </cell>
          <cell r="K394" t="str">
            <v>10</v>
          </cell>
          <cell r="M394">
            <v>-23000</v>
          </cell>
        </row>
        <row r="395">
          <cell r="J395" t="str">
            <v>5401098602</v>
          </cell>
          <cell r="K395" t="str">
            <v>10</v>
          </cell>
          <cell r="M395">
            <v>22686.71</v>
          </cell>
        </row>
        <row r="396">
          <cell r="J396" t="str">
            <v>5401098602</v>
          </cell>
          <cell r="K396" t="str">
            <v>10</v>
          </cell>
          <cell r="M396">
            <v>22000</v>
          </cell>
        </row>
        <row r="397">
          <cell r="J397" t="str">
            <v>5401098602</v>
          </cell>
          <cell r="K397" t="str">
            <v>10</v>
          </cell>
          <cell r="M397">
            <v>22000</v>
          </cell>
        </row>
        <row r="398">
          <cell r="J398" t="str">
            <v>5401098602</v>
          </cell>
          <cell r="K398" t="str">
            <v>10</v>
          </cell>
          <cell r="M398">
            <v>-22000</v>
          </cell>
        </row>
        <row r="399">
          <cell r="J399" t="str">
            <v>5401098602</v>
          </cell>
          <cell r="K399" t="str">
            <v>10</v>
          </cell>
          <cell r="M399">
            <v>22000</v>
          </cell>
        </row>
        <row r="400">
          <cell r="J400" t="str">
            <v>5401098602</v>
          </cell>
          <cell r="K400" t="str">
            <v>10</v>
          </cell>
          <cell r="M400">
            <v>-0.9</v>
          </cell>
        </row>
        <row r="401">
          <cell r="J401" t="str">
            <v>5401070316</v>
          </cell>
          <cell r="K401" t="str">
            <v>10</v>
          </cell>
          <cell r="M401">
            <v>6667</v>
          </cell>
        </row>
        <row r="402">
          <cell r="J402" t="str">
            <v>5401070316</v>
          </cell>
          <cell r="K402" t="str">
            <v>10</v>
          </cell>
          <cell r="M402">
            <v>6667</v>
          </cell>
        </row>
        <row r="403">
          <cell r="J403" t="str">
            <v>5401070316</v>
          </cell>
          <cell r="K403" t="str">
            <v>10</v>
          </cell>
          <cell r="M403">
            <v>6667</v>
          </cell>
        </row>
        <row r="404">
          <cell r="J404" t="str">
            <v>5401070316</v>
          </cell>
          <cell r="K404" t="str">
            <v>10</v>
          </cell>
          <cell r="M404">
            <v>6667</v>
          </cell>
        </row>
        <row r="405">
          <cell r="J405" t="str">
            <v>5401070316</v>
          </cell>
          <cell r="K405" t="str">
            <v>10</v>
          </cell>
          <cell r="M405">
            <v>6667</v>
          </cell>
        </row>
        <row r="406">
          <cell r="J406" t="str">
            <v>5401070316</v>
          </cell>
          <cell r="K406" t="str">
            <v>10</v>
          </cell>
          <cell r="M406">
            <v>6667</v>
          </cell>
        </row>
        <row r="407">
          <cell r="J407" t="str">
            <v>5401109430</v>
          </cell>
          <cell r="K407" t="str">
            <v>10</v>
          </cell>
          <cell r="M407">
            <v>23760</v>
          </cell>
        </row>
        <row r="408">
          <cell r="J408" t="str">
            <v>5401098805</v>
          </cell>
          <cell r="K408" t="str">
            <v>10</v>
          </cell>
          <cell r="M408">
            <v>33027.82</v>
          </cell>
        </row>
        <row r="409">
          <cell r="J409" t="str">
            <v>5401116343</v>
          </cell>
          <cell r="K409" t="str">
            <v>10</v>
          </cell>
          <cell r="M409">
            <v>610</v>
          </cell>
        </row>
        <row r="410">
          <cell r="J410" t="str">
            <v>5401053722</v>
          </cell>
          <cell r="K410" t="str">
            <v>20</v>
          </cell>
          <cell r="M410">
            <v>1834</v>
          </cell>
        </row>
        <row r="411">
          <cell r="J411" t="str">
            <v>5400840950</v>
          </cell>
          <cell r="K411" t="str">
            <v>80</v>
          </cell>
          <cell r="M411">
            <v>-10098.91</v>
          </cell>
        </row>
        <row r="412">
          <cell r="J412" t="str">
            <v>5400840950</v>
          </cell>
          <cell r="K412" t="str">
            <v>80</v>
          </cell>
          <cell r="M412">
            <v>8000</v>
          </cell>
        </row>
        <row r="413">
          <cell r="J413" t="str">
            <v>5400840950</v>
          </cell>
          <cell r="K413" t="str">
            <v>80</v>
          </cell>
          <cell r="M413">
            <v>2098.91</v>
          </cell>
        </row>
        <row r="414">
          <cell r="J414" t="str">
            <v>5400912390</v>
          </cell>
          <cell r="K414" t="str">
            <v>10</v>
          </cell>
          <cell r="M414">
            <v>7402.75</v>
          </cell>
        </row>
        <row r="415">
          <cell r="J415" t="str">
            <v>5401002572</v>
          </cell>
          <cell r="K415" t="str">
            <v>30</v>
          </cell>
          <cell r="M415">
            <v>4567.68</v>
          </cell>
        </row>
        <row r="416">
          <cell r="J416" t="str">
            <v>5401002572</v>
          </cell>
          <cell r="K416" t="str">
            <v>30</v>
          </cell>
          <cell r="M416">
            <v>4930</v>
          </cell>
        </row>
        <row r="417">
          <cell r="J417" t="str">
            <v>5400840950</v>
          </cell>
          <cell r="K417" t="str">
            <v>70</v>
          </cell>
          <cell r="M417">
            <v>18720</v>
          </cell>
        </row>
        <row r="418">
          <cell r="J418" t="str">
            <v>5401093332</v>
          </cell>
          <cell r="K418" t="str">
            <v>50</v>
          </cell>
          <cell r="M418">
            <v>1736</v>
          </cell>
        </row>
        <row r="419">
          <cell r="J419" t="str">
            <v>5400840950</v>
          </cell>
          <cell r="K419" t="str">
            <v>80</v>
          </cell>
          <cell r="M419">
            <v>8000</v>
          </cell>
        </row>
        <row r="420">
          <cell r="J420" t="str">
            <v>5400840950</v>
          </cell>
          <cell r="K420" t="str">
            <v>80</v>
          </cell>
          <cell r="M420">
            <v>2098.91</v>
          </cell>
        </row>
        <row r="421">
          <cell r="J421" t="str">
            <v>5400912390</v>
          </cell>
          <cell r="K421" t="str">
            <v>10</v>
          </cell>
          <cell r="M421">
            <v>7402.75</v>
          </cell>
        </row>
        <row r="422">
          <cell r="J422" t="str">
            <v>5401002572</v>
          </cell>
          <cell r="K422" t="str">
            <v>30</v>
          </cell>
          <cell r="M422">
            <v>4567.68</v>
          </cell>
        </row>
        <row r="423">
          <cell r="J423" t="str">
            <v>5401002572</v>
          </cell>
          <cell r="K423" t="str">
            <v>30</v>
          </cell>
          <cell r="M423">
            <v>4930</v>
          </cell>
        </row>
        <row r="424">
          <cell r="J424" t="str">
            <v>5400840950</v>
          </cell>
          <cell r="K424" t="str">
            <v>70</v>
          </cell>
          <cell r="M424">
            <v>18720</v>
          </cell>
        </row>
        <row r="425">
          <cell r="J425" t="str">
            <v>5400840950</v>
          </cell>
          <cell r="K425" t="str">
            <v>80</v>
          </cell>
          <cell r="M425">
            <v>8000</v>
          </cell>
        </row>
        <row r="426">
          <cell r="J426" t="str">
            <v>5400840950</v>
          </cell>
          <cell r="K426" t="str">
            <v>80</v>
          </cell>
          <cell r="M426">
            <v>2098.91</v>
          </cell>
        </row>
        <row r="427">
          <cell r="J427" t="str">
            <v>5401093332</v>
          </cell>
          <cell r="K427" t="str">
            <v>50</v>
          </cell>
          <cell r="M427">
            <v>1736</v>
          </cell>
        </row>
        <row r="428">
          <cell r="J428" t="str">
            <v>5400912390</v>
          </cell>
          <cell r="K428" t="str">
            <v>10</v>
          </cell>
          <cell r="M428">
            <v>7402.75</v>
          </cell>
        </row>
        <row r="429">
          <cell r="J429" t="str">
            <v>5401002572</v>
          </cell>
          <cell r="K429" t="str">
            <v>30</v>
          </cell>
          <cell r="M429">
            <v>4567.68</v>
          </cell>
        </row>
        <row r="430">
          <cell r="J430" t="str">
            <v>5401002572</v>
          </cell>
          <cell r="K430" t="str">
            <v>30</v>
          </cell>
          <cell r="M430">
            <v>4930</v>
          </cell>
        </row>
        <row r="431">
          <cell r="J431" t="str">
            <v>5400840950</v>
          </cell>
          <cell r="K431" t="str">
            <v>70</v>
          </cell>
          <cell r="M431">
            <v>18720</v>
          </cell>
        </row>
        <row r="432">
          <cell r="J432" t="str">
            <v>5400840950</v>
          </cell>
          <cell r="K432" t="str">
            <v>80</v>
          </cell>
          <cell r="M432">
            <v>2098.91</v>
          </cell>
        </row>
        <row r="433">
          <cell r="J433" t="str">
            <v>5401002572</v>
          </cell>
          <cell r="K433" t="str">
            <v>30</v>
          </cell>
          <cell r="M433">
            <v>4930</v>
          </cell>
        </row>
        <row r="434">
          <cell r="J434" t="str">
            <v>5400840950</v>
          </cell>
          <cell r="K434" t="str">
            <v>80</v>
          </cell>
          <cell r="M434">
            <v>8000</v>
          </cell>
        </row>
        <row r="435">
          <cell r="J435" t="str">
            <v>5400840950</v>
          </cell>
          <cell r="K435" t="str">
            <v>80</v>
          </cell>
          <cell r="M435">
            <v>2098.91</v>
          </cell>
        </row>
        <row r="436">
          <cell r="J436" t="str">
            <v>5400840950</v>
          </cell>
          <cell r="K436" t="str">
            <v>80</v>
          </cell>
          <cell r="M436">
            <v>8000</v>
          </cell>
        </row>
        <row r="437">
          <cell r="J437" t="str">
            <v>5400840950</v>
          </cell>
          <cell r="K437" t="str">
            <v>70</v>
          </cell>
          <cell r="M437">
            <v>18720</v>
          </cell>
        </row>
        <row r="438">
          <cell r="J438" t="str">
            <v>5400912390</v>
          </cell>
          <cell r="K438" t="str">
            <v>10</v>
          </cell>
          <cell r="M438">
            <v>7402.75</v>
          </cell>
        </row>
        <row r="439">
          <cell r="J439" t="str">
            <v>5401002572</v>
          </cell>
          <cell r="K439" t="str">
            <v>30</v>
          </cell>
          <cell r="M439">
            <v>4567.68</v>
          </cell>
        </row>
        <row r="440">
          <cell r="J440" t="str">
            <v>5401002572</v>
          </cell>
          <cell r="K440" t="str">
            <v>30</v>
          </cell>
          <cell r="M440">
            <v>4930</v>
          </cell>
        </row>
        <row r="441">
          <cell r="J441" t="str">
            <v>5401002572</v>
          </cell>
          <cell r="K441" t="str">
            <v>30</v>
          </cell>
          <cell r="M441">
            <v>4567.68</v>
          </cell>
        </row>
        <row r="442">
          <cell r="J442" t="str">
            <v>5401002572</v>
          </cell>
          <cell r="K442" t="str">
            <v>30</v>
          </cell>
          <cell r="M442">
            <v>4930</v>
          </cell>
        </row>
        <row r="443">
          <cell r="J443" t="str">
            <v>5400912390</v>
          </cell>
          <cell r="K443" t="str">
            <v>10</v>
          </cell>
          <cell r="M443">
            <v>7402.75</v>
          </cell>
        </row>
        <row r="444">
          <cell r="J444" t="str">
            <v>5400840950</v>
          </cell>
          <cell r="K444" t="str">
            <v>80</v>
          </cell>
          <cell r="M444">
            <v>8000</v>
          </cell>
        </row>
        <row r="445">
          <cell r="J445" t="str">
            <v>5400840950</v>
          </cell>
          <cell r="K445" t="str">
            <v>80</v>
          </cell>
          <cell r="M445">
            <v>2098.91</v>
          </cell>
        </row>
        <row r="446">
          <cell r="J446" t="str">
            <v>5400840950</v>
          </cell>
          <cell r="K446" t="str">
            <v>70</v>
          </cell>
          <cell r="M446">
            <v>18720</v>
          </cell>
        </row>
        <row r="447">
          <cell r="J447" t="str">
            <v>5401093332</v>
          </cell>
          <cell r="K447" t="str">
            <v>50</v>
          </cell>
          <cell r="M447">
            <v>1736</v>
          </cell>
        </row>
        <row r="448">
          <cell r="J448" t="str">
            <v>5401093332</v>
          </cell>
          <cell r="K448" t="str">
            <v>50</v>
          </cell>
          <cell r="M448">
            <v>1736</v>
          </cell>
        </row>
        <row r="449">
          <cell r="J449" t="str">
            <v>5401093332</v>
          </cell>
          <cell r="K449" t="str">
            <v>50</v>
          </cell>
          <cell r="M449">
            <v>1736</v>
          </cell>
        </row>
        <row r="450">
          <cell r="J450" t="str">
            <v>5400840950</v>
          </cell>
          <cell r="K450" t="str">
            <v>70</v>
          </cell>
          <cell r="M450">
            <v>18720</v>
          </cell>
        </row>
        <row r="451">
          <cell r="J451" t="str">
            <v>5400840950</v>
          </cell>
          <cell r="K451" t="str">
            <v>80</v>
          </cell>
          <cell r="M451">
            <v>8000</v>
          </cell>
        </row>
        <row r="452">
          <cell r="J452" t="str">
            <v>5400840950</v>
          </cell>
          <cell r="K452" t="str">
            <v>80</v>
          </cell>
          <cell r="M452">
            <v>2098.91</v>
          </cell>
        </row>
        <row r="453">
          <cell r="J453" t="str">
            <v>5400912390</v>
          </cell>
          <cell r="K453" t="str">
            <v>10</v>
          </cell>
          <cell r="M453">
            <v>7402.75</v>
          </cell>
        </row>
        <row r="454">
          <cell r="J454" t="str">
            <v>5401002572</v>
          </cell>
          <cell r="K454" t="str">
            <v>30</v>
          </cell>
          <cell r="M454">
            <v>4567.68</v>
          </cell>
        </row>
        <row r="455">
          <cell r="J455" t="str">
            <v>5401002572</v>
          </cell>
          <cell r="K455" t="str">
            <v>30</v>
          </cell>
          <cell r="M455">
            <v>4930</v>
          </cell>
        </row>
        <row r="456">
          <cell r="J456" t="str">
            <v>5401093332</v>
          </cell>
          <cell r="K456" t="str">
            <v>50</v>
          </cell>
          <cell r="M456">
            <v>1736</v>
          </cell>
        </row>
        <row r="457">
          <cell r="J457" t="str">
            <v>5400912390</v>
          </cell>
          <cell r="K457" t="str">
            <v>10</v>
          </cell>
          <cell r="M457">
            <v>-0.03</v>
          </cell>
        </row>
        <row r="458">
          <cell r="J458" t="str">
            <v>5400912390</v>
          </cell>
          <cell r="K458" t="str">
            <v>10</v>
          </cell>
          <cell r="M458">
            <v>-0.03</v>
          </cell>
        </row>
        <row r="459">
          <cell r="J459" t="str">
            <v>5400912390</v>
          </cell>
          <cell r="K459" t="str">
            <v>10</v>
          </cell>
          <cell r="M459">
            <v>-0.03</v>
          </cell>
        </row>
        <row r="460">
          <cell r="J460" t="str">
            <v>5400912390</v>
          </cell>
          <cell r="K460" t="str">
            <v>10</v>
          </cell>
          <cell r="M460">
            <v>-0.03</v>
          </cell>
        </row>
        <row r="461">
          <cell r="J461" t="str">
            <v>5400912390</v>
          </cell>
          <cell r="K461" t="str">
            <v>10</v>
          </cell>
          <cell r="M461">
            <v>-0.03</v>
          </cell>
        </row>
        <row r="462">
          <cell r="J462" t="str">
            <v>5401093332</v>
          </cell>
          <cell r="K462" t="str">
            <v>50</v>
          </cell>
          <cell r="M462">
            <v>0.9</v>
          </cell>
        </row>
        <row r="463">
          <cell r="J463" t="str">
            <v>5401102234</v>
          </cell>
          <cell r="K463" t="str">
            <v>10</v>
          </cell>
          <cell r="M463">
            <v>104911.78</v>
          </cell>
        </row>
        <row r="464">
          <cell r="J464" t="str">
            <v>5401090239</v>
          </cell>
          <cell r="K464" t="str">
            <v>10</v>
          </cell>
          <cell r="M464">
            <v>6400</v>
          </cell>
        </row>
        <row r="465">
          <cell r="J465" t="str">
            <v>5401090239</v>
          </cell>
          <cell r="K465" t="str">
            <v>10</v>
          </cell>
          <cell r="M465">
            <v>58</v>
          </cell>
        </row>
        <row r="466">
          <cell r="J466" t="str">
            <v>5401090239</v>
          </cell>
          <cell r="K466" t="str">
            <v>10</v>
          </cell>
          <cell r="M466">
            <v>3200</v>
          </cell>
        </row>
        <row r="467">
          <cell r="J467" t="str">
            <v>5401090239</v>
          </cell>
          <cell r="K467" t="str">
            <v>10</v>
          </cell>
          <cell r="M467">
            <v>29</v>
          </cell>
        </row>
        <row r="468">
          <cell r="J468" t="str">
            <v>5401090239</v>
          </cell>
          <cell r="K468" t="str">
            <v>10</v>
          </cell>
          <cell r="M468">
            <v>3200</v>
          </cell>
        </row>
        <row r="469">
          <cell r="J469" t="str">
            <v>5401090239</v>
          </cell>
          <cell r="K469" t="str">
            <v>10</v>
          </cell>
          <cell r="M469">
            <v>3200</v>
          </cell>
        </row>
        <row r="470">
          <cell r="J470" t="str">
            <v>5401090239</v>
          </cell>
          <cell r="K470" t="str">
            <v>10</v>
          </cell>
          <cell r="M470">
            <v>3200</v>
          </cell>
        </row>
        <row r="471">
          <cell r="J471" t="str">
            <v>5401093321</v>
          </cell>
          <cell r="K471" t="str">
            <v>10</v>
          </cell>
          <cell r="M471">
            <v>1640</v>
          </cell>
        </row>
        <row r="472">
          <cell r="J472" t="str">
            <v>5401087958</v>
          </cell>
          <cell r="K472" t="str">
            <v>10</v>
          </cell>
          <cell r="M472">
            <v>240711.66</v>
          </cell>
        </row>
        <row r="473">
          <cell r="J473" t="str">
            <v>#</v>
          </cell>
          <cell r="K473" t="str">
            <v>#</v>
          </cell>
          <cell r="M473">
            <v>50065.68</v>
          </cell>
        </row>
        <row r="474">
          <cell r="J474" t="str">
            <v>#</v>
          </cell>
          <cell r="K474" t="str">
            <v>#</v>
          </cell>
          <cell r="M474">
            <v>5575</v>
          </cell>
        </row>
        <row r="475">
          <cell r="J475" t="str">
            <v>#</v>
          </cell>
          <cell r="K475" t="str">
            <v>#</v>
          </cell>
          <cell r="M475">
            <v>9642</v>
          </cell>
        </row>
        <row r="476">
          <cell r="J476" t="str">
            <v>#</v>
          </cell>
          <cell r="K476" t="str">
            <v>#</v>
          </cell>
          <cell r="M476">
            <v>10726</v>
          </cell>
        </row>
        <row r="477">
          <cell r="J477" t="str">
            <v>#</v>
          </cell>
          <cell r="K477" t="str">
            <v>#</v>
          </cell>
          <cell r="M477">
            <v>40222</v>
          </cell>
        </row>
        <row r="478">
          <cell r="J478" t="str">
            <v>#</v>
          </cell>
          <cell r="K478" t="str">
            <v>#</v>
          </cell>
          <cell r="M478">
            <v>-240711.66</v>
          </cell>
        </row>
        <row r="479">
          <cell r="J479" t="str">
            <v>#</v>
          </cell>
          <cell r="K479" t="str">
            <v>#</v>
          </cell>
          <cell r="M479">
            <v>80237.240000000005</v>
          </cell>
        </row>
        <row r="480">
          <cell r="J480" t="str">
            <v>#</v>
          </cell>
          <cell r="K480" t="str">
            <v>#</v>
          </cell>
          <cell r="M480">
            <v>-104911.78</v>
          </cell>
        </row>
        <row r="481">
          <cell r="J481" t="str">
            <v>#</v>
          </cell>
          <cell r="K481" t="str">
            <v>#</v>
          </cell>
          <cell r="M481">
            <v>41964.72</v>
          </cell>
        </row>
        <row r="482">
          <cell r="J482" t="str">
            <v>#</v>
          </cell>
          <cell r="K482" t="str">
            <v>#</v>
          </cell>
          <cell r="M482">
            <v>-8000</v>
          </cell>
        </row>
        <row r="483">
          <cell r="J483" t="str">
            <v>#</v>
          </cell>
          <cell r="K483" t="str">
            <v>#</v>
          </cell>
          <cell r="M483">
            <v>12515</v>
          </cell>
        </row>
        <row r="484">
          <cell r="J484" t="str">
            <v>#</v>
          </cell>
          <cell r="K484" t="str">
            <v>#</v>
          </cell>
          <cell r="M484">
            <v>0</v>
          </cell>
        </row>
        <row r="485">
          <cell r="J485" t="str">
            <v>#</v>
          </cell>
          <cell r="K485" t="str">
            <v>#</v>
          </cell>
          <cell r="M485">
            <v>0</v>
          </cell>
        </row>
        <row r="486">
          <cell r="J486" t="str">
            <v>#</v>
          </cell>
          <cell r="K486" t="str">
            <v>#</v>
          </cell>
          <cell r="M486">
            <v>0</v>
          </cell>
        </row>
        <row r="487">
          <cell r="J487" t="str">
            <v>#</v>
          </cell>
          <cell r="K487" t="str">
            <v>#</v>
          </cell>
          <cell r="M487">
            <v>12450.9</v>
          </cell>
        </row>
        <row r="488">
          <cell r="J488" t="str">
            <v>#</v>
          </cell>
          <cell r="K488" t="str">
            <v>#</v>
          </cell>
          <cell r="M488">
            <v>17549.099999999999</v>
          </cell>
        </row>
        <row r="489">
          <cell r="J489" t="str">
            <v>5401045581</v>
          </cell>
          <cell r="K489" t="str">
            <v>10</v>
          </cell>
          <cell r="M489">
            <v>-10000</v>
          </cell>
        </row>
        <row r="490">
          <cell r="J490" t="str">
            <v>5401045581</v>
          </cell>
          <cell r="K490" t="str">
            <v>10</v>
          </cell>
          <cell r="M490">
            <v>7950</v>
          </cell>
        </row>
        <row r="491">
          <cell r="J491" t="str">
            <v>5400853128</v>
          </cell>
          <cell r="K491" t="str">
            <v>10</v>
          </cell>
          <cell r="M491">
            <v>45333</v>
          </cell>
        </row>
        <row r="492">
          <cell r="J492" t="str">
            <v>5401023508</v>
          </cell>
          <cell r="K492" t="str">
            <v>230</v>
          </cell>
          <cell r="M492">
            <v>1498</v>
          </cell>
        </row>
        <row r="493">
          <cell r="J493" t="str">
            <v>5401023508</v>
          </cell>
          <cell r="K493" t="str">
            <v>250</v>
          </cell>
          <cell r="M493">
            <v>-5807.16</v>
          </cell>
        </row>
        <row r="494">
          <cell r="J494" t="str">
            <v>5401023508</v>
          </cell>
          <cell r="K494" t="str">
            <v>250</v>
          </cell>
          <cell r="M494">
            <v>2441.0500000000002</v>
          </cell>
        </row>
        <row r="495">
          <cell r="J495" t="str">
            <v>5400836551</v>
          </cell>
          <cell r="K495" t="str">
            <v>20</v>
          </cell>
          <cell r="M495">
            <v>1875</v>
          </cell>
        </row>
        <row r="496">
          <cell r="J496" t="str">
            <v>5400980360</v>
          </cell>
          <cell r="K496" t="str">
            <v>10</v>
          </cell>
          <cell r="M496">
            <v>16365.79</v>
          </cell>
        </row>
        <row r="497">
          <cell r="J497" t="str">
            <v>5401045581</v>
          </cell>
          <cell r="K497" t="str">
            <v>10</v>
          </cell>
          <cell r="M497">
            <v>-10000</v>
          </cell>
        </row>
        <row r="498">
          <cell r="J498" t="str">
            <v>5401045581</v>
          </cell>
          <cell r="K498" t="str">
            <v>10</v>
          </cell>
          <cell r="M498">
            <v>7420</v>
          </cell>
        </row>
        <row r="499">
          <cell r="J499" t="str">
            <v>5401045581</v>
          </cell>
          <cell r="K499" t="str">
            <v>10</v>
          </cell>
          <cell r="M499">
            <v>10000</v>
          </cell>
        </row>
        <row r="500">
          <cell r="J500" t="str">
            <v>5401046469</v>
          </cell>
          <cell r="K500" t="str">
            <v>10</v>
          </cell>
          <cell r="M500">
            <v>-10000</v>
          </cell>
        </row>
        <row r="501">
          <cell r="J501" t="str">
            <v>5401046469</v>
          </cell>
          <cell r="K501" t="str">
            <v>10</v>
          </cell>
          <cell r="M501">
            <v>3850</v>
          </cell>
        </row>
        <row r="502">
          <cell r="J502" t="str">
            <v>5401046469</v>
          </cell>
          <cell r="K502" t="str">
            <v>10</v>
          </cell>
          <cell r="M502">
            <v>6150</v>
          </cell>
        </row>
        <row r="503">
          <cell r="J503" t="str">
            <v>5401088459</v>
          </cell>
          <cell r="K503" t="str">
            <v>10</v>
          </cell>
          <cell r="M503">
            <v>28177.5</v>
          </cell>
        </row>
        <row r="504">
          <cell r="J504" t="str">
            <v>5401088459</v>
          </cell>
          <cell r="K504" t="str">
            <v>20</v>
          </cell>
          <cell r="M504">
            <v>3892</v>
          </cell>
        </row>
        <row r="505">
          <cell r="J505" t="str">
            <v>5401088459</v>
          </cell>
          <cell r="K505" t="str">
            <v>30</v>
          </cell>
          <cell r="M505">
            <v>33330.92</v>
          </cell>
        </row>
        <row r="506">
          <cell r="J506" t="str">
            <v>5401088459</v>
          </cell>
          <cell r="K506" t="str">
            <v>40</v>
          </cell>
          <cell r="M506">
            <v>4726.33</v>
          </cell>
        </row>
        <row r="507">
          <cell r="J507" t="str">
            <v>5401088459</v>
          </cell>
          <cell r="K507" t="str">
            <v>50</v>
          </cell>
          <cell r="M507">
            <v>64683.17</v>
          </cell>
        </row>
        <row r="508">
          <cell r="J508" t="str">
            <v>5401088459</v>
          </cell>
          <cell r="K508" t="str">
            <v>60</v>
          </cell>
          <cell r="M508">
            <v>6131</v>
          </cell>
        </row>
        <row r="509">
          <cell r="J509" t="str">
            <v>5401088459</v>
          </cell>
          <cell r="K509" t="str">
            <v>70</v>
          </cell>
          <cell r="M509">
            <v>12262</v>
          </cell>
        </row>
        <row r="510">
          <cell r="J510" t="str">
            <v>5401088459</v>
          </cell>
          <cell r="K510" t="str">
            <v>80</v>
          </cell>
          <cell r="M510">
            <v>62652.69</v>
          </cell>
        </row>
        <row r="511">
          <cell r="J511" t="str">
            <v>5401088459</v>
          </cell>
          <cell r="K511" t="str">
            <v>90</v>
          </cell>
          <cell r="M511">
            <v>37055.82</v>
          </cell>
        </row>
        <row r="512">
          <cell r="J512" t="str">
            <v>5401088459</v>
          </cell>
          <cell r="K512" t="str">
            <v>110</v>
          </cell>
          <cell r="M512">
            <v>5833.33</v>
          </cell>
        </row>
        <row r="513">
          <cell r="J513" t="str">
            <v>5401088459</v>
          </cell>
          <cell r="K513" t="str">
            <v>120</v>
          </cell>
          <cell r="M513">
            <v>5250</v>
          </cell>
        </row>
        <row r="514">
          <cell r="J514" t="str">
            <v>5401088459</v>
          </cell>
          <cell r="K514" t="str">
            <v>130</v>
          </cell>
          <cell r="M514">
            <v>27081.58</v>
          </cell>
        </row>
        <row r="515">
          <cell r="J515" t="str">
            <v>5401088459</v>
          </cell>
          <cell r="K515" t="str">
            <v>150</v>
          </cell>
          <cell r="M515">
            <v>7071.53</v>
          </cell>
        </row>
        <row r="516">
          <cell r="J516" t="str">
            <v>5401088459</v>
          </cell>
          <cell r="K516" t="str">
            <v>160</v>
          </cell>
          <cell r="M516">
            <v>9979.5</v>
          </cell>
        </row>
        <row r="517">
          <cell r="J517" t="str">
            <v>5401088459</v>
          </cell>
          <cell r="K517" t="str">
            <v>170</v>
          </cell>
          <cell r="M517">
            <v>1319.25</v>
          </cell>
        </row>
        <row r="518">
          <cell r="J518" t="str">
            <v>5401088459</v>
          </cell>
          <cell r="K518" t="str">
            <v>180</v>
          </cell>
          <cell r="M518">
            <v>6365.08</v>
          </cell>
        </row>
        <row r="519">
          <cell r="J519" t="str">
            <v>5401088459</v>
          </cell>
          <cell r="K519" t="str">
            <v>190</v>
          </cell>
          <cell r="M519">
            <v>20670.240000000002</v>
          </cell>
        </row>
        <row r="520">
          <cell r="J520" t="str">
            <v>5401088459</v>
          </cell>
          <cell r="K520" t="str">
            <v>200</v>
          </cell>
          <cell r="M520">
            <v>33528.04</v>
          </cell>
        </row>
        <row r="521">
          <cell r="J521" t="str">
            <v>5401088459</v>
          </cell>
          <cell r="K521" t="str">
            <v>210</v>
          </cell>
          <cell r="M521">
            <v>27403.14</v>
          </cell>
        </row>
        <row r="522">
          <cell r="J522" t="str">
            <v>5401088459</v>
          </cell>
          <cell r="K522" t="str">
            <v>220</v>
          </cell>
          <cell r="M522">
            <v>5923.44</v>
          </cell>
        </row>
        <row r="523">
          <cell r="J523" t="str">
            <v>5401088459</v>
          </cell>
          <cell r="K523" t="str">
            <v>230</v>
          </cell>
          <cell r="M523">
            <v>3166.2</v>
          </cell>
        </row>
        <row r="524">
          <cell r="J524" t="str">
            <v>5401088459</v>
          </cell>
          <cell r="K524" t="str">
            <v>250</v>
          </cell>
          <cell r="M524">
            <v>16144.11</v>
          </cell>
        </row>
        <row r="525">
          <cell r="J525" t="str">
            <v>5401088459</v>
          </cell>
          <cell r="K525" t="str">
            <v>260</v>
          </cell>
          <cell r="M525">
            <v>10000</v>
          </cell>
        </row>
        <row r="526">
          <cell r="J526" t="str">
            <v>5401001779</v>
          </cell>
          <cell r="K526" t="str">
            <v>40</v>
          </cell>
          <cell r="M526">
            <v>16100</v>
          </cell>
        </row>
        <row r="527">
          <cell r="J527" t="str">
            <v>5401030676</v>
          </cell>
          <cell r="K527" t="str">
            <v>30</v>
          </cell>
          <cell r="M527">
            <v>1736</v>
          </cell>
        </row>
        <row r="528">
          <cell r="J528" t="str">
            <v>5401080603</v>
          </cell>
          <cell r="K528" t="str">
            <v>10</v>
          </cell>
          <cell r="M528">
            <v>11300</v>
          </cell>
        </row>
        <row r="529">
          <cell r="J529" t="str">
            <v>5401082177</v>
          </cell>
          <cell r="K529" t="str">
            <v>10</v>
          </cell>
          <cell r="M529">
            <v>18000</v>
          </cell>
        </row>
        <row r="530">
          <cell r="J530" t="str">
            <v>5400836551</v>
          </cell>
          <cell r="K530" t="str">
            <v>20</v>
          </cell>
          <cell r="M530">
            <v>1875</v>
          </cell>
        </row>
        <row r="531">
          <cell r="J531" t="str">
            <v>5400853128</v>
          </cell>
          <cell r="K531" t="str">
            <v>10</v>
          </cell>
          <cell r="M531">
            <v>45333</v>
          </cell>
        </row>
        <row r="532">
          <cell r="J532" t="str">
            <v>5400980360</v>
          </cell>
          <cell r="K532" t="str">
            <v>10</v>
          </cell>
          <cell r="M532">
            <v>8000</v>
          </cell>
        </row>
        <row r="533">
          <cell r="J533" t="str">
            <v>5401001779</v>
          </cell>
          <cell r="K533" t="str">
            <v>40</v>
          </cell>
          <cell r="M533">
            <v>16100</v>
          </cell>
        </row>
        <row r="534">
          <cell r="J534" t="str">
            <v>5400877269</v>
          </cell>
          <cell r="K534" t="str">
            <v>40</v>
          </cell>
          <cell r="M534">
            <v>2787.43</v>
          </cell>
        </row>
        <row r="535">
          <cell r="J535" t="str">
            <v>5400877269</v>
          </cell>
          <cell r="K535" t="str">
            <v>40</v>
          </cell>
          <cell r="M535">
            <v>2787.43</v>
          </cell>
        </row>
        <row r="536">
          <cell r="J536" t="str">
            <v>5401045581</v>
          </cell>
          <cell r="K536" t="str">
            <v>10</v>
          </cell>
          <cell r="M536">
            <v>1130</v>
          </cell>
        </row>
        <row r="537">
          <cell r="J537" t="str">
            <v>5401045581</v>
          </cell>
          <cell r="K537" t="str">
            <v>10</v>
          </cell>
          <cell r="M537">
            <v>10000</v>
          </cell>
        </row>
        <row r="538">
          <cell r="J538" t="str">
            <v>5401094857</v>
          </cell>
          <cell r="K538" t="str">
            <v>10</v>
          </cell>
          <cell r="M538">
            <v>7284.42</v>
          </cell>
        </row>
        <row r="539">
          <cell r="J539" t="str">
            <v>5401094867</v>
          </cell>
          <cell r="K539" t="str">
            <v>10</v>
          </cell>
          <cell r="M539">
            <v>8277</v>
          </cell>
        </row>
        <row r="540">
          <cell r="J540" t="str">
            <v>5401088459</v>
          </cell>
          <cell r="K540" t="str">
            <v>10</v>
          </cell>
          <cell r="M540">
            <v>28177.5</v>
          </cell>
        </row>
        <row r="541">
          <cell r="J541" t="str">
            <v>5401088459</v>
          </cell>
          <cell r="K541" t="str">
            <v>20</v>
          </cell>
          <cell r="M541">
            <v>3892</v>
          </cell>
        </row>
        <row r="542">
          <cell r="J542" t="str">
            <v>5401088459</v>
          </cell>
          <cell r="K542" t="str">
            <v>30</v>
          </cell>
          <cell r="M542">
            <v>33330.92</v>
          </cell>
        </row>
        <row r="543">
          <cell r="J543" t="str">
            <v>5401088459</v>
          </cell>
          <cell r="K543" t="str">
            <v>40</v>
          </cell>
          <cell r="M543">
            <v>4726.33</v>
          </cell>
        </row>
        <row r="544">
          <cell r="J544" t="str">
            <v>5401088459</v>
          </cell>
          <cell r="K544" t="str">
            <v>50</v>
          </cell>
          <cell r="M544">
            <v>64683.17</v>
          </cell>
        </row>
        <row r="545">
          <cell r="J545" t="str">
            <v>5401088459</v>
          </cell>
          <cell r="K545" t="str">
            <v>60</v>
          </cell>
          <cell r="M545">
            <v>6131</v>
          </cell>
        </row>
        <row r="546">
          <cell r="J546" t="str">
            <v>5401088459</v>
          </cell>
          <cell r="K546" t="str">
            <v>70</v>
          </cell>
          <cell r="M546">
            <v>12262</v>
          </cell>
        </row>
        <row r="547">
          <cell r="J547" t="str">
            <v>5401088459</v>
          </cell>
          <cell r="K547" t="str">
            <v>80</v>
          </cell>
          <cell r="M547">
            <v>62652.69</v>
          </cell>
        </row>
        <row r="548">
          <cell r="J548" t="str">
            <v>5401088459</v>
          </cell>
          <cell r="K548" t="str">
            <v>90</v>
          </cell>
          <cell r="M548">
            <v>37055.82</v>
          </cell>
        </row>
        <row r="549">
          <cell r="J549" t="str">
            <v>5401088459</v>
          </cell>
          <cell r="K549" t="str">
            <v>110</v>
          </cell>
          <cell r="M549">
            <v>5833.33</v>
          </cell>
        </row>
        <row r="550">
          <cell r="J550" t="str">
            <v>5401088459</v>
          </cell>
          <cell r="K550" t="str">
            <v>120</v>
          </cell>
          <cell r="M550">
            <v>5250</v>
          </cell>
        </row>
        <row r="551">
          <cell r="J551" t="str">
            <v>5401088459</v>
          </cell>
          <cell r="K551" t="str">
            <v>130</v>
          </cell>
          <cell r="M551">
            <v>27081.58</v>
          </cell>
        </row>
        <row r="552">
          <cell r="J552" t="str">
            <v>5401088459</v>
          </cell>
          <cell r="K552" t="str">
            <v>150</v>
          </cell>
          <cell r="M552">
            <v>7071.53</v>
          </cell>
        </row>
        <row r="553">
          <cell r="J553" t="str">
            <v>5401088459</v>
          </cell>
          <cell r="K553" t="str">
            <v>160</v>
          </cell>
          <cell r="M553">
            <v>9979.5</v>
          </cell>
        </row>
        <row r="554">
          <cell r="J554" t="str">
            <v>5401088459</v>
          </cell>
          <cell r="K554" t="str">
            <v>170</v>
          </cell>
          <cell r="M554">
            <v>1319.25</v>
          </cell>
        </row>
        <row r="555">
          <cell r="J555" t="str">
            <v>5401088459</v>
          </cell>
          <cell r="K555" t="str">
            <v>180</v>
          </cell>
          <cell r="M555">
            <v>6365.08</v>
          </cell>
        </row>
        <row r="556">
          <cell r="J556" t="str">
            <v>5401088459</v>
          </cell>
          <cell r="K556" t="str">
            <v>190</v>
          </cell>
          <cell r="M556">
            <v>20670.240000000002</v>
          </cell>
        </row>
        <row r="557">
          <cell r="J557" t="str">
            <v>5401088459</v>
          </cell>
          <cell r="K557" t="str">
            <v>200</v>
          </cell>
          <cell r="M557">
            <v>33528.04</v>
          </cell>
        </row>
        <row r="558">
          <cell r="J558" t="str">
            <v>5401088459</v>
          </cell>
          <cell r="K558" t="str">
            <v>210</v>
          </cell>
          <cell r="M558">
            <v>27403.14</v>
          </cell>
        </row>
        <row r="559">
          <cell r="J559" t="str">
            <v>5401088459</v>
          </cell>
          <cell r="K559" t="str">
            <v>220</v>
          </cell>
          <cell r="M559">
            <v>5923.44</v>
          </cell>
        </row>
        <row r="560">
          <cell r="J560" t="str">
            <v>5401088459</v>
          </cell>
          <cell r="K560" t="str">
            <v>230</v>
          </cell>
          <cell r="M560">
            <v>3166.2</v>
          </cell>
        </row>
        <row r="561">
          <cell r="J561" t="str">
            <v>5401088459</v>
          </cell>
          <cell r="K561" t="str">
            <v>240</v>
          </cell>
          <cell r="M561">
            <v>14655.6</v>
          </cell>
        </row>
        <row r="562">
          <cell r="J562" t="str">
            <v>5401088459</v>
          </cell>
          <cell r="K562" t="str">
            <v>250</v>
          </cell>
          <cell r="M562">
            <v>16144.11</v>
          </cell>
        </row>
        <row r="563">
          <cell r="J563" t="str">
            <v>5401088459</v>
          </cell>
          <cell r="K563" t="str">
            <v>260</v>
          </cell>
          <cell r="M563">
            <v>10000</v>
          </cell>
        </row>
        <row r="564">
          <cell r="J564" t="str">
            <v>5401088459</v>
          </cell>
          <cell r="K564" t="str">
            <v>270</v>
          </cell>
          <cell r="M564">
            <v>9500</v>
          </cell>
        </row>
        <row r="565">
          <cell r="J565" t="str">
            <v>5400980360</v>
          </cell>
          <cell r="K565" t="str">
            <v>10</v>
          </cell>
          <cell r="M565">
            <v>4165.1099999999997</v>
          </cell>
        </row>
        <row r="566">
          <cell r="J566" t="str">
            <v>5400980360</v>
          </cell>
          <cell r="K566" t="str">
            <v>10</v>
          </cell>
          <cell r="M566">
            <v>7854.35</v>
          </cell>
        </row>
        <row r="567">
          <cell r="J567" t="str">
            <v>5401080603</v>
          </cell>
          <cell r="K567" t="str">
            <v>10</v>
          </cell>
          <cell r="M567">
            <v>11300</v>
          </cell>
        </row>
        <row r="568">
          <cell r="J568" t="str">
            <v>5401082177</v>
          </cell>
          <cell r="K568" t="str">
            <v>10</v>
          </cell>
          <cell r="M568">
            <v>18000</v>
          </cell>
        </row>
        <row r="569">
          <cell r="J569" t="str">
            <v>5401034404</v>
          </cell>
          <cell r="K569" t="str">
            <v>10</v>
          </cell>
          <cell r="M569">
            <v>6953.31</v>
          </cell>
        </row>
        <row r="570">
          <cell r="J570" t="str">
            <v>5401034404</v>
          </cell>
          <cell r="K570" t="str">
            <v>10</v>
          </cell>
          <cell r="M570">
            <v>6622.2</v>
          </cell>
        </row>
        <row r="571">
          <cell r="J571" t="str">
            <v>5401034404</v>
          </cell>
          <cell r="K571" t="str">
            <v>10</v>
          </cell>
          <cell r="M571">
            <v>7284.42</v>
          </cell>
        </row>
        <row r="572">
          <cell r="J572" t="str">
            <v>5401080603</v>
          </cell>
          <cell r="K572" t="str">
            <v>10</v>
          </cell>
          <cell r="M572">
            <v>2260</v>
          </cell>
        </row>
        <row r="573">
          <cell r="J573" t="str">
            <v>5401082177</v>
          </cell>
          <cell r="K573" t="str">
            <v>10</v>
          </cell>
          <cell r="M573">
            <v>-18000</v>
          </cell>
        </row>
        <row r="574">
          <cell r="J574" t="str">
            <v>5401082177</v>
          </cell>
          <cell r="K574" t="str">
            <v>10</v>
          </cell>
          <cell r="M574">
            <v>17680</v>
          </cell>
        </row>
        <row r="575">
          <cell r="J575" t="str">
            <v>5401082177</v>
          </cell>
          <cell r="K575" t="str">
            <v>10</v>
          </cell>
          <cell r="M575">
            <v>17680</v>
          </cell>
        </row>
        <row r="576">
          <cell r="J576" t="str">
            <v>5401099794</v>
          </cell>
          <cell r="K576" t="str">
            <v>10</v>
          </cell>
          <cell r="M576">
            <v>13000</v>
          </cell>
        </row>
        <row r="577">
          <cell r="J577" t="str">
            <v>5400836551</v>
          </cell>
          <cell r="K577" t="str">
            <v>20</v>
          </cell>
          <cell r="M577">
            <v>1875</v>
          </cell>
        </row>
        <row r="578">
          <cell r="J578" t="str">
            <v>5400853128</v>
          </cell>
          <cell r="K578" t="str">
            <v>10</v>
          </cell>
          <cell r="M578">
            <v>45333</v>
          </cell>
        </row>
        <row r="579">
          <cell r="J579" t="str">
            <v>5401001779</v>
          </cell>
          <cell r="K579" t="str">
            <v>40</v>
          </cell>
          <cell r="M579">
            <v>16100</v>
          </cell>
        </row>
        <row r="580">
          <cell r="J580" t="str">
            <v>5400980360</v>
          </cell>
          <cell r="K580" t="str">
            <v>10</v>
          </cell>
          <cell r="M580">
            <v>1162.2</v>
          </cell>
        </row>
        <row r="581">
          <cell r="J581" t="str">
            <v>5401094857</v>
          </cell>
          <cell r="K581" t="str">
            <v>10</v>
          </cell>
          <cell r="M581">
            <v>7284.42</v>
          </cell>
        </row>
        <row r="582">
          <cell r="J582" t="str">
            <v>5401088459</v>
          </cell>
          <cell r="K582" t="str">
            <v>10</v>
          </cell>
          <cell r="M582">
            <v>28177.5</v>
          </cell>
        </row>
        <row r="583">
          <cell r="J583" t="str">
            <v>5401088459</v>
          </cell>
          <cell r="K583" t="str">
            <v>20</v>
          </cell>
          <cell r="M583">
            <v>3892</v>
          </cell>
        </row>
        <row r="584">
          <cell r="J584" t="str">
            <v>5401088459</v>
          </cell>
          <cell r="K584" t="str">
            <v>30</v>
          </cell>
          <cell r="M584">
            <v>33330.92</v>
          </cell>
        </row>
        <row r="585">
          <cell r="J585" t="str">
            <v>5401088459</v>
          </cell>
          <cell r="K585" t="str">
            <v>40</v>
          </cell>
          <cell r="M585">
            <v>4726.33</v>
          </cell>
        </row>
        <row r="586">
          <cell r="J586" t="str">
            <v>5401088459</v>
          </cell>
          <cell r="K586" t="str">
            <v>50</v>
          </cell>
          <cell r="M586">
            <v>64683.17</v>
          </cell>
        </row>
        <row r="587">
          <cell r="J587" t="str">
            <v>5401088459</v>
          </cell>
          <cell r="K587" t="str">
            <v>60</v>
          </cell>
          <cell r="M587">
            <v>6131</v>
          </cell>
        </row>
        <row r="588">
          <cell r="J588" t="str">
            <v>5401088459</v>
          </cell>
          <cell r="K588" t="str">
            <v>70</v>
          </cell>
          <cell r="M588">
            <v>12262</v>
          </cell>
        </row>
        <row r="589">
          <cell r="J589" t="str">
            <v>5401088459</v>
          </cell>
          <cell r="K589" t="str">
            <v>80</v>
          </cell>
          <cell r="M589">
            <v>62652.69</v>
          </cell>
        </row>
        <row r="590">
          <cell r="J590" t="str">
            <v>5401088459</v>
          </cell>
          <cell r="K590" t="str">
            <v>90</v>
          </cell>
          <cell r="M590">
            <v>37055.82</v>
          </cell>
        </row>
        <row r="591">
          <cell r="J591" t="str">
            <v>5401088459</v>
          </cell>
          <cell r="K591" t="str">
            <v>110</v>
          </cell>
          <cell r="M591">
            <v>5833.33</v>
          </cell>
        </row>
        <row r="592">
          <cell r="J592" t="str">
            <v>5401088459</v>
          </cell>
          <cell r="K592" t="str">
            <v>120</v>
          </cell>
          <cell r="M592">
            <v>5250</v>
          </cell>
        </row>
        <row r="593">
          <cell r="J593" t="str">
            <v>5401088459</v>
          </cell>
          <cell r="K593" t="str">
            <v>130</v>
          </cell>
          <cell r="M593">
            <v>27081.58</v>
          </cell>
        </row>
        <row r="594">
          <cell r="J594" t="str">
            <v>5401088459</v>
          </cell>
          <cell r="K594" t="str">
            <v>150</v>
          </cell>
          <cell r="M594">
            <v>7071.33</v>
          </cell>
        </row>
        <row r="595">
          <cell r="J595" t="str">
            <v>5401088459</v>
          </cell>
          <cell r="K595" t="str">
            <v>160</v>
          </cell>
          <cell r="M595">
            <v>9979.5</v>
          </cell>
        </row>
        <row r="596">
          <cell r="J596" t="str">
            <v>5401088459</v>
          </cell>
          <cell r="K596" t="str">
            <v>170</v>
          </cell>
          <cell r="M596">
            <v>1319.25</v>
          </cell>
        </row>
        <row r="597">
          <cell r="J597" t="str">
            <v>5401088459</v>
          </cell>
          <cell r="K597" t="str">
            <v>180</v>
          </cell>
          <cell r="M597">
            <v>6365.08</v>
          </cell>
        </row>
        <row r="598">
          <cell r="J598" t="str">
            <v>5401088459</v>
          </cell>
          <cell r="K598" t="str">
            <v>190</v>
          </cell>
          <cell r="M598">
            <v>20670.240000000002</v>
          </cell>
        </row>
        <row r="599">
          <cell r="J599" t="str">
            <v>5401088459</v>
          </cell>
          <cell r="K599" t="str">
            <v>200</v>
          </cell>
          <cell r="M599">
            <v>27556.720000000001</v>
          </cell>
        </row>
        <row r="600">
          <cell r="J600" t="str">
            <v>5401088459</v>
          </cell>
          <cell r="K600" t="str">
            <v>210</v>
          </cell>
          <cell r="M600">
            <v>27403.14</v>
          </cell>
        </row>
        <row r="601">
          <cell r="J601" t="str">
            <v>5401088459</v>
          </cell>
          <cell r="K601" t="str">
            <v>220</v>
          </cell>
          <cell r="M601">
            <v>5923.44</v>
          </cell>
        </row>
        <row r="602">
          <cell r="J602" t="str">
            <v>5401088459</v>
          </cell>
          <cell r="K602" t="str">
            <v>230</v>
          </cell>
          <cell r="M602">
            <v>3166.2</v>
          </cell>
        </row>
        <row r="603">
          <cell r="J603" t="str">
            <v>5401088459</v>
          </cell>
          <cell r="K603" t="str">
            <v>240</v>
          </cell>
          <cell r="M603">
            <v>7327.8</v>
          </cell>
        </row>
        <row r="604">
          <cell r="J604" t="str">
            <v>5401088459</v>
          </cell>
          <cell r="K604" t="str">
            <v>250</v>
          </cell>
          <cell r="M604">
            <v>16144.11</v>
          </cell>
        </row>
        <row r="605">
          <cell r="J605" t="str">
            <v>5401088459</v>
          </cell>
          <cell r="K605" t="str">
            <v>280</v>
          </cell>
          <cell r="M605">
            <v>7306.2</v>
          </cell>
        </row>
        <row r="606">
          <cell r="J606" t="str">
            <v>5401088459</v>
          </cell>
          <cell r="K606" t="str">
            <v>260</v>
          </cell>
          <cell r="M606">
            <v>10000</v>
          </cell>
        </row>
        <row r="607">
          <cell r="J607" t="str">
            <v>5401094867</v>
          </cell>
          <cell r="K607" t="str">
            <v>10</v>
          </cell>
          <cell r="M607">
            <v>8010</v>
          </cell>
        </row>
        <row r="608">
          <cell r="J608" t="str">
            <v>5401094857</v>
          </cell>
          <cell r="K608" t="str">
            <v>10</v>
          </cell>
          <cell r="M608">
            <v>-7284.42</v>
          </cell>
        </row>
        <row r="609">
          <cell r="J609" t="str">
            <v>5401094857</v>
          </cell>
          <cell r="K609" t="str">
            <v>10</v>
          </cell>
          <cell r="M609">
            <v>6291.09</v>
          </cell>
        </row>
        <row r="610">
          <cell r="J610" t="str">
            <v>5401088459</v>
          </cell>
          <cell r="K610" t="str">
            <v>270</v>
          </cell>
          <cell r="M610">
            <v>9500</v>
          </cell>
        </row>
        <row r="611">
          <cell r="J611" t="str">
            <v>5400877269</v>
          </cell>
          <cell r="K611" t="str">
            <v>40</v>
          </cell>
          <cell r="M611">
            <v>2787.43</v>
          </cell>
        </row>
        <row r="612">
          <cell r="J612" t="str">
            <v>5401023508</v>
          </cell>
          <cell r="K612" t="str">
            <v>30</v>
          </cell>
          <cell r="M612">
            <v>-23240</v>
          </cell>
        </row>
        <row r="613">
          <cell r="J613" t="str">
            <v>5401023508</v>
          </cell>
          <cell r="K613" t="str">
            <v>30</v>
          </cell>
          <cell r="M613">
            <v>-15000</v>
          </cell>
        </row>
        <row r="614">
          <cell r="J614" t="str">
            <v>5401023508</v>
          </cell>
          <cell r="K614" t="str">
            <v>220</v>
          </cell>
          <cell r="M614">
            <v>-4297.8599999999997</v>
          </cell>
        </row>
        <row r="615">
          <cell r="J615" t="str">
            <v>5401023508</v>
          </cell>
          <cell r="K615" t="str">
            <v>230</v>
          </cell>
          <cell r="M615">
            <v>-5130</v>
          </cell>
        </row>
        <row r="616">
          <cell r="J616" t="str">
            <v>5401023508</v>
          </cell>
          <cell r="K616" t="str">
            <v>240</v>
          </cell>
          <cell r="M616">
            <v>-2200.84</v>
          </cell>
        </row>
        <row r="617">
          <cell r="J617" t="str">
            <v>5401023508</v>
          </cell>
          <cell r="K617" t="str">
            <v>210</v>
          </cell>
          <cell r="M617">
            <v>-7045.71</v>
          </cell>
        </row>
        <row r="618">
          <cell r="J618" t="str">
            <v>5401046469</v>
          </cell>
          <cell r="K618" t="str">
            <v>10</v>
          </cell>
          <cell r="M618">
            <v>-6150</v>
          </cell>
        </row>
        <row r="619">
          <cell r="J619" t="str">
            <v>5400836551</v>
          </cell>
          <cell r="K619" t="str">
            <v>20</v>
          </cell>
          <cell r="M619">
            <v>1875</v>
          </cell>
        </row>
        <row r="620">
          <cell r="J620" t="str">
            <v>5400853128</v>
          </cell>
          <cell r="K620" t="str">
            <v>10</v>
          </cell>
          <cell r="M620">
            <v>45333</v>
          </cell>
        </row>
        <row r="621">
          <cell r="J621" t="str">
            <v>5400980360</v>
          </cell>
          <cell r="K621" t="str">
            <v>10</v>
          </cell>
          <cell r="M621">
            <v>10000</v>
          </cell>
        </row>
        <row r="622">
          <cell r="J622" t="str">
            <v>5401001779</v>
          </cell>
          <cell r="K622" t="str">
            <v>40</v>
          </cell>
          <cell r="M622">
            <v>16100</v>
          </cell>
        </row>
        <row r="623">
          <cell r="J623" t="str">
            <v>5401082177</v>
          </cell>
          <cell r="K623" t="str">
            <v>10</v>
          </cell>
          <cell r="M623">
            <v>884</v>
          </cell>
        </row>
        <row r="624">
          <cell r="J624" t="str">
            <v>5401082177</v>
          </cell>
          <cell r="K624" t="str">
            <v>10</v>
          </cell>
          <cell r="M624">
            <v>15000</v>
          </cell>
        </row>
        <row r="625">
          <cell r="J625" t="str">
            <v>5401045581</v>
          </cell>
          <cell r="K625" t="str">
            <v>10</v>
          </cell>
          <cell r="M625">
            <v>-10000</v>
          </cell>
        </row>
        <row r="626">
          <cell r="J626" t="str">
            <v>5401088459</v>
          </cell>
          <cell r="K626" t="str">
            <v>10</v>
          </cell>
          <cell r="M626">
            <v>28177.5</v>
          </cell>
        </row>
        <row r="627">
          <cell r="J627" t="str">
            <v>5401088459</v>
          </cell>
          <cell r="K627" t="str">
            <v>20</v>
          </cell>
          <cell r="M627">
            <v>3892</v>
          </cell>
        </row>
        <row r="628">
          <cell r="J628" t="str">
            <v>5401088459</v>
          </cell>
          <cell r="K628" t="str">
            <v>30</v>
          </cell>
          <cell r="M628">
            <v>33330.92</v>
          </cell>
        </row>
        <row r="629">
          <cell r="J629" t="str">
            <v>5401088459</v>
          </cell>
          <cell r="K629" t="str">
            <v>40</v>
          </cell>
          <cell r="M629">
            <v>4726.33</v>
          </cell>
        </row>
        <row r="630">
          <cell r="J630" t="str">
            <v>5401088459</v>
          </cell>
          <cell r="K630" t="str">
            <v>50</v>
          </cell>
          <cell r="M630">
            <v>64683.17</v>
          </cell>
        </row>
        <row r="631">
          <cell r="J631" t="str">
            <v>5401088459</v>
          </cell>
          <cell r="K631" t="str">
            <v>60</v>
          </cell>
          <cell r="M631">
            <v>6131</v>
          </cell>
        </row>
        <row r="632">
          <cell r="J632" t="str">
            <v>5401088459</v>
          </cell>
          <cell r="K632" t="str">
            <v>70</v>
          </cell>
          <cell r="M632">
            <v>12262</v>
          </cell>
        </row>
        <row r="633">
          <cell r="J633" t="str">
            <v>5401088459</v>
          </cell>
          <cell r="K633" t="str">
            <v>80</v>
          </cell>
          <cell r="M633">
            <v>62652.69</v>
          </cell>
        </row>
        <row r="634">
          <cell r="J634" t="str">
            <v>5401088459</v>
          </cell>
          <cell r="K634" t="str">
            <v>90</v>
          </cell>
          <cell r="M634">
            <v>37055.82</v>
          </cell>
        </row>
        <row r="635">
          <cell r="J635" t="str">
            <v>5401088459</v>
          </cell>
          <cell r="K635" t="str">
            <v>110</v>
          </cell>
          <cell r="M635">
            <v>5833.33</v>
          </cell>
        </row>
        <row r="636">
          <cell r="J636" t="str">
            <v>5401088459</v>
          </cell>
          <cell r="K636" t="str">
            <v>120</v>
          </cell>
          <cell r="M636">
            <v>5250</v>
          </cell>
        </row>
        <row r="637">
          <cell r="J637" t="str">
            <v>5401088459</v>
          </cell>
          <cell r="K637" t="str">
            <v>130</v>
          </cell>
          <cell r="M637">
            <v>14839.58</v>
          </cell>
        </row>
        <row r="638">
          <cell r="J638" t="str">
            <v>5401088459</v>
          </cell>
          <cell r="K638" t="str">
            <v>150</v>
          </cell>
          <cell r="M638">
            <v>7071.33</v>
          </cell>
        </row>
        <row r="639">
          <cell r="J639" t="str">
            <v>5401088459</v>
          </cell>
          <cell r="K639" t="str">
            <v>160</v>
          </cell>
          <cell r="M639">
            <v>9979.5</v>
          </cell>
        </row>
        <row r="640">
          <cell r="J640" t="str">
            <v>5401088459</v>
          </cell>
          <cell r="K640" t="str">
            <v>170</v>
          </cell>
          <cell r="M640">
            <v>1319.25</v>
          </cell>
        </row>
        <row r="641">
          <cell r="J641" t="str">
            <v>5401088459</v>
          </cell>
          <cell r="K641" t="str">
            <v>180</v>
          </cell>
          <cell r="M641">
            <v>6365.08</v>
          </cell>
        </row>
        <row r="642">
          <cell r="J642" t="str">
            <v>5401088459</v>
          </cell>
          <cell r="K642" t="str">
            <v>190</v>
          </cell>
          <cell r="M642">
            <v>20670.240000000002</v>
          </cell>
        </row>
        <row r="643">
          <cell r="J643" t="str">
            <v>5401088459</v>
          </cell>
          <cell r="K643" t="str">
            <v>200</v>
          </cell>
          <cell r="M643">
            <v>30542.38</v>
          </cell>
        </row>
        <row r="644">
          <cell r="J644" t="str">
            <v>5401088459</v>
          </cell>
          <cell r="K644" t="str">
            <v>210</v>
          </cell>
          <cell r="M644">
            <v>27403.14</v>
          </cell>
        </row>
        <row r="645">
          <cell r="J645" t="str">
            <v>5401088459</v>
          </cell>
          <cell r="K645" t="str">
            <v>220</v>
          </cell>
          <cell r="M645">
            <v>5923.44</v>
          </cell>
        </row>
        <row r="646">
          <cell r="J646" t="str">
            <v>5401088459</v>
          </cell>
          <cell r="K646" t="str">
            <v>230</v>
          </cell>
          <cell r="M646">
            <v>3166.2</v>
          </cell>
        </row>
        <row r="647">
          <cell r="J647" t="str">
            <v>5401088459</v>
          </cell>
          <cell r="K647" t="str">
            <v>240</v>
          </cell>
          <cell r="M647">
            <v>4870.8</v>
          </cell>
        </row>
        <row r="648">
          <cell r="J648" t="str">
            <v>5401088459</v>
          </cell>
          <cell r="K648" t="str">
            <v>260</v>
          </cell>
          <cell r="M648">
            <v>10000</v>
          </cell>
        </row>
        <row r="649">
          <cell r="J649" t="str">
            <v>5401088459</v>
          </cell>
          <cell r="K649" t="str">
            <v>270</v>
          </cell>
          <cell r="M649">
            <v>36120</v>
          </cell>
        </row>
        <row r="650">
          <cell r="J650" t="str">
            <v>5400877269</v>
          </cell>
          <cell r="K650" t="str">
            <v>40</v>
          </cell>
          <cell r="M650">
            <v>2898.93</v>
          </cell>
        </row>
        <row r="651">
          <cell r="J651" t="str">
            <v>5401099794</v>
          </cell>
          <cell r="K651" t="str">
            <v>10</v>
          </cell>
          <cell r="M651">
            <v>15000</v>
          </cell>
        </row>
        <row r="652">
          <cell r="J652" t="str">
            <v>5401102219</v>
          </cell>
          <cell r="K652" t="str">
            <v>10</v>
          </cell>
          <cell r="M652">
            <v>16358.9</v>
          </cell>
        </row>
        <row r="653">
          <cell r="J653" t="str">
            <v>5401100854</v>
          </cell>
          <cell r="K653" t="str">
            <v>10</v>
          </cell>
          <cell r="M653">
            <v>18285</v>
          </cell>
        </row>
        <row r="654">
          <cell r="J654" t="str">
            <v>5400836551</v>
          </cell>
          <cell r="K654" t="str">
            <v>20</v>
          </cell>
          <cell r="M654">
            <v>1875</v>
          </cell>
        </row>
        <row r="655">
          <cell r="J655" t="str">
            <v>5400853128</v>
          </cell>
          <cell r="K655" t="str">
            <v>10</v>
          </cell>
          <cell r="M655">
            <v>45333</v>
          </cell>
        </row>
        <row r="656">
          <cell r="J656" t="str">
            <v>5400877269</v>
          </cell>
          <cell r="K656" t="str">
            <v>40</v>
          </cell>
          <cell r="M656">
            <v>2898.93</v>
          </cell>
        </row>
        <row r="657">
          <cell r="J657" t="str">
            <v>5400877269</v>
          </cell>
          <cell r="K657" t="str">
            <v>40</v>
          </cell>
          <cell r="M657">
            <v>669</v>
          </cell>
        </row>
        <row r="658">
          <cell r="J658" t="str">
            <v>5400877269</v>
          </cell>
          <cell r="K658" t="str">
            <v>40</v>
          </cell>
          <cell r="M658">
            <v>111.5</v>
          </cell>
        </row>
        <row r="659">
          <cell r="J659" t="str">
            <v>5400877269</v>
          </cell>
          <cell r="K659" t="str">
            <v>40</v>
          </cell>
          <cell r="M659">
            <v>111.5</v>
          </cell>
        </row>
        <row r="660">
          <cell r="J660" t="str">
            <v>5401001779</v>
          </cell>
          <cell r="K660" t="str">
            <v>40</v>
          </cell>
          <cell r="M660">
            <v>16100</v>
          </cell>
        </row>
        <row r="661">
          <cell r="J661" t="str">
            <v>5401094857</v>
          </cell>
          <cell r="K661" t="str">
            <v>10</v>
          </cell>
          <cell r="M661">
            <v>6953.31</v>
          </cell>
        </row>
        <row r="662">
          <cell r="J662" t="str">
            <v>5400980360</v>
          </cell>
          <cell r="K662" t="str">
            <v>10</v>
          </cell>
          <cell r="M662">
            <v>10000</v>
          </cell>
        </row>
        <row r="663">
          <cell r="J663" t="str">
            <v>5401103107</v>
          </cell>
          <cell r="K663" t="str">
            <v>10</v>
          </cell>
          <cell r="M663">
            <v>28676.38</v>
          </cell>
        </row>
        <row r="664">
          <cell r="J664" t="str">
            <v>5401088459</v>
          </cell>
          <cell r="K664" t="str">
            <v>10</v>
          </cell>
          <cell r="M664">
            <v>28177.5</v>
          </cell>
        </row>
        <row r="665">
          <cell r="J665" t="str">
            <v>5401088459</v>
          </cell>
          <cell r="K665" t="str">
            <v>20</v>
          </cell>
          <cell r="M665">
            <v>3892</v>
          </cell>
        </row>
        <row r="666">
          <cell r="J666" t="str">
            <v>5401088459</v>
          </cell>
          <cell r="K666" t="str">
            <v>30</v>
          </cell>
          <cell r="M666">
            <v>33330.92</v>
          </cell>
        </row>
        <row r="667">
          <cell r="J667" t="str">
            <v>5401088459</v>
          </cell>
          <cell r="K667" t="str">
            <v>40</v>
          </cell>
          <cell r="M667">
            <v>4726.33</v>
          </cell>
        </row>
        <row r="668">
          <cell r="J668" t="str">
            <v>5401088459</v>
          </cell>
          <cell r="K668" t="str">
            <v>50</v>
          </cell>
          <cell r="M668">
            <v>64683.17</v>
          </cell>
        </row>
        <row r="669">
          <cell r="J669" t="str">
            <v>5401088459</v>
          </cell>
          <cell r="K669" t="str">
            <v>60</v>
          </cell>
          <cell r="M669">
            <v>6131</v>
          </cell>
        </row>
        <row r="670">
          <cell r="J670" t="str">
            <v>5401088459</v>
          </cell>
          <cell r="K670" t="str">
            <v>70</v>
          </cell>
          <cell r="M670">
            <v>12262</v>
          </cell>
        </row>
        <row r="671">
          <cell r="J671" t="str">
            <v>5401088459</v>
          </cell>
          <cell r="K671" t="str">
            <v>80</v>
          </cell>
          <cell r="M671">
            <v>62652.69</v>
          </cell>
        </row>
        <row r="672">
          <cell r="J672" t="str">
            <v>5401088459</v>
          </cell>
          <cell r="K672" t="str">
            <v>90</v>
          </cell>
          <cell r="M672">
            <v>37055.82</v>
          </cell>
        </row>
        <row r="673">
          <cell r="J673" t="str">
            <v>5401088459</v>
          </cell>
          <cell r="K673" t="str">
            <v>110</v>
          </cell>
          <cell r="M673">
            <v>5833.33</v>
          </cell>
        </row>
        <row r="674">
          <cell r="J674" t="str">
            <v>5401088459</v>
          </cell>
          <cell r="K674" t="str">
            <v>120</v>
          </cell>
          <cell r="M674">
            <v>5250</v>
          </cell>
        </row>
        <row r="675">
          <cell r="J675" t="str">
            <v>5401088459</v>
          </cell>
          <cell r="K675" t="str">
            <v>130</v>
          </cell>
          <cell r="M675">
            <v>14839.58</v>
          </cell>
        </row>
        <row r="676">
          <cell r="J676" t="str">
            <v>5401088459</v>
          </cell>
          <cell r="K676" t="str">
            <v>150</v>
          </cell>
          <cell r="M676">
            <v>7071.33</v>
          </cell>
        </row>
        <row r="677">
          <cell r="J677" t="str">
            <v>5401088459</v>
          </cell>
          <cell r="K677" t="str">
            <v>160</v>
          </cell>
          <cell r="M677">
            <v>9979.5</v>
          </cell>
        </row>
        <row r="678">
          <cell r="J678" t="str">
            <v>5401088459</v>
          </cell>
          <cell r="K678" t="str">
            <v>170</v>
          </cell>
          <cell r="M678">
            <v>1319.25</v>
          </cell>
        </row>
        <row r="679">
          <cell r="J679" t="str">
            <v>5401088459</v>
          </cell>
          <cell r="K679" t="str">
            <v>180</v>
          </cell>
          <cell r="M679">
            <v>6365.08</v>
          </cell>
        </row>
        <row r="680">
          <cell r="J680" t="str">
            <v>5401088459</v>
          </cell>
          <cell r="K680" t="str">
            <v>190</v>
          </cell>
          <cell r="M680">
            <v>20670.240000000002</v>
          </cell>
        </row>
        <row r="681">
          <cell r="J681" t="str">
            <v>5401088459</v>
          </cell>
          <cell r="K681" t="str">
            <v>200</v>
          </cell>
          <cell r="M681">
            <v>30542.38</v>
          </cell>
        </row>
        <row r="682">
          <cell r="J682" t="str">
            <v>5401088459</v>
          </cell>
          <cell r="K682" t="str">
            <v>210</v>
          </cell>
          <cell r="M682">
            <v>27403.14</v>
          </cell>
        </row>
        <row r="683">
          <cell r="J683" t="str">
            <v>5401088459</v>
          </cell>
          <cell r="K683" t="str">
            <v>220</v>
          </cell>
          <cell r="M683">
            <v>5923.44</v>
          </cell>
        </row>
        <row r="684">
          <cell r="J684" t="str">
            <v>5401088459</v>
          </cell>
          <cell r="K684" t="str">
            <v>230</v>
          </cell>
          <cell r="M684">
            <v>3166.2</v>
          </cell>
        </row>
        <row r="685">
          <cell r="J685" t="str">
            <v>5401088459</v>
          </cell>
          <cell r="K685" t="str">
            <v>240</v>
          </cell>
          <cell r="M685">
            <v>4870.8</v>
          </cell>
        </row>
        <row r="686">
          <cell r="J686" t="str">
            <v>5401088459</v>
          </cell>
          <cell r="K686" t="str">
            <v>260</v>
          </cell>
          <cell r="M686">
            <v>10000</v>
          </cell>
        </row>
        <row r="687">
          <cell r="J687" t="str">
            <v>5401088459</v>
          </cell>
          <cell r="K687" t="str">
            <v>270</v>
          </cell>
          <cell r="M687">
            <v>30809.5</v>
          </cell>
        </row>
        <row r="688">
          <cell r="J688" t="str">
            <v>5401023508</v>
          </cell>
          <cell r="K688" t="str">
            <v>30</v>
          </cell>
          <cell r="M688">
            <v>-15000</v>
          </cell>
        </row>
        <row r="689">
          <cell r="J689" t="str">
            <v>5401099794</v>
          </cell>
          <cell r="K689" t="str">
            <v>10</v>
          </cell>
          <cell r="M689">
            <v>60654</v>
          </cell>
        </row>
        <row r="690">
          <cell r="J690" t="str">
            <v>5401088459</v>
          </cell>
          <cell r="K690" t="str">
            <v>300</v>
          </cell>
          <cell r="M690">
            <v>15276.24</v>
          </cell>
        </row>
        <row r="691">
          <cell r="J691" t="str">
            <v>5400836551</v>
          </cell>
          <cell r="K691" t="str">
            <v>20</v>
          </cell>
          <cell r="M691">
            <v>1875</v>
          </cell>
        </row>
        <row r="692">
          <cell r="J692" t="str">
            <v>5400853128</v>
          </cell>
          <cell r="K692" t="str">
            <v>10</v>
          </cell>
          <cell r="M692">
            <v>27766</v>
          </cell>
        </row>
        <row r="693">
          <cell r="J693" t="str">
            <v>5400980360</v>
          </cell>
          <cell r="K693" t="str">
            <v>10</v>
          </cell>
          <cell r="M693">
            <v>10000</v>
          </cell>
        </row>
        <row r="694">
          <cell r="J694" t="str">
            <v>5401082177</v>
          </cell>
          <cell r="K694" t="str">
            <v>10</v>
          </cell>
          <cell r="M694">
            <v>2680</v>
          </cell>
        </row>
        <row r="695">
          <cell r="J695" t="str">
            <v>5401082177</v>
          </cell>
          <cell r="K695" t="str">
            <v>10</v>
          </cell>
          <cell r="M695">
            <v>17680</v>
          </cell>
        </row>
        <row r="696">
          <cell r="J696" t="str">
            <v>5401082177</v>
          </cell>
          <cell r="K696" t="str">
            <v>10</v>
          </cell>
          <cell r="M696">
            <v>17680</v>
          </cell>
        </row>
        <row r="697">
          <cell r="J697" t="str">
            <v>5401088459</v>
          </cell>
          <cell r="K697" t="str">
            <v>10</v>
          </cell>
          <cell r="M697">
            <v>28177.5</v>
          </cell>
        </row>
        <row r="698">
          <cell r="J698" t="str">
            <v>5401088459</v>
          </cell>
          <cell r="K698" t="str">
            <v>20</v>
          </cell>
          <cell r="M698">
            <v>3892</v>
          </cell>
        </row>
        <row r="699">
          <cell r="J699" t="str">
            <v>5401088459</v>
          </cell>
          <cell r="K699" t="str">
            <v>30</v>
          </cell>
          <cell r="M699">
            <v>33330.92</v>
          </cell>
        </row>
        <row r="700">
          <cell r="J700" t="str">
            <v>5401088459</v>
          </cell>
          <cell r="K700" t="str">
            <v>40</v>
          </cell>
          <cell r="M700">
            <v>4726.33</v>
          </cell>
        </row>
        <row r="701">
          <cell r="J701" t="str">
            <v>5401088459</v>
          </cell>
          <cell r="K701" t="str">
            <v>50</v>
          </cell>
          <cell r="M701">
            <v>64683.17</v>
          </cell>
        </row>
        <row r="702">
          <cell r="J702" t="str">
            <v>5401088459</v>
          </cell>
          <cell r="K702" t="str">
            <v>60</v>
          </cell>
          <cell r="M702">
            <v>6131</v>
          </cell>
        </row>
        <row r="703">
          <cell r="J703" t="str">
            <v>5401088459</v>
          </cell>
          <cell r="K703" t="str">
            <v>70</v>
          </cell>
          <cell r="M703">
            <v>12262</v>
          </cell>
        </row>
        <row r="704">
          <cell r="J704" t="str">
            <v>5401088459</v>
          </cell>
          <cell r="K704" t="str">
            <v>80</v>
          </cell>
          <cell r="M704">
            <v>62652.69</v>
          </cell>
        </row>
        <row r="705">
          <cell r="J705" t="str">
            <v>5401088459</v>
          </cell>
          <cell r="K705" t="str">
            <v>90</v>
          </cell>
          <cell r="M705">
            <v>37055.82</v>
          </cell>
        </row>
        <row r="706">
          <cell r="J706" t="str">
            <v>5401088459</v>
          </cell>
          <cell r="K706" t="str">
            <v>110</v>
          </cell>
          <cell r="M706">
            <v>5833.33</v>
          </cell>
        </row>
        <row r="707">
          <cell r="J707" t="str">
            <v>5401088459</v>
          </cell>
          <cell r="K707" t="str">
            <v>120</v>
          </cell>
          <cell r="M707">
            <v>5250</v>
          </cell>
        </row>
        <row r="708">
          <cell r="J708" t="str">
            <v>5401088459</v>
          </cell>
          <cell r="K708" t="str">
            <v>130</v>
          </cell>
          <cell r="M708">
            <v>14839.58</v>
          </cell>
        </row>
        <row r="709">
          <cell r="J709" t="str">
            <v>5401088459</v>
          </cell>
          <cell r="K709" t="str">
            <v>150</v>
          </cell>
          <cell r="M709">
            <v>7071.33</v>
          </cell>
        </row>
        <row r="710">
          <cell r="J710" t="str">
            <v>5401088459</v>
          </cell>
          <cell r="K710" t="str">
            <v>160</v>
          </cell>
          <cell r="M710">
            <v>9979.5</v>
          </cell>
        </row>
        <row r="711">
          <cell r="J711" t="str">
            <v>5401088459</v>
          </cell>
          <cell r="K711" t="str">
            <v>170</v>
          </cell>
          <cell r="M711">
            <v>1319.25</v>
          </cell>
        </row>
        <row r="712">
          <cell r="J712" t="str">
            <v>5401088459</v>
          </cell>
          <cell r="K712" t="str">
            <v>180</v>
          </cell>
          <cell r="M712">
            <v>6365.08</v>
          </cell>
        </row>
        <row r="713">
          <cell r="J713" t="str">
            <v>5401088459</v>
          </cell>
          <cell r="K713" t="str">
            <v>190</v>
          </cell>
          <cell r="M713">
            <v>20670.240000000002</v>
          </cell>
        </row>
        <row r="714">
          <cell r="J714" t="str">
            <v>5401088459</v>
          </cell>
          <cell r="K714" t="str">
            <v>200</v>
          </cell>
          <cell r="M714">
            <v>30542.38</v>
          </cell>
        </row>
        <row r="715">
          <cell r="J715" t="str">
            <v>5401088459</v>
          </cell>
          <cell r="K715" t="str">
            <v>210</v>
          </cell>
          <cell r="M715">
            <v>27403.14</v>
          </cell>
        </row>
        <row r="716">
          <cell r="J716" t="str">
            <v>5401088459</v>
          </cell>
          <cell r="K716" t="str">
            <v>220</v>
          </cell>
          <cell r="M716">
            <v>5923.44</v>
          </cell>
        </row>
        <row r="717">
          <cell r="J717" t="str">
            <v>5401088459</v>
          </cell>
          <cell r="K717" t="str">
            <v>230</v>
          </cell>
          <cell r="M717">
            <v>3166.2</v>
          </cell>
        </row>
        <row r="718">
          <cell r="J718" t="str">
            <v>5401088459</v>
          </cell>
          <cell r="K718" t="str">
            <v>240</v>
          </cell>
          <cell r="M718">
            <v>4870.8</v>
          </cell>
        </row>
        <row r="719">
          <cell r="J719" t="str">
            <v>5401088459</v>
          </cell>
          <cell r="K719" t="str">
            <v>260</v>
          </cell>
          <cell r="M719">
            <v>10000</v>
          </cell>
        </row>
        <row r="720">
          <cell r="J720" t="str">
            <v>5401088459</v>
          </cell>
          <cell r="K720" t="str">
            <v>270</v>
          </cell>
          <cell r="M720">
            <v>22907.33</v>
          </cell>
        </row>
        <row r="721">
          <cell r="J721" t="str">
            <v>5401088459</v>
          </cell>
          <cell r="K721" t="str">
            <v>290</v>
          </cell>
          <cell r="M721">
            <v>15000</v>
          </cell>
        </row>
        <row r="722">
          <cell r="J722" t="str">
            <v>5401088459</v>
          </cell>
          <cell r="K722" t="str">
            <v>300</v>
          </cell>
          <cell r="M722">
            <v>15000</v>
          </cell>
        </row>
        <row r="723">
          <cell r="J723" t="str">
            <v>5401088459</v>
          </cell>
          <cell r="K723" t="str">
            <v>280</v>
          </cell>
          <cell r="M723">
            <v>10000</v>
          </cell>
        </row>
        <row r="724">
          <cell r="J724" t="str">
            <v>5401099794</v>
          </cell>
          <cell r="K724" t="str">
            <v>10</v>
          </cell>
          <cell r="M724">
            <v>75981</v>
          </cell>
        </row>
        <row r="725">
          <cell r="J725" t="str">
            <v>5401001779</v>
          </cell>
          <cell r="K725" t="str">
            <v>40</v>
          </cell>
          <cell r="M725">
            <v>16100</v>
          </cell>
        </row>
        <row r="726">
          <cell r="J726" t="str">
            <v>5400877269</v>
          </cell>
          <cell r="K726" t="str">
            <v>40</v>
          </cell>
          <cell r="M726">
            <v>2898.93</v>
          </cell>
        </row>
        <row r="727">
          <cell r="J727" t="str">
            <v>5400853128</v>
          </cell>
          <cell r="K727" t="str">
            <v>10</v>
          </cell>
          <cell r="M727">
            <v>39348</v>
          </cell>
        </row>
        <row r="728">
          <cell r="J728" t="str">
            <v>5401023508</v>
          </cell>
          <cell r="K728" t="str">
            <v>250</v>
          </cell>
          <cell r="M728">
            <v>-3366.11</v>
          </cell>
        </row>
        <row r="729">
          <cell r="J729" t="str">
            <v>5401046469</v>
          </cell>
          <cell r="K729" t="str">
            <v>10</v>
          </cell>
          <cell r="M729">
            <v>-6150</v>
          </cell>
        </row>
        <row r="730">
          <cell r="J730" t="str">
            <v>5401046469</v>
          </cell>
          <cell r="K730" t="str">
            <v>10</v>
          </cell>
          <cell r="M730">
            <v>6150</v>
          </cell>
        </row>
        <row r="731">
          <cell r="J731" t="str">
            <v>5401023508</v>
          </cell>
          <cell r="K731" t="str">
            <v>250</v>
          </cell>
          <cell r="M731">
            <v>3366.11</v>
          </cell>
        </row>
        <row r="732">
          <cell r="J732" t="str">
            <v>5401088459</v>
          </cell>
          <cell r="K732" t="str">
            <v>10</v>
          </cell>
          <cell r="M732">
            <v>-0.2</v>
          </cell>
        </row>
        <row r="733">
          <cell r="J733" t="str">
            <v>5401045581</v>
          </cell>
          <cell r="K733" t="str">
            <v>10</v>
          </cell>
          <cell r="M733">
            <v>1130</v>
          </cell>
        </row>
        <row r="734">
          <cell r="J734" t="str">
            <v>5401082177</v>
          </cell>
          <cell r="K734" t="str">
            <v>10</v>
          </cell>
          <cell r="M734">
            <v>-1204</v>
          </cell>
        </row>
        <row r="735">
          <cell r="J735" t="str">
            <v>5401045581</v>
          </cell>
          <cell r="K735" t="str">
            <v>10</v>
          </cell>
          <cell r="M735">
            <v>-1130</v>
          </cell>
        </row>
        <row r="736">
          <cell r="J736" t="str">
            <v>5401088459</v>
          </cell>
          <cell r="K736" t="str">
            <v>150</v>
          </cell>
          <cell r="M736">
            <v>-12.66</v>
          </cell>
        </row>
        <row r="737">
          <cell r="J737" t="str">
            <v>5401103107</v>
          </cell>
          <cell r="K737" t="str">
            <v>10</v>
          </cell>
          <cell r="M737">
            <v>-2461.25</v>
          </cell>
        </row>
        <row r="738">
          <cell r="J738" t="str">
            <v>5401102219</v>
          </cell>
          <cell r="K738" t="str">
            <v>10</v>
          </cell>
          <cell r="M738">
            <v>-1241</v>
          </cell>
        </row>
        <row r="739">
          <cell r="J739" t="str">
            <v>5401023508</v>
          </cell>
          <cell r="K739" t="str">
            <v>110</v>
          </cell>
          <cell r="M739">
            <v>-101124.39</v>
          </cell>
        </row>
        <row r="740">
          <cell r="J740" t="str">
            <v>5401023508</v>
          </cell>
          <cell r="K740" t="str">
            <v>110</v>
          </cell>
          <cell r="M740">
            <v>-101124.38</v>
          </cell>
        </row>
        <row r="741">
          <cell r="J741" t="str">
            <v>#</v>
          </cell>
          <cell r="K741" t="str">
            <v>#</v>
          </cell>
          <cell r="M741">
            <v>7982.96</v>
          </cell>
        </row>
        <row r="742">
          <cell r="J742" t="str">
            <v>#</v>
          </cell>
          <cell r="K742" t="str">
            <v>#</v>
          </cell>
          <cell r="M742">
            <v>-15965.92</v>
          </cell>
        </row>
        <row r="743">
          <cell r="J743" t="str">
            <v>#</v>
          </cell>
          <cell r="K743" t="str">
            <v>#</v>
          </cell>
          <cell r="M743">
            <v>-53040</v>
          </cell>
        </row>
        <row r="744">
          <cell r="J744" t="str">
            <v>#</v>
          </cell>
          <cell r="K744" t="str">
            <v>#</v>
          </cell>
          <cell r="M744">
            <v>-28676.38</v>
          </cell>
        </row>
        <row r="745">
          <cell r="J745" t="str">
            <v>#</v>
          </cell>
          <cell r="K745" t="str">
            <v>#</v>
          </cell>
          <cell r="M745">
            <v>0</v>
          </cell>
        </row>
        <row r="746">
          <cell r="J746" t="str">
            <v>5401062201</v>
          </cell>
          <cell r="K746" t="str">
            <v>10</v>
          </cell>
          <cell r="M746">
            <v>1695</v>
          </cell>
        </row>
        <row r="747">
          <cell r="J747" t="str">
            <v>5401062201</v>
          </cell>
          <cell r="K747" t="str">
            <v>10</v>
          </cell>
          <cell r="M747">
            <v>2002.5</v>
          </cell>
        </row>
        <row r="748">
          <cell r="J748" t="str">
            <v>5401093290</v>
          </cell>
          <cell r="K748" t="str">
            <v>10</v>
          </cell>
          <cell r="M748">
            <v>1610</v>
          </cell>
        </row>
        <row r="749">
          <cell r="J749" t="str">
            <v>5401093290</v>
          </cell>
          <cell r="K749" t="str">
            <v>10</v>
          </cell>
          <cell r="M749">
            <v>3124.5</v>
          </cell>
        </row>
        <row r="750">
          <cell r="J750" t="str">
            <v>5401093290</v>
          </cell>
          <cell r="K750" t="str">
            <v>10</v>
          </cell>
          <cell r="M750">
            <v>5973</v>
          </cell>
        </row>
        <row r="751">
          <cell r="J751" t="str">
            <v>5401093290</v>
          </cell>
          <cell r="K751" t="str">
            <v>10</v>
          </cell>
          <cell r="M751">
            <v>3971.5</v>
          </cell>
        </row>
        <row r="752">
          <cell r="J752" t="str">
            <v>5401093290</v>
          </cell>
          <cell r="K752" t="str">
            <v>10</v>
          </cell>
          <cell r="M752">
            <v>0.5</v>
          </cell>
        </row>
        <row r="753">
          <cell r="J753" t="str">
            <v>5401023593</v>
          </cell>
          <cell r="K753" t="str">
            <v>10</v>
          </cell>
          <cell r="M753">
            <v>-296.95999999999998</v>
          </cell>
        </row>
        <row r="754">
          <cell r="J754" t="str">
            <v>5401023593</v>
          </cell>
          <cell r="K754" t="str">
            <v>10</v>
          </cell>
          <cell r="M754">
            <v>328.84</v>
          </cell>
        </row>
        <row r="755">
          <cell r="J755" t="str">
            <v>5401023593</v>
          </cell>
          <cell r="K755" t="str">
            <v>10</v>
          </cell>
          <cell r="M755">
            <v>340.19</v>
          </cell>
        </row>
        <row r="756">
          <cell r="J756" t="str">
            <v>5401087893</v>
          </cell>
          <cell r="K756" t="str">
            <v>10</v>
          </cell>
          <cell r="M756">
            <v>250</v>
          </cell>
        </row>
        <row r="757">
          <cell r="J757" t="str">
            <v>5401087893</v>
          </cell>
          <cell r="K757" t="str">
            <v>10</v>
          </cell>
          <cell r="M757">
            <v>250</v>
          </cell>
        </row>
        <row r="758">
          <cell r="J758" t="str">
            <v>5401087893</v>
          </cell>
          <cell r="K758" t="str">
            <v>10</v>
          </cell>
          <cell r="M758">
            <v>17.53</v>
          </cell>
        </row>
        <row r="759">
          <cell r="J759" t="str">
            <v>5401087893</v>
          </cell>
          <cell r="K759" t="str">
            <v>10</v>
          </cell>
          <cell r="M759">
            <v>-250</v>
          </cell>
        </row>
        <row r="760">
          <cell r="J760" t="str">
            <v>5401087893</v>
          </cell>
          <cell r="K760" t="str">
            <v>10</v>
          </cell>
          <cell r="M760">
            <v>103.49</v>
          </cell>
        </row>
        <row r="761">
          <cell r="J761" t="str">
            <v>5401087893</v>
          </cell>
          <cell r="K761" t="str">
            <v>10</v>
          </cell>
          <cell r="M761">
            <v>97.55</v>
          </cell>
        </row>
        <row r="762">
          <cell r="J762" t="str">
            <v>5401087893</v>
          </cell>
          <cell r="K762" t="str">
            <v>10</v>
          </cell>
          <cell r="M762">
            <v>145.59</v>
          </cell>
        </row>
        <row r="763">
          <cell r="J763" t="str">
            <v>5401087893</v>
          </cell>
          <cell r="K763" t="str">
            <v>10</v>
          </cell>
          <cell r="M763">
            <v>79.47</v>
          </cell>
        </row>
        <row r="764">
          <cell r="J764" t="str">
            <v>5401081739</v>
          </cell>
          <cell r="K764" t="str">
            <v>10</v>
          </cell>
          <cell r="M764">
            <v>4000</v>
          </cell>
        </row>
        <row r="765">
          <cell r="J765" t="str">
            <v>5401081739</v>
          </cell>
          <cell r="K765" t="str">
            <v>10</v>
          </cell>
          <cell r="M765">
            <v>4000</v>
          </cell>
        </row>
        <row r="766">
          <cell r="J766" t="str">
            <v>5401081739</v>
          </cell>
          <cell r="K766" t="str">
            <v>10</v>
          </cell>
          <cell r="M766">
            <v>-4000</v>
          </cell>
        </row>
        <row r="767">
          <cell r="J767" t="str">
            <v>5401081739</v>
          </cell>
          <cell r="K767" t="str">
            <v>10</v>
          </cell>
          <cell r="M767">
            <v>2600</v>
          </cell>
        </row>
        <row r="768">
          <cell r="J768" t="str">
            <v>5401023799</v>
          </cell>
          <cell r="K768" t="str">
            <v>10</v>
          </cell>
          <cell r="M768">
            <v>-174966.67</v>
          </cell>
        </row>
        <row r="769">
          <cell r="J769" t="str">
            <v>5401046694</v>
          </cell>
          <cell r="K769" t="str">
            <v>40</v>
          </cell>
          <cell r="M769">
            <v>-39608</v>
          </cell>
        </row>
        <row r="770">
          <cell r="J770" t="str">
            <v>5401070323</v>
          </cell>
          <cell r="K770" t="str">
            <v>10</v>
          </cell>
          <cell r="M770">
            <v>69752</v>
          </cell>
        </row>
        <row r="771">
          <cell r="J771" t="str">
            <v>5401024330</v>
          </cell>
          <cell r="K771" t="str">
            <v>10</v>
          </cell>
          <cell r="M771">
            <v>1054</v>
          </cell>
        </row>
        <row r="772">
          <cell r="J772" t="str">
            <v>5401024330</v>
          </cell>
          <cell r="K772" t="str">
            <v>10</v>
          </cell>
          <cell r="M772">
            <v>85.5</v>
          </cell>
        </row>
        <row r="773">
          <cell r="J773" t="str">
            <v>5401024330</v>
          </cell>
          <cell r="K773" t="str">
            <v>10</v>
          </cell>
          <cell r="M773">
            <v>4914.5</v>
          </cell>
        </row>
        <row r="774">
          <cell r="J774" t="str">
            <v>5400963483</v>
          </cell>
          <cell r="K774" t="str">
            <v>30</v>
          </cell>
          <cell r="M774">
            <v>23175.25</v>
          </cell>
        </row>
        <row r="775">
          <cell r="J775" t="str">
            <v>5400963483</v>
          </cell>
          <cell r="K775" t="str">
            <v>30</v>
          </cell>
          <cell r="M775">
            <v>3040</v>
          </cell>
        </row>
        <row r="776">
          <cell r="J776" t="str">
            <v>5401032940</v>
          </cell>
          <cell r="K776" t="str">
            <v>20</v>
          </cell>
          <cell r="M776">
            <v>5000</v>
          </cell>
        </row>
        <row r="777">
          <cell r="J777" t="str">
            <v>5400963483</v>
          </cell>
          <cell r="K777" t="str">
            <v>30</v>
          </cell>
          <cell r="M777">
            <v>23175.25</v>
          </cell>
        </row>
        <row r="778">
          <cell r="J778" t="str">
            <v>5401032940</v>
          </cell>
          <cell r="K778" t="str">
            <v>20</v>
          </cell>
          <cell r="M778">
            <v>5000</v>
          </cell>
        </row>
        <row r="779">
          <cell r="J779" t="str">
            <v>5400963483</v>
          </cell>
          <cell r="K779" t="str">
            <v>30</v>
          </cell>
          <cell r="M779">
            <v>695.26</v>
          </cell>
        </row>
        <row r="780">
          <cell r="J780" t="str">
            <v>5400963483</v>
          </cell>
          <cell r="K780" t="str">
            <v>30</v>
          </cell>
          <cell r="M780">
            <v>23870.51</v>
          </cell>
        </row>
        <row r="781">
          <cell r="J781" t="str">
            <v>5401032940</v>
          </cell>
          <cell r="K781" t="str">
            <v>20</v>
          </cell>
          <cell r="M781">
            <v>5000</v>
          </cell>
        </row>
        <row r="782">
          <cell r="J782" t="str">
            <v>5401032940</v>
          </cell>
          <cell r="K782" t="str">
            <v>20</v>
          </cell>
          <cell r="M782">
            <v>150</v>
          </cell>
        </row>
        <row r="783">
          <cell r="J783" t="str">
            <v>5400963483</v>
          </cell>
          <cell r="K783" t="str">
            <v>30</v>
          </cell>
          <cell r="M783">
            <v>760</v>
          </cell>
        </row>
        <row r="784">
          <cell r="J784" t="str">
            <v>5400963483</v>
          </cell>
          <cell r="K784" t="str">
            <v>30</v>
          </cell>
          <cell r="M784">
            <v>23870.51</v>
          </cell>
        </row>
        <row r="785">
          <cell r="J785" t="str">
            <v>5401032940</v>
          </cell>
          <cell r="K785" t="str">
            <v>20</v>
          </cell>
          <cell r="M785">
            <v>5150</v>
          </cell>
        </row>
        <row r="786">
          <cell r="J786" t="str">
            <v>5400963483</v>
          </cell>
          <cell r="K786" t="str">
            <v>30</v>
          </cell>
          <cell r="M786">
            <v>23870.51</v>
          </cell>
        </row>
        <row r="787">
          <cell r="J787" t="str">
            <v>5401032940</v>
          </cell>
          <cell r="K787" t="str">
            <v>20</v>
          </cell>
          <cell r="M787">
            <v>5150</v>
          </cell>
        </row>
        <row r="788">
          <cell r="J788" t="str">
            <v>5400963483</v>
          </cell>
          <cell r="K788" t="str">
            <v>30</v>
          </cell>
          <cell r="M788">
            <v>23870.51</v>
          </cell>
        </row>
        <row r="789">
          <cell r="J789" t="str">
            <v>5401032940</v>
          </cell>
          <cell r="K789" t="str">
            <v>20</v>
          </cell>
          <cell r="M789">
            <v>150</v>
          </cell>
        </row>
        <row r="790">
          <cell r="J790" t="str">
            <v>5401032940</v>
          </cell>
          <cell r="K790" t="str">
            <v>20</v>
          </cell>
          <cell r="M790">
            <v>5150</v>
          </cell>
        </row>
        <row r="791">
          <cell r="J791" t="str">
            <v>5400963483</v>
          </cell>
          <cell r="K791" t="str">
            <v>30</v>
          </cell>
          <cell r="M791">
            <v>-0.01</v>
          </cell>
        </row>
        <row r="792">
          <cell r="J792" t="str">
            <v>5400963483</v>
          </cell>
          <cell r="K792" t="str">
            <v>30</v>
          </cell>
          <cell r="M792">
            <v>-0.01</v>
          </cell>
        </row>
        <row r="793">
          <cell r="J793" t="str">
            <v>5400963483</v>
          </cell>
          <cell r="K793" t="str">
            <v>30</v>
          </cell>
          <cell r="M793">
            <v>-0.01</v>
          </cell>
        </row>
        <row r="794">
          <cell r="J794" t="str">
            <v>5400963483</v>
          </cell>
          <cell r="K794" t="str">
            <v>30</v>
          </cell>
          <cell r="M794">
            <v>-0.01</v>
          </cell>
        </row>
        <row r="795">
          <cell r="J795" t="str">
            <v>5401112877</v>
          </cell>
          <cell r="K795" t="str">
            <v>10</v>
          </cell>
          <cell r="M795">
            <v>47000</v>
          </cell>
        </row>
        <row r="796">
          <cell r="J796" t="str">
            <v>5400948074</v>
          </cell>
          <cell r="K796" t="str">
            <v>40</v>
          </cell>
          <cell r="M796">
            <v>10492.74</v>
          </cell>
        </row>
        <row r="797">
          <cell r="J797" t="str">
            <v>5400948074</v>
          </cell>
          <cell r="K797" t="str">
            <v>40</v>
          </cell>
          <cell r="M797">
            <v>10492.74</v>
          </cell>
        </row>
        <row r="798">
          <cell r="J798" t="str">
            <v>5400948074</v>
          </cell>
          <cell r="K798" t="str">
            <v>40</v>
          </cell>
          <cell r="M798">
            <v>10492.74</v>
          </cell>
        </row>
        <row r="799">
          <cell r="J799" t="str">
            <v>5400948074</v>
          </cell>
          <cell r="K799" t="str">
            <v>40</v>
          </cell>
          <cell r="M799">
            <v>10492.74</v>
          </cell>
        </row>
        <row r="800">
          <cell r="J800" t="str">
            <v>5400948074</v>
          </cell>
          <cell r="K800" t="str">
            <v>40</v>
          </cell>
          <cell r="M800">
            <v>10492.74</v>
          </cell>
        </row>
        <row r="801">
          <cell r="J801" t="str">
            <v>5400948074</v>
          </cell>
          <cell r="K801" t="str">
            <v>40</v>
          </cell>
          <cell r="M801">
            <v>10492.74</v>
          </cell>
        </row>
        <row r="802">
          <cell r="J802" t="str">
            <v>5401087948</v>
          </cell>
          <cell r="K802" t="str">
            <v>10</v>
          </cell>
          <cell r="M802">
            <v>16000</v>
          </cell>
        </row>
        <row r="803">
          <cell r="J803" t="str">
            <v>5401087948</v>
          </cell>
          <cell r="K803" t="str">
            <v>10</v>
          </cell>
          <cell r="M803">
            <v>146475</v>
          </cell>
        </row>
        <row r="804">
          <cell r="J804" t="str">
            <v>5400904915</v>
          </cell>
          <cell r="K804" t="str">
            <v>40</v>
          </cell>
          <cell r="M804">
            <v>-80000</v>
          </cell>
        </row>
        <row r="805">
          <cell r="J805" t="str">
            <v>5400904915</v>
          </cell>
          <cell r="K805" t="str">
            <v>40</v>
          </cell>
          <cell r="M805">
            <v>29148.16</v>
          </cell>
        </row>
        <row r="806">
          <cell r="J806" t="str">
            <v>5401065401</v>
          </cell>
          <cell r="K806" t="str">
            <v>10</v>
          </cell>
          <cell r="M806">
            <v>45725.46</v>
          </cell>
        </row>
        <row r="807">
          <cell r="J807" t="str">
            <v>5401065401</v>
          </cell>
          <cell r="K807" t="str">
            <v>10</v>
          </cell>
          <cell r="M807">
            <v>2032.72</v>
          </cell>
        </row>
        <row r="808">
          <cell r="J808" t="str">
            <v>5401023517</v>
          </cell>
          <cell r="K808" t="str">
            <v>10</v>
          </cell>
          <cell r="M808">
            <v>109500</v>
          </cell>
        </row>
        <row r="809">
          <cell r="J809" t="str">
            <v>5401087935</v>
          </cell>
          <cell r="K809" t="str">
            <v>10</v>
          </cell>
          <cell r="M809">
            <v>152100</v>
          </cell>
        </row>
        <row r="810">
          <cell r="J810" t="str">
            <v>5401023517</v>
          </cell>
          <cell r="K810" t="str">
            <v>10</v>
          </cell>
          <cell r="M810">
            <v>39900</v>
          </cell>
        </row>
        <row r="811">
          <cell r="J811" t="str">
            <v>5401023517</v>
          </cell>
          <cell r="K811" t="str">
            <v>10</v>
          </cell>
          <cell r="M811">
            <v>109500</v>
          </cell>
        </row>
        <row r="812">
          <cell r="J812" t="str">
            <v>5401107545</v>
          </cell>
          <cell r="K812" t="str">
            <v>10</v>
          </cell>
          <cell r="M812">
            <v>174886.8</v>
          </cell>
        </row>
        <row r="813">
          <cell r="J813" t="str">
            <v>5401107545</v>
          </cell>
          <cell r="K813" t="str">
            <v>10</v>
          </cell>
          <cell r="M813">
            <v>693.2</v>
          </cell>
        </row>
        <row r="814">
          <cell r="J814" t="str">
            <v>5401091700</v>
          </cell>
          <cell r="K814" t="str">
            <v>10</v>
          </cell>
          <cell r="M814">
            <v>8613</v>
          </cell>
        </row>
        <row r="815">
          <cell r="J815" t="str">
            <v>5401091700</v>
          </cell>
          <cell r="K815" t="str">
            <v>10</v>
          </cell>
          <cell r="M815">
            <v>8613</v>
          </cell>
        </row>
        <row r="816">
          <cell r="J816" t="str">
            <v>5401091700</v>
          </cell>
          <cell r="K816" t="str">
            <v>10</v>
          </cell>
          <cell r="M816">
            <v>86133</v>
          </cell>
        </row>
        <row r="817">
          <cell r="J817" t="str">
            <v>5401035617</v>
          </cell>
          <cell r="K817" t="str">
            <v>20</v>
          </cell>
          <cell r="M817">
            <v>-15000</v>
          </cell>
        </row>
        <row r="818">
          <cell r="J818" t="str">
            <v>5401035617</v>
          </cell>
          <cell r="K818" t="str">
            <v>20</v>
          </cell>
          <cell r="M818">
            <v>28652.560000000001</v>
          </cell>
        </row>
        <row r="819">
          <cell r="J819" t="str">
            <v>5401035617</v>
          </cell>
          <cell r="K819" t="str">
            <v>20</v>
          </cell>
          <cell r="M819">
            <v>7982.96</v>
          </cell>
        </row>
        <row r="820">
          <cell r="J820" t="str">
            <v>5401035617</v>
          </cell>
          <cell r="K820" t="str">
            <v>30</v>
          </cell>
          <cell r="M820">
            <v>15000</v>
          </cell>
        </row>
        <row r="821">
          <cell r="J821" t="str">
            <v>5401035617</v>
          </cell>
          <cell r="K821" t="str">
            <v>30</v>
          </cell>
          <cell r="M821">
            <v>15830</v>
          </cell>
        </row>
        <row r="822">
          <cell r="J822" t="str">
            <v>5401035617</v>
          </cell>
          <cell r="K822" t="str">
            <v>30</v>
          </cell>
          <cell r="M822">
            <v>20000</v>
          </cell>
        </row>
        <row r="823">
          <cell r="J823" t="str">
            <v>5401035617</v>
          </cell>
          <cell r="K823" t="str">
            <v>30</v>
          </cell>
          <cell r="M823">
            <v>10675.4</v>
          </cell>
        </row>
        <row r="824">
          <cell r="J824" t="str">
            <v>5401035617</v>
          </cell>
          <cell r="K824" t="str">
            <v>30</v>
          </cell>
          <cell r="M824">
            <v>20000</v>
          </cell>
        </row>
        <row r="825">
          <cell r="J825" t="str">
            <v>5401035617</v>
          </cell>
          <cell r="K825" t="str">
            <v>30</v>
          </cell>
          <cell r="M825">
            <v>7225.02</v>
          </cell>
        </row>
        <row r="826">
          <cell r="J826" t="str">
            <v>5401035617</v>
          </cell>
          <cell r="K826" t="str">
            <v>30</v>
          </cell>
          <cell r="M826">
            <v>20000</v>
          </cell>
        </row>
        <row r="827">
          <cell r="J827" t="str">
            <v>5401035617</v>
          </cell>
          <cell r="K827" t="str">
            <v>30</v>
          </cell>
          <cell r="M827">
            <v>8143.63</v>
          </cell>
        </row>
        <row r="828">
          <cell r="J828" t="str">
            <v>5401035617</v>
          </cell>
          <cell r="K828" t="str">
            <v>30</v>
          </cell>
          <cell r="M828">
            <v>20000</v>
          </cell>
        </row>
        <row r="829">
          <cell r="J829" t="str">
            <v>5401035617</v>
          </cell>
          <cell r="K829" t="str">
            <v>30</v>
          </cell>
          <cell r="M829">
            <v>8473.5400000000009</v>
          </cell>
        </row>
        <row r="830">
          <cell r="J830" t="str">
            <v>5401035617</v>
          </cell>
          <cell r="K830" t="str">
            <v>30</v>
          </cell>
          <cell r="M830">
            <v>20000</v>
          </cell>
        </row>
        <row r="831">
          <cell r="J831" t="str">
            <v>5401035617</v>
          </cell>
          <cell r="K831" t="str">
            <v>30</v>
          </cell>
          <cell r="M831">
            <v>0.8</v>
          </cell>
        </row>
        <row r="832">
          <cell r="J832" t="str">
            <v>5401046672</v>
          </cell>
          <cell r="K832" t="str">
            <v>20</v>
          </cell>
          <cell r="M832">
            <v>33468.639999999999</v>
          </cell>
        </row>
        <row r="833">
          <cell r="J833" t="str">
            <v>5401058449</v>
          </cell>
          <cell r="K833" t="str">
            <v>20</v>
          </cell>
          <cell r="M833">
            <v>-35979</v>
          </cell>
        </row>
        <row r="834">
          <cell r="J834" t="str">
            <v>5401058449</v>
          </cell>
          <cell r="K834" t="str">
            <v>20</v>
          </cell>
          <cell r="M834">
            <v>23639.78</v>
          </cell>
        </row>
        <row r="835">
          <cell r="J835" t="str">
            <v>5401058449</v>
          </cell>
          <cell r="K835" t="str">
            <v>20</v>
          </cell>
          <cell r="M835">
            <v>216</v>
          </cell>
        </row>
        <row r="836">
          <cell r="J836" t="str">
            <v>5401046672</v>
          </cell>
          <cell r="K836" t="str">
            <v>20</v>
          </cell>
          <cell r="M836">
            <v>306</v>
          </cell>
        </row>
        <row r="837">
          <cell r="J837" t="str">
            <v>5401105571</v>
          </cell>
          <cell r="K837" t="str">
            <v>10</v>
          </cell>
          <cell r="M837">
            <v>21349</v>
          </cell>
        </row>
        <row r="838">
          <cell r="J838" t="str">
            <v>5401076975</v>
          </cell>
          <cell r="K838" t="str">
            <v>10</v>
          </cell>
          <cell r="M838">
            <v>600</v>
          </cell>
        </row>
        <row r="839">
          <cell r="J839" t="str">
            <v>5401076975</v>
          </cell>
          <cell r="K839" t="str">
            <v>20</v>
          </cell>
          <cell r="M839">
            <v>790</v>
          </cell>
        </row>
        <row r="840">
          <cell r="J840" t="str">
            <v>5401076975</v>
          </cell>
          <cell r="K840" t="str">
            <v>60</v>
          </cell>
          <cell r="M840">
            <v>300</v>
          </cell>
        </row>
        <row r="841">
          <cell r="J841" t="str">
            <v>5401076975</v>
          </cell>
          <cell r="K841" t="str">
            <v>40</v>
          </cell>
          <cell r="M841">
            <v>500</v>
          </cell>
        </row>
        <row r="842">
          <cell r="J842" t="str">
            <v>5401076975</v>
          </cell>
          <cell r="K842" t="str">
            <v>10</v>
          </cell>
          <cell r="M842">
            <v>600</v>
          </cell>
        </row>
        <row r="843">
          <cell r="J843" t="str">
            <v>5401076975</v>
          </cell>
          <cell r="K843" t="str">
            <v>20</v>
          </cell>
          <cell r="M843">
            <v>790</v>
          </cell>
        </row>
        <row r="844">
          <cell r="J844" t="str">
            <v>5401076975</v>
          </cell>
          <cell r="K844" t="str">
            <v>40</v>
          </cell>
          <cell r="M844">
            <v>500</v>
          </cell>
        </row>
        <row r="845">
          <cell r="J845" t="str">
            <v>5401076975</v>
          </cell>
          <cell r="K845" t="str">
            <v>60</v>
          </cell>
          <cell r="M845">
            <v>300</v>
          </cell>
        </row>
        <row r="846">
          <cell r="J846" t="str">
            <v>5401076975</v>
          </cell>
          <cell r="K846" t="str">
            <v>10</v>
          </cell>
          <cell r="M846">
            <v>600</v>
          </cell>
        </row>
        <row r="847">
          <cell r="J847" t="str">
            <v>5401076975</v>
          </cell>
          <cell r="K847" t="str">
            <v>20</v>
          </cell>
          <cell r="M847">
            <v>790</v>
          </cell>
        </row>
        <row r="848">
          <cell r="J848" t="str">
            <v>5401076975</v>
          </cell>
          <cell r="K848" t="str">
            <v>40</v>
          </cell>
          <cell r="M848">
            <v>500</v>
          </cell>
        </row>
        <row r="849">
          <cell r="J849" t="str">
            <v>5401076975</v>
          </cell>
          <cell r="K849" t="str">
            <v>60</v>
          </cell>
          <cell r="M849">
            <v>300</v>
          </cell>
        </row>
        <row r="850">
          <cell r="J850" t="str">
            <v>5401076975</v>
          </cell>
          <cell r="K850" t="str">
            <v>10</v>
          </cell>
          <cell r="M850">
            <v>600</v>
          </cell>
        </row>
        <row r="851">
          <cell r="J851" t="str">
            <v>5401076975</v>
          </cell>
          <cell r="K851" t="str">
            <v>20</v>
          </cell>
          <cell r="M851">
            <v>790</v>
          </cell>
        </row>
        <row r="852">
          <cell r="J852" t="str">
            <v>5401076975</v>
          </cell>
          <cell r="K852" t="str">
            <v>60</v>
          </cell>
          <cell r="M852">
            <v>300</v>
          </cell>
        </row>
        <row r="853">
          <cell r="J853" t="str">
            <v>5401076975</v>
          </cell>
          <cell r="K853" t="str">
            <v>70</v>
          </cell>
          <cell r="M853">
            <v>1688</v>
          </cell>
        </row>
        <row r="854">
          <cell r="J854" t="str">
            <v>5401076975</v>
          </cell>
          <cell r="K854" t="str">
            <v>10</v>
          </cell>
          <cell r="M854">
            <v>600</v>
          </cell>
        </row>
        <row r="855">
          <cell r="J855" t="str">
            <v>5401076975</v>
          </cell>
          <cell r="K855" t="str">
            <v>20</v>
          </cell>
          <cell r="M855">
            <v>790</v>
          </cell>
        </row>
        <row r="856">
          <cell r="J856" t="str">
            <v>5401076975</v>
          </cell>
          <cell r="K856" t="str">
            <v>60</v>
          </cell>
          <cell r="M856">
            <v>300</v>
          </cell>
        </row>
        <row r="857">
          <cell r="J857" t="str">
            <v>5401076975</v>
          </cell>
          <cell r="K857" t="str">
            <v>70</v>
          </cell>
          <cell r="M857">
            <v>422</v>
          </cell>
        </row>
        <row r="858">
          <cell r="J858" t="str">
            <v>5401076975</v>
          </cell>
          <cell r="K858" t="str">
            <v>10</v>
          </cell>
          <cell r="M858">
            <v>600</v>
          </cell>
        </row>
        <row r="859">
          <cell r="J859" t="str">
            <v>5401076975</v>
          </cell>
          <cell r="K859" t="str">
            <v>20</v>
          </cell>
          <cell r="M859">
            <v>790</v>
          </cell>
        </row>
        <row r="860">
          <cell r="J860" t="str">
            <v>5401076975</v>
          </cell>
          <cell r="K860" t="str">
            <v>60</v>
          </cell>
          <cell r="M860">
            <v>300</v>
          </cell>
        </row>
        <row r="861">
          <cell r="J861" t="str">
            <v>5401084795</v>
          </cell>
          <cell r="K861" t="str">
            <v>10</v>
          </cell>
          <cell r="M861">
            <v>50000</v>
          </cell>
        </row>
        <row r="862">
          <cell r="J862" t="str">
            <v>5401084795</v>
          </cell>
          <cell r="K862" t="str">
            <v>10</v>
          </cell>
          <cell r="M862">
            <v>50000</v>
          </cell>
        </row>
        <row r="863">
          <cell r="J863" t="str">
            <v>5401105561</v>
          </cell>
          <cell r="K863" t="str">
            <v>10</v>
          </cell>
          <cell r="M863">
            <v>61130</v>
          </cell>
        </row>
        <row r="864">
          <cell r="J864" t="str">
            <v>5401105561</v>
          </cell>
          <cell r="K864" t="str">
            <v>10</v>
          </cell>
          <cell r="M864">
            <v>25000</v>
          </cell>
        </row>
        <row r="865">
          <cell r="J865" t="str">
            <v>5401105561</v>
          </cell>
          <cell r="K865" t="str">
            <v>10</v>
          </cell>
          <cell r="M865">
            <v>25000</v>
          </cell>
        </row>
        <row r="866">
          <cell r="J866" t="str">
            <v>5401105561</v>
          </cell>
          <cell r="K866" t="str">
            <v>10</v>
          </cell>
          <cell r="M866">
            <v>-25000</v>
          </cell>
        </row>
        <row r="867">
          <cell r="J867" t="str">
            <v>5401105561</v>
          </cell>
          <cell r="K867" t="str">
            <v>10</v>
          </cell>
          <cell r="M867">
            <v>61130</v>
          </cell>
        </row>
        <row r="868">
          <cell r="J868" t="str">
            <v>5401105561</v>
          </cell>
          <cell r="K868" t="str">
            <v>10</v>
          </cell>
          <cell r="M868">
            <v>61130</v>
          </cell>
        </row>
        <row r="869">
          <cell r="J869" t="str">
            <v>5401116335</v>
          </cell>
          <cell r="K869" t="str">
            <v>10</v>
          </cell>
          <cell r="M869">
            <v>35000</v>
          </cell>
        </row>
        <row r="870">
          <cell r="J870" t="str">
            <v>5401084790</v>
          </cell>
          <cell r="K870" t="str">
            <v>10</v>
          </cell>
          <cell r="M870">
            <v>12500</v>
          </cell>
        </row>
        <row r="871">
          <cell r="J871" t="str">
            <v>5401084790</v>
          </cell>
          <cell r="K871" t="str">
            <v>10</v>
          </cell>
          <cell r="M871">
            <v>0.01</v>
          </cell>
        </row>
        <row r="872">
          <cell r="J872" t="str">
            <v>5401035816</v>
          </cell>
          <cell r="K872" t="str">
            <v>20</v>
          </cell>
          <cell r="M872">
            <v>617.59</v>
          </cell>
        </row>
        <row r="873">
          <cell r="J873" t="str">
            <v>5401024377</v>
          </cell>
          <cell r="K873" t="str">
            <v>10</v>
          </cell>
          <cell r="M873">
            <v>-320</v>
          </cell>
        </row>
        <row r="874">
          <cell r="J874" t="str">
            <v>5401024377</v>
          </cell>
          <cell r="K874" t="str">
            <v>10</v>
          </cell>
          <cell r="M874">
            <v>303.14999999999998</v>
          </cell>
        </row>
        <row r="875">
          <cell r="J875" t="str">
            <v>5401069879</v>
          </cell>
          <cell r="K875" t="str">
            <v>10</v>
          </cell>
          <cell r="M875">
            <v>310</v>
          </cell>
        </row>
        <row r="876">
          <cell r="J876" t="str">
            <v>5401069879</v>
          </cell>
          <cell r="K876" t="str">
            <v>10</v>
          </cell>
          <cell r="M876">
            <v>-310</v>
          </cell>
        </row>
        <row r="877">
          <cell r="J877" t="str">
            <v>5401069879</v>
          </cell>
          <cell r="K877" t="str">
            <v>10</v>
          </cell>
          <cell r="M877">
            <v>325.61</v>
          </cell>
        </row>
        <row r="878">
          <cell r="J878" t="str">
            <v>5401069879</v>
          </cell>
          <cell r="K878" t="str">
            <v>10</v>
          </cell>
          <cell r="M878">
            <v>320</v>
          </cell>
        </row>
        <row r="879">
          <cell r="J879" t="str">
            <v>5401069879</v>
          </cell>
          <cell r="K879" t="str">
            <v>10</v>
          </cell>
          <cell r="M879">
            <v>-320</v>
          </cell>
        </row>
        <row r="880">
          <cell r="J880" t="str">
            <v>5401069879</v>
          </cell>
          <cell r="K880" t="str">
            <v>10</v>
          </cell>
          <cell r="M880">
            <v>304.18</v>
          </cell>
        </row>
        <row r="881">
          <cell r="J881" t="str">
            <v>5401069879</v>
          </cell>
          <cell r="K881" t="str">
            <v>10</v>
          </cell>
          <cell r="M881">
            <v>310</v>
          </cell>
        </row>
        <row r="882">
          <cell r="J882" t="str">
            <v>5401069879</v>
          </cell>
          <cell r="K882" t="str">
            <v>10</v>
          </cell>
          <cell r="M882">
            <v>-310</v>
          </cell>
        </row>
        <row r="883">
          <cell r="J883" t="str">
            <v>5401069879</v>
          </cell>
          <cell r="K883" t="str">
            <v>10</v>
          </cell>
          <cell r="M883">
            <v>304.44</v>
          </cell>
        </row>
        <row r="884">
          <cell r="J884" t="str">
            <v>5401069879</v>
          </cell>
          <cell r="K884" t="str">
            <v>10</v>
          </cell>
          <cell r="M884">
            <v>310</v>
          </cell>
        </row>
        <row r="885">
          <cell r="J885" t="str">
            <v>5401069879</v>
          </cell>
          <cell r="K885" t="str">
            <v>10</v>
          </cell>
          <cell r="M885">
            <v>-310</v>
          </cell>
        </row>
        <row r="886">
          <cell r="J886" t="str">
            <v>5401069879</v>
          </cell>
          <cell r="K886" t="str">
            <v>10</v>
          </cell>
          <cell r="M886">
            <v>306.89999999999998</v>
          </cell>
        </row>
        <row r="887">
          <cell r="J887" t="str">
            <v>5401069879</v>
          </cell>
          <cell r="K887" t="str">
            <v>10</v>
          </cell>
          <cell r="M887">
            <v>310</v>
          </cell>
        </row>
        <row r="888">
          <cell r="J888" t="str">
            <v>5401069879</v>
          </cell>
          <cell r="K888" t="str">
            <v>10</v>
          </cell>
          <cell r="M888">
            <v>-310</v>
          </cell>
        </row>
        <row r="889">
          <cell r="J889" t="str">
            <v>5401069879</v>
          </cell>
          <cell r="K889" t="str">
            <v>10</v>
          </cell>
          <cell r="M889">
            <v>303.76</v>
          </cell>
        </row>
        <row r="890">
          <cell r="J890" t="str">
            <v>5401069879</v>
          </cell>
          <cell r="K890" t="str">
            <v>10</v>
          </cell>
          <cell r="M890">
            <v>310</v>
          </cell>
        </row>
        <row r="891">
          <cell r="J891" t="str">
            <v>5401099954</v>
          </cell>
          <cell r="K891" t="str">
            <v>10</v>
          </cell>
          <cell r="M891">
            <v>7000</v>
          </cell>
        </row>
        <row r="892">
          <cell r="J892" t="str">
            <v>5401099954</v>
          </cell>
          <cell r="K892" t="str">
            <v>10</v>
          </cell>
          <cell r="M892">
            <v>13000</v>
          </cell>
        </row>
        <row r="893">
          <cell r="J893" t="str">
            <v>5401099954</v>
          </cell>
          <cell r="K893" t="str">
            <v>10</v>
          </cell>
          <cell r="M893">
            <v>13000</v>
          </cell>
        </row>
        <row r="894">
          <cell r="J894" t="str">
            <v>5401099954</v>
          </cell>
          <cell r="K894" t="str">
            <v>10</v>
          </cell>
          <cell r="M894">
            <v>-13000</v>
          </cell>
        </row>
        <row r="895">
          <cell r="J895" t="str">
            <v>5401099954</v>
          </cell>
          <cell r="K895" t="str">
            <v>10</v>
          </cell>
          <cell r="M895">
            <v>13000</v>
          </cell>
        </row>
        <row r="896">
          <cell r="J896" t="str">
            <v>5401099954</v>
          </cell>
          <cell r="K896" t="str">
            <v>10</v>
          </cell>
          <cell r="M896">
            <v>-13000</v>
          </cell>
        </row>
        <row r="897">
          <cell r="J897" t="str">
            <v>5401094853</v>
          </cell>
          <cell r="K897" t="str">
            <v>10</v>
          </cell>
          <cell r="M897">
            <v>7000</v>
          </cell>
        </row>
        <row r="898">
          <cell r="J898" t="str">
            <v>5401024578</v>
          </cell>
          <cell r="K898" t="str">
            <v>10</v>
          </cell>
          <cell r="M898">
            <v>251</v>
          </cell>
        </row>
        <row r="899">
          <cell r="J899" t="str">
            <v>5401024578</v>
          </cell>
          <cell r="K899" t="str">
            <v>10</v>
          </cell>
          <cell r="M899">
            <v>251</v>
          </cell>
        </row>
        <row r="900">
          <cell r="J900" t="str">
            <v>5401024578</v>
          </cell>
          <cell r="K900" t="str">
            <v>10</v>
          </cell>
          <cell r="M900">
            <v>-251</v>
          </cell>
        </row>
        <row r="901">
          <cell r="J901" t="str">
            <v>5401024578</v>
          </cell>
          <cell r="K901" t="str">
            <v>10</v>
          </cell>
          <cell r="M901">
            <v>38</v>
          </cell>
        </row>
        <row r="902">
          <cell r="J902" t="str">
            <v>5401024578</v>
          </cell>
          <cell r="K902" t="str">
            <v>10</v>
          </cell>
          <cell r="M902">
            <v>38</v>
          </cell>
        </row>
        <row r="903">
          <cell r="J903" t="str">
            <v>5401024578</v>
          </cell>
          <cell r="K903" t="str">
            <v>10</v>
          </cell>
          <cell r="M903">
            <v>38</v>
          </cell>
        </row>
        <row r="904">
          <cell r="J904" t="str">
            <v>5401024578</v>
          </cell>
          <cell r="K904" t="str">
            <v>10</v>
          </cell>
          <cell r="M904">
            <v>47</v>
          </cell>
        </row>
        <row r="905">
          <cell r="J905" t="str">
            <v>5401024578</v>
          </cell>
          <cell r="K905" t="str">
            <v>10</v>
          </cell>
          <cell r="M905">
            <v>251</v>
          </cell>
        </row>
        <row r="906">
          <cell r="J906" t="str">
            <v>5401102205</v>
          </cell>
          <cell r="K906" t="str">
            <v>10</v>
          </cell>
          <cell r="M906">
            <v>251</v>
          </cell>
        </row>
        <row r="907">
          <cell r="J907" t="str">
            <v>5401106540</v>
          </cell>
          <cell r="K907" t="str">
            <v>10</v>
          </cell>
          <cell r="M907">
            <v>3175</v>
          </cell>
        </row>
        <row r="908">
          <cell r="J908" t="str">
            <v>5401088267</v>
          </cell>
          <cell r="K908" t="str">
            <v>10</v>
          </cell>
          <cell r="M908">
            <v>174966.67</v>
          </cell>
        </row>
        <row r="909">
          <cell r="J909" t="str">
            <v>5401088267</v>
          </cell>
          <cell r="K909" t="str">
            <v>20</v>
          </cell>
          <cell r="M909">
            <v>63573</v>
          </cell>
        </row>
        <row r="910">
          <cell r="J910" t="str">
            <v>5401088267</v>
          </cell>
          <cell r="K910" t="str">
            <v>10</v>
          </cell>
          <cell r="M910">
            <v>180310.33</v>
          </cell>
        </row>
        <row r="911">
          <cell r="J911" t="str">
            <v>5401088267</v>
          </cell>
          <cell r="K911" t="str">
            <v>10</v>
          </cell>
          <cell r="M911">
            <v>180310.33</v>
          </cell>
        </row>
        <row r="912">
          <cell r="J912" t="str">
            <v>5401088277</v>
          </cell>
          <cell r="K912" t="str">
            <v>10</v>
          </cell>
          <cell r="M912">
            <v>5400</v>
          </cell>
        </row>
        <row r="913">
          <cell r="J913" t="str">
            <v>5401097345</v>
          </cell>
          <cell r="K913" t="str">
            <v>10</v>
          </cell>
          <cell r="M913">
            <v>43914.61</v>
          </cell>
        </row>
        <row r="914">
          <cell r="J914" t="str">
            <v>5401088267</v>
          </cell>
          <cell r="K914" t="str">
            <v>10</v>
          </cell>
          <cell r="M914">
            <v>180310.33</v>
          </cell>
        </row>
        <row r="915">
          <cell r="J915" t="str">
            <v>5401088267</v>
          </cell>
          <cell r="K915" t="str">
            <v>10</v>
          </cell>
          <cell r="M915">
            <v>180310.33</v>
          </cell>
        </row>
        <row r="916">
          <cell r="J916" t="str">
            <v>5401105569</v>
          </cell>
          <cell r="K916" t="str">
            <v>10</v>
          </cell>
          <cell r="M916">
            <v>27543.1</v>
          </cell>
        </row>
        <row r="917">
          <cell r="J917" t="str">
            <v>5401088267</v>
          </cell>
          <cell r="K917" t="str">
            <v>10</v>
          </cell>
          <cell r="M917">
            <v>180310.33</v>
          </cell>
        </row>
        <row r="918">
          <cell r="J918" t="str">
            <v>5401088267</v>
          </cell>
          <cell r="K918" t="str">
            <v>10</v>
          </cell>
          <cell r="M918">
            <v>180310.33</v>
          </cell>
        </row>
        <row r="919">
          <cell r="J919" t="str">
            <v>#</v>
          </cell>
          <cell r="K919" t="str">
            <v>#</v>
          </cell>
          <cell r="M919">
            <v>-27965.08</v>
          </cell>
        </row>
        <row r="920">
          <cell r="J920" t="str">
            <v>#</v>
          </cell>
          <cell r="K920" t="str">
            <v>#</v>
          </cell>
          <cell r="M920">
            <v>-20590.91</v>
          </cell>
        </row>
        <row r="921">
          <cell r="J921" t="str">
            <v>#</v>
          </cell>
          <cell r="K921" t="str">
            <v>#</v>
          </cell>
          <cell r="M921">
            <v>-19545.45</v>
          </cell>
        </row>
        <row r="922">
          <cell r="J922" t="str">
            <v>#</v>
          </cell>
          <cell r="K922" t="str">
            <v>#</v>
          </cell>
          <cell r="M922">
            <v>-20590.91</v>
          </cell>
        </row>
        <row r="923">
          <cell r="J923" t="str">
            <v>#</v>
          </cell>
          <cell r="K923" t="str">
            <v>#</v>
          </cell>
          <cell r="M923">
            <v>-19545.45</v>
          </cell>
        </row>
        <row r="924">
          <cell r="J924" t="str">
            <v>#</v>
          </cell>
          <cell r="K924" t="str">
            <v>#</v>
          </cell>
          <cell r="M924">
            <v>-20590.91</v>
          </cell>
        </row>
        <row r="925">
          <cell r="J925" t="str">
            <v>#</v>
          </cell>
          <cell r="K925" t="str">
            <v>#</v>
          </cell>
          <cell r="M925">
            <v>-19545.45</v>
          </cell>
        </row>
        <row r="926">
          <cell r="J926" t="str">
            <v>#</v>
          </cell>
          <cell r="K926" t="str">
            <v>#</v>
          </cell>
          <cell r="M926">
            <v>-20590.91</v>
          </cell>
        </row>
        <row r="927">
          <cell r="J927" t="str">
            <v>#</v>
          </cell>
          <cell r="K927" t="str">
            <v>#</v>
          </cell>
          <cell r="M927">
            <v>-19545.45</v>
          </cell>
        </row>
        <row r="928">
          <cell r="J928" t="str">
            <v>#</v>
          </cell>
          <cell r="K928" t="str">
            <v>#</v>
          </cell>
          <cell r="M928">
            <v>-20590.91</v>
          </cell>
        </row>
        <row r="929">
          <cell r="J929" t="str">
            <v>#</v>
          </cell>
          <cell r="K929" t="str">
            <v>#</v>
          </cell>
          <cell r="M929">
            <v>-19545.45</v>
          </cell>
        </row>
        <row r="930">
          <cell r="J930" t="str">
            <v>#</v>
          </cell>
          <cell r="K930" t="str">
            <v>#</v>
          </cell>
          <cell r="M930">
            <v>56432</v>
          </cell>
        </row>
        <row r="931">
          <cell r="J931" t="str">
            <v>#</v>
          </cell>
          <cell r="K931" t="str">
            <v>#</v>
          </cell>
          <cell r="M931">
            <v>70482</v>
          </cell>
        </row>
        <row r="932">
          <cell r="J932" t="str">
            <v>#</v>
          </cell>
          <cell r="K932" t="str">
            <v>#</v>
          </cell>
          <cell r="M932">
            <v>95796.66</v>
          </cell>
        </row>
        <row r="933">
          <cell r="J933" t="str">
            <v>#</v>
          </cell>
          <cell r="K933" t="str">
            <v>#</v>
          </cell>
          <cell r="M933">
            <v>-39900</v>
          </cell>
        </row>
        <row r="934">
          <cell r="J934" t="str">
            <v>#</v>
          </cell>
          <cell r="K934" t="str">
            <v>#</v>
          </cell>
          <cell r="M934">
            <v>83895.24</v>
          </cell>
        </row>
        <row r="935">
          <cell r="J935" t="str">
            <v>#</v>
          </cell>
          <cell r="K935" t="str">
            <v>#</v>
          </cell>
          <cell r="M935">
            <v>0</v>
          </cell>
        </row>
        <row r="936">
          <cell r="J936" t="str">
            <v>#</v>
          </cell>
          <cell r="K936" t="str">
            <v>#</v>
          </cell>
          <cell r="M936">
            <v>-79895.45</v>
          </cell>
        </row>
        <row r="937">
          <cell r="J937" t="str">
            <v>#</v>
          </cell>
          <cell r="K937" t="str">
            <v>#</v>
          </cell>
          <cell r="M937">
            <v>0</v>
          </cell>
        </row>
        <row r="938">
          <cell r="J938" t="str">
            <v>#</v>
          </cell>
          <cell r="K938" t="str">
            <v>#</v>
          </cell>
          <cell r="M938">
            <v>-86133</v>
          </cell>
        </row>
        <row r="939">
          <cell r="J939" t="str">
            <v>#</v>
          </cell>
          <cell r="K939" t="str">
            <v>#</v>
          </cell>
          <cell r="M939">
            <v>34453.199999999997</v>
          </cell>
        </row>
        <row r="940">
          <cell r="J940" t="str">
            <v>#</v>
          </cell>
          <cell r="K940" t="str">
            <v>#</v>
          </cell>
          <cell r="M940">
            <v>0</v>
          </cell>
        </row>
        <row r="941">
          <cell r="J941" t="str">
            <v>#</v>
          </cell>
          <cell r="K941" t="str">
            <v>#</v>
          </cell>
          <cell r="M941">
            <v>-175580</v>
          </cell>
        </row>
        <row r="942">
          <cell r="J942" t="str">
            <v>#</v>
          </cell>
          <cell r="K942" t="str">
            <v>#</v>
          </cell>
          <cell r="M942">
            <v>29263.34</v>
          </cell>
        </row>
        <row r="943">
          <cell r="J943" t="str">
            <v>#</v>
          </cell>
          <cell r="K943" t="str">
            <v>#</v>
          </cell>
          <cell r="M943">
            <v>-7982.96</v>
          </cell>
        </row>
        <row r="944">
          <cell r="J944" t="str">
            <v>#</v>
          </cell>
          <cell r="K944" t="str">
            <v>#</v>
          </cell>
          <cell r="M944">
            <v>-3380</v>
          </cell>
        </row>
        <row r="945">
          <cell r="J945" t="str">
            <v>#</v>
          </cell>
          <cell r="K945" t="str">
            <v>#</v>
          </cell>
          <cell r="M945">
            <v>-13520</v>
          </cell>
        </row>
        <row r="946">
          <cell r="J946" t="str">
            <v>#</v>
          </cell>
          <cell r="K946" t="str">
            <v>#</v>
          </cell>
          <cell r="M946">
            <v>-2600</v>
          </cell>
        </row>
        <row r="947">
          <cell r="J947" t="str">
            <v>#</v>
          </cell>
          <cell r="K947" t="str">
            <v>#</v>
          </cell>
          <cell r="M947">
            <v>-69752</v>
          </cell>
        </row>
        <row r="948">
          <cell r="J948" t="str">
            <v>#</v>
          </cell>
          <cell r="K948" t="str">
            <v>#</v>
          </cell>
          <cell r="M948">
            <v>34876.019999999997</v>
          </cell>
        </row>
        <row r="949">
          <cell r="J949" t="str">
            <v>#</v>
          </cell>
          <cell r="K949" t="str">
            <v>#</v>
          </cell>
          <cell r="M949">
            <v>109500</v>
          </cell>
        </row>
        <row r="950">
          <cell r="J950" t="str">
            <v>#</v>
          </cell>
          <cell r="K950" t="str">
            <v>#</v>
          </cell>
          <cell r="M950">
            <v>-109500</v>
          </cell>
        </row>
        <row r="951">
          <cell r="J951" t="str">
            <v>#</v>
          </cell>
          <cell r="K951" t="str">
            <v>#</v>
          </cell>
          <cell r="M951">
            <v>-76050</v>
          </cell>
        </row>
        <row r="952">
          <cell r="J952" t="str">
            <v>#</v>
          </cell>
          <cell r="K952" t="str">
            <v>#</v>
          </cell>
          <cell r="M952">
            <v>0</v>
          </cell>
        </row>
        <row r="953">
          <cell r="J953" t="str">
            <v>#</v>
          </cell>
          <cell r="K953" t="str">
            <v>#</v>
          </cell>
          <cell r="M953">
            <v>0</v>
          </cell>
        </row>
        <row r="954">
          <cell r="J954" t="str">
            <v>#</v>
          </cell>
          <cell r="K954" t="str">
            <v>#</v>
          </cell>
          <cell r="M954">
            <v>0</v>
          </cell>
        </row>
        <row r="955">
          <cell r="J955" t="str">
            <v>#</v>
          </cell>
          <cell r="K955" t="str">
            <v>#</v>
          </cell>
          <cell r="M955">
            <v>0</v>
          </cell>
        </row>
        <row r="956">
          <cell r="J956" t="str">
            <v>5401082136</v>
          </cell>
          <cell r="K956" t="str">
            <v>10</v>
          </cell>
          <cell r="M956">
            <v>68375.75</v>
          </cell>
        </row>
        <row r="957">
          <cell r="J957" t="str">
            <v>5401082136</v>
          </cell>
          <cell r="K957" t="str">
            <v>20</v>
          </cell>
          <cell r="M957">
            <v>168901.73</v>
          </cell>
        </row>
        <row r="958">
          <cell r="J958" t="str">
            <v>5401082136</v>
          </cell>
          <cell r="K958" t="str">
            <v>30</v>
          </cell>
          <cell r="M958">
            <v>20944.41</v>
          </cell>
        </row>
        <row r="959">
          <cell r="J959" t="str">
            <v>5401082136</v>
          </cell>
          <cell r="K959" t="str">
            <v>40</v>
          </cell>
          <cell r="M959">
            <v>17656.84</v>
          </cell>
        </row>
        <row r="960">
          <cell r="J960" t="str">
            <v>5401082136</v>
          </cell>
          <cell r="K960" t="str">
            <v>50</v>
          </cell>
          <cell r="M960">
            <v>23781.16</v>
          </cell>
        </row>
        <row r="961">
          <cell r="J961" t="str">
            <v>5401082136</v>
          </cell>
          <cell r="K961" t="str">
            <v>180</v>
          </cell>
          <cell r="M961">
            <v>330625.61</v>
          </cell>
        </row>
        <row r="962">
          <cell r="J962" t="str">
            <v>5401082136</v>
          </cell>
          <cell r="K962" t="str">
            <v>60</v>
          </cell>
          <cell r="M962">
            <v>2262.5100000000002</v>
          </cell>
        </row>
        <row r="963">
          <cell r="J963" t="str">
            <v>5401082136</v>
          </cell>
          <cell r="K963" t="str">
            <v>70</v>
          </cell>
          <cell r="M963">
            <v>63104.12</v>
          </cell>
        </row>
        <row r="964">
          <cell r="J964" t="str">
            <v>5401082136</v>
          </cell>
          <cell r="K964" t="str">
            <v>80</v>
          </cell>
          <cell r="M964">
            <v>121364.81</v>
          </cell>
        </row>
        <row r="965">
          <cell r="J965" t="str">
            <v>5401082136</v>
          </cell>
          <cell r="K965" t="str">
            <v>90</v>
          </cell>
          <cell r="M965">
            <v>9195.9599999999991</v>
          </cell>
        </row>
        <row r="966">
          <cell r="J966" t="str">
            <v>5401082136</v>
          </cell>
          <cell r="K966" t="str">
            <v>100</v>
          </cell>
          <cell r="M966">
            <v>104944.45</v>
          </cell>
        </row>
        <row r="967">
          <cell r="J967" t="str">
            <v>5401082136</v>
          </cell>
          <cell r="K967" t="str">
            <v>110</v>
          </cell>
          <cell r="M967">
            <v>19858.41</v>
          </cell>
        </row>
        <row r="968">
          <cell r="J968" t="str">
            <v>5401082136</v>
          </cell>
          <cell r="K968" t="str">
            <v>120</v>
          </cell>
          <cell r="M968">
            <v>28319.9</v>
          </cell>
        </row>
        <row r="969">
          <cell r="J969" t="str">
            <v>5401082136</v>
          </cell>
          <cell r="K969" t="str">
            <v>130</v>
          </cell>
          <cell r="M969">
            <v>6402.76</v>
          </cell>
        </row>
        <row r="970">
          <cell r="J970" t="str">
            <v>5401082136</v>
          </cell>
          <cell r="K970" t="str">
            <v>140</v>
          </cell>
          <cell r="M970">
            <v>1264102.6499999999</v>
          </cell>
        </row>
        <row r="971">
          <cell r="J971" t="str">
            <v>5401082136</v>
          </cell>
          <cell r="K971" t="str">
            <v>150</v>
          </cell>
          <cell r="M971">
            <v>1041281.95</v>
          </cell>
        </row>
        <row r="972">
          <cell r="J972" t="str">
            <v>5401082136</v>
          </cell>
          <cell r="K972" t="str">
            <v>160</v>
          </cell>
          <cell r="M972">
            <v>115201.81</v>
          </cell>
        </row>
        <row r="973">
          <cell r="J973" t="str">
            <v>5401082136</v>
          </cell>
          <cell r="K973" t="str">
            <v>170</v>
          </cell>
          <cell r="M973">
            <v>94757.78</v>
          </cell>
        </row>
        <row r="974">
          <cell r="J974" t="str">
            <v>5401082136</v>
          </cell>
          <cell r="K974" t="str">
            <v>190</v>
          </cell>
          <cell r="M974">
            <v>179100.54</v>
          </cell>
        </row>
        <row r="975">
          <cell r="J975" t="str">
            <v>5401082136</v>
          </cell>
          <cell r="K975" t="str">
            <v>200</v>
          </cell>
          <cell r="M975">
            <v>1052.76</v>
          </cell>
        </row>
        <row r="976">
          <cell r="J976" t="str">
            <v>5401082136</v>
          </cell>
          <cell r="K976" t="str">
            <v>210</v>
          </cell>
          <cell r="M976">
            <v>1005540.05</v>
          </cell>
        </row>
        <row r="977">
          <cell r="J977" t="str">
            <v>5401082136</v>
          </cell>
          <cell r="K977" t="str">
            <v>220</v>
          </cell>
          <cell r="M977">
            <v>420781.96</v>
          </cell>
        </row>
        <row r="978">
          <cell r="J978" t="str">
            <v>5401082136</v>
          </cell>
          <cell r="K978" t="str">
            <v>230</v>
          </cell>
          <cell r="M978">
            <v>1362.19</v>
          </cell>
        </row>
        <row r="979">
          <cell r="J979" t="str">
            <v>5401082136</v>
          </cell>
          <cell r="K979" t="str">
            <v>240</v>
          </cell>
          <cell r="M979">
            <v>22021.55</v>
          </cell>
        </row>
        <row r="980">
          <cell r="J980" t="str">
            <v>5401019012</v>
          </cell>
          <cell r="K980" t="str">
            <v>20</v>
          </cell>
          <cell r="M980">
            <v>74125</v>
          </cell>
        </row>
        <row r="981">
          <cell r="J981" t="str">
            <v>5401084786</v>
          </cell>
          <cell r="K981" t="str">
            <v>10</v>
          </cell>
          <cell r="M981">
            <v>256800</v>
          </cell>
        </row>
        <row r="982">
          <cell r="J982" t="str">
            <v>5401019012</v>
          </cell>
          <cell r="K982" t="str">
            <v>20</v>
          </cell>
          <cell r="M982">
            <v>73875</v>
          </cell>
        </row>
        <row r="983">
          <cell r="J983" t="str">
            <v>5401050766</v>
          </cell>
          <cell r="K983" t="str">
            <v>10</v>
          </cell>
          <cell r="M983">
            <v>10330</v>
          </cell>
        </row>
        <row r="984">
          <cell r="J984" t="str">
            <v>5401050766</v>
          </cell>
          <cell r="K984" t="str">
            <v>10</v>
          </cell>
          <cell r="M984">
            <v>172.9</v>
          </cell>
        </row>
        <row r="985">
          <cell r="J985" t="str">
            <v>5401019012</v>
          </cell>
          <cell r="K985" t="str">
            <v>20</v>
          </cell>
          <cell r="M985">
            <v>-55937.5</v>
          </cell>
        </row>
        <row r="986">
          <cell r="J986" t="str">
            <v>5401019012</v>
          </cell>
          <cell r="K986" t="str">
            <v>20</v>
          </cell>
          <cell r="M986">
            <v>55937.5</v>
          </cell>
        </row>
        <row r="987">
          <cell r="J987" t="str">
            <v>5401019012</v>
          </cell>
          <cell r="K987" t="str">
            <v>20</v>
          </cell>
          <cell r="M987">
            <v>-250</v>
          </cell>
        </row>
        <row r="988">
          <cell r="J988" t="str">
            <v>5400904056</v>
          </cell>
          <cell r="K988" t="str">
            <v>30</v>
          </cell>
          <cell r="M988">
            <v>-23640</v>
          </cell>
        </row>
        <row r="989">
          <cell r="J989" t="str">
            <v>5401087947</v>
          </cell>
          <cell r="K989" t="str">
            <v>10</v>
          </cell>
          <cell r="M989">
            <v>10693.38</v>
          </cell>
        </row>
        <row r="990">
          <cell r="J990" t="str">
            <v>5401087947</v>
          </cell>
          <cell r="K990" t="str">
            <v>10</v>
          </cell>
          <cell r="M990">
            <v>382.5</v>
          </cell>
        </row>
        <row r="991">
          <cell r="J991" t="str">
            <v>5401087947</v>
          </cell>
          <cell r="K991" t="str">
            <v>10</v>
          </cell>
          <cell r="M991">
            <v>13337.5</v>
          </cell>
        </row>
        <row r="992">
          <cell r="J992" t="str">
            <v>5401096886</v>
          </cell>
          <cell r="K992" t="str">
            <v>10</v>
          </cell>
          <cell r="M992">
            <v>10400</v>
          </cell>
        </row>
        <row r="993">
          <cell r="J993" t="str">
            <v>5401096889</v>
          </cell>
          <cell r="K993" t="str">
            <v>10</v>
          </cell>
          <cell r="M993">
            <v>4000</v>
          </cell>
        </row>
        <row r="994">
          <cell r="J994" t="str">
            <v>5401096887</v>
          </cell>
          <cell r="K994" t="str">
            <v>10</v>
          </cell>
          <cell r="M994">
            <v>1600</v>
          </cell>
        </row>
        <row r="995">
          <cell r="J995" t="str">
            <v>5401096888</v>
          </cell>
          <cell r="K995" t="str">
            <v>10</v>
          </cell>
          <cell r="M995">
            <v>1600</v>
          </cell>
        </row>
        <row r="996">
          <cell r="J996" t="str">
            <v>5401096890</v>
          </cell>
          <cell r="K996" t="str">
            <v>10</v>
          </cell>
          <cell r="M996">
            <v>4900</v>
          </cell>
        </row>
        <row r="997">
          <cell r="J997" t="str">
            <v>5401096890</v>
          </cell>
          <cell r="K997" t="str">
            <v>10</v>
          </cell>
          <cell r="M997">
            <v>4900</v>
          </cell>
        </row>
        <row r="998">
          <cell r="J998" t="str">
            <v>5401087947</v>
          </cell>
          <cell r="K998" t="str">
            <v>10</v>
          </cell>
          <cell r="M998">
            <v>510</v>
          </cell>
        </row>
        <row r="999">
          <cell r="J999" t="str">
            <v>5401087947</v>
          </cell>
          <cell r="K999" t="str">
            <v>10</v>
          </cell>
          <cell r="M999">
            <v>10725</v>
          </cell>
        </row>
        <row r="1000">
          <cell r="J1000" t="str">
            <v>5401096890</v>
          </cell>
          <cell r="K1000" t="str">
            <v>10</v>
          </cell>
          <cell r="M1000">
            <v>4900</v>
          </cell>
        </row>
        <row r="1001">
          <cell r="J1001" t="str">
            <v>5401087947</v>
          </cell>
          <cell r="K1001" t="str">
            <v>10</v>
          </cell>
          <cell r="M1001">
            <v>255</v>
          </cell>
        </row>
        <row r="1002">
          <cell r="J1002" t="str">
            <v>5401024590</v>
          </cell>
          <cell r="K1002" t="str">
            <v>10</v>
          </cell>
          <cell r="M1002">
            <v>-142.5</v>
          </cell>
        </row>
        <row r="1003">
          <cell r="J1003" t="str">
            <v>5401024590</v>
          </cell>
          <cell r="K1003" t="str">
            <v>10</v>
          </cell>
          <cell r="M1003">
            <v>-427.5</v>
          </cell>
        </row>
        <row r="1004">
          <cell r="J1004" t="str">
            <v>5401024590</v>
          </cell>
          <cell r="K1004" t="str">
            <v>10</v>
          </cell>
          <cell r="M1004">
            <v>-142.5</v>
          </cell>
        </row>
        <row r="1005">
          <cell r="J1005" t="str">
            <v>5401096890</v>
          </cell>
          <cell r="K1005" t="str">
            <v>10</v>
          </cell>
          <cell r="M1005">
            <v>-4900</v>
          </cell>
        </row>
        <row r="1006">
          <cell r="J1006" t="str">
            <v>5401096890</v>
          </cell>
          <cell r="K1006" t="str">
            <v>10</v>
          </cell>
          <cell r="M1006">
            <v>-4900</v>
          </cell>
        </row>
        <row r="1007">
          <cell r="J1007" t="str">
            <v>5401096890</v>
          </cell>
          <cell r="K1007" t="str">
            <v>10</v>
          </cell>
          <cell r="M1007">
            <v>-4900</v>
          </cell>
        </row>
        <row r="1008">
          <cell r="J1008" t="str">
            <v>5401087947</v>
          </cell>
          <cell r="K1008" t="str">
            <v>10</v>
          </cell>
          <cell r="M1008">
            <v>8250</v>
          </cell>
        </row>
        <row r="1009">
          <cell r="J1009" t="str">
            <v>5401087947</v>
          </cell>
          <cell r="K1009" t="str">
            <v>10</v>
          </cell>
          <cell r="M1009">
            <v>255</v>
          </cell>
        </row>
        <row r="1010">
          <cell r="J1010" t="str">
            <v>5401087947</v>
          </cell>
          <cell r="K1010" t="str">
            <v>10</v>
          </cell>
          <cell r="M1010">
            <v>446.25</v>
          </cell>
        </row>
        <row r="1011">
          <cell r="J1011" t="str">
            <v>5401087947</v>
          </cell>
          <cell r="K1011" t="str">
            <v>10</v>
          </cell>
          <cell r="M1011">
            <v>13612.5</v>
          </cell>
        </row>
        <row r="1012">
          <cell r="J1012" t="str">
            <v>5401087947</v>
          </cell>
          <cell r="K1012" t="str">
            <v>10</v>
          </cell>
          <cell r="M1012">
            <v>127.5</v>
          </cell>
        </row>
        <row r="1013">
          <cell r="J1013" t="str">
            <v>5401087947</v>
          </cell>
          <cell r="K1013" t="str">
            <v>10</v>
          </cell>
          <cell r="M1013">
            <v>11962.5</v>
          </cell>
        </row>
        <row r="1014">
          <cell r="J1014" t="str">
            <v>5401087947</v>
          </cell>
          <cell r="K1014" t="str">
            <v>10</v>
          </cell>
          <cell r="M1014">
            <v>127.5</v>
          </cell>
        </row>
        <row r="1015">
          <cell r="J1015" t="str">
            <v>5401087947</v>
          </cell>
          <cell r="K1015" t="str">
            <v>10</v>
          </cell>
          <cell r="M1015">
            <v>-0.01</v>
          </cell>
        </row>
        <row r="1016">
          <cell r="J1016" t="str">
            <v>5401014593</v>
          </cell>
          <cell r="K1016" t="str">
            <v>20</v>
          </cell>
          <cell r="M1016">
            <v>1428.51</v>
          </cell>
        </row>
        <row r="1017">
          <cell r="J1017" t="str">
            <v>5401069722</v>
          </cell>
          <cell r="K1017" t="str">
            <v>10</v>
          </cell>
          <cell r="M1017">
            <v>10000</v>
          </cell>
        </row>
        <row r="1018">
          <cell r="J1018" t="str">
            <v>5401069722</v>
          </cell>
          <cell r="K1018" t="str">
            <v>10</v>
          </cell>
          <cell r="M1018">
            <v>4540.5200000000004</v>
          </cell>
        </row>
        <row r="1019">
          <cell r="J1019" t="str">
            <v>5401069722</v>
          </cell>
          <cell r="K1019" t="str">
            <v>10</v>
          </cell>
          <cell r="M1019">
            <v>10000</v>
          </cell>
        </row>
        <row r="1020">
          <cell r="J1020" t="str">
            <v>5401069722</v>
          </cell>
          <cell r="K1020" t="str">
            <v>10</v>
          </cell>
          <cell r="M1020">
            <v>10000</v>
          </cell>
        </row>
        <row r="1021">
          <cell r="J1021" t="str">
            <v>5401069722</v>
          </cell>
          <cell r="K1021" t="str">
            <v>10</v>
          </cell>
          <cell r="M1021">
            <v>2858.93</v>
          </cell>
        </row>
        <row r="1022">
          <cell r="J1022" t="str">
            <v>5401069722</v>
          </cell>
          <cell r="K1022" t="str">
            <v>20</v>
          </cell>
          <cell r="M1022">
            <v>1790.01</v>
          </cell>
        </row>
        <row r="1023">
          <cell r="J1023" t="str">
            <v>5401069722</v>
          </cell>
          <cell r="K1023" t="str">
            <v>20</v>
          </cell>
          <cell r="M1023">
            <v>1681.59</v>
          </cell>
        </row>
        <row r="1024">
          <cell r="J1024" t="str">
            <v>5401069722</v>
          </cell>
          <cell r="K1024" t="str">
            <v>10</v>
          </cell>
          <cell r="M1024">
            <v>10000</v>
          </cell>
        </row>
        <row r="1025">
          <cell r="J1025" t="str">
            <v>5401069722</v>
          </cell>
          <cell r="K1025" t="str">
            <v>10</v>
          </cell>
          <cell r="M1025">
            <v>10000</v>
          </cell>
        </row>
        <row r="1026">
          <cell r="J1026" t="str">
            <v>5401069722</v>
          </cell>
          <cell r="K1026" t="str">
            <v>10</v>
          </cell>
          <cell r="M1026">
            <v>-10000</v>
          </cell>
        </row>
        <row r="1027">
          <cell r="J1027" t="str">
            <v>5401069722</v>
          </cell>
          <cell r="K1027" t="str">
            <v>10</v>
          </cell>
          <cell r="M1027">
            <v>-10000</v>
          </cell>
        </row>
        <row r="1028">
          <cell r="J1028" t="str">
            <v>5401084021</v>
          </cell>
          <cell r="K1028" t="str">
            <v>10</v>
          </cell>
          <cell r="M1028">
            <v>233383.24</v>
          </cell>
        </row>
        <row r="1029">
          <cell r="J1029" t="str">
            <v>5400983219</v>
          </cell>
          <cell r="K1029" t="str">
            <v>30</v>
          </cell>
          <cell r="M1029">
            <v>78852</v>
          </cell>
        </row>
        <row r="1030">
          <cell r="J1030" t="str">
            <v>5401094871</v>
          </cell>
          <cell r="K1030" t="str">
            <v>10</v>
          </cell>
          <cell r="M1030">
            <v>25074.73</v>
          </cell>
        </row>
        <row r="1031">
          <cell r="J1031" t="str">
            <v>5401081737</v>
          </cell>
          <cell r="K1031" t="str">
            <v>10</v>
          </cell>
          <cell r="M1031">
            <v>12370</v>
          </cell>
        </row>
        <row r="1032">
          <cell r="J1032" t="str">
            <v>5401087955</v>
          </cell>
          <cell r="K1032" t="str">
            <v>10</v>
          </cell>
          <cell r="M1032">
            <v>427.5</v>
          </cell>
        </row>
        <row r="1033">
          <cell r="J1033" t="str">
            <v>5401087955</v>
          </cell>
          <cell r="K1033" t="str">
            <v>10</v>
          </cell>
          <cell r="M1033">
            <v>142.5</v>
          </cell>
        </row>
        <row r="1034">
          <cell r="J1034" t="str">
            <v>5401087955</v>
          </cell>
          <cell r="K1034" t="str">
            <v>10</v>
          </cell>
          <cell r="M1034">
            <v>142.5</v>
          </cell>
        </row>
        <row r="1035">
          <cell r="J1035" t="str">
            <v>5401087955</v>
          </cell>
          <cell r="K1035" t="str">
            <v>10</v>
          </cell>
          <cell r="M1035">
            <v>142.5</v>
          </cell>
        </row>
        <row r="1036">
          <cell r="J1036" t="str">
            <v>5401081737</v>
          </cell>
          <cell r="K1036" t="str">
            <v>10</v>
          </cell>
          <cell r="M1036">
            <v>12370</v>
          </cell>
        </row>
        <row r="1037">
          <cell r="J1037" t="str">
            <v>5401087955</v>
          </cell>
          <cell r="K1037" t="str">
            <v>10</v>
          </cell>
          <cell r="M1037">
            <v>427.5</v>
          </cell>
        </row>
        <row r="1038">
          <cell r="J1038" t="str">
            <v>5401087955</v>
          </cell>
          <cell r="K1038" t="str">
            <v>10</v>
          </cell>
          <cell r="M1038">
            <v>285</v>
          </cell>
        </row>
        <row r="1039">
          <cell r="J1039" t="str">
            <v>5401087955</v>
          </cell>
          <cell r="K1039" t="str">
            <v>10</v>
          </cell>
          <cell r="M1039">
            <v>142.5</v>
          </cell>
        </row>
        <row r="1040">
          <cell r="J1040" t="str">
            <v>5401081737</v>
          </cell>
          <cell r="K1040" t="str">
            <v>10</v>
          </cell>
          <cell r="M1040">
            <v>12370</v>
          </cell>
        </row>
        <row r="1041">
          <cell r="J1041" t="str">
            <v>5401106038</v>
          </cell>
          <cell r="K1041" t="str">
            <v>10</v>
          </cell>
          <cell r="M1041">
            <v>4900</v>
          </cell>
        </row>
        <row r="1042">
          <cell r="J1042" t="str">
            <v>5401106038</v>
          </cell>
          <cell r="K1042" t="str">
            <v>10</v>
          </cell>
          <cell r="M1042">
            <v>4900</v>
          </cell>
        </row>
        <row r="1043">
          <cell r="J1043" t="str">
            <v>5401106038</v>
          </cell>
          <cell r="K1043" t="str">
            <v>10</v>
          </cell>
          <cell r="M1043">
            <v>4900</v>
          </cell>
        </row>
        <row r="1044">
          <cell r="J1044" t="str">
            <v>5401106038</v>
          </cell>
          <cell r="K1044" t="str">
            <v>10</v>
          </cell>
          <cell r="M1044">
            <v>4900</v>
          </cell>
        </row>
        <row r="1045">
          <cell r="J1045" t="str">
            <v>5401081737</v>
          </cell>
          <cell r="K1045" t="str">
            <v>10</v>
          </cell>
          <cell r="M1045">
            <v>12370</v>
          </cell>
        </row>
        <row r="1046">
          <cell r="J1046" t="str">
            <v>5401081737</v>
          </cell>
          <cell r="K1046" t="str">
            <v>10</v>
          </cell>
          <cell r="M1046">
            <v>12370</v>
          </cell>
        </row>
        <row r="1047">
          <cell r="J1047" t="str">
            <v>5401087955</v>
          </cell>
          <cell r="K1047" t="str">
            <v>10</v>
          </cell>
          <cell r="M1047">
            <v>142.5</v>
          </cell>
        </row>
        <row r="1048">
          <cell r="J1048" t="str">
            <v>5401106038</v>
          </cell>
          <cell r="K1048" t="str">
            <v>10</v>
          </cell>
          <cell r="M1048">
            <v>4900</v>
          </cell>
        </row>
        <row r="1049">
          <cell r="J1049" t="str">
            <v>5401087955</v>
          </cell>
          <cell r="K1049" t="str">
            <v>10</v>
          </cell>
          <cell r="M1049">
            <v>142.5</v>
          </cell>
        </row>
        <row r="1050">
          <cell r="J1050" t="str">
            <v>5401081737</v>
          </cell>
          <cell r="K1050" t="str">
            <v>10</v>
          </cell>
          <cell r="M1050">
            <v>12370</v>
          </cell>
        </row>
        <row r="1051">
          <cell r="J1051" t="str">
            <v>5401106038</v>
          </cell>
          <cell r="K1051" t="str">
            <v>10</v>
          </cell>
          <cell r="M1051">
            <v>4900</v>
          </cell>
        </row>
        <row r="1052">
          <cell r="J1052" t="str">
            <v>5401087955</v>
          </cell>
          <cell r="K1052" t="str">
            <v>10</v>
          </cell>
          <cell r="M1052">
            <v>142.5</v>
          </cell>
        </row>
        <row r="1053">
          <cell r="J1053" t="str">
            <v>#</v>
          </cell>
          <cell r="K1053" t="str">
            <v>#</v>
          </cell>
          <cell r="M1053">
            <v>26284</v>
          </cell>
        </row>
        <row r="1054">
          <cell r="J1054" t="str">
            <v>#</v>
          </cell>
          <cell r="K1054" t="str">
            <v>#</v>
          </cell>
          <cell r="M1054">
            <v>224238</v>
          </cell>
        </row>
        <row r="1055">
          <cell r="J1055" t="str">
            <v>#</v>
          </cell>
          <cell r="K1055" t="str">
            <v>#</v>
          </cell>
          <cell r="M1055">
            <v>64998</v>
          </cell>
        </row>
        <row r="1056">
          <cell r="J1056" t="str">
            <v>#</v>
          </cell>
          <cell r="K1056" t="str">
            <v>#</v>
          </cell>
          <cell r="M1056">
            <v>74376</v>
          </cell>
        </row>
        <row r="1057">
          <cell r="J1057" t="str">
            <v>#</v>
          </cell>
          <cell r="K1057" t="str">
            <v>#</v>
          </cell>
          <cell r="M1057">
            <v>-0.01</v>
          </cell>
        </row>
        <row r="1058">
          <cell r="J1058" t="str">
            <v>#</v>
          </cell>
          <cell r="K1058" t="str">
            <v>#</v>
          </cell>
          <cell r="M1058">
            <v>-34187.870000000003</v>
          </cell>
        </row>
        <row r="1059">
          <cell r="J1059" t="str">
            <v>#</v>
          </cell>
          <cell r="K1059" t="str">
            <v>#</v>
          </cell>
          <cell r="M1059">
            <v>-84450.89</v>
          </cell>
        </row>
        <row r="1060">
          <cell r="J1060" t="str">
            <v>#</v>
          </cell>
          <cell r="K1060" t="str">
            <v>#</v>
          </cell>
          <cell r="M1060">
            <v>-31552.04</v>
          </cell>
        </row>
        <row r="1061">
          <cell r="J1061" t="str">
            <v>#</v>
          </cell>
          <cell r="K1061" t="str">
            <v>#</v>
          </cell>
          <cell r="M1061">
            <v>-60682.43</v>
          </cell>
        </row>
        <row r="1062">
          <cell r="J1062" t="str">
            <v>#</v>
          </cell>
          <cell r="K1062" t="str">
            <v>#</v>
          </cell>
          <cell r="M1062">
            <v>-52472.23</v>
          </cell>
        </row>
        <row r="1063">
          <cell r="J1063" t="str">
            <v>#</v>
          </cell>
          <cell r="K1063" t="str">
            <v>#</v>
          </cell>
          <cell r="M1063">
            <v>-632051.31000000006</v>
          </cell>
        </row>
        <row r="1064">
          <cell r="J1064" t="str">
            <v>#</v>
          </cell>
          <cell r="K1064" t="str">
            <v>#</v>
          </cell>
          <cell r="M1064">
            <v>-520640.95</v>
          </cell>
        </row>
        <row r="1065">
          <cell r="J1065" t="str">
            <v>#</v>
          </cell>
          <cell r="K1065" t="str">
            <v>#</v>
          </cell>
          <cell r="M1065">
            <v>-57600.91</v>
          </cell>
        </row>
        <row r="1066">
          <cell r="J1066" t="str">
            <v>#</v>
          </cell>
          <cell r="K1066" t="str">
            <v>#</v>
          </cell>
          <cell r="M1066">
            <v>-47378.9</v>
          </cell>
        </row>
        <row r="1067">
          <cell r="J1067" t="str">
            <v>#</v>
          </cell>
          <cell r="K1067" t="str">
            <v>#</v>
          </cell>
          <cell r="M1067">
            <v>-165312.82999999999</v>
          </cell>
        </row>
        <row r="1068">
          <cell r="J1068" t="str">
            <v>#</v>
          </cell>
          <cell r="K1068" t="str">
            <v>#</v>
          </cell>
          <cell r="M1068">
            <v>-89550.24</v>
          </cell>
        </row>
        <row r="1069">
          <cell r="J1069" t="str">
            <v>#</v>
          </cell>
          <cell r="K1069" t="str">
            <v>#</v>
          </cell>
          <cell r="M1069">
            <v>-502770.05</v>
          </cell>
        </row>
        <row r="1070">
          <cell r="J1070" t="str">
            <v>#</v>
          </cell>
          <cell r="K1070" t="str">
            <v>#</v>
          </cell>
          <cell r="M1070">
            <v>-210391</v>
          </cell>
        </row>
        <row r="1071">
          <cell r="J1071" t="str">
            <v>#</v>
          </cell>
          <cell r="K1071" t="str">
            <v>#</v>
          </cell>
          <cell r="M1071">
            <v>-256800</v>
          </cell>
        </row>
        <row r="1072">
          <cell r="J1072" t="str">
            <v>#</v>
          </cell>
          <cell r="K1072" t="str">
            <v>#</v>
          </cell>
          <cell r="M1072">
            <v>128400</v>
          </cell>
        </row>
        <row r="1073">
          <cell r="J1073" t="str">
            <v>#</v>
          </cell>
          <cell r="K1073" t="str">
            <v>#</v>
          </cell>
          <cell r="M1073">
            <v>0</v>
          </cell>
        </row>
        <row r="1074">
          <cell r="J1074" t="str">
            <v>#</v>
          </cell>
          <cell r="K1074" t="str">
            <v>#</v>
          </cell>
          <cell r="M1074">
            <v>0</v>
          </cell>
        </row>
        <row r="1075">
          <cell r="J1075" t="str">
            <v>#</v>
          </cell>
          <cell r="K1075" t="str">
            <v>#</v>
          </cell>
          <cell r="M1075">
            <v>-73875</v>
          </cell>
        </row>
        <row r="1076">
          <cell r="J1076" t="str">
            <v>#</v>
          </cell>
          <cell r="K1076" t="str">
            <v>#</v>
          </cell>
          <cell r="M1076">
            <v>18468.75</v>
          </cell>
        </row>
        <row r="1077">
          <cell r="J1077" t="str">
            <v>#</v>
          </cell>
          <cell r="K1077" t="str">
            <v>#</v>
          </cell>
          <cell r="M1077">
            <v>-78852</v>
          </cell>
        </row>
        <row r="1078">
          <cell r="J1078" t="str">
            <v>#</v>
          </cell>
          <cell r="K1078" t="str">
            <v>#</v>
          </cell>
          <cell r="M1078">
            <v>13142</v>
          </cell>
        </row>
        <row r="1079">
          <cell r="J1079" t="str">
            <v>#</v>
          </cell>
          <cell r="K1079" t="str">
            <v>#</v>
          </cell>
          <cell r="M1079">
            <v>-116691.64</v>
          </cell>
        </row>
        <row r="1080">
          <cell r="J1080" t="str">
            <v>#</v>
          </cell>
          <cell r="K1080" t="str">
            <v>#</v>
          </cell>
          <cell r="M1080">
            <v>0</v>
          </cell>
        </row>
        <row r="1081">
          <cell r="J1081" t="str">
            <v>5401106550</v>
          </cell>
          <cell r="K1081" t="str">
            <v>10</v>
          </cell>
          <cell r="M1081">
            <v>609079.16</v>
          </cell>
        </row>
        <row r="1082">
          <cell r="J1082" t="str">
            <v>5401085090</v>
          </cell>
          <cell r="K1082" t="str">
            <v>10</v>
          </cell>
          <cell r="M1082">
            <v>28200</v>
          </cell>
        </row>
        <row r="1083">
          <cell r="J1083" t="str">
            <v>5401085090</v>
          </cell>
          <cell r="K1083" t="str">
            <v>10</v>
          </cell>
          <cell r="M1083">
            <v>4200</v>
          </cell>
        </row>
        <row r="1084">
          <cell r="J1084" t="str">
            <v>5401085090</v>
          </cell>
          <cell r="K1084" t="str">
            <v>20</v>
          </cell>
          <cell r="M1084">
            <v>4700</v>
          </cell>
        </row>
        <row r="1085">
          <cell r="J1085" t="str">
            <v>5401085090</v>
          </cell>
          <cell r="K1085" t="str">
            <v>10</v>
          </cell>
          <cell r="M1085">
            <v>5400</v>
          </cell>
        </row>
        <row r="1086">
          <cell r="J1086" t="str">
            <v>5401085090</v>
          </cell>
          <cell r="K1086" t="str">
            <v>10</v>
          </cell>
          <cell r="M1086">
            <v>32400</v>
          </cell>
        </row>
        <row r="1087">
          <cell r="J1087" t="str">
            <v>5400963575</v>
          </cell>
          <cell r="K1087" t="str">
            <v>40</v>
          </cell>
          <cell r="M1087">
            <v>230483.1</v>
          </cell>
        </row>
        <row r="1088">
          <cell r="J1088" t="str">
            <v>5400963575</v>
          </cell>
          <cell r="K1088" t="str">
            <v>40</v>
          </cell>
          <cell r="M1088">
            <v>39237.78</v>
          </cell>
        </row>
        <row r="1089">
          <cell r="J1089" t="str">
            <v>5400963575</v>
          </cell>
          <cell r="K1089" t="str">
            <v>60</v>
          </cell>
          <cell r="M1089">
            <v>29699.7</v>
          </cell>
        </row>
        <row r="1090">
          <cell r="J1090" t="str">
            <v>5401084799</v>
          </cell>
          <cell r="K1090" t="str">
            <v>10</v>
          </cell>
          <cell r="M1090">
            <v>-5400</v>
          </cell>
        </row>
        <row r="1091">
          <cell r="J1091" t="str">
            <v>5401103113</v>
          </cell>
          <cell r="K1091" t="str">
            <v>10</v>
          </cell>
          <cell r="M1091">
            <v>13122</v>
          </cell>
        </row>
        <row r="1092">
          <cell r="J1092" t="str">
            <v>5401103113</v>
          </cell>
          <cell r="K1092" t="str">
            <v>10</v>
          </cell>
          <cell r="M1092">
            <v>-13122</v>
          </cell>
        </row>
        <row r="1093">
          <cell r="J1093" t="str">
            <v>5401103113</v>
          </cell>
          <cell r="K1093" t="str">
            <v>10</v>
          </cell>
          <cell r="M1093">
            <v>12515.02</v>
          </cell>
        </row>
        <row r="1094">
          <cell r="J1094" t="str">
            <v>5401091693</v>
          </cell>
          <cell r="K1094" t="str">
            <v>10</v>
          </cell>
          <cell r="M1094">
            <v>15726</v>
          </cell>
        </row>
        <row r="1095">
          <cell r="J1095" t="str">
            <v>5401066356</v>
          </cell>
          <cell r="K1095" t="str">
            <v>30</v>
          </cell>
          <cell r="M1095">
            <v>10097.1</v>
          </cell>
        </row>
        <row r="1096">
          <cell r="J1096" t="str">
            <v>5401066356</v>
          </cell>
          <cell r="K1096" t="str">
            <v>10</v>
          </cell>
          <cell r="M1096">
            <v>2631.6</v>
          </cell>
        </row>
        <row r="1097">
          <cell r="J1097" t="str">
            <v>5401066356</v>
          </cell>
          <cell r="K1097" t="str">
            <v>30</v>
          </cell>
          <cell r="M1097">
            <v>-7994.7</v>
          </cell>
        </row>
        <row r="1098">
          <cell r="J1098" t="str">
            <v>5401066356</v>
          </cell>
          <cell r="K1098" t="str">
            <v>10</v>
          </cell>
          <cell r="M1098">
            <v>-2631.6</v>
          </cell>
        </row>
        <row r="1099">
          <cell r="J1099" t="str">
            <v>5401084016</v>
          </cell>
          <cell r="K1099" t="str">
            <v>10</v>
          </cell>
          <cell r="M1099">
            <v>2212.5</v>
          </cell>
        </row>
        <row r="1100">
          <cell r="J1100" t="str">
            <v>5401084016</v>
          </cell>
          <cell r="K1100" t="str">
            <v>10</v>
          </cell>
          <cell r="M1100">
            <v>2212.5</v>
          </cell>
        </row>
        <row r="1101">
          <cell r="J1101" t="str">
            <v>5401084016</v>
          </cell>
          <cell r="K1101" t="str">
            <v>10</v>
          </cell>
          <cell r="M1101">
            <v>2212.5</v>
          </cell>
        </row>
        <row r="1102">
          <cell r="J1102" t="str">
            <v>5401084016</v>
          </cell>
          <cell r="K1102" t="str">
            <v>10</v>
          </cell>
          <cell r="M1102">
            <v>2212.5</v>
          </cell>
        </row>
        <row r="1103">
          <cell r="J1103" t="str">
            <v>5401084016</v>
          </cell>
          <cell r="K1103" t="str">
            <v>10</v>
          </cell>
          <cell r="M1103">
            <v>2212.5</v>
          </cell>
        </row>
        <row r="1104">
          <cell r="J1104" t="str">
            <v>5401084016</v>
          </cell>
          <cell r="K1104" t="str">
            <v>10</v>
          </cell>
          <cell r="M1104">
            <v>2212.5</v>
          </cell>
        </row>
        <row r="1105">
          <cell r="J1105" t="str">
            <v>5401091862</v>
          </cell>
          <cell r="K1105" t="str">
            <v>10</v>
          </cell>
          <cell r="M1105">
            <v>1938</v>
          </cell>
        </row>
        <row r="1106">
          <cell r="J1106" t="str">
            <v>5401100856</v>
          </cell>
          <cell r="K1106" t="str">
            <v>10</v>
          </cell>
          <cell r="M1106">
            <v>1010.88</v>
          </cell>
        </row>
        <row r="1107">
          <cell r="J1107" t="str">
            <v>5401103112</v>
          </cell>
          <cell r="K1107" t="str">
            <v>10</v>
          </cell>
          <cell r="M1107">
            <v>1010.88</v>
          </cell>
        </row>
        <row r="1108">
          <cell r="J1108" t="str">
            <v>5401102208</v>
          </cell>
          <cell r="K1108" t="str">
            <v>10</v>
          </cell>
          <cell r="M1108">
            <v>1010.88</v>
          </cell>
        </row>
        <row r="1109">
          <cell r="J1109" t="str">
            <v>5401084015</v>
          </cell>
          <cell r="K1109" t="str">
            <v>10</v>
          </cell>
          <cell r="M1109">
            <v>27000</v>
          </cell>
        </row>
        <row r="1110">
          <cell r="J1110" t="str">
            <v>5401076465</v>
          </cell>
          <cell r="K1110" t="str">
            <v>10</v>
          </cell>
          <cell r="M1110">
            <v>4340</v>
          </cell>
        </row>
        <row r="1111">
          <cell r="J1111" t="str">
            <v>5401076465</v>
          </cell>
          <cell r="K1111" t="str">
            <v>10</v>
          </cell>
          <cell r="M1111">
            <v>4090</v>
          </cell>
        </row>
        <row r="1112">
          <cell r="J1112" t="str">
            <v>5401076465</v>
          </cell>
          <cell r="K1112" t="str">
            <v>10</v>
          </cell>
          <cell r="M1112">
            <v>7430</v>
          </cell>
        </row>
        <row r="1113">
          <cell r="J1113" t="str">
            <v>5401076465</v>
          </cell>
          <cell r="K1113" t="str">
            <v>10</v>
          </cell>
          <cell r="M1113">
            <v>7629</v>
          </cell>
        </row>
        <row r="1114">
          <cell r="J1114" t="str">
            <v>5401076465</v>
          </cell>
          <cell r="K1114" t="str">
            <v>10</v>
          </cell>
          <cell r="M1114">
            <v>1000</v>
          </cell>
        </row>
        <row r="1115">
          <cell r="J1115" t="str">
            <v>5401076465</v>
          </cell>
          <cell r="K1115" t="str">
            <v>10</v>
          </cell>
          <cell r="M1115">
            <v>6865</v>
          </cell>
        </row>
        <row r="1116">
          <cell r="J1116" t="str">
            <v>5401097355</v>
          </cell>
          <cell r="K1116" t="str">
            <v>10</v>
          </cell>
          <cell r="M1116">
            <v>7950</v>
          </cell>
        </row>
        <row r="1117">
          <cell r="J1117" t="str">
            <v>5400970737</v>
          </cell>
          <cell r="K1117" t="str">
            <v>20</v>
          </cell>
          <cell r="M1117">
            <v>72888.240000000005</v>
          </cell>
        </row>
        <row r="1118">
          <cell r="J1118" t="str">
            <v>5400970737</v>
          </cell>
          <cell r="K1118" t="str">
            <v>30</v>
          </cell>
          <cell r="M1118">
            <v>72888.240000000005</v>
          </cell>
        </row>
        <row r="1119">
          <cell r="J1119" t="str">
            <v>5401049390</v>
          </cell>
          <cell r="K1119" t="str">
            <v>10</v>
          </cell>
          <cell r="M1119">
            <v>893.6</v>
          </cell>
        </row>
        <row r="1120">
          <cell r="J1120" t="str">
            <v>5401049390</v>
          </cell>
          <cell r="K1120" t="str">
            <v>10</v>
          </cell>
          <cell r="M1120">
            <v>6000</v>
          </cell>
        </row>
        <row r="1121">
          <cell r="J1121" t="str">
            <v>5401049390</v>
          </cell>
          <cell r="K1121" t="str">
            <v>10</v>
          </cell>
          <cell r="M1121">
            <v>1217.77</v>
          </cell>
        </row>
        <row r="1122">
          <cell r="J1122" t="str">
            <v>5401049390</v>
          </cell>
          <cell r="K1122" t="str">
            <v>10</v>
          </cell>
          <cell r="M1122">
            <v>7102.63</v>
          </cell>
        </row>
        <row r="1123">
          <cell r="J1123" t="str">
            <v>5401049390</v>
          </cell>
          <cell r="K1123" t="str">
            <v>10</v>
          </cell>
          <cell r="M1123">
            <v>6000</v>
          </cell>
        </row>
        <row r="1124">
          <cell r="J1124" t="str">
            <v>5401049390</v>
          </cell>
          <cell r="K1124" t="str">
            <v>10</v>
          </cell>
          <cell r="M1124">
            <v>1017.6</v>
          </cell>
        </row>
        <row r="1125">
          <cell r="J1125" t="str">
            <v>5401049390</v>
          </cell>
          <cell r="K1125" t="str">
            <v>10</v>
          </cell>
          <cell r="M1125">
            <v>6000</v>
          </cell>
        </row>
        <row r="1126">
          <cell r="J1126" t="str">
            <v>5401110208</v>
          </cell>
          <cell r="K1126" t="str">
            <v>10</v>
          </cell>
          <cell r="M1126">
            <v>3800</v>
          </cell>
        </row>
        <row r="1127">
          <cell r="J1127" t="str">
            <v>5401110208</v>
          </cell>
          <cell r="K1127" t="str">
            <v>10</v>
          </cell>
          <cell r="M1127">
            <v>3800</v>
          </cell>
        </row>
        <row r="1128">
          <cell r="J1128" t="str">
            <v>5401049390</v>
          </cell>
          <cell r="K1128" t="str">
            <v>10</v>
          </cell>
          <cell r="M1128">
            <v>1017.6</v>
          </cell>
        </row>
        <row r="1129">
          <cell r="J1129" t="str">
            <v>5401081746</v>
          </cell>
          <cell r="K1129" t="str">
            <v>10</v>
          </cell>
          <cell r="M1129">
            <v>9837</v>
          </cell>
        </row>
        <row r="1130">
          <cell r="J1130" t="str">
            <v>5401081746</v>
          </cell>
          <cell r="K1130" t="str">
            <v>10</v>
          </cell>
          <cell r="M1130">
            <v>9837</v>
          </cell>
        </row>
        <row r="1131">
          <cell r="J1131" t="str">
            <v>5401102224</v>
          </cell>
          <cell r="K1131" t="str">
            <v>10</v>
          </cell>
          <cell r="M1131">
            <v>112327.58</v>
          </cell>
        </row>
        <row r="1132">
          <cell r="J1132" t="str">
            <v>5401060518</v>
          </cell>
          <cell r="K1132" t="str">
            <v>10</v>
          </cell>
          <cell r="M1132">
            <v>4928</v>
          </cell>
        </row>
        <row r="1133">
          <cell r="J1133" t="str">
            <v>5401093332</v>
          </cell>
          <cell r="K1133" t="str">
            <v>10</v>
          </cell>
          <cell r="M1133">
            <v>2630</v>
          </cell>
        </row>
        <row r="1134">
          <cell r="J1134" t="str">
            <v>5401093332</v>
          </cell>
          <cell r="K1134" t="str">
            <v>20</v>
          </cell>
          <cell r="M1134">
            <v>7934.9</v>
          </cell>
        </row>
        <row r="1135">
          <cell r="J1135" t="str">
            <v>5401093332</v>
          </cell>
          <cell r="K1135" t="str">
            <v>30</v>
          </cell>
          <cell r="M1135">
            <v>3883.5</v>
          </cell>
        </row>
        <row r="1136">
          <cell r="J1136" t="str">
            <v>5401093332</v>
          </cell>
          <cell r="K1136" t="str">
            <v>40</v>
          </cell>
          <cell r="M1136">
            <v>16200</v>
          </cell>
        </row>
        <row r="1137">
          <cell r="J1137" t="str">
            <v>5401088459</v>
          </cell>
          <cell r="K1137" t="str">
            <v>100</v>
          </cell>
          <cell r="M1137">
            <v>4627.42</v>
          </cell>
        </row>
        <row r="1138">
          <cell r="J1138" t="str">
            <v>5401093332</v>
          </cell>
          <cell r="K1138" t="str">
            <v>10</v>
          </cell>
          <cell r="M1138">
            <v>2630</v>
          </cell>
        </row>
        <row r="1139">
          <cell r="J1139" t="str">
            <v>5401093332</v>
          </cell>
          <cell r="K1139" t="str">
            <v>20</v>
          </cell>
          <cell r="M1139">
            <v>7934.9</v>
          </cell>
        </row>
        <row r="1140">
          <cell r="J1140" t="str">
            <v>5401093332</v>
          </cell>
          <cell r="K1140" t="str">
            <v>30</v>
          </cell>
          <cell r="M1140">
            <v>3883.5</v>
          </cell>
        </row>
        <row r="1141">
          <cell r="J1141" t="str">
            <v>5401093332</v>
          </cell>
          <cell r="K1141" t="str">
            <v>40</v>
          </cell>
          <cell r="M1141">
            <v>16200</v>
          </cell>
        </row>
        <row r="1142">
          <cell r="J1142" t="str">
            <v>5401088459</v>
          </cell>
          <cell r="K1142" t="str">
            <v>100</v>
          </cell>
          <cell r="M1142">
            <v>4627.42</v>
          </cell>
        </row>
        <row r="1143">
          <cell r="J1143" t="str">
            <v>5401093332</v>
          </cell>
          <cell r="K1143" t="str">
            <v>10</v>
          </cell>
          <cell r="M1143">
            <v>-2630</v>
          </cell>
        </row>
        <row r="1144">
          <cell r="J1144" t="str">
            <v>5401093332</v>
          </cell>
          <cell r="K1144" t="str">
            <v>10</v>
          </cell>
          <cell r="M1144">
            <v>-2630</v>
          </cell>
        </row>
        <row r="1145">
          <cell r="J1145" t="str">
            <v>5401093332</v>
          </cell>
          <cell r="K1145" t="str">
            <v>10</v>
          </cell>
          <cell r="M1145">
            <v>1230</v>
          </cell>
        </row>
        <row r="1146">
          <cell r="J1146" t="str">
            <v>5401093332</v>
          </cell>
          <cell r="K1146" t="str">
            <v>10</v>
          </cell>
          <cell r="M1146">
            <v>1230</v>
          </cell>
        </row>
        <row r="1147">
          <cell r="J1147" t="str">
            <v>5401093332</v>
          </cell>
          <cell r="K1147" t="str">
            <v>20</v>
          </cell>
          <cell r="M1147">
            <v>-7934.9</v>
          </cell>
        </row>
        <row r="1148">
          <cell r="J1148" t="str">
            <v>5401093332</v>
          </cell>
          <cell r="K1148" t="str">
            <v>20</v>
          </cell>
          <cell r="M1148">
            <v>-7934.9</v>
          </cell>
        </row>
        <row r="1149">
          <cell r="J1149" t="str">
            <v>5401093332</v>
          </cell>
          <cell r="K1149" t="str">
            <v>20</v>
          </cell>
          <cell r="M1149">
            <v>4761.6000000000004</v>
          </cell>
        </row>
        <row r="1150">
          <cell r="J1150" t="str">
            <v>5401093332</v>
          </cell>
          <cell r="K1150" t="str">
            <v>20</v>
          </cell>
          <cell r="M1150">
            <v>4761.6000000000004</v>
          </cell>
        </row>
        <row r="1151">
          <cell r="J1151" t="str">
            <v>5401093332</v>
          </cell>
          <cell r="K1151" t="str">
            <v>30</v>
          </cell>
          <cell r="M1151">
            <v>-3883.5</v>
          </cell>
        </row>
        <row r="1152">
          <cell r="J1152" t="str">
            <v>5401093332</v>
          </cell>
          <cell r="K1152" t="str">
            <v>30</v>
          </cell>
          <cell r="M1152">
            <v>-3883.5</v>
          </cell>
        </row>
        <row r="1153">
          <cell r="J1153" t="str">
            <v>5401093332</v>
          </cell>
          <cell r="K1153" t="str">
            <v>30</v>
          </cell>
          <cell r="M1153">
            <v>4861.6000000000004</v>
          </cell>
        </row>
        <row r="1154">
          <cell r="J1154" t="str">
            <v>5401093332</v>
          </cell>
          <cell r="K1154" t="str">
            <v>30</v>
          </cell>
          <cell r="M1154">
            <v>4861.6000000000004</v>
          </cell>
        </row>
        <row r="1155">
          <cell r="J1155" t="str">
            <v>5401093332</v>
          </cell>
          <cell r="K1155" t="str">
            <v>10</v>
          </cell>
          <cell r="M1155">
            <v>1230</v>
          </cell>
        </row>
        <row r="1156">
          <cell r="J1156" t="str">
            <v>5401093332</v>
          </cell>
          <cell r="K1156" t="str">
            <v>20</v>
          </cell>
          <cell r="M1156">
            <v>4761.6000000000004</v>
          </cell>
        </row>
        <row r="1157">
          <cell r="J1157" t="str">
            <v>5401093332</v>
          </cell>
          <cell r="K1157" t="str">
            <v>30</v>
          </cell>
          <cell r="M1157">
            <v>4861.6000000000004</v>
          </cell>
        </row>
        <row r="1158">
          <cell r="J1158" t="str">
            <v>5401093332</v>
          </cell>
          <cell r="K1158" t="str">
            <v>40</v>
          </cell>
          <cell r="M1158">
            <v>16200</v>
          </cell>
        </row>
        <row r="1159">
          <cell r="J1159" t="str">
            <v>5401087670</v>
          </cell>
          <cell r="K1159" t="str">
            <v>10</v>
          </cell>
          <cell r="M1159">
            <v>7876.67</v>
          </cell>
        </row>
        <row r="1160">
          <cell r="J1160" t="str">
            <v>5401088459</v>
          </cell>
          <cell r="K1160" t="str">
            <v>100</v>
          </cell>
          <cell r="M1160">
            <v>4627.42</v>
          </cell>
        </row>
        <row r="1161">
          <cell r="J1161" t="str">
            <v>5401093332</v>
          </cell>
          <cell r="K1161" t="str">
            <v>10</v>
          </cell>
          <cell r="M1161">
            <v>1400</v>
          </cell>
        </row>
        <row r="1162">
          <cell r="J1162" t="str">
            <v>5401093332</v>
          </cell>
          <cell r="K1162" t="str">
            <v>20</v>
          </cell>
          <cell r="M1162">
            <v>3172.4</v>
          </cell>
        </row>
        <row r="1163">
          <cell r="J1163" t="str">
            <v>5401093332</v>
          </cell>
          <cell r="K1163" t="str">
            <v>30</v>
          </cell>
          <cell r="M1163">
            <v>-4861.6000000000004</v>
          </cell>
        </row>
        <row r="1164">
          <cell r="J1164" t="str">
            <v>5401093332</v>
          </cell>
          <cell r="K1164" t="str">
            <v>30</v>
          </cell>
          <cell r="M1164">
            <v>3883.5</v>
          </cell>
        </row>
        <row r="1165">
          <cell r="J1165" t="str">
            <v>5401093332</v>
          </cell>
          <cell r="K1165" t="str">
            <v>40</v>
          </cell>
          <cell r="M1165">
            <v>3795.2</v>
          </cell>
        </row>
        <row r="1166">
          <cell r="J1166" t="str">
            <v>5401088459</v>
          </cell>
          <cell r="K1166" t="str">
            <v>100</v>
          </cell>
          <cell r="M1166">
            <v>4627.42</v>
          </cell>
        </row>
        <row r="1167">
          <cell r="J1167" t="str">
            <v>5401093332</v>
          </cell>
          <cell r="K1167" t="str">
            <v>40</v>
          </cell>
          <cell r="M1167">
            <v>16200</v>
          </cell>
        </row>
        <row r="1168">
          <cell r="J1168" t="str">
            <v>5401093332</v>
          </cell>
          <cell r="K1168" t="str">
            <v>20</v>
          </cell>
          <cell r="M1168">
            <v>3172.4</v>
          </cell>
        </row>
        <row r="1169">
          <cell r="J1169" t="str">
            <v>5401093332</v>
          </cell>
          <cell r="K1169" t="str">
            <v>20</v>
          </cell>
          <cell r="M1169">
            <v>7934.9</v>
          </cell>
        </row>
        <row r="1170">
          <cell r="J1170" t="str">
            <v>5401093332</v>
          </cell>
          <cell r="K1170" t="str">
            <v>10</v>
          </cell>
          <cell r="M1170">
            <v>1400</v>
          </cell>
        </row>
        <row r="1171">
          <cell r="J1171" t="str">
            <v>5401093332</v>
          </cell>
          <cell r="K1171" t="str">
            <v>10</v>
          </cell>
          <cell r="M1171">
            <v>2630</v>
          </cell>
        </row>
        <row r="1172">
          <cell r="J1172" t="str">
            <v>5401093332</v>
          </cell>
          <cell r="K1172" t="str">
            <v>10</v>
          </cell>
          <cell r="M1172">
            <v>2630</v>
          </cell>
        </row>
        <row r="1173">
          <cell r="J1173" t="str">
            <v>5401093332</v>
          </cell>
          <cell r="K1173" t="str">
            <v>20</v>
          </cell>
          <cell r="M1173">
            <v>7934.9</v>
          </cell>
        </row>
        <row r="1174">
          <cell r="J1174" t="str">
            <v>5401093332</v>
          </cell>
          <cell r="K1174" t="str">
            <v>30</v>
          </cell>
          <cell r="M1174">
            <v>3883.5</v>
          </cell>
        </row>
        <row r="1175">
          <cell r="J1175" t="str">
            <v>5401093332</v>
          </cell>
          <cell r="K1175" t="str">
            <v>40</v>
          </cell>
          <cell r="M1175">
            <v>16200</v>
          </cell>
        </row>
        <row r="1176">
          <cell r="J1176" t="str">
            <v>5401093332</v>
          </cell>
          <cell r="K1176" t="str">
            <v>30</v>
          </cell>
          <cell r="M1176">
            <v>-4861.6000000000004</v>
          </cell>
        </row>
        <row r="1177">
          <cell r="J1177" t="str">
            <v>5401093332</v>
          </cell>
          <cell r="K1177" t="str">
            <v>30</v>
          </cell>
          <cell r="M1177">
            <v>3883.5</v>
          </cell>
        </row>
        <row r="1178">
          <cell r="J1178" t="str">
            <v>5401088459</v>
          </cell>
          <cell r="K1178" t="str">
            <v>100</v>
          </cell>
          <cell r="M1178">
            <v>4627.42</v>
          </cell>
        </row>
        <row r="1179">
          <cell r="J1179" t="str">
            <v>5401093332</v>
          </cell>
          <cell r="K1179" t="str">
            <v>30</v>
          </cell>
          <cell r="M1179">
            <v>3883.5</v>
          </cell>
        </row>
        <row r="1180">
          <cell r="J1180" t="str">
            <v>5401093332</v>
          </cell>
          <cell r="K1180" t="str">
            <v>40</v>
          </cell>
          <cell r="M1180">
            <v>16200</v>
          </cell>
        </row>
        <row r="1181">
          <cell r="J1181" t="str">
            <v>5401088459</v>
          </cell>
          <cell r="K1181" t="str">
            <v>100</v>
          </cell>
          <cell r="M1181">
            <v>4627.42</v>
          </cell>
        </row>
        <row r="1182">
          <cell r="J1182" t="str">
            <v>5401093332</v>
          </cell>
          <cell r="K1182" t="str">
            <v>30</v>
          </cell>
          <cell r="M1182">
            <v>3883.5</v>
          </cell>
        </row>
        <row r="1183">
          <cell r="J1183" t="str">
            <v>5401093332</v>
          </cell>
          <cell r="K1183" t="str">
            <v>40</v>
          </cell>
          <cell r="M1183">
            <v>-3795.2</v>
          </cell>
        </row>
        <row r="1184">
          <cell r="J1184" t="str">
            <v>5401093332</v>
          </cell>
          <cell r="K1184" t="str">
            <v>40</v>
          </cell>
          <cell r="M1184">
            <v>3595.2</v>
          </cell>
        </row>
        <row r="1185">
          <cell r="J1185" t="str">
            <v>5401093332</v>
          </cell>
          <cell r="K1185" t="str">
            <v>10</v>
          </cell>
          <cell r="M1185">
            <v>2630</v>
          </cell>
        </row>
        <row r="1186">
          <cell r="J1186" t="str">
            <v>5401093332</v>
          </cell>
          <cell r="K1186" t="str">
            <v>20</v>
          </cell>
          <cell r="M1186">
            <v>7934.9</v>
          </cell>
        </row>
        <row r="1187">
          <cell r="J1187" t="str">
            <v>5401093332</v>
          </cell>
          <cell r="K1187" t="str">
            <v>40</v>
          </cell>
          <cell r="M1187">
            <v>0.9</v>
          </cell>
        </row>
        <row r="1188">
          <cell r="J1188" t="str">
            <v>5401090107</v>
          </cell>
          <cell r="K1188" t="str">
            <v>10</v>
          </cell>
          <cell r="M1188">
            <v>99447.5</v>
          </cell>
        </row>
        <row r="1189">
          <cell r="J1189" t="str">
            <v>5401088257</v>
          </cell>
          <cell r="K1189" t="str">
            <v>10</v>
          </cell>
          <cell r="M1189">
            <v>97877.77</v>
          </cell>
        </row>
        <row r="1190">
          <cell r="J1190" t="str">
            <v>5401088257</v>
          </cell>
          <cell r="K1190" t="str">
            <v>10</v>
          </cell>
          <cell r="M1190">
            <v>37667.89</v>
          </cell>
        </row>
        <row r="1191">
          <cell r="J1191" t="str">
            <v>5400904915</v>
          </cell>
          <cell r="K1191" t="str">
            <v>60</v>
          </cell>
          <cell r="M1191">
            <v>37000</v>
          </cell>
        </row>
        <row r="1192">
          <cell r="J1192" t="str">
            <v>5401041462</v>
          </cell>
          <cell r="K1192" t="str">
            <v>30</v>
          </cell>
          <cell r="M1192">
            <v>819.77</v>
          </cell>
        </row>
        <row r="1193">
          <cell r="J1193" t="str">
            <v>5401102235</v>
          </cell>
          <cell r="K1193" t="str">
            <v>10</v>
          </cell>
          <cell r="M1193">
            <v>130566.61</v>
          </cell>
        </row>
        <row r="1194">
          <cell r="J1194" t="str">
            <v>5401102235</v>
          </cell>
          <cell r="K1194" t="str">
            <v>10</v>
          </cell>
          <cell r="M1194">
            <v>3935.06</v>
          </cell>
        </row>
        <row r="1195">
          <cell r="J1195" t="str">
            <v>5401085514</v>
          </cell>
          <cell r="K1195" t="str">
            <v>10</v>
          </cell>
          <cell r="M1195">
            <v>14000</v>
          </cell>
        </row>
        <row r="1196">
          <cell r="J1196" t="str">
            <v>5401084796</v>
          </cell>
          <cell r="K1196" t="str">
            <v>10</v>
          </cell>
          <cell r="M1196">
            <v>13562.5</v>
          </cell>
        </row>
        <row r="1197">
          <cell r="J1197" t="str">
            <v>5401091687</v>
          </cell>
          <cell r="K1197" t="str">
            <v>10</v>
          </cell>
          <cell r="M1197">
            <v>50000</v>
          </cell>
        </row>
        <row r="1198">
          <cell r="J1198" t="str">
            <v>5401084017</v>
          </cell>
          <cell r="K1198" t="str">
            <v>10</v>
          </cell>
          <cell r="M1198">
            <v>98400</v>
          </cell>
        </row>
        <row r="1199">
          <cell r="J1199" t="str">
            <v>5401056435</v>
          </cell>
          <cell r="K1199" t="str">
            <v>20</v>
          </cell>
          <cell r="M1199">
            <v>129208.48</v>
          </cell>
        </row>
        <row r="1200">
          <cell r="J1200" t="str">
            <v>5401084018</v>
          </cell>
          <cell r="K1200" t="str">
            <v>10</v>
          </cell>
          <cell r="M1200">
            <v>88655</v>
          </cell>
        </row>
        <row r="1201">
          <cell r="J1201" t="str">
            <v>5401103111</v>
          </cell>
          <cell r="K1201" t="str">
            <v>10</v>
          </cell>
          <cell r="M1201">
            <v>52263.6</v>
          </cell>
        </row>
        <row r="1202">
          <cell r="J1202" t="str">
            <v>5401018982</v>
          </cell>
          <cell r="K1202" t="str">
            <v>10</v>
          </cell>
          <cell r="M1202">
            <v>-20276.98</v>
          </cell>
        </row>
        <row r="1203">
          <cell r="J1203" t="str">
            <v>5401018982</v>
          </cell>
          <cell r="K1203" t="str">
            <v>10</v>
          </cell>
          <cell r="M1203">
            <v>10889.6</v>
          </cell>
        </row>
        <row r="1204">
          <cell r="J1204" t="str">
            <v>5401018982</v>
          </cell>
          <cell r="K1204" t="str">
            <v>20</v>
          </cell>
          <cell r="M1204">
            <v>10889.6</v>
          </cell>
        </row>
        <row r="1205">
          <cell r="J1205" t="str">
            <v>5401018982</v>
          </cell>
          <cell r="K1205" t="str">
            <v>20</v>
          </cell>
          <cell r="M1205">
            <v>10818.54</v>
          </cell>
        </row>
        <row r="1206">
          <cell r="J1206" t="str">
            <v>5401018982</v>
          </cell>
          <cell r="K1206" t="str">
            <v>20</v>
          </cell>
          <cell r="M1206">
            <v>10752.5</v>
          </cell>
        </row>
        <row r="1207">
          <cell r="J1207" t="str">
            <v>5401018982</v>
          </cell>
          <cell r="K1207" t="str">
            <v>20</v>
          </cell>
          <cell r="M1207">
            <v>10437.92</v>
          </cell>
        </row>
        <row r="1208">
          <cell r="J1208" t="str">
            <v>5401018982</v>
          </cell>
          <cell r="K1208" t="str">
            <v>20</v>
          </cell>
          <cell r="M1208">
            <v>9872.15</v>
          </cell>
        </row>
        <row r="1209">
          <cell r="J1209" t="str">
            <v>5401018982</v>
          </cell>
          <cell r="K1209" t="str">
            <v>20</v>
          </cell>
          <cell r="M1209">
            <v>9952.33</v>
          </cell>
        </row>
        <row r="1210">
          <cell r="J1210" t="str">
            <v>5401018982</v>
          </cell>
          <cell r="K1210" t="str">
            <v>20</v>
          </cell>
          <cell r="M1210">
            <v>-71.06</v>
          </cell>
        </row>
        <row r="1211">
          <cell r="J1211" t="str">
            <v>5401018982</v>
          </cell>
          <cell r="K1211" t="str">
            <v>20</v>
          </cell>
          <cell r="M1211">
            <v>-66.040000000000006</v>
          </cell>
        </row>
        <row r="1212">
          <cell r="J1212" t="str">
            <v>5401018982</v>
          </cell>
          <cell r="K1212" t="str">
            <v>20</v>
          </cell>
          <cell r="M1212">
            <v>-314.58</v>
          </cell>
        </row>
        <row r="1213">
          <cell r="J1213" t="str">
            <v>5401018982</v>
          </cell>
          <cell r="K1213" t="str">
            <v>20</v>
          </cell>
          <cell r="M1213">
            <v>-565.77</v>
          </cell>
        </row>
        <row r="1214">
          <cell r="J1214" t="str">
            <v>5401050600</v>
          </cell>
          <cell r="K1214" t="str">
            <v>10</v>
          </cell>
          <cell r="M1214">
            <v>44940</v>
          </cell>
        </row>
        <row r="1215">
          <cell r="J1215" t="str">
            <v>5401094866</v>
          </cell>
          <cell r="K1215" t="str">
            <v>10</v>
          </cell>
          <cell r="M1215">
            <v>1551.5</v>
          </cell>
        </row>
        <row r="1216">
          <cell r="J1216" t="str">
            <v>5401094866</v>
          </cell>
          <cell r="K1216" t="str">
            <v>20</v>
          </cell>
          <cell r="M1216">
            <v>797.5</v>
          </cell>
        </row>
        <row r="1217">
          <cell r="J1217" t="str">
            <v>5401043314</v>
          </cell>
          <cell r="K1217" t="str">
            <v>10</v>
          </cell>
          <cell r="M1217">
            <v>580</v>
          </cell>
        </row>
        <row r="1218">
          <cell r="J1218" t="str">
            <v>5401043314</v>
          </cell>
          <cell r="K1218" t="str">
            <v>10</v>
          </cell>
          <cell r="M1218">
            <v>145</v>
          </cell>
        </row>
        <row r="1219">
          <cell r="J1219" t="str">
            <v>5401103117</v>
          </cell>
          <cell r="K1219" t="str">
            <v>10</v>
          </cell>
          <cell r="M1219">
            <v>2025</v>
          </cell>
        </row>
        <row r="1220">
          <cell r="J1220" t="str">
            <v>5401084023</v>
          </cell>
          <cell r="K1220" t="str">
            <v>10</v>
          </cell>
          <cell r="M1220">
            <v>93916.53</v>
          </cell>
        </row>
        <row r="1221">
          <cell r="J1221" t="str">
            <v>5401023844</v>
          </cell>
          <cell r="K1221" t="str">
            <v>10</v>
          </cell>
          <cell r="M1221">
            <v>-8035.35</v>
          </cell>
        </row>
        <row r="1222">
          <cell r="J1222" t="str">
            <v>5401082181</v>
          </cell>
          <cell r="K1222" t="str">
            <v>10</v>
          </cell>
          <cell r="M1222">
            <v>-9120</v>
          </cell>
        </row>
        <row r="1223">
          <cell r="J1223" t="str">
            <v>5401082181</v>
          </cell>
          <cell r="K1223" t="str">
            <v>10</v>
          </cell>
          <cell r="M1223">
            <v>6688</v>
          </cell>
        </row>
        <row r="1224">
          <cell r="J1224" t="str">
            <v>5401082181</v>
          </cell>
          <cell r="K1224" t="str">
            <v>10</v>
          </cell>
          <cell r="M1224">
            <v>2432</v>
          </cell>
        </row>
        <row r="1225">
          <cell r="J1225" t="str">
            <v>5401070319</v>
          </cell>
          <cell r="K1225" t="str">
            <v>10</v>
          </cell>
          <cell r="M1225">
            <v>34874.550000000003</v>
          </cell>
        </row>
        <row r="1226">
          <cell r="J1226" t="str">
            <v>5401006918</v>
          </cell>
          <cell r="K1226" t="str">
            <v>10</v>
          </cell>
          <cell r="M1226">
            <v>23886.68</v>
          </cell>
        </row>
        <row r="1227">
          <cell r="J1227" t="str">
            <v>5400976352</v>
          </cell>
          <cell r="K1227" t="str">
            <v>30</v>
          </cell>
          <cell r="M1227">
            <v>38475.83</v>
          </cell>
        </row>
        <row r="1228">
          <cell r="J1228" t="str">
            <v>5400976352</v>
          </cell>
          <cell r="K1228" t="str">
            <v>30</v>
          </cell>
          <cell r="M1228">
            <v>1159.5899999999999</v>
          </cell>
        </row>
        <row r="1229">
          <cell r="J1229" t="str">
            <v>5401006918</v>
          </cell>
          <cell r="K1229" t="str">
            <v>10</v>
          </cell>
          <cell r="M1229">
            <v>719.9</v>
          </cell>
        </row>
        <row r="1230">
          <cell r="J1230" t="str">
            <v>5401070319</v>
          </cell>
          <cell r="K1230" t="str">
            <v>10</v>
          </cell>
          <cell r="M1230">
            <v>1051.06</v>
          </cell>
        </row>
        <row r="1231">
          <cell r="J1231" t="str">
            <v>5401037891</v>
          </cell>
          <cell r="K1231" t="str">
            <v>20</v>
          </cell>
          <cell r="M1231">
            <v>39950</v>
          </cell>
        </row>
        <row r="1232">
          <cell r="J1232" t="str">
            <v>5401053351</v>
          </cell>
          <cell r="K1232" t="str">
            <v>20</v>
          </cell>
          <cell r="M1232">
            <v>-2315.06</v>
          </cell>
        </row>
        <row r="1233">
          <cell r="J1233" t="str">
            <v>5401053351</v>
          </cell>
          <cell r="K1233" t="str">
            <v>40</v>
          </cell>
          <cell r="M1233">
            <v>-11451.83</v>
          </cell>
        </row>
        <row r="1234">
          <cell r="J1234" t="str">
            <v>5401075346</v>
          </cell>
          <cell r="K1234" t="str">
            <v>10</v>
          </cell>
          <cell r="M1234">
            <v>62155.9</v>
          </cell>
        </row>
        <row r="1235">
          <cell r="J1235" t="str">
            <v>5401106441</v>
          </cell>
          <cell r="K1235" t="str">
            <v>10</v>
          </cell>
          <cell r="M1235">
            <v>6619.76</v>
          </cell>
        </row>
        <row r="1236">
          <cell r="J1236" t="str">
            <v>5401075346</v>
          </cell>
          <cell r="K1236" t="str">
            <v>10</v>
          </cell>
          <cell r="M1236">
            <v>-4582.3100000000004</v>
          </cell>
        </row>
        <row r="1237">
          <cell r="J1237" t="str">
            <v>5400940618</v>
          </cell>
          <cell r="K1237" t="str">
            <v>40</v>
          </cell>
          <cell r="M1237">
            <v>-17378.52</v>
          </cell>
        </row>
        <row r="1238">
          <cell r="J1238" t="str">
            <v>5401095527</v>
          </cell>
          <cell r="K1238" t="str">
            <v>30</v>
          </cell>
          <cell r="M1238">
            <v>109800</v>
          </cell>
        </row>
        <row r="1239">
          <cell r="J1239" t="str">
            <v>5401095527</v>
          </cell>
          <cell r="K1239" t="str">
            <v>10</v>
          </cell>
          <cell r="M1239">
            <v>37964.86</v>
          </cell>
        </row>
        <row r="1240">
          <cell r="J1240" t="str">
            <v>5401050627</v>
          </cell>
          <cell r="K1240" t="str">
            <v>10</v>
          </cell>
          <cell r="M1240">
            <v>1305</v>
          </cell>
        </row>
        <row r="1241">
          <cell r="J1241" t="str">
            <v>5401090208</v>
          </cell>
          <cell r="K1241" t="str">
            <v>20</v>
          </cell>
          <cell r="M1241">
            <v>22836</v>
          </cell>
        </row>
        <row r="1242">
          <cell r="J1242" t="str">
            <v>5401090208</v>
          </cell>
          <cell r="K1242" t="str">
            <v>10</v>
          </cell>
          <cell r="M1242">
            <v>281677.2</v>
          </cell>
        </row>
        <row r="1243">
          <cell r="J1243" t="str">
            <v>5401116132</v>
          </cell>
          <cell r="K1243" t="str">
            <v>10</v>
          </cell>
          <cell r="M1243">
            <v>5926</v>
          </cell>
        </row>
        <row r="1244">
          <cell r="J1244" t="str">
            <v>5401076464</v>
          </cell>
          <cell r="K1244" t="str">
            <v>10</v>
          </cell>
          <cell r="M1244">
            <v>-330</v>
          </cell>
        </row>
        <row r="1245">
          <cell r="J1245" t="str">
            <v>5401076464</v>
          </cell>
          <cell r="K1245" t="str">
            <v>10</v>
          </cell>
          <cell r="M1245">
            <v>297</v>
          </cell>
        </row>
        <row r="1246">
          <cell r="J1246" t="str">
            <v>5401076464</v>
          </cell>
          <cell r="K1246" t="str">
            <v>10</v>
          </cell>
          <cell r="M1246">
            <v>33</v>
          </cell>
        </row>
        <row r="1247">
          <cell r="J1247" t="str">
            <v>5401017905</v>
          </cell>
          <cell r="K1247" t="str">
            <v>10</v>
          </cell>
          <cell r="M1247">
            <v>5739.9</v>
          </cell>
        </row>
        <row r="1248">
          <cell r="J1248" t="str">
            <v>5401017905</v>
          </cell>
          <cell r="K1248" t="str">
            <v>10</v>
          </cell>
          <cell r="M1248">
            <v>9352.7000000000007</v>
          </cell>
        </row>
        <row r="1249">
          <cell r="J1249" t="str">
            <v>5401017905</v>
          </cell>
          <cell r="K1249" t="str">
            <v>10</v>
          </cell>
          <cell r="M1249">
            <v>9352.7000000000007</v>
          </cell>
        </row>
        <row r="1250">
          <cell r="J1250" t="str">
            <v>5401017905</v>
          </cell>
          <cell r="K1250" t="str">
            <v>10</v>
          </cell>
          <cell r="M1250">
            <v>5739.9</v>
          </cell>
        </row>
        <row r="1251">
          <cell r="J1251" t="str">
            <v>5401017905</v>
          </cell>
          <cell r="K1251" t="str">
            <v>10</v>
          </cell>
          <cell r="M1251">
            <v>1485</v>
          </cell>
        </row>
        <row r="1252">
          <cell r="J1252" t="str">
            <v>5401017905</v>
          </cell>
          <cell r="K1252" t="str">
            <v>10</v>
          </cell>
          <cell r="M1252">
            <v>1485</v>
          </cell>
        </row>
        <row r="1253">
          <cell r="J1253" t="str">
            <v>5401017905</v>
          </cell>
          <cell r="K1253" t="str">
            <v>10</v>
          </cell>
          <cell r="M1253">
            <v>9352.7000000000007</v>
          </cell>
        </row>
        <row r="1254">
          <cell r="J1254" t="str">
            <v>5401017905</v>
          </cell>
          <cell r="K1254" t="str">
            <v>10</v>
          </cell>
          <cell r="M1254">
            <v>5739.9</v>
          </cell>
        </row>
        <row r="1255">
          <cell r="J1255" t="str">
            <v>5401017905</v>
          </cell>
          <cell r="K1255" t="str">
            <v>10</v>
          </cell>
          <cell r="M1255">
            <v>9352.7000000000007</v>
          </cell>
        </row>
        <row r="1256">
          <cell r="J1256" t="str">
            <v>5401017905</v>
          </cell>
          <cell r="K1256" t="str">
            <v>10</v>
          </cell>
          <cell r="M1256">
            <v>5739.9</v>
          </cell>
        </row>
        <row r="1257">
          <cell r="J1257" t="str">
            <v>5401017905</v>
          </cell>
          <cell r="K1257" t="str">
            <v>10</v>
          </cell>
          <cell r="M1257">
            <v>1485</v>
          </cell>
        </row>
        <row r="1258">
          <cell r="J1258" t="str">
            <v>5401017905</v>
          </cell>
          <cell r="K1258" t="str">
            <v>10</v>
          </cell>
          <cell r="M1258">
            <v>9352.7000000000007</v>
          </cell>
        </row>
        <row r="1259">
          <cell r="J1259" t="str">
            <v>5401017905</v>
          </cell>
          <cell r="K1259" t="str">
            <v>10</v>
          </cell>
          <cell r="M1259">
            <v>5739.9</v>
          </cell>
        </row>
        <row r="1260">
          <cell r="J1260" t="str">
            <v>5401017905</v>
          </cell>
          <cell r="K1260" t="str">
            <v>10</v>
          </cell>
          <cell r="M1260">
            <v>1485</v>
          </cell>
        </row>
        <row r="1261">
          <cell r="J1261" t="str">
            <v>5401017905</v>
          </cell>
          <cell r="K1261" t="str">
            <v>10</v>
          </cell>
          <cell r="M1261">
            <v>9352.7000000000007</v>
          </cell>
        </row>
        <row r="1262">
          <cell r="J1262" t="str">
            <v>5401017905</v>
          </cell>
          <cell r="K1262" t="str">
            <v>10</v>
          </cell>
          <cell r="M1262">
            <v>5739.9</v>
          </cell>
        </row>
        <row r="1263">
          <cell r="J1263" t="str">
            <v>5401017905</v>
          </cell>
          <cell r="K1263" t="str">
            <v>10</v>
          </cell>
          <cell r="M1263">
            <v>1485</v>
          </cell>
        </row>
        <row r="1264">
          <cell r="J1264" t="str">
            <v>5401097362</v>
          </cell>
          <cell r="K1264" t="str">
            <v>10</v>
          </cell>
          <cell r="M1264">
            <v>26225.45</v>
          </cell>
        </row>
        <row r="1265">
          <cell r="J1265" t="str">
            <v>5400909342</v>
          </cell>
          <cell r="K1265" t="str">
            <v>50</v>
          </cell>
          <cell r="M1265">
            <v>329000</v>
          </cell>
        </row>
        <row r="1266">
          <cell r="J1266" t="str">
            <v>5401069521</v>
          </cell>
          <cell r="K1266" t="str">
            <v>20</v>
          </cell>
          <cell r="M1266">
            <v>29793</v>
          </cell>
        </row>
        <row r="1267">
          <cell r="J1267" t="str">
            <v>5400912153</v>
          </cell>
          <cell r="K1267" t="str">
            <v>60</v>
          </cell>
          <cell r="M1267">
            <v>313215.87</v>
          </cell>
        </row>
        <row r="1268">
          <cell r="J1268" t="str">
            <v>5400912153</v>
          </cell>
          <cell r="K1268" t="str">
            <v>60</v>
          </cell>
          <cell r="M1268">
            <v>115699.92</v>
          </cell>
        </row>
        <row r="1269">
          <cell r="J1269" t="str">
            <v>5400917805</v>
          </cell>
          <cell r="K1269" t="str">
            <v>40</v>
          </cell>
          <cell r="M1269">
            <v>128714.04</v>
          </cell>
        </row>
        <row r="1270">
          <cell r="J1270" t="str">
            <v>5400921393</v>
          </cell>
          <cell r="K1270" t="str">
            <v>40</v>
          </cell>
          <cell r="M1270">
            <v>36474</v>
          </cell>
        </row>
        <row r="1271">
          <cell r="J1271" t="str">
            <v>5400960770</v>
          </cell>
          <cell r="K1271" t="str">
            <v>40</v>
          </cell>
          <cell r="M1271">
            <v>33526.230000000003</v>
          </cell>
        </row>
        <row r="1272">
          <cell r="J1272" t="str">
            <v>5400921437</v>
          </cell>
          <cell r="K1272" t="str">
            <v>40</v>
          </cell>
          <cell r="M1272">
            <v>23118.48</v>
          </cell>
        </row>
        <row r="1273">
          <cell r="J1273" t="str">
            <v>5401045611</v>
          </cell>
          <cell r="K1273" t="str">
            <v>10</v>
          </cell>
          <cell r="M1273">
            <v>-3626.78</v>
          </cell>
        </row>
        <row r="1274">
          <cell r="J1274" t="str">
            <v>5401099785</v>
          </cell>
          <cell r="K1274" t="str">
            <v>10</v>
          </cell>
          <cell r="M1274">
            <v>13828.72</v>
          </cell>
        </row>
        <row r="1275">
          <cell r="J1275" t="str">
            <v>5401094872</v>
          </cell>
          <cell r="K1275" t="str">
            <v>10</v>
          </cell>
          <cell r="M1275">
            <v>66276</v>
          </cell>
        </row>
        <row r="1276">
          <cell r="J1276" t="str">
            <v>5401065459</v>
          </cell>
          <cell r="K1276" t="str">
            <v>10</v>
          </cell>
          <cell r="M1276">
            <v>34772.53</v>
          </cell>
        </row>
        <row r="1277">
          <cell r="J1277" t="str">
            <v>5400975278</v>
          </cell>
          <cell r="K1277" t="str">
            <v>50</v>
          </cell>
          <cell r="M1277">
            <v>162271.81</v>
          </cell>
        </row>
        <row r="1278">
          <cell r="J1278" t="str">
            <v>5401065459</v>
          </cell>
          <cell r="K1278" t="str">
            <v>10</v>
          </cell>
          <cell r="M1278">
            <v>-1497.74</v>
          </cell>
        </row>
        <row r="1279">
          <cell r="J1279" t="str">
            <v>5400975278</v>
          </cell>
          <cell r="K1279" t="str">
            <v>50</v>
          </cell>
          <cell r="M1279">
            <v>-6989.44</v>
          </cell>
        </row>
        <row r="1280">
          <cell r="J1280" t="str">
            <v>5400976828</v>
          </cell>
          <cell r="K1280" t="str">
            <v>30</v>
          </cell>
          <cell r="M1280">
            <v>68581.75</v>
          </cell>
        </row>
        <row r="1281">
          <cell r="J1281" t="str">
            <v>5401046459</v>
          </cell>
          <cell r="K1281" t="str">
            <v>20</v>
          </cell>
          <cell r="M1281">
            <v>24000</v>
          </cell>
        </row>
        <row r="1282">
          <cell r="J1282" t="str">
            <v>5401097354</v>
          </cell>
          <cell r="K1282" t="str">
            <v>10</v>
          </cell>
          <cell r="M1282">
            <v>7050</v>
          </cell>
        </row>
        <row r="1283">
          <cell r="J1283" t="str">
            <v>5401097354</v>
          </cell>
          <cell r="K1283" t="str">
            <v>10</v>
          </cell>
          <cell r="M1283">
            <v>77544</v>
          </cell>
        </row>
        <row r="1284">
          <cell r="J1284" t="str">
            <v>5401023562</v>
          </cell>
          <cell r="K1284" t="str">
            <v>30</v>
          </cell>
          <cell r="M1284">
            <v>241581</v>
          </cell>
        </row>
        <row r="1285">
          <cell r="J1285" t="str">
            <v>5401023562</v>
          </cell>
          <cell r="K1285" t="str">
            <v>30</v>
          </cell>
          <cell r="M1285">
            <v>11640</v>
          </cell>
        </row>
        <row r="1286">
          <cell r="J1286" t="str">
            <v>5401023562</v>
          </cell>
          <cell r="K1286" t="str">
            <v>30</v>
          </cell>
          <cell r="M1286">
            <v>11640</v>
          </cell>
        </row>
        <row r="1287">
          <cell r="J1287" t="str">
            <v>5401023562</v>
          </cell>
          <cell r="K1287" t="str">
            <v>30</v>
          </cell>
          <cell r="M1287">
            <v>-11640</v>
          </cell>
        </row>
        <row r="1288">
          <cell r="J1288" t="str">
            <v>5401023562</v>
          </cell>
          <cell r="K1288" t="str">
            <v>30</v>
          </cell>
          <cell r="M1288">
            <v>11640</v>
          </cell>
        </row>
        <row r="1289">
          <cell r="J1289" t="str">
            <v>5401023562</v>
          </cell>
          <cell r="K1289" t="str">
            <v>30</v>
          </cell>
          <cell r="M1289">
            <v>-11640</v>
          </cell>
        </row>
        <row r="1290">
          <cell r="J1290" t="str">
            <v>5401084798</v>
          </cell>
          <cell r="K1290" t="str">
            <v>10</v>
          </cell>
          <cell r="M1290">
            <v>12640.5</v>
          </cell>
        </row>
        <row r="1291">
          <cell r="J1291" t="str">
            <v>5401040892</v>
          </cell>
          <cell r="K1291" t="str">
            <v>10</v>
          </cell>
          <cell r="M1291">
            <v>15824</v>
          </cell>
        </row>
        <row r="1292">
          <cell r="J1292" t="str">
            <v>5401017889</v>
          </cell>
          <cell r="K1292" t="str">
            <v>10</v>
          </cell>
          <cell r="M1292">
            <v>5018.84</v>
          </cell>
        </row>
        <row r="1293">
          <cell r="J1293" t="str">
            <v>5401090202</v>
          </cell>
          <cell r="K1293" t="str">
            <v>10</v>
          </cell>
          <cell r="M1293">
            <v>14488.55</v>
          </cell>
        </row>
        <row r="1294">
          <cell r="J1294" t="str">
            <v>5401090202</v>
          </cell>
          <cell r="K1294" t="str">
            <v>10</v>
          </cell>
          <cell r="M1294">
            <v>13887.6</v>
          </cell>
        </row>
        <row r="1295">
          <cell r="J1295" t="str">
            <v>5401017889</v>
          </cell>
          <cell r="K1295" t="str">
            <v>10</v>
          </cell>
          <cell r="M1295">
            <v>444.92</v>
          </cell>
        </row>
        <row r="1296">
          <cell r="J1296" t="str">
            <v>5401084226</v>
          </cell>
          <cell r="K1296" t="str">
            <v>30</v>
          </cell>
          <cell r="M1296">
            <v>1280</v>
          </cell>
        </row>
        <row r="1297">
          <cell r="J1297" t="str">
            <v>5401084226</v>
          </cell>
          <cell r="K1297" t="str">
            <v>30</v>
          </cell>
          <cell r="M1297">
            <v>3225</v>
          </cell>
        </row>
        <row r="1298">
          <cell r="J1298" t="str">
            <v>5401084226</v>
          </cell>
          <cell r="K1298" t="str">
            <v>30</v>
          </cell>
          <cell r="M1298">
            <v>21500</v>
          </cell>
        </row>
        <row r="1299">
          <cell r="J1299" t="str">
            <v>5401084013</v>
          </cell>
          <cell r="K1299" t="str">
            <v>10</v>
          </cell>
          <cell r="M1299">
            <v>55.55</v>
          </cell>
        </row>
        <row r="1300">
          <cell r="J1300" t="str">
            <v>5401084013</v>
          </cell>
          <cell r="K1300" t="str">
            <v>10</v>
          </cell>
          <cell r="M1300">
            <v>1.67</v>
          </cell>
        </row>
        <row r="1301">
          <cell r="J1301" t="str">
            <v>5401084013</v>
          </cell>
          <cell r="K1301" t="str">
            <v>10</v>
          </cell>
          <cell r="M1301">
            <v>120.64</v>
          </cell>
        </row>
        <row r="1302">
          <cell r="J1302" t="str">
            <v>5401105315</v>
          </cell>
          <cell r="K1302" t="str">
            <v>10</v>
          </cell>
          <cell r="M1302">
            <v>38838.46</v>
          </cell>
        </row>
        <row r="1303">
          <cell r="J1303" t="str">
            <v>5401049687</v>
          </cell>
          <cell r="K1303" t="str">
            <v>40</v>
          </cell>
          <cell r="M1303">
            <v>9827</v>
          </cell>
        </row>
        <row r="1304">
          <cell r="J1304" t="str">
            <v>5401049687</v>
          </cell>
          <cell r="K1304" t="str">
            <v>40</v>
          </cell>
          <cell r="M1304">
            <v>9827</v>
          </cell>
        </row>
        <row r="1305">
          <cell r="J1305" t="str">
            <v>5401049687</v>
          </cell>
          <cell r="K1305" t="str">
            <v>40</v>
          </cell>
          <cell r="M1305">
            <v>9827</v>
          </cell>
        </row>
        <row r="1306">
          <cell r="J1306" t="str">
            <v>5401049687</v>
          </cell>
          <cell r="K1306" t="str">
            <v>40</v>
          </cell>
          <cell r="M1306">
            <v>76511</v>
          </cell>
        </row>
        <row r="1307">
          <cell r="J1307" t="str">
            <v>5401039684</v>
          </cell>
          <cell r="K1307" t="str">
            <v>20</v>
          </cell>
          <cell r="M1307">
            <v>300000</v>
          </cell>
        </row>
        <row r="1308">
          <cell r="J1308" t="str">
            <v>5401046457</v>
          </cell>
          <cell r="K1308" t="str">
            <v>40</v>
          </cell>
          <cell r="M1308">
            <v>34778</v>
          </cell>
        </row>
        <row r="1309">
          <cell r="J1309" t="str">
            <v>5401087725</v>
          </cell>
          <cell r="K1309" t="str">
            <v>10</v>
          </cell>
          <cell r="M1309">
            <v>21811.200000000001</v>
          </cell>
        </row>
        <row r="1310">
          <cell r="J1310" t="str">
            <v>5401088262</v>
          </cell>
          <cell r="K1310" t="str">
            <v>10</v>
          </cell>
          <cell r="M1310">
            <v>14652.65</v>
          </cell>
        </row>
        <row r="1311">
          <cell r="J1311" t="str">
            <v>5401088262</v>
          </cell>
          <cell r="K1311" t="str">
            <v>20</v>
          </cell>
          <cell r="M1311">
            <v>5058.1000000000004</v>
          </cell>
        </row>
        <row r="1312">
          <cell r="J1312" t="str">
            <v>5401088262</v>
          </cell>
          <cell r="K1312" t="str">
            <v>10</v>
          </cell>
          <cell r="M1312">
            <v>16698.07</v>
          </cell>
        </row>
        <row r="1313">
          <cell r="J1313" t="str">
            <v>5401088262</v>
          </cell>
          <cell r="K1313" t="str">
            <v>20</v>
          </cell>
          <cell r="M1313">
            <v>5058.1000000000004</v>
          </cell>
        </row>
        <row r="1314">
          <cell r="J1314" t="str">
            <v>5401088262</v>
          </cell>
          <cell r="K1314" t="str">
            <v>10</v>
          </cell>
          <cell r="M1314">
            <v>16698.07</v>
          </cell>
        </row>
        <row r="1315">
          <cell r="J1315" t="str">
            <v>5401088262</v>
          </cell>
          <cell r="K1315" t="str">
            <v>20</v>
          </cell>
          <cell r="M1315">
            <v>5058.1000000000004</v>
          </cell>
        </row>
        <row r="1316">
          <cell r="J1316" t="str">
            <v>5401088262</v>
          </cell>
          <cell r="K1316" t="str">
            <v>20</v>
          </cell>
          <cell r="M1316">
            <v>5058.1000000000004</v>
          </cell>
        </row>
        <row r="1317">
          <cell r="J1317" t="str">
            <v>5401088262</v>
          </cell>
          <cell r="K1317" t="str">
            <v>10</v>
          </cell>
          <cell r="M1317">
            <v>16698.07</v>
          </cell>
        </row>
        <row r="1318">
          <cell r="J1318" t="str">
            <v>5401088262</v>
          </cell>
          <cell r="K1318" t="str">
            <v>10</v>
          </cell>
          <cell r="M1318">
            <v>-0.13</v>
          </cell>
        </row>
        <row r="1319">
          <cell r="J1319" t="str">
            <v>5401096885</v>
          </cell>
          <cell r="K1319" t="str">
            <v>10</v>
          </cell>
          <cell r="M1319">
            <v>32634.61</v>
          </cell>
        </row>
        <row r="1320">
          <cell r="J1320" t="str">
            <v>5401096885</v>
          </cell>
          <cell r="K1320" t="str">
            <v>10</v>
          </cell>
          <cell r="M1320">
            <v>26196.5</v>
          </cell>
        </row>
        <row r="1321">
          <cell r="J1321" t="str">
            <v>5401096885</v>
          </cell>
          <cell r="K1321" t="str">
            <v>10</v>
          </cell>
          <cell r="M1321">
            <v>1452.12</v>
          </cell>
        </row>
        <row r="1322">
          <cell r="J1322" t="str">
            <v>5401099792</v>
          </cell>
          <cell r="K1322" t="str">
            <v>10</v>
          </cell>
          <cell r="M1322">
            <v>4320</v>
          </cell>
        </row>
        <row r="1323">
          <cell r="J1323" t="str">
            <v>#</v>
          </cell>
          <cell r="K1323" t="str">
            <v>#</v>
          </cell>
          <cell r="M1323">
            <v>-48592</v>
          </cell>
        </row>
        <row r="1324">
          <cell r="J1324" t="str">
            <v>#</v>
          </cell>
          <cell r="K1324" t="str">
            <v>#</v>
          </cell>
          <cell r="M1324">
            <v>-128826.49</v>
          </cell>
        </row>
        <row r="1325">
          <cell r="J1325" t="str">
            <v>#</v>
          </cell>
          <cell r="K1325" t="str">
            <v>#</v>
          </cell>
          <cell r="M1325">
            <v>-26818.080000000002</v>
          </cell>
        </row>
        <row r="1326">
          <cell r="J1326" t="str">
            <v>#</v>
          </cell>
          <cell r="K1326" t="str">
            <v>#</v>
          </cell>
          <cell r="M1326">
            <v>-229808.33</v>
          </cell>
        </row>
        <row r="1327">
          <cell r="J1327" t="str">
            <v>#</v>
          </cell>
          <cell r="K1327" t="str">
            <v>#</v>
          </cell>
          <cell r="M1327">
            <v>27965.08</v>
          </cell>
        </row>
        <row r="1328">
          <cell r="J1328" t="str">
            <v>#</v>
          </cell>
          <cell r="K1328" t="str">
            <v>#</v>
          </cell>
          <cell r="M1328">
            <v>44078.76</v>
          </cell>
        </row>
        <row r="1329">
          <cell r="J1329" t="str">
            <v>#</v>
          </cell>
          <cell r="K1329" t="str">
            <v>#</v>
          </cell>
          <cell r="M1329">
            <v>75054</v>
          </cell>
        </row>
        <row r="1330">
          <cell r="J1330" t="str">
            <v>#</v>
          </cell>
          <cell r="K1330" t="str">
            <v>#</v>
          </cell>
          <cell r="M1330">
            <v>-97184.320000000007</v>
          </cell>
        </row>
        <row r="1331">
          <cell r="J1331" t="str">
            <v>#</v>
          </cell>
          <cell r="K1331" t="str">
            <v>#</v>
          </cell>
          <cell r="M1331">
            <v>350</v>
          </cell>
        </row>
        <row r="1332">
          <cell r="J1332" t="str">
            <v>#</v>
          </cell>
          <cell r="K1332" t="str">
            <v>#</v>
          </cell>
          <cell r="M1332">
            <v>9856.25</v>
          </cell>
        </row>
        <row r="1333">
          <cell r="J1333" t="str">
            <v>#</v>
          </cell>
          <cell r="K1333" t="str">
            <v>#</v>
          </cell>
          <cell r="M1333">
            <v>350</v>
          </cell>
        </row>
        <row r="1334">
          <cell r="J1334" t="str">
            <v>#</v>
          </cell>
          <cell r="K1334" t="str">
            <v>#</v>
          </cell>
          <cell r="M1334">
            <v>9856.25</v>
          </cell>
        </row>
        <row r="1335">
          <cell r="J1335" t="str">
            <v>#</v>
          </cell>
          <cell r="K1335" t="str">
            <v>#</v>
          </cell>
          <cell r="M1335">
            <v>350</v>
          </cell>
        </row>
        <row r="1336">
          <cell r="J1336" t="str">
            <v>#</v>
          </cell>
          <cell r="K1336" t="str">
            <v>#</v>
          </cell>
          <cell r="M1336">
            <v>9856.25</v>
          </cell>
        </row>
        <row r="1337">
          <cell r="J1337" t="str">
            <v>#</v>
          </cell>
          <cell r="K1337" t="str">
            <v>#</v>
          </cell>
          <cell r="M1337">
            <v>-4200</v>
          </cell>
        </row>
        <row r="1338">
          <cell r="J1338" t="str">
            <v>#</v>
          </cell>
          <cell r="K1338" t="str">
            <v>#</v>
          </cell>
          <cell r="M1338">
            <v>350</v>
          </cell>
        </row>
        <row r="1339">
          <cell r="J1339" t="str">
            <v>#</v>
          </cell>
          <cell r="K1339" t="str">
            <v>#</v>
          </cell>
          <cell r="M1339">
            <v>9856.25</v>
          </cell>
        </row>
        <row r="1340">
          <cell r="J1340" t="str">
            <v>#</v>
          </cell>
          <cell r="K1340" t="str">
            <v>#</v>
          </cell>
          <cell r="M1340">
            <v>350</v>
          </cell>
        </row>
        <row r="1341">
          <cell r="J1341" t="str">
            <v>#</v>
          </cell>
          <cell r="K1341" t="str">
            <v>#</v>
          </cell>
          <cell r="M1341">
            <v>9856.25</v>
          </cell>
        </row>
        <row r="1342">
          <cell r="J1342" t="str">
            <v>#</v>
          </cell>
          <cell r="K1342" t="str">
            <v>#</v>
          </cell>
          <cell r="M1342">
            <v>-54</v>
          </cell>
        </row>
        <row r="1343">
          <cell r="J1343" t="str">
            <v>#</v>
          </cell>
          <cell r="K1343" t="str">
            <v>#</v>
          </cell>
          <cell r="M1343">
            <v>6</v>
          </cell>
        </row>
        <row r="1344">
          <cell r="J1344" t="str">
            <v>#</v>
          </cell>
          <cell r="K1344" t="str">
            <v>#</v>
          </cell>
          <cell r="M1344">
            <v>48</v>
          </cell>
        </row>
        <row r="1345">
          <cell r="J1345" t="str">
            <v>#</v>
          </cell>
          <cell r="K1345" t="str">
            <v>#</v>
          </cell>
          <cell r="M1345">
            <v>-25941.48</v>
          </cell>
        </row>
        <row r="1346">
          <cell r="J1346" t="str">
            <v>#</v>
          </cell>
          <cell r="K1346" t="str">
            <v>#</v>
          </cell>
          <cell r="M1346">
            <v>31940.51</v>
          </cell>
        </row>
        <row r="1347">
          <cell r="J1347" t="str">
            <v>#</v>
          </cell>
          <cell r="K1347" t="str">
            <v>#</v>
          </cell>
          <cell r="M1347">
            <v>0</v>
          </cell>
        </row>
        <row r="1348">
          <cell r="J1348" t="str">
            <v>#</v>
          </cell>
          <cell r="K1348" t="str">
            <v>#</v>
          </cell>
          <cell r="M1348">
            <v>20411.96</v>
          </cell>
        </row>
        <row r="1349">
          <cell r="J1349" t="str">
            <v>#</v>
          </cell>
          <cell r="K1349" t="str">
            <v>#</v>
          </cell>
          <cell r="M1349">
            <v>0</v>
          </cell>
        </row>
        <row r="1350">
          <cell r="J1350" t="str">
            <v>#</v>
          </cell>
          <cell r="K1350" t="str">
            <v>#</v>
          </cell>
          <cell r="M1350">
            <v>42587.360000000001</v>
          </cell>
        </row>
        <row r="1351">
          <cell r="J1351" t="str">
            <v>#</v>
          </cell>
          <cell r="K1351" t="str">
            <v>#</v>
          </cell>
          <cell r="M1351">
            <v>0</v>
          </cell>
        </row>
        <row r="1352">
          <cell r="J1352" t="str">
            <v>#</v>
          </cell>
          <cell r="K1352" t="str">
            <v>#</v>
          </cell>
          <cell r="M1352">
            <v>90565.88</v>
          </cell>
        </row>
        <row r="1353">
          <cell r="J1353" t="str">
            <v>#</v>
          </cell>
          <cell r="K1353" t="str">
            <v>#</v>
          </cell>
          <cell r="M1353">
            <v>15254.78</v>
          </cell>
        </row>
        <row r="1354">
          <cell r="J1354" t="str">
            <v>#</v>
          </cell>
          <cell r="K1354" t="str">
            <v>#</v>
          </cell>
          <cell r="M1354">
            <v>-1383710</v>
          </cell>
        </row>
        <row r="1355">
          <cell r="J1355" t="str">
            <v>#</v>
          </cell>
          <cell r="K1355" t="str">
            <v>#</v>
          </cell>
          <cell r="M1355">
            <v>-106290</v>
          </cell>
        </row>
        <row r="1356">
          <cell r="J1356" t="str">
            <v>#</v>
          </cell>
          <cell r="K1356" t="str">
            <v>#</v>
          </cell>
          <cell r="M1356">
            <v>1490000</v>
          </cell>
        </row>
        <row r="1357">
          <cell r="J1357" t="str">
            <v>#</v>
          </cell>
          <cell r="K1357" t="str">
            <v>#</v>
          </cell>
          <cell r="M1357">
            <v>21450</v>
          </cell>
        </row>
        <row r="1358">
          <cell r="J1358" t="str">
            <v>#</v>
          </cell>
          <cell r="K1358" t="str">
            <v>#</v>
          </cell>
          <cell r="M1358">
            <v>31140</v>
          </cell>
        </row>
        <row r="1359">
          <cell r="J1359" t="str">
            <v>#</v>
          </cell>
          <cell r="K1359" t="str">
            <v>#</v>
          </cell>
          <cell r="M1359">
            <v>11130</v>
          </cell>
        </row>
        <row r="1360">
          <cell r="J1360" t="str">
            <v>#</v>
          </cell>
          <cell r="K1360" t="str">
            <v>#</v>
          </cell>
          <cell r="M1360">
            <v>0</v>
          </cell>
        </row>
        <row r="1361">
          <cell r="J1361" t="str">
            <v>#</v>
          </cell>
          <cell r="K1361" t="str">
            <v>#</v>
          </cell>
          <cell r="M1361">
            <v>0</v>
          </cell>
        </row>
        <row r="1362">
          <cell r="J1362" t="str">
            <v>#</v>
          </cell>
          <cell r="K1362" t="str">
            <v>#</v>
          </cell>
          <cell r="M1362">
            <v>26101</v>
          </cell>
        </row>
        <row r="1363">
          <cell r="J1363" t="str">
            <v>#</v>
          </cell>
          <cell r="K1363" t="str">
            <v>#</v>
          </cell>
          <cell r="M1363">
            <v>6889</v>
          </cell>
        </row>
        <row r="1364">
          <cell r="J1364" t="str">
            <v>#</v>
          </cell>
          <cell r="K1364" t="str">
            <v>#</v>
          </cell>
          <cell r="M1364">
            <v>128826.49</v>
          </cell>
        </row>
        <row r="1365">
          <cell r="J1365" t="str">
            <v>#</v>
          </cell>
          <cell r="K1365" t="str">
            <v>#</v>
          </cell>
          <cell r="M1365">
            <v>26818.080000000002</v>
          </cell>
        </row>
        <row r="1366">
          <cell r="J1366" t="str">
            <v>#</v>
          </cell>
          <cell r="K1366" t="str">
            <v>#</v>
          </cell>
          <cell r="M1366">
            <v>229808.33</v>
          </cell>
        </row>
        <row r="1367">
          <cell r="J1367" t="str">
            <v>#</v>
          </cell>
          <cell r="K1367" t="str">
            <v>#</v>
          </cell>
          <cell r="M1367">
            <v>10250</v>
          </cell>
        </row>
        <row r="1368">
          <cell r="J1368" t="str">
            <v>#</v>
          </cell>
          <cell r="K1368" t="str">
            <v>#</v>
          </cell>
          <cell r="M1368">
            <v>34554</v>
          </cell>
        </row>
        <row r="1369">
          <cell r="J1369" t="str">
            <v>#</v>
          </cell>
          <cell r="K1369" t="str">
            <v>#</v>
          </cell>
          <cell r="M1369">
            <v>28874</v>
          </cell>
        </row>
        <row r="1370">
          <cell r="J1370" t="str">
            <v>#</v>
          </cell>
          <cell r="K1370" t="str">
            <v>#</v>
          </cell>
          <cell r="M1370">
            <v>18984</v>
          </cell>
        </row>
        <row r="1371">
          <cell r="J1371" t="str">
            <v>#</v>
          </cell>
          <cell r="K1371" t="str">
            <v>#</v>
          </cell>
          <cell r="M1371">
            <v>11830</v>
          </cell>
        </row>
        <row r="1372">
          <cell r="J1372" t="str">
            <v>#</v>
          </cell>
          <cell r="K1372" t="str">
            <v>#</v>
          </cell>
          <cell r="M1372">
            <v>14980</v>
          </cell>
        </row>
        <row r="1373">
          <cell r="J1373" t="str">
            <v>#</v>
          </cell>
          <cell r="K1373" t="str">
            <v>#</v>
          </cell>
          <cell r="M1373">
            <v>48592</v>
          </cell>
        </row>
        <row r="1374">
          <cell r="J1374" t="str">
            <v>#</v>
          </cell>
          <cell r="K1374" t="str">
            <v>#</v>
          </cell>
          <cell r="M1374">
            <v>99325</v>
          </cell>
        </row>
        <row r="1375">
          <cell r="J1375" t="str">
            <v>#</v>
          </cell>
          <cell r="K1375" t="str">
            <v>#</v>
          </cell>
          <cell r="M1375">
            <v>73660</v>
          </cell>
        </row>
        <row r="1376">
          <cell r="J1376" t="str">
            <v>#</v>
          </cell>
          <cell r="K1376" t="str">
            <v>#</v>
          </cell>
          <cell r="M1376">
            <v>37915</v>
          </cell>
        </row>
        <row r="1377">
          <cell r="J1377" t="str">
            <v>#</v>
          </cell>
          <cell r="K1377" t="str">
            <v>#</v>
          </cell>
          <cell r="M1377">
            <v>1430</v>
          </cell>
        </row>
        <row r="1378">
          <cell r="J1378" t="str">
            <v>#</v>
          </cell>
          <cell r="K1378" t="str">
            <v>#</v>
          </cell>
          <cell r="M1378">
            <v>420</v>
          </cell>
        </row>
        <row r="1379">
          <cell r="J1379" t="str">
            <v>#</v>
          </cell>
          <cell r="K1379" t="str">
            <v>#</v>
          </cell>
          <cell r="M1379">
            <v>13030</v>
          </cell>
        </row>
        <row r="1380">
          <cell r="J1380" t="str">
            <v>#</v>
          </cell>
          <cell r="K1380" t="str">
            <v>#</v>
          </cell>
          <cell r="M1380">
            <v>59634</v>
          </cell>
        </row>
        <row r="1381">
          <cell r="J1381" t="str">
            <v>#</v>
          </cell>
          <cell r="K1381" t="str">
            <v>#</v>
          </cell>
          <cell r="M1381">
            <v>5577</v>
          </cell>
        </row>
        <row r="1382">
          <cell r="J1382" t="str">
            <v>#</v>
          </cell>
          <cell r="K1382" t="str">
            <v>#</v>
          </cell>
          <cell r="M1382">
            <v>198882</v>
          </cell>
        </row>
        <row r="1383">
          <cell r="J1383" t="str">
            <v>#</v>
          </cell>
          <cell r="K1383" t="str">
            <v>#</v>
          </cell>
          <cell r="M1383">
            <v>149706</v>
          </cell>
        </row>
        <row r="1384">
          <cell r="J1384" t="str">
            <v>#</v>
          </cell>
          <cell r="K1384" t="str">
            <v>#</v>
          </cell>
          <cell r="M1384">
            <v>177881.16</v>
          </cell>
        </row>
        <row r="1385">
          <cell r="J1385" t="str">
            <v>#</v>
          </cell>
          <cell r="K1385" t="str">
            <v>#</v>
          </cell>
          <cell r="M1385">
            <v>170748</v>
          </cell>
        </row>
        <row r="1386">
          <cell r="J1386" t="str">
            <v>#</v>
          </cell>
          <cell r="K1386" t="str">
            <v>#</v>
          </cell>
          <cell r="M1386">
            <v>37188</v>
          </cell>
        </row>
        <row r="1387">
          <cell r="J1387" t="str">
            <v>#</v>
          </cell>
          <cell r="K1387" t="str">
            <v>#</v>
          </cell>
          <cell r="M1387">
            <v>37527</v>
          </cell>
        </row>
        <row r="1388">
          <cell r="J1388" t="str">
            <v>#</v>
          </cell>
          <cell r="K1388" t="str">
            <v>#</v>
          </cell>
          <cell r="M1388">
            <v>345630</v>
          </cell>
        </row>
        <row r="1389">
          <cell r="J1389" t="str">
            <v>#</v>
          </cell>
          <cell r="K1389" t="str">
            <v>#</v>
          </cell>
          <cell r="M1389">
            <v>79644</v>
          </cell>
        </row>
        <row r="1390">
          <cell r="J1390" t="str">
            <v>#</v>
          </cell>
          <cell r="K1390" t="str">
            <v>#</v>
          </cell>
          <cell r="M1390">
            <v>77310</v>
          </cell>
        </row>
        <row r="1391">
          <cell r="J1391" t="str">
            <v>#</v>
          </cell>
          <cell r="K1391" t="str">
            <v>#</v>
          </cell>
          <cell r="M1391">
            <v>72372</v>
          </cell>
        </row>
        <row r="1392">
          <cell r="J1392" t="str">
            <v>#</v>
          </cell>
          <cell r="K1392" t="str">
            <v>#</v>
          </cell>
          <cell r="M1392">
            <v>92304</v>
          </cell>
        </row>
        <row r="1393">
          <cell r="J1393" t="str">
            <v>#</v>
          </cell>
          <cell r="K1393" t="str">
            <v>#</v>
          </cell>
          <cell r="M1393">
            <v>132420</v>
          </cell>
        </row>
        <row r="1394">
          <cell r="J1394" t="str">
            <v>#</v>
          </cell>
          <cell r="K1394" t="str">
            <v>#</v>
          </cell>
          <cell r="M1394">
            <v>156546.29999999999</v>
          </cell>
        </row>
        <row r="1395">
          <cell r="J1395" t="str">
            <v>#</v>
          </cell>
          <cell r="K1395" t="str">
            <v>#</v>
          </cell>
          <cell r="M1395">
            <v>64276.02</v>
          </cell>
        </row>
        <row r="1396">
          <cell r="J1396" t="str">
            <v>#</v>
          </cell>
          <cell r="K1396" t="str">
            <v>#</v>
          </cell>
          <cell r="M1396">
            <v>114750</v>
          </cell>
        </row>
        <row r="1397">
          <cell r="J1397" t="str">
            <v>#</v>
          </cell>
          <cell r="K1397" t="str">
            <v>#</v>
          </cell>
          <cell r="M1397">
            <v>225002.94</v>
          </cell>
        </row>
        <row r="1398">
          <cell r="J1398" t="str">
            <v>#</v>
          </cell>
          <cell r="K1398" t="str">
            <v>#</v>
          </cell>
          <cell r="M1398">
            <v>145776.64000000001</v>
          </cell>
        </row>
        <row r="1399">
          <cell r="J1399" t="str">
            <v>#</v>
          </cell>
          <cell r="K1399" t="str">
            <v>#</v>
          </cell>
          <cell r="M1399">
            <v>58002.96</v>
          </cell>
        </row>
        <row r="1400">
          <cell r="J1400" t="str">
            <v>#</v>
          </cell>
          <cell r="K1400" t="str">
            <v>#</v>
          </cell>
          <cell r="M1400">
            <v>-36000</v>
          </cell>
        </row>
        <row r="1401">
          <cell r="J1401" t="str">
            <v>#</v>
          </cell>
          <cell r="K1401" t="str">
            <v>#</v>
          </cell>
          <cell r="M1401">
            <v>-81135.91</v>
          </cell>
        </row>
        <row r="1402">
          <cell r="J1402" t="str">
            <v>#</v>
          </cell>
          <cell r="K1402" t="str">
            <v>#</v>
          </cell>
          <cell r="M1402">
            <v>-115241.52</v>
          </cell>
        </row>
        <row r="1403">
          <cell r="J1403" t="str">
            <v>#</v>
          </cell>
          <cell r="K1403" t="str">
            <v>#</v>
          </cell>
          <cell r="M1403">
            <v>-44327.48</v>
          </cell>
        </row>
        <row r="1404">
          <cell r="J1404" t="str">
            <v>#</v>
          </cell>
          <cell r="K1404" t="str">
            <v>#</v>
          </cell>
          <cell r="M1404">
            <v>-62155.9</v>
          </cell>
        </row>
        <row r="1405">
          <cell r="J1405" t="str">
            <v>#</v>
          </cell>
          <cell r="K1405" t="str">
            <v>#</v>
          </cell>
          <cell r="M1405">
            <v>31077.96</v>
          </cell>
        </row>
        <row r="1406">
          <cell r="J1406" t="str">
            <v>#</v>
          </cell>
          <cell r="K1406" t="str">
            <v>#</v>
          </cell>
          <cell r="M1406">
            <v>-164499.98000000001</v>
          </cell>
        </row>
        <row r="1407">
          <cell r="J1407" t="str">
            <v>#</v>
          </cell>
          <cell r="K1407" t="str">
            <v>#</v>
          </cell>
          <cell r="M1407">
            <v>-97877.77</v>
          </cell>
        </row>
        <row r="1408">
          <cell r="J1408" t="str">
            <v>#</v>
          </cell>
          <cell r="K1408" t="str">
            <v>#</v>
          </cell>
          <cell r="M1408">
            <v>-40006</v>
          </cell>
        </row>
        <row r="1409">
          <cell r="J1409" t="str">
            <v>#</v>
          </cell>
          <cell r="K1409" t="str">
            <v>#</v>
          </cell>
          <cell r="M1409">
            <v>-182709.27</v>
          </cell>
        </row>
        <row r="1410">
          <cell r="J1410" t="str">
            <v>#</v>
          </cell>
          <cell r="K1410" t="str">
            <v>#</v>
          </cell>
          <cell r="M1410">
            <v>-67491.62</v>
          </cell>
        </row>
        <row r="1411">
          <cell r="J1411" t="str">
            <v>#</v>
          </cell>
          <cell r="K1411" t="str">
            <v>#</v>
          </cell>
          <cell r="M1411">
            <v>-131771.45000000001</v>
          </cell>
        </row>
        <row r="1412">
          <cell r="J1412" t="str">
            <v>#</v>
          </cell>
          <cell r="K1412" t="str">
            <v>#</v>
          </cell>
          <cell r="M1412">
            <v>-75083.19</v>
          </cell>
        </row>
        <row r="1413">
          <cell r="J1413" t="str">
            <v>#</v>
          </cell>
          <cell r="K1413" t="str">
            <v>#</v>
          </cell>
          <cell r="M1413">
            <v>-36150.550000000003</v>
          </cell>
        </row>
        <row r="1414">
          <cell r="J1414" t="str">
            <v>#</v>
          </cell>
          <cell r="K1414" t="str">
            <v>#</v>
          </cell>
          <cell r="M1414">
            <v>-72888.240000000005</v>
          </cell>
        </row>
        <row r="1415">
          <cell r="J1415" t="str">
            <v>#</v>
          </cell>
          <cell r="K1415" t="str">
            <v>#</v>
          </cell>
          <cell r="M1415">
            <v>72888.240000000005</v>
          </cell>
        </row>
        <row r="1416">
          <cell r="J1416" t="str">
            <v>#</v>
          </cell>
          <cell r="K1416" t="str">
            <v>#</v>
          </cell>
          <cell r="M1416">
            <v>-99447.5</v>
          </cell>
        </row>
        <row r="1417">
          <cell r="J1417" t="str">
            <v>#</v>
          </cell>
          <cell r="K1417" t="str">
            <v>#</v>
          </cell>
          <cell r="M1417">
            <v>66298.320000000007</v>
          </cell>
        </row>
        <row r="1418">
          <cell r="J1418" t="str">
            <v>#</v>
          </cell>
          <cell r="K1418" t="str">
            <v>#</v>
          </cell>
          <cell r="M1418">
            <v>-109800</v>
          </cell>
        </row>
        <row r="1419">
          <cell r="J1419" t="str">
            <v>#</v>
          </cell>
          <cell r="K1419" t="str">
            <v>#</v>
          </cell>
          <cell r="M1419">
            <v>36600</v>
          </cell>
        </row>
        <row r="1420">
          <cell r="J1420" t="str">
            <v>#</v>
          </cell>
          <cell r="K1420" t="str">
            <v>#</v>
          </cell>
          <cell r="M1420">
            <v>18934.169999999998</v>
          </cell>
        </row>
        <row r="1421">
          <cell r="J1421" t="str">
            <v>#</v>
          </cell>
          <cell r="K1421" t="str">
            <v>#</v>
          </cell>
          <cell r="M1421">
            <v>-130566.61</v>
          </cell>
        </row>
        <row r="1422">
          <cell r="J1422" t="str">
            <v>#</v>
          </cell>
          <cell r="K1422" t="str">
            <v>#</v>
          </cell>
          <cell r="M1422">
            <v>32641.65</v>
          </cell>
        </row>
        <row r="1423">
          <cell r="J1423" t="str">
            <v>#</v>
          </cell>
          <cell r="K1423" t="str">
            <v>#</v>
          </cell>
          <cell r="M1423">
            <v>-112327.58</v>
          </cell>
        </row>
        <row r="1424">
          <cell r="J1424" t="str">
            <v>#</v>
          </cell>
          <cell r="K1424" t="str">
            <v>#</v>
          </cell>
          <cell r="M1424">
            <v>28081.89</v>
          </cell>
        </row>
        <row r="1425">
          <cell r="J1425" t="str">
            <v>#</v>
          </cell>
          <cell r="K1425" t="str">
            <v>#</v>
          </cell>
          <cell r="M1425">
            <v>-281677.2</v>
          </cell>
        </row>
        <row r="1426">
          <cell r="J1426" t="str">
            <v>#</v>
          </cell>
          <cell r="K1426" t="str">
            <v>#</v>
          </cell>
          <cell r="M1426">
            <v>46946.2</v>
          </cell>
        </row>
        <row r="1427">
          <cell r="J1427" t="str">
            <v>#</v>
          </cell>
          <cell r="K1427" t="str">
            <v>#</v>
          </cell>
          <cell r="M1427">
            <v>-77544</v>
          </cell>
        </row>
        <row r="1428">
          <cell r="J1428" t="str">
            <v>#</v>
          </cell>
          <cell r="K1428" t="str">
            <v>#</v>
          </cell>
          <cell r="M1428">
            <v>15508.8</v>
          </cell>
        </row>
        <row r="1429">
          <cell r="J1429" t="str">
            <v>#</v>
          </cell>
          <cell r="K1429" t="str">
            <v>#</v>
          </cell>
          <cell r="M1429">
            <v>-76511</v>
          </cell>
        </row>
        <row r="1430">
          <cell r="J1430" t="str">
            <v>#</v>
          </cell>
          <cell r="K1430" t="str">
            <v>#</v>
          </cell>
          <cell r="M1430">
            <v>15302.2</v>
          </cell>
        </row>
        <row r="1431">
          <cell r="J1431" t="str">
            <v>#</v>
          </cell>
          <cell r="K1431" t="str">
            <v>#</v>
          </cell>
          <cell r="M1431">
            <v>-129208.48</v>
          </cell>
        </row>
        <row r="1432">
          <cell r="J1432" t="str">
            <v>#</v>
          </cell>
          <cell r="K1432" t="str">
            <v>#</v>
          </cell>
          <cell r="M1432">
            <v>10767.37</v>
          </cell>
        </row>
        <row r="1433">
          <cell r="J1433" t="str">
            <v>#</v>
          </cell>
          <cell r="K1433" t="str">
            <v>#</v>
          </cell>
          <cell r="M1433">
            <v>-609079.16</v>
          </cell>
        </row>
        <row r="1434">
          <cell r="J1434" t="str">
            <v>#</v>
          </cell>
          <cell r="K1434" t="str">
            <v>#</v>
          </cell>
          <cell r="M1434">
            <v>50756.6</v>
          </cell>
        </row>
        <row r="1435">
          <cell r="J1435" t="str">
            <v>#</v>
          </cell>
          <cell r="K1435" t="str">
            <v>#</v>
          </cell>
          <cell r="M1435">
            <v>-49200</v>
          </cell>
        </row>
        <row r="1436">
          <cell r="J1436" t="str">
            <v>#</v>
          </cell>
          <cell r="K1436" t="str">
            <v>#</v>
          </cell>
          <cell r="M1436">
            <v>-12515</v>
          </cell>
        </row>
        <row r="1437">
          <cell r="J1437" t="str">
            <v>#</v>
          </cell>
          <cell r="K1437" t="str">
            <v>#</v>
          </cell>
          <cell r="M1437">
            <v>-150000</v>
          </cell>
        </row>
        <row r="1438">
          <cell r="J1438" t="str">
            <v>#</v>
          </cell>
          <cell r="K1438" t="str">
            <v>#</v>
          </cell>
          <cell r="M1438">
            <v>-46958.25</v>
          </cell>
        </row>
        <row r="1439">
          <cell r="J1439" t="str">
            <v>#</v>
          </cell>
          <cell r="K1439" t="str">
            <v>#</v>
          </cell>
          <cell r="M1439">
            <v>-13488</v>
          </cell>
        </row>
        <row r="1440">
          <cell r="J1440" t="str">
            <v>#</v>
          </cell>
          <cell r="K1440" t="str">
            <v>#</v>
          </cell>
          <cell r="M1440">
            <v>-35827</v>
          </cell>
        </row>
        <row r="1441">
          <cell r="J1441" t="str">
            <v>#</v>
          </cell>
          <cell r="K1441" t="str">
            <v>#</v>
          </cell>
          <cell r="M1441">
            <v>-23075</v>
          </cell>
        </row>
        <row r="1442">
          <cell r="J1442" t="str">
            <v>#</v>
          </cell>
          <cell r="K1442" t="str">
            <v>#</v>
          </cell>
          <cell r="M1442">
            <v>-37964.86</v>
          </cell>
        </row>
        <row r="1443">
          <cell r="J1443" t="str">
            <v>#</v>
          </cell>
          <cell r="K1443" t="str">
            <v>#</v>
          </cell>
          <cell r="M1443">
            <v>0</v>
          </cell>
        </row>
        <row r="1444">
          <cell r="J1444" t="str">
            <v>#</v>
          </cell>
          <cell r="K1444" t="str">
            <v>#</v>
          </cell>
          <cell r="M1444">
            <v>0</v>
          </cell>
        </row>
        <row r="1445">
          <cell r="J1445" t="str">
            <v>#</v>
          </cell>
          <cell r="K1445" t="str">
            <v>#</v>
          </cell>
          <cell r="M1445">
            <v>0</v>
          </cell>
        </row>
        <row r="1446">
          <cell r="J1446" t="str">
            <v>#</v>
          </cell>
          <cell r="K1446" t="str">
            <v>#</v>
          </cell>
          <cell r="M1446">
            <v>0</v>
          </cell>
        </row>
        <row r="1447">
          <cell r="J1447" t="str">
            <v>#</v>
          </cell>
          <cell r="K1447" t="str">
            <v>#</v>
          </cell>
          <cell r="M1447">
            <v>-11130</v>
          </cell>
        </row>
        <row r="1448">
          <cell r="J1448" t="str">
            <v>#</v>
          </cell>
          <cell r="K1448" t="str">
            <v>#</v>
          </cell>
          <cell r="M1448">
            <v>0</v>
          </cell>
        </row>
        <row r="1449">
          <cell r="J1449" t="str">
            <v>#</v>
          </cell>
          <cell r="K1449" t="str">
            <v>#</v>
          </cell>
          <cell r="M1449">
            <v>0</v>
          </cell>
        </row>
        <row r="1450">
          <cell r="J1450" t="str">
            <v>#</v>
          </cell>
          <cell r="K1450" t="str">
            <v>#</v>
          </cell>
          <cell r="M1450">
            <v>105940.34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3893-CD5A-43E5-873E-76B05F2FA524}">
  <sheetPr codeName="Sheet18">
    <tabColor rgb="FF92D050"/>
  </sheetPr>
  <dimension ref="A1:AF46"/>
  <sheetViews>
    <sheetView showGridLines="0" tabSelected="1" topLeftCell="C5" zoomScaleNormal="100" workbookViewId="0">
      <selection activeCell="W11" sqref="W11"/>
    </sheetView>
  </sheetViews>
  <sheetFormatPr defaultColWidth="24.42578125" defaultRowHeight="15" customHeight="1" x14ac:dyDescent="0.25"/>
  <cols>
    <col min="1" max="1" width="9" bestFit="1" customWidth="1"/>
    <col min="2" max="2" width="15" bestFit="1" customWidth="1"/>
    <col min="3" max="3" width="90" customWidth="1"/>
    <col min="4" max="4" width="19.42578125" hidden="1" customWidth="1"/>
    <col min="5" max="6" width="13.5703125" hidden="1" customWidth="1"/>
    <col min="7" max="7" width="29.5703125" hidden="1" customWidth="1"/>
    <col min="8" max="8" width="24.42578125" hidden="1" customWidth="1"/>
    <col min="9" max="9" width="10.42578125" hidden="1" customWidth="1"/>
    <col min="10" max="10" width="11.42578125" hidden="1" customWidth="1"/>
    <col min="11" max="11" width="12.5703125" hidden="1" customWidth="1"/>
    <col min="12" max="12" width="21.5703125" hidden="1" customWidth="1"/>
    <col min="13" max="13" width="13.5703125" style="39" hidden="1" customWidth="1"/>
    <col min="14" max="14" width="7.42578125" style="39" hidden="1" customWidth="1"/>
    <col min="15" max="15" width="18.85546875" style="39" bestFit="1" customWidth="1"/>
    <col min="16" max="16" width="11.5703125" customWidth="1"/>
    <col min="17" max="18" width="11.5703125" hidden="1" customWidth="1"/>
    <col min="19" max="19" width="20.5703125" hidden="1" customWidth="1"/>
    <col min="20" max="20" width="14.42578125" style="47" hidden="1" customWidth="1"/>
    <col min="21" max="21" width="24.42578125" style="47" customWidth="1"/>
    <col min="22" max="22" width="15.42578125" style="47" customWidth="1"/>
    <col min="23" max="23" width="29.42578125" style="47" customWidth="1"/>
    <col min="24" max="24" width="15.5703125" style="47" customWidth="1"/>
    <col min="25" max="25" width="24.42578125" customWidth="1"/>
    <col min="26" max="26" width="51.85546875" style="26" customWidth="1"/>
    <col min="28" max="28" width="10.42578125" bestFit="1" customWidth="1"/>
    <col min="29" max="29" width="17.5703125" bestFit="1" customWidth="1"/>
    <col min="30" max="30" width="13.42578125" bestFit="1" customWidth="1"/>
    <col min="31" max="31" width="9.42578125" bestFit="1" customWidth="1"/>
    <col min="32" max="32" width="48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 t="s">
        <v>24</v>
      </c>
      <c r="Z1" s="6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ht="30" x14ac:dyDescent="0.25">
      <c r="A2" s="8" t="s">
        <v>32</v>
      </c>
      <c r="B2" s="8" t="str">
        <f>IF(U2=V2,"No Change",IF(AND(V2&lt;&gt;0,V2&lt;U2),"Decrease",IF(AND(V2&lt;&gt;0,U2=0),"New",IF(AND(U2&lt;&gt;0,V2=0),"Decommissioned","Increase"))))</f>
        <v>Decrease</v>
      </c>
      <c r="C2" s="8" t="s">
        <v>33</v>
      </c>
      <c r="D2" s="8" t="s">
        <v>34</v>
      </c>
      <c r="E2" s="8">
        <v>68427709</v>
      </c>
      <c r="F2" s="9" t="s">
        <v>35</v>
      </c>
      <c r="G2" s="8" t="s">
        <v>36</v>
      </c>
      <c r="H2" s="10" t="s">
        <v>36</v>
      </c>
      <c r="I2" s="8" t="s">
        <v>37</v>
      </c>
      <c r="J2" s="8" t="s">
        <v>38</v>
      </c>
      <c r="K2" s="8">
        <v>187516</v>
      </c>
      <c r="L2" s="10" t="s">
        <v>39</v>
      </c>
      <c r="M2" s="11">
        <v>5400840950</v>
      </c>
      <c r="N2" s="11">
        <v>70</v>
      </c>
      <c r="O2" s="11" t="s">
        <v>40</v>
      </c>
      <c r="P2" s="10" t="s">
        <v>41</v>
      </c>
      <c r="Q2" s="12" t="s">
        <v>41</v>
      </c>
      <c r="R2" t="s">
        <v>42</v>
      </c>
      <c r="S2" t="s">
        <v>36</v>
      </c>
      <c r="T2" s="13">
        <v>229000</v>
      </c>
      <c r="U2" s="13">
        <v>479000</v>
      </c>
      <c r="V2" s="13">
        <f>479000-229000</f>
        <v>250000</v>
      </c>
      <c r="W2" s="14">
        <f>V2*1.04</f>
        <v>260000</v>
      </c>
      <c r="X2" s="13">
        <f t="shared" ref="X2:X8" si="0">W2-V2</f>
        <v>10000</v>
      </c>
      <c r="Y2" s="15">
        <f>IF(B2="New",1,IFERROR(X2/U2,0))</f>
        <v>2.0876826722338204E-2</v>
      </c>
      <c r="Z2" s="16" t="s">
        <v>43</v>
      </c>
      <c r="AA2" s="17">
        <f>SUMPRODUCT(([1]BIdetails!$J$5:$J$3000=M2)*([1]BIdetails!$K$5:$K$3000=N2)*([1]BIdetails!$M$5:$M$3000))</f>
        <v>0</v>
      </c>
      <c r="AB2" s="18">
        <f t="shared" ref="AB2:AB8" si="1">IF(V2=0,"",(AA2/V2))</f>
        <v>0</v>
      </c>
      <c r="AC2" s="19" t="s">
        <v>44</v>
      </c>
      <c r="AD2" s="19" t="s">
        <v>45</v>
      </c>
      <c r="AE2" s="19" t="s">
        <v>46</v>
      </c>
      <c r="AF2" s="19"/>
    </row>
    <row r="3" spans="1:32" x14ac:dyDescent="0.25">
      <c r="A3" s="8" t="s">
        <v>32</v>
      </c>
      <c r="B3" s="8" t="str">
        <f>IF(U3=V3,"No Change",IF(AND(V3&lt;&gt;0,V3&lt;U3),"Decrease",IF(AND(V3&lt;&gt;0,U3=0),"New",IF(AND(U3&lt;&gt;0,V3=0),"Decommissioned","Increase"))))</f>
        <v>No Change</v>
      </c>
      <c r="C3" s="10" t="s">
        <v>47</v>
      </c>
      <c r="D3" s="8"/>
      <c r="E3" s="8">
        <v>68427709</v>
      </c>
      <c r="F3" s="9" t="s">
        <v>48</v>
      </c>
      <c r="G3" s="10" t="s">
        <v>49</v>
      </c>
      <c r="H3" s="10" t="s">
        <v>50</v>
      </c>
      <c r="I3" s="8" t="s">
        <v>51</v>
      </c>
      <c r="J3" s="8" t="s">
        <v>52</v>
      </c>
      <c r="K3" s="8">
        <v>187516</v>
      </c>
      <c r="L3" s="10" t="s">
        <v>39</v>
      </c>
      <c r="M3" s="11">
        <v>5401088459</v>
      </c>
      <c r="N3" s="11">
        <v>170</v>
      </c>
      <c r="O3" s="11" t="s">
        <v>53</v>
      </c>
      <c r="P3" s="8" t="s">
        <v>41</v>
      </c>
      <c r="Q3" s="10" t="s">
        <v>41</v>
      </c>
      <c r="R3" s="20" t="s">
        <v>54</v>
      </c>
      <c r="S3" s="21" t="s">
        <v>36</v>
      </c>
      <c r="T3" s="13">
        <v>50000</v>
      </c>
      <c r="U3" s="13">
        <v>150000</v>
      </c>
      <c r="V3" s="13">
        <v>150000</v>
      </c>
      <c r="W3" s="13">
        <v>150000</v>
      </c>
      <c r="X3" s="13">
        <f t="shared" si="0"/>
        <v>0</v>
      </c>
      <c r="Y3" s="15">
        <f>IF(B3="New",1,IFERROR(X3/U3,0))</f>
        <v>0</v>
      </c>
      <c r="Z3" s="22" t="s">
        <v>55</v>
      </c>
      <c r="AA3" s="17">
        <f>SUMPRODUCT(([1]BIdetails!$J$5:$J$3000=M3)*([1]BIdetails!$K$5:$K$3000=N3)*([1]BIdetails!$M$5:$M$3000))</f>
        <v>0</v>
      </c>
      <c r="AB3" s="18">
        <f t="shared" si="1"/>
        <v>0</v>
      </c>
      <c r="AC3" s="19"/>
      <c r="AD3" s="19"/>
      <c r="AE3" s="19"/>
      <c r="AF3" s="19"/>
    </row>
    <row r="4" spans="1:32" ht="45" x14ac:dyDescent="0.25">
      <c r="A4" s="8" t="s">
        <v>32</v>
      </c>
      <c r="B4" s="8" t="str">
        <f>IF(U4=V4,"No Change",IF(AND(V4&lt;&gt;0,V4&lt;U4),"Decrease",IF(AND(V4&lt;&gt;0,U4=0),"New",IF(AND(U4&lt;&gt;0,V4=0),"Decommissioned","Increase"))))</f>
        <v>Increase</v>
      </c>
      <c r="C4" s="8" t="s">
        <v>56</v>
      </c>
      <c r="D4" s="8" t="s">
        <v>57</v>
      </c>
      <c r="E4" s="8">
        <v>68427709</v>
      </c>
      <c r="F4" s="9" t="s">
        <v>58</v>
      </c>
      <c r="G4" s="8" t="s">
        <v>59</v>
      </c>
      <c r="H4" s="8" t="s">
        <v>50</v>
      </c>
      <c r="I4" s="8" t="s">
        <v>60</v>
      </c>
      <c r="J4" s="8" t="s">
        <v>61</v>
      </c>
      <c r="K4" s="8">
        <v>192268</v>
      </c>
      <c r="L4" s="8" t="s">
        <v>62</v>
      </c>
      <c r="M4" s="23">
        <v>5401047702</v>
      </c>
      <c r="N4" s="23">
        <v>10</v>
      </c>
      <c r="O4" s="23" t="s">
        <v>40</v>
      </c>
      <c r="P4" s="8" t="s">
        <v>41</v>
      </c>
      <c r="Q4" s="12" t="s">
        <v>41</v>
      </c>
      <c r="R4" t="s">
        <v>42</v>
      </c>
      <c r="S4" t="s">
        <v>36</v>
      </c>
      <c r="T4" s="13">
        <v>10700</v>
      </c>
      <c r="U4" s="13">
        <v>10700</v>
      </c>
      <c r="V4" s="13">
        <v>11000</v>
      </c>
      <c r="W4" s="24">
        <v>20000</v>
      </c>
      <c r="X4" s="13">
        <f t="shared" si="0"/>
        <v>9000</v>
      </c>
      <c r="Y4" s="15">
        <f>IF(B4="New",1,IFERROR(X4/U4,0))</f>
        <v>0.84112149532710279</v>
      </c>
      <c r="Z4" s="22" t="s">
        <v>63</v>
      </c>
      <c r="AA4" s="17">
        <f>SUMPRODUCT(([1]BIdetails!$J$5:$J$3000=M4)*([1]BIdetails!$K$5:$K$3000=N4)*([1]BIdetails!$M$5:$M$3000))</f>
        <v>0</v>
      </c>
      <c r="AB4" s="18">
        <f t="shared" si="1"/>
        <v>0</v>
      </c>
      <c r="AC4" s="19" t="s">
        <v>64</v>
      </c>
      <c r="AD4" s="19" t="s">
        <v>65</v>
      </c>
      <c r="AE4" s="19"/>
      <c r="AF4" s="19"/>
    </row>
    <row r="5" spans="1:32" ht="30" x14ac:dyDescent="0.25">
      <c r="A5" s="8" t="s">
        <v>32</v>
      </c>
      <c r="B5" s="8" t="s">
        <v>66</v>
      </c>
      <c r="C5" s="8" t="s">
        <v>67</v>
      </c>
      <c r="D5" s="8"/>
      <c r="E5" s="8">
        <v>68427709</v>
      </c>
      <c r="F5" s="9" t="s">
        <v>35</v>
      </c>
      <c r="G5" s="8" t="s">
        <v>36</v>
      </c>
      <c r="H5" s="8" t="s">
        <v>36</v>
      </c>
      <c r="I5" s="8" t="s">
        <v>37</v>
      </c>
      <c r="J5" s="8" t="s">
        <v>38</v>
      </c>
      <c r="K5" s="12"/>
      <c r="L5" s="12"/>
      <c r="M5" s="23"/>
      <c r="N5" s="23"/>
      <c r="O5" s="23" t="s">
        <v>68</v>
      </c>
      <c r="P5" s="8" t="s">
        <v>41</v>
      </c>
      <c r="Q5" s="8" t="s">
        <v>41</v>
      </c>
      <c r="R5" t="s">
        <v>42</v>
      </c>
      <c r="S5" t="s">
        <v>36</v>
      </c>
      <c r="T5" s="13">
        <v>70000</v>
      </c>
      <c r="U5" s="13">
        <v>70000</v>
      </c>
      <c r="V5" s="13">
        <v>70000</v>
      </c>
      <c r="W5" s="24">
        <v>250000</v>
      </c>
      <c r="X5" s="13">
        <f t="shared" si="0"/>
        <v>180000</v>
      </c>
      <c r="Y5" s="15">
        <f>IF(B5="New",1,IFERROR(X5/U5,0))</f>
        <v>2.5714285714285716</v>
      </c>
      <c r="Z5" s="22" t="s">
        <v>69</v>
      </c>
      <c r="AA5" s="17">
        <f>SUMPRODUCT(([1]BIdetails!$J$5:$J$3000=M5)*([1]BIdetails!$K$5:$K$3000=N5)*([1]BIdetails!$M$5:$M$3000))</f>
        <v>0</v>
      </c>
      <c r="AB5" s="18">
        <f t="shared" si="1"/>
        <v>0</v>
      </c>
      <c r="AC5" s="19" t="s">
        <v>44</v>
      </c>
      <c r="AD5" s="19" t="s">
        <v>45</v>
      </c>
      <c r="AE5" s="19" t="s">
        <v>46</v>
      </c>
      <c r="AF5" s="19"/>
    </row>
    <row r="6" spans="1:32" x14ac:dyDescent="0.25">
      <c r="A6" s="8" t="s">
        <v>32</v>
      </c>
      <c r="B6" s="8" t="str">
        <f>IF(U6=V6,"No Change",IF(AND(V6&lt;&gt;0,V6&lt;U6),"Decrease",IF(AND(V6&lt;&gt;0,U6=0),"New",IF(AND(U6&lt;&gt;0,V6=0),"Decommissioned","Increase"))))</f>
        <v>No Change</v>
      </c>
      <c r="C6" s="8" t="s">
        <v>70</v>
      </c>
      <c r="D6" s="8" t="s">
        <v>71</v>
      </c>
      <c r="E6" s="8">
        <v>68427709</v>
      </c>
      <c r="F6" s="9" t="s">
        <v>35</v>
      </c>
      <c r="G6" s="8" t="s">
        <v>36</v>
      </c>
      <c r="H6" s="8" t="s">
        <v>50</v>
      </c>
      <c r="I6" s="8" t="s">
        <v>37</v>
      </c>
      <c r="J6" s="8" t="s">
        <v>38</v>
      </c>
      <c r="K6" s="25">
        <v>195870</v>
      </c>
      <c r="L6" s="8" t="s">
        <v>72</v>
      </c>
      <c r="M6" s="25">
        <v>5401030717</v>
      </c>
      <c r="N6" s="23">
        <v>10</v>
      </c>
      <c r="O6" s="23" t="s">
        <v>68</v>
      </c>
      <c r="P6" s="8" t="s">
        <v>41</v>
      </c>
      <c r="Q6" s="12" t="s">
        <v>41</v>
      </c>
      <c r="R6" t="s">
        <v>42</v>
      </c>
      <c r="S6" t="s">
        <v>36</v>
      </c>
      <c r="T6" s="13">
        <v>80000</v>
      </c>
      <c r="U6" s="13">
        <v>80000</v>
      </c>
      <c r="V6" s="13">
        <v>80000</v>
      </c>
      <c r="W6" s="13">
        <f>V6*1.04</f>
        <v>83200</v>
      </c>
      <c r="X6" s="13">
        <f t="shared" si="0"/>
        <v>3200</v>
      </c>
      <c r="Y6" s="15">
        <f>IF(B6="New",1,IFERROR(X6/V6,0))</f>
        <v>0.04</v>
      </c>
      <c r="Z6" s="26" t="s">
        <v>73</v>
      </c>
      <c r="AA6" s="17">
        <f>SUMPRODUCT(([1]BIdetails!$J$5:$J$3000=M6)*([1]BIdetails!$K$5:$K$3000=N6)*([1]BIdetails!$M$5:$M$3000))</f>
        <v>0</v>
      </c>
      <c r="AB6" s="18">
        <f t="shared" si="1"/>
        <v>0</v>
      </c>
      <c r="AC6" s="19" t="s">
        <v>44</v>
      </c>
      <c r="AD6" s="19" t="s">
        <v>45</v>
      </c>
      <c r="AE6" s="19" t="s">
        <v>46</v>
      </c>
      <c r="AF6" s="19"/>
    </row>
    <row r="7" spans="1:32" ht="30" x14ac:dyDescent="0.25">
      <c r="A7" s="8" t="s">
        <v>32</v>
      </c>
      <c r="B7" s="8" t="s">
        <v>74</v>
      </c>
      <c r="C7" s="8" t="s">
        <v>75</v>
      </c>
      <c r="D7" s="8" t="s">
        <v>76</v>
      </c>
      <c r="E7" s="8">
        <v>68427709</v>
      </c>
      <c r="F7" s="9" t="s">
        <v>35</v>
      </c>
      <c r="G7" s="8" t="s">
        <v>36</v>
      </c>
      <c r="H7" s="8" t="s">
        <v>36</v>
      </c>
      <c r="I7" s="8" t="s">
        <v>37</v>
      </c>
      <c r="J7" s="8" t="s">
        <v>38</v>
      </c>
      <c r="K7" s="8">
        <v>187516</v>
      </c>
      <c r="L7" s="10" t="s">
        <v>39</v>
      </c>
      <c r="M7" s="23">
        <v>5401077908</v>
      </c>
      <c r="N7" s="23">
        <v>10</v>
      </c>
      <c r="O7" s="23" t="s">
        <v>40</v>
      </c>
      <c r="P7" s="8" t="s">
        <v>41</v>
      </c>
      <c r="Q7" s="8" t="s">
        <v>41</v>
      </c>
      <c r="R7" t="s">
        <v>42</v>
      </c>
      <c r="S7" t="s">
        <v>36</v>
      </c>
      <c r="T7" s="13">
        <v>30000</v>
      </c>
      <c r="U7" s="13">
        <v>30000</v>
      </c>
      <c r="V7" s="13">
        <v>31500</v>
      </c>
      <c r="W7" s="13">
        <f>V7*1.04</f>
        <v>32760</v>
      </c>
      <c r="X7" s="13">
        <f t="shared" si="0"/>
        <v>1260</v>
      </c>
      <c r="Y7" s="15">
        <f>IF(B7="New",1,IFERROR(X7/U7,0))</f>
        <v>4.2000000000000003E-2</v>
      </c>
      <c r="Z7" s="22" t="s">
        <v>77</v>
      </c>
      <c r="AA7" s="17">
        <f>SUMPRODUCT(([1]BIdetails!$J$5:$J$3000=M7)*([1]BIdetails!$K$5:$K$3000=N7)*([1]BIdetails!$M$5:$M$3000))</f>
        <v>0</v>
      </c>
      <c r="AB7" s="18">
        <f t="shared" si="1"/>
        <v>0</v>
      </c>
      <c r="AC7" s="19" t="s">
        <v>44</v>
      </c>
      <c r="AD7" s="19" t="s">
        <v>45</v>
      </c>
      <c r="AE7" s="19" t="s">
        <v>46</v>
      </c>
      <c r="AF7" s="19"/>
    </row>
    <row r="8" spans="1:32" x14ac:dyDescent="0.25">
      <c r="A8" s="8" t="s">
        <v>32</v>
      </c>
      <c r="B8" s="8" t="s">
        <v>74</v>
      </c>
      <c r="C8" s="12" t="s">
        <v>78</v>
      </c>
      <c r="D8" s="8" t="s">
        <v>79</v>
      </c>
      <c r="E8" s="8">
        <v>68427709</v>
      </c>
      <c r="F8" s="9" t="s">
        <v>35</v>
      </c>
      <c r="G8" s="8" t="s">
        <v>36</v>
      </c>
      <c r="H8" s="8" t="s">
        <v>36</v>
      </c>
      <c r="I8" s="8"/>
      <c r="J8" s="8" t="s">
        <v>80</v>
      </c>
      <c r="K8" s="8">
        <v>166304</v>
      </c>
      <c r="L8" s="12" t="s">
        <v>81</v>
      </c>
      <c r="M8" s="23"/>
      <c r="N8" s="23"/>
      <c r="O8" s="23" t="s">
        <v>53</v>
      </c>
      <c r="P8" s="10" t="s">
        <v>41</v>
      </c>
      <c r="Q8" s="12" t="s">
        <v>41</v>
      </c>
      <c r="R8" t="s">
        <v>42</v>
      </c>
      <c r="S8" t="s">
        <v>36</v>
      </c>
      <c r="T8" s="13"/>
      <c r="U8" s="13"/>
      <c r="V8" s="13">
        <v>100000</v>
      </c>
      <c r="W8" s="13">
        <f>V8*1.04</f>
        <v>104000</v>
      </c>
      <c r="X8" s="13">
        <f t="shared" si="0"/>
        <v>4000</v>
      </c>
      <c r="Y8" s="15">
        <f>IF(B8="New",1,IFERROR(X8/U8,0))</f>
        <v>0</v>
      </c>
      <c r="Z8" s="27"/>
      <c r="AA8" s="17">
        <f>SUMPRODUCT(([1]BIdetails!$J$5:$J$3000=M8)*([1]BIdetails!$K$5:$K$3000=N8)*([1]BIdetails!$M$5:$M$3000))</f>
        <v>0</v>
      </c>
      <c r="AB8" s="18">
        <f t="shared" si="1"/>
        <v>0</v>
      </c>
      <c r="AC8" s="19"/>
      <c r="AD8" s="19"/>
      <c r="AE8" s="19"/>
      <c r="AF8" s="19"/>
    </row>
    <row r="9" spans="1:32" x14ac:dyDescent="0.25">
      <c r="A9" s="8"/>
      <c r="B9" s="8"/>
      <c r="C9" s="12" t="s">
        <v>82</v>
      </c>
      <c r="D9" s="8"/>
      <c r="E9" s="8"/>
      <c r="F9" s="9"/>
      <c r="G9" s="8"/>
      <c r="H9" s="8"/>
      <c r="I9" s="8"/>
      <c r="J9" s="8"/>
      <c r="K9" s="8"/>
      <c r="L9" s="12"/>
      <c r="M9" s="23"/>
      <c r="N9" s="23"/>
      <c r="O9" s="23" t="s">
        <v>53</v>
      </c>
      <c r="P9" s="10"/>
      <c r="Q9" s="12"/>
      <c r="T9" s="13"/>
      <c r="U9" s="13"/>
      <c r="V9" s="13"/>
      <c r="W9" s="24"/>
      <c r="X9" s="13"/>
      <c r="Y9" s="15"/>
      <c r="Z9" s="27"/>
      <c r="AA9" s="17"/>
      <c r="AB9" s="18"/>
      <c r="AC9" s="19"/>
      <c r="AD9" s="19"/>
      <c r="AE9" s="19"/>
      <c r="AF9" s="19"/>
    </row>
    <row r="10" spans="1:32" ht="30" x14ac:dyDescent="0.25">
      <c r="A10" s="8" t="s">
        <v>32</v>
      </c>
      <c r="B10" s="8" t="str">
        <f>IF(U10=V10,"No Change",IF(AND(V10&lt;&gt;0,V10&lt;U10),"Decrease",IF(AND(V10&lt;&gt;0,U10=0),"New",IF(AND(U10&lt;&gt;0,V10=0),"Decommissioned","Increase"))))</f>
        <v>No Change</v>
      </c>
      <c r="C10" s="12" t="s">
        <v>83</v>
      </c>
      <c r="D10" s="8" t="s">
        <v>84</v>
      </c>
      <c r="E10" s="8">
        <v>68427709</v>
      </c>
      <c r="F10" s="9" t="s">
        <v>35</v>
      </c>
      <c r="G10" s="8" t="s">
        <v>36</v>
      </c>
      <c r="H10" s="8" t="s">
        <v>36</v>
      </c>
      <c r="I10" s="8" t="s">
        <v>37</v>
      </c>
      <c r="J10" s="8" t="s">
        <v>38</v>
      </c>
      <c r="K10" s="8">
        <v>187516</v>
      </c>
      <c r="L10" s="10" t="s">
        <v>39</v>
      </c>
      <c r="M10" s="23">
        <v>5400912390</v>
      </c>
      <c r="N10" s="23">
        <v>10</v>
      </c>
      <c r="O10" s="23" t="s">
        <v>40</v>
      </c>
      <c r="P10" s="8" t="s">
        <v>41</v>
      </c>
      <c r="Q10" s="10" t="s">
        <v>41</v>
      </c>
      <c r="R10" t="s">
        <v>42</v>
      </c>
      <c r="S10" s="21" t="s">
        <v>36</v>
      </c>
      <c r="T10" s="13">
        <v>141000</v>
      </c>
      <c r="U10" s="13">
        <v>141000</v>
      </c>
      <c r="V10" s="13">
        <v>141000</v>
      </c>
      <c r="W10" s="13">
        <f>V10*1.04</f>
        <v>146640</v>
      </c>
      <c r="X10" s="13">
        <f t="shared" ref="X10:X30" si="2">W10-V10</f>
        <v>5640</v>
      </c>
      <c r="Y10" s="15">
        <f>IF(B10="New",1,IFERROR(X10/U10,0))</f>
        <v>0.04</v>
      </c>
      <c r="Z10" s="16" t="s">
        <v>85</v>
      </c>
      <c r="AA10" s="17">
        <f>SUMPRODUCT(([1]BIdetails!$J$5:$J$3000=M10)*([1]BIdetails!$K$5:$K$3000=N10)*([1]BIdetails!$M$5:$M$3000))</f>
        <v>0</v>
      </c>
      <c r="AB10" s="18">
        <f>IF(V10=0,"",(AA10/V10))</f>
        <v>0</v>
      </c>
      <c r="AC10" s="19"/>
      <c r="AD10" s="19"/>
      <c r="AE10" s="19"/>
      <c r="AF10" s="19"/>
    </row>
    <row r="11" spans="1:32" x14ac:dyDescent="0.25">
      <c r="A11" s="8"/>
      <c r="B11" s="8" t="s">
        <v>86</v>
      </c>
      <c r="C11" s="12" t="s">
        <v>87</v>
      </c>
      <c r="D11" s="8"/>
      <c r="E11" s="8"/>
      <c r="F11" s="9"/>
      <c r="G11" s="8"/>
      <c r="H11" s="8"/>
      <c r="I11" s="8"/>
      <c r="J11" s="8"/>
      <c r="K11" s="8"/>
      <c r="L11" s="10"/>
      <c r="M11" s="23"/>
      <c r="N11" s="23"/>
      <c r="O11" s="23" t="s">
        <v>40</v>
      </c>
      <c r="P11" s="8" t="s">
        <v>41</v>
      </c>
      <c r="Q11" s="10"/>
      <c r="S11" s="21"/>
      <c r="T11" s="13">
        <v>0</v>
      </c>
      <c r="U11" s="13">
        <v>0</v>
      </c>
      <c r="V11" s="13">
        <v>0</v>
      </c>
      <c r="W11" s="13" t="s">
        <v>88</v>
      </c>
      <c r="X11" s="13" t="e">
        <f t="shared" si="2"/>
        <v>#VALUE!</v>
      </c>
      <c r="Y11" s="15"/>
      <c r="Z11" s="16"/>
      <c r="AA11" s="17"/>
      <c r="AB11" s="18"/>
      <c r="AC11" s="19"/>
      <c r="AD11" s="19"/>
      <c r="AE11" s="19"/>
      <c r="AF11" s="19"/>
    </row>
    <row r="12" spans="1:32" ht="30" x14ac:dyDescent="0.25">
      <c r="A12" s="8" t="s">
        <v>32</v>
      </c>
      <c r="B12" s="8" t="s">
        <v>66</v>
      </c>
      <c r="C12" s="12" t="s">
        <v>89</v>
      </c>
      <c r="D12" s="8" t="s">
        <v>90</v>
      </c>
      <c r="E12" s="8">
        <v>68427709</v>
      </c>
      <c r="F12" s="9" t="s">
        <v>35</v>
      </c>
      <c r="G12" s="8" t="s">
        <v>36</v>
      </c>
      <c r="H12" s="8" t="s">
        <v>36</v>
      </c>
      <c r="I12" s="8" t="s">
        <v>37</v>
      </c>
      <c r="J12" s="8" t="s">
        <v>38</v>
      </c>
      <c r="K12" s="12">
        <v>209509</v>
      </c>
      <c r="L12" s="8" t="s">
        <v>91</v>
      </c>
      <c r="M12" s="23">
        <v>5401087958</v>
      </c>
      <c r="N12" s="23">
        <v>10</v>
      </c>
      <c r="O12" s="23" t="s">
        <v>68</v>
      </c>
      <c r="P12" s="8" t="s">
        <v>41</v>
      </c>
      <c r="Q12" s="10" t="s">
        <v>41</v>
      </c>
      <c r="R12" t="s">
        <v>42</v>
      </c>
      <c r="S12" s="21" t="s">
        <v>36</v>
      </c>
      <c r="T12" s="13">
        <v>250000</v>
      </c>
      <c r="U12" s="13">
        <v>250000</v>
      </c>
      <c r="V12" s="13">
        <v>250000</v>
      </c>
      <c r="W12" s="24">
        <v>300000</v>
      </c>
      <c r="X12" s="13">
        <f t="shared" si="2"/>
        <v>50000</v>
      </c>
      <c r="Y12" s="15">
        <f t="shared" ref="Y12:Y40" si="3">IF(B12="New",1,IFERROR(X12/U12,0))</f>
        <v>0.2</v>
      </c>
      <c r="Z12" s="27" t="s">
        <v>92</v>
      </c>
      <c r="AA12" s="17">
        <f>SUMPRODUCT(([1]BIdetails!$J$5:$J$3000=M12)*([1]BIdetails!$K$5:$K$3000=N12)*([1]BIdetails!$M$5:$M$3000))</f>
        <v>0</v>
      </c>
      <c r="AB12" s="18">
        <f t="shared" ref="AB12:AB30" si="4">IF(V12=0,"",(AA12/V12))</f>
        <v>0</v>
      </c>
      <c r="AC12" s="19"/>
      <c r="AD12" s="19"/>
      <c r="AE12" s="19"/>
      <c r="AF12" s="19"/>
    </row>
    <row r="13" spans="1:32" x14ac:dyDescent="0.25">
      <c r="A13" s="8" t="s">
        <v>32</v>
      </c>
      <c r="B13" s="8" t="str">
        <f>IF(U13=V13,"No Change",IF(AND(V13&lt;&gt;0,V13&lt;U13),"Decrease",IF(AND(V13&lt;&gt;0,U13=0),"New",IF(AND(U13&lt;&gt;0,V13=0),"Decommissioned","Increase"))))</f>
        <v>No Change</v>
      </c>
      <c r="C13" s="8" t="s">
        <v>93</v>
      </c>
      <c r="D13" s="8" t="s">
        <v>94</v>
      </c>
      <c r="E13" s="8">
        <v>68427709</v>
      </c>
      <c r="F13" s="9" t="s">
        <v>95</v>
      </c>
      <c r="G13" s="8" t="s">
        <v>96</v>
      </c>
      <c r="H13" s="8" t="s">
        <v>50</v>
      </c>
      <c r="I13" s="8" t="s">
        <v>51</v>
      </c>
      <c r="J13" s="8" t="s">
        <v>97</v>
      </c>
      <c r="K13" s="8">
        <v>121208</v>
      </c>
      <c r="L13" s="8" t="s">
        <v>98</v>
      </c>
      <c r="M13" s="28">
        <v>5401081739</v>
      </c>
      <c r="N13" s="28">
        <v>10</v>
      </c>
      <c r="O13" s="28" t="s">
        <v>53</v>
      </c>
      <c r="P13" s="8" t="s">
        <v>41</v>
      </c>
      <c r="Q13" s="12" t="s">
        <v>41</v>
      </c>
      <c r="R13" t="s">
        <v>54</v>
      </c>
      <c r="S13" t="s">
        <v>36</v>
      </c>
      <c r="T13" s="13">
        <v>35000</v>
      </c>
      <c r="U13" s="13">
        <v>35000</v>
      </c>
      <c r="V13" s="13">
        <v>35000</v>
      </c>
      <c r="W13" s="13">
        <f>V13*1.04</f>
        <v>36400</v>
      </c>
      <c r="X13" s="13">
        <f t="shared" si="2"/>
        <v>1400</v>
      </c>
      <c r="Y13" s="15">
        <f t="shared" si="3"/>
        <v>0.04</v>
      </c>
      <c r="Z13" s="22"/>
      <c r="AA13" s="17">
        <f>SUMPRODUCT(([1]BIdetails!$J$5:$J$3000=M13)*([1]BIdetails!$K$5:$K$3000=N13)*([1]BIdetails!$M$5:$M$3000))</f>
        <v>0</v>
      </c>
      <c r="AB13" s="18">
        <f t="shared" si="4"/>
        <v>0</v>
      </c>
      <c r="AC13" s="19" t="s">
        <v>64</v>
      </c>
      <c r="AD13" s="19" t="s">
        <v>65</v>
      </c>
      <c r="AE13" s="19" t="s">
        <v>99</v>
      </c>
      <c r="AF13" s="19"/>
    </row>
    <row r="14" spans="1:32" x14ac:dyDescent="0.25">
      <c r="A14" s="8" t="s">
        <v>32</v>
      </c>
      <c r="B14" s="8" t="str">
        <f>IF(U14=V14,"No Change",IF(AND(V14&lt;&gt;0,V14&lt;U14),"Decrease",IF(AND(V14&lt;&gt;0,U14=0),"New",IF(AND(U14&lt;&gt;0,V14=0),"Decommissioned","Increase"))))</f>
        <v>No Change</v>
      </c>
      <c r="C14" s="8" t="s">
        <v>100</v>
      </c>
      <c r="D14" s="8" t="s">
        <v>94</v>
      </c>
      <c r="E14" s="8">
        <v>68427709</v>
      </c>
      <c r="F14" s="9" t="s">
        <v>95</v>
      </c>
      <c r="G14" s="8" t="s">
        <v>96</v>
      </c>
      <c r="H14" s="8" t="s">
        <v>50</v>
      </c>
      <c r="I14" s="8" t="s">
        <v>51</v>
      </c>
      <c r="J14" s="8" t="s">
        <v>97</v>
      </c>
      <c r="K14" s="8">
        <v>121208</v>
      </c>
      <c r="L14" s="8" t="s">
        <v>98</v>
      </c>
      <c r="M14" s="28">
        <v>5401081739</v>
      </c>
      <c r="N14" s="28">
        <v>10</v>
      </c>
      <c r="O14" s="28" t="s">
        <v>53</v>
      </c>
      <c r="P14" s="8" t="s">
        <v>41</v>
      </c>
      <c r="Q14" s="12" t="s">
        <v>41</v>
      </c>
      <c r="R14" t="s">
        <v>54</v>
      </c>
      <c r="S14" t="s">
        <v>36</v>
      </c>
      <c r="T14" s="13">
        <v>60000</v>
      </c>
      <c r="U14" s="13">
        <v>60000</v>
      </c>
      <c r="V14" s="13">
        <v>60000</v>
      </c>
      <c r="W14" s="13">
        <f>V14*1.04</f>
        <v>62400</v>
      </c>
      <c r="X14" s="13">
        <f t="shared" si="2"/>
        <v>2400</v>
      </c>
      <c r="Y14" s="15">
        <f t="shared" si="3"/>
        <v>0.04</v>
      </c>
      <c r="Z14" s="22"/>
      <c r="AA14" s="17">
        <f>SUMPRODUCT(([1]BIdetails!$J$5:$J$3000=M14)*([1]BIdetails!$K$5:$K$3000=N14)*([1]BIdetails!$M$5:$M$3000))</f>
        <v>0</v>
      </c>
      <c r="AB14" s="18">
        <f t="shared" si="4"/>
        <v>0</v>
      </c>
      <c r="AC14" s="19" t="s">
        <v>64</v>
      </c>
      <c r="AD14" s="19" t="s">
        <v>45</v>
      </c>
      <c r="AE14" s="19" t="s">
        <v>101</v>
      </c>
      <c r="AF14" s="19"/>
    </row>
    <row r="15" spans="1:32" x14ac:dyDescent="0.25">
      <c r="A15" s="8" t="s">
        <v>32</v>
      </c>
      <c r="B15" s="8" t="str">
        <f>IF(U15=V15,"No Change",IF(AND(V15&lt;&gt;0,V15&lt;U15),"Decrease",IF(AND(V15&lt;&gt;0,U15=0),"New",IF(AND(U15&lt;&gt;0,V15=0),"Decommissioned","Increase"))))</f>
        <v>New</v>
      </c>
      <c r="C15" s="29" t="s">
        <v>102</v>
      </c>
      <c r="D15" s="8"/>
      <c r="E15" s="8">
        <v>68427709</v>
      </c>
      <c r="F15" s="9" t="s">
        <v>35</v>
      </c>
      <c r="G15" s="8" t="s">
        <v>36</v>
      </c>
      <c r="H15" s="8" t="s">
        <v>36</v>
      </c>
      <c r="I15" s="8" t="s">
        <v>103</v>
      </c>
      <c r="J15" s="8" t="s">
        <v>104</v>
      </c>
      <c r="K15" s="8"/>
      <c r="L15" s="12" t="s">
        <v>105</v>
      </c>
      <c r="M15" s="23"/>
      <c r="N15" s="23"/>
      <c r="O15" s="23" t="s">
        <v>106</v>
      </c>
      <c r="P15" s="10" t="s">
        <v>41</v>
      </c>
      <c r="Q15" s="12"/>
      <c r="R15" t="s">
        <v>107</v>
      </c>
      <c r="S15" t="s">
        <v>108</v>
      </c>
      <c r="T15" s="13"/>
      <c r="U15" s="13"/>
      <c r="V15" s="13">
        <v>25000</v>
      </c>
      <c r="W15" s="30">
        <v>25000</v>
      </c>
      <c r="X15" s="13">
        <f t="shared" si="2"/>
        <v>0</v>
      </c>
      <c r="Y15" s="15">
        <f t="shared" si="3"/>
        <v>1</v>
      </c>
      <c r="Z15" s="27" t="s">
        <v>109</v>
      </c>
      <c r="AA15" s="17">
        <f>SUMPRODUCT(([1]BIdetails!$J$5:$J$3000=M15)*([1]BIdetails!$K$5:$K$3000=N15)*([1]BIdetails!$M$5:$M$3000))</f>
        <v>0</v>
      </c>
      <c r="AB15" s="18">
        <f t="shared" si="4"/>
        <v>0</v>
      </c>
      <c r="AC15" s="19"/>
      <c r="AD15" s="19"/>
      <c r="AE15" s="19"/>
      <c r="AF15" s="19"/>
    </row>
    <row r="16" spans="1:32" ht="30" x14ac:dyDescent="0.25">
      <c r="A16" s="8" t="s">
        <v>32</v>
      </c>
      <c r="B16" s="8" t="s">
        <v>66</v>
      </c>
      <c r="C16" s="8" t="s">
        <v>110</v>
      </c>
      <c r="D16" s="8"/>
      <c r="E16" s="8">
        <v>68427709</v>
      </c>
      <c r="F16" s="9" t="s">
        <v>48</v>
      </c>
      <c r="G16" s="10" t="s">
        <v>49</v>
      </c>
      <c r="H16" s="10" t="s">
        <v>50</v>
      </c>
      <c r="I16" s="8" t="s">
        <v>51</v>
      </c>
      <c r="J16" s="8" t="s">
        <v>52</v>
      </c>
      <c r="K16" s="8">
        <v>187516</v>
      </c>
      <c r="L16" s="10" t="s">
        <v>39</v>
      </c>
      <c r="M16" s="23"/>
      <c r="N16" s="23"/>
      <c r="O16" s="23" t="s">
        <v>41</v>
      </c>
      <c r="P16" s="12" t="s">
        <v>41</v>
      </c>
      <c r="Q16" s="12" t="s">
        <v>41</v>
      </c>
      <c r="R16" s="20" t="s">
        <v>54</v>
      </c>
      <c r="S16" t="s">
        <v>36</v>
      </c>
      <c r="T16" s="13"/>
      <c r="U16" s="13"/>
      <c r="V16" s="13">
        <v>120000</v>
      </c>
      <c r="W16" s="24">
        <v>170000</v>
      </c>
      <c r="X16" s="13">
        <f t="shared" si="2"/>
        <v>50000</v>
      </c>
      <c r="Y16" s="15">
        <f t="shared" si="3"/>
        <v>0</v>
      </c>
      <c r="Z16" s="27" t="s">
        <v>111</v>
      </c>
      <c r="AA16" s="17">
        <f>SUMPRODUCT(([1]BIdetails!$J$5:$J$3000=M16)*([1]BIdetails!$K$5:$K$3000=N16)*([1]BIdetails!$M$5:$M$3000))</f>
        <v>0</v>
      </c>
      <c r="AB16" s="18">
        <f t="shared" si="4"/>
        <v>0</v>
      </c>
      <c r="AC16" s="19"/>
      <c r="AD16" s="19"/>
      <c r="AE16" s="19"/>
      <c r="AF16" s="19"/>
    </row>
    <row r="17" spans="1:32" x14ac:dyDescent="0.25">
      <c r="A17" s="8" t="s">
        <v>32</v>
      </c>
      <c r="B17" s="8" t="str">
        <f t="shared" ref="B17:B30" si="5">IF(U17=V17,"No Change",IF(AND(V17&lt;&gt;0,V17&lt;U17),"Decrease",IF(AND(V17&lt;&gt;0,U17=0),"New",IF(AND(U17&lt;&gt;0,V17=0),"Decommissioned","Increase"))))</f>
        <v>No Change</v>
      </c>
      <c r="C17" s="8" t="s">
        <v>112</v>
      </c>
      <c r="D17" s="8" t="s">
        <v>113</v>
      </c>
      <c r="E17" s="8">
        <v>68427709</v>
      </c>
      <c r="F17" s="9" t="s">
        <v>95</v>
      </c>
      <c r="G17" s="8" t="s">
        <v>96</v>
      </c>
      <c r="H17" s="10" t="s">
        <v>50</v>
      </c>
      <c r="I17" s="8"/>
      <c r="J17" s="10" t="s">
        <v>114</v>
      </c>
      <c r="K17" s="8">
        <v>198668</v>
      </c>
      <c r="L17" s="8" t="s">
        <v>115</v>
      </c>
      <c r="M17" s="8">
        <v>5400958294</v>
      </c>
      <c r="N17" s="23">
        <v>30</v>
      </c>
      <c r="O17" s="23" t="s">
        <v>53</v>
      </c>
      <c r="P17" s="12" t="s">
        <v>41</v>
      </c>
      <c r="Q17" s="12" t="s">
        <v>41</v>
      </c>
      <c r="R17" t="s">
        <v>42</v>
      </c>
      <c r="S17" t="s">
        <v>36</v>
      </c>
      <c r="T17" s="13">
        <v>330000</v>
      </c>
      <c r="U17" s="13">
        <v>362000</v>
      </c>
      <c r="V17" s="13">
        <v>362000</v>
      </c>
      <c r="W17" s="13">
        <f>V17*1.04</f>
        <v>376480</v>
      </c>
      <c r="X17" s="13">
        <f t="shared" si="2"/>
        <v>14480</v>
      </c>
      <c r="Y17" s="15">
        <f t="shared" si="3"/>
        <v>0.04</v>
      </c>
      <c r="Z17" s="22"/>
      <c r="AA17" s="17">
        <f>SUMPRODUCT(([1]BIdetails!$J$5:$J$3000=M17)*([1]BIdetails!$K$5:$K$3000=N17)*([1]BIdetails!$M$5:$M$3000))</f>
        <v>0</v>
      </c>
      <c r="AB17" s="18">
        <f t="shared" si="4"/>
        <v>0</v>
      </c>
      <c r="AC17" s="19" t="s">
        <v>64</v>
      </c>
      <c r="AD17" s="19" t="s">
        <v>65</v>
      </c>
      <c r="AE17" s="19" t="s">
        <v>99</v>
      </c>
      <c r="AF17" s="19"/>
    </row>
    <row r="18" spans="1:32" x14ac:dyDescent="0.25">
      <c r="A18" s="8" t="s">
        <v>32</v>
      </c>
      <c r="B18" s="8" t="str">
        <f t="shared" si="5"/>
        <v>No Change</v>
      </c>
      <c r="C18" s="12" t="s">
        <v>116</v>
      </c>
      <c r="D18" s="8" t="s">
        <v>117</v>
      </c>
      <c r="E18" s="8">
        <v>68427709</v>
      </c>
      <c r="F18" s="9" t="s">
        <v>35</v>
      </c>
      <c r="G18" s="8" t="s">
        <v>36</v>
      </c>
      <c r="H18" s="8" t="s">
        <v>36</v>
      </c>
      <c r="I18" s="8" t="s">
        <v>37</v>
      </c>
      <c r="J18" s="8" t="s">
        <v>38</v>
      </c>
      <c r="K18" s="12">
        <v>209193</v>
      </c>
      <c r="L18" s="12" t="s">
        <v>118</v>
      </c>
      <c r="M18" s="23">
        <v>5401100852</v>
      </c>
      <c r="N18" s="23"/>
      <c r="O18" s="23" t="s">
        <v>40</v>
      </c>
      <c r="P18" s="8" t="s">
        <v>41</v>
      </c>
      <c r="Q18" s="10" t="s">
        <v>41</v>
      </c>
      <c r="R18" t="s">
        <v>42</v>
      </c>
      <c r="S18" s="21" t="s">
        <v>36</v>
      </c>
      <c r="T18" s="13">
        <v>74000</v>
      </c>
      <c r="U18" s="13">
        <v>74000</v>
      </c>
      <c r="V18" s="13">
        <v>74000</v>
      </c>
      <c r="W18" s="13">
        <f>V18*1.04</f>
        <v>76960</v>
      </c>
      <c r="X18" s="13">
        <f t="shared" si="2"/>
        <v>2960</v>
      </c>
      <c r="Y18" s="15">
        <f t="shared" si="3"/>
        <v>0.04</v>
      </c>
      <c r="Z18" s="31"/>
      <c r="AA18" s="17">
        <f>SUMPRODUCT(([1]BIdetails!$J$5:$J$3000=M18)*([1]BIdetails!$K$5:$K$3000=N18)*([1]BIdetails!$M$5:$M$3000))</f>
        <v>0</v>
      </c>
      <c r="AB18" s="18">
        <f t="shared" si="4"/>
        <v>0</v>
      </c>
      <c r="AC18" s="19"/>
      <c r="AD18" s="19"/>
      <c r="AE18" s="19"/>
      <c r="AF18" s="19"/>
    </row>
    <row r="19" spans="1:32" x14ac:dyDescent="0.25">
      <c r="A19" s="8" t="s">
        <v>32</v>
      </c>
      <c r="B19" s="8" t="str">
        <f t="shared" si="5"/>
        <v>New</v>
      </c>
      <c r="C19" s="29" t="s">
        <v>119</v>
      </c>
      <c r="D19" s="8" t="s">
        <v>120</v>
      </c>
      <c r="E19" s="8">
        <v>68427709</v>
      </c>
      <c r="F19" s="9" t="s">
        <v>35</v>
      </c>
      <c r="G19" s="8" t="s">
        <v>36</v>
      </c>
      <c r="H19" s="8" t="s">
        <v>36</v>
      </c>
      <c r="I19" s="8" t="s">
        <v>103</v>
      </c>
      <c r="J19" s="8" t="s">
        <v>104</v>
      </c>
      <c r="K19" s="8">
        <v>212346</v>
      </c>
      <c r="L19" s="12" t="s">
        <v>121</v>
      </c>
      <c r="M19" s="23">
        <v>5401084798</v>
      </c>
      <c r="N19" s="23">
        <v>10</v>
      </c>
      <c r="O19" s="23" t="s">
        <v>106</v>
      </c>
      <c r="P19" s="10" t="s">
        <v>41</v>
      </c>
      <c r="Q19" s="12"/>
      <c r="R19" t="s">
        <v>107</v>
      </c>
      <c r="S19" t="s">
        <v>108</v>
      </c>
      <c r="T19" s="13"/>
      <c r="U19" s="13"/>
      <c r="V19" s="13">
        <v>12000</v>
      </c>
      <c r="W19" s="30">
        <v>12000</v>
      </c>
      <c r="X19" s="13">
        <f t="shared" si="2"/>
        <v>0</v>
      </c>
      <c r="Y19" s="15">
        <f t="shared" si="3"/>
        <v>1</v>
      </c>
      <c r="Z19" s="31" t="s">
        <v>109</v>
      </c>
      <c r="AA19" s="17">
        <f>SUMPRODUCT(([1]BIdetails!$J$5:$J$3000=M19)*([1]BIdetails!$K$5:$K$3000=N19)*([1]BIdetails!$M$5:$M$3000))</f>
        <v>0</v>
      </c>
      <c r="AB19" s="18">
        <f t="shared" si="4"/>
        <v>0</v>
      </c>
      <c r="AC19" s="19"/>
      <c r="AD19" s="19"/>
      <c r="AE19" s="19"/>
      <c r="AF19" s="19"/>
    </row>
    <row r="20" spans="1:32" x14ac:dyDescent="0.25">
      <c r="A20" s="8" t="s">
        <v>32</v>
      </c>
      <c r="B20" s="8" t="str">
        <f t="shared" si="5"/>
        <v>New</v>
      </c>
      <c r="C20" s="29" t="s">
        <v>122</v>
      </c>
      <c r="D20" s="8" t="s">
        <v>120</v>
      </c>
      <c r="E20" s="8">
        <v>68427709</v>
      </c>
      <c r="F20" s="9" t="s">
        <v>35</v>
      </c>
      <c r="G20" s="8" t="s">
        <v>36</v>
      </c>
      <c r="H20" s="8" t="s">
        <v>36</v>
      </c>
      <c r="I20" s="8" t="s">
        <v>103</v>
      </c>
      <c r="J20" s="8" t="s">
        <v>104</v>
      </c>
      <c r="K20" s="8">
        <v>212346</v>
      </c>
      <c r="L20" s="12" t="s">
        <v>121</v>
      </c>
      <c r="M20" s="23">
        <v>5401084798</v>
      </c>
      <c r="N20" s="23">
        <v>10</v>
      </c>
      <c r="O20" s="23" t="s">
        <v>106</v>
      </c>
      <c r="P20" s="10" t="s">
        <v>41</v>
      </c>
      <c r="Q20" s="12"/>
      <c r="R20" t="s">
        <v>107</v>
      </c>
      <c r="S20" t="s">
        <v>108</v>
      </c>
      <c r="T20" s="13"/>
      <c r="U20" s="13"/>
      <c r="V20" s="13">
        <v>3700</v>
      </c>
      <c r="W20" s="30">
        <v>3700</v>
      </c>
      <c r="X20" s="13">
        <f t="shared" si="2"/>
        <v>0</v>
      </c>
      <c r="Y20" s="15">
        <f t="shared" si="3"/>
        <v>1</v>
      </c>
      <c r="Z20" s="31" t="s">
        <v>109</v>
      </c>
      <c r="AA20" s="17">
        <f>SUMPRODUCT(([1]BIdetails!$J$5:$J$3000=M20)*([1]BIdetails!$K$5:$K$3000=N20)*([1]BIdetails!$M$5:$M$3000))</f>
        <v>0</v>
      </c>
      <c r="AB20" s="18">
        <f t="shared" si="4"/>
        <v>0</v>
      </c>
      <c r="AC20" s="19"/>
      <c r="AD20" s="19"/>
      <c r="AE20" s="19"/>
      <c r="AF20" s="19"/>
    </row>
    <row r="21" spans="1:32" x14ac:dyDescent="0.25">
      <c r="A21" s="8" t="s">
        <v>32</v>
      </c>
      <c r="B21" s="8" t="str">
        <f t="shared" si="5"/>
        <v>New</v>
      </c>
      <c r="C21" s="29" t="s">
        <v>123</v>
      </c>
      <c r="D21" s="8" t="s">
        <v>120</v>
      </c>
      <c r="E21" s="8">
        <v>68427709</v>
      </c>
      <c r="F21" s="9" t="s">
        <v>35</v>
      </c>
      <c r="G21" s="8" t="s">
        <v>36</v>
      </c>
      <c r="H21" s="8" t="s">
        <v>36</v>
      </c>
      <c r="I21" s="8" t="s">
        <v>103</v>
      </c>
      <c r="J21" s="8" t="s">
        <v>104</v>
      </c>
      <c r="K21" s="8">
        <v>212346</v>
      </c>
      <c r="L21" s="12" t="s">
        <v>121</v>
      </c>
      <c r="M21" s="23">
        <v>5401070309</v>
      </c>
      <c r="N21" s="23">
        <v>10</v>
      </c>
      <c r="O21" s="23" t="s">
        <v>106</v>
      </c>
      <c r="P21" s="10" t="s">
        <v>41</v>
      </c>
      <c r="Q21" s="12"/>
      <c r="R21" t="s">
        <v>107</v>
      </c>
      <c r="S21" t="s">
        <v>108</v>
      </c>
      <c r="T21" s="13"/>
      <c r="U21" s="13"/>
      <c r="V21" s="13">
        <v>172000</v>
      </c>
      <c r="W21" s="30">
        <v>172000</v>
      </c>
      <c r="X21" s="13">
        <f t="shared" si="2"/>
        <v>0</v>
      </c>
      <c r="Y21" s="15">
        <f t="shared" si="3"/>
        <v>1</v>
      </c>
      <c r="Z21" s="31" t="s">
        <v>109</v>
      </c>
      <c r="AA21" s="17">
        <f>SUMPRODUCT(([1]BIdetails!$J$5:$J$3000=M21)*([1]BIdetails!$K$5:$K$3000=N21)*([1]BIdetails!$M$5:$M$3000))</f>
        <v>0</v>
      </c>
      <c r="AB21" s="18">
        <f t="shared" si="4"/>
        <v>0</v>
      </c>
      <c r="AC21" s="19"/>
      <c r="AD21" s="19"/>
      <c r="AE21" s="19"/>
      <c r="AF21" s="19"/>
    </row>
    <row r="22" spans="1:32" ht="14.1" customHeight="1" x14ac:dyDescent="0.25">
      <c r="A22" s="8" t="s">
        <v>32</v>
      </c>
      <c r="B22" s="8" t="str">
        <f t="shared" si="5"/>
        <v>New</v>
      </c>
      <c r="C22" s="29" t="s">
        <v>124</v>
      </c>
      <c r="D22" s="8"/>
      <c r="E22" s="8">
        <v>68427709</v>
      </c>
      <c r="F22" s="9" t="s">
        <v>35</v>
      </c>
      <c r="G22" s="8" t="s">
        <v>36</v>
      </c>
      <c r="H22" s="8" t="s">
        <v>36</v>
      </c>
      <c r="I22" s="8" t="s">
        <v>103</v>
      </c>
      <c r="J22" s="8" t="s">
        <v>104</v>
      </c>
      <c r="K22" s="8">
        <v>187516</v>
      </c>
      <c r="L22" s="12" t="s">
        <v>121</v>
      </c>
      <c r="M22" s="23">
        <v>5401040892</v>
      </c>
      <c r="N22" s="23">
        <v>10</v>
      </c>
      <c r="O22" s="23" t="s">
        <v>106</v>
      </c>
      <c r="P22" s="10" t="s">
        <v>41</v>
      </c>
      <c r="Q22" s="12"/>
      <c r="R22" t="s">
        <v>107</v>
      </c>
      <c r="S22" t="s">
        <v>108</v>
      </c>
      <c r="T22" s="13"/>
      <c r="U22" s="13"/>
      <c r="V22" s="13">
        <v>14300</v>
      </c>
      <c r="W22" s="30">
        <v>14300</v>
      </c>
      <c r="X22" s="13">
        <f t="shared" si="2"/>
        <v>0</v>
      </c>
      <c r="Y22" s="15">
        <f t="shared" si="3"/>
        <v>1</v>
      </c>
      <c r="Z22" s="31" t="s">
        <v>109</v>
      </c>
      <c r="AA22" s="17">
        <f>SUMPRODUCT(([1]BIdetails!$J$5:$J$3000=M22)*([1]BIdetails!$K$5:$K$3000=N22)*([1]BIdetails!$M$5:$M$3000))</f>
        <v>0</v>
      </c>
      <c r="AB22" s="18">
        <f t="shared" si="4"/>
        <v>0</v>
      </c>
      <c r="AC22" s="19"/>
      <c r="AD22" s="19"/>
      <c r="AE22" s="19"/>
      <c r="AF22" s="19"/>
    </row>
    <row r="23" spans="1:32" ht="45" x14ac:dyDescent="0.25">
      <c r="A23" s="8" t="s">
        <v>32</v>
      </c>
      <c r="B23" s="8" t="str">
        <f t="shared" si="5"/>
        <v>New</v>
      </c>
      <c r="C23" s="29" t="s">
        <v>125</v>
      </c>
      <c r="D23" s="8"/>
      <c r="E23" s="8">
        <v>68427709</v>
      </c>
      <c r="F23" s="9" t="s">
        <v>35</v>
      </c>
      <c r="G23" s="8" t="s">
        <v>36</v>
      </c>
      <c r="H23" s="8" t="s">
        <v>36</v>
      </c>
      <c r="I23" s="8" t="s">
        <v>103</v>
      </c>
      <c r="J23" s="8" t="s">
        <v>104</v>
      </c>
      <c r="K23" s="8">
        <v>166304</v>
      </c>
      <c r="L23" s="10" t="s">
        <v>126</v>
      </c>
      <c r="M23" s="23"/>
      <c r="N23" s="23"/>
      <c r="O23" s="23" t="s">
        <v>106</v>
      </c>
      <c r="P23" s="10" t="s">
        <v>41</v>
      </c>
      <c r="Q23" s="12"/>
      <c r="R23" t="s">
        <v>107</v>
      </c>
      <c r="S23" t="s">
        <v>108</v>
      </c>
      <c r="T23" s="13"/>
      <c r="U23" s="13"/>
      <c r="V23" s="13">
        <v>150000</v>
      </c>
      <c r="W23" s="32">
        <v>96000</v>
      </c>
      <c r="X23" s="13">
        <f t="shared" si="2"/>
        <v>-54000</v>
      </c>
      <c r="Y23" s="15">
        <f t="shared" si="3"/>
        <v>1</v>
      </c>
      <c r="Z23" s="16" t="s">
        <v>127</v>
      </c>
      <c r="AA23" s="17">
        <f>SUMPRODUCT(([1]BIdetails!$J$5:$J$3000=M23)*([1]BIdetails!$K$5:$K$3000=N23)*([1]BIdetails!$M$5:$M$3000))</f>
        <v>0</v>
      </c>
      <c r="AB23" s="18">
        <f t="shared" si="4"/>
        <v>0</v>
      </c>
      <c r="AC23" s="19"/>
      <c r="AD23" s="19"/>
      <c r="AE23" s="19"/>
      <c r="AF23" s="19"/>
    </row>
    <row r="24" spans="1:32" ht="14.1" customHeight="1" x14ac:dyDescent="0.25">
      <c r="A24" s="8" t="s">
        <v>32</v>
      </c>
      <c r="B24" s="8" t="str">
        <f t="shared" si="5"/>
        <v>No Change</v>
      </c>
      <c r="C24" s="33" t="s">
        <v>128</v>
      </c>
      <c r="D24" s="8" t="s">
        <v>129</v>
      </c>
      <c r="E24" s="8">
        <v>68427709</v>
      </c>
      <c r="F24" s="9" t="s">
        <v>35</v>
      </c>
      <c r="G24" s="8" t="s">
        <v>36</v>
      </c>
      <c r="H24" s="8" t="s">
        <v>36</v>
      </c>
      <c r="I24" s="8" t="s">
        <v>37</v>
      </c>
      <c r="J24" s="8" t="s">
        <v>38</v>
      </c>
      <c r="K24" s="8">
        <v>187516</v>
      </c>
      <c r="L24" s="10" t="s">
        <v>39</v>
      </c>
      <c r="M24" s="23" t="s">
        <v>130</v>
      </c>
      <c r="N24" s="23">
        <v>20</v>
      </c>
      <c r="O24" s="23" t="s">
        <v>41</v>
      </c>
      <c r="P24" s="8" t="s">
        <v>41</v>
      </c>
      <c r="Q24" s="8" t="s">
        <v>41</v>
      </c>
      <c r="R24" t="s">
        <v>42</v>
      </c>
      <c r="S24" t="s">
        <v>36</v>
      </c>
      <c r="T24" s="13">
        <v>200000</v>
      </c>
      <c r="U24" s="13">
        <v>200000</v>
      </c>
      <c r="V24" s="13">
        <v>200000</v>
      </c>
      <c r="W24" s="13">
        <f>V24*1.04</f>
        <v>208000</v>
      </c>
      <c r="X24" s="13">
        <f t="shared" si="2"/>
        <v>8000</v>
      </c>
      <c r="Y24" s="15">
        <f t="shared" si="3"/>
        <v>0.04</v>
      </c>
      <c r="Z24" s="34" t="s">
        <v>131</v>
      </c>
      <c r="AA24" s="17">
        <f>SUMPRODUCT(([1]BIdetails!$J$5:$J$3000=M24)*([1]BIdetails!$K$5:$K$3000=N24)*([1]BIdetails!$M$5:$M$3000))</f>
        <v>0</v>
      </c>
      <c r="AB24" s="18">
        <f t="shared" si="4"/>
        <v>0</v>
      </c>
      <c r="AC24" s="19" t="s">
        <v>44</v>
      </c>
      <c r="AD24" s="19" t="s">
        <v>45</v>
      </c>
      <c r="AE24" s="19" t="s">
        <v>46</v>
      </c>
      <c r="AF24" s="19"/>
    </row>
    <row r="25" spans="1:32" x14ac:dyDescent="0.25">
      <c r="A25" s="8" t="s">
        <v>32</v>
      </c>
      <c r="B25" s="8" t="str">
        <f t="shared" si="5"/>
        <v>No Change</v>
      </c>
      <c r="C25" s="12" t="s">
        <v>132</v>
      </c>
      <c r="D25" s="8" t="s">
        <v>133</v>
      </c>
      <c r="E25" s="8">
        <v>68427709</v>
      </c>
      <c r="F25" s="9" t="s">
        <v>35</v>
      </c>
      <c r="G25" s="8" t="s">
        <v>36</v>
      </c>
      <c r="H25" s="8" t="s">
        <v>36</v>
      </c>
      <c r="I25" s="8" t="s">
        <v>51</v>
      </c>
      <c r="J25" s="8" t="s">
        <v>134</v>
      </c>
      <c r="K25" s="12">
        <v>209514</v>
      </c>
      <c r="L25" s="12" t="s">
        <v>135</v>
      </c>
      <c r="M25" s="23">
        <v>5400978265</v>
      </c>
      <c r="N25" s="23">
        <v>10</v>
      </c>
      <c r="O25" s="23" t="s">
        <v>53</v>
      </c>
      <c r="P25" s="8" t="s">
        <v>41</v>
      </c>
      <c r="Q25" s="10" t="s">
        <v>41</v>
      </c>
      <c r="R25" t="s">
        <v>54</v>
      </c>
      <c r="S25" s="21" t="s">
        <v>36</v>
      </c>
      <c r="T25" s="13">
        <v>85000</v>
      </c>
      <c r="U25" s="13">
        <v>85000</v>
      </c>
      <c r="V25" s="13">
        <v>85000</v>
      </c>
      <c r="W25" s="13">
        <f>V25*1.04</f>
        <v>88400</v>
      </c>
      <c r="X25" s="13">
        <f t="shared" si="2"/>
        <v>3400</v>
      </c>
      <c r="Y25" s="15">
        <f t="shared" si="3"/>
        <v>0.04</v>
      </c>
      <c r="Z25" s="31"/>
      <c r="AA25" s="17">
        <f>SUMPRODUCT(([1]BIdetails!$J$5:$J$3000=M25)*([1]BIdetails!$K$5:$K$3000=N25)*([1]BIdetails!$M$5:$M$3000))</f>
        <v>0</v>
      </c>
      <c r="AB25" s="18">
        <f t="shared" si="4"/>
        <v>0</v>
      </c>
      <c r="AC25" s="19"/>
      <c r="AD25" s="19"/>
      <c r="AE25" s="19"/>
      <c r="AF25" s="19"/>
    </row>
    <row r="26" spans="1:32" x14ac:dyDescent="0.25">
      <c r="A26" s="8" t="s">
        <v>32</v>
      </c>
      <c r="B26" s="8" t="str">
        <f t="shared" si="5"/>
        <v>No Change</v>
      </c>
      <c r="C26" s="8" t="s">
        <v>136</v>
      </c>
      <c r="D26" s="8" t="s">
        <v>137</v>
      </c>
      <c r="E26" s="8">
        <v>68427709</v>
      </c>
      <c r="F26" s="9" t="s">
        <v>35</v>
      </c>
      <c r="G26" s="8" t="s">
        <v>36</v>
      </c>
      <c r="H26" s="8" t="s">
        <v>36</v>
      </c>
      <c r="I26" s="8" t="s">
        <v>37</v>
      </c>
      <c r="J26" s="8" t="s">
        <v>38</v>
      </c>
      <c r="K26" s="8">
        <v>181508</v>
      </c>
      <c r="L26" s="8" t="s">
        <v>138</v>
      </c>
      <c r="M26" s="23">
        <v>5401100859</v>
      </c>
      <c r="N26" s="23">
        <v>10</v>
      </c>
      <c r="O26" s="23" t="s">
        <v>41</v>
      </c>
      <c r="P26" s="8" t="s">
        <v>41</v>
      </c>
      <c r="Q26" s="8" t="s">
        <v>41</v>
      </c>
      <c r="R26" t="s">
        <v>42</v>
      </c>
      <c r="S26" t="s">
        <v>36</v>
      </c>
      <c r="T26" s="13">
        <v>50000</v>
      </c>
      <c r="U26" s="13">
        <v>50000</v>
      </c>
      <c r="V26" s="13">
        <v>50000</v>
      </c>
      <c r="W26" s="13">
        <f>V26*1.04</f>
        <v>52000</v>
      </c>
      <c r="X26" s="13">
        <f t="shared" si="2"/>
        <v>2000</v>
      </c>
      <c r="Y26" s="15">
        <f t="shared" si="3"/>
        <v>0.04</v>
      </c>
      <c r="Z26" s="35" t="s">
        <v>139</v>
      </c>
      <c r="AA26" s="17">
        <f>SUMPRODUCT(([1]BIdetails!$J$5:$J$3000=M26)*([1]BIdetails!$K$5:$K$3000=N26)*([1]BIdetails!$M$5:$M$3000))</f>
        <v>0</v>
      </c>
      <c r="AB26" s="18">
        <f t="shared" si="4"/>
        <v>0</v>
      </c>
      <c r="AC26" s="19" t="s">
        <v>44</v>
      </c>
      <c r="AD26" s="19" t="s">
        <v>45</v>
      </c>
      <c r="AE26" s="19" t="s">
        <v>46</v>
      </c>
      <c r="AF26" s="19"/>
    </row>
    <row r="27" spans="1:32" x14ac:dyDescent="0.25">
      <c r="A27" s="8" t="s">
        <v>32</v>
      </c>
      <c r="B27" s="8" t="str">
        <f t="shared" si="5"/>
        <v>No Change</v>
      </c>
      <c r="C27" s="10" t="s">
        <v>140</v>
      </c>
      <c r="D27" s="8" t="s">
        <v>141</v>
      </c>
      <c r="E27" s="8">
        <v>68427709</v>
      </c>
      <c r="F27" s="9" t="s">
        <v>48</v>
      </c>
      <c r="G27" s="10" t="s">
        <v>49</v>
      </c>
      <c r="H27" s="10" t="s">
        <v>50</v>
      </c>
      <c r="I27" s="8"/>
      <c r="J27" s="8" t="s">
        <v>114</v>
      </c>
      <c r="K27" s="8">
        <v>187516</v>
      </c>
      <c r="L27" s="10" t="s">
        <v>39</v>
      </c>
      <c r="M27" s="36">
        <v>5401001779</v>
      </c>
      <c r="N27" s="11">
        <v>10</v>
      </c>
      <c r="O27" s="11" t="s">
        <v>53</v>
      </c>
      <c r="P27" s="8" t="s">
        <v>41</v>
      </c>
      <c r="Q27" s="10" t="s">
        <v>41</v>
      </c>
      <c r="R27" t="s">
        <v>42</v>
      </c>
      <c r="S27" s="21" t="s">
        <v>36</v>
      </c>
      <c r="T27" s="13">
        <v>130000</v>
      </c>
      <c r="U27" s="13">
        <v>130000</v>
      </c>
      <c r="V27" s="13">
        <v>130000</v>
      </c>
      <c r="W27" s="32">
        <v>110000</v>
      </c>
      <c r="X27" s="13">
        <f t="shared" si="2"/>
        <v>-20000</v>
      </c>
      <c r="Y27" s="15">
        <f t="shared" si="3"/>
        <v>-0.15384615384615385</v>
      </c>
      <c r="Z27" s="35"/>
      <c r="AA27" s="17">
        <f>SUMPRODUCT(([1]BIdetails!$J$5:$J$3000=M27)*([1]BIdetails!$K$5:$K$3000=N27)*([1]BIdetails!$M$5:$M$3000))</f>
        <v>0</v>
      </c>
      <c r="AB27" s="18">
        <f t="shared" si="4"/>
        <v>0</v>
      </c>
      <c r="AC27" s="19"/>
      <c r="AD27" s="19"/>
      <c r="AE27" s="19"/>
      <c r="AF27" s="19"/>
    </row>
    <row r="28" spans="1:32" x14ac:dyDescent="0.25">
      <c r="A28" s="8" t="s">
        <v>32</v>
      </c>
      <c r="B28" s="8" t="str">
        <f t="shared" si="5"/>
        <v>New</v>
      </c>
      <c r="C28" s="29" t="s">
        <v>142</v>
      </c>
      <c r="D28" s="8"/>
      <c r="E28" s="8">
        <v>68427709</v>
      </c>
      <c r="F28" s="9" t="s">
        <v>35</v>
      </c>
      <c r="G28" s="8" t="s">
        <v>36</v>
      </c>
      <c r="H28" s="8" t="s">
        <v>36</v>
      </c>
      <c r="I28" s="8" t="s">
        <v>103</v>
      </c>
      <c r="J28" s="8" t="s">
        <v>104</v>
      </c>
      <c r="K28" s="8"/>
      <c r="L28" s="12" t="s">
        <v>143</v>
      </c>
      <c r="M28" s="23"/>
      <c r="N28" s="23"/>
      <c r="O28" s="23" t="s">
        <v>106</v>
      </c>
      <c r="P28" s="10" t="s">
        <v>41</v>
      </c>
      <c r="Q28" s="12"/>
      <c r="R28" t="s">
        <v>107</v>
      </c>
      <c r="S28" t="s">
        <v>108</v>
      </c>
      <c r="T28" s="13"/>
      <c r="U28" s="13"/>
      <c r="V28" s="13">
        <v>87000</v>
      </c>
      <c r="W28" s="30">
        <v>87000</v>
      </c>
      <c r="X28" s="13">
        <f t="shared" si="2"/>
        <v>0</v>
      </c>
      <c r="Y28" s="15">
        <f t="shared" si="3"/>
        <v>1</v>
      </c>
      <c r="Z28" s="31" t="s">
        <v>109</v>
      </c>
      <c r="AA28" s="17">
        <f>SUMPRODUCT(([1]BIdetails!$J$5:$J$3000=M28)*([1]BIdetails!$K$5:$K$3000=N28)*([1]BIdetails!$M$5:$M$3000))</f>
        <v>0</v>
      </c>
      <c r="AB28" s="18">
        <f t="shared" si="4"/>
        <v>0</v>
      </c>
      <c r="AC28" s="19"/>
      <c r="AD28" s="19"/>
      <c r="AE28" s="19"/>
      <c r="AF28" s="19"/>
    </row>
    <row r="29" spans="1:32" x14ac:dyDescent="0.25">
      <c r="A29" s="8" t="s">
        <v>32</v>
      </c>
      <c r="B29" s="8" t="str">
        <f t="shared" si="5"/>
        <v>No Change</v>
      </c>
      <c r="C29" s="37" t="s">
        <v>144</v>
      </c>
      <c r="D29" s="8" t="s">
        <v>145</v>
      </c>
      <c r="E29" s="8">
        <v>68427709</v>
      </c>
      <c r="F29" s="9" t="s">
        <v>35</v>
      </c>
      <c r="G29" s="8" t="s">
        <v>36</v>
      </c>
      <c r="H29" s="8" t="s">
        <v>36</v>
      </c>
      <c r="I29" s="8"/>
      <c r="J29" s="8" t="s">
        <v>146</v>
      </c>
      <c r="K29" s="12">
        <v>152539</v>
      </c>
      <c r="L29" s="12" t="s">
        <v>147</v>
      </c>
      <c r="M29" s="23">
        <v>5401103113</v>
      </c>
      <c r="N29" s="23">
        <v>30</v>
      </c>
      <c r="O29" s="23" t="s">
        <v>106</v>
      </c>
      <c r="P29" s="8" t="s">
        <v>41</v>
      </c>
      <c r="Q29" s="8" t="s">
        <v>41</v>
      </c>
      <c r="R29" t="s">
        <v>42</v>
      </c>
      <c r="S29" t="s">
        <v>36</v>
      </c>
      <c r="T29" s="13">
        <v>45000</v>
      </c>
      <c r="U29" s="13">
        <v>45000</v>
      </c>
      <c r="V29" s="13">
        <v>45000</v>
      </c>
      <c r="W29" s="30">
        <v>20832</v>
      </c>
      <c r="X29" s="13">
        <f t="shared" si="2"/>
        <v>-24168</v>
      </c>
      <c r="Y29" s="15">
        <f t="shared" si="3"/>
        <v>-0.53706666666666669</v>
      </c>
      <c r="Z29" s="35" t="s">
        <v>109</v>
      </c>
      <c r="AA29" s="17">
        <f>SUMPRODUCT(([1]BIdetails!$J$5:$J$3000=M29)*([1]BIdetails!$K$5:$K$3000=N29)*([1]BIdetails!$M$5:$M$3000))</f>
        <v>0</v>
      </c>
      <c r="AB29" s="18">
        <f t="shared" si="4"/>
        <v>0</v>
      </c>
      <c r="AC29" s="19" t="s">
        <v>44</v>
      </c>
      <c r="AD29" s="19" t="s">
        <v>45</v>
      </c>
      <c r="AE29" s="19" t="s">
        <v>46</v>
      </c>
      <c r="AF29" s="19"/>
    </row>
    <row r="30" spans="1:32" ht="30" x14ac:dyDescent="0.25">
      <c r="A30" s="8" t="s">
        <v>66</v>
      </c>
      <c r="B30" s="8" t="str">
        <f t="shared" si="5"/>
        <v>No Change</v>
      </c>
      <c r="C30" s="8" t="s">
        <v>148</v>
      </c>
      <c r="D30" s="8"/>
      <c r="E30" s="8">
        <v>68427709</v>
      </c>
      <c r="F30" s="9" t="s">
        <v>35</v>
      </c>
      <c r="G30" s="8" t="s">
        <v>36</v>
      </c>
      <c r="H30" s="8" t="s">
        <v>36</v>
      </c>
      <c r="I30" s="8"/>
      <c r="J30" s="8" t="s">
        <v>149</v>
      </c>
      <c r="K30" s="12"/>
      <c r="L30" s="12"/>
      <c r="M30" s="23"/>
      <c r="N30" s="23"/>
      <c r="O30" s="23" t="s">
        <v>40</v>
      </c>
      <c r="P30" s="8" t="s">
        <v>41</v>
      </c>
      <c r="Q30" s="8" t="s">
        <v>41</v>
      </c>
      <c r="R30" t="s">
        <v>42</v>
      </c>
      <c r="S30" t="s">
        <v>36</v>
      </c>
      <c r="T30" s="13">
        <v>140000</v>
      </c>
      <c r="U30" s="13">
        <v>0</v>
      </c>
      <c r="V30" s="13">
        <v>0</v>
      </c>
      <c r="W30" s="24">
        <v>150000</v>
      </c>
      <c r="X30" s="13">
        <f t="shared" si="2"/>
        <v>150000</v>
      </c>
      <c r="Y30" s="15">
        <f t="shared" si="3"/>
        <v>0</v>
      </c>
      <c r="Z30" s="35" t="s">
        <v>150</v>
      </c>
      <c r="AA30" s="17">
        <f>SUMPRODUCT(([1]BIdetails!$J$5:$J$3000=M30)*([1]BIdetails!$K$5:$K$3000=N30)*([1]BIdetails!$M$5:$M$3000))</f>
        <v>0</v>
      </c>
      <c r="AB30" s="18" t="str">
        <f t="shared" si="4"/>
        <v/>
      </c>
      <c r="AC30" s="19" t="s">
        <v>44</v>
      </c>
      <c r="AD30" s="19" t="s">
        <v>45</v>
      </c>
      <c r="AE30" s="19" t="s">
        <v>46</v>
      </c>
      <c r="AF30" s="19"/>
    </row>
    <row r="31" spans="1:32" x14ac:dyDescent="0.25">
      <c r="A31" s="8" t="s">
        <v>86</v>
      </c>
      <c r="B31" s="8" t="s">
        <v>86</v>
      </c>
      <c r="C31" s="38" t="s">
        <v>151</v>
      </c>
      <c r="D31" s="8"/>
      <c r="E31" s="8"/>
      <c r="F31" s="8"/>
      <c r="G31" s="8"/>
      <c r="H31" s="10"/>
      <c r="I31" s="8"/>
      <c r="J31" s="8"/>
      <c r="K31" s="8"/>
      <c r="L31" s="12" t="s">
        <v>126</v>
      </c>
      <c r="M31" s="23"/>
      <c r="N31" s="23"/>
      <c r="O31" s="23" t="s">
        <v>106</v>
      </c>
      <c r="P31" s="10" t="s">
        <v>41</v>
      </c>
      <c r="Q31" s="12"/>
      <c r="T31" s="13"/>
      <c r="U31" s="13"/>
      <c r="V31" s="13"/>
      <c r="W31" s="13"/>
      <c r="X31" s="13">
        <f t="shared" ref="X31:X40" si="6">V31-U31</f>
        <v>0</v>
      </c>
      <c r="Y31" s="15">
        <f t="shared" si="3"/>
        <v>1</v>
      </c>
      <c r="Z31" s="31"/>
      <c r="AA31" s="17"/>
      <c r="AB31" s="18"/>
      <c r="AC31" s="19"/>
      <c r="AD31" s="19"/>
      <c r="AE31" s="19"/>
      <c r="AF31" s="19"/>
    </row>
    <row r="32" spans="1:32" x14ac:dyDescent="0.25">
      <c r="A32" s="8"/>
      <c r="B32" s="8"/>
      <c r="C32" s="12"/>
      <c r="D32" s="8"/>
      <c r="E32" s="8"/>
      <c r="F32" s="8"/>
      <c r="G32" s="8"/>
      <c r="H32" s="10"/>
      <c r="I32" s="8"/>
      <c r="J32" s="8"/>
      <c r="K32" s="8"/>
      <c r="L32" s="12"/>
      <c r="M32" s="23"/>
      <c r="N32" s="23"/>
      <c r="O32" s="23"/>
      <c r="P32" s="10"/>
      <c r="Q32" s="12"/>
      <c r="T32" s="13"/>
      <c r="U32" s="13"/>
      <c r="V32" s="13"/>
      <c r="W32" s="13"/>
      <c r="X32" s="13">
        <f t="shared" si="6"/>
        <v>0</v>
      </c>
      <c r="Y32" s="15">
        <f t="shared" si="3"/>
        <v>0</v>
      </c>
      <c r="Z32" s="31"/>
      <c r="AA32" s="17"/>
      <c r="AB32" s="18"/>
      <c r="AC32" s="19"/>
      <c r="AD32" s="19"/>
      <c r="AE32" s="19"/>
      <c r="AF32" s="19"/>
    </row>
    <row r="33" spans="1:32" x14ac:dyDescent="0.25">
      <c r="C33" s="20"/>
      <c r="H33" s="21"/>
      <c r="L33" s="20"/>
      <c r="P33" s="21"/>
      <c r="Q33" s="20"/>
      <c r="T33" s="13"/>
      <c r="U33" s="13"/>
      <c r="V33" s="13"/>
      <c r="W33" s="13"/>
      <c r="X33" s="13">
        <f t="shared" si="6"/>
        <v>0</v>
      </c>
      <c r="Y33" s="15">
        <f t="shared" si="3"/>
        <v>0</v>
      </c>
      <c r="Z33" s="31"/>
      <c r="AA33" s="17"/>
      <c r="AB33" s="18"/>
      <c r="AC33" s="19"/>
      <c r="AD33" s="19"/>
      <c r="AE33" s="19"/>
      <c r="AF33" s="19"/>
    </row>
    <row r="34" spans="1:32" x14ac:dyDescent="0.25">
      <c r="C34" s="20"/>
      <c r="H34" s="21"/>
      <c r="L34" s="20"/>
      <c r="P34" s="21"/>
      <c r="Q34" s="20"/>
      <c r="T34" s="13"/>
      <c r="U34" s="13"/>
      <c r="V34" s="13"/>
      <c r="W34" s="13"/>
      <c r="X34" s="13">
        <f t="shared" si="6"/>
        <v>0</v>
      </c>
      <c r="Y34" s="15">
        <f t="shared" si="3"/>
        <v>0</v>
      </c>
      <c r="Z34" s="31"/>
      <c r="AA34" s="17"/>
      <c r="AB34" s="18"/>
      <c r="AC34" s="19"/>
      <c r="AD34" s="19"/>
      <c r="AE34" s="19"/>
      <c r="AF34" s="19"/>
    </row>
    <row r="35" spans="1:32" x14ac:dyDescent="0.25">
      <c r="C35" s="20"/>
      <c r="H35" s="21"/>
      <c r="L35" s="20"/>
      <c r="P35" s="21"/>
      <c r="Q35" s="20"/>
      <c r="T35" s="13"/>
      <c r="U35" s="13"/>
      <c r="V35" s="13"/>
      <c r="W35" s="13"/>
      <c r="X35" s="13">
        <f t="shared" si="6"/>
        <v>0</v>
      </c>
      <c r="Y35" s="15">
        <f t="shared" si="3"/>
        <v>0</v>
      </c>
      <c r="Z35" s="31"/>
      <c r="AA35" s="17"/>
      <c r="AB35" s="18"/>
      <c r="AC35" s="19"/>
      <c r="AD35" s="19"/>
      <c r="AE35" s="19"/>
      <c r="AF35" s="19"/>
    </row>
    <row r="36" spans="1:32" x14ac:dyDescent="0.25">
      <c r="C36" s="40"/>
      <c r="H36" s="21"/>
      <c r="L36" s="20"/>
      <c r="P36" s="21"/>
      <c r="Q36" s="20"/>
      <c r="T36" s="13"/>
      <c r="U36" s="13"/>
      <c r="V36" s="13"/>
      <c r="W36" s="13"/>
      <c r="X36" s="13">
        <f t="shared" si="6"/>
        <v>0</v>
      </c>
      <c r="Y36" s="15">
        <f t="shared" si="3"/>
        <v>0</v>
      </c>
      <c r="Z36" s="31"/>
      <c r="AA36" s="17"/>
      <c r="AB36" s="18"/>
      <c r="AC36" s="19"/>
      <c r="AD36" s="19"/>
      <c r="AE36" s="19"/>
      <c r="AF36" s="19"/>
    </row>
    <row r="37" spans="1:32" x14ac:dyDescent="0.25">
      <c r="C37" s="20"/>
      <c r="H37" s="21"/>
      <c r="L37" s="20"/>
      <c r="P37" s="21"/>
      <c r="Q37" s="20"/>
      <c r="T37" s="13"/>
      <c r="U37" s="13"/>
      <c r="V37" s="13"/>
      <c r="W37" s="13"/>
      <c r="X37" s="13">
        <f t="shared" si="6"/>
        <v>0</v>
      </c>
      <c r="Y37" s="15">
        <f t="shared" si="3"/>
        <v>0</v>
      </c>
      <c r="Z37" s="31"/>
      <c r="AA37" s="17"/>
      <c r="AB37" s="18"/>
      <c r="AC37" s="19"/>
      <c r="AD37" s="19"/>
      <c r="AE37" s="19"/>
      <c r="AF37" s="19"/>
    </row>
    <row r="38" spans="1:32" x14ac:dyDescent="0.25">
      <c r="C38" s="20"/>
      <c r="H38" s="21"/>
      <c r="L38" s="20"/>
      <c r="P38" s="21"/>
      <c r="Q38" s="20"/>
      <c r="S38" s="19"/>
      <c r="T38" s="13"/>
      <c r="U38" s="13"/>
      <c r="V38" s="13"/>
      <c r="W38" s="13"/>
      <c r="X38" s="13">
        <f t="shared" si="6"/>
        <v>0</v>
      </c>
      <c r="Y38" s="15">
        <f t="shared" si="3"/>
        <v>0</v>
      </c>
      <c r="Z38" s="31"/>
      <c r="AA38" s="17"/>
      <c r="AB38" s="18" t="str">
        <f>IF(V38=0,"",(AA38/V38))</f>
        <v/>
      </c>
      <c r="AC38" s="19"/>
      <c r="AD38" s="19"/>
      <c r="AE38" s="19"/>
      <c r="AF38" s="19"/>
    </row>
    <row r="39" spans="1:32" x14ac:dyDescent="0.25">
      <c r="C39" s="20"/>
      <c r="H39" s="21"/>
      <c r="L39" s="20"/>
      <c r="P39" s="21"/>
      <c r="Q39" s="20"/>
      <c r="S39" s="19"/>
      <c r="T39" s="13"/>
      <c r="U39" s="13"/>
      <c r="V39" s="13"/>
      <c r="W39" s="13"/>
      <c r="X39" s="13">
        <f t="shared" si="6"/>
        <v>0</v>
      </c>
      <c r="Y39" s="15">
        <f t="shared" si="3"/>
        <v>0</v>
      </c>
      <c r="Z39" s="31"/>
      <c r="AA39" s="17"/>
      <c r="AB39" s="18" t="str">
        <f>IF(V39=0,"",(AA39/V39))</f>
        <v/>
      </c>
      <c r="AC39" s="19"/>
      <c r="AD39" s="19"/>
      <c r="AE39" s="19"/>
      <c r="AF39" s="19"/>
    </row>
    <row r="40" spans="1:32" s="44" customFormat="1" x14ac:dyDescent="0.25">
      <c r="A40"/>
      <c r="B40"/>
      <c r="C40" s="20"/>
      <c r="D40"/>
      <c r="E40"/>
      <c r="F40"/>
      <c r="G40"/>
      <c r="H40" s="21"/>
      <c r="I40"/>
      <c r="J40"/>
      <c r="K40"/>
      <c r="L40" s="20"/>
      <c r="M40" s="39"/>
      <c r="N40" s="39"/>
      <c r="O40" s="39"/>
      <c r="P40" s="21"/>
      <c r="Q40" s="20"/>
      <c r="R40"/>
      <c r="S40" s="19"/>
      <c r="T40" s="41"/>
      <c r="U40" s="41"/>
      <c r="V40" s="41"/>
      <c r="W40" s="41"/>
      <c r="X40" s="41">
        <f t="shared" si="6"/>
        <v>0</v>
      </c>
      <c r="Y40" s="42">
        <f t="shared" si="3"/>
        <v>0</v>
      </c>
      <c r="Z40" s="26"/>
      <c r="AA40" s="43"/>
      <c r="AB40" s="18" t="str">
        <f>IF(V40=0,"",(AA40/V40))</f>
        <v/>
      </c>
      <c r="AC40" s="19"/>
      <c r="AD40" s="19"/>
      <c r="AE40" s="19"/>
      <c r="AF40" s="19"/>
    </row>
    <row r="41" spans="1:32" x14ac:dyDescent="0.25">
      <c r="C41" s="20"/>
      <c r="I41" s="20"/>
      <c r="J41" s="20"/>
      <c r="K41" s="45"/>
      <c r="L41" s="20"/>
      <c r="M41" s="46"/>
      <c r="N41" s="46"/>
      <c r="O41" s="46"/>
      <c r="V41" s="47">
        <f>SUBTOTAL(109, V2:V30)</f>
        <v>2708500</v>
      </c>
      <c r="W41" s="47">
        <f>SUBTOTAL(109, W2:W30)</f>
        <v>3108072</v>
      </c>
      <c r="X41" s="47" t="e">
        <f>SUBTOTAL(109, X2:X30)</f>
        <v>#VALUE!</v>
      </c>
      <c r="AA41" s="48"/>
    </row>
    <row r="42" spans="1:32" x14ac:dyDescent="0.25">
      <c r="C42" s="45"/>
      <c r="I42" s="45"/>
      <c r="J42" s="45"/>
      <c r="K42" s="45"/>
      <c r="L42" s="45"/>
      <c r="M42" s="49"/>
      <c r="N42" s="49"/>
      <c r="O42" s="49"/>
      <c r="T42"/>
      <c r="U42"/>
      <c r="V42"/>
      <c r="W42"/>
    </row>
    <row r="43" spans="1:32" x14ac:dyDescent="0.25">
      <c r="C43" s="45"/>
      <c r="I43" s="45"/>
      <c r="J43" s="45"/>
      <c r="K43" s="45"/>
      <c r="L43" s="45"/>
      <c r="M43" s="49"/>
      <c r="N43" s="49"/>
      <c r="O43" s="49"/>
      <c r="T43"/>
      <c r="U43"/>
      <c r="V43"/>
      <c r="W43"/>
      <c r="Z43" s="50"/>
    </row>
    <row r="44" spans="1:32" x14ac:dyDescent="0.25">
      <c r="C44" s="51" t="s">
        <v>152</v>
      </c>
      <c r="I44" s="51"/>
      <c r="J44" s="51"/>
      <c r="T44"/>
      <c r="U44"/>
      <c r="V44"/>
      <c r="W44"/>
      <c r="Y44" s="47"/>
    </row>
    <row r="46" spans="1:32" ht="15" customHeight="1" x14ac:dyDescent="0.25">
      <c r="C46">
        <v>6789987665</v>
      </c>
    </row>
  </sheetData>
  <autoFilter ref="A1:AF40" xr:uid="{00000000-0001-0000-0500-000000000000}"/>
  <dataValidations count="3">
    <dataValidation type="list" allowBlank="1" showInputMessage="1" showErrorMessage="1" sqref="AC2:AC39" xr:uid="{3F8F666C-32A4-4254-BCD2-B21A438409A9}">
      <formula1>"Monthly,Quarterly,Half-Year,Yearly,2-Year,3-Year"</formula1>
    </dataValidation>
    <dataValidation type="list" allowBlank="1" showInputMessage="1" showErrorMessage="1" sqref="AE2:AE39" xr:uid="{64F07AFF-F549-4E14-9D79-CC826989F097}">
      <formula1>"Post,Pre,Spot"</formula1>
    </dataValidation>
    <dataValidation type="list" allowBlank="1" showInputMessage="1" showErrorMessage="1" sqref="AD2:AD39" xr:uid="{BD58D857-D373-4319-84FB-E8638976D5E0}">
      <formula1>"GR,GR Without Invoice,Pre paid"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AOP26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Cavalari Consolini, Diego</dc:creator>
  <cp:lastModifiedBy>Cavalari Consolini, Diego</cp:lastModifiedBy>
  <dcterms:created xsi:type="dcterms:W3CDTF">2025-07-10T18:02:12Z</dcterms:created>
  <dcterms:modified xsi:type="dcterms:W3CDTF">2025-07-11T09:00:08Z</dcterms:modified>
</cp:coreProperties>
</file>