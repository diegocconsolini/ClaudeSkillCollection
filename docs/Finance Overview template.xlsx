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ffeeandtea-my.sharepoint.com/personal/mathilde_post_jdecoffee_com/Documents/Desktop/"/>
    </mc:Choice>
  </mc:AlternateContent>
  <xr:revisionPtr revIDLastSave="70" documentId="8_{C5A99015-880A-4E84-9990-B847E7473E28}" xr6:coauthVersionLast="47" xr6:coauthVersionMax="47" xr10:uidLastSave="{1BB3998A-6A27-452D-9092-366A7B6CD138}"/>
  <bookViews>
    <workbookView xWindow="-108" yWindow="-108" windowWidth="23256" windowHeight="12456" tabRatio="735" activeTab="1" xr2:uid="{E2E96FCB-0849-43F7-B6E3-935B9B087DB7}"/>
  </bookViews>
  <sheets>
    <sheet name="Budget Total 2024" sheetId="8" r:id="rId1"/>
    <sheet name="Total AOP 2024" sheetId="35" r:id="rId2"/>
    <sheet name="Accenture" sheetId="25" r:id="rId3"/>
    <sheet name="Atos" sheetId="24" r:id="rId4"/>
    <sheet name="BT" sheetId="22" r:id="rId5"/>
    <sheet name="Equinix" sheetId="33" r:id="rId6"/>
    <sheet name="Frontline" sheetId="11" r:id="rId7"/>
    <sheet name="Microsoft" sheetId="28" r:id="rId8"/>
    <sheet name="OB" sheetId="23" r:id="rId9"/>
    <sheet name="ReleaseTMS" sheetId="20" r:id="rId10"/>
    <sheet name="Projects" sheetId="26" r:id="rId11"/>
    <sheet name="-" sheetId="4" r:id="rId12"/>
  </sheets>
  <definedNames>
    <definedName name="_xlnm._FilterDatabase" localSheetId="1" hidden="1">'Total AOP 2024'!$A$1:$AC$68</definedName>
  </definedNames>
  <calcPr calcId="191028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28" l="1"/>
  <c r="K26" i="28"/>
  <c r="AZ11" i="22"/>
  <c r="Q25" i="8" s="1"/>
  <c r="AV11" i="22"/>
  <c r="P25" i="8" s="1"/>
  <c r="I11" i="22"/>
  <c r="G5" i="8" s="1"/>
  <c r="AR11" i="22"/>
  <c r="O25" i="8" s="1"/>
  <c r="AN11" i="22"/>
  <c r="M26" i="28"/>
  <c r="G31" i="8" s="1"/>
  <c r="X11" i="22"/>
  <c r="J25" i="8" s="1"/>
  <c r="H26" i="28"/>
  <c r="I17" i="8" s="1"/>
  <c r="P17" i="8" s="1"/>
  <c r="D3" i="23"/>
  <c r="AJ11" i="22"/>
  <c r="M25" i="8" s="1"/>
  <c r="AF11" i="22"/>
  <c r="L25" i="8" s="1"/>
  <c r="AB11" i="22"/>
  <c r="K25" i="8" s="1"/>
  <c r="H37" i="23"/>
  <c r="I9" i="8" s="1"/>
  <c r="P9" i="8" s="1"/>
  <c r="T11" i="22"/>
  <c r="I25" i="8" s="1"/>
  <c r="G27" i="25"/>
  <c r="D5" i="8"/>
  <c r="N37" i="23"/>
  <c r="G9" i="8" s="1"/>
  <c r="P11" i="22"/>
  <c r="H25" i="8" s="1"/>
  <c r="D11" i="8"/>
  <c r="D7" i="8"/>
  <c r="L11" i="22"/>
  <c r="G25" i="8" s="1"/>
  <c r="H11" i="22"/>
  <c r="I5" i="8" s="1"/>
  <c r="P5" i="8" s="1"/>
  <c r="F9" i="11"/>
  <c r="I7" i="8" s="1"/>
  <c r="AF27" i="25"/>
  <c r="L30" i="8" s="1"/>
  <c r="AN27" i="25"/>
  <c r="N30" i="8" s="1"/>
  <c r="P27" i="25"/>
  <c r="H30" i="8" s="1"/>
  <c r="T27" i="25"/>
  <c r="I30" i="8" s="1"/>
  <c r="X27" i="25"/>
  <c r="J30" i="8" s="1"/>
  <c r="AJ27" i="25"/>
  <c r="M30" i="8" s="1"/>
  <c r="P19" i="8"/>
  <c r="I9" i="33"/>
  <c r="G19" i="8"/>
  <c r="BD9" i="33"/>
  <c r="AZ9" i="33"/>
  <c r="AV9" i="33"/>
  <c r="AR9" i="33"/>
  <c r="AN9" i="33"/>
  <c r="AJ9" i="33"/>
  <c r="AF9" i="33"/>
  <c r="AB9" i="33"/>
  <c r="X9" i="33"/>
  <c r="T9" i="33"/>
  <c r="P9" i="33"/>
  <c r="L9" i="33"/>
  <c r="D3" i="33"/>
  <c r="L27" i="25"/>
  <c r="G30" i="8" s="1"/>
  <c r="J9" i="33"/>
  <c r="K9" i="33"/>
  <c r="H19" i="8"/>
  <c r="J19" i="8" s="1"/>
  <c r="AB27" i="25"/>
  <c r="K30" i="8" s="1"/>
  <c r="BD11" i="22"/>
  <c r="R25" i="8" s="1"/>
  <c r="R32" i="8" s="1"/>
  <c r="AG26" i="28"/>
  <c r="L31" i="8"/>
  <c r="AC26" i="28"/>
  <c r="K31" i="8" s="1"/>
  <c r="Y26" i="28"/>
  <c r="J31" i="8" s="1"/>
  <c r="AK26" i="28"/>
  <c r="M31" i="8" s="1"/>
  <c r="AW26" i="28"/>
  <c r="P31" i="8" s="1"/>
  <c r="AS26" i="28"/>
  <c r="O31" i="8"/>
  <c r="AO26" i="28"/>
  <c r="N31" i="8" s="1"/>
  <c r="J26" i="8"/>
  <c r="I26" i="8"/>
  <c r="H26" i="8"/>
  <c r="G26" i="8"/>
  <c r="G9" i="24"/>
  <c r="U26" i="28"/>
  <c r="I31" i="8" s="1"/>
  <c r="I11" i="8"/>
  <c r="G11" i="8"/>
  <c r="Q26" i="28"/>
  <c r="H31" i="8" s="1"/>
  <c r="C4" i="26"/>
  <c r="C5" i="26"/>
  <c r="BE26" i="28"/>
  <c r="BA26" i="28"/>
  <c r="E3" i="28"/>
  <c r="D3" i="24"/>
  <c r="K7" i="24" s="1"/>
  <c r="E3" i="22"/>
  <c r="AR27" i="25"/>
  <c r="O30" i="8" s="1"/>
  <c r="AV27" i="25"/>
  <c r="AZ27" i="25"/>
  <c r="Q30" i="8"/>
  <c r="BD27" i="25"/>
  <c r="R30" i="8"/>
  <c r="F100" i="26"/>
  <c r="L9" i="24"/>
  <c r="G29" i="8"/>
  <c r="BD9" i="24"/>
  <c r="R29" i="8"/>
  <c r="AZ9" i="24"/>
  <c r="Q29" i="8"/>
  <c r="AV9" i="24"/>
  <c r="P29" i="8"/>
  <c r="AR9" i="24"/>
  <c r="O29" i="8"/>
  <c r="AN9" i="24"/>
  <c r="N29" i="8"/>
  <c r="AJ9" i="24"/>
  <c r="M29" i="8"/>
  <c r="AF9" i="24"/>
  <c r="L29" i="8"/>
  <c r="AB9" i="24"/>
  <c r="K29" i="8"/>
  <c r="X9" i="24"/>
  <c r="J29" i="8"/>
  <c r="T9" i="24"/>
  <c r="I29" i="8"/>
  <c r="H9" i="24"/>
  <c r="G13" i="8" s="1"/>
  <c r="I9" i="24"/>
  <c r="I15" i="8"/>
  <c r="P15" i="8" s="1"/>
  <c r="P9" i="24"/>
  <c r="H29" i="8"/>
  <c r="I13" i="8"/>
  <c r="P13" i="8" s="1"/>
  <c r="J9" i="24"/>
  <c r="H13" i="8"/>
  <c r="N13" i="8" s="1"/>
  <c r="T26" i="8"/>
  <c r="AQ9" i="11"/>
  <c r="AN9" i="11"/>
  <c r="AK9" i="11"/>
  <c r="AH9" i="11"/>
  <c r="AE9" i="11"/>
  <c r="AB9" i="11"/>
  <c r="Y9" i="11"/>
  <c r="V9" i="11"/>
  <c r="K27" i="8"/>
  <c r="S9" i="11"/>
  <c r="P9" i="11"/>
  <c r="I27" i="8"/>
  <c r="M9" i="11"/>
  <c r="H27" i="8" s="1"/>
  <c r="J9" i="11"/>
  <c r="G27" i="8" s="1"/>
  <c r="G9" i="11"/>
  <c r="G7" i="8"/>
  <c r="I2" i="8"/>
  <c r="S27" i="8"/>
  <c r="T27" i="8"/>
  <c r="S26" i="8"/>
  <c r="T33" i="8"/>
  <c r="S33" i="8"/>
  <c r="I27" i="25"/>
  <c r="G15" i="8" s="1"/>
  <c r="P34" i="8"/>
  <c r="K34" i="8"/>
  <c r="Q34" i="8"/>
  <c r="I34" i="8"/>
  <c r="G34" i="8"/>
  <c r="L34" i="8"/>
  <c r="N34" i="8"/>
  <c r="J34" i="8"/>
  <c r="M34" i="8"/>
  <c r="H34" i="8"/>
  <c r="O34" i="8"/>
  <c r="S32" i="8" l="1"/>
  <c r="S34" i="8"/>
  <c r="T32" i="8"/>
  <c r="C9" i="26"/>
  <c r="H22" i="8" s="1"/>
  <c r="P7" i="8"/>
  <c r="T25" i="8"/>
  <c r="S25" i="8"/>
  <c r="H9" i="11"/>
  <c r="H7" i="8" s="1"/>
  <c r="O19" i="8"/>
  <c r="K19" i="8"/>
  <c r="L19" i="8" s="1"/>
  <c r="M19" i="8"/>
  <c r="N19" i="8"/>
  <c r="K13" i="8"/>
  <c r="L13" i="8" s="1"/>
  <c r="O13" i="8"/>
  <c r="M13" i="8"/>
  <c r="J13" i="8"/>
  <c r="BI37" i="23"/>
  <c r="R28" i="8" s="1"/>
  <c r="K9" i="24"/>
  <c r="BE37" i="23"/>
  <c r="Q28" i="8" s="1"/>
  <c r="Q32" i="8" s="1"/>
  <c r="S28" i="8"/>
  <c r="T28" i="8"/>
  <c r="J27" i="25"/>
  <c r="H11" i="8"/>
  <c r="K11" i="8" s="1"/>
  <c r="L11" i="8" s="1"/>
  <c r="BA37" i="23"/>
  <c r="P28" i="8" s="1"/>
  <c r="P32" i="8" s="1"/>
  <c r="I37" i="23"/>
  <c r="U37" i="23"/>
  <c r="H28" i="8" s="1"/>
  <c r="H32" i="8" s="1"/>
  <c r="Y37" i="23"/>
  <c r="I28" i="8" s="1"/>
  <c r="I32" i="8" s="1"/>
  <c r="Q37" i="23"/>
  <c r="G28" i="8" s="1"/>
  <c r="G32" i="8" s="1"/>
  <c r="P11" i="8"/>
  <c r="AW37" i="23"/>
  <c r="O28" i="8" s="1"/>
  <c r="O32" i="8" s="1"/>
  <c r="I20" i="8"/>
  <c r="P20" i="8" s="1"/>
  <c r="AO37" i="23"/>
  <c r="M28" i="8" s="1"/>
  <c r="M32" i="8" s="1"/>
  <c r="N25" i="8"/>
  <c r="AS37" i="23"/>
  <c r="N28" i="8" s="1"/>
  <c r="K8" i="24"/>
  <c r="AK37" i="23"/>
  <c r="L28" i="8" s="1"/>
  <c r="L32" i="8" s="1"/>
  <c r="AG37" i="23"/>
  <c r="K28" i="8" s="1"/>
  <c r="K32" i="8" s="1"/>
  <c r="G17" i="8"/>
  <c r="G20" i="8" s="1"/>
  <c r="H17" i="8"/>
  <c r="M17" i="8" s="1"/>
  <c r="S29" i="8"/>
  <c r="T29" i="8"/>
  <c r="AC37" i="23"/>
  <c r="J28" i="8" s="1"/>
  <c r="J32" i="8" s="1"/>
  <c r="J11" i="8" l="1"/>
  <c r="I9" i="11"/>
  <c r="N7" i="8"/>
  <c r="K7" i="8"/>
  <c r="L7" i="8" s="1"/>
  <c r="M7" i="8"/>
  <c r="J7" i="8"/>
  <c r="O7" i="8"/>
  <c r="H15" i="8"/>
  <c r="K27" i="25"/>
  <c r="O11" i="8"/>
  <c r="N11" i="8"/>
  <c r="M11" i="8"/>
  <c r="P37" i="23"/>
  <c r="K11" i="22"/>
  <c r="J11" i="22"/>
  <c r="H5" i="8" s="1"/>
  <c r="O33" i="8"/>
  <c r="G33" i="8"/>
  <c r="I33" i="8"/>
  <c r="P33" i="8"/>
  <c r="K33" i="8"/>
  <c r="Q33" i="8"/>
  <c r="L33" i="8"/>
  <c r="R33" i="8"/>
  <c r="H33" i="8"/>
  <c r="M33" i="8"/>
  <c r="J33" i="8"/>
  <c r="N32" i="8"/>
  <c r="N33" i="8" s="1"/>
  <c r="L26" i="28"/>
  <c r="K17" i="8"/>
  <c r="L17" i="8" s="1"/>
  <c r="O17" i="8"/>
  <c r="N17" i="8"/>
  <c r="J17" i="8"/>
  <c r="O37" i="23" l="1"/>
  <c r="H9" i="8" s="1"/>
  <c r="N9" i="8" s="1"/>
  <c r="J15" i="8"/>
  <c r="N15" i="8"/>
  <c r="O15" i="8"/>
  <c r="M15" i="8"/>
  <c r="K15" i="8"/>
  <c r="L15" i="8" s="1"/>
  <c r="O5" i="8"/>
  <c r="N5" i="8"/>
  <c r="M5" i="8"/>
  <c r="K5" i="8"/>
  <c r="L5" i="8" s="1"/>
  <c r="J5" i="8"/>
  <c r="T31" i="8"/>
  <c r="S30" i="8"/>
  <c r="E32" i="8"/>
  <c r="T30" i="8"/>
  <c r="S31" i="8"/>
  <c r="M9" i="8" l="1"/>
  <c r="J9" i="8"/>
  <c r="O9" i="8"/>
  <c r="J37" i="23"/>
  <c r="K37" i="23" s="1"/>
  <c r="H20" i="8"/>
  <c r="J20" i="8" s="1"/>
  <c r="K9" i="8"/>
  <c r="L9" i="8" s="1"/>
  <c r="M37" i="23"/>
  <c r="L37" i="23"/>
  <c r="O20" i="8" l="1"/>
  <c r="M20" i="8"/>
  <c r="N20" i="8"/>
  <c r="K20" i="8"/>
  <c r="L20" i="8" s="1"/>
</calcChain>
</file>

<file path=xl/sharedStrings.xml><?xml version="1.0" encoding="utf-8"?>
<sst xmlns="http://schemas.openxmlformats.org/spreadsheetml/2006/main" count="707" uniqueCount="131">
  <si>
    <t>Period</t>
  </si>
  <si>
    <t>0002 - Global</t>
  </si>
  <si>
    <t>Vendor</t>
  </si>
  <si>
    <t>Description</t>
  </si>
  <si>
    <t>PO</t>
  </si>
  <si>
    <t>GL Account</t>
  </si>
  <si>
    <t>Vendor NR</t>
  </si>
  <si>
    <t>Total PO value</t>
  </si>
  <si>
    <t>Actual/AOP</t>
  </si>
  <si>
    <t>%</t>
  </si>
  <si>
    <t>%  AOP</t>
  </si>
  <si>
    <t>AOP € Left</t>
  </si>
  <si>
    <t>AOP Actual Month</t>
  </si>
  <si>
    <t>AOP Dif Month</t>
  </si>
  <si>
    <t>Average AOP Month</t>
  </si>
  <si>
    <t>BT</t>
  </si>
  <si>
    <t>Multiple</t>
  </si>
  <si>
    <t>Frontline</t>
  </si>
  <si>
    <t>OB</t>
  </si>
  <si>
    <t>485073010</t>
  </si>
  <si>
    <t>196653</t>
  </si>
  <si>
    <t>ReleaseTMS</t>
  </si>
  <si>
    <t>168422</t>
  </si>
  <si>
    <t>Atos</t>
  </si>
  <si>
    <t>Accenture</t>
  </si>
  <si>
    <t>187516</t>
  </si>
  <si>
    <t>Microsoft</t>
  </si>
  <si>
    <t>Equinix</t>
  </si>
  <si>
    <t>Total</t>
  </si>
  <si>
    <t>Projects</t>
  </si>
  <si>
    <t>GL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</si>
  <si>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</si>
  <si>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</si>
  <si>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</si>
  <si>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</si>
  <si>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</si>
  <si>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</si>
  <si>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</si>
  <si>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</si>
  <si>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</si>
  <si>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</si>
  <si>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</si>
  <si>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</si>
  <si>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Totals</t>
  </si>
  <si>
    <t>Average</t>
  </si>
  <si>
    <t>OBS</t>
  </si>
  <si>
    <t>Difference</t>
  </si>
  <si>
    <t>AOP Line</t>
  </si>
  <si>
    <t>Status</t>
  </si>
  <si>
    <t>Trend</t>
  </si>
  <si>
    <t>Contract ID</t>
  </si>
  <si>
    <t>Category</t>
  </si>
  <si>
    <t>Line in AOP template</t>
  </si>
  <si>
    <t>Service1</t>
  </si>
  <si>
    <t>Vendor Code</t>
  </si>
  <si>
    <t>Owner</t>
  </si>
  <si>
    <t>Consulted</t>
  </si>
  <si>
    <t>Charging Basis</t>
  </si>
  <si>
    <t>FUNCTION</t>
  </si>
  <si>
    <t>AOP 2022</t>
  </si>
  <si>
    <t>AOP 2023</t>
  </si>
  <si>
    <t>AOP 2024</t>
  </si>
  <si>
    <t>Variance</t>
  </si>
  <si>
    <t>% Change</t>
  </si>
  <si>
    <t>Comments</t>
  </si>
  <si>
    <t>Actuals</t>
  </si>
  <si>
    <t>% spent</t>
  </si>
  <si>
    <t>Invoice Schedule</t>
  </si>
  <si>
    <t>Method</t>
  </si>
  <si>
    <t>Timing</t>
  </si>
  <si>
    <t>Comments PMO / FIN</t>
  </si>
  <si>
    <t>Line ID</t>
  </si>
  <si>
    <t>GR</t>
  </si>
  <si>
    <t>TOTAL</t>
  </si>
  <si>
    <t>Line</t>
  </si>
  <si>
    <t>Total AOP</t>
  </si>
  <si>
    <t>PO Total</t>
  </si>
  <si>
    <t>PO Amount 2024</t>
  </si>
  <si>
    <t>Cost until now</t>
  </si>
  <si>
    <t>Limit</t>
  </si>
  <si>
    <t>Cost</t>
  </si>
  <si>
    <t>Invoice</t>
  </si>
  <si>
    <t>Comment</t>
  </si>
  <si>
    <t>Total 0002</t>
  </si>
  <si>
    <t>129450</t>
  </si>
  <si>
    <t>PO Amount</t>
  </si>
  <si>
    <t>Account</t>
  </si>
  <si>
    <t>,</t>
  </si>
  <si>
    <t>PO Amount 2022</t>
  </si>
  <si>
    <t>Total Expected</t>
  </si>
  <si>
    <t>166304</t>
  </si>
  <si>
    <t>Total PO</t>
  </si>
  <si>
    <t>Line AOP</t>
  </si>
  <si>
    <t>Monthtly AOP</t>
  </si>
  <si>
    <t>Current Monthly</t>
  </si>
  <si>
    <t>Monthly Difference</t>
  </si>
  <si>
    <t>-/+ YTD</t>
  </si>
  <si>
    <t>Difference AOP</t>
  </si>
  <si>
    <t>NSKDE08</t>
  </si>
  <si>
    <t>MRC Equinix</t>
  </si>
  <si>
    <t>EUR</t>
  </si>
  <si>
    <t>NSKDE09</t>
  </si>
  <si>
    <t>MRC Managed internet access</t>
  </si>
  <si>
    <t>NSKDE19</t>
  </si>
  <si>
    <t>VMS Internet</t>
  </si>
  <si>
    <t>NSKDE13</t>
  </si>
  <si>
    <t xml:space="preserve">LAN Projects Monitoring SWs/APs costs </t>
  </si>
  <si>
    <t>NSKDE14</t>
  </si>
  <si>
    <t>WEB PROTECTION SUITE Zscaler</t>
  </si>
  <si>
    <t>Total cost untill now</t>
  </si>
  <si>
    <t>Row Labels</t>
  </si>
  <si>
    <t>Sum of Amount</t>
  </si>
  <si>
    <t>(blank)</t>
  </si>
  <si>
    <t>Grand Total</t>
  </si>
  <si>
    <t>Orange</t>
  </si>
  <si>
    <t>Invoice No.#</t>
  </si>
  <si>
    <t>Amount</t>
  </si>
  <si>
    <t>Closed Complete</t>
  </si>
  <si>
    <t>SSR</t>
  </si>
  <si>
    <t>MACD</t>
  </si>
  <si>
    <t>Closed Skipped</t>
  </si>
  <si>
    <t>NSSR</t>
  </si>
  <si>
    <t>Incident</t>
  </si>
  <si>
    <t>Planning</t>
  </si>
  <si>
    <t>RFI</t>
  </si>
  <si>
    <t>Question</t>
  </si>
  <si>
    <t>Verification from Requestor</t>
  </si>
  <si>
    <t>Work in Progress</t>
  </si>
  <si>
    <t>PO Amount 2025</t>
  </si>
  <si>
    <t>Total costs 2025</t>
  </si>
  <si>
    <t>Total AOP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</si>
</sst>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€&quot;\ #,##0.00;[Red]&quot;€&quot;\ \-#,##0.00"/>
    <numFmt numFmtId="44" formatCode="_ &quot;€&quot;\ * #,##0.00_ ;_ &quot;€&quot;\ * \-#,##0.00_ ;_ &quot;€&quot;\ * &quot;-&quot;??_ ;_ @_ "/>
    <numFmt numFmtId="164" formatCode="_(* #,##0.00_);_(* \(#,##0.00\);_(* &quot;-&quot;??_);_(@_)"/>
    <numFmt numFmtId="165" formatCode="_(&quot;€&quot;* #,##0.00_);_(&quot;€&quot;* \(#,##0.00\);_(&quot;€&quot;* &quot;-&quot;??_);_(@_)"/>
    <numFmt numFmtId="166" formatCode="_ [$€-2]\ * #,##0.00_ ;_ [$€-2]\ * \-#,##0.00_ ;_ [$€-2]\ * &quot;-&quot;??_ ;_ @_ "/>
    <numFmt numFmtId="167" formatCode="[$$-409]#,##0.00"/>
    <numFmt numFmtId="168" formatCode="&quot;€&quot;\ #,##0.00_-"/>
    <numFmt numFmtId="169" formatCode="&quot;€&quot;\ #,##0.00"/>
    <numFmt numFmtId="170" formatCode="_ [$€-413]\ * #,##0.00_ ;_ [$€-413]\ * \-#,##0.00_ ;_ [$€-413]\ * &quot;-&quot;??_ ;_ @_ "/>
    <numFmt numFmtId="171" formatCode="_-[$€-2]\ * #,##0.00_-;\-[$€-2]\ * #,##0.00_-;_-[$€-2]\ * &quot;-&quot;??_-;_-@_-"/>
    <numFmt numFmtId="172" formatCode="0.000%"/>
    <numFmt numFmtId="173" formatCode="[$-F400]h:mm:ss\ AM/PM"/>
    <numFmt numFmtId="174" formatCode="###,000"/>
    <numFmt numFmtId="175" formatCode="_([$€-2]\ * #,##0.00_);_([$€-2]\ * \(#,##0.00\);_([$€-2]\ * &quot;-&quot;??_);_(@_)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0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2"/>
      <color rgb="FFFF000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11"/>
      <name val="Calibri"/>
      <family val="2"/>
    </font>
    <font>
      <b/>
      <i/>
      <sz val="11"/>
      <color theme="9" tint="-0.249977111117893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theme="10"/>
      <name val="Calibri"/>
      <family val="2"/>
    </font>
    <font>
      <i/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i/>
      <sz val="9"/>
      <color theme="4" tint="-0.249977111117893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i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8"/>
      <color rgb="FFDBE5F1"/>
      <name val="Verdana"/>
      <family val="2"/>
    </font>
    <font>
      <b/>
      <i/>
      <sz val="11"/>
      <color theme="4" tint="-0.24997711111789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sz val="12"/>
      <color rgb="FF1B2AB5"/>
      <name val="Calibri"/>
      <family val="2"/>
      <scheme val="minor"/>
    </font>
    <font>
      <sz val="12"/>
      <color theme="1"/>
      <name val="Segoe UI"/>
      <family val="2"/>
    </font>
    <font>
      <b/>
      <sz val="11"/>
      <color theme="9" tint="-0.249977111117893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gray0625">
        <bgColor theme="7" tint="0.59999389629810485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darkVertical">
        <bgColor theme="5" tint="0.39997558519241921"/>
      </patternFill>
    </fill>
    <fill>
      <patternFill patternType="darkVertical">
        <bgColor theme="3" tint="0.59999389629810485"/>
      </patternFill>
    </fill>
    <fill>
      <patternFill patternType="darkVertical">
        <bgColor rgb="FFFFFF00"/>
      </patternFill>
    </fill>
    <fill>
      <patternFill patternType="darkVertical">
        <bgColor theme="7" tint="0.59999389629810485"/>
      </patternFill>
    </fill>
    <fill>
      <patternFill patternType="gray0625">
        <bgColor theme="3" tint="0.59999389629810485"/>
      </patternFill>
    </fill>
    <fill>
      <patternFill patternType="gray0625">
        <bgColor rgb="FFFFFF00"/>
      </patternFill>
    </fill>
    <fill>
      <patternFill patternType="gray0625">
        <bgColor theme="5" tint="0.39994506668294322"/>
      </patternFill>
    </fill>
    <fill>
      <patternFill patternType="darkVertical">
        <bgColor theme="4" tint="0.79995117038483843"/>
      </patternFill>
    </fill>
    <fill>
      <patternFill patternType="gray0625">
        <bgColor theme="4" tint="0.799951170384838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0">
    <xf numFmtId="0" fontId="0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7" fontId="1" fillId="0" borderId="0"/>
    <xf numFmtId="167" fontId="1" fillId="0" borderId="0"/>
    <xf numFmtId="0" fontId="21" fillId="0" borderId="0"/>
    <xf numFmtId="165" fontId="2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0" fillId="26" borderId="78" applyNumberFormat="0" applyAlignment="0" applyProtection="0">
      <alignment horizontal="left" vertical="center" indent="1"/>
    </xf>
    <xf numFmtId="174" fontId="41" fillId="0" borderId="79" applyNumberFormat="0" applyProtection="0">
      <alignment horizontal="right" vertical="center"/>
    </xf>
    <xf numFmtId="174" fontId="40" fillId="0" borderId="80" applyNumberFormat="0" applyProtection="0">
      <alignment horizontal="right" vertical="center"/>
    </xf>
    <xf numFmtId="0" fontId="42" fillId="27" borderId="80" applyNumberFormat="0" applyAlignment="0">
      <alignment horizontal="left" vertical="center" indent="1"/>
      <protection locked="0"/>
    </xf>
    <xf numFmtId="0" fontId="42" fillId="28" borderId="80" applyNumberFormat="0" applyAlignment="0" applyProtection="0">
      <alignment horizontal="left" vertical="center" indent="1"/>
    </xf>
    <xf numFmtId="174" fontId="41" fillId="29" borderId="79" applyNumberFormat="0" applyBorder="0">
      <alignment horizontal="right" vertical="center"/>
      <protection locked="0"/>
    </xf>
    <xf numFmtId="0" fontId="42" fillId="27" borderId="80" applyNumberFormat="0" applyAlignment="0">
      <alignment horizontal="left" vertical="center" indent="1"/>
      <protection locked="0"/>
    </xf>
    <xf numFmtId="174" fontId="40" fillId="28" borderId="80" applyNumberFormat="0" applyProtection="0">
      <alignment horizontal="right" vertical="center"/>
    </xf>
    <xf numFmtId="174" fontId="40" fillId="29" borderId="80" applyNumberFormat="0" applyBorder="0">
      <alignment horizontal="right" vertical="center"/>
      <protection locked="0"/>
    </xf>
    <xf numFmtId="174" fontId="43" fillId="30" borderId="82" applyNumberFormat="0" applyBorder="0" applyAlignment="0" applyProtection="0">
      <alignment horizontal="right" vertical="center" indent="1"/>
    </xf>
    <xf numFmtId="174" fontId="44" fillId="31" borderId="82" applyNumberFormat="0" applyBorder="0" applyAlignment="0" applyProtection="0">
      <alignment horizontal="right" vertical="center" indent="1"/>
    </xf>
    <xf numFmtId="174" fontId="44" fillId="32" borderId="82" applyNumberFormat="0" applyBorder="0" applyAlignment="0" applyProtection="0">
      <alignment horizontal="right" vertical="center" indent="1"/>
    </xf>
    <xf numFmtId="174" fontId="45" fillId="33" borderId="82" applyNumberFormat="0" applyBorder="0" applyAlignment="0" applyProtection="0">
      <alignment horizontal="right" vertical="center" indent="1"/>
    </xf>
    <xf numFmtId="174" fontId="45" fillId="34" borderId="82" applyNumberFormat="0" applyBorder="0" applyAlignment="0" applyProtection="0">
      <alignment horizontal="right" vertical="center" indent="1"/>
    </xf>
    <xf numFmtId="174" fontId="45" fillId="35" borderId="82" applyNumberFormat="0" applyBorder="0" applyAlignment="0" applyProtection="0">
      <alignment horizontal="right" vertical="center" indent="1"/>
    </xf>
    <xf numFmtId="174" fontId="46" fillId="36" borderId="82" applyNumberFormat="0" applyBorder="0" applyAlignment="0" applyProtection="0">
      <alignment horizontal="right" vertical="center" indent="1"/>
    </xf>
    <xf numFmtId="174" fontId="46" fillId="37" borderId="82" applyNumberFormat="0" applyBorder="0" applyAlignment="0" applyProtection="0">
      <alignment horizontal="right" vertical="center" indent="1"/>
    </xf>
    <xf numFmtId="174" fontId="46" fillId="38" borderId="82" applyNumberFormat="0" applyBorder="0" applyAlignment="0" applyProtection="0">
      <alignment horizontal="right" vertical="center" indent="1"/>
    </xf>
    <xf numFmtId="0" fontId="47" fillId="0" borderId="78" applyNumberFormat="0" applyFont="0" applyFill="0" applyAlignment="0" applyProtection="0"/>
    <xf numFmtId="174" fontId="41" fillId="39" borderId="78" applyNumberFormat="0" applyAlignment="0" applyProtection="0">
      <alignment horizontal="left" vertical="center" indent="1"/>
    </xf>
    <xf numFmtId="0" fontId="40" fillId="26" borderId="80" applyNumberFormat="0" applyAlignment="0" applyProtection="0">
      <alignment horizontal="left" vertical="center" indent="1"/>
    </xf>
    <xf numFmtId="0" fontId="42" fillId="40" borderId="78" applyNumberFormat="0" applyAlignment="0" applyProtection="0">
      <alignment horizontal="left" vertical="center" indent="1"/>
    </xf>
    <xf numFmtId="0" fontId="42" fillId="41" borderId="78" applyNumberFormat="0" applyAlignment="0" applyProtection="0">
      <alignment horizontal="left" vertical="center" indent="1"/>
    </xf>
    <xf numFmtId="0" fontId="42" fillId="42" borderId="78" applyNumberFormat="0" applyAlignment="0" applyProtection="0">
      <alignment horizontal="left" vertical="center" indent="1"/>
    </xf>
    <xf numFmtId="0" fontId="42" fillId="29" borderId="78" applyNumberFormat="0" applyAlignment="0" applyProtection="0">
      <alignment horizontal="left" vertical="center" indent="1"/>
    </xf>
    <xf numFmtId="0" fontId="42" fillId="28" borderId="80" applyNumberFormat="0" applyAlignment="0" applyProtection="0">
      <alignment horizontal="left" vertical="center" indent="1"/>
    </xf>
    <xf numFmtId="0" fontId="48" fillId="0" borderId="81" applyNumberFormat="0" applyFill="0" applyBorder="0" applyAlignment="0" applyProtection="0"/>
    <xf numFmtId="0" fontId="49" fillId="0" borderId="81" applyNumberFormat="0" applyBorder="0" applyAlignment="0" applyProtection="0"/>
    <xf numFmtId="0" fontId="48" fillId="27" borderId="80" applyNumberFormat="0" applyAlignment="0">
      <alignment horizontal="left" vertical="center" indent="1"/>
      <protection locked="0"/>
    </xf>
    <xf numFmtId="0" fontId="48" fillId="27" borderId="80" applyNumberFormat="0" applyAlignment="0">
      <alignment horizontal="left" vertical="center" indent="1"/>
      <protection locked="0"/>
    </xf>
    <xf numFmtId="0" fontId="48" fillId="28" borderId="80" applyNumberFormat="0" applyAlignment="0" applyProtection="0">
      <alignment horizontal="left" vertical="center" indent="1"/>
    </xf>
    <xf numFmtId="174" fontId="50" fillId="28" borderId="80" applyNumberFormat="0" applyProtection="0">
      <alignment horizontal="right" vertical="center"/>
    </xf>
    <xf numFmtId="174" fontId="51" fillId="29" borderId="79" applyNumberFormat="0" applyBorder="0">
      <alignment horizontal="right" vertical="center"/>
      <protection locked="0"/>
    </xf>
    <xf numFmtId="174" fontId="50" fillId="29" borderId="80" applyNumberFormat="0" applyBorder="0">
      <alignment horizontal="right" vertical="center"/>
      <protection locked="0"/>
    </xf>
    <xf numFmtId="174" fontId="41" fillId="0" borderId="79" applyNumberFormat="0" applyFill="0" applyBorder="0" applyAlignment="0" applyProtection="0">
      <alignment horizontal="right" vertical="center"/>
    </xf>
    <xf numFmtId="174" fontId="41" fillId="0" borderId="79" applyNumberFormat="0" applyFill="0" applyBorder="0" applyAlignment="0" applyProtection="0">
      <alignment horizontal="right" vertical="center"/>
    </xf>
    <xf numFmtId="0" fontId="47" fillId="0" borderId="83" applyNumberFormat="0" applyFont="0" applyFill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4" fontId="41" fillId="39" borderId="78" applyNumberFormat="0" applyAlignment="0" applyProtection="0">
      <alignment horizontal="left" vertical="center" indent="1"/>
    </xf>
    <xf numFmtId="174" fontId="52" fillId="39" borderId="0" applyNumberFormat="0" applyAlignment="0" applyProtection="0">
      <alignment horizontal="left" vertical="center" indent="1"/>
    </xf>
  </cellStyleXfs>
  <cellXfs count="1340">
    <xf numFmtId="0" fontId="0" fillId="0" borderId="0" xfId="0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1" applyFont="1"/>
    <xf numFmtId="49" fontId="0" fillId="0" borderId="0" xfId="0" applyNumberFormat="1"/>
    <xf numFmtId="167" fontId="1" fillId="0" borderId="0" xfId="4"/>
    <xf numFmtId="167" fontId="2" fillId="0" borderId="18" xfId="4" applyFont="1" applyBorder="1"/>
    <xf numFmtId="3" fontId="2" fillId="0" borderId="19" xfId="4" applyNumberFormat="1" applyFont="1" applyBorder="1" applyAlignment="1">
      <alignment horizontal="center"/>
    </xf>
    <xf numFmtId="169" fontId="0" fillId="0" borderId="0" xfId="0" applyNumberFormat="1"/>
    <xf numFmtId="49" fontId="9" fillId="5" borderId="1" xfId="4" applyNumberFormat="1" applyFont="1" applyFill="1" applyBorder="1"/>
    <xf numFmtId="168" fontId="9" fillId="5" borderId="1" xfId="4" applyNumberFormat="1" applyFont="1" applyFill="1" applyBorder="1" applyAlignment="1">
      <alignment horizontal="right"/>
    </xf>
    <xf numFmtId="0" fontId="2" fillId="3" borderId="7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/>
    <xf numFmtId="165" fontId="2" fillId="6" borderId="3" xfId="1" applyFont="1" applyFill="1" applyBorder="1"/>
    <xf numFmtId="0" fontId="2" fillId="5" borderId="18" xfId="0" applyFont="1" applyFill="1" applyBorder="1"/>
    <xf numFmtId="0" fontId="0" fillId="5" borderId="20" xfId="0" applyFill="1" applyBorder="1"/>
    <xf numFmtId="49" fontId="9" fillId="0" borderId="0" xfId="4" applyNumberFormat="1" applyFont="1"/>
    <xf numFmtId="49" fontId="10" fillId="0" borderId="0" xfId="4" applyNumberFormat="1" applyFont="1"/>
    <xf numFmtId="168" fontId="9" fillId="0" borderId="0" xfId="4" applyNumberFormat="1" applyFont="1" applyAlignment="1">
      <alignment horizontal="right"/>
    </xf>
    <xf numFmtId="168" fontId="11" fillId="0" borderId="0" xfId="4" applyNumberFormat="1" applyFont="1" applyAlignment="1">
      <alignment horizontal="center"/>
    </xf>
    <xf numFmtId="168" fontId="12" fillId="0" borderId="0" xfId="4" applyNumberFormat="1" applyFont="1" applyAlignment="1">
      <alignment horizontal="center"/>
    </xf>
    <xf numFmtId="168" fontId="13" fillId="0" borderId="0" xfId="4" applyNumberFormat="1" applyFont="1" applyAlignment="1">
      <alignment horizontal="center"/>
    </xf>
    <xf numFmtId="168" fontId="2" fillId="0" borderId="0" xfId="4" applyNumberFormat="1" applyFont="1"/>
    <xf numFmtId="9" fontId="2" fillId="0" borderId="0" xfId="3" applyFont="1" applyFill="1" applyBorder="1" applyAlignment="1">
      <alignment horizontal="center"/>
    </xf>
    <xf numFmtId="0" fontId="3" fillId="0" borderId="0" xfId="2" applyAlignment="1" applyProtection="1"/>
    <xf numFmtId="167" fontId="1" fillId="0" borderId="0" xfId="5"/>
    <xf numFmtId="167" fontId="1" fillId="0" borderId="0" xfId="5" applyAlignment="1">
      <alignment horizontal="center"/>
    </xf>
    <xf numFmtId="49" fontId="1" fillId="0" borderId="0" xfId="5" applyNumberFormat="1"/>
    <xf numFmtId="167" fontId="2" fillId="0" borderId="7" xfId="5" applyFont="1" applyBorder="1"/>
    <xf numFmtId="49" fontId="2" fillId="0" borderId="1" xfId="5" applyNumberFormat="1" applyFont="1" applyBorder="1" applyAlignment="1">
      <alignment horizontal="center"/>
    </xf>
    <xf numFmtId="167" fontId="2" fillId="0" borderId="0" xfId="5" applyFont="1"/>
    <xf numFmtId="167" fontId="2" fillId="0" borderId="0" xfId="5" applyFont="1" applyAlignment="1">
      <alignment horizontal="center"/>
    </xf>
    <xf numFmtId="0" fontId="0" fillId="0" borderId="0" xfId="0" applyAlignment="1">
      <alignment horizontal="center"/>
    </xf>
    <xf numFmtId="167" fontId="2" fillId="9" borderId="34" xfId="5" applyFont="1" applyFill="1" applyBorder="1"/>
    <xf numFmtId="167" fontId="2" fillId="9" borderId="35" xfId="5" applyFont="1" applyFill="1" applyBorder="1"/>
    <xf numFmtId="167" fontId="2" fillId="9" borderId="36" xfId="5" applyFont="1" applyFill="1" applyBorder="1"/>
    <xf numFmtId="167" fontId="2" fillId="0" borderId="25" xfId="5" applyFont="1" applyBorder="1" applyAlignment="1">
      <alignment horizontal="center"/>
    </xf>
    <xf numFmtId="49" fontId="2" fillId="0" borderId="7" xfId="5" applyNumberFormat="1" applyFont="1" applyBorder="1" applyAlignment="1">
      <alignment horizontal="center"/>
    </xf>
    <xf numFmtId="49" fontId="4" fillId="0" borderId="27" xfId="5" applyNumberFormat="1" applyFont="1" applyBorder="1" applyAlignment="1">
      <alignment horizontal="center"/>
    </xf>
    <xf numFmtId="49" fontId="2" fillId="0" borderId="28" xfId="5" applyNumberFormat="1" applyFont="1" applyBorder="1" applyAlignment="1">
      <alignment horizontal="center"/>
    </xf>
    <xf numFmtId="49" fontId="2" fillId="0" borderId="2" xfId="5" applyNumberFormat="1" applyFont="1" applyBorder="1" applyAlignment="1">
      <alignment horizontal="center"/>
    </xf>
    <xf numFmtId="49" fontId="2" fillId="0" borderId="10" xfId="5" applyNumberFormat="1" applyFont="1" applyBorder="1" applyAlignment="1">
      <alignment horizontal="center"/>
    </xf>
    <xf numFmtId="168" fontId="1" fillId="0" borderId="3" xfId="5" applyNumberFormat="1" applyBorder="1"/>
    <xf numFmtId="49" fontId="0" fillId="0" borderId="5" xfId="5" applyNumberFormat="1" applyFont="1" applyBorder="1"/>
    <xf numFmtId="49" fontId="0" fillId="0" borderId="22" xfId="5" applyNumberFormat="1" applyFont="1" applyBorder="1"/>
    <xf numFmtId="168" fontId="1" fillId="0" borderId="5" xfId="5" applyNumberFormat="1" applyBorder="1"/>
    <xf numFmtId="168" fontId="1" fillId="0" borderId="22" xfId="5" applyNumberFormat="1" applyBorder="1"/>
    <xf numFmtId="168" fontId="1" fillId="0" borderId="11" xfId="5" applyNumberFormat="1" applyBorder="1"/>
    <xf numFmtId="49" fontId="0" fillId="0" borderId="3" xfId="5" applyNumberFormat="1" applyFont="1" applyBorder="1"/>
    <xf numFmtId="49" fontId="1" fillId="0" borderId="3" xfId="5" applyNumberFormat="1" applyBorder="1"/>
    <xf numFmtId="49" fontId="1" fillId="0" borderId="11" xfId="5" applyNumberFormat="1" applyBorder="1"/>
    <xf numFmtId="168" fontId="0" fillId="0" borderId="31" xfId="5" applyNumberFormat="1" applyFont="1" applyBorder="1"/>
    <xf numFmtId="49" fontId="0" fillId="0" borderId="32" xfId="5" applyNumberFormat="1" applyFont="1" applyBorder="1"/>
    <xf numFmtId="49" fontId="0" fillId="0" borderId="31" xfId="5" applyNumberFormat="1" applyFont="1" applyBorder="1"/>
    <xf numFmtId="168" fontId="1" fillId="0" borderId="30" xfId="5" applyNumberFormat="1" applyBorder="1"/>
    <xf numFmtId="168" fontId="1" fillId="0" borderId="31" xfId="5" applyNumberFormat="1" applyBorder="1"/>
    <xf numFmtId="168" fontId="1" fillId="0" borderId="33" xfId="5" applyNumberFormat="1" applyBorder="1"/>
    <xf numFmtId="49" fontId="0" fillId="0" borderId="37" xfId="5" applyNumberFormat="1" applyFont="1" applyBorder="1"/>
    <xf numFmtId="49" fontId="0" fillId="0" borderId="40" xfId="5" applyNumberFormat="1" applyFont="1" applyBorder="1"/>
    <xf numFmtId="49" fontId="1" fillId="0" borderId="37" xfId="5" applyNumberFormat="1" applyBorder="1"/>
    <xf numFmtId="49" fontId="1" fillId="0" borderId="40" xfId="5" applyNumberFormat="1" applyBorder="1"/>
    <xf numFmtId="49" fontId="1" fillId="0" borderId="39" xfId="5" applyNumberFormat="1" applyBorder="1"/>
    <xf numFmtId="0" fontId="2" fillId="5" borderId="7" xfId="0" applyFont="1" applyFill="1" applyBorder="1" applyAlignment="1">
      <alignment horizontal="center"/>
    </xf>
    <xf numFmtId="0" fontId="2" fillId="5" borderId="2" xfId="0" applyFont="1" applyFill="1" applyBorder="1"/>
    <xf numFmtId="0" fontId="2" fillId="5" borderId="1" xfId="0" applyFont="1" applyFill="1" applyBorder="1" applyAlignment="1">
      <alignment horizontal="center"/>
    </xf>
    <xf numFmtId="168" fontId="2" fillId="5" borderId="2" xfId="0" applyNumberFormat="1" applyFont="1" applyFill="1" applyBorder="1"/>
    <xf numFmtId="168" fontId="2" fillId="5" borderId="7" xfId="0" applyNumberFormat="1" applyFont="1" applyFill="1" applyBorder="1"/>
    <xf numFmtId="168" fontId="2" fillId="5" borderId="1" xfId="0" applyNumberFormat="1" applyFont="1" applyFill="1" applyBorder="1"/>
    <xf numFmtId="49" fontId="2" fillId="5" borderId="7" xfId="0" applyNumberFormat="1" applyFont="1" applyFill="1" applyBorder="1"/>
    <xf numFmtId="49" fontId="2" fillId="0" borderId="0" xfId="5" applyNumberFormat="1" applyFont="1" applyAlignment="1">
      <alignment horizontal="center"/>
    </xf>
    <xf numFmtId="167" fontId="2" fillId="0" borderId="2" xfId="5" applyFont="1" applyBorder="1" applyAlignment="1">
      <alignment horizontal="center"/>
    </xf>
    <xf numFmtId="167" fontId="2" fillId="0" borderId="1" xfId="5" applyFont="1" applyBorder="1" applyAlignment="1">
      <alignment horizontal="center"/>
    </xf>
    <xf numFmtId="168" fontId="2" fillId="3" borderId="1" xfId="4" applyNumberFormat="1" applyFont="1" applyFill="1" applyBorder="1"/>
    <xf numFmtId="165" fontId="0" fillId="0" borderId="8" xfId="1" applyFont="1" applyBorder="1"/>
    <xf numFmtId="165" fontId="0" fillId="0" borderId="9" xfId="1" applyFont="1" applyBorder="1"/>
    <xf numFmtId="167" fontId="0" fillId="0" borderId="0" xfId="0" applyNumberFormat="1"/>
    <xf numFmtId="49" fontId="2" fillId="0" borderId="18" xfId="5" applyNumberFormat="1" applyFont="1" applyBorder="1" applyAlignment="1">
      <alignment horizontal="center"/>
    </xf>
    <xf numFmtId="49" fontId="4" fillId="0" borderId="36" xfId="5" applyNumberFormat="1" applyFont="1" applyBorder="1" applyAlignment="1">
      <alignment horizontal="center"/>
    </xf>
    <xf numFmtId="49" fontId="2" fillId="0" borderId="43" xfId="5" applyNumberFormat="1" applyFont="1" applyBorder="1" applyAlignment="1">
      <alignment horizontal="center"/>
    </xf>
    <xf numFmtId="167" fontId="3" fillId="0" borderId="0" xfId="2" applyNumberFormat="1"/>
    <xf numFmtId="49" fontId="10" fillId="5" borderId="1" xfId="4" applyNumberFormat="1" applyFont="1" applyFill="1" applyBorder="1"/>
    <xf numFmtId="49" fontId="0" fillId="0" borderId="29" xfId="5" applyNumberFormat="1" applyFont="1" applyBorder="1"/>
    <xf numFmtId="49" fontId="2" fillId="0" borderId="20" xfId="5" applyNumberFormat="1" applyFont="1" applyBorder="1" applyAlignment="1">
      <alignment horizontal="center"/>
    </xf>
    <xf numFmtId="49" fontId="2" fillId="0" borderId="21" xfId="5" applyNumberFormat="1" applyFont="1" applyBorder="1" applyAlignment="1">
      <alignment horizontal="center"/>
    </xf>
    <xf numFmtId="9" fontId="2" fillId="3" borderId="7" xfId="3" applyFont="1" applyFill="1" applyBorder="1" applyAlignment="1">
      <alignment horizontal="center"/>
    </xf>
    <xf numFmtId="167" fontId="2" fillId="0" borderId="34" xfId="5" applyFont="1" applyBorder="1" applyAlignment="1">
      <alignment horizontal="center"/>
    </xf>
    <xf numFmtId="167" fontId="2" fillId="0" borderId="19" xfId="5" applyFont="1" applyBorder="1" applyAlignment="1">
      <alignment horizontal="center"/>
    </xf>
    <xf numFmtId="49" fontId="2" fillId="12" borderId="18" xfId="5" applyNumberFormat="1" applyFont="1" applyFill="1" applyBorder="1" applyAlignment="1">
      <alignment horizontal="center"/>
    </xf>
    <xf numFmtId="49" fontId="2" fillId="12" borderId="20" xfId="5" applyNumberFormat="1" applyFont="1" applyFill="1" applyBorder="1" applyAlignment="1">
      <alignment horizontal="center"/>
    </xf>
    <xf numFmtId="49" fontId="2" fillId="12" borderId="21" xfId="5" applyNumberFormat="1" applyFont="1" applyFill="1" applyBorder="1" applyAlignment="1">
      <alignment horizontal="center"/>
    </xf>
    <xf numFmtId="168" fontId="1" fillId="12" borderId="22" xfId="5" applyNumberFormat="1" applyFill="1" applyBorder="1"/>
    <xf numFmtId="49" fontId="2" fillId="12" borderId="2" xfId="5" applyNumberFormat="1" applyFont="1" applyFill="1" applyBorder="1" applyAlignment="1">
      <alignment horizontal="center"/>
    </xf>
    <xf numFmtId="49" fontId="2" fillId="12" borderId="10" xfId="5" applyNumberFormat="1" applyFont="1" applyFill="1" applyBorder="1" applyAlignment="1">
      <alignment horizontal="center"/>
    </xf>
    <xf numFmtId="167" fontId="2" fillId="0" borderId="36" xfId="5" applyFont="1" applyBorder="1" applyAlignment="1">
      <alignment horizontal="center" vertical="top"/>
    </xf>
    <xf numFmtId="168" fontId="2" fillId="6" borderId="1" xfId="0" applyNumberFormat="1" applyFont="1" applyFill="1" applyBorder="1"/>
    <xf numFmtId="49" fontId="2" fillId="12" borderId="7" xfId="5" applyNumberFormat="1" applyFont="1" applyFill="1" applyBorder="1" applyAlignment="1">
      <alignment horizontal="center"/>
    </xf>
    <xf numFmtId="49" fontId="1" fillId="0" borderId="47" xfId="5" applyNumberFormat="1" applyBorder="1"/>
    <xf numFmtId="49" fontId="1" fillId="12" borderId="6" xfId="5" applyNumberFormat="1" applyFill="1" applyBorder="1"/>
    <xf numFmtId="49" fontId="1" fillId="12" borderId="29" xfId="5" applyNumberFormat="1" applyFill="1" applyBorder="1"/>
    <xf numFmtId="49" fontId="1" fillId="0" borderId="22" xfId="5" applyNumberFormat="1" applyBorder="1"/>
    <xf numFmtId="9" fontId="2" fillId="0" borderId="42" xfId="3" applyFont="1" applyFill="1" applyBorder="1" applyAlignment="1">
      <alignment horizontal="center"/>
    </xf>
    <xf numFmtId="49" fontId="2" fillId="2" borderId="19" xfId="4" applyNumberFormat="1" applyFont="1" applyFill="1" applyBorder="1"/>
    <xf numFmtId="168" fontId="2" fillId="2" borderId="19" xfId="4" applyNumberFormat="1" applyFont="1" applyFill="1" applyBorder="1"/>
    <xf numFmtId="49" fontId="7" fillId="0" borderId="41" xfId="2" applyNumberFormat="1" applyFont="1" applyFill="1" applyBorder="1" applyAlignment="1" applyProtection="1"/>
    <xf numFmtId="49" fontId="8" fillId="0" borderId="41" xfId="2" applyNumberFormat="1" applyFont="1" applyFill="1" applyBorder="1" applyAlignment="1" applyProtection="1"/>
    <xf numFmtId="49" fontId="2" fillId="0" borderId="41" xfId="4" applyNumberFormat="1" applyFont="1" applyBorder="1" applyAlignment="1">
      <alignment horizontal="right"/>
    </xf>
    <xf numFmtId="168" fontId="1" fillId="0" borderId="0" xfId="4" applyNumberFormat="1"/>
    <xf numFmtId="168" fontId="2" fillId="0" borderId="41" xfId="4" applyNumberFormat="1" applyFont="1" applyBorder="1"/>
    <xf numFmtId="49" fontId="8" fillId="3" borderId="1" xfId="2" applyNumberFormat="1" applyFont="1" applyFill="1" applyBorder="1" applyAlignment="1" applyProtection="1"/>
    <xf numFmtId="49" fontId="2" fillId="3" borderId="1" xfId="4" applyNumberFormat="1" applyFont="1" applyFill="1" applyBorder="1" applyAlignment="1">
      <alignment horizontal="right"/>
    </xf>
    <xf numFmtId="168" fontId="1" fillId="3" borderId="2" xfId="4" applyNumberFormat="1" applyFill="1" applyBorder="1"/>
    <xf numFmtId="49" fontId="17" fillId="3" borderId="1" xfId="2" applyNumberFormat="1" applyFont="1" applyFill="1" applyBorder="1" applyAlignment="1" applyProtection="1"/>
    <xf numFmtId="166" fontId="20" fillId="5" borderId="20" xfId="1" applyNumberFormat="1" applyFont="1" applyFill="1" applyBorder="1" applyAlignment="1">
      <alignment horizontal="center"/>
    </xf>
    <xf numFmtId="168" fontId="0" fillId="0" borderId="8" xfId="5" applyNumberFormat="1" applyFont="1" applyBorder="1"/>
    <xf numFmtId="170" fontId="0" fillId="0" borderId="0" xfId="0" applyNumberFormat="1"/>
    <xf numFmtId="49" fontId="17" fillId="0" borderId="41" xfId="2" applyNumberFormat="1" applyFont="1" applyFill="1" applyBorder="1" applyAlignment="1" applyProtection="1"/>
    <xf numFmtId="49" fontId="17" fillId="15" borderId="1" xfId="2" applyNumberFormat="1" applyFont="1" applyFill="1" applyBorder="1" applyAlignment="1" applyProtection="1"/>
    <xf numFmtId="49" fontId="8" fillId="15" borderId="1" xfId="2" applyNumberFormat="1" applyFont="1" applyFill="1" applyBorder="1" applyAlignment="1" applyProtection="1"/>
    <xf numFmtId="49" fontId="2" fillId="15" borderId="1" xfId="4" applyNumberFormat="1" applyFont="1" applyFill="1" applyBorder="1" applyAlignment="1">
      <alignment horizontal="right"/>
    </xf>
    <xf numFmtId="168" fontId="1" fillId="15" borderId="2" xfId="4" applyNumberFormat="1" applyFill="1" applyBorder="1"/>
    <xf numFmtId="173" fontId="0" fillId="0" borderId="0" xfId="0" applyNumberFormat="1"/>
    <xf numFmtId="21" fontId="0" fillId="0" borderId="0" xfId="0" applyNumberFormat="1"/>
    <xf numFmtId="49" fontId="17" fillId="11" borderId="1" xfId="2" applyNumberFormat="1" applyFont="1" applyFill="1" applyBorder="1" applyAlignment="1" applyProtection="1"/>
    <xf numFmtId="49" fontId="8" fillId="11" borderId="1" xfId="2" applyNumberFormat="1" applyFont="1" applyFill="1" applyBorder="1" applyAlignment="1" applyProtection="1"/>
    <xf numFmtId="49" fontId="2" fillId="11" borderId="1" xfId="4" applyNumberFormat="1" applyFont="1" applyFill="1" applyBorder="1" applyAlignment="1">
      <alignment horizontal="right"/>
    </xf>
    <xf numFmtId="168" fontId="1" fillId="11" borderId="2" xfId="4" applyNumberFormat="1" applyFill="1" applyBorder="1"/>
    <xf numFmtId="168" fontId="2" fillId="11" borderId="1" xfId="4" applyNumberFormat="1" applyFont="1" applyFill="1" applyBorder="1"/>
    <xf numFmtId="9" fontId="2" fillId="11" borderId="7" xfId="3" applyFont="1" applyFill="1" applyBorder="1" applyAlignment="1">
      <alignment horizontal="center"/>
    </xf>
    <xf numFmtId="49" fontId="2" fillId="2" borderId="18" xfId="4" applyNumberFormat="1" applyFont="1" applyFill="1" applyBorder="1"/>
    <xf numFmtId="0" fontId="2" fillId="5" borderId="1" xfId="0" applyFont="1" applyFill="1" applyBorder="1"/>
    <xf numFmtId="168" fontId="2" fillId="0" borderId="1" xfId="4" applyNumberFormat="1" applyFont="1" applyBorder="1"/>
    <xf numFmtId="9" fontId="2" fillId="0" borderId="7" xfId="3" applyFont="1" applyFill="1" applyBorder="1" applyAlignment="1">
      <alignment horizontal="center"/>
    </xf>
    <xf numFmtId="170" fontId="0" fillId="4" borderId="57" xfId="0" applyNumberFormat="1" applyFill="1" applyBorder="1" applyAlignment="1">
      <alignment horizontal="center" vertical="center"/>
    </xf>
    <xf numFmtId="170" fontId="0" fillId="7" borderId="57" xfId="0" applyNumberFormat="1" applyFill="1" applyBorder="1" applyAlignment="1">
      <alignment horizontal="center" vertical="center"/>
    </xf>
    <xf numFmtId="165" fontId="2" fillId="6" borderId="1" xfId="1" applyFont="1" applyFill="1" applyBorder="1"/>
    <xf numFmtId="170" fontId="2" fillId="5" borderId="1" xfId="0" applyNumberFormat="1" applyFont="1" applyFill="1" applyBorder="1"/>
    <xf numFmtId="171" fontId="2" fillId="6" borderId="7" xfId="1" applyNumberFormat="1" applyFont="1" applyFill="1" applyBorder="1"/>
    <xf numFmtId="49" fontId="4" fillId="0" borderId="1" xfId="5" applyNumberFormat="1" applyFont="1" applyBorder="1" applyAlignment="1">
      <alignment horizontal="center"/>
    </xf>
    <xf numFmtId="165" fontId="1" fillId="0" borderId="49" xfId="1" applyFont="1" applyBorder="1" applyAlignment="1">
      <alignment horizontal="center"/>
    </xf>
    <xf numFmtId="0" fontId="1" fillId="0" borderId="65" xfId="5" applyNumberFormat="1" applyBorder="1" applyAlignment="1">
      <alignment horizontal="center"/>
    </xf>
    <xf numFmtId="0" fontId="1" fillId="7" borderId="60" xfId="5" applyNumberFormat="1" applyFill="1" applyBorder="1" applyAlignment="1">
      <alignment horizontal="center"/>
    </xf>
    <xf numFmtId="0" fontId="1" fillId="13" borderId="60" xfId="5" applyNumberFormat="1" applyFill="1" applyBorder="1" applyAlignment="1">
      <alignment horizontal="center"/>
    </xf>
    <xf numFmtId="165" fontId="1" fillId="13" borderId="64" xfId="1" applyFont="1" applyFill="1" applyBorder="1" applyAlignment="1">
      <alignment horizontal="center"/>
    </xf>
    <xf numFmtId="0" fontId="0" fillId="13" borderId="60" xfId="5" applyNumberFormat="1" applyFont="1" applyFill="1" applyBorder="1" applyAlignment="1">
      <alignment horizontal="center"/>
    </xf>
    <xf numFmtId="49" fontId="0" fillId="12" borderId="4" xfId="5" applyNumberFormat="1" applyFont="1" applyFill="1" applyBorder="1" applyAlignment="1">
      <alignment horizontal="center"/>
    </xf>
    <xf numFmtId="49" fontId="0" fillId="0" borderId="22" xfId="5" applyNumberFormat="1" applyFont="1" applyBorder="1" applyAlignment="1">
      <alignment horizontal="center"/>
    </xf>
    <xf numFmtId="49" fontId="17" fillId="13" borderId="1" xfId="2" applyNumberFormat="1" applyFont="1" applyFill="1" applyBorder="1" applyAlignment="1" applyProtection="1"/>
    <xf numFmtId="49" fontId="17" fillId="13" borderId="7" xfId="2" applyNumberFormat="1" applyFont="1" applyFill="1" applyBorder="1" applyAlignment="1" applyProtection="1"/>
    <xf numFmtId="49" fontId="17" fillId="13" borderId="41" xfId="2" applyNumberFormat="1" applyFont="1" applyFill="1" applyBorder="1" applyAlignment="1" applyProtection="1"/>
    <xf numFmtId="167" fontId="2" fillId="0" borderId="27" xfId="5" applyFont="1" applyBorder="1" applyAlignment="1">
      <alignment horizontal="center" vertical="top"/>
    </xf>
    <xf numFmtId="167" fontId="2" fillId="9" borderId="69" xfId="5" applyFont="1" applyFill="1" applyBorder="1"/>
    <xf numFmtId="167" fontId="2" fillId="0" borderId="18" xfId="5" applyFont="1" applyBorder="1" applyAlignment="1">
      <alignment horizontal="center"/>
    </xf>
    <xf numFmtId="171" fontId="4" fillId="0" borderId="57" xfId="5" applyNumberFormat="1" applyFont="1" applyBorder="1" applyAlignment="1">
      <alignment horizontal="center"/>
    </xf>
    <xf numFmtId="171" fontId="2" fillId="0" borderId="58" xfId="5" applyNumberFormat="1" applyFont="1" applyBorder="1" applyAlignment="1">
      <alignment horizontal="center"/>
    </xf>
    <xf numFmtId="49" fontId="2" fillId="0" borderId="22" xfId="5" applyNumberFormat="1" applyFont="1" applyBorder="1" applyAlignment="1">
      <alignment horizontal="center"/>
    </xf>
    <xf numFmtId="165" fontId="1" fillId="0" borderId="4" xfId="1" applyFont="1" applyFill="1" applyBorder="1" applyAlignment="1">
      <alignment horizontal="center"/>
    </xf>
    <xf numFmtId="0" fontId="1" fillId="0" borderId="4" xfId="5" applyNumberFormat="1" applyBorder="1" applyAlignment="1">
      <alignment horizontal="center"/>
    </xf>
    <xf numFmtId="0" fontId="0" fillId="0" borderId="4" xfId="5" applyNumberFormat="1" applyFont="1" applyBorder="1" applyAlignment="1">
      <alignment horizontal="center"/>
    </xf>
    <xf numFmtId="167" fontId="2" fillId="9" borderId="10" xfId="5" applyFont="1" applyFill="1" applyBorder="1" applyAlignment="1">
      <alignment horizontal="center"/>
    </xf>
    <xf numFmtId="49" fontId="17" fillId="13" borderId="18" xfId="2" applyNumberFormat="1" applyFont="1" applyFill="1" applyBorder="1" applyAlignment="1" applyProtection="1"/>
    <xf numFmtId="49" fontId="11" fillId="5" borderId="7" xfId="4" applyNumberFormat="1" applyFont="1" applyFill="1" applyBorder="1"/>
    <xf numFmtId="49" fontId="11" fillId="0" borderId="0" xfId="4" applyNumberFormat="1" applyFont="1"/>
    <xf numFmtId="49" fontId="23" fillId="3" borderId="7" xfId="2" applyNumberFormat="1" applyFont="1" applyFill="1" applyBorder="1" applyAlignment="1" applyProtection="1"/>
    <xf numFmtId="49" fontId="23" fillId="15" borderId="7" xfId="2" applyNumberFormat="1" applyFont="1" applyFill="1" applyBorder="1" applyAlignment="1" applyProtection="1"/>
    <xf numFmtId="49" fontId="24" fillId="0" borderId="42" xfId="2" applyNumberFormat="1" applyFont="1" applyFill="1" applyBorder="1" applyAlignment="1" applyProtection="1"/>
    <xf numFmtId="49" fontId="23" fillId="11" borderId="7" xfId="2" applyNumberFormat="1" applyFont="1" applyFill="1" applyBorder="1" applyAlignment="1" applyProtection="1"/>
    <xf numFmtId="49" fontId="23" fillId="0" borderId="42" xfId="2" applyNumberFormat="1" applyFont="1" applyFill="1" applyBorder="1" applyAlignment="1" applyProtection="1"/>
    <xf numFmtId="0" fontId="1" fillId="3" borderId="7" xfId="0" applyFont="1" applyFill="1" applyBorder="1" applyAlignment="1">
      <alignment horizontal="center"/>
    </xf>
    <xf numFmtId="49" fontId="23" fillId="13" borderId="7" xfId="2" applyNumberFormat="1" applyFont="1" applyFill="1" applyBorder="1" applyAlignment="1" applyProtection="1"/>
    <xf numFmtId="49" fontId="23" fillId="13" borderId="0" xfId="2" applyNumberFormat="1" applyFont="1" applyFill="1" applyBorder="1" applyAlignment="1" applyProtection="1"/>
    <xf numFmtId="49" fontId="23" fillId="13" borderId="18" xfId="2" applyNumberFormat="1" applyFont="1" applyFill="1" applyBorder="1" applyAlignment="1" applyProtection="1"/>
    <xf numFmtId="0" fontId="1" fillId="5" borderId="18" xfId="0" applyFont="1" applyFill="1" applyBorder="1"/>
    <xf numFmtId="165" fontId="2" fillId="0" borderId="16" xfId="1" applyFont="1" applyBorder="1" applyAlignment="1">
      <alignment horizontal="center"/>
    </xf>
    <xf numFmtId="0" fontId="2" fillId="0" borderId="1" xfId="5" applyNumberFormat="1" applyFont="1" applyBorder="1"/>
    <xf numFmtId="171" fontId="25" fillId="0" borderId="0" xfId="0" applyNumberFormat="1" applyFont="1" applyAlignment="1">
      <alignment horizontal="center"/>
    </xf>
    <xf numFmtId="0" fontId="1" fillId="12" borderId="35" xfId="5" applyNumberFormat="1" applyFill="1" applyBorder="1" applyAlignment="1">
      <alignment horizontal="center"/>
    </xf>
    <xf numFmtId="0" fontId="1" fillId="13" borderId="57" xfId="5" applyNumberFormat="1" applyFill="1" applyBorder="1" applyAlignment="1">
      <alignment horizontal="center"/>
    </xf>
    <xf numFmtId="0" fontId="1" fillId="7" borderId="57" xfId="5" applyNumberFormat="1" applyFill="1" applyBorder="1" applyAlignment="1">
      <alignment horizontal="center"/>
    </xf>
    <xf numFmtId="0" fontId="26" fillId="0" borderId="41" xfId="0" applyFont="1" applyBorder="1"/>
    <xf numFmtId="49" fontId="0" fillId="0" borderId="32" xfId="5" applyNumberFormat="1" applyFont="1" applyBorder="1" applyAlignment="1">
      <alignment horizontal="center"/>
    </xf>
    <xf numFmtId="166" fontId="0" fillId="0" borderId="0" xfId="0" applyNumberFormat="1"/>
    <xf numFmtId="0" fontId="1" fillId="0" borderId="70" xfId="5" applyNumberFormat="1" applyBorder="1" applyAlignment="1">
      <alignment horizontal="center"/>
    </xf>
    <xf numFmtId="0" fontId="1" fillId="13" borderId="71" xfId="5" applyNumberFormat="1" applyFill="1" applyBorder="1" applyAlignment="1">
      <alignment horizontal="center"/>
    </xf>
    <xf numFmtId="0" fontId="1" fillId="13" borderId="58" xfId="5" applyNumberFormat="1" applyFill="1" applyBorder="1" applyAlignment="1">
      <alignment horizontal="center"/>
    </xf>
    <xf numFmtId="165" fontId="1" fillId="0" borderId="62" xfId="1" applyFont="1" applyBorder="1" applyAlignment="1">
      <alignment horizontal="center"/>
    </xf>
    <xf numFmtId="165" fontId="1" fillId="13" borderId="66" xfId="1" applyFont="1" applyFill="1" applyBorder="1" applyAlignment="1">
      <alignment horizontal="center"/>
    </xf>
    <xf numFmtId="165" fontId="1" fillId="13" borderId="16" xfId="1" applyFont="1" applyFill="1" applyBorder="1" applyAlignment="1">
      <alignment horizontal="center"/>
    </xf>
    <xf numFmtId="165" fontId="1" fillId="13" borderId="62" xfId="1" applyFont="1" applyFill="1" applyBorder="1" applyAlignment="1">
      <alignment horizontal="center"/>
    </xf>
    <xf numFmtId="165" fontId="1" fillId="0" borderId="66" xfId="1" applyFont="1" applyBorder="1" applyAlignment="1">
      <alignment horizontal="center"/>
    </xf>
    <xf numFmtId="165" fontId="1" fillId="12" borderId="34" xfId="1" applyFont="1" applyFill="1" applyBorder="1" applyAlignment="1">
      <alignment horizontal="center"/>
    </xf>
    <xf numFmtId="0" fontId="0" fillId="12" borderId="35" xfId="5" applyNumberFormat="1" applyFont="1" applyFill="1" applyBorder="1" applyAlignment="1">
      <alignment horizontal="center"/>
    </xf>
    <xf numFmtId="0" fontId="1" fillId="12" borderId="21" xfId="5" applyNumberFormat="1" applyFill="1" applyBorder="1" applyAlignment="1">
      <alignment horizontal="center"/>
    </xf>
    <xf numFmtId="165" fontId="1" fillId="7" borderId="49" xfId="1" applyFont="1" applyFill="1" applyBorder="1" applyAlignment="1">
      <alignment horizontal="center"/>
    </xf>
    <xf numFmtId="0" fontId="1" fillId="7" borderId="50" xfId="5" applyNumberFormat="1" applyFill="1" applyBorder="1" applyAlignment="1">
      <alignment horizontal="center"/>
    </xf>
    <xf numFmtId="165" fontId="1" fillId="7" borderId="51" xfId="1" applyFont="1" applyFill="1" applyBorder="1" applyAlignment="1">
      <alignment horizontal="center"/>
    </xf>
    <xf numFmtId="0" fontId="0" fillId="7" borderId="52" xfId="5" applyNumberFormat="1" applyFont="1" applyFill="1" applyBorder="1" applyAlignment="1">
      <alignment horizontal="center"/>
    </xf>
    <xf numFmtId="165" fontId="1" fillId="12" borderId="49" xfId="1" applyFont="1" applyFill="1" applyBorder="1" applyAlignment="1">
      <alignment horizontal="center"/>
    </xf>
    <xf numFmtId="165" fontId="1" fillId="13" borderId="49" xfId="1" applyFont="1" applyFill="1" applyBorder="1" applyAlignment="1">
      <alignment horizontal="center"/>
    </xf>
    <xf numFmtId="0" fontId="1" fillId="13" borderId="50" xfId="5" applyNumberFormat="1" applyFill="1" applyBorder="1" applyAlignment="1">
      <alignment horizontal="center"/>
    </xf>
    <xf numFmtId="0" fontId="1" fillId="13" borderId="52" xfId="5" applyNumberFormat="1" applyFill="1" applyBorder="1" applyAlignment="1">
      <alignment horizontal="center"/>
    </xf>
    <xf numFmtId="172" fontId="19" fillId="0" borderId="7" xfId="3" applyNumberFormat="1" applyFont="1" applyBorder="1"/>
    <xf numFmtId="172" fontId="19" fillId="0" borderId="18" xfId="3" applyNumberFormat="1" applyFont="1" applyFill="1" applyBorder="1"/>
    <xf numFmtId="172" fontId="19" fillId="0" borderId="7" xfId="3" applyNumberFormat="1" applyFont="1" applyFill="1" applyBorder="1"/>
    <xf numFmtId="172" fontId="19" fillId="0" borderId="42" xfId="3" applyNumberFormat="1" applyFont="1" applyFill="1" applyBorder="1"/>
    <xf numFmtId="169" fontId="25" fillId="0" borderId="56" xfId="0" applyNumberFormat="1" applyFont="1" applyBorder="1"/>
    <xf numFmtId="171" fontId="25" fillId="16" borderId="2" xfId="0" applyNumberFormat="1" applyFont="1" applyFill="1" applyBorder="1" applyAlignment="1">
      <alignment horizontal="center"/>
    </xf>
    <xf numFmtId="169" fontId="25" fillId="16" borderId="10" xfId="0" applyNumberFormat="1" applyFont="1" applyFill="1" applyBorder="1"/>
    <xf numFmtId="171" fontId="27" fillId="16" borderId="1" xfId="0" applyNumberFormat="1" applyFont="1" applyFill="1" applyBorder="1" applyAlignment="1">
      <alignment horizontal="center"/>
    </xf>
    <xf numFmtId="171" fontId="27" fillId="0" borderId="41" xfId="0" applyNumberFormat="1" applyFont="1" applyBorder="1" applyAlignment="1">
      <alignment horizontal="center"/>
    </xf>
    <xf numFmtId="169" fontId="27" fillId="16" borderId="1" xfId="0" applyNumberFormat="1" applyFont="1" applyFill="1" applyBorder="1"/>
    <xf numFmtId="169" fontId="27" fillId="0" borderId="41" xfId="0" applyNumberFormat="1" applyFont="1" applyBorder="1"/>
    <xf numFmtId="0" fontId="2" fillId="14" borderId="4" xfId="5" applyNumberFormat="1" applyFont="1" applyFill="1" applyBorder="1" applyAlignment="1">
      <alignment horizontal="center"/>
    </xf>
    <xf numFmtId="165" fontId="1" fillId="7" borderId="3" xfId="1" applyFont="1" applyFill="1" applyBorder="1" applyAlignment="1">
      <alignment horizontal="center"/>
    </xf>
    <xf numFmtId="49" fontId="1" fillId="7" borderId="3" xfId="5" applyNumberFormat="1" applyFill="1" applyBorder="1" applyAlignment="1">
      <alignment horizontal="center"/>
    </xf>
    <xf numFmtId="165" fontId="1" fillId="12" borderId="4" xfId="1" applyFont="1" applyFill="1" applyBorder="1" applyAlignment="1">
      <alignment horizontal="center"/>
    </xf>
    <xf numFmtId="49" fontId="1" fillId="12" borderId="4" xfId="5" applyNumberFormat="1" applyFill="1" applyBorder="1" applyAlignment="1">
      <alignment horizontal="center"/>
    </xf>
    <xf numFmtId="165" fontId="1" fillId="13" borderId="4" xfId="1" applyFont="1" applyFill="1" applyBorder="1" applyAlignment="1">
      <alignment horizontal="center"/>
    </xf>
    <xf numFmtId="0" fontId="1" fillId="13" borderId="4" xfId="5" applyNumberFormat="1" applyFill="1" applyBorder="1" applyAlignment="1">
      <alignment horizontal="center"/>
    </xf>
    <xf numFmtId="0" fontId="14" fillId="0" borderId="0" xfId="0" applyFont="1"/>
    <xf numFmtId="0" fontId="30" fillId="0" borderId="0" xfId="0" applyFont="1"/>
    <xf numFmtId="172" fontId="19" fillId="0" borderId="0" xfId="3" applyNumberFormat="1" applyFont="1" applyFill="1" applyBorder="1"/>
    <xf numFmtId="171" fontId="27" fillId="0" borderId="0" xfId="0" applyNumberFormat="1" applyFont="1" applyAlignment="1">
      <alignment horizontal="center"/>
    </xf>
    <xf numFmtId="169" fontId="27" fillId="0" borderId="0" xfId="0" applyNumberFormat="1" applyFont="1"/>
    <xf numFmtId="169" fontId="25" fillId="0" borderId="0" xfId="0" applyNumberFormat="1" applyFont="1"/>
    <xf numFmtId="49" fontId="31" fillId="2" borderId="26" xfId="4" applyNumberFormat="1" applyFont="1" applyFill="1" applyBorder="1"/>
    <xf numFmtId="49" fontId="16" fillId="2" borderId="26" xfId="4" applyNumberFormat="1" applyFont="1" applyFill="1" applyBorder="1"/>
    <xf numFmtId="168" fontId="16" fillId="2" borderId="26" xfId="4" applyNumberFormat="1" applyFont="1" applyFill="1" applyBorder="1" applyAlignment="1">
      <alignment horizontal="right"/>
    </xf>
    <xf numFmtId="168" fontId="31" fillId="2" borderId="26" xfId="4" applyNumberFormat="1" applyFont="1" applyFill="1" applyBorder="1" applyAlignment="1">
      <alignment horizontal="center"/>
    </xf>
    <xf numFmtId="168" fontId="16" fillId="2" borderId="26" xfId="4" applyNumberFormat="1" applyFont="1" applyFill="1" applyBorder="1" applyAlignment="1">
      <alignment horizontal="center"/>
    </xf>
    <xf numFmtId="168" fontId="4" fillId="2" borderId="26" xfId="4" applyNumberFormat="1" applyFont="1" applyFill="1" applyBorder="1"/>
    <xf numFmtId="9" fontId="4" fillId="2" borderId="26" xfId="3" applyFont="1" applyFill="1" applyBorder="1" applyAlignment="1">
      <alignment horizontal="center"/>
    </xf>
    <xf numFmtId="172" fontId="4" fillId="2" borderId="26" xfId="3" applyNumberFormat="1" applyFont="1" applyFill="1" applyBorder="1"/>
    <xf numFmtId="171" fontId="32" fillId="2" borderId="26" xfId="0" applyNumberFormat="1" applyFont="1" applyFill="1" applyBorder="1" applyAlignment="1">
      <alignment horizontal="center"/>
    </xf>
    <xf numFmtId="169" fontId="32" fillId="2" borderId="26" xfId="0" applyNumberFormat="1" applyFont="1" applyFill="1" applyBorder="1"/>
    <xf numFmtId="169" fontId="32" fillId="2" borderId="28" xfId="0" applyNumberFormat="1" applyFont="1" applyFill="1" applyBorder="1"/>
    <xf numFmtId="167" fontId="3" fillId="0" borderId="0" xfId="2" applyNumberFormat="1" applyAlignment="1" applyProtection="1"/>
    <xf numFmtId="167" fontId="0" fillId="0" borderId="0" xfId="0" applyNumberFormat="1" applyAlignment="1">
      <alignment horizontal="right"/>
    </xf>
    <xf numFmtId="167" fontId="0" fillId="0" borderId="0" xfId="8" applyNumberFormat="1" applyFont="1"/>
    <xf numFmtId="49" fontId="0" fillId="0" borderId="0" xfId="0" applyNumberFormat="1" applyAlignment="1">
      <alignment horizontal="left"/>
    </xf>
    <xf numFmtId="167" fontId="2" fillId="0" borderId="1" xfId="0" applyNumberFormat="1" applyFont="1" applyBorder="1"/>
    <xf numFmtId="167" fontId="2" fillId="3" borderId="1" xfId="0" applyNumberFormat="1" applyFont="1" applyFill="1" applyBorder="1"/>
    <xf numFmtId="167" fontId="7" fillId="0" borderId="29" xfId="2" applyNumberFormat="1" applyFont="1" applyBorder="1" applyAlignment="1" applyProtection="1"/>
    <xf numFmtId="167" fontId="7" fillId="0" borderId="9" xfId="2" applyNumberFormat="1" applyFont="1" applyBorder="1" applyAlignment="1" applyProtection="1"/>
    <xf numFmtId="167" fontId="7" fillId="0" borderId="46" xfId="2" applyNumberFormat="1" applyFont="1" applyBorder="1" applyAlignment="1" applyProtection="1"/>
    <xf numFmtId="167" fontId="7" fillId="0" borderId="45" xfId="2" applyNumberFormat="1" applyFont="1" applyBorder="1" applyAlignment="1" applyProtection="1"/>
    <xf numFmtId="167" fontId="33" fillId="6" borderId="30" xfId="2" applyNumberFormat="1" applyFont="1" applyFill="1" applyBorder="1" applyAlignment="1" applyProtection="1"/>
    <xf numFmtId="167" fontId="0" fillId="0" borderId="3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167" fontId="0" fillId="0" borderId="17" xfId="0" applyNumberFormat="1" applyBorder="1"/>
    <xf numFmtId="49" fontId="0" fillId="0" borderId="17" xfId="0" applyNumberFormat="1" applyBorder="1"/>
    <xf numFmtId="167" fontId="0" fillId="0" borderId="0" xfId="0" pivotButton="1" applyNumberFormat="1"/>
    <xf numFmtId="167" fontId="0" fillId="0" borderId="0" xfId="0" pivotButton="1" applyNumberFormat="1" applyAlignment="1">
      <alignment horizontal="right"/>
    </xf>
    <xf numFmtId="168" fontId="2" fillId="0" borderId="4" xfId="0" applyNumberFormat="1" applyFont="1" applyBorder="1"/>
    <xf numFmtId="168" fontId="2" fillId="0" borderId="17" xfId="0" applyNumberFormat="1" applyFont="1" applyBorder="1"/>
    <xf numFmtId="168" fontId="2" fillId="0" borderId="23" xfId="0" applyNumberFormat="1" applyFont="1" applyBorder="1"/>
    <xf numFmtId="168" fontId="4" fillId="6" borderId="31" xfId="0" applyNumberFormat="1" applyFont="1" applyFill="1" applyBorder="1"/>
    <xf numFmtId="49" fontId="3" fillId="2" borderId="25" xfId="2" applyNumberFormat="1" applyFill="1" applyBorder="1"/>
    <xf numFmtId="0" fontId="14" fillId="6" borderId="34" xfId="0" applyFont="1" applyFill="1" applyBorder="1"/>
    <xf numFmtId="0" fontId="14" fillId="6" borderId="69" xfId="0" applyFont="1" applyFill="1" applyBorder="1"/>
    <xf numFmtId="166" fontId="16" fillId="6" borderId="35" xfId="1" applyNumberFormat="1" applyFont="1" applyFill="1" applyBorder="1"/>
    <xf numFmtId="0" fontId="0" fillId="6" borderId="36" xfId="0" applyFill="1" applyBorder="1"/>
    <xf numFmtId="170" fontId="2" fillId="6" borderId="41" xfId="0" applyNumberFormat="1" applyFont="1" applyFill="1" applyBorder="1" applyAlignment="1">
      <alignment horizontal="center" vertical="center"/>
    </xf>
    <xf numFmtId="170" fontId="2" fillId="8" borderId="41" xfId="0" applyNumberFormat="1" applyFont="1" applyFill="1" applyBorder="1" applyAlignment="1">
      <alignment horizontal="center" vertical="center"/>
    </xf>
    <xf numFmtId="165" fontId="2" fillId="6" borderId="41" xfId="1" applyFont="1" applyFill="1" applyBorder="1"/>
    <xf numFmtId="0" fontId="14" fillId="2" borderId="26" xfId="0" applyFont="1" applyFill="1" applyBorder="1"/>
    <xf numFmtId="166" fontId="16" fillId="2" borderId="26" xfId="1" applyNumberFormat="1" applyFont="1" applyFill="1" applyBorder="1"/>
    <xf numFmtId="0" fontId="0" fillId="2" borderId="26" xfId="0" applyFill="1" applyBorder="1"/>
    <xf numFmtId="170" fontId="2" fillId="2" borderId="26" xfId="0" applyNumberFormat="1" applyFont="1" applyFill="1" applyBorder="1" applyAlignment="1">
      <alignment horizontal="center" vertical="center"/>
    </xf>
    <xf numFmtId="165" fontId="2" fillId="2" borderId="28" xfId="1" applyFont="1" applyFill="1" applyBorder="1"/>
    <xf numFmtId="0" fontId="3" fillId="2" borderId="25" xfId="2" applyFill="1" applyBorder="1"/>
    <xf numFmtId="167" fontId="2" fillId="11" borderId="7" xfId="0" applyNumberFormat="1" applyFont="1" applyFill="1" applyBorder="1"/>
    <xf numFmtId="170" fontId="2" fillId="8" borderId="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171" fontId="2" fillId="6" borderId="1" xfId="1" applyNumberFormat="1" applyFont="1" applyFill="1" applyBorder="1"/>
    <xf numFmtId="170" fontId="2" fillId="5" borderId="11" xfId="0" applyNumberFormat="1" applyFont="1" applyFill="1" applyBorder="1"/>
    <xf numFmtId="170" fontId="0" fillId="4" borderId="51" xfId="0" applyNumberFormat="1" applyFill="1" applyBorder="1" applyAlignment="1">
      <alignment horizontal="center" vertical="center"/>
    </xf>
    <xf numFmtId="170" fontId="0" fillId="4" borderId="52" xfId="0" applyNumberFormat="1" applyFill="1" applyBorder="1" applyAlignment="1">
      <alignment horizontal="center" vertical="center"/>
    </xf>
    <xf numFmtId="170" fontId="0" fillId="7" borderId="51" xfId="0" applyNumberFormat="1" applyFill="1" applyBorder="1" applyAlignment="1">
      <alignment horizontal="center" vertical="center"/>
    </xf>
    <xf numFmtId="170" fontId="0" fillId="7" borderId="52" xfId="0" applyNumberFormat="1" applyFill="1" applyBorder="1" applyAlignment="1">
      <alignment horizontal="center" vertical="center"/>
    </xf>
    <xf numFmtId="166" fontId="14" fillId="16" borderId="1" xfId="5" applyNumberFormat="1" applyFont="1" applyFill="1" applyBorder="1" applyAlignment="1">
      <alignment horizontal="center"/>
    </xf>
    <xf numFmtId="166" fontId="14" fillId="16" borderId="31" xfId="5" applyNumberFormat="1" applyFont="1" applyFill="1" applyBorder="1" applyAlignment="1">
      <alignment horizontal="center"/>
    </xf>
    <xf numFmtId="167" fontId="2" fillId="0" borderId="7" xfId="5" applyFont="1" applyBorder="1" applyAlignment="1">
      <alignment horizontal="center"/>
    </xf>
    <xf numFmtId="167" fontId="2" fillId="9" borderId="19" xfId="5" applyFont="1" applyFill="1" applyBorder="1"/>
    <xf numFmtId="165" fontId="1" fillId="0" borderId="16" xfId="1" applyFont="1" applyBorder="1" applyAlignment="1">
      <alignment horizontal="center"/>
    </xf>
    <xf numFmtId="165" fontId="1" fillId="12" borderId="51" xfId="1" applyFont="1" applyFill="1" applyBorder="1" applyAlignment="1">
      <alignment horizontal="center"/>
    </xf>
    <xf numFmtId="165" fontId="1" fillId="0" borderId="51" xfId="1" applyFont="1" applyBorder="1" applyAlignment="1">
      <alignment horizontal="center"/>
    </xf>
    <xf numFmtId="165" fontId="1" fillId="0" borderId="53" xfId="1" applyFont="1" applyBorder="1" applyAlignment="1">
      <alignment horizontal="center"/>
    </xf>
    <xf numFmtId="166" fontId="2" fillId="0" borderId="2" xfId="5" applyNumberFormat="1" applyFont="1" applyBorder="1" applyAlignment="1">
      <alignment horizontal="center"/>
    </xf>
    <xf numFmtId="166" fontId="14" fillId="16" borderId="4" xfId="5" applyNumberFormat="1" applyFont="1" applyFill="1" applyBorder="1" applyAlignment="1">
      <alignment horizontal="center"/>
    </xf>
    <xf numFmtId="166" fontId="14" fillId="16" borderId="17" xfId="5" applyNumberFormat="1" applyFont="1" applyFill="1" applyBorder="1" applyAlignment="1">
      <alignment horizontal="center"/>
    </xf>
    <xf numFmtId="166" fontId="34" fillId="16" borderId="4" xfId="5" applyNumberFormat="1" applyFont="1" applyFill="1" applyBorder="1" applyAlignment="1">
      <alignment horizontal="center"/>
    </xf>
    <xf numFmtId="166" fontId="34" fillId="16" borderId="17" xfId="5" applyNumberFormat="1" applyFont="1" applyFill="1" applyBorder="1" applyAlignment="1">
      <alignment horizontal="center"/>
    </xf>
    <xf numFmtId="166" fontId="34" fillId="16" borderId="1" xfId="5" applyNumberFormat="1" applyFont="1" applyFill="1" applyBorder="1" applyAlignment="1">
      <alignment horizontal="center"/>
    </xf>
    <xf numFmtId="49" fontId="17" fillId="0" borderId="1" xfId="2" applyNumberFormat="1" applyFont="1" applyFill="1" applyBorder="1" applyAlignment="1" applyProtection="1"/>
    <xf numFmtId="49" fontId="23" fillId="0" borderId="7" xfId="2" applyNumberFormat="1" applyFont="1" applyFill="1" applyBorder="1" applyAlignment="1" applyProtection="1"/>
    <xf numFmtId="49" fontId="8" fillId="0" borderId="1" xfId="2" applyNumberFormat="1" applyFont="1" applyFill="1" applyBorder="1" applyAlignment="1" applyProtection="1"/>
    <xf numFmtId="171" fontId="27" fillId="0" borderId="1" xfId="0" applyNumberFormat="1" applyFont="1" applyBorder="1" applyAlignment="1">
      <alignment horizontal="center"/>
    </xf>
    <xf numFmtId="171" fontId="25" fillId="0" borderId="2" xfId="0" applyNumberFormat="1" applyFont="1" applyBorder="1" applyAlignment="1">
      <alignment horizontal="center"/>
    </xf>
    <xf numFmtId="169" fontId="27" fillId="0" borderId="1" xfId="0" applyNumberFormat="1" applyFont="1" applyBorder="1"/>
    <xf numFmtId="169" fontId="25" fillId="0" borderId="10" xfId="0" applyNumberFormat="1" applyFont="1" applyBorder="1"/>
    <xf numFmtId="0" fontId="0" fillId="7" borderId="60" xfId="5" applyNumberFormat="1" applyFont="1" applyFill="1" applyBorder="1" applyAlignment="1">
      <alignment horizontal="center"/>
    </xf>
    <xf numFmtId="0" fontId="0" fillId="7" borderId="57" xfId="5" applyNumberFormat="1" applyFont="1" applyFill="1" applyBorder="1" applyAlignment="1">
      <alignment horizontal="center"/>
    </xf>
    <xf numFmtId="0" fontId="0" fillId="2" borderId="2" xfId="0" applyFill="1" applyBorder="1"/>
    <xf numFmtId="0" fontId="0" fillId="2" borderId="10" xfId="0" applyFill="1" applyBorder="1"/>
    <xf numFmtId="0" fontId="28" fillId="0" borderId="41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8" fillId="0" borderId="41" xfId="0" applyFont="1" applyBorder="1"/>
    <xf numFmtId="0" fontId="29" fillId="0" borderId="56" xfId="0" applyFont="1" applyBorder="1"/>
    <xf numFmtId="9" fontId="14" fillId="0" borderId="19" xfId="3" applyFont="1" applyBorder="1" applyAlignment="1">
      <alignment horizontal="center"/>
    </xf>
    <xf numFmtId="167" fontId="2" fillId="2" borderId="56" xfId="4" applyFont="1" applyFill="1" applyBorder="1"/>
    <xf numFmtId="0" fontId="2" fillId="2" borderId="42" xfId="0" applyFont="1" applyFill="1" applyBorder="1" applyAlignment="1">
      <alignment horizontal="center"/>
    </xf>
    <xf numFmtId="167" fontId="1" fillId="20" borderId="7" xfId="4" applyFill="1" applyBorder="1"/>
    <xf numFmtId="167" fontId="1" fillId="20" borderId="2" xfId="4" applyFill="1" applyBorder="1"/>
    <xf numFmtId="0" fontId="2" fillId="20" borderId="10" xfId="0" applyFont="1" applyFill="1" applyBorder="1" applyAlignment="1">
      <alignment horizontal="center"/>
    </xf>
    <xf numFmtId="49" fontId="6" fillId="7" borderId="1" xfId="4" applyNumberFormat="1" applyFont="1" applyFill="1" applyBorder="1" applyAlignment="1">
      <alignment horizontal="center"/>
    </xf>
    <xf numFmtId="49" fontId="6" fillId="7" borderId="20" xfId="4" applyNumberFormat="1" applyFont="1" applyFill="1" applyBorder="1" applyAlignment="1">
      <alignment horizontal="center"/>
    </xf>
    <xf numFmtId="167" fontId="5" fillId="7" borderId="20" xfId="4" applyFont="1" applyFill="1" applyBorder="1"/>
    <xf numFmtId="171" fontId="2" fillId="5" borderId="10" xfId="0" applyNumberFormat="1" applyFont="1" applyFill="1" applyBorder="1" applyAlignment="1">
      <alignment horizontal="center"/>
    </xf>
    <xf numFmtId="168" fontId="4" fillId="5" borderId="2" xfId="5" applyNumberFormat="1" applyFont="1" applyFill="1" applyBorder="1" applyAlignment="1">
      <alignment horizontal="center"/>
    </xf>
    <xf numFmtId="165" fontId="2" fillId="0" borderId="15" xfId="1" applyFont="1" applyBorder="1" applyAlignment="1">
      <alignment horizontal="center"/>
    </xf>
    <xf numFmtId="171" fontId="4" fillId="0" borderId="77" xfId="5" applyNumberFormat="1" applyFont="1" applyBorder="1" applyAlignment="1">
      <alignment horizontal="center"/>
    </xf>
    <xf numFmtId="171" fontId="2" fillId="0" borderId="59" xfId="5" applyNumberFormat="1" applyFont="1" applyBorder="1" applyAlignment="1">
      <alignment horizontal="center"/>
    </xf>
    <xf numFmtId="167" fontId="14" fillId="16" borderId="1" xfId="5" applyFont="1" applyFill="1" applyBorder="1" applyAlignment="1">
      <alignment horizontal="center"/>
    </xf>
    <xf numFmtId="49" fontId="14" fillId="0" borderId="1" xfId="5" applyNumberFormat="1" applyFont="1" applyBorder="1" applyAlignment="1">
      <alignment horizontal="center"/>
    </xf>
    <xf numFmtId="171" fontId="14" fillId="0" borderId="3" xfId="5" applyNumberFormat="1" applyFont="1" applyBorder="1" applyAlignment="1">
      <alignment horizontal="center"/>
    </xf>
    <xf numFmtId="0" fontId="2" fillId="0" borderId="1" xfId="5" applyNumberFormat="1" applyFont="1" applyBorder="1" applyAlignment="1">
      <alignment horizontal="center"/>
    </xf>
    <xf numFmtId="167" fontId="2" fillId="13" borderId="1" xfId="0" applyNumberFormat="1" applyFont="1" applyFill="1" applyBorder="1"/>
    <xf numFmtId="49" fontId="2" fillId="13" borderId="1" xfId="0" applyNumberFormat="1" applyFont="1" applyFill="1" applyBorder="1"/>
    <xf numFmtId="2" fontId="2" fillId="15" borderId="1" xfId="0" applyNumberFormat="1" applyFont="1" applyFill="1" applyBorder="1"/>
    <xf numFmtId="49" fontId="2" fillId="15" borderId="1" xfId="0" applyNumberFormat="1" applyFont="1" applyFill="1" applyBorder="1"/>
    <xf numFmtId="168" fontId="9" fillId="5" borderId="2" xfId="4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3" fontId="2" fillId="0" borderId="1" xfId="5" applyNumberFormat="1" applyFont="1" applyBorder="1" applyAlignment="1">
      <alignment horizontal="center"/>
    </xf>
    <xf numFmtId="165" fontId="1" fillId="25" borderId="34" xfId="1" applyFont="1" applyFill="1" applyBorder="1" applyAlignment="1">
      <alignment horizontal="center"/>
    </xf>
    <xf numFmtId="0" fontId="1" fillId="25" borderId="35" xfId="5" applyNumberFormat="1" applyFill="1" applyBorder="1" applyAlignment="1">
      <alignment horizontal="center"/>
    </xf>
    <xf numFmtId="0" fontId="1" fillId="25" borderId="43" xfId="5" applyNumberFormat="1" applyFill="1" applyBorder="1" applyAlignment="1">
      <alignment horizontal="center"/>
    </xf>
    <xf numFmtId="0" fontId="1" fillId="25" borderId="21" xfId="5" applyNumberFormat="1" applyFill="1" applyBorder="1" applyAlignment="1">
      <alignment horizontal="center"/>
    </xf>
    <xf numFmtId="165" fontId="1" fillId="25" borderId="69" xfId="1" applyFont="1" applyFill="1" applyBorder="1" applyAlignment="1">
      <alignment horizontal="center"/>
    </xf>
    <xf numFmtId="0" fontId="1" fillId="25" borderId="36" xfId="5" applyNumberFormat="1" applyFill="1" applyBorder="1" applyAlignment="1">
      <alignment horizontal="center"/>
    </xf>
    <xf numFmtId="166" fontId="14" fillId="25" borderId="1" xfId="5" applyNumberFormat="1" applyFont="1" applyFill="1" applyBorder="1" applyAlignment="1">
      <alignment horizontal="center"/>
    </xf>
    <xf numFmtId="166" fontId="34" fillId="25" borderId="1" xfId="5" applyNumberFormat="1" applyFont="1" applyFill="1" applyBorder="1" applyAlignment="1">
      <alignment horizontal="center"/>
    </xf>
    <xf numFmtId="166" fontId="2" fillId="25" borderId="2" xfId="5" applyNumberFormat="1" applyFont="1" applyFill="1" applyBorder="1" applyAlignment="1">
      <alignment horizontal="center"/>
    </xf>
    <xf numFmtId="166" fontId="4" fillId="25" borderId="1" xfId="5" applyNumberFormat="1" applyFont="1" applyFill="1" applyBorder="1" applyAlignment="1">
      <alignment horizontal="center"/>
    </xf>
    <xf numFmtId="165" fontId="1" fillId="25" borderId="25" xfId="1" applyFont="1" applyFill="1" applyBorder="1" applyAlignment="1">
      <alignment horizontal="center"/>
    </xf>
    <xf numFmtId="0" fontId="1" fillId="13" borderId="73" xfId="5" applyNumberFormat="1" applyFill="1" applyBorder="1" applyAlignment="1">
      <alignment horizontal="center"/>
    </xf>
    <xf numFmtId="165" fontId="1" fillId="7" borderId="74" xfId="1" applyFont="1" applyFill="1" applyBorder="1" applyAlignment="1">
      <alignment horizontal="center"/>
    </xf>
    <xf numFmtId="0" fontId="1" fillId="7" borderId="73" xfId="5" applyNumberFormat="1" applyFill="1" applyBorder="1" applyAlignment="1">
      <alignment horizontal="center"/>
    </xf>
    <xf numFmtId="0" fontId="0" fillId="7" borderId="76" xfId="5" applyNumberFormat="1" applyFont="1" applyFill="1" applyBorder="1" applyAlignment="1">
      <alignment horizontal="center"/>
    </xf>
    <xf numFmtId="165" fontId="1" fillId="13" borderId="14" xfId="1" applyFont="1" applyFill="1" applyBorder="1" applyAlignment="1">
      <alignment horizontal="center"/>
    </xf>
    <xf numFmtId="0" fontId="1" fillId="13" borderId="75" xfId="5" applyNumberFormat="1" applyFill="1" applyBorder="1" applyAlignment="1">
      <alignment horizontal="center"/>
    </xf>
    <xf numFmtId="0" fontId="0" fillId="13" borderId="73" xfId="5" applyNumberFormat="1" applyFont="1" applyFill="1" applyBorder="1" applyAlignment="1">
      <alignment horizontal="center"/>
    </xf>
    <xf numFmtId="49" fontId="1" fillId="13" borderId="7" xfId="4" applyNumberFormat="1" applyFill="1" applyBorder="1" applyAlignment="1">
      <alignment horizontal="right"/>
    </xf>
    <xf numFmtId="49" fontId="1" fillId="13" borderId="42" xfId="4" applyNumberFormat="1" applyFill="1" applyBorder="1" applyAlignment="1">
      <alignment horizontal="right"/>
    </xf>
    <xf numFmtId="49" fontId="21" fillId="13" borderId="7" xfId="2" applyNumberFormat="1" applyFont="1" applyFill="1" applyBorder="1" applyAlignment="1" applyProtection="1">
      <alignment horizontal="right"/>
    </xf>
    <xf numFmtId="170" fontId="2" fillId="6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1" fillId="0" borderId="3" xfId="1" applyBorder="1"/>
    <xf numFmtId="165" fontId="4" fillId="0" borderId="3" xfId="1" applyFont="1" applyBorder="1" applyAlignment="1">
      <alignment horizontal="center"/>
    </xf>
    <xf numFmtId="165" fontId="4" fillId="0" borderId="31" xfId="1" applyFont="1" applyBorder="1" applyAlignment="1">
      <alignment horizontal="center"/>
    </xf>
    <xf numFmtId="165" fontId="2" fillId="5" borderId="2" xfId="1" applyFont="1" applyFill="1" applyBorder="1"/>
    <xf numFmtId="165" fontId="4" fillId="5" borderId="1" xfId="1" applyFont="1" applyFill="1" applyBorder="1" applyAlignment="1">
      <alignment horizontal="center"/>
    </xf>
    <xf numFmtId="165" fontId="2" fillId="5" borderId="10" xfId="1" applyFont="1" applyFill="1" applyBorder="1"/>
    <xf numFmtId="165" fontId="1" fillId="0" borderId="11" xfId="1" applyBorder="1"/>
    <xf numFmtId="165" fontId="1" fillId="0" borderId="37" xfId="1" applyBorder="1"/>
    <xf numFmtId="165" fontId="0" fillId="0" borderId="22" xfId="1" quotePrefix="1" applyFont="1" applyBorder="1" applyAlignment="1">
      <alignment horizontal="center"/>
    </xf>
    <xf numFmtId="165" fontId="0" fillId="0" borderId="41" xfId="1" quotePrefix="1" applyFont="1" applyBorder="1" applyAlignment="1">
      <alignment horizontal="center"/>
    </xf>
    <xf numFmtId="165" fontId="2" fillId="5" borderId="1" xfId="1" applyFont="1" applyFill="1" applyBorder="1" applyAlignment="1">
      <alignment horizontal="center"/>
    </xf>
    <xf numFmtId="49" fontId="3" fillId="13" borderId="1" xfId="2" applyNumberFormat="1" applyFill="1" applyBorder="1" applyAlignment="1" applyProtection="1"/>
    <xf numFmtId="49" fontId="2" fillId="13" borderId="7" xfId="4" applyNumberFormat="1" applyFont="1" applyFill="1" applyBorder="1" applyAlignment="1">
      <alignment horizontal="right"/>
    </xf>
    <xf numFmtId="167" fontId="2" fillId="0" borderId="18" xfId="5" applyFont="1" applyBorder="1"/>
    <xf numFmtId="166" fontId="14" fillId="17" borderId="41" xfId="5" applyNumberFormat="1" applyFont="1" applyFill="1" applyBorder="1" applyAlignment="1">
      <alignment horizontal="center"/>
    </xf>
    <xf numFmtId="166" fontId="37" fillId="16" borderId="4" xfId="5" applyNumberFormat="1" applyFont="1" applyFill="1" applyBorder="1" applyAlignment="1">
      <alignment horizontal="center"/>
    </xf>
    <xf numFmtId="166" fontId="37" fillId="16" borderId="17" xfId="5" applyNumberFormat="1" applyFont="1" applyFill="1" applyBorder="1" applyAlignment="1">
      <alignment horizontal="center"/>
    </xf>
    <xf numFmtId="166" fontId="37" fillId="25" borderId="1" xfId="5" applyNumberFormat="1" applyFont="1" applyFill="1" applyBorder="1" applyAlignment="1">
      <alignment horizontal="center"/>
    </xf>
    <xf numFmtId="166" fontId="37" fillId="17" borderId="41" xfId="5" applyNumberFormat="1" applyFont="1" applyFill="1" applyBorder="1" applyAlignment="1">
      <alignment horizontal="center"/>
    </xf>
    <xf numFmtId="166" fontId="34" fillId="17" borderId="41" xfId="5" applyNumberFormat="1" applyFont="1" applyFill="1" applyBorder="1" applyAlignment="1">
      <alignment horizontal="center"/>
    </xf>
    <xf numFmtId="166" fontId="34" fillId="16" borderId="3" xfId="5" applyNumberFormat="1" applyFont="1" applyFill="1" applyBorder="1" applyAlignment="1">
      <alignment horizontal="center"/>
    </xf>
    <xf numFmtId="166" fontId="37" fillId="16" borderId="3" xfId="5" applyNumberFormat="1" applyFont="1" applyFill="1" applyBorder="1" applyAlignment="1">
      <alignment horizontal="center"/>
    </xf>
    <xf numFmtId="166" fontId="14" fillId="16" borderId="3" xfId="5" applyNumberFormat="1" applyFont="1" applyFill="1" applyBorder="1" applyAlignment="1">
      <alignment horizontal="center"/>
    </xf>
    <xf numFmtId="167" fontId="14" fillId="16" borderId="7" xfId="5" applyFont="1" applyFill="1" applyBorder="1" applyAlignment="1">
      <alignment horizontal="center"/>
    </xf>
    <xf numFmtId="167" fontId="37" fillId="16" borderId="1" xfId="5" applyFont="1" applyFill="1" applyBorder="1" applyAlignment="1">
      <alignment horizontal="center"/>
    </xf>
    <xf numFmtId="167" fontId="14" fillId="16" borderId="1" xfId="5" quotePrefix="1" applyFont="1" applyFill="1" applyBorder="1" applyAlignment="1">
      <alignment horizontal="center"/>
    </xf>
    <xf numFmtId="166" fontId="36" fillId="5" borderId="31" xfId="5" applyNumberFormat="1" applyFont="1" applyFill="1" applyBorder="1" applyAlignment="1">
      <alignment horizontal="center"/>
    </xf>
    <xf numFmtId="166" fontId="34" fillId="5" borderId="31" xfId="5" applyNumberFormat="1" applyFont="1" applyFill="1" applyBorder="1" applyAlignment="1">
      <alignment horizontal="center"/>
    </xf>
    <xf numFmtId="166" fontId="35" fillId="5" borderId="32" xfId="0" applyNumberFormat="1" applyFont="1" applyFill="1" applyBorder="1" applyAlignment="1">
      <alignment horizontal="center"/>
    </xf>
    <xf numFmtId="166" fontId="35" fillId="5" borderId="31" xfId="5" applyNumberFormat="1" applyFont="1" applyFill="1" applyBorder="1" applyAlignment="1">
      <alignment horizontal="center"/>
    </xf>
    <xf numFmtId="166" fontId="4" fillId="0" borderId="1" xfId="5" applyNumberFormat="1" applyFont="1" applyBorder="1" applyAlignment="1">
      <alignment horizontal="center"/>
    </xf>
    <xf numFmtId="49" fontId="0" fillId="0" borderId="5" xfId="5" applyNumberFormat="1" applyFont="1" applyBorder="1" applyAlignment="1">
      <alignment horizontal="center"/>
    </xf>
    <xf numFmtId="0" fontId="1" fillId="0" borderId="0" xfId="5" applyNumberFormat="1" applyAlignment="1">
      <alignment horizontal="center"/>
    </xf>
    <xf numFmtId="0" fontId="1" fillId="12" borderId="0" xfId="5" applyNumberFormat="1" applyFill="1" applyAlignment="1">
      <alignment horizontal="center"/>
    </xf>
    <xf numFmtId="165" fontId="1" fillId="0" borderId="57" xfId="1" applyFont="1" applyBorder="1" applyAlignment="1">
      <alignment horizontal="center"/>
    </xf>
    <xf numFmtId="165" fontId="1" fillId="12" borderId="57" xfId="1" applyFont="1" applyFill="1" applyBorder="1" applyAlignment="1">
      <alignment horizontal="center"/>
    </xf>
    <xf numFmtId="165" fontId="1" fillId="13" borderId="57" xfId="1" applyFont="1" applyFill="1" applyBorder="1" applyAlignment="1">
      <alignment horizontal="center"/>
    </xf>
    <xf numFmtId="165" fontId="1" fillId="7" borderId="57" xfId="1" applyFont="1" applyFill="1" applyBorder="1" applyAlignment="1">
      <alignment horizontal="center"/>
    </xf>
    <xf numFmtId="49" fontId="2" fillId="13" borderId="2" xfId="0" applyNumberFormat="1" applyFont="1" applyFill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24" xfId="0" applyNumberFormat="1" applyBorder="1"/>
    <xf numFmtId="49" fontId="2" fillId="15" borderId="2" xfId="0" applyNumberFormat="1" applyFont="1" applyFill="1" applyBorder="1"/>
    <xf numFmtId="0" fontId="2" fillId="13" borderId="1" xfId="0" applyFont="1" applyFill="1" applyBorder="1"/>
    <xf numFmtId="0" fontId="0" fillId="0" borderId="17" xfId="0" applyBorder="1"/>
    <xf numFmtId="0" fontId="0" fillId="15" borderId="1" xfId="0" applyFill="1" applyBorder="1"/>
    <xf numFmtId="49" fontId="2" fillId="13" borderId="1" xfId="0" applyNumberFormat="1" applyFont="1" applyFill="1" applyBorder="1" applyAlignment="1">
      <alignment horizontal="left"/>
    </xf>
    <xf numFmtId="49" fontId="0" fillId="0" borderId="3" xfId="0" applyNumberFormat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0" fillId="0" borderId="17" xfId="0" applyNumberFormat="1" applyBorder="1" applyAlignment="1">
      <alignment horizontal="left" wrapText="1"/>
    </xf>
    <xf numFmtId="49" fontId="2" fillId="15" borderId="1" xfId="0" applyNumberFormat="1" applyFont="1" applyFill="1" applyBorder="1" applyAlignment="1">
      <alignment horizontal="left"/>
    </xf>
    <xf numFmtId="167" fontId="2" fillId="0" borderId="0" xfId="0" applyNumberFormat="1" applyFont="1"/>
    <xf numFmtId="167" fontId="0" fillId="0" borderId="0" xfId="8" applyNumberFormat="1" applyFont="1" applyFill="1"/>
    <xf numFmtId="168" fontId="2" fillId="0" borderId="0" xfId="0" applyNumberFormat="1" applyFont="1"/>
    <xf numFmtId="168" fontId="4" fillId="0" borderId="0" xfId="0" applyNumberFormat="1" applyFont="1"/>
    <xf numFmtId="171" fontId="53" fillId="22" borderId="1" xfId="0" applyNumberFormat="1" applyFont="1" applyFill="1" applyBorder="1" applyAlignment="1">
      <alignment horizontal="center"/>
    </xf>
    <xf numFmtId="171" fontId="30" fillId="22" borderId="2" xfId="0" applyNumberFormat="1" applyFont="1" applyFill="1" applyBorder="1" applyAlignment="1">
      <alignment horizontal="center"/>
    </xf>
    <xf numFmtId="169" fontId="53" fillId="22" borderId="1" xfId="0" applyNumberFormat="1" applyFont="1" applyFill="1" applyBorder="1"/>
    <xf numFmtId="169" fontId="30" fillId="22" borderId="10" xfId="0" applyNumberFormat="1" applyFont="1" applyFill="1" applyBorder="1"/>
    <xf numFmtId="0" fontId="1" fillId="0" borderId="35" xfId="5" applyNumberFormat="1" applyBorder="1" applyAlignment="1">
      <alignment horizontal="center"/>
    </xf>
    <xf numFmtId="0" fontId="1" fillId="0" borderId="36" xfId="5" applyNumberFormat="1" applyBorder="1" applyAlignment="1">
      <alignment horizontal="center"/>
    </xf>
    <xf numFmtId="0" fontId="1" fillId="17" borderId="22" xfId="5" applyNumberFormat="1" applyFill="1" applyBorder="1" applyAlignment="1">
      <alignment horizontal="left"/>
    </xf>
    <xf numFmtId="0" fontId="1" fillId="17" borderId="4" xfId="5" applyNumberFormat="1" applyFill="1" applyBorder="1" applyAlignment="1">
      <alignment horizontal="left"/>
    </xf>
    <xf numFmtId="165" fontId="1" fillId="0" borderId="34" xfId="1" applyFont="1" applyBorder="1" applyAlignment="1">
      <alignment horizontal="center"/>
    </xf>
    <xf numFmtId="0" fontId="1" fillId="0" borderId="43" xfId="5" applyNumberFormat="1" applyBorder="1" applyAlignment="1">
      <alignment horizontal="center"/>
    </xf>
    <xf numFmtId="165" fontId="1" fillId="0" borderId="69" xfId="1" applyFont="1" applyBorder="1" applyAlignment="1">
      <alignment horizontal="center"/>
    </xf>
    <xf numFmtId="166" fontId="37" fillId="16" borderId="1" xfId="5" applyNumberFormat="1" applyFont="1" applyFill="1" applyBorder="1" applyAlignment="1">
      <alignment horizontal="center"/>
    </xf>
    <xf numFmtId="166" fontId="14" fillId="16" borderId="5" xfId="5" applyNumberFormat="1" applyFont="1" applyFill="1" applyBorder="1" applyAlignment="1">
      <alignment horizontal="center"/>
    </xf>
    <xf numFmtId="166" fontId="14" fillId="16" borderId="6" xfId="5" applyNumberFormat="1" applyFont="1" applyFill="1" applyBorder="1" applyAlignment="1">
      <alignment horizontal="center"/>
    </xf>
    <xf numFmtId="166" fontId="14" fillId="16" borderId="24" xfId="5" applyNumberFormat="1" applyFont="1" applyFill="1" applyBorder="1" applyAlignment="1">
      <alignment horizontal="center"/>
    </xf>
    <xf numFmtId="166" fontId="14" fillId="25" borderId="2" xfId="5" applyNumberFormat="1" applyFont="1" applyFill="1" applyBorder="1" applyAlignment="1">
      <alignment horizontal="center"/>
    </xf>
    <xf numFmtId="166" fontId="14" fillId="17" borderId="0" xfId="5" applyNumberFormat="1" applyFont="1" applyFill="1" applyAlignment="1">
      <alignment horizontal="center"/>
    </xf>
    <xf numFmtId="166" fontId="14" fillId="16" borderId="2" xfId="5" applyNumberFormat="1" applyFont="1" applyFill="1" applyBorder="1" applyAlignment="1">
      <alignment horizontal="center"/>
    </xf>
    <xf numFmtId="166" fontId="36" fillId="5" borderId="32" xfId="5" applyNumberFormat="1" applyFont="1" applyFill="1" applyBorder="1" applyAlignment="1">
      <alignment horizontal="center"/>
    </xf>
    <xf numFmtId="166" fontId="35" fillId="5" borderId="31" xfId="0" applyNumberFormat="1" applyFont="1" applyFill="1" applyBorder="1" applyAlignment="1">
      <alignment horizontal="center"/>
    </xf>
    <xf numFmtId="0" fontId="0" fillId="0" borderId="57" xfId="0" applyBorder="1"/>
    <xf numFmtId="165" fontId="0" fillId="0" borderId="0" xfId="0" applyNumberFormat="1"/>
    <xf numFmtId="0" fontId="8" fillId="10" borderId="1" xfId="2" applyNumberFormat="1" applyFont="1" applyFill="1" applyBorder="1" applyAlignment="1" applyProtection="1">
      <alignment horizontal="center"/>
    </xf>
    <xf numFmtId="0" fontId="0" fillId="0" borderId="10" xfId="5" applyNumberFormat="1" applyFont="1" applyBorder="1" applyAlignment="1">
      <alignment horizontal="center" vertical="top"/>
    </xf>
    <xf numFmtId="167" fontId="0" fillId="4" borderId="1" xfId="5" applyFont="1" applyFill="1" applyBorder="1"/>
    <xf numFmtId="165" fontId="0" fillId="0" borderId="2" xfId="1" quotePrefix="1" applyFont="1" applyBorder="1" applyAlignment="1">
      <alignment horizontal="center"/>
    </xf>
    <xf numFmtId="165" fontId="1" fillId="0" borderId="1" xfId="1" applyBorder="1"/>
    <xf numFmtId="165" fontId="4" fillId="0" borderId="1" xfId="1" applyFont="1" applyBorder="1" applyAlignment="1">
      <alignment horizontal="center"/>
    </xf>
    <xf numFmtId="165" fontId="1" fillId="0" borderId="7" xfId="1" applyBorder="1"/>
    <xf numFmtId="167" fontId="1" fillId="17" borderId="22" xfId="5" applyFill="1" applyBorder="1" applyAlignment="1">
      <alignment horizontal="left"/>
    </xf>
    <xf numFmtId="167" fontId="0" fillId="17" borderId="4" xfId="5" applyFont="1" applyFill="1" applyBorder="1" applyAlignment="1">
      <alignment horizontal="left"/>
    </xf>
    <xf numFmtId="170" fontId="1" fillId="0" borderId="0" xfId="5" applyNumberFormat="1"/>
    <xf numFmtId="170" fontId="2" fillId="0" borderId="2" xfId="5" applyNumberFormat="1" applyFont="1" applyBorder="1" applyAlignment="1">
      <alignment horizontal="center"/>
    </xf>
    <xf numFmtId="170" fontId="1" fillId="13" borderId="66" xfId="1" applyNumberFormat="1" applyFont="1" applyFill="1" applyBorder="1" applyAlignment="1">
      <alignment horizontal="center"/>
    </xf>
    <xf numFmtId="170" fontId="1" fillId="13" borderId="16" xfId="1" applyNumberFormat="1" applyFont="1" applyFill="1" applyBorder="1" applyAlignment="1">
      <alignment horizontal="center"/>
    </xf>
    <xf numFmtId="170" fontId="1" fillId="25" borderId="69" xfId="1" applyNumberFormat="1" applyFont="1" applyFill="1" applyBorder="1" applyAlignment="1">
      <alignment horizontal="center"/>
    </xf>
    <xf numFmtId="170" fontId="1" fillId="0" borderId="69" xfId="1" applyNumberFormat="1" applyFont="1" applyBorder="1" applyAlignment="1">
      <alignment horizontal="center"/>
    </xf>
    <xf numFmtId="165" fontId="1" fillId="0" borderId="0" xfId="1"/>
    <xf numFmtId="165" fontId="2" fillId="0" borderId="2" xfId="1" applyFont="1" applyBorder="1" applyAlignment="1">
      <alignment horizontal="center"/>
    </xf>
    <xf numFmtId="169" fontId="30" fillId="0" borderId="0" xfId="0" applyNumberFormat="1" applyFont="1"/>
    <xf numFmtId="3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9" fontId="3" fillId="15" borderId="1" xfId="2" applyNumberFormat="1" applyFill="1" applyBorder="1" applyAlignment="1" applyProtection="1"/>
    <xf numFmtId="0" fontId="0" fillId="12" borderId="21" xfId="5" applyNumberFormat="1" applyFont="1" applyFill="1" applyBorder="1" applyAlignment="1">
      <alignment horizontal="center"/>
    </xf>
    <xf numFmtId="171" fontId="14" fillId="5" borderId="1" xfId="5" applyNumberFormat="1" applyFont="1" applyFill="1" applyBorder="1" applyAlignment="1">
      <alignment horizontal="center"/>
    </xf>
    <xf numFmtId="165" fontId="2" fillId="5" borderId="1" xfId="1" applyFont="1" applyFill="1" applyBorder="1"/>
    <xf numFmtId="165" fontId="0" fillId="0" borderId="0" xfId="1" applyFont="1" applyAlignment="1">
      <alignment horizontal="left"/>
    </xf>
    <xf numFmtId="165" fontId="2" fillId="13" borderId="7" xfId="1" applyFont="1" applyFill="1" applyBorder="1"/>
    <xf numFmtId="165" fontId="0" fillId="0" borderId="46" xfId="1" applyFont="1" applyBorder="1"/>
    <xf numFmtId="165" fontId="2" fillId="15" borderId="7" xfId="1" applyFont="1" applyFill="1" applyBorder="1"/>
    <xf numFmtId="165" fontId="0" fillId="0" borderId="4" xfId="1" applyFont="1" applyBorder="1"/>
    <xf numFmtId="167" fontId="2" fillId="0" borderId="20" xfId="5" applyFont="1" applyBorder="1"/>
    <xf numFmtId="167" fontId="2" fillId="9" borderId="20" xfId="5" applyFont="1" applyFill="1" applyBorder="1"/>
    <xf numFmtId="167" fontId="2" fillId="16" borderId="1" xfId="5" applyFont="1" applyFill="1" applyBorder="1" applyAlignment="1">
      <alignment horizontal="center"/>
    </xf>
    <xf numFmtId="0" fontId="35" fillId="5" borderId="30" xfId="0" applyFont="1" applyFill="1" applyBorder="1" applyAlignment="1">
      <alignment horizontal="center"/>
    </xf>
    <xf numFmtId="0" fontId="35" fillId="5" borderId="32" xfId="0" applyFont="1" applyFill="1" applyBorder="1"/>
    <xf numFmtId="0" fontId="35" fillId="5" borderId="32" xfId="0" applyFont="1" applyFill="1" applyBorder="1" applyAlignment="1">
      <alignment horizontal="left"/>
    </xf>
    <xf numFmtId="166" fontId="14" fillId="16" borderId="32" xfId="5" applyNumberFormat="1" applyFont="1" applyFill="1" applyBorder="1" applyAlignment="1">
      <alignment horizontal="center"/>
    </xf>
    <xf numFmtId="166" fontId="37" fillId="16" borderId="31" xfId="5" applyNumberFormat="1" applyFont="1" applyFill="1" applyBorder="1" applyAlignment="1">
      <alignment horizontal="center"/>
    </xf>
    <xf numFmtId="166" fontId="34" fillId="16" borderId="31" xfId="5" applyNumberFormat="1" applyFont="1" applyFill="1" applyBorder="1" applyAlignment="1">
      <alignment horizontal="center"/>
    </xf>
    <xf numFmtId="165" fontId="1" fillId="12" borderId="69" xfId="1" applyFont="1" applyFill="1" applyBorder="1" applyAlignment="1">
      <alignment horizontal="center"/>
    </xf>
    <xf numFmtId="0" fontId="1" fillId="12" borderId="20" xfId="5" applyNumberFormat="1" applyFill="1" applyBorder="1" applyAlignment="1">
      <alignment horizontal="center"/>
    </xf>
    <xf numFmtId="166" fontId="38" fillId="25" borderId="10" xfId="5" applyNumberFormat="1" applyFont="1" applyFill="1" applyBorder="1" applyAlignment="1">
      <alignment horizontal="center"/>
    </xf>
    <xf numFmtId="166" fontId="38" fillId="16" borderId="10" xfId="5" applyNumberFormat="1" applyFont="1" applyFill="1" applyBorder="1" applyAlignment="1">
      <alignment horizontal="center"/>
    </xf>
    <xf numFmtId="0" fontId="35" fillId="5" borderId="32" xfId="0" applyFont="1" applyFill="1" applyBorder="1" applyAlignment="1">
      <alignment horizontal="center"/>
    </xf>
    <xf numFmtId="0" fontId="1" fillId="18" borderId="4" xfId="5" applyNumberFormat="1" applyFill="1" applyBorder="1" applyAlignment="1">
      <alignment horizontal="left"/>
    </xf>
    <xf numFmtId="0" fontId="1" fillId="19" borderId="4" xfId="5" applyNumberFormat="1" applyFill="1" applyBorder="1" applyAlignment="1">
      <alignment horizontal="left"/>
    </xf>
    <xf numFmtId="0" fontId="0" fillId="12" borderId="4" xfId="5" applyNumberFormat="1" applyFont="1" applyFill="1" applyBorder="1" applyAlignment="1">
      <alignment horizontal="left"/>
    </xf>
    <xf numFmtId="0" fontId="1" fillId="14" borderId="4" xfId="5" applyNumberFormat="1" applyFill="1" applyBorder="1" applyAlignment="1">
      <alignment horizontal="left"/>
    </xf>
    <xf numFmtId="0" fontId="1" fillId="10" borderId="4" xfId="5" applyNumberFormat="1" applyFill="1" applyBorder="1" applyAlignment="1">
      <alignment horizontal="left"/>
    </xf>
    <xf numFmtId="167" fontId="54" fillId="16" borderId="1" xfId="5" applyFont="1" applyFill="1" applyBorder="1" applyAlignment="1">
      <alignment horizontal="center"/>
    </xf>
    <xf numFmtId="49" fontId="54" fillId="0" borderId="1" xfId="5" applyNumberFormat="1" applyFont="1" applyBorder="1" applyAlignment="1">
      <alignment horizontal="center"/>
    </xf>
    <xf numFmtId="49" fontId="55" fillId="0" borderId="1" xfId="5" applyNumberFormat="1" applyFont="1" applyBorder="1" applyAlignment="1">
      <alignment horizontal="center"/>
    </xf>
    <xf numFmtId="165" fontId="1" fillId="7" borderId="60" xfId="1" applyFont="1" applyFill="1" applyBorder="1" applyAlignment="1">
      <alignment horizontal="center"/>
    </xf>
    <xf numFmtId="165" fontId="1" fillId="0" borderId="60" xfId="1" applyFont="1" applyBorder="1" applyAlignment="1">
      <alignment horizontal="center"/>
    </xf>
    <xf numFmtId="165" fontId="1" fillId="12" borderId="60" xfId="1" applyFont="1" applyFill="1" applyBorder="1" applyAlignment="1">
      <alignment horizontal="center"/>
    </xf>
    <xf numFmtId="165" fontId="1" fillId="0" borderId="61" xfId="1" applyFont="1" applyBorder="1" applyAlignment="1">
      <alignment horizontal="center"/>
    </xf>
    <xf numFmtId="165" fontId="1" fillId="12" borderId="61" xfId="1" applyFont="1" applyFill="1" applyBorder="1" applyAlignment="1">
      <alignment horizontal="center"/>
    </xf>
    <xf numFmtId="165" fontId="1" fillId="13" borderId="34" xfId="1" applyFont="1" applyFill="1" applyBorder="1" applyAlignment="1">
      <alignment horizontal="center"/>
    </xf>
    <xf numFmtId="0" fontId="1" fillId="13" borderId="35" xfId="5" applyNumberFormat="1" applyFill="1" applyBorder="1" applyAlignment="1">
      <alignment horizontal="center"/>
    </xf>
    <xf numFmtId="0" fontId="1" fillId="13" borderId="43" xfId="5" applyNumberFormat="1" applyFill="1" applyBorder="1" applyAlignment="1">
      <alignment horizontal="center"/>
    </xf>
    <xf numFmtId="0" fontId="1" fillId="13" borderId="36" xfId="5" applyNumberFormat="1" applyFill="1" applyBorder="1" applyAlignment="1">
      <alignment horizontal="center"/>
    </xf>
    <xf numFmtId="165" fontId="1" fillId="7" borderId="34" xfId="1" applyFont="1" applyFill="1" applyBorder="1" applyAlignment="1">
      <alignment horizontal="center"/>
    </xf>
    <xf numFmtId="0" fontId="1" fillId="7" borderId="35" xfId="5" applyNumberFormat="1" applyFill="1" applyBorder="1" applyAlignment="1">
      <alignment horizontal="center"/>
    </xf>
    <xf numFmtId="0" fontId="1" fillId="7" borderId="21" xfId="5" applyNumberFormat="1" applyFill="1" applyBorder="1" applyAlignment="1">
      <alignment horizontal="center"/>
    </xf>
    <xf numFmtId="0" fontId="1" fillId="18" borderId="17" xfId="5" applyNumberFormat="1" applyFill="1" applyBorder="1" applyAlignment="1">
      <alignment horizontal="left"/>
    </xf>
    <xf numFmtId="165" fontId="1" fillId="0" borderId="64" xfId="1" applyFont="1" applyBorder="1" applyAlignment="1">
      <alignment horizontal="center"/>
    </xf>
    <xf numFmtId="0" fontId="0" fillId="0" borderId="65" xfId="5" applyNumberFormat="1" applyFont="1" applyBorder="1" applyAlignment="1">
      <alignment horizontal="center"/>
    </xf>
    <xf numFmtId="0" fontId="1" fillId="0" borderId="63" xfId="5" applyNumberFormat="1" applyBorder="1" applyAlignment="1">
      <alignment horizontal="center"/>
    </xf>
    <xf numFmtId="165" fontId="1" fillId="12" borderId="64" xfId="1" applyFont="1" applyFill="1" applyBorder="1" applyAlignment="1">
      <alignment horizontal="center"/>
    </xf>
    <xf numFmtId="0" fontId="1" fillId="12" borderId="65" xfId="5" applyNumberFormat="1" applyFill="1" applyBorder="1" applyAlignment="1">
      <alignment horizontal="center"/>
    </xf>
    <xf numFmtId="0" fontId="0" fillId="12" borderId="56" xfId="5" applyNumberFormat="1" applyFont="1" applyFill="1" applyBorder="1" applyAlignment="1">
      <alignment horizontal="center"/>
    </xf>
    <xf numFmtId="170" fontId="1" fillId="0" borderId="62" xfId="1" applyNumberFormat="1" applyFont="1" applyBorder="1" applyAlignment="1">
      <alignment horizontal="center"/>
    </xf>
    <xf numFmtId="170" fontId="1" fillId="13" borderId="69" xfId="1" applyNumberFormat="1" applyFont="1" applyFill="1" applyBorder="1" applyAlignment="1">
      <alignment horizontal="center"/>
    </xf>
    <xf numFmtId="165" fontId="1" fillId="13" borderId="69" xfId="1" applyFont="1" applyFill="1" applyBorder="1" applyAlignment="1">
      <alignment horizontal="center"/>
    </xf>
    <xf numFmtId="0" fontId="0" fillId="13" borderId="35" xfId="5" applyNumberFormat="1" applyFont="1" applyFill="1" applyBorder="1" applyAlignment="1">
      <alignment horizontal="center"/>
    </xf>
    <xf numFmtId="0" fontId="1" fillId="43" borderId="4" xfId="5" applyNumberFormat="1" applyFill="1" applyBorder="1" applyAlignment="1">
      <alignment horizontal="left"/>
    </xf>
    <xf numFmtId="0" fontId="1" fillId="44" borderId="4" xfId="5" applyNumberFormat="1" applyFill="1" applyBorder="1" applyAlignment="1">
      <alignment horizontal="left"/>
    </xf>
    <xf numFmtId="0" fontId="1" fillId="45" borderId="17" xfId="5" applyNumberFormat="1" applyFill="1" applyBorder="1" applyAlignment="1">
      <alignment horizontal="left"/>
    </xf>
    <xf numFmtId="0" fontId="0" fillId="46" borderId="4" xfId="5" applyNumberFormat="1" applyFont="1" applyFill="1" applyBorder="1" applyAlignment="1">
      <alignment horizontal="left"/>
    </xf>
    <xf numFmtId="167" fontId="22" fillId="24" borderId="4" xfId="5" applyFont="1" applyFill="1" applyBorder="1" applyAlignment="1">
      <alignment horizontal="center" vertical="center"/>
    </xf>
    <xf numFmtId="0" fontId="1" fillId="25" borderId="26" xfId="5" applyNumberFormat="1" applyFill="1" applyBorder="1" applyAlignment="1">
      <alignment horizontal="center"/>
    </xf>
    <xf numFmtId="0" fontId="1" fillId="25" borderId="28" xfId="5" applyNumberFormat="1" applyFill="1" applyBorder="1" applyAlignment="1">
      <alignment horizontal="center"/>
    </xf>
    <xf numFmtId="0" fontId="1" fillId="25" borderId="10" xfId="5" applyNumberFormat="1" applyFill="1" applyBorder="1" applyAlignment="1">
      <alignment horizontal="center"/>
    </xf>
    <xf numFmtId="170" fontId="1" fillId="25" borderId="13" xfId="1" applyNumberFormat="1" applyFont="1" applyFill="1" applyBorder="1" applyAlignment="1">
      <alignment horizontal="center"/>
    </xf>
    <xf numFmtId="0" fontId="1" fillId="25" borderId="27" xfId="5" applyNumberFormat="1" applyFill="1" applyBorder="1" applyAlignment="1">
      <alignment horizontal="center"/>
    </xf>
    <xf numFmtId="165" fontId="1" fillId="25" borderId="13" xfId="1" applyFont="1" applyFill="1" applyBorder="1" applyAlignment="1">
      <alignment horizontal="center"/>
    </xf>
    <xf numFmtId="0" fontId="0" fillId="25" borderId="26" xfId="5" applyNumberFormat="1" applyFont="1" applyFill="1" applyBorder="1" applyAlignment="1">
      <alignment horizontal="center"/>
    </xf>
    <xf numFmtId="0" fontId="1" fillId="25" borderId="2" xfId="5" applyNumberFormat="1" applyFill="1" applyBorder="1" applyAlignment="1">
      <alignment horizontal="center"/>
    </xf>
    <xf numFmtId="166" fontId="14" fillId="17" borderId="47" xfId="5" applyNumberFormat="1" applyFont="1" applyFill="1" applyBorder="1" applyAlignment="1">
      <alignment horizontal="center"/>
    </xf>
    <xf numFmtId="166" fontId="37" fillId="17" borderId="22" xfId="5" applyNumberFormat="1" applyFont="1" applyFill="1" applyBorder="1" applyAlignment="1">
      <alignment horizontal="center"/>
    </xf>
    <xf numFmtId="166" fontId="14" fillId="17" borderId="22" xfId="5" applyNumberFormat="1" applyFont="1" applyFill="1" applyBorder="1" applyAlignment="1">
      <alignment horizontal="center"/>
    </xf>
    <xf numFmtId="166" fontId="34" fillId="17" borderId="22" xfId="5" applyNumberFormat="1" applyFont="1" applyFill="1" applyBorder="1" applyAlignment="1">
      <alignment horizontal="center"/>
    </xf>
    <xf numFmtId="0" fontId="0" fillId="0" borderId="60" xfId="5" applyNumberFormat="1" applyFont="1" applyBorder="1" applyAlignment="1">
      <alignment horizontal="center"/>
    </xf>
    <xf numFmtId="0" fontId="1" fillId="0" borderId="60" xfId="5" applyNumberFormat="1" applyBorder="1" applyAlignment="1">
      <alignment horizontal="center"/>
    </xf>
    <xf numFmtId="0" fontId="1" fillId="0" borderId="50" xfId="5" applyNumberFormat="1" applyBorder="1" applyAlignment="1">
      <alignment horizontal="center"/>
    </xf>
    <xf numFmtId="0" fontId="1" fillId="12" borderId="60" xfId="5" applyNumberFormat="1" applyFill="1" applyBorder="1" applyAlignment="1">
      <alignment horizontal="center"/>
    </xf>
    <xf numFmtId="0" fontId="0" fillId="12" borderId="50" xfId="5" applyNumberFormat="1" applyFont="1" applyFill="1" applyBorder="1" applyAlignment="1">
      <alignment horizontal="center"/>
    </xf>
    <xf numFmtId="170" fontId="1" fillId="0" borderId="49" xfId="1" applyNumberFormat="1" applyFont="1" applyBorder="1" applyAlignment="1">
      <alignment horizontal="center"/>
    </xf>
    <xf numFmtId="0" fontId="0" fillId="25" borderId="10" xfId="5" applyNumberFormat="1" applyFont="1" applyFill="1" applyBorder="1" applyAlignment="1">
      <alignment horizontal="center"/>
    </xf>
    <xf numFmtId="0" fontId="1" fillId="0" borderId="71" xfId="5" applyNumberFormat="1" applyBorder="1" applyAlignment="1">
      <alignment horizontal="center"/>
    </xf>
    <xf numFmtId="0" fontId="1" fillId="12" borderId="56" xfId="5" applyNumberFormat="1" applyFill="1" applyBorder="1" applyAlignment="1">
      <alignment horizontal="center"/>
    </xf>
    <xf numFmtId="165" fontId="1" fillId="12" borderId="62" xfId="1" applyFont="1" applyFill="1" applyBorder="1" applyAlignment="1">
      <alignment horizontal="center"/>
    </xf>
    <xf numFmtId="0" fontId="0" fillId="12" borderId="65" xfId="5" applyNumberFormat="1" applyFont="1" applyFill="1" applyBorder="1" applyAlignment="1">
      <alignment horizontal="center"/>
    </xf>
    <xf numFmtId="166" fontId="14" fillId="16" borderId="47" xfId="5" applyNumberFormat="1" applyFont="1" applyFill="1" applyBorder="1" applyAlignment="1">
      <alignment horizontal="center"/>
    </xf>
    <xf numFmtId="166" fontId="37" fillId="16" borderId="22" xfId="5" applyNumberFormat="1" applyFont="1" applyFill="1" applyBorder="1" applyAlignment="1">
      <alignment horizontal="center"/>
    </xf>
    <xf numFmtId="166" fontId="14" fillId="16" borderId="22" xfId="5" applyNumberFormat="1" applyFont="1" applyFill="1" applyBorder="1" applyAlignment="1">
      <alignment horizontal="center"/>
    </xf>
    <xf numFmtId="166" fontId="34" fillId="16" borderId="22" xfId="5" applyNumberFormat="1" applyFont="1" applyFill="1" applyBorder="1" applyAlignment="1">
      <alignment horizontal="center"/>
    </xf>
    <xf numFmtId="0" fontId="1" fillId="12" borderId="48" xfId="5" applyNumberFormat="1" applyFill="1" applyBorder="1" applyAlignment="1">
      <alignment horizontal="center"/>
    </xf>
    <xf numFmtId="165" fontId="1" fillId="12" borderId="66" xfId="1" applyFont="1" applyFill="1" applyBorder="1" applyAlignment="1">
      <alignment horizontal="center"/>
    </xf>
    <xf numFmtId="0" fontId="1" fillId="12" borderId="47" xfId="5" applyNumberFormat="1" applyFill="1" applyBorder="1" applyAlignment="1">
      <alignment horizontal="center"/>
    </xf>
    <xf numFmtId="0" fontId="0" fillId="12" borderId="60" xfId="5" applyNumberFormat="1" applyFont="1" applyFill="1" applyBorder="1" applyAlignment="1">
      <alignment horizontal="center"/>
    </xf>
    <xf numFmtId="0" fontId="1" fillId="7" borderId="71" xfId="5" applyNumberFormat="1" applyFill="1" applyBorder="1" applyAlignment="1">
      <alignment horizontal="center"/>
    </xf>
    <xf numFmtId="0" fontId="0" fillId="7" borderId="58" xfId="5" applyNumberFormat="1" applyFont="1" applyFill="1" applyBorder="1" applyAlignment="1">
      <alignment horizontal="center"/>
    </xf>
    <xf numFmtId="0" fontId="1" fillId="25" borderId="20" xfId="5" applyNumberFormat="1" applyFill="1" applyBorder="1" applyAlignment="1">
      <alignment horizontal="center"/>
    </xf>
    <xf numFmtId="0" fontId="0" fillId="12" borderId="71" xfId="5" applyNumberFormat="1" applyFont="1" applyFill="1" applyBorder="1" applyAlignment="1">
      <alignment horizontal="center"/>
    </xf>
    <xf numFmtId="0" fontId="0" fillId="12" borderId="0" xfId="5" applyNumberFormat="1" applyFont="1" applyFill="1" applyAlignment="1">
      <alignment horizontal="center"/>
    </xf>
    <xf numFmtId="0" fontId="0" fillId="25" borderId="2" xfId="5" applyNumberFormat="1" applyFont="1" applyFill="1" applyBorder="1" applyAlignment="1">
      <alignment horizontal="center"/>
    </xf>
    <xf numFmtId="0" fontId="1" fillId="7" borderId="20" xfId="5" applyNumberFormat="1" applyFill="1" applyBorder="1" applyAlignment="1">
      <alignment horizontal="center"/>
    </xf>
    <xf numFmtId="0" fontId="0" fillId="12" borderId="20" xfId="5" applyNumberFormat="1" applyFont="1" applyFill="1" applyBorder="1" applyAlignment="1">
      <alignment horizontal="center"/>
    </xf>
    <xf numFmtId="165" fontId="1" fillId="13" borderId="51" xfId="1" applyFont="1" applyFill="1" applyBorder="1" applyAlignment="1">
      <alignment horizontal="center"/>
    </xf>
    <xf numFmtId="165" fontId="1" fillId="7" borderId="66" xfId="1" applyFont="1" applyFill="1" applyBorder="1" applyAlignment="1">
      <alignment horizontal="center"/>
    </xf>
    <xf numFmtId="165" fontId="1" fillId="7" borderId="16" xfId="1" applyFont="1" applyFill="1" applyBorder="1" applyAlignment="1">
      <alignment horizontal="center"/>
    </xf>
    <xf numFmtId="0" fontId="1" fillId="13" borderId="65" xfId="5" applyNumberFormat="1" applyFill="1" applyBorder="1" applyAlignment="1">
      <alignment horizontal="center"/>
    </xf>
    <xf numFmtId="0" fontId="1" fillId="13" borderId="70" xfId="5" applyNumberFormat="1" applyFill="1" applyBorder="1" applyAlignment="1">
      <alignment horizontal="center"/>
    </xf>
    <xf numFmtId="0" fontId="1" fillId="13" borderId="63" xfId="5" applyNumberFormat="1" applyFill="1" applyBorder="1" applyAlignment="1">
      <alignment horizontal="center"/>
    </xf>
    <xf numFmtId="165" fontId="2" fillId="12" borderId="2" xfId="1" applyFont="1" applyFill="1" applyBorder="1" applyAlignment="1">
      <alignment horizontal="center"/>
    </xf>
    <xf numFmtId="170" fontId="1" fillId="13" borderId="62" xfId="1" applyNumberFormat="1" applyFont="1" applyFill="1" applyBorder="1" applyAlignment="1">
      <alignment horizontal="center"/>
    </xf>
    <xf numFmtId="0" fontId="1" fillId="0" borderId="0" xfId="5" applyNumberFormat="1"/>
    <xf numFmtId="0" fontId="0" fillId="50" borderId="4" xfId="5" applyNumberFormat="1" applyFont="1" applyFill="1" applyBorder="1" applyAlignment="1">
      <alignment horizontal="left"/>
    </xf>
    <xf numFmtId="0" fontId="2" fillId="0" borderId="7" xfId="5" applyNumberFormat="1" applyFont="1" applyBorder="1" applyAlignment="1">
      <alignment horizontal="center"/>
    </xf>
    <xf numFmtId="49" fontId="1" fillId="0" borderId="0" xfId="5" applyNumberFormat="1" applyAlignment="1">
      <alignment horizontal="center"/>
    </xf>
    <xf numFmtId="168" fontId="1" fillId="12" borderId="1" xfId="5" applyNumberFormat="1" applyFill="1" applyBorder="1"/>
    <xf numFmtId="49" fontId="1" fillId="12" borderId="1" xfId="5" applyNumberFormat="1" applyFill="1" applyBorder="1"/>
    <xf numFmtId="168" fontId="1" fillId="0" borderId="1" xfId="5" applyNumberFormat="1" applyBorder="1"/>
    <xf numFmtId="49" fontId="1" fillId="0" borderId="1" xfId="5" applyNumberFormat="1" applyBorder="1"/>
    <xf numFmtId="49" fontId="1" fillId="0" borderId="7" xfId="5" applyNumberFormat="1" applyBorder="1"/>
    <xf numFmtId="168" fontId="0" fillId="12" borderId="7" xfId="0" applyNumberFormat="1" applyFill="1" applyBorder="1"/>
    <xf numFmtId="49" fontId="1" fillId="12" borderId="2" xfId="5" applyNumberFormat="1" applyFill="1" applyBorder="1"/>
    <xf numFmtId="49" fontId="1" fillId="12" borderId="7" xfId="5" applyNumberFormat="1" applyFill="1" applyBorder="1"/>
    <xf numFmtId="49" fontId="1" fillId="0" borderId="29" xfId="5" applyNumberFormat="1" applyBorder="1"/>
    <xf numFmtId="49" fontId="1" fillId="12" borderId="22" xfId="5" applyNumberFormat="1" applyFill="1" applyBorder="1"/>
    <xf numFmtId="168" fontId="2" fillId="2" borderId="20" xfId="4" applyNumberFormat="1" applyFont="1" applyFill="1" applyBorder="1" applyAlignment="1">
      <alignment horizontal="center"/>
    </xf>
    <xf numFmtId="171" fontId="2" fillId="5" borderId="2" xfId="0" applyNumberFormat="1" applyFont="1" applyFill="1" applyBorder="1" applyAlignment="1">
      <alignment horizontal="center"/>
    </xf>
    <xf numFmtId="167" fontId="2" fillId="16" borderId="2" xfId="5" applyFont="1" applyFill="1" applyBorder="1" applyAlignment="1">
      <alignment horizontal="center"/>
    </xf>
    <xf numFmtId="167" fontId="2" fillId="0" borderId="1" xfId="5" applyFont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167" fontId="2" fillId="9" borderId="20" xfId="5" applyFont="1" applyFill="1" applyBorder="1" applyAlignment="1">
      <alignment horizontal="center"/>
    </xf>
    <xf numFmtId="167" fontId="2" fillId="14" borderId="20" xfId="5" applyFont="1" applyFill="1" applyBorder="1" applyAlignment="1">
      <alignment horizontal="center" vertical="center"/>
    </xf>
    <xf numFmtId="167" fontId="2" fillId="9" borderId="18" xfId="5" applyFont="1" applyFill="1" applyBorder="1" applyAlignment="1">
      <alignment horizontal="center"/>
    </xf>
    <xf numFmtId="167" fontId="2" fillId="14" borderId="20" xfId="5" applyFont="1" applyFill="1" applyBorder="1" applyAlignment="1">
      <alignment horizontal="center"/>
    </xf>
    <xf numFmtId="167" fontId="2" fillId="14" borderId="21" xfId="5" applyFont="1" applyFill="1" applyBorder="1" applyAlignment="1">
      <alignment horizontal="center"/>
    </xf>
    <xf numFmtId="167" fontId="2" fillId="14" borderId="21" xfId="5" applyFont="1" applyFill="1" applyBorder="1" applyAlignment="1">
      <alignment horizontal="center" vertical="center"/>
    </xf>
    <xf numFmtId="167" fontId="2" fillId="9" borderId="21" xfId="5" applyFont="1" applyFill="1" applyBorder="1" applyAlignment="1">
      <alignment horizontal="center"/>
    </xf>
    <xf numFmtId="49" fontId="54" fillId="0" borderId="10" xfId="5" applyNumberFormat="1" applyFont="1" applyBorder="1" applyAlignment="1">
      <alignment horizontal="center"/>
    </xf>
    <xf numFmtId="0" fontId="0" fillId="13" borderId="0" xfId="0" applyFill="1" applyAlignment="1">
      <alignment vertical="top"/>
    </xf>
    <xf numFmtId="166" fontId="18" fillId="0" borderId="3" xfId="5" applyNumberFormat="1" applyFont="1" applyBorder="1" applyAlignment="1">
      <alignment horizontal="right" vertical="center"/>
    </xf>
    <xf numFmtId="166" fontId="18" fillId="0" borderId="4" xfId="5" applyNumberFormat="1" applyFont="1" applyBorder="1" applyAlignment="1">
      <alignment horizontal="right" vertical="center"/>
    </xf>
    <xf numFmtId="166" fontId="18" fillId="0" borderId="17" xfId="5" applyNumberFormat="1" applyFont="1" applyBorder="1" applyAlignment="1">
      <alignment horizontal="right" vertical="center"/>
    </xf>
    <xf numFmtId="166" fontId="18" fillId="0" borderId="22" xfId="5" applyNumberFormat="1" applyFont="1" applyBorder="1" applyAlignment="1">
      <alignment horizontal="right" vertical="center"/>
    </xf>
    <xf numFmtId="166" fontId="18" fillId="0" borderId="1" xfId="5" applyNumberFormat="1" applyFont="1" applyBorder="1" applyAlignment="1">
      <alignment horizontal="right" vertical="center"/>
    </xf>
    <xf numFmtId="166" fontId="18" fillId="0" borderId="31" xfId="5" applyNumberFormat="1" applyFont="1" applyBorder="1" applyAlignment="1">
      <alignment horizontal="right" vertical="center"/>
    </xf>
    <xf numFmtId="167" fontId="2" fillId="9" borderId="34" xfId="5" applyFont="1" applyFill="1" applyBorder="1" applyAlignment="1">
      <alignment horizontal="center" vertical="center"/>
    </xf>
    <xf numFmtId="167" fontId="2" fillId="9" borderId="36" xfId="5" applyFont="1" applyFill="1" applyBorder="1" applyAlignment="1">
      <alignment horizontal="center"/>
    </xf>
    <xf numFmtId="165" fontId="1" fillId="7" borderId="73" xfId="1" applyFont="1" applyFill="1" applyBorder="1" applyAlignment="1">
      <alignment horizontal="center"/>
    </xf>
    <xf numFmtId="0" fontId="0" fillId="7" borderId="73" xfId="5" applyNumberFormat="1" applyFont="1" applyFill="1" applyBorder="1" applyAlignment="1">
      <alignment horizontal="center"/>
    </xf>
    <xf numFmtId="0" fontId="1" fillId="0" borderId="26" xfId="5" applyNumberFormat="1" applyBorder="1" applyAlignment="1">
      <alignment horizontal="center"/>
    </xf>
    <xf numFmtId="0" fontId="1" fillId="13" borderId="77" xfId="5" applyNumberFormat="1" applyFill="1" applyBorder="1" applyAlignment="1">
      <alignment horizontal="center"/>
    </xf>
    <xf numFmtId="165" fontId="1" fillId="7" borderId="77" xfId="1" applyFont="1" applyFill="1" applyBorder="1" applyAlignment="1">
      <alignment horizontal="center"/>
    </xf>
    <xf numFmtId="0" fontId="1" fillId="7" borderId="77" xfId="5" applyNumberFormat="1" applyFill="1" applyBorder="1" applyAlignment="1">
      <alignment horizontal="center"/>
    </xf>
    <xf numFmtId="0" fontId="0" fillId="7" borderId="77" xfId="5" applyNumberFormat="1" applyFont="1" applyFill="1" applyBorder="1" applyAlignment="1">
      <alignment horizontal="center"/>
    </xf>
    <xf numFmtId="165" fontId="1" fillId="13" borderId="15" xfId="1" applyFont="1" applyFill="1" applyBorder="1" applyAlignment="1">
      <alignment horizontal="center"/>
    </xf>
    <xf numFmtId="0" fontId="1" fillId="13" borderId="59" xfId="5" applyNumberFormat="1" applyFill="1" applyBorder="1" applyAlignment="1">
      <alignment horizontal="center"/>
    </xf>
    <xf numFmtId="165" fontId="1" fillId="7" borderId="84" xfId="1" applyFont="1" applyFill="1" applyBorder="1" applyAlignment="1">
      <alignment horizontal="center"/>
    </xf>
    <xf numFmtId="0" fontId="0" fillId="7" borderId="85" xfId="5" applyNumberFormat="1" applyFont="1" applyFill="1" applyBorder="1" applyAlignment="1">
      <alignment horizontal="center"/>
    </xf>
    <xf numFmtId="0" fontId="1" fillId="0" borderId="27" xfId="5" applyNumberFormat="1" applyBorder="1" applyAlignment="1">
      <alignment horizontal="center"/>
    </xf>
    <xf numFmtId="165" fontId="1" fillId="7" borderId="35" xfId="1" applyFont="1" applyFill="1" applyBorder="1" applyAlignment="1">
      <alignment horizontal="center"/>
    </xf>
    <xf numFmtId="0" fontId="0" fillId="7" borderId="35" xfId="5" applyNumberFormat="1" applyFont="1" applyFill="1" applyBorder="1" applyAlignment="1">
      <alignment horizontal="center"/>
    </xf>
    <xf numFmtId="165" fontId="1" fillId="0" borderId="26" xfId="1" applyFont="1" applyFill="1" applyBorder="1" applyAlignment="1">
      <alignment horizontal="center"/>
    </xf>
    <xf numFmtId="165" fontId="1" fillId="0" borderId="13" xfId="1" applyFont="1" applyFill="1" applyBorder="1" applyAlignment="1">
      <alignment horizontal="center"/>
    </xf>
    <xf numFmtId="165" fontId="1" fillId="0" borderId="25" xfId="1" applyFont="1" applyFill="1" applyBorder="1" applyAlignment="1">
      <alignment horizontal="center"/>
    </xf>
    <xf numFmtId="0" fontId="1" fillId="0" borderId="10" xfId="5" applyNumberFormat="1" applyBorder="1" applyAlignment="1">
      <alignment horizontal="center"/>
    </xf>
    <xf numFmtId="0" fontId="1" fillId="0" borderId="1" xfId="5" applyNumberFormat="1" applyBorder="1" applyAlignment="1">
      <alignment horizontal="center"/>
    </xf>
    <xf numFmtId="0" fontId="1" fillId="0" borderId="19" xfId="5" applyNumberFormat="1" applyBorder="1" applyAlignment="1">
      <alignment horizontal="center"/>
    </xf>
    <xf numFmtId="170" fontId="0" fillId="0" borderId="51" xfId="0" applyNumberFormat="1" applyBorder="1" applyAlignment="1">
      <alignment horizontal="center" vertical="center"/>
    </xf>
    <xf numFmtId="170" fontId="0" fillId="0" borderId="57" xfId="0" applyNumberFormat="1" applyBorder="1" applyAlignment="1">
      <alignment horizontal="center" vertical="center"/>
    </xf>
    <xf numFmtId="170" fontId="0" fillId="0" borderId="52" xfId="0" applyNumberFormat="1" applyBorder="1" applyAlignment="1">
      <alignment horizontal="center" vertical="center"/>
    </xf>
    <xf numFmtId="170" fontId="0" fillId="0" borderId="53" xfId="0" applyNumberFormat="1" applyBorder="1" applyAlignment="1">
      <alignment horizontal="center" vertical="center"/>
    </xf>
    <xf numFmtId="170" fontId="0" fillId="0" borderId="61" xfId="0" applyNumberFormat="1" applyBorder="1" applyAlignment="1">
      <alignment horizontal="center" vertical="center"/>
    </xf>
    <xf numFmtId="170" fontId="0" fillId="0" borderId="54" xfId="0" applyNumberFormat="1" applyBorder="1" applyAlignment="1">
      <alignment horizontal="center" vertical="center"/>
    </xf>
    <xf numFmtId="0" fontId="2" fillId="0" borderId="57" xfId="0" applyFont="1" applyBorder="1"/>
    <xf numFmtId="0" fontId="2" fillId="14" borderId="4" xfId="5" applyNumberFormat="1" applyFont="1" applyFill="1" applyBorder="1" applyAlignment="1">
      <alignment horizontal="center" vertical="center"/>
    </xf>
    <xf numFmtId="165" fontId="4" fillId="0" borderId="17" xfId="1" applyFont="1" applyFill="1" applyBorder="1" applyAlignment="1">
      <alignment horizontal="center"/>
    </xf>
    <xf numFmtId="0" fontId="1" fillId="0" borderId="73" xfId="5" applyNumberFormat="1" applyBorder="1" applyAlignment="1">
      <alignment horizontal="center"/>
    </xf>
    <xf numFmtId="0" fontId="1" fillId="0" borderId="76" xfId="5" applyNumberFormat="1" applyBorder="1" applyAlignment="1">
      <alignment horizontal="center"/>
    </xf>
    <xf numFmtId="0" fontId="0" fillId="25" borderId="35" xfId="5" applyNumberFormat="1" applyFont="1" applyFill="1" applyBorder="1" applyAlignment="1">
      <alignment horizontal="center"/>
    </xf>
    <xf numFmtId="0" fontId="1" fillId="25" borderId="65" xfId="5" applyNumberFormat="1" applyFill="1" applyBorder="1" applyAlignment="1">
      <alignment horizontal="center"/>
    </xf>
    <xf numFmtId="0" fontId="1" fillId="25" borderId="63" xfId="5" applyNumberFormat="1" applyFill="1" applyBorder="1" applyAlignment="1">
      <alignment horizontal="center"/>
    </xf>
    <xf numFmtId="0" fontId="1" fillId="13" borderId="61" xfId="5" applyNumberFormat="1" applyFill="1" applyBorder="1" applyAlignment="1">
      <alignment horizontal="center"/>
    </xf>
    <xf numFmtId="0" fontId="1" fillId="13" borderId="54" xfId="5" applyNumberFormat="1" applyFill="1" applyBorder="1" applyAlignment="1">
      <alignment horizontal="center"/>
    </xf>
    <xf numFmtId="166" fontId="14" fillId="25" borderId="20" xfId="5" applyNumberFormat="1" applyFont="1" applyFill="1" applyBorder="1" applyAlignment="1">
      <alignment horizontal="center"/>
    </xf>
    <xf numFmtId="166" fontId="37" fillId="25" borderId="19" xfId="5" applyNumberFormat="1" applyFont="1" applyFill="1" applyBorder="1" applyAlignment="1">
      <alignment horizontal="center"/>
    </xf>
    <xf numFmtId="166" fontId="14" fillId="25" borderId="19" xfId="5" applyNumberFormat="1" applyFont="1" applyFill="1" applyBorder="1" applyAlignment="1">
      <alignment horizontal="center"/>
    </xf>
    <xf numFmtId="166" fontId="34" fillId="25" borderId="19" xfId="5" applyNumberFormat="1" applyFont="1" applyFill="1" applyBorder="1" applyAlignment="1">
      <alignment horizontal="center"/>
    </xf>
    <xf numFmtId="166" fontId="4" fillId="25" borderId="19" xfId="5" applyNumberFormat="1" applyFont="1" applyFill="1" applyBorder="1" applyAlignment="1">
      <alignment horizontal="center"/>
    </xf>
    <xf numFmtId="167" fontId="0" fillId="20" borderId="5" xfId="5" applyFont="1" applyFill="1" applyBorder="1" applyAlignment="1">
      <alignment horizontal="left"/>
    </xf>
    <xf numFmtId="167" fontId="0" fillId="20" borderId="6" xfId="5" applyFont="1" applyFill="1" applyBorder="1" applyAlignment="1">
      <alignment horizontal="left"/>
    </xf>
    <xf numFmtId="166" fontId="38" fillId="16" borderId="21" xfId="5" applyNumberFormat="1" applyFont="1" applyFill="1" applyBorder="1" applyAlignment="1">
      <alignment horizontal="center"/>
    </xf>
    <xf numFmtId="166" fontId="14" fillId="16" borderId="20" xfId="5" applyNumberFormat="1" applyFont="1" applyFill="1" applyBorder="1" applyAlignment="1">
      <alignment horizontal="center"/>
    </xf>
    <xf numFmtId="166" fontId="37" fillId="16" borderId="19" xfId="5" applyNumberFormat="1" applyFont="1" applyFill="1" applyBorder="1" applyAlignment="1">
      <alignment horizontal="center"/>
    </xf>
    <xf numFmtId="166" fontId="14" fillId="16" borderId="19" xfId="5" applyNumberFormat="1" applyFont="1" applyFill="1" applyBorder="1" applyAlignment="1">
      <alignment horizontal="center"/>
    </xf>
    <xf numFmtId="166" fontId="34" fillId="16" borderId="19" xfId="5" applyNumberFormat="1" applyFont="1" applyFill="1" applyBorder="1" applyAlignment="1">
      <alignment horizontal="center"/>
    </xf>
    <xf numFmtId="166" fontId="2" fillId="0" borderId="20" xfId="5" applyNumberFormat="1" applyFont="1" applyBorder="1" applyAlignment="1">
      <alignment horizontal="center"/>
    </xf>
    <xf numFmtId="166" fontId="18" fillId="0" borderId="19" xfId="5" applyNumberFormat="1" applyFont="1" applyBorder="1" applyAlignment="1">
      <alignment horizontal="right" vertical="center"/>
    </xf>
    <xf numFmtId="165" fontId="0" fillId="5" borderId="38" xfId="0" applyNumberFormat="1" applyFill="1" applyBorder="1"/>
    <xf numFmtId="165" fontId="0" fillId="5" borderId="68" xfId="0" applyNumberFormat="1" applyFill="1" applyBorder="1"/>
    <xf numFmtId="165" fontId="0" fillId="5" borderId="40" xfId="0" applyNumberFormat="1" applyFill="1" applyBorder="1"/>
    <xf numFmtId="165" fontId="0" fillId="5" borderId="38" xfId="1" applyFont="1" applyFill="1" applyBorder="1"/>
    <xf numFmtId="165" fontId="0" fillId="5" borderId="39" xfId="0" applyNumberFormat="1" applyFill="1" applyBorder="1"/>
    <xf numFmtId="170" fontId="0" fillId="5" borderId="38" xfId="0" applyNumberFormat="1" applyFill="1" applyBorder="1"/>
    <xf numFmtId="165" fontId="0" fillId="5" borderId="37" xfId="1" applyFont="1" applyFill="1" applyBorder="1"/>
    <xf numFmtId="165" fontId="0" fillId="5" borderId="37" xfId="0" applyNumberFormat="1" applyFill="1" applyBorder="1"/>
    <xf numFmtId="166" fontId="14" fillId="16" borderId="57" xfId="5" applyNumberFormat="1" applyFont="1" applyFill="1" applyBorder="1" applyAlignment="1">
      <alignment horizontal="center"/>
    </xf>
    <xf numFmtId="166" fontId="37" fillId="16" borderId="57" xfId="5" applyNumberFormat="1" applyFont="1" applyFill="1" applyBorder="1" applyAlignment="1">
      <alignment horizontal="center"/>
    </xf>
    <xf numFmtId="166" fontId="34" fillId="16" borderId="57" xfId="5" applyNumberFormat="1" applyFont="1" applyFill="1" applyBorder="1" applyAlignment="1">
      <alignment horizontal="center"/>
    </xf>
    <xf numFmtId="166" fontId="2" fillId="0" borderId="57" xfId="5" applyNumberFormat="1" applyFont="1" applyBorder="1" applyAlignment="1">
      <alignment horizontal="center"/>
    </xf>
    <xf numFmtId="170" fontId="1" fillId="0" borderId="57" xfId="1" applyNumberFormat="1" applyFont="1" applyBorder="1" applyAlignment="1">
      <alignment horizontal="center"/>
    </xf>
    <xf numFmtId="0" fontId="1" fillId="0" borderId="57" xfId="5" applyNumberFormat="1" applyBorder="1" applyAlignment="1">
      <alignment horizontal="center"/>
    </xf>
    <xf numFmtId="0" fontId="1" fillId="12" borderId="57" xfId="5" applyNumberFormat="1" applyFill="1" applyBorder="1" applyAlignment="1">
      <alignment horizontal="center"/>
    </xf>
    <xf numFmtId="0" fontId="0" fillId="12" borderId="57" xfId="5" applyNumberFormat="1" applyFont="1" applyFill="1" applyBorder="1" applyAlignment="1">
      <alignment horizontal="center"/>
    </xf>
    <xf numFmtId="166" fontId="14" fillId="16" borderId="60" xfId="5" applyNumberFormat="1" applyFont="1" applyFill="1" applyBorder="1" applyAlignment="1">
      <alignment horizontal="center"/>
    </xf>
    <xf numFmtId="166" fontId="37" fillId="16" borderId="60" xfId="5" applyNumberFormat="1" applyFont="1" applyFill="1" applyBorder="1" applyAlignment="1">
      <alignment horizontal="center"/>
    </xf>
    <xf numFmtId="166" fontId="34" fillId="16" borderId="60" xfId="5" applyNumberFormat="1" applyFont="1" applyFill="1" applyBorder="1" applyAlignment="1">
      <alignment horizontal="center"/>
    </xf>
    <xf numFmtId="170" fontId="1" fillId="0" borderId="60" xfId="1" applyNumberFormat="1" applyFont="1" applyBorder="1" applyAlignment="1">
      <alignment horizontal="center"/>
    </xf>
    <xf numFmtId="0" fontId="1" fillId="12" borderId="50" xfId="5" applyNumberFormat="1" applyFill="1" applyBorder="1" applyAlignment="1">
      <alignment horizontal="center"/>
    </xf>
    <xf numFmtId="0" fontId="1" fillId="12" borderId="52" xfId="5" applyNumberFormat="1" applyFill="1" applyBorder="1" applyAlignment="1">
      <alignment horizontal="center"/>
    </xf>
    <xf numFmtId="0" fontId="1" fillId="0" borderId="61" xfId="5" applyNumberFormat="1" applyBorder="1" applyAlignment="1">
      <alignment horizontal="center"/>
    </xf>
    <xf numFmtId="0" fontId="1" fillId="12" borderId="61" xfId="5" applyNumberFormat="1" applyFill="1" applyBorder="1" applyAlignment="1">
      <alignment horizontal="center"/>
    </xf>
    <xf numFmtId="0" fontId="0" fillId="12" borderId="61" xfId="5" applyNumberFormat="1" applyFont="1" applyFill="1" applyBorder="1" applyAlignment="1">
      <alignment horizontal="center"/>
    </xf>
    <xf numFmtId="49" fontId="1" fillId="0" borderId="0" xfId="5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6" fillId="0" borderId="2" xfId="5" applyNumberFormat="1" applyFont="1" applyBorder="1" applyAlignment="1">
      <alignment horizontal="center"/>
    </xf>
    <xf numFmtId="0" fontId="5" fillId="13" borderId="60" xfId="5" applyNumberFormat="1" applyFont="1" applyFill="1" applyBorder="1" applyAlignment="1">
      <alignment horizontal="center"/>
    </xf>
    <xf numFmtId="0" fontId="5" fillId="13" borderId="57" xfId="5" applyNumberFormat="1" applyFont="1" applyFill="1" applyBorder="1" applyAlignment="1">
      <alignment horizontal="center"/>
    </xf>
    <xf numFmtId="0" fontId="5" fillId="25" borderId="35" xfId="5" applyNumberFormat="1" applyFont="1" applyFill="1" applyBorder="1" applyAlignment="1">
      <alignment horizontal="center"/>
    </xf>
    <xf numFmtId="0" fontId="5" fillId="0" borderId="60" xfId="5" applyNumberFormat="1" applyFont="1" applyBorder="1" applyAlignment="1">
      <alignment horizontal="center"/>
    </xf>
    <xf numFmtId="0" fontId="5" fillId="13" borderId="61" xfId="5" applyNumberFormat="1" applyFont="1" applyFill="1" applyBorder="1" applyAlignment="1">
      <alignment horizontal="center"/>
    </xf>
    <xf numFmtId="0" fontId="5" fillId="25" borderId="65" xfId="5" applyNumberFormat="1" applyFont="1" applyFill="1" applyBorder="1" applyAlignment="1">
      <alignment horizontal="center"/>
    </xf>
    <xf numFmtId="0" fontId="5" fillId="0" borderId="73" xfId="5" applyNumberFormat="1" applyFont="1" applyBorder="1" applyAlignment="1">
      <alignment horizontal="center"/>
    </xf>
    <xf numFmtId="0" fontId="5" fillId="25" borderId="26" xfId="5" applyNumberFormat="1" applyFont="1" applyFill="1" applyBorder="1" applyAlignment="1">
      <alignment horizontal="center"/>
    </xf>
    <xf numFmtId="0" fontId="5" fillId="13" borderId="35" xfId="5" applyNumberFormat="1" applyFont="1" applyFill="1" applyBorder="1" applyAlignment="1">
      <alignment horizontal="center"/>
    </xf>
    <xf numFmtId="0" fontId="5" fillId="0" borderId="57" xfId="5" applyNumberFormat="1" applyFont="1" applyBorder="1" applyAlignment="1">
      <alignment horizontal="center"/>
    </xf>
    <xf numFmtId="165" fontId="5" fillId="5" borderId="68" xfId="0" applyNumberFormat="1" applyFont="1" applyFill="1" applyBorder="1" applyAlignment="1">
      <alignment horizontal="center"/>
    </xf>
    <xf numFmtId="0" fontId="5" fillId="0" borderId="0" xfId="2" applyFont="1" applyAlignment="1">
      <alignment horizontal="center"/>
    </xf>
    <xf numFmtId="0" fontId="1" fillId="13" borderId="69" xfId="5" applyNumberFormat="1" applyFill="1" applyBorder="1" applyAlignment="1">
      <alignment horizontal="center"/>
    </xf>
    <xf numFmtId="0" fontId="5" fillId="13" borderId="1" xfId="5" applyNumberFormat="1" applyFont="1" applyFill="1" applyBorder="1" applyAlignment="1">
      <alignment horizontal="center"/>
    </xf>
    <xf numFmtId="0" fontId="0" fillId="0" borderId="47" xfId="5" applyNumberFormat="1" applyFont="1" applyBorder="1" applyAlignment="1">
      <alignment horizontal="center"/>
    </xf>
    <xf numFmtId="0" fontId="1" fillId="0" borderId="22" xfId="5" applyNumberFormat="1" applyBorder="1" applyAlignment="1">
      <alignment horizontal="center"/>
    </xf>
    <xf numFmtId="0" fontId="2" fillId="17" borderId="19" xfId="5" applyNumberFormat="1" applyFont="1" applyFill="1" applyBorder="1" applyAlignment="1">
      <alignment horizontal="center" vertical="center"/>
    </xf>
    <xf numFmtId="0" fontId="2" fillId="17" borderId="41" xfId="5" applyNumberFormat="1" applyFont="1" applyFill="1" applyBorder="1" applyAlignment="1">
      <alignment horizontal="center" vertical="center"/>
    </xf>
    <xf numFmtId="0" fontId="2" fillId="18" borderId="41" xfId="5" applyNumberFormat="1" applyFont="1" applyFill="1" applyBorder="1" applyAlignment="1">
      <alignment horizontal="center" vertical="center"/>
    </xf>
    <xf numFmtId="0" fontId="2" fillId="20" borderId="4" xfId="5" applyNumberFormat="1" applyFont="1" applyFill="1" applyBorder="1" applyAlignment="1">
      <alignment horizontal="center" vertical="center"/>
    </xf>
    <xf numFmtId="0" fontId="2" fillId="18" borderId="17" xfId="5" applyNumberFormat="1" applyFont="1" applyFill="1" applyBorder="1" applyAlignment="1">
      <alignment horizontal="center" vertical="center"/>
    </xf>
    <xf numFmtId="0" fontId="2" fillId="18" borderId="3" xfId="5" applyNumberFormat="1" applyFont="1" applyFill="1" applyBorder="1" applyAlignment="1">
      <alignment horizontal="center" vertical="center"/>
    </xf>
    <xf numFmtId="0" fontId="2" fillId="17" borderId="3" xfId="5" applyNumberFormat="1" applyFont="1" applyFill="1" applyBorder="1" applyAlignment="1">
      <alignment horizontal="center" vertical="center"/>
    </xf>
    <xf numFmtId="166" fontId="19" fillId="0" borderId="10" xfId="5" applyNumberFormat="1" applyFont="1" applyBorder="1" applyAlignment="1">
      <alignment horizontal="center" vertical="center"/>
    </xf>
    <xf numFmtId="166" fontId="19" fillId="0" borderId="21" xfId="5" applyNumberFormat="1" applyFont="1" applyBorder="1" applyAlignment="1">
      <alignment horizontal="center" vertical="center"/>
    </xf>
    <xf numFmtId="166" fontId="19" fillId="0" borderId="32" xfId="5" applyNumberFormat="1" applyFont="1" applyBorder="1" applyAlignment="1">
      <alignment horizontal="center" vertical="center"/>
    </xf>
    <xf numFmtId="0" fontId="1" fillId="19" borderId="17" xfId="5" applyNumberFormat="1" applyFill="1" applyBorder="1" applyAlignment="1">
      <alignment horizontal="left"/>
    </xf>
    <xf numFmtId="0" fontId="0" fillId="0" borderId="24" xfId="0" applyBorder="1"/>
    <xf numFmtId="166" fontId="14" fillId="16" borderId="44" xfId="5" applyNumberFormat="1" applyFont="1" applyFill="1" applyBorder="1" applyAlignment="1">
      <alignment horizontal="center"/>
    </xf>
    <xf numFmtId="166" fontId="37" fillId="16" borderId="23" xfId="5" applyNumberFormat="1" applyFont="1" applyFill="1" applyBorder="1" applyAlignment="1">
      <alignment horizontal="center"/>
    </xf>
    <xf numFmtId="166" fontId="14" fillId="16" borderId="23" xfId="5" applyNumberFormat="1" applyFont="1" applyFill="1" applyBorder="1" applyAlignment="1">
      <alignment horizontal="center"/>
    </xf>
    <xf numFmtId="166" fontId="34" fillId="16" borderId="23" xfId="5" applyNumberFormat="1" applyFont="1" applyFill="1" applyBorder="1" applyAlignment="1">
      <alignment horizontal="center"/>
    </xf>
    <xf numFmtId="166" fontId="18" fillId="0" borderId="23" xfId="5" applyNumberFormat="1" applyFont="1" applyBorder="1" applyAlignment="1">
      <alignment horizontal="right" vertical="center"/>
    </xf>
    <xf numFmtId="165" fontId="1" fillId="7" borderId="14" xfId="1" applyFont="1" applyFill="1" applyBorder="1" applyAlignment="1">
      <alignment horizontal="center"/>
    </xf>
    <xf numFmtId="0" fontId="1" fillId="7" borderId="55" xfId="5" applyNumberFormat="1" applyFill="1" applyBorder="1" applyAlignment="1">
      <alignment horizontal="center"/>
    </xf>
    <xf numFmtId="170" fontId="1" fillId="13" borderId="14" xfId="1" applyNumberFormat="1" applyFont="1" applyFill="1" applyBorder="1" applyAlignment="1">
      <alignment horizontal="center"/>
    </xf>
    <xf numFmtId="165" fontId="1" fillId="13" borderId="74" xfId="1" applyFont="1" applyFill="1" applyBorder="1" applyAlignment="1">
      <alignment horizontal="center"/>
    </xf>
    <xf numFmtId="0" fontId="1" fillId="13" borderId="76" xfId="5" applyNumberFormat="1" applyFill="1" applyBorder="1" applyAlignment="1">
      <alignment horizontal="center"/>
    </xf>
    <xf numFmtId="0" fontId="1" fillId="7" borderId="24" xfId="5" applyNumberFormat="1" applyFill="1" applyBorder="1" applyAlignment="1">
      <alignment horizontal="center"/>
    </xf>
    <xf numFmtId="14" fontId="0" fillId="0" borderId="0" xfId="0" applyNumberFormat="1"/>
    <xf numFmtId="17" fontId="0" fillId="0" borderId="0" xfId="0" applyNumberFormat="1"/>
    <xf numFmtId="49" fontId="8" fillId="13" borderId="7" xfId="2" applyNumberFormat="1" applyFont="1" applyFill="1" applyBorder="1" applyAlignment="1" applyProtection="1">
      <alignment horizontal="left"/>
    </xf>
    <xf numFmtId="49" fontId="8" fillId="13" borderId="42" xfId="2" applyNumberFormat="1" applyFont="1" applyFill="1" applyBorder="1" applyAlignment="1" applyProtection="1">
      <alignment horizontal="left"/>
    </xf>
    <xf numFmtId="49" fontId="8" fillId="13" borderId="20" xfId="2" applyNumberFormat="1" applyFont="1" applyFill="1" applyBorder="1" applyAlignment="1" applyProtection="1">
      <alignment horizontal="left"/>
    </xf>
    <xf numFmtId="49" fontId="8" fillId="13" borderId="1" xfId="2" applyNumberFormat="1" applyFont="1" applyFill="1" applyBorder="1" applyAlignment="1" applyProtection="1">
      <alignment horizontal="left"/>
    </xf>
    <xf numFmtId="165" fontId="4" fillId="0" borderId="19" xfId="1" applyFont="1" applyFill="1" applyBorder="1" applyAlignment="1">
      <alignment horizontal="center"/>
    </xf>
    <xf numFmtId="170" fontId="0" fillId="4" borderId="84" xfId="0" applyNumberFormat="1" applyFill="1" applyBorder="1" applyAlignment="1">
      <alignment horizontal="center" vertical="center"/>
    </xf>
    <xf numFmtId="170" fontId="0" fillId="4" borderId="77" xfId="0" applyNumberFormat="1" applyFill="1" applyBorder="1" applyAlignment="1">
      <alignment horizontal="center" vertical="center"/>
    </xf>
    <xf numFmtId="170" fontId="0" fillId="4" borderId="85" xfId="0" applyNumberForma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7" xfId="0" applyFont="1" applyFill="1" applyBorder="1"/>
    <xf numFmtId="0" fontId="1" fillId="13" borderId="65" xfId="5" applyNumberFormat="1" applyFill="1" applyBorder="1" applyAlignment="1">
      <alignment horizontal="center" wrapText="1"/>
    </xf>
    <xf numFmtId="167" fontId="2" fillId="9" borderId="19" xfId="5" applyFont="1" applyFill="1" applyBorder="1" applyAlignment="1">
      <alignment horizontal="center"/>
    </xf>
    <xf numFmtId="44" fontId="0" fillId="0" borderId="0" xfId="0" applyNumberFormat="1"/>
    <xf numFmtId="171" fontId="2" fillId="5" borderId="1" xfId="0" applyNumberFormat="1" applyFont="1" applyFill="1" applyBorder="1" applyAlignment="1">
      <alignment horizontal="center"/>
    </xf>
    <xf numFmtId="0" fontId="0" fillId="0" borderId="57" xfId="5" applyNumberFormat="1" applyFont="1" applyBorder="1" applyAlignment="1">
      <alignment horizontal="center"/>
    </xf>
    <xf numFmtId="166" fontId="19" fillId="0" borderId="42" xfId="5" applyNumberFormat="1" applyFont="1" applyBorder="1" applyAlignment="1">
      <alignment horizontal="center" vertical="center"/>
    </xf>
    <xf numFmtId="171" fontId="14" fillId="0" borderId="4" xfId="5" applyNumberFormat="1" applyFont="1" applyBorder="1" applyAlignment="1">
      <alignment horizontal="center"/>
    </xf>
    <xf numFmtId="171" fontId="14" fillId="0" borderId="1" xfId="5" applyNumberFormat="1" applyFont="1" applyBorder="1" applyAlignment="1">
      <alignment horizontal="center"/>
    </xf>
    <xf numFmtId="167" fontId="14" fillId="0" borderId="1" xfId="5" applyFont="1" applyBorder="1" applyAlignment="1">
      <alignment horizontal="center"/>
    </xf>
    <xf numFmtId="0" fontId="2" fillId="0" borderId="0" xfId="5" applyNumberFormat="1" applyFont="1" applyAlignment="1">
      <alignment horizontal="center"/>
    </xf>
    <xf numFmtId="0" fontId="2" fillId="9" borderId="20" xfId="5" applyNumberFormat="1" applyFont="1" applyFill="1" applyBorder="1" applyAlignment="1">
      <alignment horizontal="center"/>
    </xf>
    <xf numFmtId="165" fontId="1" fillId="0" borderId="1" xfId="1" applyFont="1" applyFill="1" applyBorder="1" applyAlignment="1">
      <alignment horizontal="center"/>
    </xf>
    <xf numFmtId="0" fontId="1" fillId="0" borderId="2" xfId="5" applyNumberFormat="1" applyBorder="1" applyAlignment="1">
      <alignment horizontal="center"/>
    </xf>
    <xf numFmtId="0" fontId="0" fillId="0" borderId="61" xfId="5" applyNumberFormat="1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" fillId="0" borderId="3" xfId="5" applyNumberFormat="1" applyBorder="1" applyAlignment="1">
      <alignment horizontal="center" vertical="top"/>
    </xf>
    <xf numFmtId="167" fontId="0" fillId="0" borderId="3" xfId="5" applyFont="1" applyBorder="1" applyAlignment="1">
      <alignment horizontal="left"/>
    </xf>
    <xf numFmtId="0" fontId="1" fillId="0" borderId="4" xfId="5" applyNumberFormat="1" applyBorder="1" applyAlignment="1">
      <alignment horizontal="center" vertical="top"/>
    </xf>
    <xf numFmtId="167" fontId="0" fillId="0" borderId="4" xfId="5" applyFont="1" applyBorder="1" applyAlignment="1">
      <alignment horizontal="left"/>
    </xf>
    <xf numFmtId="0" fontId="2" fillId="9" borderId="18" xfId="5" applyNumberFormat="1" applyFont="1" applyFill="1" applyBorder="1" applyAlignment="1">
      <alignment horizontal="center"/>
    </xf>
    <xf numFmtId="49" fontId="4" fillId="0" borderId="10" xfId="5" applyNumberFormat="1" applyFont="1" applyBorder="1" applyAlignment="1">
      <alignment horizontal="center"/>
    </xf>
    <xf numFmtId="171" fontId="4" fillId="0" borderId="15" xfId="5" applyNumberFormat="1" applyFont="1" applyBorder="1" applyAlignment="1">
      <alignment horizontal="center"/>
    </xf>
    <xf numFmtId="171" fontId="4" fillId="0" borderId="16" xfId="5" applyNumberFormat="1" applyFont="1" applyBorder="1" applyAlignment="1">
      <alignment horizontal="center"/>
    </xf>
    <xf numFmtId="165" fontId="2" fillId="0" borderId="3" xfId="1" applyFont="1" applyBorder="1" applyAlignment="1">
      <alignment horizontal="center"/>
    </xf>
    <xf numFmtId="165" fontId="2" fillId="0" borderId="4" xfId="1" applyFont="1" applyBorder="1" applyAlignment="1">
      <alignment horizontal="center"/>
    </xf>
    <xf numFmtId="0" fontId="2" fillId="0" borderId="7" xfId="5" applyNumberFormat="1" applyFont="1" applyBorder="1"/>
    <xf numFmtId="49" fontId="2" fillId="0" borderId="1" xfId="4" applyNumberFormat="1" applyFont="1" applyBorder="1" applyAlignment="1">
      <alignment horizontal="right"/>
    </xf>
    <xf numFmtId="168" fontId="1" fillId="0" borderId="2" xfId="4" applyNumberFormat="1" applyBorder="1"/>
    <xf numFmtId="49" fontId="3" fillId="11" borderId="1" xfId="2" applyNumberFormat="1" applyFill="1" applyBorder="1" applyAlignment="1" applyProtection="1"/>
    <xf numFmtId="0" fontId="0" fillId="4" borderId="8" xfId="5" applyNumberFormat="1" applyFont="1" applyFill="1" applyBorder="1" applyAlignment="1">
      <alignment horizontal="center" vertical="center"/>
    </xf>
    <xf numFmtId="0" fontId="0" fillId="7" borderId="42" xfId="5" applyNumberFormat="1" applyFont="1" applyFill="1" applyBorder="1" applyAlignment="1">
      <alignment horizontal="center" vertical="center"/>
    </xf>
    <xf numFmtId="0" fontId="1" fillId="25" borderId="0" xfId="5" applyNumberFormat="1" applyFill="1" applyAlignment="1">
      <alignment horizontal="center"/>
    </xf>
    <xf numFmtId="0" fontId="2" fillId="8" borderId="41" xfId="5" applyNumberFormat="1" applyFont="1" applyFill="1" applyBorder="1" applyAlignment="1">
      <alignment horizontal="center" vertical="center"/>
    </xf>
    <xf numFmtId="0" fontId="0" fillId="8" borderId="0" xfId="0" applyFill="1"/>
    <xf numFmtId="0" fontId="35" fillId="5" borderId="32" xfId="0" applyFont="1" applyFill="1" applyBorder="1" applyAlignment="1">
      <alignment horizontal="center" vertical="center"/>
    </xf>
    <xf numFmtId="167" fontId="0" fillId="18" borderId="46" xfId="5" applyFont="1" applyFill="1" applyBorder="1" applyAlignment="1">
      <alignment horizontal="left"/>
    </xf>
    <xf numFmtId="167" fontId="0" fillId="18" borderId="9" xfId="5" applyFont="1" applyFill="1" applyBorder="1" applyAlignment="1">
      <alignment horizontal="left"/>
    </xf>
    <xf numFmtId="167" fontId="22" fillId="49" borderId="9" xfId="5" applyFont="1" applyFill="1" applyBorder="1" applyAlignment="1">
      <alignment horizontal="center" vertical="center"/>
    </xf>
    <xf numFmtId="167" fontId="0" fillId="19" borderId="46" xfId="5" applyFont="1" applyFill="1" applyBorder="1" applyAlignment="1">
      <alignment horizontal="left"/>
    </xf>
    <xf numFmtId="167" fontId="0" fillId="19" borderId="9" xfId="5" applyFont="1" applyFill="1" applyBorder="1" applyAlignment="1">
      <alignment horizontal="left"/>
    </xf>
    <xf numFmtId="167" fontId="22" fillId="47" borderId="46" xfId="5" applyFont="1" applyFill="1" applyBorder="1" applyAlignment="1">
      <alignment horizontal="center" vertical="center"/>
    </xf>
    <xf numFmtId="167" fontId="0" fillId="12" borderId="8" xfId="5" applyFont="1" applyFill="1" applyBorder="1" applyAlignment="1">
      <alignment horizontal="left"/>
    </xf>
    <xf numFmtId="167" fontId="0" fillId="12" borderId="9" xfId="5" applyFont="1" applyFill="1" applyBorder="1" applyAlignment="1">
      <alignment horizontal="left"/>
    </xf>
    <xf numFmtId="167" fontId="57" fillId="51" borderId="9" xfId="5" applyFont="1" applyFill="1" applyBorder="1" applyAlignment="1">
      <alignment horizontal="center"/>
    </xf>
    <xf numFmtId="167" fontId="0" fillId="14" borderId="9" xfId="5" applyFont="1" applyFill="1" applyBorder="1" applyAlignment="1">
      <alignment horizontal="left"/>
    </xf>
    <xf numFmtId="167" fontId="0" fillId="10" borderId="46" xfId="5" applyFont="1" applyFill="1" applyBorder="1" applyAlignment="1">
      <alignment horizontal="left"/>
    </xf>
    <xf numFmtId="167" fontId="22" fillId="48" borderId="46" xfId="5" applyFont="1" applyFill="1" applyBorder="1" applyAlignment="1">
      <alignment horizontal="center" vertical="center"/>
    </xf>
    <xf numFmtId="0" fontId="0" fillId="8" borderId="56" xfId="0" applyFill="1" applyBorder="1" applyAlignment="1">
      <alignment horizontal="center" vertical="center"/>
    </xf>
    <xf numFmtId="0" fontId="0" fillId="21" borderId="56" xfId="5" applyNumberFormat="1" applyFont="1" applyFill="1" applyBorder="1" applyAlignment="1">
      <alignment horizontal="center" vertical="center"/>
    </xf>
    <xf numFmtId="0" fontId="0" fillId="14" borderId="1" xfId="5" applyNumberFormat="1" applyFont="1" applyFill="1" applyBorder="1" applyAlignment="1">
      <alignment horizontal="center" vertical="center"/>
    </xf>
    <xf numFmtId="0" fontId="0" fillId="0" borderId="44" xfId="5" applyNumberFormat="1" applyFont="1" applyBorder="1" applyAlignment="1">
      <alignment horizontal="center"/>
    </xf>
    <xf numFmtId="0" fontId="0" fillId="0" borderId="6" xfId="5" applyNumberFormat="1" applyFont="1" applyBorder="1" applyAlignment="1">
      <alignment horizontal="center"/>
    </xf>
    <xf numFmtId="0" fontId="1" fillId="0" borderId="66" xfId="5" applyNumberFormat="1" applyBorder="1" applyAlignment="1">
      <alignment horizontal="center"/>
    </xf>
    <xf numFmtId="0" fontId="1" fillId="0" borderId="67" xfId="5" applyNumberFormat="1" applyBorder="1" applyAlignment="1">
      <alignment horizontal="center"/>
    </xf>
    <xf numFmtId="0" fontId="1" fillId="0" borderId="16" xfId="5" applyNumberFormat="1" applyBorder="1" applyAlignment="1">
      <alignment horizontal="center"/>
    </xf>
    <xf numFmtId="0" fontId="0" fillId="7" borderId="59" xfId="5" applyNumberFormat="1" applyFont="1" applyFill="1" applyBorder="1" applyAlignment="1">
      <alignment horizontal="center"/>
    </xf>
    <xf numFmtId="0" fontId="0" fillId="7" borderId="75" xfId="5" applyNumberFormat="1" applyFont="1" applyFill="1" applyBorder="1" applyAlignment="1">
      <alignment horizontal="center"/>
    </xf>
    <xf numFmtId="0" fontId="1" fillId="7" borderId="0" xfId="5" applyNumberFormat="1" applyFill="1" applyAlignment="1">
      <alignment horizontal="center"/>
    </xf>
    <xf numFmtId="0" fontId="1" fillId="0" borderId="23" xfId="5" applyNumberFormat="1" applyBorder="1" applyAlignment="1">
      <alignment horizontal="center"/>
    </xf>
    <xf numFmtId="0" fontId="1" fillId="7" borderId="52" xfId="5" applyNumberFormat="1" applyFill="1" applyBorder="1" applyAlignment="1">
      <alignment horizontal="center"/>
    </xf>
    <xf numFmtId="166" fontId="34" fillId="0" borderId="57" xfId="5" applyNumberFormat="1" applyFont="1" applyBorder="1" applyAlignment="1">
      <alignment horizontal="center"/>
    </xf>
    <xf numFmtId="49" fontId="2" fillId="0" borderId="19" xfId="5" applyNumberFormat="1" applyFont="1" applyBorder="1" applyAlignment="1">
      <alignment horizontal="center"/>
    </xf>
    <xf numFmtId="0" fontId="0" fillId="0" borderId="35" xfId="5" applyNumberFormat="1" applyFont="1" applyBorder="1" applyAlignment="1">
      <alignment horizontal="center"/>
    </xf>
    <xf numFmtId="165" fontId="1" fillId="12" borderId="35" xfId="1" applyFont="1" applyFill="1" applyBorder="1" applyAlignment="1">
      <alignment horizontal="center"/>
    </xf>
    <xf numFmtId="165" fontId="1" fillId="0" borderId="35" xfId="1" applyFont="1" applyBorder="1" applyAlignment="1">
      <alignment horizontal="center"/>
    </xf>
    <xf numFmtId="0" fontId="0" fillId="12" borderId="43" xfId="5" applyNumberFormat="1" applyFont="1" applyFill="1" applyBorder="1" applyAlignment="1">
      <alignment horizontal="center"/>
    </xf>
    <xf numFmtId="0" fontId="0" fillId="12" borderId="52" xfId="5" applyNumberFormat="1" applyFont="1" applyFill="1" applyBorder="1" applyAlignment="1">
      <alignment horizontal="center"/>
    </xf>
    <xf numFmtId="0" fontId="0" fillId="12" borderId="54" xfId="5" applyNumberFormat="1" applyFont="1" applyFill="1" applyBorder="1" applyAlignment="1">
      <alignment horizontal="center"/>
    </xf>
    <xf numFmtId="0" fontId="0" fillId="12" borderId="36" xfId="5" applyNumberFormat="1" applyFont="1" applyFill="1" applyBorder="1" applyAlignment="1">
      <alignment horizontal="center"/>
    </xf>
    <xf numFmtId="0" fontId="0" fillId="12" borderId="58" xfId="5" applyNumberFormat="1" applyFont="1" applyFill="1" applyBorder="1" applyAlignment="1">
      <alignment horizontal="center"/>
    </xf>
    <xf numFmtId="0" fontId="0" fillId="12" borderId="72" xfId="5" applyNumberFormat="1" applyFont="1" applyFill="1" applyBorder="1" applyAlignment="1">
      <alignment horizontal="center"/>
    </xf>
    <xf numFmtId="0" fontId="1" fillId="7" borderId="58" xfId="5" applyNumberFormat="1" applyFill="1" applyBorder="1" applyAlignment="1">
      <alignment horizontal="center"/>
    </xf>
    <xf numFmtId="165" fontId="1" fillId="13" borderId="19" xfId="1" applyFont="1" applyFill="1" applyBorder="1" applyAlignment="1">
      <alignment horizontal="center"/>
    </xf>
    <xf numFmtId="165" fontId="1" fillId="0" borderId="19" xfId="1" applyFont="1" applyBorder="1" applyAlignment="1">
      <alignment horizontal="center"/>
    </xf>
    <xf numFmtId="165" fontId="1" fillId="0" borderId="22" xfId="1" applyFont="1" applyBorder="1" applyAlignment="1">
      <alignment horizontal="center"/>
    </xf>
    <xf numFmtId="165" fontId="1" fillId="0" borderId="4" xfId="1" applyFont="1" applyBorder="1" applyAlignment="1">
      <alignment horizontal="center"/>
    </xf>
    <xf numFmtId="165" fontId="1" fillId="0" borderId="23" xfId="1" applyFont="1" applyBorder="1" applyAlignment="1">
      <alignment horizontal="center"/>
    </xf>
    <xf numFmtId="165" fontId="1" fillId="13" borderId="3" xfId="1" applyFont="1" applyFill="1" applyBorder="1" applyAlignment="1">
      <alignment horizontal="center"/>
    </xf>
    <xf numFmtId="165" fontId="1" fillId="13" borderId="17" xfId="1" applyFont="1" applyFill="1" applyBorder="1" applyAlignment="1">
      <alignment horizontal="center"/>
    </xf>
    <xf numFmtId="0" fontId="0" fillId="13" borderId="20" xfId="5" applyNumberFormat="1" applyFont="1" applyFill="1" applyBorder="1" applyAlignment="1">
      <alignment horizontal="center"/>
    </xf>
    <xf numFmtId="0" fontId="0" fillId="0" borderId="20" xfId="5" applyNumberFormat="1" applyFont="1" applyBorder="1" applyAlignment="1">
      <alignment horizontal="center"/>
    </xf>
    <xf numFmtId="0" fontId="0" fillId="13" borderId="5" xfId="5" applyNumberFormat="1" applyFont="1" applyFill="1" applyBorder="1" applyAlignment="1">
      <alignment horizontal="center"/>
    </xf>
    <xf numFmtId="0" fontId="0" fillId="13" borderId="6" xfId="5" applyNumberFormat="1" applyFont="1" applyFill="1" applyBorder="1" applyAlignment="1">
      <alignment horizontal="center"/>
    </xf>
    <xf numFmtId="0" fontId="0" fillId="13" borderId="24" xfId="5" applyNumberFormat="1" applyFont="1" applyFill="1" applyBorder="1" applyAlignment="1">
      <alignment horizontal="center"/>
    </xf>
    <xf numFmtId="0" fontId="1" fillId="13" borderId="20" xfId="5" applyNumberFormat="1" applyFill="1" applyBorder="1" applyAlignment="1">
      <alignment horizontal="center"/>
    </xf>
    <xf numFmtId="0" fontId="1" fillId="0" borderId="69" xfId="5" applyNumberFormat="1" applyBorder="1" applyAlignment="1">
      <alignment horizontal="center"/>
    </xf>
    <xf numFmtId="0" fontId="1" fillId="13" borderId="5" xfId="5" applyNumberFormat="1" applyFill="1" applyBorder="1" applyAlignment="1">
      <alignment horizontal="center"/>
    </xf>
    <xf numFmtId="0" fontId="1" fillId="13" borderId="6" xfId="5" applyNumberFormat="1" applyFill="1" applyBorder="1" applyAlignment="1">
      <alignment horizontal="center"/>
    </xf>
    <xf numFmtId="0" fontId="1" fillId="13" borderId="24" xfId="5" applyNumberFormat="1" applyFill="1" applyBorder="1" applyAlignment="1">
      <alignment horizontal="center"/>
    </xf>
    <xf numFmtId="0" fontId="1" fillId="13" borderId="16" xfId="5" applyNumberFormat="1" applyFill="1" applyBorder="1" applyAlignment="1">
      <alignment horizontal="center"/>
    </xf>
    <xf numFmtId="0" fontId="1" fillId="13" borderId="19" xfId="5" applyNumberFormat="1" applyFill="1" applyBorder="1" applyAlignment="1">
      <alignment horizontal="center"/>
    </xf>
    <xf numFmtId="0" fontId="1" fillId="13" borderId="3" xfId="5" applyNumberFormat="1" applyFill="1" applyBorder="1" applyAlignment="1">
      <alignment horizontal="center"/>
    </xf>
    <xf numFmtId="0" fontId="1" fillId="13" borderId="17" xfId="5" applyNumberFormat="1" applyFill="1" applyBorder="1" applyAlignment="1">
      <alignment horizontal="center"/>
    </xf>
    <xf numFmtId="0" fontId="1" fillId="0" borderId="58" xfId="5" applyNumberFormat="1" applyBorder="1" applyAlignment="1">
      <alignment horizontal="center"/>
    </xf>
    <xf numFmtId="0" fontId="1" fillId="7" borderId="68" xfId="5" applyNumberFormat="1" applyFill="1" applyBorder="1" applyAlignment="1">
      <alignment horizontal="center" vertical="center"/>
    </xf>
    <xf numFmtId="0" fontId="1" fillId="0" borderId="68" xfId="5" applyNumberFormat="1" applyBorder="1" applyAlignment="1">
      <alignment horizontal="center" vertical="center"/>
    </xf>
    <xf numFmtId="0" fontId="1" fillId="12" borderId="68" xfId="5" applyNumberFormat="1" applyFill="1" applyBorder="1" applyAlignment="1">
      <alignment horizontal="center" vertical="center"/>
    </xf>
    <xf numFmtId="166" fontId="37" fillId="16" borderId="32" xfId="5" applyNumberFormat="1" applyFont="1" applyFill="1" applyBorder="1" applyAlignment="1">
      <alignment horizontal="center"/>
    </xf>
    <xf numFmtId="166" fontId="34" fillId="16" borderId="32" xfId="5" applyNumberFormat="1" applyFont="1" applyFill="1" applyBorder="1" applyAlignment="1">
      <alignment horizontal="center"/>
    </xf>
    <xf numFmtId="165" fontId="1" fillId="0" borderId="37" xfId="1" applyFont="1" applyFill="1" applyBorder="1" applyAlignment="1">
      <alignment horizontal="center"/>
    </xf>
    <xf numFmtId="0" fontId="5" fillId="0" borderId="68" xfId="5" applyNumberFormat="1" applyFont="1" applyBorder="1" applyAlignment="1">
      <alignment horizontal="center"/>
    </xf>
    <xf numFmtId="0" fontId="1" fillId="0" borderId="40" xfId="5" applyNumberFormat="1" applyBorder="1" applyAlignment="1">
      <alignment horizontal="center"/>
    </xf>
    <xf numFmtId="165" fontId="1" fillId="7" borderId="37" xfId="1" applyFont="1" applyFill="1" applyBorder="1" applyAlignment="1">
      <alignment horizontal="center"/>
    </xf>
    <xf numFmtId="0" fontId="1" fillId="7" borderId="68" xfId="5" applyNumberFormat="1" applyFill="1" applyBorder="1" applyAlignment="1">
      <alignment horizontal="center"/>
    </xf>
    <xf numFmtId="0" fontId="1" fillId="7" borderId="40" xfId="5" applyNumberFormat="1" applyFill="1" applyBorder="1" applyAlignment="1">
      <alignment horizontal="center"/>
    </xf>
    <xf numFmtId="170" fontId="1" fillId="0" borderId="37" xfId="1" applyNumberFormat="1" applyFont="1" applyBorder="1" applyAlignment="1">
      <alignment horizontal="center"/>
    </xf>
    <xf numFmtId="0" fontId="1" fillId="0" borderId="68" xfId="5" applyNumberFormat="1" applyBorder="1" applyAlignment="1">
      <alignment horizontal="center"/>
    </xf>
    <xf numFmtId="165" fontId="1" fillId="12" borderId="37" xfId="1" applyFont="1" applyFill="1" applyBorder="1" applyAlignment="1">
      <alignment horizontal="center"/>
    </xf>
    <xf numFmtId="0" fontId="1" fillId="12" borderId="68" xfId="5" applyNumberFormat="1" applyFill="1" applyBorder="1" applyAlignment="1">
      <alignment horizontal="center"/>
    </xf>
    <xf numFmtId="0" fontId="1" fillId="12" borderId="40" xfId="5" applyNumberFormat="1" applyFill="1" applyBorder="1" applyAlignment="1">
      <alignment horizontal="center"/>
    </xf>
    <xf numFmtId="165" fontId="1" fillId="0" borderId="37" xfId="1" applyFont="1" applyBorder="1" applyAlignment="1">
      <alignment horizontal="center"/>
    </xf>
    <xf numFmtId="0" fontId="0" fillId="12" borderId="68" xfId="5" applyNumberFormat="1" applyFont="1" applyFill="1" applyBorder="1" applyAlignment="1">
      <alignment horizontal="center"/>
    </xf>
    <xf numFmtId="0" fontId="1" fillId="12" borderId="39" xfId="5" applyNumberFormat="1" applyFill="1" applyBorder="1" applyAlignment="1">
      <alignment horizontal="center"/>
    </xf>
    <xf numFmtId="168" fontId="58" fillId="0" borderId="0" xfId="4" applyNumberFormat="1" applyFont="1" applyAlignment="1">
      <alignment horizontal="center"/>
    </xf>
    <xf numFmtId="168" fontId="58" fillId="2" borderId="26" xfId="4" applyNumberFormat="1" applyFont="1" applyFill="1" applyBorder="1" applyAlignment="1">
      <alignment horizontal="center"/>
    </xf>
    <xf numFmtId="175" fontId="1" fillId="13" borderId="66" xfId="1" applyNumberFormat="1" applyFont="1" applyFill="1" applyBorder="1" applyAlignment="1">
      <alignment horizontal="center"/>
    </xf>
    <xf numFmtId="175" fontId="1" fillId="13" borderId="16" xfId="1" applyNumberFormat="1" applyFont="1" applyFill="1" applyBorder="1" applyAlignment="1">
      <alignment horizontal="center"/>
    </xf>
    <xf numFmtId="175" fontId="1" fillId="25" borderId="34" xfId="1" applyNumberFormat="1" applyFont="1" applyFill="1" applyBorder="1" applyAlignment="1">
      <alignment horizontal="center"/>
    </xf>
    <xf numFmtId="175" fontId="1" fillId="0" borderId="49" xfId="1" applyNumberFormat="1" applyFont="1" applyBorder="1" applyAlignment="1">
      <alignment horizontal="center"/>
    </xf>
    <xf numFmtId="175" fontId="1" fillId="0" borderId="64" xfId="1" applyNumberFormat="1" applyFont="1" applyBorder="1" applyAlignment="1">
      <alignment horizontal="center"/>
    </xf>
    <xf numFmtId="175" fontId="1" fillId="13" borderId="34" xfId="1" applyNumberFormat="1" applyFont="1" applyFill="1" applyBorder="1" applyAlignment="1">
      <alignment horizontal="center"/>
    </xf>
    <xf numFmtId="175" fontId="1" fillId="13" borderId="53" xfId="1" applyNumberFormat="1" applyFont="1" applyFill="1" applyBorder="1" applyAlignment="1">
      <alignment horizontal="center"/>
    </xf>
    <xf numFmtId="175" fontId="1" fillId="25" borderId="64" xfId="1" applyNumberFormat="1" applyFont="1" applyFill="1" applyBorder="1" applyAlignment="1">
      <alignment horizontal="center"/>
    </xf>
    <xf numFmtId="175" fontId="1" fillId="0" borderId="74" xfId="1" applyNumberFormat="1" applyFont="1" applyBorder="1" applyAlignment="1">
      <alignment horizontal="center"/>
    </xf>
    <xf numFmtId="175" fontId="1" fillId="25" borderId="25" xfId="1" applyNumberFormat="1" applyFont="1" applyFill="1" applyBorder="1" applyAlignment="1">
      <alignment horizontal="center"/>
    </xf>
    <xf numFmtId="175" fontId="1" fillId="13" borderId="18" xfId="1" applyNumberFormat="1" applyFont="1" applyFill="1" applyBorder="1" applyAlignment="1">
      <alignment horizontal="center"/>
    </xf>
    <xf numFmtId="175" fontId="1" fillId="0" borderId="66" xfId="1" applyNumberFormat="1" applyFont="1" applyFill="1" applyBorder="1" applyAlignment="1">
      <alignment horizontal="center"/>
    </xf>
    <xf numFmtId="175" fontId="1" fillId="0" borderId="16" xfId="1" applyNumberFormat="1" applyFont="1" applyFill="1" applyBorder="1" applyAlignment="1">
      <alignment horizontal="center"/>
    </xf>
    <xf numFmtId="0" fontId="2" fillId="5" borderId="10" xfId="0" applyFont="1" applyFill="1" applyBorder="1"/>
    <xf numFmtId="0" fontId="0" fillId="4" borderId="1" xfId="5" applyNumberFormat="1" applyFont="1" applyFill="1" applyBorder="1" applyAlignment="1">
      <alignment horizontal="center" vertical="center"/>
    </xf>
    <xf numFmtId="165" fontId="0" fillId="0" borderId="73" xfId="1" applyFont="1" applyFill="1" applyBorder="1" applyAlignment="1">
      <alignment horizontal="center"/>
    </xf>
    <xf numFmtId="0" fontId="0" fillId="0" borderId="73" xfId="1" applyNumberFormat="1" applyFont="1" applyFill="1" applyBorder="1" applyAlignment="1">
      <alignment horizontal="center" vertical="center"/>
    </xf>
    <xf numFmtId="165" fontId="1" fillId="0" borderId="76" xfId="1" applyFill="1" applyBorder="1"/>
    <xf numFmtId="0" fontId="0" fillId="12" borderId="73" xfId="1" applyNumberFormat="1" applyFont="1" applyFill="1" applyBorder="1"/>
    <xf numFmtId="165" fontId="0" fillId="12" borderId="73" xfId="1" applyFont="1" applyFill="1" applyBorder="1" applyAlignment="1">
      <alignment horizontal="center"/>
    </xf>
    <xf numFmtId="165" fontId="0" fillId="0" borderId="73" xfId="1" applyFont="1" applyFill="1" applyBorder="1"/>
    <xf numFmtId="165" fontId="1" fillId="0" borderId="73" xfId="1" applyFill="1" applyBorder="1"/>
    <xf numFmtId="0" fontId="0" fillId="0" borderId="73" xfId="1" applyNumberFormat="1" applyFont="1" applyFill="1" applyBorder="1"/>
    <xf numFmtId="165" fontId="0" fillId="0" borderId="75" xfId="1" applyFont="1" applyFill="1" applyBorder="1"/>
    <xf numFmtId="0" fontId="0" fillId="12" borderId="73" xfId="1" applyNumberFormat="1" applyFont="1" applyFill="1" applyBorder="1" applyAlignment="1">
      <alignment horizontal="center"/>
    </xf>
    <xf numFmtId="0" fontId="0" fillId="12" borderId="73" xfId="1" applyNumberFormat="1" applyFont="1" applyFill="1" applyBorder="1" applyAlignment="1">
      <alignment horizontal="center" vertical="center"/>
    </xf>
    <xf numFmtId="165" fontId="0" fillId="0" borderId="14" xfId="1" applyFont="1" applyFill="1" applyBorder="1"/>
    <xf numFmtId="0" fontId="1" fillId="0" borderId="73" xfId="1" applyNumberFormat="1" applyFill="1" applyBorder="1" applyAlignment="1">
      <alignment horizontal="center"/>
    </xf>
    <xf numFmtId="165" fontId="0" fillId="0" borderId="74" xfId="1" applyFont="1" applyFill="1" applyBorder="1"/>
    <xf numFmtId="0" fontId="0" fillId="0" borderId="73" xfId="1" applyNumberFormat="1" applyFont="1" applyFill="1" applyBorder="1" applyAlignment="1">
      <alignment horizontal="center"/>
    </xf>
    <xf numFmtId="165" fontId="0" fillId="0" borderId="76" xfId="1" applyFont="1" applyFill="1" applyBorder="1"/>
    <xf numFmtId="0" fontId="1" fillId="0" borderId="73" xfId="1" applyNumberFormat="1" applyFill="1" applyBorder="1"/>
    <xf numFmtId="0" fontId="35" fillId="18" borderId="7" xfId="0" applyFont="1" applyFill="1" applyBorder="1" applyAlignment="1">
      <alignment horizontal="center"/>
    </xf>
    <xf numFmtId="0" fontId="35" fillId="18" borderId="2" xfId="0" applyFont="1" applyFill="1" applyBorder="1"/>
    <xf numFmtId="0" fontId="35" fillId="18" borderId="10" xfId="0" applyFont="1" applyFill="1" applyBorder="1"/>
    <xf numFmtId="0" fontId="35" fillId="18" borderId="2" xfId="0" applyFont="1" applyFill="1" applyBorder="1" applyAlignment="1">
      <alignment horizontal="center"/>
    </xf>
    <xf numFmtId="166" fontId="35" fillId="18" borderId="7" xfId="0" applyNumberFormat="1" applyFont="1" applyFill="1" applyBorder="1" applyAlignment="1">
      <alignment horizontal="center"/>
    </xf>
    <xf numFmtId="168" fontId="2" fillId="6" borderId="7" xfId="0" applyNumberFormat="1" applyFont="1" applyFill="1" applyBorder="1"/>
    <xf numFmtId="168" fontId="2" fillId="6" borderId="1" xfId="0" applyNumberFormat="1" applyFont="1" applyFill="1" applyBorder="1" applyAlignment="1">
      <alignment horizontal="center" vertical="center"/>
    </xf>
    <xf numFmtId="165" fontId="2" fillId="5" borderId="7" xfId="1" applyFont="1" applyFill="1" applyBorder="1"/>
    <xf numFmtId="165" fontId="2" fillId="6" borderId="2" xfId="1" applyFont="1" applyFill="1" applyBorder="1"/>
    <xf numFmtId="168" fontId="2" fillId="6" borderId="2" xfId="0" applyNumberFormat="1" applyFont="1" applyFill="1" applyBorder="1"/>
    <xf numFmtId="168" fontId="2" fillId="6" borderId="7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5" fontId="2" fillId="6" borderId="7" xfId="1" applyFont="1" applyFill="1" applyBorder="1"/>
    <xf numFmtId="0" fontId="6" fillId="0" borderId="0" xfId="0" applyFont="1" applyAlignment="1">
      <alignment horizontal="center"/>
    </xf>
    <xf numFmtId="0" fontId="6" fillId="0" borderId="0" xfId="4" applyNumberFormat="1" applyFont="1" applyAlignment="1">
      <alignment horizontal="center"/>
    </xf>
    <xf numFmtId="0" fontId="6" fillId="7" borderId="20" xfId="4" applyNumberFormat="1" applyFont="1" applyFill="1" applyBorder="1" applyAlignment="1">
      <alignment horizontal="center"/>
    </xf>
    <xf numFmtId="0" fontId="6" fillId="2" borderId="19" xfId="4" applyNumberFormat="1" applyFont="1" applyFill="1" applyBorder="1" applyAlignment="1">
      <alignment horizontal="center"/>
    </xf>
    <xf numFmtId="0" fontId="10" fillId="5" borderId="7" xfId="4" applyNumberFormat="1" applyFont="1" applyFill="1" applyBorder="1" applyAlignment="1">
      <alignment horizontal="center"/>
    </xf>
    <xf numFmtId="0" fontId="10" fillId="0" borderId="0" xfId="4" applyNumberFormat="1" applyFont="1" applyAlignment="1">
      <alignment horizontal="center"/>
    </xf>
    <xf numFmtId="0" fontId="16" fillId="2" borderId="26" xfId="4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8" fillId="13" borderId="7" xfId="2" applyNumberFormat="1" applyFont="1" applyFill="1" applyBorder="1" applyAlignment="1" applyProtection="1">
      <alignment horizontal="center"/>
    </xf>
    <xf numFmtId="0" fontId="6" fillId="13" borderId="7" xfId="0" applyFont="1" applyFill="1" applyBorder="1" applyAlignment="1">
      <alignment horizontal="center"/>
    </xf>
    <xf numFmtId="0" fontId="8" fillId="13" borderId="19" xfId="2" applyNumberFormat="1" applyFont="1" applyFill="1" applyBorder="1" applyAlignment="1" applyProtection="1">
      <alignment horizontal="center"/>
    </xf>
    <xf numFmtId="0" fontId="15" fillId="13" borderId="1" xfId="2" applyNumberFormat="1" applyFont="1" applyFill="1" applyBorder="1" applyAlignment="1" applyProtection="1">
      <alignment horizontal="center"/>
    </xf>
    <xf numFmtId="0" fontId="15" fillId="13" borderId="19" xfId="2" applyNumberFormat="1" applyFont="1" applyFill="1" applyBorder="1" applyAlignment="1" applyProtection="1">
      <alignment horizontal="center"/>
    </xf>
    <xf numFmtId="0" fontId="6" fillId="5" borderId="19" xfId="0" applyFont="1" applyFill="1" applyBorder="1" applyAlignment="1">
      <alignment horizontal="center"/>
    </xf>
    <xf numFmtId="0" fontId="6" fillId="6" borderId="3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8" fillId="15" borderId="1" xfId="2" applyNumberFormat="1" applyFont="1" applyFill="1" applyBorder="1" applyAlignment="1" applyProtection="1">
      <alignment horizontal="center"/>
    </xf>
    <xf numFmtId="0" fontId="8" fillId="0" borderId="41" xfId="2" applyNumberFormat="1" applyFont="1" applyFill="1" applyBorder="1" applyAlignment="1" applyProtection="1">
      <alignment horizontal="center"/>
    </xf>
    <xf numFmtId="49" fontId="8" fillId="11" borderId="1" xfId="2" applyNumberFormat="1" applyFont="1" applyFill="1" applyBorder="1" applyAlignment="1" applyProtection="1">
      <alignment horizontal="center"/>
    </xf>
    <xf numFmtId="0" fontId="6" fillId="11" borderId="1" xfId="0" applyFont="1" applyFill="1" applyBorder="1" applyAlignment="1">
      <alignment horizontal="center"/>
    </xf>
    <xf numFmtId="0" fontId="8" fillId="0" borderId="7" xfId="2" applyNumberFormat="1" applyFont="1" applyFill="1" applyBorder="1" applyAlignment="1" applyProtection="1">
      <alignment horizontal="center"/>
    </xf>
    <xf numFmtId="0" fontId="8" fillId="11" borderId="7" xfId="2" applyNumberFormat="1" applyFont="1" applyFill="1" applyBorder="1" applyAlignment="1" applyProtection="1">
      <alignment horizontal="center"/>
    </xf>
    <xf numFmtId="0" fontId="8" fillId="13" borderId="1" xfId="2" applyNumberFormat="1" applyFont="1" applyFill="1" applyBorder="1" applyAlignment="1" applyProtection="1">
      <alignment horizontal="center"/>
    </xf>
    <xf numFmtId="166" fontId="14" fillId="17" borderId="2" xfId="5" applyNumberFormat="1" applyFont="1" applyFill="1" applyBorder="1" applyAlignment="1">
      <alignment horizontal="center" vertical="center"/>
    </xf>
    <xf numFmtId="166" fontId="37" fillId="17" borderId="1" xfId="5" applyNumberFormat="1" applyFont="1" applyFill="1" applyBorder="1" applyAlignment="1">
      <alignment horizontal="center" vertical="center"/>
    </xf>
    <xf numFmtId="166" fontId="14" fillId="17" borderId="1" xfId="5" applyNumberFormat="1" applyFont="1" applyFill="1" applyBorder="1" applyAlignment="1">
      <alignment horizontal="center" vertical="center"/>
    </xf>
    <xf numFmtId="166" fontId="34" fillId="17" borderId="1" xfId="5" applyNumberFormat="1" applyFont="1" applyFill="1" applyBorder="1" applyAlignment="1">
      <alignment horizontal="center" vertical="center"/>
    </xf>
    <xf numFmtId="166" fontId="14" fillId="25" borderId="2" xfId="5" applyNumberFormat="1" applyFont="1" applyFill="1" applyBorder="1" applyAlignment="1">
      <alignment horizontal="center" vertical="center"/>
    </xf>
    <xf numFmtId="166" fontId="37" fillId="25" borderId="1" xfId="5" applyNumberFormat="1" applyFont="1" applyFill="1" applyBorder="1" applyAlignment="1">
      <alignment horizontal="center" vertical="center"/>
    </xf>
    <xf numFmtId="166" fontId="14" fillId="25" borderId="1" xfId="5" applyNumberFormat="1" applyFont="1" applyFill="1" applyBorder="1" applyAlignment="1">
      <alignment horizontal="center" vertical="center"/>
    </xf>
    <xf numFmtId="166" fontId="34" fillId="25" borderId="1" xfId="5" applyNumberFormat="1" applyFont="1" applyFill="1" applyBorder="1" applyAlignment="1">
      <alignment horizontal="center" vertical="center"/>
    </xf>
    <xf numFmtId="166" fontId="19" fillId="0" borderId="48" xfId="5" applyNumberFormat="1" applyFont="1" applyBorder="1" applyAlignment="1">
      <alignment horizontal="center" vertical="center"/>
    </xf>
    <xf numFmtId="166" fontId="19" fillId="0" borderId="12" xfId="5" applyNumberFormat="1" applyFont="1" applyBorder="1" applyAlignment="1">
      <alignment horizontal="center" vertical="center"/>
    </xf>
    <xf numFmtId="166" fontId="14" fillId="16" borderId="66" xfId="5" applyNumberFormat="1" applyFont="1" applyFill="1" applyBorder="1" applyAlignment="1">
      <alignment horizontal="center"/>
    </xf>
    <xf numFmtId="166" fontId="14" fillId="16" borderId="16" xfId="5" applyNumberFormat="1" applyFont="1" applyFill="1" applyBorder="1" applyAlignment="1">
      <alignment horizontal="center"/>
    </xf>
    <xf numFmtId="166" fontId="38" fillId="16" borderId="31" xfId="5" applyNumberFormat="1" applyFont="1" applyFill="1" applyBorder="1" applyAlignment="1">
      <alignment horizontal="center"/>
    </xf>
    <xf numFmtId="0" fontId="2" fillId="20" borderId="1" xfId="5" applyNumberFormat="1" applyFont="1" applyFill="1" applyBorder="1" applyAlignment="1">
      <alignment horizontal="center" vertical="center"/>
    </xf>
    <xf numFmtId="0" fontId="5" fillId="0" borderId="65" xfId="5" applyNumberFormat="1" applyFont="1" applyBorder="1" applyAlignment="1">
      <alignment horizontal="center"/>
    </xf>
    <xf numFmtId="0" fontId="1" fillId="0" borderId="40" xfId="5" applyNumberFormat="1" applyBorder="1" applyAlignment="1">
      <alignment horizontal="center" vertical="center"/>
    </xf>
    <xf numFmtId="165" fontId="1" fillId="7" borderId="65" xfId="1" applyFont="1" applyFill="1" applyBorder="1" applyAlignment="1">
      <alignment horizontal="center"/>
    </xf>
    <xf numFmtId="0" fontId="1" fillId="7" borderId="65" xfId="5" applyNumberFormat="1" applyFill="1" applyBorder="1" applyAlignment="1">
      <alignment horizontal="center"/>
    </xf>
    <xf numFmtId="0" fontId="1" fillId="7" borderId="70" xfId="5" applyNumberFormat="1" applyFill="1" applyBorder="1" applyAlignment="1">
      <alignment horizontal="center"/>
    </xf>
    <xf numFmtId="165" fontId="1" fillId="13" borderId="0" xfId="1" applyFont="1" applyFill="1" applyBorder="1" applyAlignment="1">
      <alignment horizontal="center"/>
    </xf>
    <xf numFmtId="0" fontId="1" fillId="13" borderId="0" xfId="5" applyNumberFormat="1" applyFill="1" applyAlignment="1">
      <alignment horizontal="center"/>
    </xf>
    <xf numFmtId="165" fontId="1" fillId="7" borderId="0" xfId="1" applyFont="1" applyFill="1" applyBorder="1" applyAlignment="1">
      <alignment horizontal="center"/>
    </xf>
    <xf numFmtId="165" fontId="1" fillId="13" borderId="41" xfId="1" applyFont="1" applyFill="1" applyBorder="1" applyAlignment="1">
      <alignment horizontal="center"/>
    </xf>
    <xf numFmtId="0" fontId="0" fillId="13" borderId="0" xfId="5" applyNumberFormat="1" applyFont="1" applyFill="1" applyAlignment="1">
      <alignment horizontal="center"/>
    </xf>
    <xf numFmtId="0" fontId="1" fillId="13" borderId="41" xfId="5" applyNumberFormat="1" applyFill="1" applyBorder="1" applyAlignment="1">
      <alignment horizontal="center"/>
    </xf>
    <xf numFmtId="0" fontId="0" fillId="7" borderId="0" xfId="5" applyNumberFormat="1" applyFont="1" applyFill="1" applyAlignment="1">
      <alignment horizontal="center"/>
    </xf>
    <xf numFmtId="0" fontId="1" fillId="12" borderId="57" xfId="5" applyNumberFormat="1" applyFill="1" applyBorder="1" applyAlignment="1">
      <alignment vertical="center"/>
    </xf>
    <xf numFmtId="0" fontId="1" fillId="12" borderId="60" xfId="5" applyNumberFormat="1" applyFill="1" applyBorder="1" applyAlignment="1">
      <alignment vertical="center"/>
    </xf>
    <xf numFmtId="165" fontId="1" fillId="12" borderId="38" xfId="1" applyFont="1" applyFill="1" applyBorder="1" applyAlignment="1">
      <alignment horizontal="center"/>
    </xf>
    <xf numFmtId="0" fontId="59" fillId="0" borderId="0" xfId="0" applyFont="1"/>
    <xf numFmtId="0" fontId="1" fillId="12" borderId="71" xfId="5" applyNumberFormat="1" applyFill="1" applyBorder="1" applyAlignment="1">
      <alignment horizontal="center"/>
    </xf>
    <xf numFmtId="0" fontId="1" fillId="12" borderId="58" xfId="5" applyNumberFormat="1" applyFill="1" applyBorder="1" applyAlignment="1">
      <alignment horizontal="center"/>
    </xf>
    <xf numFmtId="165" fontId="1" fillId="12" borderId="16" xfId="1" applyFont="1" applyFill="1" applyBorder="1" applyAlignment="1">
      <alignment horizontal="center"/>
    </xf>
    <xf numFmtId="0" fontId="1" fillId="0" borderId="52" xfId="5" applyNumberFormat="1" applyBorder="1" applyAlignment="1">
      <alignment horizontal="center"/>
    </xf>
    <xf numFmtId="0" fontId="1" fillId="0" borderId="54" xfId="5" applyNumberFormat="1" applyBorder="1" applyAlignment="1">
      <alignment horizontal="center"/>
    </xf>
    <xf numFmtId="165" fontId="1" fillId="0" borderId="38" xfId="1" applyFont="1" applyBorder="1" applyAlignment="1">
      <alignment horizontal="center"/>
    </xf>
    <xf numFmtId="165" fontId="1" fillId="25" borderId="64" xfId="1" applyFont="1" applyFill="1" applyBorder="1" applyAlignment="1">
      <alignment horizontal="center"/>
    </xf>
    <xf numFmtId="3" fontId="2" fillId="0" borderId="7" xfId="5" applyNumberFormat="1" applyFont="1" applyBorder="1" applyAlignment="1">
      <alignment horizontal="center"/>
    </xf>
    <xf numFmtId="168" fontId="60" fillId="2" borderId="41" xfId="4" applyNumberFormat="1" applyFont="1" applyFill="1" applyBorder="1" applyAlignment="1">
      <alignment horizontal="center"/>
    </xf>
    <xf numFmtId="168" fontId="60" fillId="15" borderId="1" xfId="4" applyNumberFormat="1" applyFont="1" applyFill="1" applyBorder="1"/>
    <xf numFmtId="168" fontId="60" fillId="0" borderId="41" xfId="4" applyNumberFormat="1" applyFont="1" applyBorder="1"/>
    <xf numFmtId="168" fontId="60" fillId="11" borderId="1" xfId="4" applyNumberFormat="1" applyFont="1" applyFill="1" applyBorder="1"/>
    <xf numFmtId="168" fontId="60" fillId="3" borderId="1" xfId="4" applyNumberFormat="1" applyFont="1" applyFill="1" applyBorder="1"/>
    <xf numFmtId="168" fontId="60" fillId="0" borderId="1" xfId="4" applyNumberFormat="1" applyFont="1" applyBorder="1"/>
    <xf numFmtId="168" fontId="13" fillId="5" borderId="1" xfId="4" applyNumberFormat="1" applyFont="1" applyFill="1" applyBorder="1" applyAlignment="1">
      <alignment horizontal="center"/>
    </xf>
    <xf numFmtId="168" fontId="61" fillId="2" borderId="41" xfId="4" applyNumberFormat="1" applyFont="1" applyFill="1" applyBorder="1" applyAlignment="1">
      <alignment horizontal="center"/>
    </xf>
    <xf numFmtId="168" fontId="61" fillId="15" borderId="7" xfId="4" applyNumberFormat="1" applyFont="1" applyFill="1" applyBorder="1" applyAlignment="1">
      <alignment horizontal="right"/>
    </xf>
    <xf numFmtId="168" fontId="61" fillId="0" borderId="42" xfId="4" applyNumberFormat="1" applyFont="1" applyBorder="1" applyAlignment="1">
      <alignment horizontal="right"/>
    </xf>
    <xf numFmtId="168" fontId="61" fillId="11" borderId="7" xfId="4" applyNumberFormat="1" applyFont="1" applyFill="1" applyBorder="1" applyAlignment="1">
      <alignment horizontal="right"/>
    </xf>
    <xf numFmtId="168" fontId="61" fillId="3" borderId="7" xfId="4" applyNumberFormat="1" applyFont="1" applyFill="1" applyBorder="1" applyAlignment="1">
      <alignment horizontal="right"/>
    </xf>
    <xf numFmtId="168" fontId="61" fillId="0" borderId="7" xfId="4" applyNumberFormat="1" applyFont="1" applyBorder="1" applyAlignment="1">
      <alignment horizontal="right"/>
    </xf>
    <xf numFmtId="168" fontId="62" fillId="5" borderId="7" xfId="4" applyNumberFormat="1" applyFont="1" applyFill="1" applyBorder="1" applyAlignment="1">
      <alignment horizontal="center"/>
    </xf>
    <xf numFmtId="0" fontId="4" fillId="0" borderId="57" xfId="0" applyFont="1" applyBorder="1"/>
    <xf numFmtId="0" fontId="39" fillId="0" borderId="57" xfId="0" applyFont="1" applyBorder="1"/>
    <xf numFmtId="0" fontId="2" fillId="0" borderId="19" xfId="5" applyNumberFormat="1" applyFont="1" applyBorder="1" applyAlignment="1">
      <alignment horizontal="center"/>
    </xf>
    <xf numFmtId="167" fontId="2" fillId="16" borderId="21" xfId="5" applyFont="1" applyFill="1" applyBorder="1" applyAlignment="1">
      <alignment horizontal="center"/>
    </xf>
    <xf numFmtId="167" fontId="14" fillId="0" borderId="18" xfId="5" applyFont="1" applyBorder="1" applyAlignment="1">
      <alignment horizontal="center"/>
    </xf>
    <xf numFmtId="49" fontId="4" fillId="0" borderId="19" xfId="5" applyNumberFormat="1" applyFont="1" applyBorder="1" applyAlignment="1">
      <alignment vertical="center"/>
    </xf>
    <xf numFmtId="171" fontId="2" fillId="16" borderId="57" xfId="5" applyNumberFormat="1" applyFont="1" applyFill="1" applyBorder="1" applyAlignment="1">
      <alignment horizontal="center"/>
    </xf>
    <xf numFmtId="171" fontId="14" fillId="0" borderId="57" xfId="5" applyNumberFormat="1" applyFont="1" applyBorder="1" applyAlignment="1">
      <alignment horizontal="center"/>
    </xf>
    <xf numFmtId="165" fontId="2" fillId="53" borderId="57" xfId="1" applyFont="1" applyFill="1" applyBorder="1" applyAlignment="1">
      <alignment horizontal="center"/>
    </xf>
    <xf numFmtId="171" fontId="4" fillId="0" borderId="57" xfId="5" applyNumberFormat="1" applyFont="1" applyBorder="1" applyAlignment="1">
      <alignment vertical="center"/>
    </xf>
    <xf numFmtId="171" fontId="2" fillId="53" borderId="57" xfId="5" applyNumberFormat="1" applyFont="1" applyFill="1" applyBorder="1" applyAlignment="1">
      <alignment horizontal="center"/>
    </xf>
    <xf numFmtId="171" fontId="4" fillId="53" borderId="57" xfId="5" applyNumberFormat="1" applyFont="1" applyFill="1" applyBorder="1" applyAlignment="1">
      <alignment vertical="center"/>
    </xf>
    <xf numFmtId="165" fontId="1" fillId="0" borderId="57" xfId="1" applyFont="1" applyFill="1" applyBorder="1" applyAlignment="1">
      <alignment horizontal="center"/>
    </xf>
    <xf numFmtId="0" fontId="0" fillId="0" borderId="8" xfId="5" applyNumberFormat="1" applyFont="1" applyBorder="1" applyAlignment="1">
      <alignment horizontal="center"/>
    </xf>
    <xf numFmtId="0" fontId="0" fillId="0" borderId="45" xfId="5" applyNumberFormat="1" applyFont="1" applyBorder="1" applyAlignment="1">
      <alignment horizontal="center"/>
    </xf>
    <xf numFmtId="171" fontId="2" fillId="5" borderId="32" xfId="0" applyNumberFormat="1" applyFont="1" applyFill="1" applyBorder="1" applyAlignment="1">
      <alignment horizontal="center"/>
    </xf>
    <xf numFmtId="167" fontId="2" fillId="16" borderId="57" xfId="5" applyFont="1" applyFill="1" applyBorder="1" applyAlignment="1">
      <alignment horizontal="center"/>
    </xf>
    <xf numFmtId="166" fontId="6" fillId="16" borderId="57" xfId="5" applyNumberFormat="1" applyFont="1" applyFill="1" applyBorder="1"/>
    <xf numFmtId="166" fontId="4" fillId="0" borderId="57" xfId="5" applyNumberFormat="1" applyFont="1" applyBorder="1" applyAlignment="1">
      <alignment horizontal="center"/>
    </xf>
    <xf numFmtId="165" fontId="1" fillId="0" borderId="67" xfId="1" applyFont="1" applyBorder="1" applyAlignment="1">
      <alignment horizontal="center"/>
    </xf>
    <xf numFmtId="166" fontId="6" fillId="16" borderId="77" xfId="5" applyNumberFormat="1" applyFont="1" applyFill="1" applyBorder="1"/>
    <xf numFmtId="166" fontId="34" fillId="0" borderId="77" xfId="5" applyNumberFormat="1" applyFont="1" applyBorder="1" applyAlignment="1">
      <alignment horizontal="center"/>
    </xf>
    <xf numFmtId="166" fontId="2" fillId="0" borderId="77" xfId="5" applyNumberFormat="1" applyFont="1" applyBorder="1" applyAlignment="1">
      <alignment horizontal="center"/>
    </xf>
    <xf numFmtId="166" fontId="4" fillId="0" borderId="77" xfId="5" applyNumberFormat="1" applyFont="1" applyBorder="1" applyAlignment="1">
      <alignment horizontal="center"/>
    </xf>
    <xf numFmtId="167" fontId="2" fillId="16" borderId="26" xfId="5" applyFont="1" applyFill="1" applyBorder="1" applyAlignment="1">
      <alignment horizontal="center"/>
    </xf>
    <xf numFmtId="167" fontId="14" fillId="0" borderId="26" xfId="5" quotePrefix="1" applyFont="1" applyBorder="1" applyAlignment="1">
      <alignment horizontal="center"/>
    </xf>
    <xf numFmtId="49" fontId="2" fillId="0" borderId="26" xfId="5" applyNumberFormat="1" applyFont="1" applyBorder="1" applyAlignment="1">
      <alignment horizontal="center"/>
    </xf>
    <xf numFmtId="49" fontId="4" fillId="0" borderId="26" xfId="5" applyNumberFormat="1" applyFont="1" applyBorder="1" applyAlignment="1">
      <alignment horizontal="center"/>
    </xf>
    <xf numFmtId="167" fontId="2" fillId="0" borderId="2" xfId="5" applyFont="1" applyBorder="1" applyAlignment="1">
      <alignment vertical="top"/>
    </xf>
    <xf numFmtId="167" fontId="2" fillId="0" borderId="1" xfId="5" applyFont="1" applyBorder="1" applyAlignment="1">
      <alignment horizontal="center" vertical="center"/>
    </xf>
    <xf numFmtId="0" fontId="2" fillId="0" borderId="4" xfId="5" applyNumberFormat="1" applyFont="1" applyBorder="1" applyAlignment="1">
      <alignment vertical="center"/>
    </xf>
    <xf numFmtId="166" fontId="38" fillId="25" borderId="21" xfId="5" applyNumberFormat="1" applyFont="1" applyFill="1" applyBorder="1" applyAlignment="1">
      <alignment horizontal="center"/>
    </xf>
    <xf numFmtId="166" fontId="2" fillId="25" borderId="20" xfId="5" applyNumberFormat="1" applyFont="1" applyFill="1" applyBorder="1" applyAlignment="1">
      <alignment horizontal="center"/>
    </xf>
    <xf numFmtId="0" fontId="0" fillId="8" borderId="19" xfId="0" applyFill="1" applyBorder="1"/>
    <xf numFmtId="0" fontId="0" fillId="12" borderId="3" xfId="5" applyNumberFormat="1" applyFont="1" applyFill="1" applyBorder="1" applyAlignment="1">
      <alignment horizontal="left"/>
    </xf>
    <xf numFmtId="0" fontId="2" fillId="0" borderId="1" xfId="5" applyNumberFormat="1" applyFont="1" applyBorder="1" applyAlignment="1">
      <alignment horizontal="center" vertical="center"/>
    </xf>
    <xf numFmtId="0" fontId="0" fillId="0" borderId="2" xfId="0" applyBorder="1"/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0" fillId="0" borderId="73" xfId="5" applyNumberFormat="1" applyFont="1" applyBorder="1" applyAlignment="1">
      <alignment horizontal="center"/>
    </xf>
    <xf numFmtId="171" fontId="14" fillId="0" borderId="73" xfId="5" applyNumberFormat="1" applyFont="1" applyBorder="1" applyAlignment="1">
      <alignment horizontal="center"/>
    </xf>
    <xf numFmtId="165" fontId="2" fillId="53" borderId="73" xfId="1" applyFont="1" applyFill="1" applyBorder="1" applyAlignment="1">
      <alignment horizontal="center"/>
    </xf>
    <xf numFmtId="171" fontId="4" fillId="53" borderId="73" xfId="5" applyNumberFormat="1" applyFont="1" applyFill="1" applyBorder="1" applyAlignment="1">
      <alignment vertical="center"/>
    </xf>
    <xf numFmtId="171" fontId="2" fillId="53" borderId="73" xfId="5" applyNumberFormat="1" applyFont="1" applyFill="1" applyBorder="1" applyAlignment="1">
      <alignment horizontal="center"/>
    </xf>
    <xf numFmtId="165" fontId="1" fillId="0" borderId="73" xfId="1" applyFont="1" applyFill="1" applyBorder="1" applyAlignment="1">
      <alignment horizontal="center"/>
    </xf>
    <xf numFmtId="171" fontId="14" fillId="0" borderId="7" xfId="5" applyNumberFormat="1" applyFont="1" applyBorder="1" applyAlignment="1">
      <alignment horizontal="center"/>
    </xf>
    <xf numFmtId="168" fontId="4" fillId="5" borderId="1" xfId="5" applyNumberFormat="1" applyFont="1" applyFill="1" applyBorder="1" applyAlignment="1">
      <alignment vertical="center"/>
    </xf>
    <xf numFmtId="168" fontId="2" fillId="5" borderId="10" xfId="0" applyNumberFormat="1" applyFont="1" applyFill="1" applyBorder="1"/>
    <xf numFmtId="171" fontId="2" fillId="6" borderId="10" xfId="1" applyNumberFormat="1" applyFont="1" applyFill="1" applyBorder="1"/>
    <xf numFmtId="171" fontId="2" fillId="6" borderId="13" xfId="1" applyNumberFormat="1" applyFont="1" applyFill="1" applyBorder="1"/>
    <xf numFmtId="171" fontId="2" fillId="6" borderId="2" xfId="1" applyNumberFormat="1" applyFont="1" applyFill="1" applyBorder="1"/>
    <xf numFmtId="165" fontId="2" fillId="6" borderId="25" xfId="1" applyFont="1" applyFill="1" applyBorder="1"/>
    <xf numFmtId="171" fontId="2" fillId="6" borderId="26" xfId="1" applyNumberFormat="1" applyFont="1" applyFill="1" applyBorder="1"/>
    <xf numFmtId="171" fontId="2" fillId="6" borderId="28" xfId="1" applyNumberFormat="1" applyFont="1" applyFill="1" applyBorder="1"/>
    <xf numFmtId="165" fontId="2" fillId="0" borderId="19" xfId="1" applyFont="1" applyFill="1" applyBorder="1" applyAlignment="1">
      <alignment horizontal="center"/>
    </xf>
    <xf numFmtId="49" fontId="0" fillId="0" borderId="57" xfId="5" applyNumberFormat="1" applyFont="1" applyBorder="1" applyAlignment="1">
      <alignment horizontal="center"/>
    </xf>
    <xf numFmtId="49" fontId="1" fillId="0" borderId="57" xfId="5" applyNumberFormat="1" applyBorder="1" applyAlignment="1">
      <alignment horizontal="center"/>
    </xf>
    <xf numFmtId="171" fontId="1" fillId="0" borderId="57" xfId="1" applyNumberFormat="1" applyFont="1" applyFill="1" applyBorder="1" applyAlignment="1">
      <alignment horizontal="center"/>
    </xf>
    <xf numFmtId="165" fontId="0" fillId="0" borderId="57" xfId="1" applyFont="1" applyFill="1" applyBorder="1" applyAlignment="1">
      <alignment horizontal="center"/>
    </xf>
    <xf numFmtId="165" fontId="0" fillId="0" borderId="57" xfId="1" applyFont="1" applyFill="1" applyBorder="1" applyAlignment="1">
      <alignment horizontal="right" vertical="top"/>
    </xf>
    <xf numFmtId="49" fontId="0" fillId="0" borderId="73" xfId="5" applyNumberFormat="1" applyFont="1" applyBorder="1" applyAlignment="1">
      <alignment horizontal="center"/>
    </xf>
    <xf numFmtId="49" fontId="1" fillId="0" borderId="73" xfId="5" applyNumberFormat="1" applyBorder="1" applyAlignment="1">
      <alignment horizontal="center"/>
    </xf>
    <xf numFmtId="171" fontId="1" fillId="0" borderId="73" xfId="1" applyNumberFormat="1" applyFont="1" applyFill="1" applyBorder="1" applyAlignment="1">
      <alignment horizontal="center"/>
    </xf>
    <xf numFmtId="171" fontId="2" fillId="16" borderId="16" xfId="5" applyNumberFormat="1" applyFont="1" applyFill="1" applyBorder="1" applyAlignment="1">
      <alignment horizontal="center"/>
    </xf>
    <xf numFmtId="171" fontId="2" fillId="16" borderId="14" xfId="5" applyNumberFormat="1" applyFont="1" applyFill="1" applyBorder="1" applyAlignment="1">
      <alignment horizontal="center"/>
    </xf>
    <xf numFmtId="0" fontId="1" fillId="52" borderId="4" xfId="5" applyNumberFormat="1" applyFill="1" applyBorder="1" applyAlignment="1">
      <alignment horizontal="center"/>
    </xf>
    <xf numFmtId="0" fontId="0" fillId="0" borderId="23" xfId="5" applyNumberFormat="1" applyFont="1" applyBorder="1" applyAlignment="1">
      <alignment horizontal="center"/>
    </xf>
    <xf numFmtId="167" fontId="2" fillId="0" borderId="20" xfId="5" applyFont="1" applyBorder="1" applyAlignment="1">
      <alignment horizontal="center"/>
    </xf>
    <xf numFmtId="0" fontId="1" fillId="52" borderId="4" xfId="5" applyNumberFormat="1" applyFill="1" applyBorder="1" applyAlignment="1">
      <alignment horizontal="center" vertical="center"/>
    </xf>
    <xf numFmtId="0" fontId="1" fillId="0" borderId="4" xfId="5" applyNumberFormat="1" applyBorder="1" applyAlignment="1">
      <alignment horizontal="center" vertical="center"/>
    </xf>
    <xf numFmtId="0" fontId="1" fillId="0" borderId="23" xfId="5" applyNumberFormat="1" applyBorder="1" applyAlignment="1">
      <alignment horizontal="center" vertical="center"/>
    </xf>
    <xf numFmtId="0" fontId="2" fillId="52" borderId="3" xfId="5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167" fontId="2" fillId="9" borderId="69" xfId="5" applyFont="1" applyFill="1" applyBorder="1" applyAlignment="1">
      <alignment horizontal="center" vertical="center"/>
    </xf>
    <xf numFmtId="0" fontId="1" fillId="0" borderId="5" xfId="5" applyNumberFormat="1" applyBorder="1" applyAlignment="1">
      <alignment vertical="center"/>
    </xf>
    <xf numFmtId="0" fontId="1" fillId="0" borderId="6" xfId="5" applyNumberFormat="1" applyBorder="1" applyAlignment="1">
      <alignment vertical="center"/>
    </xf>
    <xf numFmtId="0" fontId="0" fillId="12" borderId="6" xfId="5" applyNumberFormat="1" applyFont="1" applyFill="1" applyBorder="1" applyAlignment="1">
      <alignment vertical="center"/>
    </xf>
    <xf numFmtId="0" fontId="1" fillId="0" borderId="3" xfId="5" applyNumberFormat="1" applyBorder="1" applyAlignment="1">
      <alignment horizontal="center"/>
    </xf>
    <xf numFmtId="0" fontId="1" fillId="12" borderId="4" xfId="5" applyNumberFormat="1" applyFill="1" applyBorder="1" applyAlignment="1">
      <alignment horizontal="center"/>
    </xf>
    <xf numFmtId="167" fontId="2" fillId="0" borderId="10" xfId="5" applyFont="1" applyBorder="1" applyAlignment="1">
      <alignment horizontal="center"/>
    </xf>
    <xf numFmtId="0" fontId="2" fillId="0" borderId="11" xfId="5" applyNumberFormat="1" applyFont="1" applyBorder="1" applyAlignment="1">
      <alignment horizontal="center"/>
    </xf>
    <xf numFmtId="0" fontId="2" fillId="0" borderId="12" xfId="5" applyNumberFormat="1" applyFont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63" fillId="54" borderId="86" xfId="0" applyFont="1" applyFill="1" applyBorder="1"/>
    <xf numFmtId="167" fontId="2" fillId="0" borderId="88" xfId="5" applyFont="1" applyBorder="1" applyAlignment="1">
      <alignment horizontal="center"/>
    </xf>
    <xf numFmtId="0" fontId="63" fillId="54" borderId="87" xfId="0" applyFont="1" applyFill="1" applyBorder="1"/>
    <xf numFmtId="167" fontId="0" fillId="4" borderId="5" xfId="5" applyFont="1" applyFill="1" applyBorder="1"/>
    <xf numFmtId="167" fontId="0" fillId="7" borderId="24" xfId="5" applyFont="1" applyFill="1" applyBorder="1"/>
    <xf numFmtId="167" fontId="2" fillId="0" borderId="36" xfId="5" applyFont="1" applyBorder="1" applyAlignment="1">
      <alignment horizontal="center"/>
    </xf>
    <xf numFmtId="0" fontId="2" fillId="5" borderId="32" xfId="0" applyFont="1" applyFill="1" applyBorder="1"/>
    <xf numFmtId="0" fontId="63" fillId="0" borderId="89" xfId="0" applyFont="1" applyBorder="1"/>
    <xf numFmtId="49" fontId="0" fillId="0" borderId="90" xfId="5" applyNumberFormat="1" applyFont="1" applyBorder="1" applyAlignment="1">
      <alignment horizontal="center"/>
    </xf>
    <xf numFmtId="49" fontId="0" fillId="7" borderId="91" xfId="5" applyNumberFormat="1" applyFont="1" applyFill="1" applyBorder="1" applyAlignment="1">
      <alignment horizontal="center"/>
    </xf>
    <xf numFmtId="49" fontId="0" fillId="7" borderId="92" xfId="5" applyNumberFormat="1" applyFont="1" applyFill="1" applyBorder="1" applyAlignment="1">
      <alignment horizontal="center"/>
    </xf>
    <xf numFmtId="0" fontId="6" fillId="8" borderId="41" xfId="5" applyNumberFormat="1" applyFont="1" applyFill="1" applyBorder="1" applyAlignment="1">
      <alignment horizontal="center" vertical="center"/>
    </xf>
    <xf numFmtId="0" fontId="6" fillId="0" borderId="1" xfId="5" applyNumberFormat="1" applyFont="1" applyBorder="1" applyAlignment="1">
      <alignment horizontal="center" vertical="center"/>
    </xf>
    <xf numFmtId="0" fontId="6" fillId="54" borderId="81" xfId="0" applyFont="1" applyFill="1" applyBorder="1" applyAlignment="1">
      <alignment horizontal="center" vertical="center"/>
    </xf>
    <xf numFmtId="0" fontId="6" fillId="20" borderId="30" xfId="5" applyNumberFormat="1" applyFont="1" applyFill="1" applyBorder="1" applyAlignment="1">
      <alignment horizontal="center" vertical="center"/>
    </xf>
    <xf numFmtId="166" fontId="14" fillId="16" borderId="0" xfId="5" applyNumberFormat="1" applyFont="1" applyFill="1" applyAlignment="1">
      <alignment horizontal="center"/>
    </xf>
    <xf numFmtId="166" fontId="37" fillId="16" borderId="41" xfId="5" applyNumberFormat="1" applyFont="1" applyFill="1" applyBorder="1" applyAlignment="1">
      <alignment horizontal="center"/>
    </xf>
    <xf numFmtId="166" fontId="14" fillId="16" borderId="41" xfId="5" applyNumberFormat="1" applyFont="1" applyFill="1" applyBorder="1" applyAlignment="1">
      <alignment horizontal="center"/>
    </xf>
    <xf numFmtId="166" fontId="34" fillId="16" borderId="41" xfId="5" applyNumberFormat="1" applyFont="1" applyFill="1" applyBorder="1" applyAlignment="1">
      <alignment horizontal="center"/>
    </xf>
    <xf numFmtId="166" fontId="18" fillId="0" borderId="41" xfId="5" applyNumberFormat="1" applyFont="1" applyBorder="1" applyAlignment="1">
      <alignment horizontal="right" vertical="center"/>
    </xf>
    <xf numFmtId="175" fontId="1" fillId="13" borderId="64" xfId="1" applyNumberFormat="1" applyFont="1" applyFill="1" applyBorder="1" applyAlignment="1">
      <alignment horizontal="center"/>
    </xf>
    <xf numFmtId="0" fontId="5" fillId="13" borderId="65" xfId="5" applyNumberFormat="1" applyFont="1" applyFill="1" applyBorder="1" applyAlignment="1">
      <alignment horizontal="center"/>
    </xf>
    <xf numFmtId="165" fontId="1" fillId="7" borderId="62" xfId="1" applyFont="1" applyFill="1" applyBorder="1" applyAlignment="1">
      <alignment horizontal="center"/>
    </xf>
    <xf numFmtId="0" fontId="1" fillId="7" borderId="56" xfId="5" applyNumberFormat="1" applyFill="1" applyBorder="1" applyAlignment="1">
      <alignment horizontal="center"/>
    </xf>
    <xf numFmtId="165" fontId="1" fillId="7" borderId="64" xfId="1" applyFont="1" applyFill="1" applyBorder="1" applyAlignment="1">
      <alignment horizontal="center"/>
    </xf>
    <xf numFmtId="0" fontId="0" fillId="13" borderId="65" xfId="5" applyNumberFormat="1" applyFont="1" applyFill="1" applyBorder="1" applyAlignment="1">
      <alignment horizontal="center"/>
    </xf>
    <xf numFmtId="175" fontId="1" fillId="13" borderId="49" xfId="1" applyNumberFormat="1" applyFont="1" applyFill="1" applyBorder="1" applyAlignment="1">
      <alignment horizontal="center"/>
    </xf>
    <xf numFmtId="0" fontId="1" fillId="7" borderId="48" xfId="5" applyNumberFormat="1" applyFill="1" applyBorder="1" applyAlignment="1">
      <alignment horizontal="center"/>
    </xf>
    <xf numFmtId="0" fontId="1" fillId="7" borderId="47" xfId="5" applyNumberFormat="1" applyFill="1" applyBorder="1" applyAlignment="1">
      <alignment horizontal="center"/>
    </xf>
    <xf numFmtId="165" fontId="1" fillId="7" borderId="35" xfId="1" applyFill="1" applyBorder="1" applyAlignment="1">
      <alignment horizontal="center"/>
    </xf>
    <xf numFmtId="165" fontId="2" fillId="12" borderId="18" xfId="1" applyFont="1" applyFill="1" applyBorder="1" applyAlignment="1">
      <alignment horizontal="center"/>
    </xf>
    <xf numFmtId="0" fontId="8" fillId="23" borderId="18" xfId="2" applyNumberFormat="1" applyFont="1" applyFill="1" applyBorder="1" applyAlignment="1" applyProtection="1">
      <alignment horizontal="center" vertical="center"/>
    </xf>
    <xf numFmtId="165" fontId="6" fillId="0" borderId="30" xfId="1" applyFont="1" applyFill="1" applyBorder="1" applyAlignment="1">
      <alignment horizontal="center" vertical="center"/>
    </xf>
    <xf numFmtId="167" fontId="2" fillId="0" borderId="2" xfId="5" applyFont="1" applyBorder="1" applyAlignment="1">
      <alignment horizontal="center" vertical="top"/>
    </xf>
    <xf numFmtId="0" fontId="8" fillId="23" borderId="30" xfId="2" applyNumberFormat="1" applyFont="1" applyFill="1" applyBorder="1" applyAlignment="1" applyProtection="1">
      <alignment horizontal="center" vertical="center"/>
    </xf>
    <xf numFmtId="0" fontId="8" fillId="23" borderId="19" xfId="2" applyNumberFormat="1" applyFont="1" applyFill="1" applyBorder="1" applyAlignment="1" applyProtection="1">
      <alignment horizontal="center" vertical="center"/>
    </xf>
    <xf numFmtId="165" fontId="1" fillId="0" borderId="57" xfId="1" applyFill="1" applyBorder="1"/>
    <xf numFmtId="0" fontId="0" fillId="0" borderId="57" xfId="1" applyNumberFormat="1" applyFont="1" applyFill="1" applyBorder="1"/>
    <xf numFmtId="0" fontId="0" fillId="0" borderId="60" xfId="1" applyNumberFormat="1" applyFont="1" applyFill="1" applyBorder="1"/>
    <xf numFmtId="165" fontId="1" fillId="0" borderId="50" xfId="1" applyFill="1" applyBorder="1"/>
    <xf numFmtId="165" fontId="1" fillId="0" borderId="52" xfId="1" applyFill="1" applyBorder="1"/>
    <xf numFmtId="0" fontId="2" fillId="12" borderId="20" xfId="5" applyNumberFormat="1" applyFont="1" applyFill="1" applyBorder="1" applyAlignment="1">
      <alignment horizontal="center"/>
    </xf>
    <xf numFmtId="165" fontId="2" fillId="0" borderId="18" xfId="1" applyFont="1" applyBorder="1" applyAlignment="1">
      <alignment horizontal="center"/>
    </xf>
    <xf numFmtId="165" fontId="0" fillId="0" borderId="57" xfId="1" applyFont="1" applyFill="1" applyBorder="1"/>
    <xf numFmtId="0" fontId="1" fillId="0" borderId="57" xfId="1" applyNumberFormat="1" applyFill="1" applyBorder="1" applyAlignment="1">
      <alignment horizontal="center"/>
    </xf>
    <xf numFmtId="0" fontId="1" fillId="0" borderId="57" xfId="1" applyNumberFormat="1" applyFill="1" applyBorder="1"/>
    <xf numFmtId="0" fontId="0" fillId="0" borderId="57" xfId="1" applyNumberFormat="1" applyFont="1" applyFill="1" applyBorder="1" applyAlignment="1">
      <alignment horizontal="center"/>
    </xf>
    <xf numFmtId="49" fontId="2" fillId="0" borderId="20" xfId="5" applyNumberFormat="1" applyFont="1" applyBorder="1" applyAlignment="1">
      <alignment horizontal="center" vertical="center"/>
    </xf>
    <xf numFmtId="165" fontId="2" fillId="0" borderId="20" xfId="1" applyFont="1" applyBorder="1" applyAlignment="1">
      <alignment horizontal="center"/>
    </xf>
    <xf numFmtId="0" fontId="2" fillId="0" borderId="20" xfId="5" applyNumberFormat="1" applyFont="1" applyBorder="1" applyAlignment="1">
      <alignment horizontal="center"/>
    </xf>
    <xf numFmtId="0" fontId="0" fillId="0" borderId="57" xfId="1" applyNumberFormat="1" applyFont="1" applyFill="1" applyBorder="1" applyAlignment="1">
      <alignment horizontal="center" vertical="center"/>
    </xf>
    <xf numFmtId="165" fontId="0" fillId="12" borderId="57" xfId="1" applyFont="1" applyFill="1" applyBorder="1" applyAlignment="1">
      <alignment horizontal="center"/>
    </xf>
    <xf numFmtId="0" fontId="1" fillId="12" borderId="57" xfId="1" applyNumberFormat="1" applyFill="1" applyBorder="1"/>
    <xf numFmtId="165" fontId="0" fillId="12" borderId="57" xfId="1" applyFont="1" applyFill="1" applyBorder="1"/>
    <xf numFmtId="1" fontId="0" fillId="12" borderId="57" xfId="1" applyNumberFormat="1" applyFont="1" applyFill="1" applyBorder="1" applyAlignment="1">
      <alignment horizontal="center"/>
    </xf>
    <xf numFmtId="0" fontId="0" fillId="12" borderId="57" xfId="1" applyNumberFormat="1" applyFont="1" applyFill="1" applyBorder="1" applyAlignment="1">
      <alignment horizontal="center" vertical="center"/>
    </xf>
    <xf numFmtId="165" fontId="1" fillId="12" borderId="57" xfId="1" applyFill="1" applyBorder="1"/>
    <xf numFmtId="0" fontId="0" fillId="12" borderId="57" xfId="1" applyNumberFormat="1" applyFont="1" applyFill="1" applyBorder="1"/>
    <xf numFmtId="0" fontId="0" fillId="12" borderId="57" xfId="1" applyNumberFormat="1" applyFont="1" applyFill="1" applyBorder="1" applyAlignment="1">
      <alignment horizontal="center"/>
    </xf>
    <xf numFmtId="165" fontId="0" fillId="0" borderId="58" xfId="1" applyFont="1" applyFill="1" applyBorder="1"/>
    <xf numFmtId="165" fontId="0" fillId="0" borderId="49" xfId="1" applyFont="1" applyFill="1" applyBorder="1"/>
    <xf numFmtId="165" fontId="0" fillId="0" borderId="60" xfId="1" applyFont="1" applyFill="1" applyBorder="1"/>
    <xf numFmtId="165" fontId="0" fillId="0" borderId="50" xfId="1" applyFont="1" applyFill="1" applyBorder="1"/>
    <xf numFmtId="165" fontId="0" fillId="0" borderId="51" xfId="1" applyFont="1" applyFill="1" applyBorder="1"/>
    <xf numFmtId="165" fontId="0" fillId="0" borderId="52" xfId="1" applyFont="1" applyFill="1" applyBorder="1"/>
    <xf numFmtId="165" fontId="0" fillId="0" borderId="66" xfId="1" applyFont="1" applyFill="1" applyBorder="1"/>
    <xf numFmtId="165" fontId="0" fillId="0" borderId="16" xfId="1" applyFont="1" applyFill="1" applyBorder="1"/>
    <xf numFmtId="165" fontId="1" fillId="0" borderId="60" xfId="1" applyFill="1" applyBorder="1" applyAlignment="1">
      <alignment horizontal="center" vertical="center"/>
    </xf>
    <xf numFmtId="0" fontId="1" fillId="0" borderId="60" xfId="1" applyNumberFormat="1" applyFill="1" applyBorder="1" applyAlignment="1">
      <alignment horizontal="center"/>
    </xf>
    <xf numFmtId="165" fontId="0" fillId="0" borderId="49" xfId="1" applyFont="1" applyFill="1" applyBorder="1" applyAlignment="1">
      <alignment horizontal="center"/>
    </xf>
    <xf numFmtId="165" fontId="0" fillId="0" borderId="60" xfId="1" applyFont="1" applyFill="1" applyBorder="1" applyAlignment="1">
      <alignment horizontal="center"/>
    </xf>
    <xf numFmtId="165" fontId="0" fillId="0" borderId="51" xfId="1" applyFont="1" applyFill="1" applyBorder="1" applyAlignment="1">
      <alignment horizontal="center"/>
    </xf>
    <xf numFmtId="165" fontId="0" fillId="0" borderId="49" xfId="1" applyFont="1" applyFill="1" applyBorder="1" applyAlignment="1">
      <alignment horizontal="center" vertical="center"/>
    </xf>
    <xf numFmtId="165" fontId="1" fillId="0" borderId="29" xfId="1" applyFill="1" applyBorder="1"/>
    <xf numFmtId="165" fontId="1" fillId="0" borderId="9" xfId="1" applyFill="1" applyBorder="1"/>
    <xf numFmtId="0" fontId="0" fillId="0" borderId="60" xfId="1" applyNumberFormat="1" applyFont="1" applyFill="1" applyBorder="1" applyAlignment="1">
      <alignment horizontal="center"/>
    </xf>
    <xf numFmtId="0" fontId="8" fillId="23" borderId="41" xfId="2" applyNumberFormat="1" applyFont="1" applyFill="1" applyBorder="1" applyAlignment="1" applyProtection="1">
      <alignment horizontal="center" vertical="center"/>
    </xf>
    <xf numFmtId="165" fontId="6" fillId="0" borderId="42" xfId="1" applyFont="1" applyFill="1" applyBorder="1" applyAlignment="1">
      <alignment horizontal="center" vertical="center"/>
    </xf>
    <xf numFmtId="165" fontId="0" fillId="12" borderId="73" xfId="1" applyFont="1" applyFill="1" applyBorder="1"/>
    <xf numFmtId="165" fontId="1" fillId="12" borderId="73" xfId="1" applyFill="1" applyBorder="1"/>
    <xf numFmtId="165" fontId="1" fillId="0" borderId="46" xfId="1" applyFill="1" applyBorder="1"/>
    <xf numFmtId="165" fontId="0" fillId="0" borderId="74" xfId="1" applyFont="1" applyFill="1" applyBorder="1" applyAlignment="1">
      <alignment horizontal="center"/>
    </xf>
    <xf numFmtId="49" fontId="0" fillId="23" borderId="18" xfId="5" applyNumberFormat="1" applyFont="1" applyFill="1" applyBorder="1" applyAlignment="1">
      <alignment vertical="center"/>
    </xf>
    <xf numFmtId="49" fontId="0" fillId="23" borderId="45" xfId="5" applyNumberFormat="1" applyFont="1" applyFill="1" applyBorder="1"/>
    <xf numFmtId="166" fontId="35" fillId="18" borderId="32" xfId="0" applyNumberFormat="1" applyFont="1" applyFill="1" applyBorder="1" applyAlignment="1">
      <alignment horizontal="center"/>
    </xf>
    <xf numFmtId="167" fontId="0" fillId="23" borderId="22" xfId="5" applyFont="1" applyFill="1" applyBorder="1" applyAlignment="1">
      <alignment vertical="center"/>
    </xf>
    <xf numFmtId="167" fontId="0" fillId="23" borderId="4" xfId="5" applyFont="1" applyFill="1" applyBorder="1"/>
    <xf numFmtId="167" fontId="0" fillId="23" borderId="23" xfId="5" applyFont="1" applyFill="1" applyBorder="1"/>
    <xf numFmtId="165" fontId="1" fillId="0" borderId="16" xfId="1" applyFill="1" applyBorder="1"/>
    <xf numFmtId="44" fontId="19" fillId="0" borderId="1" xfId="1" applyNumberFormat="1" applyFont="1" applyBorder="1" applyAlignment="1">
      <alignment vertical="center"/>
    </xf>
    <xf numFmtId="165" fontId="1" fillId="0" borderId="14" xfId="1" applyFill="1" applyBorder="1"/>
    <xf numFmtId="165" fontId="0" fillId="5" borderId="68" xfId="0" applyNumberFormat="1" applyFill="1" applyBorder="1" applyAlignment="1">
      <alignment horizontal="center"/>
    </xf>
    <xf numFmtId="0" fontId="0" fillId="0" borderId="73" xfId="1" applyNumberFormat="1" applyFont="1" applyFill="1" applyBorder="1" applyAlignment="1">
      <alignment horizontal="left"/>
    </xf>
    <xf numFmtId="0" fontId="1" fillId="13" borderId="60" xfId="5" applyNumberFormat="1" applyFill="1" applyBorder="1" applyAlignment="1">
      <alignment horizontal="left"/>
    </xf>
    <xf numFmtId="0" fontId="6" fillId="12" borderId="41" xfId="5" applyNumberFormat="1" applyFont="1" applyFill="1" applyBorder="1" applyAlignment="1">
      <alignment horizontal="center" vertical="center"/>
    </xf>
    <xf numFmtId="0" fontId="6" fillId="12" borderId="3" xfId="5" applyNumberFormat="1" applyFont="1" applyFill="1" applyBorder="1" applyAlignment="1">
      <alignment horizontal="center" vertical="center"/>
    </xf>
    <xf numFmtId="0" fontId="14" fillId="20" borderId="32" xfId="5" applyNumberFormat="1" applyFont="1" applyFill="1" applyBorder="1" applyAlignment="1">
      <alignment horizontal="center" vertical="center"/>
    </xf>
    <xf numFmtId="166" fontId="2" fillId="0" borderId="32" xfId="5" applyNumberFormat="1" applyFont="1" applyBorder="1" applyAlignment="1">
      <alignment horizontal="center"/>
    </xf>
    <xf numFmtId="0" fontId="1" fillId="0" borderId="32" xfId="5" applyNumberFormat="1" applyBorder="1" applyAlignment="1">
      <alignment horizontal="center"/>
    </xf>
    <xf numFmtId="0" fontId="1" fillId="0" borderId="39" xfId="5" applyNumberFormat="1" applyBorder="1" applyAlignment="1">
      <alignment horizontal="center"/>
    </xf>
    <xf numFmtId="0" fontId="14" fillId="20" borderId="2" xfId="5" applyNumberFormat="1" applyFont="1" applyFill="1" applyBorder="1" applyAlignment="1">
      <alignment vertical="center"/>
    </xf>
    <xf numFmtId="0" fontId="18" fillId="0" borderId="22" xfId="5" applyNumberFormat="1" applyFont="1" applyBorder="1" applyAlignment="1">
      <alignment horizontal="right" vertical="center"/>
    </xf>
    <xf numFmtId="0" fontId="1" fillId="20" borderId="32" xfId="5" applyNumberFormat="1" applyFill="1" applyBorder="1" applyAlignment="1">
      <alignment horizontal="left" vertical="center"/>
    </xf>
    <xf numFmtId="0" fontId="1" fillId="0" borderId="24" xfId="5" applyNumberFormat="1" applyBorder="1" applyAlignment="1">
      <alignment vertical="center"/>
    </xf>
    <xf numFmtId="0" fontId="1" fillId="0" borderId="17" xfId="5" applyNumberFormat="1" applyBorder="1" applyAlignment="1">
      <alignment horizontal="center"/>
    </xf>
    <xf numFmtId="166" fontId="6" fillId="16" borderId="73" xfId="5" applyNumberFormat="1" applyFont="1" applyFill="1" applyBorder="1"/>
    <xf numFmtId="166" fontId="34" fillId="0" borderId="73" xfId="5" applyNumberFormat="1" applyFont="1" applyBorder="1" applyAlignment="1">
      <alignment horizontal="center"/>
    </xf>
    <xf numFmtId="168" fontId="2" fillId="6" borderId="37" xfId="0" applyNumberFormat="1" applyFont="1" applyFill="1" applyBorder="1"/>
    <xf numFmtId="168" fontId="2" fillId="6" borderId="68" xfId="0" applyNumberFormat="1" applyFont="1" applyFill="1" applyBorder="1"/>
    <xf numFmtId="165" fontId="2" fillId="5" borderId="68" xfId="1" applyFont="1" applyFill="1" applyBorder="1"/>
    <xf numFmtId="0" fontId="2" fillId="5" borderId="68" xfId="0" applyFont="1" applyFill="1" applyBorder="1"/>
    <xf numFmtId="0" fontId="2" fillId="5" borderId="39" xfId="0" applyFont="1" applyFill="1" applyBorder="1"/>
    <xf numFmtId="168" fontId="2" fillId="6" borderId="32" xfId="0" applyNumberFormat="1" applyFont="1" applyFill="1" applyBorder="1"/>
    <xf numFmtId="168" fontId="2" fillId="6" borderId="30" xfId="0" applyNumberFormat="1" applyFont="1" applyFill="1" applyBorder="1"/>
    <xf numFmtId="168" fontId="2" fillId="6" borderId="31" xfId="0" applyNumberFormat="1" applyFont="1" applyFill="1" applyBorder="1"/>
    <xf numFmtId="171" fontId="2" fillId="6" borderId="30" xfId="1" applyNumberFormat="1" applyFont="1" applyFill="1" applyBorder="1"/>
    <xf numFmtId="165" fontId="2" fillId="5" borderId="30" xfId="1" applyFont="1" applyFill="1" applyBorder="1"/>
    <xf numFmtId="0" fontId="2" fillId="5" borderId="31" xfId="0" applyFont="1" applyFill="1" applyBorder="1"/>
    <xf numFmtId="0" fontId="2" fillId="5" borderId="33" xfId="0" applyFont="1" applyFill="1" applyBorder="1"/>
    <xf numFmtId="0" fontId="0" fillId="13" borderId="57" xfId="5" applyNumberFormat="1" applyFont="1" applyFill="1" applyBorder="1" applyAlignment="1">
      <alignment horizontal="center"/>
    </xf>
    <xf numFmtId="0" fontId="6" fillId="12" borderId="73" xfId="5" applyNumberFormat="1" applyFont="1" applyFill="1" applyBorder="1" applyAlignment="1">
      <alignment horizontal="center" vertical="center"/>
    </xf>
    <xf numFmtId="0" fontId="35" fillId="5" borderId="7" xfId="0" applyFont="1" applyFill="1" applyBorder="1" applyAlignment="1">
      <alignment horizontal="center"/>
    </xf>
    <xf numFmtId="0" fontId="35" fillId="5" borderId="2" xfId="0" applyFont="1" applyFill="1" applyBorder="1" applyAlignment="1">
      <alignment horizontal="center"/>
    </xf>
    <xf numFmtId="0" fontId="35" fillId="5" borderId="2" xfId="0" applyFont="1" applyFill="1" applyBorder="1"/>
    <xf numFmtId="0" fontId="35" fillId="5" borderId="10" xfId="0" applyFont="1" applyFill="1" applyBorder="1"/>
    <xf numFmtId="0" fontId="1" fillId="0" borderId="75" xfId="5" applyNumberFormat="1" applyBorder="1" applyAlignment="1">
      <alignment vertical="center"/>
    </xf>
    <xf numFmtId="167" fontId="2" fillId="0" borderId="10" xfId="5" applyFont="1" applyBorder="1"/>
    <xf numFmtId="167" fontId="0" fillId="0" borderId="11" xfId="5" applyFont="1" applyBorder="1"/>
    <xf numFmtId="167" fontId="0" fillId="0" borderId="12" xfId="5" applyFont="1" applyBorder="1"/>
    <xf numFmtId="167" fontId="5" fillId="12" borderId="12" xfId="5" applyFont="1" applyFill="1" applyBorder="1"/>
    <xf numFmtId="167" fontId="1" fillId="0" borderId="12" xfId="5" applyBorder="1"/>
    <xf numFmtId="167" fontId="1" fillId="0" borderId="55" xfId="5" applyBorder="1"/>
    <xf numFmtId="167" fontId="2" fillId="9" borderId="18" xfId="5" applyFont="1" applyFill="1" applyBorder="1"/>
    <xf numFmtId="0" fontId="2" fillId="0" borderId="25" xfId="5" applyNumberFormat="1" applyFont="1" applyBorder="1" applyAlignment="1">
      <alignment horizontal="center" vertical="center"/>
    </xf>
    <xf numFmtId="0" fontId="0" fillId="0" borderId="84" xfId="5" applyNumberFormat="1" applyFont="1" applyBorder="1" applyAlignment="1">
      <alignment horizontal="center" vertical="center"/>
    </xf>
    <xf numFmtId="166" fontId="19" fillId="0" borderId="85" xfId="5" applyNumberFormat="1" applyFont="1" applyBorder="1" applyAlignment="1">
      <alignment horizontal="center"/>
    </xf>
    <xf numFmtId="0" fontId="0" fillId="0" borderId="51" xfId="5" applyNumberFormat="1" applyFont="1" applyBorder="1" applyAlignment="1">
      <alignment horizontal="center" vertical="center"/>
    </xf>
    <xf numFmtId="166" fontId="19" fillId="0" borderId="52" xfId="5" applyNumberFormat="1" applyFont="1" applyBorder="1" applyAlignment="1">
      <alignment horizontal="center"/>
    </xf>
    <xf numFmtId="0" fontId="5" fillId="12" borderId="51" xfId="5" applyNumberFormat="1" applyFont="1" applyFill="1" applyBorder="1" applyAlignment="1">
      <alignment horizontal="center" vertical="center"/>
    </xf>
    <xf numFmtId="0" fontId="1" fillId="0" borderId="51" xfId="5" applyNumberFormat="1" applyBorder="1" applyAlignment="1">
      <alignment horizontal="center" vertical="center"/>
    </xf>
    <xf numFmtId="0" fontId="1" fillId="0" borderId="74" xfId="5" applyNumberFormat="1" applyBorder="1" applyAlignment="1">
      <alignment horizontal="center" vertical="center"/>
    </xf>
    <xf numFmtId="0" fontId="35" fillId="5" borderId="38" xfId="0" applyFont="1" applyFill="1" applyBorder="1"/>
    <xf numFmtId="166" fontId="35" fillId="5" borderId="68" xfId="0" applyNumberFormat="1" applyFont="1" applyFill="1" applyBorder="1" applyAlignment="1">
      <alignment horizontal="center"/>
    </xf>
    <xf numFmtId="166" fontId="14" fillId="5" borderId="68" xfId="5" applyNumberFormat="1" applyFont="1" applyFill="1" applyBorder="1" applyAlignment="1">
      <alignment horizontal="center"/>
    </xf>
    <xf numFmtId="166" fontId="14" fillId="5" borderId="39" xfId="5" applyNumberFormat="1" applyFont="1" applyFill="1" applyBorder="1" applyAlignment="1">
      <alignment horizontal="center"/>
    </xf>
    <xf numFmtId="167" fontId="1" fillId="52" borderId="6" xfId="5" applyFill="1" applyBorder="1"/>
    <xf numFmtId="167" fontId="1" fillId="0" borderId="6" xfId="5" applyBorder="1"/>
    <xf numFmtId="0" fontId="1" fillId="0" borderId="4" xfId="5" applyNumberFormat="1" applyBorder="1"/>
    <xf numFmtId="167" fontId="1" fillId="0" borderId="24" xfId="5" applyBorder="1"/>
    <xf numFmtId="0" fontId="2" fillId="0" borderId="3" xfId="5" applyNumberFormat="1" applyFont="1" applyBorder="1" applyAlignment="1">
      <alignment horizontal="left" vertical="center" wrapText="1"/>
    </xf>
    <xf numFmtId="0" fontId="2" fillId="0" borderId="4" xfId="5" applyNumberFormat="1" applyFont="1" applyBorder="1" applyAlignment="1">
      <alignment horizontal="left" vertical="center"/>
    </xf>
    <xf numFmtId="0" fontId="2" fillId="0" borderId="4" xfId="5" applyNumberFormat="1" applyFont="1" applyBorder="1" applyAlignment="1">
      <alignment horizontal="left"/>
    </xf>
    <xf numFmtId="0" fontId="4" fillId="0" borderId="4" xfId="5" applyNumberFormat="1" applyFont="1" applyBorder="1" applyAlignment="1">
      <alignment horizontal="left"/>
    </xf>
    <xf numFmtId="0" fontId="63" fillId="0" borderId="23" xfId="5" applyNumberFormat="1" applyFont="1" applyBorder="1" applyAlignment="1">
      <alignment horizontal="left"/>
    </xf>
    <xf numFmtId="170" fontId="2" fillId="0" borderId="19" xfId="5" applyNumberFormat="1" applyFont="1" applyBorder="1" applyAlignment="1">
      <alignment horizontal="center"/>
    </xf>
    <xf numFmtId="170" fontId="1" fillId="0" borderId="57" xfId="1" applyNumberFormat="1" applyFont="1" applyFill="1" applyBorder="1" applyAlignment="1">
      <alignment horizontal="center"/>
    </xf>
    <xf numFmtId="170" fontId="1" fillId="0" borderId="57" xfId="5" applyNumberFormat="1" applyBorder="1" applyAlignment="1">
      <alignment horizontal="center"/>
    </xf>
    <xf numFmtId="170" fontId="1" fillId="0" borderId="73" xfId="1" applyNumberFormat="1" applyFont="1" applyFill="1" applyBorder="1" applyAlignment="1">
      <alignment horizontal="center"/>
    </xf>
    <xf numFmtId="170" fontId="2" fillId="6" borderId="1" xfId="1" applyNumberFormat="1" applyFont="1" applyFill="1" applyBorder="1"/>
    <xf numFmtId="8" fontId="0" fillId="0" borderId="0" xfId="0" applyNumberFormat="1"/>
    <xf numFmtId="0" fontId="2" fillId="21" borderId="19" xfId="5" applyNumberFormat="1" applyFont="1" applyFill="1" applyBorder="1" applyAlignment="1">
      <alignment horizontal="center" vertical="center"/>
    </xf>
    <xf numFmtId="0" fontId="1" fillId="21" borderId="19" xfId="5" applyNumberFormat="1" applyFill="1" applyBorder="1" applyAlignment="1">
      <alignment horizontal="left"/>
    </xf>
    <xf numFmtId="166" fontId="37" fillId="16" borderId="20" xfId="5" applyNumberFormat="1" applyFont="1" applyFill="1" applyBorder="1" applyAlignment="1">
      <alignment horizontal="center"/>
    </xf>
    <xf numFmtId="166" fontId="34" fillId="16" borderId="20" xfId="5" applyNumberFormat="1" applyFont="1" applyFill="1" applyBorder="1" applyAlignment="1">
      <alignment horizontal="center"/>
    </xf>
    <xf numFmtId="175" fontId="1" fillId="13" borderId="20" xfId="1" applyNumberFormat="1" applyFont="1" applyFill="1" applyBorder="1" applyAlignment="1">
      <alignment horizontal="center"/>
    </xf>
    <xf numFmtId="0" fontId="5" fillId="13" borderId="0" xfId="5" applyNumberFormat="1" applyFont="1" applyFill="1" applyAlignment="1">
      <alignment horizontal="center"/>
    </xf>
    <xf numFmtId="165" fontId="1" fillId="7" borderId="69" xfId="1" applyFont="1" applyFill="1" applyBorder="1" applyAlignment="1">
      <alignment horizontal="center"/>
    </xf>
    <xf numFmtId="0" fontId="6" fillId="54" borderId="93" xfId="0" applyFont="1" applyFill="1" applyBorder="1" applyAlignment="1">
      <alignment horizontal="center" vertical="center"/>
    </xf>
    <xf numFmtId="0" fontId="2" fillId="21" borderId="19" xfId="5" applyNumberFormat="1" applyFont="1" applyFill="1" applyBorder="1" applyAlignment="1">
      <alignment horizontal="center"/>
    </xf>
    <xf numFmtId="167" fontId="0" fillId="21" borderId="19" xfId="5" applyFont="1" applyFill="1" applyBorder="1" applyAlignment="1">
      <alignment horizontal="left"/>
    </xf>
    <xf numFmtId="0" fontId="2" fillId="20" borderId="3" xfId="5" applyNumberFormat="1" applyFont="1" applyFill="1" applyBorder="1" applyAlignment="1">
      <alignment horizontal="center" vertical="center"/>
    </xf>
    <xf numFmtId="0" fontId="6" fillId="23" borderId="7" xfId="0" applyFont="1" applyFill="1" applyBorder="1" applyAlignment="1">
      <alignment horizontal="center" vertical="center"/>
    </xf>
    <xf numFmtId="0" fontId="2" fillId="23" borderId="7" xfId="5" applyNumberFormat="1" applyFont="1" applyFill="1" applyBorder="1" applyAlignment="1">
      <alignment horizontal="center"/>
    </xf>
    <xf numFmtId="0" fontId="1" fillId="23" borderId="1" xfId="5" applyNumberFormat="1" applyFill="1" applyBorder="1" applyAlignment="1">
      <alignment horizontal="left"/>
    </xf>
    <xf numFmtId="167" fontId="0" fillId="23" borderId="2" xfId="5" applyFont="1" applyFill="1" applyBorder="1" applyAlignment="1">
      <alignment horizontal="left"/>
    </xf>
    <xf numFmtId="0" fontId="0" fillId="23" borderId="10" xfId="5" applyNumberFormat="1" applyFont="1" applyFill="1" applyBorder="1" applyAlignment="1">
      <alignment horizontal="center" vertical="center"/>
    </xf>
    <xf numFmtId="17" fontId="2" fillId="23" borderId="1" xfId="5" applyNumberFormat="1" applyFont="1" applyFill="1" applyBorder="1" applyAlignment="1">
      <alignment horizontal="center" vertical="center"/>
    </xf>
    <xf numFmtId="0" fontId="0" fillId="0" borderId="57" xfId="0" applyFill="1" applyBorder="1"/>
    <xf numFmtId="0" fontId="39" fillId="0" borderId="57" xfId="0" applyFont="1" applyFill="1" applyBorder="1"/>
    <xf numFmtId="0" fontId="0" fillId="0" borderId="0" xfId="0" applyNumberFormat="1"/>
    <xf numFmtId="0" fontId="2" fillId="5" borderId="7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167" fontId="2" fillId="9" borderId="20" xfId="5" applyFont="1" applyFill="1" applyBorder="1" applyAlignment="1">
      <alignment horizontal="center"/>
    </xf>
    <xf numFmtId="167" fontId="2" fillId="9" borderId="18" xfId="5" applyFont="1" applyFill="1" applyBorder="1" applyAlignment="1">
      <alignment horizontal="center"/>
    </xf>
    <xf numFmtId="167" fontId="2" fillId="9" borderId="21" xfId="5" applyFont="1" applyFill="1" applyBorder="1" applyAlignment="1">
      <alignment horizontal="center"/>
    </xf>
    <xf numFmtId="167" fontId="2" fillId="14" borderId="20" xfId="5" applyFont="1" applyFill="1" applyBorder="1" applyAlignment="1">
      <alignment horizontal="center" vertical="center"/>
    </xf>
    <xf numFmtId="167" fontId="2" fillId="14" borderId="18" xfId="5" applyFont="1" applyFill="1" applyBorder="1" applyAlignment="1">
      <alignment horizontal="center"/>
    </xf>
    <xf numFmtId="167" fontId="2" fillId="14" borderId="20" xfId="5" applyFont="1" applyFill="1" applyBorder="1" applyAlignment="1">
      <alignment horizontal="center"/>
    </xf>
    <xf numFmtId="167" fontId="2" fillId="14" borderId="18" xfId="5" applyFont="1" applyFill="1" applyBorder="1" applyAlignment="1">
      <alignment horizontal="center" vertical="center"/>
    </xf>
    <xf numFmtId="167" fontId="2" fillId="9" borderId="7" xfId="5" applyFont="1" applyFill="1" applyBorder="1" applyAlignment="1">
      <alignment horizontal="center"/>
    </xf>
    <xf numFmtId="167" fontId="2" fillId="9" borderId="2" xfId="5" applyFont="1" applyFill="1" applyBorder="1" applyAlignment="1">
      <alignment horizontal="center"/>
    </xf>
    <xf numFmtId="165" fontId="6" fillId="0" borderId="18" xfId="1" applyFont="1" applyFill="1" applyBorder="1" applyAlignment="1">
      <alignment horizontal="center" vertical="center"/>
    </xf>
    <xf numFmtId="165" fontId="6" fillId="0" borderId="30" xfId="1" applyFont="1" applyFill="1" applyBorder="1" applyAlignment="1">
      <alignment horizontal="center" vertical="center"/>
    </xf>
    <xf numFmtId="44" fontId="19" fillId="0" borderId="34" xfId="1" applyNumberFormat="1" applyFont="1" applyBorder="1" applyAlignment="1">
      <alignment horizontal="center" vertical="center"/>
    </xf>
    <xf numFmtId="44" fontId="19" fillId="0" borderId="64" xfId="1" applyNumberFormat="1" applyFont="1" applyBorder="1" applyAlignment="1">
      <alignment horizontal="center" vertical="center"/>
    </xf>
    <xf numFmtId="0" fontId="8" fillId="0" borderId="42" xfId="2" applyNumberFormat="1" applyFont="1" applyFill="1" applyBorder="1" applyAlignment="1" applyProtection="1">
      <alignment horizontal="center" vertical="center" wrapText="1"/>
    </xf>
    <xf numFmtId="0" fontId="8" fillId="23" borderId="19" xfId="2" applyNumberFormat="1" applyFont="1" applyFill="1" applyBorder="1" applyAlignment="1" applyProtection="1">
      <alignment horizontal="center" vertical="center"/>
    </xf>
    <xf numFmtId="0" fontId="8" fillId="23" borderId="41" xfId="2" applyNumberFormat="1" applyFont="1" applyFill="1" applyBorder="1" applyAlignment="1" applyProtection="1">
      <alignment horizontal="center" vertical="center"/>
    </xf>
    <xf numFmtId="0" fontId="8" fillId="23" borderId="31" xfId="2" applyNumberFormat="1" applyFont="1" applyFill="1" applyBorder="1" applyAlignment="1" applyProtection="1">
      <alignment horizontal="center" vertical="center"/>
    </xf>
    <xf numFmtId="0" fontId="0" fillId="23" borderId="21" xfId="5" applyNumberFormat="1" applyFont="1" applyFill="1" applyBorder="1" applyAlignment="1">
      <alignment horizontal="center" vertical="center"/>
    </xf>
    <xf numFmtId="0" fontId="0" fillId="23" borderId="56" xfId="5" applyNumberFormat="1" applyFont="1" applyFill="1" applyBorder="1" applyAlignment="1">
      <alignment horizontal="center" vertical="center"/>
    </xf>
    <xf numFmtId="165" fontId="38" fillId="16" borderId="19" xfId="1" applyFont="1" applyFill="1" applyBorder="1" applyAlignment="1">
      <alignment horizontal="center" vertical="center"/>
    </xf>
    <xf numFmtId="165" fontId="38" fillId="16" borderId="41" xfId="1" applyFont="1" applyFill="1" applyBorder="1" applyAlignment="1">
      <alignment horizontal="center" vertical="center"/>
    </xf>
    <xf numFmtId="49" fontId="0" fillId="23" borderId="19" xfId="5" applyNumberFormat="1" applyFont="1" applyFill="1" applyBorder="1" applyAlignment="1">
      <alignment horizontal="center" vertical="center"/>
    </xf>
    <xf numFmtId="49" fontId="0" fillId="23" borderId="31" xfId="5" applyNumberFormat="1" applyFont="1" applyFill="1" applyBorder="1" applyAlignment="1">
      <alignment horizontal="center" vertical="center"/>
    </xf>
    <xf numFmtId="0" fontId="8" fillId="0" borderId="18" xfId="2" applyNumberFormat="1" applyFont="1" applyFill="1" applyBorder="1" applyAlignment="1" applyProtection="1">
      <alignment horizontal="center" vertical="center" wrapText="1"/>
    </xf>
    <xf numFmtId="0" fontId="8" fillId="0" borderId="30" xfId="2" applyNumberFormat="1" applyFont="1" applyFill="1" applyBorder="1" applyAlignment="1" applyProtection="1">
      <alignment horizontal="center" vertical="center" wrapText="1"/>
    </xf>
    <xf numFmtId="0" fontId="2" fillId="0" borderId="19" xfId="5" applyNumberFormat="1" applyFont="1" applyBorder="1" applyAlignment="1">
      <alignment horizontal="center" vertical="center" wrapText="1"/>
    </xf>
    <xf numFmtId="0" fontId="2" fillId="0" borderId="31" xfId="5" applyNumberFormat="1" applyFont="1" applyBorder="1" applyAlignment="1">
      <alignment horizontal="center" vertical="center" wrapText="1"/>
    </xf>
    <xf numFmtId="0" fontId="2" fillId="0" borderId="19" xfId="5" applyNumberFormat="1" applyFont="1" applyBorder="1" applyAlignment="1">
      <alignment horizontal="center" vertical="center"/>
    </xf>
    <xf numFmtId="0" fontId="2" fillId="0" borderId="31" xfId="5" applyNumberFormat="1" applyFont="1" applyBorder="1" applyAlignment="1">
      <alignment horizontal="center" vertical="center"/>
    </xf>
    <xf numFmtId="171" fontId="2" fillId="16" borderId="19" xfId="5" applyNumberFormat="1" applyFont="1" applyFill="1" applyBorder="1" applyAlignment="1">
      <alignment horizontal="center" vertical="center"/>
    </xf>
    <xf numFmtId="171" fontId="2" fillId="16" borderId="31" xfId="5" applyNumberFormat="1" applyFont="1" applyFill="1" applyBorder="1" applyAlignment="1">
      <alignment horizontal="center" vertical="center"/>
    </xf>
    <xf numFmtId="0" fontId="0" fillId="0" borderId="19" xfId="5" applyNumberFormat="1" applyFont="1" applyBorder="1" applyAlignment="1">
      <alignment horizontal="center" vertical="center"/>
    </xf>
    <xf numFmtId="0" fontId="0" fillId="0" borderId="31" xfId="5" applyNumberFormat="1" applyFont="1" applyBorder="1" applyAlignment="1">
      <alignment horizontal="center" vertical="center"/>
    </xf>
    <xf numFmtId="167" fontId="2" fillId="9" borderId="18" xfId="5" applyFont="1" applyFill="1" applyBorder="1" applyAlignment="1">
      <alignment horizontal="center" vertical="center"/>
    </xf>
    <xf numFmtId="167" fontId="2" fillId="9" borderId="20" xfId="5" applyFont="1" applyFill="1" applyBorder="1" applyAlignment="1">
      <alignment horizontal="center" vertical="center"/>
    </xf>
    <xf numFmtId="167" fontId="2" fillId="9" borderId="21" xfId="5" applyFont="1" applyFill="1" applyBorder="1" applyAlignment="1">
      <alignment horizontal="center" vertical="center"/>
    </xf>
    <xf numFmtId="166" fontId="2" fillId="0" borderId="21" xfId="5" applyNumberFormat="1" applyFont="1" applyBorder="1" applyAlignment="1">
      <alignment horizontal="center"/>
    </xf>
    <xf numFmtId="166" fontId="2" fillId="0" borderId="56" xfId="5" applyNumberFormat="1" applyFont="1" applyBorder="1" applyAlignment="1">
      <alignment horizontal="center"/>
    </xf>
    <xf numFmtId="166" fontId="2" fillId="0" borderId="33" xfId="5" applyNumberFormat="1" applyFont="1" applyBorder="1" applyAlignment="1">
      <alignment horizontal="center"/>
    </xf>
    <xf numFmtId="0" fontId="0" fillId="20" borderId="42" xfId="5" applyNumberFormat="1" applyFont="1" applyFill="1" applyBorder="1" applyAlignment="1">
      <alignment horizontal="center" vertical="center"/>
    </xf>
    <xf numFmtId="0" fontId="2" fillId="10" borderId="17" xfId="5" applyNumberFormat="1" applyFont="1" applyFill="1" applyBorder="1" applyAlignment="1">
      <alignment horizontal="center" vertical="center"/>
    </xf>
    <xf numFmtId="0" fontId="2" fillId="10" borderId="41" xfId="5" applyNumberFormat="1" applyFont="1" applyFill="1" applyBorder="1" applyAlignment="1">
      <alignment horizontal="center" vertical="center"/>
    </xf>
    <xf numFmtId="0" fontId="2" fillId="10" borderId="31" xfId="5" applyNumberFormat="1" applyFont="1" applyFill="1" applyBorder="1" applyAlignment="1">
      <alignment horizontal="center" vertical="center"/>
    </xf>
    <xf numFmtId="0" fontId="6" fillId="20" borderId="41" xfId="5" applyNumberFormat="1" applyFont="1" applyFill="1" applyBorder="1" applyAlignment="1">
      <alignment horizontal="center" vertical="center"/>
    </xf>
    <xf numFmtId="0" fontId="6" fillId="20" borderId="31" xfId="5" applyNumberFormat="1" applyFont="1" applyFill="1" applyBorder="1" applyAlignment="1">
      <alignment horizontal="center" vertical="center"/>
    </xf>
    <xf numFmtId="0" fontId="0" fillId="20" borderId="41" xfId="5" applyNumberFormat="1" applyFont="1" applyFill="1" applyBorder="1" applyAlignment="1">
      <alignment horizontal="center" vertical="center"/>
    </xf>
    <xf numFmtId="0" fontId="0" fillId="20" borderId="31" xfId="5" applyNumberFormat="1" applyFont="1" applyFill="1" applyBorder="1" applyAlignment="1">
      <alignment horizontal="center" vertical="center"/>
    </xf>
    <xf numFmtId="0" fontId="2" fillId="20" borderId="42" xfId="5" applyNumberFormat="1" applyFont="1" applyFill="1" applyBorder="1" applyAlignment="1">
      <alignment horizontal="center" vertical="center"/>
    </xf>
    <xf numFmtId="0" fontId="2" fillId="20" borderId="30" xfId="5" applyNumberFormat="1" applyFont="1" applyFill="1" applyBorder="1" applyAlignment="1">
      <alignment horizontal="center" vertical="center"/>
    </xf>
    <xf numFmtId="166" fontId="38" fillId="16" borderId="19" xfId="5" applyNumberFormat="1" applyFont="1" applyFill="1" applyBorder="1" applyAlignment="1">
      <alignment horizontal="center"/>
    </xf>
    <xf numFmtId="166" fontId="38" fillId="16" borderId="41" xfId="5" applyNumberFormat="1" applyFont="1" applyFill="1" applyBorder="1" applyAlignment="1">
      <alignment horizontal="center"/>
    </xf>
    <xf numFmtId="166" fontId="38" fillId="16" borderId="31" xfId="5" applyNumberFormat="1" applyFont="1" applyFill="1" applyBorder="1" applyAlignment="1">
      <alignment horizontal="center"/>
    </xf>
    <xf numFmtId="0" fontId="1" fillId="7" borderId="35" xfId="5" applyNumberFormat="1" applyFill="1" applyBorder="1" applyAlignment="1">
      <alignment horizontal="center" vertical="center"/>
    </xf>
    <xf numFmtId="0" fontId="1" fillId="7" borderId="65" xfId="5" applyNumberFormat="1" applyFill="1" applyBorder="1" applyAlignment="1">
      <alignment horizontal="center" vertical="center"/>
    </xf>
    <xf numFmtId="0" fontId="1" fillId="0" borderId="35" xfId="5" applyNumberFormat="1" applyBorder="1" applyAlignment="1">
      <alignment horizontal="center" vertical="center"/>
    </xf>
    <xf numFmtId="0" fontId="1" fillId="0" borderId="65" xfId="5" applyNumberFormat="1" applyBorder="1" applyAlignment="1">
      <alignment horizontal="center" vertical="center"/>
    </xf>
    <xf numFmtId="0" fontId="1" fillId="17" borderId="19" xfId="5" applyNumberFormat="1" applyFill="1" applyBorder="1" applyAlignment="1">
      <alignment horizontal="center" vertical="center"/>
    </xf>
    <xf numFmtId="0" fontId="1" fillId="17" borderId="41" xfId="5" applyNumberFormat="1" applyFill="1" applyBorder="1" applyAlignment="1">
      <alignment horizontal="center" vertical="center"/>
    </xf>
    <xf numFmtId="166" fontId="38" fillId="16" borderId="19" xfId="5" applyNumberFormat="1" applyFont="1" applyFill="1" applyBorder="1" applyAlignment="1">
      <alignment horizontal="center" vertical="center"/>
    </xf>
    <xf numFmtId="166" fontId="38" fillId="16" borderId="41" xfId="5" applyNumberFormat="1" applyFont="1" applyFill="1" applyBorder="1" applyAlignment="1">
      <alignment horizontal="center" vertical="center"/>
    </xf>
    <xf numFmtId="166" fontId="38" fillId="16" borderId="31" xfId="5" applyNumberFormat="1" applyFont="1" applyFill="1" applyBorder="1" applyAlignment="1">
      <alignment horizontal="center" vertical="center"/>
    </xf>
    <xf numFmtId="166" fontId="2" fillId="0" borderId="19" xfId="5" applyNumberFormat="1" applyFont="1" applyBorder="1" applyAlignment="1">
      <alignment horizontal="center" vertical="center"/>
    </xf>
    <xf numFmtId="166" fontId="2" fillId="0" borderId="41" xfId="5" applyNumberFormat="1" applyFont="1" applyBorder="1" applyAlignment="1">
      <alignment horizontal="center" vertical="center"/>
    </xf>
    <xf numFmtId="166" fontId="2" fillId="0" borderId="31" xfId="5" applyNumberFormat="1" applyFont="1" applyBorder="1" applyAlignment="1">
      <alignment horizontal="center" vertical="center"/>
    </xf>
    <xf numFmtId="166" fontId="38" fillId="17" borderId="19" xfId="5" applyNumberFormat="1" applyFont="1" applyFill="1" applyBorder="1" applyAlignment="1">
      <alignment horizontal="center" vertical="center"/>
    </xf>
    <xf numFmtId="166" fontId="38" fillId="17" borderId="41" xfId="5" applyNumberFormat="1" applyFont="1" applyFill="1" applyBorder="1" applyAlignment="1">
      <alignment horizontal="center" vertical="center"/>
    </xf>
    <xf numFmtId="166" fontId="38" fillId="17" borderId="31" xfId="5" applyNumberFormat="1" applyFont="1" applyFill="1" applyBorder="1" applyAlignment="1">
      <alignment horizontal="center" vertical="center"/>
    </xf>
    <xf numFmtId="166" fontId="19" fillId="0" borderId="19" xfId="5" applyNumberFormat="1" applyFont="1" applyBorder="1" applyAlignment="1">
      <alignment horizontal="center" vertical="center"/>
    </xf>
    <xf numFmtId="166" fontId="19" fillId="0" borderId="41" xfId="5" applyNumberFormat="1" applyFont="1" applyBorder="1" applyAlignment="1">
      <alignment horizontal="center" vertical="center"/>
    </xf>
    <xf numFmtId="166" fontId="19" fillId="0" borderId="31" xfId="5" applyNumberFormat="1" applyFont="1" applyBorder="1" applyAlignment="1">
      <alignment horizontal="center" vertical="center"/>
    </xf>
    <xf numFmtId="166" fontId="19" fillId="0" borderId="18" xfId="5" applyNumberFormat="1" applyFont="1" applyBorder="1" applyAlignment="1">
      <alignment horizontal="center" vertical="center"/>
    </xf>
    <xf numFmtId="166" fontId="19" fillId="0" borderId="42" xfId="5" applyNumberFormat="1" applyFont="1" applyBorder="1" applyAlignment="1">
      <alignment horizontal="center" vertical="center"/>
    </xf>
    <xf numFmtId="166" fontId="19" fillId="0" borderId="30" xfId="5" applyNumberFormat="1" applyFont="1" applyBorder="1" applyAlignment="1">
      <alignment horizontal="center" vertical="center"/>
    </xf>
    <xf numFmtId="0" fontId="6" fillId="17" borderId="22" xfId="5" applyNumberFormat="1" applyFont="1" applyFill="1" applyBorder="1" applyAlignment="1">
      <alignment horizontal="center" vertical="center"/>
    </xf>
    <xf numFmtId="0" fontId="6" fillId="17" borderId="4" xfId="5" applyNumberFormat="1" applyFont="1" applyFill="1" applyBorder="1" applyAlignment="1">
      <alignment horizontal="center" vertical="center"/>
    </xf>
    <xf numFmtId="0" fontId="2" fillId="17" borderId="19" xfId="5" applyNumberFormat="1" applyFont="1" applyFill="1" applyBorder="1" applyAlignment="1">
      <alignment horizontal="center" vertical="center"/>
    </xf>
    <xf numFmtId="0" fontId="2" fillId="17" borderId="41" xfId="5" applyNumberFormat="1" applyFont="1" applyFill="1" applyBorder="1" applyAlignment="1">
      <alignment horizontal="center" vertical="center"/>
    </xf>
    <xf numFmtId="0" fontId="2" fillId="17" borderId="3" xfId="5" applyNumberFormat="1" applyFont="1" applyFill="1" applyBorder="1" applyAlignment="1">
      <alignment horizontal="center" vertical="center"/>
    </xf>
    <xf numFmtId="0" fontId="6" fillId="10" borderId="17" xfId="5" applyNumberFormat="1" applyFont="1" applyFill="1" applyBorder="1" applyAlignment="1">
      <alignment horizontal="center" vertical="center"/>
    </xf>
    <xf numFmtId="0" fontId="6" fillId="10" borderId="41" xfId="5" applyNumberFormat="1" applyFont="1" applyFill="1" applyBorder="1" applyAlignment="1">
      <alignment horizontal="center" vertical="center"/>
    </xf>
    <xf numFmtId="0" fontId="8" fillId="18" borderId="17" xfId="5" applyNumberFormat="1" applyFont="1" applyFill="1" applyBorder="1" applyAlignment="1">
      <alignment horizontal="center" vertical="center"/>
    </xf>
    <xf numFmtId="0" fontId="6" fillId="18" borderId="41" xfId="5" applyNumberFormat="1" applyFont="1" applyFill="1" applyBorder="1" applyAlignment="1">
      <alignment horizontal="center" vertical="center"/>
    </xf>
    <xf numFmtId="0" fontId="6" fillId="18" borderId="3" xfId="5" applyNumberFormat="1" applyFont="1" applyFill="1" applyBorder="1" applyAlignment="1">
      <alignment horizontal="center" vertical="center"/>
    </xf>
    <xf numFmtId="0" fontId="6" fillId="19" borderId="17" xfId="5" applyNumberFormat="1" applyFont="1" applyFill="1" applyBorder="1" applyAlignment="1">
      <alignment horizontal="center" vertical="center"/>
    </xf>
    <xf numFmtId="0" fontId="6" fillId="19" borderId="41" xfId="5" applyNumberFormat="1" applyFont="1" applyFill="1" applyBorder="1" applyAlignment="1">
      <alignment horizontal="center" vertical="center"/>
    </xf>
    <xf numFmtId="0" fontId="6" fillId="19" borderId="3" xfId="5" applyNumberFormat="1" applyFont="1" applyFill="1" applyBorder="1" applyAlignment="1">
      <alignment horizontal="center" vertical="center"/>
    </xf>
    <xf numFmtId="0" fontId="2" fillId="19" borderId="17" xfId="5" applyNumberFormat="1" applyFont="1" applyFill="1" applyBorder="1" applyAlignment="1">
      <alignment horizontal="center" vertical="center"/>
    </xf>
    <xf numFmtId="0" fontId="2" fillId="19" borderId="41" xfId="5" applyNumberFormat="1" applyFont="1" applyFill="1" applyBorder="1" applyAlignment="1">
      <alignment horizontal="center" vertical="center"/>
    </xf>
    <xf numFmtId="0" fontId="2" fillId="19" borderId="3" xfId="5" applyNumberFormat="1" applyFont="1" applyFill="1" applyBorder="1" applyAlignment="1">
      <alignment horizontal="center" vertical="center"/>
    </xf>
    <xf numFmtId="0" fontId="2" fillId="18" borderId="17" xfId="5" applyNumberFormat="1" applyFont="1" applyFill="1" applyBorder="1" applyAlignment="1">
      <alignment horizontal="center" vertical="center"/>
    </xf>
    <xf numFmtId="0" fontId="2" fillId="18" borderId="41" xfId="5" applyNumberFormat="1" applyFont="1" applyFill="1" applyBorder="1" applyAlignment="1">
      <alignment horizontal="center" vertical="center"/>
    </xf>
    <xf numFmtId="0" fontId="2" fillId="18" borderId="3" xfId="5" applyNumberFormat="1" applyFont="1" applyFill="1" applyBorder="1" applyAlignment="1">
      <alignment horizontal="center" vertical="center"/>
    </xf>
    <xf numFmtId="0" fontId="6" fillId="12" borderId="41" xfId="5" applyNumberFormat="1" applyFont="1" applyFill="1" applyBorder="1" applyAlignment="1">
      <alignment horizontal="center" vertical="center"/>
    </xf>
    <xf numFmtId="0" fontId="6" fillId="12" borderId="3" xfId="5" applyNumberFormat="1" applyFont="1" applyFill="1" applyBorder="1" applyAlignment="1">
      <alignment horizontal="center" vertical="center"/>
    </xf>
    <xf numFmtId="0" fontId="2" fillId="12" borderId="41" xfId="5" applyNumberFormat="1" applyFont="1" applyFill="1" applyBorder="1" applyAlignment="1">
      <alignment horizontal="center" vertical="center"/>
    </xf>
    <xf numFmtId="0" fontId="2" fillId="12" borderId="3" xfId="5" applyNumberFormat="1" applyFont="1" applyFill="1" applyBorder="1" applyAlignment="1">
      <alignment horizontal="center" vertical="center"/>
    </xf>
    <xf numFmtId="0" fontId="0" fillId="18" borderId="19" xfId="5" applyNumberFormat="1" applyFont="1" applyFill="1" applyBorder="1" applyAlignment="1">
      <alignment horizontal="center" vertical="center"/>
    </xf>
    <xf numFmtId="0" fontId="0" fillId="18" borderId="41" xfId="5" applyNumberFormat="1" applyFont="1" applyFill="1" applyBorder="1" applyAlignment="1">
      <alignment horizontal="center" vertical="center"/>
    </xf>
    <xf numFmtId="0" fontId="0" fillId="18" borderId="31" xfId="5" applyNumberFormat="1" applyFont="1" applyFill="1" applyBorder="1" applyAlignment="1">
      <alignment horizontal="center" vertical="center"/>
    </xf>
    <xf numFmtId="0" fontId="0" fillId="19" borderId="19" xfId="5" applyNumberFormat="1" applyFont="1" applyFill="1" applyBorder="1" applyAlignment="1">
      <alignment horizontal="center" vertical="center"/>
    </xf>
    <xf numFmtId="0" fontId="0" fillId="19" borderId="41" xfId="5" applyNumberFormat="1" applyFont="1" applyFill="1" applyBorder="1" applyAlignment="1">
      <alignment horizontal="center" vertical="center"/>
    </xf>
    <xf numFmtId="0" fontId="0" fillId="19" borderId="31" xfId="5" applyNumberFormat="1" applyFont="1" applyFill="1" applyBorder="1" applyAlignment="1">
      <alignment horizontal="center" vertical="center"/>
    </xf>
    <xf numFmtId="0" fontId="0" fillId="12" borderId="41" xfId="5" applyNumberFormat="1" applyFont="1" applyFill="1" applyBorder="1" applyAlignment="1">
      <alignment horizontal="center" vertical="center"/>
    </xf>
    <xf numFmtId="0" fontId="0" fillId="12" borderId="31" xfId="5" applyNumberFormat="1" applyFont="1" applyFill="1" applyBorder="1" applyAlignment="1">
      <alignment horizontal="center" vertical="center"/>
    </xf>
    <xf numFmtId="0" fontId="0" fillId="10" borderId="19" xfId="5" applyNumberFormat="1" applyFont="1" applyFill="1" applyBorder="1" applyAlignment="1">
      <alignment horizontal="center" vertical="center"/>
    </xf>
    <xf numFmtId="0" fontId="0" fillId="10" borderId="41" xfId="5" applyNumberFormat="1" applyFont="1" applyFill="1" applyBorder="1" applyAlignment="1">
      <alignment horizontal="center" vertical="center"/>
    </xf>
    <xf numFmtId="0" fontId="0" fillId="10" borderId="31" xfId="5" applyNumberFormat="1" applyFont="1" applyFill="1" applyBorder="1" applyAlignment="1">
      <alignment horizontal="center" vertical="center"/>
    </xf>
    <xf numFmtId="167" fontId="2" fillId="14" borderId="21" xfId="5" applyFont="1" applyFill="1" applyBorder="1" applyAlignment="1">
      <alignment horizontal="center"/>
    </xf>
    <xf numFmtId="167" fontId="2" fillId="14" borderId="21" xfId="5" applyFont="1" applyFill="1" applyBorder="1" applyAlignment="1">
      <alignment horizontal="center" vertical="center"/>
    </xf>
  </cellXfs>
  <cellStyles count="50">
    <cellStyle name="Comma" xfId="8" builtinId="3"/>
    <cellStyle name="Comma 2" xfId="46" xr:uid="{00000000-0005-0000-0000-000035000000}"/>
    <cellStyle name="Currency" xfId="1" builtinId="4"/>
    <cellStyle name="Currency 2" xfId="7" xr:uid="{00000000-0005-0000-0000-000001000000}"/>
    <cellStyle name="Currency 3" xfId="47" xr:uid="{00000000-0005-0000-0000-000036000000}"/>
    <cellStyle name="Hyperlink" xfId="2" builtinId="8"/>
    <cellStyle name="Normal" xfId="0" builtinId="0"/>
    <cellStyle name="Normal 11" xfId="4" xr:uid="{00000000-0005-0000-0000-000004000000}"/>
    <cellStyle name="Normal 14" xfId="5" xr:uid="{00000000-0005-0000-0000-000005000000}"/>
    <cellStyle name="Normal 2" xfId="6" xr:uid="{00000000-0005-0000-0000-000006000000}"/>
    <cellStyle name="Percent" xfId="3" builtinId="5"/>
    <cellStyle name="SAPBorder" xfId="27" xr:uid="{00000000-0005-0000-0000-000006000000}"/>
    <cellStyle name="SAPDataCell" xfId="10" xr:uid="{00000000-0005-0000-0000-000007000000}"/>
    <cellStyle name="SAPDataRemoved" xfId="49" xr:uid="{E5AD5B14-CA45-4179-8D48-BA36DA800640}"/>
    <cellStyle name="SAPDataTotalCell" xfId="11" xr:uid="{00000000-0005-0000-0000-000008000000}"/>
    <cellStyle name="SAPDimensionCell" xfId="9" xr:uid="{00000000-0005-0000-0000-000009000000}"/>
    <cellStyle name="SAPEditableDataCell" xfId="12" xr:uid="{00000000-0005-0000-0000-00000A000000}"/>
    <cellStyle name="SAPEditableDataTotalCell" xfId="15" xr:uid="{00000000-0005-0000-0000-00000B000000}"/>
    <cellStyle name="SAPEmphasized" xfId="35" xr:uid="{00000000-0005-0000-0000-00000C000000}"/>
    <cellStyle name="SAPEmphasizedEditableDataCell" xfId="37" xr:uid="{00000000-0005-0000-0000-00000D000000}"/>
    <cellStyle name="SAPEmphasizedEditableDataTotalCell" xfId="38" xr:uid="{00000000-0005-0000-0000-00000E000000}"/>
    <cellStyle name="SAPEmphasizedLockedDataCell" xfId="41" xr:uid="{00000000-0005-0000-0000-00000F000000}"/>
    <cellStyle name="SAPEmphasizedLockedDataTotalCell" xfId="42" xr:uid="{00000000-0005-0000-0000-000010000000}"/>
    <cellStyle name="SAPEmphasizedReadonlyDataCell" xfId="39" xr:uid="{00000000-0005-0000-0000-000011000000}"/>
    <cellStyle name="SAPEmphasizedReadonlyDataTotalCell" xfId="40" xr:uid="{00000000-0005-0000-0000-000012000000}"/>
    <cellStyle name="SAPEmphasizedTotal" xfId="36" xr:uid="{00000000-0005-0000-0000-000013000000}"/>
    <cellStyle name="SAPError" xfId="45" xr:uid="{00000000-0005-0000-0000-000014000000}"/>
    <cellStyle name="SAPExceptionLevel1" xfId="18" xr:uid="{00000000-0005-0000-0000-000015000000}"/>
    <cellStyle name="SAPExceptionLevel2" xfId="19" xr:uid="{00000000-0005-0000-0000-000016000000}"/>
    <cellStyle name="SAPExceptionLevel3" xfId="20" xr:uid="{00000000-0005-0000-0000-000017000000}"/>
    <cellStyle name="SAPExceptionLevel4" xfId="21" xr:uid="{00000000-0005-0000-0000-000018000000}"/>
    <cellStyle name="SAPExceptionLevel5" xfId="22" xr:uid="{00000000-0005-0000-0000-000019000000}"/>
    <cellStyle name="SAPExceptionLevel6" xfId="23" xr:uid="{00000000-0005-0000-0000-00001A000000}"/>
    <cellStyle name="SAPExceptionLevel7" xfId="24" xr:uid="{00000000-0005-0000-0000-00001B000000}"/>
    <cellStyle name="SAPExceptionLevel8" xfId="25" xr:uid="{00000000-0005-0000-0000-00001C000000}"/>
    <cellStyle name="SAPExceptionLevel9" xfId="26" xr:uid="{00000000-0005-0000-0000-00001D000000}"/>
    <cellStyle name="SAPFormula" xfId="44" xr:uid="{00000000-0005-0000-0000-00001E000000}"/>
    <cellStyle name="SAPGroupingFillCell" xfId="48" xr:uid="{6B51DC53-8934-48E5-966E-05C25797862E}"/>
    <cellStyle name="SAPHierarchyCell0" xfId="30" xr:uid="{00000000-0005-0000-0000-00001F000000}"/>
    <cellStyle name="SAPHierarchyCell1" xfId="31" xr:uid="{00000000-0005-0000-0000-000020000000}"/>
    <cellStyle name="SAPHierarchyCell2" xfId="32" xr:uid="{00000000-0005-0000-0000-000021000000}"/>
    <cellStyle name="SAPHierarchyCell3" xfId="33" xr:uid="{00000000-0005-0000-0000-000022000000}"/>
    <cellStyle name="SAPHierarchyCell4" xfId="34" xr:uid="{00000000-0005-0000-0000-000023000000}"/>
    <cellStyle name="SAPLockedDataCell" xfId="14" xr:uid="{00000000-0005-0000-0000-000024000000}"/>
    <cellStyle name="SAPLockedDataTotalCell" xfId="17" xr:uid="{00000000-0005-0000-0000-000025000000}"/>
    <cellStyle name="SAPMemberCell" xfId="28" xr:uid="{00000000-0005-0000-0000-000026000000}"/>
    <cellStyle name="SAPMemberTotalCell" xfId="29" xr:uid="{00000000-0005-0000-0000-000027000000}"/>
    <cellStyle name="SAPMessageText" xfId="43" xr:uid="{00000000-0005-0000-0000-000028000000}"/>
    <cellStyle name="SAPReadonlyDataCell" xfId="13" xr:uid="{00000000-0005-0000-0000-000029000000}"/>
    <cellStyle name="SAPReadonlyDataTotalCell" xfId="16" xr:uid="{00000000-0005-0000-0000-00002A000000}"/>
  </cellStyles>
  <dxfs count="10">
    <dxf>
      <font>
        <strike val="0"/>
        <color rgb="FFFF0000"/>
      </font>
    </dxf>
    <dxf>
      <font>
        <color rgb="FFFF0000"/>
      </font>
    </dxf>
    <dxf>
      <font>
        <strike val="0"/>
        <color rgb="FFFF0000"/>
      </font>
    </dxf>
    <dxf>
      <font>
        <color rgb="FFFF0000"/>
      </font>
    </dxf>
    <dxf>
      <font>
        <strike val="0"/>
        <color rgb="FFFF0000"/>
      </font>
    </dxf>
    <dxf>
      <font>
        <color rgb="FFFF0000"/>
      </font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1B2AB5"/>
      <color rgb="FFA7B404"/>
      <color rgb="FFB60294"/>
      <color rgb="FF9A1E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689521337891453E-2"/>
          <c:y val="1.4854681583176209E-2"/>
          <c:w val="0.85012108867957414"/>
          <c:h val="0.80052114367099636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P1</c:v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84754.55</c:v>
              </c:pt>
            </c:numLit>
          </c:val>
          <c:extLst>
            <c:ext xmlns:c16="http://schemas.microsoft.com/office/drawing/2014/chart" uri="{C3380CC4-5D6E-409C-BE32-E72D297353CC}">
              <c16:uniqueId val="{00000000-BA40-4CDB-895B-89E98379E3BA}"/>
            </c:ext>
          </c:extLst>
        </c:ser>
        <c:ser>
          <c:idx val="1"/>
          <c:order val="1"/>
          <c:tx>
            <c:v>Sum of P2</c:v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59481.250000000007</c:v>
              </c:pt>
            </c:numLit>
          </c:val>
          <c:extLst>
            <c:ext xmlns:c16="http://schemas.microsoft.com/office/drawing/2014/chart" uri="{C3380CC4-5D6E-409C-BE32-E72D297353CC}">
              <c16:uniqueId val="{00000001-BA40-4CDB-895B-89E98379E3BA}"/>
            </c:ext>
          </c:extLst>
        </c:ser>
        <c:ser>
          <c:idx val="2"/>
          <c:order val="2"/>
          <c:tx>
            <c:v>Sum of P3</c:v>
          </c:tx>
          <c:spPr>
            <a:gradFill rotWithShape="1">
              <a:gsLst>
                <a:gs pos="0">
                  <a:schemeClr val="accent3">
                    <a:tint val="50000"/>
                    <a:satMod val="300000"/>
                  </a:schemeClr>
                </a:gs>
                <a:gs pos="35000">
                  <a:schemeClr val="accent3">
                    <a:tint val="37000"/>
                    <a:satMod val="300000"/>
                  </a:schemeClr>
                </a:gs>
                <a:gs pos="100000">
                  <a:schemeClr val="accent3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74942.53</c:v>
              </c:pt>
            </c:numLit>
          </c:val>
          <c:extLst>
            <c:ext xmlns:c16="http://schemas.microsoft.com/office/drawing/2014/chart" uri="{C3380CC4-5D6E-409C-BE32-E72D297353CC}">
              <c16:uniqueId val="{00000002-BA40-4CDB-895B-89E98379E3BA}"/>
            </c:ext>
          </c:extLst>
        </c:ser>
        <c:ser>
          <c:idx val="3"/>
          <c:order val="3"/>
          <c:tx>
            <c:v>Sum of P4</c:v>
          </c:tx>
          <c:spPr>
            <a:gradFill rotWithShape="1">
              <a:gsLst>
                <a:gs pos="0">
                  <a:schemeClr val="accent4">
                    <a:tint val="50000"/>
                    <a:satMod val="300000"/>
                  </a:schemeClr>
                </a:gs>
                <a:gs pos="35000">
                  <a:schemeClr val="accent4">
                    <a:tint val="37000"/>
                    <a:satMod val="300000"/>
                  </a:schemeClr>
                </a:gs>
                <a:gs pos="100000">
                  <a:schemeClr val="accent4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80950.66</c:v>
              </c:pt>
            </c:numLit>
          </c:val>
          <c:extLst>
            <c:ext xmlns:c16="http://schemas.microsoft.com/office/drawing/2014/chart" uri="{C3380CC4-5D6E-409C-BE32-E72D297353CC}">
              <c16:uniqueId val="{00000003-BA40-4CDB-895B-89E98379E3BA}"/>
            </c:ext>
          </c:extLst>
        </c:ser>
        <c:ser>
          <c:idx val="4"/>
          <c:order val="4"/>
          <c:tx>
            <c:v>Sum of P5</c:v>
          </c:tx>
          <c:spPr>
            <a:gradFill rotWithShape="1">
              <a:gsLst>
                <a:gs pos="0">
                  <a:schemeClr val="accent5">
                    <a:tint val="50000"/>
                    <a:satMod val="300000"/>
                  </a:schemeClr>
                </a:gs>
                <a:gs pos="35000">
                  <a:schemeClr val="accent5">
                    <a:tint val="37000"/>
                    <a:satMod val="300000"/>
                  </a:schemeClr>
                </a:gs>
                <a:gs pos="100000">
                  <a:schemeClr val="accent5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59787.410000000011</c:v>
              </c:pt>
            </c:numLit>
          </c:val>
          <c:extLst>
            <c:ext xmlns:c16="http://schemas.microsoft.com/office/drawing/2014/chart" uri="{C3380CC4-5D6E-409C-BE32-E72D297353CC}">
              <c16:uniqueId val="{00000004-BA40-4CDB-895B-89E98379E3BA}"/>
            </c:ext>
          </c:extLst>
        </c:ser>
        <c:ser>
          <c:idx val="5"/>
          <c:order val="5"/>
          <c:tx>
            <c:v>Sum of P6</c:v>
          </c:tx>
          <c:spPr>
            <a:gradFill rotWithShape="1">
              <a:gsLst>
                <a:gs pos="0">
                  <a:schemeClr val="accent6">
                    <a:tint val="50000"/>
                    <a:satMod val="300000"/>
                  </a:schemeClr>
                </a:gs>
                <a:gs pos="35000">
                  <a:schemeClr val="accent6">
                    <a:tint val="37000"/>
                    <a:satMod val="300000"/>
                  </a:schemeClr>
                </a:gs>
                <a:gs pos="100000">
                  <a:schemeClr val="accent6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92447.23</c:v>
              </c:pt>
            </c:numLit>
          </c:val>
          <c:extLst>
            <c:ext xmlns:c16="http://schemas.microsoft.com/office/drawing/2014/chart" uri="{C3380CC4-5D6E-409C-BE32-E72D297353CC}">
              <c16:uniqueId val="{00000005-BA40-4CDB-895B-89E98379E3BA}"/>
            </c:ext>
          </c:extLst>
        </c:ser>
        <c:ser>
          <c:idx val="6"/>
          <c:order val="6"/>
          <c:tx>
            <c:v>Sum of P7</c:v>
          </c:tx>
          <c:spPr>
            <a:gradFill rotWithShape="1">
              <a:gsLst>
                <a:gs pos="0">
                  <a:schemeClr val="accent1">
                    <a:lumMod val="60000"/>
                    <a:tint val="50000"/>
                    <a:satMod val="300000"/>
                  </a:schemeClr>
                </a:gs>
                <a:gs pos="35000">
                  <a:schemeClr val="accent1">
                    <a:lumMod val="60000"/>
                    <a:tint val="37000"/>
                    <a:satMod val="300000"/>
                  </a:schemeClr>
                </a:gs>
                <a:gs pos="100000">
                  <a:schemeClr val="accent1">
                    <a:lumMod val="60000"/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68200.600000000006</c:v>
              </c:pt>
            </c:numLit>
          </c:val>
          <c:extLst>
            <c:ext xmlns:c16="http://schemas.microsoft.com/office/drawing/2014/chart" uri="{C3380CC4-5D6E-409C-BE32-E72D297353CC}">
              <c16:uniqueId val="{00000006-BA40-4CDB-895B-89E98379E3BA}"/>
            </c:ext>
          </c:extLst>
        </c:ser>
        <c:ser>
          <c:idx val="7"/>
          <c:order val="7"/>
          <c:tx>
            <c:v>Sum of P8</c:v>
          </c:tx>
          <c:spPr>
            <a:gradFill rotWithShape="1">
              <a:gsLst>
                <a:gs pos="0">
                  <a:schemeClr val="accent2">
                    <a:lumMod val="60000"/>
                    <a:tint val="50000"/>
                    <a:satMod val="300000"/>
                  </a:schemeClr>
                </a:gs>
                <a:gs pos="35000">
                  <a:schemeClr val="accent2">
                    <a:lumMod val="60000"/>
                    <a:tint val="37000"/>
                    <a:satMod val="300000"/>
                  </a:schemeClr>
                </a:gs>
                <a:gs pos="100000">
                  <a:schemeClr val="accent2">
                    <a:lumMod val="60000"/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49934.649999999994</c:v>
              </c:pt>
            </c:numLit>
          </c:val>
          <c:extLst>
            <c:ext xmlns:c16="http://schemas.microsoft.com/office/drawing/2014/chart" uri="{C3380CC4-5D6E-409C-BE32-E72D297353CC}">
              <c16:uniqueId val="{00000007-BA40-4CDB-895B-89E98379E3BA}"/>
            </c:ext>
          </c:extLst>
        </c:ser>
        <c:ser>
          <c:idx val="8"/>
          <c:order val="8"/>
          <c:tx>
            <c:v>Sum of P9</c:v>
          </c:tx>
          <c:spPr>
            <a:gradFill rotWithShape="1">
              <a:gsLst>
                <a:gs pos="0">
                  <a:schemeClr val="accent3">
                    <a:lumMod val="60000"/>
                    <a:tint val="50000"/>
                    <a:satMod val="300000"/>
                  </a:schemeClr>
                </a:gs>
                <a:gs pos="35000">
                  <a:schemeClr val="accent3">
                    <a:lumMod val="60000"/>
                    <a:tint val="37000"/>
                    <a:satMod val="300000"/>
                  </a:schemeClr>
                </a:gs>
                <a:gs pos="100000">
                  <a:schemeClr val="accent3">
                    <a:lumMod val="60000"/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54105.200000000004</c:v>
              </c:pt>
            </c:numLit>
          </c:val>
          <c:extLst>
            <c:ext xmlns:c16="http://schemas.microsoft.com/office/drawing/2014/chart" uri="{C3380CC4-5D6E-409C-BE32-E72D297353CC}">
              <c16:uniqueId val="{00000008-BA40-4CDB-895B-89E98379E3BA}"/>
            </c:ext>
          </c:extLst>
        </c:ser>
        <c:ser>
          <c:idx val="9"/>
          <c:order val="9"/>
          <c:tx>
            <c:v>Sum of P10</c:v>
          </c:tx>
          <c:spPr>
            <a:gradFill rotWithShape="1">
              <a:gsLst>
                <a:gs pos="0">
                  <a:schemeClr val="accent4">
                    <a:lumMod val="60000"/>
                    <a:tint val="50000"/>
                    <a:satMod val="300000"/>
                  </a:schemeClr>
                </a:gs>
                <a:gs pos="35000">
                  <a:schemeClr val="accent4">
                    <a:lumMod val="60000"/>
                    <a:tint val="37000"/>
                    <a:satMod val="300000"/>
                  </a:schemeClr>
                </a:gs>
                <a:gs pos="100000">
                  <a:schemeClr val="accent4">
                    <a:lumMod val="60000"/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800</c:v>
              </c:pt>
            </c:numLit>
          </c:val>
          <c:extLst>
            <c:ext xmlns:c16="http://schemas.microsoft.com/office/drawing/2014/chart" uri="{C3380CC4-5D6E-409C-BE32-E72D297353CC}">
              <c16:uniqueId val="{00000009-BA40-4CDB-895B-89E98379E3BA}"/>
            </c:ext>
          </c:extLst>
        </c:ser>
        <c:ser>
          <c:idx val="10"/>
          <c:order val="10"/>
          <c:tx>
            <c:v>Sum of P11</c:v>
          </c:tx>
          <c:spPr>
            <a:gradFill rotWithShape="1">
              <a:gsLst>
                <a:gs pos="0">
                  <a:schemeClr val="accent5">
                    <a:lumMod val="60000"/>
                    <a:tint val="50000"/>
                    <a:satMod val="300000"/>
                  </a:schemeClr>
                </a:gs>
                <a:gs pos="35000">
                  <a:schemeClr val="accent5">
                    <a:lumMod val="60000"/>
                    <a:tint val="37000"/>
                    <a:satMod val="300000"/>
                  </a:schemeClr>
                </a:gs>
                <a:gs pos="100000">
                  <a:schemeClr val="accent5">
                    <a:lumMod val="60000"/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800</c:v>
              </c:pt>
            </c:numLit>
          </c:val>
          <c:extLst>
            <c:ext xmlns:c16="http://schemas.microsoft.com/office/drawing/2014/chart" uri="{C3380CC4-5D6E-409C-BE32-E72D297353CC}">
              <c16:uniqueId val="{0000000A-BA40-4CDB-895B-89E98379E3BA}"/>
            </c:ext>
          </c:extLst>
        </c:ser>
        <c:ser>
          <c:idx val="11"/>
          <c:order val="11"/>
          <c:tx>
            <c:v>Sum of P12</c:v>
          </c:tx>
          <c:spPr>
            <a:gradFill rotWithShape="1">
              <a:gsLst>
                <a:gs pos="0">
                  <a:schemeClr val="accent6">
                    <a:lumMod val="60000"/>
                    <a:tint val="50000"/>
                    <a:satMod val="300000"/>
                  </a:schemeClr>
                </a:gs>
                <a:gs pos="35000">
                  <a:schemeClr val="accent6">
                    <a:lumMod val="60000"/>
                    <a:tint val="37000"/>
                    <a:satMod val="300000"/>
                  </a:schemeClr>
                </a:gs>
                <a:gs pos="100000">
                  <a:schemeClr val="accent6">
                    <a:lumMod val="60000"/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800</c:v>
              </c:pt>
            </c:numLit>
          </c:val>
          <c:extLst>
            <c:ext xmlns:c16="http://schemas.microsoft.com/office/drawing/2014/chart" uri="{C3380CC4-5D6E-409C-BE32-E72D297353CC}">
              <c16:uniqueId val="{0000000B-BA40-4CDB-895B-89E98379E3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43782176"/>
        <c:axId val="643782568"/>
      </c:barChart>
      <c:catAx>
        <c:axId val="64378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43782568"/>
        <c:crosses val="autoZero"/>
        <c:auto val="1"/>
        <c:lblAlgn val="ctr"/>
        <c:lblOffset val="100"/>
        <c:noMultiLvlLbl val="0"/>
      </c:catAx>
      <c:valAx>
        <c:axId val="643782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4378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06605340680407"/>
          <c:y val="7.6023685715782469E-2"/>
          <c:w val="7.4630771153605793E-2"/>
          <c:h val="0.586966595440291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Total 2024'!$B$25</c:f>
              <c:strCache>
                <c:ptCount val="1"/>
                <c:pt idx="0">
                  <c:v>BT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'Budget Total 2024'!$G$24:$R$24</c:f>
              <c:strCache>
                <c:ptCount val="12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</c:strCache>
            </c:strRef>
          </c:cat>
          <c:val>
            <c:numRef>
              <c:f>'Budget Total 2024'!$G$25:$R$25</c:f>
              <c:numCache>
                <c:formatCode>_ [$€-413]\ * #,##0.00_ ;_ [$€-413]\ * \-#,##0.00_ ;_ [$€-413]\ * "-"??_ ;_ 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897-4582-9655-7AD0B65B57DA}"/>
            </c:ext>
          </c:extLst>
        </c:ser>
        <c:ser>
          <c:idx val="1"/>
          <c:order val="1"/>
          <c:tx>
            <c:strRef>
              <c:f>'Budget Total 2024'!$B$26</c:f>
              <c:strCache>
                <c:ptCount val="1"/>
                <c:pt idx="0">
                  <c:v>ReleaseTMS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'Budget Total 2024'!$G$24:$R$24</c:f>
              <c:strCache>
                <c:ptCount val="12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</c:strCache>
            </c:strRef>
          </c:cat>
          <c:val>
            <c:numRef>
              <c:f>'Budget Total 2024'!$G$26:$R$26</c:f>
              <c:numCache>
                <c:formatCode>_ [$€-413]\ * #,##0.00_ ;_ [$€-413]\ * \-#,##0.00_ ;_ [$€-413]\ * "-"??_ ;_ 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897-4582-9655-7AD0B65B57DA}"/>
            </c:ext>
          </c:extLst>
        </c:ser>
        <c:ser>
          <c:idx val="4"/>
          <c:order val="2"/>
          <c:tx>
            <c:strRef>
              <c:f>'[1]Overview AOP22'!#REF!</c:f>
              <c:strCache>
                <c:ptCount val="1"/>
                <c:pt idx="0">
                  <c:v>#REF!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'Budget Total 2024'!$G$24:$R$24</c:f>
              <c:strCache>
                <c:ptCount val="12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</c:strCache>
            </c:strRef>
          </c:cat>
          <c:val>
            <c:numRef>
              <c:f>'[1]Overview AOP22'!#REF!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897-4582-9655-7AD0B65B57DA}"/>
            </c:ext>
          </c:extLst>
        </c:ser>
        <c:ser>
          <c:idx val="5"/>
          <c:order val="3"/>
          <c:tx>
            <c:strRef>
              <c:f>'Budget Total 2024'!$B$28</c:f>
              <c:strCache>
                <c:ptCount val="1"/>
                <c:pt idx="0">
                  <c:v>OBS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'Budget Total 2024'!$G$24:$R$24</c:f>
              <c:strCache>
                <c:ptCount val="12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</c:strCache>
            </c:strRef>
          </c:cat>
          <c:val>
            <c:numRef>
              <c:f>'Budget Total 2024'!$G$28:$R$28</c:f>
              <c:numCache>
                <c:formatCode>_ [$€-413]\ * #,##0.00_ ;_ [$€-413]\ * \-#,##0.00_ ;_ [$€-413]\ * "-"??_ ;_ 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897-4582-9655-7AD0B65B57DA}"/>
            </c:ext>
          </c:extLst>
        </c:ser>
        <c:ser>
          <c:idx val="6"/>
          <c:order val="4"/>
          <c:tx>
            <c:strRef>
              <c:f>'Budget Total 2024'!$B$30</c:f>
              <c:strCache>
                <c:ptCount val="1"/>
                <c:pt idx="0">
                  <c:v>Accenture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'Budget Total 2024'!$G$24:$R$24</c:f>
              <c:strCache>
                <c:ptCount val="12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</c:strCache>
            </c:strRef>
          </c:cat>
          <c:val>
            <c:numRef>
              <c:f>'Budget Total 2024'!$G$30:$R$30</c:f>
              <c:numCache>
                <c:formatCode>_ [$€-413]\ * #,##0.00_ ;_ [$€-413]\ * \-#,##0.00_ ;_ [$€-413]\ * "-"??_ ;_ 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897-4582-9655-7AD0B65B57DA}"/>
            </c:ext>
          </c:extLst>
        </c:ser>
        <c:ser>
          <c:idx val="7"/>
          <c:order val="5"/>
          <c:tx>
            <c:strRef>
              <c:f>'Budget Total 2024'!$B$29</c:f>
              <c:strCache>
                <c:ptCount val="1"/>
                <c:pt idx="0">
                  <c:v>Atos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'Budget Total 2024'!$G$24:$R$24</c:f>
              <c:strCache>
                <c:ptCount val="12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</c:strCache>
            </c:strRef>
          </c:cat>
          <c:val>
            <c:numRef>
              <c:f>'Budget Total 2024'!$G$29:$R$29</c:f>
              <c:numCache>
                <c:formatCode>_ [$€-413]\ * #,##0.00_ ;_ [$€-413]\ * \-#,##0.00_ ;_ [$€-413]\ * "-"??_ ;_ 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897-4582-9655-7AD0B65B57DA}"/>
            </c:ext>
          </c:extLst>
        </c:ser>
        <c:ser>
          <c:idx val="8"/>
          <c:order val="6"/>
          <c:tx>
            <c:strRef>
              <c:f>'Budget Total 2024'!$B$31</c:f>
              <c:strCache>
                <c:ptCount val="1"/>
                <c:pt idx="0">
                  <c:v>Microsoft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'Budget Total 2024'!$G$24:$R$24</c:f>
              <c:strCache>
                <c:ptCount val="12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</c:strCache>
            </c:strRef>
          </c:cat>
          <c:val>
            <c:numRef>
              <c:f>'Budget Total 2024'!$G$31:$R$31</c:f>
              <c:numCache>
                <c:formatCode>_ [$€-413]\ * #,##0.00_ ;_ [$€-413]\ * \-#,##0.00_ ;_ [$€-413]\ * "-"??_ ;_ 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897-4582-9655-7AD0B65B5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0571624"/>
        <c:axId val="560570640"/>
      </c:barChart>
      <c:lineChart>
        <c:grouping val="standard"/>
        <c:varyColors val="0"/>
        <c:ser>
          <c:idx val="2"/>
          <c:order val="7"/>
          <c:tx>
            <c:strRef>
              <c:f>'Budget Total 2024'!$B$32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nl-N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'Budget Total 2024'!$G$32:$R$32</c:f>
              <c:numCache>
                <c:formatCode>_ [$€-413]\ * #,##0.00_ ;_ [$€-413]\ * \-#,##0.00_ ;_ [$€-413]\ * "-"??_ ;_ 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3897-4582-9655-7AD0B65B57DA}"/>
            </c:ext>
          </c:extLst>
        </c:ser>
        <c:ser>
          <c:idx val="3"/>
          <c:order val="8"/>
          <c:tx>
            <c:strRef>
              <c:f>'Budget Total 2024'!$B$34</c:f>
              <c:strCache>
                <c:ptCount val="1"/>
                <c:pt idx="0">
                  <c:v>Projects</c:v>
                </c:pt>
              </c:strCache>
            </c:strRef>
          </c:tx>
          <c:spPr>
            <a:ln w="317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'Budget Total 2024'!$G$34:$R$34</c:f>
              <c:numCache>
                <c:formatCode>_ [$€-413]\ * #,##0.00_ ;_ [$€-413]\ * \-#,##0.00_ ;_ [$€-413]\ * "-"??_ ;_ 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20-4369-A1D3-B873AEF83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571624"/>
        <c:axId val="560570640"/>
      </c:lineChart>
      <c:catAx>
        <c:axId val="560571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60570640"/>
        <c:crosses val="autoZero"/>
        <c:auto val="1"/>
        <c:lblAlgn val="ctr"/>
        <c:lblOffset val="100"/>
        <c:noMultiLvlLbl val="0"/>
      </c:catAx>
      <c:valAx>
        <c:axId val="560570640"/>
        <c:scaling>
          <c:orientation val="minMax"/>
        </c:scaling>
        <c:delete val="1"/>
        <c:axPos val="l"/>
        <c:numFmt formatCode="_ [$€-413]\ * #,##0.00_ ;_ [$€-413]\ * \-#,##0.00_ ;_ [$€-413]\ * &quot;-&quot;??_ ;_ @_ " sourceLinked="1"/>
        <c:majorTickMark val="none"/>
        <c:minorTickMark val="none"/>
        <c:tickLblPos val="nextTo"/>
        <c:crossAx val="560571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2457887429323515E-2"/>
          <c:y val="5.9620133077413137E-2"/>
          <c:w val="0.32761745247726554"/>
          <c:h val="2.9136889297114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397669</xdr:colOff>
      <xdr:row>38</xdr:row>
      <xdr:rowOff>0</xdr:rowOff>
    </xdr:from>
    <xdr:to>
      <xdr:col>10</xdr:col>
      <xdr:colOff>757237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10583</xdr:colOff>
      <xdr:row>37</xdr:row>
      <xdr:rowOff>52915</xdr:rowOff>
    </xdr:from>
    <xdr:to>
      <xdr:col>20</xdr:col>
      <xdr:colOff>63500</xdr:colOff>
      <xdr:row>75</xdr:row>
      <xdr:rowOff>169333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E046A2-14C4-4D87-8F48-C21439AAC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st, Mathilde" refreshedDate="45884.693115162037" createdVersion="6" refreshedVersion="8" minRefreshableVersion="3" recordCount="88" xr:uid="{8D35332A-7CC1-4DFB-BB5F-9AA5507D7225}">
  <cacheSource type="worksheet">
    <worksheetSource ref="B11:G99" sheet="Projects"/>
  </cacheSource>
  <cacheFields count="6">
    <cacheField name="Vendor" numFmtId="167">
      <sharedItems containsNonDate="0" containsString="0" containsBlank="1"/>
    </cacheField>
    <cacheField name="Invoice No.#" numFmtId="49">
      <sharedItems containsNonDate="0" containsString="0" containsBlank="1"/>
    </cacheField>
    <cacheField name="Account" numFmtId="49">
      <sharedItems containsNonDate="0" containsString="0" containsBlank="1"/>
    </cacheField>
    <cacheField name="PO" numFmtId="49">
      <sharedItems containsNonDate="0" containsString="0" containsBlank="1"/>
    </cacheField>
    <cacheField name="Amount" numFmtId="165">
      <sharedItems containsNonDate="0" containsString="0" containsBlank="1"/>
    </cacheField>
    <cacheField name="Period" numFmtId="0">
      <sharedItems containsNonDate="0" containsString="0" containsBlank="1" containsNumber="1" containsInteger="1" minValue="1" maxValue="12" count="13">
        <m/>
        <n v="5" u="1"/>
        <n v="2" u="1"/>
        <n v="6" u="1"/>
        <n v="7" u="1"/>
        <n v="1" u="1"/>
        <n v="3" u="1"/>
        <n v="8" u="1"/>
        <n v="9" u="1"/>
        <n v="10" u="1"/>
        <n v="11" u="1"/>
        <n v="4" u="1"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  <r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EA4EEE-42B8-42BF-A206-06E5B1FBDF8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H2:I4" firstHeaderRow="1" firstDataRow="1" firstDataCol="1"/>
  <pivotFields count="6">
    <pivotField showAll="0"/>
    <pivotField showAll="0"/>
    <pivotField showAll="0"/>
    <pivotField showAll="0"/>
    <pivotField dataField="1" showAll="0"/>
    <pivotField axis="axisRow" showAll="0" sortType="ascending">
      <items count="14">
        <item m="1" x="5"/>
        <item m="1" x="2"/>
        <item m="1" x="6"/>
        <item m="1" x="11"/>
        <item m="1" x="1"/>
        <item m="1" x="3"/>
        <item m="1" x="4"/>
        <item m="1" x="7"/>
        <item m="1" x="8"/>
        <item m="1" x="9"/>
        <item m="1" x="10"/>
        <item m="1" x="12"/>
        <item x="0"/>
        <item t="default"/>
      </items>
    </pivotField>
  </pivotFields>
  <rowFields count="1">
    <field x="5"/>
  </rowFields>
  <rowItems count="2">
    <i>
      <x v="12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AD39"/>
  <sheetViews>
    <sheetView topLeftCell="A3" zoomScale="80" zoomScaleNormal="80" workbookViewId="0">
      <selection activeCell="B11" sqref="B11"/>
    </sheetView>
  </sheetViews>
  <sheetFormatPr defaultColWidth="8.88671875" defaultRowHeight="14.4" x14ac:dyDescent="0.3"/>
  <cols>
    <col min="2" max="2" width="24.44140625" bestFit="1" customWidth="1"/>
    <col min="3" max="3" width="24.44140625" customWidth="1"/>
    <col min="4" max="4" width="12" style="890" bestFit="1" customWidth="1"/>
    <col min="5" max="5" width="14.33203125" bestFit="1" customWidth="1"/>
    <col min="6" max="6" width="10.6640625" bestFit="1" customWidth="1"/>
    <col min="7" max="9" width="16.6640625" bestFit="1" customWidth="1"/>
    <col min="10" max="12" width="15.33203125" bestFit="1" customWidth="1"/>
    <col min="13" max="13" width="17.33203125" bestFit="1" customWidth="1"/>
    <col min="14" max="14" width="15.44140625" bestFit="1" customWidth="1"/>
    <col min="15" max="15" width="15.88671875" bestFit="1" customWidth="1"/>
    <col min="16" max="16" width="16.44140625" bestFit="1" customWidth="1"/>
    <col min="17" max="17" width="15.33203125" bestFit="1" customWidth="1"/>
    <col min="18" max="18" width="15" customWidth="1"/>
    <col min="19" max="19" width="16.33203125" bestFit="1" customWidth="1"/>
    <col min="20" max="20" width="15" bestFit="1" customWidth="1"/>
    <col min="21" max="22" width="12.109375" customWidth="1"/>
    <col min="23" max="23" width="10.33203125" customWidth="1"/>
    <col min="24" max="24" width="9.44140625" customWidth="1"/>
    <col min="25" max="25" width="13.109375" customWidth="1"/>
    <col min="26" max="27" width="12.109375" customWidth="1"/>
    <col min="28" max="28" width="9.44140625" customWidth="1"/>
    <col min="29" max="29" width="6" customWidth="1"/>
    <col min="30" max="33" width="7.33203125" customWidth="1"/>
    <col min="34" max="34" width="9.44140625" customWidth="1"/>
    <col min="35" max="35" width="9.33203125" customWidth="1"/>
    <col min="36" max="39" width="12.44140625" customWidth="1"/>
    <col min="40" max="40" width="12.109375" customWidth="1"/>
    <col min="41" max="41" width="10.33203125" customWidth="1"/>
    <col min="42" max="43" width="13.109375" customWidth="1"/>
    <col min="44" max="44" width="11" customWidth="1"/>
    <col min="45" max="46" width="13.109375" customWidth="1"/>
    <col min="47" max="47" width="10.33203125" customWidth="1"/>
    <col min="48" max="48" width="11.44140625" customWidth="1"/>
    <col min="49" max="49" width="12.44140625" customWidth="1"/>
    <col min="50" max="51" width="13.109375" customWidth="1"/>
    <col min="52" max="52" width="10.44140625" customWidth="1"/>
    <col min="53" max="53" width="11.44140625" customWidth="1"/>
    <col min="54" max="56" width="13.109375" customWidth="1"/>
    <col min="57" max="57" width="14.44140625" bestFit="1" customWidth="1"/>
    <col min="58" max="58" width="13.109375" customWidth="1"/>
    <col min="59" max="59" width="10.33203125" customWidth="1"/>
    <col min="60" max="60" width="12.109375" customWidth="1"/>
    <col min="61" max="61" width="12.109375" bestFit="1" customWidth="1"/>
    <col min="62" max="62" width="12.109375" customWidth="1"/>
    <col min="63" max="63" width="13.109375" bestFit="1" customWidth="1"/>
    <col min="64" max="64" width="12.109375" customWidth="1"/>
    <col min="65" max="65" width="10.33203125" customWidth="1"/>
    <col min="66" max="67" width="7.33203125" customWidth="1"/>
    <col min="68" max="68" width="12.109375" customWidth="1"/>
    <col min="69" max="69" width="7.33203125" customWidth="1"/>
    <col min="70" max="70" width="13.109375" bestFit="1" customWidth="1"/>
    <col min="71" max="71" width="9.109375" customWidth="1"/>
    <col min="72" max="72" width="12.44140625" customWidth="1"/>
    <col min="73" max="73" width="10.44140625" customWidth="1"/>
    <col min="74" max="74" width="12.44140625" customWidth="1"/>
    <col min="75" max="75" width="12.44140625" bestFit="1" customWidth="1"/>
    <col min="76" max="76" width="10.44140625" customWidth="1"/>
    <col min="77" max="77" width="11.44140625" customWidth="1"/>
    <col min="78" max="82" width="14.44140625" bestFit="1" customWidth="1"/>
    <col min="83" max="83" width="12.44140625" bestFit="1" customWidth="1"/>
    <col min="84" max="84" width="15.44140625" bestFit="1" customWidth="1"/>
    <col min="85" max="88" width="14.44140625" bestFit="1" customWidth="1"/>
    <col min="90" max="94" width="12.44140625" bestFit="1" customWidth="1"/>
    <col min="95" max="95" width="11.44140625" bestFit="1" customWidth="1"/>
  </cols>
  <sheetData>
    <row r="1" spans="2:20" ht="15" thickBot="1" x14ac:dyDescent="0.35"/>
    <row r="2" spans="2:20" ht="15" thickBot="1" x14ac:dyDescent="0.35">
      <c r="B2" s="6"/>
      <c r="C2" s="6"/>
      <c r="D2" s="891"/>
      <c r="E2" s="6"/>
      <c r="F2" s="6"/>
      <c r="G2" s="7" t="s">
        <v>0</v>
      </c>
      <c r="H2" s="8">
        <v>12</v>
      </c>
      <c r="I2" s="312">
        <f>H2*(1/12)</f>
        <v>1</v>
      </c>
      <c r="J2" s="6"/>
      <c r="K2" s="6"/>
    </row>
    <row r="3" spans="2:20" ht="15" thickBot="1" x14ac:dyDescent="0.35">
      <c r="B3" s="318" t="s">
        <v>1</v>
      </c>
      <c r="C3" s="319"/>
      <c r="D3" s="892"/>
      <c r="E3" s="319"/>
      <c r="F3" s="320"/>
      <c r="G3" s="320"/>
      <c r="H3" s="315"/>
      <c r="I3" s="316"/>
      <c r="J3" s="316"/>
      <c r="K3" s="316"/>
      <c r="L3" s="317"/>
      <c r="M3" s="306"/>
      <c r="N3" s="306"/>
      <c r="O3" s="306"/>
      <c r="P3" s="307"/>
      <c r="Q3" s="335"/>
      <c r="R3" s="221"/>
    </row>
    <row r="4" spans="2:20" ht="15" thickBot="1" x14ac:dyDescent="0.35">
      <c r="B4" s="104" t="s">
        <v>2</v>
      </c>
      <c r="C4" s="131" t="s">
        <v>3</v>
      </c>
      <c r="D4" s="893" t="s">
        <v>4</v>
      </c>
      <c r="E4" s="104" t="s">
        <v>5</v>
      </c>
      <c r="F4" s="105" t="s">
        <v>6</v>
      </c>
      <c r="G4" s="579" t="s">
        <v>7</v>
      </c>
      <c r="H4" s="951" t="s">
        <v>129</v>
      </c>
      <c r="I4" s="958" t="s">
        <v>130</v>
      </c>
      <c r="J4" s="313" t="s">
        <v>8</v>
      </c>
      <c r="K4" s="314" t="s">
        <v>9</v>
      </c>
      <c r="L4" s="314" t="s">
        <v>10</v>
      </c>
      <c r="M4" s="308" t="s">
        <v>11</v>
      </c>
      <c r="N4" s="309" t="s">
        <v>12</v>
      </c>
      <c r="O4" s="310" t="s">
        <v>13</v>
      </c>
      <c r="P4" s="311" t="s">
        <v>14</v>
      </c>
      <c r="Q4" s="222"/>
      <c r="R4" s="222"/>
      <c r="T4" s="5"/>
    </row>
    <row r="5" spans="2:20" ht="15" thickBot="1" x14ac:dyDescent="0.35">
      <c r="B5" s="459" t="s">
        <v>15</v>
      </c>
      <c r="C5" s="166"/>
      <c r="D5" s="906">
        <f>BT!B7</f>
        <v>0</v>
      </c>
      <c r="E5" s="120" t="s">
        <v>16</v>
      </c>
      <c r="F5" s="121">
        <v>129450</v>
      </c>
      <c r="G5" s="122">
        <f>BT!I11</f>
        <v>0</v>
      </c>
      <c r="H5" s="952">
        <f>BT!J11</f>
        <v>0</v>
      </c>
      <c r="I5" s="959">
        <f>BT!H11</f>
        <v>0</v>
      </c>
      <c r="J5" s="129">
        <f>I5/12*$H$2-H5</f>
        <v>0</v>
      </c>
      <c r="K5" s="130" t="e">
        <f>H5/I5</f>
        <v>#DIV/0!</v>
      </c>
      <c r="L5" s="203" t="e">
        <f>((1/12)*$H$2)-K5</f>
        <v>#DIV/0!</v>
      </c>
      <c r="M5" s="210">
        <f>I5-H5</f>
        <v>0</v>
      </c>
      <c r="N5" s="208">
        <f>H5/$H$2</f>
        <v>0</v>
      </c>
      <c r="O5" s="212">
        <f>(I5/12)-(H5/$H$2)</f>
        <v>0</v>
      </c>
      <c r="P5" s="209">
        <f>I5/12</f>
        <v>0</v>
      </c>
      <c r="Q5" s="456"/>
      <c r="R5" s="222"/>
      <c r="T5" s="5"/>
    </row>
    <row r="6" spans="2:20" ht="15" thickBot="1" x14ac:dyDescent="0.35">
      <c r="B6" s="106"/>
      <c r="C6" s="167"/>
      <c r="D6" s="907"/>
      <c r="E6" s="107"/>
      <c r="F6" s="108"/>
      <c r="G6" s="109"/>
      <c r="H6" s="953"/>
      <c r="I6" s="960"/>
      <c r="J6" s="110"/>
      <c r="K6" s="103"/>
      <c r="L6" s="203"/>
      <c r="M6" s="211"/>
      <c r="N6" s="177"/>
      <c r="O6" s="213"/>
      <c r="P6" s="207"/>
      <c r="Q6" s="456"/>
      <c r="R6" s="222"/>
      <c r="T6" s="5"/>
    </row>
    <row r="7" spans="2:20" ht="15" thickBot="1" x14ac:dyDescent="0.35">
      <c r="B7" s="125" t="s">
        <v>17</v>
      </c>
      <c r="C7" s="168"/>
      <c r="D7" s="908">
        <f>Frontline!B7</f>
        <v>0</v>
      </c>
      <c r="E7" s="126">
        <v>485073020</v>
      </c>
      <c r="F7" s="127">
        <v>192033</v>
      </c>
      <c r="G7" s="128">
        <f>Frontline!G9</f>
        <v>0</v>
      </c>
      <c r="H7" s="954">
        <f>Frontline!H9</f>
        <v>0</v>
      </c>
      <c r="I7" s="961">
        <f>Frontline!F9</f>
        <v>0</v>
      </c>
      <c r="J7" s="129">
        <f>I7/12*$H$2-H7</f>
        <v>0</v>
      </c>
      <c r="K7" s="130" t="e">
        <f>H7/I7</f>
        <v>#DIV/0!</v>
      </c>
      <c r="L7" s="203" t="e">
        <f>((1/12)*$H$2)-K7</f>
        <v>#DIV/0!</v>
      </c>
      <c r="M7" s="210">
        <f>I7-H7</f>
        <v>0</v>
      </c>
      <c r="N7" s="208">
        <f>H7/$H$2</f>
        <v>0</v>
      </c>
      <c r="O7" s="212">
        <f>(I7/12)-(H7/$H$2)</f>
        <v>0</v>
      </c>
      <c r="P7" s="209">
        <f>I7/12</f>
        <v>0</v>
      </c>
      <c r="Q7" s="456"/>
      <c r="R7" s="222"/>
      <c r="T7" s="5"/>
    </row>
    <row r="8" spans="2:20" ht="15" thickBot="1" x14ac:dyDescent="0.35">
      <c r="B8" s="118"/>
      <c r="C8" s="169"/>
      <c r="D8" s="907"/>
      <c r="E8" s="107"/>
      <c r="F8" s="108"/>
      <c r="G8" s="109"/>
      <c r="H8" s="953"/>
      <c r="I8" s="960"/>
      <c r="J8" s="133"/>
      <c r="K8" s="134"/>
      <c r="L8" s="204"/>
      <c r="M8" s="211"/>
      <c r="N8" s="177"/>
      <c r="O8" s="213"/>
      <c r="P8" s="207"/>
      <c r="Q8" s="456"/>
      <c r="R8" s="222"/>
      <c r="T8" s="5"/>
    </row>
    <row r="9" spans="2:20" ht="15" thickBot="1" x14ac:dyDescent="0.35">
      <c r="B9" s="459" t="s">
        <v>18</v>
      </c>
      <c r="C9" s="166"/>
      <c r="D9" s="906" t="s">
        <v>16</v>
      </c>
      <c r="E9" s="120" t="s">
        <v>19</v>
      </c>
      <c r="F9" s="121" t="s">
        <v>20</v>
      </c>
      <c r="G9" s="122">
        <f>OB!N37</f>
        <v>0</v>
      </c>
      <c r="H9" s="952">
        <f>OB!O37</f>
        <v>0</v>
      </c>
      <c r="I9" s="959">
        <f>OB!H37</f>
        <v>0</v>
      </c>
      <c r="J9" s="129">
        <f>I9/12*$H$2-H9</f>
        <v>0</v>
      </c>
      <c r="K9" s="130" t="e">
        <f>H9/I9</f>
        <v>#DIV/0!</v>
      </c>
      <c r="L9" s="203" t="e">
        <f>((1/12)*$H$2)-K9</f>
        <v>#DIV/0!</v>
      </c>
      <c r="M9" s="210">
        <f>I9-H9</f>
        <v>0</v>
      </c>
      <c r="N9" s="208">
        <f>H9/$H$2</f>
        <v>0</v>
      </c>
      <c r="O9" s="212">
        <f>(I9/12)-(H9/$H$2)</f>
        <v>0</v>
      </c>
      <c r="P9" s="209">
        <f>I9/12</f>
        <v>0</v>
      </c>
      <c r="Q9" s="456"/>
      <c r="R9" s="222"/>
      <c r="T9" s="5"/>
    </row>
    <row r="10" spans="2:20" ht="15" thickBot="1" x14ac:dyDescent="0.35">
      <c r="B10" s="118"/>
      <c r="C10" s="169"/>
      <c r="D10" s="907"/>
      <c r="E10" s="107"/>
      <c r="F10" s="108"/>
      <c r="G10" s="109"/>
      <c r="H10" s="953"/>
      <c r="I10" s="960"/>
      <c r="J10" s="110"/>
      <c r="K10" s="103"/>
      <c r="L10" s="206"/>
      <c r="M10" s="211"/>
      <c r="N10" s="177"/>
      <c r="O10" s="213"/>
      <c r="P10" s="207"/>
      <c r="Q10" s="456"/>
      <c r="R10" s="222"/>
      <c r="T10" s="5"/>
    </row>
    <row r="11" spans="2:20" ht="15" thickBot="1" x14ac:dyDescent="0.35">
      <c r="B11" s="114" t="s">
        <v>21</v>
      </c>
      <c r="C11" s="165"/>
      <c r="D11" s="909">
        <f>ReleaseTMS!B7</f>
        <v>0</v>
      </c>
      <c r="E11" s="111">
        <v>485073020</v>
      </c>
      <c r="F11" s="112" t="s">
        <v>22</v>
      </c>
      <c r="G11" s="113">
        <f>ReleaseTMS!G7</f>
        <v>0</v>
      </c>
      <c r="H11" s="955">
        <f>ReleaseTMS!H7</f>
        <v>0</v>
      </c>
      <c r="I11" s="962">
        <f>ReleaseTMS!F7</f>
        <v>0</v>
      </c>
      <c r="J11" s="75">
        <f>I11/12*$H$2-H11</f>
        <v>0</v>
      </c>
      <c r="K11" s="87" t="e">
        <f>H11/I11</f>
        <v>#DIV/0!</v>
      </c>
      <c r="L11" s="203" t="e">
        <f>((1/12)*$H$2)-K11</f>
        <v>#DIV/0!</v>
      </c>
      <c r="M11" s="210">
        <f>I11-H11</f>
        <v>0</v>
      </c>
      <c r="N11" s="208">
        <f>H11/$H$2</f>
        <v>0</v>
      </c>
      <c r="O11" s="212">
        <f>(I11/12)-(H11/$H$2)</f>
        <v>0</v>
      </c>
      <c r="P11" s="209">
        <f>I11/12</f>
        <v>0</v>
      </c>
      <c r="Q11" s="456"/>
      <c r="R11" s="222"/>
      <c r="T11" s="5"/>
    </row>
    <row r="12" spans="2:20" ht="15" thickBot="1" x14ac:dyDescent="0.35">
      <c r="B12" s="181"/>
      <c r="C12" s="169"/>
      <c r="D12" s="907"/>
      <c r="E12" s="107"/>
      <c r="F12" s="108"/>
      <c r="G12" s="109"/>
      <c r="H12" s="953"/>
      <c r="I12" s="960"/>
      <c r="J12" s="133"/>
      <c r="K12" s="134"/>
      <c r="L12" s="205"/>
      <c r="M12" s="211"/>
      <c r="N12" s="177"/>
      <c r="O12" s="213"/>
      <c r="P12" s="207"/>
      <c r="Q12" s="456"/>
    </row>
    <row r="13" spans="2:20" ht="15" thickBot="1" x14ac:dyDescent="0.35">
      <c r="B13" s="119" t="s">
        <v>23</v>
      </c>
      <c r="C13" s="166"/>
      <c r="D13" s="906"/>
      <c r="E13" s="120" t="s">
        <v>16</v>
      </c>
      <c r="F13" s="121">
        <v>120252</v>
      </c>
      <c r="G13" s="122">
        <f>Atos!H9</f>
        <v>0</v>
      </c>
      <c r="H13" s="952">
        <f>Atos!I9</f>
        <v>0</v>
      </c>
      <c r="I13" s="959">
        <f>Atos!G9</f>
        <v>0</v>
      </c>
      <c r="J13" s="75">
        <f>I13/12*$H$2-H13</f>
        <v>0</v>
      </c>
      <c r="K13" s="87" t="e">
        <f>H13/I13</f>
        <v>#DIV/0!</v>
      </c>
      <c r="L13" s="203" t="e">
        <f>((1/12)*$H$2)-K13</f>
        <v>#DIV/0!</v>
      </c>
      <c r="M13" s="210">
        <f>I13-H13</f>
        <v>0</v>
      </c>
      <c r="N13" s="208">
        <f>H13/$H$2</f>
        <v>0</v>
      </c>
      <c r="O13" s="212">
        <f>(I13/12)-(H13/$H$2)</f>
        <v>0</v>
      </c>
      <c r="P13" s="209">
        <f>I13/12</f>
        <v>0</v>
      </c>
      <c r="Q13" s="456"/>
    </row>
    <row r="14" spans="2:20" ht="15" thickBot="1" x14ac:dyDescent="0.35">
      <c r="B14" s="118"/>
      <c r="C14" s="169"/>
      <c r="D14" s="907"/>
      <c r="E14" s="107"/>
      <c r="F14" s="108"/>
      <c r="G14" s="109"/>
      <c r="H14" s="953"/>
      <c r="I14" s="960"/>
      <c r="J14" s="133"/>
      <c r="K14" s="134"/>
      <c r="L14" s="205"/>
      <c r="M14" s="211"/>
      <c r="N14" s="177"/>
      <c r="O14" s="213"/>
      <c r="P14" s="207"/>
      <c r="Q14" s="456"/>
    </row>
    <row r="15" spans="2:20" ht="15" thickBot="1" x14ac:dyDescent="0.35">
      <c r="B15" s="119" t="s">
        <v>24</v>
      </c>
      <c r="C15" s="166"/>
      <c r="D15" s="906" t="s">
        <v>16</v>
      </c>
      <c r="E15" s="120" t="s">
        <v>16</v>
      </c>
      <c r="F15" s="121" t="s">
        <v>25</v>
      </c>
      <c r="G15" s="122">
        <f>Accenture!I27</f>
        <v>0</v>
      </c>
      <c r="H15" s="952">
        <f>Accenture!J27</f>
        <v>0</v>
      </c>
      <c r="I15" s="959">
        <f>Accenture!G27</f>
        <v>0</v>
      </c>
      <c r="J15" s="75">
        <f>I15/12*$H$2-H15</f>
        <v>0</v>
      </c>
      <c r="K15" s="87" t="e">
        <f>H15/I15</f>
        <v>#DIV/0!</v>
      </c>
      <c r="L15" s="203" t="e">
        <f>((1/12)*$H$2)-K15</f>
        <v>#DIV/0!</v>
      </c>
      <c r="M15" s="210">
        <f>I15-H15</f>
        <v>0</v>
      </c>
      <c r="N15" s="208">
        <f>H15/$H$2</f>
        <v>0</v>
      </c>
      <c r="O15" s="212">
        <f>(I15/12)-(H15/$H$2)</f>
        <v>0</v>
      </c>
      <c r="P15" s="209">
        <f>I15/12</f>
        <v>0</v>
      </c>
      <c r="Q15" s="456"/>
    </row>
    <row r="16" spans="2:20" ht="15" thickBot="1" x14ac:dyDescent="0.35">
      <c r="B16" s="118"/>
      <c r="C16" s="169"/>
      <c r="D16" s="907"/>
      <c r="E16" s="107"/>
      <c r="F16" s="108"/>
      <c r="G16" s="109"/>
      <c r="H16" s="953"/>
      <c r="I16" s="960"/>
      <c r="J16" s="133"/>
      <c r="K16" s="134"/>
      <c r="L16" s="203"/>
      <c r="M16" s="300"/>
      <c r="N16" s="301"/>
      <c r="O16" s="302"/>
      <c r="P16" s="303"/>
      <c r="Q16" s="456"/>
    </row>
    <row r="17" spans="2:30" ht="15" thickBot="1" x14ac:dyDescent="0.35">
      <c r="B17" s="119" t="s">
        <v>26</v>
      </c>
      <c r="C17" s="166"/>
      <c r="D17" s="906"/>
      <c r="E17" s="120">
        <v>485073006</v>
      </c>
      <c r="F17" s="121">
        <v>166304</v>
      </c>
      <c r="G17" s="122">
        <f>Microsoft!J26</f>
        <v>0</v>
      </c>
      <c r="H17" s="952">
        <f>Microsoft!K26</f>
        <v>0</v>
      </c>
      <c r="I17" s="959">
        <f>Microsoft!H26</f>
        <v>0</v>
      </c>
      <c r="J17" s="75">
        <f>I17/12*$H$2-H17</f>
        <v>0</v>
      </c>
      <c r="K17" s="87" t="e">
        <f>H17/I17</f>
        <v>#DIV/0!</v>
      </c>
      <c r="L17" s="203" t="e">
        <f>((1/12)*$H$2)-K17</f>
        <v>#DIV/0!</v>
      </c>
      <c r="M17" s="210">
        <f>I17-H17</f>
        <v>0</v>
      </c>
      <c r="N17" s="208">
        <f>H17/$H$2</f>
        <v>0</v>
      </c>
      <c r="O17" s="212">
        <f>(I17/12)-(H17/$H$2)</f>
        <v>0</v>
      </c>
      <c r="P17" s="209">
        <f>I17/12</f>
        <v>0</v>
      </c>
      <c r="Q17" s="456"/>
    </row>
    <row r="18" spans="2:30" ht="15" thickBot="1" x14ac:dyDescent="0.35">
      <c r="B18" s="297"/>
      <c r="C18" s="298"/>
      <c r="D18" s="910"/>
      <c r="E18" s="299"/>
      <c r="F18" s="756"/>
      <c r="G18" s="757"/>
      <c r="H18" s="956"/>
      <c r="I18" s="963"/>
      <c r="J18" s="133"/>
      <c r="K18" s="134"/>
      <c r="L18" s="205"/>
      <c r="M18" s="300"/>
      <c r="N18" s="301"/>
      <c r="O18" s="302"/>
      <c r="P18" s="303"/>
      <c r="Q18" s="456"/>
    </row>
    <row r="19" spans="2:30" ht="15" thickBot="1" x14ac:dyDescent="0.35">
      <c r="B19" s="758" t="s">
        <v>27</v>
      </c>
      <c r="C19" s="168"/>
      <c r="D19" s="911">
        <v>5400794442</v>
      </c>
      <c r="E19" s="126"/>
      <c r="F19" s="127"/>
      <c r="G19" s="128">
        <f>Equinix!I9</f>
        <v>0</v>
      </c>
      <c r="H19" s="954">
        <f>Equinix!J9</f>
        <v>0</v>
      </c>
      <c r="I19" s="961"/>
      <c r="J19" s="75">
        <f t="shared" ref="J19" si="0">I19/12*$H$2-H19</f>
        <v>0</v>
      </c>
      <c r="K19" s="87" t="e">
        <f t="shared" ref="K19" si="1">H19/I19</f>
        <v>#DIV/0!</v>
      </c>
      <c r="L19" s="203" t="e">
        <f t="shared" ref="L19" si="2">((1/12)*$H$2)-K19</f>
        <v>#DIV/0!</v>
      </c>
      <c r="M19" s="210">
        <f t="shared" ref="M19" si="3">I19-H19</f>
        <v>0</v>
      </c>
      <c r="N19" s="208">
        <f t="shared" ref="N19" si="4">H19/$H$2</f>
        <v>0</v>
      </c>
      <c r="O19" s="212">
        <f t="shared" ref="O19" si="5">(I19/12)-(H19/$H$2)</f>
        <v>0</v>
      </c>
      <c r="P19" s="209">
        <f t="shared" ref="P19" si="6">I19/12</f>
        <v>0</v>
      </c>
      <c r="Q19" s="456"/>
    </row>
    <row r="20" spans="2:30" ht="16.2" thickBot="1" x14ac:dyDescent="0.35">
      <c r="B20" s="10" t="s">
        <v>28</v>
      </c>
      <c r="C20" s="163"/>
      <c r="D20" s="894"/>
      <c r="E20" s="83"/>
      <c r="F20" s="11"/>
      <c r="G20" s="334">
        <f>SUM(G5:G19)</f>
        <v>0</v>
      </c>
      <c r="H20" s="957">
        <f>SUM(H5:H17)</f>
        <v>0</v>
      </c>
      <c r="I20" s="964">
        <f>SUM(I5:I19)</f>
        <v>0</v>
      </c>
      <c r="J20" s="75">
        <f>I20/12*$H$2-H20</f>
        <v>0</v>
      </c>
      <c r="K20" s="87" t="e">
        <f>H20/I20</f>
        <v>#DIV/0!</v>
      </c>
      <c r="L20" s="203" t="e">
        <f>((1/12)*$H$2)-K20</f>
        <v>#DIV/0!</v>
      </c>
      <c r="M20" s="417">
        <f>I20-H20</f>
        <v>0</v>
      </c>
      <c r="N20" s="418">
        <f>H20/$H$2</f>
        <v>0</v>
      </c>
      <c r="O20" s="419">
        <f>(I20/12)-(H20/$H$2)</f>
        <v>0</v>
      </c>
      <c r="P20" s="420">
        <f>I20/12</f>
        <v>0</v>
      </c>
      <c r="Q20" s="456"/>
    </row>
    <row r="21" spans="2:30" ht="16.2" thickBot="1" x14ac:dyDescent="0.35">
      <c r="B21" s="19"/>
      <c r="C21" s="164"/>
      <c r="D21" s="895"/>
      <c r="E21" s="20"/>
      <c r="F21" s="21"/>
      <c r="G21" s="22"/>
      <c r="H21" s="843"/>
      <c r="I21" s="24"/>
      <c r="J21" s="25"/>
      <c r="K21" s="26"/>
      <c r="L21" s="223"/>
      <c r="M21" s="224"/>
      <c r="N21" s="225"/>
      <c r="O21" s="226"/>
      <c r="Q21" s="456"/>
      <c r="AD21">
        <v>50000</v>
      </c>
    </row>
    <row r="22" spans="2:30" ht="16.2" thickBot="1" x14ac:dyDescent="0.35">
      <c r="B22" s="260" t="s">
        <v>29</v>
      </c>
      <c r="C22" s="227"/>
      <c r="D22" s="896"/>
      <c r="E22" s="228"/>
      <c r="F22" s="229"/>
      <c r="G22" s="230"/>
      <c r="H22" s="844">
        <f>Projects!C9</f>
        <v>0</v>
      </c>
      <c r="I22" s="231"/>
      <c r="J22" s="232"/>
      <c r="K22" s="233"/>
      <c r="L22" s="234"/>
      <c r="M22" s="235"/>
      <c r="N22" s="235"/>
      <c r="O22" s="236"/>
      <c r="P22" s="237"/>
      <c r="Q22" s="456"/>
      <c r="AD22">
        <v>36000</v>
      </c>
    </row>
    <row r="23" spans="2:30" ht="16.2" thickBot="1" x14ac:dyDescent="0.35">
      <c r="B23" s="19"/>
      <c r="C23" s="164"/>
      <c r="D23" s="895"/>
      <c r="E23" s="20"/>
      <c r="F23" s="21"/>
      <c r="G23" s="22"/>
      <c r="H23" s="23"/>
      <c r="I23" s="24"/>
      <c r="J23" s="25"/>
      <c r="K23" s="26"/>
      <c r="AD23">
        <v>29000</v>
      </c>
    </row>
    <row r="24" spans="2:30" ht="15" thickBot="1" x14ac:dyDescent="0.35">
      <c r="B24" s="12" t="s">
        <v>2</v>
      </c>
      <c r="C24" s="170"/>
      <c r="D24" s="897" t="s">
        <v>4</v>
      </c>
      <c r="E24" s="13" t="s">
        <v>30</v>
      </c>
      <c r="F24" s="14" t="s">
        <v>6</v>
      </c>
      <c r="G24" s="405" t="s">
        <v>31</v>
      </c>
      <c r="H24" s="728" t="s">
        <v>32</v>
      </c>
      <c r="I24" s="405" t="s">
        <v>33</v>
      </c>
      <c r="J24" s="728" t="s">
        <v>34</v>
      </c>
      <c r="K24" s="405" t="s">
        <v>35</v>
      </c>
      <c r="L24" s="728" t="s">
        <v>36</v>
      </c>
      <c r="M24" s="405" t="s">
        <v>37</v>
      </c>
      <c r="N24" s="728" t="s">
        <v>38</v>
      </c>
      <c r="O24" s="405" t="s">
        <v>39</v>
      </c>
      <c r="P24" s="728" t="s">
        <v>40</v>
      </c>
      <c r="Q24" s="405" t="s">
        <v>41</v>
      </c>
      <c r="R24" s="729" t="s">
        <v>42</v>
      </c>
      <c r="S24" s="132" t="s">
        <v>43</v>
      </c>
      <c r="T24" s="15" t="s">
        <v>44</v>
      </c>
    </row>
    <row r="25" spans="2:30" ht="15" thickBot="1" x14ac:dyDescent="0.35">
      <c r="B25" s="373" t="s">
        <v>15</v>
      </c>
      <c r="C25" s="171"/>
      <c r="D25" s="898"/>
      <c r="E25" s="720"/>
      <c r="F25" s="355">
        <v>129450</v>
      </c>
      <c r="G25" s="725">
        <f>BT!L11</f>
        <v>0</v>
      </c>
      <c r="H25" s="726">
        <f>BT!P11</f>
        <v>0</v>
      </c>
      <c r="I25" s="726">
        <f>BT!T11</f>
        <v>0</v>
      </c>
      <c r="J25" s="726">
        <f>BT!X11</f>
        <v>0</v>
      </c>
      <c r="K25" s="726">
        <f>BT!AB11</f>
        <v>0</v>
      </c>
      <c r="L25" s="726">
        <f>BT!AF11</f>
        <v>0</v>
      </c>
      <c r="M25" s="726">
        <f>BT!AJ11</f>
        <v>0</v>
      </c>
      <c r="N25" s="726">
        <f>BT!AN11</f>
        <v>0</v>
      </c>
      <c r="O25" s="726">
        <f>BT!AR11</f>
        <v>0</v>
      </c>
      <c r="P25" s="726">
        <f>BT!AV11</f>
        <v>0</v>
      </c>
      <c r="Q25" s="726">
        <f>BT!AZ11</f>
        <v>0</v>
      </c>
      <c r="R25" s="727" t="e">
        <f>BT!BD11</f>
        <v>#REF!</v>
      </c>
      <c r="S25" s="278">
        <f t="shared" ref="S25:S33" si="7">SUM(G27:R27)</f>
        <v>0</v>
      </c>
      <c r="T25" s="16" t="e">
        <f t="shared" ref="T25:T33" si="8">AVERAGEIF(G27:R27,"&gt;0")</f>
        <v>#DIV/0!</v>
      </c>
    </row>
    <row r="26" spans="2:30" ht="15" thickBot="1" x14ac:dyDescent="0.35">
      <c r="B26" s="149" t="s">
        <v>21</v>
      </c>
      <c r="C26" s="171"/>
      <c r="D26" s="899"/>
      <c r="E26" s="720"/>
      <c r="F26" s="355" t="s">
        <v>22</v>
      </c>
      <c r="G26" s="281">
        <f>ReleaseTMS!J7</f>
        <v>0</v>
      </c>
      <c r="H26" s="136">
        <f>ReleaseTMS!M7</f>
        <v>0</v>
      </c>
      <c r="I26" s="136">
        <f>ReleaseTMS!P7</f>
        <v>0</v>
      </c>
      <c r="J26" s="136">
        <f>ReleaseTMS!S7</f>
        <v>0</v>
      </c>
      <c r="K26" s="136"/>
      <c r="L26" s="136"/>
      <c r="M26" s="136"/>
      <c r="N26" s="136"/>
      <c r="O26" s="136"/>
      <c r="P26" s="136"/>
      <c r="Q26" s="136"/>
      <c r="R26" s="282"/>
      <c r="S26" s="278" t="e">
        <f>SUM(#REF!)</f>
        <v>#REF!</v>
      </c>
      <c r="T26" s="16" t="e">
        <f>AVERAGEIF(#REF!,"&gt;0")</f>
        <v>#REF!</v>
      </c>
      <c r="AD26">
        <v>60000</v>
      </c>
    </row>
    <row r="27" spans="2:30" ht="15" thickBot="1" x14ac:dyDescent="0.35">
      <c r="B27" s="151" t="s">
        <v>17</v>
      </c>
      <c r="C27" s="172"/>
      <c r="D27" s="900"/>
      <c r="E27" s="721"/>
      <c r="F27" s="356">
        <v>192033</v>
      </c>
      <c r="G27" s="279">
        <f>Frontline!J9</f>
        <v>0</v>
      </c>
      <c r="H27" s="135">
        <f>Frontline!M9</f>
        <v>0</v>
      </c>
      <c r="I27" s="135">
        <f>Frontline!P9</f>
        <v>0</v>
      </c>
      <c r="J27" s="135"/>
      <c r="K27" s="135">
        <f>Frontline!V9</f>
        <v>0</v>
      </c>
      <c r="L27" s="135">
        <v>0</v>
      </c>
      <c r="M27" s="135">
        <v>0</v>
      </c>
      <c r="N27" s="135">
        <v>0</v>
      </c>
      <c r="O27" s="135">
        <v>0</v>
      </c>
      <c r="P27" s="135">
        <v>0</v>
      </c>
      <c r="Q27" s="135"/>
      <c r="R27" s="280"/>
      <c r="S27" s="278" t="e">
        <f>SUM(#REF!)</f>
        <v>#REF!</v>
      </c>
      <c r="T27" s="16" t="e">
        <f>AVERAGEIF(#REF!,"&gt;0")</f>
        <v>#REF!</v>
      </c>
      <c r="AD27">
        <v>74000</v>
      </c>
    </row>
    <row r="28" spans="2:30" ht="15" thickBot="1" x14ac:dyDescent="0.35">
      <c r="B28" s="150" t="s">
        <v>45</v>
      </c>
      <c r="C28" s="171"/>
      <c r="D28" s="901"/>
      <c r="E28" s="720"/>
      <c r="F28" s="357">
        <v>129450</v>
      </c>
      <c r="G28" s="281">
        <f>OB!Q37</f>
        <v>0</v>
      </c>
      <c r="H28" s="136">
        <f>OB!U37</f>
        <v>0</v>
      </c>
      <c r="I28" s="136">
        <f>OB!Y37</f>
        <v>0</v>
      </c>
      <c r="J28" s="136">
        <f>OB!AC37</f>
        <v>0</v>
      </c>
      <c r="K28" s="136">
        <f>OB!AG37</f>
        <v>0</v>
      </c>
      <c r="L28" s="136">
        <f>OB!AK37</f>
        <v>0</v>
      </c>
      <c r="M28" s="136">
        <f>OB!AO37</f>
        <v>0</v>
      </c>
      <c r="N28" s="136">
        <f>OB!AS37</f>
        <v>0</v>
      </c>
      <c r="O28" s="136">
        <f>OB!AW37</f>
        <v>0</v>
      </c>
      <c r="P28" s="136">
        <f>OB!BA37</f>
        <v>0</v>
      </c>
      <c r="Q28" s="136">
        <f>OB!BE37</f>
        <v>0</v>
      </c>
      <c r="R28" s="282">
        <f>OB!BI37</f>
        <v>0</v>
      </c>
      <c r="S28" s="278">
        <f t="shared" si="7"/>
        <v>0</v>
      </c>
      <c r="T28" s="16" t="e">
        <f t="shared" si="8"/>
        <v>#DIV/0!</v>
      </c>
    </row>
    <row r="29" spans="2:30" ht="15" thickBot="1" x14ac:dyDescent="0.35">
      <c r="B29" s="162" t="s">
        <v>23</v>
      </c>
      <c r="C29" s="173"/>
      <c r="D29" s="902"/>
      <c r="E29" s="722"/>
      <c r="F29" s="357">
        <v>120252</v>
      </c>
      <c r="G29" s="621">
        <f>Atos!L9</f>
        <v>0</v>
      </c>
      <c r="H29" s="622">
        <f>Atos!P9</f>
        <v>0</v>
      </c>
      <c r="I29" s="622">
        <f>Atos!T9</f>
        <v>0</v>
      </c>
      <c r="J29" s="622">
        <f>Atos!X9</f>
        <v>0</v>
      </c>
      <c r="K29" s="622">
        <f>Atos!AB9</f>
        <v>0</v>
      </c>
      <c r="L29" s="622">
        <f>Atos!AF9</f>
        <v>0</v>
      </c>
      <c r="M29" s="622">
        <f>Atos!AJ9</f>
        <v>0</v>
      </c>
      <c r="N29" s="622">
        <f>Atos!AN9</f>
        <v>0</v>
      </c>
      <c r="O29" s="622">
        <f>Atos!AR9</f>
        <v>0</v>
      </c>
      <c r="P29" s="622">
        <f>Atos!AV9</f>
        <v>0</v>
      </c>
      <c r="Q29" s="622">
        <f>Atos!AZ9</f>
        <v>0</v>
      </c>
      <c r="R29" s="623">
        <f>Atos!BD9</f>
        <v>0</v>
      </c>
      <c r="S29" s="278">
        <f t="shared" si="7"/>
        <v>0</v>
      </c>
      <c r="T29" s="16" t="e">
        <f t="shared" si="8"/>
        <v>#DIV/0!</v>
      </c>
    </row>
    <row r="30" spans="2:30" ht="15" thickBot="1" x14ac:dyDescent="0.35">
      <c r="B30" s="162" t="s">
        <v>24</v>
      </c>
      <c r="C30" s="173"/>
      <c r="D30" s="902"/>
      <c r="E30" s="722"/>
      <c r="F30" s="357">
        <v>118255</v>
      </c>
      <c r="G30" s="281">
        <f>Accenture!L27</f>
        <v>0</v>
      </c>
      <c r="H30" s="136">
        <f>Accenture!P27</f>
        <v>0</v>
      </c>
      <c r="I30" s="136">
        <f>Accenture!T27</f>
        <v>0</v>
      </c>
      <c r="J30" s="136">
        <f>Accenture!X27</f>
        <v>0</v>
      </c>
      <c r="K30" s="136">
        <f>Accenture!AB27</f>
        <v>0</v>
      </c>
      <c r="L30" s="136">
        <f>Accenture!AF27</f>
        <v>0</v>
      </c>
      <c r="M30" s="136">
        <f>Accenture!AJ27</f>
        <v>0</v>
      </c>
      <c r="N30" s="136">
        <f>Accenture!AN27</f>
        <v>0</v>
      </c>
      <c r="O30" s="136">
        <f>Accenture!AR27</f>
        <v>0</v>
      </c>
      <c r="P30" s="136"/>
      <c r="Q30" s="136">
        <f>Accenture!AZ27</f>
        <v>0</v>
      </c>
      <c r="R30" s="282">
        <f>Accenture!BD27</f>
        <v>0</v>
      </c>
      <c r="S30" s="278" t="e">
        <f t="shared" si="7"/>
        <v>#REF!</v>
      </c>
      <c r="T30" s="16" t="e">
        <f t="shared" si="8"/>
        <v>#DIV/0!</v>
      </c>
    </row>
    <row r="31" spans="2:30" ht="15" thickBot="1" x14ac:dyDescent="0.35">
      <c r="B31" s="373" t="s">
        <v>26</v>
      </c>
      <c r="C31" s="171"/>
      <c r="D31" s="912"/>
      <c r="E31" s="723"/>
      <c r="F31" s="374">
        <v>166304</v>
      </c>
      <c r="G31" s="624">
        <f>Microsoft!M26</f>
        <v>0</v>
      </c>
      <c r="H31" s="625">
        <f>Microsoft!Q26</f>
        <v>0</v>
      </c>
      <c r="I31" s="625">
        <f>Microsoft!U26</f>
        <v>0</v>
      </c>
      <c r="J31" s="625">
        <f>Microsoft!Y26</f>
        <v>0</v>
      </c>
      <c r="K31" s="625">
        <f>Microsoft!AC26</f>
        <v>0</v>
      </c>
      <c r="L31" s="625">
        <f>Microsoft!AG26</f>
        <v>0</v>
      </c>
      <c r="M31" s="625">
        <f>Microsoft!AK26</f>
        <v>0</v>
      </c>
      <c r="N31" s="625">
        <f>Microsoft!AO26</f>
        <v>0</v>
      </c>
      <c r="O31" s="625">
        <f>Microsoft!AS26</f>
        <v>0</v>
      </c>
      <c r="P31" s="625">
        <f>Microsoft!AW26</f>
        <v>0</v>
      </c>
      <c r="Q31" s="625">
        <v>0</v>
      </c>
      <c r="R31" s="626"/>
      <c r="S31" s="278" t="e">
        <f t="shared" si="7"/>
        <v>#REF!</v>
      </c>
      <c r="T31" s="16" t="e">
        <f t="shared" si="8"/>
        <v>#DIV/0!</v>
      </c>
    </row>
    <row r="32" spans="2:30" ht="15" thickBot="1" x14ac:dyDescent="0.35">
      <c r="B32" s="17" t="s">
        <v>28</v>
      </c>
      <c r="C32" s="174"/>
      <c r="D32" s="903"/>
      <c r="E32" s="115" t="e">
        <f>SUM(G32:R32)</f>
        <v>#REF!</v>
      </c>
      <c r="F32" s="18"/>
      <c r="G32" s="358">
        <f t="shared" ref="G32:R32" si="9">SUM(G25:G31)</f>
        <v>0</v>
      </c>
      <c r="H32" s="358">
        <f t="shared" si="9"/>
        <v>0</v>
      </c>
      <c r="I32" s="358">
        <f t="shared" si="9"/>
        <v>0</v>
      </c>
      <c r="J32" s="358">
        <f t="shared" si="9"/>
        <v>0</v>
      </c>
      <c r="K32" s="358">
        <f t="shared" si="9"/>
        <v>0</v>
      </c>
      <c r="L32" s="358">
        <f t="shared" si="9"/>
        <v>0</v>
      </c>
      <c r="M32" s="358">
        <f t="shared" si="9"/>
        <v>0</v>
      </c>
      <c r="N32" s="358">
        <f t="shared" si="9"/>
        <v>0</v>
      </c>
      <c r="O32" s="358">
        <f t="shared" si="9"/>
        <v>0</v>
      </c>
      <c r="P32" s="358">
        <f t="shared" si="9"/>
        <v>0</v>
      </c>
      <c r="Q32" s="358">
        <f t="shared" si="9"/>
        <v>0</v>
      </c>
      <c r="R32" s="358" t="e">
        <f t="shared" si="9"/>
        <v>#REF!</v>
      </c>
      <c r="S32" s="138" t="e">
        <f t="shared" si="7"/>
        <v>#REF!</v>
      </c>
      <c r="T32" s="137" t="e">
        <f t="shared" si="8"/>
        <v>#DIV/0!</v>
      </c>
    </row>
    <row r="33" spans="2:20" ht="16.2" thickBot="1" x14ac:dyDescent="0.35">
      <c r="B33" s="261" t="s">
        <v>46</v>
      </c>
      <c r="C33" s="262"/>
      <c r="D33" s="904"/>
      <c r="E33" s="263"/>
      <c r="F33" s="264"/>
      <c r="G33" s="265">
        <f t="shared" ref="G33:R33" si="10">$P$20-G32</f>
        <v>0</v>
      </c>
      <c r="H33" s="265">
        <f t="shared" si="10"/>
        <v>0</v>
      </c>
      <c r="I33" s="265">
        <f t="shared" si="10"/>
        <v>0</v>
      </c>
      <c r="J33" s="265">
        <f t="shared" si="10"/>
        <v>0</v>
      </c>
      <c r="K33" s="265">
        <f t="shared" si="10"/>
        <v>0</v>
      </c>
      <c r="L33" s="265">
        <f t="shared" si="10"/>
        <v>0</v>
      </c>
      <c r="M33" s="265">
        <f t="shared" si="10"/>
        <v>0</v>
      </c>
      <c r="N33" s="265">
        <f t="shared" si="10"/>
        <v>0</v>
      </c>
      <c r="O33" s="265">
        <f t="shared" si="10"/>
        <v>0</v>
      </c>
      <c r="P33" s="265">
        <f t="shared" si="10"/>
        <v>0</v>
      </c>
      <c r="Q33" s="265">
        <f t="shared" si="10"/>
        <v>0</v>
      </c>
      <c r="R33" s="265" t="e">
        <f t="shared" si="10"/>
        <v>#REF!</v>
      </c>
      <c r="S33" s="266">
        <f t="shared" si="7"/>
        <v>0</v>
      </c>
      <c r="T33" s="267" t="e">
        <f t="shared" si="8"/>
        <v>#DIV/0!</v>
      </c>
    </row>
    <row r="34" spans="2:20" ht="16.2" thickBot="1" x14ac:dyDescent="0.35">
      <c r="B34" s="273" t="s">
        <v>29</v>
      </c>
      <c r="C34" s="268"/>
      <c r="D34" s="905"/>
      <c r="E34" s="269"/>
      <c r="F34" s="270"/>
      <c r="G34" s="271" t="e">
        <f>GETPIVOTDATA("Amount",Projects!$H$2,"Period",1)</f>
        <v>#REF!</v>
      </c>
      <c r="H34" s="271" t="e">
        <f>GETPIVOTDATA("Amount",Projects!$H$2,"Period",2)</f>
        <v>#REF!</v>
      </c>
      <c r="I34" s="271" t="e">
        <f>GETPIVOTDATA("Amount",Projects!$H$2,"Period",3)</f>
        <v>#REF!</v>
      </c>
      <c r="J34" s="271" t="e">
        <f>GETPIVOTDATA("Amount",Projects!$H$2,"Period",4)</f>
        <v>#REF!</v>
      </c>
      <c r="K34" s="271" t="e">
        <f>GETPIVOTDATA("Amount",Projects!$H$2,"Period",5)</f>
        <v>#REF!</v>
      </c>
      <c r="L34" s="271" t="e">
        <f>GETPIVOTDATA("Amount",Projects!$H$2,"Period",6)</f>
        <v>#REF!</v>
      </c>
      <c r="M34" s="271" t="e">
        <f>GETPIVOTDATA("Amount",Projects!$H$2,"Period",7)</f>
        <v>#REF!</v>
      </c>
      <c r="N34" s="271" t="e">
        <f>GETPIVOTDATA("Amount",Projects!$H$2,"Period",8)</f>
        <v>#REF!</v>
      </c>
      <c r="O34" s="271" t="e">
        <f>GETPIVOTDATA("Amount",Projects!$H$2,"Period",9)</f>
        <v>#REF!</v>
      </c>
      <c r="P34" s="271" t="e">
        <f>GETPIVOTDATA("Amount",Projects!$H$2,"Period",10)</f>
        <v>#REF!</v>
      </c>
      <c r="Q34" s="271" t="e">
        <f>GETPIVOTDATA("Amount",Projects!$H$2,"Period",11)</f>
        <v>#REF!</v>
      </c>
      <c r="R34" s="271"/>
      <c r="S34" s="275" t="e">
        <f>SUM(G34:R34)</f>
        <v>#REF!</v>
      </c>
      <c r="T34" s="272"/>
    </row>
    <row r="36" spans="2:20" x14ac:dyDescent="0.3">
      <c r="L36" s="117"/>
      <c r="M36" s="117"/>
    </row>
    <row r="37" spans="2:20" x14ac:dyDescent="0.3">
      <c r="D37" s="35"/>
    </row>
    <row r="38" spans="2:20" x14ac:dyDescent="0.3">
      <c r="D38" s="35"/>
    </row>
    <row r="39" spans="2:20" x14ac:dyDescent="0.3">
      <c r="D39" s="35"/>
    </row>
  </sheetData>
  <conditionalFormatting sqref="G33:R33">
    <cfRule type="cellIs" dxfId="9" priority="15" operator="lessThan">
      <formula>0</formula>
    </cfRule>
    <cfRule type="cellIs" dxfId="8" priority="16" operator="greaterThan">
      <formula>0</formula>
    </cfRule>
    <cfRule type="colorScale" priority="17">
      <colorScale>
        <cfvo type="num" val="0.1"/>
        <cfvo type="max"/>
        <color rgb="FFFF7128"/>
        <color rgb="FFFFEF9C"/>
      </colorScale>
    </cfRule>
    <cfRule type="colorScale" priority="18">
      <colorScale>
        <cfvo type="num" val="0"/>
        <cfvo type="num" val="0"/>
        <color rgb="FF92D050"/>
        <color theme="5" tint="0.59999389629810485"/>
      </colorScale>
    </cfRule>
  </conditionalFormatting>
  <conditionalFormatting sqref="J5">
    <cfRule type="colorScale" priority="4">
      <colorScale>
        <cfvo type="num" val="0"/>
        <cfvo type="num" val="0"/>
        <color rgb="FFFF0000"/>
        <color rgb="FF00B050"/>
      </colorScale>
    </cfRule>
  </conditionalFormatting>
  <conditionalFormatting sqref="J11:J19">
    <cfRule type="colorScale" priority="8">
      <colorScale>
        <cfvo type="num" val="0"/>
        <cfvo type="num" val="0"/>
        <color rgb="FFFF0000"/>
        <color rgb="FF00B050"/>
      </colorScale>
    </cfRule>
  </conditionalFormatting>
  <conditionalFormatting sqref="J20:J23 O4 J6:J10">
    <cfRule type="colorScale" priority="21">
      <colorScale>
        <cfvo type="num" val="0"/>
        <cfvo type="num" val="0"/>
        <color rgb="FFFF0000"/>
        <color rgb="FF00B050"/>
      </colorScale>
    </cfRule>
  </conditionalFormatting>
  <conditionalFormatting sqref="L5">
    <cfRule type="colorScale" priority="3">
      <colorScale>
        <cfvo type="min"/>
        <cfvo type="percent" val="0"/>
        <cfvo type="max"/>
        <color rgb="FFF8696B"/>
        <color rgb="FFFFEB84"/>
        <color rgb="FF63BE7B"/>
      </colorScale>
    </cfRule>
  </conditionalFormatting>
  <conditionalFormatting sqref="L5:L22">
    <cfRule type="cellIs" dxfId="7" priority="1" operator="lessThan">
      <formula>0</formula>
    </cfRule>
    <cfRule type="cellIs" dxfId="6" priority="2" operator="greaterThan">
      <formula>0</formula>
    </cfRule>
  </conditionalFormatting>
  <conditionalFormatting sqref="L11:L19">
    <cfRule type="colorScale" priority="44">
      <colorScale>
        <cfvo type="min"/>
        <cfvo type="percent" val="0"/>
        <cfvo type="max"/>
        <color rgb="FFF8696B"/>
        <color rgb="FFFFEB84"/>
        <color rgb="FF63BE7B"/>
      </colorScale>
    </cfRule>
  </conditionalFormatting>
  <conditionalFormatting sqref="L20:L22 L6:L10">
    <cfRule type="colorScale" priority="35">
      <colorScale>
        <cfvo type="min"/>
        <cfvo type="percent" val="0"/>
        <cfvo type="max"/>
        <color rgb="FFF8696B"/>
        <color rgb="FFFFEB84"/>
        <color rgb="FF63BE7B"/>
      </colorScale>
    </cfRule>
  </conditionalFormatting>
  <dataValidations count="1">
    <dataValidation type="custom" allowBlank="1" showInputMessage="1" showErrorMessage="1" sqref="J4 K20:K23" xr:uid="{00000000-0002-0000-0200-000000000000}">
      <formula1>"(S4-T4)&lt;0"</formula1>
    </dataValidation>
  </dataValidations>
  <hyperlinks>
    <hyperlink ref="B7" location="Frontline!A1" display="Frontline" xr:uid="{00000000-0004-0000-0200-000001000000}"/>
    <hyperlink ref="B26" location="ReleaseTMS!A1" display="ReleaseTMS" xr:uid="{508399DE-0CB5-4805-8043-67C8BE1B7CA3}"/>
    <hyperlink ref="B27" location="Frontline!A1" display="Frontline" xr:uid="{F25CB511-5C08-43D2-9D6C-47A2DDFB4753}"/>
    <hyperlink ref="B9" location="OB!A1" display="OB" xr:uid="{92072321-FC8D-41D0-BEF1-D44F76CE7F77}"/>
    <hyperlink ref="B11" location="ReleaseTMS!A1" display="ReleaseTMS" xr:uid="{3CFF93F0-D2CE-46F1-8D6B-AD97EEA85E4A}"/>
    <hyperlink ref="B5" location="BT!A1" display="BT" xr:uid="{DCCCC913-26FE-4DBB-BF44-D631DDCE73AE}"/>
    <hyperlink ref="B25" location="BT!A1" display="BT" xr:uid="{A37C696D-D789-4A0A-8488-CF7A8C19DD49}"/>
    <hyperlink ref="B13" location="Atos!A1" display="Atos" xr:uid="{E2EA1456-BCDD-485B-AAA0-029ECD4EE230}"/>
    <hyperlink ref="B15" location="Accenture!A1" display="Accenture" xr:uid="{49AFA628-72DE-4163-A1C8-9808A58C0F8C}"/>
    <hyperlink ref="B22" location="Projects!A1" display="Projects" xr:uid="{DD48020F-FBCB-4B04-B8CC-00F521B61CCA}"/>
    <hyperlink ref="B34" location="Projects!A1" display="Projects" xr:uid="{F91FE468-08C7-424C-A6B4-C6C9A6630AD6}"/>
    <hyperlink ref="B17" location="Microsoft!A1" display="Microsoft" xr:uid="{12DAE77C-1E3E-4C19-AFF5-C80F16D8E8A7}"/>
    <hyperlink ref="B31" location="Microsoft!A1" display="Microsoft" xr:uid="{80497181-9180-45C7-A650-6A44A85A2C1A}"/>
    <hyperlink ref="B19" location="Equinix!A1" display="Equinix" xr:uid="{A965F7C0-EAF6-4E87-8E56-D481C0D5EC69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8869-4C42-47FA-BC16-72A0158A7F9B}">
  <dimension ref="A1:AC68"/>
  <sheetViews>
    <sheetView tabSelected="1" workbookViewId="0">
      <pane ySplit="1" topLeftCell="A2" activePane="bottomLeft" state="frozen"/>
      <selection activeCell="F1" sqref="F1"/>
      <selection pane="bottomLeft" activeCell="AC2" sqref="AC2:AC68"/>
    </sheetView>
  </sheetViews>
  <sheetFormatPr defaultColWidth="9.109375" defaultRowHeight="14.4" x14ac:dyDescent="0.3"/>
  <cols>
    <col min="1" max="4" width="9.109375" style="437"/>
    <col min="5" max="5" width="10.109375" style="437" bestFit="1" customWidth="1"/>
    <col min="6" max="6" width="18.44140625" style="437" bestFit="1" customWidth="1"/>
    <col min="7" max="7" width="9.109375" style="437"/>
    <col min="8" max="8" width="21.109375" style="437" bestFit="1" customWidth="1"/>
    <col min="9" max="9" width="59" style="437" customWidth="1"/>
    <col min="10" max="10" width="23.6640625" style="437" customWidth="1"/>
    <col min="11" max="11" width="9.109375" style="437"/>
    <col min="12" max="12" width="33.44140625" style="437" bestFit="1" customWidth="1"/>
    <col min="13" max="17" width="9.109375" style="437"/>
    <col min="18" max="18" width="13" style="437" customWidth="1"/>
    <col min="19" max="19" width="11.44140625" style="966" customWidth="1"/>
    <col min="20" max="21" width="9.109375" style="437"/>
    <col min="22" max="22" width="17.33203125" style="437" customWidth="1"/>
    <col min="23" max="16384" width="9.109375" style="437"/>
  </cols>
  <sheetData>
    <row r="1" spans="1:29" s="627" customFormat="1" x14ac:dyDescent="0.3">
      <c r="A1" s="627" t="s">
        <v>47</v>
      </c>
      <c r="B1" s="627" t="s">
        <v>48</v>
      </c>
      <c r="C1" s="627" t="s">
        <v>49</v>
      </c>
      <c r="D1" s="627" t="s">
        <v>50</v>
      </c>
      <c r="E1" s="627" t="s">
        <v>30</v>
      </c>
      <c r="F1" s="627" t="s">
        <v>51</v>
      </c>
      <c r="G1" s="627" t="s">
        <v>51</v>
      </c>
      <c r="H1" s="627" t="s">
        <v>52</v>
      </c>
      <c r="I1" s="627" t="s">
        <v>3</v>
      </c>
      <c r="J1" s="627" t="s">
        <v>53</v>
      </c>
      <c r="K1" s="627" t="s">
        <v>54</v>
      </c>
      <c r="L1" s="627" t="s">
        <v>2</v>
      </c>
      <c r="M1" s="627" t="s">
        <v>55</v>
      </c>
      <c r="N1" s="627" t="s">
        <v>56</v>
      </c>
      <c r="O1" s="627" t="s">
        <v>57</v>
      </c>
      <c r="P1" s="627" t="s">
        <v>58</v>
      </c>
      <c r="Q1" s="627" t="s">
        <v>59</v>
      </c>
      <c r="R1" s="627" t="s">
        <v>60</v>
      </c>
      <c r="S1" s="965" t="s">
        <v>61</v>
      </c>
      <c r="T1" s="627" t="s">
        <v>62</v>
      </c>
      <c r="U1" s="627" t="s">
        <v>63</v>
      </c>
      <c r="V1" s="627" t="s">
        <v>64</v>
      </c>
      <c r="W1" s="627" t="s">
        <v>65</v>
      </c>
      <c r="X1" s="627" t="s">
        <v>66</v>
      </c>
      <c r="Y1" s="627" t="s">
        <v>67</v>
      </c>
      <c r="Z1" s="627" t="s">
        <v>68</v>
      </c>
      <c r="AA1" s="627" t="s">
        <v>69</v>
      </c>
      <c r="AB1" s="627" t="s">
        <v>70</v>
      </c>
      <c r="AC1" s="627" t="s">
        <v>71</v>
      </c>
    </row>
    <row r="2" spans="1:29" s="1225" customFormat="1" x14ac:dyDescent="0.3">
      <c r="A2" s="1225">
        <v>1</v>
      </c>
      <c r="S2" s="1226"/>
    </row>
    <row r="3" spans="1:29" s="1225" customFormat="1" x14ac:dyDescent="0.3">
      <c r="A3" s="1225">
        <v>2</v>
      </c>
      <c r="S3" s="1226"/>
    </row>
    <row r="4" spans="1:29" s="1225" customFormat="1" x14ac:dyDescent="0.3">
      <c r="A4" s="1225">
        <v>3</v>
      </c>
      <c r="S4" s="1226"/>
    </row>
    <row r="5" spans="1:29" s="1225" customFormat="1" x14ac:dyDescent="0.3">
      <c r="A5" s="1225">
        <v>4</v>
      </c>
      <c r="S5" s="1226"/>
    </row>
    <row r="6" spans="1:29" s="1225" customFormat="1" x14ac:dyDescent="0.3">
      <c r="A6" s="1225">
        <v>5</v>
      </c>
      <c r="S6" s="1226"/>
    </row>
    <row r="7" spans="1:29" s="1225" customFormat="1" x14ac:dyDescent="0.3">
      <c r="A7" s="1225">
        <v>6</v>
      </c>
      <c r="S7" s="1226"/>
    </row>
    <row r="8" spans="1:29" s="1225" customFormat="1" x14ac:dyDescent="0.3">
      <c r="A8" s="1225">
        <v>7</v>
      </c>
      <c r="S8" s="1226"/>
    </row>
    <row r="9" spans="1:29" s="1225" customFormat="1" x14ac:dyDescent="0.3">
      <c r="A9" s="1225">
        <v>8</v>
      </c>
      <c r="S9" s="1226"/>
    </row>
    <row r="10" spans="1:29" s="1225" customFormat="1" x14ac:dyDescent="0.3">
      <c r="A10" s="1225">
        <v>9</v>
      </c>
      <c r="S10" s="1226"/>
    </row>
    <row r="11" spans="1:29" s="1225" customFormat="1" x14ac:dyDescent="0.3">
      <c r="A11" s="1225">
        <v>10</v>
      </c>
      <c r="S11" s="1226"/>
    </row>
    <row r="12" spans="1:29" s="1225" customFormat="1" x14ac:dyDescent="0.3">
      <c r="A12" s="1225">
        <v>11</v>
      </c>
      <c r="S12" s="1226"/>
    </row>
    <row r="13" spans="1:29" s="1225" customFormat="1" x14ac:dyDescent="0.3">
      <c r="A13" s="1225">
        <v>12</v>
      </c>
      <c r="S13" s="1226"/>
    </row>
    <row r="14" spans="1:29" s="1225" customFormat="1" x14ac:dyDescent="0.3">
      <c r="A14" s="1225">
        <v>13</v>
      </c>
      <c r="S14" s="1226"/>
    </row>
    <row r="15" spans="1:29" s="1225" customFormat="1" x14ac:dyDescent="0.3">
      <c r="A15" s="1225">
        <v>14</v>
      </c>
      <c r="S15" s="1226"/>
    </row>
    <row r="16" spans="1:29" s="1225" customFormat="1" x14ac:dyDescent="0.3">
      <c r="A16" s="1225">
        <v>15</v>
      </c>
      <c r="S16" s="1226"/>
    </row>
    <row r="17" spans="1:19" s="1225" customFormat="1" x14ac:dyDescent="0.3">
      <c r="A17" s="1225">
        <v>16</v>
      </c>
      <c r="S17" s="1226"/>
    </row>
    <row r="18" spans="1:19" s="1225" customFormat="1" x14ac:dyDescent="0.3">
      <c r="A18" s="1225">
        <v>17</v>
      </c>
      <c r="S18" s="1226"/>
    </row>
    <row r="19" spans="1:19" s="1225" customFormat="1" x14ac:dyDescent="0.3">
      <c r="A19" s="1225">
        <v>18</v>
      </c>
      <c r="S19" s="1226"/>
    </row>
    <row r="20" spans="1:19" s="1225" customFormat="1" x14ac:dyDescent="0.3">
      <c r="A20" s="1225">
        <v>19</v>
      </c>
      <c r="S20" s="1226"/>
    </row>
    <row r="21" spans="1:19" s="1225" customFormat="1" x14ac:dyDescent="0.3">
      <c r="A21" s="1225">
        <v>20</v>
      </c>
      <c r="S21" s="1226"/>
    </row>
    <row r="22" spans="1:19" s="1225" customFormat="1" x14ac:dyDescent="0.3">
      <c r="A22" s="1225">
        <v>21</v>
      </c>
      <c r="S22" s="1226"/>
    </row>
    <row r="23" spans="1:19" s="1225" customFormat="1" x14ac:dyDescent="0.3">
      <c r="A23" s="1225">
        <v>22</v>
      </c>
      <c r="S23" s="1226"/>
    </row>
    <row r="24" spans="1:19" s="1225" customFormat="1" x14ac:dyDescent="0.3">
      <c r="A24" s="1225">
        <v>23</v>
      </c>
      <c r="S24" s="1226"/>
    </row>
    <row r="25" spans="1:19" s="1225" customFormat="1" x14ac:dyDescent="0.3">
      <c r="A25" s="1225">
        <v>24</v>
      </c>
      <c r="S25" s="1226"/>
    </row>
    <row r="26" spans="1:19" s="1225" customFormat="1" x14ac:dyDescent="0.3">
      <c r="A26" s="1225">
        <v>25</v>
      </c>
      <c r="S26" s="1226"/>
    </row>
    <row r="27" spans="1:19" s="1225" customFormat="1" x14ac:dyDescent="0.3">
      <c r="A27" s="1225">
        <v>26</v>
      </c>
      <c r="S27" s="1226"/>
    </row>
    <row r="28" spans="1:19" s="1225" customFormat="1" x14ac:dyDescent="0.3">
      <c r="A28" s="1225">
        <v>27</v>
      </c>
      <c r="S28" s="1226"/>
    </row>
    <row r="29" spans="1:19" s="1225" customFormat="1" x14ac:dyDescent="0.3">
      <c r="A29" s="1225">
        <v>28</v>
      </c>
      <c r="S29" s="1226"/>
    </row>
    <row r="30" spans="1:19" s="1225" customFormat="1" x14ac:dyDescent="0.3">
      <c r="A30" s="1225">
        <v>29</v>
      </c>
      <c r="S30" s="1226"/>
    </row>
    <row r="31" spans="1:19" s="1225" customFormat="1" x14ac:dyDescent="0.3">
      <c r="A31" s="1225">
        <v>30</v>
      </c>
      <c r="S31" s="1226"/>
    </row>
    <row r="32" spans="1:19" s="1225" customFormat="1" x14ac:dyDescent="0.3">
      <c r="A32" s="1225">
        <v>31</v>
      </c>
      <c r="S32" s="1226"/>
    </row>
    <row r="33" spans="1:19" s="1225" customFormat="1" x14ac:dyDescent="0.3">
      <c r="A33" s="1225">
        <v>32</v>
      </c>
      <c r="S33" s="1226"/>
    </row>
    <row r="34" spans="1:19" s="1225" customFormat="1" x14ac:dyDescent="0.3">
      <c r="A34" s="1225">
        <v>33</v>
      </c>
      <c r="S34" s="1226"/>
    </row>
    <row r="35" spans="1:19" s="1225" customFormat="1" x14ac:dyDescent="0.3">
      <c r="A35" s="1225">
        <v>34</v>
      </c>
      <c r="S35" s="1226"/>
    </row>
    <row r="36" spans="1:19" s="1225" customFormat="1" x14ac:dyDescent="0.3">
      <c r="A36" s="1225">
        <v>35</v>
      </c>
      <c r="S36" s="1226"/>
    </row>
    <row r="37" spans="1:19" s="1225" customFormat="1" x14ac:dyDescent="0.3">
      <c r="A37" s="1225">
        <v>36</v>
      </c>
      <c r="S37" s="1226"/>
    </row>
    <row r="38" spans="1:19" s="1225" customFormat="1" x14ac:dyDescent="0.3">
      <c r="A38" s="1225">
        <v>37</v>
      </c>
      <c r="S38" s="1226"/>
    </row>
    <row r="39" spans="1:19" s="1225" customFormat="1" x14ac:dyDescent="0.3">
      <c r="A39" s="1225">
        <v>38</v>
      </c>
      <c r="S39" s="1226"/>
    </row>
    <row r="40" spans="1:19" s="1225" customFormat="1" x14ac:dyDescent="0.3">
      <c r="A40" s="1225">
        <v>39</v>
      </c>
      <c r="S40" s="1226"/>
    </row>
    <row r="41" spans="1:19" s="1225" customFormat="1" x14ac:dyDescent="0.3">
      <c r="A41" s="1225">
        <v>40</v>
      </c>
      <c r="S41" s="1226"/>
    </row>
    <row r="42" spans="1:19" s="1225" customFormat="1" x14ac:dyDescent="0.3">
      <c r="A42" s="1225">
        <v>41</v>
      </c>
      <c r="S42" s="1226"/>
    </row>
    <row r="43" spans="1:19" s="1225" customFormat="1" x14ac:dyDescent="0.3">
      <c r="A43" s="1225">
        <v>42</v>
      </c>
      <c r="S43" s="1226"/>
    </row>
    <row r="44" spans="1:19" s="1225" customFormat="1" x14ac:dyDescent="0.3">
      <c r="A44" s="1225">
        <v>43</v>
      </c>
      <c r="S44" s="1226"/>
    </row>
    <row r="45" spans="1:19" s="1225" customFormat="1" x14ac:dyDescent="0.3">
      <c r="A45" s="1225">
        <v>44</v>
      </c>
      <c r="S45" s="1226"/>
    </row>
    <row r="46" spans="1:19" s="1225" customFormat="1" x14ac:dyDescent="0.3">
      <c r="A46" s="1225">
        <v>45</v>
      </c>
      <c r="S46" s="1226"/>
    </row>
    <row r="47" spans="1:19" s="1225" customFormat="1" x14ac:dyDescent="0.3">
      <c r="A47" s="1225">
        <v>46</v>
      </c>
      <c r="S47" s="1226"/>
    </row>
    <row r="48" spans="1:19" s="1225" customFormat="1" x14ac:dyDescent="0.3">
      <c r="A48" s="1225">
        <v>47</v>
      </c>
      <c r="S48" s="1226"/>
    </row>
    <row r="49" spans="1:19" s="1225" customFormat="1" x14ac:dyDescent="0.3">
      <c r="A49" s="1225">
        <v>48</v>
      </c>
      <c r="S49" s="1226"/>
    </row>
    <row r="50" spans="1:19" s="1225" customFormat="1" x14ac:dyDescent="0.3">
      <c r="A50" s="1225">
        <v>49</v>
      </c>
      <c r="S50" s="1226"/>
    </row>
    <row r="51" spans="1:19" s="1225" customFormat="1" x14ac:dyDescent="0.3">
      <c r="A51" s="1225">
        <v>50</v>
      </c>
      <c r="S51" s="1226"/>
    </row>
    <row r="52" spans="1:19" s="1225" customFormat="1" x14ac:dyDescent="0.3">
      <c r="A52" s="1225">
        <v>51</v>
      </c>
      <c r="S52" s="1226"/>
    </row>
    <row r="53" spans="1:19" s="1225" customFormat="1" x14ac:dyDescent="0.3">
      <c r="A53" s="1225">
        <v>52</v>
      </c>
      <c r="S53" s="1226"/>
    </row>
    <row r="54" spans="1:19" s="1225" customFormat="1" x14ac:dyDescent="0.3">
      <c r="A54" s="1225">
        <v>53</v>
      </c>
      <c r="S54" s="1226"/>
    </row>
    <row r="55" spans="1:19" s="1225" customFormat="1" x14ac:dyDescent="0.3">
      <c r="A55" s="1225">
        <v>54</v>
      </c>
      <c r="S55" s="1226"/>
    </row>
    <row r="56" spans="1:19" s="1225" customFormat="1" x14ac:dyDescent="0.3">
      <c r="A56" s="1225">
        <v>55</v>
      </c>
      <c r="S56" s="1226"/>
    </row>
    <row r="57" spans="1:19" s="1225" customFormat="1" x14ac:dyDescent="0.3">
      <c r="A57" s="1225">
        <v>56</v>
      </c>
      <c r="S57" s="1226"/>
    </row>
    <row r="58" spans="1:19" s="1225" customFormat="1" ht="80.099999999999994" customHeight="1" x14ac:dyDescent="0.3">
      <c r="A58" s="1225">
        <v>57</v>
      </c>
      <c r="S58" s="1226"/>
    </row>
    <row r="59" spans="1:19" s="1225" customFormat="1" x14ac:dyDescent="0.3">
      <c r="A59" s="1225">
        <v>58</v>
      </c>
      <c r="S59" s="1226"/>
    </row>
    <row r="60" spans="1:19" s="1225" customFormat="1" x14ac:dyDescent="0.3">
      <c r="A60" s="1225">
        <v>59</v>
      </c>
      <c r="S60" s="1226"/>
    </row>
    <row r="61" spans="1:19" s="1225" customFormat="1" x14ac:dyDescent="0.3">
      <c r="A61" s="1225">
        <v>60</v>
      </c>
      <c r="S61" s="1226"/>
    </row>
    <row r="62" spans="1:19" s="1225" customFormat="1" x14ac:dyDescent="0.3">
      <c r="A62" s="1225">
        <v>61</v>
      </c>
      <c r="S62" s="1226"/>
    </row>
    <row r="63" spans="1:19" s="1225" customFormat="1" x14ac:dyDescent="0.3">
      <c r="A63" s="1225">
        <v>62</v>
      </c>
      <c r="S63" s="1226"/>
    </row>
    <row r="64" spans="1:19" s="1225" customFormat="1" x14ac:dyDescent="0.3">
      <c r="A64" s="1225">
        <v>63</v>
      </c>
      <c r="S64" s="1226"/>
    </row>
    <row r="65" spans="1:19" s="1225" customFormat="1" x14ac:dyDescent="0.3">
      <c r="A65" s="1225">
        <v>64</v>
      </c>
      <c r="S65" s="1226"/>
    </row>
    <row r="66" spans="1:19" x14ac:dyDescent="0.3">
      <c r="A66" s="437">
        <v>65</v>
      </c>
    </row>
    <row r="67" spans="1:19" x14ac:dyDescent="0.3">
      <c r="A67" s="437">
        <v>66</v>
      </c>
    </row>
    <row r="68" spans="1:19" x14ac:dyDescent="0.3">
      <c r="A68" s="437">
        <v>67</v>
      </c>
    </row>
  </sheetData>
  <autoFilter ref="A1:AC68" xr:uid="{98CC8869-4C42-47FA-BC16-72A0158A7F9B}"/>
  <sortState xmlns:xlrd2="http://schemas.microsoft.com/office/spreadsheetml/2017/richdata2" ref="H2:AC72">
    <sortCondition ref="L2:L72"/>
    <sortCondition descending="1" ref="S2:S7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8628-AD12-4FE0-BB03-0F83FF47CEA2}">
  <dimension ref="A1:BG34"/>
  <sheetViews>
    <sheetView zoomScale="70" zoomScaleNormal="70" workbookViewId="0">
      <pane xSplit="11" topLeftCell="AD1" activePane="topRight" state="frozen"/>
      <selection activeCell="A4" sqref="A4"/>
      <selection pane="topRight" activeCell="AG12" sqref="AG12"/>
    </sheetView>
  </sheetViews>
  <sheetFormatPr defaultColWidth="8.88671875" defaultRowHeight="14.4" x14ac:dyDescent="0.3"/>
  <cols>
    <col min="1" max="1" width="6.33203125" bestFit="1" customWidth="1"/>
    <col min="2" max="2" width="13.109375" customWidth="1"/>
    <col min="3" max="3" width="10" bestFit="1" customWidth="1"/>
    <col min="4" max="4" width="4.6640625" bestFit="1" customWidth="1"/>
    <col min="5" max="5" width="89" bestFit="1" customWidth="1"/>
    <col min="6" max="6" width="9" style="35" bestFit="1" customWidth="1"/>
    <col min="7" max="7" width="14.6640625" bestFit="1" customWidth="1"/>
    <col min="8" max="8" width="13.6640625" bestFit="1" customWidth="1"/>
    <col min="9" max="9" width="15.6640625" style="35" bestFit="1" customWidth="1"/>
    <col min="10" max="10" width="14.33203125" bestFit="1" customWidth="1"/>
    <col min="11" max="11" width="14.6640625" bestFit="1" customWidth="1"/>
    <col min="12" max="12" width="13.88671875" customWidth="1"/>
    <col min="13" max="13" width="10.6640625" customWidth="1"/>
    <col min="14" max="14" width="11" bestFit="1" customWidth="1"/>
    <col min="15" max="15" width="9.6640625" bestFit="1" customWidth="1"/>
    <col min="16" max="16" width="13.109375" bestFit="1" customWidth="1"/>
    <col min="17" max="18" width="11" bestFit="1" customWidth="1"/>
    <col min="19" max="19" width="9.6640625" bestFit="1" customWidth="1"/>
    <col min="20" max="20" width="13.109375" bestFit="1" customWidth="1"/>
    <col min="21" max="21" width="11.33203125" bestFit="1" customWidth="1"/>
    <col min="22" max="22" width="11" bestFit="1" customWidth="1"/>
    <col min="23" max="23" width="9.6640625" bestFit="1" customWidth="1"/>
    <col min="24" max="24" width="12" style="4" bestFit="1" customWidth="1"/>
    <col min="26" max="26" width="11" bestFit="1" customWidth="1"/>
    <col min="28" max="28" width="13.109375" bestFit="1" customWidth="1"/>
    <col min="30" max="30" width="11" bestFit="1" customWidth="1"/>
    <col min="32" max="32" width="12" bestFit="1" customWidth="1"/>
    <col min="34" max="34" width="11.109375" bestFit="1" customWidth="1"/>
    <col min="36" max="36" width="12" bestFit="1" customWidth="1"/>
    <col min="38" max="38" width="11.109375" bestFit="1" customWidth="1"/>
    <col min="40" max="40" width="12.44140625" bestFit="1" customWidth="1"/>
    <col min="42" max="42" width="11" bestFit="1" customWidth="1"/>
    <col min="44" max="44" width="12.44140625" style="117" bestFit="1" customWidth="1"/>
    <col min="45" max="45" width="10.33203125" bestFit="1" customWidth="1"/>
    <col min="46" max="46" width="12" bestFit="1" customWidth="1"/>
    <col min="47" max="47" width="18.6640625" bestFit="1" customWidth="1"/>
    <col min="48" max="48" width="12" bestFit="1" customWidth="1"/>
    <col min="50" max="50" width="11" bestFit="1" customWidth="1"/>
    <col min="52" max="52" width="12.44140625" bestFit="1" customWidth="1"/>
    <col min="54" max="54" width="11" bestFit="1" customWidth="1"/>
    <col min="56" max="56" width="12" bestFit="1" customWidth="1"/>
  </cols>
  <sheetData>
    <row r="1" spans="1:59" x14ac:dyDescent="0.3">
      <c r="A1" s="27" t="s">
        <v>43</v>
      </c>
      <c r="B1" s="28"/>
      <c r="C1" s="28"/>
      <c r="D1" s="28"/>
      <c r="E1" s="28"/>
      <c r="F1" s="394"/>
      <c r="G1" s="28"/>
      <c r="H1" s="28"/>
      <c r="I1" s="29"/>
      <c r="J1" s="28"/>
      <c r="K1" s="28"/>
      <c r="L1" s="28"/>
      <c r="M1" s="28"/>
      <c r="N1" s="30"/>
      <c r="O1" s="30"/>
      <c r="P1" s="28"/>
      <c r="Q1" s="28"/>
      <c r="R1" s="28"/>
      <c r="S1" s="28"/>
      <c r="T1" s="28"/>
      <c r="U1" s="28"/>
      <c r="V1" s="30"/>
      <c r="W1" s="30"/>
    </row>
    <row r="2" spans="1:59" ht="15" thickBot="1" x14ac:dyDescent="0.35">
      <c r="A2" s="28"/>
      <c r="B2" s="28"/>
      <c r="C2" s="28"/>
      <c r="D2" s="28"/>
      <c r="E2" s="28"/>
      <c r="F2" s="394"/>
      <c r="G2" s="28"/>
      <c r="H2" s="28"/>
      <c r="I2" s="29"/>
      <c r="J2" s="28"/>
      <c r="K2" s="28"/>
      <c r="L2" s="28"/>
      <c r="M2" s="28"/>
      <c r="N2" s="30"/>
      <c r="O2" s="30"/>
      <c r="P2" s="28"/>
      <c r="Q2" s="28"/>
      <c r="R2" s="28"/>
      <c r="S2" s="28"/>
      <c r="T2" s="28"/>
      <c r="U2" s="28"/>
      <c r="V2" s="30"/>
      <c r="W2" s="30"/>
    </row>
    <row r="3" spans="1:59" ht="15" thickBot="1" x14ac:dyDescent="0.35">
      <c r="A3" s="28"/>
      <c r="B3" s="31" t="s">
        <v>24</v>
      </c>
      <c r="C3" s="176">
        <v>187516</v>
      </c>
      <c r="D3" s="72"/>
      <c r="E3" s="33"/>
      <c r="F3" s="739"/>
      <c r="G3" s="33"/>
      <c r="H3" s="33"/>
      <c r="I3" s="34"/>
      <c r="J3" s="28"/>
      <c r="K3" s="28"/>
      <c r="L3" s="28"/>
      <c r="M3" s="28"/>
      <c r="N3" s="30"/>
      <c r="O3" s="30"/>
      <c r="P3" s="28"/>
      <c r="Q3" s="28"/>
      <c r="R3" s="28"/>
      <c r="S3" s="28"/>
      <c r="T3" s="28"/>
      <c r="U3" s="28"/>
      <c r="V3" s="30"/>
      <c r="W3" s="30"/>
    </row>
    <row r="4" spans="1:59" ht="15" thickBot="1" x14ac:dyDescent="0.35"/>
    <row r="5" spans="1:59" ht="15" thickBot="1" x14ac:dyDescent="0.35">
      <c r="A5" s="28"/>
      <c r="B5" s="286"/>
      <c r="C5" s="469"/>
      <c r="D5" s="38"/>
      <c r="E5" s="740"/>
      <c r="F5" s="731"/>
      <c r="G5" s="584"/>
      <c r="H5" s="1232" t="s">
        <v>73</v>
      </c>
      <c r="I5" s="1231"/>
      <c r="J5" s="1233"/>
      <c r="K5" s="1234" t="s">
        <v>31</v>
      </c>
      <c r="L5" s="1234"/>
      <c r="M5" s="1234"/>
      <c r="N5" s="589"/>
      <c r="O5" s="1231" t="s">
        <v>32</v>
      </c>
      <c r="P5" s="1231"/>
      <c r="Q5" s="1231"/>
      <c r="R5" s="584"/>
      <c r="S5" s="1235" t="s">
        <v>33</v>
      </c>
      <c r="T5" s="1236"/>
      <c r="U5" s="1236"/>
      <c r="V5" s="587"/>
      <c r="W5" s="1237" t="s">
        <v>34</v>
      </c>
      <c r="X5" s="1234"/>
      <c r="Y5" s="1234"/>
      <c r="Z5" s="589"/>
      <c r="AA5" s="1231" t="s">
        <v>35</v>
      </c>
      <c r="AB5" s="1231"/>
      <c r="AC5" s="1231"/>
      <c r="AD5" s="584"/>
      <c r="AE5" s="1235" t="s">
        <v>36</v>
      </c>
      <c r="AF5" s="1236"/>
      <c r="AG5" s="1236"/>
      <c r="AH5" s="587"/>
      <c r="AI5" s="1237" t="s">
        <v>37</v>
      </c>
      <c r="AJ5" s="1234"/>
      <c r="AK5" s="1234"/>
      <c r="AL5" s="589"/>
      <c r="AM5" s="1232" t="s">
        <v>38</v>
      </c>
      <c r="AN5" s="1231"/>
      <c r="AO5" s="1231"/>
      <c r="AP5" s="590"/>
      <c r="AQ5" s="1236" t="s">
        <v>39</v>
      </c>
      <c r="AR5" s="1236"/>
      <c r="AS5" s="1236"/>
      <c r="AT5" s="587"/>
      <c r="AU5" s="1235" t="s">
        <v>40</v>
      </c>
      <c r="AV5" s="1236"/>
      <c r="AW5" s="1236"/>
      <c r="AX5" s="587"/>
      <c r="AY5" s="1237" t="s">
        <v>41</v>
      </c>
      <c r="AZ5" s="1234"/>
      <c r="BA5" s="1234"/>
      <c r="BB5" s="589"/>
      <c r="BC5" s="1232" t="s">
        <v>42</v>
      </c>
      <c r="BD5" s="1231"/>
      <c r="BE5" s="1231"/>
      <c r="BF5" s="590"/>
    </row>
    <row r="6" spans="1:59" ht="15" thickBot="1" x14ac:dyDescent="0.35">
      <c r="A6" s="28"/>
      <c r="B6" s="74" t="s">
        <v>4</v>
      </c>
      <c r="C6" s="74" t="s">
        <v>30</v>
      </c>
      <c r="D6" s="89" t="s">
        <v>74</v>
      </c>
      <c r="E6" s="1032" t="s">
        <v>3</v>
      </c>
      <c r="F6" s="967" t="s">
        <v>47</v>
      </c>
      <c r="G6" s="968" t="s">
        <v>75</v>
      </c>
      <c r="H6" s="969" t="s">
        <v>76</v>
      </c>
      <c r="I6" s="791" t="s">
        <v>128</v>
      </c>
      <c r="J6" s="970" t="s">
        <v>78</v>
      </c>
      <c r="K6" s="85" t="s">
        <v>79</v>
      </c>
      <c r="L6" s="791" t="s">
        <v>80</v>
      </c>
      <c r="M6" s="85" t="s">
        <v>72</v>
      </c>
      <c r="N6" s="791" t="s">
        <v>81</v>
      </c>
      <c r="O6" s="79" t="s">
        <v>82</v>
      </c>
      <c r="P6" s="791" t="s">
        <v>80</v>
      </c>
      <c r="Q6" s="85" t="s">
        <v>72</v>
      </c>
      <c r="R6" s="791" t="s">
        <v>81</v>
      </c>
      <c r="S6" s="85" t="s">
        <v>82</v>
      </c>
      <c r="T6" s="791" t="s">
        <v>80</v>
      </c>
      <c r="U6" s="85" t="s">
        <v>72</v>
      </c>
      <c r="V6" s="791" t="s">
        <v>81</v>
      </c>
      <c r="W6" s="85" t="s">
        <v>82</v>
      </c>
      <c r="X6" s="1019" t="s">
        <v>80</v>
      </c>
      <c r="Y6" s="85" t="s">
        <v>72</v>
      </c>
      <c r="Z6" s="791" t="s">
        <v>81</v>
      </c>
      <c r="AA6" s="85" t="s">
        <v>82</v>
      </c>
      <c r="AB6" s="791" t="s">
        <v>80</v>
      </c>
      <c r="AC6" s="85" t="s">
        <v>72</v>
      </c>
      <c r="AD6" s="791" t="s">
        <v>81</v>
      </c>
      <c r="AE6" s="86" t="s">
        <v>82</v>
      </c>
      <c r="AF6" s="79" t="s">
        <v>80</v>
      </c>
      <c r="AG6" s="791" t="s">
        <v>72</v>
      </c>
      <c r="AH6" s="86" t="s">
        <v>81</v>
      </c>
      <c r="AI6" s="791" t="s">
        <v>82</v>
      </c>
      <c r="AJ6" s="791" t="s">
        <v>80</v>
      </c>
      <c r="AK6" s="85" t="s">
        <v>72</v>
      </c>
      <c r="AL6" s="791" t="s">
        <v>81</v>
      </c>
      <c r="AM6" s="86" t="s">
        <v>82</v>
      </c>
      <c r="AN6" s="79" t="s">
        <v>80</v>
      </c>
      <c r="AO6" s="791" t="s">
        <v>72</v>
      </c>
      <c r="AP6" s="86" t="s">
        <v>81</v>
      </c>
      <c r="AQ6" s="791" t="s">
        <v>82</v>
      </c>
      <c r="AR6" s="1202" t="s">
        <v>80</v>
      </c>
      <c r="AS6" s="85" t="s">
        <v>72</v>
      </c>
      <c r="AT6" s="791" t="s">
        <v>81</v>
      </c>
      <c r="AU6" s="86" t="s">
        <v>82</v>
      </c>
      <c r="AV6" s="79" t="s">
        <v>80</v>
      </c>
      <c r="AW6" s="791" t="s">
        <v>72</v>
      </c>
      <c r="AX6" s="86" t="s">
        <v>81</v>
      </c>
      <c r="AY6" s="791" t="s">
        <v>82</v>
      </c>
      <c r="AZ6" s="791" t="s">
        <v>80</v>
      </c>
      <c r="BA6" s="85" t="s">
        <v>72</v>
      </c>
      <c r="BB6" s="791" t="s">
        <v>81</v>
      </c>
      <c r="BC6" s="86" t="s">
        <v>82</v>
      </c>
      <c r="BD6" s="79" t="s">
        <v>80</v>
      </c>
      <c r="BE6" s="791" t="s">
        <v>72</v>
      </c>
      <c r="BF6" s="86" t="s">
        <v>81</v>
      </c>
      <c r="BG6" s="791" t="s">
        <v>82</v>
      </c>
    </row>
    <row r="7" spans="1:59" x14ac:dyDescent="0.3">
      <c r="A7" s="28"/>
      <c r="B7" s="1197"/>
      <c r="C7" s="1036"/>
      <c r="D7" s="1033"/>
      <c r="E7" s="1193"/>
      <c r="F7" s="1030"/>
      <c r="G7" s="1028"/>
      <c r="H7" s="972"/>
      <c r="I7" s="973"/>
      <c r="J7" s="974"/>
      <c r="K7" s="975"/>
      <c r="L7" s="977"/>
      <c r="M7" s="1020"/>
      <c r="N7" s="1021"/>
      <c r="O7" s="1021"/>
      <c r="P7" s="977"/>
      <c r="Q7" s="734"/>
      <c r="R7" s="664"/>
      <c r="S7" s="664"/>
      <c r="T7" s="977"/>
      <c r="U7" s="664"/>
      <c r="V7" s="664"/>
      <c r="W7" s="664"/>
      <c r="X7" s="977"/>
      <c r="Y7" s="1020"/>
      <c r="Z7" s="1021"/>
      <c r="AA7" s="1021"/>
      <c r="AB7" s="1022"/>
      <c r="AC7" s="1020"/>
      <c r="AD7" s="1021"/>
      <c r="AE7" s="1021"/>
      <c r="AF7" s="977"/>
      <c r="AG7" s="734"/>
      <c r="AH7" s="664"/>
      <c r="AI7" s="664"/>
      <c r="AJ7" s="1022"/>
      <c r="AK7" s="1020"/>
      <c r="AL7" s="1021"/>
      <c r="AM7" s="1021"/>
      <c r="AN7" s="977"/>
      <c r="AO7" s="734"/>
      <c r="AP7" s="664"/>
      <c r="AQ7" s="664"/>
      <c r="AR7" s="1203"/>
      <c r="AS7" s="1020"/>
      <c r="AT7" s="1021"/>
      <c r="AU7" s="1021"/>
      <c r="AV7" s="977"/>
      <c r="AW7" s="734"/>
      <c r="AX7" s="664"/>
      <c r="AY7" s="664"/>
      <c r="AZ7" s="1022"/>
      <c r="BA7" s="1020"/>
      <c r="BB7" s="1021"/>
      <c r="BC7" s="1021"/>
      <c r="BD7" s="977"/>
      <c r="BE7" s="734"/>
      <c r="BF7" s="664"/>
      <c r="BG7" s="664"/>
    </row>
    <row r="8" spans="1:59" x14ac:dyDescent="0.3">
      <c r="A8" s="28"/>
      <c r="B8" s="1198"/>
      <c r="C8" s="1036"/>
      <c r="D8" s="1033"/>
      <c r="E8" s="1193"/>
      <c r="F8" s="1030"/>
      <c r="G8" s="1028"/>
      <c r="H8" s="972"/>
      <c r="I8" s="973"/>
      <c r="J8" s="974"/>
      <c r="K8" s="975"/>
      <c r="L8" s="977"/>
      <c r="M8" s="1020"/>
      <c r="N8" s="1021"/>
      <c r="O8" s="1021"/>
      <c r="P8" s="977"/>
      <c r="Q8" s="734"/>
      <c r="R8" s="664"/>
      <c r="S8" s="664"/>
      <c r="T8" s="977"/>
      <c r="U8" s="664"/>
      <c r="V8" s="664"/>
      <c r="W8" s="664"/>
      <c r="X8" s="977"/>
      <c r="Y8" s="1020"/>
      <c r="Z8" s="1021"/>
      <c r="AA8" s="1021"/>
      <c r="AB8" s="1022"/>
      <c r="AC8" s="1020"/>
      <c r="AD8" s="1021"/>
      <c r="AE8" s="1021"/>
      <c r="AF8" s="977"/>
      <c r="AG8" s="734"/>
      <c r="AH8" s="664"/>
      <c r="AI8" s="664"/>
      <c r="AJ8" s="1022"/>
      <c r="AK8" s="1020"/>
      <c r="AL8" s="1021"/>
      <c r="AM8" s="1021"/>
      <c r="AN8" s="977"/>
      <c r="AO8" s="734"/>
      <c r="AP8" s="664"/>
      <c r="AQ8" s="664"/>
      <c r="AR8" s="1203"/>
      <c r="AS8" s="1020"/>
      <c r="AT8" s="1021"/>
      <c r="AU8" s="1021"/>
      <c r="AV8" s="977"/>
      <c r="AW8" s="734"/>
      <c r="AX8" s="664"/>
      <c r="AY8" s="664"/>
      <c r="AZ8" s="1022"/>
      <c r="BA8" s="1020"/>
      <c r="BB8" s="1021"/>
      <c r="BC8" s="1021"/>
      <c r="BD8" s="977"/>
      <c r="BE8" s="734"/>
      <c r="BF8" s="664"/>
      <c r="BG8" s="664"/>
    </row>
    <row r="9" spans="1:59" x14ac:dyDescent="0.3">
      <c r="A9" s="28"/>
      <c r="B9" s="1198"/>
      <c r="C9" s="1036"/>
      <c r="D9" s="1033"/>
      <c r="E9" s="1193"/>
      <c r="F9" s="1030"/>
      <c r="G9" s="1028"/>
      <c r="H9" s="972"/>
      <c r="I9" s="973"/>
      <c r="J9" s="974"/>
      <c r="K9" s="975"/>
      <c r="L9" s="977"/>
      <c r="M9" s="1020"/>
      <c r="N9" s="1021"/>
      <c r="O9" s="1021"/>
      <c r="P9" s="977"/>
      <c r="Q9" s="734"/>
      <c r="R9" s="664"/>
      <c r="S9" s="664"/>
      <c r="T9" s="977"/>
      <c r="U9" s="664"/>
      <c r="V9" s="664"/>
      <c r="W9" s="664"/>
      <c r="X9" s="977"/>
      <c r="Y9" s="1020"/>
      <c r="Z9" s="1021"/>
      <c r="AA9" s="1021"/>
      <c r="AB9" s="1022"/>
      <c r="AC9" s="1020"/>
      <c r="AD9" s="1021"/>
      <c r="AE9" s="1021"/>
      <c r="AF9" s="977"/>
      <c r="AG9" s="734"/>
      <c r="AH9" s="664"/>
      <c r="AI9" s="664"/>
      <c r="AJ9" s="1022"/>
      <c r="AK9" s="1020"/>
      <c r="AL9" s="1021"/>
      <c r="AM9" s="1021"/>
      <c r="AN9" s="977"/>
      <c r="AO9" s="734"/>
      <c r="AP9" s="664"/>
      <c r="AQ9" s="664"/>
      <c r="AR9" s="1203"/>
      <c r="AS9" s="1020"/>
      <c r="AT9" s="1021"/>
      <c r="AU9" s="1021"/>
      <c r="AV9" s="977"/>
      <c r="AW9" s="734"/>
      <c r="AX9" s="664"/>
      <c r="AY9" s="664"/>
      <c r="AZ9" s="1022"/>
      <c r="BA9" s="1020"/>
      <c r="BB9" s="1021"/>
      <c r="BC9" s="1021"/>
      <c r="BD9" s="977"/>
      <c r="BE9" s="734"/>
      <c r="BF9" s="664"/>
      <c r="BG9" s="664"/>
    </row>
    <row r="10" spans="1:59" x14ac:dyDescent="0.3">
      <c r="A10" s="28"/>
      <c r="B10" s="1199"/>
      <c r="C10" s="1036"/>
      <c r="D10" s="1034"/>
      <c r="E10" s="1194"/>
      <c r="F10" s="160"/>
      <c r="G10" s="1028"/>
      <c r="H10" s="972"/>
      <c r="I10" s="973"/>
      <c r="J10" s="976"/>
      <c r="K10" s="975"/>
      <c r="L10" s="1023"/>
      <c r="M10" s="1020"/>
      <c r="N10" s="1020"/>
      <c r="O10" s="1021"/>
      <c r="P10" s="977"/>
      <c r="Q10" s="734"/>
      <c r="R10" s="734"/>
      <c r="S10" s="664"/>
      <c r="T10" s="977"/>
      <c r="U10" s="734"/>
      <c r="V10" s="734"/>
      <c r="W10" s="734"/>
      <c r="Y10" s="1021"/>
      <c r="Z10" s="1021"/>
      <c r="AA10" s="1021"/>
      <c r="AB10" s="1022"/>
      <c r="AC10" s="1021"/>
      <c r="AD10" s="1021"/>
      <c r="AE10" s="1021"/>
      <c r="AF10" s="977"/>
      <c r="AG10" s="664"/>
      <c r="AH10" s="664"/>
      <c r="AI10" s="664"/>
      <c r="AJ10" s="1022"/>
      <c r="AK10" s="1021"/>
      <c r="AL10" s="1021"/>
      <c r="AM10" s="1021"/>
      <c r="AN10" s="977"/>
      <c r="AO10" s="664"/>
      <c r="AP10" s="664"/>
      <c r="AQ10" s="664"/>
      <c r="AR10" s="1203"/>
      <c r="AS10" s="1021"/>
      <c r="AT10" s="1021"/>
      <c r="AU10" s="1021"/>
      <c r="AV10" s="977"/>
      <c r="AW10" s="664"/>
      <c r="AX10" s="664"/>
      <c r="AY10" s="664"/>
      <c r="AZ10" s="1022"/>
      <c r="BA10" s="1021"/>
      <c r="BB10" s="1021"/>
      <c r="BC10" s="1021"/>
      <c r="BD10" s="977"/>
      <c r="BE10" s="664"/>
      <c r="BF10" s="664"/>
      <c r="BG10" s="664"/>
    </row>
    <row r="11" spans="1:59" x14ac:dyDescent="0.3">
      <c r="A11" s="28"/>
      <c r="B11" s="1199"/>
      <c r="C11" s="1036"/>
      <c r="D11" s="1034"/>
      <c r="E11" s="1194"/>
      <c r="F11" s="160"/>
      <c r="G11" s="1028"/>
      <c r="H11" s="972"/>
      <c r="I11" s="973"/>
      <c r="J11" s="976"/>
      <c r="K11" s="975"/>
      <c r="L11" s="1023"/>
      <c r="M11" s="1020"/>
      <c r="N11" s="1020"/>
      <c r="O11" s="1021"/>
      <c r="P11" s="977"/>
      <c r="Q11" s="734"/>
      <c r="R11" s="734"/>
      <c r="S11" s="664"/>
      <c r="T11" s="977"/>
      <c r="U11" s="734"/>
      <c r="V11" s="734"/>
      <c r="W11" s="734"/>
      <c r="X11" s="977"/>
      <c r="Y11" s="1021"/>
      <c r="Z11" s="1021"/>
      <c r="AA11" s="1021"/>
      <c r="AB11" s="1022"/>
      <c r="AC11" s="1021"/>
      <c r="AD11" s="1021"/>
      <c r="AE11" s="1021"/>
      <c r="AF11" s="977"/>
      <c r="AG11" s="664"/>
      <c r="AH11" s="664"/>
      <c r="AI11" s="664"/>
      <c r="AJ11" s="1022"/>
      <c r="AK11" s="1021"/>
      <c r="AL11" s="1021"/>
      <c r="AM11" s="1021"/>
      <c r="AN11" s="977"/>
      <c r="AO11" s="664"/>
      <c r="AP11" s="664"/>
      <c r="AQ11" s="664"/>
      <c r="AR11" s="1203"/>
      <c r="AS11" s="1021"/>
      <c r="AT11" s="1021"/>
      <c r="AU11" s="1021"/>
      <c r="AV11" s="977"/>
      <c r="AW11" s="664"/>
      <c r="AX11" s="664"/>
      <c r="AY11" s="664"/>
      <c r="AZ11" s="1022"/>
      <c r="BA11" s="1021"/>
      <c r="BB11" s="1021"/>
      <c r="BC11" s="1021"/>
      <c r="BD11" s="977"/>
      <c r="BE11" s="664"/>
      <c r="BF11" s="664"/>
      <c r="BG11" s="664"/>
    </row>
    <row r="12" spans="1:59" x14ac:dyDescent="0.3">
      <c r="A12" s="28"/>
      <c r="B12" s="1199"/>
      <c r="C12" s="1036"/>
      <c r="D12" s="1034"/>
      <c r="E12" s="1194"/>
      <c r="F12" s="160"/>
      <c r="G12" s="1028"/>
      <c r="H12" s="972"/>
      <c r="I12" s="973"/>
      <c r="J12" s="976"/>
      <c r="K12" s="975"/>
      <c r="L12" s="1023"/>
      <c r="M12" s="1020"/>
      <c r="N12" s="1020"/>
      <c r="O12" s="1021"/>
      <c r="P12" s="977"/>
      <c r="Q12" s="734"/>
      <c r="R12" s="734"/>
      <c r="S12" s="664"/>
      <c r="T12" s="977"/>
      <c r="U12" s="734"/>
      <c r="V12" s="734"/>
      <c r="W12" s="734"/>
      <c r="X12" s="977"/>
      <c r="Y12" s="1021"/>
      <c r="Z12" s="1021"/>
      <c r="AA12" s="1021"/>
      <c r="AB12" s="1022"/>
      <c r="AC12" s="1021"/>
      <c r="AD12" s="1021"/>
      <c r="AE12" s="1021"/>
      <c r="AF12" s="977"/>
      <c r="AG12" s="664"/>
      <c r="AH12" s="664"/>
      <c r="AI12" s="664"/>
      <c r="AJ12" s="1022"/>
      <c r="AK12" s="1021"/>
      <c r="AL12" s="1021"/>
      <c r="AM12" s="1021"/>
      <c r="AN12" s="977"/>
      <c r="AO12" s="664"/>
      <c r="AP12" s="664"/>
      <c r="AQ12" s="664"/>
      <c r="AR12" s="1203"/>
      <c r="AS12" s="1021"/>
      <c r="AT12" s="1021"/>
      <c r="AU12" s="1021"/>
      <c r="AV12" s="977"/>
      <c r="AW12" s="664"/>
      <c r="AX12" s="664"/>
      <c r="AY12" s="664"/>
      <c r="AZ12" s="1022"/>
      <c r="BA12" s="1021"/>
      <c r="BB12" s="1021"/>
      <c r="BC12" s="1021"/>
      <c r="BD12" s="977"/>
      <c r="BE12" s="664"/>
      <c r="BF12" s="664"/>
      <c r="BG12" s="664"/>
    </row>
    <row r="13" spans="1:59" x14ac:dyDescent="0.3">
      <c r="A13" s="28"/>
      <c r="B13" s="1199"/>
      <c r="C13" s="1036"/>
      <c r="D13" s="1034"/>
      <c r="E13" s="1194"/>
      <c r="F13" s="160"/>
      <c r="G13" s="1028"/>
      <c r="H13" s="972"/>
      <c r="I13" s="973"/>
      <c r="J13" s="976"/>
      <c r="K13" s="975"/>
      <c r="L13" s="1023"/>
      <c r="M13" s="1020"/>
      <c r="N13" s="1020"/>
      <c r="O13" s="1021"/>
      <c r="P13" s="977"/>
      <c r="Q13" s="734"/>
      <c r="R13" s="734"/>
      <c r="S13" s="664"/>
      <c r="T13" s="977"/>
      <c r="U13" s="734"/>
      <c r="V13" s="734"/>
      <c r="W13" s="734"/>
      <c r="X13" s="1024"/>
      <c r="Y13" s="1021"/>
      <c r="Z13" s="1021"/>
      <c r="AA13" s="1021"/>
      <c r="AB13" s="1022"/>
      <c r="AC13" s="1021"/>
      <c r="AD13" s="1021"/>
      <c r="AE13" s="1021"/>
      <c r="AF13" s="977"/>
      <c r="AG13" s="664"/>
      <c r="AH13" s="664"/>
      <c r="AI13" s="664"/>
      <c r="AJ13" s="1022"/>
      <c r="AK13" s="1021"/>
      <c r="AL13" s="1021"/>
      <c r="AM13" s="1021"/>
      <c r="AN13" s="977"/>
      <c r="AO13" s="664"/>
      <c r="AP13" s="664"/>
      <c r="AQ13" s="664"/>
      <c r="AR13" s="1203"/>
      <c r="AS13" s="1021"/>
      <c r="AT13" s="1021"/>
      <c r="AU13" s="1021"/>
      <c r="AV13" s="977"/>
      <c r="AW13" s="664"/>
      <c r="AX13" s="664"/>
      <c r="AY13" s="664"/>
      <c r="AZ13" s="1022"/>
      <c r="BA13" s="1021"/>
      <c r="BB13" s="1021"/>
      <c r="BC13" s="1021"/>
      <c r="BD13" s="977"/>
      <c r="BE13" s="664"/>
      <c r="BF13" s="664"/>
      <c r="BG13" s="664"/>
    </row>
    <row r="14" spans="1:59" x14ac:dyDescent="0.3">
      <c r="A14" s="28"/>
      <c r="B14" s="1199"/>
      <c r="C14" s="1036"/>
      <c r="D14" s="1034"/>
      <c r="E14" s="1194"/>
      <c r="F14" s="160"/>
      <c r="G14" s="1028"/>
      <c r="H14" s="972"/>
      <c r="I14" s="973"/>
      <c r="J14" s="976"/>
      <c r="K14" s="975"/>
      <c r="L14" s="1023"/>
      <c r="M14" s="1020"/>
      <c r="N14" s="1020"/>
      <c r="O14" s="1021"/>
      <c r="P14" s="977"/>
      <c r="Q14" s="734"/>
      <c r="R14" s="734"/>
      <c r="S14" s="664"/>
      <c r="T14" s="977"/>
      <c r="U14" s="734"/>
      <c r="V14" s="734"/>
      <c r="W14" s="734"/>
      <c r="X14" s="1024"/>
      <c r="Y14" s="1021"/>
      <c r="Z14" s="1021"/>
      <c r="AA14" s="1021"/>
      <c r="AB14" s="1022"/>
      <c r="AC14" s="1021"/>
      <c r="AD14" s="1021"/>
      <c r="AE14" s="1021"/>
      <c r="AF14" s="977"/>
      <c r="AG14" s="664"/>
      <c r="AH14" s="664"/>
      <c r="AI14" s="664"/>
      <c r="AJ14" s="1022"/>
      <c r="AK14" s="1021"/>
      <c r="AL14" s="1021"/>
      <c r="AM14" s="1021"/>
      <c r="AN14" s="977"/>
      <c r="AO14" s="664"/>
      <c r="AP14" s="664"/>
      <c r="AQ14" s="664"/>
      <c r="AR14" s="1203"/>
      <c r="AS14" s="1021"/>
      <c r="AT14" s="1021"/>
      <c r="AU14" s="1021"/>
      <c r="AV14" s="977"/>
      <c r="AW14" s="664"/>
      <c r="AX14" s="664"/>
      <c r="AY14" s="664"/>
      <c r="AZ14" s="1022"/>
      <c r="BA14" s="1021"/>
      <c r="BB14" s="1021"/>
      <c r="BC14" s="1021"/>
      <c r="BD14" s="977"/>
      <c r="BE14" s="664"/>
      <c r="BF14" s="664"/>
      <c r="BG14" s="664"/>
    </row>
    <row r="15" spans="1:59" x14ac:dyDescent="0.3">
      <c r="A15" s="28"/>
      <c r="B15" s="1199"/>
      <c r="C15" s="1036"/>
      <c r="D15" s="1034"/>
      <c r="E15" s="1194"/>
      <c r="F15" s="160"/>
      <c r="G15" s="1028"/>
      <c r="H15" s="972"/>
      <c r="I15" s="973"/>
      <c r="J15" s="976"/>
      <c r="K15" s="975"/>
      <c r="L15" s="1023"/>
      <c r="M15" s="1020"/>
      <c r="N15" s="1020"/>
      <c r="O15" s="1021"/>
      <c r="P15" s="977"/>
      <c r="Q15" s="734"/>
      <c r="R15" s="734"/>
      <c r="S15" s="664"/>
      <c r="T15" s="977"/>
      <c r="U15" s="734"/>
      <c r="V15" s="734"/>
      <c r="W15" s="734"/>
      <c r="X15" s="1024"/>
      <c r="Y15" s="1021"/>
      <c r="Z15" s="1021"/>
      <c r="AA15" s="1021"/>
      <c r="AB15" s="1022"/>
      <c r="AC15" s="1021"/>
      <c r="AD15" s="1021"/>
      <c r="AE15" s="1021"/>
      <c r="AF15" s="977"/>
      <c r="AG15" s="664"/>
      <c r="AH15" s="664"/>
      <c r="AI15" s="664"/>
      <c r="AJ15" s="1022"/>
      <c r="AK15" s="1021"/>
      <c r="AL15" s="1021"/>
      <c r="AM15" s="1021"/>
      <c r="AN15" s="977"/>
      <c r="AO15" s="664"/>
      <c r="AP15" s="664"/>
      <c r="AQ15" s="664"/>
      <c r="AR15" s="1203"/>
      <c r="AS15" s="1021"/>
      <c r="AT15" s="1021"/>
      <c r="AU15" s="1021"/>
      <c r="AV15" s="977"/>
      <c r="AW15" s="664"/>
      <c r="AX15" s="664"/>
      <c r="AY15" s="664"/>
      <c r="AZ15" s="1022"/>
      <c r="BA15" s="1021"/>
      <c r="BB15" s="1021"/>
      <c r="BC15" s="1021"/>
      <c r="BD15" s="977"/>
      <c r="BE15" s="664"/>
      <c r="BF15" s="664"/>
      <c r="BG15" s="664"/>
    </row>
    <row r="16" spans="1:59" x14ac:dyDescent="0.3">
      <c r="A16" s="28"/>
      <c r="B16" s="1199"/>
      <c r="C16" s="1036"/>
      <c r="D16" s="1034"/>
      <c r="E16" s="1194"/>
      <c r="F16" s="160"/>
      <c r="G16" s="1028"/>
      <c r="H16" s="972"/>
      <c r="I16" s="973"/>
      <c r="J16" s="976"/>
      <c r="K16" s="975"/>
      <c r="L16" s="1023"/>
      <c r="M16" s="1020"/>
      <c r="N16" s="1020"/>
      <c r="O16" s="1021"/>
      <c r="P16" s="977"/>
      <c r="Q16" s="734"/>
      <c r="R16" s="734"/>
      <c r="S16" s="664"/>
      <c r="T16" s="977"/>
      <c r="U16" s="734"/>
      <c r="V16" s="734"/>
      <c r="W16" s="734"/>
      <c r="X16" s="1024"/>
      <c r="Y16" s="1021"/>
      <c r="Z16" s="1021"/>
      <c r="AA16" s="1021"/>
      <c r="AB16" s="1022"/>
      <c r="AC16" s="1021"/>
      <c r="AD16" s="1021"/>
      <c r="AE16" s="1021"/>
      <c r="AF16" s="977"/>
      <c r="AG16" s="664"/>
      <c r="AH16" s="664"/>
      <c r="AI16" s="664"/>
      <c r="AJ16" s="1022"/>
      <c r="AK16" s="1021"/>
      <c r="AL16" s="1021"/>
      <c r="AM16" s="1021"/>
      <c r="AN16" s="977"/>
      <c r="AO16" s="664"/>
      <c r="AP16" s="664"/>
      <c r="AQ16" s="664"/>
      <c r="AR16" s="1203"/>
      <c r="AS16" s="1021"/>
      <c r="AT16" s="1021"/>
      <c r="AU16" s="1021"/>
      <c r="AV16" s="977"/>
      <c r="AW16" s="664"/>
      <c r="AX16" s="664"/>
      <c r="AY16" s="664"/>
      <c r="AZ16" s="1022"/>
      <c r="BA16" s="1021"/>
      <c r="BB16" s="1021"/>
      <c r="BC16" s="1021"/>
      <c r="BD16" s="977"/>
      <c r="BE16" s="664"/>
      <c r="BF16" s="664"/>
      <c r="BG16" s="664"/>
    </row>
    <row r="17" spans="1:59" x14ac:dyDescent="0.3">
      <c r="A17" s="28"/>
      <c r="B17" s="1199"/>
      <c r="C17" s="1036"/>
      <c r="D17" s="1034"/>
      <c r="E17" s="1194"/>
      <c r="F17" s="160"/>
      <c r="G17" s="1028"/>
      <c r="H17" s="972"/>
      <c r="I17" s="973"/>
      <c r="J17" s="976"/>
      <c r="K17" s="975"/>
      <c r="L17" s="1023"/>
      <c r="M17" s="1020"/>
      <c r="N17" s="1020"/>
      <c r="O17" s="1021"/>
      <c r="P17" s="977"/>
      <c r="Q17" s="734"/>
      <c r="R17" s="734"/>
      <c r="S17" s="664"/>
      <c r="T17" s="977"/>
      <c r="U17" s="734"/>
      <c r="V17" s="734"/>
      <c r="W17" s="734"/>
      <c r="X17" s="1024"/>
      <c r="Y17" s="1021"/>
      <c r="Z17" s="1021"/>
      <c r="AA17" s="1021"/>
      <c r="AB17" s="1022"/>
      <c r="AC17" s="1021"/>
      <c r="AD17" s="1021"/>
      <c r="AE17" s="1021"/>
      <c r="AF17" s="977"/>
      <c r="AG17" s="664"/>
      <c r="AH17" s="664"/>
      <c r="AI17" s="664"/>
      <c r="AJ17" s="1022"/>
      <c r="AK17" s="1021"/>
      <c r="AL17" s="1021"/>
      <c r="AM17" s="1021"/>
      <c r="AN17" s="977"/>
      <c r="AO17" s="664"/>
      <c r="AP17" s="664"/>
      <c r="AQ17" s="664"/>
      <c r="AR17" s="1203"/>
      <c r="AS17" s="1021"/>
      <c r="AT17" s="1021"/>
      <c r="AU17" s="1021"/>
      <c r="AV17" s="977"/>
      <c r="AW17" s="664"/>
      <c r="AX17" s="664"/>
      <c r="AY17" s="664"/>
      <c r="AZ17" s="1022"/>
      <c r="BA17" s="1021"/>
      <c r="BB17" s="1021"/>
      <c r="BC17" s="1021"/>
      <c r="BD17" s="977"/>
      <c r="BE17" s="664"/>
      <c r="BF17" s="664"/>
      <c r="BG17" s="664"/>
    </row>
    <row r="18" spans="1:59" x14ac:dyDescent="0.3">
      <c r="A18" s="28"/>
      <c r="B18" s="1199"/>
      <c r="C18" s="1036"/>
      <c r="D18" s="1034"/>
      <c r="E18" s="1194"/>
      <c r="F18" s="160"/>
      <c r="G18" s="1028"/>
      <c r="H18" s="972"/>
      <c r="I18" s="973"/>
      <c r="J18" s="976"/>
      <c r="K18" s="975"/>
      <c r="L18" s="1023"/>
      <c r="M18" s="1020"/>
      <c r="N18" s="1020"/>
      <c r="O18" s="1021"/>
      <c r="P18" s="977"/>
      <c r="Q18" s="734"/>
      <c r="R18" s="734"/>
      <c r="S18" s="664"/>
      <c r="T18" s="977"/>
      <c r="U18" s="734"/>
      <c r="V18" s="734"/>
      <c r="W18" s="734"/>
      <c r="X18" s="1024"/>
      <c r="Y18" s="1021"/>
      <c r="Z18" s="1021"/>
      <c r="AA18" s="1021"/>
      <c r="AB18" s="1022"/>
      <c r="AC18" s="1021"/>
      <c r="AD18" s="1021"/>
      <c r="AE18" s="1021"/>
      <c r="AF18" s="977"/>
      <c r="AG18" s="664"/>
      <c r="AH18" s="664"/>
      <c r="AI18" s="664"/>
      <c r="AJ18" s="1022"/>
      <c r="AK18" s="1021"/>
      <c r="AL18" s="1021"/>
      <c r="AM18" s="1021"/>
      <c r="AN18" s="977"/>
      <c r="AO18" s="664"/>
      <c r="AP18" s="664"/>
      <c r="AQ18" s="664"/>
      <c r="AR18" s="1203"/>
      <c r="AS18" s="1021"/>
      <c r="AT18" s="1021"/>
      <c r="AU18" s="1021"/>
      <c r="AV18" s="977"/>
      <c r="AW18" s="664"/>
      <c r="AX18" s="664"/>
      <c r="AY18" s="664"/>
      <c r="AZ18" s="1022"/>
      <c r="BA18" s="1021"/>
      <c r="BB18" s="1021"/>
      <c r="BC18" s="1021"/>
      <c r="BD18" s="977"/>
      <c r="BE18" s="664"/>
      <c r="BF18" s="664"/>
      <c r="BG18" s="664"/>
    </row>
    <row r="19" spans="1:59" x14ac:dyDescent="0.3">
      <c r="A19" s="28"/>
      <c r="B19" s="1199"/>
      <c r="C19" s="1036"/>
      <c r="D19" s="1034"/>
      <c r="E19" s="1194"/>
      <c r="F19" s="160"/>
      <c r="G19" s="1028"/>
      <c r="H19" s="972"/>
      <c r="I19" s="973"/>
      <c r="J19" s="976"/>
      <c r="K19" s="975"/>
      <c r="L19" s="1023"/>
      <c r="M19" s="1020"/>
      <c r="N19" s="1020"/>
      <c r="O19" s="1021"/>
      <c r="P19" s="977"/>
      <c r="Q19" s="734"/>
      <c r="R19" s="734"/>
      <c r="S19" s="664"/>
      <c r="T19" s="977"/>
      <c r="U19" s="734"/>
      <c r="V19" s="734"/>
      <c r="W19" s="734"/>
      <c r="X19" s="1024"/>
      <c r="Y19" s="1021"/>
      <c r="Z19" s="1021"/>
      <c r="AA19" s="1021"/>
      <c r="AB19" s="1022"/>
      <c r="AC19" s="1021"/>
      <c r="AD19" s="1021"/>
      <c r="AE19" s="1021"/>
      <c r="AF19" s="977"/>
      <c r="AG19" s="664"/>
      <c r="AH19" s="664"/>
      <c r="AI19" s="664"/>
      <c r="AJ19" s="1022"/>
      <c r="AK19" s="1021"/>
      <c r="AL19" s="1021"/>
      <c r="AM19" s="1021"/>
      <c r="AN19" s="977"/>
      <c r="AO19" s="664"/>
      <c r="AP19" s="664"/>
      <c r="AQ19" s="664"/>
      <c r="AR19" s="1203"/>
      <c r="AS19" s="1021"/>
      <c r="AT19" s="1021"/>
      <c r="AU19" s="1021"/>
      <c r="AV19" s="977"/>
      <c r="AW19" s="664"/>
      <c r="AX19" s="664"/>
      <c r="AY19" s="664"/>
      <c r="AZ19" s="1022"/>
      <c r="BA19" s="1021"/>
      <c r="BB19" s="1021"/>
      <c r="BC19" s="1021"/>
      <c r="BD19" s="977"/>
      <c r="BE19" s="664"/>
      <c r="BF19" s="664"/>
      <c r="BG19" s="664"/>
    </row>
    <row r="20" spans="1:59" x14ac:dyDescent="0.3">
      <c r="A20" s="28"/>
      <c r="B20" s="1199"/>
      <c r="C20" s="1036"/>
      <c r="D20" s="1034"/>
      <c r="E20" s="1194"/>
      <c r="F20" s="160"/>
      <c r="G20" s="1028"/>
      <c r="H20" s="972"/>
      <c r="I20" s="973"/>
      <c r="J20" s="976"/>
      <c r="K20" s="975"/>
      <c r="L20" s="1023"/>
      <c r="M20" s="1020"/>
      <c r="N20" s="1020"/>
      <c r="O20" s="1021"/>
      <c r="P20" s="977"/>
      <c r="Q20" s="734"/>
      <c r="R20" s="734"/>
      <c r="S20" s="664"/>
      <c r="T20" s="977"/>
      <c r="U20" s="734"/>
      <c r="V20" s="734"/>
      <c r="W20" s="734"/>
      <c r="X20" s="1024"/>
      <c r="Y20" s="1021"/>
      <c r="Z20" s="1021"/>
      <c r="AA20" s="1021"/>
      <c r="AB20" s="1022"/>
      <c r="AC20" s="1021"/>
      <c r="AD20" s="1021"/>
      <c r="AE20" s="1021"/>
      <c r="AF20" s="977"/>
      <c r="AG20" s="664"/>
      <c r="AH20" s="664"/>
      <c r="AI20" s="664"/>
      <c r="AJ20" s="1022"/>
      <c r="AK20" s="1021"/>
      <c r="AL20" s="1021"/>
      <c r="AM20" s="1021"/>
      <c r="AN20" s="977"/>
      <c r="AO20" s="664"/>
      <c r="AP20" s="664"/>
      <c r="AQ20" s="664"/>
      <c r="AR20" s="1203"/>
      <c r="AS20" s="1021"/>
      <c r="AT20" s="1021"/>
      <c r="AU20" s="1021"/>
      <c r="AV20" s="977"/>
      <c r="AW20" s="664"/>
      <c r="AX20" s="664"/>
      <c r="AY20" s="664"/>
      <c r="AZ20" s="1022"/>
      <c r="BA20" s="1021"/>
      <c r="BB20" s="1021"/>
      <c r="BC20" s="1021"/>
      <c r="BD20" s="977"/>
      <c r="BE20" s="664"/>
      <c r="BF20" s="664"/>
      <c r="BG20" s="664"/>
    </row>
    <row r="21" spans="1:59" x14ac:dyDescent="0.3">
      <c r="A21" s="28"/>
      <c r="B21" s="1199"/>
      <c r="C21" s="1036"/>
      <c r="D21" s="1034"/>
      <c r="E21" s="1194"/>
      <c r="F21" s="160"/>
      <c r="G21" s="1028"/>
      <c r="H21" s="972"/>
      <c r="I21" s="973"/>
      <c r="J21" s="976"/>
      <c r="K21" s="975"/>
      <c r="L21" s="1023"/>
      <c r="M21" s="1020"/>
      <c r="N21" s="1020"/>
      <c r="O21" s="1021"/>
      <c r="P21" s="977"/>
      <c r="Q21" s="734"/>
      <c r="R21" s="734"/>
      <c r="S21" s="664"/>
      <c r="T21" s="977"/>
      <c r="U21" s="734"/>
      <c r="V21" s="734"/>
      <c r="W21" s="734"/>
      <c r="X21" s="977"/>
      <c r="Y21" s="1021"/>
      <c r="Z21" s="1021"/>
      <c r="AA21" s="1021"/>
      <c r="AB21" s="1022"/>
      <c r="AC21" s="1021"/>
      <c r="AD21" s="1021"/>
      <c r="AE21" s="1021"/>
      <c r="AF21" s="977"/>
      <c r="AG21" s="664"/>
      <c r="AH21" s="664"/>
      <c r="AI21" s="664"/>
      <c r="AJ21" s="1022"/>
      <c r="AK21" s="1021"/>
      <c r="AL21" s="1021"/>
      <c r="AM21" s="1021"/>
      <c r="AN21" s="977"/>
      <c r="AO21" s="664"/>
      <c r="AP21" s="664"/>
      <c r="AQ21" s="664"/>
      <c r="AR21" s="1203"/>
      <c r="AS21" s="1021"/>
      <c r="AT21" s="1021"/>
      <c r="AU21" s="1021"/>
      <c r="AV21" s="977"/>
      <c r="AW21" s="664"/>
      <c r="AX21" s="664"/>
      <c r="AY21" s="664"/>
      <c r="AZ21" s="1022"/>
      <c r="BA21" s="1021"/>
      <c r="BB21" s="1021"/>
      <c r="BC21" s="1021"/>
      <c r="BD21" s="977"/>
      <c r="BE21" s="664"/>
      <c r="BF21" s="664"/>
      <c r="BG21" s="664"/>
    </row>
    <row r="22" spans="1:59" x14ac:dyDescent="0.3">
      <c r="A22" s="28"/>
      <c r="B22" s="1200"/>
      <c r="C22" s="1036"/>
      <c r="D22" s="1034"/>
      <c r="E22" s="1195"/>
      <c r="F22" s="160"/>
      <c r="G22" s="1028"/>
      <c r="H22" s="972"/>
      <c r="I22" s="973"/>
      <c r="J22" s="976"/>
      <c r="K22" s="975"/>
      <c r="L22" s="1023"/>
      <c r="M22" s="1020"/>
      <c r="N22" s="1020"/>
      <c r="O22" s="1021"/>
      <c r="P22" s="977"/>
      <c r="Q22" s="734"/>
      <c r="R22" s="734"/>
      <c r="S22" s="664"/>
      <c r="T22" s="977"/>
      <c r="U22" s="734"/>
      <c r="V22" s="734"/>
      <c r="W22" s="734"/>
      <c r="X22" s="977"/>
      <c r="Y22" s="1021"/>
      <c r="Z22" s="1021"/>
      <c r="AA22" s="1021"/>
      <c r="AB22" s="1022"/>
      <c r="AC22" s="1021"/>
      <c r="AD22" s="1021"/>
      <c r="AE22" s="1021"/>
      <c r="AF22" s="977"/>
      <c r="AG22" s="664"/>
      <c r="AH22" s="664"/>
      <c r="AI22" s="664"/>
      <c r="AJ22" s="1022"/>
      <c r="AK22" s="1021"/>
      <c r="AL22" s="1021"/>
      <c r="AM22" s="1021"/>
      <c r="AN22" s="977"/>
      <c r="AO22" s="664"/>
      <c r="AP22" s="664"/>
      <c r="AQ22" s="664"/>
      <c r="AR22" s="1204"/>
      <c r="AS22" s="1021"/>
      <c r="AT22" s="1021"/>
      <c r="AU22" s="1021"/>
      <c r="AV22" s="977"/>
      <c r="AW22" s="664"/>
      <c r="AX22" s="664"/>
      <c r="AY22" s="664"/>
      <c r="AZ22" s="1022"/>
      <c r="BA22" s="1021"/>
      <c r="BB22" s="1021"/>
      <c r="BC22" s="1021"/>
      <c r="BD22" s="977"/>
      <c r="BE22" s="664"/>
      <c r="BF22" s="664"/>
      <c r="BG22" s="664"/>
    </row>
    <row r="23" spans="1:59" x14ac:dyDescent="0.3">
      <c r="A23" s="28"/>
      <c r="B23" s="1200"/>
      <c r="C23" s="1036"/>
      <c r="D23" s="1034"/>
      <c r="E23" s="1194"/>
      <c r="F23" s="160"/>
      <c r="G23" s="1028"/>
      <c r="H23" s="972"/>
      <c r="I23" s="973"/>
      <c r="J23" s="976"/>
      <c r="K23" s="975"/>
      <c r="L23" s="1023"/>
      <c r="M23" s="1020"/>
      <c r="N23" s="1020"/>
      <c r="O23" s="1021"/>
      <c r="P23" s="977"/>
      <c r="Q23" s="734"/>
      <c r="R23" s="734"/>
      <c r="S23" s="664"/>
      <c r="T23" s="977"/>
      <c r="U23" s="734"/>
      <c r="V23" s="734"/>
      <c r="W23" s="734"/>
      <c r="X23" s="977"/>
      <c r="Y23" s="1021"/>
      <c r="Z23" s="1021"/>
      <c r="AA23" s="1021"/>
      <c r="AB23" s="1022"/>
      <c r="AC23" s="1021"/>
      <c r="AD23" s="1021"/>
      <c r="AE23" s="1021"/>
      <c r="AF23" s="977"/>
      <c r="AG23" s="664"/>
      <c r="AH23" s="664"/>
      <c r="AI23" s="664"/>
      <c r="AJ23" s="1022"/>
      <c r="AK23" s="1021"/>
      <c r="AL23" s="1021"/>
      <c r="AM23" s="1021"/>
      <c r="AN23" s="977"/>
      <c r="AO23" s="664"/>
      <c r="AP23" s="664"/>
      <c r="AQ23" s="664"/>
      <c r="AR23" s="1203"/>
      <c r="AS23" s="1021"/>
      <c r="AT23" s="1021"/>
      <c r="AU23" s="1021"/>
      <c r="AV23" s="977"/>
      <c r="AW23" s="664"/>
      <c r="AX23" s="664"/>
      <c r="AY23" s="664"/>
      <c r="AZ23" s="1022"/>
      <c r="BA23" s="1021"/>
      <c r="BB23" s="1021"/>
      <c r="BC23" s="1021"/>
      <c r="BD23" s="977"/>
      <c r="BE23" s="664"/>
      <c r="BF23" s="664"/>
      <c r="BG23" s="664"/>
    </row>
    <row r="24" spans="1:59" x14ac:dyDescent="0.3">
      <c r="A24" s="28"/>
      <c r="B24" s="1200"/>
      <c r="C24" s="1036"/>
      <c r="D24" s="1034"/>
      <c r="E24" s="1194"/>
      <c r="F24" s="160"/>
      <c r="G24" s="1028"/>
      <c r="H24" s="972"/>
      <c r="I24" s="973"/>
      <c r="J24" s="976"/>
      <c r="K24" s="975"/>
      <c r="L24" s="1023"/>
      <c r="M24" s="1020"/>
      <c r="N24" s="1020"/>
      <c r="O24" s="1021"/>
      <c r="P24" s="977"/>
      <c r="Q24" s="734"/>
      <c r="R24" s="734"/>
      <c r="S24" s="664"/>
      <c r="T24" s="977"/>
      <c r="U24" s="734"/>
      <c r="V24" s="734"/>
      <c r="W24" s="734"/>
      <c r="X24" s="977"/>
      <c r="Y24" s="1021"/>
      <c r="Z24" s="1021"/>
      <c r="AA24" s="1021"/>
      <c r="AB24" s="1022"/>
      <c r="AC24" s="1021"/>
      <c r="AD24" s="1021"/>
      <c r="AE24" s="1021"/>
      <c r="AF24" s="977"/>
      <c r="AG24" s="664"/>
      <c r="AH24" s="664"/>
      <c r="AI24" s="664"/>
      <c r="AJ24" s="1022"/>
      <c r="AK24" s="1021"/>
      <c r="AL24" s="1021"/>
      <c r="AM24" s="1021"/>
      <c r="AN24" s="977"/>
      <c r="AO24" s="664"/>
      <c r="AP24" s="664"/>
      <c r="AQ24" s="664"/>
      <c r="AR24" s="1203"/>
      <c r="AS24" s="1021"/>
      <c r="AT24" s="1021"/>
      <c r="AU24" s="1021"/>
      <c r="AV24" s="977"/>
      <c r="AW24" s="664"/>
      <c r="AX24" s="664"/>
      <c r="AY24" s="664"/>
      <c r="AZ24" s="1022"/>
      <c r="BA24" s="1021"/>
      <c r="BB24" s="1021"/>
      <c r="BC24" s="1021"/>
      <c r="BD24" s="977"/>
      <c r="BE24" s="664"/>
      <c r="BF24" s="664"/>
      <c r="BG24" s="664"/>
    </row>
    <row r="25" spans="1:59" x14ac:dyDescent="0.3">
      <c r="A25" s="28"/>
      <c r="B25" s="1200"/>
      <c r="C25" s="1036"/>
      <c r="D25" s="1034"/>
      <c r="E25" s="1194"/>
      <c r="F25" s="160"/>
      <c r="G25" s="1028"/>
      <c r="H25" s="972"/>
      <c r="I25" s="973"/>
      <c r="J25" s="976"/>
      <c r="K25" s="975"/>
      <c r="L25" s="1023"/>
      <c r="M25" s="1020"/>
      <c r="N25" s="1020"/>
      <c r="O25" s="1021"/>
      <c r="P25" s="977"/>
      <c r="Q25" s="734"/>
      <c r="R25" s="734"/>
      <c r="S25" s="664"/>
      <c r="T25" s="977"/>
      <c r="U25" s="734"/>
      <c r="V25" s="734"/>
      <c r="W25" s="734"/>
      <c r="X25" s="977"/>
      <c r="Y25" s="1021"/>
      <c r="Z25" s="1021"/>
      <c r="AA25" s="1021"/>
      <c r="AB25" s="1022"/>
      <c r="AC25" s="1021"/>
      <c r="AD25" s="1021"/>
      <c r="AE25" s="1021"/>
      <c r="AF25" s="977"/>
      <c r="AG25" s="664"/>
      <c r="AH25" s="664"/>
      <c r="AI25" s="664"/>
      <c r="AJ25" s="1022"/>
      <c r="AK25" s="1021"/>
      <c r="AL25" s="1021"/>
      <c r="AM25" s="1021"/>
      <c r="AN25" s="977"/>
      <c r="AO25" s="664"/>
      <c r="AP25" s="664"/>
      <c r="AQ25" s="664"/>
      <c r="AR25" s="1203"/>
      <c r="AS25" s="1021"/>
      <c r="AT25" s="1021"/>
      <c r="AU25" s="1021"/>
      <c r="AV25" s="977"/>
      <c r="AW25" s="664"/>
      <c r="AX25" s="664"/>
      <c r="AY25" s="664"/>
      <c r="AZ25" s="1022"/>
      <c r="BA25" s="1021"/>
      <c r="BB25" s="1021"/>
      <c r="BC25" s="1021"/>
      <c r="BD25" s="977"/>
      <c r="BE25" s="664"/>
      <c r="BF25" s="664"/>
      <c r="BG25" s="664"/>
    </row>
    <row r="26" spans="1:59" ht="15" thickBot="1" x14ac:dyDescent="0.35">
      <c r="A26" s="28"/>
      <c r="B26" s="1201"/>
      <c r="C26" s="1036"/>
      <c r="D26" s="1035"/>
      <c r="E26" s="1196"/>
      <c r="F26" s="1031"/>
      <c r="G26" s="1029"/>
      <c r="H26" s="1005"/>
      <c r="I26" s="1006"/>
      <c r="J26" s="1007"/>
      <c r="K26" s="1008"/>
      <c r="L26" s="860"/>
      <c r="M26" s="1025"/>
      <c r="N26" s="1025"/>
      <c r="O26" s="1026"/>
      <c r="P26" s="1009"/>
      <c r="Q26" s="1004"/>
      <c r="R26" s="1004"/>
      <c r="S26" s="630"/>
      <c r="T26" s="1009"/>
      <c r="U26" s="1004"/>
      <c r="V26" s="1004"/>
      <c r="W26" s="1004"/>
      <c r="X26" s="1009"/>
      <c r="Y26" s="1026"/>
      <c r="Z26" s="1026"/>
      <c r="AA26" s="1026"/>
      <c r="AB26" s="1027"/>
      <c r="AC26" s="1026"/>
      <c r="AD26" s="1026"/>
      <c r="AE26" s="1026"/>
      <c r="AF26" s="1009"/>
      <c r="AG26" s="630"/>
      <c r="AH26" s="630"/>
      <c r="AI26" s="630"/>
      <c r="AJ26" s="1027"/>
      <c r="AK26" s="1026"/>
      <c r="AL26" s="1026"/>
      <c r="AM26" s="1026"/>
      <c r="AN26" s="1009"/>
      <c r="AO26" s="630"/>
      <c r="AP26" s="630"/>
      <c r="AQ26" s="630"/>
      <c r="AR26" s="1205"/>
      <c r="AS26" s="1026"/>
      <c r="AT26" s="1026"/>
      <c r="AU26" s="1026"/>
      <c r="AV26" s="1009"/>
      <c r="AW26" s="630"/>
      <c r="AX26" s="630"/>
      <c r="AY26" s="630"/>
      <c r="AZ26" s="1027"/>
      <c r="BA26" s="1026"/>
      <c r="BB26" s="1026"/>
      <c r="BC26" s="1026"/>
      <c r="BD26" s="1009"/>
      <c r="BE26" s="630"/>
      <c r="BF26" s="630"/>
      <c r="BG26" s="630"/>
    </row>
    <row r="27" spans="1:59" s="3" customFormat="1" ht="15" thickBot="1" x14ac:dyDescent="0.35">
      <c r="B27" s="1228" t="s">
        <v>83</v>
      </c>
      <c r="C27" s="1229"/>
      <c r="D27" s="1229"/>
      <c r="E27" s="1229"/>
      <c r="F27" s="1230"/>
      <c r="G27" s="321">
        <f>SUM(G7:G26)</f>
        <v>0</v>
      </c>
      <c r="H27" s="1010"/>
      <c r="I27" s="733">
        <f>SUM(I7:I10)</f>
        <v>0</v>
      </c>
      <c r="J27" s="1011">
        <f>SUM(J7:J26)</f>
        <v>0</v>
      </c>
      <c r="K27" s="1012">
        <f t="shared" ref="K27" si="0">I27-J27</f>
        <v>0</v>
      </c>
      <c r="L27" s="1013">
        <f>SUM(L7:L26)</f>
        <v>0</v>
      </c>
      <c r="M27" s="1014"/>
      <c r="N27" s="277"/>
      <c r="O27" s="139"/>
      <c r="P27" s="277">
        <f>SUM(P7:P26)</f>
        <v>0</v>
      </c>
      <c r="Q27" s="1015"/>
      <c r="R27" s="277"/>
      <c r="S27" s="1015"/>
      <c r="T27" s="277">
        <f>SUM(T7:T26)</f>
        <v>0</v>
      </c>
      <c r="U27" s="277"/>
      <c r="V27" s="277"/>
      <c r="W27" s="139"/>
      <c r="X27" s="1016">
        <f>SUM(X7:X26)</f>
        <v>0</v>
      </c>
      <c r="Y27" s="1017"/>
      <c r="Z27" s="1017"/>
      <c r="AA27" s="1018"/>
      <c r="AB27" s="1013">
        <f>SUM(AB7:AB26)</f>
        <v>0</v>
      </c>
      <c r="AC27" s="277"/>
      <c r="AD27" s="277"/>
      <c r="AE27" s="139"/>
      <c r="AF27" s="277">
        <f>SUM(AF7:AF26)</f>
        <v>0</v>
      </c>
      <c r="AG27" s="277"/>
      <c r="AH27" s="277"/>
      <c r="AI27" s="139"/>
      <c r="AJ27" s="277">
        <f>SUM(AJ7:AJ26)</f>
        <v>0</v>
      </c>
      <c r="AK27" s="1015"/>
      <c r="AL27" s="277"/>
      <c r="AM27" s="1015"/>
      <c r="AN27" s="277">
        <f>SUM(AN7:AN26)</f>
        <v>0</v>
      </c>
      <c r="AO27" s="1015"/>
      <c r="AP27" s="277"/>
      <c r="AQ27" s="277"/>
      <c r="AR27" s="1206">
        <f>SUM(AR7:AR10)</f>
        <v>0</v>
      </c>
      <c r="AS27" s="1015"/>
      <c r="AT27" s="277"/>
      <c r="AU27" s="139"/>
      <c r="AV27" s="277">
        <f>SUM(AV7:AV10)</f>
        <v>0</v>
      </c>
      <c r="AW27" s="277"/>
      <c r="AX27" s="1015"/>
      <c r="AY27" s="139"/>
      <c r="AZ27" s="277">
        <f>SUM(AZ7:AZ10)</f>
        <v>0</v>
      </c>
      <c r="BA27" s="1015"/>
      <c r="BB27" s="277"/>
      <c r="BC27" s="1015"/>
      <c r="BD27" s="139">
        <f>SUM(BD7:BD10)</f>
        <v>0</v>
      </c>
      <c r="BE27" s="277"/>
      <c r="BF27" s="1015"/>
      <c r="BG27" s="277"/>
    </row>
    <row r="28" spans="1:59" x14ac:dyDescent="0.3">
      <c r="I28"/>
    </row>
    <row r="29" spans="1:59" x14ac:dyDescent="0.3">
      <c r="B29" s="718"/>
      <c r="G29" s="719"/>
    </row>
    <row r="30" spans="1:59" x14ac:dyDescent="0.3">
      <c r="B30" s="718"/>
    </row>
    <row r="31" spans="1:59" x14ac:dyDescent="0.3">
      <c r="B31" s="718"/>
      <c r="G31" s="719"/>
    </row>
    <row r="32" spans="1:59" x14ac:dyDescent="0.3">
      <c r="B32" s="718"/>
    </row>
    <row r="33" spans="2:2" x14ac:dyDescent="0.3">
      <c r="B33" s="718"/>
    </row>
    <row r="34" spans="2:2" x14ac:dyDescent="0.3">
      <c r="B34" s="718"/>
    </row>
  </sheetData>
  <mergeCells count="14">
    <mergeCell ref="BC5:BE5"/>
    <mergeCell ref="AE5:AG5"/>
    <mergeCell ref="AI5:AK5"/>
    <mergeCell ref="AM5:AO5"/>
    <mergeCell ref="AQ5:AS5"/>
    <mergeCell ref="AU5:AW5"/>
    <mergeCell ref="AY5:BA5"/>
    <mergeCell ref="B27:F27"/>
    <mergeCell ref="AA5:AC5"/>
    <mergeCell ref="H5:J5"/>
    <mergeCell ref="K5:M5"/>
    <mergeCell ref="O5:Q5"/>
    <mergeCell ref="S5:U5"/>
    <mergeCell ref="W5:Y5"/>
  </mergeCells>
  <conditionalFormatting sqref="K7:K26">
    <cfRule type="colorScale" priority="1">
      <colorScale>
        <cfvo type="num" val="0"/>
        <cfvo type="num" val="0"/>
        <color rgb="FFFF0000"/>
        <color rgb="FF00B050"/>
      </colorScale>
    </cfRule>
  </conditionalFormatting>
  <hyperlinks>
    <hyperlink ref="A1" location="'Budget Total 2024'!A1" display="Totals" xr:uid="{4D8BB756-A96A-4E3A-B5DA-AFF5066DAD15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D174-CED9-47EA-86C7-F9D532B1BC62}">
  <dimension ref="A1:BG13"/>
  <sheetViews>
    <sheetView workbookViewId="0">
      <selection activeCell="AW7" sqref="AW7"/>
    </sheetView>
  </sheetViews>
  <sheetFormatPr defaultColWidth="8.88671875" defaultRowHeight="14.4" x14ac:dyDescent="0.3"/>
  <cols>
    <col min="1" max="1" width="6.33203125" bestFit="1" customWidth="1"/>
    <col min="2" max="2" width="11.6640625" customWidth="1"/>
    <col min="3" max="3" width="14.6640625" customWidth="1"/>
    <col min="4" max="4" width="4.6640625" bestFit="1" customWidth="1"/>
    <col min="5" max="5" width="44.88671875" bestFit="1" customWidth="1"/>
    <col min="6" max="6" width="10.109375" bestFit="1" customWidth="1"/>
    <col min="7" max="7" width="14.6640625" bestFit="1" customWidth="1"/>
    <col min="8" max="8" width="14.6640625" style="35" bestFit="1" customWidth="1"/>
    <col min="9" max="9" width="14.33203125" bestFit="1" customWidth="1"/>
    <col min="10" max="10" width="14.6640625" bestFit="1" customWidth="1"/>
    <col min="11" max="11" width="14.6640625" customWidth="1"/>
    <col min="12" max="12" width="13.109375" bestFit="1" customWidth="1"/>
    <col min="13" max="13" width="10.44140625" bestFit="1" customWidth="1"/>
    <col min="14" max="14" width="10.6640625" bestFit="1" customWidth="1"/>
    <col min="15" max="15" width="20.109375" customWidth="1"/>
    <col min="16" max="16" width="12.44140625" bestFit="1" customWidth="1"/>
    <col min="17" max="17" width="12.44140625" customWidth="1"/>
    <col min="18" max="18" width="11" bestFit="1" customWidth="1"/>
    <col min="19" max="19" width="17.88671875" customWidth="1"/>
    <col min="20" max="20" width="14.33203125" bestFit="1" customWidth="1"/>
    <col min="21" max="21" width="11.33203125" bestFit="1" customWidth="1"/>
    <col min="22" max="22" width="11" bestFit="1" customWidth="1"/>
    <col min="23" max="23" width="24.88671875" bestFit="1" customWidth="1"/>
    <col min="24" max="24" width="13.109375" bestFit="1" customWidth="1"/>
    <col min="25" max="25" width="11.6640625" customWidth="1"/>
    <col min="26" max="26" width="11" bestFit="1" customWidth="1"/>
    <col min="28" max="28" width="12.44140625" bestFit="1" customWidth="1"/>
    <col min="30" max="30" width="11" bestFit="1" customWidth="1"/>
    <col min="32" max="32" width="14.6640625" customWidth="1"/>
    <col min="34" max="34" width="11" bestFit="1" customWidth="1"/>
    <col min="36" max="36" width="13.109375" bestFit="1" customWidth="1"/>
    <col min="38" max="38" width="11" bestFit="1" customWidth="1"/>
    <col min="40" max="40" width="12.44140625" bestFit="1" customWidth="1"/>
    <col min="44" max="44" width="12.44140625" bestFit="1" customWidth="1"/>
    <col min="46" max="46" width="12" bestFit="1" customWidth="1"/>
    <col min="48" max="48" width="12.44140625" bestFit="1" customWidth="1"/>
    <col min="49" max="50" width="11" bestFit="1" customWidth="1"/>
    <col min="52" max="52" width="13.109375" bestFit="1" customWidth="1"/>
    <col min="56" max="56" width="12.44140625" bestFit="1" customWidth="1"/>
    <col min="58" max="58" width="11" bestFit="1" customWidth="1"/>
  </cols>
  <sheetData>
    <row r="1" spans="1:59" x14ac:dyDescent="0.3">
      <c r="A1" s="27" t="s">
        <v>43</v>
      </c>
      <c r="B1" s="28"/>
      <c r="C1" s="28"/>
      <c r="D1" s="28"/>
      <c r="E1" s="28"/>
      <c r="F1" s="28"/>
      <c r="G1" s="28"/>
      <c r="H1" s="29"/>
      <c r="I1" s="28"/>
      <c r="J1" s="28"/>
      <c r="K1" s="28"/>
      <c r="L1" s="28"/>
      <c r="M1" s="28"/>
      <c r="N1" s="30"/>
      <c r="O1" s="30"/>
      <c r="P1" s="28"/>
      <c r="Q1" s="28"/>
      <c r="R1" s="28"/>
      <c r="S1" s="28"/>
      <c r="T1" s="28"/>
      <c r="U1" s="28"/>
      <c r="V1" s="30"/>
      <c r="W1" s="30"/>
    </row>
    <row r="2" spans="1:59" ht="15" thickBot="1" x14ac:dyDescent="0.35">
      <c r="A2" s="28"/>
      <c r="B2" s="28"/>
      <c r="C2" s="28"/>
      <c r="D2" s="28"/>
      <c r="E2" s="28"/>
      <c r="F2" s="28"/>
      <c r="G2" s="28"/>
      <c r="H2" s="29"/>
      <c r="I2" s="28"/>
      <c r="J2" s="28"/>
      <c r="K2" s="28"/>
      <c r="L2" s="28"/>
      <c r="M2" s="28"/>
      <c r="N2" s="30"/>
      <c r="O2" s="30"/>
      <c r="P2" s="28"/>
      <c r="Q2" s="28"/>
      <c r="R2" s="28"/>
      <c r="S2" s="28"/>
      <c r="T2" s="28"/>
      <c r="U2" s="28"/>
      <c r="V2" s="30"/>
      <c r="W2" s="30"/>
    </row>
    <row r="3" spans="1:59" ht="15" thickBot="1" x14ac:dyDescent="0.35">
      <c r="A3" s="28"/>
      <c r="B3" s="31" t="s">
        <v>23</v>
      </c>
      <c r="C3" s="31" t="s">
        <v>84</v>
      </c>
      <c r="D3" s="329">
        <f>'Budget Total 2024'!H2</f>
        <v>12</v>
      </c>
      <c r="E3" s="33"/>
      <c r="F3" s="33"/>
      <c r="G3" s="33"/>
      <c r="H3" s="34"/>
      <c r="I3" s="28"/>
      <c r="J3" s="28"/>
      <c r="K3" s="28"/>
      <c r="L3" s="28"/>
      <c r="M3" s="28"/>
      <c r="N3" s="30"/>
      <c r="O3" s="30"/>
      <c r="P3" s="28"/>
      <c r="Q3" s="28"/>
      <c r="R3" s="28"/>
      <c r="S3" s="28"/>
      <c r="T3" s="28"/>
      <c r="U3" s="28"/>
      <c r="V3" s="30"/>
      <c r="W3" s="30"/>
    </row>
    <row r="4" spans="1:59" ht="15" thickBot="1" x14ac:dyDescent="0.35"/>
    <row r="5" spans="1:59" x14ac:dyDescent="0.3">
      <c r="A5" s="28"/>
      <c r="B5" s="153"/>
      <c r="C5" s="37"/>
      <c r="D5" s="38"/>
      <c r="E5" s="469"/>
      <c r="F5" s="586"/>
      <c r="G5" s="1231" t="s">
        <v>73</v>
      </c>
      <c r="H5" s="1231"/>
      <c r="I5" s="1231"/>
      <c r="J5" s="584"/>
      <c r="K5" s="1237" t="s">
        <v>31</v>
      </c>
      <c r="L5" s="1234"/>
      <c r="M5" s="1234"/>
      <c r="N5" s="589"/>
      <c r="O5" s="1231" t="s">
        <v>32</v>
      </c>
      <c r="P5" s="1231"/>
      <c r="Q5" s="1231"/>
      <c r="R5" s="584"/>
      <c r="S5" s="1235" t="s">
        <v>33</v>
      </c>
      <c r="T5" s="1236"/>
      <c r="U5" s="1236"/>
      <c r="V5" s="587"/>
      <c r="W5" s="1237" t="s">
        <v>34</v>
      </c>
      <c r="X5" s="1234"/>
      <c r="Y5" s="1234"/>
      <c r="Z5" s="589"/>
      <c r="AA5" s="1231" t="s">
        <v>35</v>
      </c>
      <c r="AB5" s="1231"/>
      <c r="AC5" s="1231"/>
      <c r="AD5" s="584"/>
      <c r="AE5" s="1235" t="s">
        <v>36</v>
      </c>
      <c r="AF5" s="1236"/>
      <c r="AG5" s="1236"/>
      <c r="AH5" s="587"/>
      <c r="AI5" s="1237" t="s">
        <v>37</v>
      </c>
      <c r="AJ5" s="1234"/>
      <c r="AK5" s="1234"/>
      <c r="AL5" s="589"/>
      <c r="AM5" s="1231" t="s">
        <v>38</v>
      </c>
      <c r="AN5" s="1231"/>
      <c r="AO5" s="1231"/>
      <c r="AP5" s="584"/>
      <c r="AQ5" s="1235" t="s">
        <v>39</v>
      </c>
      <c r="AR5" s="1236"/>
      <c r="AS5" s="1236"/>
      <c r="AT5" s="587"/>
      <c r="AU5" s="1235" t="s">
        <v>40</v>
      </c>
      <c r="AV5" s="1236"/>
      <c r="AW5" s="1236"/>
      <c r="AX5" s="587"/>
      <c r="AY5" s="1237" t="s">
        <v>41</v>
      </c>
      <c r="AZ5" s="1234"/>
      <c r="BA5" s="1234"/>
      <c r="BB5" s="589"/>
      <c r="BC5" s="1238" t="s">
        <v>42</v>
      </c>
      <c r="BD5" s="1239"/>
      <c r="BE5" s="1239"/>
      <c r="BF5" s="161"/>
    </row>
    <row r="6" spans="1:59" x14ac:dyDescent="0.3">
      <c r="A6" s="28"/>
      <c r="B6" s="1049" t="s">
        <v>4</v>
      </c>
      <c r="C6" s="1044" t="s">
        <v>30</v>
      </c>
      <c r="D6" s="582" t="s">
        <v>74</v>
      </c>
      <c r="E6" s="74" t="s">
        <v>3</v>
      </c>
      <c r="F6" s="567" t="s">
        <v>47</v>
      </c>
      <c r="G6" s="981" t="s">
        <v>75</v>
      </c>
      <c r="H6" s="44" t="s">
        <v>85</v>
      </c>
      <c r="I6" s="140" t="s">
        <v>78</v>
      </c>
      <c r="J6" s="40" t="s">
        <v>79</v>
      </c>
      <c r="K6" s="327" t="s">
        <v>44</v>
      </c>
      <c r="L6" s="32" t="s">
        <v>80</v>
      </c>
      <c r="M6" s="32" t="s">
        <v>72</v>
      </c>
      <c r="N6" s="32" t="s">
        <v>81</v>
      </c>
      <c r="O6" s="32" t="s">
        <v>82</v>
      </c>
      <c r="P6" s="157" t="s">
        <v>80</v>
      </c>
      <c r="Q6" s="157" t="s">
        <v>72</v>
      </c>
      <c r="R6" s="157" t="s">
        <v>81</v>
      </c>
      <c r="S6" s="157" t="s">
        <v>82</v>
      </c>
      <c r="T6" s="157" t="s">
        <v>80</v>
      </c>
      <c r="U6" s="157" t="s">
        <v>72</v>
      </c>
      <c r="V6" s="157" t="s">
        <v>81</v>
      </c>
      <c r="W6" s="157" t="s">
        <v>82</v>
      </c>
      <c r="X6" s="32" t="s">
        <v>80</v>
      </c>
      <c r="Y6" s="32" t="s">
        <v>72</v>
      </c>
      <c r="Z6" s="32" t="s">
        <v>81</v>
      </c>
      <c r="AA6" s="32" t="s">
        <v>82</v>
      </c>
      <c r="AB6" s="157" t="s">
        <v>80</v>
      </c>
      <c r="AC6" s="157" t="s">
        <v>72</v>
      </c>
      <c r="AD6" s="157" t="s">
        <v>81</v>
      </c>
      <c r="AE6" s="157" t="s">
        <v>82</v>
      </c>
      <c r="AF6" s="157" t="s">
        <v>80</v>
      </c>
      <c r="AG6" s="157" t="s">
        <v>72</v>
      </c>
      <c r="AH6" s="157" t="s">
        <v>81</v>
      </c>
      <c r="AI6" s="157" t="s">
        <v>82</v>
      </c>
      <c r="AJ6" s="32" t="s">
        <v>80</v>
      </c>
      <c r="AK6" s="32" t="s">
        <v>72</v>
      </c>
      <c r="AL6" s="32" t="s">
        <v>81</v>
      </c>
      <c r="AM6" s="32" t="s">
        <v>82</v>
      </c>
      <c r="AN6" s="157" t="s">
        <v>80</v>
      </c>
      <c r="AO6" s="157" t="s">
        <v>72</v>
      </c>
      <c r="AP6" s="157" t="s">
        <v>81</v>
      </c>
      <c r="AQ6" s="157" t="s">
        <v>82</v>
      </c>
      <c r="AR6" s="157" t="s">
        <v>80</v>
      </c>
      <c r="AS6" s="157" t="s">
        <v>72</v>
      </c>
      <c r="AT6" s="157" t="s">
        <v>81</v>
      </c>
      <c r="AU6" s="157" t="s">
        <v>82</v>
      </c>
      <c r="AV6" s="157" t="s">
        <v>80</v>
      </c>
      <c r="AW6" s="157" t="s">
        <v>72</v>
      </c>
      <c r="AX6" s="157" t="s">
        <v>81</v>
      </c>
      <c r="AY6" s="157" t="s">
        <v>82</v>
      </c>
      <c r="AZ6" s="32" t="s">
        <v>80</v>
      </c>
      <c r="BA6" s="32" t="s">
        <v>72</v>
      </c>
      <c r="BB6" s="32" t="s">
        <v>81</v>
      </c>
      <c r="BC6" s="32" t="s">
        <v>82</v>
      </c>
      <c r="BD6" s="157" t="s">
        <v>80</v>
      </c>
      <c r="BE6" s="157" t="s">
        <v>72</v>
      </c>
      <c r="BF6" s="157" t="s">
        <v>81</v>
      </c>
      <c r="BG6" s="157" t="s">
        <v>82</v>
      </c>
    </row>
    <row r="7" spans="1:59" x14ac:dyDescent="0.3">
      <c r="A7" s="28"/>
      <c r="B7" s="1048"/>
      <c r="C7" s="1045"/>
      <c r="D7" s="745"/>
      <c r="E7" s="746"/>
      <c r="F7" s="978"/>
      <c r="G7" s="971"/>
      <c r="H7" s="323"/>
      <c r="I7" s="324"/>
      <c r="J7" s="325"/>
      <c r="K7" s="328">
        <f t="shared" ref="K7:K8" si="0">I7/$D$3</f>
        <v>0</v>
      </c>
      <c r="L7" s="215"/>
      <c r="M7" s="216"/>
      <c r="N7" s="216"/>
      <c r="O7" s="216"/>
      <c r="P7" s="219"/>
      <c r="Q7" s="220"/>
      <c r="R7" s="220"/>
      <c r="S7" s="220"/>
      <c r="T7" s="215"/>
      <c r="U7" s="216"/>
      <c r="V7" s="216"/>
      <c r="W7" s="216"/>
      <c r="X7" s="219"/>
      <c r="Y7" s="220"/>
      <c r="Z7" s="220"/>
      <c r="AA7" s="220"/>
      <c r="AB7" s="215"/>
      <c r="AC7" s="216"/>
      <c r="AD7" s="216"/>
      <c r="AE7" s="216"/>
      <c r="AF7" s="219"/>
      <c r="AG7" s="220"/>
      <c r="AH7" s="220"/>
      <c r="AI7" s="220"/>
      <c r="AJ7" s="215"/>
      <c r="AK7" s="216"/>
      <c r="AL7" s="216"/>
      <c r="AM7" s="216"/>
      <c r="AN7" s="219"/>
      <c r="AO7" s="220"/>
      <c r="AP7" s="220"/>
      <c r="AQ7" s="220"/>
      <c r="AR7" s="215"/>
      <c r="AS7" s="216"/>
      <c r="AT7" s="216"/>
      <c r="AU7" s="216"/>
      <c r="AV7" s="219"/>
      <c r="AW7" s="220"/>
      <c r="AX7" s="220"/>
      <c r="AY7" s="220"/>
      <c r="AZ7" s="215"/>
      <c r="BA7" s="216"/>
      <c r="BB7" s="216"/>
      <c r="BC7" s="216"/>
      <c r="BD7" s="219"/>
      <c r="BE7" s="220"/>
      <c r="BF7" s="220"/>
      <c r="BG7" s="220"/>
    </row>
    <row r="8" spans="1:59" x14ac:dyDescent="0.3">
      <c r="A8" s="28"/>
      <c r="B8" s="1050"/>
      <c r="C8" s="1046"/>
      <c r="D8" s="747"/>
      <c r="E8" s="748"/>
      <c r="F8" s="979"/>
      <c r="G8" s="971"/>
      <c r="H8" s="175"/>
      <c r="I8" s="155"/>
      <c r="J8" s="156"/>
      <c r="K8" s="328">
        <f t="shared" si="0"/>
        <v>0</v>
      </c>
      <c r="L8" s="217"/>
      <c r="M8" s="147"/>
      <c r="N8" s="218"/>
      <c r="O8" s="218"/>
      <c r="P8" s="158"/>
      <c r="Q8" s="160"/>
      <c r="R8" s="159"/>
      <c r="S8" s="159"/>
      <c r="T8" s="217"/>
      <c r="U8" s="147"/>
      <c r="V8" s="218"/>
      <c r="W8" s="218"/>
      <c r="X8" s="158"/>
      <c r="Y8" s="160"/>
      <c r="Z8" s="159"/>
      <c r="AA8" s="159"/>
      <c r="AB8" s="217"/>
      <c r="AC8" s="147"/>
      <c r="AD8" s="218"/>
      <c r="AE8" s="218"/>
      <c r="AF8" s="158"/>
      <c r="AG8" s="160"/>
      <c r="AH8" s="159"/>
      <c r="AI8" s="159"/>
      <c r="AJ8" s="217"/>
      <c r="AK8" s="147"/>
      <c r="AL8" s="218"/>
      <c r="AM8" s="218"/>
      <c r="AN8" s="158"/>
      <c r="AO8" s="160"/>
      <c r="AP8" s="159"/>
      <c r="AQ8" s="159"/>
      <c r="AR8" s="217"/>
      <c r="AS8" s="147"/>
      <c r="AT8" s="218"/>
      <c r="AU8" s="218"/>
      <c r="AV8" s="158"/>
      <c r="AW8" s="160"/>
      <c r="AX8" s="159"/>
      <c r="AY8" s="159"/>
      <c r="AZ8" s="217"/>
      <c r="BA8" s="147"/>
      <c r="BB8" s="218"/>
      <c r="BC8" s="218"/>
      <c r="BD8" s="158"/>
      <c r="BE8" s="160"/>
      <c r="BF8" s="159"/>
      <c r="BG8" s="159"/>
    </row>
    <row r="9" spans="1:59" s="3" customFormat="1" x14ac:dyDescent="0.3">
      <c r="B9" s="1047" t="s">
        <v>83</v>
      </c>
      <c r="C9" s="67"/>
      <c r="D9" s="132"/>
      <c r="E9" s="132"/>
      <c r="F9" s="744"/>
      <c r="G9" s="980">
        <f>SUM(G7:G8)</f>
        <v>0</v>
      </c>
      <c r="H9" s="321">
        <f>SUM(H7:H8)</f>
        <v>0</v>
      </c>
      <c r="I9" s="322">
        <f>SUM(I7:I8)</f>
        <v>0</v>
      </c>
      <c r="J9" s="69">
        <f t="shared" ref="J9" si="1">H9-I9</f>
        <v>0</v>
      </c>
      <c r="K9" s="461">
        <f t="shared" ref="K9" si="2">I9/$D$3</f>
        <v>0</v>
      </c>
      <c r="L9" s="277">
        <f>SUM(L7:L8)</f>
        <v>0</v>
      </c>
      <c r="M9" s="97"/>
      <c r="N9" s="97"/>
      <c r="O9" s="97"/>
      <c r="P9" s="462">
        <f>SUM(P7:P8)</f>
        <v>0</v>
      </c>
      <c r="Q9" s="132"/>
      <c r="R9" s="132"/>
      <c r="S9" s="132"/>
      <c r="T9" s="97">
        <f>SUM(T7:T8)</f>
        <v>0</v>
      </c>
      <c r="U9" s="97"/>
      <c r="V9" s="97"/>
      <c r="W9" s="97"/>
      <c r="X9" s="277">
        <f>SUM(X7:X8)</f>
        <v>0</v>
      </c>
      <c r="Y9" s="97"/>
      <c r="Z9" s="97"/>
      <c r="AA9" s="97"/>
      <c r="AB9" s="462">
        <f>SUM(AB7:AB8)</f>
        <v>0</v>
      </c>
      <c r="AC9" s="132"/>
      <c r="AD9" s="132"/>
      <c r="AE9" s="132"/>
      <c r="AF9" s="97">
        <f>SUM(AF7:AF8)</f>
        <v>0</v>
      </c>
      <c r="AG9" s="97"/>
      <c r="AH9" s="97"/>
      <c r="AI9" s="97"/>
      <c r="AJ9" s="277">
        <f>SUM(AJ7:AJ8)</f>
        <v>0</v>
      </c>
      <c r="AK9" s="97"/>
      <c r="AL9" s="97"/>
      <c r="AM9" s="97"/>
      <c r="AN9" s="462">
        <f>SUM(AN7:AN8)</f>
        <v>0</v>
      </c>
      <c r="AO9" s="132"/>
      <c r="AP9" s="132"/>
      <c r="AQ9" s="132"/>
      <c r="AR9" s="97">
        <f>SUM(AR7:AR8)</f>
        <v>0</v>
      </c>
      <c r="AS9" s="97"/>
      <c r="AT9" s="97"/>
      <c r="AU9" s="97"/>
      <c r="AV9" s="97">
        <f>SUM(AV7:AV8)</f>
        <v>0</v>
      </c>
      <c r="AW9" s="97"/>
      <c r="AX9" s="97"/>
      <c r="AY9" s="97"/>
      <c r="AZ9" s="277">
        <f>SUM(AZ7:AZ8)</f>
        <v>0</v>
      </c>
      <c r="BA9" s="97"/>
      <c r="BB9" s="97"/>
      <c r="BC9" s="97"/>
      <c r="BD9" s="462">
        <f>SUM(BD7:BD8)</f>
        <v>0</v>
      </c>
      <c r="BE9" s="132"/>
      <c r="BF9" s="132"/>
      <c r="BG9" s="132"/>
    </row>
    <row r="12" spans="1:59" x14ac:dyDescent="0.3">
      <c r="AF12" s="438"/>
    </row>
    <row r="13" spans="1:59" x14ac:dyDescent="0.3">
      <c r="H13" s="276"/>
      <c r="I13" s="359"/>
    </row>
  </sheetData>
  <sortState xmlns:xlrd2="http://schemas.microsoft.com/office/spreadsheetml/2017/richdata2" ref="B7:K8">
    <sortCondition ref="B7:B8"/>
  </sortState>
  <mergeCells count="13">
    <mergeCell ref="BC5:BE5"/>
    <mergeCell ref="AU5:AW5"/>
    <mergeCell ref="W5:Y5"/>
    <mergeCell ref="AA5:AC5"/>
    <mergeCell ref="AE5:AG5"/>
    <mergeCell ref="AM5:AO5"/>
    <mergeCell ref="AQ5:AS5"/>
    <mergeCell ref="AI5:AK5"/>
    <mergeCell ref="G5:I5"/>
    <mergeCell ref="K5:M5"/>
    <mergeCell ref="O5:Q5"/>
    <mergeCell ref="S5:U5"/>
    <mergeCell ref="AY5:BA5"/>
  </mergeCells>
  <conditionalFormatting sqref="J7:J8">
    <cfRule type="colorScale" priority="1">
      <colorScale>
        <cfvo type="num" val="0"/>
        <cfvo type="num" val="0"/>
        <color rgb="FFFF0000"/>
        <color theme="9"/>
      </colorScale>
    </cfRule>
  </conditionalFormatting>
  <hyperlinks>
    <hyperlink ref="A1" location="'Overview AOP23'!A1" display="Totals" xr:uid="{DBA394D4-527C-4156-988A-5B68448DDF26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35FE-0AD6-4689-9687-DDFBBA301758}">
  <dimension ref="A1:BG35"/>
  <sheetViews>
    <sheetView workbookViewId="0">
      <pane xSplit="11" topLeftCell="L1" activePane="topRight" state="frozen"/>
      <selection activeCell="A4" sqref="A4"/>
      <selection pane="topRight"/>
    </sheetView>
  </sheetViews>
  <sheetFormatPr defaultColWidth="8.88671875" defaultRowHeight="14.4" x14ac:dyDescent="0.3"/>
  <cols>
    <col min="1" max="1" width="6.33203125" bestFit="1" customWidth="1"/>
    <col min="2" max="2" width="12" bestFit="1" customWidth="1"/>
    <col min="3" max="3" width="10" bestFit="1" customWidth="1"/>
    <col min="4" max="4" width="4.6640625" bestFit="1" customWidth="1"/>
    <col min="5" max="5" width="30.6640625" bestFit="1" customWidth="1"/>
    <col min="6" max="6" width="35.109375" bestFit="1" customWidth="1"/>
    <col min="7" max="7" width="9" bestFit="1" customWidth="1"/>
    <col min="8" max="9" width="12.5546875" bestFit="1" customWidth="1"/>
    <col min="10" max="10" width="12.44140625" bestFit="1" customWidth="1"/>
    <col min="11" max="11" width="12.5546875" bestFit="1" customWidth="1"/>
    <col min="12" max="12" width="11.44140625" bestFit="1" customWidth="1"/>
    <col min="13" max="13" width="3.44140625" bestFit="1" customWidth="1"/>
    <col min="14" max="14" width="9.88671875" style="677" bestFit="1" customWidth="1"/>
    <col min="15" max="15" width="9.6640625" bestFit="1" customWidth="1"/>
    <col min="16" max="16" width="13.44140625" customWidth="1"/>
    <col min="17" max="17" width="4.88671875" bestFit="1" customWidth="1"/>
    <col min="18" max="18" width="9.88671875" bestFit="1" customWidth="1"/>
    <col min="19" max="19" width="9.6640625" bestFit="1" customWidth="1"/>
    <col min="20" max="20" width="11.44140625" style="4" bestFit="1" customWidth="1"/>
    <col min="21" max="21" width="3.44140625" bestFit="1" customWidth="1"/>
    <col min="22" max="22" width="10" bestFit="1" customWidth="1"/>
    <col min="23" max="23" width="9.6640625" bestFit="1" customWidth="1"/>
    <col min="24" max="24" width="12" bestFit="1" customWidth="1"/>
    <col min="25" max="25" width="3.44140625" bestFit="1" customWidth="1"/>
    <col min="26" max="26" width="9.88671875" bestFit="1" customWidth="1"/>
    <col min="27" max="27" width="9.6640625" bestFit="1" customWidth="1"/>
    <col min="28" max="28" width="13.109375" bestFit="1" customWidth="1"/>
    <col min="29" max="29" width="7.44140625" style="35" bestFit="1" customWidth="1"/>
    <col min="30" max="30" width="9.88671875" style="35" bestFit="1" customWidth="1"/>
    <col min="31" max="31" width="9.88671875" bestFit="1" customWidth="1"/>
    <col min="32" max="32" width="13.44140625" bestFit="1" customWidth="1"/>
    <col min="33" max="33" width="11" bestFit="1" customWidth="1"/>
    <col min="34" max="35" width="9.88671875" bestFit="1" customWidth="1"/>
    <col min="36" max="36" width="11.5546875" bestFit="1" customWidth="1"/>
    <col min="37" max="37" width="12" style="583" bestFit="1" customWidth="1"/>
    <col min="38" max="38" width="9" bestFit="1" customWidth="1"/>
    <col min="39" max="39" width="9.88671875" bestFit="1" customWidth="1"/>
    <col min="40" max="40" width="13.109375" bestFit="1" customWidth="1"/>
    <col min="41" max="41" width="3.44140625" style="35" bestFit="1" customWidth="1"/>
    <col min="42" max="43" width="9.88671875" bestFit="1" customWidth="1"/>
    <col min="44" max="44" width="13.44140625" style="4" bestFit="1" customWidth="1"/>
    <col min="45" max="45" width="3.44140625" bestFit="1" customWidth="1"/>
    <col min="46" max="46" width="9" bestFit="1" customWidth="1"/>
    <col min="47" max="47" width="18.44140625" customWidth="1"/>
    <col min="48" max="48" width="11.44140625" bestFit="1" customWidth="1"/>
    <col min="49" max="49" width="3.44140625" bestFit="1" customWidth="1"/>
    <col min="50" max="51" width="9.88671875" bestFit="1" customWidth="1"/>
    <col min="52" max="52" width="11.5546875" bestFit="1" customWidth="1"/>
    <col min="53" max="53" width="3.44140625" bestFit="1" customWidth="1"/>
    <col min="54" max="54" width="9.88671875" bestFit="1" customWidth="1"/>
    <col min="55" max="55" width="9.88671875" customWidth="1"/>
    <col min="56" max="56" width="13.88671875" style="4" bestFit="1" customWidth="1"/>
    <col min="57" max="57" width="12" bestFit="1" customWidth="1"/>
    <col min="58" max="58" width="15.88671875" bestFit="1" customWidth="1"/>
    <col min="59" max="59" width="9.88671875" bestFit="1" customWidth="1"/>
  </cols>
  <sheetData>
    <row r="1" spans="1:59" x14ac:dyDescent="0.3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30"/>
      <c r="N1" s="676"/>
      <c r="O1" s="28"/>
      <c r="P1" s="28"/>
      <c r="Q1" s="28"/>
      <c r="R1" s="28"/>
      <c r="S1" s="28"/>
      <c r="T1" s="454"/>
      <c r="U1" s="30"/>
      <c r="V1" s="30"/>
      <c r="W1" s="30"/>
      <c r="X1" s="28"/>
      <c r="Y1" s="28"/>
      <c r="Z1" s="565"/>
      <c r="AA1" s="28"/>
      <c r="AB1" s="28"/>
      <c r="AC1" s="568"/>
      <c r="AD1" s="394"/>
      <c r="AE1" s="28"/>
      <c r="AF1" s="28"/>
    </row>
    <row r="2" spans="1:59" ht="15" thickBot="1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30"/>
      <c r="N2" s="676"/>
      <c r="O2" s="28"/>
      <c r="P2" s="28"/>
      <c r="Q2" s="28"/>
      <c r="R2" s="28"/>
      <c r="S2" s="28"/>
      <c r="T2" s="454"/>
      <c r="U2" s="30"/>
      <c r="V2" s="30"/>
      <c r="W2" s="30"/>
      <c r="X2" s="28"/>
      <c r="Y2" s="28"/>
      <c r="Z2" s="565"/>
      <c r="AA2" s="28"/>
      <c r="AB2" s="28"/>
      <c r="AC2" s="568"/>
      <c r="AD2" s="394"/>
      <c r="AE2" s="28"/>
      <c r="AF2" s="28"/>
    </row>
    <row r="3" spans="1:59" ht="15" thickBot="1" x14ac:dyDescent="0.35">
      <c r="A3" s="28"/>
      <c r="B3" s="31"/>
      <c r="C3" s="32"/>
      <c r="D3" s="32"/>
      <c r="E3" s="336">
        <f>'Budget Total 2024'!H2</f>
        <v>12</v>
      </c>
      <c r="F3" s="33"/>
      <c r="G3" s="33"/>
      <c r="H3" s="33"/>
      <c r="I3" s="28"/>
      <c r="J3" s="28"/>
      <c r="K3" s="28"/>
      <c r="L3" s="28"/>
      <c r="M3" s="30"/>
      <c r="N3" s="676"/>
      <c r="O3" s="28"/>
      <c r="P3" s="28"/>
      <c r="Q3" s="28"/>
      <c r="R3" s="28"/>
      <c r="S3" s="28"/>
      <c r="T3" s="454"/>
      <c r="U3" s="30"/>
      <c r="V3" s="30"/>
      <c r="W3" s="30"/>
      <c r="X3" s="28"/>
      <c r="Y3" s="28"/>
      <c r="Z3" s="565"/>
      <c r="AA3" s="28"/>
      <c r="AB3" s="28"/>
      <c r="AC3" s="568"/>
      <c r="AD3" s="394"/>
      <c r="AE3" s="28"/>
      <c r="AF3" s="28"/>
    </row>
    <row r="4" spans="1:59" ht="15" thickBot="1" x14ac:dyDescent="0.35"/>
    <row r="5" spans="1:59" ht="15" thickBot="1" x14ac:dyDescent="0.35">
      <c r="A5" s="28"/>
      <c r="B5" s="36"/>
      <c r="C5" s="37"/>
      <c r="D5" s="38"/>
      <c r="E5" s="38"/>
      <c r="F5" s="286"/>
      <c r="G5" s="749"/>
      <c r="H5" s="1232" t="s">
        <v>73</v>
      </c>
      <c r="I5" s="1231"/>
      <c r="J5" s="1231"/>
      <c r="K5" s="1233"/>
      <c r="L5" s="1237" t="s">
        <v>31</v>
      </c>
      <c r="M5" s="1234"/>
      <c r="N5" s="1234"/>
      <c r="O5" s="589"/>
      <c r="P5" s="1232" t="s">
        <v>32</v>
      </c>
      <c r="Q5" s="1231"/>
      <c r="R5" s="1231"/>
      <c r="S5" s="590"/>
      <c r="T5" s="1236" t="s">
        <v>33</v>
      </c>
      <c r="U5" s="1236"/>
      <c r="V5" s="1236"/>
      <c r="W5" s="587"/>
      <c r="X5" s="1237" t="s">
        <v>34</v>
      </c>
      <c r="Y5" s="1234"/>
      <c r="Z5" s="1234"/>
      <c r="AA5" s="589"/>
      <c r="AB5" s="1231" t="s">
        <v>35</v>
      </c>
      <c r="AC5" s="1231"/>
      <c r="AD5" s="1231"/>
      <c r="AE5" s="584"/>
      <c r="AF5" s="1235" t="s">
        <v>36</v>
      </c>
      <c r="AG5" s="1236"/>
      <c r="AH5" s="1236"/>
      <c r="AI5" s="588"/>
      <c r="AJ5" s="1234" t="s">
        <v>37</v>
      </c>
      <c r="AK5" s="1234"/>
      <c r="AL5" s="1234"/>
      <c r="AM5" s="585"/>
      <c r="AN5" s="1232" t="s">
        <v>38</v>
      </c>
      <c r="AO5" s="1231"/>
      <c r="AP5" s="1231"/>
      <c r="AQ5" s="584"/>
      <c r="AR5" s="1235" t="s">
        <v>39</v>
      </c>
      <c r="AS5" s="1236"/>
      <c r="AT5" s="1236"/>
      <c r="AU5" s="588"/>
      <c r="AV5" s="1235" t="s">
        <v>40</v>
      </c>
      <c r="AW5" s="1236"/>
      <c r="AX5" s="1236"/>
      <c r="AY5" s="588"/>
      <c r="AZ5" s="1234" t="s">
        <v>41</v>
      </c>
      <c r="BA5" s="1234"/>
      <c r="BB5" s="1234"/>
      <c r="BC5" s="585"/>
      <c r="BD5" s="1238" t="s">
        <v>42</v>
      </c>
      <c r="BE5" s="1239"/>
      <c r="BF5" s="1239"/>
      <c r="BG5" s="161"/>
    </row>
    <row r="6" spans="1:59" ht="15" thickBot="1" x14ac:dyDescent="0.35">
      <c r="A6" s="28"/>
      <c r="B6" s="39" t="s">
        <v>4</v>
      </c>
      <c r="C6" s="152" t="s">
        <v>30</v>
      </c>
      <c r="D6" s="1081" t="s">
        <v>74</v>
      </c>
      <c r="E6" s="285" t="s">
        <v>86</v>
      </c>
      <c r="F6" s="154" t="s">
        <v>3</v>
      </c>
      <c r="G6" s="567" t="s">
        <v>47</v>
      </c>
      <c r="H6" s="487" t="s">
        <v>75</v>
      </c>
      <c r="I6" s="488" t="s">
        <v>85</v>
      </c>
      <c r="J6" s="489" t="s">
        <v>78</v>
      </c>
      <c r="K6" s="591" t="s">
        <v>79</v>
      </c>
      <c r="L6" s="79" t="s">
        <v>80</v>
      </c>
      <c r="M6" s="85" t="s">
        <v>72</v>
      </c>
      <c r="N6" s="1095" t="s">
        <v>81</v>
      </c>
      <c r="O6" s="86" t="s">
        <v>82</v>
      </c>
      <c r="P6" s="90" t="s">
        <v>80</v>
      </c>
      <c r="Q6" s="91" t="s">
        <v>72</v>
      </c>
      <c r="R6" s="91" t="s">
        <v>81</v>
      </c>
      <c r="S6" s="92" t="s">
        <v>82</v>
      </c>
      <c r="T6" s="1096" t="s">
        <v>80</v>
      </c>
      <c r="U6" s="85" t="s">
        <v>72</v>
      </c>
      <c r="V6" s="85" t="s">
        <v>81</v>
      </c>
      <c r="W6" s="85" t="s">
        <v>82</v>
      </c>
      <c r="X6" s="90" t="s">
        <v>80</v>
      </c>
      <c r="Y6" s="91" t="s">
        <v>72</v>
      </c>
      <c r="Z6" s="1089" t="s">
        <v>81</v>
      </c>
      <c r="AA6" s="92" t="s">
        <v>82</v>
      </c>
      <c r="AB6" s="85" t="s">
        <v>80</v>
      </c>
      <c r="AC6" s="85" t="s">
        <v>72</v>
      </c>
      <c r="AD6" s="1097" t="s">
        <v>81</v>
      </c>
      <c r="AE6" s="85" t="s">
        <v>82</v>
      </c>
      <c r="AF6" s="90" t="s">
        <v>80</v>
      </c>
      <c r="AG6" s="91" t="s">
        <v>72</v>
      </c>
      <c r="AH6" s="91" t="s">
        <v>81</v>
      </c>
      <c r="AI6" s="92" t="s">
        <v>82</v>
      </c>
      <c r="AJ6" s="85" t="s">
        <v>80</v>
      </c>
      <c r="AK6" s="85" t="s">
        <v>72</v>
      </c>
      <c r="AL6" s="85" t="s">
        <v>81</v>
      </c>
      <c r="AM6" s="85" t="s">
        <v>82</v>
      </c>
      <c r="AN6" s="90" t="s">
        <v>80</v>
      </c>
      <c r="AO6" s="91" t="s">
        <v>72</v>
      </c>
      <c r="AP6" s="1089" t="s">
        <v>81</v>
      </c>
      <c r="AQ6" s="91" t="s">
        <v>82</v>
      </c>
      <c r="AR6" s="1090" t="s">
        <v>80</v>
      </c>
      <c r="AS6" s="85" t="s">
        <v>72</v>
      </c>
      <c r="AT6" s="85" t="s">
        <v>81</v>
      </c>
      <c r="AU6" s="86" t="s">
        <v>82</v>
      </c>
      <c r="AV6" s="90" t="s">
        <v>80</v>
      </c>
      <c r="AW6" s="91" t="s">
        <v>72</v>
      </c>
      <c r="AX6" s="1089" t="s">
        <v>81</v>
      </c>
      <c r="AY6" s="92" t="s">
        <v>82</v>
      </c>
      <c r="AZ6" s="85" t="s">
        <v>80</v>
      </c>
      <c r="BA6" s="85" t="s">
        <v>72</v>
      </c>
      <c r="BB6" s="85" t="s">
        <v>81</v>
      </c>
      <c r="BC6" s="85" t="s">
        <v>82</v>
      </c>
      <c r="BD6" s="1078" t="s">
        <v>80</v>
      </c>
      <c r="BE6" s="91" t="s">
        <v>72</v>
      </c>
      <c r="BF6" s="91" t="s">
        <v>81</v>
      </c>
      <c r="BG6" s="92" t="s">
        <v>82</v>
      </c>
    </row>
    <row r="7" spans="1:59" ht="15" thickBot="1" x14ac:dyDescent="0.35">
      <c r="A7" s="28"/>
      <c r="B7" s="1254"/>
      <c r="C7" s="1245"/>
      <c r="D7" s="1079"/>
      <c r="E7" s="1130"/>
      <c r="F7" s="1133"/>
      <c r="G7" s="1248"/>
      <c r="H7" s="1250"/>
      <c r="I7" s="1240"/>
      <c r="J7" s="724"/>
      <c r="K7" s="1242"/>
      <c r="L7" s="1084"/>
      <c r="M7" s="1023"/>
      <c r="N7" s="1098"/>
      <c r="O7" s="1084"/>
      <c r="P7" s="1099"/>
      <c r="Q7" s="1091"/>
      <c r="R7" s="1100"/>
      <c r="S7" s="1099"/>
      <c r="T7" s="1091"/>
      <c r="U7" s="1084"/>
      <c r="V7" s="1085"/>
      <c r="W7" s="1091"/>
      <c r="X7" s="1101"/>
      <c r="Y7" s="1102"/>
      <c r="Z7" s="1103"/>
      <c r="AA7" s="1104"/>
      <c r="AB7" s="1091"/>
      <c r="AC7" s="1023"/>
      <c r="AD7" s="1092"/>
      <c r="AE7" s="1107"/>
      <c r="AF7" s="1108"/>
      <c r="AG7" s="1123"/>
      <c r="AH7" s="1116"/>
      <c r="AI7" s="1110"/>
      <c r="AJ7" s="1121"/>
      <c r="AK7" s="1120"/>
      <c r="AL7" s="1086"/>
      <c r="AM7" s="1087"/>
      <c r="AN7" s="1117"/>
      <c r="AO7" s="1118"/>
      <c r="AP7" s="1086"/>
      <c r="AQ7" s="1087"/>
      <c r="AR7" s="1113"/>
      <c r="AS7" s="1115"/>
      <c r="AT7" s="1116"/>
      <c r="AU7" s="1110"/>
      <c r="AV7" s="1108"/>
      <c r="AW7" s="1109"/>
      <c r="AX7" s="1086"/>
      <c r="AY7" s="1110"/>
      <c r="AZ7" s="1108"/>
      <c r="BA7" s="1109"/>
      <c r="BB7" s="1086"/>
      <c r="BC7" s="1110"/>
      <c r="BD7" s="1113"/>
      <c r="BE7" s="1109"/>
      <c r="BF7" s="1086"/>
      <c r="BG7" s="1110"/>
    </row>
    <row r="8" spans="1:59" s="706" customFormat="1" ht="15" thickBot="1" x14ac:dyDescent="0.35">
      <c r="A8"/>
      <c r="B8" s="1255"/>
      <c r="C8" s="1246"/>
      <c r="D8" s="1082"/>
      <c r="E8" s="1131"/>
      <c r="F8" s="1134"/>
      <c r="G8" s="1249"/>
      <c r="H8" s="1251"/>
      <c r="I8" s="1241"/>
      <c r="J8" s="724"/>
      <c r="K8" s="1243"/>
      <c r="L8" s="1084"/>
      <c r="M8" s="1023"/>
      <c r="N8" s="1098"/>
      <c r="O8" s="1084"/>
      <c r="P8" s="1099"/>
      <c r="Q8" s="1091"/>
      <c r="R8" s="1105"/>
      <c r="S8" s="1099"/>
      <c r="T8" s="1091"/>
      <c r="U8" s="1084"/>
      <c r="V8" s="1085"/>
      <c r="W8" s="1091"/>
      <c r="X8" s="1101"/>
      <c r="Y8" s="1106"/>
      <c r="Z8" s="1103"/>
      <c r="AA8" s="1104"/>
      <c r="AB8" s="1091"/>
      <c r="AC8" s="1023"/>
      <c r="AD8" s="1092"/>
      <c r="AE8" s="1107"/>
      <c r="AF8" s="1111"/>
      <c r="AG8" s="1092"/>
      <c r="AH8" s="1094"/>
      <c r="AI8" s="1112"/>
      <c r="AJ8" s="1122"/>
      <c r="AK8" s="1119"/>
      <c r="AL8" s="1085"/>
      <c r="AM8" s="1088"/>
      <c r="AN8" s="1119"/>
      <c r="AO8" s="1023"/>
      <c r="AP8" s="1093"/>
      <c r="AQ8" s="1088"/>
      <c r="AR8" s="1114"/>
      <c r="AS8" s="1084"/>
      <c r="AT8" s="1094"/>
      <c r="AU8" s="1088"/>
      <c r="AV8" s="1111"/>
      <c r="AW8" s="1091"/>
      <c r="AX8" s="1085"/>
      <c r="AY8" s="1112"/>
      <c r="AZ8" s="1111"/>
      <c r="BA8" s="1091"/>
      <c r="BB8" s="1085"/>
      <c r="BC8" s="1112"/>
      <c r="BD8" s="1114"/>
      <c r="BE8" s="1091"/>
      <c r="BF8" s="1085"/>
      <c r="BG8" s="1112"/>
    </row>
    <row r="9" spans="1:59" ht="15" thickBot="1" x14ac:dyDescent="0.35">
      <c r="B9" s="1244"/>
      <c r="C9" s="1246"/>
      <c r="D9" s="1083"/>
      <c r="E9" s="1252"/>
      <c r="F9" s="1134"/>
      <c r="G9" s="1249"/>
      <c r="H9" s="1251"/>
      <c r="I9" s="1080"/>
      <c r="J9" s="629"/>
      <c r="K9" s="1137"/>
      <c r="L9" s="1136"/>
      <c r="M9" s="1023"/>
      <c r="N9" s="1098"/>
      <c r="O9" s="1084"/>
      <c r="P9" s="1099"/>
      <c r="Q9" s="1091"/>
      <c r="R9" s="1105"/>
      <c r="S9" s="1099"/>
      <c r="T9" s="1091"/>
      <c r="U9" s="1084"/>
      <c r="V9" s="1085"/>
      <c r="W9" s="1091"/>
      <c r="X9" s="1101"/>
      <c r="Y9" s="1106"/>
      <c r="Z9" s="1103"/>
      <c r="AA9" s="1104"/>
      <c r="AB9" s="1091"/>
      <c r="AC9" s="1023"/>
      <c r="AD9" s="1092"/>
      <c r="AE9" s="1107"/>
      <c r="AF9" s="1111"/>
      <c r="AG9" s="1092"/>
      <c r="AH9" s="1094"/>
      <c r="AI9" s="1112"/>
      <c r="AJ9" s="1122"/>
      <c r="AK9" s="1119"/>
      <c r="AL9" s="1085"/>
      <c r="AM9" s="1088"/>
      <c r="AN9" s="1119"/>
      <c r="AO9" s="1023"/>
      <c r="AP9" s="1093"/>
      <c r="AQ9" s="1088"/>
      <c r="AR9" s="1114"/>
      <c r="AS9" s="1084"/>
      <c r="AT9" s="1094"/>
      <c r="AU9" s="1088"/>
      <c r="AV9" s="1111"/>
      <c r="AW9" s="1091"/>
      <c r="AX9" s="1085"/>
      <c r="AY9" s="1112"/>
      <c r="AZ9" s="1111"/>
      <c r="BA9" s="1091"/>
      <c r="BB9" s="1085"/>
      <c r="BC9" s="1112"/>
      <c r="BD9" s="1114"/>
      <c r="BE9" s="1091"/>
      <c r="BF9" s="1085"/>
      <c r="BG9" s="1112"/>
    </row>
    <row r="10" spans="1:59" ht="15" thickBot="1" x14ac:dyDescent="0.35">
      <c r="B10" s="1244"/>
      <c r="C10" s="1247"/>
      <c r="D10" s="1124"/>
      <c r="E10" s="1253"/>
      <c r="F10" s="1135"/>
      <c r="G10" s="1249"/>
      <c r="H10" s="1251"/>
      <c r="I10" s="1125"/>
      <c r="J10" s="629"/>
      <c r="K10" s="1137"/>
      <c r="L10" s="1138"/>
      <c r="M10" s="860"/>
      <c r="N10" s="861"/>
      <c r="O10" s="866"/>
      <c r="P10" s="864"/>
      <c r="Q10" s="865"/>
      <c r="R10" s="863"/>
      <c r="S10" s="864"/>
      <c r="T10" s="865"/>
      <c r="U10" s="866"/>
      <c r="V10" s="867"/>
      <c r="W10" s="865"/>
      <c r="X10" s="1126"/>
      <c r="Y10" s="869"/>
      <c r="Z10" s="870"/>
      <c r="AA10" s="1127"/>
      <c r="AB10" s="865"/>
      <c r="AC10" s="860"/>
      <c r="AD10" s="872"/>
      <c r="AE10" s="868"/>
      <c r="AF10" s="873"/>
      <c r="AG10" s="872"/>
      <c r="AH10" s="874"/>
      <c r="AI10" s="875"/>
      <c r="AJ10" s="1128"/>
      <c r="AK10" s="1129"/>
      <c r="AL10" s="867"/>
      <c r="AM10" s="862"/>
      <c r="AN10" s="1129"/>
      <c r="AO10" s="860"/>
      <c r="AP10" s="876"/>
      <c r="AQ10" s="862"/>
      <c r="AR10" s="871"/>
      <c r="AS10" s="866"/>
      <c r="AT10" s="1140"/>
      <c r="AU10" s="862"/>
      <c r="AV10" s="873"/>
      <c r="AW10" s="865"/>
      <c r="AX10" s="867"/>
      <c r="AY10" s="875"/>
      <c r="AZ10" s="873"/>
      <c r="BA10" s="865"/>
      <c r="BB10" s="867"/>
      <c r="BC10" s="875"/>
      <c r="BD10" s="871"/>
      <c r="BE10" s="865"/>
      <c r="BF10" s="867"/>
      <c r="BG10" s="875"/>
    </row>
    <row r="11" spans="1:59" s="3" customFormat="1" ht="15" thickBot="1" x14ac:dyDescent="0.35">
      <c r="B11" s="877" t="s">
        <v>83</v>
      </c>
      <c r="C11" s="878"/>
      <c r="D11" s="878"/>
      <c r="E11" s="879"/>
      <c r="F11" s="1132"/>
      <c r="G11" s="880"/>
      <c r="H11" s="881">
        <f>SUM(H7:H8)</f>
        <v>0</v>
      </c>
      <c r="I11" s="881">
        <f>SUM(I7:I10)</f>
        <v>0</v>
      </c>
      <c r="J11" s="881">
        <f>SUM(J7:J10)</f>
        <v>0</v>
      </c>
      <c r="K11" s="881">
        <f>SUM(K7:K10)</f>
        <v>0</v>
      </c>
      <c r="L11" s="882">
        <f>SUM(L7:L8)</f>
        <v>0</v>
      </c>
      <c r="M11" s="882"/>
      <c r="N11" s="883"/>
      <c r="O11" s="97"/>
      <c r="P11" s="884">
        <f>SUM(P7:P8)</f>
        <v>0</v>
      </c>
      <c r="Q11" s="132"/>
      <c r="R11" s="66"/>
      <c r="S11" s="858"/>
      <c r="T11" s="885">
        <f>SUM(T7:T8)</f>
        <v>0</v>
      </c>
      <c r="U11" s="882"/>
      <c r="V11" s="15"/>
      <c r="W11" s="882"/>
      <c r="X11" s="139">
        <f>SUM(X7:X8)</f>
        <v>0</v>
      </c>
      <c r="Y11" s="882"/>
      <c r="Z11" s="15"/>
      <c r="AA11" s="97"/>
      <c r="AB11" s="886">
        <f>SUM(AB7:AB8)</f>
        <v>0</v>
      </c>
      <c r="AC11" s="887"/>
      <c r="AD11" s="888"/>
      <c r="AE11" s="882"/>
      <c r="AF11" s="884">
        <f>SUM(AF7:AF8)</f>
        <v>0</v>
      </c>
      <c r="AG11" s="132"/>
      <c r="AH11" s="66"/>
      <c r="AI11" s="858"/>
      <c r="AJ11" s="886">
        <f>SUM(AJ7:AJ8)</f>
        <v>0</v>
      </c>
      <c r="AK11" s="887"/>
      <c r="AL11" s="15"/>
      <c r="AM11" s="882"/>
      <c r="AN11" s="139">
        <f>SUM(AN7:AN10)</f>
        <v>0</v>
      </c>
      <c r="AO11" s="887"/>
      <c r="AP11" s="15"/>
      <c r="AQ11" s="882"/>
      <c r="AR11" s="889">
        <f>SUM(AR7:AR10)</f>
        <v>0</v>
      </c>
      <c r="AS11" s="882"/>
      <c r="AT11" s="97"/>
      <c r="AU11" s="97"/>
      <c r="AV11" s="884">
        <f>SUM(AV7:AV10)</f>
        <v>0</v>
      </c>
      <c r="AW11" s="132"/>
      <c r="AX11" s="66"/>
      <c r="AY11" s="858"/>
      <c r="AZ11" s="886">
        <f>SUM(AZ7:AZ10)</f>
        <v>0</v>
      </c>
      <c r="BA11" s="882"/>
      <c r="BB11" s="97"/>
      <c r="BC11" s="882"/>
      <c r="BD11" s="889" t="e">
        <f>#REF!+#REF!+#REF!+#REF!+#REF!+#REF!+#REF!</f>
        <v>#REF!</v>
      </c>
      <c r="BE11" s="882"/>
      <c r="BF11" s="97"/>
      <c r="BG11" s="97"/>
    </row>
    <row r="12" spans="1:59" x14ac:dyDescent="0.3">
      <c r="AR12" s="4" t="s">
        <v>87</v>
      </c>
    </row>
    <row r="13" spans="1:59" x14ac:dyDescent="0.3">
      <c r="B13" s="361"/>
      <c r="C13" s="361"/>
      <c r="D13" s="361"/>
      <c r="E13" s="463"/>
      <c r="J13" s="732"/>
    </row>
    <row r="14" spans="1:59" x14ac:dyDescent="0.3">
      <c r="B14" s="361"/>
      <c r="C14" s="361"/>
      <c r="D14" s="361"/>
      <c r="E14" s="463"/>
      <c r="J14" s="732"/>
    </row>
    <row r="15" spans="1:59" x14ac:dyDescent="0.3">
      <c r="B15" s="361"/>
      <c r="C15" s="361"/>
      <c r="D15" s="361"/>
      <c r="E15" s="463"/>
      <c r="AK15" s="35"/>
    </row>
    <row r="16" spans="1:59" x14ac:dyDescent="0.3">
      <c r="B16" s="361"/>
      <c r="C16" s="361"/>
      <c r="D16" s="361"/>
      <c r="E16" s="463"/>
    </row>
    <row r="17" spans="2:5" x14ac:dyDescent="0.3">
      <c r="B17" s="361"/>
      <c r="C17" s="361"/>
      <c r="D17" s="361"/>
      <c r="E17" s="463"/>
    </row>
    <row r="18" spans="2:5" x14ac:dyDescent="0.3">
      <c r="B18" s="361"/>
      <c r="C18" s="361"/>
      <c r="D18" s="361"/>
      <c r="E18" s="463"/>
    </row>
    <row r="19" spans="2:5" x14ac:dyDescent="0.3">
      <c r="B19" s="361"/>
      <c r="C19" s="457"/>
      <c r="D19" s="457"/>
      <c r="E19" s="458"/>
    </row>
    <row r="20" spans="2:5" x14ac:dyDescent="0.3">
      <c r="B20" s="361"/>
      <c r="C20" s="457"/>
      <c r="D20" s="457"/>
      <c r="E20" s="458"/>
    </row>
    <row r="21" spans="2:5" x14ac:dyDescent="0.3">
      <c r="B21" s="361"/>
      <c r="C21" s="361"/>
      <c r="D21" s="361"/>
      <c r="E21" s="458"/>
    </row>
    <row r="22" spans="2:5" x14ac:dyDescent="0.3">
      <c r="B22" s="361"/>
      <c r="C22" s="361"/>
      <c r="D22" s="361"/>
      <c r="E22" s="458"/>
    </row>
    <row r="23" spans="2:5" x14ac:dyDescent="0.3">
      <c r="B23" s="361"/>
      <c r="C23" s="361"/>
      <c r="D23" s="361"/>
      <c r="E23" s="458"/>
    </row>
    <row r="24" spans="2:5" x14ac:dyDescent="0.3">
      <c r="B24" s="361"/>
      <c r="C24" s="361"/>
      <c r="D24" s="361"/>
      <c r="E24" s="458"/>
    </row>
    <row r="25" spans="2:5" x14ac:dyDescent="0.3">
      <c r="B25" s="361"/>
      <c r="C25" s="361"/>
      <c r="D25" s="361"/>
      <c r="E25" s="458"/>
    </row>
    <row r="26" spans="2:5" x14ac:dyDescent="0.3">
      <c r="B26" s="361"/>
      <c r="C26" s="361"/>
      <c r="D26" s="361"/>
      <c r="E26" s="458"/>
    </row>
    <row r="27" spans="2:5" x14ac:dyDescent="0.3">
      <c r="B27" s="361"/>
      <c r="C27" s="361"/>
      <c r="D27" s="361"/>
      <c r="E27" s="458"/>
    </row>
    <row r="28" spans="2:5" x14ac:dyDescent="0.3">
      <c r="B28" s="361"/>
      <c r="C28" s="361"/>
      <c r="D28" s="361"/>
      <c r="E28" s="458"/>
    </row>
    <row r="29" spans="2:5" x14ac:dyDescent="0.3">
      <c r="B29" s="361"/>
      <c r="C29" s="361"/>
      <c r="D29" s="361"/>
      <c r="E29" s="458"/>
    </row>
    <row r="30" spans="2:5" x14ac:dyDescent="0.3">
      <c r="B30" s="361"/>
      <c r="C30" s="361"/>
      <c r="D30" s="361"/>
      <c r="E30" s="458"/>
    </row>
    <row r="31" spans="2:5" x14ac:dyDescent="0.3">
      <c r="B31" s="361"/>
      <c r="C31" s="361"/>
      <c r="D31" s="361"/>
      <c r="E31" s="458"/>
    </row>
    <row r="32" spans="2:5" x14ac:dyDescent="0.3">
      <c r="B32" s="361"/>
      <c r="C32" s="361"/>
      <c r="D32" s="361"/>
      <c r="E32" s="458"/>
    </row>
    <row r="33" spans="2:5" x14ac:dyDescent="0.3">
      <c r="B33" s="361"/>
      <c r="C33" s="361"/>
      <c r="D33" s="361"/>
      <c r="E33" s="458"/>
    </row>
    <row r="34" spans="2:5" x14ac:dyDescent="0.3">
      <c r="B34" s="361"/>
      <c r="C34" s="361"/>
      <c r="D34" s="361"/>
      <c r="E34" s="458"/>
    </row>
    <row r="35" spans="2:5" x14ac:dyDescent="0.3">
      <c r="B35" s="361"/>
      <c r="C35" s="361"/>
      <c r="D35" s="361"/>
      <c r="E35" s="458"/>
    </row>
  </sheetData>
  <sortState xmlns:xlrd2="http://schemas.microsoft.com/office/spreadsheetml/2017/richdata2" ref="B13:C34">
    <sortCondition ref="C16:C34"/>
  </sortState>
  <mergeCells count="21">
    <mergeCell ref="I7:I8"/>
    <mergeCell ref="K7:K8"/>
    <mergeCell ref="B9:B10"/>
    <mergeCell ref="C7:C10"/>
    <mergeCell ref="G7:G10"/>
    <mergeCell ref="H7:H10"/>
    <mergeCell ref="E9:E10"/>
    <mergeCell ref="B7:B8"/>
    <mergeCell ref="BD5:BF5"/>
    <mergeCell ref="H5:K5"/>
    <mergeCell ref="L5:N5"/>
    <mergeCell ref="P5:R5"/>
    <mergeCell ref="T5:V5"/>
    <mergeCell ref="X5:Z5"/>
    <mergeCell ref="AB5:AD5"/>
    <mergeCell ref="AF5:AH5"/>
    <mergeCell ref="AJ5:AL5"/>
    <mergeCell ref="AN5:AP5"/>
    <mergeCell ref="AR5:AT5"/>
    <mergeCell ref="AV5:AX5"/>
    <mergeCell ref="AZ5:BB5"/>
  </mergeCells>
  <conditionalFormatting sqref="K9:K10">
    <cfRule type="colorScale" priority="1">
      <colorScale>
        <cfvo type="num" val="0"/>
        <cfvo type="num" val="0"/>
        <color rgb="FFFF0000"/>
        <color rgb="FF00B050"/>
      </colorScale>
    </cfRule>
  </conditionalFormatting>
  <conditionalFormatting sqref="L7:L10">
    <cfRule type="cellIs" dxfId="5" priority="5" operator="lessThan">
      <formula>0</formula>
    </cfRule>
  </conditionalFormatting>
  <conditionalFormatting sqref="M7:M10">
    <cfRule type="cellIs" dxfId="4" priority="6" operator="lessThan">
      <formula>0</formula>
    </cfRule>
  </conditionalFormatting>
  <conditionalFormatting sqref="O7:O10 K7">
    <cfRule type="colorScale" priority="7">
      <colorScale>
        <cfvo type="num" val="0"/>
        <cfvo type="num" val="0"/>
        <color rgb="FFFF0000"/>
        <color rgb="FF00B050"/>
      </colorScale>
    </cfRule>
  </conditionalFormatting>
  <hyperlinks>
    <hyperlink ref="A1" location="'Budget Total 2024'!A1" display="Totals" xr:uid="{B4E81655-09F8-473D-863D-16C6C89B6D47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338C-F74A-4AB5-9547-98D25BCDF13D}">
  <dimension ref="A1:BG15"/>
  <sheetViews>
    <sheetView zoomScale="90" zoomScaleNormal="90" workbookViewId="0">
      <pane xSplit="11" topLeftCell="L1" activePane="topRight" state="frozen"/>
      <selection pane="topRight"/>
    </sheetView>
  </sheetViews>
  <sheetFormatPr defaultColWidth="8.88671875" defaultRowHeight="14.4" x14ac:dyDescent="0.3"/>
  <cols>
    <col min="1" max="1" width="6.33203125" bestFit="1" customWidth="1"/>
    <col min="2" max="2" width="10" bestFit="1" customWidth="1"/>
    <col min="3" max="3" width="14.44140625" customWidth="1"/>
    <col min="4" max="4" width="4.6640625" bestFit="1" customWidth="1"/>
    <col min="5" max="5" width="31.33203125" bestFit="1" customWidth="1"/>
    <col min="6" max="6" width="9" bestFit="1" customWidth="1"/>
    <col min="7" max="7" width="13.109375" bestFit="1" customWidth="1"/>
    <col min="8" max="8" width="12.44140625" bestFit="1" customWidth="1"/>
    <col min="9" max="9" width="15.6640625" style="35" bestFit="1" customWidth="1"/>
    <col min="10" max="10" width="13.88671875" bestFit="1" customWidth="1"/>
    <col min="11" max="11" width="12" bestFit="1" customWidth="1"/>
    <col min="12" max="13" width="11" bestFit="1" customWidth="1"/>
    <col min="14" max="14" width="7.44140625" bestFit="1" customWidth="1"/>
    <col min="15" max="15" width="9.6640625" bestFit="1" customWidth="1"/>
    <col min="16" max="16" width="10.44140625" bestFit="1" customWidth="1"/>
    <col min="17" max="17" width="11" bestFit="1" customWidth="1"/>
    <col min="18" max="18" width="7.44140625" bestFit="1" customWidth="1"/>
    <col min="19" max="19" width="9.6640625" bestFit="1" customWidth="1"/>
    <col min="20" max="20" width="10.44140625" bestFit="1" customWidth="1"/>
    <col min="21" max="21" width="11" bestFit="1" customWidth="1"/>
    <col min="22" max="22" width="7.44140625" bestFit="1" customWidth="1"/>
    <col min="23" max="23" width="9.6640625" bestFit="1" customWidth="1"/>
    <col min="24" max="25" width="11" bestFit="1" customWidth="1"/>
    <col min="26" max="26" width="13.109375" bestFit="1" customWidth="1"/>
    <col min="27" max="27" width="9.6640625" bestFit="1" customWidth="1"/>
    <col min="28" max="28" width="10.44140625" bestFit="1" customWidth="1"/>
    <col min="29" max="29" width="11" bestFit="1" customWidth="1"/>
    <col min="30" max="30" width="7.44140625" bestFit="1" customWidth="1"/>
    <col min="31" max="31" width="9.6640625" bestFit="1" customWidth="1"/>
    <col min="32" max="32" width="10.44140625" bestFit="1" customWidth="1"/>
    <col min="33" max="33" width="11" bestFit="1" customWidth="1"/>
    <col min="34" max="34" width="7.44140625" bestFit="1" customWidth="1"/>
    <col min="35" max="35" width="9.6640625" bestFit="1" customWidth="1"/>
    <col min="36" max="36" width="6.44140625" bestFit="1" customWidth="1"/>
    <col min="37" max="37" width="3.44140625" bestFit="1" customWidth="1"/>
    <col min="38" max="38" width="7.44140625" bestFit="1" customWidth="1"/>
    <col min="39" max="39" width="9.6640625" bestFit="1" customWidth="1"/>
    <col min="40" max="40" width="6.109375" bestFit="1" customWidth="1"/>
    <col min="41" max="41" width="3.44140625" bestFit="1" customWidth="1"/>
    <col min="42" max="42" width="7.44140625" bestFit="1" customWidth="1"/>
    <col min="43" max="43" width="9.6640625" bestFit="1" customWidth="1"/>
    <col min="44" max="44" width="7.109375" bestFit="1" customWidth="1"/>
    <col min="45" max="45" width="3.44140625" bestFit="1" customWidth="1"/>
    <col min="46" max="46" width="7.44140625" bestFit="1" customWidth="1"/>
    <col min="47" max="47" width="9.6640625" bestFit="1" customWidth="1"/>
    <col min="48" max="48" width="6.6640625" bestFit="1" customWidth="1"/>
    <col min="49" max="49" width="3.44140625" bestFit="1" customWidth="1"/>
    <col min="50" max="50" width="7.44140625" bestFit="1" customWidth="1"/>
    <col min="51" max="51" width="9.6640625" bestFit="1" customWidth="1"/>
    <col min="52" max="52" width="6.44140625" bestFit="1" customWidth="1"/>
    <col min="53" max="53" width="3.44140625" bestFit="1" customWidth="1"/>
    <col min="54" max="54" width="7.44140625" bestFit="1" customWidth="1"/>
    <col min="55" max="55" width="9.6640625" bestFit="1" customWidth="1"/>
    <col min="56" max="56" width="6.109375" bestFit="1" customWidth="1"/>
    <col min="57" max="57" width="3.44140625" bestFit="1" customWidth="1"/>
    <col min="58" max="58" width="7.44140625" bestFit="1" customWidth="1"/>
    <col min="59" max="59" width="9.6640625" bestFit="1" customWidth="1"/>
  </cols>
  <sheetData>
    <row r="1" spans="1:59" x14ac:dyDescent="0.3">
      <c r="A1" s="27" t="s">
        <v>43</v>
      </c>
      <c r="B1" s="28"/>
      <c r="C1" s="28"/>
      <c r="D1" s="28"/>
      <c r="E1" s="28"/>
      <c r="F1" s="28"/>
      <c r="G1" s="28"/>
      <c r="H1" s="28"/>
      <c r="I1" s="29"/>
      <c r="J1" s="28"/>
      <c r="K1" s="28"/>
      <c r="L1" s="28"/>
      <c r="M1" s="28"/>
      <c r="N1" s="30"/>
      <c r="O1" s="30"/>
      <c r="P1" s="28"/>
      <c r="Q1" s="28"/>
      <c r="R1" s="28"/>
      <c r="S1" s="28"/>
      <c r="T1" s="28"/>
      <c r="U1" s="28"/>
      <c r="V1" s="30"/>
      <c r="W1" s="30"/>
    </row>
    <row r="2" spans="1:59" ht="15" thickBot="1" x14ac:dyDescent="0.35">
      <c r="A2" s="28"/>
      <c r="B2" s="28"/>
      <c r="C2" s="28"/>
      <c r="D2" s="28"/>
      <c r="E2" s="28"/>
      <c r="F2" s="28"/>
      <c r="G2" s="28"/>
      <c r="H2" s="28"/>
      <c r="I2" s="29"/>
      <c r="J2" s="28"/>
      <c r="K2" s="28"/>
      <c r="L2" s="28"/>
      <c r="M2" s="28"/>
      <c r="N2" s="30"/>
      <c r="O2" s="30"/>
      <c r="P2" s="28"/>
      <c r="Q2" s="28"/>
      <c r="R2" s="28"/>
      <c r="S2" s="28"/>
      <c r="T2" s="28"/>
      <c r="U2" s="28"/>
      <c r="V2" s="30"/>
      <c r="W2" s="30"/>
    </row>
    <row r="3" spans="1:59" ht="15" thickBot="1" x14ac:dyDescent="0.35">
      <c r="A3" s="28"/>
      <c r="B3" s="31" t="s">
        <v>27</v>
      </c>
      <c r="C3" s="755">
        <v>204343</v>
      </c>
      <c r="D3" s="329">
        <f>'Budget Total 2024'!H2</f>
        <v>12</v>
      </c>
      <c r="E3" s="33"/>
      <c r="F3" s="33"/>
      <c r="G3" s="33"/>
      <c r="H3" s="33"/>
      <c r="I3" s="34"/>
      <c r="J3" s="28"/>
      <c r="K3" s="28"/>
      <c r="L3" s="28"/>
      <c r="M3" s="28"/>
      <c r="N3" s="30"/>
      <c r="O3" s="30"/>
      <c r="P3" s="28"/>
      <c r="Q3" s="28"/>
      <c r="R3" s="28"/>
      <c r="S3" s="28"/>
      <c r="T3" s="28"/>
      <c r="U3" s="28"/>
      <c r="V3" s="30"/>
      <c r="W3" s="30"/>
    </row>
    <row r="4" spans="1:59" ht="15" thickBot="1" x14ac:dyDescent="0.35"/>
    <row r="5" spans="1:59" ht="15" thickBot="1" x14ac:dyDescent="0.35">
      <c r="A5" s="28"/>
      <c r="B5" s="36"/>
      <c r="C5" s="153"/>
      <c r="D5" s="37"/>
      <c r="E5" s="38"/>
      <c r="F5" s="469"/>
      <c r="G5" s="586"/>
      <c r="H5" s="584"/>
      <c r="I5" s="1231" t="s">
        <v>73</v>
      </c>
      <c r="J5" s="1231"/>
      <c r="K5" s="1231"/>
      <c r="L5" s="1237" t="s">
        <v>31</v>
      </c>
      <c r="M5" s="1234"/>
      <c r="N5" s="1234"/>
      <c r="O5" s="589"/>
      <c r="P5" s="1231" t="s">
        <v>32</v>
      </c>
      <c r="Q5" s="1231"/>
      <c r="R5" s="1231"/>
      <c r="S5" s="584"/>
      <c r="T5" s="1235" t="s">
        <v>33</v>
      </c>
      <c r="U5" s="1236"/>
      <c r="V5" s="1236"/>
      <c r="W5" s="587"/>
      <c r="X5" s="1237" t="s">
        <v>34</v>
      </c>
      <c r="Y5" s="1234"/>
      <c r="Z5" s="1234"/>
      <c r="AA5" s="589"/>
      <c r="AB5" s="1231" t="s">
        <v>35</v>
      </c>
      <c r="AC5" s="1231"/>
      <c r="AD5" s="1231"/>
      <c r="AE5" s="584"/>
      <c r="AF5" s="1235" t="s">
        <v>36</v>
      </c>
      <c r="AG5" s="1236"/>
      <c r="AH5" s="1236"/>
      <c r="AI5" s="587"/>
      <c r="AJ5" s="1237" t="s">
        <v>37</v>
      </c>
      <c r="AK5" s="1234"/>
      <c r="AL5" s="1234"/>
      <c r="AM5" s="589"/>
      <c r="AN5" s="1231" t="s">
        <v>38</v>
      </c>
      <c r="AO5" s="1231"/>
      <c r="AP5" s="1231"/>
      <c r="AQ5" s="584"/>
      <c r="AR5" s="1235" t="s">
        <v>39</v>
      </c>
      <c r="AS5" s="1236"/>
      <c r="AT5" s="1236"/>
      <c r="AU5" s="587"/>
      <c r="AV5" s="1235" t="s">
        <v>40</v>
      </c>
      <c r="AW5" s="1236"/>
      <c r="AX5" s="1236"/>
      <c r="AY5" s="587"/>
      <c r="AZ5" s="1237" t="s">
        <v>41</v>
      </c>
      <c r="BA5" s="1234"/>
      <c r="BB5" s="1234"/>
      <c r="BC5" s="589"/>
      <c r="BD5" s="1238" t="s">
        <v>42</v>
      </c>
      <c r="BE5" s="1239"/>
      <c r="BF5" s="1239"/>
      <c r="BG5" s="161"/>
    </row>
    <row r="6" spans="1:59" ht="15" thickBot="1" x14ac:dyDescent="0.35">
      <c r="A6" s="28"/>
      <c r="B6" s="74" t="s">
        <v>30</v>
      </c>
      <c r="C6" s="74" t="s">
        <v>4</v>
      </c>
      <c r="D6" s="582" t="s">
        <v>74</v>
      </c>
      <c r="E6" s="74" t="s">
        <v>3</v>
      </c>
      <c r="F6" s="329" t="s">
        <v>47</v>
      </c>
      <c r="G6" s="581" t="s">
        <v>75</v>
      </c>
      <c r="H6" s="738" t="s">
        <v>76</v>
      </c>
      <c r="I6" s="32" t="s">
        <v>88</v>
      </c>
      <c r="J6" s="750" t="s">
        <v>78</v>
      </c>
      <c r="K6" s="40" t="s">
        <v>79</v>
      </c>
      <c r="L6" s="32" t="s">
        <v>80</v>
      </c>
      <c r="M6" s="32" t="s">
        <v>72</v>
      </c>
      <c r="N6" s="32" t="s">
        <v>81</v>
      </c>
      <c r="O6" s="32" t="s">
        <v>82</v>
      </c>
      <c r="P6" s="157" t="s">
        <v>80</v>
      </c>
      <c r="Q6" s="157" t="s">
        <v>72</v>
      </c>
      <c r="R6" s="157" t="s">
        <v>81</v>
      </c>
      <c r="S6" s="157" t="s">
        <v>82</v>
      </c>
      <c r="T6" s="157" t="s">
        <v>80</v>
      </c>
      <c r="U6" s="157" t="s">
        <v>72</v>
      </c>
      <c r="V6" s="157" t="s">
        <v>81</v>
      </c>
      <c r="W6" s="157" t="s">
        <v>82</v>
      </c>
      <c r="X6" s="32" t="s">
        <v>80</v>
      </c>
      <c r="Y6" s="32" t="s">
        <v>72</v>
      </c>
      <c r="Z6" s="32" t="s">
        <v>81</v>
      </c>
      <c r="AA6" s="32" t="s">
        <v>82</v>
      </c>
      <c r="AB6" s="157" t="s">
        <v>80</v>
      </c>
      <c r="AC6" s="157" t="s">
        <v>72</v>
      </c>
      <c r="AD6" s="157" t="s">
        <v>81</v>
      </c>
      <c r="AE6" s="157" t="s">
        <v>82</v>
      </c>
      <c r="AF6" s="157" t="s">
        <v>80</v>
      </c>
      <c r="AG6" s="157" t="s">
        <v>72</v>
      </c>
      <c r="AH6" s="157" t="s">
        <v>81</v>
      </c>
      <c r="AI6" s="157" t="s">
        <v>82</v>
      </c>
      <c r="AJ6" s="32" t="s">
        <v>80</v>
      </c>
      <c r="AK6" s="32" t="s">
        <v>72</v>
      </c>
      <c r="AL6" s="32" t="s">
        <v>81</v>
      </c>
      <c r="AM6" s="32" t="s">
        <v>82</v>
      </c>
      <c r="AN6" s="157" t="s">
        <v>80</v>
      </c>
      <c r="AO6" s="157" t="s">
        <v>72</v>
      </c>
      <c r="AP6" s="157" t="s">
        <v>81</v>
      </c>
      <c r="AQ6" s="157" t="s">
        <v>82</v>
      </c>
      <c r="AR6" s="157" t="s">
        <v>80</v>
      </c>
      <c r="AS6" s="157" t="s">
        <v>72</v>
      </c>
      <c r="AT6" s="157" t="s">
        <v>81</v>
      </c>
      <c r="AU6" s="157" t="s">
        <v>82</v>
      </c>
      <c r="AV6" s="157" t="s">
        <v>80</v>
      </c>
      <c r="AW6" s="157" t="s">
        <v>72</v>
      </c>
      <c r="AX6" s="157" t="s">
        <v>81</v>
      </c>
      <c r="AY6" s="157" t="s">
        <v>82</v>
      </c>
      <c r="AZ6" s="32" t="s">
        <v>80</v>
      </c>
      <c r="BA6" s="32" t="s">
        <v>72</v>
      </c>
      <c r="BB6" s="32" t="s">
        <v>81</v>
      </c>
      <c r="BC6" s="32" t="s">
        <v>82</v>
      </c>
      <c r="BD6" s="157" t="s">
        <v>80</v>
      </c>
      <c r="BE6" s="157" t="s">
        <v>72</v>
      </c>
      <c r="BF6" s="157" t="s">
        <v>81</v>
      </c>
      <c r="BG6" s="157" t="s">
        <v>82</v>
      </c>
    </row>
    <row r="7" spans="1:59" ht="15" customHeight="1" x14ac:dyDescent="0.3">
      <c r="A7" s="28"/>
      <c r="B7" s="1258"/>
      <c r="C7" s="1256"/>
      <c r="D7" s="745"/>
      <c r="E7" s="746"/>
      <c r="F7" s="1262"/>
      <c r="G7" s="1260"/>
      <c r="H7" s="328"/>
      <c r="I7" s="753"/>
      <c r="J7" s="751"/>
      <c r="K7" s="325"/>
      <c r="L7" s="215"/>
      <c r="M7" s="216"/>
      <c r="N7" s="216"/>
      <c r="O7" s="216"/>
      <c r="P7" s="219"/>
      <c r="Q7" s="220"/>
      <c r="R7" s="220"/>
      <c r="S7" s="220"/>
      <c r="T7" s="215"/>
      <c r="U7" s="216"/>
      <c r="V7" s="216"/>
      <c r="W7" s="216"/>
      <c r="X7" s="219"/>
      <c r="Y7" s="220"/>
      <c r="Z7" s="220"/>
      <c r="AA7" s="220"/>
      <c r="AB7" s="215"/>
      <c r="AC7" s="216"/>
      <c r="AD7" s="216"/>
      <c r="AE7" s="216"/>
      <c r="AF7" s="219"/>
      <c r="AG7" s="220"/>
      <c r="AH7" s="220"/>
      <c r="AI7" s="220"/>
      <c r="AJ7" s="215"/>
      <c r="AK7" s="216"/>
      <c r="AL7" s="216"/>
      <c r="AM7" s="216"/>
      <c r="AN7" s="219"/>
      <c r="AO7" s="220"/>
      <c r="AP7" s="220"/>
      <c r="AQ7" s="220"/>
      <c r="AR7" s="215"/>
      <c r="AS7" s="216"/>
      <c r="AT7" s="216"/>
      <c r="AU7" s="216"/>
      <c r="AV7" s="219"/>
      <c r="AW7" s="220"/>
      <c r="AX7" s="220"/>
      <c r="AY7" s="220"/>
      <c r="AZ7" s="215"/>
      <c r="BA7" s="216"/>
      <c r="BB7" s="216"/>
      <c r="BC7" s="216"/>
      <c r="BD7" s="219"/>
      <c r="BE7" s="220"/>
      <c r="BF7" s="220"/>
      <c r="BG7" s="220"/>
    </row>
    <row r="8" spans="1:59" ht="15" thickBot="1" x14ac:dyDescent="0.35">
      <c r="A8" s="28"/>
      <c r="B8" s="1259"/>
      <c r="C8" s="1257"/>
      <c r="D8" s="747"/>
      <c r="E8" s="748"/>
      <c r="F8" s="1263"/>
      <c r="G8" s="1261"/>
      <c r="H8" s="736"/>
      <c r="I8" s="754"/>
      <c r="J8" s="752"/>
      <c r="K8" s="156"/>
      <c r="L8" s="217"/>
      <c r="M8" s="147"/>
      <c r="N8" s="218"/>
      <c r="O8" s="218"/>
      <c r="P8" s="158"/>
      <c r="Q8" s="160"/>
      <c r="R8" s="159"/>
      <c r="S8" s="159"/>
      <c r="T8" s="217"/>
      <c r="U8" s="147"/>
      <c r="V8" s="218"/>
      <c r="W8" s="218"/>
      <c r="X8" s="158"/>
      <c r="Y8" s="160"/>
      <c r="Z8" s="159"/>
      <c r="AA8" s="159"/>
      <c r="AB8" s="217"/>
      <c r="AC8" s="147"/>
      <c r="AD8" s="218"/>
      <c r="AE8" s="218"/>
      <c r="AF8" s="158"/>
      <c r="AG8" s="160"/>
      <c r="AH8" s="159"/>
      <c r="AI8" s="159"/>
      <c r="AJ8" s="217"/>
      <c r="AK8" s="147"/>
      <c r="AL8" s="218"/>
      <c r="AM8" s="218"/>
      <c r="AN8" s="158"/>
      <c r="AO8" s="160"/>
      <c r="AP8" s="159"/>
      <c r="AQ8" s="159"/>
      <c r="AR8" s="217"/>
      <c r="AS8" s="147"/>
      <c r="AT8" s="218"/>
      <c r="AU8" s="218"/>
      <c r="AV8" s="158"/>
      <c r="AW8" s="160"/>
      <c r="AX8" s="159"/>
      <c r="AY8" s="159"/>
      <c r="AZ8" s="217"/>
      <c r="BA8" s="147"/>
      <c r="BB8" s="218"/>
      <c r="BC8" s="218"/>
      <c r="BD8" s="158"/>
      <c r="BE8" s="160"/>
      <c r="BF8" s="159"/>
      <c r="BG8" s="159"/>
    </row>
    <row r="9" spans="1:59" s="3" customFormat="1" ht="15" thickBot="1" x14ac:dyDescent="0.35">
      <c r="B9" s="65" t="s">
        <v>83</v>
      </c>
      <c r="C9" s="1037"/>
      <c r="D9" s="132"/>
      <c r="E9" s="132"/>
      <c r="F9" s="744"/>
      <c r="G9" s="580">
        <v>150000</v>
      </c>
      <c r="H9" s="737"/>
      <c r="I9" s="733">
        <f>SUM(I7:I8)</f>
        <v>0</v>
      </c>
      <c r="J9" s="322">
        <f>SUM(J7:J8)</f>
        <v>0</v>
      </c>
      <c r="K9" s="69">
        <f t="shared" ref="K9" si="0">I9-J9</f>
        <v>0</v>
      </c>
      <c r="L9" s="277">
        <f>SUM(L7:L8)</f>
        <v>0</v>
      </c>
      <c r="M9" s="97"/>
      <c r="N9" s="97"/>
      <c r="O9" s="97"/>
      <c r="P9" s="462">
        <f>SUM(P7:P8)</f>
        <v>0</v>
      </c>
      <c r="Q9" s="132"/>
      <c r="R9" s="132"/>
      <c r="S9" s="132"/>
      <c r="T9" s="97">
        <f>SUM(T7:T8)</f>
        <v>0</v>
      </c>
      <c r="U9" s="97"/>
      <c r="V9" s="97"/>
      <c r="W9" s="97"/>
      <c r="X9" s="277">
        <f>SUM(X7:X8)</f>
        <v>0</v>
      </c>
      <c r="Y9" s="97"/>
      <c r="Z9" s="97"/>
      <c r="AA9" s="97"/>
      <c r="AB9" s="462">
        <f>SUM(AB7:AB8)</f>
        <v>0</v>
      </c>
      <c r="AC9" s="132"/>
      <c r="AD9" s="132"/>
      <c r="AE9" s="132"/>
      <c r="AF9" s="97">
        <f>SUM(AF7:AF8)</f>
        <v>0</v>
      </c>
      <c r="AG9" s="97"/>
      <c r="AH9" s="97"/>
      <c r="AI9" s="97"/>
      <c r="AJ9" s="277">
        <f>SUM(AJ7:AJ8)</f>
        <v>0</v>
      </c>
      <c r="AK9" s="97"/>
      <c r="AL9" s="97"/>
      <c r="AM9" s="97"/>
      <c r="AN9" s="462">
        <f>SUM(AN7:AN8)</f>
        <v>0</v>
      </c>
      <c r="AO9" s="132"/>
      <c r="AP9" s="132"/>
      <c r="AQ9" s="132"/>
      <c r="AR9" s="97">
        <f>SUM(AR7:AR8)</f>
        <v>0</v>
      </c>
      <c r="AS9" s="97"/>
      <c r="AT9" s="97"/>
      <c r="AU9" s="97"/>
      <c r="AV9" s="97">
        <f>SUM(AV7:AV8)</f>
        <v>0</v>
      </c>
      <c r="AW9" s="97"/>
      <c r="AX9" s="97"/>
      <c r="AY9" s="97"/>
      <c r="AZ9" s="277">
        <f>SUM(AZ7:AZ8)</f>
        <v>0</v>
      </c>
      <c r="BA9" s="97"/>
      <c r="BB9" s="97"/>
      <c r="BC9" s="97"/>
      <c r="BD9" s="462">
        <f>SUM(BD7:BD8)</f>
        <v>0</v>
      </c>
      <c r="BE9" s="132"/>
      <c r="BF9" s="132"/>
      <c r="BG9" s="132"/>
    </row>
    <row r="11" spans="1:59" x14ac:dyDescent="0.3">
      <c r="H11" s="183"/>
    </row>
    <row r="12" spans="1:59" x14ac:dyDescent="0.3">
      <c r="AF12" s="438"/>
    </row>
    <row r="15" spans="1:59" x14ac:dyDescent="0.3">
      <c r="I15" s="276"/>
      <c r="J15" s="359"/>
    </row>
  </sheetData>
  <mergeCells count="17">
    <mergeCell ref="B7:B8"/>
    <mergeCell ref="G7:G8"/>
    <mergeCell ref="F7:F8"/>
    <mergeCell ref="BD5:BF5"/>
    <mergeCell ref="C7:C8"/>
    <mergeCell ref="AF5:AH5"/>
    <mergeCell ref="AJ5:AL5"/>
    <mergeCell ref="AN5:AP5"/>
    <mergeCell ref="AR5:AT5"/>
    <mergeCell ref="AV5:AX5"/>
    <mergeCell ref="AZ5:BB5"/>
    <mergeCell ref="I5:K5"/>
    <mergeCell ref="L5:N5"/>
    <mergeCell ref="P5:R5"/>
    <mergeCell ref="T5:V5"/>
    <mergeCell ref="X5:Z5"/>
    <mergeCell ref="AB5:AD5"/>
  </mergeCells>
  <conditionalFormatting sqref="K7:K8">
    <cfRule type="colorScale" priority="1">
      <colorScale>
        <cfvo type="num" val="0"/>
        <cfvo type="num" val="0"/>
        <color rgb="FFFF0000"/>
        <color theme="9"/>
      </colorScale>
    </cfRule>
  </conditionalFormatting>
  <hyperlinks>
    <hyperlink ref="A1" location="'Budget Total 2024'!A1" display="Totals" xr:uid="{DE2E6C8B-B318-43C0-B82A-9F63EB08E3EA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AS18"/>
  <sheetViews>
    <sheetView workbookViewId="0"/>
  </sheetViews>
  <sheetFormatPr defaultColWidth="8.88671875" defaultRowHeight="14.4" x14ac:dyDescent="0.3"/>
  <cols>
    <col min="1" max="1" width="6.33203125" bestFit="1" customWidth="1"/>
    <col min="2" max="2" width="11.44140625" bestFit="1" customWidth="1"/>
    <col min="3" max="3" width="15.44140625" bestFit="1" customWidth="1"/>
    <col min="4" max="4" width="68.44140625" bestFit="1" customWidth="1"/>
    <col min="5" max="5" width="9" bestFit="1" customWidth="1"/>
    <col min="6" max="6" width="12.44140625" bestFit="1" customWidth="1"/>
    <col min="7" max="7" width="14.33203125" style="35" bestFit="1" customWidth="1"/>
    <col min="8" max="8" width="14.33203125" bestFit="1" customWidth="1"/>
    <col min="9" max="9" width="14" bestFit="1" customWidth="1"/>
    <col min="10" max="10" width="12.33203125" bestFit="1" customWidth="1"/>
    <col min="11" max="11" width="10.33203125" bestFit="1" customWidth="1"/>
    <col min="12" max="12" width="11" bestFit="1" customWidth="1"/>
    <col min="13" max="14" width="11.33203125" bestFit="1" customWidth="1"/>
    <col min="15" max="15" width="11" bestFit="1" customWidth="1"/>
    <col min="16" max="16" width="12.33203125" bestFit="1" customWidth="1"/>
    <col min="17" max="17" width="11.33203125" bestFit="1" customWidth="1"/>
    <col min="18" max="18" width="11" bestFit="1" customWidth="1"/>
    <col min="19" max="20" width="11.33203125" bestFit="1" customWidth="1"/>
    <col min="21" max="21" width="11" bestFit="1" customWidth="1"/>
    <col min="22" max="23" width="11.33203125" bestFit="1" customWidth="1"/>
    <col min="24" max="24" width="11" bestFit="1" customWidth="1"/>
    <col min="25" max="26" width="11.33203125" bestFit="1" customWidth="1"/>
    <col min="27" max="27" width="11" bestFit="1" customWidth="1"/>
    <col min="28" max="28" width="12.33203125" bestFit="1" customWidth="1"/>
    <col min="29" max="29" width="11.33203125" bestFit="1" customWidth="1"/>
    <col min="30" max="30" width="11" bestFit="1" customWidth="1"/>
    <col min="31" max="31" width="10.33203125" bestFit="1" customWidth="1"/>
    <col min="32" max="32" width="11.33203125" bestFit="1" customWidth="1"/>
    <col min="33" max="33" width="11" style="5" bestFit="1" customWidth="1"/>
    <col min="34" max="35" width="10.33203125" bestFit="1" customWidth="1"/>
    <col min="36" max="36" width="11" bestFit="1" customWidth="1"/>
    <col min="37" max="37" width="10.33203125" bestFit="1" customWidth="1"/>
    <col min="38" max="38" width="11.33203125" bestFit="1" customWidth="1"/>
    <col min="39" max="39" width="11" bestFit="1" customWidth="1"/>
    <col min="40" max="40" width="10.33203125" bestFit="1" customWidth="1"/>
    <col min="41" max="41" width="11.33203125" bestFit="1" customWidth="1"/>
    <col min="42" max="42" width="11" bestFit="1" customWidth="1"/>
    <col min="43" max="43" width="10.33203125" bestFit="1" customWidth="1"/>
    <col min="44" max="44" width="11.33203125" bestFit="1" customWidth="1"/>
    <col min="45" max="45" width="11" bestFit="1" customWidth="1"/>
    <col min="46" max="46" width="9" bestFit="1" customWidth="1"/>
  </cols>
  <sheetData>
    <row r="1" spans="1:45" x14ac:dyDescent="0.3">
      <c r="A1" s="27" t="s">
        <v>43</v>
      </c>
      <c r="B1" s="82"/>
      <c r="C1" s="82"/>
      <c r="D1" s="28"/>
      <c r="E1" s="28"/>
      <c r="F1" s="28"/>
      <c r="G1" s="29"/>
      <c r="H1" s="28"/>
      <c r="I1" s="28"/>
      <c r="J1" s="28"/>
      <c r="K1" s="28"/>
      <c r="L1" s="30"/>
      <c r="M1" s="28"/>
      <c r="N1" s="28"/>
      <c r="O1" s="28"/>
      <c r="P1" s="28"/>
      <c r="Q1" s="28"/>
      <c r="R1" s="30"/>
      <c r="S1" s="30"/>
      <c r="T1" s="28"/>
      <c r="U1" s="28"/>
      <c r="V1" s="28"/>
      <c r="W1" s="28"/>
      <c r="X1" s="28"/>
      <c r="Y1" s="30"/>
      <c r="Z1" s="28"/>
      <c r="AA1" s="28"/>
      <c r="AB1" s="28"/>
    </row>
    <row r="2" spans="1:45" ht="15" thickBot="1" x14ac:dyDescent="0.35">
      <c r="A2" s="28"/>
      <c r="B2" s="28"/>
      <c r="C2" s="28"/>
      <c r="D2" s="28"/>
      <c r="E2" s="28"/>
      <c r="F2" s="28"/>
      <c r="G2" s="29"/>
      <c r="H2" s="28"/>
      <c r="I2" s="28"/>
      <c r="J2" s="28"/>
      <c r="K2" s="28"/>
      <c r="L2" s="30"/>
      <c r="M2" s="28"/>
      <c r="N2" s="28"/>
      <c r="O2" s="28"/>
      <c r="P2" s="28"/>
      <c r="Q2" s="28"/>
      <c r="R2" s="30"/>
      <c r="S2" s="30"/>
      <c r="T2" s="28"/>
      <c r="U2" s="28"/>
      <c r="V2" s="28"/>
      <c r="W2" s="28"/>
      <c r="X2" s="28"/>
      <c r="Y2" s="30"/>
      <c r="Z2" s="28"/>
      <c r="AA2" s="28"/>
      <c r="AB2" s="28"/>
    </row>
    <row r="3" spans="1:45" ht="15" thickBot="1" x14ac:dyDescent="0.35">
      <c r="A3" s="28"/>
      <c r="B3" s="31"/>
      <c r="C3" s="32"/>
      <c r="D3" s="33"/>
      <c r="E3" s="33"/>
      <c r="F3" s="33"/>
      <c r="G3" s="34"/>
      <c r="H3" s="28"/>
      <c r="I3" s="28"/>
      <c r="J3" s="28"/>
      <c r="K3" s="28"/>
      <c r="L3" s="30"/>
      <c r="M3" s="28"/>
      <c r="N3" s="28"/>
      <c r="O3" s="28"/>
      <c r="P3" s="28"/>
      <c r="Q3" s="28"/>
      <c r="R3" s="30"/>
      <c r="S3" s="30"/>
      <c r="T3" s="28"/>
      <c r="U3" s="28"/>
      <c r="V3" s="28"/>
      <c r="W3" s="28"/>
      <c r="X3" s="28"/>
      <c r="Y3" s="30"/>
      <c r="Z3" s="28"/>
      <c r="AA3" s="28"/>
      <c r="AB3" s="28"/>
    </row>
    <row r="4" spans="1:45" ht="15" thickBot="1" x14ac:dyDescent="0.35"/>
    <row r="5" spans="1:45" x14ac:dyDescent="0.3">
      <c r="A5" s="28"/>
      <c r="B5" s="36"/>
      <c r="C5" s="37"/>
      <c r="D5" s="38"/>
      <c r="E5" s="469"/>
      <c r="F5" s="584"/>
      <c r="G5" s="1231" t="s">
        <v>73</v>
      </c>
      <c r="H5" s="1231"/>
      <c r="I5" s="1231"/>
      <c r="J5" s="1264" t="s">
        <v>31</v>
      </c>
      <c r="K5" s="1265"/>
      <c r="L5" s="1266"/>
      <c r="M5" s="1231" t="s">
        <v>32</v>
      </c>
      <c r="N5" s="1231"/>
      <c r="O5" s="1231"/>
      <c r="P5" s="1232" t="s">
        <v>33</v>
      </c>
      <c r="Q5" s="1231"/>
      <c r="R5" s="1231"/>
      <c r="S5" s="1232" t="s">
        <v>34</v>
      </c>
      <c r="T5" s="1231"/>
      <c r="U5" s="1233"/>
      <c r="V5" s="1232" t="s">
        <v>35</v>
      </c>
      <c r="W5" s="1231"/>
      <c r="X5" s="1233"/>
      <c r="Y5" s="1232" t="s">
        <v>36</v>
      </c>
      <c r="Z5" s="1231"/>
      <c r="AA5" s="1233"/>
      <c r="AB5" s="1231" t="s">
        <v>37</v>
      </c>
      <c r="AC5" s="1231"/>
      <c r="AD5" s="1233"/>
      <c r="AE5" s="1231" t="s">
        <v>38</v>
      </c>
      <c r="AF5" s="1231"/>
      <c r="AG5" s="1233"/>
      <c r="AH5" s="1231" t="s">
        <v>39</v>
      </c>
      <c r="AI5" s="1231"/>
      <c r="AJ5" s="1233"/>
      <c r="AK5" s="1231" t="s">
        <v>40</v>
      </c>
      <c r="AL5" s="1231"/>
      <c r="AM5" s="1233"/>
      <c r="AN5" s="1231" t="s">
        <v>41</v>
      </c>
      <c r="AO5" s="1231"/>
      <c r="AP5" s="1233"/>
      <c r="AQ5" s="1231" t="s">
        <v>42</v>
      </c>
      <c r="AR5" s="1231"/>
      <c r="AS5" s="1233"/>
    </row>
    <row r="6" spans="1:45" x14ac:dyDescent="0.3">
      <c r="A6" s="28"/>
      <c r="B6" s="88" t="s">
        <v>4</v>
      </c>
      <c r="C6" s="1053" t="s">
        <v>74</v>
      </c>
      <c r="D6" s="74" t="s">
        <v>3</v>
      </c>
      <c r="E6" s="73" t="s">
        <v>47</v>
      </c>
      <c r="F6" s="74" t="s">
        <v>75</v>
      </c>
      <c r="G6" s="40" t="s">
        <v>89</v>
      </c>
      <c r="H6" s="41" t="s">
        <v>78</v>
      </c>
      <c r="I6" s="42" t="s">
        <v>79</v>
      </c>
      <c r="J6" s="40" t="s">
        <v>80</v>
      </c>
      <c r="K6" s="43" t="s">
        <v>72</v>
      </c>
      <c r="L6" s="44" t="s">
        <v>81</v>
      </c>
      <c r="M6" s="43" t="s">
        <v>80</v>
      </c>
      <c r="N6" s="43" t="s">
        <v>72</v>
      </c>
      <c r="O6" s="43" t="s">
        <v>81</v>
      </c>
      <c r="P6" s="40" t="s">
        <v>80</v>
      </c>
      <c r="Q6" s="43" t="s">
        <v>72</v>
      </c>
      <c r="R6" s="43" t="s">
        <v>81</v>
      </c>
      <c r="S6" s="40" t="s">
        <v>80</v>
      </c>
      <c r="T6" s="43" t="s">
        <v>72</v>
      </c>
      <c r="U6" s="44" t="s">
        <v>81</v>
      </c>
      <c r="V6" s="40" t="s">
        <v>80</v>
      </c>
      <c r="W6" s="43" t="s">
        <v>72</v>
      </c>
      <c r="X6" s="44" t="s">
        <v>81</v>
      </c>
      <c r="Y6" s="40" t="s">
        <v>80</v>
      </c>
      <c r="Z6" s="43" t="s">
        <v>72</v>
      </c>
      <c r="AA6" s="44" t="s">
        <v>81</v>
      </c>
      <c r="AB6" s="43" t="s">
        <v>80</v>
      </c>
      <c r="AC6" s="43" t="s">
        <v>72</v>
      </c>
      <c r="AD6" s="44" t="s">
        <v>81</v>
      </c>
      <c r="AE6" s="43" t="s">
        <v>80</v>
      </c>
      <c r="AF6" s="43" t="s">
        <v>72</v>
      </c>
      <c r="AG6" s="44" t="s">
        <v>81</v>
      </c>
      <c r="AH6" s="43" t="s">
        <v>80</v>
      </c>
      <c r="AI6" s="43" t="s">
        <v>72</v>
      </c>
      <c r="AJ6" s="44" t="s">
        <v>81</v>
      </c>
      <c r="AK6" s="43" t="s">
        <v>80</v>
      </c>
      <c r="AL6" s="43" t="s">
        <v>72</v>
      </c>
      <c r="AM6" s="44" t="s">
        <v>81</v>
      </c>
      <c r="AN6" s="43" t="s">
        <v>80</v>
      </c>
      <c r="AO6" s="43" t="s">
        <v>72</v>
      </c>
      <c r="AP6" s="44" t="s">
        <v>81</v>
      </c>
      <c r="AQ6" s="43" t="s">
        <v>80</v>
      </c>
      <c r="AR6" s="43" t="s">
        <v>72</v>
      </c>
      <c r="AS6" s="44" t="s">
        <v>81</v>
      </c>
    </row>
    <row r="7" spans="1:45" ht="15" customHeight="1" x14ac:dyDescent="0.3">
      <c r="A7" s="28"/>
      <c r="B7" s="1055"/>
      <c r="C7" s="1056"/>
      <c r="D7" s="1051"/>
      <c r="E7" s="759"/>
      <c r="F7" s="370"/>
      <c r="G7" s="368"/>
      <c r="H7" s="363"/>
      <c r="I7" s="362"/>
      <c r="J7" s="45"/>
      <c r="K7" s="393"/>
      <c r="L7" s="47"/>
      <c r="M7" s="48"/>
      <c r="N7" s="47"/>
      <c r="O7" s="46"/>
      <c r="P7" s="49"/>
      <c r="Q7" s="148"/>
      <c r="R7" s="46"/>
      <c r="S7" s="49"/>
      <c r="T7" s="47"/>
      <c r="U7" s="47"/>
      <c r="V7" s="50"/>
      <c r="W7" s="47"/>
      <c r="X7" s="51"/>
      <c r="Y7" s="116"/>
      <c r="Z7" s="84"/>
      <c r="AA7" s="47"/>
      <c r="AB7" s="48"/>
      <c r="AC7" s="47"/>
      <c r="AD7" s="46"/>
      <c r="AE7" s="45"/>
      <c r="AF7" s="47"/>
      <c r="AG7" s="51"/>
      <c r="AH7" s="48"/>
      <c r="AI7" s="47"/>
      <c r="AJ7" s="46"/>
      <c r="AK7" s="45"/>
      <c r="AL7" s="47"/>
      <c r="AM7" s="51"/>
      <c r="AN7" s="50"/>
      <c r="AO7" s="47"/>
      <c r="AP7" s="53"/>
      <c r="AQ7" s="45"/>
      <c r="AR7" s="47"/>
      <c r="AS7" s="52"/>
    </row>
    <row r="8" spans="1:45" x14ac:dyDescent="0.3">
      <c r="B8" s="1057"/>
      <c r="C8" s="1058"/>
      <c r="D8" s="1052"/>
      <c r="E8" s="760"/>
      <c r="F8" s="371"/>
      <c r="G8" s="369"/>
      <c r="H8" s="364"/>
      <c r="I8" s="362"/>
      <c r="J8" s="54"/>
      <c r="K8" s="55"/>
      <c r="L8" s="56"/>
      <c r="M8" s="57"/>
      <c r="N8" s="56"/>
      <c r="O8" s="55"/>
      <c r="P8" s="58"/>
      <c r="Q8" s="182"/>
      <c r="R8" s="56"/>
      <c r="S8" s="58"/>
      <c r="T8" s="55"/>
      <c r="U8" s="56"/>
      <c r="V8" s="59"/>
      <c r="W8" s="60"/>
      <c r="X8" s="61"/>
      <c r="Y8" s="58"/>
      <c r="Z8" s="182"/>
      <c r="AA8" s="56"/>
      <c r="AB8" s="57"/>
      <c r="AC8" s="56"/>
      <c r="AD8" s="55"/>
      <c r="AE8" s="58"/>
      <c r="AF8" s="60"/>
      <c r="AG8" s="61"/>
      <c r="AH8" s="54"/>
      <c r="AI8" s="60"/>
      <c r="AJ8" s="61"/>
      <c r="AK8" s="58"/>
      <c r="AL8" s="60"/>
      <c r="AM8" s="61"/>
      <c r="AN8" s="58"/>
      <c r="AO8" s="62"/>
      <c r="AP8" s="63"/>
      <c r="AQ8" s="58"/>
      <c r="AR8" s="62"/>
      <c r="AS8" s="64"/>
    </row>
    <row r="9" spans="1:45" s="3" customFormat="1" x14ac:dyDescent="0.3">
      <c r="B9" s="1047"/>
      <c r="C9" s="1054"/>
      <c r="D9" s="66"/>
      <c r="E9" s="858"/>
      <c r="F9" s="372">
        <f>SUM(F7:F8)</f>
        <v>0</v>
      </c>
      <c r="G9" s="365">
        <f>SUM(G7:G8)</f>
        <v>0</v>
      </c>
      <c r="H9" s="366">
        <f>J9+M9+P9+S9+V9+Y9+AB9+AE9+AH9+AK9+AN9+AQ9</f>
        <v>0</v>
      </c>
      <c r="I9" s="367">
        <f>G9-H9</f>
        <v>0</v>
      </c>
      <c r="J9" s="69">
        <f>SUM(J7:J8)</f>
        <v>0</v>
      </c>
      <c r="K9" s="69"/>
      <c r="L9" s="70"/>
      <c r="M9" s="69">
        <f>SUM(M7:M8)</f>
        <v>0</v>
      </c>
      <c r="N9" s="70"/>
      <c r="O9" s="68"/>
      <c r="P9" s="70">
        <f>SUM(P7:P8)</f>
        <v>0</v>
      </c>
      <c r="Q9" s="69"/>
      <c r="R9" s="70"/>
      <c r="S9" s="70">
        <f>SUM(S7:S8)</f>
        <v>0</v>
      </c>
      <c r="T9" s="68"/>
      <c r="U9" s="70"/>
      <c r="V9" s="68">
        <f>SUM(V7:V8)</f>
        <v>0</v>
      </c>
      <c r="W9" s="69"/>
      <c r="X9" s="70"/>
      <c r="Y9" s="69">
        <f>SUM(Y7:Y8)</f>
        <v>0</v>
      </c>
      <c r="Z9" s="69"/>
      <c r="AA9" s="70"/>
      <c r="AB9" s="68">
        <f>SUM(AB7:AB8)</f>
        <v>0</v>
      </c>
      <c r="AC9" s="69"/>
      <c r="AD9" s="69"/>
      <c r="AE9" s="69">
        <f>SUM(AE7:AE8)</f>
        <v>0</v>
      </c>
      <c r="AF9" s="71"/>
      <c r="AG9" s="69"/>
      <c r="AH9" s="69">
        <f>SUM(AH7:AH8)</f>
        <v>0</v>
      </c>
      <c r="AI9" s="69"/>
      <c r="AJ9" s="69"/>
      <c r="AK9" s="69">
        <f>SUM(AK7:AK8)</f>
        <v>0</v>
      </c>
      <c r="AL9" s="69"/>
      <c r="AM9" s="69"/>
      <c r="AN9" s="69">
        <f>SUM(AN7:AN8)</f>
        <v>0</v>
      </c>
      <c r="AO9" s="69"/>
      <c r="AP9" s="69"/>
      <c r="AQ9" s="69">
        <f>SUM(AQ7:AQ8)</f>
        <v>0</v>
      </c>
      <c r="AR9" s="69"/>
      <c r="AS9" s="70"/>
    </row>
    <row r="10" spans="1:45" x14ac:dyDescent="0.3">
      <c r="I10" s="9"/>
    </row>
    <row r="11" spans="1:45" x14ac:dyDescent="0.3">
      <c r="K11" s="9"/>
      <c r="N11" s="9"/>
      <c r="Q11" s="9"/>
      <c r="T11" s="9"/>
      <c r="W11" s="9"/>
      <c r="Z11" s="9"/>
      <c r="AC11" s="9"/>
      <c r="AF11" s="9"/>
      <c r="AI11" s="9"/>
      <c r="AL11" s="9"/>
      <c r="AO11" s="9"/>
      <c r="AR11" s="9"/>
    </row>
    <row r="12" spans="1:45" x14ac:dyDescent="0.3">
      <c r="K12" s="9"/>
      <c r="N12" s="9"/>
      <c r="Q12" s="9"/>
      <c r="T12" s="9"/>
      <c r="W12" s="9"/>
      <c r="Z12" s="9"/>
      <c r="AC12" s="9"/>
      <c r="AF12" s="9"/>
      <c r="AI12" s="9"/>
      <c r="AL12" s="9"/>
      <c r="AO12" s="9"/>
      <c r="AR12" s="9"/>
    </row>
    <row r="13" spans="1:45" x14ac:dyDescent="0.3">
      <c r="K13" s="9"/>
      <c r="N13" s="9"/>
      <c r="Q13" s="9"/>
      <c r="T13" s="9"/>
      <c r="W13" s="9"/>
      <c r="Z13" s="9"/>
      <c r="AC13" s="9"/>
      <c r="AF13" s="9"/>
      <c r="AI13" s="9"/>
      <c r="AL13" s="9"/>
      <c r="AO13" s="9"/>
      <c r="AR13" s="9"/>
    </row>
    <row r="14" spans="1:45" x14ac:dyDescent="0.3">
      <c r="C14" s="123"/>
      <c r="K14" s="9"/>
      <c r="N14" s="9"/>
      <c r="Q14" s="9"/>
      <c r="T14" s="9"/>
      <c r="W14" s="9"/>
      <c r="Z14" s="9"/>
      <c r="AC14" s="9"/>
      <c r="AF14" s="9"/>
      <c r="AI14" s="9"/>
      <c r="AL14" s="9"/>
      <c r="AO14" s="9"/>
      <c r="AR14" s="9"/>
    </row>
    <row r="15" spans="1:45" x14ac:dyDescent="0.3">
      <c r="C15" s="123"/>
      <c r="K15" s="9"/>
      <c r="N15" s="9"/>
      <c r="Q15" s="9"/>
      <c r="T15" s="9"/>
      <c r="W15" s="9"/>
      <c r="Z15" s="9"/>
      <c r="AC15" s="9"/>
      <c r="AF15" s="9"/>
      <c r="AI15" s="9"/>
      <c r="AL15" s="9"/>
      <c r="AO15" s="9"/>
      <c r="AR15" s="9"/>
    </row>
    <row r="16" spans="1:45" x14ac:dyDescent="0.3">
      <c r="C16" s="124"/>
    </row>
    <row r="18" spans="3:3" x14ac:dyDescent="0.3">
      <c r="C18" s="124"/>
    </row>
  </sheetData>
  <mergeCells count="13">
    <mergeCell ref="V5:X5"/>
    <mergeCell ref="G5:I5"/>
    <mergeCell ref="J5:L5"/>
    <mergeCell ref="M5:O5"/>
    <mergeCell ref="P5:R5"/>
    <mergeCell ref="S5:U5"/>
    <mergeCell ref="AQ5:AS5"/>
    <mergeCell ref="Y5:AA5"/>
    <mergeCell ref="AB5:AD5"/>
    <mergeCell ref="AE5:AG5"/>
    <mergeCell ref="AH5:AJ5"/>
    <mergeCell ref="AK5:AM5"/>
    <mergeCell ref="AN5:AP5"/>
  </mergeCells>
  <hyperlinks>
    <hyperlink ref="A1" location="'Budget Total 2024'!A1" display="Totals" xr:uid="{00000000-0004-0000-0900-000000000000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57FD1-6CD8-46C3-A10A-4BB82CA6E753}">
  <dimension ref="A1:BH28"/>
  <sheetViews>
    <sheetView zoomScale="80" zoomScaleNormal="80" workbookViewId="0">
      <pane xSplit="12" topLeftCell="BA1" activePane="topRight" state="frozen"/>
      <selection pane="topRight" activeCell="I10" sqref="I10"/>
    </sheetView>
  </sheetViews>
  <sheetFormatPr defaultColWidth="8.88671875" defaultRowHeight="14.4" x14ac:dyDescent="0.3"/>
  <cols>
    <col min="1" max="1" width="7.33203125" bestFit="1" customWidth="1"/>
    <col min="2" max="2" width="11.44140625" bestFit="1" customWidth="1"/>
    <col min="3" max="3" width="11.44140625" customWidth="1"/>
    <col min="4" max="4" width="28" bestFit="1" customWidth="1"/>
    <col min="5" max="5" width="4.6640625" bestFit="1" customWidth="1"/>
    <col min="6" max="6" width="51.44140625" customWidth="1"/>
    <col min="7" max="7" width="9" bestFit="1" customWidth="1"/>
    <col min="8" max="8" width="15.109375" bestFit="1" customWidth="1"/>
    <col min="9" max="9" width="14.6640625" style="35" bestFit="1" customWidth="1"/>
    <col min="10" max="10" width="15.6640625" bestFit="1" customWidth="1"/>
    <col min="11" max="12" width="14.6640625" bestFit="1" customWidth="1"/>
    <col min="13" max="13" width="14.33203125" bestFit="1" customWidth="1"/>
    <col min="14" max="14" width="8" bestFit="1" customWidth="1"/>
    <col min="15" max="15" width="7.44140625" bestFit="1" customWidth="1"/>
    <col min="16" max="16" width="9.6640625" bestFit="1" customWidth="1"/>
    <col min="17" max="17" width="12.44140625" bestFit="1" customWidth="1"/>
    <col min="18" max="18" width="3.44140625" bestFit="1" customWidth="1"/>
    <col min="19" max="19" width="7.44140625" bestFit="1" customWidth="1"/>
    <col min="20" max="20" width="9.6640625" bestFit="1" customWidth="1"/>
    <col min="21" max="21" width="13.44140625" bestFit="1" customWidth="1"/>
    <col min="22" max="22" width="3.5546875" bestFit="1" customWidth="1"/>
    <col min="23" max="23" width="7.44140625" bestFit="1" customWidth="1"/>
    <col min="24" max="24" width="9.6640625" bestFit="1" customWidth="1"/>
    <col min="25" max="25" width="14.33203125" bestFit="1" customWidth="1"/>
    <col min="26" max="26" width="3.5546875" bestFit="1" customWidth="1"/>
    <col min="27" max="27" width="12.44140625" bestFit="1" customWidth="1"/>
    <col min="28" max="29" width="13.44140625" bestFit="1" customWidth="1"/>
    <col min="30" max="30" width="3.44140625" bestFit="1" customWidth="1"/>
    <col min="31" max="31" width="7.44140625" bestFit="1" customWidth="1"/>
    <col min="32" max="32" width="9.6640625" bestFit="1" customWidth="1"/>
    <col min="33" max="33" width="13.44140625" style="4" bestFit="1" customWidth="1"/>
    <col min="34" max="34" width="3.5546875" bestFit="1" customWidth="1"/>
    <col min="35" max="35" width="7.44140625" bestFit="1" customWidth="1"/>
    <col min="36" max="36" width="9.6640625" bestFit="1" customWidth="1"/>
    <col min="37" max="37" width="12.5546875" bestFit="1" customWidth="1"/>
    <col min="38" max="38" width="3.5546875" style="5" bestFit="1" customWidth="1"/>
    <col min="39" max="39" width="11.44140625" bestFit="1" customWidth="1"/>
    <col min="40" max="40" width="10.33203125" bestFit="1" customWidth="1"/>
    <col min="41" max="41" width="14.6640625" bestFit="1" customWidth="1"/>
    <col min="42" max="42" width="11" bestFit="1" customWidth="1"/>
    <col min="43" max="43" width="12.33203125" bestFit="1" customWidth="1"/>
    <col min="44" max="44" width="11" bestFit="1" customWidth="1"/>
    <col min="45" max="45" width="13.109375" bestFit="1" customWidth="1"/>
    <col min="46" max="46" width="11.33203125" bestFit="1" customWidth="1"/>
    <col min="47" max="47" width="11" bestFit="1" customWidth="1"/>
    <col min="49" max="49" width="14.33203125" bestFit="1" customWidth="1"/>
    <col min="50" max="50" width="11" bestFit="1" customWidth="1"/>
    <col min="51" max="51" width="11.44140625" customWidth="1"/>
    <col min="53" max="53" width="13.44140625" bestFit="1" customWidth="1"/>
    <col min="55" max="55" width="9.88671875" bestFit="1" customWidth="1"/>
    <col min="57" max="57" width="13.88671875" bestFit="1" customWidth="1"/>
    <col min="59" max="59" width="9.88671875" bestFit="1" customWidth="1"/>
  </cols>
  <sheetData>
    <row r="1" spans="1:60" x14ac:dyDescent="0.3">
      <c r="A1" s="27" t="s">
        <v>43</v>
      </c>
      <c r="B1" s="28"/>
      <c r="C1" s="28"/>
      <c r="D1" s="28"/>
      <c r="E1" s="28"/>
      <c r="F1" s="28"/>
      <c r="G1" s="28"/>
      <c r="H1" s="28"/>
      <c r="I1" s="29"/>
      <c r="J1" s="28"/>
      <c r="K1" s="28"/>
      <c r="L1" s="28"/>
      <c r="M1" s="28"/>
      <c r="N1" s="30"/>
      <c r="O1" s="30"/>
      <c r="P1" s="28"/>
      <c r="Q1" s="28"/>
      <c r="R1" s="28"/>
      <c r="S1" s="28"/>
      <c r="T1" s="28"/>
      <c r="U1" s="28"/>
      <c r="V1" s="30"/>
      <c r="W1" s="30"/>
      <c r="X1" s="30"/>
      <c r="Y1" s="28"/>
      <c r="Z1" s="28"/>
      <c r="AA1" s="28"/>
      <c r="AB1" s="28"/>
      <c r="AC1" s="28"/>
      <c r="AD1" s="30"/>
      <c r="AE1" s="28"/>
      <c r="AF1" s="28"/>
      <c r="AG1" s="454"/>
    </row>
    <row r="2" spans="1:60" ht="15" thickBot="1" x14ac:dyDescent="0.35">
      <c r="A2" s="28"/>
      <c r="B2" s="28"/>
      <c r="C2" s="28"/>
      <c r="D2" s="28"/>
      <c r="E2" s="28"/>
      <c r="F2" s="28"/>
      <c r="G2" s="28"/>
      <c r="H2" s="28"/>
      <c r="I2" s="29"/>
      <c r="J2" s="28"/>
      <c r="K2" s="28"/>
      <c r="L2" s="28"/>
      <c r="M2" s="28"/>
      <c r="N2" s="30"/>
      <c r="O2" s="30"/>
      <c r="P2" s="28"/>
      <c r="Q2" s="28"/>
      <c r="R2" s="28"/>
      <c r="S2" s="28"/>
      <c r="T2" s="28"/>
      <c r="U2" s="28"/>
      <c r="V2" s="30"/>
      <c r="W2" s="30"/>
      <c r="X2" s="30"/>
      <c r="Y2" s="28"/>
      <c r="Z2" s="28"/>
      <c r="AA2" s="28"/>
      <c r="AB2" s="28"/>
      <c r="AC2" s="28"/>
      <c r="AD2" s="30"/>
      <c r="AE2" s="28"/>
      <c r="AF2" s="28"/>
      <c r="AG2" s="454"/>
    </row>
    <row r="3" spans="1:60" ht="15" thickBot="1" x14ac:dyDescent="0.35">
      <c r="A3" s="28"/>
      <c r="B3" s="31" t="s">
        <v>26</v>
      </c>
      <c r="C3" s="31"/>
      <c r="D3" s="32" t="s">
        <v>90</v>
      </c>
      <c r="E3" s="336">
        <f>'Budget Total 2024'!H2</f>
        <v>12</v>
      </c>
      <c r="F3" s="33"/>
      <c r="G3" s="33"/>
      <c r="H3" s="33"/>
      <c r="I3" s="34"/>
      <c r="J3" s="28"/>
      <c r="K3" s="28"/>
      <c r="L3" s="28"/>
      <c r="M3" s="28"/>
      <c r="N3" s="30"/>
      <c r="O3" s="30"/>
      <c r="P3" s="28"/>
      <c r="Q3" s="28"/>
      <c r="R3" s="28"/>
      <c r="S3" s="28"/>
      <c r="T3" s="28"/>
      <c r="U3" s="28"/>
      <c r="V3" s="30"/>
      <c r="W3" s="30"/>
      <c r="X3" s="30"/>
      <c r="Y3" s="28"/>
      <c r="Z3" s="28"/>
      <c r="AA3" s="28"/>
      <c r="AB3" s="28"/>
      <c r="AC3" s="28"/>
      <c r="AD3" s="30"/>
      <c r="AE3" s="28"/>
      <c r="AF3" s="28"/>
      <c r="AG3" s="454"/>
    </row>
    <row r="4" spans="1:60" ht="15" thickBot="1" x14ac:dyDescent="0.35"/>
    <row r="5" spans="1:60" ht="15" thickBot="1" x14ac:dyDescent="0.35">
      <c r="A5" s="28"/>
      <c r="B5" s="599"/>
      <c r="C5" s="1038"/>
      <c r="D5" s="37"/>
      <c r="E5" s="600"/>
      <c r="F5" s="286"/>
      <c r="G5" s="1180"/>
      <c r="H5" s="1231" t="s">
        <v>73</v>
      </c>
      <c r="I5" s="1231"/>
      <c r="J5" s="1231"/>
      <c r="K5" s="1231"/>
      <c r="L5" s="1233"/>
      <c r="M5" s="1234" t="s">
        <v>31</v>
      </c>
      <c r="N5" s="1234"/>
      <c r="O5" s="1234"/>
      <c r="P5" s="589"/>
      <c r="Q5" s="1232" t="s">
        <v>32</v>
      </c>
      <c r="R5" s="1231"/>
      <c r="S5" s="1231"/>
      <c r="T5" s="590"/>
      <c r="U5" s="1236" t="s">
        <v>33</v>
      </c>
      <c r="V5" s="1236"/>
      <c r="W5" s="1236"/>
      <c r="X5" s="587"/>
      <c r="Y5" s="1237" t="s">
        <v>34</v>
      </c>
      <c r="Z5" s="1234"/>
      <c r="AA5" s="1234"/>
      <c r="AB5" s="589"/>
      <c r="AC5" s="1231" t="s">
        <v>35</v>
      </c>
      <c r="AD5" s="1231"/>
      <c r="AE5" s="1231"/>
      <c r="AF5" s="584"/>
      <c r="AG5" s="1235" t="s">
        <v>36</v>
      </c>
      <c r="AH5" s="1236"/>
      <c r="AI5" s="1236"/>
      <c r="AJ5" s="588"/>
      <c r="AK5" s="1234" t="s">
        <v>37</v>
      </c>
      <c r="AL5" s="1234"/>
      <c r="AM5" s="1234"/>
      <c r="AN5" s="585"/>
      <c r="AO5" s="1232" t="s">
        <v>38</v>
      </c>
      <c r="AP5" s="1231"/>
      <c r="AQ5" s="1231"/>
      <c r="AR5" s="590"/>
      <c r="AS5" s="1236" t="s">
        <v>39</v>
      </c>
      <c r="AT5" s="1236"/>
      <c r="AU5" s="1236"/>
      <c r="AV5" s="587"/>
      <c r="AW5" s="1235" t="s">
        <v>40</v>
      </c>
      <c r="AX5" s="1236"/>
      <c r="AY5" s="1236"/>
      <c r="AZ5" s="588"/>
      <c r="BA5" s="1234" t="s">
        <v>41</v>
      </c>
      <c r="BB5" s="1234"/>
      <c r="BC5" s="1234"/>
      <c r="BD5" s="585"/>
      <c r="BE5" s="1238" t="s">
        <v>42</v>
      </c>
      <c r="BF5" s="1239"/>
      <c r="BG5" s="1239"/>
      <c r="BH5" s="161"/>
    </row>
    <row r="6" spans="1:60" ht="15" thickBot="1" x14ac:dyDescent="0.35">
      <c r="A6" s="28"/>
      <c r="B6" s="994" t="s">
        <v>4</v>
      </c>
      <c r="C6" s="994" t="s">
        <v>30</v>
      </c>
      <c r="D6" s="993" t="s">
        <v>82</v>
      </c>
      <c r="E6" s="74" t="s">
        <v>74</v>
      </c>
      <c r="F6" s="1174" t="s">
        <v>3</v>
      </c>
      <c r="G6" s="1181" t="s">
        <v>47</v>
      </c>
      <c r="H6" s="989" t="s">
        <v>75</v>
      </c>
      <c r="I6" s="990" t="s">
        <v>91</v>
      </c>
      <c r="J6" s="991" t="s">
        <v>77</v>
      </c>
      <c r="K6" s="992" t="s">
        <v>78</v>
      </c>
      <c r="L6" s="42" t="s">
        <v>79</v>
      </c>
      <c r="M6" s="85" t="s">
        <v>80</v>
      </c>
      <c r="N6" s="85" t="s">
        <v>72</v>
      </c>
      <c r="O6" s="85" t="s">
        <v>81</v>
      </c>
      <c r="P6" s="86" t="s">
        <v>82</v>
      </c>
      <c r="Q6" s="90" t="s">
        <v>80</v>
      </c>
      <c r="R6" s="91" t="s">
        <v>72</v>
      </c>
      <c r="S6" s="91" t="s">
        <v>81</v>
      </c>
      <c r="T6" s="92" t="s">
        <v>82</v>
      </c>
      <c r="U6" s="85" t="s">
        <v>80</v>
      </c>
      <c r="V6" s="85" t="s">
        <v>72</v>
      </c>
      <c r="W6" s="85" t="s">
        <v>81</v>
      </c>
      <c r="X6" s="85" t="s">
        <v>82</v>
      </c>
      <c r="Y6" s="90" t="s">
        <v>80</v>
      </c>
      <c r="Z6" s="91" t="s">
        <v>72</v>
      </c>
      <c r="AA6" s="91" t="s">
        <v>81</v>
      </c>
      <c r="AB6" s="92" t="s">
        <v>82</v>
      </c>
      <c r="AC6" s="85" t="s">
        <v>80</v>
      </c>
      <c r="AD6" s="85" t="s">
        <v>72</v>
      </c>
      <c r="AE6" s="85" t="s">
        <v>81</v>
      </c>
      <c r="AF6" s="85" t="s">
        <v>82</v>
      </c>
      <c r="AG6" s="1078" t="s">
        <v>80</v>
      </c>
      <c r="AH6" s="91" t="s">
        <v>72</v>
      </c>
      <c r="AI6" s="91" t="s">
        <v>81</v>
      </c>
      <c r="AJ6" s="92" t="s">
        <v>82</v>
      </c>
      <c r="AK6" s="85" t="s">
        <v>80</v>
      </c>
      <c r="AL6" s="85" t="s">
        <v>72</v>
      </c>
      <c r="AM6" s="85" t="s">
        <v>81</v>
      </c>
      <c r="AN6" s="85" t="s">
        <v>82</v>
      </c>
      <c r="AO6" s="90" t="s">
        <v>80</v>
      </c>
      <c r="AP6" s="91" t="s">
        <v>72</v>
      </c>
      <c r="AQ6" s="91" t="s">
        <v>81</v>
      </c>
      <c r="AR6" s="92" t="s">
        <v>82</v>
      </c>
      <c r="AS6" s="85" t="s">
        <v>80</v>
      </c>
      <c r="AT6" s="85" t="s">
        <v>72</v>
      </c>
      <c r="AU6" s="85" t="s">
        <v>81</v>
      </c>
      <c r="AV6" s="85" t="s">
        <v>82</v>
      </c>
      <c r="AW6" s="90" t="s">
        <v>80</v>
      </c>
      <c r="AX6" s="91" t="s">
        <v>72</v>
      </c>
      <c r="AY6" s="91" t="s">
        <v>81</v>
      </c>
      <c r="AZ6" s="92" t="s">
        <v>82</v>
      </c>
      <c r="BA6" s="85" t="s">
        <v>80</v>
      </c>
      <c r="BB6" s="85" t="s">
        <v>72</v>
      </c>
      <c r="BC6" s="85" t="s">
        <v>81</v>
      </c>
      <c r="BD6" s="85" t="s">
        <v>82</v>
      </c>
      <c r="BE6" s="90" t="s">
        <v>80</v>
      </c>
      <c r="BF6" s="91" t="s">
        <v>72</v>
      </c>
      <c r="BG6" s="91" t="s">
        <v>81</v>
      </c>
      <c r="BH6" s="92" t="s">
        <v>82</v>
      </c>
    </row>
    <row r="7" spans="1:60" ht="15" thickBot="1" x14ac:dyDescent="0.35">
      <c r="A7" s="28"/>
      <c r="B7" s="995"/>
      <c r="C7" s="1143"/>
      <c r="D7" s="1039"/>
      <c r="E7" s="1042"/>
      <c r="F7" s="1175"/>
      <c r="G7" s="1182"/>
      <c r="H7" s="985"/>
      <c r="I7" s="986"/>
      <c r="J7" s="987"/>
      <c r="K7" s="988"/>
      <c r="L7" s="1183"/>
      <c r="M7" s="511"/>
      <c r="N7" s="496"/>
      <c r="O7" s="496"/>
      <c r="P7" s="496"/>
      <c r="Q7" s="613"/>
      <c r="R7" s="500"/>
      <c r="S7" s="500"/>
      <c r="T7" s="500"/>
      <c r="U7" s="511"/>
      <c r="V7" s="496"/>
      <c r="W7" s="496"/>
      <c r="X7" s="498"/>
      <c r="Y7" s="499"/>
      <c r="Z7" s="500"/>
      <c r="AA7" s="500"/>
      <c r="AB7" s="501"/>
      <c r="AC7" s="511"/>
      <c r="AD7" s="496"/>
      <c r="AE7" s="496"/>
      <c r="AF7" s="498"/>
      <c r="AG7" s="1077"/>
      <c r="AH7" s="500"/>
      <c r="AI7" s="500"/>
      <c r="AJ7" s="555"/>
      <c r="AK7" s="802"/>
      <c r="AL7" s="809"/>
      <c r="AM7" s="820"/>
      <c r="AN7" s="814"/>
      <c r="AO7" s="499"/>
      <c r="AP7" s="614"/>
      <c r="AQ7" s="500"/>
      <c r="AR7" s="501"/>
      <c r="AS7" s="511"/>
      <c r="AT7" s="496"/>
      <c r="AU7" s="496"/>
      <c r="AV7" s="498"/>
      <c r="AW7" s="499"/>
      <c r="AX7" s="500"/>
      <c r="AY7" s="500"/>
      <c r="AZ7" s="501"/>
      <c r="BA7" s="511"/>
      <c r="BB7" s="496"/>
      <c r="BC7" s="496"/>
      <c r="BD7" s="498"/>
      <c r="BE7" s="499"/>
      <c r="BF7" s="500"/>
      <c r="BG7" s="500"/>
      <c r="BH7" s="501"/>
    </row>
    <row r="8" spans="1:60" ht="15" thickBot="1" x14ac:dyDescent="0.35">
      <c r="A8" s="28"/>
      <c r="B8" s="995"/>
      <c r="C8" s="1143"/>
      <c r="D8" s="1040"/>
      <c r="E8" s="159"/>
      <c r="F8" s="1176"/>
      <c r="G8" s="1184"/>
      <c r="H8" s="982"/>
      <c r="I8" s="790"/>
      <c r="J8" s="662"/>
      <c r="K8" s="983"/>
      <c r="L8" s="1185"/>
      <c r="M8" s="511"/>
      <c r="N8" s="496"/>
      <c r="O8" s="496"/>
      <c r="P8" s="496"/>
      <c r="Q8" s="613"/>
      <c r="R8" s="500"/>
      <c r="S8" s="500"/>
      <c r="T8" s="500"/>
      <c r="U8" s="511"/>
      <c r="V8" s="496"/>
      <c r="W8" s="496"/>
      <c r="X8" s="498"/>
      <c r="Y8" s="499"/>
      <c r="Z8" s="500"/>
      <c r="AA8" s="500"/>
      <c r="AB8" s="501"/>
      <c r="AC8" s="511"/>
      <c r="AD8" s="496"/>
      <c r="AE8" s="496"/>
      <c r="AF8" s="498"/>
      <c r="AG8" s="499"/>
      <c r="AH8" s="500"/>
      <c r="AI8" s="500"/>
      <c r="AJ8" s="555"/>
      <c r="AK8" s="802"/>
      <c r="AL8" s="809"/>
      <c r="AM8" s="820"/>
      <c r="AN8" s="814"/>
      <c r="AO8" s="499"/>
      <c r="AP8" s="614"/>
      <c r="AQ8" s="500"/>
      <c r="AR8" s="501"/>
      <c r="AS8" s="511"/>
      <c r="AT8" s="496"/>
      <c r="AU8" s="496"/>
      <c r="AV8" s="498"/>
      <c r="AW8" s="499"/>
      <c r="AX8" s="500"/>
      <c r="AY8" s="500"/>
      <c r="AZ8" s="501"/>
      <c r="BA8" s="511"/>
      <c r="BB8" s="496"/>
      <c r="BC8" s="496"/>
      <c r="BD8" s="498"/>
      <c r="BE8" s="499"/>
      <c r="BF8" s="500"/>
      <c r="BG8" s="500"/>
      <c r="BH8" s="501"/>
    </row>
    <row r="9" spans="1:60" ht="15" thickBot="1" x14ac:dyDescent="0.35">
      <c r="A9" s="28"/>
      <c r="B9" s="995"/>
      <c r="C9" s="1143"/>
      <c r="D9" s="1041"/>
      <c r="E9" s="1043"/>
      <c r="F9" s="1177"/>
      <c r="G9" s="1186"/>
      <c r="H9" s="982"/>
      <c r="I9" s="790"/>
      <c r="J9" s="662"/>
      <c r="K9" s="983"/>
      <c r="L9" s="1185"/>
      <c r="M9" s="616"/>
      <c r="N9" s="603"/>
      <c r="O9" s="603"/>
      <c r="P9" s="603"/>
      <c r="Q9" s="615"/>
      <c r="R9" s="603"/>
      <c r="S9" s="603"/>
      <c r="T9" s="603"/>
      <c r="U9" s="616"/>
      <c r="V9" s="603"/>
      <c r="W9" s="603"/>
      <c r="X9" s="612"/>
      <c r="Y9" s="617"/>
      <c r="Z9" s="603"/>
      <c r="AA9" s="603"/>
      <c r="AB9" s="618"/>
      <c r="AC9" s="616"/>
      <c r="AD9" s="603"/>
      <c r="AE9" s="603"/>
      <c r="AF9" s="612"/>
      <c r="AG9" s="617"/>
      <c r="AH9" s="603"/>
      <c r="AI9" s="603"/>
      <c r="AJ9" s="742"/>
      <c r="AK9" s="741"/>
      <c r="AL9" s="742"/>
      <c r="AM9" s="619"/>
      <c r="AN9" s="742"/>
      <c r="AO9" s="617"/>
      <c r="AP9" s="603"/>
      <c r="AQ9" s="603"/>
      <c r="AR9" s="618"/>
      <c r="AS9" s="616"/>
      <c r="AT9" s="603"/>
      <c r="AU9" s="603"/>
      <c r="AV9" s="612"/>
      <c r="AW9" s="617"/>
      <c r="AX9" s="603"/>
      <c r="AY9" s="603"/>
      <c r="AZ9" s="618"/>
      <c r="BA9" s="616"/>
      <c r="BB9" s="603"/>
      <c r="BC9" s="603"/>
      <c r="BD9" s="612"/>
      <c r="BE9" s="617"/>
      <c r="BF9" s="603"/>
      <c r="BG9" s="603"/>
      <c r="BH9" s="618"/>
    </row>
    <row r="10" spans="1:60" ht="15" thickBot="1" x14ac:dyDescent="0.35">
      <c r="A10" s="28"/>
      <c r="B10" s="995"/>
      <c r="C10" s="1143"/>
      <c r="D10" s="1040"/>
      <c r="E10" s="159"/>
      <c r="F10" s="1178"/>
      <c r="G10" s="1187"/>
      <c r="H10" s="982"/>
      <c r="I10" s="790"/>
      <c r="J10" s="662"/>
      <c r="K10" s="983"/>
      <c r="L10" s="1185"/>
      <c r="M10" s="427"/>
      <c r="N10" s="792"/>
      <c r="O10" s="421"/>
      <c r="P10" s="421"/>
      <c r="Q10" s="793"/>
      <c r="R10" s="178"/>
      <c r="S10" s="178"/>
      <c r="T10" s="193"/>
      <c r="U10" s="794"/>
      <c r="V10" s="792"/>
      <c r="W10" s="421"/>
      <c r="X10" s="421"/>
      <c r="Y10" s="793"/>
      <c r="Z10" s="178"/>
      <c r="AA10" s="178"/>
      <c r="AB10" s="193"/>
      <c r="AC10" s="794"/>
      <c r="AD10" s="792"/>
      <c r="AE10" s="421"/>
      <c r="AF10" s="421"/>
      <c r="AG10" s="793"/>
      <c r="AH10" s="178"/>
      <c r="AI10" s="178"/>
      <c r="AJ10" s="798"/>
      <c r="AK10" s="803"/>
      <c r="AL10" s="810"/>
      <c r="AM10" s="620"/>
      <c r="AN10" s="815"/>
      <c r="AO10" s="793"/>
      <c r="AP10" s="178"/>
      <c r="AQ10" s="178"/>
      <c r="AR10" s="193"/>
      <c r="AS10" s="794"/>
      <c r="AT10" s="792"/>
      <c r="AU10" s="421"/>
      <c r="AV10" s="421"/>
      <c r="AW10" s="793"/>
      <c r="AX10" s="178"/>
      <c r="AY10" s="178"/>
      <c r="AZ10" s="193"/>
      <c r="BA10" s="794"/>
      <c r="BB10" s="792"/>
      <c r="BC10" s="421"/>
      <c r="BD10" s="421"/>
      <c r="BE10" s="793"/>
      <c r="BF10" s="178"/>
      <c r="BG10" s="178"/>
      <c r="BH10" s="795"/>
    </row>
    <row r="11" spans="1:60" x14ac:dyDescent="0.3">
      <c r="A11" s="28"/>
      <c r="B11" s="995"/>
      <c r="C11" s="1143"/>
      <c r="D11" s="1040"/>
      <c r="E11" s="159"/>
      <c r="F11" s="1178"/>
      <c r="G11" s="1187"/>
      <c r="H11" s="982"/>
      <c r="I11" s="790"/>
      <c r="J11" s="662"/>
      <c r="K11" s="983"/>
      <c r="L11" s="1185"/>
      <c r="M11" s="191"/>
      <c r="N11" s="530"/>
      <c r="O11" s="531"/>
      <c r="P11" s="531"/>
      <c r="Q11" s="492"/>
      <c r="R11" s="533"/>
      <c r="S11" s="533"/>
      <c r="T11" s="548"/>
      <c r="U11" s="491"/>
      <c r="V11" s="530"/>
      <c r="W11" s="531"/>
      <c r="X11" s="531"/>
      <c r="Y11" s="492"/>
      <c r="Z11" s="533"/>
      <c r="AA11" s="533"/>
      <c r="AB11" s="548"/>
      <c r="AC11" s="491"/>
      <c r="AD11" s="530"/>
      <c r="AE11" s="531"/>
      <c r="AF11" s="531"/>
      <c r="AG11" s="492"/>
      <c r="AH11" s="533"/>
      <c r="AI11" s="533"/>
      <c r="AJ11" s="552"/>
      <c r="AK11" s="804"/>
      <c r="AL11" s="693"/>
      <c r="AM11" s="694"/>
      <c r="AN11" s="782"/>
      <c r="AO11" s="492"/>
      <c r="AP11" s="533"/>
      <c r="AQ11" s="533"/>
      <c r="AR11" s="548"/>
      <c r="AS11" s="491"/>
      <c r="AT11" s="530"/>
      <c r="AU11" s="531"/>
      <c r="AV11" s="531"/>
      <c r="AW11" s="492"/>
      <c r="AX11" s="533"/>
      <c r="AY11" s="533"/>
      <c r="AZ11" s="548"/>
      <c r="BA11" s="491"/>
      <c r="BB11" s="530"/>
      <c r="BC11" s="531"/>
      <c r="BD11" s="531"/>
      <c r="BE11" s="492"/>
      <c r="BF11" s="533"/>
      <c r="BG11" s="533"/>
      <c r="BH11" s="534"/>
    </row>
    <row r="12" spans="1:60" x14ac:dyDescent="0.3">
      <c r="A12" s="28"/>
      <c r="B12" s="995"/>
      <c r="C12" s="1143"/>
      <c r="D12" s="1040"/>
      <c r="E12" s="159"/>
      <c r="F12" s="1178"/>
      <c r="G12" s="1187"/>
      <c r="H12" s="982"/>
      <c r="I12" s="790"/>
      <c r="J12" s="662"/>
      <c r="K12" s="983"/>
      <c r="L12" s="1185"/>
      <c r="M12" s="287"/>
      <c r="N12" s="734"/>
      <c r="O12" s="664"/>
      <c r="P12" s="664"/>
      <c r="Q12" s="397"/>
      <c r="R12" s="665"/>
      <c r="S12" s="665"/>
      <c r="T12" s="666"/>
      <c r="U12" s="396"/>
      <c r="V12" s="734"/>
      <c r="W12" s="664"/>
      <c r="X12" s="664"/>
      <c r="Y12" s="397"/>
      <c r="Z12" s="665"/>
      <c r="AA12" s="665"/>
      <c r="AB12" s="666"/>
      <c r="AC12" s="396"/>
      <c r="AD12" s="734"/>
      <c r="AE12" s="664"/>
      <c r="AF12" s="664"/>
      <c r="AG12" s="397"/>
      <c r="AH12" s="665"/>
      <c r="AI12" s="665"/>
      <c r="AJ12" s="799"/>
      <c r="AK12" s="805"/>
      <c r="AL12" s="781"/>
      <c r="AM12" s="159"/>
      <c r="AN12" s="784"/>
      <c r="AO12" s="397"/>
      <c r="AP12" s="665"/>
      <c r="AQ12" s="665"/>
      <c r="AR12" s="666"/>
      <c r="AS12" s="396"/>
      <c r="AT12" s="734"/>
      <c r="AU12" s="664"/>
      <c r="AV12" s="664"/>
      <c r="AW12" s="397"/>
      <c r="AX12" s="665"/>
      <c r="AY12" s="665"/>
      <c r="AZ12" s="666"/>
      <c r="BA12" s="396"/>
      <c r="BB12" s="734"/>
      <c r="BC12" s="664"/>
      <c r="BD12" s="664"/>
      <c r="BE12" s="397"/>
      <c r="BF12" s="665"/>
      <c r="BG12" s="665"/>
      <c r="BH12" s="796"/>
    </row>
    <row r="13" spans="1:60" ht="15" thickBot="1" x14ac:dyDescent="0.35">
      <c r="A13" s="28"/>
      <c r="B13" s="995"/>
      <c r="C13" s="1143"/>
      <c r="D13" s="1040"/>
      <c r="E13" s="159"/>
      <c r="F13" s="1178"/>
      <c r="G13" s="1187"/>
      <c r="H13" s="982"/>
      <c r="I13" s="790"/>
      <c r="J13" s="662"/>
      <c r="K13" s="983"/>
      <c r="L13" s="1185"/>
      <c r="M13" s="984"/>
      <c r="N13" s="743"/>
      <c r="O13" s="673"/>
      <c r="P13" s="673"/>
      <c r="Q13" s="494"/>
      <c r="R13" s="674"/>
      <c r="S13" s="674"/>
      <c r="T13" s="675"/>
      <c r="U13" s="493"/>
      <c r="V13" s="743"/>
      <c r="W13" s="673"/>
      <c r="X13" s="673"/>
      <c r="Y13" s="494"/>
      <c r="Z13" s="674"/>
      <c r="AA13" s="674"/>
      <c r="AB13" s="675"/>
      <c r="AC13" s="493"/>
      <c r="AD13" s="743"/>
      <c r="AE13" s="673"/>
      <c r="AF13" s="673"/>
      <c r="AG13" s="494"/>
      <c r="AH13" s="674"/>
      <c r="AI13" s="674"/>
      <c r="AJ13" s="800"/>
      <c r="AK13" s="806"/>
      <c r="AL13" s="780"/>
      <c r="AM13" s="788"/>
      <c r="AN13" s="783"/>
      <c r="AO13" s="494"/>
      <c r="AP13" s="674"/>
      <c r="AQ13" s="674"/>
      <c r="AR13" s="675"/>
      <c r="AS13" s="493"/>
      <c r="AT13" s="743"/>
      <c r="AU13" s="673"/>
      <c r="AV13" s="673"/>
      <c r="AW13" s="494"/>
      <c r="AX13" s="674"/>
      <c r="AY13" s="674"/>
      <c r="AZ13" s="675"/>
      <c r="BA13" s="493"/>
      <c r="BB13" s="743"/>
      <c r="BC13" s="673"/>
      <c r="BD13" s="673"/>
      <c r="BE13" s="494"/>
      <c r="BF13" s="674"/>
      <c r="BG13" s="674"/>
      <c r="BH13" s="797"/>
    </row>
    <row r="14" spans="1:60" x14ac:dyDescent="0.3">
      <c r="A14" s="28"/>
      <c r="B14" s="995"/>
      <c r="C14" s="1143"/>
      <c r="D14" s="1040"/>
      <c r="E14" s="159"/>
      <c r="F14" s="1178"/>
      <c r="G14" s="1187"/>
      <c r="H14" s="982"/>
      <c r="I14" s="790"/>
      <c r="J14" s="662"/>
      <c r="K14" s="983"/>
      <c r="L14" s="1185"/>
      <c r="M14" s="608"/>
      <c r="N14" s="604"/>
      <c r="O14" s="604"/>
      <c r="P14" s="604"/>
      <c r="Q14" s="605"/>
      <c r="R14" s="606"/>
      <c r="S14" s="606"/>
      <c r="T14" s="607"/>
      <c r="U14" s="608"/>
      <c r="V14" s="604"/>
      <c r="W14" s="604"/>
      <c r="X14" s="609"/>
      <c r="Y14" s="610"/>
      <c r="Z14" s="606"/>
      <c r="AA14" s="606"/>
      <c r="AB14" s="611"/>
      <c r="AC14" s="608"/>
      <c r="AD14" s="604"/>
      <c r="AE14" s="604"/>
      <c r="AF14" s="609"/>
      <c r="AG14" s="610"/>
      <c r="AH14" s="606"/>
      <c r="AI14" s="606"/>
      <c r="AJ14" s="785"/>
      <c r="AK14" s="807"/>
      <c r="AL14" s="811"/>
      <c r="AM14" s="821"/>
      <c r="AN14" s="816"/>
      <c r="AO14" s="610"/>
      <c r="AP14" s="607"/>
      <c r="AQ14" s="606"/>
      <c r="AR14" s="611"/>
      <c r="AS14" s="608"/>
      <c r="AT14" s="604"/>
      <c r="AU14" s="604"/>
      <c r="AV14" s="609"/>
      <c r="AW14" s="610"/>
      <c r="AX14" s="606"/>
      <c r="AY14" s="606"/>
      <c r="AZ14" s="611"/>
      <c r="BA14" s="608"/>
      <c r="BB14" s="604"/>
      <c r="BC14" s="604"/>
      <c r="BD14" s="609"/>
      <c r="BE14" s="610"/>
      <c r="BF14" s="606"/>
      <c r="BG14" s="606"/>
      <c r="BH14" s="611"/>
    </row>
    <row r="15" spans="1:60" x14ac:dyDescent="0.3">
      <c r="A15" s="28"/>
      <c r="B15" s="995"/>
      <c r="C15" s="1143"/>
      <c r="D15" s="1040"/>
      <c r="E15" s="159"/>
      <c r="F15" s="1178"/>
      <c r="G15" s="1187"/>
      <c r="H15" s="982"/>
      <c r="I15" s="790"/>
      <c r="J15" s="662"/>
      <c r="K15" s="983"/>
      <c r="L15" s="1185"/>
      <c r="M15" s="189"/>
      <c r="N15" s="179"/>
      <c r="O15" s="179"/>
      <c r="P15" s="179"/>
      <c r="Q15" s="399"/>
      <c r="R15" s="180"/>
      <c r="S15" s="180"/>
      <c r="T15" s="305"/>
      <c r="U15" s="189"/>
      <c r="V15" s="179"/>
      <c r="W15" s="179"/>
      <c r="X15" s="186"/>
      <c r="Y15" s="197"/>
      <c r="Z15" s="180"/>
      <c r="AA15" s="180"/>
      <c r="AB15" s="198"/>
      <c r="AC15" s="189"/>
      <c r="AD15" s="179"/>
      <c r="AE15" s="179"/>
      <c r="AF15" s="186"/>
      <c r="AG15" s="197"/>
      <c r="AH15" s="180"/>
      <c r="AI15" s="180"/>
      <c r="AJ15" s="550"/>
      <c r="AK15" s="219"/>
      <c r="AL15" s="812"/>
      <c r="AM15" s="220"/>
      <c r="AN15" s="817"/>
      <c r="AO15" s="197"/>
      <c r="AP15" s="180"/>
      <c r="AQ15" s="180"/>
      <c r="AR15" s="198"/>
      <c r="AS15" s="189"/>
      <c r="AT15" s="179"/>
      <c r="AU15" s="179"/>
      <c r="AV15" s="186"/>
      <c r="AW15" s="197"/>
      <c r="AX15" s="180"/>
      <c r="AY15" s="180"/>
      <c r="AZ15" s="198"/>
      <c r="BA15" s="189"/>
      <c r="BB15" s="179"/>
      <c r="BC15" s="179"/>
      <c r="BD15" s="186"/>
      <c r="BE15" s="197"/>
      <c r="BF15" s="180"/>
      <c r="BG15" s="180"/>
      <c r="BH15" s="198"/>
    </row>
    <row r="16" spans="1:60" x14ac:dyDescent="0.3">
      <c r="A16" s="28"/>
      <c r="B16" s="995"/>
      <c r="C16" s="1143"/>
      <c r="D16" s="1040"/>
      <c r="E16" s="159"/>
      <c r="F16" s="1178"/>
      <c r="G16" s="1187"/>
      <c r="H16" s="982"/>
      <c r="I16" s="790"/>
      <c r="J16" s="662"/>
      <c r="K16" s="983"/>
      <c r="L16" s="1185"/>
      <c r="M16" s="189"/>
      <c r="N16" s="179"/>
      <c r="O16" s="179"/>
      <c r="P16" s="179"/>
      <c r="Q16" s="399"/>
      <c r="R16" s="180"/>
      <c r="S16" s="180"/>
      <c r="T16" s="305"/>
      <c r="U16" s="352"/>
      <c r="V16" s="348"/>
      <c r="W16" s="348"/>
      <c r="X16" s="353"/>
      <c r="Y16" s="349"/>
      <c r="Z16" s="350"/>
      <c r="AA16" s="350"/>
      <c r="AB16" s="351"/>
      <c r="AC16" s="352"/>
      <c r="AD16" s="348"/>
      <c r="AE16" s="348"/>
      <c r="AF16" s="353"/>
      <c r="AG16" s="349"/>
      <c r="AH16" s="350"/>
      <c r="AI16" s="350"/>
      <c r="AJ16" s="786"/>
      <c r="AK16" s="808"/>
      <c r="AL16" s="813"/>
      <c r="AM16" s="822"/>
      <c r="AN16" s="818"/>
      <c r="AO16" s="349"/>
      <c r="AP16" s="350"/>
      <c r="AQ16" s="350"/>
      <c r="AR16" s="351"/>
      <c r="AS16" s="352"/>
      <c r="AT16" s="348"/>
      <c r="AU16" s="348"/>
      <c r="AV16" s="353"/>
      <c r="AW16" s="349"/>
      <c r="AX16" s="350"/>
      <c r="AY16" s="350"/>
      <c r="AZ16" s="351"/>
      <c r="BA16" s="352"/>
      <c r="BB16" s="348"/>
      <c r="BC16" s="348"/>
      <c r="BD16" s="353"/>
      <c r="BE16" s="349"/>
      <c r="BF16" s="350"/>
      <c r="BG16" s="350"/>
      <c r="BH16" s="351"/>
    </row>
    <row r="17" spans="1:60" x14ac:dyDescent="0.3">
      <c r="A17" s="28"/>
      <c r="B17" s="995"/>
      <c r="C17" s="1143"/>
      <c r="D17" s="1040"/>
      <c r="E17" s="159"/>
      <c r="F17" s="1178"/>
      <c r="G17" s="1187"/>
      <c r="H17" s="982"/>
      <c r="I17" s="790"/>
      <c r="J17" s="662"/>
      <c r="K17" s="983"/>
      <c r="L17" s="1185"/>
      <c r="M17" s="352"/>
      <c r="N17" s="348"/>
      <c r="O17" s="348"/>
      <c r="P17" s="348"/>
      <c r="Q17" s="601"/>
      <c r="R17" s="350"/>
      <c r="S17" s="350"/>
      <c r="T17" s="602"/>
      <c r="U17" s="352"/>
      <c r="V17" s="348"/>
      <c r="W17" s="348"/>
      <c r="X17" s="353"/>
      <c r="Y17" s="349"/>
      <c r="Z17" s="350"/>
      <c r="AA17" s="350"/>
      <c r="AB17" s="351"/>
      <c r="AC17" s="352"/>
      <c r="AD17" s="348"/>
      <c r="AE17" s="348"/>
      <c r="AF17" s="353"/>
      <c r="AG17" s="349"/>
      <c r="AH17" s="350"/>
      <c r="AI17" s="350"/>
      <c r="AJ17" s="786"/>
      <c r="AK17" s="808"/>
      <c r="AL17" s="813"/>
      <c r="AM17" s="822"/>
      <c r="AN17" s="818"/>
      <c r="AO17" s="349"/>
      <c r="AP17" s="350"/>
      <c r="AQ17" s="350"/>
      <c r="AR17" s="351"/>
      <c r="AS17" s="352"/>
      <c r="AT17" s="348"/>
      <c r="AU17" s="348"/>
      <c r="AV17" s="353"/>
      <c r="AW17" s="349"/>
      <c r="AX17" s="350"/>
      <c r="AY17" s="350"/>
      <c r="AZ17" s="351"/>
      <c r="BA17" s="352"/>
      <c r="BB17" s="348"/>
      <c r="BC17" s="348"/>
      <c r="BD17" s="353"/>
      <c r="BE17" s="349"/>
      <c r="BF17" s="350"/>
      <c r="BG17" s="350"/>
      <c r="BH17" s="351"/>
    </row>
    <row r="18" spans="1:60" x14ac:dyDescent="0.3">
      <c r="A18" s="28"/>
      <c r="B18" s="995"/>
      <c r="C18" s="1143"/>
      <c r="D18" s="1040"/>
      <c r="E18" s="159"/>
      <c r="F18" s="1178"/>
      <c r="G18" s="1187"/>
      <c r="H18" s="982"/>
      <c r="I18" s="790"/>
      <c r="J18" s="662"/>
      <c r="K18" s="983"/>
      <c r="L18" s="1185"/>
      <c r="M18" s="189"/>
      <c r="N18" s="179"/>
      <c r="O18" s="179"/>
      <c r="P18" s="179"/>
      <c r="Q18" s="399"/>
      <c r="R18" s="180"/>
      <c r="S18" s="180"/>
      <c r="T18" s="180"/>
      <c r="U18" s="189"/>
      <c r="V18" s="179"/>
      <c r="W18" s="179"/>
      <c r="X18" s="186"/>
      <c r="Y18" s="197"/>
      <c r="Z18" s="180"/>
      <c r="AA18" s="180"/>
      <c r="AB18" s="789"/>
      <c r="AC18" s="189"/>
      <c r="AD18" s="179"/>
      <c r="AE18" s="179"/>
      <c r="AF18" s="186"/>
      <c r="AG18" s="197"/>
      <c r="AH18" s="180"/>
      <c r="AI18" s="180"/>
      <c r="AJ18" s="801"/>
      <c r="AK18" s="219"/>
      <c r="AL18" s="812"/>
      <c r="AM18" s="220"/>
      <c r="AN18" s="817"/>
      <c r="AO18" s="197"/>
      <c r="AP18" s="305"/>
      <c r="AQ18" s="180"/>
      <c r="AR18" s="789"/>
      <c r="AS18" s="189"/>
      <c r="AT18" s="179"/>
      <c r="AU18" s="179"/>
      <c r="AV18" s="186"/>
      <c r="AW18" s="197"/>
      <c r="AX18" s="180"/>
      <c r="AY18" s="180"/>
      <c r="AZ18" s="789"/>
      <c r="BA18" s="189"/>
      <c r="BB18" s="179"/>
      <c r="BC18" s="179"/>
      <c r="BD18" s="186"/>
      <c r="BE18" s="197"/>
      <c r="BF18" s="180"/>
      <c r="BG18" s="180"/>
      <c r="BH18" s="789"/>
    </row>
    <row r="19" spans="1:60" x14ac:dyDescent="0.3">
      <c r="A19" s="28"/>
      <c r="B19" s="995"/>
      <c r="C19" s="1143"/>
      <c r="D19" s="1040"/>
      <c r="E19" s="159"/>
      <c r="F19" s="1178"/>
      <c r="G19" s="1187"/>
      <c r="H19" s="982"/>
      <c r="I19" s="790"/>
      <c r="J19" s="662"/>
      <c r="K19" s="983"/>
      <c r="L19" s="1185"/>
      <c r="M19" s="189"/>
      <c r="N19" s="179"/>
      <c r="O19" s="179"/>
      <c r="P19" s="179"/>
      <c r="Q19" s="399"/>
      <c r="R19" s="180"/>
      <c r="S19" s="180"/>
      <c r="T19" s="180"/>
      <c r="U19" s="398"/>
      <c r="V19" s="179"/>
      <c r="W19" s="179"/>
      <c r="X19" s="179"/>
      <c r="Y19" s="399"/>
      <c r="Z19" s="180"/>
      <c r="AA19" s="180"/>
      <c r="AB19" s="180"/>
      <c r="AC19" s="398"/>
      <c r="AD19" s="179"/>
      <c r="AE19" s="179"/>
      <c r="AF19" s="179"/>
      <c r="AG19" s="399"/>
      <c r="AH19" s="180"/>
      <c r="AI19" s="180"/>
      <c r="AJ19" s="801"/>
      <c r="AK19" s="219"/>
      <c r="AL19" s="812"/>
      <c r="AM19" s="220"/>
      <c r="AN19" s="819"/>
      <c r="AO19" s="399"/>
      <c r="AP19" s="305"/>
      <c r="AQ19" s="180"/>
      <c r="AR19" s="180"/>
      <c r="AS19" s="398"/>
      <c r="AT19" s="179"/>
      <c r="AU19" s="179"/>
      <c r="AV19" s="179"/>
      <c r="AW19" s="399"/>
      <c r="AX19" s="180"/>
      <c r="AY19" s="180"/>
      <c r="AZ19" s="180"/>
      <c r="BA19" s="398"/>
      <c r="BB19" s="179"/>
      <c r="BC19" s="179"/>
      <c r="BD19" s="179"/>
      <c r="BE19" s="399"/>
      <c r="BF19" s="180"/>
      <c r="BG19" s="180"/>
      <c r="BH19" s="180"/>
    </row>
    <row r="20" spans="1:60" x14ac:dyDescent="0.3">
      <c r="A20" s="28"/>
      <c r="B20" s="995"/>
      <c r="C20" s="1143"/>
      <c r="D20" s="1040"/>
      <c r="E20" s="159"/>
      <c r="F20" s="1178"/>
      <c r="G20" s="1187"/>
      <c r="H20" s="982"/>
      <c r="I20" s="790"/>
      <c r="J20" s="662"/>
      <c r="K20" s="983"/>
      <c r="L20" s="1185"/>
      <c r="M20" s="189"/>
      <c r="N20" s="179"/>
      <c r="O20" s="179"/>
      <c r="P20" s="179"/>
      <c r="Q20" s="399"/>
      <c r="R20" s="180"/>
      <c r="S20" s="180"/>
      <c r="T20" s="180"/>
      <c r="U20" s="398"/>
      <c r="V20" s="179"/>
      <c r="W20" s="179"/>
      <c r="X20" s="179"/>
      <c r="Y20" s="399"/>
      <c r="Z20" s="180"/>
      <c r="AA20" s="180"/>
      <c r="AB20" s="180"/>
      <c r="AC20" s="398"/>
      <c r="AD20" s="179"/>
      <c r="AE20" s="179"/>
      <c r="AF20" s="179"/>
      <c r="AG20" s="399"/>
      <c r="AH20" s="180"/>
      <c r="AI20" s="180"/>
      <c r="AJ20" s="801"/>
      <c r="AK20" s="219"/>
      <c r="AL20" s="812"/>
      <c r="AM20" s="220"/>
      <c r="AN20" s="819"/>
      <c r="AO20" s="399"/>
      <c r="AP20" s="305"/>
      <c r="AQ20" s="180"/>
      <c r="AR20" s="180"/>
      <c r="AS20" s="398"/>
      <c r="AT20" s="179"/>
      <c r="AU20" s="179"/>
      <c r="AV20" s="179"/>
      <c r="AW20" s="399"/>
      <c r="AX20" s="180"/>
      <c r="AY20" s="180"/>
      <c r="AZ20" s="180"/>
      <c r="BA20" s="398"/>
      <c r="BB20" s="179"/>
      <c r="BC20" s="179"/>
      <c r="BD20" s="179"/>
      <c r="BE20" s="399"/>
      <c r="BF20" s="180"/>
      <c r="BG20" s="180"/>
      <c r="BH20" s="180"/>
    </row>
    <row r="21" spans="1:60" x14ac:dyDescent="0.3">
      <c r="A21" s="28"/>
      <c r="B21" s="995"/>
      <c r="C21" s="1143"/>
      <c r="D21" s="1040"/>
      <c r="E21" s="159"/>
      <c r="F21" s="1178"/>
      <c r="G21" s="1187"/>
      <c r="H21" s="982"/>
      <c r="I21" s="790"/>
      <c r="J21" s="662"/>
      <c r="K21" s="983"/>
      <c r="L21" s="1185"/>
      <c r="M21" s="189"/>
      <c r="N21" s="179"/>
      <c r="O21" s="179"/>
      <c r="P21" s="179"/>
      <c r="Q21" s="399"/>
      <c r="R21" s="180"/>
      <c r="S21" s="180"/>
      <c r="T21" s="180"/>
      <c r="U21" s="398"/>
      <c r="V21" s="179"/>
      <c r="W21" s="179"/>
      <c r="X21" s="179"/>
      <c r="Y21" s="399"/>
      <c r="Z21" s="180"/>
      <c r="AA21" s="180"/>
      <c r="AB21" s="180"/>
      <c r="AC21" s="398"/>
      <c r="AD21" s="179"/>
      <c r="AE21" s="179"/>
      <c r="AF21" s="179"/>
      <c r="AG21" s="399"/>
      <c r="AH21" s="180"/>
      <c r="AI21" s="180"/>
      <c r="AJ21" s="801"/>
      <c r="AK21" s="219"/>
      <c r="AL21" s="812"/>
      <c r="AM21" s="220"/>
      <c r="AN21" s="819"/>
      <c r="AO21" s="399"/>
      <c r="AP21" s="305"/>
      <c r="AQ21" s="180"/>
      <c r="AR21" s="180"/>
      <c r="AS21" s="398"/>
      <c r="AT21" s="179"/>
      <c r="AU21" s="179"/>
      <c r="AV21" s="179"/>
      <c r="AW21" s="399"/>
      <c r="AX21" s="180"/>
      <c r="AY21" s="180"/>
      <c r="AZ21" s="180"/>
      <c r="BA21" s="398"/>
      <c r="BB21" s="179"/>
      <c r="BC21" s="179"/>
      <c r="BD21" s="179"/>
      <c r="BE21" s="399"/>
      <c r="BF21" s="180"/>
      <c r="BG21" s="180"/>
      <c r="BH21" s="180"/>
    </row>
    <row r="22" spans="1:60" x14ac:dyDescent="0.3">
      <c r="A22" s="28"/>
      <c r="B22" s="995"/>
      <c r="C22" s="1143"/>
      <c r="D22" s="1040"/>
      <c r="E22" s="159"/>
      <c r="F22" s="1178"/>
      <c r="G22" s="1187"/>
      <c r="H22" s="982"/>
      <c r="I22" s="790"/>
      <c r="J22" s="662"/>
      <c r="K22" s="983"/>
      <c r="L22" s="1185"/>
      <c r="M22" s="189"/>
      <c r="N22" s="179"/>
      <c r="O22" s="179"/>
      <c r="P22" s="179"/>
      <c r="Q22" s="399"/>
      <c r="R22" s="180"/>
      <c r="S22" s="180"/>
      <c r="T22" s="180"/>
      <c r="U22" s="398"/>
      <c r="V22" s="179"/>
      <c r="W22" s="179"/>
      <c r="X22" s="179"/>
      <c r="Y22" s="399"/>
      <c r="Z22" s="180"/>
      <c r="AA22" s="180"/>
      <c r="AB22" s="180"/>
      <c r="AC22" s="398"/>
      <c r="AD22" s="179"/>
      <c r="AE22" s="179"/>
      <c r="AF22" s="179"/>
      <c r="AG22" s="399"/>
      <c r="AH22" s="180"/>
      <c r="AI22" s="180"/>
      <c r="AJ22" s="801"/>
      <c r="AK22" s="219"/>
      <c r="AL22" s="812"/>
      <c r="AM22" s="220"/>
      <c r="AN22" s="819"/>
      <c r="AO22" s="399"/>
      <c r="AP22" s="305"/>
      <c r="AQ22" s="180"/>
      <c r="AR22" s="180"/>
      <c r="AS22" s="398"/>
      <c r="AT22" s="179"/>
      <c r="AU22" s="179"/>
      <c r="AV22" s="179"/>
      <c r="AW22" s="399"/>
      <c r="AX22" s="180"/>
      <c r="AY22" s="180"/>
      <c r="AZ22" s="180"/>
      <c r="BA22" s="398"/>
      <c r="BB22" s="179"/>
      <c r="BC22" s="179"/>
      <c r="BD22" s="179"/>
      <c r="BE22" s="399"/>
      <c r="BF22" s="180"/>
      <c r="BG22" s="180"/>
      <c r="BH22" s="180"/>
    </row>
    <row r="23" spans="1:60" x14ac:dyDescent="0.3">
      <c r="A23" s="28"/>
      <c r="B23" s="995"/>
      <c r="C23" s="1143"/>
      <c r="D23" s="1040"/>
      <c r="E23" s="159"/>
      <c r="F23" s="1178"/>
      <c r="G23" s="1187"/>
      <c r="H23" s="982"/>
      <c r="I23" s="790"/>
      <c r="J23" s="662"/>
      <c r="K23" s="983"/>
      <c r="L23" s="1185"/>
      <c r="M23" s="190"/>
      <c r="N23" s="560"/>
      <c r="O23" s="560"/>
      <c r="P23" s="560"/>
      <c r="Q23" s="929"/>
      <c r="R23" s="930"/>
      <c r="S23" s="930"/>
      <c r="T23" s="931"/>
      <c r="U23" s="932"/>
      <c r="V23" s="933"/>
      <c r="W23" s="933"/>
      <c r="X23" s="933"/>
      <c r="Y23" s="934"/>
      <c r="Z23" s="787"/>
      <c r="AA23" s="787"/>
      <c r="AB23" s="787"/>
      <c r="AC23" s="932"/>
      <c r="AD23" s="933"/>
      <c r="AE23" s="933"/>
      <c r="AF23" s="933"/>
      <c r="AG23" s="934"/>
      <c r="AH23" s="787"/>
      <c r="AI23" s="787"/>
      <c r="AJ23" s="787"/>
      <c r="AK23" s="935"/>
      <c r="AL23" s="936"/>
      <c r="AM23" s="937"/>
      <c r="AN23" s="933"/>
      <c r="AO23" s="934"/>
      <c r="AP23" s="938"/>
      <c r="AQ23" s="787"/>
      <c r="AR23" s="787"/>
      <c r="AS23" s="932"/>
      <c r="AT23" s="933"/>
      <c r="AU23" s="933"/>
      <c r="AV23" s="933"/>
      <c r="AW23" s="934"/>
      <c r="AX23" s="787"/>
      <c r="AY23" s="787"/>
      <c r="AZ23" s="787"/>
      <c r="BA23" s="932"/>
      <c r="BB23" s="933"/>
      <c r="BC23" s="933"/>
      <c r="BD23" s="933"/>
      <c r="BE23" s="934"/>
      <c r="BF23" s="787"/>
      <c r="BG23" s="787"/>
      <c r="BH23" s="787"/>
    </row>
    <row r="24" spans="1:60" x14ac:dyDescent="0.3">
      <c r="A24" s="28"/>
      <c r="B24" s="995"/>
      <c r="C24" s="1142"/>
      <c r="D24" s="1151"/>
      <c r="E24" s="1152"/>
      <c r="F24" s="1179"/>
      <c r="G24" s="1188"/>
      <c r="H24" s="1153"/>
      <c r="I24" s="1154"/>
      <c r="J24" s="662"/>
      <c r="K24" s="983"/>
      <c r="L24" s="1185"/>
      <c r="M24" s="190"/>
      <c r="N24" s="560"/>
      <c r="O24" s="560"/>
      <c r="P24" s="560"/>
      <c r="Q24" s="929"/>
      <c r="R24" s="930"/>
      <c r="S24" s="930"/>
      <c r="T24" s="931"/>
      <c r="U24" s="932"/>
      <c r="V24" s="933"/>
      <c r="W24" s="933"/>
      <c r="X24" s="933"/>
      <c r="Y24" s="934"/>
      <c r="Z24" s="787"/>
      <c r="AA24" s="787"/>
      <c r="AB24" s="787"/>
      <c r="AC24" s="932"/>
      <c r="AD24" s="933"/>
      <c r="AE24" s="933"/>
      <c r="AF24" s="933"/>
      <c r="AG24" s="934"/>
      <c r="AH24" s="787"/>
      <c r="AI24" s="787"/>
      <c r="AJ24" s="787"/>
      <c r="AK24" s="935"/>
      <c r="AL24" s="936"/>
      <c r="AM24" s="937"/>
      <c r="AN24" s="933"/>
      <c r="AO24" s="934"/>
      <c r="AP24" s="938"/>
      <c r="AQ24" s="787"/>
      <c r="AR24" s="787"/>
      <c r="AS24" s="932"/>
      <c r="AT24" s="933"/>
      <c r="AU24" s="933"/>
      <c r="AV24" s="933"/>
      <c r="AW24" s="934"/>
      <c r="AX24" s="787"/>
      <c r="AY24" s="787"/>
      <c r="AZ24" s="787"/>
      <c r="BA24" s="932"/>
      <c r="BB24" s="933"/>
      <c r="BC24" s="933"/>
      <c r="BD24" s="933"/>
      <c r="BE24" s="934"/>
      <c r="BF24" s="787"/>
      <c r="BG24" s="787"/>
      <c r="BH24" s="787"/>
    </row>
    <row r="25" spans="1:60" ht="15" thickBot="1" x14ac:dyDescent="0.35">
      <c r="A25" s="28"/>
      <c r="B25" s="995"/>
      <c r="C25" s="1168"/>
      <c r="D25" s="1173"/>
      <c r="E25" s="788"/>
      <c r="F25" s="1179"/>
      <c r="G25" s="1187"/>
      <c r="H25" s="982"/>
      <c r="I25" s="790"/>
      <c r="J25" s="662"/>
      <c r="K25" s="983"/>
      <c r="L25" s="1185"/>
      <c r="M25" s="189"/>
      <c r="N25" s="179"/>
      <c r="O25" s="179"/>
      <c r="P25" s="179"/>
      <c r="Q25" s="399"/>
      <c r="R25" s="180"/>
      <c r="S25" s="180"/>
      <c r="T25" s="180"/>
      <c r="U25" s="398"/>
      <c r="V25" s="179"/>
      <c r="W25" s="179"/>
      <c r="X25" s="179"/>
      <c r="Y25" s="399"/>
      <c r="Z25" s="180"/>
      <c r="AA25" s="180"/>
      <c r="AB25" s="180"/>
      <c r="AC25" s="398"/>
      <c r="AD25" s="179"/>
      <c r="AE25" s="179"/>
      <c r="AF25" s="179"/>
      <c r="AG25" s="399"/>
      <c r="AH25" s="180"/>
      <c r="AI25" s="180"/>
      <c r="AJ25" s="180"/>
      <c r="AK25" s="398"/>
      <c r="AL25" s="1167"/>
      <c r="AM25" s="179"/>
      <c r="AN25" s="179"/>
      <c r="AO25" s="399"/>
      <c r="AP25" s="305"/>
      <c r="AQ25" s="180"/>
      <c r="AR25" s="180"/>
      <c r="AS25" s="398"/>
      <c r="AT25" s="179"/>
      <c r="AU25" s="179"/>
      <c r="AV25" s="179"/>
      <c r="AW25" s="399"/>
      <c r="AX25" s="180"/>
      <c r="AY25" s="180"/>
      <c r="AZ25" s="180"/>
      <c r="BA25" s="398"/>
      <c r="BB25" s="179"/>
      <c r="BC25" s="179"/>
      <c r="BD25" s="179"/>
      <c r="BE25" s="399"/>
      <c r="BF25" s="180"/>
      <c r="BG25" s="180"/>
      <c r="BH25" s="180"/>
    </row>
    <row r="26" spans="1:60" s="3" customFormat="1" ht="15" thickBot="1" x14ac:dyDescent="0.35">
      <c r="B26" s="1169" t="s">
        <v>83</v>
      </c>
      <c r="C26" s="1170"/>
      <c r="D26" s="1171"/>
      <c r="E26" s="1170"/>
      <c r="F26" s="1172"/>
      <c r="G26" s="1189"/>
      <c r="H26" s="1190">
        <f>SUM(H8:H22)</f>
        <v>0</v>
      </c>
      <c r="I26" s="1191"/>
      <c r="J26" s="1191">
        <f>SUM(J7:J25)</f>
        <v>0</v>
      </c>
      <c r="K26" s="1191">
        <f>SUM(K7:K25)</f>
        <v>0</v>
      </c>
      <c r="L26" s="1192">
        <f>SUM(L7:L9)</f>
        <v>0</v>
      </c>
      <c r="M26" s="1155">
        <f>SUM(M7:M9)</f>
        <v>0</v>
      </c>
      <c r="N26" s="1156"/>
      <c r="O26" s="1156"/>
      <c r="P26" s="1156"/>
      <c r="Q26" s="1157">
        <f>SUM(Q7:Q9)</f>
        <v>0</v>
      </c>
      <c r="R26" s="1158"/>
      <c r="S26" s="1158"/>
      <c r="T26" s="1159"/>
      <c r="U26" s="1160">
        <f>SUM(U7:U9)</f>
        <v>0</v>
      </c>
      <c r="V26" s="1161"/>
      <c r="W26" s="1162"/>
      <c r="X26" s="1161"/>
      <c r="Y26" s="1163">
        <f>SUM(Y7:Y10)</f>
        <v>0</v>
      </c>
      <c r="Z26" s="1161"/>
      <c r="AA26" s="1162"/>
      <c r="AB26" s="1162"/>
      <c r="AC26" s="1160">
        <f>SUM(AC7:AC10)</f>
        <v>0</v>
      </c>
      <c r="AD26" s="1161"/>
      <c r="AE26" s="1162"/>
      <c r="AF26" s="1161"/>
      <c r="AG26" s="1164">
        <f>SUM(AG7:AG10)</f>
        <v>0</v>
      </c>
      <c r="AH26" s="1165"/>
      <c r="AI26" s="1054"/>
      <c r="AJ26" s="1054"/>
      <c r="AK26" s="1162">
        <f>SUM(AK7:AK10)</f>
        <v>0</v>
      </c>
      <c r="AL26" s="1160"/>
      <c r="AM26" s="1162"/>
      <c r="AN26" s="1160"/>
      <c r="AO26" s="1163">
        <f>SUM(AO7:AO10)</f>
        <v>0</v>
      </c>
      <c r="AP26" s="1161"/>
      <c r="AQ26" s="1162"/>
      <c r="AR26" s="1162"/>
      <c r="AS26" s="1160">
        <f>SUM(AS7:AS10)</f>
        <v>0</v>
      </c>
      <c r="AT26" s="1161"/>
      <c r="AU26" s="1162"/>
      <c r="AV26" s="1161"/>
      <c r="AW26" s="1164">
        <f>SUM(AW7:AW10)</f>
        <v>0</v>
      </c>
      <c r="AX26" s="1165"/>
      <c r="AY26" s="1054"/>
      <c r="AZ26" s="1166"/>
      <c r="BA26" s="1160" t="e">
        <f>#REF!+#REF!+#REF!+#REF!+#REF!+#REF!+BA9</f>
        <v>#REF!</v>
      </c>
      <c r="BB26" s="1161"/>
      <c r="BC26" s="1162"/>
      <c r="BD26" s="1161"/>
      <c r="BE26" s="1163" t="e">
        <f>#REF!+#REF!+#REF!+#REF!+#REF!+#REF!+BE9</f>
        <v>#REF!</v>
      </c>
      <c r="BF26" s="1161"/>
      <c r="BG26" s="1162"/>
      <c r="BH26" s="1162"/>
    </row>
    <row r="27" spans="1:60" x14ac:dyDescent="0.3">
      <c r="H27" s="183"/>
      <c r="J27" s="4"/>
    </row>
    <row r="28" spans="1:60" x14ac:dyDescent="0.3">
      <c r="N28">
        <v>376000</v>
      </c>
    </row>
  </sheetData>
  <sortState xmlns:xlrd2="http://schemas.microsoft.com/office/spreadsheetml/2017/richdata2" ref="A28:N28">
    <sortCondition ref="D28"/>
  </sortState>
  <mergeCells count="13">
    <mergeCell ref="AC5:AE5"/>
    <mergeCell ref="H5:L5"/>
    <mergeCell ref="M5:O5"/>
    <mergeCell ref="Q5:S5"/>
    <mergeCell ref="U5:W5"/>
    <mergeCell ref="Y5:AA5"/>
    <mergeCell ref="BE5:BG5"/>
    <mergeCell ref="AS5:AU5"/>
    <mergeCell ref="AW5:AY5"/>
    <mergeCell ref="BA5:BC5"/>
    <mergeCell ref="AG5:AI5"/>
    <mergeCell ref="AK5:AM5"/>
    <mergeCell ref="AO5:AQ5"/>
  </mergeCells>
  <phoneticPr fontId="56" type="noConversion"/>
  <conditionalFormatting sqref="I7:I25">
    <cfRule type="cellIs" dxfId="3" priority="1" operator="lessThan">
      <formula>0</formula>
    </cfRule>
  </conditionalFormatting>
  <conditionalFormatting sqref="J7:J25">
    <cfRule type="cellIs" dxfId="2" priority="2" operator="lessThan">
      <formula>0</formula>
    </cfRule>
  </conditionalFormatting>
  <conditionalFormatting sqref="L7:L25">
    <cfRule type="colorScale" priority="3">
      <colorScale>
        <cfvo type="num" val="0"/>
        <cfvo type="num" val="0"/>
        <color rgb="FFFF0000"/>
        <color rgb="FF00B050"/>
      </colorScale>
    </cfRule>
  </conditionalFormatting>
  <hyperlinks>
    <hyperlink ref="A1" location="'Budget Total 2024'!A1" display="Totals" xr:uid="{2FA7AF00-9F8D-47A0-847E-10934D021457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1C47-5F79-4943-AEBE-2159D77326FE}">
  <dimension ref="A1:BL48"/>
  <sheetViews>
    <sheetView zoomScale="80" zoomScaleNormal="100" workbookViewId="0">
      <pane xSplit="16" topLeftCell="BH1" activePane="topRight" state="frozen"/>
      <selection pane="topRight"/>
    </sheetView>
  </sheetViews>
  <sheetFormatPr defaultColWidth="8.88671875" defaultRowHeight="14.4" x14ac:dyDescent="0.3"/>
  <cols>
    <col min="1" max="1" width="6.33203125" bestFit="1" customWidth="1"/>
    <col min="2" max="2" width="16.44140625" bestFit="1" customWidth="1"/>
    <col min="3" max="3" width="6.5546875" bestFit="1" customWidth="1"/>
    <col min="4" max="4" width="10.88671875" bestFit="1" customWidth="1"/>
    <col min="5" max="5" width="27" bestFit="1" customWidth="1"/>
    <col min="6" max="6" width="41" bestFit="1" customWidth="1"/>
    <col min="7" max="7" width="9.5546875" bestFit="1" customWidth="1"/>
    <col min="8" max="8" width="14.109375" customWidth="1"/>
    <col min="9" max="9" width="14.109375" hidden="1" customWidth="1"/>
    <col min="10" max="10" width="14.109375" style="35" hidden="1" customWidth="1"/>
    <col min="11" max="11" width="16.109375" hidden="1" customWidth="1"/>
    <col min="12" max="12" width="18.44140625" hidden="1" customWidth="1"/>
    <col min="13" max="13" width="14.88671875" hidden="1" customWidth="1"/>
    <col min="14" max="14" width="18.6640625" customWidth="1"/>
    <col min="15" max="15" width="18.88671875" customWidth="1"/>
    <col min="16" max="16" width="14.88671875" bestFit="1" customWidth="1"/>
    <col min="17" max="17" width="13.109375" bestFit="1" customWidth="1"/>
    <col min="18" max="18" width="3.44140625" bestFit="1" customWidth="1"/>
    <col min="19" max="19" width="15.6640625" bestFit="1" customWidth="1"/>
    <col min="20" max="20" width="11.33203125" bestFit="1" customWidth="1"/>
    <col min="21" max="21" width="12.44140625" bestFit="1" customWidth="1"/>
    <col min="22" max="22" width="3.44140625" bestFit="1" customWidth="1"/>
    <col min="23" max="23" width="15.6640625" bestFit="1" customWidth="1"/>
    <col min="24" max="24" width="9.6640625" bestFit="1" customWidth="1"/>
    <col min="25" max="25" width="12.44140625" style="117" bestFit="1" customWidth="1"/>
    <col min="26" max="26" width="3.44140625" bestFit="1" customWidth="1"/>
    <col min="27" max="27" width="15.6640625" bestFit="1" customWidth="1"/>
    <col min="28" max="28" width="11.33203125" bestFit="1" customWidth="1"/>
    <col min="29" max="29" width="12.44140625" bestFit="1" customWidth="1"/>
    <col min="30" max="30" width="3.44140625" bestFit="1" customWidth="1"/>
    <col min="31" max="31" width="15.6640625" bestFit="1" customWidth="1"/>
    <col min="32" max="32" width="9.6640625" bestFit="1" customWidth="1"/>
    <col min="33" max="33" width="12.44140625" bestFit="1" customWidth="1"/>
    <col min="34" max="34" width="7.33203125" customWidth="1"/>
    <col min="35" max="35" width="15.6640625" bestFit="1" customWidth="1"/>
    <col min="36" max="36" width="11.109375" style="5" bestFit="1" customWidth="1"/>
    <col min="37" max="37" width="14.33203125" style="4" bestFit="1" customWidth="1"/>
    <col min="38" max="38" width="6.6640625" customWidth="1"/>
    <col min="39" max="39" width="15.6640625" bestFit="1" customWidth="1"/>
    <col min="40" max="40" width="13.109375" bestFit="1" customWidth="1"/>
    <col min="41" max="41" width="12.44140625" bestFit="1" customWidth="1"/>
    <col min="42" max="42" width="3.44140625" bestFit="1" customWidth="1"/>
    <col min="43" max="43" width="15.88671875" style="4" customWidth="1"/>
    <col min="44" max="44" width="11.109375" bestFit="1" customWidth="1"/>
    <col min="45" max="45" width="12.44140625" bestFit="1" customWidth="1"/>
    <col min="46" max="46" width="3.44140625" bestFit="1" customWidth="1"/>
    <col min="47" max="47" width="15.6640625" bestFit="1" customWidth="1"/>
    <col min="48" max="48" width="11.109375" bestFit="1" customWidth="1"/>
    <col min="49" max="49" width="13.44140625" style="4" customWidth="1"/>
    <col min="50" max="50" width="3.44140625" bestFit="1" customWidth="1"/>
    <col min="51" max="51" width="16.109375" style="35" customWidth="1"/>
    <col min="53" max="53" width="12.44140625" bestFit="1" customWidth="1"/>
    <col min="55" max="55" width="16.88671875" bestFit="1" customWidth="1"/>
    <col min="57" max="57" width="12.44140625" bestFit="1" customWidth="1"/>
    <col min="58" max="58" width="3.5546875" bestFit="1" customWidth="1"/>
    <col min="59" max="59" width="15.6640625" bestFit="1" customWidth="1"/>
    <col min="61" max="61" width="12.44140625" bestFit="1" customWidth="1"/>
    <col min="63" max="63" width="19.44140625" customWidth="1"/>
  </cols>
  <sheetData>
    <row r="1" spans="1:64" x14ac:dyDescent="0.3">
      <c r="A1" s="27" t="s">
        <v>43</v>
      </c>
      <c r="B1" s="28"/>
      <c r="C1" s="28"/>
      <c r="D1" s="28"/>
      <c r="E1" s="28"/>
      <c r="F1" s="28"/>
      <c r="G1" s="28"/>
      <c r="H1" s="28"/>
      <c r="I1" s="28"/>
      <c r="J1" s="29"/>
      <c r="K1" s="28"/>
      <c r="L1" s="28"/>
      <c r="M1" s="28"/>
      <c r="N1" s="28"/>
      <c r="O1" s="30"/>
      <c r="P1" s="28"/>
      <c r="Q1" s="28"/>
      <c r="R1" s="28"/>
      <c r="S1" s="28"/>
      <c r="T1" s="28"/>
      <c r="U1" s="30"/>
      <c r="V1" s="30"/>
      <c r="W1" s="28"/>
      <c r="X1" s="28"/>
      <c r="Y1" s="448"/>
      <c r="Z1" s="28"/>
      <c r="AA1" s="28"/>
      <c r="AB1" s="30"/>
      <c r="AC1" s="28"/>
      <c r="AD1" s="28"/>
      <c r="AE1" s="28"/>
    </row>
    <row r="2" spans="1:64" x14ac:dyDescent="0.3">
      <c r="A2" s="28"/>
      <c r="B2" s="28"/>
      <c r="C2" s="28"/>
      <c r="D2" s="28"/>
      <c r="E2" s="28"/>
      <c r="F2" s="28"/>
      <c r="G2" s="28"/>
      <c r="H2" s="28"/>
      <c r="I2" s="28"/>
      <c r="J2" s="29"/>
      <c r="K2" s="28"/>
      <c r="L2" s="28"/>
      <c r="M2" s="28"/>
      <c r="N2" s="28"/>
      <c r="O2" s="30"/>
      <c r="P2" s="28"/>
      <c r="Q2" s="28"/>
      <c r="R2" s="28"/>
      <c r="S2" s="28"/>
      <c r="T2" s="28"/>
      <c r="U2" s="30"/>
      <c r="V2" s="30"/>
      <c r="W2" s="28"/>
      <c r="X2" s="28"/>
      <c r="Y2" s="448"/>
      <c r="Z2" s="28"/>
      <c r="AA2" s="28"/>
      <c r="AB2" s="30"/>
      <c r="AC2" s="28"/>
      <c r="AD2" s="28"/>
      <c r="AE2" s="28"/>
    </row>
    <row r="3" spans="1:64" x14ac:dyDescent="0.3">
      <c r="A3" s="28"/>
      <c r="B3" s="31" t="s">
        <v>18</v>
      </c>
      <c r="C3" s="31"/>
      <c r="D3" s="950">
        <f>'Budget Total 2024'!H2</f>
        <v>12</v>
      </c>
      <c r="E3" s="32" t="s">
        <v>20</v>
      </c>
      <c r="F3" s="72"/>
      <c r="G3" s="72"/>
      <c r="H3" s="33"/>
      <c r="I3" s="33"/>
      <c r="J3" s="34"/>
      <c r="K3" s="28"/>
      <c r="L3" s="28"/>
      <c r="M3" s="28"/>
      <c r="N3" s="28"/>
      <c r="O3" s="30"/>
      <c r="P3" s="28"/>
      <c r="Q3" s="28"/>
      <c r="R3" s="28"/>
      <c r="S3" s="28"/>
      <c r="T3" s="28"/>
      <c r="U3" s="30"/>
      <c r="V3" s="30"/>
      <c r="W3" s="28"/>
      <c r="X3" s="28"/>
      <c r="Y3" s="448"/>
      <c r="Z3" s="28"/>
      <c r="AA3" s="28"/>
      <c r="AB3" s="30"/>
      <c r="AC3" s="28"/>
      <c r="AD3" s="28"/>
      <c r="AE3" s="28"/>
    </row>
    <row r="4" spans="1:64" x14ac:dyDescent="0.3">
      <c r="A4" s="28"/>
      <c r="B4" s="375"/>
      <c r="C4" s="468"/>
      <c r="D4" s="468"/>
      <c r="E4" s="85"/>
      <c r="F4" s="72"/>
      <c r="G4" s="72"/>
      <c r="H4" s="33"/>
      <c r="I4" s="33"/>
      <c r="J4" s="34"/>
      <c r="K4" s="28"/>
      <c r="L4" s="28"/>
      <c r="M4" s="28"/>
      <c r="N4" s="28"/>
      <c r="O4" s="30"/>
      <c r="P4" s="28"/>
      <c r="Q4" s="28"/>
      <c r="R4" s="28"/>
      <c r="S4" s="28"/>
      <c r="T4" s="28"/>
      <c r="U4" s="30"/>
      <c r="V4" s="30"/>
      <c r="W4" s="28"/>
      <c r="X4" s="28"/>
      <c r="Y4" s="448"/>
      <c r="Z4" s="28"/>
      <c r="AA4" s="28"/>
      <c r="AB4" s="30"/>
      <c r="AC4" s="28"/>
      <c r="AD4" s="28"/>
      <c r="AE4" s="28"/>
    </row>
    <row r="5" spans="1:64" ht="15" thickBot="1" x14ac:dyDescent="0.35">
      <c r="B5" s="36"/>
      <c r="C5" s="469"/>
      <c r="D5" s="469"/>
      <c r="E5" s="38"/>
      <c r="F5" s="286"/>
      <c r="G5" s="469"/>
      <c r="H5" s="1239" t="s">
        <v>73</v>
      </c>
      <c r="I5" s="1239"/>
      <c r="J5" s="1239"/>
      <c r="K5" s="1239"/>
      <c r="L5" s="1239"/>
      <c r="M5" s="1239"/>
      <c r="N5" s="1239"/>
      <c r="O5" s="1239"/>
      <c r="P5" s="1239"/>
      <c r="Q5" s="1237" t="s">
        <v>31</v>
      </c>
      <c r="R5" s="1234"/>
      <c r="S5" s="1234"/>
      <c r="T5" s="589"/>
      <c r="U5" s="1232" t="s">
        <v>32</v>
      </c>
      <c r="V5" s="1231"/>
      <c r="W5" s="1231"/>
      <c r="X5" s="590"/>
      <c r="Y5" s="1236" t="s">
        <v>33</v>
      </c>
      <c r="Z5" s="1236"/>
      <c r="AA5" s="1236"/>
      <c r="AB5" s="587"/>
      <c r="AC5" s="1237" t="s">
        <v>34</v>
      </c>
      <c r="AD5" s="1234"/>
      <c r="AE5" s="1234"/>
      <c r="AF5" s="589"/>
      <c r="AG5" s="1232" t="s">
        <v>35</v>
      </c>
      <c r="AH5" s="1231"/>
      <c r="AI5" s="1231"/>
      <c r="AJ5" s="590"/>
      <c r="AK5" s="1236" t="s">
        <v>36</v>
      </c>
      <c r="AL5" s="1236"/>
      <c r="AM5" s="1236"/>
      <c r="AN5" s="587"/>
      <c r="AO5" s="1237" t="s">
        <v>37</v>
      </c>
      <c r="AP5" s="1234"/>
      <c r="AQ5" s="1234"/>
      <c r="AR5" s="585"/>
      <c r="AS5" s="1232" t="s">
        <v>38</v>
      </c>
      <c r="AT5" s="1231"/>
      <c r="AU5" s="1231"/>
      <c r="AV5" s="590"/>
      <c r="AW5" s="1236" t="s">
        <v>39</v>
      </c>
      <c r="AX5" s="1236"/>
      <c r="AY5" s="1236"/>
      <c r="AZ5" s="588"/>
      <c r="BA5" s="1235" t="s">
        <v>40</v>
      </c>
      <c r="BB5" s="1236"/>
      <c r="BC5" s="1236"/>
      <c r="BD5" s="588"/>
      <c r="BE5" s="1234" t="s">
        <v>41</v>
      </c>
      <c r="BF5" s="1234"/>
      <c r="BG5" s="1234"/>
      <c r="BH5" s="585"/>
      <c r="BI5" s="1238" t="s">
        <v>42</v>
      </c>
      <c r="BJ5" s="1239"/>
      <c r="BK5" s="1239"/>
      <c r="BL5" s="161"/>
    </row>
    <row r="6" spans="1:64" ht="15" thickBot="1" x14ac:dyDescent="0.35">
      <c r="B6" s="88" t="s">
        <v>4</v>
      </c>
      <c r="C6" s="154" t="s">
        <v>74</v>
      </c>
      <c r="D6" s="154" t="s">
        <v>30</v>
      </c>
      <c r="E6" s="154" t="s">
        <v>86</v>
      </c>
      <c r="F6" s="89" t="s">
        <v>3</v>
      </c>
      <c r="G6" s="89" t="s">
        <v>92</v>
      </c>
      <c r="H6" s="470" t="s">
        <v>75</v>
      </c>
      <c r="I6" s="385" t="s">
        <v>93</v>
      </c>
      <c r="J6" s="386" t="s">
        <v>94</v>
      </c>
      <c r="K6" s="326" t="s">
        <v>95</v>
      </c>
      <c r="L6" s="387" t="s">
        <v>96</v>
      </c>
      <c r="M6" s="387" t="s">
        <v>97</v>
      </c>
      <c r="N6" s="43" t="s">
        <v>85</v>
      </c>
      <c r="O6" s="140" t="s">
        <v>78</v>
      </c>
      <c r="P6" s="44" t="s">
        <v>79</v>
      </c>
      <c r="Q6" s="40" t="s">
        <v>80</v>
      </c>
      <c r="R6" s="678" t="s">
        <v>72</v>
      </c>
      <c r="S6" s="43" t="s">
        <v>81</v>
      </c>
      <c r="T6" s="44" t="s">
        <v>82</v>
      </c>
      <c r="U6" s="98" t="s">
        <v>80</v>
      </c>
      <c r="V6" s="94" t="s">
        <v>72</v>
      </c>
      <c r="W6" s="94" t="s">
        <v>81</v>
      </c>
      <c r="X6" s="95" t="s">
        <v>82</v>
      </c>
      <c r="Y6" s="449" t="s">
        <v>80</v>
      </c>
      <c r="Z6" s="43" t="s">
        <v>72</v>
      </c>
      <c r="AA6" s="43" t="s">
        <v>81</v>
      </c>
      <c r="AB6" s="43" t="s">
        <v>82</v>
      </c>
      <c r="AC6" s="98" t="s">
        <v>80</v>
      </c>
      <c r="AD6" s="94" t="s">
        <v>72</v>
      </c>
      <c r="AE6" s="94" t="s">
        <v>81</v>
      </c>
      <c r="AF6" s="95" t="s">
        <v>82</v>
      </c>
      <c r="AG6" s="40" t="s">
        <v>80</v>
      </c>
      <c r="AH6" s="43" t="s">
        <v>72</v>
      </c>
      <c r="AI6" s="43" t="s">
        <v>81</v>
      </c>
      <c r="AJ6" s="44" t="s">
        <v>82</v>
      </c>
      <c r="AK6" s="563" t="s">
        <v>80</v>
      </c>
      <c r="AL6" s="94" t="s">
        <v>72</v>
      </c>
      <c r="AM6" s="94" t="s">
        <v>81</v>
      </c>
      <c r="AN6" s="94" t="s">
        <v>82</v>
      </c>
      <c r="AO6" s="40" t="s">
        <v>80</v>
      </c>
      <c r="AP6" s="43" t="s">
        <v>72</v>
      </c>
      <c r="AQ6" s="43" t="s">
        <v>81</v>
      </c>
      <c r="AR6" s="43" t="s">
        <v>82</v>
      </c>
      <c r="AS6" s="98" t="s">
        <v>80</v>
      </c>
      <c r="AT6" s="94" t="s">
        <v>72</v>
      </c>
      <c r="AU6" s="94" t="s">
        <v>81</v>
      </c>
      <c r="AV6" s="95" t="s">
        <v>82</v>
      </c>
      <c r="AW6" s="455" t="s">
        <v>80</v>
      </c>
      <c r="AX6" s="43" t="s">
        <v>72</v>
      </c>
      <c r="AY6" s="43" t="s">
        <v>81</v>
      </c>
      <c r="AZ6" s="44" t="s">
        <v>82</v>
      </c>
      <c r="BA6" s="98" t="s">
        <v>80</v>
      </c>
      <c r="BB6" s="94" t="s">
        <v>72</v>
      </c>
      <c r="BC6" s="94" t="s">
        <v>81</v>
      </c>
      <c r="BD6" s="95" t="s">
        <v>82</v>
      </c>
      <c r="BE6" s="43" t="s">
        <v>80</v>
      </c>
      <c r="BF6" s="43" t="s">
        <v>72</v>
      </c>
      <c r="BG6" s="43" t="s">
        <v>81</v>
      </c>
      <c r="BH6" s="43" t="s">
        <v>82</v>
      </c>
      <c r="BI6" s="98" t="s">
        <v>80</v>
      </c>
      <c r="BJ6" s="94" t="s">
        <v>72</v>
      </c>
      <c r="BK6" s="94" t="s">
        <v>81</v>
      </c>
      <c r="BL6" s="95" t="s">
        <v>82</v>
      </c>
    </row>
    <row r="7" spans="1:64" ht="15" thickBot="1" x14ac:dyDescent="0.35">
      <c r="B7" s="1304"/>
      <c r="C7" s="695"/>
      <c r="D7" s="1306"/>
      <c r="E7" s="423"/>
      <c r="F7" s="446"/>
      <c r="G7" s="1287"/>
      <c r="H7" s="1289"/>
      <c r="I7" s="429"/>
      <c r="J7" s="383"/>
      <c r="K7" s="384"/>
      <c r="L7" s="383"/>
      <c r="M7" s="382"/>
      <c r="N7" s="1292"/>
      <c r="O7" s="593"/>
      <c r="P7" s="1301"/>
      <c r="Q7" s="845"/>
      <c r="R7" s="679"/>
      <c r="S7" s="144"/>
      <c r="T7" s="201"/>
      <c r="U7" s="195"/>
      <c r="V7" s="143"/>
      <c r="W7" s="304"/>
      <c r="X7" s="196"/>
      <c r="Y7" s="450"/>
      <c r="Z7" s="146"/>
      <c r="AA7" s="146"/>
      <c r="AB7" s="185"/>
      <c r="AC7" s="195"/>
      <c r="AD7" s="143"/>
      <c r="AE7" s="304"/>
      <c r="AF7" s="196"/>
      <c r="AG7" s="200"/>
      <c r="AH7" s="146"/>
      <c r="AI7" s="144"/>
      <c r="AJ7" s="201"/>
      <c r="AK7" s="558"/>
      <c r="AL7" s="143"/>
      <c r="AM7" s="304"/>
      <c r="AN7" s="549"/>
      <c r="AO7" s="200"/>
      <c r="AP7" s="146"/>
      <c r="AQ7" s="144"/>
      <c r="AR7" s="185"/>
      <c r="AS7" s="195"/>
      <c r="AT7" s="304"/>
      <c r="AU7" s="143"/>
      <c r="AV7" s="196"/>
      <c r="AW7" s="188"/>
      <c r="AX7" s="146"/>
      <c r="AY7" s="1141"/>
      <c r="AZ7" s="201"/>
      <c r="BA7" s="195"/>
      <c r="BB7" s="304"/>
      <c r="BC7" s="143"/>
      <c r="BD7" s="196"/>
      <c r="BE7" s="188"/>
      <c r="BF7" s="146"/>
      <c r="BG7" s="146"/>
      <c r="BH7" s="185"/>
      <c r="BI7" s="195"/>
      <c r="BJ7" s="304"/>
      <c r="BK7" s="533"/>
      <c r="BL7" s="196"/>
    </row>
    <row r="8" spans="1:64" ht="15" thickBot="1" x14ac:dyDescent="0.35">
      <c r="B8" s="1305"/>
      <c r="C8" s="696"/>
      <c r="D8" s="1307"/>
      <c r="E8" s="424"/>
      <c r="F8" s="447"/>
      <c r="G8" s="1288"/>
      <c r="H8" s="1290"/>
      <c r="I8" s="430"/>
      <c r="J8" s="377"/>
      <c r="K8" s="292"/>
      <c r="L8" s="377"/>
      <c r="M8" s="294"/>
      <c r="N8" s="1293"/>
      <c r="O8" s="594"/>
      <c r="P8" s="1302"/>
      <c r="Q8" s="846"/>
      <c r="R8" s="680"/>
      <c r="S8" s="179"/>
      <c r="T8" s="202"/>
      <c r="U8" s="197"/>
      <c r="V8" s="180"/>
      <c r="W8" s="180"/>
      <c r="X8" s="198"/>
      <c r="Y8" s="451"/>
      <c r="Z8" s="179"/>
      <c r="AA8" s="179"/>
      <c r="AB8" s="186"/>
      <c r="AC8" s="197"/>
      <c r="AD8" s="180"/>
      <c r="AE8" s="180"/>
      <c r="AF8" s="198"/>
      <c r="AG8" s="557"/>
      <c r="AH8" s="179"/>
      <c r="AI8" s="179"/>
      <c r="AJ8" s="202"/>
      <c r="AK8" s="559"/>
      <c r="AL8" s="180"/>
      <c r="AM8" s="180"/>
      <c r="AN8" s="550"/>
      <c r="AO8" s="557"/>
      <c r="AP8" s="179"/>
      <c r="AQ8" s="179"/>
      <c r="AR8" s="186"/>
      <c r="AS8" s="197"/>
      <c r="AT8" s="305"/>
      <c r="AU8" s="180"/>
      <c r="AV8" s="198"/>
      <c r="AW8" s="189"/>
      <c r="AX8" s="179"/>
      <c r="AY8" s="179"/>
      <c r="AZ8" s="202"/>
      <c r="BA8" s="197"/>
      <c r="BB8" s="180"/>
      <c r="BC8" s="606"/>
      <c r="BD8" s="198"/>
      <c r="BE8" s="189"/>
      <c r="BF8" s="179"/>
      <c r="BG8" s="179"/>
      <c r="BH8" s="186"/>
      <c r="BI8" s="195"/>
      <c r="BJ8" s="180"/>
      <c r="BK8" s="533"/>
      <c r="BL8" s="198"/>
    </row>
    <row r="9" spans="1:64" ht="15" thickBot="1" x14ac:dyDescent="0.35">
      <c r="B9" s="1305"/>
      <c r="C9" s="696"/>
      <c r="D9" s="1307"/>
      <c r="E9" s="424"/>
      <c r="F9" s="447"/>
      <c r="G9" s="1288"/>
      <c r="H9" s="1290"/>
      <c r="I9" s="431"/>
      <c r="J9" s="378"/>
      <c r="K9" s="293"/>
      <c r="L9" s="378"/>
      <c r="M9" s="295"/>
      <c r="N9" s="1293"/>
      <c r="O9" s="595"/>
      <c r="P9" s="1302"/>
      <c r="Q9" s="846"/>
      <c r="R9" s="680"/>
      <c r="S9" s="179"/>
      <c r="T9" s="202"/>
      <c r="U9" s="197"/>
      <c r="V9" s="180"/>
      <c r="W9" s="180"/>
      <c r="X9" s="198"/>
      <c r="Y9" s="451"/>
      <c r="Z9" s="179"/>
      <c r="AA9" s="179"/>
      <c r="AB9" s="186"/>
      <c r="AC9" s="197"/>
      <c r="AD9" s="180"/>
      <c r="AE9" s="180"/>
      <c r="AF9" s="198"/>
      <c r="AG9" s="557"/>
      <c r="AH9" s="179"/>
      <c r="AI9" s="179"/>
      <c r="AJ9" s="202"/>
      <c r="AK9" s="559"/>
      <c r="AL9" s="180"/>
      <c r="AM9" s="305"/>
      <c r="AN9" s="550"/>
      <c r="AO9" s="557"/>
      <c r="AP9" s="179"/>
      <c r="AQ9" s="179"/>
      <c r="AR9" s="186"/>
      <c r="AS9" s="197"/>
      <c r="AT9" s="180"/>
      <c r="AU9" s="180"/>
      <c r="AV9" s="198"/>
      <c r="AW9" s="189"/>
      <c r="AX9" s="179"/>
      <c r="AY9" s="179"/>
      <c r="AZ9" s="202"/>
      <c r="BA9" s="197"/>
      <c r="BB9" s="180"/>
      <c r="BC9" s="180"/>
      <c r="BD9" s="198"/>
      <c r="BE9" s="189"/>
      <c r="BF9" s="179"/>
      <c r="BG9" s="179"/>
      <c r="BH9" s="186"/>
      <c r="BI9" s="195"/>
      <c r="BJ9" s="180"/>
      <c r="BK9" s="533"/>
      <c r="BL9" s="198"/>
    </row>
    <row r="10" spans="1:64" x14ac:dyDescent="0.3">
      <c r="B10" s="1305"/>
      <c r="C10" s="701"/>
      <c r="D10" s="1308"/>
      <c r="E10" s="516"/>
      <c r="F10" s="517"/>
      <c r="G10" s="1288"/>
      <c r="H10" s="1291"/>
      <c r="I10" s="432"/>
      <c r="J10" s="379"/>
      <c r="K10" s="343"/>
      <c r="L10" s="379"/>
      <c r="M10" s="344"/>
      <c r="N10" s="1294"/>
      <c r="O10" s="346"/>
      <c r="P10" s="1303"/>
      <c r="Q10" s="847"/>
      <c r="R10" s="681"/>
      <c r="S10" s="338"/>
      <c r="T10" s="339"/>
      <c r="U10" s="337"/>
      <c r="V10" s="338"/>
      <c r="W10" s="338"/>
      <c r="X10" s="340"/>
      <c r="Y10" s="452"/>
      <c r="Z10" s="338"/>
      <c r="AA10" s="338"/>
      <c r="AB10" s="342"/>
      <c r="AC10" s="337"/>
      <c r="AD10" s="338"/>
      <c r="AE10" s="338"/>
      <c r="AF10" s="340"/>
      <c r="AG10" s="337"/>
      <c r="AH10" s="338"/>
      <c r="AI10" s="338"/>
      <c r="AJ10" s="339"/>
      <c r="AK10" s="341"/>
      <c r="AL10" s="338"/>
      <c r="AM10" s="338"/>
      <c r="AN10" s="551"/>
      <c r="AO10" s="337"/>
      <c r="AP10" s="338"/>
      <c r="AQ10" s="338"/>
      <c r="AR10" s="342"/>
      <c r="AS10" s="337"/>
      <c r="AT10" s="338"/>
      <c r="AU10" s="338"/>
      <c r="AV10" s="340"/>
      <c r="AW10" s="341"/>
      <c r="AX10" s="338"/>
      <c r="AY10" s="338"/>
      <c r="AZ10" s="339"/>
      <c r="BA10" s="337"/>
      <c r="BB10" s="338"/>
      <c r="BC10" s="338"/>
      <c r="BD10" s="340"/>
      <c r="BE10" s="341"/>
      <c r="BF10" s="338"/>
      <c r="BG10" s="338"/>
      <c r="BH10" s="342"/>
      <c r="BI10" s="337"/>
      <c r="BJ10" s="338"/>
      <c r="BK10" s="338"/>
      <c r="BL10" s="340"/>
    </row>
    <row r="11" spans="1:64" x14ac:dyDescent="0.3">
      <c r="B11" s="1311"/>
      <c r="C11" s="699"/>
      <c r="D11" s="1320"/>
      <c r="E11" s="502"/>
      <c r="F11" s="765"/>
      <c r="G11" s="1327"/>
      <c r="H11" s="1295"/>
      <c r="I11" s="526"/>
      <c r="J11" s="527"/>
      <c r="K11" s="528"/>
      <c r="L11" s="527"/>
      <c r="M11" s="529"/>
      <c r="N11" s="1292"/>
      <c r="O11" s="596"/>
      <c r="P11" s="1298"/>
      <c r="Q11" s="848"/>
      <c r="R11" s="682"/>
      <c r="S11" s="531"/>
      <c r="T11" s="532"/>
      <c r="U11" s="199"/>
      <c r="V11" s="533"/>
      <c r="W11" s="533"/>
      <c r="X11" s="534"/>
      <c r="Y11" s="535"/>
      <c r="Z11" s="530"/>
      <c r="AA11" s="531"/>
      <c r="AB11" s="532"/>
      <c r="AC11" s="199"/>
      <c r="AD11" s="533"/>
      <c r="AE11" s="533"/>
      <c r="AF11" s="534"/>
      <c r="AG11" s="141"/>
      <c r="AH11" s="530"/>
      <c r="AI11" s="531"/>
      <c r="AJ11" s="532"/>
      <c r="AK11" s="546"/>
      <c r="AL11" s="533"/>
      <c r="AM11" s="533"/>
      <c r="AN11" s="552"/>
      <c r="AO11" s="141"/>
      <c r="AP11" s="530"/>
      <c r="AQ11" s="531"/>
      <c r="AR11" s="537"/>
      <c r="AS11" s="199"/>
      <c r="AT11" s="533"/>
      <c r="AU11" s="533"/>
      <c r="AV11" s="534"/>
      <c r="AW11" s="191"/>
      <c r="AX11" s="530"/>
      <c r="AY11" s="531"/>
      <c r="AZ11" s="532"/>
      <c r="BA11" s="199"/>
      <c r="BB11" s="533"/>
      <c r="BC11" s="533"/>
      <c r="BD11" s="534"/>
      <c r="BE11" s="191"/>
      <c r="BF11" s="530"/>
      <c r="BG11" s="531"/>
      <c r="BH11" s="537"/>
      <c r="BI11" s="199"/>
      <c r="BJ11" s="533"/>
      <c r="BL11" s="534"/>
    </row>
    <row r="12" spans="1:64" x14ac:dyDescent="0.3">
      <c r="B12" s="1312"/>
      <c r="C12" s="697"/>
      <c r="D12" s="1321"/>
      <c r="E12" s="482"/>
      <c r="F12" s="766"/>
      <c r="G12" s="1328"/>
      <c r="H12" s="1296"/>
      <c r="I12" s="433"/>
      <c r="J12" s="380"/>
      <c r="K12" s="376"/>
      <c r="L12" s="380"/>
      <c r="M12" s="381"/>
      <c r="N12" s="1293"/>
      <c r="O12" s="596"/>
      <c r="P12" s="1299"/>
      <c r="Q12" s="849"/>
      <c r="R12" s="927"/>
      <c r="S12" s="142"/>
      <c r="T12" s="505"/>
      <c r="U12" s="506"/>
      <c r="V12" s="507"/>
      <c r="W12" s="507"/>
      <c r="X12" s="508"/>
      <c r="Y12" s="509"/>
      <c r="Z12" s="504"/>
      <c r="AA12" s="142"/>
      <c r="AB12" s="184"/>
      <c r="AC12" s="506"/>
      <c r="AD12" s="507"/>
      <c r="AE12" s="507"/>
      <c r="AF12" s="508"/>
      <c r="AG12" s="503"/>
      <c r="AH12" s="504"/>
      <c r="AI12" s="142"/>
      <c r="AJ12" s="505"/>
      <c r="AK12" s="539"/>
      <c r="AL12" s="507"/>
      <c r="AM12" s="507"/>
      <c r="AN12" s="553"/>
      <c r="AO12" s="503"/>
      <c r="AP12" s="504"/>
      <c r="AQ12" s="142"/>
      <c r="AR12" s="184"/>
      <c r="AS12" s="506"/>
      <c r="AT12" s="507"/>
      <c r="AU12" s="507"/>
      <c r="AV12" s="508"/>
      <c r="AW12" s="187"/>
      <c r="AX12" s="504"/>
      <c r="AY12" s="142"/>
      <c r="AZ12" s="505"/>
      <c r="BA12" s="506"/>
      <c r="BB12" s="507"/>
      <c r="BC12" s="507"/>
      <c r="BD12" s="508"/>
      <c r="BE12" s="187"/>
      <c r="BF12" s="504"/>
      <c r="BG12" s="142"/>
      <c r="BH12" s="184"/>
      <c r="BI12" s="506"/>
      <c r="BJ12" s="507"/>
      <c r="BK12" s="507"/>
      <c r="BL12" s="508"/>
    </row>
    <row r="13" spans="1:64" x14ac:dyDescent="0.3">
      <c r="B13" s="1313"/>
      <c r="C13" s="700"/>
      <c r="D13" s="1322"/>
      <c r="E13" s="513"/>
      <c r="F13" s="767"/>
      <c r="G13" s="1329"/>
      <c r="H13" s="1297"/>
      <c r="I13" s="432"/>
      <c r="J13" s="379"/>
      <c r="K13" s="343"/>
      <c r="L13" s="379"/>
      <c r="M13" s="344"/>
      <c r="N13" s="1294"/>
      <c r="O13" s="346"/>
      <c r="P13" s="1300"/>
      <c r="Q13" s="847"/>
      <c r="R13" s="681"/>
      <c r="S13" s="338"/>
      <c r="T13" s="339"/>
      <c r="U13" s="347"/>
      <c r="V13" s="518"/>
      <c r="W13" s="518"/>
      <c r="X13" s="536"/>
      <c r="Y13" s="521"/>
      <c r="Z13" s="524"/>
      <c r="AA13" s="518"/>
      <c r="AB13" s="522"/>
      <c r="AC13" s="347"/>
      <c r="AD13" s="518"/>
      <c r="AE13" s="518"/>
      <c r="AF13" s="536"/>
      <c r="AG13" s="347"/>
      <c r="AH13" s="524"/>
      <c r="AI13" s="518"/>
      <c r="AJ13" s="519"/>
      <c r="AK13" s="523"/>
      <c r="AL13" s="518"/>
      <c r="AM13" s="518"/>
      <c r="AN13" s="554"/>
      <c r="AO13" s="347"/>
      <c r="AP13" s="524"/>
      <c r="AQ13" s="518"/>
      <c r="AR13" s="522"/>
      <c r="AS13" s="347"/>
      <c r="AT13" s="518"/>
      <c r="AU13" s="518"/>
      <c r="AV13" s="536"/>
      <c r="AW13" s="523"/>
      <c r="AX13" s="524"/>
      <c r="AY13" s="518"/>
      <c r="AZ13" s="519"/>
      <c r="BA13" s="347"/>
      <c r="BB13" s="518"/>
      <c r="BC13" s="518"/>
      <c r="BD13" s="536"/>
      <c r="BE13" s="523"/>
      <c r="BF13" s="524"/>
      <c r="BG13" s="518"/>
      <c r="BH13" s="522"/>
      <c r="BI13" s="347"/>
      <c r="BJ13" s="518"/>
      <c r="BK13" s="518"/>
      <c r="BL13" s="536"/>
    </row>
    <row r="14" spans="1:64" x14ac:dyDescent="0.3">
      <c r="B14" s="1314"/>
      <c r="C14" s="1317"/>
      <c r="D14" s="1317"/>
      <c r="E14" s="705"/>
      <c r="F14" s="768"/>
      <c r="G14" s="1330"/>
      <c r="H14" s="1289"/>
      <c r="I14" s="645"/>
      <c r="J14" s="646"/>
      <c r="K14" s="647"/>
      <c r="L14" s="646"/>
      <c r="M14" s="648"/>
      <c r="N14" s="1292"/>
      <c r="O14" s="650"/>
      <c r="P14" s="1301"/>
      <c r="Q14" s="1074"/>
      <c r="R14" s="679"/>
      <c r="S14" s="144"/>
      <c r="T14" s="201"/>
      <c r="U14" s="558"/>
      <c r="V14" s="143"/>
      <c r="W14" s="143"/>
      <c r="X14" s="1075"/>
      <c r="Y14" s="450"/>
      <c r="Z14" s="144"/>
      <c r="AA14" s="144"/>
      <c r="AB14" s="185"/>
      <c r="AC14" s="195"/>
      <c r="AD14" s="143"/>
      <c r="AE14" s="143"/>
      <c r="AF14" s="1075"/>
      <c r="AG14" s="200"/>
      <c r="AH14" s="144"/>
      <c r="AI14" s="144"/>
      <c r="AJ14" s="201"/>
      <c r="AK14" s="558"/>
      <c r="AL14" s="143"/>
      <c r="AM14" s="143"/>
      <c r="AN14" s="1076"/>
      <c r="AO14" s="200"/>
      <c r="AP14" s="144"/>
      <c r="AQ14" s="144"/>
      <c r="AR14" s="185"/>
      <c r="AS14" s="195"/>
      <c r="AT14" s="143"/>
      <c r="AU14" s="143"/>
      <c r="AV14" s="1075"/>
      <c r="AW14" s="188"/>
      <c r="AX14" s="144"/>
      <c r="AY14" s="144"/>
      <c r="AZ14" s="201"/>
      <c r="BA14" s="195"/>
      <c r="BB14" s="143"/>
      <c r="BC14" s="143"/>
      <c r="BD14" s="1075"/>
      <c r="BE14" s="188"/>
      <c r="BF14" s="146"/>
      <c r="BG14" s="144"/>
      <c r="BH14" s="185"/>
      <c r="BI14" s="195"/>
      <c r="BJ14" s="143"/>
      <c r="BK14" s="143"/>
      <c r="BL14" s="1075"/>
    </row>
    <row r="15" spans="1:64" ht="15" thickBot="1" x14ac:dyDescent="0.35">
      <c r="B15" s="1315"/>
      <c r="C15" s="1318"/>
      <c r="D15" s="1318"/>
      <c r="E15" s="705"/>
      <c r="F15" s="768"/>
      <c r="G15" s="1331"/>
      <c r="H15" s="1290"/>
      <c r="I15" s="1063"/>
      <c r="J15" s="1064"/>
      <c r="K15" s="1065"/>
      <c r="L15" s="1064"/>
      <c r="M15" s="1066"/>
      <c r="N15" s="1293"/>
      <c r="O15" s="1067"/>
      <c r="P15" s="1302"/>
      <c r="Q15" s="1068"/>
      <c r="R15" s="1069"/>
      <c r="S15" s="560"/>
      <c r="T15" s="562"/>
      <c r="U15" s="1070"/>
      <c r="V15" s="930"/>
      <c r="W15" s="930"/>
      <c r="X15" s="1071"/>
      <c r="Y15" s="564"/>
      <c r="Z15" s="560"/>
      <c r="AA15" s="560"/>
      <c r="AB15" s="561"/>
      <c r="AC15" s="1072"/>
      <c r="AD15" s="930"/>
      <c r="AE15" s="930"/>
      <c r="AF15" s="1071"/>
      <c r="AG15" s="145"/>
      <c r="AH15" s="560"/>
      <c r="AI15" s="560"/>
      <c r="AJ15" s="562"/>
      <c r="AK15" s="1070"/>
      <c r="AL15" s="930"/>
      <c r="AM15" s="930"/>
      <c r="AN15" s="787"/>
      <c r="AO15" s="145"/>
      <c r="AP15" s="560"/>
      <c r="AQ15" s="560"/>
      <c r="AR15" s="561"/>
      <c r="AS15" s="1072"/>
      <c r="AT15" s="930"/>
      <c r="AU15" s="930"/>
      <c r="AV15" s="1071"/>
      <c r="AW15" s="190"/>
      <c r="AX15" s="560"/>
      <c r="AY15" s="560"/>
      <c r="AZ15" s="562"/>
      <c r="BA15" s="1072"/>
      <c r="BB15" s="930"/>
      <c r="BC15" s="930"/>
      <c r="BD15" s="1071"/>
      <c r="BE15" s="190"/>
      <c r="BF15" s="1073"/>
      <c r="BG15" s="560"/>
      <c r="BH15" s="561"/>
      <c r="BI15" s="1072"/>
      <c r="BJ15" s="930"/>
      <c r="BK15" s="930"/>
      <c r="BL15" s="1071"/>
    </row>
    <row r="16" spans="1:64" s="706" customFormat="1" ht="15" thickBot="1" x14ac:dyDescent="0.35">
      <c r="B16" s="1315"/>
      <c r="C16" s="1318"/>
      <c r="D16" s="1318"/>
      <c r="E16" s="483"/>
      <c r="F16" s="769"/>
      <c r="G16" s="1331"/>
      <c r="H16" s="1290"/>
      <c r="I16" s="707"/>
      <c r="J16" s="708"/>
      <c r="K16" s="709"/>
      <c r="L16" s="708"/>
      <c r="M16" s="710"/>
      <c r="N16" s="1293"/>
      <c r="O16" s="711"/>
      <c r="P16" s="1302"/>
      <c r="Q16" s="851"/>
      <c r="R16" s="683"/>
      <c r="S16" s="635"/>
      <c r="T16" s="636"/>
      <c r="U16" s="712"/>
      <c r="V16" s="350"/>
      <c r="W16" s="350"/>
      <c r="X16" s="713"/>
      <c r="Y16" s="714"/>
      <c r="Z16" s="348"/>
      <c r="AA16" s="348"/>
      <c r="AB16" s="353"/>
      <c r="AC16" s="349"/>
      <c r="AD16" s="350"/>
      <c r="AE16" s="350"/>
      <c r="AF16" s="713"/>
      <c r="AG16" s="715"/>
      <c r="AH16" s="348"/>
      <c r="AI16" s="348"/>
      <c r="AJ16" s="716"/>
      <c r="AK16" s="712"/>
      <c r="AL16" s="350"/>
      <c r="AM16" s="350"/>
      <c r="AN16" s="717"/>
      <c r="AO16" s="715"/>
      <c r="AP16" s="348"/>
      <c r="AQ16" s="348"/>
      <c r="AR16" s="353"/>
      <c r="AS16" s="349"/>
      <c r="AT16" s="350"/>
      <c r="AU16" s="350"/>
      <c r="AV16" s="713"/>
      <c r="AW16" s="352"/>
      <c r="AX16" s="348"/>
      <c r="AY16" s="348"/>
      <c r="AZ16" s="716"/>
      <c r="BA16" s="349"/>
      <c r="BB16" s="350"/>
      <c r="BC16" s="350"/>
      <c r="BD16" s="713"/>
      <c r="BE16" s="352"/>
      <c r="BF16" s="354"/>
      <c r="BG16" s="348"/>
      <c r="BH16" s="353"/>
      <c r="BI16" s="499"/>
      <c r="BJ16" s="350"/>
      <c r="BK16" s="930"/>
      <c r="BL16" s="713"/>
    </row>
    <row r="17" spans="2:64" ht="15" thickBot="1" x14ac:dyDescent="0.35">
      <c r="B17" s="1316"/>
      <c r="C17" s="1319"/>
      <c r="D17" s="1319"/>
      <c r="E17" s="514"/>
      <c r="F17" s="770"/>
      <c r="G17" s="1332"/>
      <c r="H17" s="1291"/>
      <c r="I17" s="432"/>
      <c r="J17" s="379"/>
      <c r="K17" s="343"/>
      <c r="L17" s="379"/>
      <c r="M17" s="344"/>
      <c r="N17" s="1294"/>
      <c r="O17" s="346"/>
      <c r="P17" s="1300"/>
      <c r="Q17" s="854"/>
      <c r="R17" s="686"/>
      <c r="S17" s="518"/>
      <c r="T17" s="519"/>
      <c r="U17" s="347"/>
      <c r="V17" s="518"/>
      <c r="W17" s="518"/>
      <c r="X17" s="520"/>
      <c r="Y17" s="521"/>
      <c r="Z17" s="518"/>
      <c r="AA17" s="518"/>
      <c r="AB17" s="522"/>
      <c r="AC17" s="347"/>
      <c r="AD17" s="518"/>
      <c r="AE17" s="518"/>
      <c r="AF17" s="520"/>
      <c r="AG17" s="347"/>
      <c r="AH17" s="518"/>
      <c r="AI17" s="518"/>
      <c r="AJ17" s="519"/>
      <c r="AK17" s="523"/>
      <c r="AL17" s="518"/>
      <c r="AM17" s="518"/>
      <c r="AN17" s="525"/>
      <c r="AO17" s="347"/>
      <c r="AP17" s="518"/>
      <c r="AQ17" s="518"/>
      <c r="AR17" s="522"/>
      <c r="AS17" s="347"/>
      <c r="AT17" s="518"/>
      <c r="AU17" s="518"/>
      <c r="AV17" s="520"/>
      <c r="AW17" s="523"/>
      <c r="AX17" s="518"/>
      <c r="AY17" s="518"/>
      <c r="AZ17" s="519"/>
      <c r="BA17" s="347"/>
      <c r="BB17" s="518"/>
      <c r="BC17" s="518"/>
      <c r="BD17" s="520"/>
      <c r="BE17" s="523"/>
      <c r="BF17" s="524"/>
      <c r="BG17" s="518"/>
      <c r="BH17" s="522"/>
      <c r="BI17" s="347"/>
      <c r="BJ17" s="518"/>
      <c r="BK17" s="518"/>
      <c r="BL17" s="520"/>
    </row>
    <row r="18" spans="2:64" ht="15" thickBot="1" x14ac:dyDescent="0.35">
      <c r="B18" s="1059"/>
      <c r="C18" s="762"/>
      <c r="D18" s="762"/>
      <c r="E18" s="763"/>
      <c r="F18" s="998"/>
      <c r="G18" s="777"/>
      <c r="H18" s="479"/>
      <c r="I18" s="432"/>
      <c r="J18" s="379"/>
      <c r="K18" s="343"/>
      <c r="L18" s="379"/>
      <c r="M18" s="344"/>
      <c r="N18" s="345"/>
      <c r="O18" s="346"/>
      <c r="P18" s="735"/>
      <c r="Q18" s="852"/>
      <c r="R18" s="684"/>
      <c r="S18" s="633"/>
      <c r="T18" s="634"/>
      <c r="U18" s="341"/>
      <c r="V18" s="338"/>
      <c r="W18" s="338"/>
      <c r="X18" s="340"/>
      <c r="Y18" s="452"/>
      <c r="Z18" s="338"/>
      <c r="AA18" s="338"/>
      <c r="AB18" s="342"/>
      <c r="AC18" s="337"/>
      <c r="AD18" s="338"/>
      <c r="AE18" s="338"/>
      <c r="AF18" s="340"/>
      <c r="AG18" s="337"/>
      <c r="AH18" s="338"/>
      <c r="AI18" s="338"/>
      <c r="AJ18" s="339"/>
      <c r="AK18" s="341"/>
      <c r="AL18" s="338"/>
      <c r="AM18" s="338"/>
      <c r="AN18" s="551"/>
      <c r="AO18" s="337"/>
      <c r="AP18" s="761"/>
      <c r="AQ18" s="338"/>
      <c r="AR18" s="342"/>
      <c r="AS18" s="337"/>
      <c r="AT18" s="338"/>
      <c r="AU18" s="338"/>
      <c r="AV18" s="340"/>
      <c r="AW18" s="341"/>
      <c r="AX18" s="338"/>
      <c r="AY18" s="338"/>
      <c r="AZ18" s="339"/>
      <c r="BA18" s="337"/>
      <c r="BB18" s="338"/>
      <c r="BC18" s="338"/>
      <c r="BD18" s="340"/>
      <c r="BE18" s="341"/>
      <c r="BF18" s="632"/>
      <c r="BG18" s="338"/>
      <c r="BH18" s="342"/>
      <c r="BI18" s="337"/>
      <c r="BJ18" s="338"/>
      <c r="BK18" s="338"/>
      <c r="BL18" s="340"/>
    </row>
    <row r="19" spans="2:64" ht="15" thickBot="1" x14ac:dyDescent="0.35">
      <c r="B19" s="1060"/>
      <c r="C19" s="1000"/>
      <c r="D19" s="1000"/>
      <c r="E19" s="1001"/>
      <c r="F19" s="1002"/>
      <c r="G19" s="1003"/>
      <c r="H19" s="996"/>
      <c r="I19" s="432"/>
      <c r="J19" s="379"/>
      <c r="K19" s="343"/>
      <c r="L19" s="379"/>
      <c r="M19" s="344"/>
      <c r="N19" s="997"/>
      <c r="O19" s="346"/>
      <c r="P19" s="735"/>
      <c r="Q19" s="852"/>
      <c r="R19" s="684"/>
      <c r="S19" s="633"/>
      <c r="T19" s="634"/>
      <c r="U19" s="341"/>
      <c r="V19" s="338"/>
      <c r="W19" s="338"/>
      <c r="X19" s="340"/>
      <c r="Y19" s="452"/>
      <c r="Z19" s="338"/>
      <c r="AA19" s="338"/>
      <c r="AB19" s="342"/>
      <c r="AC19" s="337"/>
      <c r="AD19" s="338"/>
      <c r="AE19" s="338"/>
      <c r="AF19" s="340"/>
      <c r="AG19" s="337"/>
      <c r="AH19" s="338"/>
      <c r="AI19" s="338"/>
      <c r="AJ19" s="339"/>
      <c r="AK19" s="341"/>
      <c r="AL19" s="338"/>
      <c r="AM19" s="338"/>
      <c r="AN19" s="551"/>
      <c r="AO19" s="337"/>
      <c r="AP19" s="761"/>
      <c r="AQ19" s="338"/>
      <c r="AR19" s="342"/>
      <c r="AS19" s="337"/>
      <c r="AT19" s="338"/>
      <c r="AU19" s="338"/>
      <c r="AV19" s="340"/>
      <c r="AW19" s="341"/>
      <c r="AX19" s="338"/>
      <c r="AY19" s="338"/>
      <c r="AZ19" s="339"/>
      <c r="BA19" s="337"/>
      <c r="BB19" s="338"/>
      <c r="BC19" s="338"/>
      <c r="BD19" s="340"/>
      <c r="BE19" s="341"/>
      <c r="BF19" s="632"/>
      <c r="BG19" s="338"/>
      <c r="BH19" s="342"/>
      <c r="BI19" s="337"/>
      <c r="BJ19" s="338"/>
      <c r="BK19" s="338"/>
      <c r="BL19" s="340"/>
    </row>
    <row r="20" spans="2:64" ht="15" thickBot="1" x14ac:dyDescent="0.35">
      <c r="B20" s="1060"/>
      <c r="C20" s="1000"/>
      <c r="D20" s="1000"/>
      <c r="E20" s="1001"/>
      <c r="F20" s="1002"/>
      <c r="G20" s="1003"/>
      <c r="H20" s="996"/>
      <c r="I20" s="432"/>
      <c r="J20" s="379"/>
      <c r="K20" s="343"/>
      <c r="L20" s="379"/>
      <c r="M20" s="344"/>
      <c r="N20" s="997"/>
      <c r="O20" s="346"/>
      <c r="P20" s="735"/>
      <c r="Q20" s="852"/>
      <c r="R20" s="684"/>
      <c r="S20" s="633"/>
      <c r="T20" s="634"/>
      <c r="U20" s="341"/>
      <c r="V20" s="338"/>
      <c r="W20" s="338"/>
      <c r="X20" s="340"/>
      <c r="Y20" s="452"/>
      <c r="Z20" s="338"/>
      <c r="AA20" s="338"/>
      <c r="AB20" s="342"/>
      <c r="AC20" s="337"/>
      <c r="AD20" s="338"/>
      <c r="AE20" s="338"/>
      <c r="AF20" s="340"/>
      <c r="AG20" s="337"/>
      <c r="AH20" s="338"/>
      <c r="AI20" s="338"/>
      <c r="AJ20" s="339"/>
      <c r="AK20" s="341"/>
      <c r="AL20" s="338"/>
      <c r="AM20" s="338"/>
      <c r="AN20" s="551"/>
      <c r="AO20" s="337"/>
      <c r="AP20" s="761"/>
      <c r="AQ20" s="338"/>
      <c r="AR20" s="342"/>
      <c r="AS20" s="337"/>
      <c r="AT20" s="338"/>
      <c r="AU20" s="338"/>
      <c r="AV20" s="340"/>
      <c r="AW20" s="341"/>
      <c r="AX20" s="338"/>
      <c r="AY20" s="338"/>
      <c r="AZ20" s="339"/>
      <c r="BA20" s="337"/>
      <c r="BB20" s="338"/>
      <c r="BC20" s="338"/>
      <c r="BD20" s="340"/>
      <c r="BE20" s="341"/>
      <c r="BF20" s="632"/>
      <c r="BG20" s="338"/>
      <c r="BH20" s="342"/>
      <c r="BI20" s="337"/>
      <c r="BJ20" s="338"/>
      <c r="BK20" s="338"/>
      <c r="BL20" s="340"/>
    </row>
    <row r="21" spans="2:64" ht="15" thickBot="1" x14ac:dyDescent="0.35">
      <c r="B21" s="1323"/>
      <c r="C21" s="1325"/>
      <c r="D21" s="1325"/>
      <c r="E21" s="999"/>
      <c r="F21" s="771"/>
      <c r="G21" s="1333"/>
      <c r="H21" s="1295"/>
      <c r="I21" s="913"/>
      <c r="J21" s="914"/>
      <c r="K21" s="915"/>
      <c r="L21" s="914"/>
      <c r="M21" s="916"/>
      <c r="N21" s="1292"/>
      <c r="O21" s="597"/>
      <c r="P21" s="1301"/>
      <c r="Q21" s="848"/>
      <c r="R21" s="682"/>
      <c r="S21" s="531"/>
      <c r="T21" s="532"/>
      <c r="U21" s="477"/>
      <c r="V21" s="178"/>
      <c r="W21" s="178"/>
      <c r="X21" s="460"/>
      <c r="Y21" s="510"/>
      <c r="Z21" s="512"/>
      <c r="AA21" s="496"/>
      <c r="AB21" s="498"/>
      <c r="AC21" s="192"/>
      <c r="AD21" s="178"/>
      <c r="AE21" s="178"/>
      <c r="AF21" s="460"/>
      <c r="AG21" s="495"/>
      <c r="AH21" s="512"/>
      <c r="AI21" s="512"/>
      <c r="AJ21" s="497"/>
      <c r="AK21" s="477"/>
      <c r="AL21" s="178"/>
      <c r="AM21" s="178"/>
      <c r="AN21" s="556"/>
      <c r="AO21" s="495"/>
      <c r="AP21" s="592"/>
      <c r="AQ21" s="496"/>
      <c r="AR21" s="498"/>
      <c r="AS21" s="192"/>
      <c r="AT21" s="178"/>
      <c r="AU21" s="178"/>
      <c r="AV21" s="460"/>
      <c r="AW21" s="511"/>
      <c r="AX21" s="512"/>
      <c r="AY21" s="496"/>
      <c r="AZ21" s="497"/>
      <c r="BA21" s="192"/>
      <c r="BB21" s="178"/>
      <c r="BC21" s="178"/>
      <c r="BD21" s="460"/>
      <c r="BE21" s="511"/>
      <c r="BF21" s="512"/>
      <c r="BG21" s="496"/>
      <c r="BH21" s="498"/>
      <c r="BI21" s="192"/>
      <c r="BJ21" s="178"/>
      <c r="BK21" s="178"/>
      <c r="BL21" s="460"/>
    </row>
    <row r="22" spans="2:64" ht="15" thickBot="1" x14ac:dyDescent="0.35">
      <c r="B22" s="1323"/>
      <c r="C22" s="1325"/>
      <c r="D22" s="1325"/>
      <c r="E22" s="999"/>
      <c r="F22" s="771"/>
      <c r="G22" s="1333"/>
      <c r="H22" s="1296"/>
      <c r="I22" s="913"/>
      <c r="J22" s="914"/>
      <c r="K22" s="915"/>
      <c r="L22" s="914"/>
      <c r="M22" s="916"/>
      <c r="N22" s="1293"/>
      <c r="O22" s="597"/>
      <c r="P22" s="1302"/>
      <c r="Q22" s="849"/>
      <c r="R22" s="927"/>
      <c r="S22" s="142"/>
      <c r="T22" s="505"/>
      <c r="U22" s="477"/>
      <c r="V22" s="178"/>
      <c r="W22" s="178"/>
      <c r="X22" s="460"/>
      <c r="Y22" s="510"/>
      <c r="Z22" s="512"/>
      <c r="AA22" s="496"/>
      <c r="AB22" s="498"/>
      <c r="AC22" s="192"/>
      <c r="AD22" s="178"/>
      <c r="AE22" s="178"/>
      <c r="AF22" s="460"/>
      <c r="AG22" s="495"/>
      <c r="AH22" s="512"/>
      <c r="AI22" s="512"/>
      <c r="AJ22" s="497"/>
      <c r="AK22" s="477"/>
      <c r="AL22" s="178"/>
      <c r="AM22" s="178"/>
      <c r="AN22" s="556"/>
      <c r="AO22" s="495"/>
      <c r="AP22" s="592"/>
      <c r="AQ22" s="496"/>
      <c r="AR22" s="498"/>
      <c r="AS22" s="192"/>
      <c r="AT22" s="178"/>
      <c r="AU22" s="178"/>
      <c r="AV22" s="460"/>
      <c r="AW22" s="511"/>
      <c r="AX22" s="512"/>
      <c r="AY22" s="496"/>
      <c r="AZ22" s="497"/>
      <c r="BA22" s="192"/>
      <c r="BB22" s="178"/>
      <c r="BC22" s="178"/>
      <c r="BD22" s="460"/>
      <c r="BE22" s="511"/>
      <c r="BF22" s="512"/>
      <c r="BG22" s="496"/>
      <c r="BH22" s="498"/>
      <c r="BI22" s="192"/>
      <c r="BJ22" s="178"/>
      <c r="BK22" s="178"/>
      <c r="BL22" s="460"/>
    </row>
    <row r="23" spans="2:64" ht="15" thickBot="1" x14ac:dyDescent="0.35">
      <c r="B23" s="1323"/>
      <c r="C23" s="1325"/>
      <c r="D23" s="1325"/>
      <c r="E23" s="999"/>
      <c r="F23" s="771"/>
      <c r="G23" s="1333"/>
      <c r="H23" s="1296"/>
      <c r="I23" s="913"/>
      <c r="J23" s="914"/>
      <c r="K23" s="915"/>
      <c r="L23" s="914"/>
      <c r="M23" s="916"/>
      <c r="N23" s="1293"/>
      <c r="O23" s="597"/>
      <c r="P23" s="1302"/>
      <c r="Q23" s="849"/>
      <c r="R23" s="927"/>
      <c r="S23" s="142"/>
      <c r="T23" s="505"/>
      <c r="U23" s="477"/>
      <c r="V23" s="178"/>
      <c r="W23" s="178"/>
      <c r="X23" s="460"/>
      <c r="Y23" s="510"/>
      <c r="Z23" s="512"/>
      <c r="AA23" s="496"/>
      <c r="AB23" s="498"/>
      <c r="AC23" s="192"/>
      <c r="AD23" s="178"/>
      <c r="AE23" s="178"/>
      <c r="AF23" s="460"/>
      <c r="AG23" s="495"/>
      <c r="AH23" s="512"/>
      <c r="AI23" s="512"/>
      <c r="AJ23" s="497"/>
      <c r="AK23" s="477"/>
      <c r="AL23" s="178"/>
      <c r="AM23" s="178"/>
      <c r="AN23" s="556"/>
      <c r="AO23" s="495"/>
      <c r="AP23" s="592"/>
      <c r="AQ23" s="496"/>
      <c r="AR23" s="498"/>
      <c r="AS23" s="192"/>
      <c r="AT23" s="178"/>
      <c r="AU23" s="178"/>
      <c r="AV23" s="460"/>
      <c r="AW23" s="511"/>
      <c r="AX23" s="512"/>
      <c r="AY23" s="496"/>
      <c r="AZ23" s="497"/>
      <c r="BA23" s="192"/>
      <c r="BB23" s="178"/>
      <c r="BC23" s="178"/>
      <c r="BD23" s="460"/>
      <c r="BE23" s="511"/>
      <c r="BF23" s="512"/>
      <c r="BG23" s="496"/>
      <c r="BH23" s="498"/>
      <c r="BI23" s="192"/>
      <c r="BJ23" s="178"/>
      <c r="BK23" s="178"/>
      <c r="BL23" s="460"/>
    </row>
    <row r="24" spans="2:64" ht="15" thickBot="1" x14ac:dyDescent="0.35">
      <c r="B24" s="1323"/>
      <c r="C24" s="1325"/>
      <c r="D24" s="1325"/>
      <c r="E24" s="484"/>
      <c r="F24" s="772"/>
      <c r="G24" s="1333"/>
      <c r="H24" s="1296"/>
      <c r="I24" s="913"/>
      <c r="J24" s="914"/>
      <c r="K24" s="915"/>
      <c r="L24" s="914"/>
      <c r="M24" s="916"/>
      <c r="N24" s="1293"/>
      <c r="O24" s="597"/>
      <c r="P24" s="1302"/>
      <c r="Q24" s="853"/>
      <c r="R24" s="685"/>
      <c r="S24" s="630"/>
      <c r="T24" s="631"/>
      <c r="U24" s="477"/>
      <c r="V24" s="178"/>
      <c r="W24" s="178"/>
      <c r="X24" s="460"/>
      <c r="Y24" s="510"/>
      <c r="Z24" s="512"/>
      <c r="AA24" s="496"/>
      <c r="AB24" s="498"/>
      <c r="AC24" s="192"/>
      <c r="AD24" s="178"/>
      <c r="AE24" s="178"/>
      <c r="AF24" s="460"/>
      <c r="AG24" s="495"/>
      <c r="AH24" s="512"/>
      <c r="AI24" s="496"/>
      <c r="AJ24" s="497"/>
      <c r="AK24" s="477"/>
      <c r="AL24" s="178"/>
      <c r="AM24" s="178"/>
      <c r="AN24" s="556"/>
      <c r="AO24" s="495"/>
      <c r="AP24" s="512"/>
      <c r="AQ24" s="496"/>
      <c r="AR24" s="498"/>
      <c r="AS24" s="192"/>
      <c r="AT24" s="178"/>
      <c r="AU24" s="178"/>
      <c r="AV24" s="460"/>
      <c r="AW24" s="511"/>
      <c r="AX24" s="512"/>
      <c r="AY24" s="496"/>
      <c r="AZ24" s="497"/>
      <c r="BA24" s="192"/>
      <c r="BB24" s="178"/>
      <c r="BC24" s="178"/>
      <c r="BD24" s="460"/>
      <c r="BE24" s="511"/>
      <c r="BF24" s="512"/>
      <c r="BG24" s="496"/>
      <c r="BH24" s="498"/>
      <c r="BI24" s="192"/>
      <c r="BJ24" s="178"/>
      <c r="BK24" s="178"/>
      <c r="BL24" s="460"/>
    </row>
    <row r="25" spans="2:64" ht="15" thickBot="1" x14ac:dyDescent="0.35">
      <c r="B25" s="1324"/>
      <c r="C25" s="1326"/>
      <c r="D25" s="1326"/>
      <c r="E25" s="566"/>
      <c r="F25" s="773"/>
      <c r="G25" s="1334"/>
      <c r="H25" s="1297"/>
      <c r="I25" s="917"/>
      <c r="J25" s="918"/>
      <c r="K25" s="919"/>
      <c r="L25" s="918"/>
      <c r="M25" s="920"/>
      <c r="N25" s="1294"/>
      <c r="O25" s="346"/>
      <c r="P25" s="1303"/>
      <c r="Q25" s="854"/>
      <c r="R25" s="686"/>
      <c r="S25" s="518"/>
      <c r="T25" s="519"/>
      <c r="U25" s="523"/>
      <c r="V25" s="518"/>
      <c r="W25" s="518"/>
      <c r="X25" s="536"/>
      <c r="Y25" s="521"/>
      <c r="Z25" s="524"/>
      <c r="AA25" s="518"/>
      <c r="AB25" s="522"/>
      <c r="AC25" s="347"/>
      <c r="AD25" s="518"/>
      <c r="AE25" s="518"/>
      <c r="AF25" s="536"/>
      <c r="AG25" s="347"/>
      <c r="AH25" s="524"/>
      <c r="AI25" s="518"/>
      <c r="AJ25" s="519"/>
      <c r="AK25" s="523"/>
      <c r="AL25" s="518"/>
      <c r="AM25" s="518"/>
      <c r="AN25" s="554"/>
      <c r="AO25" s="347"/>
      <c r="AP25" s="524"/>
      <c r="AQ25" s="518"/>
      <c r="AR25" s="522"/>
      <c r="AS25" s="347"/>
      <c r="AT25" s="518"/>
      <c r="AU25" s="518"/>
      <c r="AV25" s="536"/>
      <c r="AW25" s="523"/>
      <c r="AX25" s="524"/>
      <c r="AY25" s="518"/>
      <c r="AZ25" s="519"/>
      <c r="BA25" s="347"/>
      <c r="BB25" s="518"/>
      <c r="BC25" s="518"/>
      <c r="BD25" s="536"/>
      <c r="BE25" s="523"/>
      <c r="BF25" s="524"/>
      <c r="BG25" s="518"/>
      <c r="BH25" s="522"/>
      <c r="BI25" s="347"/>
      <c r="BJ25" s="518"/>
      <c r="BK25" s="518"/>
      <c r="BL25" s="536"/>
    </row>
    <row r="26" spans="2:64" ht="15" thickBot="1" x14ac:dyDescent="0.35">
      <c r="B26" s="1061"/>
      <c r="C26" s="628"/>
      <c r="D26" s="214"/>
      <c r="E26" s="485"/>
      <c r="F26" s="774"/>
      <c r="G26" s="779"/>
      <c r="H26" s="480"/>
      <c r="I26" s="434"/>
      <c r="J26" s="428"/>
      <c r="K26" s="283"/>
      <c r="L26" s="428"/>
      <c r="M26" s="296"/>
      <c r="N26" s="291"/>
      <c r="O26" s="392"/>
      <c r="P26" s="702"/>
      <c r="Q26" s="850"/>
      <c r="R26" s="687"/>
      <c r="S26" s="496"/>
      <c r="T26" s="497"/>
      <c r="U26" s="499"/>
      <c r="V26" s="500"/>
      <c r="W26" s="500"/>
      <c r="X26" s="501"/>
      <c r="Y26" s="453"/>
      <c r="Z26" s="421"/>
      <c r="AA26" s="421"/>
      <c r="AB26" s="422"/>
      <c r="AC26" s="192"/>
      <c r="AD26" s="178"/>
      <c r="AE26" s="178"/>
      <c r="AF26" s="194"/>
      <c r="AG26" s="425"/>
      <c r="AH26" s="421"/>
      <c r="AI26" s="421"/>
      <c r="AJ26" s="426"/>
      <c r="AK26" s="477"/>
      <c r="AL26" s="178"/>
      <c r="AM26" s="178"/>
      <c r="AN26" s="478"/>
      <c r="AO26" s="425"/>
      <c r="AP26" s="421"/>
      <c r="AQ26" s="421"/>
      <c r="AR26" s="422"/>
      <c r="AS26" s="192"/>
      <c r="AT26" s="193"/>
      <c r="AU26" s="178"/>
      <c r="AV26" s="194"/>
      <c r="AW26" s="427"/>
      <c r="AX26" s="421"/>
      <c r="AY26" s="421"/>
      <c r="AZ26" s="426"/>
      <c r="BA26" s="192"/>
      <c r="BB26" s="178"/>
      <c r="BC26" s="178"/>
      <c r="BD26" s="194"/>
      <c r="BE26" s="427"/>
      <c r="BF26" s="421"/>
      <c r="BG26" s="421"/>
      <c r="BH26" s="422"/>
      <c r="BI26" s="506"/>
      <c r="BJ26" s="178"/>
      <c r="BK26" s="178"/>
      <c r="BL26" s="194"/>
    </row>
    <row r="27" spans="2:64" ht="15" thickBot="1" x14ac:dyDescent="0.35">
      <c r="B27" s="1309"/>
      <c r="C27" s="1271"/>
      <c r="D27" s="1271"/>
      <c r="E27" s="486"/>
      <c r="F27" s="775"/>
      <c r="G27" s="1335"/>
      <c r="H27" s="1289"/>
      <c r="I27" s="541"/>
      <c r="J27" s="542"/>
      <c r="K27" s="543"/>
      <c r="L27" s="542"/>
      <c r="M27" s="544"/>
      <c r="N27" s="1292"/>
      <c r="O27" s="596"/>
      <c r="P27" s="1298"/>
      <c r="Q27" s="848"/>
      <c r="R27" s="682"/>
      <c r="S27" s="531"/>
      <c r="T27" s="537"/>
      <c r="U27" s="199"/>
      <c r="V27" s="533"/>
      <c r="W27" s="533"/>
      <c r="X27" s="545"/>
      <c r="Y27" s="450"/>
      <c r="Z27" s="144"/>
      <c r="AA27" s="144"/>
      <c r="AB27" s="185"/>
      <c r="AC27" s="199"/>
      <c r="AD27" s="533"/>
      <c r="AE27" s="533"/>
      <c r="AF27" s="545"/>
      <c r="AG27" s="200"/>
      <c r="AH27" s="144"/>
      <c r="AI27" s="144"/>
      <c r="AJ27" s="201"/>
      <c r="AK27" s="546"/>
      <c r="AL27" s="533"/>
      <c r="AM27" s="533"/>
      <c r="AN27" s="547"/>
      <c r="AO27" s="200"/>
      <c r="AP27" s="144"/>
      <c r="AQ27" s="144"/>
      <c r="AR27" s="185"/>
      <c r="AS27" s="199"/>
      <c r="AT27" s="548"/>
      <c r="AU27" s="533"/>
      <c r="AV27" s="545"/>
      <c r="AW27" s="188"/>
      <c r="AX27" s="144"/>
      <c r="AY27" s="144"/>
      <c r="AZ27" s="201"/>
      <c r="BA27" s="199"/>
      <c r="BB27" s="533"/>
      <c r="BC27" s="533"/>
      <c r="BD27" s="545"/>
      <c r="BE27" s="188"/>
      <c r="BF27" s="144"/>
      <c r="BG27" s="144"/>
      <c r="BH27" s="185"/>
      <c r="BI27" s="397"/>
      <c r="BJ27" s="665"/>
      <c r="BK27" s="665"/>
      <c r="BL27" s="545"/>
    </row>
    <row r="28" spans="2:64" ht="15" thickBot="1" x14ac:dyDescent="0.35">
      <c r="B28" s="1310"/>
      <c r="C28" s="1272"/>
      <c r="D28" s="1272"/>
      <c r="E28" s="486"/>
      <c r="F28" s="775"/>
      <c r="G28" s="1336"/>
      <c r="H28" s="1290"/>
      <c r="I28" s="474"/>
      <c r="J28" s="475"/>
      <c r="K28" s="284"/>
      <c r="L28" s="475"/>
      <c r="M28" s="476"/>
      <c r="N28" s="1293"/>
      <c r="O28" s="598"/>
      <c r="P28" s="1299"/>
      <c r="Q28" s="848"/>
      <c r="R28" s="682"/>
      <c r="S28" s="531"/>
      <c r="T28" s="184"/>
      <c r="U28" s="506"/>
      <c r="V28" s="507"/>
      <c r="W28" s="507"/>
      <c r="X28" s="538"/>
      <c r="Y28" s="564"/>
      <c r="Z28" s="560"/>
      <c r="AA28" s="560"/>
      <c r="AB28" s="561"/>
      <c r="AC28" s="506"/>
      <c r="AD28" s="507"/>
      <c r="AE28" s="507"/>
      <c r="AF28" s="538"/>
      <c r="AG28" s="145"/>
      <c r="AH28" s="730"/>
      <c r="AI28" s="560"/>
      <c r="AJ28" s="562"/>
      <c r="AK28" s="539"/>
      <c r="AL28" s="507"/>
      <c r="AM28" s="507"/>
      <c r="AN28" s="395"/>
      <c r="AO28" s="145"/>
      <c r="AP28" s="560"/>
      <c r="AQ28" s="560"/>
      <c r="AR28" s="561"/>
      <c r="AS28" s="506"/>
      <c r="AT28" s="540"/>
      <c r="AU28" s="507"/>
      <c r="AV28" s="538"/>
      <c r="AW28" s="190"/>
      <c r="AX28" s="560"/>
      <c r="AY28" s="560"/>
      <c r="AZ28" s="562"/>
      <c r="BA28" s="506"/>
      <c r="BB28" s="507"/>
      <c r="BC28" s="507"/>
      <c r="BD28" s="538"/>
      <c r="BE28" s="190"/>
      <c r="BF28" s="560"/>
      <c r="BG28" s="560"/>
      <c r="BH28" s="561"/>
      <c r="BI28" s="397"/>
      <c r="BJ28" s="665"/>
      <c r="BK28" s="665"/>
      <c r="BL28" s="538"/>
    </row>
    <row r="29" spans="2:64" ht="15" thickBot="1" x14ac:dyDescent="0.35">
      <c r="B29" s="1310"/>
      <c r="C29" s="1273"/>
      <c r="D29" s="1272"/>
      <c r="E29" s="515"/>
      <c r="F29" s="776"/>
      <c r="G29" s="1337"/>
      <c r="H29" s="1291"/>
      <c r="I29" s="637"/>
      <c r="J29" s="638"/>
      <c r="K29" s="639"/>
      <c r="L29" s="638"/>
      <c r="M29" s="640"/>
      <c r="N29" s="1294"/>
      <c r="O29" s="641"/>
      <c r="P29" s="1299"/>
      <c r="Q29" s="847"/>
      <c r="R29" s="681"/>
      <c r="S29" s="338"/>
      <c r="T29" s="342"/>
      <c r="U29" s="337"/>
      <c r="V29" s="338"/>
      <c r="W29" s="338"/>
      <c r="X29" s="340"/>
      <c r="Y29" s="452"/>
      <c r="Z29" s="338"/>
      <c r="AA29" s="338"/>
      <c r="AB29" s="342"/>
      <c r="AC29" s="337"/>
      <c r="AD29" s="338"/>
      <c r="AE29" s="338"/>
      <c r="AF29" s="340"/>
      <c r="AG29" s="337"/>
      <c r="AH29" s="338"/>
      <c r="AI29" s="338"/>
      <c r="AJ29" s="339"/>
      <c r="AK29" s="341"/>
      <c r="AL29" s="338"/>
      <c r="AM29" s="338"/>
      <c r="AN29" s="551"/>
      <c r="AO29" s="337"/>
      <c r="AP29" s="338"/>
      <c r="AQ29" s="338"/>
      <c r="AR29" s="342"/>
      <c r="AS29" s="337"/>
      <c r="AT29" s="632"/>
      <c r="AU29" s="338"/>
      <c r="AV29" s="340"/>
      <c r="AW29" s="347"/>
      <c r="AX29" s="518"/>
      <c r="AY29" s="518"/>
      <c r="AZ29" s="519"/>
      <c r="BA29" s="337"/>
      <c r="BB29" s="338"/>
      <c r="BC29" s="338"/>
      <c r="BD29" s="340"/>
      <c r="BE29" s="341"/>
      <c r="BF29" s="338"/>
      <c r="BG29" s="338"/>
      <c r="BH29" s="342"/>
      <c r="BI29" s="949"/>
      <c r="BJ29" s="633"/>
      <c r="BK29" s="633"/>
      <c r="BL29" s="340"/>
    </row>
    <row r="30" spans="2:64" ht="15" thickBot="1" x14ac:dyDescent="0.35">
      <c r="B30" s="1215"/>
      <c r="C30" s="1208"/>
      <c r="D30" s="1216"/>
      <c r="E30" s="1209"/>
      <c r="F30" s="1217"/>
      <c r="G30" s="778"/>
      <c r="H30" s="644"/>
      <c r="I30" s="645"/>
      <c r="J30" s="646"/>
      <c r="K30" s="647"/>
      <c r="L30" s="646"/>
      <c r="M30" s="648"/>
      <c r="N30" s="649"/>
      <c r="O30" s="650"/>
      <c r="P30" s="703"/>
      <c r="Q30" s="855"/>
      <c r="R30" s="692"/>
      <c r="S30" s="691"/>
      <c r="T30" s="498"/>
      <c r="U30" s="499"/>
      <c r="V30" s="500"/>
      <c r="W30" s="500"/>
      <c r="X30" s="501"/>
      <c r="Y30" s="453"/>
      <c r="Z30" s="421"/>
      <c r="AA30" s="421"/>
      <c r="AB30" s="422"/>
      <c r="AC30" s="192"/>
      <c r="AD30" s="178"/>
      <c r="AE30" s="178"/>
      <c r="AF30" s="194"/>
      <c r="AG30" s="425"/>
      <c r="AH30" s="421"/>
      <c r="AI30" s="421"/>
      <c r="AJ30" s="426"/>
      <c r="AK30" s="477"/>
      <c r="AL30" s="178"/>
      <c r="AM30" s="178"/>
      <c r="AN30" s="478"/>
      <c r="AO30" s="425"/>
      <c r="AP30" s="421"/>
      <c r="AQ30" s="421"/>
      <c r="AR30" s="422"/>
      <c r="AS30" s="192"/>
      <c r="AT30" s="193"/>
      <c r="AU30" s="178"/>
      <c r="AV30" s="194"/>
      <c r="AW30" s="187"/>
      <c r="AX30" s="142"/>
      <c r="AZ30" s="505"/>
      <c r="BA30" s="192"/>
      <c r="BB30" s="178"/>
      <c r="BC30" s="178"/>
      <c r="BD30" s="478"/>
      <c r="BE30" s="425"/>
      <c r="BF30" s="421"/>
      <c r="BG30" s="421"/>
      <c r="BH30" s="426"/>
      <c r="BI30" s="427"/>
      <c r="BJ30" s="178"/>
      <c r="BK30" s="178"/>
      <c r="BL30" s="194"/>
    </row>
    <row r="31" spans="2:64" ht="15" thickBot="1" x14ac:dyDescent="0.35">
      <c r="B31" s="1219"/>
      <c r="C31" s="1224"/>
      <c r="D31" s="1220"/>
      <c r="E31" s="1221"/>
      <c r="F31" s="1222"/>
      <c r="G31" s="1223"/>
      <c r="H31" s="644"/>
      <c r="I31" s="645"/>
      <c r="J31" s="1210"/>
      <c r="K31" s="645"/>
      <c r="L31" s="1210"/>
      <c r="M31" s="1211"/>
      <c r="N31" s="649"/>
      <c r="O31" s="650"/>
      <c r="P31" s="703"/>
      <c r="Q31" s="1212"/>
      <c r="R31" s="1213"/>
      <c r="S31" s="691"/>
      <c r="T31" s="498"/>
      <c r="U31" s="1214"/>
      <c r="V31" s="500"/>
      <c r="W31" s="500"/>
      <c r="X31" s="555"/>
      <c r="Y31" s="453"/>
      <c r="Z31" s="421"/>
      <c r="AA31" s="421"/>
      <c r="AB31" s="422"/>
      <c r="AC31" s="192"/>
      <c r="AD31" s="178"/>
      <c r="AE31" s="178"/>
      <c r="AF31" s="194"/>
      <c r="AG31" s="427"/>
      <c r="AH31" s="421"/>
      <c r="AI31" s="421"/>
      <c r="AJ31" s="422"/>
      <c r="AK31" s="477"/>
      <c r="AL31" s="178"/>
      <c r="AM31" s="178"/>
      <c r="AN31" s="478"/>
      <c r="AO31" s="427"/>
      <c r="AP31" s="421"/>
      <c r="AQ31" s="421"/>
      <c r="AR31" s="422"/>
      <c r="AS31" s="192"/>
      <c r="AT31" s="193"/>
      <c r="AU31" s="178"/>
      <c r="AV31" s="478"/>
      <c r="AW31" s="187"/>
      <c r="AX31" s="142"/>
      <c r="AZ31" s="505"/>
      <c r="BA31" s="477"/>
      <c r="BB31" s="178"/>
      <c r="BC31" s="178"/>
      <c r="BD31" s="478"/>
      <c r="BE31" s="425"/>
      <c r="BF31" s="421"/>
      <c r="BG31" s="421"/>
      <c r="BH31" s="422"/>
      <c r="BI31" s="187"/>
      <c r="BJ31" s="507"/>
      <c r="BK31" s="507"/>
      <c r="BL31" s="194"/>
    </row>
    <row r="32" spans="2:64" ht="15" thickBot="1" x14ac:dyDescent="0.35">
      <c r="B32" s="1274"/>
      <c r="C32" s="1218"/>
      <c r="D32" s="1278"/>
      <c r="E32" s="1276"/>
      <c r="F32" s="642"/>
      <c r="G32" s="1270"/>
      <c r="H32" s="1280"/>
      <c r="I32" s="923"/>
      <c r="J32" s="668"/>
      <c r="K32" s="667"/>
      <c r="L32" s="668"/>
      <c r="M32" s="669"/>
      <c r="N32" s="1267"/>
      <c r="O32" s="1149"/>
      <c r="P32" s="921"/>
      <c r="Q32" s="856"/>
      <c r="R32" s="690"/>
      <c r="S32" s="1285"/>
      <c r="T32" s="531"/>
      <c r="U32" s="490"/>
      <c r="V32" s="143"/>
      <c r="W32" s="1283"/>
      <c r="X32" s="143"/>
      <c r="Y32" s="670"/>
      <c r="Z32" s="531"/>
      <c r="AA32" s="1285"/>
      <c r="AB32" s="537"/>
      <c r="AC32" s="199"/>
      <c r="AD32" s="533"/>
      <c r="AE32" s="940"/>
      <c r="AF32" s="671"/>
      <c r="AG32" s="191"/>
      <c r="AH32" s="531"/>
      <c r="AI32" s="531"/>
      <c r="AJ32" s="531"/>
      <c r="AK32" s="492"/>
      <c r="AL32" s="533"/>
      <c r="AM32" s="533"/>
      <c r="AN32" s="533"/>
      <c r="AO32" s="491"/>
      <c r="AP32" s="531"/>
      <c r="AQ32" s="531"/>
      <c r="AR32" s="537"/>
      <c r="AS32" s="199"/>
      <c r="AT32" s="548"/>
      <c r="AU32" s="533"/>
      <c r="AV32" s="943"/>
      <c r="AW32" s="141"/>
      <c r="AX32" s="531"/>
      <c r="AY32" s="531"/>
      <c r="AZ32" s="532"/>
      <c r="BA32" s="546"/>
      <c r="BB32" s="533"/>
      <c r="BC32" s="533"/>
      <c r="BD32" s="943"/>
      <c r="BE32" s="141"/>
      <c r="BF32" s="531"/>
      <c r="BG32" s="531"/>
      <c r="BH32" s="537"/>
      <c r="BI32" s="397"/>
      <c r="BJ32" s="665"/>
      <c r="BK32" s="665"/>
      <c r="BL32" s="671"/>
    </row>
    <row r="33" spans="2:64" x14ac:dyDescent="0.3">
      <c r="B33" s="1274"/>
      <c r="C33" s="698"/>
      <c r="D33" s="1278"/>
      <c r="E33" s="1276"/>
      <c r="F33" s="643"/>
      <c r="G33" s="1270"/>
      <c r="H33" s="1281"/>
      <c r="I33" s="924"/>
      <c r="J33" s="660"/>
      <c r="K33" s="659"/>
      <c r="L33" s="660"/>
      <c r="M33" s="661"/>
      <c r="N33" s="1268"/>
      <c r="O33" s="594"/>
      <c r="P33" s="922"/>
      <c r="Q33" s="857"/>
      <c r="R33" s="688"/>
      <c r="S33" s="1286"/>
      <c r="T33" s="664"/>
      <c r="U33" s="399"/>
      <c r="V33" s="180"/>
      <c r="W33" s="1284"/>
      <c r="X33" s="180"/>
      <c r="Y33" s="663"/>
      <c r="Z33" s="664"/>
      <c r="AA33" s="1286"/>
      <c r="AB33" s="823"/>
      <c r="AC33" s="288"/>
      <c r="AD33" s="665"/>
      <c r="AE33" s="939"/>
      <c r="AF33" s="672"/>
      <c r="AG33" s="287"/>
      <c r="AH33" s="664"/>
      <c r="AI33" s="664"/>
      <c r="AJ33" s="664"/>
      <c r="AK33" s="397"/>
      <c r="AL33" s="665"/>
      <c r="AM33" s="548"/>
      <c r="AN33" s="665"/>
      <c r="AO33" s="396"/>
      <c r="AP33" s="664"/>
      <c r="AQ33" s="664"/>
      <c r="AR33" s="823"/>
      <c r="AS33" s="288"/>
      <c r="AT33" s="666"/>
      <c r="AU33" s="665"/>
      <c r="AV33" s="944"/>
      <c r="AW33" s="289"/>
      <c r="AX33" s="664"/>
      <c r="AY33" s="664"/>
      <c r="AZ33" s="946"/>
      <c r="BA33" s="945"/>
      <c r="BB33" s="665"/>
      <c r="BC33" s="665"/>
      <c r="BD33" s="944"/>
      <c r="BE33" s="289"/>
      <c r="BF33" s="664"/>
      <c r="BG33" s="664"/>
      <c r="BH33" s="823"/>
      <c r="BI33" s="397"/>
      <c r="BJ33" s="665"/>
      <c r="BK33" s="665"/>
      <c r="BL33" s="672"/>
    </row>
    <row r="34" spans="2:64" ht="15" thickBot="1" x14ac:dyDescent="0.35">
      <c r="B34" s="1274"/>
      <c r="C34" s="698"/>
      <c r="D34" s="1278"/>
      <c r="E34" s="1276"/>
      <c r="F34" s="643"/>
      <c r="G34" s="1270"/>
      <c r="H34" s="1281"/>
      <c r="I34" s="924"/>
      <c r="J34" s="660"/>
      <c r="K34" s="659"/>
      <c r="L34" s="660"/>
      <c r="M34" s="661"/>
      <c r="N34" s="1268"/>
      <c r="O34" s="594"/>
      <c r="P34" s="922"/>
      <c r="Q34" s="857"/>
      <c r="R34" s="688"/>
      <c r="S34" s="1286"/>
      <c r="T34" s="664"/>
      <c r="U34" s="399"/>
      <c r="V34" s="180"/>
      <c r="W34" s="1284"/>
      <c r="X34" s="180"/>
      <c r="Y34" s="663"/>
      <c r="Z34" s="664"/>
      <c r="AA34" s="1286"/>
      <c r="AB34" s="823"/>
      <c r="AC34" s="288"/>
      <c r="AD34" s="665"/>
      <c r="AE34" s="939"/>
      <c r="AF34" s="672"/>
      <c r="AG34" s="287"/>
      <c r="AH34" s="664"/>
      <c r="AI34" s="664"/>
      <c r="AJ34" s="664"/>
      <c r="AK34" s="397"/>
      <c r="AL34" s="665"/>
      <c r="AM34" s="665"/>
      <c r="AN34" s="665"/>
      <c r="AO34" s="396"/>
      <c r="AP34" s="664"/>
      <c r="AQ34" s="664"/>
      <c r="AR34" s="823"/>
      <c r="AS34" s="288"/>
      <c r="AT34" s="666"/>
      <c r="AU34" s="665"/>
      <c r="AV34" s="944"/>
      <c r="AW34" s="289"/>
      <c r="AX34" s="664"/>
      <c r="AY34" s="664"/>
      <c r="AZ34" s="946"/>
      <c r="BA34" s="945"/>
      <c r="BB34" s="665"/>
      <c r="BC34" s="665"/>
      <c r="BD34" s="944"/>
      <c r="BE34" s="289"/>
      <c r="BF34" s="664"/>
      <c r="BG34" s="664"/>
      <c r="BH34" s="823"/>
      <c r="BI34" s="397"/>
      <c r="BJ34" s="665"/>
      <c r="BK34" s="665"/>
      <c r="BL34" s="672"/>
    </row>
    <row r="35" spans="2:64" ht="15" thickBot="1" x14ac:dyDescent="0.35">
      <c r="B35" s="1275"/>
      <c r="C35" s="926"/>
      <c r="D35" s="1278"/>
      <c r="E35" s="1276"/>
      <c r="F35" s="1148"/>
      <c r="G35" s="1148"/>
      <c r="H35" s="1282"/>
      <c r="I35" s="474"/>
      <c r="J35" s="827"/>
      <c r="K35" s="474"/>
      <c r="L35" s="827"/>
      <c r="M35" s="828"/>
      <c r="N35" s="1269"/>
      <c r="O35" s="594"/>
      <c r="P35" s="922"/>
      <c r="Q35" s="829"/>
      <c r="R35" s="830"/>
      <c r="S35" s="928"/>
      <c r="T35" s="619"/>
      <c r="U35" s="832"/>
      <c r="V35" s="833"/>
      <c r="W35" s="824"/>
      <c r="X35" s="834"/>
      <c r="Y35" s="835"/>
      <c r="Z35" s="836"/>
      <c r="AA35" s="825"/>
      <c r="AB35" s="831"/>
      <c r="AC35" s="941"/>
      <c r="AD35" s="838"/>
      <c r="AE35" s="826"/>
      <c r="AF35" s="842"/>
      <c r="AG35" s="840"/>
      <c r="AH35" s="836"/>
      <c r="AI35" s="836"/>
      <c r="AJ35" s="831"/>
      <c r="AK35" s="837"/>
      <c r="AL35" s="838"/>
      <c r="AM35" s="838"/>
      <c r="AN35" s="839"/>
      <c r="AO35" s="840"/>
      <c r="AP35" s="836"/>
      <c r="AQ35" s="836"/>
      <c r="AR35" s="831"/>
      <c r="AS35" s="837"/>
      <c r="AT35" s="841"/>
      <c r="AU35" s="838"/>
      <c r="AV35" s="839"/>
      <c r="AW35" s="290"/>
      <c r="AX35" s="673"/>
      <c r="AY35" s="673"/>
      <c r="AZ35" s="947"/>
      <c r="BA35" s="837"/>
      <c r="BB35" s="838"/>
      <c r="BC35" s="838"/>
      <c r="BD35" s="839"/>
      <c r="BE35" s="948"/>
      <c r="BF35" s="836"/>
      <c r="BG35" s="836"/>
      <c r="BH35" s="831"/>
      <c r="BI35" s="397"/>
      <c r="BJ35" s="665"/>
      <c r="BK35" s="665"/>
      <c r="BL35" s="842"/>
    </row>
    <row r="36" spans="2:64" ht="15" thickBot="1" x14ac:dyDescent="0.35">
      <c r="B36" s="1062"/>
      <c r="C36" s="926"/>
      <c r="D36" s="1279"/>
      <c r="E36" s="1277"/>
      <c r="F36" s="1150"/>
      <c r="G36" s="1144"/>
      <c r="H36" s="925"/>
      <c r="I36" s="474"/>
      <c r="J36" s="827"/>
      <c r="K36" s="474"/>
      <c r="L36" s="827"/>
      <c r="M36" s="828"/>
      <c r="N36" s="1145"/>
      <c r="O36" s="594"/>
      <c r="P36" s="922"/>
      <c r="Q36" s="829"/>
      <c r="R36" s="830"/>
      <c r="S36" s="928"/>
      <c r="T36" s="1146"/>
      <c r="U36" s="832"/>
      <c r="V36" s="833"/>
      <c r="W36" s="824"/>
      <c r="X36" s="834"/>
      <c r="Y36" s="835"/>
      <c r="Z36" s="836"/>
      <c r="AA36" s="825"/>
      <c r="AB36" s="831"/>
      <c r="AC36" s="941"/>
      <c r="AD36" s="838"/>
      <c r="AE36" s="826"/>
      <c r="AF36" s="842"/>
      <c r="AG36" s="840"/>
      <c r="AH36" s="836"/>
      <c r="AI36" s="836"/>
      <c r="AJ36" s="831"/>
      <c r="AK36" s="837"/>
      <c r="AL36" s="838"/>
      <c r="AM36" s="838"/>
      <c r="AN36" s="839"/>
      <c r="AO36" s="840"/>
      <c r="AP36" s="836"/>
      <c r="AQ36" s="836"/>
      <c r="AR36" s="831"/>
      <c r="AS36" s="837"/>
      <c r="AT36" s="841"/>
      <c r="AU36" s="838"/>
      <c r="AV36" s="839"/>
      <c r="AW36" s="948"/>
      <c r="AX36" s="836"/>
      <c r="AY36" s="836"/>
      <c r="AZ36" s="1147"/>
      <c r="BA36" s="837"/>
      <c r="BB36" s="838"/>
      <c r="BC36" s="838"/>
      <c r="BD36" s="839"/>
      <c r="BE36" s="840"/>
      <c r="BF36" s="836"/>
      <c r="BG36" s="836"/>
      <c r="BH36" s="831"/>
      <c r="BI36" s="539"/>
      <c r="BJ36" s="507"/>
      <c r="BK36" s="507"/>
      <c r="BL36" s="842"/>
    </row>
    <row r="37" spans="2:64" ht="15" thickBot="1" x14ac:dyDescent="0.35">
      <c r="B37" s="471" t="s">
        <v>83</v>
      </c>
      <c r="C37" s="481"/>
      <c r="D37" s="481"/>
      <c r="E37" s="473"/>
      <c r="F37" s="472"/>
      <c r="G37" s="764"/>
      <c r="H37" s="436">
        <f>H7+H11+H14+H18+H21+H26+H27+H30+H32+H33+H34</f>
        <v>0</v>
      </c>
      <c r="I37" s="435">
        <f t="shared" ref="I37" si="0">H37/12</f>
        <v>0</v>
      </c>
      <c r="J37" s="388">
        <f>O37/'Budget Total 2024'!$H$2</f>
        <v>0</v>
      </c>
      <c r="K37" s="388">
        <f t="shared" ref="K37" si="1">I37-J37</f>
        <v>0</v>
      </c>
      <c r="L37" s="388">
        <f t="shared" ref="L37" si="2">(H37/12*$F$3)-O37</f>
        <v>0</v>
      </c>
      <c r="M37" s="389">
        <f t="shared" ref="M37" si="3">H37-O37</f>
        <v>0</v>
      </c>
      <c r="N37" s="390">
        <f>N7+N11+N14+N18+N21+N26+N27+N30+N32+N33+N34</f>
        <v>0</v>
      </c>
      <c r="O37" s="391">
        <f>O10+O13+O17+O25+O26+O29+O30</f>
        <v>0</v>
      </c>
      <c r="P37" s="704" t="e">
        <f>P7+P11+P14+P18+P21+P26+P27+P30+P32+P33+P34+#REF!</f>
        <v>#REF!</v>
      </c>
      <c r="Q37" s="651">
        <f>Q10+Q13+Q17+Q25+Q26+Q29+Q30+SUM(Q32:Q34)</f>
        <v>0</v>
      </c>
      <c r="R37" s="689"/>
      <c r="S37" s="652"/>
      <c r="T37" s="653"/>
      <c r="U37" s="654">
        <f>U10+U13+U17+U25+U26+U29+U30+SUM(U32:U34)</f>
        <v>0</v>
      </c>
      <c r="V37" s="652"/>
      <c r="W37" s="652"/>
      <c r="X37" s="655"/>
      <c r="Y37" s="656">
        <f>Y10+Y13+Y17+Y25+Y26+Y29+Y30+SUM(Y32:Y34)</f>
        <v>0</v>
      </c>
      <c r="Z37" s="652"/>
      <c r="AA37" s="652"/>
      <c r="AB37" s="653"/>
      <c r="AC37" s="651">
        <f>AC10+AC13+AC17+AC25+AC26+AC29+AC30+SUM(AC32:AC34)</f>
        <v>0</v>
      </c>
      <c r="AD37" s="652"/>
      <c r="AE37" s="652"/>
      <c r="AF37" s="655"/>
      <c r="AG37" s="658">
        <f>AG10+AG13+AG17+AG25+AG26+AG29+AG30+SUM(AG32:AG34)</f>
        <v>0</v>
      </c>
      <c r="AH37" s="652"/>
      <c r="AI37" s="652"/>
      <c r="AJ37" s="655"/>
      <c r="AK37" s="657">
        <f>AK10+AK13+AK17+AK25+AK26+AK29+AK30+SUM(AK32:AK34)</f>
        <v>0</v>
      </c>
      <c r="AL37" s="652"/>
      <c r="AM37" s="652"/>
      <c r="AN37" s="653"/>
      <c r="AO37" s="651">
        <f>AO10+AO13+AO17+AO25+AO26+AO29+AO30+SUM(AO32:AO34)</f>
        <v>0</v>
      </c>
      <c r="AP37" s="652"/>
      <c r="AQ37" s="652"/>
      <c r="AR37" s="655"/>
      <c r="AS37" s="658">
        <f>AS10+AS13+AS17+AS25+AS26+AS29+AS30+SUM(AS32:AS34)</f>
        <v>0</v>
      </c>
      <c r="AT37" s="652"/>
      <c r="AU37" s="652"/>
      <c r="AV37" s="653"/>
      <c r="AW37" s="654">
        <f>AW10+AW13+AW17+AW25+AW26+AW29+AW30+SUM(AW32:AW34)</f>
        <v>0</v>
      </c>
      <c r="AX37" s="652"/>
      <c r="AY37" s="1139"/>
      <c r="AZ37" s="655"/>
      <c r="BA37" s="651">
        <f>BA10+BA13+BA17+BA25+BA26+BA29+BA30+SUM(BA32:BA34)+BA36</f>
        <v>0</v>
      </c>
      <c r="BB37" s="652"/>
      <c r="BC37" s="652"/>
      <c r="BD37" s="655"/>
      <c r="BE37" s="658">
        <f>BE10+BE13+BE17+BE25+BE26+BE29+BE30+SUM(BE32:BE34)</f>
        <v>0</v>
      </c>
      <c r="BF37" s="652"/>
      <c r="BG37" s="652"/>
      <c r="BH37" s="653"/>
      <c r="BI37" s="651">
        <f>BI10+BI13+BI17+BI25+BI26+BI29+BI30+SUM(BI32:BI34)</f>
        <v>0</v>
      </c>
      <c r="BJ37" s="652"/>
      <c r="BK37" s="652"/>
      <c r="BL37" s="655"/>
    </row>
    <row r="40" spans="2:64" ht="19.2" x14ac:dyDescent="0.45">
      <c r="D40" s="942"/>
      <c r="E40" s="1207"/>
      <c r="G40" s="1207"/>
      <c r="I40" s="35"/>
      <c r="J40"/>
      <c r="X40" s="117"/>
      <c r="Y40"/>
      <c r="AI40" s="5"/>
      <c r="AJ40" s="4"/>
      <c r="AK40"/>
      <c r="AP40" s="4"/>
      <c r="AQ40"/>
      <c r="AV40" s="4"/>
      <c r="AW40"/>
    </row>
    <row r="41" spans="2:64" x14ac:dyDescent="0.3">
      <c r="E41" s="1207"/>
      <c r="I41" s="35"/>
      <c r="J41"/>
      <c r="X41" s="117"/>
      <c r="Y41"/>
      <c r="AI41" s="5"/>
      <c r="AJ41" s="4"/>
      <c r="AK41"/>
      <c r="AP41" s="4"/>
      <c r="AQ41"/>
      <c r="AV41" s="4"/>
      <c r="AW41"/>
    </row>
    <row r="42" spans="2:64" x14ac:dyDescent="0.3">
      <c r="E42" s="1207"/>
      <c r="I42" s="35"/>
      <c r="J42"/>
      <c r="X42" s="117"/>
      <c r="Y42"/>
      <c r="AI42" s="5"/>
      <c r="AJ42" s="4"/>
      <c r="AK42"/>
      <c r="AP42" s="4"/>
      <c r="AQ42"/>
      <c r="AV42" s="4"/>
      <c r="AW42"/>
    </row>
    <row r="43" spans="2:64" x14ac:dyDescent="0.3">
      <c r="I43" s="35"/>
      <c r="J43"/>
      <c r="X43" s="117"/>
      <c r="Y43"/>
      <c r="AI43" s="5"/>
      <c r="AJ43" s="4"/>
      <c r="AK43"/>
      <c r="AP43" s="4"/>
      <c r="AQ43"/>
      <c r="AV43" s="4"/>
      <c r="AW43"/>
    </row>
    <row r="44" spans="2:64" x14ac:dyDescent="0.3">
      <c r="I44" s="35"/>
      <c r="J44"/>
      <c r="X44" s="117"/>
      <c r="Y44"/>
      <c r="AI44" s="5"/>
      <c r="AJ44" s="4"/>
      <c r="AK44"/>
      <c r="AP44" s="4"/>
      <c r="AQ44"/>
      <c r="AV44" s="4"/>
      <c r="AW44"/>
      <c r="BH44" t="s">
        <v>98</v>
      </c>
      <c r="BI44" t="s">
        <v>99</v>
      </c>
      <c r="BJ44" t="s">
        <v>100</v>
      </c>
      <c r="BK44">
        <v>1394</v>
      </c>
    </row>
    <row r="45" spans="2:64" x14ac:dyDescent="0.3">
      <c r="BI45" t="s">
        <v>101</v>
      </c>
      <c r="BJ45" t="s">
        <v>102</v>
      </c>
      <c r="BK45" t="s">
        <v>100</v>
      </c>
      <c r="BL45">
        <v>21448.260000000002</v>
      </c>
    </row>
    <row r="46" spans="2:64" x14ac:dyDescent="0.3">
      <c r="BI46" t="s">
        <v>103</v>
      </c>
      <c r="BJ46" t="s">
        <v>104</v>
      </c>
      <c r="BK46" t="s">
        <v>100</v>
      </c>
      <c r="BL46">
        <v>3024.7227800000001</v>
      </c>
    </row>
    <row r="47" spans="2:64" x14ac:dyDescent="0.3">
      <c r="BI47" t="s">
        <v>105</v>
      </c>
      <c r="BJ47" t="s">
        <v>106</v>
      </c>
      <c r="BK47" t="s">
        <v>100</v>
      </c>
      <c r="BL47">
        <v>456.3</v>
      </c>
    </row>
    <row r="48" spans="2:64" x14ac:dyDescent="0.3">
      <c r="BI48" t="s">
        <v>107</v>
      </c>
      <c r="BJ48" t="s">
        <v>108</v>
      </c>
      <c r="BK48" t="s">
        <v>100</v>
      </c>
      <c r="BL48">
        <v>26946.75</v>
      </c>
    </row>
  </sheetData>
  <mergeCells count="55">
    <mergeCell ref="H11:H13"/>
    <mergeCell ref="N11:N13"/>
    <mergeCell ref="B27:B29"/>
    <mergeCell ref="B11:B13"/>
    <mergeCell ref="B14:B17"/>
    <mergeCell ref="D27:D29"/>
    <mergeCell ref="D14:D17"/>
    <mergeCell ref="D11:D13"/>
    <mergeCell ref="B21:B25"/>
    <mergeCell ref="D21:D25"/>
    <mergeCell ref="C14:C17"/>
    <mergeCell ref="C21:C25"/>
    <mergeCell ref="G11:G13"/>
    <mergeCell ref="G14:G17"/>
    <mergeCell ref="G21:G25"/>
    <mergeCell ref="G27:G29"/>
    <mergeCell ref="BI5:BK5"/>
    <mergeCell ref="AW5:AY5"/>
    <mergeCell ref="AA32:AA34"/>
    <mergeCell ref="B7:B10"/>
    <mergeCell ref="AG5:AI5"/>
    <mergeCell ref="AK5:AM5"/>
    <mergeCell ref="AO5:AQ5"/>
    <mergeCell ref="AS5:AU5"/>
    <mergeCell ref="H5:P5"/>
    <mergeCell ref="Q5:S5"/>
    <mergeCell ref="U5:W5"/>
    <mergeCell ref="Y5:AA5"/>
    <mergeCell ref="AC5:AE5"/>
    <mergeCell ref="D7:D10"/>
    <mergeCell ref="P7:P10"/>
    <mergeCell ref="P27:P29"/>
    <mergeCell ref="W32:W34"/>
    <mergeCell ref="S32:S34"/>
    <mergeCell ref="BA5:BC5"/>
    <mergeCell ref="BE5:BG5"/>
    <mergeCell ref="G7:G10"/>
    <mergeCell ref="H7:H10"/>
    <mergeCell ref="N7:N10"/>
    <mergeCell ref="H14:H17"/>
    <mergeCell ref="N14:N17"/>
    <mergeCell ref="H21:H25"/>
    <mergeCell ref="N21:N25"/>
    <mergeCell ref="H27:H29"/>
    <mergeCell ref="N27:N29"/>
    <mergeCell ref="P11:P13"/>
    <mergeCell ref="P14:P17"/>
    <mergeCell ref="P21:P25"/>
    <mergeCell ref="N32:N35"/>
    <mergeCell ref="G32:G34"/>
    <mergeCell ref="C27:C29"/>
    <mergeCell ref="B32:B35"/>
    <mergeCell ref="E32:E36"/>
    <mergeCell ref="D32:D36"/>
    <mergeCell ref="H32:H35"/>
  </mergeCells>
  <conditionalFormatting sqref="M7:M37">
    <cfRule type="cellIs" dxfId="1" priority="1" operator="lessThan">
      <formula>0</formula>
    </cfRule>
  </conditionalFormatting>
  <conditionalFormatting sqref="N7 N11 N14:N15 N18:N23 N26:N27 N30:N32">
    <cfRule type="cellIs" dxfId="0" priority="5" operator="lessThan">
      <formula>0</formula>
    </cfRule>
  </conditionalFormatting>
  <conditionalFormatting sqref="P7 P11 P14:P15 P26:P27 P21:P23 P30:P37">
    <cfRule type="colorScale" priority="6">
      <colorScale>
        <cfvo type="num" val="0"/>
        <cfvo type="num" val="0"/>
        <color rgb="FFFF0000"/>
        <color rgb="FF00B050"/>
      </colorScale>
    </cfRule>
  </conditionalFormatting>
  <hyperlinks>
    <hyperlink ref="A1" location="'Budget Total 2024'!A1" display="Totals" xr:uid="{71F63D15-F63A-44F4-83CB-ADFEB82F16E0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4603-69B2-4CD4-9C5F-BCBB115E8189}">
  <dimension ref="A1:AS15"/>
  <sheetViews>
    <sheetView workbookViewId="0"/>
  </sheetViews>
  <sheetFormatPr defaultColWidth="8.88671875" defaultRowHeight="14.4" x14ac:dyDescent="0.3"/>
  <cols>
    <col min="1" max="1" width="6.33203125" bestFit="1" customWidth="1"/>
    <col min="2" max="2" width="12" bestFit="1" customWidth="1"/>
    <col min="3" max="3" width="7.44140625" bestFit="1" customWidth="1"/>
    <col min="4" max="4" width="29.109375" bestFit="1" customWidth="1"/>
    <col min="5" max="5" width="9" bestFit="1" customWidth="1"/>
    <col min="6" max="6" width="11.44140625" bestFit="1" customWidth="1"/>
    <col min="7" max="7" width="14.33203125" style="35" bestFit="1" customWidth="1"/>
    <col min="8" max="8" width="14.33203125" bestFit="1" customWidth="1"/>
    <col min="9" max="9" width="14" bestFit="1" customWidth="1"/>
    <col min="10" max="10" width="12" bestFit="1" customWidth="1"/>
    <col min="11" max="11" width="10.33203125" bestFit="1" customWidth="1"/>
    <col min="12" max="12" width="11" bestFit="1" customWidth="1"/>
    <col min="13" max="14" width="11.33203125" bestFit="1" customWidth="1"/>
    <col min="15" max="15" width="11" bestFit="1" customWidth="1"/>
    <col min="16" max="17" width="11.33203125" bestFit="1" customWidth="1"/>
    <col min="18" max="18" width="14" bestFit="1" customWidth="1"/>
    <col min="19" max="20" width="11.33203125" bestFit="1" customWidth="1"/>
    <col min="21" max="21" width="11" bestFit="1" customWidth="1"/>
    <col min="22" max="22" width="12.33203125" bestFit="1" customWidth="1"/>
    <col min="23" max="23" width="11.33203125" bestFit="1" customWidth="1"/>
    <col min="24" max="24" width="11" bestFit="1" customWidth="1"/>
    <col min="25" max="26" width="11.33203125" bestFit="1" customWidth="1"/>
    <col min="27" max="27" width="11" bestFit="1" customWidth="1"/>
    <col min="28" max="29" width="11.33203125" bestFit="1" customWidth="1"/>
    <col min="30" max="30" width="11" bestFit="1" customWidth="1"/>
    <col min="31" max="31" width="12" bestFit="1" customWidth="1"/>
    <col min="32" max="32" width="11.33203125" bestFit="1" customWidth="1"/>
    <col min="33" max="33" width="11" style="5" bestFit="1" customWidth="1"/>
    <col min="34" max="34" width="9" bestFit="1" customWidth="1"/>
    <col min="35" max="35" width="10.33203125" bestFit="1" customWidth="1"/>
    <col min="36" max="36" width="11" bestFit="1" customWidth="1"/>
    <col min="37" max="38" width="11.33203125" bestFit="1" customWidth="1"/>
    <col min="39" max="39" width="11" bestFit="1" customWidth="1"/>
    <col min="40" max="41" width="11.33203125" bestFit="1" customWidth="1"/>
    <col min="42" max="42" width="11" bestFit="1" customWidth="1"/>
    <col min="43" max="44" width="11.33203125" bestFit="1" customWidth="1"/>
    <col min="45" max="45" width="11" bestFit="1" customWidth="1"/>
    <col min="46" max="46" width="9" bestFit="1" customWidth="1"/>
  </cols>
  <sheetData>
    <row r="1" spans="1:45" x14ac:dyDescent="0.3">
      <c r="A1" s="27" t="s">
        <v>43</v>
      </c>
      <c r="B1" s="28"/>
      <c r="C1" s="28"/>
      <c r="D1" s="28"/>
      <c r="E1" s="28"/>
      <c r="F1" s="28"/>
      <c r="G1" s="29"/>
      <c r="H1" s="28"/>
      <c r="I1" s="28"/>
      <c r="J1" s="28"/>
      <c r="K1" s="28"/>
      <c r="L1" s="30"/>
      <c r="M1" s="28"/>
      <c r="N1" s="28"/>
      <c r="O1" s="28"/>
      <c r="P1" s="28"/>
      <c r="Q1" s="28"/>
      <c r="R1" s="30"/>
      <c r="S1" s="30"/>
      <c r="T1" s="28"/>
      <c r="U1" s="28"/>
      <c r="V1" s="28"/>
      <c r="W1" s="28"/>
      <c r="X1" s="28"/>
      <c r="Y1" s="30"/>
      <c r="Z1" s="28"/>
      <c r="AA1" s="28"/>
      <c r="AB1" s="28"/>
    </row>
    <row r="2" spans="1:45" ht="15" thickBot="1" x14ac:dyDescent="0.35">
      <c r="A2" s="28"/>
      <c r="B2" s="28"/>
      <c r="C2" s="28"/>
      <c r="D2" s="28"/>
      <c r="E2" s="28"/>
      <c r="F2" s="28"/>
      <c r="G2" s="29"/>
      <c r="H2" s="28"/>
      <c r="I2" s="28"/>
      <c r="J2" s="28"/>
      <c r="K2" s="28"/>
      <c r="L2" s="30"/>
      <c r="M2" s="28"/>
      <c r="N2" s="28"/>
      <c r="O2" s="28"/>
      <c r="P2" s="28"/>
      <c r="Q2" s="28"/>
      <c r="R2" s="30"/>
      <c r="S2" s="30"/>
      <c r="T2" s="28"/>
      <c r="U2" s="28"/>
      <c r="V2" s="28"/>
      <c r="W2" s="28"/>
      <c r="X2" s="28"/>
      <c r="Y2" s="30"/>
      <c r="Z2" s="28"/>
      <c r="AA2" s="28"/>
      <c r="AB2" s="28"/>
    </row>
    <row r="3" spans="1:45" ht="15" thickBot="1" x14ac:dyDescent="0.35">
      <c r="A3" s="28"/>
      <c r="B3" s="31"/>
      <c r="C3" s="32"/>
      <c r="D3" s="33"/>
      <c r="E3" s="33"/>
      <c r="F3" s="33"/>
      <c r="G3" s="34"/>
      <c r="H3" s="28"/>
      <c r="I3" s="28"/>
      <c r="J3" s="28"/>
      <c r="K3" s="28"/>
      <c r="L3" s="30"/>
      <c r="M3" s="28"/>
      <c r="N3" s="28"/>
      <c r="O3" s="28"/>
      <c r="P3" s="28"/>
      <c r="Q3" s="28"/>
      <c r="R3" s="30"/>
      <c r="S3" s="30"/>
      <c r="T3" s="28"/>
      <c r="U3" s="28"/>
      <c r="V3" s="28"/>
      <c r="W3" s="28"/>
      <c r="X3" s="28"/>
      <c r="Y3" s="30"/>
      <c r="Z3" s="28"/>
      <c r="AA3" s="28"/>
      <c r="AB3" s="28"/>
    </row>
    <row r="4" spans="1:45" ht="15" thickBot="1" x14ac:dyDescent="0.35"/>
    <row r="5" spans="1:45" ht="15" thickBot="1" x14ac:dyDescent="0.35">
      <c r="A5" s="28"/>
      <c r="B5" s="36"/>
      <c r="C5" s="37"/>
      <c r="D5" s="38"/>
      <c r="E5" s="469"/>
      <c r="F5" s="584"/>
      <c r="G5" s="1231" t="s">
        <v>73</v>
      </c>
      <c r="H5" s="1231"/>
      <c r="I5" s="1231"/>
      <c r="J5" s="1237" t="s">
        <v>31</v>
      </c>
      <c r="K5" s="1234"/>
      <c r="L5" s="1339"/>
      <c r="M5" s="1231" t="s">
        <v>32</v>
      </c>
      <c r="N5" s="1231"/>
      <c r="O5" s="1231"/>
      <c r="P5" s="1235" t="s">
        <v>33</v>
      </c>
      <c r="Q5" s="1236"/>
      <c r="R5" s="1236"/>
      <c r="S5" s="1232" t="s">
        <v>34</v>
      </c>
      <c r="T5" s="1231"/>
      <c r="U5" s="1233"/>
      <c r="V5" s="1235" t="s">
        <v>35</v>
      </c>
      <c r="W5" s="1236"/>
      <c r="X5" s="1338"/>
      <c r="Y5" s="1232" t="s">
        <v>36</v>
      </c>
      <c r="Z5" s="1231"/>
      <c r="AA5" s="1233"/>
      <c r="AB5" s="1236" t="s">
        <v>37</v>
      </c>
      <c r="AC5" s="1236"/>
      <c r="AD5" s="1338"/>
      <c r="AE5" s="1231" t="s">
        <v>38</v>
      </c>
      <c r="AF5" s="1231"/>
      <c r="AG5" s="1233"/>
      <c r="AH5" s="1236" t="s">
        <v>39</v>
      </c>
      <c r="AI5" s="1236"/>
      <c r="AJ5" s="1338"/>
      <c r="AK5" s="1231" t="s">
        <v>40</v>
      </c>
      <c r="AL5" s="1231"/>
      <c r="AM5" s="1233"/>
      <c r="AN5" s="1236" t="s">
        <v>41</v>
      </c>
      <c r="AO5" s="1236"/>
      <c r="AP5" s="1338"/>
      <c r="AQ5" s="1231" t="s">
        <v>42</v>
      </c>
      <c r="AR5" s="1231"/>
      <c r="AS5" s="1233"/>
    </row>
    <row r="6" spans="1:45" ht="15" thickBot="1" x14ac:dyDescent="0.35">
      <c r="A6" s="28"/>
      <c r="B6" s="88" t="s">
        <v>4</v>
      </c>
      <c r="C6" s="96" t="s">
        <v>74</v>
      </c>
      <c r="D6" s="89" t="s">
        <v>3</v>
      </c>
      <c r="E6" s="154" t="s">
        <v>47</v>
      </c>
      <c r="F6" s="154" t="s">
        <v>75</v>
      </c>
      <c r="G6" s="79" t="s">
        <v>89</v>
      </c>
      <c r="H6" s="80" t="s">
        <v>78</v>
      </c>
      <c r="I6" s="81" t="s">
        <v>79</v>
      </c>
      <c r="J6" s="90" t="s">
        <v>80</v>
      </c>
      <c r="K6" s="91" t="s">
        <v>72</v>
      </c>
      <c r="L6" s="92" t="s">
        <v>81</v>
      </c>
      <c r="M6" s="79" t="s">
        <v>80</v>
      </c>
      <c r="N6" s="85" t="s">
        <v>72</v>
      </c>
      <c r="O6" s="86" t="s">
        <v>81</v>
      </c>
      <c r="P6" s="90" t="s">
        <v>80</v>
      </c>
      <c r="Q6" s="91" t="s">
        <v>72</v>
      </c>
      <c r="R6" s="91" t="s">
        <v>81</v>
      </c>
      <c r="S6" s="79" t="s">
        <v>80</v>
      </c>
      <c r="T6" s="85" t="s">
        <v>72</v>
      </c>
      <c r="U6" s="86" t="s">
        <v>81</v>
      </c>
      <c r="V6" s="90" t="s">
        <v>80</v>
      </c>
      <c r="W6" s="91" t="s">
        <v>72</v>
      </c>
      <c r="X6" s="92" t="s">
        <v>81</v>
      </c>
      <c r="Y6" s="79" t="s">
        <v>80</v>
      </c>
      <c r="Z6" s="85" t="s">
        <v>72</v>
      </c>
      <c r="AA6" s="86" t="s">
        <v>81</v>
      </c>
      <c r="AB6" s="90" t="s">
        <v>80</v>
      </c>
      <c r="AC6" s="91" t="s">
        <v>72</v>
      </c>
      <c r="AD6" s="91" t="s">
        <v>81</v>
      </c>
      <c r="AE6" s="40" t="s">
        <v>80</v>
      </c>
      <c r="AF6" s="43" t="s">
        <v>72</v>
      </c>
      <c r="AG6" s="44" t="s">
        <v>81</v>
      </c>
      <c r="AH6" s="98" t="s">
        <v>80</v>
      </c>
      <c r="AI6" s="94" t="s">
        <v>72</v>
      </c>
      <c r="AJ6" s="95" t="s">
        <v>81</v>
      </c>
      <c r="AK6" s="40" t="s">
        <v>80</v>
      </c>
      <c r="AL6" s="43" t="s">
        <v>72</v>
      </c>
      <c r="AM6" s="44" t="s">
        <v>81</v>
      </c>
      <c r="AN6" s="98" t="s">
        <v>80</v>
      </c>
      <c r="AO6" s="94" t="s">
        <v>72</v>
      </c>
      <c r="AP6" s="95" t="s">
        <v>81</v>
      </c>
      <c r="AQ6" s="85" t="s">
        <v>80</v>
      </c>
      <c r="AR6" s="85" t="s">
        <v>72</v>
      </c>
      <c r="AS6" s="86" t="s">
        <v>81</v>
      </c>
    </row>
    <row r="7" spans="1:45" ht="15" thickBot="1" x14ac:dyDescent="0.35">
      <c r="A7" s="28"/>
      <c r="B7" s="439"/>
      <c r="C7" s="440"/>
      <c r="D7" s="441"/>
      <c r="E7" s="859"/>
      <c r="F7" s="442"/>
      <c r="G7" s="443"/>
      <c r="H7" s="444"/>
      <c r="I7" s="445"/>
      <c r="J7" s="569"/>
      <c r="K7" s="570"/>
      <c r="L7" s="570"/>
      <c r="M7" s="571"/>
      <c r="N7" s="572"/>
      <c r="O7" s="573"/>
      <c r="P7" s="574"/>
      <c r="Q7" s="570"/>
      <c r="R7" s="575"/>
      <c r="S7" s="571"/>
      <c r="T7" s="572"/>
      <c r="U7" s="572"/>
      <c r="V7" s="569"/>
      <c r="W7" s="576"/>
      <c r="X7" s="570"/>
      <c r="Y7" s="571"/>
      <c r="Z7" s="572"/>
      <c r="AA7" s="573"/>
      <c r="AB7" s="569"/>
      <c r="AC7" s="575"/>
      <c r="AD7" s="570"/>
      <c r="AE7" s="49"/>
      <c r="AF7" s="99"/>
      <c r="AG7" s="577"/>
      <c r="AH7" s="93"/>
      <c r="AI7" s="100"/>
      <c r="AJ7" s="578"/>
      <c r="AK7" s="571"/>
      <c r="AL7" s="99"/>
      <c r="AM7" s="102"/>
      <c r="AN7" s="93"/>
      <c r="AO7" s="100"/>
      <c r="AP7" s="101"/>
      <c r="AQ7" s="49"/>
      <c r="AR7" s="99"/>
      <c r="AS7" s="102"/>
    </row>
    <row r="9" spans="1:45" x14ac:dyDescent="0.3">
      <c r="C9" s="28"/>
      <c r="D9" s="28"/>
      <c r="E9" s="28"/>
      <c r="F9" s="28"/>
      <c r="G9" s="29"/>
      <c r="H9" s="28"/>
      <c r="I9" s="28"/>
      <c r="J9" s="28"/>
      <c r="K9" s="28"/>
      <c r="L9" s="30"/>
      <c r="M9" s="28"/>
      <c r="N9" s="28"/>
      <c r="O9" s="28"/>
      <c r="P9" s="28"/>
      <c r="Q9" s="28"/>
      <c r="R9" s="30"/>
      <c r="S9" s="30"/>
      <c r="T9" s="28"/>
      <c r="U9" s="28"/>
      <c r="V9" s="28"/>
      <c r="W9" s="28"/>
      <c r="X9" s="28"/>
      <c r="Y9" s="30"/>
      <c r="Z9" s="28"/>
      <c r="AA9" s="28"/>
      <c r="AB9" s="28"/>
    </row>
    <row r="10" spans="1:45" x14ac:dyDescent="0.3">
      <c r="J10" s="359"/>
      <c r="K10" s="9"/>
      <c r="L10" s="78"/>
      <c r="M10" s="9"/>
      <c r="P10" s="9"/>
      <c r="R10" s="9"/>
      <c r="S10" s="9"/>
      <c r="V10" s="9"/>
      <c r="Y10" s="9"/>
      <c r="AB10" s="9"/>
      <c r="AE10" s="9"/>
      <c r="AF10" s="5"/>
      <c r="AG10"/>
      <c r="AH10" s="9"/>
      <c r="AK10" s="9"/>
      <c r="AN10" s="9"/>
      <c r="AQ10" s="9"/>
    </row>
    <row r="11" spans="1:45" x14ac:dyDescent="0.3">
      <c r="J11" s="359"/>
      <c r="K11" s="9"/>
      <c r="M11" s="9"/>
      <c r="P11" s="9"/>
      <c r="S11" s="9"/>
      <c r="V11" s="9"/>
      <c r="Y11" s="9"/>
      <c r="AB11" s="9"/>
      <c r="AE11" s="9"/>
      <c r="AF11" s="5"/>
      <c r="AG11"/>
      <c r="AH11" s="9"/>
      <c r="AK11" s="9"/>
      <c r="AN11" s="9"/>
      <c r="AQ11" s="9"/>
    </row>
    <row r="12" spans="1:45" x14ac:dyDescent="0.3">
      <c r="K12" s="9"/>
      <c r="M12" s="9"/>
      <c r="P12" s="9"/>
      <c r="S12" s="9"/>
      <c r="V12" s="9"/>
      <c r="Y12" s="9"/>
      <c r="AB12" s="9"/>
      <c r="AE12" s="9"/>
      <c r="AF12" s="5"/>
      <c r="AG12"/>
      <c r="AH12" s="9"/>
      <c r="AK12" s="9"/>
      <c r="AN12" s="9"/>
      <c r="AQ12" s="9"/>
    </row>
    <row r="13" spans="1:45" x14ac:dyDescent="0.3">
      <c r="K13" s="9"/>
      <c r="M13" s="9"/>
      <c r="P13" s="9"/>
      <c r="S13" s="9"/>
      <c r="V13" s="9"/>
      <c r="Y13" s="9"/>
      <c r="AB13" s="9"/>
      <c r="AE13" s="9"/>
      <c r="AF13" s="5"/>
      <c r="AG13"/>
      <c r="AH13" s="9"/>
      <c r="AK13" s="9"/>
      <c r="AN13" s="9"/>
      <c r="AQ13" s="9"/>
    </row>
    <row r="14" spans="1:45" x14ac:dyDescent="0.3">
      <c r="K14" s="9"/>
      <c r="N14" s="9"/>
      <c r="Q14" s="9"/>
      <c r="T14" s="9"/>
      <c r="W14" s="9"/>
      <c r="Z14" s="9"/>
      <c r="AC14" s="9"/>
      <c r="AF14" s="9"/>
      <c r="AI14" s="9"/>
      <c r="AL14" s="9"/>
      <c r="AO14" s="9"/>
      <c r="AR14" s="9"/>
    </row>
    <row r="15" spans="1:45" x14ac:dyDescent="0.3">
      <c r="K15" s="9"/>
      <c r="N15" s="9"/>
      <c r="Q15" s="9"/>
      <c r="T15" s="9"/>
      <c r="W15" s="9"/>
      <c r="Z15" s="9"/>
      <c r="AC15" s="9"/>
      <c r="AF15" s="9"/>
      <c r="AI15" s="9"/>
      <c r="AL15" s="9"/>
      <c r="AO15" s="9"/>
      <c r="AR15" s="9"/>
    </row>
  </sheetData>
  <mergeCells count="13">
    <mergeCell ref="AQ5:AS5"/>
    <mergeCell ref="Y5:AA5"/>
    <mergeCell ref="AB5:AD5"/>
    <mergeCell ref="AE5:AG5"/>
    <mergeCell ref="AH5:AJ5"/>
    <mergeCell ref="AK5:AM5"/>
    <mergeCell ref="AN5:AP5"/>
    <mergeCell ref="V5:X5"/>
    <mergeCell ref="G5:I5"/>
    <mergeCell ref="J5:L5"/>
    <mergeCell ref="M5:O5"/>
    <mergeCell ref="P5:R5"/>
    <mergeCell ref="S5:U5"/>
  </mergeCells>
  <hyperlinks>
    <hyperlink ref="A1" location="'Budget Total 2024'!A1" display="Totals" xr:uid="{0A3F3618-F780-4229-8F72-8386D214601E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09F9-5FA3-4AEA-BFF2-3E602FC132A3}">
  <dimension ref="A1:I119"/>
  <sheetViews>
    <sheetView workbookViewId="0">
      <selection activeCell="B13" sqref="B13"/>
    </sheetView>
  </sheetViews>
  <sheetFormatPr defaultColWidth="9.109375" defaultRowHeight="14.4" x14ac:dyDescent="0.3"/>
  <cols>
    <col min="1" max="1" width="6.33203125" style="78" bestFit="1" customWidth="1"/>
    <col min="2" max="2" width="13.109375" style="78" customWidth="1"/>
    <col min="3" max="3" width="19.109375" style="78" bestFit="1" customWidth="1"/>
    <col min="4" max="4" width="21.6640625" style="78" bestFit="1" customWidth="1"/>
    <col min="5" max="5" width="12.33203125" style="240" bestFit="1" customWidth="1"/>
    <col min="6" max="6" width="15.33203125" style="463" bestFit="1" customWidth="1"/>
    <col min="7" max="7" width="6.88671875" bestFit="1" customWidth="1"/>
    <col min="8" max="8" width="12.5546875" style="78" bestFit="1" customWidth="1"/>
    <col min="9" max="9" width="14.44140625" style="78" bestFit="1" customWidth="1"/>
    <col min="10" max="16384" width="9.109375" style="78"/>
  </cols>
  <sheetData>
    <row r="1" spans="1:9" ht="15" thickBot="1" x14ac:dyDescent="0.35">
      <c r="A1" s="238" t="s">
        <v>43</v>
      </c>
      <c r="B1" s="238"/>
      <c r="E1" s="241"/>
      <c r="F1" s="4"/>
    </row>
    <row r="2" spans="1:9" ht="15" thickBot="1" x14ac:dyDescent="0.35">
      <c r="C2" s="242" t="s">
        <v>109</v>
      </c>
      <c r="D2" s="413"/>
      <c r="E2" s="5"/>
      <c r="F2" s="4"/>
      <c r="H2" s="360" t="s">
        <v>110</v>
      </c>
      <c r="I2" t="s">
        <v>111</v>
      </c>
    </row>
    <row r="3" spans="1:9" ht="15" thickBot="1" x14ac:dyDescent="0.35">
      <c r="B3" s="274" t="s">
        <v>2</v>
      </c>
      <c r="C3" s="243"/>
      <c r="D3" s="413"/>
      <c r="E3" s="414"/>
      <c r="H3" s="361" t="s">
        <v>112</v>
      </c>
      <c r="I3" s="1227"/>
    </row>
    <row r="4" spans="1:9" x14ac:dyDescent="0.3">
      <c r="B4" s="244" t="s">
        <v>15</v>
      </c>
      <c r="C4" s="256">
        <f>SUMIF(B11:B98,"BT",F11:F98)</f>
        <v>0</v>
      </c>
      <c r="D4" s="415"/>
      <c r="E4" s="241"/>
      <c r="F4" s="4"/>
      <c r="H4" s="361" t="s">
        <v>113</v>
      </c>
      <c r="I4" s="1227"/>
    </row>
    <row r="5" spans="1:9" x14ac:dyDescent="0.3">
      <c r="B5" s="245" t="s">
        <v>114</v>
      </c>
      <c r="C5" s="256">
        <f>SUMIF(B12:B99,"Orange",F12:F99)</f>
        <v>0</v>
      </c>
      <c r="D5" s="415"/>
      <c r="E5" s="414"/>
      <c r="H5"/>
      <c r="I5"/>
    </row>
    <row r="6" spans="1:9" x14ac:dyDescent="0.3">
      <c r="B6" s="246" t="s">
        <v>23</v>
      </c>
      <c r="C6" s="257"/>
      <c r="D6" s="415"/>
      <c r="E6" s="414"/>
      <c r="H6"/>
      <c r="I6"/>
    </row>
    <row r="7" spans="1:9" x14ac:dyDescent="0.3">
      <c r="B7" s="246"/>
      <c r="C7" s="257"/>
      <c r="D7" s="415"/>
      <c r="E7" s="414"/>
      <c r="H7"/>
      <c r="I7"/>
    </row>
    <row r="8" spans="1:9" ht="15" thickBot="1" x14ac:dyDescent="0.35">
      <c r="B8" s="247"/>
      <c r="C8" s="258"/>
      <c r="D8" s="415"/>
      <c r="E8" s="414"/>
      <c r="H8"/>
      <c r="I8"/>
    </row>
    <row r="9" spans="1:9" ht="15" thickBot="1" x14ac:dyDescent="0.35">
      <c r="B9" s="248" t="s">
        <v>28</v>
      </c>
      <c r="C9" s="259">
        <f>SUM(C4:C8)</f>
        <v>0</v>
      </c>
      <c r="D9" s="416"/>
      <c r="E9" s="414"/>
      <c r="H9"/>
      <c r="I9"/>
    </row>
    <row r="10" spans="1:9" ht="15" thickBot="1" x14ac:dyDescent="0.35">
      <c r="E10" s="241"/>
      <c r="F10" s="4"/>
      <c r="H10"/>
      <c r="I10"/>
    </row>
    <row r="11" spans="1:9" ht="15" thickBot="1" x14ac:dyDescent="0.35">
      <c r="B11" s="330" t="s">
        <v>2</v>
      </c>
      <c r="C11" s="331" t="s">
        <v>115</v>
      </c>
      <c r="D11" s="400" t="s">
        <v>86</v>
      </c>
      <c r="E11" s="408" t="s">
        <v>4</v>
      </c>
      <c r="F11" s="464" t="s">
        <v>116</v>
      </c>
      <c r="G11" s="405" t="s">
        <v>0</v>
      </c>
      <c r="H11"/>
      <c r="I11"/>
    </row>
    <row r="12" spans="1:9" x14ac:dyDescent="0.3">
      <c r="B12" s="249"/>
      <c r="C12" s="250"/>
      <c r="D12" s="401"/>
      <c r="E12" s="409"/>
      <c r="F12" s="76"/>
      <c r="G12" s="2"/>
      <c r="H12"/>
      <c r="I12"/>
    </row>
    <row r="13" spans="1:9" x14ac:dyDescent="0.3">
      <c r="B13" s="249"/>
      <c r="C13" s="251"/>
      <c r="D13" s="402"/>
      <c r="E13" s="410"/>
      <c r="F13" s="77"/>
      <c r="G13" s="1"/>
      <c r="H13"/>
      <c r="I13"/>
    </row>
    <row r="14" spans="1:9" x14ac:dyDescent="0.3">
      <c r="B14" s="249"/>
      <c r="C14" s="251"/>
      <c r="D14" s="402"/>
      <c r="E14" s="410"/>
      <c r="F14" s="77"/>
      <c r="G14" s="2"/>
      <c r="H14"/>
      <c r="I14"/>
    </row>
    <row r="15" spans="1:9" x14ac:dyDescent="0.3">
      <c r="B15" s="249"/>
      <c r="C15" s="251"/>
      <c r="D15" s="402"/>
      <c r="E15" s="410"/>
      <c r="F15" s="77"/>
      <c r="G15" s="1"/>
      <c r="H15"/>
      <c r="I15"/>
    </row>
    <row r="16" spans="1:9" x14ac:dyDescent="0.3">
      <c r="B16" s="249"/>
      <c r="C16" s="251"/>
      <c r="D16" s="402"/>
      <c r="E16" s="410"/>
      <c r="F16" s="77"/>
      <c r="G16" s="2"/>
    </row>
    <row r="17" spans="2:7" x14ac:dyDescent="0.3">
      <c r="B17" s="249"/>
      <c r="C17" s="251"/>
      <c r="D17" s="402"/>
      <c r="E17" s="410"/>
      <c r="F17" s="77"/>
      <c r="G17" s="1"/>
    </row>
    <row r="18" spans="2:7" x14ac:dyDescent="0.3">
      <c r="B18" s="249"/>
      <c r="C18" s="251"/>
      <c r="D18" s="402"/>
      <c r="E18" s="410"/>
      <c r="F18" s="77"/>
      <c r="G18" s="1"/>
    </row>
    <row r="19" spans="2:7" x14ac:dyDescent="0.3">
      <c r="B19" s="249"/>
      <c r="C19" s="251"/>
      <c r="D19" s="402"/>
      <c r="E19" s="410"/>
      <c r="F19" s="77"/>
      <c r="G19" s="1"/>
    </row>
    <row r="20" spans="2:7" x14ac:dyDescent="0.3">
      <c r="B20" s="249"/>
      <c r="C20" s="251"/>
      <c r="D20" s="402"/>
      <c r="E20" s="410"/>
      <c r="F20" s="77"/>
      <c r="G20" s="1"/>
    </row>
    <row r="21" spans="2:7" x14ac:dyDescent="0.3">
      <c r="B21" s="249"/>
      <c r="C21" s="251"/>
      <c r="D21" s="402"/>
      <c r="E21" s="410"/>
      <c r="F21" s="77"/>
      <c r="G21" s="1"/>
    </row>
    <row r="22" spans="2:7" x14ac:dyDescent="0.3">
      <c r="B22" s="249"/>
      <c r="C22" s="251"/>
      <c r="D22" s="402"/>
      <c r="E22" s="410"/>
      <c r="F22" s="77"/>
      <c r="G22" s="1"/>
    </row>
    <row r="23" spans="2:7" x14ac:dyDescent="0.3">
      <c r="B23" s="249"/>
      <c r="C23" s="251"/>
      <c r="D23" s="402"/>
      <c r="E23" s="410"/>
      <c r="F23" s="77"/>
      <c r="G23" s="1"/>
    </row>
    <row r="24" spans="2:7" x14ac:dyDescent="0.3">
      <c r="B24" s="249"/>
      <c r="C24" s="251"/>
      <c r="D24" s="402"/>
      <c r="E24" s="410"/>
      <c r="F24" s="77"/>
      <c r="G24" s="1"/>
    </row>
    <row r="25" spans="2:7" x14ac:dyDescent="0.3">
      <c r="B25" s="249"/>
      <c r="C25" s="251"/>
      <c r="D25" s="402"/>
      <c r="E25" s="410"/>
      <c r="F25" s="77"/>
      <c r="G25" s="1"/>
    </row>
    <row r="26" spans="2:7" x14ac:dyDescent="0.3">
      <c r="B26" s="249"/>
      <c r="C26" s="251"/>
      <c r="D26" s="402"/>
      <c r="E26" s="410"/>
      <c r="F26" s="77"/>
      <c r="G26" s="1"/>
    </row>
    <row r="27" spans="2:7" x14ac:dyDescent="0.3">
      <c r="B27" s="249"/>
      <c r="C27" s="251"/>
      <c r="D27" s="402"/>
      <c r="E27" s="410"/>
      <c r="F27" s="77"/>
      <c r="G27" s="1"/>
    </row>
    <row r="28" spans="2:7" x14ac:dyDescent="0.3">
      <c r="B28" s="249"/>
      <c r="C28" s="251"/>
      <c r="D28" s="402"/>
      <c r="E28" s="410"/>
      <c r="F28" s="77"/>
      <c r="G28" s="1"/>
    </row>
    <row r="29" spans="2:7" x14ac:dyDescent="0.3">
      <c r="B29" s="249"/>
      <c r="C29" s="251"/>
      <c r="D29" s="402"/>
      <c r="E29" s="410"/>
      <c r="F29" s="77"/>
      <c r="G29" s="1"/>
    </row>
    <row r="30" spans="2:7" x14ac:dyDescent="0.3">
      <c r="B30" s="249"/>
      <c r="C30" s="251"/>
      <c r="D30" s="402"/>
      <c r="E30" s="410"/>
      <c r="F30" s="77"/>
      <c r="G30" s="1"/>
    </row>
    <row r="31" spans="2:7" x14ac:dyDescent="0.3">
      <c r="B31" s="249"/>
      <c r="C31" s="251"/>
      <c r="D31" s="402"/>
      <c r="E31" s="410"/>
      <c r="F31" s="77"/>
      <c r="G31" s="1"/>
    </row>
    <row r="32" spans="2:7" x14ac:dyDescent="0.3">
      <c r="B32" s="249"/>
      <c r="C32" s="251"/>
      <c r="D32" s="402"/>
      <c r="E32" s="410"/>
      <c r="F32" s="77"/>
      <c r="G32" s="1"/>
    </row>
    <row r="33" spans="2:7" x14ac:dyDescent="0.3">
      <c r="B33" s="249"/>
      <c r="C33" s="251"/>
      <c r="D33" s="402"/>
      <c r="E33" s="410"/>
      <c r="F33" s="77"/>
      <c r="G33" s="1"/>
    </row>
    <row r="34" spans="2:7" x14ac:dyDescent="0.3">
      <c r="B34" s="249"/>
      <c r="C34" s="251"/>
      <c r="D34" s="402"/>
      <c r="E34" s="410"/>
      <c r="F34" s="77"/>
      <c r="G34" s="1"/>
    </row>
    <row r="35" spans="2:7" x14ac:dyDescent="0.3">
      <c r="B35" s="249"/>
      <c r="C35" s="253"/>
      <c r="D35" s="402"/>
      <c r="E35" s="410"/>
      <c r="F35" s="465"/>
      <c r="G35" s="1"/>
    </row>
    <row r="36" spans="2:7" x14ac:dyDescent="0.3">
      <c r="B36" s="249"/>
      <c r="C36" s="253"/>
      <c r="D36" s="402"/>
      <c r="E36" s="410"/>
      <c r="F36" s="465"/>
      <c r="G36" s="1"/>
    </row>
    <row r="37" spans="2:7" x14ac:dyDescent="0.3">
      <c r="B37" s="249"/>
      <c r="C37" s="253"/>
      <c r="D37" s="402"/>
      <c r="E37" s="410"/>
      <c r="F37" s="465"/>
      <c r="G37" s="1"/>
    </row>
    <row r="38" spans="2:7" x14ac:dyDescent="0.3">
      <c r="B38" s="249"/>
      <c r="C38" s="253"/>
      <c r="D38" s="402"/>
      <c r="E38" s="410"/>
      <c r="F38" s="465"/>
      <c r="G38" s="1"/>
    </row>
    <row r="39" spans="2:7" x14ac:dyDescent="0.3">
      <c r="B39" s="249"/>
      <c r="C39" s="253"/>
      <c r="D39" s="402"/>
      <c r="E39" s="410"/>
      <c r="F39" s="465"/>
      <c r="G39" s="1"/>
    </row>
    <row r="40" spans="2:7" x14ac:dyDescent="0.3">
      <c r="B40" s="249"/>
      <c r="C40" s="253"/>
      <c r="D40" s="402"/>
      <c r="E40" s="410"/>
      <c r="F40" s="465"/>
      <c r="G40" s="1"/>
    </row>
    <row r="41" spans="2:7" x14ac:dyDescent="0.3">
      <c r="B41" s="249"/>
      <c r="C41" s="253"/>
      <c r="D41" s="402"/>
      <c r="E41" s="410"/>
      <c r="F41" s="465"/>
      <c r="G41" s="1"/>
    </row>
    <row r="42" spans="2:7" x14ac:dyDescent="0.3">
      <c r="B42" s="249"/>
      <c r="C42" s="253"/>
      <c r="D42" s="402"/>
      <c r="E42" s="410"/>
      <c r="F42" s="465"/>
      <c r="G42" s="1"/>
    </row>
    <row r="43" spans="2:7" x14ac:dyDescent="0.3">
      <c r="B43" s="249"/>
      <c r="C43" s="253"/>
      <c r="D43" s="402"/>
      <c r="E43" s="410"/>
      <c r="F43" s="465"/>
      <c r="G43" s="1"/>
    </row>
    <row r="44" spans="2:7" x14ac:dyDescent="0.3">
      <c r="B44" s="249"/>
      <c r="C44" s="253"/>
      <c r="D44" s="402"/>
      <c r="E44" s="410"/>
      <c r="F44" s="465"/>
      <c r="G44" s="1"/>
    </row>
    <row r="45" spans="2:7" x14ac:dyDescent="0.3">
      <c r="B45" s="249"/>
      <c r="C45" s="253"/>
      <c r="D45" s="402"/>
      <c r="E45" s="410"/>
      <c r="F45" s="465"/>
      <c r="G45" s="1"/>
    </row>
    <row r="46" spans="2:7" x14ac:dyDescent="0.3">
      <c r="B46" s="249"/>
      <c r="C46" s="253"/>
      <c r="D46" s="402"/>
      <c r="E46" s="410"/>
      <c r="F46" s="465"/>
      <c r="G46" s="1"/>
    </row>
    <row r="47" spans="2:7" x14ac:dyDescent="0.3">
      <c r="B47" s="249"/>
      <c r="C47" s="253"/>
      <c r="D47" s="402"/>
      <c r="E47" s="410"/>
      <c r="F47" s="465"/>
      <c r="G47" s="1"/>
    </row>
    <row r="48" spans="2:7" x14ac:dyDescent="0.3">
      <c r="B48" s="249"/>
      <c r="C48" s="253"/>
      <c r="D48" s="402"/>
      <c r="E48" s="410"/>
      <c r="F48" s="465"/>
      <c r="G48" s="1"/>
    </row>
    <row r="49" spans="1:7" x14ac:dyDescent="0.3">
      <c r="B49" s="249"/>
      <c r="C49" s="253"/>
      <c r="D49" s="402"/>
      <c r="E49" s="410"/>
      <c r="F49" s="465"/>
      <c r="G49" s="1"/>
    </row>
    <row r="50" spans="1:7" x14ac:dyDescent="0.3">
      <c r="B50" s="249"/>
      <c r="C50" s="253"/>
      <c r="D50" s="402"/>
      <c r="E50" s="410"/>
      <c r="F50" s="465"/>
      <c r="G50" s="1"/>
    </row>
    <row r="51" spans="1:7" x14ac:dyDescent="0.3">
      <c r="B51" s="249"/>
      <c r="C51" s="253"/>
      <c r="D51" s="402"/>
      <c r="E51" s="410"/>
      <c r="F51" s="465"/>
      <c r="G51" s="1"/>
    </row>
    <row r="52" spans="1:7" x14ac:dyDescent="0.3">
      <c r="B52" s="249"/>
      <c r="C52" s="253"/>
      <c r="D52" s="402"/>
      <c r="E52" s="410"/>
      <c r="F52" s="465"/>
      <c r="G52" s="1"/>
    </row>
    <row r="53" spans="1:7" x14ac:dyDescent="0.3">
      <c r="B53" s="249"/>
      <c r="C53" s="253"/>
      <c r="D53" s="402"/>
      <c r="E53" s="410"/>
      <c r="F53" s="465"/>
      <c r="G53" s="1"/>
    </row>
    <row r="54" spans="1:7" x14ac:dyDescent="0.3">
      <c r="B54" s="249"/>
      <c r="C54" s="253"/>
      <c r="D54" s="402"/>
      <c r="E54" s="410"/>
      <c r="F54" s="465"/>
      <c r="G54" s="1"/>
    </row>
    <row r="55" spans="1:7" x14ac:dyDescent="0.3">
      <c r="B55" s="252"/>
      <c r="C55" s="253"/>
      <c r="D55" s="403"/>
      <c r="E55" s="411"/>
      <c r="F55" s="465"/>
      <c r="G55" s="1"/>
    </row>
    <row r="56" spans="1:7" x14ac:dyDescent="0.3">
      <c r="B56" s="252"/>
      <c r="C56" s="253"/>
      <c r="D56" s="403"/>
      <c r="E56" s="411"/>
      <c r="F56" s="465"/>
      <c r="G56" s="1"/>
    </row>
    <row r="57" spans="1:7" x14ac:dyDescent="0.3">
      <c r="B57" s="252"/>
      <c r="C57" s="253"/>
      <c r="D57" s="403"/>
      <c r="E57" s="411"/>
      <c r="F57" s="465"/>
      <c r="G57" s="1"/>
    </row>
    <row r="58" spans="1:7" x14ac:dyDescent="0.3">
      <c r="B58" s="252"/>
      <c r="C58" s="253"/>
      <c r="D58" s="403"/>
      <c r="E58" s="411"/>
      <c r="F58" s="465"/>
      <c r="G58" s="1"/>
    </row>
    <row r="59" spans="1:7" x14ac:dyDescent="0.3">
      <c r="B59" s="252"/>
      <c r="C59" s="253"/>
      <c r="D59" s="403"/>
      <c r="E59" s="411"/>
      <c r="F59" s="465"/>
      <c r="G59" s="1"/>
    </row>
    <row r="60" spans="1:7" x14ac:dyDescent="0.3">
      <c r="B60" s="252"/>
      <c r="C60" s="253"/>
      <c r="D60" s="403"/>
      <c r="E60" s="411"/>
      <c r="F60" s="465"/>
      <c r="G60" s="1"/>
    </row>
    <row r="61" spans="1:7" x14ac:dyDescent="0.3">
      <c r="A61" s="254"/>
      <c r="B61" s="252"/>
      <c r="C61" s="253"/>
      <c r="D61" s="403"/>
      <c r="E61" s="411"/>
      <c r="F61" s="465"/>
      <c r="G61" s="1"/>
    </row>
    <row r="62" spans="1:7" x14ac:dyDescent="0.3">
      <c r="B62" s="252"/>
      <c r="C62" s="253"/>
      <c r="D62" s="403"/>
      <c r="E62" s="411"/>
      <c r="F62" s="465"/>
      <c r="G62" s="1"/>
    </row>
    <row r="63" spans="1:7" x14ac:dyDescent="0.3">
      <c r="B63" s="252"/>
      <c r="C63" s="253"/>
      <c r="D63" s="403"/>
      <c r="E63" s="411"/>
      <c r="F63" s="465"/>
      <c r="G63" s="1"/>
    </row>
    <row r="64" spans="1:7" x14ac:dyDescent="0.3">
      <c r="B64" s="252"/>
      <c r="C64" s="253"/>
      <c r="D64" s="403"/>
      <c r="E64" s="411"/>
      <c r="F64" s="465"/>
      <c r="G64" s="1"/>
    </row>
    <row r="65" spans="2:7" x14ac:dyDescent="0.3">
      <c r="B65" s="252"/>
      <c r="C65" s="253"/>
      <c r="D65" s="403"/>
      <c r="E65" s="411"/>
      <c r="F65" s="465"/>
      <c r="G65" s="1"/>
    </row>
    <row r="66" spans="2:7" x14ac:dyDescent="0.3">
      <c r="B66" s="252"/>
      <c r="C66" s="253"/>
      <c r="D66" s="403"/>
      <c r="E66" s="411"/>
      <c r="F66" s="465"/>
      <c r="G66" s="1"/>
    </row>
    <row r="67" spans="2:7" x14ac:dyDescent="0.3">
      <c r="B67" s="252"/>
      <c r="C67" s="253"/>
      <c r="D67" s="403"/>
      <c r="E67" s="411"/>
      <c r="F67" s="467"/>
      <c r="G67" s="1"/>
    </row>
    <row r="68" spans="2:7" x14ac:dyDescent="0.3">
      <c r="B68" s="252"/>
      <c r="C68" s="253"/>
      <c r="D68" s="403"/>
      <c r="E68" s="411"/>
      <c r="F68" s="465"/>
      <c r="G68" s="1"/>
    </row>
    <row r="69" spans="2:7" x14ac:dyDescent="0.3">
      <c r="B69" s="252"/>
      <c r="C69" s="253"/>
      <c r="D69" s="403"/>
      <c r="E69" s="411"/>
      <c r="F69" s="465"/>
      <c r="G69" s="1"/>
    </row>
    <row r="70" spans="2:7" x14ac:dyDescent="0.3">
      <c r="B70" s="252"/>
      <c r="C70" s="253"/>
      <c r="D70" s="403"/>
      <c r="E70" s="411"/>
      <c r="F70" s="465"/>
      <c r="G70" s="1"/>
    </row>
    <row r="71" spans="2:7" x14ac:dyDescent="0.3">
      <c r="B71" s="252"/>
      <c r="C71" s="253"/>
      <c r="D71" s="403"/>
      <c r="E71" s="411"/>
      <c r="F71" s="465"/>
      <c r="G71" s="1"/>
    </row>
    <row r="72" spans="2:7" x14ac:dyDescent="0.3">
      <c r="B72" s="252"/>
      <c r="C72" s="253"/>
      <c r="D72" s="403"/>
      <c r="E72" s="411"/>
      <c r="F72" s="465"/>
      <c r="G72" s="1"/>
    </row>
    <row r="73" spans="2:7" x14ac:dyDescent="0.3">
      <c r="B73" s="252"/>
      <c r="C73" s="253"/>
      <c r="D73" s="403"/>
      <c r="E73" s="411"/>
      <c r="F73" s="465"/>
      <c r="G73" s="1"/>
    </row>
    <row r="74" spans="2:7" x14ac:dyDescent="0.3">
      <c r="B74" s="252"/>
      <c r="C74" s="253"/>
      <c r="D74" s="403"/>
      <c r="E74" s="411"/>
      <c r="F74" s="465"/>
      <c r="G74" s="1"/>
    </row>
    <row r="75" spans="2:7" x14ac:dyDescent="0.3">
      <c r="B75" s="252"/>
      <c r="C75" s="253"/>
      <c r="D75" s="403"/>
      <c r="E75" s="411"/>
      <c r="F75" s="465"/>
      <c r="G75" s="1"/>
    </row>
    <row r="76" spans="2:7" x14ac:dyDescent="0.3">
      <c r="B76" s="252"/>
      <c r="C76" s="253"/>
      <c r="D76" s="403"/>
      <c r="E76" s="411"/>
      <c r="F76" s="465"/>
      <c r="G76" s="1"/>
    </row>
    <row r="77" spans="2:7" x14ac:dyDescent="0.3">
      <c r="B77" s="252"/>
      <c r="C77" s="253"/>
      <c r="D77" s="403"/>
      <c r="E77" s="411"/>
      <c r="F77" s="465"/>
      <c r="G77" s="1"/>
    </row>
    <row r="78" spans="2:7" x14ac:dyDescent="0.3">
      <c r="B78" s="252"/>
      <c r="C78" s="253"/>
      <c r="D78" s="403"/>
      <c r="E78" s="411"/>
      <c r="F78" s="465"/>
      <c r="G78" s="1"/>
    </row>
    <row r="79" spans="2:7" x14ac:dyDescent="0.3">
      <c r="B79" s="252"/>
      <c r="C79" s="253"/>
      <c r="D79" s="403"/>
      <c r="E79" s="411"/>
      <c r="F79" s="465"/>
      <c r="G79" s="1"/>
    </row>
    <row r="80" spans="2:7" x14ac:dyDescent="0.3">
      <c r="B80" s="252"/>
      <c r="C80" s="253"/>
      <c r="D80" s="403"/>
      <c r="E80" s="411"/>
      <c r="F80" s="465"/>
      <c r="G80" s="1"/>
    </row>
    <row r="81" spans="2:7" x14ac:dyDescent="0.3">
      <c r="B81" s="252"/>
      <c r="C81" s="253"/>
      <c r="D81" s="403"/>
      <c r="E81" s="411"/>
      <c r="F81" s="465"/>
      <c r="G81" s="1"/>
    </row>
    <row r="82" spans="2:7" x14ac:dyDescent="0.3">
      <c r="B82" s="252"/>
      <c r="C82" s="253"/>
      <c r="D82" s="403"/>
      <c r="E82" s="411"/>
      <c r="F82" s="465"/>
      <c r="G82" s="1"/>
    </row>
    <row r="83" spans="2:7" x14ac:dyDescent="0.3">
      <c r="B83" s="252"/>
      <c r="C83" s="253"/>
      <c r="D83" s="403"/>
      <c r="E83" s="411"/>
      <c r="F83" s="465"/>
      <c r="G83" s="1"/>
    </row>
    <row r="84" spans="2:7" x14ac:dyDescent="0.3">
      <c r="B84" s="252"/>
      <c r="C84" s="253"/>
      <c r="D84" s="403"/>
      <c r="E84" s="411"/>
      <c r="F84" s="465"/>
      <c r="G84" s="1"/>
    </row>
    <row r="85" spans="2:7" x14ac:dyDescent="0.3">
      <c r="B85" s="252"/>
      <c r="C85" s="253"/>
      <c r="D85" s="403"/>
      <c r="E85" s="411"/>
      <c r="F85" s="465"/>
      <c r="G85" s="1"/>
    </row>
    <row r="86" spans="2:7" x14ac:dyDescent="0.3">
      <c r="B86" s="252"/>
      <c r="C86" s="253"/>
      <c r="D86" s="403"/>
      <c r="E86" s="411"/>
      <c r="F86" s="465"/>
      <c r="G86" s="1"/>
    </row>
    <row r="87" spans="2:7" x14ac:dyDescent="0.3">
      <c r="B87" s="252"/>
      <c r="C87" s="253"/>
      <c r="D87" s="403"/>
      <c r="E87" s="411"/>
      <c r="F87" s="465"/>
      <c r="G87" s="1"/>
    </row>
    <row r="88" spans="2:7" x14ac:dyDescent="0.3">
      <c r="B88" s="252"/>
      <c r="C88" s="253"/>
      <c r="D88" s="403"/>
      <c r="E88" s="411"/>
      <c r="F88" s="465"/>
      <c r="G88" s="1"/>
    </row>
    <row r="89" spans="2:7" x14ac:dyDescent="0.3">
      <c r="B89" s="252"/>
      <c r="C89" s="253"/>
      <c r="D89" s="403"/>
      <c r="E89" s="411"/>
      <c r="F89" s="465"/>
      <c r="G89" s="1"/>
    </row>
    <row r="90" spans="2:7" x14ac:dyDescent="0.3">
      <c r="B90" s="252"/>
      <c r="C90" s="253"/>
      <c r="D90" s="403"/>
      <c r="E90" s="411"/>
      <c r="F90" s="465"/>
      <c r="G90" s="1"/>
    </row>
    <row r="91" spans="2:7" x14ac:dyDescent="0.3">
      <c r="B91" s="252"/>
      <c r="C91" s="253"/>
      <c r="D91" s="403"/>
      <c r="E91" s="411"/>
      <c r="F91" s="465"/>
      <c r="G91" s="1"/>
    </row>
    <row r="92" spans="2:7" x14ac:dyDescent="0.3">
      <c r="B92" s="252"/>
      <c r="C92" s="253"/>
      <c r="D92" s="403"/>
      <c r="E92" s="411"/>
      <c r="F92" s="465"/>
      <c r="G92" s="1"/>
    </row>
    <row r="93" spans="2:7" x14ac:dyDescent="0.3">
      <c r="B93" s="252"/>
      <c r="C93" s="253"/>
      <c r="D93" s="403"/>
      <c r="E93" s="411"/>
      <c r="F93" s="465"/>
      <c r="G93" s="1"/>
    </row>
    <row r="94" spans="2:7" x14ac:dyDescent="0.3">
      <c r="B94" s="252"/>
      <c r="C94" s="253"/>
      <c r="D94" s="403"/>
      <c r="E94" s="411"/>
      <c r="F94" s="465"/>
      <c r="G94" s="1"/>
    </row>
    <row r="95" spans="2:7" x14ac:dyDescent="0.3">
      <c r="B95" s="252"/>
      <c r="C95" s="253"/>
      <c r="D95" s="403"/>
      <c r="E95" s="411"/>
      <c r="F95" s="465"/>
      <c r="G95" s="1"/>
    </row>
    <row r="96" spans="2:7" x14ac:dyDescent="0.3">
      <c r="B96" s="252"/>
      <c r="C96" s="253"/>
      <c r="D96" s="403"/>
      <c r="E96" s="411"/>
      <c r="F96" s="465"/>
      <c r="G96" s="1"/>
    </row>
    <row r="97" spans="2:7" x14ac:dyDescent="0.3">
      <c r="B97" s="252"/>
      <c r="C97" s="253"/>
      <c r="D97" s="403"/>
      <c r="E97" s="411"/>
      <c r="F97" s="465"/>
      <c r="G97" s="1"/>
    </row>
    <row r="98" spans="2:7" x14ac:dyDescent="0.3">
      <c r="B98" s="252"/>
      <c r="C98" s="253"/>
      <c r="D98" s="403"/>
      <c r="E98" s="411"/>
      <c r="F98" s="465"/>
      <c r="G98" s="1"/>
    </row>
    <row r="99" spans="2:7" ht="15" thickBot="1" x14ac:dyDescent="0.35">
      <c r="B99" s="252"/>
      <c r="C99" s="253"/>
      <c r="D99" s="403"/>
      <c r="E99" s="411"/>
      <c r="F99" s="465"/>
      <c r="G99" s="406"/>
    </row>
    <row r="100" spans="2:7" ht="15" thickBot="1" x14ac:dyDescent="0.35">
      <c r="B100" s="332" t="s">
        <v>28</v>
      </c>
      <c r="C100" s="333"/>
      <c r="D100" s="404"/>
      <c r="E100" s="412"/>
      <c r="F100" s="466">
        <f>SUM(F12:F99)</f>
        <v>0</v>
      </c>
      <c r="G100" s="407"/>
    </row>
    <row r="101" spans="2:7" x14ac:dyDescent="0.3">
      <c r="C101" s="239"/>
      <c r="D101" s="239"/>
      <c r="E101" s="78"/>
      <c r="F101" s="4"/>
    </row>
    <row r="102" spans="2:7" x14ac:dyDescent="0.3">
      <c r="B102" s="254"/>
      <c r="C102" s="255"/>
      <c r="D102" s="255"/>
      <c r="E102" s="78"/>
      <c r="F102" s="4"/>
    </row>
    <row r="103" spans="2:7" x14ac:dyDescent="0.3">
      <c r="C103" s="239"/>
      <c r="D103" s="239"/>
      <c r="E103" s="78"/>
      <c r="F103" s="4"/>
    </row>
    <row r="104" spans="2:7" x14ac:dyDescent="0.3">
      <c r="C104" s="239"/>
      <c r="D104" s="239"/>
      <c r="E104" s="78"/>
      <c r="F104" s="4"/>
    </row>
    <row r="105" spans="2:7" x14ac:dyDescent="0.3">
      <c r="C105" s="239"/>
      <c r="D105" s="239"/>
      <c r="E105" s="78"/>
      <c r="F105" s="4"/>
    </row>
    <row r="106" spans="2:7" x14ac:dyDescent="0.3">
      <c r="B106"/>
      <c r="C106"/>
      <c r="D106"/>
    </row>
    <row r="107" spans="2:7" x14ac:dyDescent="0.3">
      <c r="B107"/>
      <c r="C107"/>
      <c r="D107"/>
    </row>
    <row r="108" spans="2:7" x14ac:dyDescent="0.3">
      <c r="B108"/>
      <c r="C108"/>
      <c r="D108"/>
    </row>
    <row r="109" spans="2:7" x14ac:dyDescent="0.3">
      <c r="B109"/>
      <c r="C109"/>
      <c r="D109"/>
    </row>
    <row r="110" spans="2:7" x14ac:dyDescent="0.3">
      <c r="B110"/>
      <c r="C110"/>
      <c r="D110"/>
    </row>
    <row r="111" spans="2:7" x14ac:dyDescent="0.3">
      <c r="B111"/>
      <c r="C111"/>
      <c r="D111"/>
    </row>
    <row r="112" spans="2:7" x14ac:dyDescent="0.3">
      <c r="B112"/>
      <c r="C112"/>
      <c r="D112"/>
    </row>
    <row r="113" spans="2:4" x14ac:dyDescent="0.3">
      <c r="B113"/>
      <c r="C113"/>
      <c r="D113"/>
    </row>
    <row r="114" spans="2:4" x14ac:dyDescent="0.3">
      <c r="B114"/>
      <c r="C114"/>
      <c r="D114"/>
    </row>
    <row r="115" spans="2:4" x14ac:dyDescent="0.3">
      <c r="B115"/>
      <c r="C115"/>
      <c r="D115"/>
    </row>
    <row r="116" spans="2:4" x14ac:dyDescent="0.3">
      <c r="B116"/>
      <c r="C116"/>
      <c r="D116"/>
    </row>
    <row r="117" spans="2:4" x14ac:dyDescent="0.3">
      <c r="B117"/>
      <c r="C117"/>
      <c r="D117"/>
    </row>
    <row r="118" spans="2:4" x14ac:dyDescent="0.3">
      <c r="B118"/>
      <c r="C118"/>
      <c r="D118"/>
    </row>
    <row r="119" spans="2:4" x14ac:dyDescent="0.3">
      <c r="B119"/>
      <c r="C119"/>
      <c r="D119"/>
    </row>
  </sheetData>
  <phoneticPr fontId="56" type="noConversion"/>
  <dataValidations count="1">
    <dataValidation type="list" allowBlank="1" showInputMessage="1" showErrorMessage="1" sqref="B12:B99" xr:uid="{53E1CA2A-36BF-4C71-A07A-ADD978CEBAB6}">
      <formula1>$B$4:$B$8</formula1>
    </dataValidation>
  </dataValidations>
  <hyperlinks>
    <hyperlink ref="A1" location="'Overview AOP21'!A1" display="Totals" xr:uid="{598415A7-2270-4C2E-B0CE-8EDC0EDEB166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C5"/>
  <sheetViews>
    <sheetView workbookViewId="0"/>
  </sheetViews>
  <sheetFormatPr defaultColWidth="8.88671875" defaultRowHeight="14.4" x14ac:dyDescent="0.3"/>
  <sheetData>
    <row r="1" spans="1:3" x14ac:dyDescent="0.3">
      <c r="A1" t="s">
        <v>117</v>
      </c>
      <c r="B1" t="s">
        <v>118</v>
      </c>
      <c r="C1" t="s">
        <v>119</v>
      </c>
    </row>
    <row r="2" spans="1:3" x14ac:dyDescent="0.3">
      <c r="A2" t="s">
        <v>120</v>
      </c>
      <c r="B2" t="s">
        <v>121</v>
      </c>
      <c r="C2" t="s">
        <v>122</v>
      </c>
    </row>
    <row r="3" spans="1:3" x14ac:dyDescent="0.3">
      <c r="A3" t="s">
        <v>123</v>
      </c>
      <c r="B3" t="s">
        <v>124</v>
      </c>
      <c r="C3" t="s">
        <v>125</v>
      </c>
    </row>
    <row r="4" spans="1:3" x14ac:dyDescent="0.3">
      <c r="A4" t="s">
        <v>126</v>
      </c>
    </row>
    <row r="5" spans="1:3" x14ac:dyDescent="0.3">
      <c r="A5" t="s">
        <v>127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603BBA354BC8418767424734ED9FDC" ma:contentTypeVersion="4" ma:contentTypeDescription="Create a new document." ma:contentTypeScope="" ma:versionID="fd90ce821b2606a6b340b9a5f52317f7">
  <xsd:schema xmlns:xsd="http://www.w3.org/2001/XMLSchema" xmlns:xs="http://www.w3.org/2001/XMLSchema" xmlns:p="http://schemas.microsoft.com/office/2006/metadata/properties" xmlns:ns2="6b2b3a43-7fa4-44d7-807a-3f512b8e333a" targetNamespace="http://schemas.microsoft.com/office/2006/metadata/properties" ma:root="true" ma:fieldsID="47753106cc18eff6d84e5c736535e25c" ns2:_="">
    <xsd:import namespace="6b2b3a43-7fa4-44d7-807a-3f512b8e33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2b3a43-7fa4-44d7-807a-3f512b8e3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6F1F1E-935E-4C0F-AAA2-B2D68A47695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430DCE-601E-4F3B-A491-B2EA385905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AFDCCF-6600-4EE7-B830-968219982E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2b3a43-7fa4-44d7-807a-3f512b8e33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Budget Total 2024</vt:lpstr>
      <vt:lpstr>Total AOP 2024</vt:lpstr>
      <vt:lpstr>Accenture</vt:lpstr>
      <vt:lpstr>Atos</vt:lpstr>
      <vt:lpstr>BT</vt:lpstr>
      <vt:lpstr>Equinix</vt:lpstr>
      <vt:lpstr>Frontline</vt:lpstr>
      <vt:lpstr>Microsoft</vt:lpstr>
      <vt:lpstr>OB</vt:lpstr>
      <vt:lpstr>ReleaseTMS</vt:lpstr>
      <vt:lpstr>Projects</vt:lpstr>
      <vt:lpstr>-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Straaten, Robbert van</dc:creator>
  <cp:keywords/>
  <dc:description/>
  <cp:lastModifiedBy>Post, Mathilde</cp:lastModifiedBy>
  <cp:revision/>
  <dcterms:created xsi:type="dcterms:W3CDTF">2017-01-19T12:55:33Z</dcterms:created>
  <dcterms:modified xsi:type="dcterms:W3CDTF">2025-08-18T08:44:31Z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d6a3f1-13ee-4193-aae5-4c5d46d7a876_Enabled">
    <vt:lpwstr>True</vt:lpwstr>
  </property>
  <property fmtid="{D5CDD505-2E9C-101B-9397-08002B2CF9AE}" pid="3" name="MSIP_Label_6fd6a3f1-13ee-4193-aae5-4c5d46d7a876_SiteId">
    <vt:lpwstr>22d30701-ec5e-4bdc-ba4f-b9234053b0a9</vt:lpwstr>
  </property>
  <property fmtid="{D5CDD505-2E9C-101B-9397-08002B2CF9AE}" pid="4" name="MSIP_Label_6fd6a3f1-13ee-4193-aae5-4c5d46d7a876_Ref">
    <vt:lpwstr>https://api.informationprotection.azure.com/api/22d30701-ec5e-4bdc-ba4f-b9234053b0a9</vt:lpwstr>
  </property>
  <property fmtid="{D5CDD505-2E9C-101B-9397-08002B2CF9AE}" pid="5" name="MSIP_Label_6fd6a3f1-13ee-4193-aae5-4c5d46d7a876_Owner">
    <vt:lpwstr>robbert.vanstraaten@jdecoffee.com</vt:lpwstr>
  </property>
  <property fmtid="{D5CDD505-2E9C-101B-9397-08002B2CF9AE}" pid="6" name="MSIP_Label_6fd6a3f1-13ee-4193-aae5-4c5d46d7a876_SetDate">
    <vt:lpwstr>2019-03-22T09:50:53.7999192+01:00</vt:lpwstr>
  </property>
  <property fmtid="{D5CDD505-2E9C-101B-9397-08002B2CF9AE}" pid="7" name="MSIP_Label_6fd6a3f1-13ee-4193-aae5-4c5d46d7a876_Name">
    <vt:lpwstr>JDE Public</vt:lpwstr>
  </property>
  <property fmtid="{D5CDD505-2E9C-101B-9397-08002B2CF9AE}" pid="8" name="MSIP_Label_6fd6a3f1-13ee-4193-aae5-4c5d46d7a876_Application">
    <vt:lpwstr>Microsoft Azure Information Protection</vt:lpwstr>
  </property>
  <property fmtid="{D5CDD505-2E9C-101B-9397-08002B2CF9AE}" pid="9" name="MSIP_Label_6fd6a3f1-13ee-4193-aae5-4c5d46d7a876_Extended_MSFT_Method">
    <vt:lpwstr>Automatic</vt:lpwstr>
  </property>
  <property fmtid="{D5CDD505-2E9C-101B-9397-08002B2CF9AE}" pid="10" name="Sensitivity">
    <vt:lpwstr>JDE Public</vt:lpwstr>
  </property>
  <property fmtid="{D5CDD505-2E9C-101B-9397-08002B2CF9AE}" pid="11" name="ContentTypeId">
    <vt:lpwstr>0x01010034603BBA354BC8418767424734ED9FDC</vt:lpwstr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