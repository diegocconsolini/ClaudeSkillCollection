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trlProps/ctrlProp2.xml" ContentType="application/vnd.ms-excel.controlpropertie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drawings/drawing3.xml" ContentType="application/vnd.openxmlformats-officedocument.drawing+xml"/>
  <Override PartName="/xl/ctrlProps/ctrlProp3.xml" ContentType="application/vnd.ms-excel.controlproperties+xml"/>
  <Override PartName="/xl/customProperty21.bin" ContentType="application/vnd.openxmlformats-officedocument.spreadsheetml.customProperty"/>
  <Override PartName="/xl/customProperty22.bin" ContentType="application/vnd.openxmlformats-officedocument.spreadsheetml.customProperty"/>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drawings/drawing5.xml" ContentType="application/vnd.openxmlformats-officedocument.drawing+xml"/>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E757BCB4-07E6-AE0B-56E0-F0EEF7A6E26C}"/>
  <workbookPr codeName="ThisWorkbook"/>
  <mc:AlternateContent xmlns:mc="http://schemas.openxmlformats.org/markup-compatibility/2006">
    <mc:Choice Requires="x15">
      <x15ac:absPath xmlns:x15ac="http://schemas.microsoft.com/office/spreadsheetml/2010/11/ac" url="https://coffeeandtea-my.sharepoint.com/personal/diego_cavalariconsolini_jdecoffee_com/Documents/Finance/"/>
    </mc:Choice>
  </mc:AlternateContent>
  <xr:revisionPtr revIDLastSave="652" documentId="8_{5A34B774-7B19-407F-B827-641C77CD9C01}" xr6:coauthVersionLast="47" xr6:coauthVersionMax="47" xr10:uidLastSave="{A43443F0-39DA-43C1-94A9-9C1EB475A1BE}"/>
  <bookViews>
    <workbookView xWindow="2340" yWindow="1290" windowWidth="35235" windowHeight="19695" firstSheet="5" activeTab="5" xr2:uid="{00000000-000D-0000-FFFF-FFFF00000000}"/>
  </bookViews>
  <sheets>
    <sheet name="_com.sap.ip.bi.xl.hiddensheet" sheetId="4" state="veryHidden" r:id="rId1"/>
    <sheet name="Summary" sheetId="10" r:id="rId2"/>
    <sheet name="LE" sheetId="16" r:id="rId3"/>
    <sheet name="BW Summary" sheetId="18" r:id="rId4"/>
    <sheet name="Change log" sheetId="11" r:id="rId5"/>
    <sheet name="AOP24" sheetId="1" r:id="rId6"/>
    <sheet name="ListBoxValues" sheetId="2" state="hidden" r:id="rId7"/>
    <sheet name="BIdetails" sheetId="5" r:id="rId8"/>
    <sheet name="POs not in AOP" sheetId="7" r:id="rId9"/>
    <sheet name="AOP 2024 Summary" sheetId="14" r:id="rId10"/>
    <sheet name="Cross charge Agreements 2023" sheetId="23" state="hidden" r:id="rId11"/>
    <sheet name="Documentation" sheetId="8" r:id="rId12"/>
    <sheet name="New File Creation" sheetId="19" r:id="rId13"/>
    <sheet name="Improvements 2023" sheetId="20" state="hidden" r:id="rId14"/>
    <sheet name="Infra Cost Non Sap 2024" sheetId="24" r:id="rId15"/>
    <sheet name="Sheet1" sheetId="25" r:id="rId16"/>
  </sheets>
  <definedNames>
    <definedName name="_xlnm._FilterDatabase" localSheetId="9" hidden="1">'AOP 2024 Summary'!$B$2:$B$64</definedName>
    <definedName name="_xlnm._FilterDatabase" localSheetId="5" hidden="1">'AOP24'!$A$1:$XFC$359</definedName>
    <definedName name="_xlnm._FilterDatabase" localSheetId="7" hidden="1">BIdetails!$A$3:$Q$1106</definedName>
    <definedName name="_xlnm._FilterDatabase" localSheetId="4" hidden="1">'Change log'!$A$1:$AA$1225</definedName>
    <definedName name="_xlnm._FilterDatabase" localSheetId="14" hidden="1">'Infra Cost Non Sap 2024'!$A$6:$R$87</definedName>
    <definedName name="_xlnm._FilterDatabase" localSheetId="6" hidden="1">ListBoxValues!$L$1:$L$30</definedName>
    <definedName name="_xlnm._FilterDatabase" localSheetId="8" hidden="1">'POs not in AOP'!$A$1:$P$1000</definedName>
    <definedName name="_FiltroDatabase" localSheetId="5" hidden="1">'AOP24'!$A$1:$XFC$359</definedName>
    <definedName name="EPMWorkbookOptions_1" hidden="1">"P0cAAB+LCAAAAAAABADtnF1vokwUgO832f9gvFdmBFEa64Z3xC2JAhHc7aZpDMjYklXwHbC2/35H1AqKXW3dRpAbY2bOmTk8no+ZEWh8e56MC0+Y+I7nXhdhGRQL2B16tuM+XBdnwagE+eK35tcvjZ8e+W153m91GlBRv0D1XP/q2Xeui49BML1imPl8Xp6zZY88MBUAIHPb7ejDRzwxS47rB6Y7xMVXLfvvWkU6a6HQQJ7r4uFiTsNDM0Kw"</definedName>
    <definedName name="EPMWorkbookOptions_2" hidden="1">"G/xw8DzsjHW3zMBctdJ2xZzg5WyvMwV4Mp0RJ5yq72OiETzCdLwhLlODis1BW+sO/tOQ8hOCwd1KyTenz/PprOzOH8ruuOybxBxjXLJxeehNruqQhwsRxpoOmfvBHdWmn21ZERUk0W8jc+zj+wazsGZjmzidjp2hGeF4sI3rMeKjRJpXl95c2bA19RLZhmKB2dt149g2dlvOBLt+aOh+0Y2RfkyGSumP3vx1DOSNPdIMyAw3mISOt1TDq0jQ"</definedName>
    <definedName name="EPMWorkbookOptions_3" hidden="1">"3Lm6lSJ1iwA/B23zySNOQO0Kf4ml8k7fAfpth/hBxIDk/q2BXq3cD+hQqahc33X+n+HwykWE1L5iNJikzrfGWBKnwV0FkK3DyABJv0WoqxIbkyZoMMsviaP707H5ohFviknw0oRVvjrC1qhU5W2uxFVGQqlepcEDTFzhbKvG1Sx2MXNcK2HgjukHOh7TOMd2F08smq4SxOJOmShARZb6EUx3K4j35TtN7EmKcQPpVxHAQR0IgkCjd0dlz9A3"</definedName>
    <definedName name="EPMWorkbookOptions_4" hidden="1">"DiYmGT6+bEQLNEFeuc74urjwneJWEL396x6m22D+dtEnpMINFFXRkJ5DiUBBoibd5kSiwSMAIMAcyVY+4YQM5JMGc0g2jhSUf1b8WqIh6mq/t1jlvLf+AcDVATi8/MHslb8NxrjHGqohdpCqXGyy3wdGVrS+kUOJQ2nJqCsa6EZWvudo4mg6KhI7mXCaM8r9kiHKnXfnfZatVjmOOzzvVzKY90OEW1GMOmranfSkPNpijiOa5BUt7TzOJ4dR"</definedName>
    <definedName name="EPMWorkbookOptions_5" hidden="1">"qrLx6905jK9BUK/XDs9hbPZy2BJh3EmlcOGadjc9KRG+xl7sbjwRCACgkgOJAoG1ag4kGjJ1LvUecj6l7ntP7Wv6R45peJ5ljzin4bJX65YM4276fZHIOijtjnpKJKqGLnYLs8dFINRzF4kjqQB0sedUiUhYHmQAyflUPBlpn/ivfDV75Y4C3Dp2v+h93S4ORVWktNM4n3jVemqrjz7zTho+ezG7ghh3VO2i4zYZSR67p4zdnmagfo/SRe8/"</definedName>
    <definedName name="EPMWorkbookOptions_6" hidden="1">"TT0+fmvZi98IyK3jkH4v7e56cibp33afTwTrSFLEnqx+YvjWjwhfEwuWIHBCybYstsRVYb1kjWpmyeRt1hLYaqUyss8gfNcUt+48Q0b7FvKp99aTU+lf7qrkLSapP/b+F1C0G1GXWjmZGBk1vxkg2cz3VEBNQnJbRqIhq8oH/ik5ug4K2VvGxlnGnVa/6N3om2TyTekpA9qQux+4L/3oMIbHPJiVkvXsAmHcRysA8mUAQdrd9ORELnbRtpfI"</definedName>
    <definedName name="EPMWorkbookOptions_7" hidden="1">"xd7wtI8IqOdEtojkD2Mlm/mOcteVRL3fkz5z5QqPeRgrJSVvjZH66MJjJbrpaslo0O0oaXfV0xLJaSxo/DIu9khiB0QWYuSE6fwAoZg1yUINJuktI7HWtTgdbfdVLNHG3de3NHp4RLD/qLrqFLvrV3TEG0M5NMYmWQyqurr5hNeS282h7Po9NTSHByHGtfRuRygv+z9M4pjWGHcxediI77R//bIZY/USnOYf5RTQWj9HAAA="</definedName>
    <definedName name="_xlnm.Extract" localSheetId="9">'AOP 2024 Summary'!$C$55</definedName>
    <definedName name="_xlnm.Extract" localSheetId="6">ListBoxValues!$N$1</definedName>
    <definedName name="SAPCrosstab1">#REF!</definedName>
    <definedName name="SAPCrosstab2">BIdetails!$A$1</definedName>
    <definedName name="SAPCrosstab3">'BW Summary'!$B$1</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93" i="1" l="1"/>
  <c r="V61" i="1"/>
  <c r="U364" i="1"/>
  <c r="V359" i="1"/>
  <c r="V358" i="1"/>
  <c r="V357" i="1"/>
  <c r="B359" i="1"/>
  <c r="B358" i="1"/>
  <c r="B357" i="1"/>
  <c r="T364" i="1"/>
  <c r="V351" i="1"/>
  <c r="V352" i="1"/>
  <c r="V353" i="1"/>
  <c r="V354" i="1"/>
  <c r="V355" i="1"/>
  <c r="V356" i="1"/>
  <c r="B351" i="1"/>
  <c r="B352" i="1"/>
  <c r="B353" i="1"/>
  <c r="B354" i="1"/>
  <c r="B355" i="1"/>
  <c r="B356" i="1"/>
  <c r="V350" i="1"/>
  <c r="B350" i="1"/>
  <c r="V349" i="1"/>
  <c r="V348" i="1"/>
  <c r="B349" i="1"/>
  <c r="B348" i="1"/>
  <c r="V340" i="1"/>
  <c r="V341" i="1"/>
  <c r="V342" i="1"/>
  <c r="V343" i="1"/>
  <c r="V344" i="1"/>
  <c r="V345" i="1"/>
  <c r="V346" i="1"/>
  <c r="V347" i="1"/>
  <c r="B347" i="1"/>
  <c r="B346" i="1"/>
  <c r="B344" i="1"/>
  <c r="B345" i="1"/>
  <c r="B343" i="1"/>
  <c r="B340" i="1"/>
  <c r="B341" i="1"/>
  <c r="B342" i="1"/>
  <c r="V339" i="1"/>
  <c r="B339" i="1"/>
  <c r="V338" i="1"/>
  <c r="B338" i="1"/>
  <c r="V337" i="1"/>
  <c r="B337" i="1"/>
  <c r="V336" i="1"/>
  <c r="B336" i="1"/>
  <c r="B335" i="1"/>
  <c r="V335" i="1"/>
  <c r="V334" i="1"/>
  <c r="B334" i="1"/>
  <c r="B333" i="1"/>
  <c r="V330" i="1"/>
  <c r="V331" i="1"/>
  <c r="V332" i="1"/>
  <c r="V333" i="1"/>
  <c r="B330" i="1"/>
  <c r="B331" i="1"/>
  <c r="B332" i="1"/>
  <c r="S364" i="1"/>
  <c r="E13" i="10" s="1"/>
  <c r="N86" i="24"/>
  <c r="N85" i="24"/>
  <c r="N84" i="24"/>
  <c r="N83" i="24"/>
  <c r="N82" i="24"/>
  <c r="N81" i="24"/>
  <c r="N80" i="24"/>
  <c r="N79" i="24"/>
  <c r="N78" i="24"/>
  <c r="N77" i="24"/>
  <c r="N76" i="24"/>
  <c r="N75" i="24"/>
  <c r="N74" i="24"/>
  <c r="N73" i="24"/>
  <c r="N72" i="24"/>
  <c r="N71" i="24"/>
  <c r="N70" i="24"/>
  <c r="N69" i="24"/>
  <c r="N68" i="24"/>
  <c r="N67" i="24"/>
  <c r="N66" i="24"/>
  <c r="N65" i="24"/>
  <c r="N64" i="24"/>
  <c r="N63" i="24"/>
  <c r="N62" i="24"/>
  <c r="N61" i="24"/>
  <c r="N60" i="24"/>
  <c r="N59" i="24"/>
  <c r="N58" i="24"/>
  <c r="N57" i="24"/>
  <c r="N56" i="24"/>
  <c r="N55" i="24"/>
  <c r="N54" i="24"/>
  <c r="N53" i="24"/>
  <c r="N52" i="24"/>
  <c r="N51" i="24"/>
  <c r="N50" i="24"/>
  <c r="N49" i="24"/>
  <c r="N48" i="24"/>
  <c r="N47" i="24"/>
  <c r="N46" i="24"/>
  <c r="N45" i="24"/>
  <c r="N44" i="24"/>
  <c r="N43" i="24"/>
  <c r="N42" i="24"/>
  <c r="N41" i="24"/>
  <c r="N40" i="24"/>
  <c r="N39" i="24"/>
  <c r="N38" i="24"/>
  <c r="N37" i="24"/>
  <c r="N36" i="24"/>
  <c r="N35" i="24"/>
  <c r="N34" i="24"/>
  <c r="N33" i="24"/>
  <c r="N32" i="24"/>
  <c r="N31" i="24"/>
  <c r="N30" i="24"/>
  <c r="N29" i="24"/>
  <c r="N28" i="24"/>
  <c r="N27" i="24"/>
  <c r="N26" i="24"/>
  <c r="N25" i="24"/>
  <c r="N24" i="24"/>
  <c r="N23" i="24"/>
  <c r="N22" i="24"/>
  <c r="N21" i="24"/>
  <c r="N20" i="24"/>
  <c r="N19" i="24"/>
  <c r="N18" i="24"/>
  <c r="N17" i="24"/>
  <c r="N16" i="24"/>
  <c r="N15" i="24"/>
  <c r="N14" i="24"/>
  <c r="N13" i="24"/>
  <c r="N12" i="24"/>
  <c r="N11" i="24"/>
  <c r="N10" i="24"/>
  <c r="N9" i="24"/>
  <c r="N8" i="24"/>
  <c r="N7" i="24"/>
  <c r="K113" i="24"/>
  <c r="K110" i="24" a="1"/>
  <c r="K110" i="24"/>
  <c r="K109" i="24" a="1"/>
  <c r="K109" i="24"/>
  <c r="K108" i="24" a="1"/>
  <c r="K108" i="24"/>
  <c r="K107" i="24" a="1"/>
  <c r="K107" i="24"/>
  <c r="M86" i="24"/>
  <c r="O86" i="24"/>
  <c r="L86" i="24"/>
  <c r="M83" i="24"/>
  <c r="M81" i="24"/>
  <c r="L81" i="24"/>
  <c r="M78" i="24"/>
  <c r="O78" i="24"/>
  <c r="M75" i="24"/>
  <c r="O75" i="24"/>
  <c r="L75" i="24"/>
  <c r="M73" i="24"/>
  <c r="O73" i="24"/>
  <c r="M69" i="24"/>
  <c r="M67" i="24"/>
  <c r="L67" i="24"/>
  <c r="M65" i="24"/>
  <c r="M64" i="24"/>
  <c r="O64" i="24"/>
  <c r="M62" i="24"/>
  <c r="O62" i="24"/>
  <c r="M60" i="24"/>
  <c r="O60" i="24"/>
  <c r="L60" i="24"/>
  <c r="M59" i="24"/>
  <c r="L59" i="24"/>
  <c r="M58" i="24"/>
  <c r="O58" i="24"/>
  <c r="L58" i="24"/>
  <c r="M53" i="24"/>
  <c r="L53" i="24"/>
  <c r="M51" i="24"/>
  <c r="M48" i="24"/>
  <c r="O48" i="24"/>
  <c r="M44" i="24"/>
  <c r="M43" i="24"/>
  <c r="M41" i="24"/>
  <c r="M37" i="24"/>
  <c r="O37" i="24"/>
  <c r="M31" i="24"/>
  <c r="O31" i="24"/>
  <c r="M28" i="24"/>
  <c r="O28" i="24"/>
  <c r="M26" i="24"/>
  <c r="O26" i="24"/>
  <c r="L26" i="24"/>
  <c r="M16" i="24"/>
  <c r="O16" i="24"/>
  <c r="L16" i="24"/>
  <c r="M15" i="24"/>
  <c r="O15" i="24"/>
  <c r="L15" i="24"/>
  <c r="M14" i="24"/>
  <c r="O14" i="24"/>
  <c r="L14" i="24"/>
  <c r="M13" i="24"/>
  <c r="L13" i="24"/>
  <c r="M12" i="24"/>
  <c r="L12" i="24"/>
  <c r="M11" i="24"/>
  <c r="L11" i="24"/>
  <c r="M10" i="24"/>
  <c r="O10" i="24"/>
  <c r="L10" i="24"/>
  <c r="M9" i="24"/>
  <c r="O9" i="24"/>
  <c r="L9" i="24"/>
  <c r="M8" i="24"/>
  <c r="O8" i="24"/>
  <c r="L8" i="24"/>
  <c r="M7" i="24"/>
  <c r="O7" i="24"/>
  <c r="L7" i="24"/>
  <c r="C3" i="24" a="1"/>
  <c r="C3" i="24"/>
  <c r="C4" i="24"/>
  <c r="D2" i="23"/>
  <c r="U28" i="16" a="1"/>
  <c r="U28" i="16"/>
  <c r="T28" i="16" a="1"/>
  <c r="T28" i="16"/>
  <c r="S28" i="16" a="1"/>
  <c r="S28" i="16"/>
  <c r="R28" i="16" a="1"/>
  <c r="R28" i="16"/>
  <c r="Q28" i="16" a="1"/>
  <c r="Q28" i="16"/>
  <c r="P28" i="16" a="1"/>
  <c r="P28" i="16"/>
  <c r="U27" i="16" a="1"/>
  <c r="U27" i="16"/>
  <c r="T27" i="16" a="1"/>
  <c r="T27" i="16"/>
  <c r="S27" i="16" a="1"/>
  <c r="S27" i="16"/>
  <c r="R27" i="16" a="1"/>
  <c r="R27" i="16"/>
  <c r="Q27" i="16" a="1"/>
  <c r="Q27" i="16"/>
  <c r="P27" i="16" a="1"/>
  <c r="P27" i="16"/>
  <c r="U26" i="16" a="1"/>
  <c r="U26" i="16"/>
  <c r="T26" i="16" a="1"/>
  <c r="T26" i="16"/>
  <c r="S26" i="16" a="1"/>
  <c r="S26" i="16"/>
  <c r="R26" i="16" a="1"/>
  <c r="R26" i="16"/>
  <c r="Q26" i="16" a="1"/>
  <c r="Q26" i="16"/>
  <c r="P26" i="16" a="1"/>
  <c r="P26" i="16"/>
  <c r="U25" i="16" a="1"/>
  <c r="U25" i="16"/>
  <c r="T25" i="16" a="1"/>
  <c r="T25" i="16"/>
  <c r="S25" i="16" a="1"/>
  <c r="S25" i="16"/>
  <c r="R25" i="16" a="1"/>
  <c r="R25" i="16"/>
  <c r="Q25" i="16" a="1"/>
  <c r="Q25" i="16"/>
  <c r="P25" i="16" a="1"/>
  <c r="P25" i="16"/>
  <c r="U24" i="16" a="1"/>
  <c r="U24" i="16"/>
  <c r="T24" i="16" a="1"/>
  <c r="T24" i="16"/>
  <c r="S24" i="16" a="1"/>
  <c r="S24" i="16"/>
  <c r="R24" i="16" a="1"/>
  <c r="R24" i="16"/>
  <c r="Q24" i="16" a="1"/>
  <c r="Q24" i="16"/>
  <c r="P24" i="16" a="1"/>
  <c r="P24" i="16"/>
  <c r="U23" i="16" a="1"/>
  <c r="U23" i="16"/>
  <c r="T23" i="16" a="1"/>
  <c r="T23" i="16"/>
  <c r="S23" i="16" a="1"/>
  <c r="S23" i="16"/>
  <c r="R23" i="16" a="1"/>
  <c r="R23" i="16"/>
  <c r="Q23" i="16" a="1"/>
  <c r="Q23" i="16"/>
  <c r="P23" i="16" a="1"/>
  <c r="P23" i="16"/>
  <c r="U22" i="16" a="1"/>
  <c r="U22" i="16"/>
  <c r="T22" i="16" a="1"/>
  <c r="T22" i="16"/>
  <c r="S22" i="16" a="1"/>
  <c r="S22" i="16"/>
  <c r="R22" i="16" a="1"/>
  <c r="R22" i="16"/>
  <c r="Q22" i="16" a="1"/>
  <c r="Q22" i="16"/>
  <c r="P22" i="16" a="1"/>
  <c r="P22" i="16"/>
  <c r="U21" i="16" a="1"/>
  <c r="U21" i="16"/>
  <c r="T21" i="16" a="1"/>
  <c r="T21" i="16"/>
  <c r="S21" i="16" a="1"/>
  <c r="S21" i="16"/>
  <c r="R21" i="16" a="1"/>
  <c r="R21" i="16"/>
  <c r="Q21" i="16" a="1"/>
  <c r="Q21" i="16"/>
  <c r="P21" i="16" a="1"/>
  <c r="P21" i="16"/>
  <c r="U20" i="16" a="1"/>
  <c r="U20" i="16"/>
  <c r="T20" i="16" a="1"/>
  <c r="T20" i="16"/>
  <c r="S20" i="16" a="1"/>
  <c r="S20" i="16"/>
  <c r="R20" i="16" a="1"/>
  <c r="R20" i="16"/>
  <c r="Q20" i="16" a="1"/>
  <c r="Q20" i="16"/>
  <c r="P20" i="16" a="1"/>
  <c r="P20" i="16"/>
  <c r="U19" i="16" a="1"/>
  <c r="U19" i="16"/>
  <c r="T19" i="16" a="1"/>
  <c r="T19" i="16"/>
  <c r="S19" i="16" a="1"/>
  <c r="S19" i="16"/>
  <c r="R19" i="16" a="1"/>
  <c r="R19" i="16"/>
  <c r="Q19" i="16" a="1"/>
  <c r="Q19" i="16"/>
  <c r="P19" i="16" a="1"/>
  <c r="P19" i="16"/>
  <c r="U18" i="16" a="1"/>
  <c r="U18" i="16"/>
  <c r="T18" i="16" a="1"/>
  <c r="T18" i="16"/>
  <c r="S18" i="16" a="1"/>
  <c r="S18" i="16"/>
  <c r="R18" i="16" a="1"/>
  <c r="R18" i="16"/>
  <c r="Q18" i="16" a="1"/>
  <c r="Q18" i="16"/>
  <c r="P18" i="16" a="1"/>
  <c r="P18" i="16"/>
  <c r="U17" i="16" a="1"/>
  <c r="U17" i="16"/>
  <c r="T17" i="16" a="1"/>
  <c r="T17" i="16"/>
  <c r="S17" i="16" a="1"/>
  <c r="S17" i="16"/>
  <c r="R17" i="16" a="1"/>
  <c r="R17" i="16"/>
  <c r="Q17" i="16" a="1"/>
  <c r="Q17" i="16"/>
  <c r="P17" i="16" a="1"/>
  <c r="P17" i="16"/>
  <c r="U16" i="16" a="1"/>
  <c r="U16" i="16"/>
  <c r="T16" i="16" a="1"/>
  <c r="T16" i="16"/>
  <c r="S16" i="16" a="1"/>
  <c r="S16" i="16"/>
  <c r="R16" i="16" a="1"/>
  <c r="R16" i="16"/>
  <c r="Q16" i="16" a="1"/>
  <c r="Q16" i="16"/>
  <c r="P16" i="16" a="1"/>
  <c r="P16" i="16"/>
  <c r="U15" i="16" a="1"/>
  <c r="U15" i="16"/>
  <c r="T15" i="16" a="1"/>
  <c r="T15" i="16"/>
  <c r="S15" i="16" a="1"/>
  <c r="S15" i="16"/>
  <c r="R15" i="16" a="1"/>
  <c r="R15" i="16"/>
  <c r="Q15" i="16" a="1"/>
  <c r="Q15" i="16"/>
  <c r="P15" i="16" a="1"/>
  <c r="P15" i="16"/>
  <c r="U14" i="16" a="1"/>
  <c r="U14" i="16"/>
  <c r="T14" i="16" a="1"/>
  <c r="T14" i="16"/>
  <c r="S14" i="16" a="1"/>
  <c r="S14" i="16"/>
  <c r="R14" i="16" a="1"/>
  <c r="R14" i="16"/>
  <c r="Q14" i="16" a="1"/>
  <c r="Q14" i="16"/>
  <c r="P14" i="16" a="1"/>
  <c r="P14" i="16"/>
  <c r="U13" i="16" a="1"/>
  <c r="U13" i="16"/>
  <c r="T13" i="16" a="1"/>
  <c r="T13" i="16"/>
  <c r="S13" i="16" a="1"/>
  <c r="S13" i="16"/>
  <c r="R13" i="16" a="1"/>
  <c r="R13" i="16"/>
  <c r="Q13" i="16" a="1"/>
  <c r="Q13" i="16"/>
  <c r="P13" i="16" a="1"/>
  <c r="P13" i="16"/>
  <c r="U12" i="16" a="1"/>
  <c r="U12" i="16"/>
  <c r="T12" i="16" a="1"/>
  <c r="T12" i="16"/>
  <c r="S12" i="16" a="1"/>
  <c r="S12" i="16"/>
  <c r="R12" i="16" a="1"/>
  <c r="R12" i="16"/>
  <c r="Q12" i="16" a="1"/>
  <c r="Q12" i="16"/>
  <c r="P12" i="16" a="1"/>
  <c r="P12" i="16"/>
  <c r="U11" i="16" a="1"/>
  <c r="U11" i="16"/>
  <c r="T11" i="16" a="1"/>
  <c r="T11" i="16"/>
  <c r="S11" i="16" a="1"/>
  <c r="S11" i="16"/>
  <c r="R11" i="16" a="1"/>
  <c r="R11" i="16"/>
  <c r="Q11" i="16" a="1"/>
  <c r="Q11" i="16"/>
  <c r="P11" i="16" a="1"/>
  <c r="P11" i="16"/>
  <c r="M28" i="14"/>
  <c r="M29" i="14"/>
  <c r="K27" i="14"/>
  <c r="K28" i="14"/>
  <c r="K29" i="14"/>
  <c r="V23" i="1"/>
  <c r="B23" i="1"/>
  <c r="G27" i="14" a="1"/>
  <c r="G27" i="14" s="1"/>
  <c r="V220" i="1"/>
  <c r="V236" i="1"/>
  <c r="B236" i="1"/>
  <c r="B220" i="1"/>
  <c r="V262" i="1"/>
  <c r="B262" i="1"/>
  <c r="B239" i="1"/>
  <c r="V239" i="1"/>
  <c r="V263" i="1"/>
  <c r="V308" i="1"/>
  <c r="B263" i="1"/>
  <c r="B308" i="1"/>
  <c r="V4" i="1"/>
  <c r="B4" i="1"/>
  <c r="V298" i="1"/>
  <c r="B298" i="1"/>
  <c r="F55" i="14" a="1"/>
  <c r="F55" i="14" s="1"/>
  <c r="E55" i="14" a="1"/>
  <c r="E55" i="14" s="1"/>
  <c r="F54" i="14" a="1"/>
  <c r="F54" i="14" s="1"/>
  <c r="E54" i="14" a="1"/>
  <c r="E54" i="14" s="1"/>
  <c r="F53" i="14" a="1"/>
  <c r="F53" i="14" s="1"/>
  <c r="E53" i="14" a="1"/>
  <c r="E53" i="14" s="1"/>
  <c r="F52" i="14" a="1"/>
  <c r="F52" i="14" s="1"/>
  <c r="E52" i="14" a="1"/>
  <c r="E52" i="14" s="1"/>
  <c r="F51" i="14" a="1"/>
  <c r="F51" i="14" s="1"/>
  <c r="E51" i="14" a="1"/>
  <c r="E51" i="14" s="1"/>
  <c r="F50" i="14" a="1"/>
  <c r="F50" i="14" s="1"/>
  <c r="E50" i="14" a="1"/>
  <c r="E50" i="14" s="1"/>
  <c r="F49" i="14" a="1"/>
  <c r="F49" i="14" s="1"/>
  <c r="E49" i="14" a="1"/>
  <c r="E49" i="14" s="1"/>
  <c r="F48" i="14" a="1"/>
  <c r="F48" i="14" s="1"/>
  <c r="E48" i="14" a="1"/>
  <c r="E48" i="14" s="1"/>
  <c r="F47" i="14" a="1"/>
  <c r="F47" i="14" s="1"/>
  <c r="E47" i="14" a="1"/>
  <c r="E47" i="14" s="1"/>
  <c r="F46" i="14" a="1"/>
  <c r="F46" i="14" s="1"/>
  <c r="E46" i="14" a="1"/>
  <c r="E46" i="14" s="1"/>
  <c r="F45" i="14" a="1"/>
  <c r="F45" i="14" s="1"/>
  <c r="E45" i="14" a="1"/>
  <c r="E45" i="14" s="1"/>
  <c r="F44" i="14" a="1"/>
  <c r="F44" i="14" s="1"/>
  <c r="E44" i="14" a="1"/>
  <c r="E44" i="14" s="1"/>
  <c r="F43" i="14" a="1"/>
  <c r="F43" i="14" s="1"/>
  <c r="E43" i="14" a="1"/>
  <c r="E43" i="14" s="1"/>
  <c r="F42" i="14" a="1"/>
  <c r="F42" i="14" s="1"/>
  <c r="E42" i="14" a="1"/>
  <c r="E42" i="14" s="1"/>
  <c r="F41" i="14" a="1"/>
  <c r="F41" i="14" s="1"/>
  <c r="E41" i="14" a="1"/>
  <c r="E41" i="14" s="1"/>
  <c r="F40" i="14" a="1"/>
  <c r="F40" i="14" s="1"/>
  <c r="E40" i="14" a="1"/>
  <c r="E40" i="14" s="1"/>
  <c r="F39" i="14" a="1"/>
  <c r="F39" i="14" s="1"/>
  <c r="E39" i="14" a="1"/>
  <c r="E39" i="14" s="1"/>
  <c r="F38" i="14" a="1"/>
  <c r="F38" i="14" s="1"/>
  <c r="E38" i="14" a="1"/>
  <c r="E38" i="14" s="1"/>
  <c r="F37" i="14" a="1"/>
  <c r="F37" i="14" s="1"/>
  <c r="E37" i="14" a="1"/>
  <c r="E37" i="14" s="1"/>
  <c r="F36" i="14" a="1"/>
  <c r="F36" i="14" s="1"/>
  <c r="E36" i="14" a="1"/>
  <c r="E36" i="14" s="1"/>
  <c r="Y319" i="1"/>
  <c r="Z319" i="1" s="1"/>
  <c r="Y327" i="1"/>
  <c r="Z327" i="1"/>
  <c r="V327" i="1"/>
  <c r="V319" i="1"/>
  <c r="B319" i="1"/>
  <c r="B327" i="1"/>
  <c r="V165" i="1"/>
  <c r="B165" i="1"/>
  <c r="B256" i="1"/>
  <c r="B186" i="1"/>
  <c r="B202" i="1"/>
  <c r="B56" i="1"/>
  <c r="B39" i="1"/>
  <c r="B302" i="1"/>
  <c r="B223" i="1"/>
  <c r="B73" i="1"/>
  <c r="B63" i="1"/>
  <c r="B306" i="1"/>
  <c r="B177"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W92" i="1" s="1"/>
  <c r="B91" i="1"/>
  <c r="B90" i="1"/>
  <c r="B89" i="1"/>
  <c r="B88" i="1"/>
  <c r="B87" i="1"/>
  <c r="B86" i="1"/>
  <c r="B85" i="1"/>
  <c r="B84" i="1"/>
  <c r="B83" i="1"/>
  <c r="B82" i="1"/>
  <c r="B81" i="1"/>
  <c r="B80" i="1"/>
  <c r="B79" i="1"/>
  <c r="B78" i="1"/>
  <c r="B77" i="1"/>
  <c r="B76" i="1"/>
  <c r="V106" i="1"/>
  <c r="V104" i="1"/>
  <c r="V92" i="1"/>
  <c r="V84" i="1"/>
  <c r="V81" i="1"/>
  <c r="V76" i="1"/>
  <c r="V103" i="1"/>
  <c r="V98" i="1"/>
  <c r="W98" i="1" s="1"/>
  <c r="V96" i="1"/>
  <c r="V90" i="1"/>
  <c r="V88" i="1"/>
  <c r="V86" i="1"/>
  <c r="V85" i="1"/>
  <c r="V79" i="1"/>
  <c r="V78"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V110" i="1"/>
  <c r="V109" i="1"/>
  <c r="V102" i="1"/>
  <c r="V100" i="1"/>
  <c r="V97" i="1"/>
  <c r="W97" i="1" s="1"/>
  <c r="V95" i="1"/>
  <c r="V87" i="1"/>
  <c r="F808" i="11"/>
  <c r="B60" i="1"/>
  <c r="B198" i="1"/>
  <c r="B148" i="1"/>
  <c r="B131" i="1"/>
  <c r="B194" i="1"/>
  <c r="B309" i="1"/>
  <c r="B144" i="1"/>
  <c r="B221" i="1"/>
  <c r="B204" i="1"/>
  <c r="B139" i="1"/>
  <c r="B130" i="1"/>
  <c r="B328" i="1"/>
  <c r="B326" i="1"/>
  <c r="B3" i="1"/>
  <c r="B247" i="1"/>
  <c r="B173" i="1"/>
  <c r="B179" i="1"/>
  <c r="B146" i="1"/>
  <c r="B40" i="1"/>
  <c r="B323" i="1"/>
  <c r="B143" i="1"/>
  <c r="B67" i="1"/>
  <c r="B62" i="1"/>
  <c r="B250" i="1"/>
  <c r="B224" i="1"/>
  <c r="B253" i="1"/>
  <c r="B304" i="1"/>
  <c r="B66" i="1"/>
  <c r="B166" i="1"/>
  <c r="B248" i="1"/>
  <c r="B258" i="1"/>
  <c r="B176" i="1"/>
  <c r="B252" i="1"/>
  <c r="B5" i="1"/>
  <c r="B152" i="1"/>
  <c r="B71" i="1"/>
  <c r="B161" i="1"/>
  <c r="B324" i="1"/>
  <c r="B172" i="1"/>
  <c r="B305" i="1"/>
  <c r="B155" i="1"/>
  <c r="B169" i="1"/>
  <c r="B75" i="1"/>
  <c r="B138" i="1"/>
  <c r="B199" i="1"/>
  <c r="B260" i="1"/>
  <c r="B188" i="1"/>
  <c r="B320" i="1"/>
  <c r="B203" i="1"/>
  <c r="B178" i="1"/>
  <c r="B184" i="1"/>
  <c r="B257" i="1"/>
  <c r="B297" i="1"/>
  <c r="B183" i="1"/>
  <c r="B156" i="1"/>
  <c r="B157" i="1"/>
  <c r="B246" i="1"/>
  <c r="B149" i="1"/>
  <c r="B145" i="1"/>
  <c r="B315" i="1"/>
  <c r="B310" i="1"/>
  <c r="B307" i="1"/>
  <c r="B160" i="1"/>
  <c r="B294" i="1"/>
  <c r="B311" i="1"/>
  <c r="B74" i="1"/>
  <c r="B70" i="1"/>
  <c r="B234" i="1"/>
  <c r="B201" i="1"/>
  <c r="B200" i="1"/>
  <c r="B129" i="1"/>
  <c r="B296" i="1"/>
  <c r="B312" i="1"/>
  <c r="B249" i="1"/>
  <c r="B222" i="1"/>
  <c r="B29" i="1"/>
  <c r="B318" i="1"/>
  <c r="B255" i="1"/>
  <c r="B208" i="1"/>
  <c r="B132" i="1"/>
  <c r="B303" i="1"/>
  <c r="B69" i="1"/>
  <c r="B182" i="1"/>
  <c r="B195" i="1"/>
  <c r="B33" i="1"/>
  <c r="B133" i="1"/>
  <c r="B45" i="1"/>
  <c r="B254" i="1"/>
  <c r="B181" i="1"/>
  <c r="B245" i="1"/>
  <c r="B128" i="1"/>
  <c r="B285" i="1"/>
  <c r="B284" i="1"/>
  <c r="B233" i="1"/>
  <c r="B283" i="1"/>
  <c r="B293" i="1"/>
  <c r="B2" i="1"/>
  <c r="B232" i="1"/>
  <c r="B231" i="1"/>
  <c r="B235" i="1"/>
  <c r="B289" i="1"/>
  <c r="B292" i="1"/>
  <c r="B167" i="1"/>
  <c r="B159" i="1"/>
  <c r="B301" i="1"/>
  <c r="B300" i="1"/>
  <c r="B230" i="1"/>
  <c r="B282" i="1"/>
  <c r="B227" i="1"/>
  <c r="B281" i="1"/>
  <c r="B295" i="1"/>
  <c r="B288" i="1"/>
  <c r="B280" i="1"/>
  <c r="B279" i="1"/>
  <c r="B278" i="1"/>
  <c r="B277" i="1"/>
  <c r="B276" i="1"/>
  <c r="B275" i="1"/>
  <c r="B274" i="1"/>
  <c r="B273" i="1"/>
  <c r="B272" i="1"/>
  <c r="B271" i="1"/>
  <c r="B270" i="1"/>
  <c r="B269" i="1"/>
  <c r="B287" i="1"/>
  <c r="B286" i="1"/>
  <c r="B291" i="1"/>
  <c r="B290" i="1"/>
  <c r="B268" i="1"/>
  <c r="B226" i="1"/>
  <c r="B205" i="1"/>
  <c r="B316" i="1"/>
  <c r="B251" i="1"/>
  <c r="B189" i="1"/>
  <c r="B190" i="1"/>
  <c r="B314" i="1"/>
  <c r="B193" i="1"/>
  <c r="B153" i="1"/>
  <c r="B299" i="1"/>
  <c r="B187" i="1"/>
  <c r="B140" i="1"/>
  <c r="B228" i="1"/>
  <c r="B65" i="1"/>
  <c r="B64" i="1"/>
  <c r="B150" i="1"/>
  <c r="B225" i="1"/>
  <c r="B68" i="1"/>
  <c r="B321" i="1"/>
  <c r="B322" i="1"/>
  <c r="B168" i="1"/>
  <c r="B147" i="1"/>
  <c r="B154" i="1"/>
  <c r="B313" i="1"/>
  <c r="B192" i="1"/>
  <c r="B191" i="1"/>
  <c r="B185" i="1"/>
  <c r="B265" i="1"/>
  <c r="B264" i="1"/>
  <c r="B266" i="1"/>
  <c r="B72" i="1"/>
  <c r="B121" i="1"/>
  <c r="B142" i="1"/>
  <c r="B171" i="1"/>
  <c r="B229" i="1"/>
  <c r="B317" i="1"/>
  <c r="B197" i="1"/>
  <c r="B196" i="1"/>
  <c r="B170" i="1"/>
  <c r="B22" i="1"/>
  <c r="B21" i="1"/>
  <c r="B20" i="1"/>
  <c r="B28" i="1"/>
  <c r="B6" i="1"/>
  <c r="B19" i="1"/>
  <c r="B18" i="1"/>
  <c r="B17" i="1"/>
  <c r="B61" i="1"/>
  <c r="W61" i="1" s="1"/>
  <c r="B38" i="1"/>
  <c r="B57" i="1"/>
  <c r="B16" i="1"/>
  <c r="B32" i="1"/>
  <c r="B30" i="1"/>
  <c r="B36" i="1"/>
  <c r="B31" i="1"/>
  <c r="B37" i="1"/>
  <c r="B15" i="1"/>
  <c r="B14" i="1"/>
  <c r="B34" i="1"/>
  <c r="B27" i="1"/>
  <c r="B141" i="1"/>
  <c r="B35" i="1"/>
  <c r="B13" i="1"/>
  <c r="B12" i="1"/>
  <c r="B11" i="1"/>
  <c r="B26" i="1"/>
  <c r="B10" i="1"/>
  <c r="B25" i="1"/>
  <c r="B9" i="1"/>
  <c r="B24" i="1"/>
  <c r="B8" i="1"/>
  <c r="B7" i="1"/>
  <c r="B55" i="1"/>
  <c r="B267" i="1"/>
  <c r="B325" i="1"/>
  <c r="B180" i="1"/>
  <c r="B259" i="1"/>
  <c r="B162" i="1"/>
  <c r="B329" i="1"/>
  <c r="B54" i="1"/>
  <c r="B53" i="1"/>
  <c r="B175" i="1"/>
  <c r="B42" i="1"/>
  <c r="B52" i="1"/>
  <c r="B51" i="1"/>
  <c r="B124" i="1"/>
  <c r="B44" i="1"/>
  <c r="B50" i="1"/>
  <c r="B123" i="1"/>
  <c r="B122" i="1"/>
  <c r="B174" i="1"/>
  <c r="B43" i="1"/>
  <c r="B127" i="1"/>
  <c r="B125" i="1"/>
  <c r="B126" i="1"/>
  <c r="B59" i="1"/>
  <c r="B58" i="1"/>
  <c r="B261" i="1"/>
  <c r="B135" i="1"/>
  <c r="B134" i="1"/>
  <c r="B164" i="1"/>
  <c r="B163" i="1"/>
  <c r="B158" i="1"/>
  <c r="B41" i="1"/>
  <c r="B151" i="1"/>
  <c r="B137" i="1"/>
  <c r="B244" i="1"/>
  <c r="B136" i="1"/>
  <c r="B243" i="1"/>
  <c r="B242" i="1"/>
  <c r="B241" i="1"/>
  <c r="B49" i="1"/>
  <c r="B240" i="1"/>
  <c r="B237" i="1"/>
  <c r="B238" i="1"/>
  <c r="B219" i="1"/>
  <c r="B218" i="1"/>
  <c r="B217" i="1"/>
  <c r="B216" i="1"/>
  <c r="B215" i="1"/>
  <c r="B206" i="1"/>
  <c r="B207" i="1"/>
  <c r="B210" i="1"/>
  <c r="B209" i="1"/>
  <c r="B214" i="1"/>
  <c r="B213" i="1"/>
  <c r="B212" i="1"/>
  <c r="B211" i="1"/>
  <c r="B48" i="1"/>
  <c r="B47" i="1"/>
  <c r="B46" i="1"/>
  <c r="M30" i="14"/>
  <c r="M18" i="14"/>
  <c r="M19" i="14"/>
  <c r="K21" i="14"/>
  <c r="K22" i="14"/>
  <c r="K23" i="14"/>
  <c r="K24" i="14"/>
  <c r="K25" i="14"/>
  <c r="K26" i="14"/>
  <c r="K30" i="14"/>
  <c r="K18" i="14"/>
  <c r="K19" i="14"/>
  <c r="K20" i="14"/>
  <c r="V137" i="1"/>
  <c r="Y165" i="1"/>
  <c r="Z165" i="1" s="1"/>
  <c r="Y256" i="1"/>
  <c r="Z256" i="1" s="1"/>
  <c r="Y186" i="1"/>
  <c r="Z186" i="1" s="1"/>
  <c r="Y202" i="1"/>
  <c r="Z202" i="1" s="1"/>
  <c r="Y56" i="1"/>
  <c r="Z56" i="1" s="1"/>
  <c r="Y39" i="1"/>
  <c r="Z39" i="1" s="1"/>
  <c r="Y302" i="1"/>
  <c r="Z302" i="1" s="1"/>
  <c r="Y223" i="1"/>
  <c r="Z223" i="1" s="1"/>
  <c r="Y73" i="1"/>
  <c r="Z73" i="1" s="1"/>
  <c r="Y63" i="1"/>
  <c r="Z63" i="1" s="1"/>
  <c r="Y306" i="1"/>
  <c r="Z306" i="1" s="1"/>
  <c r="Y177" i="1"/>
  <c r="Z177" i="1" s="1"/>
  <c r="Y120" i="1"/>
  <c r="Z120" i="1" s="1"/>
  <c r="Y119" i="1"/>
  <c r="Z119" i="1" s="1"/>
  <c r="Y118" i="1"/>
  <c r="Z118" i="1" s="1"/>
  <c r="Y117" i="1"/>
  <c r="Z117" i="1" s="1"/>
  <c r="Y116" i="1"/>
  <c r="Z116" i="1" s="1"/>
  <c r="Y115" i="1"/>
  <c r="Z115" i="1" s="1"/>
  <c r="Y114" i="1"/>
  <c r="Z114" i="1" s="1"/>
  <c r="Y113" i="1"/>
  <c r="Z113" i="1" s="1"/>
  <c r="Y198" i="1"/>
  <c r="Z198" i="1" s="1"/>
  <c r="Y148" i="1"/>
  <c r="Z148" i="1" s="1"/>
  <c r="Y131" i="1"/>
  <c r="Z131" i="1" s="1"/>
  <c r="Y194" i="1"/>
  <c r="Z194" i="1" s="1"/>
  <c r="Y309" i="1"/>
  <c r="Z309" i="1"/>
  <c r="Y144" i="1"/>
  <c r="Z144" i="1" s="1"/>
  <c r="Y221" i="1"/>
  <c r="Z221" i="1" s="1"/>
  <c r="Y204" i="1"/>
  <c r="Z204" i="1" s="1"/>
  <c r="Y139" i="1"/>
  <c r="Z139" i="1" s="1"/>
  <c r="Y130" i="1"/>
  <c r="Z130" i="1" s="1"/>
  <c r="Y328" i="1"/>
  <c r="Z328" i="1" s="1"/>
  <c r="Y326" i="1"/>
  <c r="Z326" i="1" s="1"/>
  <c r="Y3" i="1"/>
  <c r="Z3" i="1" s="1"/>
  <c r="Y247" i="1"/>
  <c r="Z247" i="1" s="1"/>
  <c r="Y173" i="1"/>
  <c r="Z173" i="1" s="1"/>
  <c r="Y179" i="1"/>
  <c r="Z179" i="1" s="1"/>
  <c r="Y46" i="1"/>
  <c r="Z46" i="1" s="1"/>
  <c r="Y47" i="1"/>
  <c r="Z47" i="1" s="1"/>
  <c r="Y48" i="1"/>
  <c r="Z48" i="1" s="1"/>
  <c r="Y211" i="1"/>
  <c r="Z211" i="1" s="1"/>
  <c r="Y212" i="1"/>
  <c r="Z212" i="1" s="1"/>
  <c r="Y213" i="1"/>
  <c r="Z213" i="1" s="1"/>
  <c r="Y214" i="1"/>
  <c r="Z214" i="1" s="1"/>
  <c r="Y209" i="1"/>
  <c r="Z209" i="1" s="1"/>
  <c r="Y210" i="1"/>
  <c r="Z210" i="1" s="1"/>
  <c r="Y207" i="1"/>
  <c r="Z207" i="1" s="1"/>
  <c r="Y206" i="1"/>
  <c r="Z206" i="1"/>
  <c r="Y215" i="1"/>
  <c r="Z215" i="1" s="1"/>
  <c r="Y216" i="1"/>
  <c r="Z216" i="1" s="1"/>
  <c r="Y217" i="1"/>
  <c r="Z217" i="1" s="1"/>
  <c r="Y218" i="1"/>
  <c r="Z218" i="1" s="1"/>
  <c r="Y219" i="1"/>
  <c r="Z219" i="1" s="1"/>
  <c r="Y238" i="1"/>
  <c r="Z238" i="1" s="1"/>
  <c r="Y237" i="1"/>
  <c r="Z237" i="1" s="1"/>
  <c r="Y240" i="1"/>
  <c r="Z240" i="1" s="1"/>
  <c r="Y49" i="1"/>
  <c r="Z49" i="1"/>
  <c r="Y241" i="1"/>
  <c r="Z241" i="1" s="1"/>
  <c r="Y242" i="1"/>
  <c r="Z242" i="1" s="1"/>
  <c r="Y243" i="1"/>
  <c r="Z243" i="1" s="1"/>
  <c r="Y136" i="1"/>
  <c r="Z136" i="1"/>
  <c r="Y244" i="1"/>
  <c r="Z244" i="1" s="1"/>
  <c r="Y137" i="1"/>
  <c r="Z137" i="1"/>
  <c r="Y151" i="1"/>
  <c r="Z151" i="1" s="1"/>
  <c r="Y41" i="1"/>
  <c r="Z41" i="1" s="1"/>
  <c r="Y158" i="1"/>
  <c r="Z158" i="1" s="1"/>
  <c r="Y163" i="1"/>
  <c r="Z163" i="1" s="1"/>
  <c r="Y164" i="1"/>
  <c r="Z164" i="1" s="1"/>
  <c r="Y134" i="1"/>
  <c r="Z134" i="1" s="1"/>
  <c r="Y135" i="1"/>
  <c r="Z135" i="1" s="1"/>
  <c r="Y261" i="1"/>
  <c r="Z261" i="1" s="1"/>
  <c r="Y58" i="1"/>
  <c r="Z58" i="1" s="1"/>
  <c r="Y59" i="1"/>
  <c r="Z59" i="1" s="1"/>
  <c r="Y126" i="1"/>
  <c r="Z126" i="1" s="1"/>
  <c r="Y125" i="1"/>
  <c r="Z125" i="1" s="1"/>
  <c r="Y127" i="1"/>
  <c r="Z127" i="1" s="1"/>
  <c r="Y43" i="1"/>
  <c r="Z43" i="1" s="1"/>
  <c r="Y174" i="1"/>
  <c r="Z174" i="1" s="1"/>
  <c r="Y122" i="1"/>
  <c r="Z122" i="1" s="1"/>
  <c r="Y123" i="1"/>
  <c r="Z123" i="1" s="1"/>
  <c r="Y50" i="1"/>
  <c r="Z50" i="1" s="1"/>
  <c r="Y44" i="1"/>
  <c r="Z44" i="1" s="1"/>
  <c r="Y124" i="1"/>
  <c r="Z124" i="1"/>
  <c r="Y51" i="1"/>
  <c r="Z51" i="1" s="1"/>
  <c r="Y52" i="1"/>
  <c r="Z52" i="1" s="1"/>
  <c r="Y42" i="1"/>
  <c r="Z42" i="1" s="1"/>
  <c r="Y175" i="1"/>
  <c r="Z175" i="1" s="1"/>
  <c r="Y53" i="1"/>
  <c r="Z53" i="1" s="1"/>
  <c r="Y54" i="1"/>
  <c r="Z54" i="1" s="1"/>
  <c r="Y329" i="1"/>
  <c r="Z329" i="1" s="1"/>
  <c r="Y162" i="1"/>
  <c r="Z162" i="1"/>
  <c r="Y259" i="1"/>
  <c r="Z259" i="1" s="1"/>
  <c r="Y180" i="1"/>
  <c r="Z180" i="1" s="1"/>
  <c r="Y325" i="1"/>
  <c r="Z325" i="1"/>
  <c r="Y267" i="1"/>
  <c r="Z267" i="1" s="1"/>
  <c r="Y55" i="1"/>
  <c r="Z55" i="1" s="1"/>
  <c r="Y7" i="1"/>
  <c r="Z7" i="1" s="1"/>
  <c r="Y8" i="1"/>
  <c r="Z8" i="1" s="1"/>
  <c r="Y24" i="1"/>
  <c r="Z24" i="1" s="1"/>
  <c r="Y9" i="1"/>
  <c r="Z9" i="1" s="1"/>
  <c r="Y25" i="1"/>
  <c r="Z25" i="1" s="1"/>
  <c r="Y10" i="1"/>
  <c r="Z10" i="1" s="1"/>
  <c r="Y26" i="1"/>
  <c r="Z26" i="1" s="1"/>
  <c r="Y11" i="1"/>
  <c r="Z11" i="1" s="1"/>
  <c r="Y12" i="1"/>
  <c r="Z12" i="1" s="1"/>
  <c r="Y13" i="1"/>
  <c r="Z13" i="1" s="1"/>
  <c r="Y35" i="1"/>
  <c r="Z35" i="1" s="1"/>
  <c r="Y141" i="1"/>
  <c r="Z141" i="1" s="1"/>
  <c r="Y27" i="1"/>
  <c r="Z27" i="1"/>
  <c r="Y34" i="1"/>
  <c r="Z34" i="1" s="1"/>
  <c r="Y14" i="1"/>
  <c r="Z14" i="1" s="1"/>
  <c r="Y15" i="1"/>
  <c r="Z15" i="1" s="1"/>
  <c r="Y37" i="1"/>
  <c r="Z37" i="1" s="1"/>
  <c r="Y31" i="1"/>
  <c r="Z31" i="1" s="1"/>
  <c r="Y36" i="1"/>
  <c r="Z36" i="1" s="1"/>
  <c r="Y30" i="1"/>
  <c r="Z30" i="1" s="1"/>
  <c r="Y32" i="1"/>
  <c r="Z32" i="1" s="1"/>
  <c r="Y16" i="1"/>
  <c r="Z16" i="1" s="1"/>
  <c r="Y57" i="1"/>
  <c r="Z57" i="1" s="1"/>
  <c r="Y38" i="1"/>
  <c r="Z38" i="1" s="1"/>
  <c r="Y61" i="1"/>
  <c r="Z61" i="1" s="1"/>
  <c r="Y17" i="1"/>
  <c r="Z17" i="1" s="1"/>
  <c r="Y18" i="1"/>
  <c r="Z18" i="1"/>
  <c r="Y19" i="1"/>
  <c r="Z19" i="1" s="1"/>
  <c r="Y6" i="1"/>
  <c r="Z6" i="1" s="1"/>
  <c r="Y28" i="1"/>
  <c r="Z28" i="1" s="1"/>
  <c r="Y20" i="1"/>
  <c r="Z20" i="1" s="1"/>
  <c r="Y21" i="1"/>
  <c r="Z21" i="1" s="1"/>
  <c r="Y22" i="1"/>
  <c r="Z22" i="1"/>
  <c r="Y60" i="1"/>
  <c r="Z60" i="1"/>
  <c r="Y170" i="1"/>
  <c r="Z170" i="1" s="1"/>
  <c r="Y196" i="1"/>
  <c r="Z196" i="1" s="1"/>
  <c r="Y197" i="1"/>
  <c r="Z197" i="1" s="1"/>
  <c r="Y317" i="1"/>
  <c r="Z317" i="1" s="1"/>
  <c r="Y229" i="1"/>
  <c r="Z229" i="1" s="1"/>
  <c r="Y171" i="1"/>
  <c r="Z171" i="1" s="1"/>
  <c r="Y142" i="1"/>
  <c r="Z142" i="1" s="1"/>
  <c r="Y121" i="1"/>
  <c r="Z121" i="1" s="1"/>
  <c r="Y72" i="1"/>
  <c r="Z72" i="1" s="1"/>
  <c r="Y266" i="1"/>
  <c r="Z266" i="1" s="1"/>
  <c r="Y264" i="1"/>
  <c r="Z264" i="1" s="1"/>
  <c r="Y265" i="1"/>
  <c r="Z265" i="1"/>
  <c r="Y185" i="1"/>
  <c r="Z185" i="1" s="1"/>
  <c r="Y191" i="1"/>
  <c r="Z191" i="1" s="1"/>
  <c r="Y192" i="1"/>
  <c r="Z192" i="1" s="1"/>
  <c r="Y313" i="1"/>
  <c r="Z313" i="1" s="1"/>
  <c r="Y154" i="1"/>
  <c r="Z154" i="1" s="1"/>
  <c r="Y147" i="1"/>
  <c r="Z147" i="1"/>
  <c r="Y168" i="1"/>
  <c r="Z168" i="1" s="1"/>
  <c r="Y322" i="1"/>
  <c r="Z322" i="1" s="1"/>
  <c r="Y321" i="1"/>
  <c r="Z321" i="1" s="1"/>
  <c r="Y68" i="1"/>
  <c r="Z68" i="1" s="1"/>
  <c r="Y225" i="1"/>
  <c r="Z225" i="1" s="1"/>
  <c r="Y150" i="1"/>
  <c r="Z150" i="1" s="1"/>
  <c r="Y64" i="1"/>
  <c r="Z64" i="1" s="1"/>
  <c r="Y65" i="1"/>
  <c r="Z65" i="1" s="1"/>
  <c r="Y228" i="1"/>
  <c r="Z228" i="1" s="1"/>
  <c r="Y140" i="1"/>
  <c r="Z140" i="1" s="1"/>
  <c r="Y187" i="1"/>
  <c r="Z187" i="1" s="1"/>
  <c r="Y299" i="1"/>
  <c r="Z299" i="1" s="1"/>
  <c r="Y153" i="1"/>
  <c r="Z153" i="1"/>
  <c r="Y193" i="1"/>
  <c r="Z193" i="1" s="1"/>
  <c r="Y314" i="1"/>
  <c r="Z314" i="1" s="1"/>
  <c r="Y190" i="1"/>
  <c r="Z190" i="1" s="1"/>
  <c r="Y189" i="1"/>
  <c r="Z189" i="1" s="1"/>
  <c r="Y251" i="1"/>
  <c r="Z251" i="1"/>
  <c r="Y316" i="1"/>
  <c r="Z316" i="1" s="1"/>
  <c r="Y205" i="1"/>
  <c r="Z205" i="1" s="1"/>
  <c r="Y226" i="1"/>
  <c r="Z226" i="1" s="1"/>
  <c r="Y268" i="1"/>
  <c r="Z268" i="1" s="1"/>
  <c r="Y290" i="1"/>
  <c r="Z290" i="1" s="1"/>
  <c r="Y291" i="1"/>
  <c r="Z291" i="1" s="1"/>
  <c r="Y286" i="1"/>
  <c r="Z286" i="1" s="1"/>
  <c r="Y287" i="1"/>
  <c r="Z287" i="1" s="1"/>
  <c r="Y269" i="1"/>
  <c r="Z269" i="1" s="1"/>
  <c r="Y270" i="1"/>
  <c r="Z270" i="1" s="1"/>
  <c r="Y271" i="1"/>
  <c r="Z271" i="1" s="1"/>
  <c r="Y272" i="1"/>
  <c r="Z272" i="1" s="1"/>
  <c r="Y273" i="1"/>
  <c r="Z273" i="1" s="1"/>
  <c r="Y274" i="1"/>
  <c r="Z274" i="1" s="1"/>
  <c r="Y275" i="1"/>
  <c r="Z275" i="1" s="1"/>
  <c r="Y276" i="1"/>
  <c r="Z276" i="1" s="1"/>
  <c r="Y277" i="1"/>
  <c r="Z277" i="1" s="1"/>
  <c r="Y278" i="1"/>
  <c r="Z278" i="1" s="1"/>
  <c r="Y279" i="1"/>
  <c r="Z279" i="1" s="1"/>
  <c r="Y280" i="1"/>
  <c r="Z280" i="1" s="1"/>
  <c r="Y288" i="1"/>
  <c r="Z288" i="1" s="1"/>
  <c r="Y295" i="1"/>
  <c r="Z295" i="1" s="1"/>
  <c r="Y281" i="1"/>
  <c r="Z281" i="1" s="1"/>
  <c r="Y227" i="1"/>
  <c r="Z227" i="1" s="1"/>
  <c r="Y282" i="1"/>
  <c r="Z282" i="1" s="1"/>
  <c r="Y230" i="1"/>
  <c r="Z230" i="1" s="1"/>
  <c r="Y300" i="1"/>
  <c r="Z300" i="1" s="1"/>
  <c r="Y301" i="1"/>
  <c r="Z301" i="1" s="1"/>
  <c r="Y159" i="1"/>
  <c r="Z159" i="1" s="1"/>
  <c r="Y167" i="1"/>
  <c r="Z167" i="1" s="1"/>
  <c r="Y292" i="1"/>
  <c r="Z292" i="1" s="1"/>
  <c r="Y289" i="1"/>
  <c r="Z289" i="1" s="1"/>
  <c r="Y235" i="1"/>
  <c r="Z235" i="1" s="1"/>
  <c r="Y231" i="1"/>
  <c r="Z231" i="1" s="1"/>
  <c r="Y232" i="1"/>
  <c r="Z232" i="1" s="1"/>
  <c r="Y2" i="1"/>
  <c r="Z2" i="1" s="1"/>
  <c r="Y293" i="1"/>
  <c r="Z293" i="1" s="1"/>
  <c r="Y283" i="1"/>
  <c r="Z283" i="1" s="1"/>
  <c r="Y233" i="1"/>
  <c r="Z233" i="1" s="1"/>
  <c r="Y284" i="1"/>
  <c r="Z284" i="1" s="1"/>
  <c r="Y285" i="1"/>
  <c r="Z285" i="1" s="1"/>
  <c r="Y128" i="1"/>
  <c r="Z128" i="1" s="1"/>
  <c r="Y245" i="1"/>
  <c r="Z245" i="1" s="1"/>
  <c r="Y181" i="1"/>
  <c r="Z181" i="1" s="1"/>
  <c r="Y254" i="1"/>
  <c r="Z254" i="1" s="1"/>
  <c r="Y45" i="1"/>
  <c r="Z45" i="1" s="1"/>
  <c r="Y133" i="1"/>
  <c r="Z133" i="1" s="1"/>
  <c r="Y33" i="1"/>
  <c r="Z33" i="1" s="1"/>
  <c r="Y195" i="1"/>
  <c r="Z195" i="1" s="1"/>
  <c r="Y182" i="1"/>
  <c r="Z182" i="1" s="1"/>
  <c r="Y69" i="1"/>
  <c r="Z69" i="1" s="1"/>
  <c r="Y303" i="1"/>
  <c r="Z303" i="1" s="1"/>
  <c r="Y132" i="1"/>
  <c r="Z132" i="1" s="1"/>
  <c r="Y208" i="1"/>
  <c r="Z208" i="1" s="1"/>
  <c r="Y255" i="1"/>
  <c r="Z255" i="1" s="1"/>
  <c r="Y318" i="1"/>
  <c r="Z318" i="1" s="1"/>
  <c r="Y29" i="1"/>
  <c r="Z29" i="1" s="1"/>
  <c r="Y222" i="1"/>
  <c r="Z222" i="1" s="1"/>
  <c r="Y249" i="1"/>
  <c r="Z249" i="1" s="1"/>
  <c r="Y312" i="1"/>
  <c r="Z312" i="1" s="1"/>
  <c r="Y296" i="1"/>
  <c r="Z296" i="1" s="1"/>
  <c r="Y129" i="1"/>
  <c r="Z129" i="1" s="1"/>
  <c r="Y200" i="1"/>
  <c r="Z200" i="1"/>
  <c r="Y201" i="1"/>
  <c r="Z201" i="1"/>
  <c r="Y234" i="1"/>
  <c r="Z234" i="1" s="1"/>
  <c r="Y70" i="1"/>
  <c r="Z70" i="1" s="1"/>
  <c r="Y74" i="1"/>
  <c r="Z74" i="1"/>
  <c r="Y311" i="1"/>
  <c r="Z311" i="1" s="1"/>
  <c r="Y294" i="1"/>
  <c r="Z294" i="1" s="1"/>
  <c r="Y160" i="1"/>
  <c r="Z160" i="1" s="1"/>
  <c r="Y307" i="1"/>
  <c r="Z307" i="1" s="1"/>
  <c r="Y310" i="1"/>
  <c r="Z310" i="1" s="1"/>
  <c r="Y315" i="1"/>
  <c r="Z315" i="1"/>
  <c r="Y145" i="1"/>
  <c r="Z145" i="1" s="1"/>
  <c r="Y149" i="1"/>
  <c r="Z149" i="1"/>
  <c r="Y246" i="1"/>
  <c r="Z246" i="1" s="1"/>
  <c r="Y157" i="1"/>
  <c r="Z157" i="1" s="1"/>
  <c r="Y156" i="1"/>
  <c r="Z156" i="1" s="1"/>
  <c r="Y183" i="1"/>
  <c r="Z183" i="1" s="1"/>
  <c r="Y297" i="1"/>
  <c r="Z297" i="1"/>
  <c r="Y257" i="1"/>
  <c r="Z257" i="1"/>
  <c r="Y184" i="1"/>
  <c r="Z184" i="1" s="1"/>
  <c r="Y178" i="1"/>
  <c r="Z178" i="1" s="1"/>
  <c r="Y203" i="1"/>
  <c r="Z203" i="1" s="1"/>
  <c r="Y320" i="1"/>
  <c r="Z320" i="1" s="1"/>
  <c r="Y188" i="1"/>
  <c r="Z188" i="1" s="1"/>
  <c r="Y260" i="1"/>
  <c r="Z260" i="1"/>
  <c r="Y199" i="1"/>
  <c r="Z199" i="1" s="1"/>
  <c r="Y138" i="1"/>
  <c r="Z138" i="1" s="1"/>
  <c r="Y75" i="1"/>
  <c r="Z75" i="1" s="1"/>
  <c r="Y169" i="1"/>
  <c r="Z169" i="1" s="1"/>
  <c r="Y155" i="1"/>
  <c r="Z155" i="1" s="1"/>
  <c r="Y305" i="1"/>
  <c r="Z305" i="1" s="1"/>
  <c r="Y172" i="1"/>
  <c r="Z172" i="1" s="1"/>
  <c r="Y324" i="1"/>
  <c r="Z324" i="1" s="1"/>
  <c r="Y161" i="1"/>
  <c r="Z161" i="1"/>
  <c r="Y71" i="1"/>
  <c r="Z71" i="1" s="1"/>
  <c r="Y152" i="1"/>
  <c r="Z152" i="1" s="1"/>
  <c r="Y5" i="1"/>
  <c r="Z5" i="1" s="1"/>
  <c r="Y252" i="1"/>
  <c r="Z252" i="1" s="1"/>
  <c r="Y176" i="1"/>
  <c r="Z176" i="1"/>
  <c r="Y258" i="1"/>
  <c r="Z258" i="1"/>
  <c r="Y248" i="1"/>
  <c r="Z248" i="1" s="1"/>
  <c r="Y166" i="1"/>
  <c r="Z166" i="1" s="1"/>
  <c r="Y66" i="1"/>
  <c r="Z66" i="1"/>
  <c r="Y304" i="1"/>
  <c r="Z304" i="1" s="1"/>
  <c r="Y253" i="1"/>
  <c r="Z253" i="1" s="1"/>
  <c r="Y224" i="1"/>
  <c r="Z224" i="1"/>
  <c r="Y250" i="1"/>
  <c r="Z250" i="1" s="1"/>
  <c r="Y62" i="1"/>
  <c r="Z62" i="1" s="1"/>
  <c r="Y67" i="1"/>
  <c r="Z67" i="1" s="1"/>
  <c r="Y143" i="1"/>
  <c r="Z143" i="1" s="1"/>
  <c r="Y323" i="1"/>
  <c r="Z323" i="1" s="1"/>
  <c r="Y40" i="1"/>
  <c r="Z40" i="1" s="1"/>
  <c r="Y146" i="1"/>
  <c r="Z146" i="1"/>
  <c r="D6" i="14"/>
  <c r="D16" i="14"/>
  <c r="F6" i="14"/>
  <c r="I6" i="14"/>
  <c r="D7" i="16"/>
  <c r="V198" i="1"/>
  <c r="V22" i="1"/>
  <c r="V59" i="1"/>
  <c r="V58" i="1"/>
  <c r="V285" i="1"/>
  <c r="V284" i="1"/>
  <c r="V21" i="1"/>
  <c r="V148" i="1"/>
  <c r="V216" i="1"/>
  <c r="V217" i="1"/>
  <c r="W217" i="1" s="1"/>
  <c r="V218" i="1"/>
  <c r="V219" i="1"/>
  <c r="V131" i="1"/>
  <c r="V194" i="1"/>
  <c r="V240" i="1"/>
  <c r="W240" i="1" s="1"/>
  <c r="V238" i="1"/>
  <c r="W238" i="1" s="1"/>
  <c r="V237" i="1"/>
  <c r="F723" i="11"/>
  <c r="V124" i="1"/>
  <c r="V53" i="1"/>
  <c r="V54" i="1"/>
  <c r="V329" i="1"/>
  <c r="V162" i="1"/>
  <c r="V259" i="1"/>
  <c r="V180" i="1"/>
  <c r="V325" i="1"/>
  <c r="V46" i="1"/>
  <c r="V47" i="1"/>
  <c r="V48" i="1"/>
  <c r="W48" i="1" s="1"/>
  <c r="V211" i="1"/>
  <c r="V212" i="1"/>
  <c r="V213" i="1"/>
  <c r="V214" i="1"/>
  <c r="V209" i="1"/>
  <c r="V210" i="1"/>
  <c r="W210" i="1" s="1"/>
  <c r="V207" i="1"/>
  <c r="V206" i="1"/>
  <c r="W206" i="1" s="1"/>
  <c r="V215" i="1"/>
  <c r="V49" i="1"/>
  <c r="V242" i="1"/>
  <c r="V243" i="1"/>
  <c r="W243" i="1" s="1"/>
  <c r="V244" i="1"/>
  <c r="V41" i="1"/>
  <c r="W41" i="1" s="1"/>
  <c r="V163" i="1"/>
  <c r="V164" i="1"/>
  <c r="V135" i="1"/>
  <c r="V261" i="1"/>
  <c r="W261" i="1" s="1"/>
  <c r="V126" i="1"/>
  <c r="V43" i="1"/>
  <c r="V174" i="1"/>
  <c r="V123" i="1"/>
  <c r="V50" i="1"/>
  <c r="V44" i="1"/>
  <c r="V51" i="1"/>
  <c r="W51" i="1" s="1"/>
  <c r="V52" i="1"/>
  <c r="V125" i="1"/>
  <c r="W125" i="1" s="1"/>
  <c r="V7" i="1"/>
  <c r="V8" i="1"/>
  <c r="V24" i="1"/>
  <c r="V9" i="1"/>
  <c r="V25" i="1"/>
  <c r="V10" i="1"/>
  <c r="W10" i="1" s="1"/>
  <c r="V26" i="1"/>
  <c r="V11" i="1"/>
  <c r="W11" i="1" s="1"/>
  <c r="V12" i="1"/>
  <c r="V13" i="1"/>
  <c r="V35" i="1"/>
  <c r="V141" i="1"/>
  <c r="W141" i="1" s="1"/>
  <c r="V27" i="1"/>
  <c r="V34" i="1"/>
  <c r="V116" i="1"/>
  <c r="V14" i="1"/>
  <c r="V15" i="1"/>
  <c r="V37" i="1"/>
  <c r="V31" i="1"/>
  <c r="W31" i="1" s="1"/>
  <c r="V36" i="1"/>
  <c r="V118" i="1"/>
  <c r="W118" i="1" s="1"/>
  <c r="V16" i="1"/>
  <c r="V128" i="1"/>
  <c r="W128" i="1" s="1"/>
  <c r="V57" i="1"/>
  <c r="V38" i="1"/>
  <c r="W38" i="1" s="1"/>
  <c r="V17" i="1"/>
  <c r="V18" i="1"/>
  <c r="V170" i="1"/>
  <c r="V196" i="1"/>
  <c r="V197" i="1"/>
  <c r="W197" i="1" s="1"/>
  <c r="V317" i="1"/>
  <c r="V267" i="1"/>
  <c r="V120" i="1"/>
  <c r="W120" i="1" s="1"/>
  <c r="V229" i="1"/>
  <c r="V171" i="1"/>
  <c r="V177" i="1"/>
  <c r="W177" i="1" s="1"/>
  <c r="V142" i="1"/>
  <c r="V121" i="1"/>
  <c r="W121" i="1" s="1"/>
  <c r="V72" i="1"/>
  <c r="W72" i="1" s="1"/>
  <c r="V266" i="1"/>
  <c r="V265" i="1"/>
  <c r="V185" i="1"/>
  <c r="V191" i="1"/>
  <c r="V192" i="1"/>
  <c r="V313" i="1"/>
  <c r="V154" i="1"/>
  <c r="V306" i="1"/>
  <c r="W306" i="1" s="1"/>
  <c r="V147" i="1"/>
  <c r="W147" i="1" s="1"/>
  <c r="V168" i="1"/>
  <c r="V322" i="1"/>
  <c r="W322" i="1" s="1"/>
  <c r="V321" i="1"/>
  <c r="W321" i="1" s="1"/>
  <c r="V68" i="1"/>
  <c r="V225" i="1"/>
  <c r="W225" i="1" s="1"/>
  <c r="V150" i="1"/>
  <c r="V64" i="1"/>
  <c r="V65" i="1"/>
  <c r="V228" i="1"/>
  <c r="W228" i="1" s="1"/>
  <c r="V140" i="1"/>
  <c r="V63" i="1"/>
  <c r="W63" i="1" s="1"/>
  <c r="V187" i="1"/>
  <c r="V299" i="1"/>
  <c r="V153" i="1"/>
  <c r="V314" i="1"/>
  <c r="W314" i="1" s="1"/>
  <c r="V190" i="1"/>
  <c r="V189" i="1"/>
  <c r="V226" i="1"/>
  <c r="W226" i="1" s="1"/>
  <c r="V268" i="1"/>
  <c r="V290" i="1"/>
  <c r="V291" i="1"/>
  <c r="V286" i="1"/>
  <c r="W286" i="1" s="1"/>
  <c r="V287" i="1"/>
  <c r="W287" i="1" s="1"/>
  <c r="V269" i="1"/>
  <c r="V270" i="1"/>
  <c r="V271" i="1"/>
  <c r="W271" i="1" s="1"/>
  <c r="V272" i="1"/>
  <c r="V273" i="1"/>
  <c r="V274" i="1"/>
  <c r="V275" i="1"/>
  <c r="W275" i="1" s="1"/>
  <c r="V276" i="1"/>
  <c r="V277" i="1"/>
  <c r="V278" i="1"/>
  <c r="V279" i="1"/>
  <c r="V280" i="1"/>
  <c r="W280" i="1" s="1"/>
  <c r="V288" i="1"/>
  <c r="V295" i="1"/>
  <c r="V281" i="1"/>
  <c r="W281" i="1" s="1"/>
  <c r="V227" i="1"/>
  <c r="V282" i="1"/>
  <c r="V300" i="1"/>
  <c r="W300" i="1" s="1"/>
  <c r="V159" i="1"/>
  <c r="W159" i="1" s="1"/>
  <c r="V73" i="1"/>
  <c r="V167" i="1"/>
  <c r="V292" i="1"/>
  <c r="W292" i="1" s="1"/>
  <c r="V289" i="1"/>
  <c r="W289" i="1" s="1"/>
  <c r="V235" i="1"/>
  <c r="V231" i="1"/>
  <c r="V232" i="1"/>
  <c r="W232" i="1" s="1"/>
  <c r="V2" i="1"/>
  <c r="V293" i="1"/>
  <c r="W293" i="1" s="1"/>
  <c r="V283" i="1"/>
  <c r="V245" i="1"/>
  <c r="V181" i="1"/>
  <c r="V254" i="1"/>
  <c r="W254" i="1" s="1"/>
  <c r="V45" i="1"/>
  <c r="V133" i="1"/>
  <c r="V33" i="1"/>
  <c r="W33" i="1" s="1"/>
  <c r="V195" i="1"/>
  <c r="V182" i="1"/>
  <c r="V69" i="1"/>
  <c r="W69" i="1" s="1"/>
  <c r="V303" i="1"/>
  <c r="V132" i="1"/>
  <c r="V208" i="1"/>
  <c r="V255" i="1"/>
  <c r="V318" i="1"/>
  <c r="W318" i="1" s="1"/>
  <c r="V223" i="1"/>
  <c r="V29" i="1"/>
  <c r="W29" i="1" s="1"/>
  <c r="V222" i="1"/>
  <c r="V249" i="1"/>
  <c r="W249" i="1" s="1"/>
  <c r="V312" i="1"/>
  <c r="V302" i="1"/>
  <c r="W302" i="1" s="1"/>
  <c r="V296" i="1"/>
  <c r="V129" i="1"/>
  <c r="W129" i="1" s="1"/>
  <c r="V200" i="1"/>
  <c r="W200" i="1" s="1"/>
  <c r="V201" i="1"/>
  <c r="V234" i="1"/>
  <c r="V70" i="1"/>
  <c r="V74" i="1"/>
  <c r="V311" i="1"/>
  <c r="V294" i="1"/>
  <c r="W294" i="1" s="1"/>
  <c r="V160" i="1"/>
  <c r="V307" i="1"/>
  <c r="W307" i="1" s="1"/>
  <c r="V310" i="1"/>
  <c r="V315" i="1"/>
  <c r="V145" i="1"/>
  <c r="W145" i="1" s="1"/>
  <c r="V149" i="1"/>
  <c r="W149" i="1" s="1"/>
  <c r="V246" i="1"/>
  <c r="V157" i="1"/>
  <c r="V156" i="1"/>
  <c r="W156" i="1" s="1"/>
  <c r="V183" i="1"/>
  <c r="V297" i="1"/>
  <c r="V257" i="1"/>
  <c r="W257" i="1" s="1"/>
  <c r="V184" i="1"/>
  <c r="V178" i="1"/>
  <c r="W178" i="1" s="1"/>
  <c r="V203" i="1"/>
  <c r="V320" i="1"/>
  <c r="V188" i="1"/>
  <c r="V260" i="1"/>
  <c r="W260" i="1" s="1"/>
  <c r="V199" i="1"/>
  <c r="V138" i="1"/>
  <c r="V75" i="1"/>
  <c r="V169" i="1"/>
  <c r="V155" i="1"/>
  <c r="W155" i="1" s="1"/>
  <c r="V305" i="1"/>
  <c r="W305" i="1" s="1"/>
  <c r="V172" i="1"/>
  <c r="V39" i="1"/>
  <c r="V324" i="1"/>
  <c r="W324" i="1" s="1"/>
  <c r="V56" i="1"/>
  <c r="V161" i="1"/>
  <c r="W161" i="1" s="1"/>
  <c r="V71" i="1"/>
  <c r="W71" i="1" s="1"/>
  <c r="V152" i="1"/>
  <c r="V5" i="1"/>
  <c r="W5" i="1" s="1"/>
  <c r="V252" i="1"/>
  <c r="V202" i="1"/>
  <c r="V186" i="1"/>
  <c r="V176" i="1"/>
  <c r="V258" i="1"/>
  <c r="W258" i="1" s="1"/>
  <c r="V256" i="1"/>
  <c r="W256" i="1" s="1"/>
  <c r="V248" i="1"/>
  <c r="W248" i="1" s="1"/>
  <c r="V166" i="1"/>
  <c r="V66" i="1"/>
  <c r="W66" i="1" s="1"/>
  <c r="V304" i="1"/>
  <c r="V253" i="1"/>
  <c r="V224" i="1"/>
  <c r="V250" i="1"/>
  <c r="V62" i="1"/>
  <c r="W62" i="1" s="1"/>
  <c r="V67" i="1"/>
  <c r="V143" i="1"/>
  <c r="V323" i="1"/>
  <c r="V40" i="1"/>
  <c r="W40" i="1" s="1"/>
  <c r="V42" i="1"/>
  <c r="W42" i="1" s="1"/>
  <c r="V158" i="1"/>
  <c r="V175" i="1"/>
  <c r="W175" i="1" s="1"/>
  <c r="V251" i="1"/>
  <c r="V316" i="1"/>
  <c r="V55" i="1"/>
  <c r="W55" i="1" s="1"/>
  <c r="V19" i="1"/>
  <c r="V6" i="1"/>
  <c r="W6" i="1" s="1"/>
  <c r="V205" i="1"/>
  <c r="V146" i="1"/>
  <c r="W146" i="1" s="1"/>
  <c r="V179" i="1"/>
  <c r="W179" i="1" s="1"/>
  <c r="V173" i="1"/>
  <c r="V247" i="1"/>
  <c r="V28" i="1"/>
  <c r="V233" i="1"/>
  <c r="W233" i="1" s="1"/>
  <c r="V3" i="1"/>
  <c r="W3" i="1" s="1"/>
  <c r="V326" i="1"/>
  <c r="V328" i="1"/>
  <c r="V60" i="1"/>
  <c r="V130" i="1"/>
  <c r="V139" i="1"/>
  <c r="W139" i="1" s="1"/>
  <c r="V204" i="1"/>
  <c r="V20" i="1"/>
  <c r="V127" i="1"/>
  <c r="W127" i="1" s="1"/>
  <c r="V151" i="1"/>
  <c r="W151" i="1" s="1"/>
  <c r="V221" i="1"/>
  <c r="V144" i="1"/>
  <c r="V309" i="1"/>
  <c r="W309" i="1" s="1"/>
  <c r="C392" i="7"/>
  <c r="G392" i="7"/>
  <c r="C613" i="7"/>
  <c r="F613" i="7"/>
  <c r="C303" i="7"/>
  <c r="G303" i="7"/>
  <c r="E7" i="10"/>
  <c r="G7" i="10"/>
  <c r="V122" i="1"/>
  <c r="V230" i="1"/>
  <c r="O28" i="16"/>
  <c r="N28" i="16"/>
  <c r="M28" i="16"/>
  <c r="L28" i="16"/>
  <c r="K28" i="16"/>
  <c r="O27" i="16"/>
  <c r="N27" i="16"/>
  <c r="M27" i="16"/>
  <c r="L27" i="16"/>
  <c r="K27" i="16"/>
  <c r="O26" i="16"/>
  <c r="N26" i="16"/>
  <c r="M26" i="16"/>
  <c r="L26" i="16"/>
  <c r="K26" i="16"/>
  <c r="O25" i="16"/>
  <c r="N25" i="16"/>
  <c r="M25" i="16"/>
  <c r="L25" i="16"/>
  <c r="L11" i="16"/>
  <c r="L12" i="16"/>
  <c r="L13" i="16"/>
  <c r="L14" i="16"/>
  <c r="L15" i="16"/>
  <c r="L16" i="16"/>
  <c r="L17" i="16"/>
  <c r="L18" i="16"/>
  <c r="L19" i="16"/>
  <c r="L20" i="16"/>
  <c r="L21" i="16"/>
  <c r="L22" i="16"/>
  <c r="L23" i="16"/>
  <c r="L24" i="16"/>
  <c r="L9" i="16"/>
  <c r="K25" i="16"/>
  <c r="O24" i="16"/>
  <c r="N24" i="16"/>
  <c r="M24" i="16"/>
  <c r="K24" i="16"/>
  <c r="O23" i="16"/>
  <c r="N23" i="16"/>
  <c r="M23" i="16"/>
  <c r="K23" i="16"/>
  <c r="O22" i="16"/>
  <c r="N22" i="16"/>
  <c r="M22" i="16"/>
  <c r="K22" i="16"/>
  <c r="O21" i="16"/>
  <c r="N21" i="16"/>
  <c r="M21" i="16"/>
  <c r="K21" i="16"/>
  <c r="O20" i="16"/>
  <c r="N20" i="16"/>
  <c r="N11" i="16"/>
  <c r="N12" i="16"/>
  <c r="N13" i="16"/>
  <c r="N14" i="16"/>
  <c r="N15" i="16"/>
  <c r="N16" i="16"/>
  <c r="N17" i="16"/>
  <c r="N18" i="16"/>
  <c r="N19" i="16"/>
  <c r="N9" i="16"/>
  <c r="M20" i="16"/>
  <c r="K20" i="16"/>
  <c r="O19" i="16"/>
  <c r="M19" i="16"/>
  <c r="K19" i="16"/>
  <c r="O18" i="16"/>
  <c r="M18" i="16"/>
  <c r="K18" i="16"/>
  <c r="O17" i="16"/>
  <c r="O11" i="16"/>
  <c r="O12" i="16"/>
  <c r="O13" i="16"/>
  <c r="O14" i="16"/>
  <c r="O15" i="16"/>
  <c r="O16" i="16"/>
  <c r="O9" i="16"/>
  <c r="M17" i="16"/>
  <c r="K17" i="16"/>
  <c r="M16" i="16"/>
  <c r="M11" i="16"/>
  <c r="M12" i="16"/>
  <c r="M13" i="16"/>
  <c r="M14" i="16"/>
  <c r="M15" i="16"/>
  <c r="K16" i="16"/>
  <c r="K15" i="16"/>
  <c r="K14" i="16"/>
  <c r="K11" i="16"/>
  <c r="K12" i="16"/>
  <c r="K13" i="16"/>
  <c r="K9" i="16"/>
  <c r="J28" i="16"/>
  <c r="J27" i="16"/>
  <c r="J26" i="16"/>
  <c r="J25" i="16"/>
  <c r="J24" i="16"/>
  <c r="J23" i="16"/>
  <c r="J22" i="16"/>
  <c r="J21" i="16"/>
  <c r="J20" i="16"/>
  <c r="J19" i="16"/>
  <c r="J18" i="16"/>
  <c r="J11" i="16"/>
  <c r="J12" i="16"/>
  <c r="J13" i="16"/>
  <c r="J14" i="16"/>
  <c r="J15" i="16"/>
  <c r="J16" i="16"/>
  <c r="J17" i="16"/>
  <c r="J9" i="16"/>
  <c r="F28" i="16"/>
  <c r="F27" i="16"/>
  <c r="F26" i="16"/>
  <c r="F25" i="16"/>
  <c r="F24" i="16"/>
  <c r="F23" i="16"/>
  <c r="F22" i="16"/>
  <c r="F21" i="16"/>
  <c r="F20" i="16"/>
  <c r="F19" i="16"/>
  <c r="F18" i="16"/>
  <c r="F11" i="16"/>
  <c r="F12" i="16"/>
  <c r="F13" i="16"/>
  <c r="F14" i="16"/>
  <c r="F15" i="16"/>
  <c r="F16" i="16"/>
  <c r="F17" i="16"/>
  <c r="F9" i="16"/>
  <c r="I28" i="10"/>
  <c r="I27" i="10"/>
  <c r="I26" i="10"/>
  <c r="I11" i="10"/>
  <c r="I12" i="10"/>
  <c r="I13" i="10"/>
  <c r="I14" i="10"/>
  <c r="I15" i="10"/>
  <c r="I16" i="10"/>
  <c r="I17" i="10"/>
  <c r="I18" i="10"/>
  <c r="I19" i="10"/>
  <c r="I20" i="10"/>
  <c r="I21" i="10"/>
  <c r="I22" i="10"/>
  <c r="I23" i="10"/>
  <c r="I24" i="10"/>
  <c r="I25" i="10"/>
  <c r="F423" i="11"/>
  <c r="E3" i="7"/>
  <c r="E4" i="7"/>
  <c r="E5" i="7"/>
  <c r="E6" i="7"/>
  <c r="E7"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4" i="7"/>
  <c r="E45" i="7"/>
  <c r="E46" i="7"/>
  <c r="E47" i="7"/>
  <c r="E48" i="7"/>
  <c r="E49" i="7"/>
  <c r="E50" i="7"/>
  <c r="E51" i="7"/>
  <c r="E52" i="7"/>
  <c r="E53" i="7"/>
  <c r="E54" i="7"/>
  <c r="E55" i="7"/>
  <c r="E56" i="7"/>
  <c r="E57" i="7"/>
  <c r="E58" i="7"/>
  <c r="E59" i="7"/>
  <c r="E60" i="7"/>
  <c r="E61" i="7"/>
  <c r="E62" i="7"/>
  <c r="E63" i="7"/>
  <c r="E64" i="7"/>
  <c r="E65" i="7"/>
  <c r="E66" i="7"/>
  <c r="E67" i="7"/>
  <c r="E68" i="7"/>
  <c r="E69" i="7"/>
  <c r="E70" i="7"/>
  <c r="E71" i="7"/>
  <c r="E72" i="7"/>
  <c r="E73" i="7"/>
  <c r="E74" i="7"/>
  <c r="E75" i="7"/>
  <c r="E76" i="7"/>
  <c r="E77" i="7"/>
  <c r="E78" i="7"/>
  <c r="E79" i="7"/>
  <c r="E80" i="7"/>
  <c r="E81" i="7"/>
  <c r="E82" i="7"/>
  <c r="E83" i="7"/>
  <c r="E84" i="7"/>
  <c r="E85" i="7"/>
  <c r="E86" i="7"/>
  <c r="E87" i="7"/>
  <c r="E88" i="7"/>
  <c r="E89" i="7"/>
  <c r="E90" i="7"/>
  <c r="E91" i="7"/>
  <c r="E92" i="7"/>
  <c r="E93" i="7"/>
  <c r="E94" i="7"/>
  <c r="E95" i="7"/>
  <c r="E96" i="7"/>
  <c r="E97" i="7"/>
  <c r="E98" i="7"/>
  <c r="E99" i="7"/>
  <c r="E100" i="7"/>
  <c r="E101" i="7"/>
  <c r="E102" i="7"/>
  <c r="E103" i="7"/>
  <c r="E104" i="7"/>
  <c r="E105" i="7"/>
  <c r="E106" i="7"/>
  <c r="E107" i="7"/>
  <c r="E108" i="7"/>
  <c r="E109" i="7"/>
  <c r="E110" i="7"/>
  <c r="E111" i="7"/>
  <c r="E112" i="7"/>
  <c r="E113" i="7"/>
  <c r="E114" i="7"/>
  <c r="E115" i="7"/>
  <c r="E116" i="7"/>
  <c r="E117" i="7"/>
  <c r="E118" i="7"/>
  <c r="E119" i="7"/>
  <c r="E120" i="7"/>
  <c r="E121" i="7"/>
  <c r="E122" i="7"/>
  <c r="E123" i="7"/>
  <c r="E124" i="7"/>
  <c r="E125" i="7"/>
  <c r="E126" i="7"/>
  <c r="E127" i="7"/>
  <c r="E128" i="7"/>
  <c r="E129" i="7"/>
  <c r="E130" i="7"/>
  <c r="E131" i="7"/>
  <c r="E132" i="7"/>
  <c r="E133" i="7"/>
  <c r="E134" i="7"/>
  <c r="E135" i="7"/>
  <c r="E136" i="7"/>
  <c r="E137" i="7"/>
  <c r="E138" i="7"/>
  <c r="E139" i="7"/>
  <c r="E140" i="7"/>
  <c r="E141" i="7"/>
  <c r="E142" i="7"/>
  <c r="E143" i="7"/>
  <c r="E144" i="7"/>
  <c r="E145" i="7"/>
  <c r="E146" i="7"/>
  <c r="E147" i="7"/>
  <c r="E148" i="7"/>
  <c r="E149" i="7"/>
  <c r="E150" i="7"/>
  <c r="E151" i="7"/>
  <c r="E152" i="7"/>
  <c r="E153" i="7"/>
  <c r="E154" i="7"/>
  <c r="E155" i="7"/>
  <c r="E156" i="7"/>
  <c r="E157" i="7"/>
  <c r="E158" i="7"/>
  <c r="E159" i="7"/>
  <c r="E160" i="7"/>
  <c r="E161" i="7"/>
  <c r="E162" i="7"/>
  <c r="E163" i="7"/>
  <c r="E164" i="7"/>
  <c r="E165" i="7"/>
  <c r="E166" i="7"/>
  <c r="E167" i="7"/>
  <c r="E168" i="7"/>
  <c r="E169" i="7"/>
  <c r="E170" i="7"/>
  <c r="E171" i="7"/>
  <c r="E172" i="7"/>
  <c r="E173" i="7"/>
  <c r="E174" i="7"/>
  <c r="E175" i="7"/>
  <c r="E176" i="7"/>
  <c r="E177" i="7"/>
  <c r="E178" i="7"/>
  <c r="E179" i="7"/>
  <c r="E180" i="7"/>
  <c r="E181" i="7"/>
  <c r="E182" i="7"/>
  <c r="E183" i="7"/>
  <c r="E184" i="7"/>
  <c r="E185" i="7"/>
  <c r="E186" i="7"/>
  <c r="E187" i="7"/>
  <c r="E188" i="7"/>
  <c r="E189" i="7"/>
  <c r="E190" i="7"/>
  <c r="E191" i="7"/>
  <c r="E192" i="7"/>
  <c r="E193" i="7"/>
  <c r="E194" i="7"/>
  <c r="E195" i="7"/>
  <c r="E196" i="7"/>
  <c r="E197" i="7"/>
  <c r="E198" i="7"/>
  <c r="E199" i="7"/>
  <c r="E200" i="7"/>
  <c r="E201" i="7"/>
  <c r="E202" i="7"/>
  <c r="E203" i="7"/>
  <c r="E204" i="7"/>
  <c r="E205" i="7"/>
  <c r="E206" i="7"/>
  <c r="E207" i="7"/>
  <c r="E208" i="7"/>
  <c r="E209" i="7"/>
  <c r="E210" i="7"/>
  <c r="E211" i="7"/>
  <c r="E212" i="7"/>
  <c r="E213" i="7"/>
  <c r="E214" i="7"/>
  <c r="E215" i="7"/>
  <c r="E216" i="7"/>
  <c r="E217" i="7"/>
  <c r="E218" i="7"/>
  <c r="E219" i="7"/>
  <c r="E220" i="7"/>
  <c r="E221" i="7"/>
  <c r="E222" i="7"/>
  <c r="E223" i="7"/>
  <c r="E224" i="7"/>
  <c r="E225" i="7"/>
  <c r="E226" i="7"/>
  <c r="E227" i="7"/>
  <c r="E228" i="7"/>
  <c r="E229" i="7"/>
  <c r="E230" i="7"/>
  <c r="E231" i="7"/>
  <c r="E232" i="7"/>
  <c r="E233" i="7"/>
  <c r="E234" i="7"/>
  <c r="E235" i="7"/>
  <c r="E236" i="7"/>
  <c r="E237" i="7"/>
  <c r="E238" i="7"/>
  <c r="E239" i="7"/>
  <c r="E240" i="7"/>
  <c r="E241" i="7"/>
  <c r="E242" i="7"/>
  <c r="E243" i="7"/>
  <c r="E244" i="7"/>
  <c r="E245" i="7"/>
  <c r="E246" i="7"/>
  <c r="E247" i="7"/>
  <c r="E248" i="7"/>
  <c r="E249" i="7"/>
  <c r="E250" i="7"/>
  <c r="E251" i="7"/>
  <c r="E252" i="7"/>
  <c r="E253" i="7"/>
  <c r="E254" i="7"/>
  <c r="E255" i="7"/>
  <c r="E256" i="7"/>
  <c r="E257" i="7"/>
  <c r="E258" i="7"/>
  <c r="E259" i="7"/>
  <c r="E260" i="7"/>
  <c r="E261" i="7"/>
  <c r="E262" i="7"/>
  <c r="E263" i="7"/>
  <c r="E264" i="7"/>
  <c r="E265" i="7"/>
  <c r="E266" i="7"/>
  <c r="E267" i="7"/>
  <c r="E268" i="7"/>
  <c r="E269" i="7"/>
  <c r="E270" i="7"/>
  <c r="E271" i="7"/>
  <c r="E272" i="7"/>
  <c r="E273" i="7"/>
  <c r="E274" i="7"/>
  <c r="E275" i="7"/>
  <c r="E276" i="7"/>
  <c r="E277" i="7"/>
  <c r="E278" i="7"/>
  <c r="E279" i="7"/>
  <c r="E280" i="7"/>
  <c r="E281" i="7"/>
  <c r="E282" i="7"/>
  <c r="E283" i="7"/>
  <c r="E284" i="7"/>
  <c r="E285" i="7"/>
  <c r="E286" i="7"/>
  <c r="E287" i="7"/>
  <c r="E288" i="7"/>
  <c r="E289" i="7"/>
  <c r="E290" i="7"/>
  <c r="E291" i="7"/>
  <c r="E292" i="7"/>
  <c r="E293" i="7"/>
  <c r="E294" i="7"/>
  <c r="E295" i="7"/>
  <c r="E296" i="7"/>
  <c r="E297" i="7"/>
  <c r="E298" i="7"/>
  <c r="E299" i="7"/>
  <c r="E300" i="7"/>
  <c r="E301" i="7"/>
  <c r="E302" i="7"/>
  <c r="E303" i="7"/>
  <c r="E304" i="7"/>
  <c r="E305" i="7"/>
  <c r="E306" i="7"/>
  <c r="E307" i="7"/>
  <c r="E308" i="7"/>
  <c r="E309" i="7"/>
  <c r="E310" i="7"/>
  <c r="E311" i="7"/>
  <c r="E312" i="7"/>
  <c r="E313" i="7"/>
  <c r="E314" i="7"/>
  <c r="E315" i="7"/>
  <c r="E316" i="7"/>
  <c r="E317" i="7"/>
  <c r="E318" i="7"/>
  <c r="E319" i="7"/>
  <c r="E320" i="7"/>
  <c r="E321" i="7"/>
  <c r="E322" i="7"/>
  <c r="E323" i="7"/>
  <c r="E324" i="7"/>
  <c r="E325" i="7"/>
  <c r="E326" i="7"/>
  <c r="E327" i="7"/>
  <c r="E328" i="7"/>
  <c r="E329" i="7"/>
  <c r="E330" i="7"/>
  <c r="E331" i="7"/>
  <c r="E332" i="7"/>
  <c r="E333" i="7"/>
  <c r="E334" i="7"/>
  <c r="E335" i="7"/>
  <c r="E336" i="7"/>
  <c r="E337" i="7"/>
  <c r="E338" i="7"/>
  <c r="E339" i="7"/>
  <c r="E340" i="7"/>
  <c r="E341" i="7"/>
  <c r="E342" i="7"/>
  <c r="E343" i="7"/>
  <c r="E344" i="7"/>
  <c r="E345" i="7"/>
  <c r="E346" i="7"/>
  <c r="E347" i="7"/>
  <c r="E348" i="7"/>
  <c r="E349" i="7"/>
  <c r="E350" i="7"/>
  <c r="E351" i="7"/>
  <c r="E352" i="7"/>
  <c r="E353" i="7"/>
  <c r="E354" i="7"/>
  <c r="E355" i="7"/>
  <c r="E356" i="7"/>
  <c r="E357" i="7"/>
  <c r="E358" i="7"/>
  <c r="E359" i="7"/>
  <c r="E360" i="7"/>
  <c r="E361" i="7"/>
  <c r="E362" i="7"/>
  <c r="E363" i="7"/>
  <c r="E364" i="7"/>
  <c r="E365" i="7"/>
  <c r="E366" i="7"/>
  <c r="E367" i="7"/>
  <c r="E368" i="7"/>
  <c r="E369" i="7"/>
  <c r="E370" i="7"/>
  <c r="E371" i="7"/>
  <c r="E372" i="7"/>
  <c r="E373" i="7"/>
  <c r="E374" i="7"/>
  <c r="E375" i="7"/>
  <c r="E376" i="7"/>
  <c r="E377" i="7"/>
  <c r="E378" i="7"/>
  <c r="E379" i="7"/>
  <c r="E380" i="7"/>
  <c r="E381" i="7"/>
  <c r="E382" i="7"/>
  <c r="E383" i="7"/>
  <c r="E384" i="7"/>
  <c r="E385" i="7"/>
  <c r="E386" i="7"/>
  <c r="E387" i="7"/>
  <c r="E388" i="7"/>
  <c r="E389" i="7"/>
  <c r="E390" i="7"/>
  <c r="E391" i="7"/>
  <c r="E392" i="7"/>
  <c r="E393" i="7"/>
  <c r="E394" i="7"/>
  <c r="E395" i="7"/>
  <c r="E396" i="7"/>
  <c r="E397" i="7"/>
  <c r="E398" i="7"/>
  <c r="E399" i="7"/>
  <c r="E400" i="7"/>
  <c r="E401" i="7"/>
  <c r="E402" i="7"/>
  <c r="E403" i="7"/>
  <c r="E404" i="7"/>
  <c r="E405" i="7"/>
  <c r="E406" i="7"/>
  <c r="E407" i="7"/>
  <c r="E408" i="7"/>
  <c r="E409" i="7"/>
  <c r="E410" i="7"/>
  <c r="E411" i="7"/>
  <c r="E412" i="7"/>
  <c r="E413" i="7"/>
  <c r="E414" i="7"/>
  <c r="E415" i="7"/>
  <c r="E416" i="7"/>
  <c r="E417" i="7"/>
  <c r="E418" i="7"/>
  <c r="E419" i="7"/>
  <c r="E420" i="7"/>
  <c r="E421" i="7"/>
  <c r="E422" i="7"/>
  <c r="E423" i="7"/>
  <c r="E424" i="7"/>
  <c r="E425" i="7"/>
  <c r="E426" i="7"/>
  <c r="E427" i="7"/>
  <c r="E428" i="7"/>
  <c r="E429" i="7"/>
  <c r="E430" i="7"/>
  <c r="E431" i="7"/>
  <c r="E432" i="7"/>
  <c r="E433" i="7"/>
  <c r="E434" i="7"/>
  <c r="E435" i="7"/>
  <c r="E436" i="7"/>
  <c r="E437" i="7"/>
  <c r="E438" i="7"/>
  <c r="E439" i="7"/>
  <c r="E440" i="7"/>
  <c r="E441" i="7"/>
  <c r="E442" i="7"/>
  <c r="E443" i="7"/>
  <c r="E444" i="7"/>
  <c r="E445" i="7"/>
  <c r="E446" i="7"/>
  <c r="E447" i="7"/>
  <c r="E448" i="7"/>
  <c r="E449" i="7"/>
  <c r="E450" i="7"/>
  <c r="E451" i="7"/>
  <c r="E452" i="7"/>
  <c r="E453" i="7"/>
  <c r="E454" i="7"/>
  <c r="E455" i="7"/>
  <c r="E456" i="7"/>
  <c r="E457" i="7"/>
  <c r="E458" i="7"/>
  <c r="E459" i="7"/>
  <c r="E460" i="7"/>
  <c r="E461" i="7"/>
  <c r="E462" i="7"/>
  <c r="E463" i="7"/>
  <c r="E464" i="7"/>
  <c r="E465" i="7"/>
  <c r="E466" i="7"/>
  <c r="E467" i="7"/>
  <c r="E468" i="7"/>
  <c r="E469" i="7"/>
  <c r="E470" i="7"/>
  <c r="E471" i="7"/>
  <c r="E472" i="7"/>
  <c r="E473" i="7"/>
  <c r="E474" i="7"/>
  <c r="E475" i="7"/>
  <c r="E476" i="7"/>
  <c r="E477" i="7"/>
  <c r="E478" i="7"/>
  <c r="E479" i="7"/>
  <c r="E480" i="7"/>
  <c r="E481" i="7"/>
  <c r="E482" i="7"/>
  <c r="E483" i="7"/>
  <c r="E484" i="7"/>
  <c r="E485" i="7"/>
  <c r="E486" i="7"/>
  <c r="E487" i="7"/>
  <c r="E488" i="7"/>
  <c r="E489" i="7"/>
  <c r="E490" i="7"/>
  <c r="E491" i="7"/>
  <c r="E492" i="7"/>
  <c r="E493" i="7"/>
  <c r="E494" i="7"/>
  <c r="E495" i="7"/>
  <c r="E496" i="7"/>
  <c r="E497" i="7"/>
  <c r="E498" i="7"/>
  <c r="E499" i="7"/>
  <c r="E500" i="7"/>
  <c r="E501" i="7"/>
  <c r="E502" i="7"/>
  <c r="E503" i="7"/>
  <c r="E504" i="7"/>
  <c r="E505" i="7"/>
  <c r="E506" i="7"/>
  <c r="E507" i="7"/>
  <c r="E508" i="7"/>
  <c r="E509" i="7"/>
  <c r="E510" i="7"/>
  <c r="E511" i="7"/>
  <c r="E512" i="7"/>
  <c r="E513" i="7"/>
  <c r="E514" i="7"/>
  <c r="E515" i="7"/>
  <c r="E516" i="7"/>
  <c r="E517" i="7"/>
  <c r="E518" i="7"/>
  <c r="E519" i="7"/>
  <c r="E520" i="7"/>
  <c r="E521" i="7"/>
  <c r="E522" i="7"/>
  <c r="E523" i="7"/>
  <c r="E524" i="7"/>
  <c r="E525" i="7"/>
  <c r="E526" i="7"/>
  <c r="E527" i="7"/>
  <c r="E528" i="7"/>
  <c r="E529" i="7"/>
  <c r="E530" i="7"/>
  <c r="E531" i="7"/>
  <c r="E532" i="7"/>
  <c r="E533" i="7"/>
  <c r="E534" i="7"/>
  <c r="E535" i="7"/>
  <c r="E536" i="7"/>
  <c r="E537" i="7"/>
  <c r="E538" i="7"/>
  <c r="E539" i="7"/>
  <c r="E540" i="7"/>
  <c r="E541" i="7"/>
  <c r="E542" i="7"/>
  <c r="E543" i="7"/>
  <c r="E544" i="7"/>
  <c r="E545" i="7"/>
  <c r="E546" i="7"/>
  <c r="E547" i="7"/>
  <c r="E548" i="7"/>
  <c r="E549" i="7"/>
  <c r="E550" i="7"/>
  <c r="E551" i="7"/>
  <c r="E552" i="7"/>
  <c r="E553" i="7"/>
  <c r="E554" i="7"/>
  <c r="E555" i="7"/>
  <c r="E556" i="7"/>
  <c r="E557" i="7"/>
  <c r="E558" i="7"/>
  <c r="E559" i="7"/>
  <c r="E560" i="7"/>
  <c r="E561" i="7"/>
  <c r="E562" i="7"/>
  <c r="E563" i="7"/>
  <c r="E564" i="7"/>
  <c r="E565" i="7"/>
  <c r="E566" i="7"/>
  <c r="E567" i="7"/>
  <c r="E568" i="7"/>
  <c r="E569" i="7"/>
  <c r="E570" i="7"/>
  <c r="E571" i="7"/>
  <c r="E572" i="7"/>
  <c r="E573" i="7"/>
  <c r="E574" i="7"/>
  <c r="E575" i="7"/>
  <c r="E576" i="7"/>
  <c r="E577" i="7"/>
  <c r="E578" i="7"/>
  <c r="E579" i="7"/>
  <c r="E580" i="7"/>
  <c r="E581" i="7"/>
  <c r="E582" i="7"/>
  <c r="E583" i="7"/>
  <c r="E584" i="7"/>
  <c r="E585" i="7"/>
  <c r="E586" i="7"/>
  <c r="E587" i="7"/>
  <c r="E588" i="7"/>
  <c r="E589" i="7"/>
  <c r="E590" i="7"/>
  <c r="E591" i="7"/>
  <c r="E592" i="7"/>
  <c r="E593" i="7"/>
  <c r="E594" i="7"/>
  <c r="E595" i="7"/>
  <c r="E596" i="7"/>
  <c r="E597" i="7"/>
  <c r="E598" i="7"/>
  <c r="E599" i="7"/>
  <c r="E600" i="7"/>
  <c r="E601" i="7"/>
  <c r="E602" i="7"/>
  <c r="E603" i="7"/>
  <c r="E604" i="7"/>
  <c r="E605" i="7"/>
  <c r="E606" i="7"/>
  <c r="E607" i="7"/>
  <c r="E608" i="7"/>
  <c r="E609" i="7"/>
  <c r="E610" i="7"/>
  <c r="E611" i="7"/>
  <c r="E612" i="7"/>
  <c r="E613" i="7"/>
  <c r="E614" i="7"/>
  <c r="E615" i="7"/>
  <c r="E616" i="7"/>
  <c r="E617" i="7"/>
  <c r="E618" i="7"/>
  <c r="E619" i="7"/>
  <c r="E620" i="7"/>
  <c r="E621" i="7"/>
  <c r="E622" i="7"/>
  <c r="E623" i="7"/>
  <c r="E624" i="7"/>
  <c r="E625" i="7"/>
  <c r="E626" i="7"/>
  <c r="E627" i="7"/>
  <c r="E628" i="7"/>
  <c r="E629" i="7"/>
  <c r="E630" i="7"/>
  <c r="E631" i="7"/>
  <c r="E632" i="7"/>
  <c r="E633" i="7"/>
  <c r="E634" i="7"/>
  <c r="E635" i="7"/>
  <c r="E636" i="7"/>
  <c r="E637" i="7"/>
  <c r="E638" i="7"/>
  <c r="E639" i="7"/>
  <c r="E640" i="7"/>
  <c r="E641" i="7"/>
  <c r="E642" i="7"/>
  <c r="E643" i="7"/>
  <c r="E644" i="7"/>
  <c r="E645" i="7"/>
  <c r="E646" i="7"/>
  <c r="E647" i="7"/>
  <c r="E648" i="7"/>
  <c r="E649" i="7"/>
  <c r="E650" i="7"/>
  <c r="E651" i="7"/>
  <c r="E652" i="7"/>
  <c r="E653" i="7"/>
  <c r="E654" i="7"/>
  <c r="E655" i="7"/>
  <c r="E656" i="7"/>
  <c r="E657" i="7"/>
  <c r="E658" i="7"/>
  <c r="E659" i="7"/>
  <c r="E660" i="7"/>
  <c r="E661" i="7"/>
  <c r="E662" i="7"/>
  <c r="E663" i="7"/>
  <c r="E664" i="7"/>
  <c r="E665" i="7"/>
  <c r="E666" i="7"/>
  <c r="E667" i="7"/>
  <c r="E668" i="7"/>
  <c r="E669" i="7"/>
  <c r="E670" i="7"/>
  <c r="E671" i="7"/>
  <c r="E672" i="7"/>
  <c r="E673" i="7"/>
  <c r="E674" i="7"/>
  <c r="E675" i="7"/>
  <c r="E676" i="7"/>
  <c r="E677" i="7"/>
  <c r="E678" i="7"/>
  <c r="E679" i="7"/>
  <c r="E680" i="7"/>
  <c r="E681" i="7"/>
  <c r="E682" i="7"/>
  <c r="E683" i="7"/>
  <c r="E684" i="7"/>
  <c r="E685" i="7"/>
  <c r="E686" i="7"/>
  <c r="E687" i="7"/>
  <c r="E688" i="7"/>
  <c r="E689" i="7"/>
  <c r="E690" i="7"/>
  <c r="E691" i="7"/>
  <c r="E692" i="7"/>
  <c r="E693" i="7"/>
  <c r="E694" i="7"/>
  <c r="E695" i="7"/>
  <c r="E696" i="7"/>
  <c r="E697" i="7"/>
  <c r="E698" i="7"/>
  <c r="E699" i="7"/>
  <c r="E700" i="7"/>
  <c r="E701" i="7"/>
  <c r="E702" i="7"/>
  <c r="E703" i="7"/>
  <c r="E704" i="7"/>
  <c r="E705" i="7"/>
  <c r="E706" i="7"/>
  <c r="E707" i="7"/>
  <c r="E708" i="7"/>
  <c r="E709" i="7"/>
  <c r="E710" i="7"/>
  <c r="E711" i="7"/>
  <c r="E712" i="7"/>
  <c r="E713" i="7"/>
  <c r="E714" i="7"/>
  <c r="E715" i="7"/>
  <c r="E716" i="7"/>
  <c r="E717" i="7"/>
  <c r="E718" i="7"/>
  <c r="E719" i="7"/>
  <c r="E720" i="7"/>
  <c r="E721" i="7"/>
  <c r="E722" i="7"/>
  <c r="E723" i="7"/>
  <c r="E724" i="7"/>
  <c r="E725" i="7"/>
  <c r="E726" i="7"/>
  <c r="E727" i="7"/>
  <c r="E728" i="7"/>
  <c r="E729" i="7"/>
  <c r="E730" i="7"/>
  <c r="E731" i="7"/>
  <c r="E732" i="7"/>
  <c r="E733" i="7"/>
  <c r="E734" i="7"/>
  <c r="E735" i="7"/>
  <c r="E736" i="7"/>
  <c r="E737" i="7"/>
  <c r="E738" i="7"/>
  <c r="E739" i="7"/>
  <c r="E740" i="7"/>
  <c r="E741" i="7"/>
  <c r="E742" i="7"/>
  <c r="E743" i="7"/>
  <c r="E744" i="7"/>
  <c r="E745" i="7"/>
  <c r="E746" i="7"/>
  <c r="E747" i="7"/>
  <c r="E748" i="7"/>
  <c r="E749" i="7"/>
  <c r="E750" i="7"/>
  <c r="E751" i="7"/>
  <c r="E752" i="7"/>
  <c r="E753" i="7"/>
  <c r="E754" i="7"/>
  <c r="E755" i="7"/>
  <c r="E756" i="7"/>
  <c r="E757" i="7"/>
  <c r="E758" i="7"/>
  <c r="E759" i="7"/>
  <c r="E760" i="7"/>
  <c r="E761" i="7"/>
  <c r="E762" i="7"/>
  <c r="E763" i="7"/>
  <c r="E764" i="7"/>
  <c r="E765" i="7"/>
  <c r="E766" i="7"/>
  <c r="E767" i="7"/>
  <c r="E768" i="7"/>
  <c r="E769" i="7"/>
  <c r="E770" i="7"/>
  <c r="E771" i="7"/>
  <c r="E772" i="7"/>
  <c r="E773" i="7"/>
  <c r="E774" i="7"/>
  <c r="E775" i="7"/>
  <c r="E776" i="7"/>
  <c r="E777" i="7"/>
  <c r="E778" i="7"/>
  <c r="E779" i="7"/>
  <c r="E780" i="7"/>
  <c r="E781" i="7"/>
  <c r="E782" i="7"/>
  <c r="E783" i="7"/>
  <c r="E784" i="7"/>
  <c r="E785" i="7"/>
  <c r="E786" i="7"/>
  <c r="E787" i="7"/>
  <c r="E788" i="7"/>
  <c r="E789" i="7"/>
  <c r="E790" i="7"/>
  <c r="E791" i="7"/>
  <c r="E792" i="7"/>
  <c r="E793" i="7"/>
  <c r="E794" i="7"/>
  <c r="E795" i="7"/>
  <c r="E796" i="7"/>
  <c r="E797" i="7"/>
  <c r="E798" i="7"/>
  <c r="E799" i="7"/>
  <c r="E800" i="7"/>
  <c r="E801" i="7"/>
  <c r="E802" i="7"/>
  <c r="E803" i="7"/>
  <c r="E804" i="7"/>
  <c r="E805" i="7"/>
  <c r="E806" i="7"/>
  <c r="E807" i="7"/>
  <c r="E808" i="7"/>
  <c r="E809" i="7"/>
  <c r="E810" i="7"/>
  <c r="E811" i="7"/>
  <c r="E812" i="7"/>
  <c r="E813" i="7"/>
  <c r="E814" i="7"/>
  <c r="E815" i="7"/>
  <c r="E816" i="7"/>
  <c r="E817" i="7"/>
  <c r="E818" i="7"/>
  <c r="E819" i="7"/>
  <c r="E820" i="7"/>
  <c r="E821" i="7"/>
  <c r="E822" i="7"/>
  <c r="E823" i="7"/>
  <c r="E824" i="7"/>
  <c r="E825" i="7"/>
  <c r="E826" i="7"/>
  <c r="E827" i="7"/>
  <c r="E828" i="7"/>
  <c r="E829" i="7"/>
  <c r="E830" i="7"/>
  <c r="E831" i="7"/>
  <c r="E832" i="7"/>
  <c r="E833" i="7"/>
  <c r="E834" i="7"/>
  <c r="E835" i="7"/>
  <c r="E836" i="7"/>
  <c r="E837" i="7"/>
  <c r="E838" i="7"/>
  <c r="E839" i="7"/>
  <c r="E840" i="7"/>
  <c r="E841" i="7"/>
  <c r="E842" i="7"/>
  <c r="E843" i="7"/>
  <c r="E844" i="7"/>
  <c r="E845" i="7"/>
  <c r="E846" i="7"/>
  <c r="E847" i="7"/>
  <c r="E848" i="7"/>
  <c r="E849" i="7"/>
  <c r="E850" i="7"/>
  <c r="E851" i="7"/>
  <c r="E852" i="7"/>
  <c r="E853" i="7"/>
  <c r="E854" i="7"/>
  <c r="E855" i="7"/>
  <c r="E856" i="7"/>
  <c r="E857" i="7"/>
  <c r="E858" i="7"/>
  <c r="E859" i="7"/>
  <c r="E860" i="7"/>
  <c r="E861" i="7"/>
  <c r="E862" i="7"/>
  <c r="E863" i="7"/>
  <c r="E864" i="7"/>
  <c r="E865" i="7"/>
  <c r="E866" i="7"/>
  <c r="E867" i="7"/>
  <c r="E868" i="7"/>
  <c r="E869" i="7"/>
  <c r="E870" i="7"/>
  <c r="E871" i="7"/>
  <c r="E872" i="7"/>
  <c r="E873" i="7"/>
  <c r="E874" i="7"/>
  <c r="E875" i="7"/>
  <c r="E876" i="7"/>
  <c r="E877" i="7"/>
  <c r="E878" i="7"/>
  <c r="E879" i="7"/>
  <c r="E880" i="7"/>
  <c r="E881" i="7"/>
  <c r="E882" i="7"/>
  <c r="E883" i="7"/>
  <c r="E884" i="7"/>
  <c r="E885" i="7"/>
  <c r="E886" i="7"/>
  <c r="E887" i="7"/>
  <c r="E888" i="7"/>
  <c r="E889" i="7"/>
  <c r="E890" i="7"/>
  <c r="E891" i="7"/>
  <c r="E892" i="7"/>
  <c r="E893" i="7"/>
  <c r="E894" i="7"/>
  <c r="E895" i="7"/>
  <c r="E896" i="7"/>
  <c r="E897" i="7"/>
  <c r="E898" i="7"/>
  <c r="E899" i="7"/>
  <c r="E900" i="7"/>
  <c r="E901" i="7"/>
  <c r="E902" i="7"/>
  <c r="E903" i="7"/>
  <c r="E904" i="7"/>
  <c r="E905" i="7"/>
  <c r="E906" i="7"/>
  <c r="E907" i="7"/>
  <c r="E908" i="7"/>
  <c r="E909" i="7"/>
  <c r="E910" i="7"/>
  <c r="E911" i="7"/>
  <c r="E912" i="7"/>
  <c r="E913" i="7"/>
  <c r="E914" i="7"/>
  <c r="E915" i="7"/>
  <c r="E916" i="7"/>
  <c r="E917" i="7"/>
  <c r="E918" i="7"/>
  <c r="E919" i="7"/>
  <c r="E920" i="7"/>
  <c r="E921" i="7"/>
  <c r="E922" i="7"/>
  <c r="E923" i="7"/>
  <c r="E924" i="7"/>
  <c r="E925" i="7"/>
  <c r="E926" i="7"/>
  <c r="E927" i="7"/>
  <c r="E928" i="7"/>
  <c r="E929" i="7"/>
  <c r="E930" i="7"/>
  <c r="E931" i="7"/>
  <c r="E932" i="7"/>
  <c r="E933" i="7"/>
  <c r="E934" i="7"/>
  <c r="E935" i="7"/>
  <c r="E936" i="7"/>
  <c r="E937" i="7"/>
  <c r="E938" i="7"/>
  <c r="E939" i="7"/>
  <c r="E940" i="7"/>
  <c r="E941" i="7"/>
  <c r="E942" i="7"/>
  <c r="E943" i="7"/>
  <c r="E944" i="7"/>
  <c r="E945" i="7"/>
  <c r="E946" i="7"/>
  <c r="E947" i="7"/>
  <c r="E948" i="7"/>
  <c r="E949" i="7"/>
  <c r="E950" i="7"/>
  <c r="E951" i="7"/>
  <c r="E952" i="7"/>
  <c r="E953" i="7"/>
  <c r="E954" i="7"/>
  <c r="E955" i="7"/>
  <c r="E956" i="7"/>
  <c r="E957" i="7"/>
  <c r="E958" i="7"/>
  <c r="E959" i="7"/>
  <c r="E960" i="7"/>
  <c r="E961" i="7"/>
  <c r="E962" i="7"/>
  <c r="E963" i="7"/>
  <c r="E964" i="7"/>
  <c r="E965" i="7"/>
  <c r="E966" i="7"/>
  <c r="E967" i="7"/>
  <c r="E968" i="7"/>
  <c r="E969" i="7"/>
  <c r="E970" i="7"/>
  <c r="E971" i="7"/>
  <c r="E972" i="7"/>
  <c r="E973" i="7"/>
  <c r="E974" i="7"/>
  <c r="E975" i="7"/>
  <c r="E976" i="7"/>
  <c r="E977" i="7"/>
  <c r="E978" i="7"/>
  <c r="E979" i="7"/>
  <c r="E980" i="7"/>
  <c r="E981" i="7"/>
  <c r="E982" i="7"/>
  <c r="E983" i="7"/>
  <c r="E984" i="7"/>
  <c r="E985" i="7"/>
  <c r="E986" i="7"/>
  <c r="E987" i="7"/>
  <c r="E988" i="7"/>
  <c r="E989" i="7"/>
  <c r="E990" i="7"/>
  <c r="E991" i="7"/>
  <c r="E992" i="7"/>
  <c r="E993" i="7"/>
  <c r="E994" i="7"/>
  <c r="E995" i="7"/>
  <c r="E996" i="7"/>
  <c r="E997" i="7"/>
  <c r="E998" i="7"/>
  <c r="E999" i="7"/>
  <c r="E1000" i="7"/>
  <c r="E2" i="7"/>
  <c r="A3" i="7"/>
  <c r="B3" i="7"/>
  <c r="C3" i="7"/>
  <c r="D3" i="7"/>
  <c r="A4" i="7"/>
  <c r="B4" i="7"/>
  <c r="C4" i="7"/>
  <c r="D4" i="7"/>
  <c r="A5" i="7"/>
  <c r="B5" i="7"/>
  <c r="C5" i="7"/>
  <c r="F5" i="7"/>
  <c r="D5" i="7"/>
  <c r="A6" i="7"/>
  <c r="B6" i="7"/>
  <c r="C6" i="7"/>
  <c r="G6" i="7"/>
  <c r="D6" i="7"/>
  <c r="A7" i="7"/>
  <c r="B7" i="7"/>
  <c r="C7" i="7"/>
  <c r="G7" i="7"/>
  <c r="D7" i="7"/>
  <c r="A8" i="7"/>
  <c r="B8" i="7"/>
  <c r="C8" i="7"/>
  <c r="G8" i="7"/>
  <c r="D8" i="7"/>
  <c r="A9" i="7"/>
  <c r="B9" i="7"/>
  <c r="C9" i="7"/>
  <c r="D9" i="7"/>
  <c r="A10" i="7"/>
  <c r="B10" i="7"/>
  <c r="C10" i="7"/>
  <c r="G10" i="7"/>
  <c r="D10" i="7"/>
  <c r="A11" i="7"/>
  <c r="B11" i="7"/>
  <c r="C11" i="7"/>
  <c r="G11" i="7"/>
  <c r="D11" i="7"/>
  <c r="A12" i="7"/>
  <c r="B12" i="7"/>
  <c r="C12" i="7"/>
  <c r="G12" i="7"/>
  <c r="D12" i="7"/>
  <c r="A13" i="7"/>
  <c r="B13" i="7"/>
  <c r="C13" i="7"/>
  <c r="G13" i="7"/>
  <c r="D13" i="7"/>
  <c r="A14" i="7"/>
  <c r="B14" i="7"/>
  <c r="C14" i="7"/>
  <c r="G14" i="7"/>
  <c r="D14" i="7"/>
  <c r="A15" i="7"/>
  <c r="B15" i="7"/>
  <c r="C15" i="7"/>
  <c r="D15" i="7"/>
  <c r="A16" i="7"/>
  <c r="B16" i="7"/>
  <c r="C16" i="7"/>
  <c r="F16" i="7"/>
  <c r="D16" i="7"/>
  <c r="A17" i="7"/>
  <c r="B17" i="7"/>
  <c r="C17" i="7"/>
  <c r="F17" i="7"/>
  <c r="D17" i="7"/>
  <c r="A18" i="7"/>
  <c r="B18" i="7"/>
  <c r="C18" i="7"/>
  <c r="F18" i="7"/>
  <c r="D18" i="7"/>
  <c r="A19" i="7"/>
  <c r="B19" i="7"/>
  <c r="C19" i="7"/>
  <c r="G19" i="7"/>
  <c r="D19" i="7"/>
  <c r="A20" i="7"/>
  <c r="B20" i="7"/>
  <c r="C20" i="7"/>
  <c r="F20" i="7"/>
  <c r="D20" i="7"/>
  <c r="A21" i="7"/>
  <c r="B21" i="7"/>
  <c r="C21" i="7"/>
  <c r="F21" i="7"/>
  <c r="D21" i="7"/>
  <c r="A22" i="7"/>
  <c r="B22" i="7"/>
  <c r="C22" i="7"/>
  <c r="F22" i="7"/>
  <c r="D22" i="7"/>
  <c r="A23" i="7"/>
  <c r="B23" i="7"/>
  <c r="C23" i="7"/>
  <c r="G23" i="7"/>
  <c r="D23" i="7"/>
  <c r="A24" i="7"/>
  <c r="B24" i="7"/>
  <c r="C24" i="7"/>
  <c r="F24" i="7"/>
  <c r="D24" i="7"/>
  <c r="A25" i="7"/>
  <c r="B25" i="7"/>
  <c r="C25" i="7"/>
  <c r="F25" i="7"/>
  <c r="D25" i="7"/>
  <c r="A26" i="7"/>
  <c r="B26" i="7"/>
  <c r="C26" i="7"/>
  <c r="G26" i="7"/>
  <c r="D26" i="7"/>
  <c r="A27" i="7"/>
  <c r="B27" i="7"/>
  <c r="C27" i="7"/>
  <c r="D27" i="7"/>
  <c r="A28" i="7"/>
  <c r="B28" i="7"/>
  <c r="C28" i="7"/>
  <c r="G28" i="7"/>
  <c r="D28" i="7"/>
  <c r="A29" i="7"/>
  <c r="B29" i="7"/>
  <c r="C29" i="7"/>
  <c r="F29" i="7"/>
  <c r="D29" i="7"/>
  <c r="A30" i="7"/>
  <c r="B30" i="7"/>
  <c r="C30" i="7"/>
  <c r="G30" i="7"/>
  <c r="D30" i="7"/>
  <c r="A31" i="7"/>
  <c r="B31" i="7"/>
  <c r="C31" i="7"/>
  <c r="D31" i="7"/>
  <c r="A32" i="7"/>
  <c r="B32" i="7"/>
  <c r="C32" i="7"/>
  <c r="F32" i="7"/>
  <c r="D32" i="7"/>
  <c r="A33" i="7"/>
  <c r="B33" i="7"/>
  <c r="C33" i="7"/>
  <c r="G33" i="7"/>
  <c r="D33" i="7"/>
  <c r="A34" i="7"/>
  <c r="B34" i="7"/>
  <c r="C34" i="7"/>
  <c r="G34" i="7"/>
  <c r="D34" i="7"/>
  <c r="A35" i="7"/>
  <c r="B35" i="7"/>
  <c r="C35" i="7"/>
  <c r="G35" i="7"/>
  <c r="D35" i="7"/>
  <c r="A36" i="7"/>
  <c r="B36" i="7"/>
  <c r="C36" i="7"/>
  <c r="G36" i="7"/>
  <c r="D36" i="7"/>
  <c r="A37" i="7"/>
  <c r="B37" i="7"/>
  <c r="C37" i="7"/>
  <c r="G37" i="7"/>
  <c r="D37" i="7"/>
  <c r="A38" i="7"/>
  <c r="B38" i="7"/>
  <c r="C38" i="7"/>
  <c r="F38" i="7"/>
  <c r="D38" i="7"/>
  <c r="A39" i="7"/>
  <c r="B39" i="7"/>
  <c r="C39" i="7"/>
  <c r="G39" i="7"/>
  <c r="D39" i="7"/>
  <c r="A40" i="7"/>
  <c r="B40" i="7"/>
  <c r="C40" i="7"/>
  <c r="G40" i="7"/>
  <c r="D40" i="7"/>
  <c r="A41" i="7"/>
  <c r="B41" i="7"/>
  <c r="C41" i="7"/>
  <c r="G41" i="7"/>
  <c r="D41" i="7"/>
  <c r="A42" i="7"/>
  <c r="B42" i="7"/>
  <c r="C42" i="7"/>
  <c r="D42" i="7"/>
  <c r="A43" i="7"/>
  <c r="B43" i="7"/>
  <c r="C43" i="7"/>
  <c r="F43" i="7"/>
  <c r="D43" i="7"/>
  <c r="A44" i="7"/>
  <c r="B44" i="7"/>
  <c r="C44" i="7"/>
  <c r="G44" i="7"/>
  <c r="D44" i="7"/>
  <c r="A45" i="7"/>
  <c r="B45" i="7"/>
  <c r="C45" i="7"/>
  <c r="F45" i="7"/>
  <c r="D45" i="7"/>
  <c r="A46" i="7"/>
  <c r="B46" i="7"/>
  <c r="C46" i="7"/>
  <c r="F46" i="7"/>
  <c r="D46" i="7"/>
  <c r="A47" i="7"/>
  <c r="B47" i="7"/>
  <c r="C47" i="7"/>
  <c r="D47" i="7"/>
  <c r="A48" i="7"/>
  <c r="B48" i="7"/>
  <c r="C48" i="7"/>
  <c r="G48" i="7"/>
  <c r="D48" i="7"/>
  <c r="A49" i="7"/>
  <c r="B49" i="7"/>
  <c r="C49" i="7"/>
  <c r="F49" i="7"/>
  <c r="D49" i="7"/>
  <c r="A50" i="7"/>
  <c r="B50" i="7"/>
  <c r="C50" i="7"/>
  <c r="G50" i="7"/>
  <c r="D50" i="7"/>
  <c r="A51" i="7"/>
  <c r="B51" i="7"/>
  <c r="C51" i="7"/>
  <c r="D51" i="7"/>
  <c r="A52" i="7"/>
  <c r="B52" i="7"/>
  <c r="C52" i="7"/>
  <c r="D52" i="7"/>
  <c r="A53" i="7"/>
  <c r="B53" i="7"/>
  <c r="C53" i="7"/>
  <c r="G53" i="7"/>
  <c r="D53" i="7"/>
  <c r="A54" i="7"/>
  <c r="B54" i="7"/>
  <c r="C54" i="7"/>
  <c r="F54" i="7"/>
  <c r="D54" i="7"/>
  <c r="A55" i="7"/>
  <c r="B55" i="7"/>
  <c r="C55" i="7"/>
  <c r="F55" i="7"/>
  <c r="D55" i="7"/>
  <c r="A56" i="7"/>
  <c r="B56" i="7"/>
  <c r="C56" i="7"/>
  <c r="D56" i="7"/>
  <c r="A57" i="7"/>
  <c r="B57" i="7"/>
  <c r="C57" i="7"/>
  <c r="F57" i="7"/>
  <c r="D57" i="7"/>
  <c r="A58" i="7"/>
  <c r="B58" i="7"/>
  <c r="C58" i="7"/>
  <c r="G58" i="7"/>
  <c r="D58" i="7"/>
  <c r="A59" i="7"/>
  <c r="B59" i="7"/>
  <c r="C59" i="7"/>
  <c r="F59" i="7"/>
  <c r="D59" i="7"/>
  <c r="A60" i="7"/>
  <c r="B60" i="7"/>
  <c r="C60" i="7"/>
  <c r="F60" i="7"/>
  <c r="D60" i="7"/>
  <c r="A61" i="7"/>
  <c r="B61" i="7"/>
  <c r="C61" i="7"/>
  <c r="G61" i="7"/>
  <c r="D61" i="7"/>
  <c r="A62" i="7"/>
  <c r="B62" i="7"/>
  <c r="C62" i="7"/>
  <c r="G62" i="7"/>
  <c r="D62" i="7"/>
  <c r="A63" i="7"/>
  <c r="B63" i="7"/>
  <c r="C63" i="7"/>
  <c r="F63" i="7"/>
  <c r="D63" i="7"/>
  <c r="A64" i="7"/>
  <c r="B64" i="7"/>
  <c r="C64" i="7"/>
  <c r="D64" i="7"/>
  <c r="A65" i="7"/>
  <c r="B65" i="7"/>
  <c r="C65" i="7"/>
  <c r="F65" i="7"/>
  <c r="D65" i="7"/>
  <c r="A66" i="7"/>
  <c r="B66" i="7"/>
  <c r="C66" i="7"/>
  <c r="G66" i="7"/>
  <c r="D66" i="7"/>
  <c r="A67" i="7"/>
  <c r="B67" i="7"/>
  <c r="C67" i="7"/>
  <c r="G67" i="7"/>
  <c r="D67" i="7"/>
  <c r="A68" i="7"/>
  <c r="B68" i="7"/>
  <c r="C68" i="7"/>
  <c r="D68" i="7"/>
  <c r="A69" i="7"/>
  <c r="B69" i="7"/>
  <c r="C69" i="7"/>
  <c r="G69" i="7"/>
  <c r="D69" i="7"/>
  <c r="A70" i="7"/>
  <c r="B70" i="7"/>
  <c r="C70" i="7"/>
  <c r="D70" i="7"/>
  <c r="A71" i="7"/>
  <c r="B71" i="7"/>
  <c r="C71" i="7"/>
  <c r="D71" i="7"/>
  <c r="A72" i="7"/>
  <c r="B72" i="7"/>
  <c r="C72" i="7"/>
  <c r="D72" i="7"/>
  <c r="A73" i="7"/>
  <c r="B73" i="7"/>
  <c r="C73" i="7"/>
  <c r="G73" i="7"/>
  <c r="D73" i="7"/>
  <c r="A74" i="7"/>
  <c r="B74" i="7"/>
  <c r="C74" i="7"/>
  <c r="G74" i="7"/>
  <c r="D74" i="7"/>
  <c r="A75" i="7"/>
  <c r="B75" i="7"/>
  <c r="C75" i="7"/>
  <c r="G75" i="7"/>
  <c r="D75" i="7"/>
  <c r="A76" i="7"/>
  <c r="B76" i="7"/>
  <c r="C76" i="7"/>
  <c r="F76" i="7"/>
  <c r="D76" i="7"/>
  <c r="A77" i="7"/>
  <c r="B77" i="7"/>
  <c r="C77" i="7"/>
  <c r="F77" i="7"/>
  <c r="D77" i="7"/>
  <c r="A78" i="7"/>
  <c r="B78" i="7"/>
  <c r="C78" i="7"/>
  <c r="F78" i="7"/>
  <c r="D78" i="7"/>
  <c r="A79" i="7"/>
  <c r="B79" i="7"/>
  <c r="C79" i="7"/>
  <c r="G79" i="7"/>
  <c r="D79" i="7"/>
  <c r="A80" i="7"/>
  <c r="B80" i="7"/>
  <c r="C80" i="7"/>
  <c r="F80" i="7"/>
  <c r="D80" i="7"/>
  <c r="A81" i="7"/>
  <c r="B81" i="7"/>
  <c r="C81" i="7"/>
  <c r="D81" i="7"/>
  <c r="A82" i="7"/>
  <c r="B82" i="7"/>
  <c r="C82" i="7"/>
  <c r="G82" i="7"/>
  <c r="D82" i="7"/>
  <c r="A83" i="7"/>
  <c r="B83" i="7"/>
  <c r="C83" i="7"/>
  <c r="D83" i="7"/>
  <c r="A84" i="7"/>
  <c r="B84" i="7"/>
  <c r="C84" i="7"/>
  <c r="G84" i="7"/>
  <c r="D84" i="7"/>
  <c r="A85" i="7"/>
  <c r="B85" i="7"/>
  <c r="C85" i="7"/>
  <c r="G85" i="7"/>
  <c r="D85" i="7"/>
  <c r="A86" i="7"/>
  <c r="B86" i="7"/>
  <c r="C86" i="7"/>
  <c r="F86" i="7"/>
  <c r="D86" i="7"/>
  <c r="A87" i="7"/>
  <c r="B87" i="7"/>
  <c r="C87" i="7"/>
  <c r="F87" i="7"/>
  <c r="D87" i="7"/>
  <c r="A88" i="7"/>
  <c r="B88" i="7"/>
  <c r="C88" i="7"/>
  <c r="F88" i="7"/>
  <c r="D88" i="7"/>
  <c r="A89" i="7"/>
  <c r="B89" i="7"/>
  <c r="C89" i="7"/>
  <c r="F89" i="7"/>
  <c r="D89" i="7"/>
  <c r="A90" i="7"/>
  <c r="B90" i="7"/>
  <c r="C90" i="7"/>
  <c r="F90" i="7"/>
  <c r="D90" i="7"/>
  <c r="A91" i="7"/>
  <c r="B91" i="7"/>
  <c r="C91" i="7"/>
  <c r="F91" i="7"/>
  <c r="D91" i="7"/>
  <c r="A92" i="7"/>
  <c r="B92" i="7"/>
  <c r="C92" i="7"/>
  <c r="D92" i="7"/>
  <c r="A93" i="7"/>
  <c r="B93" i="7"/>
  <c r="C93" i="7"/>
  <c r="F93" i="7"/>
  <c r="D93" i="7"/>
  <c r="A94" i="7"/>
  <c r="B94" i="7"/>
  <c r="C94" i="7"/>
  <c r="F94" i="7"/>
  <c r="D94" i="7"/>
  <c r="A95" i="7"/>
  <c r="B95" i="7"/>
  <c r="C95" i="7"/>
  <c r="G95" i="7"/>
  <c r="D95" i="7"/>
  <c r="A96" i="7"/>
  <c r="B96" i="7"/>
  <c r="C96" i="7"/>
  <c r="G96" i="7"/>
  <c r="D96" i="7"/>
  <c r="A97" i="7"/>
  <c r="B97" i="7"/>
  <c r="C97" i="7"/>
  <c r="F97" i="7"/>
  <c r="D97" i="7"/>
  <c r="A98" i="7"/>
  <c r="B98" i="7"/>
  <c r="C98" i="7"/>
  <c r="F98" i="7"/>
  <c r="D98" i="7"/>
  <c r="A99" i="7"/>
  <c r="B99" i="7"/>
  <c r="C99" i="7"/>
  <c r="F99" i="7"/>
  <c r="D99" i="7"/>
  <c r="A100" i="7"/>
  <c r="B100" i="7"/>
  <c r="C100" i="7"/>
  <c r="D100" i="7"/>
  <c r="A101" i="7"/>
  <c r="B101" i="7"/>
  <c r="C101" i="7"/>
  <c r="D101" i="7"/>
  <c r="A102" i="7"/>
  <c r="B102" i="7"/>
  <c r="C102" i="7"/>
  <c r="F102" i="7"/>
  <c r="D102" i="7"/>
  <c r="A103" i="7"/>
  <c r="B103" i="7"/>
  <c r="C103" i="7"/>
  <c r="D103" i="7"/>
  <c r="A104" i="7"/>
  <c r="B104" i="7"/>
  <c r="C104" i="7"/>
  <c r="D104" i="7"/>
  <c r="A105" i="7"/>
  <c r="B105" i="7"/>
  <c r="C105" i="7"/>
  <c r="G105" i="7"/>
  <c r="D105" i="7"/>
  <c r="A106" i="7"/>
  <c r="B106" i="7"/>
  <c r="C106" i="7"/>
  <c r="G106" i="7"/>
  <c r="D106" i="7"/>
  <c r="A107" i="7"/>
  <c r="B107" i="7"/>
  <c r="C107" i="7"/>
  <c r="F107" i="7"/>
  <c r="D107" i="7"/>
  <c r="A108" i="7"/>
  <c r="B108" i="7"/>
  <c r="C108" i="7"/>
  <c r="F108" i="7"/>
  <c r="D108" i="7"/>
  <c r="A109" i="7"/>
  <c r="B109" i="7"/>
  <c r="C109" i="7"/>
  <c r="F109" i="7"/>
  <c r="D109" i="7"/>
  <c r="A110" i="7"/>
  <c r="B110" i="7"/>
  <c r="C110" i="7"/>
  <c r="F110" i="7"/>
  <c r="D110" i="7"/>
  <c r="A111" i="7"/>
  <c r="B111" i="7"/>
  <c r="C111" i="7"/>
  <c r="D111" i="7"/>
  <c r="A112" i="7"/>
  <c r="B112" i="7"/>
  <c r="C112" i="7"/>
  <c r="G112" i="7"/>
  <c r="D112" i="7"/>
  <c r="A113" i="7"/>
  <c r="B113" i="7"/>
  <c r="C113" i="7"/>
  <c r="F113" i="7"/>
  <c r="D113" i="7"/>
  <c r="A114" i="7"/>
  <c r="B114" i="7"/>
  <c r="C114" i="7"/>
  <c r="D114" i="7"/>
  <c r="A115" i="7"/>
  <c r="B115" i="7"/>
  <c r="C115" i="7"/>
  <c r="D115" i="7"/>
  <c r="A116" i="7"/>
  <c r="B116" i="7"/>
  <c r="C116" i="7"/>
  <c r="G116" i="7"/>
  <c r="D116" i="7"/>
  <c r="A117" i="7"/>
  <c r="B117" i="7"/>
  <c r="C117" i="7"/>
  <c r="F117" i="7"/>
  <c r="D117" i="7"/>
  <c r="A118" i="7"/>
  <c r="B118" i="7"/>
  <c r="C118" i="7"/>
  <c r="G118" i="7"/>
  <c r="D118" i="7"/>
  <c r="A119" i="7"/>
  <c r="B119" i="7"/>
  <c r="C119" i="7"/>
  <c r="G119" i="7"/>
  <c r="D119" i="7"/>
  <c r="A120" i="7"/>
  <c r="B120" i="7"/>
  <c r="C120" i="7"/>
  <c r="F120" i="7"/>
  <c r="D120" i="7"/>
  <c r="A121" i="7"/>
  <c r="B121" i="7"/>
  <c r="C121" i="7"/>
  <c r="D121" i="7"/>
  <c r="A122" i="7"/>
  <c r="B122" i="7"/>
  <c r="C122" i="7"/>
  <c r="F122" i="7"/>
  <c r="D122" i="7"/>
  <c r="A123" i="7"/>
  <c r="B123" i="7"/>
  <c r="C123" i="7"/>
  <c r="F123" i="7"/>
  <c r="D123" i="7"/>
  <c r="A124" i="7"/>
  <c r="B124" i="7"/>
  <c r="C124" i="7"/>
  <c r="F124" i="7"/>
  <c r="D124" i="7"/>
  <c r="A125" i="7"/>
  <c r="B125" i="7"/>
  <c r="C125" i="7"/>
  <c r="F125" i="7"/>
  <c r="D125" i="7"/>
  <c r="A126" i="7"/>
  <c r="B126" i="7"/>
  <c r="C126" i="7"/>
  <c r="F126" i="7"/>
  <c r="D126" i="7"/>
  <c r="A127" i="7"/>
  <c r="B127" i="7"/>
  <c r="C127" i="7"/>
  <c r="F127" i="7"/>
  <c r="D127" i="7"/>
  <c r="A128" i="7"/>
  <c r="B128" i="7"/>
  <c r="C128" i="7"/>
  <c r="G128" i="7"/>
  <c r="D128" i="7"/>
  <c r="A129" i="7"/>
  <c r="B129" i="7"/>
  <c r="C129" i="7"/>
  <c r="D129" i="7"/>
  <c r="A130" i="7"/>
  <c r="B130" i="7"/>
  <c r="C130" i="7"/>
  <c r="G130" i="7"/>
  <c r="D130" i="7"/>
  <c r="A131" i="7"/>
  <c r="B131" i="7"/>
  <c r="C131" i="7"/>
  <c r="D131" i="7"/>
  <c r="A132" i="7"/>
  <c r="B132" i="7"/>
  <c r="C132" i="7"/>
  <c r="G132" i="7"/>
  <c r="D132" i="7"/>
  <c r="A133" i="7"/>
  <c r="B133" i="7"/>
  <c r="C133" i="7"/>
  <c r="F133" i="7"/>
  <c r="D133" i="7"/>
  <c r="A134" i="7"/>
  <c r="B134" i="7"/>
  <c r="C134" i="7"/>
  <c r="G134" i="7"/>
  <c r="D134" i="7"/>
  <c r="A135" i="7"/>
  <c r="B135" i="7"/>
  <c r="C135" i="7"/>
  <c r="F135" i="7"/>
  <c r="D135" i="7"/>
  <c r="A136" i="7"/>
  <c r="B136" i="7"/>
  <c r="C136" i="7"/>
  <c r="F136" i="7"/>
  <c r="D136" i="7"/>
  <c r="A137" i="7"/>
  <c r="B137" i="7"/>
  <c r="C137" i="7"/>
  <c r="F137" i="7"/>
  <c r="D137" i="7"/>
  <c r="A138" i="7"/>
  <c r="B138" i="7"/>
  <c r="C138" i="7"/>
  <c r="F138" i="7"/>
  <c r="D138" i="7"/>
  <c r="A139" i="7"/>
  <c r="B139" i="7"/>
  <c r="C139" i="7"/>
  <c r="D139" i="7"/>
  <c r="A140" i="7"/>
  <c r="B140" i="7"/>
  <c r="C140" i="7"/>
  <c r="D140" i="7"/>
  <c r="A141" i="7"/>
  <c r="B141" i="7"/>
  <c r="C141" i="7"/>
  <c r="F141" i="7"/>
  <c r="D141" i="7"/>
  <c r="A142" i="7"/>
  <c r="B142" i="7"/>
  <c r="C142" i="7"/>
  <c r="D142" i="7"/>
  <c r="A143" i="7"/>
  <c r="B143" i="7"/>
  <c r="C143" i="7"/>
  <c r="D143" i="7"/>
  <c r="A144" i="7"/>
  <c r="B144" i="7"/>
  <c r="C144" i="7"/>
  <c r="G144" i="7"/>
  <c r="D144" i="7"/>
  <c r="A145" i="7"/>
  <c r="B145" i="7"/>
  <c r="C145" i="7"/>
  <c r="F145" i="7"/>
  <c r="D145" i="7"/>
  <c r="A146" i="7"/>
  <c r="B146" i="7"/>
  <c r="C146" i="7"/>
  <c r="D146" i="7"/>
  <c r="A147" i="7"/>
  <c r="B147" i="7"/>
  <c r="C147" i="7"/>
  <c r="D147" i="7"/>
  <c r="A148" i="7"/>
  <c r="B148" i="7"/>
  <c r="C148" i="7"/>
  <c r="G148" i="7"/>
  <c r="D148" i="7"/>
  <c r="A149" i="7"/>
  <c r="B149" i="7"/>
  <c r="C149" i="7"/>
  <c r="G149" i="7"/>
  <c r="D149" i="7"/>
  <c r="A150" i="7"/>
  <c r="B150" i="7"/>
  <c r="C150" i="7"/>
  <c r="G150" i="7"/>
  <c r="D150" i="7"/>
  <c r="A151" i="7"/>
  <c r="B151" i="7"/>
  <c r="C151" i="7"/>
  <c r="G151" i="7"/>
  <c r="D151" i="7"/>
  <c r="A152" i="7"/>
  <c r="B152" i="7"/>
  <c r="C152" i="7"/>
  <c r="D152" i="7"/>
  <c r="A153" i="7"/>
  <c r="B153" i="7"/>
  <c r="C153" i="7"/>
  <c r="F153" i="7"/>
  <c r="D153" i="7"/>
  <c r="A154" i="7"/>
  <c r="B154" i="7"/>
  <c r="C154" i="7"/>
  <c r="D154" i="7"/>
  <c r="A155" i="7"/>
  <c r="B155" i="7"/>
  <c r="C155" i="7"/>
  <c r="G155" i="7"/>
  <c r="D155" i="7"/>
  <c r="A156" i="7"/>
  <c r="B156" i="7"/>
  <c r="C156" i="7"/>
  <c r="D156" i="7"/>
  <c r="A157" i="7"/>
  <c r="B157" i="7"/>
  <c r="C157" i="7"/>
  <c r="G157" i="7"/>
  <c r="D157" i="7"/>
  <c r="A158" i="7"/>
  <c r="B158" i="7"/>
  <c r="C158" i="7"/>
  <c r="D158" i="7"/>
  <c r="A159" i="7"/>
  <c r="B159" i="7"/>
  <c r="C159" i="7"/>
  <c r="G159" i="7"/>
  <c r="D159" i="7"/>
  <c r="A160" i="7"/>
  <c r="B160" i="7"/>
  <c r="C160" i="7"/>
  <c r="G160" i="7"/>
  <c r="D160" i="7"/>
  <c r="A161" i="7"/>
  <c r="B161" i="7"/>
  <c r="C161" i="7"/>
  <c r="F161" i="7"/>
  <c r="D161" i="7"/>
  <c r="A162" i="7"/>
  <c r="B162" i="7"/>
  <c r="C162" i="7"/>
  <c r="D162" i="7"/>
  <c r="A163" i="7"/>
  <c r="B163" i="7"/>
  <c r="C163" i="7"/>
  <c r="F163" i="7"/>
  <c r="D163" i="7"/>
  <c r="A164" i="7"/>
  <c r="B164" i="7"/>
  <c r="C164" i="7"/>
  <c r="G164" i="7"/>
  <c r="D164" i="7"/>
  <c r="A165" i="7"/>
  <c r="B165" i="7"/>
  <c r="C165" i="7"/>
  <c r="D165" i="7"/>
  <c r="A166" i="7"/>
  <c r="B166" i="7"/>
  <c r="C166" i="7"/>
  <c r="F166" i="7"/>
  <c r="D166" i="7"/>
  <c r="A167" i="7"/>
  <c r="B167" i="7"/>
  <c r="C167" i="7"/>
  <c r="D167" i="7"/>
  <c r="A168" i="7"/>
  <c r="B168" i="7"/>
  <c r="C168" i="7"/>
  <c r="F168" i="7"/>
  <c r="D168" i="7"/>
  <c r="A169" i="7"/>
  <c r="B169" i="7"/>
  <c r="C169" i="7"/>
  <c r="G169" i="7"/>
  <c r="D169" i="7"/>
  <c r="A170" i="7"/>
  <c r="B170" i="7"/>
  <c r="C170" i="7"/>
  <c r="G170" i="7"/>
  <c r="D170" i="7"/>
  <c r="A171" i="7"/>
  <c r="B171" i="7"/>
  <c r="C171" i="7"/>
  <c r="G171" i="7"/>
  <c r="D171" i="7"/>
  <c r="A172" i="7"/>
  <c r="B172" i="7"/>
  <c r="C172" i="7"/>
  <c r="D172" i="7"/>
  <c r="A173" i="7"/>
  <c r="B173" i="7"/>
  <c r="C173" i="7"/>
  <c r="F173" i="7"/>
  <c r="D173" i="7"/>
  <c r="A174" i="7"/>
  <c r="B174" i="7"/>
  <c r="C174" i="7"/>
  <c r="G174" i="7"/>
  <c r="D174" i="7"/>
  <c r="A175" i="7"/>
  <c r="B175" i="7"/>
  <c r="C175" i="7"/>
  <c r="F175" i="7"/>
  <c r="D175" i="7"/>
  <c r="A176" i="7"/>
  <c r="B176" i="7"/>
  <c r="C176" i="7"/>
  <c r="F176" i="7"/>
  <c r="D176" i="7"/>
  <c r="A177" i="7"/>
  <c r="B177" i="7"/>
  <c r="C177" i="7"/>
  <c r="G177" i="7"/>
  <c r="D177" i="7"/>
  <c r="A178" i="7"/>
  <c r="B178" i="7"/>
  <c r="C178" i="7"/>
  <c r="D178" i="7"/>
  <c r="A179" i="7"/>
  <c r="B179" i="7"/>
  <c r="C179" i="7"/>
  <c r="G179" i="7"/>
  <c r="D179" i="7"/>
  <c r="A180" i="7"/>
  <c r="B180" i="7"/>
  <c r="C180" i="7"/>
  <c r="F180" i="7"/>
  <c r="D180" i="7"/>
  <c r="A181" i="7"/>
  <c r="B181" i="7"/>
  <c r="C181" i="7"/>
  <c r="D181" i="7"/>
  <c r="A182" i="7"/>
  <c r="B182" i="7"/>
  <c r="C182" i="7"/>
  <c r="D182" i="7"/>
  <c r="A183" i="7"/>
  <c r="B183" i="7"/>
  <c r="C183" i="7"/>
  <c r="F183" i="7"/>
  <c r="D183" i="7"/>
  <c r="A184" i="7"/>
  <c r="B184" i="7"/>
  <c r="C184" i="7"/>
  <c r="G184" i="7"/>
  <c r="D184" i="7"/>
  <c r="A185" i="7"/>
  <c r="B185" i="7"/>
  <c r="C185" i="7"/>
  <c r="F185" i="7"/>
  <c r="D185" i="7"/>
  <c r="A186" i="7"/>
  <c r="B186" i="7"/>
  <c r="C186" i="7"/>
  <c r="F186" i="7"/>
  <c r="D186" i="7"/>
  <c r="A187" i="7"/>
  <c r="B187" i="7"/>
  <c r="C187" i="7"/>
  <c r="F187" i="7"/>
  <c r="D187" i="7"/>
  <c r="A188" i="7"/>
  <c r="B188" i="7"/>
  <c r="C188" i="7"/>
  <c r="F188" i="7"/>
  <c r="D188" i="7"/>
  <c r="A189" i="7"/>
  <c r="B189" i="7"/>
  <c r="C189" i="7"/>
  <c r="G189" i="7"/>
  <c r="D189" i="7"/>
  <c r="A190" i="7"/>
  <c r="B190" i="7"/>
  <c r="C190" i="7"/>
  <c r="F190" i="7"/>
  <c r="D190" i="7"/>
  <c r="A191" i="7"/>
  <c r="B191" i="7"/>
  <c r="C191" i="7"/>
  <c r="G191" i="7"/>
  <c r="D191" i="7"/>
  <c r="A192" i="7"/>
  <c r="B192" i="7"/>
  <c r="C192" i="7"/>
  <c r="G192" i="7"/>
  <c r="D192" i="7"/>
  <c r="A193" i="7"/>
  <c r="B193" i="7"/>
  <c r="C193" i="7"/>
  <c r="D193" i="7"/>
  <c r="A194" i="7"/>
  <c r="B194" i="7"/>
  <c r="C194" i="7"/>
  <c r="G194" i="7"/>
  <c r="D194" i="7"/>
  <c r="A195" i="7"/>
  <c r="B195" i="7"/>
  <c r="C195" i="7"/>
  <c r="G195" i="7"/>
  <c r="D195" i="7"/>
  <c r="A196" i="7"/>
  <c r="B196" i="7"/>
  <c r="C196" i="7"/>
  <c r="F196" i="7"/>
  <c r="D196" i="7"/>
  <c r="A197" i="7"/>
  <c r="B197" i="7"/>
  <c r="C197" i="7"/>
  <c r="F197" i="7"/>
  <c r="D197" i="7"/>
  <c r="A198" i="7"/>
  <c r="B198" i="7"/>
  <c r="C198" i="7"/>
  <c r="D198" i="7"/>
  <c r="A199" i="7"/>
  <c r="B199" i="7"/>
  <c r="C199" i="7"/>
  <c r="F199" i="7"/>
  <c r="D199" i="7"/>
  <c r="A200" i="7"/>
  <c r="B200" i="7"/>
  <c r="C200" i="7"/>
  <c r="F200" i="7"/>
  <c r="D200" i="7"/>
  <c r="A201" i="7"/>
  <c r="B201" i="7"/>
  <c r="C201" i="7"/>
  <c r="F201" i="7"/>
  <c r="D201" i="7"/>
  <c r="A202" i="7"/>
  <c r="B202" i="7"/>
  <c r="C202" i="7"/>
  <c r="G202" i="7"/>
  <c r="D202" i="7"/>
  <c r="A203" i="7"/>
  <c r="B203" i="7"/>
  <c r="C203" i="7"/>
  <c r="G203" i="7"/>
  <c r="D203" i="7"/>
  <c r="A204" i="7"/>
  <c r="B204" i="7"/>
  <c r="C204" i="7"/>
  <c r="F204" i="7"/>
  <c r="D204" i="7"/>
  <c r="A205" i="7"/>
  <c r="B205" i="7"/>
  <c r="C205" i="7"/>
  <c r="F205" i="7"/>
  <c r="D205" i="7"/>
  <c r="A206" i="7"/>
  <c r="B206" i="7"/>
  <c r="C206" i="7"/>
  <c r="G206" i="7"/>
  <c r="D206" i="7"/>
  <c r="A207" i="7"/>
  <c r="B207" i="7"/>
  <c r="C207" i="7"/>
  <c r="G207" i="7"/>
  <c r="D207" i="7"/>
  <c r="A208" i="7"/>
  <c r="B208" i="7"/>
  <c r="C208" i="7"/>
  <c r="G208" i="7"/>
  <c r="D208" i="7"/>
  <c r="A209" i="7"/>
  <c r="B209" i="7"/>
  <c r="C209" i="7"/>
  <c r="F209" i="7"/>
  <c r="D209" i="7"/>
  <c r="A210" i="7"/>
  <c r="B210" i="7"/>
  <c r="C210" i="7"/>
  <c r="G210" i="7"/>
  <c r="D210" i="7"/>
  <c r="A211" i="7"/>
  <c r="B211" i="7"/>
  <c r="C211" i="7"/>
  <c r="F211" i="7"/>
  <c r="D211" i="7"/>
  <c r="A212" i="7"/>
  <c r="B212" i="7"/>
  <c r="C212" i="7"/>
  <c r="G212" i="7"/>
  <c r="D212" i="7"/>
  <c r="A213" i="7"/>
  <c r="B213" i="7"/>
  <c r="C213" i="7"/>
  <c r="G213" i="7"/>
  <c r="D213" i="7"/>
  <c r="A214" i="7"/>
  <c r="B214" i="7"/>
  <c r="C214" i="7"/>
  <c r="D214" i="7"/>
  <c r="A215" i="7"/>
  <c r="B215" i="7"/>
  <c r="C215" i="7"/>
  <c r="D215" i="7"/>
  <c r="A216" i="7"/>
  <c r="B216" i="7"/>
  <c r="C216" i="7"/>
  <c r="F216" i="7"/>
  <c r="D216" i="7"/>
  <c r="A217" i="7"/>
  <c r="B217" i="7"/>
  <c r="C217" i="7"/>
  <c r="D217" i="7"/>
  <c r="A218" i="7"/>
  <c r="B218" i="7"/>
  <c r="C218" i="7"/>
  <c r="F218" i="7"/>
  <c r="D218" i="7"/>
  <c r="A219" i="7"/>
  <c r="B219" i="7"/>
  <c r="C219" i="7"/>
  <c r="F219" i="7"/>
  <c r="D219" i="7"/>
  <c r="A220" i="7"/>
  <c r="B220" i="7"/>
  <c r="C220" i="7"/>
  <c r="D220" i="7"/>
  <c r="A221" i="7"/>
  <c r="B221" i="7"/>
  <c r="C221" i="7"/>
  <c r="G221" i="7"/>
  <c r="D221" i="7"/>
  <c r="A222" i="7"/>
  <c r="B222" i="7"/>
  <c r="C222" i="7"/>
  <c r="G222" i="7"/>
  <c r="D222" i="7"/>
  <c r="A223" i="7"/>
  <c r="B223" i="7"/>
  <c r="C223" i="7"/>
  <c r="F223" i="7"/>
  <c r="D223" i="7"/>
  <c r="A224" i="7"/>
  <c r="B224" i="7"/>
  <c r="C224" i="7"/>
  <c r="D224" i="7"/>
  <c r="A225" i="7"/>
  <c r="B225" i="7"/>
  <c r="C225" i="7"/>
  <c r="F225" i="7"/>
  <c r="D225" i="7"/>
  <c r="A226" i="7"/>
  <c r="B226" i="7"/>
  <c r="C226" i="7"/>
  <c r="G226" i="7"/>
  <c r="D226" i="7"/>
  <c r="A227" i="7"/>
  <c r="B227" i="7"/>
  <c r="C227" i="7"/>
  <c r="G227" i="7"/>
  <c r="D227" i="7"/>
  <c r="A228" i="7"/>
  <c r="B228" i="7"/>
  <c r="C228" i="7"/>
  <c r="G228" i="7"/>
  <c r="D228" i="7"/>
  <c r="A229" i="7"/>
  <c r="B229" i="7"/>
  <c r="C229" i="7"/>
  <c r="G229" i="7"/>
  <c r="D229" i="7"/>
  <c r="A230" i="7"/>
  <c r="B230" i="7"/>
  <c r="C230" i="7"/>
  <c r="F230" i="7"/>
  <c r="D230" i="7"/>
  <c r="A231" i="7"/>
  <c r="B231" i="7"/>
  <c r="C231" i="7"/>
  <c r="F231" i="7"/>
  <c r="D231" i="7"/>
  <c r="A232" i="7"/>
  <c r="B232" i="7"/>
  <c r="C232" i="7"/>
  <c r="G232" i="7"/>
  <c r="D232" i="7"/>
  <c r="A233" i="7"/>
  <c r="B233" i="7"/>
  <c r="C233" i="7"/>
  <c r="F233" i="7"/>
  <c r="D233" i="7"/>
  <c r="A234" i="7"/>
  <c r="B234" i="7"/>
  <c r="C234" i="7"/>
  <c r="G234" i="7"/>
  <c r="D234" i="7"/>
  <c r="A235" i="7"/>
  <c r="B235" i="7"/>
  <c r="C235" i="7"/>
  <c r="G235" i="7"/>
  <c r="D235" i="7"/>
  <c r="A236" i="7"/>
  <c r="B236" i="7"/>
  <c r="C236" i="7"/>
  <c r="D236" i="7"/>
  <c r="A237" i="7"/>
  <c r="B237" i="7"/>
  <c r="C237" i="7"/>
  <c r="F237" i="7"/>
  <c r="D237" i="7"/>
  <c r="A238" i="7"/>
  <c r="B238" i="7"/>
  <c r="C238" i="7"/>
  <c r="F238" i="7"/>
  <c r="D238" i="7"/>
  <c r="A239" i="7"/>
  <c r="B239" i="7"/>
  <c r="C239" i="7"/>
  <c r="D239" i="7"/>
  <c r="A240" i="7"/>
  <c r="B240" i="7"/>
  <c r="C240" i="7"/>
  <c r="F240" i="7"/>
  <c r="D240" i="7"/>
  <c r="A241" i="7"/>
  <c r="B241" i="7"/>
  <c r="C241" i="7"/>
  <c r="G241" i="7"/>
  <c r="D241" i="7"/>
  <c r="A242" i="7"/>
  <c r="B242" i="7"/>
  <c r="C242" i="7"/>
  <c r="G242" i="7"/>
  <c r="D242" i="7"/>
  <c r="A243" i="7"/>
  <c r="B243" i="7"/>
  <c r="C243" i="7"/>
  <c r="D243" i="7"/>
  <c r="A244" i="7"/>
  <c r="B244" i="7"/>
  <c r="C244" i="7"/>
  <c r="G244" i="7"/>
  <c r="D244" i="7"/>
  <c r="A245" i="7"/>
  <c r="B245" i="7"/>
  <c r="C245" i="7"/>
  <c r="G245" i="7"/>
  <c r="D245" i="7"/>
  <c r="A246" i="7"/>
  <c r="B246" i="7"/>
  <c r="C246" i="7"/>
  <c r="G246" i="7"/>
  <c r="D246" i="7"/>
  <c r="A247" i="7"/>
  <c r="B247" i="7"/>
  <c r="C247" i="7"/>
  <c r="D247" i="7"/>
  <c r="A248" i="7"/>
  <c r="B248" i="7"/>
  <c r="C248" i="7"/>
  <c r="F248" i="7"/>
  <c r="D248" i="7"/>
  <c r="A249" i="7"/>
  <c r="B249" i="7"/>
  <c r="C249" i="7"/>
  <c r="G249" i="7"/>
  <c r="D249" i="7"/>
  <c r="A250" i="7"/>
  <c r="B250" i="7"/>
  <c r="C250" i="7"/>
  <c r="F250" i="7"/>
  <c r="D250" i="7"/>
  <c r="A251" i="7"/>
  <c r="B251" i="7"/>
  <c r="C251" i="7"/>
  <c r="D251" i="7"/>
  <c r="A252" i="7"/>
  <c r="B252" i="7"/>
  <c r="C252" i="7"/>
  <c r="G252" i="7"/>
  <c r="D252" i="7"/>
  <c r="A253" i="7"/>
  <c r="B253" i="7"/>
  <c r="C253" i="7"/>
  <c r="G253" i="7"/>
  <c r="D253" i="7"/>
  <c r="A254" i="7"/>
  <c r="B254" i="7"/>
  <c r="C254" i="7"/>
  <c r="D254" i="7"/>
  <c r="A255" i="7"/>
  <c r="B255" i="7"/>
  <c r="C255" i="7"/>
  <c r="F255" i="7"/>
  <c r="D255" i="7"/>
  <c r="A256" i="7"/>
  <c r="B256" i="7"/>
  <c r="C256" i="7"/>
  <c r="F256" i="7"/>
  <c r="D256" i="7"/>
  <c r="A257" i="7"/>
  <c r="B257" i="7"/>
  <c r="C257" i="7"/>
  <c r="D257" i="7"/>
  <c r="A258" i="7"/>
  <c r="B258" i="7"/>
  <c r="C258" i="7"/>
  <c r="G258" i="7"/>
  <c r="D258" i="7"/>
  <c r="A259" i="7"/>
  <c r="B259" i="7"/>
  <c r="C259" i="7"/>
  <c r="D259" i="7"/>
  <c r="A260" i="7"/>
  <c r="B260" i="7"/>
  <c r="C260" i="7"/>
  <c r="D260" i="7"/>
  <c r="A261" i="7"/>
  <c r="B261" i="7"/>
  <c r="C261" i="7"/>
  <c r="D261" i="7"/>
  <c r="A262" i="7"/>
  <c r="B262" i="7"/>
  <c r="C262" i="7"/>
  <c r="F262" i="7"/>
  <c r="D262" i="7"/>
  <c r="A263" i="7"/>
  <c r="B263" i="7"/>
  <c r="C263" i="7"/>
  <c r="G263" i="7"/>
  <c r="D263" i="7"/>
  <c r="A264" i="7"/>
  <c r="B264" i="7"/>
  <c r="C264" i="7"/>
  <c r="D264" i="7"/>
  <c r="A265" i="7"/>
  <c r="B265" i="7"/>
  <c r="C265" i="7"/>
  <c r="G265" i="7"/>
  <c r="D265" i="7"/>
  <c r="A266" i="7"/>
  <c r="B266" i="7"/>
  <c r="C266" i="7"/>
  <c r="F266" i="7"/>
  <c r="D266" i="7"/>
  <c r="A267" i="7"/>
  <c r="B267" i="7"/>
  <c r="C267" i="7"/>
  <c r="G267" i="7"/>
  <c r="D267" i="7"/>
  <c r="A268" i="7"/>
  <c r="B268" i="7"/>
  <c r="C268" i="7"/>
  <c r="F268" i="7"/>
  <c r="D268" i="7"/>
  <c r="A269" i="7"/>
  <c r="B269" i="7"/>
  <c r="C269" i="7"/>
  <c r="D269" i="7"/>
  <c r="A270" i="7"/>
  <c r="B270" i="7"/>
  <c r="C270" i="7"/>
  <c r="D270" i="7"/>
  <c r="A271" i="7"/>
  <c r="B271" i="7"/>
  <c r="C271" i="7"/>
  <c r="F271" i="7"/>
  <c r="D271" i="7"/>
  <c r="A272" i="7"/>
  <c r="B272" i="7"/>
  <c r="C272" i="7"/>
  <c r="F272" i="7"/>
  <c r="D272" i="7"/>
  <c r="A273" i="7"/>
  <c r="B273" i="7"/>
  <c r="C273" i="7"/>
  <c r="D273" i="7"/>
  <c r="A274" i="7"/>
  <c r="B274" i="7"/>
  <c r="C274" i="7"/>
  <c r="F274" i="7"/>
  <c r="D274" i="7"/>
  <c r="A275" i="7"/>
  <c r="B275" i="7"/>
  <c r="C275" i="7"/>
  <c r="F275" i="7"/>
  <c r="D275" i="7"/>
  <c r="A276" i="7"/>
  <c r="B276" i="7"/>
  <c r="C276" i="7"/>
  <c r="D276" i="7"/>
  <c r="A277" i="7"/>
  <c r="B277" i="7"/>
  <c r="C277" i="7"/>
  <c r="D277" i="7"/>
  <c r="A278" i="7"/>
  <c r="B278" i="7"/>
  <c r="C278" i="7"/>
  <c r="G278" i="7"/>
  <c r="D278" i="7"/>
  <c r="A279" i="7"/>
  <c r="B279" i="7"/>
  <c r="C279" i="7"/>
  <c r="F279" i="7"/>
  <c r="D279" i="7"/>
  <c r="A280" i="7"/>
  <c r="B280" i="7"/>
  <c r="C280" i="7"/>
  <c r="D280" i="7"/>
  <c r="A281" i="7"/>
  <c r="B281" i="7"/>
  <c r="C281" i="7"/>
  <c r="F281" i="7"/>
  <c r="D281" i="7"/>
  <c r="A282" i="7"/>
  <c r="B282" i="7"/>
  <c r="C282" i="7"/>
  <c r="G282" i="7"/>
  <c r="D282" i="7"/>
  <c r="A283" i="7"/>
  <c r="B283" i="7"/>
  <c r="C283" i="7"/>
  <c r="D283" i="7"/>
  <c r="A284" i="7"/>
  <c r="B284" i="7"/>
  <c r="C284" i="7"/>
  <c r="G284" i="7"/>
  <c r="D284" i="7"/>
  <c r="A285" i="7"/>
  <c r="B285" i="7"/>
  <c r="C285" i="7"/>
  <c r="F285" i="7"/>
  <c r="D285" i="7"/>
  <c r="A286" i="7"/>
  <c r="B286" i="7"/>
  <c r="C286" i="7"/>
  <c r="F286" i="7"/>
  <c r="D286" i="7"/>
  <c r="A287" i="7"/>
  <c r="B287" i="7"/>
  <c r="C287" i="7"/>
  <c r="F287" i="7"/>
  <c r="D287" i="7"/>
  <c r="A288" i="7"/>
  <c r="B288" i="7"/>
  <c r="C288" i="7"/>
  <c r="F288" i="7"/>
  <c r="D288" i="7"/>
  <c r="A289" i="7"/>
  <c r="B289" i="7"/>
  <c r="C289" i="7"/>
  <c r="F289" i="7"/>
  <c r="D289" i="7"/>
  <c r="A290" i="7"/>
  <c r="B290" i="7"/>
  <c r="C290" i="7"/>
  <c r="F290" i="7"/>
  <c r="D290" i="7"/>
  <c r="A291" i="7"/>
  <c r="B291" i="7"/>
  <c r="C291" i="7"/>
  <c r="G291" i="7"/>
  <c r="D291" i="7"/>
  <c r="A292" i="7"/>
  <c r="B292" i="7"/>
  <c r="C292" i="7"/>
  <c r="G292" i="7"/>
  <c r="D292" i="7"/>
  <c r="A293" i="7"/>
  <c r="B293" i="7"/>
  <c r="C293" i="7"/>
  <c r="D293" i="7"/>
  <c r="A294" i="7"/>
  <c r="B294" i="7"/>
  <c r="C294" i="7"/>
  <c r="D294" i="7"/>
  <c r="A295" i="7"/>
  <c r="B295" i="7"/>
  <c r="C295" i="7"/>
  <c r="F295" i="7"/>
  <c r="D295" i="7"/>
  <c r="A296" i="7"/>
  <c r="B296" i="7"/>
  <c r="C296" i="7"/>
  <c r="D296" i="7"/>
  <c r="A297" i="7"/>
  <c r="B297" i="7"/>
  <c r="C297" i="7"/>
  <c r="G297" i="7"/>
  <c r="D297" i="7"/>
  <c r="A298" i="7"/>
  <c r="B298" i="7"/>
  <c r="C298" i="7"/>
  <c r="D298" i="7"/>
  <c r="A299" i="7"/>
  <c r="B299" i="7"/>
  <c r="C299" i="7"/>
  <c r="G299" i="7"/>
  <c r="D299" i="7"/>
  <c r="A300" i="7"/>
  <c r="B300" i="7"/>
  <c r="C300" i="7"/>
  <c r="G300" i="7"/>
  <c r="D300" i="7"/>
  <c r="A301" i="7"/>
  <c r="B301" i="7"/>
  <c r="C301" i="7"/>
  <c r="D301" i="7"/>
  <c r="A302" i="7"/>
  <c r="B302" i="7"/>
  <c r="C302" i="7"/>
  <c r="F302" i="7"/>
  <c r="D302" i="7"/>
  <c r="A303" i="7"/>
  <c r="B303" i="7"/>
  <c r="D303" i="7"/>
  <c r="A304" i="7"/>
  <c r="B304" i="7"/>
  <c r="C304" i="7"/>
  <c r="G304" i="7"/>
  <c r="D304" i="7"/>
  <c r="A305" i="7"/>
  <c r="B305" i="7"/>
  <c r="C305" i="7"/>
  <c r="G305" i="7"/>
  <c r="D305" i="7"/>
  <c r="A306" i="7"/>
  <c r="B306" i="7"/>
  <c r="C306" i="7"/>
  <c r="F306" i="7"/>
  <c r="D306" i="7"/>
  <c r="A307" i="7"/>
  <c r="B307" i="7"/>
  <c r="C307" i="7"/>
  <c r="G307" i="7"/>
  <c r="D307" i="7"/>
  <c r="A308" i="7"/>
  <c r="B308" i="7"/>
  <c r="C308" i="7"/>
  <c r="D308" i="7"/>
  <c r="A309" i="7"/>
  <c r="B309" i="7"/>
  <c r="C309" i="7"/>
  <c r="F309" i="7"/>
  <c r="D309" i="7"/>
  <c r="A310" i="7"/>
  <c r="B310" i="7"/>
  <c r="C310" i="7"/>
  <c r="F310" i="7"/>
  <c r="D310" i="7"/>
  <c r="A311" i="7"/>
  <c r="B311" i="7"/>
  <c r="C311" i="7"/>
  <c r="F311" i="7"/>
  <c r="D311" i="7"/>
  <c r="A312" i="7"/>
  <c r="B312" i="7"/>
  <c r="C312" i="7"/>
  <c r="D312" i="7"/>
  <c r="A313" i="7"/>
  <c r="B313" i="7"/>
  <c r="C313" i="7"/>
  <c r="G313" i="7"/>
  <c r="D313" i="7"/>
  <c r="A314" i="7"/>
  <c r="B314" i="7"/>
  <c r="C314" i="7"/>
  <c r="D314" i="7"/>
  <c r="A315" i="7"/>
  <c r="B315" i="7"/>
  <c r="C315" i="7"/>
  <c r="D315" i="7"/>
  <c r="A316" i="7"/>
  <c r="B316" i="7"/>
  <c r="C316" i="7"/>
  <c r="F316" i="7"/>
  <c r="D316" i="7"/>
  <c r="A317" i="7"/>
  <c r="B317" i="7"/>
  <c r="C317" i="7"/>
  <c r="G317" i="7"/>
  <c r="D317" i="7"/>
  <c r="A318" i="7"/>
  <c r="B318" i="7"/>
  <c r="C318" i="7"/>
  <c r="G318" i="7"/>
  <c r="D318" i="7"/>
  <c r="A319" i="7"/>
  <c r="B319" i="7"/>
  <c r="C319" i="7"/>
  <c r="D319" i="7"/>
  <c r="A320" i="7"/>
  <c r="B320" i="7"/>
  <c r="C320" i="7"/>
  <c r="G320" i="7"/>
  <c r="D320" i="7"/>
  <c r="A321" i="7"/>
  <c r="B321" i="7"/>
  <c r="C321" i="7"/>
  <c r="F321" i="7"/>
  <c r="D321" i="7"/>
  <c r="A322" i="7"/>
  <c r="B322" i="7"/>
  <c r="C322" i="7"/>
  <c r="D322" i="7"/>
  <c r="A323" i="7"/>
  <c r="B323" i="7"/>
  <c r="C323" i="7"/>
  <c r="G323" i="7"/>
  <c r="D323" i="7"/>
  <c r="A324" i="7"/>
  <c r="B324" i="7"/>
  <c r="C324" i="7"/>
  <c r="F324" i="7"/>
  <c r="D324" i="7"/>
  <c r="A325" i="7"/>
  <c r="B325" i="7"/>
  <c r="C325" i="7"/>
  <c r="F325" i="7"/>
  <c r="D325" i="7"/>
  <c r="A326" i="7"/>
  <c r="B326" i="7"/>
  <c r="C326" i="7"/>
  <c r="F326" i="7"/>
  <c r="D326" i="7"/>
  <c r="A327" i="7"/>
  <c r="B327" i="7"/>
  <c r="C327" i="7"/>
  <c r="F327" i="7"/>
  <c r="D327" i="7"/>
  <c r="A328" i="7"/>
  <c r="B328" i="7"/>
  <c r="C328" i="7"/>
  <c r="G328" i="7"/>
  <c r="D328" i="7"/>
  <c r="A329" i="7"/>
  <c r="B329" i="7"/>
  <c r="C329" i="7"/>
  <c r="D329" i="7"/>
  <c r="A330" i="7"/>
  <c r="B330" i="7"/>
  <c r="C330" i="7"/>
  <c r="G330" i="7"/>
  <c r="D330" i="7"/>
  <c r="A331" i="7"/>
  <c r="B331" i="7"/>
  <c r="C331" i="7"/>
  <c r="G331" i="7"/>
  <c r="D331" i="7"/>
  <c r="A332" i="7"/>
  <c r="B332" i="7"/>
  <c r="C332" i="7"/>
  <c r="G332" i="7"/>
  <c r="D332" i="7"/>
  <c r="A333" i="7"/>
  <c r="B333" i="7"/>
  <c r="C333" i="7"/>
  <c r="G333" i="7"/>
  <c r="D333" i="7"/>
  <c r="A334" i="7"/>
  <c r="B334" i="7"/>
  <c r="C334" i="7"/>
  <c r="D334" i="7"/>
  <c r="A335" i="7"/>
  <c r="B335" i="7"/>
  <c r="C335" i="7"/>
  <c r="F335" i="7"/>
  <c r="D335" i="7"/>
  <c r="A336" i="7"/>
  <c r="B336" i="7"/>
  <c r="C336" i="7"/>
  <c r="G336" i="7"/>
  <c r="D336" i="7"/>
  <c r="A337" i="7"/>
  <c r="B337" i="7"/>
  <c r="C337" i="7"/>
  <c r="D337" i="7"/>
  <c r="A338" i="7"/>
  <c r="B338" i="7"/>
  <c r="C338" i="7"/>
  <c r="G338" i="7"/>
  <c r="D338" i="7"/>
  <c r="A339" i="7"/>
  <c r="B339" i="7"/>
  <c r="C339" i="7"/>
  <c r="F339" i="7"/>
  <c r="D339" i="7"/>
  <c r="A340" i="7"/>
  <c r="B340" i="7"/>
  <c r="C340" i="7"/>
  <c r="F340" i="7"/>
  <c r="D340" i="7"/>
  <c r="A341" i="7"/>
  <c r="B341" i="7"/>
  <c r="C341" i="7"/>
  <c r="D341" i="7"/>
  <c r="A342" i="7"/>
  <c r="B342" i="7"/>
  <c r="C342" i="7"/>
  <c r="G342" i="7"/>
  <c r="D342" i="7"/>
  <c r="A343" i="7"/>
  <c r="B343" i="7"/>
  <c r="C343" i="7"/>
  <c r="F343" i="7"/>
  <c r="D343" i="7"/>
  <c r="A344" i="7"/>
  <c r="B344" i="7"/>
  <c r="C344" i="7"/>
  <c r="G344" i="7"/>
  <c r="D344" i="7"/>
  <c r="A345" i="7"/>
  <c r="B345" i="7"/>
  <c r="C345" i="7"/>
  <c r="F345" i="7"/>
  <c r="D345" i="7"/>
  <c r="A346" i="7"/>
  <c r="B346" i="7"/>
  <c r="C346" i="7"/>
  <c r="F346" i="7"/>
  <c r="D346" i="7"/>
  <c r="A347" i="7"/>
  <c r="B347" i="7"/>
  <c r="C347" i="7"/>
  <c r="G347" i="7"/>
  <c r="D347" i="7"/>
  <c r="A348" i="7"/>
  <c r="B348" i="7"/>
  <c r="C348" i="7"/>
  <c r="G348" i="7"/>
  <c r="F348" i="7"/>
  <c r="D348" i="7"/>
  <c r="A349" i="7"/>
  <c r="B349" i="7"/>
  <c r="C349" i="7"/>
  <c r="G349" i="7"/>
  <c r="D349" i="7"/>
  <c r="A350" i="7"/>
  <c r="B350" i="7"/>
  <c r="C350" i="7"/>
  <c r="G350" i="7"/>
  <c r="D350" i="7"/>
  <c r="A351" i="7"/>
  <c r="B351" i="7"/>
  <c r="C351" i="7"/>
  <c r="G351" i="7"/>
  <c r="D351" i="7"/>
  <c r="A352" i="7"/>
  <c r="B352" i="7"/>
  <c r="C352" i="7"/>
  <c r="F352" i="7"/>
  <c r="D352" i="7"/>
  <c r="A353" i="7"/>
  <c r="B353" i="7"/>
  <c r="C353" i="7"/>
  <c r="G353" i="7"/>
  <c r="D353" i="7"/>
  <c r="A354" i="7"/>
  <c r="B354" i="7"/>
  <c r="C354" i="7"/>
  <c r="F354" i="7"/>
  <c r="D354" i="7"/>
  <c r="A355" i="7"/>
  <c r="B355" i="7"/>
  <c r="C355" i="7"/>
  <c r="D355" i="7"/>
  <c r="A356" i="7"/>
  <c r="B356" i="7"/>
  <c r="C356" i="7"/>
  <c r="F356" i="7"/>
  <c r="D356" i="7"/>
  <c r="A357" i="7"/>
  <c r="B357" i="7"/>
  <c r="C357" i="7"/>
  <c r="G357" i="7"/>
  <c r="D357" i="7"/>
  <c r="A358" i="7"/>
  <c r="B358" i="7"/>
  <c r="C358" i="7"/>
  <c r="D358" i="7"/>
  <c r="A359" i="7"/>
  <c r="B359" i="7"/>
  <c r="C359" i="7"/>
  <c r="G359" i="7"/>
  <c r="D359" i="7"/>
  <c r="A360" i="7"/>
  <c r="B360" i="7"/>
  <c r="C360" i="7"/>
  <c r="G360" i="7"/>
  <c r="D360" i="7"/>
  <c r="A361" i="7"/>
  <c r="B361" i="7"/>
  <c r="C361" i="7"/>
  <c r="F361" i="7"/>
  <c r="D361" i="7"/>
  <c r="A362" i="7"/>
  <c r="B362" i="7"/>
  <c r="C362" i="7"/>
  <c r="D362" i="7"/>
  <c r="A363" i="7"/>
  <c r="B363" i="7"/>
  <c r="C363" i="7"/>
  <c r="D363" i="7"/>
  <c r="A364" i="7"/>
  <c r="B364" i="7"/>
  <c r="C364" i="7"/>
  <c r="F364" i="7"/>
  <c r="D364" i="7"/>
  <c r="A365" i="7"/>
  <c r="B365" i="7"/>
  <c r="C365" i="7"/>
  <c r="D365" i="7"/>
  <c r="A366" i="7"/>
  <c r="B366" i="7"/>
  <c r="C366" i="7"/>
  <c r="G366" i="7"/>
  <c r="D366" i="7"/>
  <c r="A367" i="7"/>
  <c r="B367" i="7"/>
  <c r="C367" i="7"/>
  <c r="F367" i="7"/>
  <c r="D367" i="7"/>
  <c r="A368" i="7"/>
  <c r="B368" i="7"/>
  <c r="C368" i="7"/>
  <c r="D368" i="7"/>
  <c r="A369" i="7"/>
  <c r="B369" i="7"/>
  <c r="C369" i="7"/>
  <c r="F369" i="7"/>
  <c r="D369" i="7"/>
  <c r="A370" i="7"/>
  <c r="B370" i="7"/>
  <c r="C370" i="7"/>
  <c r="F370" i="7"/>
  <c r="D370" i="7"/>
  <c r="A371" i="7"/>
  <c r="B371" i="7"/>
  <c r="C371" i="7"/>
  <c r="G371" i="7"/>
  <c r="D371" i="7"/>
  <c r="A372" i="7"/>
  <c r="B372" i="7"/>
  <c r="C372" i="7"/>
  <c r="D372" i="7"/>
  <c r="A373" i="7"/>
  <c r="B373" i="7"/>
  <c r="C373" i="7"/>
  <c r="F373" i="7"/>
  <c r="D373" i="7"/>
  <c r="A374" i="7"/>
  <c r="B374" i="7"/>
  <c r="C374" i="7"/>
  <c r="F374" i="7"/>
  <c r="D374" i="7"/>
  <c r="A375" i="7"/>
  <c r="B375" i="7"/>
  <c r="C375" i="7"/>
  <c r="F375" i="7"/>
  <c r="D375" i="7"/>
  <c r="A376" i="7"/>
  <c r="B376" i="7"/>
  <c r="C376" i="7"/>
  <c r="G376" i="7"/>
  <c r="D376" i="7"/>
  <c r="A377" i="7"/>
  <c r="B377" i="7"/>
  <c r="C377" i="7"/>
  <c r="F377" i="7"/>
  <c r="D377" i="7"/>
  <c r="A378" i="7"/>
  <c r="B378" i="7"/>
  <c r="C378" i="7"/>
  <c r="G378" i="7"/>
  <c r="D378" i="7"/>
  <c r="A379" i="7"/>
  <c r="B379" i="7"/>
  <c r="C379" i="7"/>
  <c r="G379" i="7"/>
  <c r="D379" i="7"/>
  <c r="A380" i="7"/>
  <c r="B380" i="7"/>
  <c r="C380" i="7"/>
  <c r="F380" i="7"/>
  <c r="D380" i="7"/>
  <c r="A381" i="7"/>
  <c r="B381" i="7"/>
  <c r="C381" i="7"/>
  <c r="F381" i="7"/>
  <c r="D381" i="7"/>
  <c r="A382" i="7"/>
  <c r="B382" i="7"/>
  <c r="C382" i="7"/>
  <c r="D382" i="7"/>
  <c r="A383" i="7"/>
  <c r="B383" i="7"/>
  <c r="C383" i="7"/>
  <c r="D383" i="7"/>
  <c r="A384" i="7"/>
  <c r="B384" i="7"/>
  <c r="C384" i="7"/>
  <c r="D384" i="7"/>
  <c r="A385" i="7"/>
  <c r="B385" i="7"/>
  <c r="C385" i="7"/>
  <c r="G385" i="7"/>
  <c r="D385" i="7"/>
  <c r="A386" i="7"/>
  <c r="B386" i="7"/>
  <c r="C386" i="7"/>
  <c r="D386" i="7"/>
  <c r="A387" i="7"/>
  <c r="B387" i="7"/>
  <c r="C387" i="7"/>
  <c r="D387" i="7"/>
  <c r="A388" i="7"/>
  <c r="B388" i="7"/>
  <c r="C388" i="7"/>
  <c r="F388" i="7"/>
  <c r="D388" i="7"/>
  <c r="A389" i="7"/>
  <c r="B389" i="7"/>
  <c r="C389" i="7"/>
  <c r="F389" i="7"/>
  <c r="D389" i="7"/>
  <c r="A390" i="7"/>
  <c r="B390" i="7"/>
  <c r="C390" i="7"/>
  <c r="F390" i="7"/>
  <c r="D390" i="7"/>
  <c r="A391" i="7"/>
  <c r="B391" i="7"/>
  <c r="C391" i="7"/>
  <c r="F391" i="7"/>
  <c r="D391" i="7"/>
  <c r="A392" i="7"/>
  <c r="B392" i="7"/>
  <c r="D392" i="7"/>
  <c r="A393" i="7"/>
  <c r="B393" i="7"/>
  <c r="C393" i="7"/>
  <c r="G393" i="7"/>
  <c r="F393" i="7"/>
  <c r="D393" i="7"/>
  <c r="A394" i="7"/>
  <c r="B394" i="7"/>
  <c r="C394" i="7"/>
  <c r="F394" i="7"/>
  <c r="D394" i="7"/>
  <c r="A395" i="7"/>
  <c r="B395" i="7"/>
  <c r="C395" i="7"/>
  <c r="D395" i="7"/>
  <c r="A396" i="7"/>
  <c r="B396" i="7"/>
  <c r="C396" i="7"/>
  <c r="G396" i="7"/>
  <c r="D396" i="7"/>
  <c r="A397" i="7"/>
  <c r="B397" i="7"/>
  <c r="C397" i="7"/>
  <c r="F397" i="7"/>
  <c r="D397" i="7"/>
  <c r="A398" i="7"/>
  <c r="B398" i="7"/>
  <c r="C398" i="7"/>
  <c r="D398" i="7"/>
  <c r="A399" i="7"/>
  <c r="B399" i="7"/>
  <c r="C399" i="7"/>
  <c r="D399" i="7"/>
  <c r="A400" i="7"/>
  <c r="B400" i="7"/>
  <c r="C400" i="7"/>
  <c r="F400" i="7"/>
  <c r="D400" i="7"/>
  <c r="A401" i="7"/>
  <c r="B401" i="7"/>
  <c r="C401" i="7"/>
  <c r="G401" i="7"/>
  <c r="D401" i="7"/>
  <c r="A402" i="7"/>
  <c r="B402" i="7"/>
  <c r="C402" i="7"/>
  <c r="D402" i="7"/>
  <c r="A403" i="7"/>
  <c r="B403" i="7"/>
  <c r="C403" i="7"/>
  <c r="D403" i="7"/>
  <c r="A404" i="7"/>
  <c r="B404" i="7"/>
  <c r="C404" i="7"/>
  <c r="G404" i="7"/>
  <c r="D404" i="7"/>
  <c r="A405" i="7"/>
  <c r="B405" i="7"/>
  <c r="C405" i="7"/>
  <c r="G405" i="7"/>
  <c r="D405" i="7"/>
  <c r="A406" i="7"/>
  <c r="B406" i="7"/>
  <c r="C406" i="7"/>
  <c r="D406" i="7"/>
  <c r="A407" i="7"/>
  <c r="B407" i="7"/>
  <c r="C407" i="7"/>
  <c r="D407" i="7"/>
  <c r="A408" i="7"/>
  <c r="B408" i="7"/>
  <c r="C408" i="7"/>
  <c r="D408" i="7"/>
  <c r="A409" i="7"/>
  <c r="B409" i="7"/>
  <c r="C409" i="7"/>
  <c r="F409" i="7"/>
  <c r="D409" i="7"/>
  <c r="A410" i="7"/>
  <c r="B410" i="7"/>
  <c r="C410" i="7"/>
  <c r="G410" i="7"/>
  <c r="D410" i="7"/>
  <c r="A411" i="7"/>
  <c r="B411" i="7"/>
  <c r="C411" i="7"/>
  <c r="D411" i="7"/>
  <c r="A412" i="7"/>
  <c r="B412" i="7"/>
  <c r="C412" i="7"/>
  <c r="F412" i="7"/>
  <c r="D412" i="7"/>
  <c r="A413" i="7"/>
  <c r="B413" i="7"/>
  <c r="C413" i="7"/>
  <c r="D413" i="7"/>
  <c r="A414" i="7"/>
  <c r="B414" i="7"/>
  <c r="C414" i="7"/>
  <c r="G414" i="7"/>
  <c r="D414" i="7"/>
  <c r="A415" i="7"/>
  <c r="B415" i="7"/>
  <c r="C415" i="7"/>
  <c r="F415" i="7"/>
  <c r="D415" i="7"/>
  <c r="A416" i="7"/>
  <c r="B416" i="7"/>
  <c r="C416" i="7"/>
  <c r="G416" i="7"/>
  <c r="D416" i="7"/>
  <c r="A417" i="7"/>
  <c r="B417" i="7"/>
  <c r="C417" i="7"/>
  <c r="G417" i="7"/>
  <c r="D417" i="7"/>
  <c r="A418" i="7"/>
  <c r="B418" i="7"/>
  <c r="C418" i="7"/>
  <c r="D418" i="7"/>
  <c r="A419" i="7"/>
  <c r="B419" i="7"/>
  <c r="C419" i="7"/>
  <c r="D419" i="7"/>
  <c r="A420" i="7"/>
  <c r="B420" i="7"/>
  <c r="C420" i="7"/>
  <c r="G420" i="7"/>
  <c r="D420" i="7"/>
  <c r="A421" i="7"/>
  <c r="B421" i="7"/>
  <c r="C421" i="7"/>
  <c r="F421" i="7"/>
  <c r="D421" i="7"/>
  <c r="A422" i="7"/>
  <c r="B422" i="7"/>
  <c r="C422" i="7"/>
  <c r="F422" i="7"/>
  <c r="D422" i="7"/>
  <c r="A423" i="7"/>
  <c r="B423" i="7"/>
  <c r="C423" i="7"/>
  <c r="D423" i="7"/>
  <c r="A424" i="7"/>
  <c r="B424" i="7"/>
  <c r="C424" i="7"/>
  <c r="G424" i="7"/>
  <c r="D424" i="7"/>
  <c r="A425" i="7"/>
  <c r="B425" i="7"/>
  <c r="C425" i="7"/>
  <c r="F425" i="7"/>
  <c r="D425" i="7"/>
  <c r="A426" i="7"/>
  <c r="B426" i="7"/>
  <c r="C426" i="7"/>
  <c r="F426" i="7"/>
  <c r="D426" i="7"/>
  <c r="A427" i="7"/>
  <c r="B427" i="7"/>
  <c r="C427" i="7"/>
  <c r="D427" i="7"/>
  <c r="A428" i="7"/>
  <c r="B428" i="7"/>
  <c r="C428" i="7"/>
  <c r="F428" i="7"/>
  <c r="D428" i="7"/>
  <c r="A429" i="7"/>
  <c r="B429" i="7"/>
  <c r="C429" i="7"/>
  <c r="G429" i="7"/>
  <c r="D429" i="7"/>
  <c r="A430" i="7"/>
  <c r="B430" i="7"/>
  <c r="C430" i="7"/>
  <c r="G430" i="7"/>
  <c r="D430" i="7"/>
  <c r="A431" i="7"/>
  <c r="B431" i="7"/>
  <c r="C431" i="7"/>
  <c r="F431" i="7"/>
  <c r="D431" i="7"/>
  <c r="A432" i="7"/>
  <c r="B432" i="7"/>
  <c r="C432" i="7"/>
  <c r="D432" i="7"/>
  <c r="A433" i="7"/>
  <c r="B433" i="7"/>
  <c r="C433" i="7"/>
  <c r="G433" i="7"/>
  <c r="D433" i="7"/>
  <c r="A434" i="7"/>
  <c r="B434" i="7"/>
  <c r="C434" i="7"/>
  <c r="F434" i="7"/>
  <c r="D434" i="7"/>
  <c r="A435" i="7"/>
  <c r="B435" i="7"/>
  <c r="C435" i="7"/>
  <c r="D435" i="7"/>
  <c r="A436" i="7"/>
  <c r="B436" i="7"/>
  <c r="C436" i="7"/>
  <c r="F436" i="7"/>
  <c r="D436" i="7"/>
  <c r="A437" i="7"/>
  <c r="B437" i="7"/>
  <c r="C437" i="7"/>
  <c r="G437" i="7"/>
  <c r="D437" i="7"/>
  <c r="A438" i="7"/>
  <c r="B438" i="7"/>
  <c r="C438" i="7"/>
  <c r="D438" i="7"/>
  <c r="A439" i="7"/>
  <c r="B439" i="7"/>
  <c r="C439" i="7"/>
  <c r="F439" i="7"/>
  <c r="D439" i="7"/>
  <c r="A440" i="7"/>
  <c r="B440" i="7"/>
  <c r="C440" i="7"/>
  <c r="G440" i="7"/>
  <c r="D440" i="7"/>
  <c r="A441" i="7"/>
  <c r="B441" i="7"/>
  <c r="C441" i="7"/>
  <c r="F441" i="7"/>
  <c r="D441" i="7"/>
  <c r="A442" i="7"/>
  <c r="B442" i="7"/>
  <c r="C442" i="7"/>
  <c r="F442" i="7"/>
  <c r="D442" i="7"/>
  <c r="A443" i="7"/>
  <c r="B443" i="7"/>
  <c r="C443" i="7"/>
  <c r="G443" i="7"/>
  <c r="D443" i="7"/>
  <c r="A444" i="7"/>
  <c r="B444" i="7"/>
  <c r="C444" i="7"/>
  <c r="F444" i="7"/>
  <c r="D444" i="7"/>
  <c r="A445" i="7"/>
  <c r="B445" i="7"/>
  <c r="C445" i="7"/>
  <c r="F445" i="7"/>
  <c r="D445" i="7"/>
  <c r="A446" i="7"/>
  <c r="B446" i="7"/>
  <c r="C446" i="7"/>
  <c r="G446" i="7"/>
  <c r="D446" i="7"/>
  <c r="A447" i="7"/>
  <c r="B447" i="7"/>
  <c r="C447" i="7"/>
  <c r="D447" i="7"/>
  <c r="A448" i="7"/>
  <c r="B448" i="7"/>
  <c r="C448" i="7"/>
  <c r="G448" i="7"/>
  <c r="D448" i="7"/>
  <c r="A449" i="7"/>
  <c r="B449" i="7"/>
  <c r="C449" i="7"/>
  <c r="G449" i="7"/>
  <c r="D449" i="7"/>
  <c r="A450" i="7"/>
  <c r="B450" i="7"/>
  <c r="C450" i="7"/>
  <c r="G450" i="7"/>
  <c r="D450" i="7"/>
  <c r="A451" i="7"/>
  <c r="B451" i="7"/>
  <c r="C451" i="7"/>
  <c r="G451" i="7"/>
  <c r="D451" i="7"/>
  <c r="A452" i="7"/>
  <c r="B452" i="7"/>
  <c r="C452" i="7"/>
  <c r="G452" i="7"/>
  <c r="D452" i="7"/>
  <c r="A453" i="7"/>
  <c r="B453" i="7"/>
  <c r="C453" i="7"/>
  <c r="F453" i="7"/>
  <c r="D453" i="7"/>
  <c r="A454" i="7"/>
  <c r="B454" i="7"/>
  <c r="C454" i="7"/>
  <c r="F454" i="7"/>
  <c r="D454" i="7"/>
  <c r="A455" i="7"/>
  <c r="B455" i="7"/>
  <c r="C455" i="7"/>
  <c r="F455" i="7"/>
  <c r="D455" i="7"/>
  <c r="A456" i="7"/>
  <c r="B456" i="7"/>
  <c r="C456" i="7"/>
  <c r="F456" i="7"/>
  <c r="D456" i="7"/>
  <c r="A457" i="7"/>
  <c r="B457" i="7"/>
  <c r="C457" i="7"/>
  <c r="D457" i="7"/>
  <c r="A458" i="7"/>
  <c r="B458" i="7"/>
  <c r="C458" i="7"/>
  <c r="D458" i="7"/>
  <c r="A459" i="7"/>
  <c r="B459" i="7"/>
  <c r="C459" i="7"/>
  <c r="G459" i="7"/>
  <c r="D459" i="7"/>
  <c r="A460" i="7"/>
  <c r="B460" i="7"/>
  <c r="C460" i="7"/>
  <c r="F460" i="7"/>
  <c r="D460" i="7"/>
  <c r="A461" i="7"/>
  <c r="B461" i="7"/>
  <c r="C461" i="7"/>
  <c r="F461" i="7"/>
  <c r="D461" i="7"/>
  <c r="A462" i="7"/>
  <c r="B462" i="7"/>
  <c r="C462" i="7"/>
  <c r="G462" i="7"/>
  <c r="D462" i="7"/>
  <c r="A463" i="7"/>
  <c r="B463" i="7"/>
  <c r="C463" i="7"/>
  <c r="G463" i="7"/>
  <c r="D463" i="7"/>
  <c r="A464" i="7"/>
  <c r="B464" i="7"/>
  <c r="C464" i="7"/>
  <c r="D464" i="7"/>
  <c r="A465" i="7"/>
  <c r="B465" i="7"/>
  <c r="C465" i="7"/>
  <c r="D465" i="7"/>
  <c r="A466" i="7"/>
  <c r="B466" i="7"/>
  <c r="C466" i="7"/>
  <c r="G466" i="7"/>
  <c r="D466" i="7"/>
  <c r="A467" i="7"/>
  <c r="B467" i="7"/>
  <c r="C467" i="7"/>
  <c r="F467" i="7"/>
  <c r="D467" i="7"/>
  <c r="A468" i="7"/>
  <c r="B468" i="7"/>
  <c r="C468" i="7"/>
  <c r="F468" i="7"/>
  <c r="D468" i="7"/>
  <c r="A469" i="7"/>
  <c r="B469" i="7"/>
  <c r="C469" i="7"/>
  <c r="F469" i="7"/>
  <c r="D469" i="7"/>
  <c r="A470" i="7"/>
  <c r="B470" i="7"/>
  <c r="C470" i="7"/>
  <c r="F470" i="7"/>
  <c r="D470" i="7"/>
  <c r="A471" i="7"/>
  <c r="B471" i="7"/>
  <c r="C471" i="7"/>
  <c r="G471" i="7"/>
  <c r="F471" i="7"/>
  <c r="D471" i="7"/>
  <c r="A472" i="7"/>
  <c r="B472" i="7"/>
  <c r="C472" i="7"/>
  <c r="F472" i="7"/>
  <c r="D472" i="7"/>
  <c r="A473" i="7"/>
  <c r="B473" i="7"/>
  <c r="C473" i="7"/>
  <c r="F473" i="7"/>
  <c r="D473" i="7"/>
  <c r="A474" i="7"/>
  <c r="B474" i="7"/>
  <c r="C474" i="7"/>
  <c r="G474" i="7"/>
  <c r="D474" i="7"/>
  <c r="A475" i="7"/>
  <c r="B475" i="7"/>
  <c r="C475" i="7"/>
  <c r="G475" i="7"/>
  <c r="D475" i="7"/>
  <c r="A476" i="7"/>
  <c r="B476" i="7"/>
  <c r="C476" i="7"/>
  <c r="G476" i="7"/>
  <c r="D476" i="7"/>
  <c r="A477" i="7"/>
  <c r="B477" i="7"/>
  <c r="C477" i="7"/>
  <c r="F477" i="7"/>
  <c r="G477" i="7"/>
  <c r="D477" i="7"/>
  <c r="A478" i="7"/>
  <c r="B478" i="7"/>
  <c r="C478" i="7"/>
  <c r="D478" i="7"/>
  <c r="A479" i="7"/>
  <c r="B479" i="7"/>
  <c r="C479" i="7"/>
  <c r="F479" i="7"/>
  <c r="D479" i="7"/>
  <c r="A480" i="7"/>
  <c r="B480" i="7"/>
  <c r="C480" i="7"/>
  <c r="D480" i="7"/>
  <c r="A481" i="7"/>
  <c r="B481" i="7"/>
  <c r="C481" i="7"/>
  <c r="G481" i="7"/>
  <c r="D481" i="7"/>
  <c r="A482" i="7"/>
  <c r="B482" i="7"/>
  <c r="C482" i="7"/>
  <c r="G482" i="7"/>
  <c r="D482" i="7"/>
  <c r="A483" i="7"/>
  <c r="B483" i="7"/>
  <c r="C483" i="7"/>
  <c r="F483" i="7"/>
  <c r="D483" i="7"/>
  <c r="A484" i="7"/>
  <c r="B484" i="7"/>
  <c r="C484" i="7"/>
  <c r="D484" i="7"/>
  <c r="A485" i="7"/>
  <c r="B485" i="7"/>
  <c r="C485" i="7"/>
  <c r="F485" i="7"/>
  <c r="D485" i="7"/>
  <c r="A486" i="7"/>
  <c r="B486" i="7"/>
  <c r="C486" i="7"/>
  <c r="D486" i="7"/>
  <c r="A487" i="7"/>
  <c r="B487" i="7"/>
  <c r="C487" i="7"/>
  <c r="F487" i="7"/>
  <c r="D487" i="7"/>
  <c r="A488" i="7"/>
  <c r="B488" i="7"/>
  <c r="C488" i="7"/>
  <c r="D488" i="7"/>
  <c r="A489" i="7"/>
  <c r="B489" i="7"/>
  <c r="C489" i="7"/>
  <c r="F489" i="7"/>
  <c r="D489" i="7"/>
  <c r="A490" i="7"/>
  <c r="B490" i="7"/>
  <c r="C490" i="7"/>
  <c r="F490" i="7"/>
  <c r="D490" i="7"/>
  <c r="A491" i="7"/>
  <c r="B491" i="7"/>
  <c r="C491" i="7"/>
  <c r="G491" i="7"/>
  <c r="D491" i="7"/>
  <c r="A492" i="7"/>
  <c r="B492" i="7"/>
  <c r="C492" i="7"/>
  <c r="F492" i="7"/>
  <c r="D492" i="7"/>
  <c r="A493" i="7"/>
  <c r="B493" i="7"/>
  <c r="C493" i="7"/>
  <c r="G493" i="7"/>
  <c r="D493" i="7"/>
  <c r="A494" i="7"/>
  <c r="B494" i="7"/>
  <c r="C494" i="7"/>
  <c r="F494" i="7"/>
  <c r="D494" i="7"/>
  <c r="A495" i="7"/>
  <c r="B495" i="7"/>
  <c r="C495" i="7"/>
  <c r="F495" i="7"/>
  <c r="D495" i="7"/>
  <c r="A496" i="7"/>
  <c r="B496" i="7"/>
  <c r="C496" i="7"/>
  <c r="D496" i="7"/>
  <c r="A497" i="7"/>
  <c r="B497" i="7"/>
  <c r="C497" i="7"/>
  <c r="D497" i="7"/>
  <c r="A498" i="7"/>
  <c r="B498" i="7"/>
  <c r="C498" i="7"/>
  <c r="G498" i="7"/>
  <c r="D498" i="7"/>
  <c r="A499" i="7"/>
  <c r="B499" i="7"/>
  <c r="C499" i="7"/>
  <c r="F499" i="7"/>
  <c r="D499" i="7"/>
  <c r="A500" i="7"/>
  <c r="B500" i="7"/>
  <c r="C500" i="7"/>
  <c r="F500" i="7"/>
  <c r="D500" i="7"/>
  <c r="A501" i="7"/>
  <c r="B501" i="7"/>
  <c r="C501" i="7"/>
  <c r="G501" i="7"/>
  <c r="D501" i="7"/>
  <c r="A502" i="7"/>
  <c r="B502" i="7"/>
  <c r="C502" i="7"/>
  <c r="G502" i="7"/>
  <c r="D502" i="7"/>
  <c r="A503" i="7"/>
  <c r="B503" i="7"/>
  <c r="C503" i="7"/>
  <c r="F503" i="7"/>
  <c r="D503" i="7"/>
  <c r="A504" i="7"/>
  <c r="B504" i="7"/>
  <c r="C504" i="7"/>
  <c r="F504" i="7"/>
  <c r="G504" i="7"/>
  <c r="D504" i="7"/>
  <c r="A505" i="7"/>
  <c r="B505" i="7"/>
  <c r="C505" i="7"/>
  <c r="G505" i="7"/>
  <c r="D505" i="7"/>
  <c r="A506" i="7"/>
  <c r="B506" i="7"/>
  <c r="C506" i="7"/>
  <c r="F506" i="7"/>
  <c r="D506" i="7"/>
  <c r="A507" i="7"/>
  <c r="B507" i="7"/>
  <c r="C507" i="7"/>
  <c r="D507" i="7"/>
  <c r="A508" i="7"/>
  <c r="B508" i="7"/>
  <c r="C508" i="7"/>
  <c r="F508" i="7"/>
  <c r="D508" i="7"/>
  <c r="A509" i="7"/>
  <c r="B509" i="7"/>
  <c r="C509" i="7"/>
  <c r="D509" i="7"/>
  <c r="A510" i="7"/>
  <c r="B510" i="7"/>
  <c r="C510" i="7"/>
  <c r="D510" i="7"/>
  <c r="A511" i="7"/>
  <c r="B511" i="7"/>
  <c r="C511" i="7"/>
  <c r="F511" i="7"/>
  <c r="D511" i="7"/>
  <c r="A512" i="7"/>
  <c r="B512" i="7"/>
  <c r="C512" i="7"/>
  <c r="F512" i="7"/>
  <c r="D512" i="7"/>
  <c r="A513" i="7"/>
  <c r="B513" i="7"/>
  <c r="C513" i="7"/>
  <c r="G513" i="7"/>
  <c r="D513" i="7"/>
  <c r="A514" i="7"/>
  <c r="B514" i="7"/>
  <c r="C514" i="7"/>
  <c r="D514" i="7"/>
  <c r="A515" i="7"/>
  <c r="B515" i="7"/>
  <c r="C515" i="7"/>
  <c r="D515" i="7"/>
  <c r="A516" i="7"/>
  <c r="B516" i="7"/>
  <c r="C516" i="7"/>
  <c r="G516" i="7"/>
  <c r="D516" i="7"/>
  <c r="A517" i="7"/>
  <c r="B517" i="7"/>
  <c r="C517" i="7"/>
  <c r="D517" i="7"/>
  <c r="A518" i="7"/>
  <c r="B518" i="7"/>
  <c r="C518" i="7"/>
  <c r="F518" i="7"/>
  <c r="D518" i="7"/>
  <c r="A519" i="7"/>
  <c r="B519" i="7"/>
  <c r="C519" i="7"/>
  <c r="F519" i="7"/>
  <c r="D519" i="7"/>
  <c r="A520" i="7"/>
  <c r="B520" i="7"/>
  <c r="C520" i="7"/>
  <c r="G520" i="7"/>
  <c r="D520" i="7"/>
  <c r="A521" i="7"/>
  <c r="B521" i="7"/>
  <c r="C521" i="7"/>
  <c r="G521" i="7"/>
  <c r="D521" i="7"/>
  <c r="A522" i="7"/>
  <c r="B522" i="7"/>
  <c r="C522" i="7"/>
  <c r="G522" i="7"/>
  <c r="D522" i="7"/>
  <c r="A523" i="7"/>
  <c r="B523" i="7"/>
  <c r="C523" i="7"/>
  <c r="F523" i="7"/>
  <c r="D523" i="7"/>
  <c r="A524" i="7"/>
  <c r="B524" i="7"/>
  <c r="C524" i="7"/>
  <c r="G524" i="7"/>
  <c r="D524" i="7"/>
  <c r="A525" i="7"/>
  <c r="B525" i="7"/>
  <c r="C525" i="7"/>
  <c r="D525" i="7"/>
  <c r="A526" i="7"/>
  <c r="B526" i="7"/>
  <c r="C526" i="7"/>
  <c r="G526" i="7"/>
  <c r="F526" i="7"/>
  <c r="D526" i="7"/>
  <c r="A527" i="7"/>
  <c r="B527" i="7"/>
  <c r="C527" i="7"/>
  <c r="F527" i="7"/>
  <c r="D527" i="7"/>
  <c r="A528" i="7"/>
  <c r="B528" i="7"/>
  <c r="C528" i="7"/>
  <c r="D528" i="7"/>
  <c r="A529" i="7"/>
  <c r="B529" i="7"/>
  <c r="C529" i="7"/>
  <c r="D529" i="7"/>
  <c r="A530" i="7"/>
  <c r="B530" i="7"/>
  <c r="C530" i="7"/>
  <c r="D530" i="7"/>
  <c r="A531" i="7"/>
  <c r="B531" i="7"/>
  <c r="C531" i="7"/>
  <c r="G531" i="7"/>
  <c r="D531" i="7"/>
  <c r="A532" i="7"/>
  <c r="B532" i="7"/>
  <c r="C532" i="7"/>
  <c r="D532" i="7"/>
  <c r="A533" i="7"/>
  <c r="B533" i="7"/>
  <c r="C533" i="7"/>
  <c r="G533" i="7"/>
  <c r="D533" i="7"/>
  <c r="A534" i="7"/>
  <c r="B534" i="7"/>
  <c r="C534" i="7"/>
  <c r="F534" i="7"/>
  <c r="D534" i="7"/>
  <c r="A535" i="7"/>
  <c r="B535" i="7"/>
  <c r="C535" i="7"/>
  <c r="F535" i="7"/>
  <c r="D535" i="7"/>
  <c r="A536" i="7"/>
  <c r="B536" i="7"/>
  <c r="C536" i="7"/>
  <c r="F536" i="7"/>
  <c r="D536" i="7"/>
  <c r="A537" i="7"/>
  <c r="B537" i="7"/>
  <c r="C537" i="7"/>
  <c r="D537" i="7"/>
  <c r="A538" i="7"/>
  <c r="B538" i="7"/>
  <c r="C538" i="7"/>
  <c r="G538" i="7"/>
  <c r="D538" i="7"/>
  <c r="A539" i="7"/>
  <c r="B539" i="7"/>
  <c r="C539" i="7"/>
  <c r="F539" i="7"/>
  <c r="D539" i="7"/>
  <c r="A540" i="7"/>
  <c r="B540" i="7"/>
  <c r="C540" i="7"/>
  <c r="G540" i="7"/>
  <c r="D540" i="7"/>
  <c r="A541" i="7"/>
  <c r="B541" i="7"/>
  <c r="C541" i="7"/>
  <c r="G541" i="7"/>
  <c r="D541" i="7"/>
  <c r="A542" i="7"/>
  <c r="B542" i="7"/>
  <c r="C542" i="7"/>
  <c r="D542" i="7"/>
  <c r="A543" i="7"/>
  <c r="B543" i="7"/>
  <c r="C543" i="7"/>
  <c r="F543" i="7"/>
  <c r="D543" i="7"/>
  <c r="A544" i="7"/>
  <c r="B544" i="7"/>
  <c r="C544" i="7"/>
  <c r="G544" i="7"/>
  <c r="D544" i="7"/>
  <c r="A545" i="7"/>
  <c r="B545" i="7"/>
  <c r="C545" i="7"/>
  <c r="G545" i="7"/>
  <c r="D545" i="7"/>
  <c r="A546" i="7"/>
  <c r="B546" i="7"/>
  <c r="C546" i="7"/>
  <c r="G546" i="7"/>
  <c r="D546" i="7"/>
  <c r="A547" i="7"/>
  <c r="B547" i="7"/>
  <c r="C547" i="7"/>
  <c r="G547" i="7"/>
  <c r="D547" i="7"/>
  <c r="A548" i="7"/>
  <c r="B548" i="7"/>
  <c r="C548" i="7"/>
  <c r="F548" i="7"/>
  <c r="D548" i="7"/>
  <c r="A549" i="7"/>
  <c r="B549" i="7"/>
  <c r="C549" i="7"/>
  <c r="D549" i="7"/>
  <c r="A550" i="7"/>
  <c r="B550" i="7"/>
  <c r="C550" i="7"/>
  <c r="F550" i="7"/>
  <c r="D550" i="7"/>
  <c r="A551" i="7"/>
  <c r="B551" i="7"/>
  <c r="C551" i="7"/>
  <c r="G551" i="7"/>
  <c r="D551" i="7"/>
  <c r="A552" i="7"/>
  <c r="B552" i="7"/>
  <c r="C552" i="7"/>
  <c r="G552" i="7"/>
  <c r="D552" i="7"/>
  <c r="A553" i="7"/>
  <c r="B553" i="7"/>
  <c r="C553" i="7"/>
  <c r="D553" i="7"/>
  <c r="A554" i="7"/>
  <c r="B554" i="7"/>
  <c r="C554" i="7"/>
  <c r="G554" i="7"/>
  <c r="D554" i="7"/>
  <c r="A555" i="7"/>
  <c r="B555" i="7"/>
  <c r="C555" i="7"/>
  <c r="D555" i="7"/>
  <c r="A556" i="7"/>
  <c r="B556" i="7"/>
  <c r="C556" i="7"/>
  <c r="G556" i="7"/>
  <c r="D556" i="7"/>
  <c r="A557" i="7"/>
  <c r="B557" i="7"/>
  <c r="C557" i="7"/>
  <c r="F557" i="7"/>
  <c r="D557" i="7"/>
  <c r="A558" i="7"/>
  <c r="B558" i="7"/>
  <c r="C558" i="7"/>
  <c r="F558" i="7"/>
  <c r="D558" i="7"/>
  <c r="A559" i="7"/>
  <c r="B559" i="7"/>
  <c r="C559" i="7"/>
  <c r="D559" i="7"/>
  <c r="A560" i="7"/>
  <c r="B560" i="7"/>
  <c r="C560" i="7"/>
  <c r="G560" i="7"/>
  <c r="D560" i="7"/>
  <c r="A561" i="7"/>
  <c r="B561" i="7"/>
  <c r="C561" i="7"/>
  <c r="G561" i="7"/>
  <c r="D561" i="7"/>
  <c r="A562" i="7"/>
  <c r="B562" i="7"/>
  <c r="C562" i="7"/>
  <c r="F562" i="7"/>
  <c r="D562" i="7"/>
  <c r="A563" i="7"/>
  <c r="B563" i="7"/>
  <c r="C563" i="7"/>
  <c r="F563" i="7"/>
  <c r="D563" i="7"/>
  <c r="A564" i="7"/>
  <c r="B564" i="7"/>
  <c r="C564" i="7"/>
  <c r="F564" i="7"/>
  <c r="D564" i="7"/>
  <c r="A565" i="7"/>
  <c r="B565" i="7"/>
  <c r="C565" i="7"/>
  <c r="G565" i="7"/>
  <c r="D565" i="7"/>
  <c r="A566" i="7"/>
  <c r="B566" i="7"/>
  <c r="C566" i="7"/>
  <c r="F566" i="7"/>
  <c r="D566" i="7"/>
  <c r="A567" i="7"/>
  <c r="B567" i="7"/>
  <c r="C567" i="7"/>
  <c r="D567" i="7"/>
  <c r="A568" i="7"/>
  <c r="B568" i="7"/>
  <c r="C568" i="7"/>
  <c r="F568" i="7"/>
  <c r="D568" i="7"/>
  <c r="A569" i="7"/>
  <c r="B569" i="7"/>
  <c r="C569" i="7"/>
  <c r="F569" i="7"/>
  <c r="D569" i="7"/>
  <c r="A570" i="7"/>
  <c r="B570" i="7"/>
  <c r="C570" i="7"/>
  <c r="G570" i="7"/>
  <c r="D570" i="7"/>
  <c r="A571" i="7"/>
  <c r="B571" i="7"/>
  <c r="C571" i="7"/>
  <c r="F571" i="7"/>
  <c r="D571" i="7"/>
  <c r="A572" i="7"/>
  <c r="B572" i="7"/>
  <c r="C572" i="7"/>
  <c r="F572" i="7"/>
  <c r="D572" i="7"/>
  <c r="A573" i="7"/>
  <c r="B573" i="7"/>
  <c r="C573" i="7"/>
  <c r="G573" i="7"/>
  <c r="F573" i="7"/>
  <c r="D573" i="7"/>
  <c r="A574" i="7"/>
  <c r="B574" i="7"/>
  <c r="C574" i="7"/>
  <c r="G574" i="7"/>
  <c r="D574" i="7"/>
  <c r="A575" i="7"/>
  <c r="B575" i="7"/>
  <c r="C575" i="7"/>
  <c r="D575" i="7"/>
  <c r="A576" i="7"/>
  <c r="B576" i="7"/>
  <c r="C576" i="7"/>
  <c r="F576" i="7"/>
  <c r="D576" i="7"/>
  <c r="A577" i="7"/>
  <c r="B577" i="7"/>
  <c r="C577" i="7"/>
  <c r="G577" i="7"/>
  <c r="D577" i="7"/>
  <c r="A578" i="7"/>
  <c r="B578" i="7"/>
  <c r="C578" i="7"/>
  <c r="F578" i="7"/>
  <c r="D578" i="7"/>
  <c r="A579" i="7"/>
  <c r="B579" i="7"/>
  <c r="C579" i="7"/>
  <c r="D579" i="7"/>
  <c r="A580" i="7"/>
  <c r="B580" i="7"/>
  <c r="C580" i="7"/>
  <c r="F580" i="7"/>
  <c r="D580" i="7"/>
  <c r="A581" i="7"/>
  <c r="B581" i="7"/>
  <c r="C581" i="7"/>
  <c r="D581" i="7"/>
  <c r="A582" i="7"/>
  <c r="B582" i="7"/>
  <c r="C582" i="7"/>
  <c r="G582" i="7"/>
  <c r="D582" i="7"/>
  <c r="A583" i="7"/>
  <c r="B583" i="7"/>
  <c r="C583" i="7"/>
  <c r="F583" i="7"/>
  <c r="D583" i="7"/>
  <c r="A584" i="7"/>
  <c r="B584" i="7"/>
  <c r="C584" i="7"/>
  <c r="D584" i="7"/>
  <c r="A585" i="7"/>
  <c r="B585" i="7"/>
  <c r="C585" i="7"/>
  <c r="G585" i="7"/>
  <c r="D585" i="7"/>
  <c r="A586" i="7"/>
  <c r="B586" i="7"/>
  <c r="C586" i="7"/>
  <c r="D586" i="7"/>
  <c r="A587" i="7"/>
  <c r="B587" i="7"/>
  <c r="C587" i="7"/>
  <c r="G587" i="7"/>
  <c r="D587" i="7"/>
  <c r="A588" i="7"/>
  <c r="B588" i="7"/>
  <c r="C588" i="7"/>
  <c r="G588" i="7"/>
  <c r="D588" i="7"/>
  <c r="A589" i="7"/>
  <c r="B589" i="7"/>
  <c r="C589" i="7"/>
  <c r="G589" i="7"/>
  <c r="D589" i="7"/>
  <c r="A590" i="7"/>
  <c r="B590" i="7"/>
  <c r="C590" i="7"/>
  <c r="F590" i="7"/>
  <c r="D590" i="7"/>
  <c r="A591" i="7"/>
  <c r="B591" i="7"/>
  <c r="C591" i="7"/>
  <c r="G591" i="7"/>
  <c r="D591" i="7"/>
  <c r="A592" i="7"/>
  <c r="B592" i="7"/>
  <c r="C592" i="7"/>
  <c r="F592" i="7"/>
  <c r="D592" i="7"/>
  <c r="A593" i="7"/>
  <c r="B593" i="7"/>
  <c r="C593" i="7"/>
  <c r="F593" i="7"/>
  <c r="D593" i="7"/>
  <c r="A594" i="7"/>
  <c r="B594" i="7"/>
  <c r="C594" i="7"/>
  <c r="F594" i="7"/>
  <c r="D594" i="7"/>
  <c r="A595" i="7"/>
  <c r="B595" i="7"/>
  <c r="C595" i="7"/>
  <c r="G595" i="7"/>
  <c r="D595" i="7"/>
  <c r="A596" i="7"/>
  <c r="B596" i="7"/>
  <c r="C596" i="7"/>
  <c r="G596" i="7"/>
  <c r="D596" i="7"/>
  <c r="A597" i="7"/>
  <c r="B597" i="7"/>
  <c r="C597" i="7"/>
  <c r="F597" i="7"/>
  <c r="D597" i="7"/>
  <c r="A598" i="7"/>
  <c r="B598" i="7"/>
  <c r="C598" i="7"/>
  <c r="F598" i="7"/>
  <c r="D598" i="7"/>
  <c r="A599" i="7"/>
  <c r="B599" i="7"/>
  <c r="C599" i="7"/>
  <c r="G599" i="7"/>
  <c r="D599" i="7"/>
  <c r="A600" i="7"/>
  <c r="B600" i="7"/>
  <c r="C600" i="7"/>
  <c r="D600" i="7"/>
  <c r="A601" i="7"/>
  <c r="B601" i="7"/>
  <c r="C601" i="7"/>
  <c r="G601" i="7"/>
  <c r="D601" i="7"/>
  <c r="A602" i="7"/>
  <c r="B602" i="7"/>
  <c r="C602" i="7"/>
  <c r="G602" i="7"/>
  <c r="D602" i="7"/>
  <c r="A603" i="7"/>
  <c r="B603" i="7"/>
  <c r="C603" i="7"/>
  <c r="G603" i="7"/>
  <c r="D603" i="7"/>
  <c r="A604" i="7"/>
  <c r="B604" i="7"/>
  <c r="C604" i="7"/>
  <c r="G604" i="7"/>
  <c r="D604" i="7"/>
  <c r="A605" i="7"/>
  <c r="B605" i="7"/>
  <c r="C605" i="7"/>
  <c r="G605" i="7"/>
  <c r="D605" i="7"/>
  <c r="A606" i="7"/>
  <c r="B606" i="7"/>
  <c r="C606" i="7"/>
  <c r="D606" i="7"/>
  <c r="A607" i="7"/>
  <c r="B607" i="7"/>
  <c r="C607" i="7"/>
  <c r="F607" i="7"/>
  <c r="D607" i="7"/>
  <c r="A608" i="7"/>
  <c r="B608" i="7"/>
  <c r="C608" i="7"/>
  <c r="G608" i="7"/>
  <c r="D608" i="7"/>
  <c r="A609" i="7"/>
  <c r="B609" i="7"/>
  <c r="C609" i="7"/>
  <c r="G609" i="7"/>
  <c r="D609" i="7"/>
  <c r="A610" i="7"/>
  <c r="B610" i="7"/>
  <c r="C610" i="7"/>
  <c r="D610" i="7"/>
  <c r="A611" i="7"/>
  <c r="B611" i="7"/>
  <c r="C611" i="7"/>
  <c r="G611" i="7"/>
  <c r="D611" i="7"/>
  <c r="A612" i="7"/>
  <c r="B612" i="7"/>
  <c r="C612" i="7"/>
  <c r="G612" i="7"/>
  <c r="D612" i="7"/>
  <c r="A613" i="7"/>
  <c r="B613" i="7"/>
  <c r="D613" i="7"/>
  <c r="A614" i="7"/>
  <c r="B614" i="7"/>
  <c r="C614" i="7"/>
  <c r="G614" i="7"/>
  <c r="D614" i="7"/>
  <c r="A615" i="7"/>
  <c r="B615" i="7"/>
  <c r="C615" i="7"/>
  <c r="G615" i="7"/>
  <c r="D615" i="7"/>
  <c r="A616" i="7"/>
  <c r="B616" i="7"/>
  <c r="C616" i="7"/>
  <c r="G616" i="7"/>
  <c r="D616" i="7"/>
  <c r="A617" i="7"/>
  <c r="B617" i="7"/>
  <c r="C617" i="7"/>
  <c r="F617" i="7"/>
  <c r="D617" i="7"/>
  <c r="A618" i="7"/>
  <c r="B618" i="7"/>
  <c r="C618" i="7"/>
  <c r="G618" i="7"/>
  <c r="D618" i="7"/>
  <c r="A619" i="7"/>
  <c r="B619" i="7"/>
  <c r="C619" i="7"/>
  <c r="F619" i="7"/>
  <c r="D619" i="7"/>
  <c r="A620" i="7"/>
  <c r="B620" i="7"/>
  <c r="C620" i="7"/>
  <c r="G620" i="7"/>
  <c r="D620" i="7"/>
  <c r="A621" i="7"/>
  <c r="B621" i="7"/>
  <c r="C621" i="7"/>
  <c r="F621" i="7"/>
  <c r="D621" i="7"/>
  <c r="A622" i="7"/>
  <c r="B622" i="7"/>
  <c r="C622" i="7"/>
  <c r="F622" i="7"/>
  <c r="D622" i="7"/>
  <c r="A623" i="7"/>
  <c r="B623" i="7"/>
  <c r="C623" i="7"/>
  <c r="F623" i="7"/>
  <c r="D623" i="7"/>
  <c r="A624" i="7"/>
  <c r="B624" i="7"/>
  <c r="C624" i="7"/>
  <c r="G624" i="7"/>
  <c r="D624" i="7"/>
  <c r="A625" i="7"/>
  <c r="B625" i="7"/>
  <c r="C625" i="7"/>
  <c r="G625" i="7"/>
  <c r="D625" i="7"/>
  <c r="A626" i="7"/>
  <c r="B626" i="7"/>
  <c r="C626" i="7"/>
  <c r="G626" i="7"/>
  <c r="D626" i="7"/>
  <c r="A627" i="7"/>
  <c r="B627" i="7"/>
  <c r="C627" i="7"/>
  <c r="F627" i="7"/>
  <c r="D627" i="7"/>
  <c r="A628" i="7"/>
  <c r="B628" i="7"/>
  <c r="C628" i="7"/>
  <c r="F628" i="7"/>
  <c r="D628" i="7"/>
  <c r="A629" i="7"/>
  <c r="B629" i="7"/>
  <c r="C629" i="7"/>
  <c r="G629" i="7"/>
  <c r="D629" i="7"/>
  <c r="A630" i="7"/>
  <c r="B630" i="7"/>
  <c r="C630" i="7"/>
  <c r="G630" i="7"/>
  <c r="D630" i="7"/>
  <c r="A631" i="7"/>
  <c r="B631" i="7"/>
  <c r="C631" i="7"/>
  <c r="G631" i="7"/>
  <c r="D631" i="7"/>
  <c r="A632" i="7"/>
  <c r="B632" i="7"/>
  <c r="C632" i="7"/>
  <c r="G632" i="7"/>
  <c r="D632" i="7"/>
  <c r="A633" i="7"/>
  <c r="B633" i="7"/>
  <c r="C633" i="7"/>
  <c r="G633" i="7"/>
  <c r="D633" i="7"/>
  <c r="A634" i="7"/>
  <c r="B634" i="7"/>
  <c r="C634" i="7"/>
  <c r="F634" i="7"/>
  <c r="D634" i="7"/>
  <c r="A635" i="7"/>
  <c r="B635" i="7"/>
  <c r="C635" i="7"/>
  <c r="F635" i="7"/>
  <c r="D635" i="7"/>
  <c r="A636" i="7"/>
  <c r="B636" i="7"/>
  <c r="C636" i="7"/>
  <c r="F636" i="7"/>
  <c r="D636" i="7"/>
  <c r="A637" i="7"/>
  <c r="B637" i="7"/>
  <c r="C637" i="7"/>
  <c r="G637" i="7"/>
  <c r="D637" i="7"/>
  <c r="A638" i="7"/>
  <c r="B638" i="7"/>
  <c r="C638" i="7"/>
  <c r="G638" i="7"/>
  <c r="D638" i="7"/>
  <c r="A639" i="7"/>
  <c r="B639" i="7"/>
  <c r="C639" i="7"/>
  <c r="D639" i="7"/>
  <c r="A640" i="7"/>
  <c r="B640" i="7"/>
  <c r="C640" i="7"/>
  <c r="F640" i="7"/>
  <c r="D640" i="7"/>
  <c r="A641" i="7"/>
  <c r="B641" i="7"/>
  <c r="C641" i="7"/>
  <c r="G641" i="7"/>
  <c r="F641" i="7"/>
  <c r="D641" i="7"/>
  <c r="A642" i="7"/>
  <c r="B642" i="7"/>
  <c r="C642" i="7"/>
  <c r="D642" i="7"/>
  <c r="A643" i="7"/>
  <c r="B643" i="7"/>
  <c r="C643" i="7"/>
  <c r="F643" i="7"/>
  <c r="D643" i="7"/>
  <c r="A644" i="7"/>
  <c r="B644" i="7"/>
  <c r="C644" i="7"/>
  <c r="F644" i="7"/>
  <c r="D644" i="7"/>
  <c r="A645" i="7"/>
  <c r="B645" i="7"/>
  <c r="C645" i="7"/>
  <c r="G645" i="7"/>
  <c r="D645" i="7"/>
  <c r="A646" i="7"/>
  <c r="B646" i="7"/>
  <c r="C646" i="7"/>
  <c r="D646" i="7"/>
  <c r="A647" i="7"/>
  <c r="B647" i="7"/>
  <c r="C647" i="7"/>
  <c r="D647" i="7"/>
  <c r="A648" i="7"/>
  <c r="B648" i="7"/>
  <c r="C648" i="7"/>
  <c r="G648" i="7"/>
  <c r="D648" i="7"/>
  <c r="A649" i="7"/>
  <c r="B649" i="7"/>
  <c r="C649" i="7"/>
  <c r="D649" i="7"/>
  <c r="A650" i="7"/>
  <c r="B650" i="7"/>
  <c r="C650" i="7"/>
  <c r="G650" i="7"/>
  <c r="D650" i="7"/>
  <c r="A651" i="7"/>
  <c r="B651" i="7"/>
  <c r="C651" i="7"/>
  <c r="F651" i="7"/>
  <c r="D651" i="7"/>
  <c r="A652" i="7"/>
  <c r="B652" i="7"/>
  <c r="C652" i="7"/>
  <c r="G652" i="7"/>
  <c r="D652" i="7"/>
  <c r="A653" i="7"/>
  <c r="B653" i="7"/>
  <c r="C653" i="7"/>
  <c r="F653" i="7"/>
  <c r="D653" i="7"/>
  <c r="A654" i="7"/>
  <c r="B654" i="7"/>
  <c r="C654" i="7"/>
  <c r="F654" i="7"/>
  <c r="D654" i="7"/>
  <c r="A655" i="7"/>
  <c r="B655" i="7"/>
  <c r="C655" i="7"/>
  <c r="G655" i="7"/>
  <c r="F655" i="7"/>
  <c r="D655" i="7"/>
  <c r="A656" i="7"/>
  <c r="B656" i="7"/>
  <c r="C656" i="7"/>
  <c r="G656" i="7"/>
  <c r="D656" i="7"/>
  <c r="A657" i="7"/>
  <c r="B657" i="7"/>
  <c r="C657" i="7"/>
  <c r="G657" i="7"/>
  <c r="D657" i="7"/>
  <c r="A658" i="7"/>
  <c r="B658" i="7"/>
  <c r="C658" i="7"/>
  <c r="F658" i="7"/>
  <c r="D658" i="7"/>
  <c r="A659" i="7"/>
  <c r="B659" i="7"/>
  <c r="C659" i="7"/>
  <c r="G659" i="7"/>
  <c r="D659" i="7"/>
  <c r="A660" i="7"/>
  <c r="B660" i="7"/>
  <c r="C660" i="7"/>
  <c r="G660" i="7"/>
  <c r="D660" i="7"/>
  <c r="A661" i="7"/>
  <c r="B661" i="7"/>
  <c r="C661" i="7"/>
  <c r="G661" i="7"/>
  <c r="D661" i="7"/>
  <c r="A662" i="7"/>
  <c r="B662" i="7"/>
  <c r="C662" i="7"/>
  <c r="G662" i="7"/>
  <c r="F662" i="7"/>
  <c r="D662" i="7"/>
  <c r="A663" i="7"/>
  <c r="B663" i="7"/>
  <c r="C663" i="7"/>
  <c r="G663" i="7"/>
  <c r="D663" i="7"/>
  <c r="A664" i="7"/>
  <c r="B664" i="7"/>
  <c r="C664" i="7"/>
  <c r="F664" i="7"/>
  <c r="D664" i="7"/>
  <c r="A665" i="7"/>
  <c r="B665" i="7"/>
  <c r="C665" i="7"/>
  <c r="G665" i="7"/>
  <c r="D665" i="7"/>
  <c r="A666" i="7"/>
  <c r="B666" i="7"/>
  <c r="C666" i="7"/>
  <c r="F666" i="7"/>
  <c r="D666" i="7"/>
  <c r="A667" i="7"/>
  <c r="B667" i="7"/>
  <c r="C667" i="7"/>
  <c r="D667" i="7"/>
  <c r="A668" i="7"/>
  <c r="B668" i="7"/>
  <c r="C668" i="7"/>
  <c r="D668" i="7"/>
  <c r="A669" i="7"/>
  <c r="B669" i="7"/>
  <c r="C669" i="7"/>
  <c r="G669" i="7"/>
  <c r="D669" i="7"/>
  <c r="A670" i="7"/>
  <c r="B670" i="7"/>
  <c r="C670" i="7"/>
  <c r="F670" i="7"/>
  <c r="D670" i="7"/>
  <c r="A671" i="7"/>
  <c r="B671" i="7"/>
  <c r="C671" i="7"/>
  <c r="F671" i="7"/>
  <c r="D671" i="7"/>
  <c r="A672" i="7"/>
  <c r="B672" i="7"/>
  <c r="C672" i="7"/>
  <c r="F672" i="7"/>
  <c r="D672" i="7"/>
  <c r="A673" i="7"/>
  <c r="B673" i="7"/>
  <c r="C673" i="7"/>
  <c r="F673" i="7"/>
  <c r="D673" i="7"/>
  <c r="A674" i="7"/>
  <c r="B674" i="7"/>
  <c r="C674" i="7"/>
  <c r="F674" i="7"/>
  <c r="D674" i="7"/>
  <c r="A675" i="7"/>
  <c r="B675" i="7"/>
  <c r="C675" i="7"/>
  <c r="D675" i="7"/>
  <c r="A676" i="7"/>
  <c r="B676" i="7"/>
  <c r="C676" i="7"/>
  <c r="G676" i="7"/>
  <c r="D676" i="7"/>
  <c r="A677" i="7"/>
  <c r="B677" i="7"/>
  <c r="C677" i="7"/>
  <c r="G677" i="7"/>
  <c r="D677" i="7"/>
  <c r="A678" i="7"/>
  <c r="B678" i="7"/>
  <c r="C678" i="7"/>
  <c r="F678" i="7"/>
  <c r="D678" i="7"/>
  <c r="A679" i="7"/>
  <c r="B679" i="7"/>
  <c r="C679" i="7"/>
  <c r="G679" i="7"/>
  <c r="D679" i="7"/>
  <c r="A680" i="7"/>
  <c r="B680" i="7"/>
  <c r="C680" i="7"/>
  <c r="G680" i="7"/>
  <c r="D680" i="7"/>
  <c r="A681" i="7"/>
  <c r="B681" i="7"/>
  <c r="C681" i="7"/>
  <c r="F681" i="7"/>
  <c r="D681" i="7"/>
  <c r="A682" i="7"/>
  <c r="B682" i="7"/>
  <c r="C682" i="7"/>
  <c r="G682" i="7"/>
  <c r="D682" i="7"/>
  <c r="A683" i="7"/>
  <c r="B683" i="7"/>
  <c r="C683" i="7"/>
  <c r="G683" i="7"/>
  <c r="D683" i="7"/>
  <c r="A684" i="7"/>
  <c r="B684" i="7"/>
  <c r="C684" i="7"/>
  <c r="F684" i="7"/>
  <c r="D684" i="7"/>
  <c r="A685" i="7"/>
  <c r="B685" i="7"/>
  <c r="C685" i="7"/>
  <c r="G685" i="7"/>
  <c r="D685" i="7"/>
  <c r="A686" i="7"/>
  <c r="B686" i="7"/>
  <c r="C686" i="7"/>
  <c r="G686" i="7"/>
  <c r="D686" i="7"/>
  <c r="A687" i="7"/>
  <c r="B687" i="7"/>
  <c r="C687" i="7"/>
  <c r="G687" i="7"/>
  <c r="D687" i="7"/>
  <c r="A688" i="7"/>
  <c r="B688" i="7"/>
  <c r="C688" i="7"/>
  <c r="G688" i="7"/>
  <c r="D688" i="7"/>
  <c r="A689" i="7"/>
  <c r="B689" i="7"/>
  <c r="C689" i="7"/>
  <c r="F689" i="7"/>
  <c r="D689" i="7"/>
  <c r="A690" i="7"/>
  <c r="B690" i="7"/>
  <c r="C690" i="7"/>
  <c r="D690" i="7"/>
  <c r="A691" i="7"/>
  <c r="B691" i="7"/>
  <c r="C691" i="7"/>
  <c r="F691" i="7"/>
  <c r="D691" i="7"/>
  <c r="A692" i="7"/>
  <c r="B692" i="7"/>
  <c r="C692" i="7"/>
  <c r="F692" i="7"/>
  <c r="D692" i="7"/>
  <c r="A693" i="7"/>
  <c r="B693" i="7"/>
  <c r="C693" i="7"/>
  <c r="F693" i="7"/>
  <c r="D693" i="7"/>
  <c r="A694" i="7"/>
  <c r="B694" i="7"/>
  <c r="C694" i="7"/>
  <c r="G694" i="7"/>
  <c r="D694" i="7"/>
  <c r="A695" i="7"/>
  <c r="B695" i="7"/>
  <c r="C695" i="7"/>
  <c r="G695" i="7"/>
  <c r="D695" i="7"/>
  <c r="A696" i="7"/>
  <c r="B696" i="7"/>
  <c r="C696" i="7"/>
  <c r="F696" i="7"/>
  <c r="D696" i="7"/>
  <c r="A697" i="7"/>
  <c r="B697" i="7"/>
  <c r="C697" i="7"/>
  <c r="D697" i="7"/>
  <c r="A698" i="7"/>
  <c r="B698" i="7"/>
  <c r="C698" i="7"/>
  <c r="F698" i="7"/>
  <c r="D698" i="7"/>
  <c r="A699" i="7"/>
  <c r="B699" i="7"/>
  <c r="C699" i="7"/>
  <c r="F699" i="7"/>
  <c r="D699" i="7"/>
  <c r="A700" i="7"/>
  <c r="B700" i="7"/>
  <c r="C700" i="7"/>
  <c r="F700" i="7"/>
  <c r="D700" i="7"/>
  <c r="A701" i="7"/>
  <c r="B701" i="7"/>
  <c r="C701" i="7"/>
  <c r="F701" i="7"/>
  <c r="D701" i="7"/>
  <c r="A702" i="7"/>
  <c r="B702" i="7"/>
  <c r="C702" i="7"/>
  <c r="F702" i="7"/>
  <c r="D702" i="7"/>
  <c r="A703" i="7"/>
  <c r="B703" i="7"/>
  <c r="C703" i="7"/>
  <c r="F703" i="7"/>
  <c r="D703" i="7"/>
  <c r="A704" i="7"/>
  <c r="B704" i="7"/>
  <c r="C704" i="7"/>
  <c r="G704" i="7"/>
  <c r="D704" i="7"/>
  <c r="A705" i="7"/>
  <c r="B705" i="7"/>
  <c r="C705" i="7"/>
  <c r="G705" i="7"/>
  <c r="D705" i="7"/>
  <c r="A706" i="7"/>
  <c r="B706" i="7"/>
  <c r="C706" i="7"/>
  <c r="F706" i="7"/>
  <c r="D706" i="7"/>
  <c r="A707" i="7"/>
  <c r="B707" i="7"/>
  <c r="C707" i="7"/>
  <c r="F707" i="7"/>
  <c r="D707" i="7"/>
  <c r="A708" i="7"/>
  <c r="B708" i="7"/>
  <c r="C708" i="7"/>
  <c r="F708" i="7"/>
  <c r="D708" i="7"/>
  <c r="A709" i="7"/>
  <c r="B709" i="7"/>
  <c r="C709" i="7"/>
  <c r="F709" i="7"/>
  <c r="D709" i="7"/>
  <c r="A710" i="7"/>
  <c r="B710" i="7"/>
  <c r="C710" i="7"/>
  <c r="G710" i="7"/>
  <c r="D710" i="7"/>
  <c r="A711" i="7"/>
  <c r="B711" i="7"/>
  <c r="C711" i="7"/>
  <c r="F711" i="7"/>
  <c r="D711" i="7"/>
  <c r="A712" i="7"/>
  <c r="B712" i="7"/>
  <c r="C712" i="7"/>
  <c r="F712" i="7"/>
  <c r="D712" i="7"/>
  <c r="A713" i="7"/>
  <c r="B713" i="7"/>
  <c r="C713" i="7"/>
  <c r="G713" i="7"/>
  <c r="D713" i="7"/>
  <c r="A714" i="7"/>
  <c r="B714" i="7"/>
  <c r="C714" i="7"/>
  <c r="G714" i="7"/>
  <c r="D714" i="7"/>
  <c r="A715" i="7"/>
  <c r="B715" i="7"/>
  <c r="C715" i="7"/>
  <c r="G715" i="7"/>
  <c r="D715" i="7"/>
  <c r="A716" i="7"/>
  <c r="B716" i="7"/>
  <c r="C716" i="7"/>
  <c r="F716" i="7"/>
  <c r="D716" i="7"/>
  <c r="A717" i="7"/>
  <c r="B717" i="7"/>
  <c r="C717" i="7"/>
  <c r="F717" i="7"/>
  <c r="D717" i="7"/>
  <c r="A718" i="7"/>
  <c r="B718" i="7"/>
  <c r="C718" i="7"/>
  <c r="F718" i="7"/>
  <c r="D718" i="7"/>
  <c r="A719" i="7"/>
  <c r="B719" i="7"/>
  <c r="C719" i="7"/>
  <c r="G719" i="7"/>
  <c r="D719" i="7"/>
  <c r="A720" i="7"/>
  <c r="B720" i="7"/>
  <c r="C720" i="7"/>
  <c r="F720" i="7"/>
  <c r="D720" i="7"/>
  <c r="A721" i="7"/>
  <c r="B721" i="7"/>
  <c r="C721" i="7"/>
  <c r="F721" i="7"/>
  <c r="D721" i="7"/>
  <c r="A722" i="7"/>
  <c r="B722" i="7"/>
  <c r="C722" i="7"/>
  <c r="G722" i="7"/>
  <c r="D722" i="7"/>
  <c r="A723" i="7"/>
  <c r="B723" i="7"/>
  <c r="C723" i="7"/>
  <c r="G723" i="7"/>
  <c r="D723" i="7"/>
  <c r="A724" i="7"/>
  <c r="B724" i="7"/>
  <c r="C724" i="7"/>
  <c r="D724" i="7"/>
  <c r="A725" i="7"/>
  <c r="B725" i="7"/>
  <c r="C725" i="7"/>
  <c r="F725" i="7"/>
  <c r="D725" i="7"/>
  <c r="A726" i="7"/>
  <c r="B726" i="7"/>
  <c r="C726" i="7"/>
  <c r="F726" i="7"/>
  <c r="D726" i="7"/>
  <c r="A727" i="7"/>
  <c r="B727" i="7"/>
  <c r="C727" i="7"/>
  <c r="G727" i="7"/>
  <c r="D727" i="7"/>
  <c r="A728" i="7"/>
  <c r="B728" i="7"/>
  <c r="C728" i="7"/>
  <c r="G728" i="7"/>
  <c r="D728" i="7"/>
  <c r="A729" i="7"/>
  <c r="B729" i="7"/>
  <c r="C729" i="7"/>
  <c r="F729" i="7"/>
  <c r="D729" i="7"/>
  <c r="A730" i="7"/>
  <c r="B730" i="7"/>
  <c r="C730" i="7"/>
  <c r="F730" i="7"/>
  <c r="D730" i="7"/>
  <c r="A731" i="7"/>
  <c r="B731" i="7"/>
  <c r="C731" i="7"/>
  <c r="G731" i="7"/>
  <c r="D731" i="7"/>
  <c r="A732" i="7"/>
  <c r="B732" i="7"/>
  <c r="C732" i="7"/>
  <c r="F732" i="7"/>
  <c r="D732" i="7"/>
  <c r="A733" i="7"/>
  <c r="B733" i="7"/>
  <c r="C733" i="7"/>
  <c r="G733" i="7"/>
  <c r="D733" i="7"/>
  <c r="A734" i="7"/>
  <c r="B734" i="7"/>
  <c r="C734" i="7"/>
  <c r="G734" i="7"/>
  <c r="D734" i="7"/>
  <c r="A735" i="7"/>
  <c r="B735" i="7"/>
  <c r="C735" i="7"/>
  <c r="G735" i="7"/>
  <c r="D735" i="7"/>
  <c r="A736" i="7"/>
  <c r="B736" i="7"/>
  <c r="C736" i="7"/>
  <c r="D736" i="7"/>
  <c r="A737" i="7"/>
  <c r="B737" i="7"/>
  <c r="C737" i="7"/>
  <c r="D737" i="7"/>
  <c r="A738" i="7"/>
  <c r="B738" i="7"/>
  <c r="C738" i="7"/>
  <c r="G738" i="7"/>
  <c r="D738" i="7"/>
  <c r="A739" i="7"/>
  <c r="B739" i="7"/>
  <c r="C739" i="7"/>
  <c r="D739" i="7"/>
  <c r="A740" i="7"/>
  <c r="B740" i="7"/>
  <c r="C740" i="7"/>
  <c r="F740" i="7"/>
  <c r="D740" i="7"/>
  <c r="A741" i="7"/>
  <c r="B741" i="7"/>
  <c r="C741" i="7"/>
  <c r="F741" i="7"/>
  <c r="D741" i="7"/>
  <c r="A742" i="7"/>
  <c r="B742" i="7"/>
  <c r="C742" i="7"/>
  <c r="G742" i="7"/>
  <c r="D742" i="7"/>
  <c r="A743" i="7"/>
  <c r="B743" i="7"/>
  <c r="C743" i="7"/>
  <c r="F743" i="7"/>
  <c r="D743" i="7"/>
  <c r="A744" i="7"/>
  <c r="B744" i="7"/>
  <c r="C744" i="7"/>
  <c r="F744" i="7"/>
  <c r="D744" i="7"/>
  <c r="A745" i="7"/>
  <c r="B745" i="7"/>
  <c r="C745" i="7"/>
  <c r="G745" i="7"/>
  <c r="D745" i="7"/>
  <c r="A746" i="7"/>
  <c r="B746" i="7"/>
  <c r="C746" i="7"/>
  <c r="G746" i="7"/>
  <c r="F746" i="7"/>
  <c r="D746" i="7"/>
  <c r="A747" i="7"/>
  <c r="B747" i="7"/>
  <c r="C747" i="7"/>
  <c r="G747" i="7"/>
  <c r="D747" i="7"/>
  <c r="A748" i="7"/>
  <c r="B748" i="7"/>
  <c r="C748" i="7"/>
  <c r="G748" i="7"/>
  <c r="D748" i="7"/>
  <c r="A749" i="7"/>
  <c r="B749" i="7"/>
  <c r="C749" i="7"/>
  <c r="G749" i="7"/>
  <c r="D749" i="7"/>
  <c r="A750" i="7"/>
  <c r="B750" i="7"/>
  <c r="C750" i="7"/>
  <c r="D750" i="7"/>
  <c r="A751" i="7"/>
  <c r="B751" i="7"/>
  <c r="C751" i="7"/>
  <c r="G751" i="7"/>
  <c r="D751" i="7"/>
  <c r="A752" i="7"/>
  <c r="B752" i="7"/>
  <c r="C752" i="7"/>
  <c r="D752" i="7"/>
  <c r="A753" i="7"/>
  <c r="B753" i="7"/>
  <c r="C753" i="7"/>
  <c r="G753" i="7"/>
  <c r="D753" i="7"/>
  <c r="A754" i="7"/>
  <c r="B754" i="7"/>
  <c r="C754" i="7"/>
  <c r="F754" i="7"/>
  <c r="D754" i="7"/>
  <c r="A755" i="7"/>
  <c r="B755" i="7"/>
  <c r="C755" i="7"/>
  <c r="G755" i="7"/>
  <c r="D755" i="7"/>
  <c r="A756" i="7"/>
  <c r="B756" i="7"/>
  <c r="C756" i="7"/>
  <c r="F756" i="7"/>
  <c r="D756" i="7"/>
  <c r="A757" i="7"/>
  <c r="B757" i="7"/>
  <c r="C757" i="7"/>
  <c r="F757" i="7"/>
  <c r="D757" i="7"/>
  <c r="A758" i="7"/>
  <c r="B758" i="7"/>
  <c r="C758" i="7"/>
  <c r="G758" i="7"/>
  <c r="D758" i="7"/>
  <c r="A759" i="7"/>
  <c r="B759" i="7"/>
  <c r="C759" i="7"/>
  <c r="F759" i="7"/>
  <c r="D759" i="7"/>
  <c r="A760" i="7"/>
  <c r="B760" i="7"/>
  <c r="C760" i="7"/>
  <c r="F760" i="7"/>
  <c r="D760" i="7"/>
  <c r="A761" i="7"/>
  <c r="B761" i="7"/>
  <c r="C761" i="7"/>
  <c r="D761" i="7"/>
  <c r="A762" i="7"/>
  <c r="B762" i="7"/>
  <c r="C762" i="7"/>
  <c r="F762" i="7"/>
  <c r="D762" i="7"/>
  <c r="A763" i="7"/>
  <c r="B763" i="7"/>
  <c r="C763" i="7"/>
  <c r="F763" i="7"/>
  <c r="D763" i="7"/>
  <c r="A764" i="7"/>
  <c r="B764" i="7"/>
  <c r="C764" i="7"/>
  <c r="F764" i="7"/>
  <c r="D764" i="7"/>
  <c r="A765" i="7"/>
  <c r="B765" i="7"/>
  <c r="C765" i="7"/>
  <c r="F765" i="7"/>
  <c r="D765" i="7"/>
  <c r="A766" i="7"/>
  <c r="B766" i="7"/>
  <c r="C766" i="7"/>
  <c r="F766" i="7"/>
  <c r="D766" i="7"/>
  <c r="A767" i="7"/>
  <c r="B767" i="7"/>
  <c r="C767" i="7"/>
  <c r="G767" i="7"/>
  <c r="D767" i="7"/>
  <c r="A768" i="7"/>
  <c r="B768" i="7"/>
  <c r="C768" i="7"/>
  <c r="G768" i="7"/>
  <c r="D768" i="7"/>
  <c r="A769" i="7"/>
  <c r="B769" i="7"/>
  <c r="C769" i="7"/>
  <c r="G769" i="7"/>
  <c r="D769" i="7"/>
  <c r="A770" i="7"/>
  <c r="B770" i="7"/>
  <c r="C770" i="7"/>
  <c r="G770" i="7"/>
  <c r="D770" i="7"/>
  <c r="A771" i="7"/>
  <c r="B771" i="7"/>
  <c r="C771" i="7"/>
  <c r="D771" i="7"/>
  <c r="A772" i="7"/>
  <c r="B772" i="7"/>
  <c r="C772" i="7"/>
  <c r="G772" i="7"/>
  <c r="D772" i="7"/>
  <c r="A773" i="7"/>
  <c r="B773" i="7"/>
  <c r="C773" i="7"/>
  <c r="F773" i="7"/>
  <c r="D773" i="7"/>
  <c r="A774" i="7"/>
  <c r="B774" i="7"/>
  <c r="C774" i="7"/>
  <c r="F774" i="7"/>
  <c r="D774" i="7"/>
  <c r="A775" i="7"/>
  <c r="B775" i="7"/>
  <c r="C775" i="7"/>
  <c r="F775" i="7"/>
  <c r="D775" i="7"/>
  <c r="A776" i="7"/>
  <c r="B776" i="7"/>
  <c r="C776" i="7"/>
  <c r="G776" i="7"/>
  <c r="D776" i="7"/>
  <c r="A777" i="7"/>
  <c r="B777" i="7"/>
  <c r="C777" i="7"/>
  <c r="G777" i="7"/>
  <c r="D777" i="7"/>
  <c r="A778" i="7"/>
  <c r="B778" i="7"/>
  <c r="C778" i="7"/>
  <c r="G778" i="7"/>
  <c r="D778" i="7"/>
  <c r="A779" i="7"/>
  <c r="B779" i="7"/>
  <c r="C779" i="7"/>
  <c r="G779" i="7"/>
  <c r="D779" i="7"/>
  <c r="A780" i="7"/>
  <c r="B780" i="7"/>
  <c r="C780" i="7"/>
  <c r="G780" i="7"/>
  <c r="D780" i="7"/>
  <c r="A781" i="7"/>
  <c r="B781" i="7"/>
  <c r="C781" i="7"/>
  <c r="F781" i="7"/>
  <c r="D781" i="7"/>
  <c r="A782" i="7"/>
  <c r="B782" i="7"/>
  <c r="C782" i="7"/>
  <c r="F782" i="7"/>
  <c r="D782" i="7"/>
  <c r="A783" i="7"/>
  <c r="B783" i="7"/>
  <c r="C783" i="7"/>
  <c r="G783" i="7"/>
  <c r="D783" i="7"/>
  <c r="A784" i="7"/>
  <c r="B784" i="7"/>
  <c r="C784" i="7"/>
  <c r="D784" i="7"/>
  <c r="A785" i="7"/>
  <c r="B785" i="7"/>
  <c r="C785" i="7"/>
  <c r="G785" i="7"/>
  <c r="D785" i="7"/>
  <c r="A786" i="7"/>
  <c r="B786" i="7"/>
  <c r="C786" i="7"/>
  <c r="G786" i="7"/>
  <c r="D786" i="7"/>
  <c r="A787" i="7"/>
  <c r="B787" i="7"/>
  <c r="C787" i="7"/>
  <c r="F787" i="7"/>
  <c r="D787" i="7"/>
  <c r="A788" i="7"/>
  <c r="B788" i="7"/>
  <c r="C788" i="7"/>
  <c r="F788" i="7"/>
  <c r="D788" i="7"/>
  <c r="A789" i="7"/>
  <c r="B789" i="7"/>
  <c r="C789" i="7"/>
  <c r="F789" i="7"/>
  <c r="D789" i="7"/>
  <c r="A790" i="7"/>
  <c r="B790" i="7"/>
  <c r="C790" i="7"/>
  <c r="F790" i="7"/>
  <c r="G790" i="7"/>
  <c r="D790" i="7"/>
  <c r="A791" i="7"/>
  <c r="B791" i="7"/>
  <c r="C791" i="7"/>
  <c r="G791" i="7"/>
  <c r="D791" i="7"/>
  <c r="A792" i="7"/>
  <c r="B792" i="7"/>
  <c r="C792" i="7"/>
  <c r="F792" i="7"/>
  <c r="D792" i="7"/>
  <c r="A793" i="7"/>
  <c r="B793" i="7"/>
  <c r="C793" i="7"/>
  <c r="G793" i="7"/>
  <c r="D793" i="7"/>
  <c r="A794" i="7"/>
  <c r="B794" i="7"/>
  <c r="C794" i="7"/>
  <c r="G794" i="7"/>
  <c r="D794" i="7"/>
  <c r="A795" i="7"/>
  <c r="B795" i="7"/>
  <c r="C795" i="7"/>
  <c r="F795" i="7"/>
  <c r="D795" i="7"/>
  <c r="A796" i="7"/>
  <c r="B796" i="7"/>
  <c r="C796" i="7"/>
  <c r="G796" i="7"/>
  <c r="D796" i="7"/>
  <c r="A797" i="7"/>
  <c r="B797" i="7"/>
  <c r="C797" i="7"/>
  <c r="G797" i="7"/>
  <c r="D797" i="7"/>
  <c r="A798" i="7"/>
  <c r="B798" i="7"/>
  <c r="C798" i="7"/>
  <c r="F798" i="7"/>
  <c r="D798" i="7"/>
  <c r="A799" i="7"/>
  <c r="B799" i="7"/>
  <c r="C799" i="7"/>
  <c r="F799" i="7"/>
  <c r="D799" i="7"/>
  <c r="A800" i="7"/>
  <c r="B800" i="7"/>
  <c r="C800" i="7"/>
  <c r="G800" i="7"/>
  <c r="D800" i="7"/>
  <c r="A801" i="7"/>
  <c r="B801" i="7"/>
  <c r="C801" i="7"/>
  <c r="F801" i="7"/>
  <c r="D801" i="7"/>
  <c r="A802" i="7"/>
  <c r="B802" i="7"/>
  <c r="C802" i="7"/>
  <c r="D802" i="7"/>
  <c r="A803" i="7"/>
  <c r="B803" i="7"/>
  <c r="C803" i="7"/>
  <c r="F803" i="7"/>
  <c r="D803" i="7"/>
  <c r="A804" i="7"/>
  <c r="B804" i="7"/>
  <c r="C804" i="7"/>
  <c r="G804" i="7"/>
  <c r="D804" i="7"/>
  <c r="A805" i="7"/>
  <c r="B805" i="7"/>
  <c r="C805" i="7"/>
  <c r="G805" i="7"/>
  <c r="D805" i="7"/>
  <c r="A806" i="7"/>
  <c r="B806" i="7"/>
  <c r="C806" i="7"/>
  <c r="F806" i="7"/>
  <c r="D806" i="7"/>
  <c r="A807" i="7"/>
  <c r="B807" i="7"/>
  <c r="C807" i="7"/>
  <c r="G807" i="7"/>
  <c r="D807" i="7"/>
  <c r="A808" i="7"/>
  <c r="B808" i="7"/>
  <c r="C808" i="7"/>
  <c r="F808" i="7"/>
  <c r="D808" i="7"/>
  <c r="A809" i="7"/>
  <c r="B809" i="7"/>
  <c r="C809" i="7"/>
  <c r="D809" i="7"/>
  <c r="A810" i="7"/>
  <c r="B810" i="7"/>
  <c r="C810" i="7"/>
  <c r="G810" i="7"/>
  <c r="D810" i="7"/>
  <c r="A811" i="7"/>
  <c r="B811" i="7"/>
  <c r="C811" i="7"/>
  <c r="G811" i="7"/>
  <c r="D811" i="7"/>
  <c r="A812" i="7"/>
  <c r="B812" i="7"/>
  <c r="C812" i="7"/>
  <c r="D812" i="7"/>
  <c r="A813" i="7"/>
  <c r="B813" i="7"/>
  <c r="C813" i="7"/>
  <c r="F813" i="7"/>
  <c r="D813" i="7"/>
  <c r="A814" i="7"/>
  <c r="B814" i="7"/>
  <c r="C814" i="7"/>
  <c r="F814" i="7"/>
  <c r="D814" i="7"/>
  <c r="A815" i="7"/>
  <c r="B815" i="7"/>
  <c r="C815" i="7"/>
  <c r="G815" i="7"/>
  <c r="D815" i="7"/>
  <c r="A816" i="7"/>
  <c r="B816" i="7"/>
  <c r="C816" i="7"/>
  <c r="F816" i="7"/>
  <c r="D816" i="7"/>
  <c r="A817" i="7"/>
  <c r="B817" i="7"/>
  <c r="C817" i="7"/>
  <c r="F817" i="7"/>
  <c r="D817" i="7"/>
  <c r="A818" i="7"/>
  <c r="B818" i="7"/>
  <c r="C818" i="7"/>
  <c r="F818" i="7"/>
  <c r="D818" i="7"/>
  <c r="A819" i="7"/>
  <c r="B819" i="7"/>
  <c r="C819" i="7"/>
  <c r="F819" i="7"/>
  <c r="D819" i="7"/>
  <c r="A820" i="7"/>
  <c r="B820" i="7"/>
  <c r="C820" i="7"/>
  <c r="F820" i="7"/>
  <c r="G820" i="7"/>
  <c r="D820" i="7"/>
  <c r="A821" i="7"/>
  <c r="B821" i="7"/>
  <c r="C821" i="7"/>
  <c r="G821" i="7"/>
  <c r="D821" i="7"/>
  <c r="A822" i="7"/>
  <c r="B822" i="7"/>
  <c r="C822" i="7"/>
  <c r="G822" i="7"/>
  <c r="D822" i="7"/>
  <c r="A823" i="7"/>
  <c r="B823" i="7"/>
  <c r="C823" i="7"/>
  <c r="G823" i="7"/>
  <c r="D823" i="7"/>
  <c r="A824" i="7"/>
  <c r="B824" i="7"/>
  <c r="C824" i="7"/>
  <c r="D824" i="7"/>
  <c r="A825" i="7"/>
  <c r="B825" i="7"/>
  <c r="C825" i="7"/>
  <c r="F825" i="7"/>
  <c r="D825" i="7"/>
  <c r="A826" i="7"/>
  <c r="B826" i="7"/>
  <c r="C826" i="7"/>
  <c r="D826" i="7"/>
  <c r="A827" i="7"/>
  <c r="B827" i="7"/>
  <c r="C827" i="7"/>
  <c r="F827" i="7"/>
  <c r="D827" i="7"/>
  <c r="A828" i="7"/>
  <c r="B828" i="7"/>
  <c r="C828" i="7"/>
  <c r="G828" i="7"/>
  <c r="D828" i="7"/>
  <c r="A829" i="7"/>
  <c r="B829" i="7"/>
  <c r="C829" i="7"/>
  <c r="F829" i="7"/>
  <c r="D829" i="7"/>
  <c r="A830" i="7"/>
  <c r="B830" i="7"/>
  <c r="C830" i="7"/>
  <c r="D830" i="7"/>
  <c r="A831" i="7"/>
  <c r="B831" i="7"/>
  <c r="C831" i="7"/>
  <c r="F831" i="7"/>
  <c r="D831" i="7"/>
  <c r="A832" i="7"/>
  <c r="B832" i="7"/>
  <c r="C832" i="7"/>
  <c r="G832" i="7"/>
  <c r="D832" i="7"/>
  <c r="A833" i="7"/>
  <c r="B833" i="7"/>
  <c r="C833" i="7"/>
  <c r="F833" i="7"/>
  <c r="D833" i="7"/>
  <c r="A834" i="7"/>
  <c r="B834" i="7"/>
  <c r="C834" i="7"/>
  <c r="G834" i="7"/>
  <c r="D834" i="7"/>
  <c r="A835" i="7"/>
  <c r="B835" i="7"/>
  <c r="C835" i="7"/>
  <c r="G835" i="7"/>
  <c r="D835" i="7"/>
  <c r="A836" i="7"/>
  <c r="B836" i="7"/>
  <c r="C836" i="7"/>
  <c r="G836" i="7"/>
  <c r="D836" i="7"/>
  <c r="A837" i="7"/>
  <c r="B837" i="7"/>
  <c r="C837" i="7"/>
  <c r="G837" i="7"/>
  <c r="D837" i="7"/>
  <c r="A838" i="7"/>
  <c r="B838" i="7"/>
  <c r="C838" i="7"/>
  <c r="F838" i="7"/>
  <c r="D838" i="7"/>
  <c r="A839" i="7"/>
  <c r="B839" i="7"/>
  <c r="C839" i="7"/>
  <c r="G839" i="7"/>
  <c r="D839" i="7"/>
  <c r="A840" i="7"/>
  <c r="B840" i="7"/>
  <c r="C840" i="7"/>
  <c r="D840" i="7"/>
  <c r="A841" i="7"/>
  <c r="B841" i="7"/>
  <c r="C841" i="7"/>
  <c r="G841" i="7"/>
  <c r="D841" i="7"/>
  <c r="A842" i="7"/>
  <c r="B842" i="7"/>
  <c r="C842" i="7"/>
  <c r="F842" i="7"/>
  <c r="D842" i="7"/>
  <c r="A843" i="7"/>
  <c r="B843" i="7"/>
  <c r="C843" i="7"/>
  <c r="G843" i="7"/>
  <c r="D843" i="7"/>
  <c r="A844" i="7"/>
  <c r="B844" i="7"/>
  <c r="C844" i="7"/>
  <c r="F844" i="7"/>
  <c r="D844" i="7"/>
  <c r="A845" i="7"/>
  <c r="B845" i="7"/>
  <c r="C845" i="7"/>
  <c r="G845" i="7"/>
  <c r="D845" i="7"/>
  <c r="A846" i="7"/>
  <c r="B846" i="7"/>
  <c r="C846" i="7"/>
  <c r="F846" i="7"/>
  <c r="D846" i="7"/>
  <c r="A847" i="7"/>
  <c r="B847" i="7"/>
  <c r="C847" i="7"/>
  <c r="G847" i="7"/>
  <c r="D847" i="7"/>
  <c r="A848" i="7"/>
  <c r="B848" i="7"/>
  <c r="C848" i="7"/>
  <c r="G848" i="7"/>
  <c r="D848" i="7"/>
  <c r="A849" i="7"/>
  <c r="B849" i="7"/>
  <c r="C849" i="7"/>
  <c r="F849" i="7"/>
  <c r="D849" i="7"/>
  <c r="A850" i="7"/>
  <c r="B850" i="7"/>
  <c r="C850" i="7"/>
  <c r="D850" i="7"/>
  <c r="A851" i="7"/>
  <c r="B851" i="7"/>
  <c r="C851" i="7"/>
  <c r="D851" i="7"/>
  <c r="A852" i="7"/>
  <c r="B852" i="7"/>
  <c r="C852" i="7"/>
  <c r="D852" i="7"/>
  <c r="A853" i="7"/>
  <c r="B853" i="7"/>
  <c r="C853" i="7"/>
  <c r="G853" i="7"/>
  <c r="D853" i="7"/>
  <c r="A854" i="7"/>
  <c r="B854" i="7"/>
  <c r="C854" i="7"/>
  <c r="G854" i="7"/>
  <c r="D854" i="7"/>
  <c r="A855" i="7"/>
  <c r="B855" i="7"/>
  <c r="C855" i="7"/>
  <c r="F855" i="7"/>
  <c r="D855" i="7"/>
  <c r="A856" i="7"/>
  <c r="B856" i="7"/>
  <c r="C856" i="7"/>
  <c r="F856" i="7"/>
  <c r="D856" i="7"/>
  <c r="A857" i="7"/>
  <c r="B857" i="7"/>
  <c r="C857" i="7"/>
  <c r="G857" i="7"/>
  <c r="D857" i="7"/>
  <c r="A858" i="7"/>
  <c r="B858" i="7"/>
  <c r="C858" i="7"/>
  <c r="F858" i="7"/>
  <c r="D858" i="7"/>
  <c r="A859" i="7"/>
  <c r="B859" i="7"/>
  <c r="C859" i="7"/>
  <c r="F859" i="7"/>
  <c r="D859" i="7"/>
  <c r="A860" i="7"/>
  <c r="B860" i="7"/>
  <c r="C860" i="7"/>
  <c r="G860" i="7"/>
  <c r="D860" i="7"/>
  <c r="A861" i="7"/>
  <c r="B861" i="7"/>
  <c r="C861" i="7"/>
  <c r="G861" i="7"/>
  <c r="D861" i="7"/>
  <c r="A862" i="7"/>
  <c r="B862" i="7"/>
  <c r="C862" i="7"/>
  <c r="G862" i="7"/>
  <c r="D862" i="7"/>
  <c r="A863" i="7"/>
  <c r="B863" i="7"/>
  <c r="C863" i="7"/>
  <c r="G863" i="7"/>
  <c r="D863" i="7"/>
  <c r="A864" i="7"/>
  <c r="B864" i="7"/>
  <c r="C864" i="7"/>
  <c r="D864" i="7"/>
  <c r="A865" i="7"/>
  <c r="B865" i="7"/>
  <c r="C865" i="7"/>
  <c r="G865" i="7"/>
  <c r="D865" i="7"/>
  <c r="A866" i="7"/>
  <c r="B866" i="7"/>
  <c r="C866" i="7"/>
  <c r="G866" i="7"/>
  <c r="D866" i="7"/>
  <c r="A867" i="7"/>
  <c r="B867" i="7"/>
  <c r="C867" i="7"/>
  <c r="G867" i="7"/>
  <c r="D867" i="7"/>
  <c r="A868" i="7"/>
  <c r="B868" i="7"/>
  <c r="C868" i="7"/>
  <c r="G868" i="7"/>
  <c r="F868" i="7"/>
  <c r="D868" i="7"/>
  <c r="A869" i="7"/>
  <c r="B869" i="7"/>
  <c r="C869" i="7"/>
  <c r="G869" i="7"/>
  <c r="D869" i="7"/>
  <c r="A870" i="7"/>
  <c r="B870" i="7"/>
  <c r="C870" i="7"/>
  <c r="G870" i="7"/>
  <c r="D870" i="7"/>
  <c r="A871" i="7"/>
  <c r="B871" i="7"/>
  <c r="C871" i="7"/>
  <c r="D871" i="7"/>
  <c r="A872" i="7"/>
  <c r="B872" i="7"/>
  <c r="C872" i="7"/>
  <c r="F872" i="7"/>
  <c r="D872" i="7"/>
  <c r="A873" i="7"/>
  <c r="B873" i="7"/>
  <c r="C873" i="7"/>
  <c r="G873" i="7"/>
  <c r="D873" i="7"/>
  <c r="A874" i="7"/>
  <c r="B874" i="7"/>
  <c r="C874" i="7"/>
  <c r="G874" i="7"/>
  <c r="D874" i="7"/>
  <c r="A875" i="7"/>
  <c r="B875" i="7"/>
  <c r="C875" i="7"/>
  <c r="F875" i="7"/>
  <c r="D875" i="7"/>
  <c r="A876" i="7"/>
  <c r="B876" i="7"/>
  <c r="C876" i="7"/>
  <c r="F876" i="7"/>
  <c r="D876" i="7"/>
  <c r="A877" i="7"/>
  <c r="B877" i="7"/>
  <c r="C877" i="7"/>
  <c r="D877" i="7"/>
  <c r="A878" i="7"/>
  <c r="B878" i="7"/>
  <c r="C878" i="7"/>
  <c r="G878" i="7"/>
  <c r="D878" i="7"/>
  <c r="A879" i="7"/>
  <c r="B879" i="7"/>
  <c r="C879" i="7"/>
  <c r="F879" i="7"/>
  <c r="D879" i="7"/>
  <c r="A880" i="7"/>
  <c r="B880" i="7"/>
  <c r="C880" i="7"/>
  <c r="F880" i="7"/>
  <c r="D880" i="7"/>
  <c r="A881" i="7"/>
  <c r="B881" i="7"/>
  <c r="C881" i="7"/>
  <c r="D881" i="7"/>
  <c r="A882" i="7"/>
  <c r="B882" i="7"/>
  <c r="C882" i="7"/>
  <c r="G882" i="7"/>
  <c r="D882" i="7"/>
  <c r="A883" i="7"/>
  <c r="B883" i="7"/>
  <c r="C883" i="7"/>
  <c r="G883" i="7"/>
  <c r="D883" i="7"/>
  <c r="A884" i="7"/>
  <c r="B884" i="7"/>
  <c r="C884" i="7"/>
  <c r="G884" i="7"/>
  <c r="D884" i="7"/>
  <c r="A885" i="7"/>
  <c r="B885" i="7"/>
  <c r="C885" i="7"/>
  <c r="G885" i="7"/>
  <c r="F885" i="7"/>
  <c r="D885" i="7"/>
  <c r="A886" i="7"/>
  <c r="B886" i="7"/>
  <c r="C886" i="7"/>
  <c r="D886" i="7"/>
  <c r="A887" i="7"/>
  <c r="B887" i="7"/>
  <c r="C887" i="7"/>
  <c r="F887" i="7"/>
  <c r="D887" i="7"/>
  <c r="A888" i="7"/>
  <c r="B888" i="7"/>
  <c r="C888" i="7"/>
  <c r="F888" i="7"/>
  <c r="D888" i="7"/>
  <c r="A889" i="7"/>
  <c r="B889" i="7"/>
  <c r="C889" i="7"/>
  <c r="G889" i="7"/>
  <c r="D889" i="7"/>
  <c r="A890" i="7"/>
  <c r="B890" i="7"/>
  <c r="C890" i="7"/>
  <c r="F890" i="7"/>
  <c r="G890" i="7"/>
  <c r="D890" i="7"/>
  <c r="A891" i="7"/>
  <c r="B891" i="7"/>
  <c r="C891" i="7"/>
  <c r="D891" i="7"/>
  <c r="A892" i="7"/>
  <c r="B892" i="7"/>
  <c r="C892" i="7"/>
  <c r="G892" i="7"/>
  <c r="D892" i="7"/>
  <c r="A893" i="7"/>
  <c r="B893" i="7"/>
  <c r="C893" i="7"/>
  <c r="G893" i="7"/>
  <c r="D893" i="7"/>
  <c r="A894" i="7"/>
  <c r="B894" i="7"/>
  <c r="C894" i="7"/>
  <c r="G894" i="7"/>
  <c r="D894" i="7"/>
  <c r="A895" i="7"/>
  <c r="B895" i="7"/>
  <c r="C895" i="7"/>
  <c r="G895" i="7"/>
  <c r="D895" i="7"/>
  <c r="A896" i="7"/>
  <c r="B896" i="7"/>
  <c r="C896" i="7"/>
  <c r="G896" i="7"/>
  <c r="D896" i="7"/>
  <c r="A897" i="7"/>
  <c r="B897" i="7"/>
  <c r="C897" i="7"/>
  <c r="F897" i="7"/>
  <c r="D897" i="7"/>
  <c r="A898" i="7"/>
  <c r="B898" i="7"/>
  <c r="C898" i="7"/>
  <c r="G898" i="7"/>
  <c r="D898" i="7"/>
  <c r="A899" i="7"/>
  <c r="B899" i="7"/>
  <c r="C899" i="7"/>
  <c r="F899" i="7"/>
  <c r="D899" i="7"/>
  <c r="A900" i="7"/>
  <c r="B900" i="7"/>
  <c r="C900" i="7"/>
  <c r="G900" i="7"/>
  <c r="D900" i="7"/>
  <c r="A901" i="7"/>
  <c r="B901" i="7"/>
  <c r="C901" i="7"/>
  <c r="F901" i="7"/>
  <c r="G901" i="7"/>
  <c r="D901" i="7"/>
  <c r="A902" i="7"/>
  <c r="B902" i="7"/>
  <c r="C902" i="7"/>
  <c r="G902" i="7"/>
  <c r="D902" i="7"/>
  <c r="A903" i="7"/>
  <c r="B903" i="7"/>
  <c r="C903" i="7"/>
  <c r="G903" i="7"/>
  <c r="D903" i="7"/>
  <c r="A904" i="7"/>
  <c r="B904" i="7"/>
  <c r="C904" i="7"/>
  <c r="G904" i="7"/>
  <c r="D904" i="7"/>
  <c r="A905" i="7"/>
  <c r="B905" i="7"/>
  <c r="C905" i="7"/>
  <c r="G905" i="7"/>
  <c r="D905" i="7"/>
  <c r="A906" i="7"/>
  <c r="B906" i="7"/>
  <c r="C906" i="7"/>
  <c r="G906" i="7"/>
  <c r="D906" i="7"/>
  <c r="A907" i="7"/>
  <c r="B907" i="7"/>
  <c r="C907" i="7"/>
  <c r="G907" i="7"/>
  <c r="D907" i="7"/>
  <c r="A908" i="7"/>
  <c r="B908" i="7"/>
  <c r="C908" i="7"/>
  <c r="G908" i="7"/>
  <c r="D908" i="7"/>
  <c r="A909" i="7"/>
  <c r="B909" i="7"/>
  <c r="C909" i="7"/>
  <c r="G909" i="7"/>
  <c r="D909" i="7"/>
  <c r="A910" i="7"/>
  <c r="B910" i="7"/>
  <c r="C910" i="7"/>
  <c r="G910" i="7"/>
  <c r="D910" i="7"/>
  <c r="A911" i="7"/>
  <c r="B911" i="7"/>
  <c r="C911" i="7"/>
  <c r="F911" i="7"/>
  <c r="G911" i="7"/>
  <c r="D911" i="7"/>
  <c r="A912" i="7"/>
  <c r="B912" i="7"/>
  <c r="C912" i="7"/>
  <c r="G912" i="7"/>
  <c r="D912" i="7"/>
  <c r="A913" i="7"/>
  <c r="B913" i="7"/>
  <c r="C913" i="7"/>
  <c r="F913" i="7"/>
  <c r="D913" i="7"/>
  <c r="A914" i="7"/>
  <c r="B914" i="7"/>
  <c r="C914" i="7"/>
  <c r="F914" i="7"/>
  <c r="D914" i="7"/>
  <c r="A915" i="7"/>
  <c r="B915" i="7"/>
  <c r="C915" i="7"/>
  <c r="F915" i="7"/>
  <c r="D915" i="7"/>
  <c r="A916" i="7"/>
  <c r="B916" i="7"/>
  <c r="C916" i="7"/>
  <c r="F916" i="7"/>
  <c r="D916" i="7"/>
  <c r="A917" i="7"/>
  <c r="B917" i="7"/>
  <c r="C917" i="7"/>
  <c r="G917" i="7"/>
  <c r="D917" i="7"/>
  <c r="A918" i="7"/>
  <c r="B918" i="7"/>
  <c r="C918" i="7"/>
  <c r="G918" i="7"/>
  <c r="D918" i="7"/>
  <c r="A919" i="7"/>
  <c r="B919" i="7"/>
  <c r="C919" i="7"/>
  <c r="D919" i="7"/>
  <c r="A920" i="7"/>
  <c r="B920" i="7"/>
  <c r="C920" i="7"/>
  <c r="F920" i="7"/>
  <c r="G920" i="7"/>
  <c r="D920" i="7"/>
  <c r="A921" i="7"/>
  <c r="B921" i="7"/>
  <c r="C921" i="7"/>
  <c r="F921" i="7"/>
  <c r="D921" i="7"/>
  <c r="A922" i="7"/>
  <c r="B922" i="7"/>
  <c r="C922" i="7"/>
  <c r="F922" i="7"/>
  <c r="D922" i="7"/>
  <c r="A923" i="7"/>
  <c r="B923" i="7"/>
  <c r="C923" i="7"/>
  <c r="F923" i="7"/>
  <c r="D923" i="7"/>
  <c r="A924" i="7"/>
  <c r="B924" i="7"/>
  <c r="C924" i="7"/>
  <c r="F924" i="7"/>
  <c r="D924" i="7"/>
  <c r="A925" i="7"/>
  <c r="B925" i="7"/>
  <c r="C925" i="7"/>
  <c r="F925" i="7"/>
  <c r="D925" i="7"/>
  <c r="A926" i="7"/>
  <c r="B926" i="7"/>
  <c r="C926" i="7"/>
  <c r="F926" i="7"/>
  <c r="D926" i="7"/>
  <c r="A927" i="7"/>
  <c r="B927" i="7"/>
  <c r="C927" i="7"/>
  <c r="F927" i="7"/>
  <c r="D927" i="7"/>
  <c r="A928" i="7"/>
  <c r="B928" i="7"/>
  <c r="C928" i="7"/>
  <c r="F928" i="7"/>
  <c r="D928" i="7"/>
  <c r="A929" i="7"/>
  <c r="B929" i="7"/>
  <c r="C929" i="7"/>
  <c r="G929" i="7"/>
  <c r="F929" i="7"/>
  <c r="D929" i="7"/>
  <c r="A930" i="7"/>
  <c r="B930" i="7"/>
  <c r="C930" i="7"/>
  <c r="F930" i="7"/>
  <c r="G930" i="7"/>
  <c r="D930" i="7"/>
  <c r="A931" i="7"/>
  <c r="B931" i="7"/>
  <c r="C931" i="7"/>
  <c r="G931" i="7"/>
  <c r="D931" i="7"/>
  <c r="A932" i="7"/>
  <c r="B932" i="7"/>
  <c r="C932" i="7"/>
  <c r="G932" i="7"/>
  <c r="F932" i="7"/>
  <c r="D932" i="7"/>
  <c r="A933" i="7"/>
  <c r="B933" i="7"/>
  <c r="C933" i="7"/>
  <c r="D933" i="7"/>
  <c r="A934" i="7"/>
  <c r="B934" i="7"/>
  <c r="C934" i="7"/>
  <c r="G934" i="7"/>
  <c r="D934" i="7"/>
  <c r="A935" i="7"/>
  <c r="B935" i="7"/>
  <c r="C935" i="7"/>
  <c r="D935" i="7"/>
  <c r="A936" i="7"/>
  <c r="B936" i="7"/>
  <c r="C936" i="7"/>
  <c r="G936" i="7"/>
  <c r="D936" i="7"/>
  <c r="A937" i="7"/>
  <c r="B937" i="7"/>
  <c r="C937" i="7"/>
  <c r="G937" i="7"/>
  <c r="D937" i="7"/>
  <c r="A938" i="7"/>
  <c r="B938" i="7"/>
  <c r="C938" i="7"/>
  <c r="G938" i="7"/>
  <c r="D938" i="7"/>
  <c r="A939" i="7"/>
  <c r="B939" i="7"/>
  <c r="C939" i="7"/>
  <c r="F939" i="7"/>
  <c r="D939" i="7"/>
  <c r="A940" i="7"/>
  <c r="B940" i="7"/>
  <c r="C940" i="7"/>
  <c r="G940" i="7"/>
  <c r="D940" i="7"/>
  <c r="A941" i="7"/>
  <c r="B941" i="7"/>
  <c r="C941" i="7"/>
  <c r="F941" i="7"/>
  <c r="D941" i="7"/>
  <c r="A942" i="7"/>
  <c r="B942" i="7"/>
  <c r="C942" i="7"/>
  <c r="F942" i="7"/>
  <c r="D942" i="7"/>
  <c r="A943" i="7"/>
  <c r="B943" i="7"/>
  <c r="C943" i="7"/>
  <c r="F943" i="7"/>
  <c r="G943" i="7"/>
  <c r="D943" i="7"/>
  <c r="A944" i="7"/>
  <c r="B944" i="7"/>
  <c r="C944" i="7"/>
  <c r="G944" i="7"/>
  <c r="D944" i="7"/>
  <c r="A945" i="7"/>
  <c r="B945" i="7"/>
  <c r="C945" i="7"/>
  <c r="D945" i="7"/>
  <c r="A946" i="7"/>
  <c r="B946" i="7"/>
  <c r="C946" i="7"/>
  <c r="G946" i="7"/>
  <c r="D946" i="7"/>
  <c r="A947" i="7"/>
  <c r="B947" i="7"/>
  <c r="C947" i="7"/>
  <c r="F947" i="7"/>
  <c r="D947" i="7"/>
  <c r="A948" i="7"/>
  <c r="B948" i="7"/>
  <c r="C948" i="7"/>
  <c r="D948" i="7"/>
  <c r="A949" i="7"/>
  <c r="B949" i="7"/>
  <c r="C949" i="7"/>
  <c r="G949" i="7"/>
  <c r="D949" i="7"/>
  <c r="A950" i="7"/>
  <c r="B950" i="7"/>
  <c r="C950" i="7"/>
  <c r="G950" i="7"/>
  <c r="D950" i="7"/>
  <c r="A951" i="7"/>
  <c r="B951" i="7"/>
  <c r="C951" i="7"/>
  <c r="D951" i="7"/>
  <c r="A952" i="7"/>
  <c r="B952" i="7"/>
  <c r="C952" i="7"/>
  <c r="G952" i="7"/>
  <c r="D952" i="7"/>
  <c r="A953" i="7"/>
  <c r="B953" i="7"/>
  <c r="C953" i="7"/>
  <c r="G953" i="7"/>
  <c r="D953" i="7"/>
  <c r="A954" i="7"/>
  <c r="B954" i="7"/>
  <c r="C954" i="7"/>
  <c r="F954" i="7"/>
  <c r="D954" i="7"/>
  <c r="A955" i="7"/>
  <c r="B955" i="7"/>
  <c r="C955" i="7"/>
  <c r="F955" i="7"/>
  <c r="D955" i="7"/>
  <c r="A956" i="7"/>
  <c r="B956" i="7"/>
  <c r="C956" i="7"/>
  <c r="G956" i="7"/>
  <c r="D956" i="7"/>
  <c r="A957" i="7"/>
  <c r="B957" i="7"/>
  <c r="C957" i="7"/>
  <c r="G957" i="7"/>
  <c r="D957" i="7"/>
  <c r="A958" i="7"/>
  <c r="B958" i="7"/>
  <c r="C958" i="7"/>
  <c r="G958" i="7"/>
  <c r="D958" i="7"/>
  <c r="A959" i="7"/>
  <c r="B959" i="7"/>
  <c r="C959" i="7"/>
  <c r="F959" i="7"/>
  <c r="D959" i="7"/>
  <c r="A960" i="7"/>
  <c r="B960" i="7"/>
  <c r="C960" i="7"/>
  <c r="G960" i="7"/>
  <c r="D960" i="7"/>
  <c r="A961" i="7"/>
  <c r="B961" i="7"/>
  <c r="C961" i="7"/>
  <c r="F961" i="7"/>
  <c r="D961" i="7"/>
  <c r="A962" i="7"/>
  <c r="B962" i="7"/>
  <c r="C962" i="7"/>
  <c r="G962" i="7"/>
  <c r="D962" i="7"/>
  <c r="A963" i="7"/>
  <c r="B963" i="7"/>
  <c r="C963" i="7"/>
  <c r="G963" i="7"/>
  <c r="D963" i="7"/>
  <c r="A964" i="7"/>
  <c r="B964" i="7"/>
  <c r="C964" i="7"/>
  <c r="D964" i="7"/>
  <c r="A965" i="7"/>
  <c r="B965" i="7"/>
  <c r="C965" i="7"/>
  <c r="F965" i="7"/>
  <c r="D965" i="7"/>
  <c r="A966" i="7"/>
  <c r="B966" i="7"/>
  <c r="C966" i="7"/>
  <c r="G966" i="7"/>
  <c r="D966" i="7"/>
  <c r="A967" i="7"/>
  <c r="B967" i="7"/>
  <c r="C967" i="7"/>
  <c r="D967" i="7"/>
  <c r="A968" i="7"/>
  <c r="B968" i="7"/>
  <c r="C968" i="7"/>
  <c r="G968" i="7"/>
  <c r="D968" i="7"/>
  <c r="A969" i="7"/>
  <c r="B969" i="7"/>
  <c r="C969" i="7"/>
  <c r="G969" i="7"/>
  <c r="F969" i="7"/>
  <c r="D969" i="7"/>
  <c r="A970" i="7"/>
  <c r="B970" i="7"/>
  <c r="C970" i="7"/>
  <c r="G970" i="7"/>
  <c r="D970" i="7"/>
  <c r="A971" i="7"/>
  <c r="B971" i="7"/>
  <c r="C971" i="7"/>
  <c r="G971" i="7"/>
  <c r="D971" i="7"/>
  <c r="A972" i="7"/>
  <c r="B972" i="7"/>
  <c r="C972" i="7"/>
  <c r="G972" i="7"/>
  <c r="D972" i="7"/>
  <c r="A973" i="7"/>
  <c r="B973" i="7"/>
  <c r="C973" i="7"/>
  <c r="F973" i="7"/>
  <c r="D973" i="7"/>
  <c r="A974" i="7"/>
  <c r="B974" i="7"/>
  <c r="C974" i="7"/>
  <c r="G974" i="7"/>
  <c r="D974" i="7"/>
  <c r="A975" i="7"/>
  <c r="B975" i="7"/>
  <c r="C975" i="7"/>
  <c r="G975" i="7"/>
  <c r="D975" i="7"/>
  <c r="A976" i="7"/>
  <c r="B976" i="7"/>
  <c r="C976" i="7"/>
  <c r="F976" i="7"/>
  <c r="D976" i="7"/>
  <c r="A977" i="7"/>
  <c r="B977" i="7"/>
  <c r="C977" i="7"/>
  <c r="F977" i="7"/>
  <c r="D977" i="7"/>
  <c r="A978" i="7"/>
  <c r="B978" i="7"/>
  <c r="C978" i="7"/>
  <c r="D978" i="7"/>
  <c r="A979" i="7"/>
  <c r="B979" i="7"/>
  <c r="C979" i="7"/>
  <c r="F979" i="7"/>
  <c r="D979" i="7"/>
  <c r="A980" i="7"/>
  <c r="B980" i="7"/>
  <c r="C980" i="7"/>
  <c r="G980" i="7"/>
  <c r="D980" i="7"/>
  <c r="A981" i="7"/>
  <c r="B981" i="7"/>
  <c r="C981" i="7"/>
  <c r="G981" i="7"/>
  <c r="F981" i="7"/>
  <c r="D981" i="7"/>
  <c r="A982" i="7"/>
  <c r="B982" i="7"/>
  <c r="C982" i="7"/>
  <c r="F982" i="7"/>
  <c r="D982" i="7"/>
  <c r="A983" i="7"/>
  <c r="B983" i="7"/>
  <c r="C983" i="7"/>
  <c r="G983" i="7"/>
  <c r="D983" i="7"/>
  <c r="A984" i="7"/>
  <c r="B984" i="7"/>
  <c r="C984" i="7"/>
  <c r="F984" i="7"/>
  <c r="D984" i="7"/>
  <c r="A985" i="7"/>
  <c r="B985" i="7"/>
  <c r="C985" i="7"/>
  <c r="G985" i="7"/>
  <c r="D985" i="7"/>
  <c r="A986" i="7"/>
  <c r="B986" i="7"/>
  <c r="C986" i="7"/>
  <c r="G986" i="7"/>
  <c r="F986" i="7"/>
  <c r="D986" i="7"/>
  <c r="A987" i="7"/>
  <c r="B987" i="7"/>
  <c r="C987" i="7"/>
  <c r="G987" i="7"/>
  <c r="D987" i="7"/>
  <c r="A988" i="7"/>
  <c r="B988" i="7"/>
  <c r="C988" i="7"/>
  <c r="G988" i="7"/>
  <c r="D988" i="7"/>
  <c r="A989" i="7"/>
  <c r="B989" i="7"/>
  <c r="C989" i="7"/>
  <c r="G989" i="7"/>
  <c r="D989" i="7"/>
  <c r="A990" i="7"/>
  <c r="B990" i="7"/>
  <c r="C990" i="7"/>
  <c r="F990" i="7"/>
  <c r="D990" i="7"/>
  <c r="A991" i="7"/>
  <c r="B991" i="7"/>
  <c r="C991" i="7"/>
  <c r="F991" i="7"/>
  <c r="D991" i="7"/>
  <c r="A992" i="7"/>
  <c r="B992" i="7"/>
  <c r="C992" i="7"/>
  <c r="G992" i="7"/>
  <c r="D992" i="7"/>
  <c r="A993" i="7"/>
  <c r="B993" i="7"/>
  <c r="C993" i="7"/>
  <c r="F993" i="7"/>
  <c r="D993" i="7"/>
  <c r="A994" i="7"/>
  <c r="B994" i="7"/>
  <c r="C994" i="7"/>
  <c r="G994" i="7"/>
  <c r="D994" i="7"/>
  <c r="A995" i="7"/>
  <c r="B995" i="7"/>
  <c r="C995" i="7"/>
  <c r="F995" i="7"/>
  <c r="G995" i="7"/>
  <c r="D995" i="7"/>
  <c r="A996" i="7"/>
  <c r="B996" i="7"/>
  <c r="C996" i="7"/>
  <c r="G996" i="7"/>
  <c r="D996" i="7"/>
  <c r="A997" i="7"/>
  <c r="B997" i="7"/>
  <c r="C997" i="7"/>
  <c r="F997" i="7"/>
  <c r="D997" i="7"/>
  <c r="A998" i="7"/>
  <c r="B998" i="7"/>
  <c r="C998" i="7"/>
  <c r="F998" i="7"/>
  <c r="D998" i="7"/>
  <c r="A999" i="7"/>
  <c r="B999" i="7"/>
  <c r="C999" i="7"/>
  <c r="F999" i="7"/>
  <c r="D999" i="7"/>
  <c r="A1000" i="7"/>
  <c r="B1000" i="7"/>
  <c r="C1000" i="7"/>
  <c r="F1000" i="7"/>
  <c r="G1000" i="7"/>
  <c r="D1000" i="7"/>
  <c r="D2" i="7"/>
  <c r="C2" i="7"/>
  <c r="G2" i="7"/>
  <c r="B2" i="7"/>
  <c r="A2" i="7"/>
  <c r="F313" i="11"/>
  <c r="F344" i="11"/>
  <c r="F349" i="11"/>
  <c r="F225" i="11"/>
  <c r="F274" i="11"/>
  <c r="D3" i="16"/>
  <c r="D2" i="16"/>
  <c r="F206" i="11"/>
  <c r="F129" i="11"/>
  <c r="F188" i="11"/>
  <c r="D2" i="10"/>
  <c r="V32" i="1"/>
  <c r="V301" i="1"/>
  <c r="V241" i="1"/>
  <c r="V136" i="1"/>
  <c r="V134" i="1"/>
  <c r="V264" i="1"/>
  <c r="W264" i="1" s="1"/>
  <c r="V30" i="1"/>
  <c r="W30" i="1" s="1"/>
  <c r="G161" i="7"/>
  <c r="G138" i="7"/>
  <c r="G97" i="7"/>
  <c r="G126" i="7"/>
  <c r="G113" i="7"/>
  <c r="G190" i="7"/>
  <c r="G197" i="7"/>
  <c r="F336" i="7"/>
  <c r="G49" i="7"/>
  <c r="F252" i="7"/>
  <c r="G29" i="7"/>
  <c r="F106" i="7"/>
  <c r="G124" i="7"/>
  <c r="G91" i="7"/>
  <c r="F79" i="7"/>
  <c r="F37" i="7"/>
  <c r="F66" i="7"/>
  <c r="F28" i="7"/>
  <c r="G173" i="7"/>
  <c r="G90" i="7"/>
  <c r="G17" i="7"/>
  <c r="G32" i="7"/>
  <c r="F189" i="7"/>
  <c r="F278" i="7"/>
  <c r="F378" i="7"/>
  <c r="G89" i="7"/>
  <c r="G117" i="7"/>
  <c r="G115" i="7"/>
  <c r="F115" i="7"/>
  <c r="G52" i="7"/>
  <c r="F52" i="7"/>
  <c r="G133" i="7"/>
  <c r="G94" i="7"/>
  <c r="F303" i="7"/>
  <c r="G77" i="7"/>
  <c r="F249" i="7"/>
  <c r="G613" i="7"/>
  <c r="G568" i="7"/>
  <c r="F392" i="7"/>
  <c r="G298" i="7"/>
  <c r="F298" i="7"/>
  <c r="G272" i="7"/>
  <c r="G262" i="7"/>
  <c r="G248" i="7"/>
  <c r="G216" i="7"/>
  <c r="F212" i="7"/>
  <c r="F170" i="7"/>
  <c r="F156" i="7"/>
  <c r="G156" i="7"/>
  <c r="G152" i="7"/>
  <c r="F152" i="7"/>
  <c r="F148" i="7"/>
  <c r="G146" i="7"/>
  <c r="F146" i="7"/>
  <c r="G142" i="7"/>
  <c r="F142" i="7"/>
  <c r="F116" i="7"/>
  <c r="G114" i="7"/>
  <c r="F114" i="7"/>
  <c r="F232" i="7"/>
  <c r="F242" i="7"/>
  <c r="G388" i="7"/>
  <c r="G374" i="7"/>
  <c r="G209" i="7"/>
  <c r="G295" i="7"/>
  <c r="F404" i="7"/>
  <c r="G211" i="7"/>
  <c r="G223" i="7"/>
  <c r="F430" i="7"/>
  <c r="G428" i="7"/>
  <c r="G354" i="7"/>
  <c r="G352" i="7"/>
  <c r="G672" i="7"/>
  <c r="F118" i="7"/>
  <c r="F299" i="7"/>
  <c r="F177" i="7"/>
  <c r="G321" i="7"/>
  <c r="F235" i="7"/>
  <c r="F749" i="7"/>
  <c r="G658" i="7"/>
  <c r="F411" i="7"/>
  <c r="G411" i="7"/>
  <c r="F34" i="7"/>
  <c r="G71" i="7"/>
  <c r="F71" i="7"/>
  <c r="G721" i="7"/>
  <c r="G168" i="7"/>
  <c r="G535" i="7"/>
  <c r="F164" i="7"/>
  <c r="F44" i="7"/>
  <c r="F160" i="7"/>
  <c r="F624" i="7"/>
  <c r="F40" i="7"/>
  <c r="F459" i="7"/>
  <c r="F669" i="7"/>
  <c r="G788" i="7"/>
  <c r="G325" i="7"/>
  <c r="G965" i="7"/>
  <c r="F686" i="7"/>
  <c r="F192" i="7"/>
  <c r="F253" i="7"/>
  <c r="F323" i="7"/>
  <c r="G434" i="7"/>
  <c r="F779" i="7"/>
  <c r="F476" i="7"/>
  <c r="G310" i="7"/>
  <c r="F614" i="7"/>
  <c r="G468" i="7"/>
  <c r="G178" i="7"/>
  <c r="F178" i="7"/>
  <c r="F738" i="7"/>
  <c r="F533" i="7"/>
  <c r="F753" i="7"/>
  <c r="F552" i="7"/>
  <c r="G508" i="7"/>
  <c r="F203" i="7"/>
  <c r="G484" i="7"/>
  <c r="F484" i="7"/>
  <c r="F772" i="7"/>
  <c r="G852" i="7"/>
  <c r="F852" i="7"/>
  <c r="G391" i="7"/>
  <c r="G453" i="7"/>
  <c r="G153" i="7"/>
  <c r="G829" i="7"/>
  <c r="F532" i="7"/>
  <c r="G532" i="7"/>
  <c r="F169" i="7"/>
  <c r="G765" i="7"/>
  <c r="G876" i="7"/>
  <c r="G454" i="7"/>
  <c r="F828" i="7"/>
  <c r="G499" i="7"/>
  <c r="G415" i="7"/>
  <c r="F528" i="7"/>
  <c r="G528" i="7"/>
  <c r="F475" i="7"/>
  <c r="G696" i="7"/>
  <c r="F676" i="7"/>
  <c r="F719" i="7"/>
  <c r="F837" i="7"/>
  <c r="G654" i="7"/>
  <c r="G364" i="7"/>
  <c r="G455" i="7"/>
  <c r="G571" i="7"/>
  <c r="G288" i="7"/>
  <c r="G316" i="7"/>
  <c r="G977" i="7"/>
  <c r="G145" i="7"/>
  <c r="G855" i="7"/>
  <c r="F545" i="7"/>
  <c r="G183" i="7"/>
  <c r="G644" i="7"/>
  <c r="F687" i="7"/>
  <c r="F917" i="7"/>
  <c r="G199" i="7"/>
  <c r="F633" i="7"/>
  <c r="G361" i="7"/>
  <c r="G334" i="7"/>
  <c r="F334" i="7"/>
  <c r="F85" i="7"/>
  <c r="F69" i="7"/>
  <c r="G163" i="7"/>
  <c r="F74" i="7"/>
  <c r="G279" i="7"/>
  <c r="G16" i="7"/>
  <c r="G76" i="7"/>
  <c r="F845" i="7"/>
  <c r="F320" i="7"/>
  <c r="F208" i="7"/>
  <c r="F608" i="7"/>
  <c r="G92" i="7"/>
  <c r="F92" i="7"/>
  <c r="G627" i="7"/>
  <c r="G495" i="7"/>
  <c r="F105" i="7"/>
  <c r="F682" i="7"/>
  <c r="G708" i="7"/>
  <c r="G922" i="7"/>
  <c r="G511" i="7"/>
  <c r="F871" i="7"/>
  <c r="G871" i="7"/>
  <c r="F491" i="7"/>
  <c r="F402" i="7"/>
  <c r="G402" i="7"/>
  <c r="F195" i="7"/>
  <c r="G185" i="7"/>
  <c r="F385" i="7"/>
  <c r="F975" i="7"/>
  <c r="F807" i="7"/>
  <c r="F349" i="7"/>
  <c r="G104" i="7"/>
  <c r="F104" i="7"/>
  <c r="F82" i="7"/>
  <c r="F713" i="7"/>
  <c r="F822" i="7"/>
  <c r="G181" i="7"/>
  <c r="F181" i="7"/>
  <c r="G752" i="7"/>
  <c r="F752" i="7"/>
  <c r="F907" i="7"/>
  <c r="G784" i="7"/>
  <c r="F784" i="7"/>
  <c r="F296" i="7"/>
  <c r="G296" i="7"/>
  <c r="G188" i="7"/>
  <c r="G27" i="7"/>
  <c r="F27" i="7"/>
  <c r="F714" i="7"/>
  <c r="F509" i="7"/>
  <c r="G509" i="7"/>
  <c r="G681" i="7"/>
  <c r="F679" i="7"/>
  <c r="F935" i="7"/>
  <c r="G935" i="7"/>
  <c r="G542" i="7"/>
  <c r="F542" i="7"/>
  <c r="F620" i="7"/>
  <c r="F848" i="7"/>
  <c r="F451" i="7"/>
  <c r="F866" i="7"/>
  <c r="F861" i="7"/>
  <c r="F839" i="7"/>
  <c r="G506" i="7"/>
  <c r="G421" i="7"/>
  <c r="G68" i="7"/>
  <c r="F68" i="7"/>
  <c r="G255" i="7"/>
  <c r="G99" i="7"/>
  <c r="F207" i="7"/>
  <c r="G467" i="7"/>
  <c r="F383" i="7"/>
  <c r="G383" i="7"/>
  <c r="G647" i="7"/>
  <c r="F647" i="7"/>
  <c r="F796" i="7"/>
  <c r="F547" i="7"/>
  <c r="F513" i="7"/>
  <c r="G959" i="7"/>
  <c r="F751" i="7"/>
  <c r="G798" i="7"/>
  <c r="F989" i="7"/>
  <c r="F501" i="7"/>
  <c r="F878" i="7"/>
  <c r="F520" i="7"/>
  <c r="G764" i="7"/>
  <c r="F521" i="7"/>
  <c r="F904" i="7"/>
  <c r="F821" i="7"/>
  <c r="F688" i="7"/>
  <c r="F363" i="7"/>
  <c r="G363" i="7"/>
  <c r="F15" i="7"/>
  <c r="G15" i="7"/>
  <c r="F609" i="7"/>
  <c r="G701" i="7"/>
  <c r="G653" i="7"/>
  <c r="F544" i="7"/>
  <c r="F851" i="7"/>
  <c r="G851" i="7"/>
  <c r="F805" i="7"/>
  <c r="F949" i="7"/>
  <c r="F650" i="7"/>
  <c r="G916" i="7"/>
  <c r="G824" i="7"/>
  <c r="F824" i="7"/>
  <c r="F710" i="7"/>
  <c r="G700" i="7"/>
  <c r="F382" i="7"/>
  <c r="G382" i="7"/>
  <c r="F962" i="7"/>
  <c r="G806" i="7"/>
  <c r="G519" i="7"/>
  <c r="F956" i="7"/>
  <c r="F944" i="7"/>
  <c r="G925" i="7"/>
  <c r="F843" i="7"/>
  <c r="F656" i="7"/>
  <c r="G103" i="7"/>
  <c r="F103" i="7"/>
  <c r="F328" i="7"/>
  <c r="F42" i="7"/>
  <c r="G42" i="7"/>
  <c r="F33" i="7"/>
  <c r="G200" i="7"/>
  <c r="F171" i="7"/>
  <c r="F149" i="7"/>
  <c r="G88" i="7"/>
  <c r="F47" i="7"/>
  <c r="G47" i="7"/>
  <c r="F685" i="7"/>
  <c r="F304" i="7"/>
  <c r="G403" i="7"/>
  <c r="F403" i="7"/>
  <c r="G557" i="7"/>
  <c r="F797" i="7"/>
  <c r="F332" i="7"/>
  <c r="F366" i="7"/>
  <c r="F577" i="7"/>
  <c r="F73" i="7"/>
  <c r="F30" i="7"/>
  <c r="F245" i="7"/>
  <c r="F894" i="7"/>
  <c r="F660" i="7"/>
  <c r="F561" i="7"/>
  <c r="F524" i="7"/>
  <c r="G309" i="7"/>
  <c r="G927" i="7"/>
  <c r="G218" i="7"/>
  <c r="G135" i="7"/>
  <c r="F119" i="7"/>
  <c r="F144" i="7"/>
  <c r="F70" i="7"/>
  <c r="G70" i="7"/>
  <c r="F963" i="7"/>
  <c r="F903" i="7"/>
  <c r="F379" i="7"/>
  <c r="F244" i="7"/>
  <c r="G20" i="7"/>
  <c r="G563" i="7"/>
  <c r="G503" i="7"/>
  <c r="F596" i="7"/>
  <c r="G285" i="7"/>
  <c r="F599" i="7"/>
  <c r="F783" i="7"/>
  <c r="G250" i="7"/>
  <c r="G444" i="7"/>
  <c r="G102" i="7"/>
  <c r="G180" i="7"/>
  <c r="F330" i="7"/>
  <c r="F405" i="7"/>
  <c r="F143" i="7"/>
  <c r="G143" i="7"/>
  <c r="G302" i="7"/>
  <c r="F570" i="7"/>
  <c r="G849" i="7"/>
  <c r="F625" i="7"/>
  <c r="F130" i="7"/>
  <c r="F748" i="7"/>
  <c r="G759" i="7"/>
  <c r="F865" i="7"/>
  <c r="F957" i="7"/>
  <c r="G22" i="7"/>
  <c r="G24" i="7"/>
  <c r="G543" i="7"/>
  <c r="G730" i="7"/>
  <c r="G741" i="7"/>
  <c r="G872" i="7"/>
  <c r="F735" i="7"/>
  <c r="G781" i="7"/>
  <c r="G57" i="7"/>
  <c r="F971" i="7"/>
  <c r="G875" i="7"/>
  <c r="F902" i="7"/>
  <c r="G816" i="7"/>
  <c r="G858" i="7"/>
  <c r="G380" i="7"/>
  <c r="F437" i="7"/>
  <c r="G774" i="7"/>
  <c r="G356" i="7"/>
  <c r="F522" i="7"/>
  <c r="G674" i="7"/>
  <c r="G572" i="7"/>
  <c r="F657" i="7"/>
  <c r="F745" i="7"/>
  <c r="F376" i="7"/>
  <c r="G166" i="7"/>
  <c r="G5" i="7"/>
  <c r="F157" i="7"/>
  <c r="V89" i="1"/>
  <c r="W89" i="1" s="1"/>
  <c r="V112" i="1"/>
  <c r="V105" i="1"/>
  <c r="W105" i="1" s="1"/>
  <c r="V113" i="1"/>
  <c r="W113" i="1" s="1"/>
  <c r="V82" i="1"/>
  <c r="W82" i="1" s="1"/>
  <c r="V115" i="1"/>
  <c r="V119" i="1"/>
  <c r="W119" i="1" s="1"/>
  <c r="V101" i="1"/>
  <c r="V77" i="1"/>
  <c r="W77" i="1" s="1"/>
  <c r="V93" i="1"/>
  <c r="V117" i="1"/>
  <c r="V94" i="1"/>
  <c r="W94" i="1" s="1"/>
  <c r="V108" i="1"/>
  <c r="W108" i="1" s="1"/>
  <c r="V80" i="1"/>
  <c r="W80" i="1" s="1"/>
  <c r="V111" i="1"/>
  <c r="W111" i="1" s="1"/>
  <c r="V83" i="1"/>
  <c r="W83" i="1" s="1"/>
  <c r="V91" i="1"/>
  <c r="V114" i="1"/>
  <c r="W114" i="1" s="1"/>
  <c r="V99" i="1"/>
  <c r="W99" i="1" s="1"/>
  <c r="V107" i="1"/>
  <c r="E16" i="10"/>
  <c r="E23" i="10"/>
  <c r="E17" i="10"/>
  <c r="E11" i="10"/>
  <c r="G25" i="14" a="1"/>
  <c r="G25" i="14" s="1"/>
  <c r="F36" i="7"/>
  <c r="G25" i="7"/>
  <c r="F26" i="7"/>
  <c r="G38" i="7"/>
  <c r="F13" i="7"/>
  <c r="F19" i="7"/>
  <c r="F35" i="7"/>
  <c r="F62" i="7"/>
  <c r="F23" i="7"/>
  <c r="F8" i="7"/>
  <c r="G43" i="7"/>
  <c r="F11" i="7"/>
  <c r="F14" i="7"/>
  <c r="G60" i="7"/>
  <c r="G21" i="14" a="1"/>
  <c r="G21" i="14" s="1"/>
  <c r="I21" i="14" s="1"/>
  <c r="M21" i="14" s="1"/>
  <c r="G18" i="14" a="1"/>
  <c r="G18" i="14" s="1"/>
  <c r="F13" i="10" a="1"/>
  <c r="F13" i="10" s="1"/>
  <c r="G29" i="14" a="1"/>
  <c r="G29" i="14" s="1"/>
  <c r="G30" i="14" a="1"/>
  <c r="G30" i="14" s="1"/>
  <c r="G28" i="14" a="1"/>
  <c r="G28" i="14" s="1"/>
  <c r="G24" i="14" a="1"/>
  <c r="G24" i="14" s="1"/>
  <c r="I24" i="14" s="1"/>
  <c r="G22" i="14" a="1"/>
  <c r="G22" i="14" s="1"/>
  <c r="G23" i="14" a="1"/>
  <c r="G23" i="14" s="1"/>
  <c r="I23" i="14" s="1"/>
  <c r="G20" i="14" a="1"/>
  <c r="G20" i="14" s="1"/>
  <c r="I20" i="14" s="1"/>
  <c r="D26" i="14" a="1"/>
  <c r="D26" i="14" s="1"/>
  <c r="G26" i="14" a="1"/>
  <c r="G26" i="14" s="1"/>
  <c r="I26" i="14" s="1"/>
  <c r="M26" i="14" s="1"/>
  <c r="G19" i="14" a="1"/>
  <c r="G19" i="14" s="1"/>
  <c r="W239" i="1"/>
  <c r="D28" i="14" a="1"/>
  <c r="D28" i="14" s="1"/>
  <c r="Q9" i="16"/>
  <c r="S9" i="16"/>
  <c r="T9" i="16"/>
  <c r="U9" i="16"/>
  <c r="P9" i="16"/>
  <c r="I9" i="10"/>
  <c r="G397" i="7"/>
  <c r="G165" i="7"/>
  <c r="F165" i="7"/>
  <c r="F67" i="7"/>
  <c r="G131" i="7"/>
  <c r="F131" i="7"/>
  <c r="F267" i="7"/>
  <c r="G281" i="7"/>
  <c r="G230" i="7"/>
  <c r="F215" i="7"/>
  <c r="G215" i="7"/>
  <c r="F221" i="7"/>
  <c r="F424" i="7"/>
  <c r="F360" i="7"/>
  <c r="F344" i="7"/>
  <c r="G445" i="7"/>
  <c r="G346" i="7"/>
  <c r="G431" i="7"/>
  <c r="G335" i="7"/>
  <c r="F449" i="7"/>
  <c r="F413" i="7"/>
  <c r="G413" i="7"/>
  <c r="G273" i="7"/>
  <c r="F273" i="7"/>
  <c r="F112" i="7"/>
  <c r="G439" i="7"/>
  <c r="G21" i="7"/>
  <c r="F292" i="7"/>
  <c r="G394" i="7"/>
  <c r="G238" i="7"/>
  <c r="F265" i="7"/>
  <c r="G436" i="7"/>
  <c r="G400" i="7"/>
  <c r="G125" i="7"/>
  <c r="G81" i="7"/>
  <c r="F81" i="7"/>
  <c r="G18" i="7"/>
  <c r="G247" i="7"/>
  <c r="F247" i="7"/>
  <c r="F58" i="7"/>
  <c r="F48" i="7"/>
  <c r="F222" i="7"/>
  <c r="F282" i="7"/>
  <c r="F263" i="7"/>
  <c r="F224" i="7"/>
  <c r="G224" i="7"/>
  <c r="G80" i="7"/>
  <c r="F61" i="7"/>
  <c r="G56" i="7"/>
  <c r="F56" i="7"/>
  <c r="R9" i="16"/>
  <c r="F440" i="7"/>
  <c r="G961" i="7"/>
  <c r="G539" i="7"/>
  <c r="G489" i="7"/>
  <c r="F589" i="7"/>
  <c r="F835" i="7"/>
  <c r="G999" i="7"/>
  <c r="F953" i="7"/>
  <c r="G831" i="7"/>
  <c r="G808" i="7"/>
  <c r="G801" i="7"/>
  <c r="F791" i="7"/>
  <c r="G729" i="7"/>
  <c r="G709" i="7"/>
  <c r="G684" i="7"/>
  <c r="G666" i="7"/>
  <c r="G640" i="7"/>
  <c r="G569" i="7"/>
  <c r="F560" i="7"/>
  <c r="F482" i="7"/>
  <c r="G326" i="7"/>
  <c r="G233" i="7"/>
  <c r="F937" i="7"/>
  <c r="G186" i="7"/>
  <c r="G324" i="7"/>
  <c r="G899" i="7"/>
  <c r="F883" i="7"/>
  <c r="F432" i="7"/>
  <c r="G432" i="7"/>
  <c r="F353" i="7"/>
  <c r="G312" i="7"/>
  <c r="F312" i="7"/>
  <c r="F270" i="7"/>
  <c r="G270" i="7"/>
  <c r="F632" i="7"/>
  <c r="F206" i="7"/>
  <c r="F194" i="7"/>
  <c r="F399" i="7"/>
  <c r="G399" i="7"/>
  <c r="G442" i="7"/>
  <c r="G859" i="7"/>
  <c r="F769" i="7"/>
  <c r="G196" i="7"/>
  <c r="F863" i="7"/>
  <c r="F277" i="7"/>
  <c r="G277" i="7"/>
  <c r="G617" i="7"/>
  <c r="G373" i="7"/>
  <c r="G339" i="7"/>
  <c r="F836" i="7"/>
  <c r="G534" i="7"/>
  <c r="G457" i="7"/>
  <c r="F457" i="7"/>
  <c r="G422" i="7"/>
  <c r="G231" i="7"/>
  <c r="G286" i="7"/>
  <c r="G87" i="7"/>
  <c r="F41" i="7"/>
  <c r="G204" i="7"/>
  <c r="G78" i="7"/>
  <c r="F588" i="7"/>
  <c r="G182" i="7"/>
  <c r="F182" i="7"/>
  <c r="G673" i="7"/>
  <c r="F342" i="7"/>
  <c r="F276" i="7"/>
  <c r="G276" i="7"/>
  <c r="G492" i="7"/>
  <c r="G261" i="7"/>
  <c r="F261" i="7"/>
  <c r="G236" i="7"/>
  <c r="F236" i="7"/>
  <c r="F529" i="7"/>
  <c r="G529" i="7"/>
  <c r="G412" i="7"/>
  <c r="F331" i="7"/>
  <c r="F214" i="7"/>
  <c r="G214" i="7"/>
  <c r="G515" i="7"/>
  <c r="F515" i="7"/>
  <c r="G198" i="7"/>
  <c r="F198" i="7"/>
  <c r="F167" i="7"/>
  <c r="G167" i="7"/>
  <c r="F541" i="7"/>
  <c r="G327" i="7"/>
  <c r="F294" i="7"/>
  <c r="G294" i="7"/>
  <c r="G275" i="7"/>
  <c r="F677" i="7"/>
  <c r="G240" i="7"/>
  <c r="F241" i="7"/>
  <c r="G634" i="7"/>
  <c r="F604" i="7"/>
  <c r="G120" i="7"/>
  <c r="G490" i="7"/>
  <c r="F191" i="7"/>
  <c r="F184" i="7"/>
  <c r="F132" i="7"/>
  <c r="G93" i="7"/>
  <c r="F84" i="7"/>
  <c r="F6" i="7"/>
  <c r="F95" i="7"/>
  <c r="F10" i="7"/>
  <c r="F128" i="7"/>
  <c r="G63" i="7"/>
  <c r="G136" i="7"/>
  <c r="G271" i="7"/>
  <c r="G973" i="7"/>
  <c r="F645" i="7"/>
  <c r="F616" i="7"/>
  <c r="F994" i="7"/>
  <c r="F968" i="7"/>
  <c r="G583" i="7"/>
  <c r="F447" i="7"/>
  <c r="G447" i="7"/>
  <c r="G127" i="7"/>
  <c r="F452" i="7"/>
  <c r="F972" i="7"/>
  <c r="G844" i="7"/>
  <c r="F611" i="7"/>
  <c r="F554" i="7"/>
  <c r="G465" i="7"/>
  <c r="F465" i="7"/>
  <c r="G345" i="7"/>
  <c r="G9" i="7"/>
  <c r="F9" i="7"/>
  <c r="F51" i="7"/>
  <c r="G51" i="7"/>
  <c r="F7" i="7"/>
  <c r="F12" i="7"/>
  <c r="G64" i="7"/>
  <c r="F64" i="7"/>
  <c r="M9" i="16"/>
  <c r="F665" i="7"/>
  <c r="F417" i="7"/>
  <c r="G954" i="7"/>
  <c r="G274" i="7"/>
  <c r="F448" i="7"/>
  <c r="F226" i="7"/>
  <c r="G773" i="7"/>
  <c r="F900" i="7"/>
  <c r="F987" i="7"/>
  <c r="G98" i="7"/>
  <c r="F951" i="7"/>
  <c r="G951" i="7"/>
  <c r="G812" i="7"/>
  <c r="F812" i="7"/>
  <c r="G642" i="7"/>
  <c r="F642" i="7"/>
  <c r="F418" i="7"/>
  <c r="G418" i="7"/>
  <c r="F329" i="7"/>
  <c r="G329" i="7"/>
  <c r="F553" i="7"/>
  <c r="G553" i="7"/>
  <c r="F549" i="7"/>
  <c r="G549" i="7"/>
  <c r="G100" i="7"/>
  <c r="F100" i="7"/>
  <c r="G979" i="7"/>
  <c r="F776" i="7"/>
  <c r="G576" i="7"/>
  <c r="G389" i="7"/>
  <c r="F228" i="7"/>
  <c r="F595" i="7"/>
  <c r="G550" i="7"/>
  <c r="F317" i="7"/>
  <c r="F906" i="7"/>
  <c r="G558" i="7"/>
  <c r="G703" i="7"/>
  <c r="F663" i="7"/>
  <c r="F908" i="7"/>
  <c r="F705" i="7"/>
  <c r="F538" i="7"/>
  <c r="F704" i="7"/>
  <c r="G485" i="7"/>
  <c r="G370" i="7"/>
  <c r="G54" i="7"/>
  <c r="F891" i="7"/>
  <c r="G891" i="7"/>
  <c r="F864" i="7"/>
  <c r="G864" i="7"/>
  <c r="F815" i="7"/>
  <c r="F683" i="7"/>
  <c r="G670" i="7"/>
  <c r="G584" i="7"/>
  <c r="F584" i="7"/>
  <c r="F834" i="7"/>
  <c r="G978" i="7"/>
  <c r="F978" i="7"/>
  <c r="G739" i="7"/>
  <c r="F739" i="7"/>
  <c r="G580" i="7"/>
  <c r="G678" i="7"/>
  <c r="F778" i="7"/>
  <c r="G926" i="7"/>
  <c r="F870" i="7"/>
  <c r="F862" i="7"/>
  <c r="F857" i="7"/>
  <c r="F758" i="7"/>
  <c r="G716" i="7"/>
  <c r="F582" i="7"/>
  <c r="G567" i="7"/>
  <c r="F567" i="7"/>
  <c r="F565" i="7"/>
  <c r="F493" i="7"/>
  <c r="F514" i="7"/>
  <c r="G514" i="7"/>
  <c r="G548" i="7"/>
  <c r="F531" i="7"/>
  <c r="G137" i="7"/>
  <c r="F648" i="7"/>
  <c r="F800" i="7"/>
  <c r="F333" i="7"/>
  <c r="G914" i="7"/>
  <c r="G819" i="7"/>
  <c r="F785" i="7"/>
  <c r="F618" i="7"/>
  <c r="G923" i="7"/>
  <c r="G409" i="7"/>
  <c r="G942" i="7"/>
  <c r="G825" i="7"/>
  <c r="G750" i="7"/>
  <c r="F750" i="7"/>
  <c r="F612" i="7"/>
  <c r="F337" i="7"/>
  <c r="G337" i="7"/>
  <c r="G740" i="7"/>
  <c r="G406" i="7"/>
  <c r="F406" i="7"/>
  <c r="F967" i="7"/>
  <c r="G967" i="7"/>
  <c r="F639" i="7"/>
  <c r="G639" i="7"/>
  <c r="G419" i="7"/>
  <c r="F419" i="7"/>
  <c r="F591" i="7"/>
  <c r="F450" i="7"/>
  <c r="F50" i="7"/>
  <c r="F985" i="7"/>
  <c r="G756" i="7"/>
  <c r="F446" i="7"/>
  <c r="F723" i="7"/>
  <c r="G175" i="7"/>
  <c r="G945" i="7"/>
  <c r="F945" i="7"/>
  <c r="F830" i="7"/>
  <c r="G830" i="7"/>
  <c r="G365" i="7"/>
  <c r="F365" i="7"/>
  <c r="G264" i="7"/>
  <c r="F264" i="7"/>
  <c r="G693" i="7"/>
  <c r="G698" i="7"/>
  <c r="F586" i="7"/>
  <c r="G586" i="7"/>
  <c r="F575" i="7"/>
  <c r="G575" i="7"/>
  <c r="G488" i="7"/>
  <c r="F488" i="7"/>
  <c r="G343" i="7"/>
  <c r="F147" i="7"/>
  <c r="G147" i="7"/>
  <c r="G725" i="7"/>
  <c r="F646" i="7"/>
  <c r="G646" i="7"/>
  <c r="F610" i="7"/>
  <c r="G610" i="7"/>
  <c r="F280" i="7"/>
  <c r="G280" i="7"/>
  <c r="G251" i="7"/>
  <c r="F251" i="7"/>
  <c r="G643" i="7"/>
  <c r="F466" i="7"/>
  <c r="G555" i="7"/>
  <c r="F555" i="7"/>
  <c r="G590" i="7"/>
  <c r="F727" i="7"/>
  <c r="G718" i="7"/>
  <c r="F659" i="7"/>
  <c r="G702" i="7"/>
  <c r="F480" i="7"/>
  <c r="G480" i="7"/>
  <c r="F2" i="7"/>
  <c r="F605" i="7"/>
  <c r="G628" i="7"/>
  <c r="F556" i="7"/>
  <c r="G691" i="7"/>
  <c r="G369" i="7"/>
  <c r="F338" i="7"/>
  <c r="G470" i="7"/>
  <c r="F540" i="7"/>
  <c r="G259" i="7"/>
  <c r="F259" i="7"/>
  <c r="G239" i="7"/>
  <c r="F239" i="7"/>
  <c r="F217" i="7"/>
  <c r="G217" i="7"/>
  <c r="G193" i="7"/>
  <c r="F193" i="7"/>
  <c r="F297" i="7"/>
  <c r="G219" i="7"/>
  <c r="G256" i="7"/>
  <c r="G108" i="7"/>
  <c r="F213" i="7"/>
  <c r="F75" i="7"/>
  <c r="G45" i="7"/>
  <c r="G237" i="7"/>
  <c r="F155" i="7"/>
  <c r="F150" i="7"/>
  <c r="G59" i="7"/>
  <c r="F159" i="7"/>
  <c r="G187" i="7"/>
  <c r="G107" i="7"/>
  <c r="G469" i="7"/>
  <c r="F695" i="7"/>
  <c r="F39" i="7"/>
  <c r="G46" i="7"/>
  <c r="F96" i="7"/>
  <c r="F53" i="7"/>
  <c r="F134" i="7"/>
  <c r="G123" i="7"/>
  <c r="G460" i="7"/>
  <c r="F602" i="7"/>
  <c r="F407" i="7"/>
  <c r="G407" i="7"/>
  <c r="G314" i="7"/>
  <c r="F314" i="7"/>
  <c r="F667" i="7"/>
  <c r="G667" i="7"/>
  <c r="G607" i="7"/>
  <c r="G487" i="7"/>
  <c r="F435" i="7"/>
  <c r="G435" i="7"/>
  <c r="G243" i="7"/>
  <c r="F243" i="7"/>
  <c r="F771" i="7"/>
  <c r="G771" i="7"/>
  <c r="F502" i="7"/>
  <c r="G789" i="7"/>
  <c r="F530" i="7"/>
  <c r="G530" i="7"/>
  <c r="F498" i="7"/>
  <c r="G387" i="7"/>
  <c r="F387" i="7"/>
  <c r="F254" i="7"/>
  <c r="G254" i="7"/>
  <c r="F697" i="7"/>
  <c r="G697" i="7"/>
  <c r="G668" i="7"/>
  <c r="F668" i="7"/>
  <c r="G623" i="7"/>
  <c r="G517" i="7"/>
  <c r="F517" i="7"/>
  <c r="F496" i="7"/>
  <c r="G496" i="7"/>
  <c r="G479" i="7"/>
  <c r="G423" i="7"/>
  <c r="F423" i="7"/>
  <c r="F347" i="7"/>
  <c r="F300" i="7"/>
  <c r="F464" i="7"/>
  <c r="G464" i="7"/>
  <c r="G398" i="7"/>
  <c r="F398" i="7"/>
  <c r="F358" i="7"/>
  <c r="G358" i="7"/>
  <c r="G109" i="7"/>
  <c r="F546" i="7"/>
  <c r="G846" i="7"/>
  <c r="G998" i="7"/>
  <c r="F946" i="7"/>
  <c r="F896" i="7"/>
  <c r="F893" i="7"/>
  <c r="G799" i="7"/>
  <c r="F988" i="7"/>
  <c r="G814" i="7"/>
  <c r="G795" i="7"/>
  <c r="G622" i="7"/>
  <c r="F770" i="7"/>
  <c r="F853" i="7"/>
  <c r="G111" i="7"/>
  <c r="F111" i="7"/>
  <c r="F881" i="7"/>
  <c r="G881" i="7"/>
  <c r="G850" i="7"/>
  <c r="F850" i="7"/>
  <c r="F793" i="7"/>
  <c r="F728" i="7"/>
  <c r="F129" i="7"/>
  <c r="G129" i="7"/>
  <c r="F322" i="7"/>
  <c r="G322" i="7"/>
  <c r="F841" i="7"/>
  <c r="G512" i="7"/>
  <c r="G984" i="7"/>
  <c r="G581" i="7"/>
  <c r="F581" i="7"/>
  <c r="F996" i="7"/>
  <c r="F974" i="7"/>
  <c r="F966" i="7"/>
  <c r="F895" i="7"/>
  <c r="F631" i="7"/>
  <c r="F579" i="7"/>
  <c r="G579" i="7"/>
  <c r="G427" i="7"/>
  <c r="F427" i="7"/>
  <c r="F386" i="7"/>
  <c r="G386" i="7"/>
  <c r="G375" i="7"/>
  <c r="G158" i="7"/>
  <c r="F158" i="7"/>
  <c r="G55" i="7"/>
  <c r="G372" i="7"/>
  <c r="F372" i="7"/>
  <c r="F283" i="7"/>
  <c r="G283" i="7"/>
  <c r="G802" i="7"/>
  <c r="F802" i="7"/>
  <c r="F840" i="7"/>
  <c r="G840" i="7"/>
  <c r="G290" i="7"/>
  <c r="F909" i="7"/>
  <c r="F420" i="7"/>
  <c r="F960" i="7"/>
  <c r="F301" i="7"/>
  <c r="G301" i="7"/>
  <c r="G140" i="7"/>
  <c r="F140" i="7"/>
  <c r="F948" i="7"/>
  <c r="G948" i="7"/>
  <c r="F474" i="7"/>
  <c r="G381" i="7"/>
  <c r="G564" i="7"/>
  <c r="F210" i="7"/>
  <c r="G510" i="7"/>
  <c r="F510" i="7"/>
  <c r="F777" i="7"/>
  <c r="G706" i="7"/>
  <c r="G664" i="7"/>
  <c r="G993" i="7"/>
  <c r="G726" i="7"/>
  <c r="F649" i="7"/>
  <c r="G649" i="7"/>
  <c r="F606" i="7"/>
  <c r="G606" i="7"/>
  <c r="G782" i="7"/>
  <c r="G176" i="7"/>
  <c r="F919" i="7"/>
  <c r="G919" i="7"/>
  <c r="G497" i="7"/>
  <c r="F497" i="7"/>
  <c r="F341" i="7"/>
  <c r="G341" i="7"/>
  <c r="F308" i="7"/>
  <c r="G308" i="7"/>
  <c r="G154" i="7"/>
  <c r="F154" i="7"/>
  <c r="F755" i="7"/>
  <c r="F637" i="7"/>
  <c r="F936" i="7"/>
  <c r="G566" i="7"/>
  <c r="G732" i="7"/>
  <c r="F396" i="7"/>
  <c r="F269" i="7"/>
  <c r="G269" i="7"/>
  <c r="G763" i="7"/>
  <c r="G743" i="7"/>
  <c r="G880" i="7"/>
  <c r="F873" i="7"/>
  <c r="F912" i="7"/>
  <c r="G787" i="7"/>
  <c r="G760" i="7"/>
  <c r="G355" i="7"/>
  <c r="F355" i="7"/>
  <c r="E15" i="10"/>
  <c r="E14" i="10"/>
  <c r="E26" i="10"/>
  <c r="E28" i="10"/>
  <c r="E24" i="10"/>
  <c r="E18" i="10"/>
  <c r="E20" i="10"/>
  <c r="E21" i="10"/>
  <c r="E25" i="10"/>
  <c r="E12" i="10"/>
  <c r="E22" i="10"/>
  <c r="E27" i="10"/>
  <c r="O53" i="24"/>
  <c r="O11" i="24"/>
  <c r="O43" i="24"/>
  <c r="O67" i="24"/>
  <c r="O83" i="24"/>
  <c r="N4" i="24"/>
  <c r="O12" i="24"/>
  <c r="O44" i="24"/>
  <c r="O59" i="24"/>
  <c r="O69" i="24"/>
  <c r="O41" i="24"/>
  <c r="O65" i="24"/>
  <c r="O81" i="24"/>
  <c r="O13" i="24"/>
  <c r="O51" i="24"/>
  <c r="K112" i="24"/>
  <c r="L31" i="24"/>
  <c r="L23" i="24"/>
  <c r="M23" i="24"/>
  <c r="O23" i="24"/>
  <c r="L43" i="24"/>
  <c r="L83" i="24"/>
  <c r="L46" i="24"/>
  <c r="M46" i="24"/>
  <c r="O46" i="24"/>
  <c r="L55" i="24"/>
  <c r="M55" i="24"/>
  <c r="O55" i="24"/>
  <c r="L29" i="24"/>
  <c r="M29" i="24"/>
  <c r="O29" i="24"/>
  <c r="L47" i="24"/>
  <c r="M47" i="24"/>
  <c r="O47" i="24"/>
  <c r="L52" i="24"/>
  <c r="M52" i="24"/>
  <c r="O52" i="24"/>
  <c r="L62" i="24"/>
  <c r="L54" i="24"/>
  <c r="M54" i="24"/>
  <c r="O54" i="24"/>
  <c r="L78" i="24"/>
  <c r="L74" i="24"/>
  <c r="M74" i="24"/>
  <c r="O74" i="24"/>
  <c r="L84" i="24"/>
  <c r="M84" i="24"/>
  <c r="O84" i="24"/>
  <c r="L50" i="24"/>
  <c r="M50" i="24"/>
  <c r="O50" i="24"/>
  <c r="L42" i="24"/>
  <c r="M42" i="24"/>
  <c r="O42" i="24"/>
  <c r="L70" i="24"/>
  <c r="M70" i="24"/>
  <c r="O70" i="24"/>
  <c r="L73" i="24"/>
  <c r="L69" i="24"/>
  <c r="L38" i="24"/>
  <c r="M38" i="24"/>
  <c r="O38" i="24"/>
  <c r="L64" i="24"/>
  <c r="L80" i="24"/>
  <c r="M80" i="24"/>
  <c r="O80" i="24"/>
  <c r="L77" i="24"/>
  <c r="M77" i="24"/>
  <c r="O77" i="24"/>
  <c r="L35" i="24"/>
  <c r="M35" i="24"/>
  <c r="O35" i="24"/>
  <c r="L76" i="24"/>
  <c r="M76" i="24"/>
  <c r="O76" i="24"/>
  <c r="L19" i="24"/>
  <c r="M19" i="24"/>
  <c r="O19" i="24"/>
  <c r="L32" i="24"/>
  <c r="M32" i="24"/>
  <c r="O32" i="24"/>
  <c r="L45" i="24"/>
  <c r="M45" i="24"/>
  <c r="O45" i="24"/>
  <c r="L18" i="24"/>
  <c r="M18" i="24"/>
  <c r="O18" i="24"/>
  <c r="L61" i="24"/>
  <c r="M61" i="24"/>
  <c r="O61" i="24"/>
  <c r="L30" i="24"/>
  <c r="M30" i="24"/>
  <c r="O30" i="24"/>
  <c r="L68" i="24"/>
  <c r="M68" i="24"/>
  <c r="O68" i="24"/>
  <c r="L34" i="24"/>
  <c r="M34" i="24"/>
  <c r="O34" i="24"/>
  <c r="L40" i="24"/>
  <c r="M40" i="24"/>
  <c r="O40" i="24"/>
  <c r="L57" i="24"/>
  <c r="M57" i="24"/>
  <c r="O57" i="24"/>
  <c r="L65" i="24"/>
  <c r="L20" i="24"/>
  <c r="M20" i="24"/>
  <c r="O20" i="24"/>
  <c r="L56" i="24"/>
  <c r="M56" i="24"/>
  <c r="O56" i="24"/>
  <c r="L66" i="24"/>
  <c r="M66" i="24"/>
  <c r="O66" i="24"/>
  <c r="L28" i="24"/>
  <c r="L21" i="24"/>
  <c r="M21" i="24"/>
  <c r="O21" i="24"/>
  <c r="L24" i="24"/>
  <c r="M24" i="24"/>
  <c r="O24" i="24"/>
  <c r="L49" i="24"/>
  <c r="M49" i="24"/>
  <c r="O49" i="24"/>
  <c r="L51" i="24"/>
  <c r="L71" i="24"/>
  <c r="M71" i="24"/>
  <c r="O71" i="24"/>
  <c r="L22" i="24"/>
  <c r="M22" i="24"/>
  <c r="O22" i="24"/>
  <c r="L37" i="24"/>
  <c r="L39" i="24"/>
  <c r="M39" i="24"/>
  <c r="O39" i="24"/>
  <c r="L79" i="24"/>
  <c r="M79" i="24"/>
  <c r="O79" i="24"/>
  <c r="L25" i="24"/>
  <c r="M25" i="24"/>
  <c r="O25" i="24"/>
  <c r="L72" i="24"/>
  <c r="M72" i="24"/>
  <c r="O72" i="24"/>
  <c r="L48" i="24"/>
  <c r="L41" i="24"/>
  <c r="L82" i="24"/>
  <c r="M82" i="24"/>
  <c r="O82" i="24"/>
  <c r="L44" i="24"/>
  <c r="L85" i="24"/>
  <c r="M85" i="24"/>
  <c r="O85" i="24"/>
  <c r="L63" i="24"/>
  <c r="M63" i="24"/>
  <c r="O63" i="24"/>
  <c r="L33" i="24"/>
  <c r="M33" i="24"/>
  <c r="O33" i="24"/>
  <c r="L36" i="24"/>
  <c r="M36" i="24"/>
  <c r="O36" i="24"/>
  <c r="L27" i="24"/>
  <c r="M27" i="24"/>
  <c r="O27" i="24"/>
  <c r="L17" i="24"/>
  <c r="M17" i="24"/>
  <c r="O17" i="24"/>
  <c r="O4" i="24"/>
  <c r="M4" i="24"/>
  <c r="F587" i="7"/>
  <c r="G523" i="7"/>
  <c r="F507" i="7"/>
  <c r="G507" i="7"/>
  <c r="G494" i="7"/>
  <c r="F416" i="7"/>
  <c r="F401" i="7"/>
  <c r="G65" i="7"/>
  <c r="F31" i="7"/>
  <c r="G31" i="7"/>
  <c r="G675" i="7"/>
  <c r="F675" i="7"/>
  <c r="G525" i="7"/>
  <c r="F525" i="7"/>
  <c r="G162" i="7"/>
  <c r="F162" i="7"/>
  <c r="F3" i="7"/>
  <c r="G3" i="7"/>
  <c r="F630" i="7"/>
  <c r="G311" i="7"/>
  <c r="G289" i="7"/>
  <c r="G306" i="7"/>
  <c r="G897" i="7"/>
  <c r="G141" i="7"/>
  <c r="G110" i="7"/>
  <c r="F351" i="7"/>
  <c r="F258" i="7"/>
  <c r="F227" i="7"/>
  <c r="G762" i="7"/>
  <c r="G86" i="7"/>
  <c r="F889" i="7"/>
  <c r="G562" i="7"/>
  <c r="F151" i="7"/>
  <c r="F826" i="7"/>
  <c r="G826" i="7"/>
  <c r="G982" i="7"/>
  <c r="G990" i="7"/>
  <c r="G472" i="7"/>
  <c r="G425" i="7"/>
  <c r="G592" i="7"/>
  <c r="F629" i="7"/>
  <c r="G578" i="7"/>
  <c r="G636" i="7"/>
  <c r="G921" i="7"/>
  <c r="G817" i="7"/>
  <c r="F179" i="7"/>
  <c r="F892" i="7"/>
  <c r="G426" i="7"/>
  <c r="F359" i="7"/>
  <c r="F234" i="7"/>
  <c r="F731" i="7"/>
  <c r="F443" i="7"/>
  <c r="G833" i="7"/>
  <c r="G991" i="7"/>
  <c r="F202" i="7"/>
  <c r="F952" i="7"/>
  <c r="F933" i="7"/>
  <c r="G933" i="7"/>
  <c r="G813" i="7"/>
  <c r="F811" i="7"/>
  <c r="F780" i="7"/>
  <c r="G736" i="7"/>
  <c r="F736" i="7"/>
  <c r="G699" i="7"/>
  <c r="G621" i="7"/>
  <c r="F551" i="7"/>
  <c r="G537" i="7"/>
  <c r="F537" i="7"/>
  <c r="G486" i="7"/>
  <c r="F486" i="7"/>
  <c r="G438" i="7"/>
  <c r="F438" i="7"/>
  <c r="F429" i="7"/>
  <c r="F410" i="7"/>
  <c r="G384" i="7"/>
  <c r="F384" i="7"/>
  <c r="G319" i="7"/>
  <c r="F319" i="7"/>
  <c r="F284" i="7"/>
  <c r="F174" i="7"/>
  <c r="G761" i="7"/>
  <c r="F761" i="7"/>
  <c r="F724" i="7"/>
  <c r="G724" i="7"/>
  <c r="F559" i="7"/>
  <c r="G559" i="7"/>
  <c r="F638" i="7"/>
  <c r="F481" i="7"/>
  <c r="F938" i="7"/>
  <c r="F478" i="7"/>
  <c r="G478" i="7"/>
  <c r="G395" i="7"/>
  <c r="F395" i="7"/>
  <c r="F257" i="7"/>
  <c r="G257" i="7"/>
  <c r="G597" i="7"/>
  <c r="F505" i="7"/>
  <c r="G711" i="7"/>
  <c r="F910" i="7"/>
  <c r="F350" i="7"/>
  <c r="G792" i="7"/>
  <c r="G225" i="7"/>
  <c r="F307" i="7"/>
  <c r="G598" i="7"/>
  <c r="G717" i="7"/>
  <c r="F786" i="7"/>
  <c r="G456" i="7"/>
  <c r="G377" i="7"/>
  <c r="F463" i="7"/>
  <c r="G205" i="7"/>
  <c r="G964" i="7"/>
  <c r="F964" i="7"/>
  <c r="G924" i="7"/>
  <c r="G886" i="7"/>
  <c r="F886" i="7"/>
  <c r="G877" i="7"/>
  <c r="F877" i="7"/>
  <c r="G809" i="7"/>
  <c r="F809" i="7"/>
  <c r="F767" i="7"/>
  <c r="F690" i="7"/>
  <c r="G690" i="7"/>
  <c r="F661" i="7"/>
  <c r="G441" i="7"/>
  <c r="G408" i="7"/>
  <c r="F408" i="7"/>
  <c r="F371" i="7"/>
  <c r="G4" i="7"/>
  <c r="F4" i="7"/>
  <c r="F462" i="7"/>
  <c r="F229" i="7"/>
  <c r="F305" i="7"/>
  <c r="F734" i="7"/>
  <c r="G122" i="7"/>
  <c r="G500" i="7"/>
  <c r="G367" i="7"/>
  <c r="G671" i="7"/>
  <c r="F433" i="7"/>
  <c r="G201" i="7"/>
  <c r="F246" i="7"/>
  <c r="G939" i="7"/>
  <c r="F362" i="7"/>
  <c r="G362" i="7"/>
  <c r="F315" i="7"/>
  <c r="G315" i="7"/>
  <c r="G220" i="7"/>
  <c r="F220" i="7"/>
  <c r="G536" i="7"/>
  <c r="G340" i="7"/>
  <c r="G368" i="7"/>
  <c r="F368" i="7"/>
  <c r="F172" i="7"/>
  <c r="G172" i="7"/>
  <c r="G915" i="7"/>
  <c r="G712" i="7"/>
  <c r="G838" i="7"/>
  <c r="G856" i="7"/>
  <c r="G483" i="7"/>
  <c r="F794" i="7"/>
  <c r="G887" i="7"/>
  <c r="G689" i="7"/>
  <c r="F940" i="7"/>
  <c r="G757" i="7"/>
  <c r="G707" i="7"/>
  <c r="F291" i="7"/>
  <c r="G842" i="7"/>
  <c r="G266" i="7"/>
  <c r="F652" i="7"/>
  <c r="G737" i="7"/>
  <c r="F737" i="7"/>
  <c r="G593" i="7"/>
  <c r="G518" i="7"/>
  <c r="F458" i="7"/>
  <c r="G458" i="7"/>
  <c r="F318" i="7"/>
  <c r="F260" i="7"/>
  <c r="G260" i="7"/>
  <c r="F101" i="7"/>
  <c r="G101" i="7"/>
  <c r="F83" i="7"/>
  <c r="G83" i="7"/>
  <c r="F72" i="7"/>
  <c r="G72" i="7"/>
  <c r="G52" i="14"/>
  <c r="W298" i="1"/>
  <c r="W110" i="1"/>
  <c r="W85" i="1"/>
  <c r="W102" i="1"/>
  <c r="W87" i="1"/>
  <c r="W78" i="1"/>
  <c r="W262" i="1"/>
  <c r="W90" i="1"/>
  <c r="K6" i="14"/>
  <c r="G16" i="14"/>
  <c r="M6" i="14"/>
  <c r="F34" i="14"/>
  <c r="E34" i="14"/>
  <c r="G6" i="14"/>
  <c r="W76" i="1"/>
  <c r="F847" i="7"/>
  <c r="F983" i="7"/>
  <c r="F898" i="7"/>
  <c r="G913" i="7"/>
  <c r="G635" i="7"/>
  <c r="F980" i="7"/>
  <c r="F918" i="7"/>
  <c r="F313" i="7"/>
  <c r="F585" i="7"/>
  <c r="F823" i="7"/>
  <c r="F931" i="7"/>
  <c r="F601" i="7"/>
  <c r="G594" i="7"/>
  <c r="F414" i="7"/>
  <c r="G720" i="7"/>
  <c r="G888" i="7"/>
  <c r="F804" i="7"/>
  <c r="F516" i="7"/>
  <c r="F715" i="7"/>
  <c r="G766" i="7"/>
  <c r="F722" i="7"/>
  <c r="F867" i="7"/>
  <c r="F768" i="7"/>
  <c r="F626" i="7"/>
  <c r="G390" i="7"/>
  <c r="F869" i="7"/>
  <c r="F357" i="7"/>
  <c r="G527" i="7"/>
  <c r="G287" i="7"/>
  <c r="G947" i="7"/>
  <c r="F293" i="7"/>
  <c r="G293" i="7"/>
  <c r="F694" i="7"/>
  <c r="F992" i="7"/>
  <c r="G775" i="7"/>
  <c r="G928" i="7"/>
  <c r="F874" i="7"/>
  <c r="G997" i="7"/>
  <c r="F884" i="7"/>
  <c r="G818" i="7"/>
  <c r="F810" i="7"/>
  <c r="F970" i="7"/>
  <c r="G803" i="7"/>
  <c r="G600" i="7"/>
  <c r="F600" i="7"/>
  <c r="G879" i="7"/>
  <c r="G941" i="7"/>
  <c r="F934" i="7"/>
  <c r="F733" i="7"/>
  <c r="F860" i="7"/>
  <c r="G268" i="7"/>
  <c r="F905" i="7"/>
  <c r="F603" i="7"/>
  <c r="G754" i="7"/>
  <c r="G955" i="7"/>
  <c r="G461" i="7"/>
  <c r="F882" i="7"/>
  <c r="G692" i="7"/>
  <c r="F615" i="7"/>
  <c r="F832" i="7"/>
  <c r="F742" i="7"/>
  <c r="F958" i="7"/>
  <c r="F950" i="7"/>
  <c r="F854" i="7"/>
  <c r="G827" i="7"/>
  <c r="G744" i="7"/>
  <c r="G473" i="7"/>
  <c r="G619" i="7"/>
  <c r="F574" i="7"/>
  <c r="G976" i="7"/>
  <c r="F747" i="7"/>
  <c r="G651" i="7"/>
  <c r="F680" i="7"/>
  <c r="F121" i="7"/>
  <c r="G121" i="7"/>
  <c r="F139" i="7"/>
  <c r="G139" i="7"/>
  <c r="W311" i="1"/>
  <c r="I27" i="14"/>
  <c r="M27" i="14" s="1"/>
  <c r="W189" i="1"/>
  <c r="W109" i="1"/>
  <c r="W192" i="1"/>
  <c r="W58" i="1"/>
  <c r="W169" i="1"/>
  <c r="W198" i="1"/>
  <c r="W142" i="1"/>
  <c r="W216" i="1"/>
  <c r="W329" i="1"/>
  <c r="W25" i="1"/>
  <c r="W167" i="1"/>
  <c r="W104" i="1"/>
  <c r="W165" i="1"/>
  <c r="W164" i="1"/>
  <c r="W236" i="1"/>
  <c r="W45" i="1"/>
  <c r="W65" i="1"/>
  <c r="W274" i="1"/>
  <c r="W26" i="1"/>
  <c r="W67" i="1"/>
  <c r="W183" i="1"/>
  <c r="W28" i="1"/>
  <c r="D29" i="14" a="1"/>
  <c r="D29" i="14" s="1"/>
  <c r="D21" i="14" a="1"/>
  <c r="D21" i="14" s="1"/>
  <c r="D23" i="14" a="1"/>
  <c r="D23" i="14" s="1"/>
  <c r="F23" i="14" s="1"/>
  <c r="D24" i="14" a="1"/>
  <c r="D24" i="14" s="1"/>
  <c r="D20" i="14" a="1"/>
  <c r="D20" i="14" s="1"/>
  <c r="D19" i="14" a="1"/>
  <c r="D19" i="14" s="1"/>
  <c r="D30" i="14" a="1"/>
  <c r="D30" i="14" s="1"/>
  <c r="D18" i="14" a="1"/>
  <c r="D18" i="14" s="1"/>
  <c r="D22" i="14" a="1"/>
  <c r="D22" i="14" s="1"/>
  <c r="F22" i="14" s="1"/>
  <c r="D25" i="14" a="1"/>
  <c r="D25" i="14" s="1"/>
  <c r="F25" i="14" s="1"/>
  <c r="V364" i="1"/>
  <c r="V367" i="1" s="1"/>
  <c r="W122" i="1"/>
  <c r="W191" i="1"/>
  <c r="W95" i="1"/>
  <c r="W131" i="1"/>
  <c r="W84" i="1"/>
  <c r="W214" i="1"/>
  <c r="G50" i="14"/>
  <c r="G54" i="14"/>
  <c r="G55" i="14"/>
  <c r="G48" i="14"/>
  <c r="W123" i="1"/>
  <c r="W267" i="1"/>
  <c r="G38" i="14"/>
  <c r="D27" i="14" a="1"/>
  <c r="D27" i="14" s="1"/>
  <c r="L27" i="14" s="1"/>
  <c r="D11" i="16" a="1"/>
  <c r="D11" i="16" s="1"/>
  <c r="E11" i="16" s="1"/>
  <c r="G11" i="16" s="1"/>
  <c r="G44" i="14"/>
  <c r="W106" i="1"/>
  <c r="G36" i="14"/>
  <c r="D27" i="16" a="1"/>
  <c r="D27" i="16" s="1"/>
  <c r="E27" i="16" s="1"/>
  <c r="G27" i="16" s="1"/>
  <c r="D28" i="16" a="1"/>
  <c r="D28" i="16" s="1"/>
  <c r="E28" i="16" s="1"/>
  <c r="G28" i="16" s="1"/>
  <c r="D18" i="16" a="1"/>
  <c r="D18" i="16" s="1"/>
  <c r="E18" i="16" s="1"/>
  <c r="G18" i="16" s="1"/>
  <c r="D16" i="16" a="1"/>
  <c r="D16" i="16" s="1"/>
  <c r="E16" i="16" s="1"/>
  <c r="G16" i="16" s="1"/>
  <c r="D26" i="16" a="1"/>
  <c r="D26" i="16" s="1"/>
  <c r="E26" i="16" s="1"/>
  <c r="G26" i="16" s="1"/>
  <c r="D12" i="16" a="1"/>
  <c r="D12" i="16" s="1"/>
  <c r="E12" i="16" s="1"/>
  <c r="G12" i="16" s="1"/>
  <c r="F14" i="10" a="1"/>
  <c r="F14" i="10" s="1"/>
  <c r="F22" i="10" a="1"/>
  <c r="F22" i="10" s="1"/>
  <c r="H22" i="10" s="1"/>
  <c r="D14" i="16" a="1"/>
  <c r="D14" i="16" s="1"/>
  <c r="E14" i="16" s="1"/>
  <c r="G14" i="16" s="1"/>
  <c r="G43" i="14"/>
  <c r="D20" i="16" a="1"/>
  <c r="D20" i="16" s="1"/>
  <c r="E20" i="16" s="1"/>
  <c r="G20" i="16" s="1"/>
  <c r="D21" i="16" a="1"/>
  <c r="D21" i="16" s="1"/>
  <c r="E21" i="16" s="1"/>
  <c r="G21" i="16" s="1"/>
  <c r="F16" i="10" a="1"/>
  <c r="F16" i="10" s="1"/>
  <c r="F19" i="10" a="1"/>
  <c r="F19" i="10" s="1"/>
  <c r="H19" i="10" s="1"/>
  <c r="K19" i="10" s="1"/>
  <c r="F28" i="10" a="1"/>
  <c r="F28" i="10" s="1"/>
  <c r="D24" i="16" a="1"/>
  <c r="D24" i="16" s="1"/>
  <c r="E24" i="16" s="1"/>
  <c r="G24" i="16" s="1"/>
  <c r="D17" i="16" a="1"/>
  <c r="D17" i="16" s="1"/>
  <c r="E17" i="16" s="1"/>
  <c r="G17" i="16" s="1"/>
  <c r="D13" i="16" a="1"/>
  <c r="D13" i="16" s="1"/>
  <c r="F21" i="10" a="1"/>
  <c r="F21" i="10" s="1"/>
  <c r="H21" i="10" s="1"/>
  <c r="D19" i="16" a="1"/>
  <c r="D19" i="16" s="1"/>
  <c r="E19" i="16" s="1"/>
  <c r="G19" i="16" s="1"/>
  <c r="D15" i="16" a="1"/>
  <c r="D15" i="16" s="1"/>
  <c r="E15" i="16" s="1"/>
  <c r="G15" i="16" s="1"/>
  <c r="F15" i="10" a="1"/>
  <c r="F15" i="10" s="1"/>
  <c r="F27" i="10" a="1"/>
  <c r="F27" i="10" s="1"/>
  <c r="D23" i="16" a="1"/>
  <c r="D23" i="16" s="1"/>
  <c r="E23" i="16" s="1"/>
  <c r="G23" i="16" s="1"/>
  <c r="D22" i="16" a="1"/>
  <c r="D22" i="16" s="1"/>
  <c r="E22" i="16" s="1"/>
  <c r="G22" i="16" s="1"/>
  <c r="F20" i="10" a="1"/>
  <c r="F20" i="10" s="1"/>
  <c r="F17" i="10" a="1"/>
  <c r="F17" i="10" s="1"/>
  <c r="F24" i="10" a="1"/>
  <c r="F24" i="10" s="1"/>
  <c r="F12" i="10" a="1"/>
  <c r="F12" i="10" s="1"/>
  <c r="F26" i="10" a="1"/>
  <c r="F26" i="10" s="1"/>
  <c r="H26" i="10" s="1"/>
  <c r="J26" i="10" s="1"/>
  <c r="F23" i="10" a="1"/>
  <c r="F23" i="10" s="1"/>
  <c r="F25" i="10" a="1"/>
  <c r="F25" i="10" s="1"/>
  <c r="D25" i="16" a="1"/>
  <c r="D25" i="16" s="1"/>
  <c r="E25" i="16" s="1"/>
  <c r="G25" i="16" s="1"/>
  <c r="G49" i="14"/>
  <c r="F18" i="10" a="1"/>
  <c r="F18" i="10" s="1"/>
  <c r="G37" i="14"/>
  <c r="F11" i="10" a="1"/>
  <c r="F11" i="10" s="1"/>
  <c r="W49" i="1"/>
  <c r="W193" i="1"/>
  <c r="E7" i="16"/>
  <c r="H7" i="10"/>
  <c r="G40" i="14" l="1"/>
  <c r="W79" i="1"/>
  <c r="W103" i="1"/>
  <c r="G46" i="14"/>
  <c r="W304" i="1"/>
  <c r="W162" i="1"/>
  <c r="W295" i="1"/>
  <c r="W270" i="1"/>
  <c r="W247" i="1"/>
  <c r="W231" i="1"/>
  <c r="W163" i="1"/>
  <c r="W213" i="1"/>
  <c r="W148" i="1"/>
  <c r="G41" i="14"/>
  <c r="W20" i="1"/>
  <c r="W172" i="1"/>
  <c r="W184" i="1"/>
  <c r="W160" i="1"/>
  <c r="W222" i="1"/>
  <c r="W237" i="1"/>
  <c r="W190" i="1"/>
  <c r="W68" i="1"/>
  <c r="W266" i="1"/>
  <c r="W64" i="1"/>
  <c r="W88" i="1"/>
  <c r="W319" i="1"/>
  <c r="G39" i="14"/>
  <c r="G45" i="14"/>
  <c r="G51" i="14"/>
  <c r="W242" i="1"/>
  <c r="W205" i="1"/>
  <c r="W130" i="1"/>
  <c r="W223" i="1"/>
  <c r="W327" i="1"/>
  <c r="W288" i="1"/>
  <c r="W269" i="1"/>
  <c r="W96" i="1"/>
  <c r="W173" i="1"/>
  <c r="W235" i="1"/>
  <c r="W212" i="1"/>
  <c r="W23" i="1"/>
  <c r="W35" i="1"/>
  <c r="W124" i="1"/>
  <c r="W137" i="1"/>
  <c r="W188" i="1"/>
  <c r="W182" i="1"/>
  <c r="W34" i="1"/>
  <c r="G53" i="14"/>
  <c r="W263" i="1"/>
  <c r="W75" i="1"/>
  <c r="G42" i="14"/>
  <c r="W279" i="1"/>
  <c r="W74" i="1"/>
  <c r="W186" i="1"/>
  <c r="W297" i="1"/>
  <c r="W194" i="1"/>
  <c r="W230" i="1"/>
  <c r="W158" i="1"/>
  <c r="W166" i="1"/>
  <c r="W168" i="1"/>
  <c r="W54" i="1"/>
  <c r="W52" i="1"/>
  <c r="W140" i="1"/>
  <c r="W303" i="1"/>
  <c r="E57" i="14"/>
  <c r="W308" i="1"/>
  <c r="W46" i="1"/>
  <c r="W244" i="1"/>
  <c r="W8" i="1"/>
  <c r="W17" i="1"/>
  <c r="W229" i="1"/>
  <c r="W290" i="1"/>
  <c r="W277" i="1"/>
  <c r="W176" i="1"/>
  <c r="W323" i="1"/>
  <c r="W171" i="1"/>
  <c r="W144" i="1"/>
  <c r="W81" i="1"/>
  <c r="E19" i="10"/>
  <c r="G19" i="10" s="1"/>
  <c r="W107" i="1"/>
  <c r="W101" i="1"/>
  <c r="W181" i="1"/>
  <c r="W37" i="1"/>
  <c r="W174" i="1"/>
  <c r="W245" i="1"/>
  <c r="W196" i="1"/>
  <c r="W43" i="1"/>
  <c r="W152" i="1"/>
  <c r="W283" i="1"/>
  <c r="W207" i="1"/>
  <c r="W219" i="1"/>
  <c r="W91" i="1"/>
  <c r="W18" i="1"/>
  <c r="W24" i="1"/>
  <c r="W86" i="1"/>
  <c r="W4" i="1"/>
  <c r="W220" i="1"/>
  <c r="W221" i="1"/>
  <c r="W299" i="1"/>
  <c r="W278" i="1"/>
  <c r="W291" i="1"/>
  <c r="W47" i="1"/>
  <c r="W117" i="1"/>
  <c r="W93" i="1"/>
  <c r="W202" i="1"/>
  <c r="W70" i="1"/>
  <c r="W157" i="1"/>
  <c r="W115" i="1"/>
  <c r="W208" i="1"/>
  <c r="W187" i="1"/>
  <c r="W234" i="1"/>
  <c r="W56" i="1"/>
  <c r="G47" i="14"/>
  <c r="W27" i="1"/>
  <c r="W132" i="1"/>
  <c r="W116" i="1"/>
  <c r="W154" i="1"/>
  <c r="W285" i="1"/>
  <c r="W136" i="1"/>
  <c r="W138" i="1"/>
  <c r="W126" i="1"/>
  <c r="D9" i="14" a="1"/>
  <c r="D9" i="14" s="1"/>
  <c r="W317" i="1"/>
  <c r="W276" i="1"/>
  <c r="W21" i="1"/>
  <c r="W204" i="1"/>
  <c r="W143" i="1"/>
  <c r="W133" i="1"/>
  <c r="W19" i="1"/>
  <c r="W253" i="1"/>
  <c r="W259" i="1"/>
  <c r="W218" i="1"/>
  <c r="W135" i="1"/>
  <c r="W325" i="1"/>
  <c r="W13" i="1"/>
  <c r="W16" i="1"/>
  <c r="W185" i="1"/>
  <c r="W195" i="1"/>
  <c r="W296" i="1"/>
  <c r="W315" i="1"/>
  <c r="W320" i="1"/>
  <c r="W250" i="1"/>
  <c r="W328" i="1"/>
  <c r="W100" i="1"/>
  <c r="W73" i="1"/>
  <c r="W39" i="1"/>
  <c r="W284" i="1"/>
  <c r="W301" i="1"/>
  <c r="W268" i="1"/>
  <c r="W252" i="1"/>
  <c r="W199" i="1"/>
  <c r="W201" i="1"/>
  <c r="W9" i="1"/>
  <c r="W112" i="1"/>
  <c r="W44" i="1"/>
  <c r="F57" i="14"/>
  <c r="W241" i="1"/>
  <c r="W316" i="1"/>
  <c r="W282" i="1"/>
  <c r="W273" i="1"/>
  <c r="W170" i="1"/>
  <c r="W50" i="1"/>
  <c r="W180" i="1"/>
  <c r="D8" i="14" a="1"/>
  <c r="D8" i="14" s="1"/>
  <c r="W310" i="1"/>
  <c r="W326" i="1"/>
  <c r="W251" i="1"/>
  <c r="W227" i="1"/>
  <c r="W2" i="1"/>
  <c r="W209" i="1"/>
  <c r="D10" i="14" a="1"/>
  <c r="D10" i="14" s="1"/>
  <c r="G9" i="14" a="1"/>
  <c r="G9" i="14" s="1"/>
  <c r="G11" i="14" a="1"/>
  <c r="G11" i="14" s="1"/>
  <c r="G8" i="14" a="1"/>
  <c r="G8" i="14" s="1"/>
  <c r="G10" i="14" a="1"/>
  <c r="G10" i="14" s="1"/>
  <c r="W134" i="1"/>
  <c r="G12" i="14" a="1"/>
  <c r="G12" i="14" s="1"/>
  <c r="D12" i="14" a="1"/>
  <c r="D12" i="14" s="1"/>
  <c r="W32" i="1"/>
  <c r="D11" i="14" a="1"/>
  <c r="D11" i="14" s="1"/>
  <c r="W150" i="1"/>
  <c r="W265" i="1"/>
  <c r="W153" i="1"/>
  <c r="W53" i="1"/>
  <c r="W15" i="1"/>
  <c r="G28" i="10"/>
  <c r="W364" i="1"/>
  <c r="G27" i="10"/>
  <c r="V372" i="1"/>
  <c r="L30" i="14"/>
  <c r="E10" i="14" a="1"/>
  <c r="E10" i="14" s="1"/>
  <c r="L29" i="14"/>
  <c r="L28" i="14"/>
  <c r="M23" i="14"/>
  <c r="H9" i="14" a="1"/>
  <c r="H9" i="14" s="1"/>
  <c r="E11" i="14" a="1"/>
  <c r="E11" i="14" s="1"/>
  <c r="G21" i="10"/>
  <c r="D32" i="14"/>
  <c r="L18" i="14"/>
  <c r="L25" i="14"/>
  <c r="I25" i="14"/>
  <c r="M25" i="14" s="1"/>
  <c r="F20" i="14"/>
  <c r="M20" i="14" s="1"/>
  <c r="L20" i="14"/>
  <c r="H23" i="10"/>
  <c r="J23" i="10" s="1"/>
  <c r="G23" i="10"/>
  <c r="G17" i="10"/>
  <c r="H17" i="10"/>
  <c r="L24" i="14"/>
  <c r="F24" i="14"/>
  <c r="M24" i="14" s="1"/>
  <c r="G32" i="14"/>
  <c r="H11" i="10"/>
  <c r="G11" i="10"/>
  <c r="L22" i="14"/>
  <c r="I22" i="14"/>
  <c r="M22" i="14" s="1"/>
  <c r="W14" i="1"/>
  <c r="W57" i="1"/>
  <c r="Y364" i="1"/>
  <c r="Z364" i="1" s="1"/>
  <c r="W211" i="1"/>
  <c r="W215" i="1"/>
  <c r="W59" i="1"/>
  <c r="W12" i="1"/>
  <c r="W22" i="1"/>
  <c r="W313" i="1"/>
  <c r="W272" i="1"/>
  <c r="W312" i="1"/>
  <c r="W246" i="1"/>
  <c r="W203" i="1"/>
  <c r="W224" i="1"/>
  <c r="W60" i="1"/>
  <c r="J19" i="10"/>
  <c r="E12" i="14" a="1"/>
  <c r="E12" i="14" s="1"/>
  <c r="H10" i="14" a="1"/>
  <c r="H10" i="14" s="1"/>
  <c r="L26" i="14"/>
  <c r="L19" i="14"/>
  <c r="G26" i="10"/>
  <c r="W36" i="1"/>
  <c r="L21" i="14"/>
  <c r="E9" i="14" a="1"/>
  <c r="E9" i="14" s="1"/>
  <c r="H8" i="14" a="1"/>
  <c r="H8" i="14" s="1"/>
  <c r="H12" i="14" a="1"/>
  <c r="H12" i="14" s="1"/>
  <c r="E8" i="14" a="1"/>
  <c r="E8" i="14" s="1"/>
  <c r="H27" i="10"/>
  <c r="J27" i="10" s="1"/>
  <c r="L23" i="14"/>
  <c r="W7" i="1"/>
  <c r="W255" i="1"/>
  <c r="H11" i="14" a="1"/>
  <c r="H11" i="14" s="1"/>
  <c r="D9" i="16"/>
  <c r="E9" i="16" s="1"/>
  <c r="G9" i="16" s="1"/>
  <c r="E13" i="16"/>
  <c r="G13" i="16" s="1"/>
  <c r="H16" i="10"/>
  <c r="G16" i="10"/>
  <c r="H13" i="10"/>
  <c r="G13" i="10"/>
  <c r="H20" i="10"/>
  <c r="G20" i="10"/>
  <c r="H12" i="10"/>
  <c r="G12" i="10"/>
  <c r="F9" i="10"/>
  <c r="H9" i="10" s="1"/>
  <c r="J9" i="10" s="1"/>
  <c r="G14" i="10"/>
  <c r="H14" i="10"/>
  <c r="H15" i="10"/>
  <c r="G15" i="10"/>
  <c r="J22" i="10"/>
  <c r="K22" i="10"/>
  <c r="H25" i="10"/>
  <c r="G25" i="10"/>
  <c r="H24" i="10"/>
  <c r="G24" i="10"/>
  <c r="H18" i="10"/>
  <c r="G18" i="10"/>
  <c r="J21" i="10"/>
  <c r="K21" i="10"/>
  <c r="H28" i="10"/>
  <c r="K26" i="10"/>
  <c r="G22" i="10"/>
  <c r="I9" i="14" l="1"/>
  <c r="I8" i="14"/>
  <c r="F11" i="14"/>
  <c r="G57" i="14"/>
  <c r="E9" i="10"/>
  <c r="F10" i="14"/>
  <c r="K9" i="14"/>
  <c r="K23" i="10"/>
  <c r="I11" i="14"/>
  <c r="G14" i="14"/>
  <c r="K10" i="14"/>
  <c r="I12" i="14"/>
  <c r="D14" i="14"/>
  <c r="K12" i="14"/>
  <c r="K11" i="14"/>
  <c r="K8" i="14"/>
  <c r="L9" i="14"/>
  <c r="L10" i="14"/>
  <c r="L12" i="14"/>
  <c r="I10" i="14"/>
  <c r="L11" i="14"/>
  <c r="L8" i="14"/>
  <c r="E14" i="14"/>
  <c r="K11" i="10"/>
  <c r="J11" i="10"/>
  <c r="J17" i="10"/>
  <c r="K17" i="10"/>
  <c r="F8" i="14"/>
  <c r="L32" i="14"/>
  <c r="F9" i="14"/>
  <c r="M9" i="14" s="1"/>
  <c r="F12" i="14"/>
  <c r="H14" i="14"/>
  <c r="K27" i="10"/>
  <c r="K20" i="10"/>
  <c r="J20" i="10"/>
  <c r="J15" i="10"/>
  <c r="K15" i="10"/>
  <c r="J14" i="10"/>
  <c r="K14" i="10"/>
  <c r="J13" i="10"/>
  <c r="K13" i="10"/>
  <c r="J24" i="10"/>
  <c r="K24" i="10"/>
  <c r="K16" i="10"/>
  <c r="J16" i="10"/>
  <c r="K18" i="10"/>
  <c r="J18" i="10"/>
  <c r="J28" i="10"/>
  <c r="K28" i="10"/>
  <c r="J25" i="10"/>
  <c r="K25" i="10"/>
  <c r="G9" i="10"/>
  <c r="J12" i="10"/>
  <c r="K12" i="10"/>
  <c r="M10" i="14" l="1"/>
  <c r="M11" i="14"/>
  <c r="K14" i="14"/>
  <c r="M12" i="14"/>
  <c r="I14" i="14"/>
  <c r="L14" i="14"/>
  <c r="M8" i="14"/>
  <c r="F14" i="14"/>
  <c r="M14" i="1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<sst xmlns="http://schemas.openxmlformats.org/spreadsheetml/2006/main" count="14645" uniqueCount="3480">
  <si>
    <t>Date</t>
  </si>
  <si>
    <t>Reporting Month</t>
  </si>
  <si>
    <t>Company Code : 0002, Cost Center : 68427709 Ops &amp; Compl</t>
  </si>
  <si>
    <t>AOP</t>
  </si>
  <si>
    <t>Var AOP</t>
  </si>
  <si>
    <t>AOP YtD</t>
  </si>
  <si>
    <t>Actuals YtD</t>
  </si>
  <si>
    <t>Diff</t>
  </si>
  <si>
    <t>Difference</t>
  </si>
  <si>
    <t>Explanation</t>
  </si>
  <si>
    <t>GL</t>
  </si>
  <si>
    <t>Description</t>
  </si>
  <si>
    <t>Total</t>
  </si>
  <si>
    <t>Only when difference &gt; 10%</t>
  </si>
  <si>
    <t>485073003</t>
  </si>
  <si>
    <t>PC support</t>
  </si>
  <si>
    <t>Desktop Management</t>
  </si>
  <si>
    <t>485073004</t>
  </si>
  <si>
    <t>Messaging</t>
  </si>
  <si>
    <t>485073006</t>
  </si>
  <si>
    <t>Software li MS Infr</t>
  </si>
  <si>
    <t>485073010</t>
  </si>
  <si>
    <t xml:space="preserve">Network Services </t>
  </si>
  <si>
    <t>Network Management</t>
  </si>
  <si>
    <t>485073011</t>
  </si>
  <si>
    <t>Network Services Other</t>
  </si>
  <si>
    <t>485073020</t>
  </si>
  <si>
    <t>Voice - Fixed</t>
  </si>
  <si>
    <t>Communication</t>
  </si>
  <si>
    <t>485073030</t>
  </si>
  <si>
    <t>SAP Operations</t>
  </si>
  <si>
    <t>Operations</t>
  </si>
  <si>
    <t>485073031</t>
  </si>
  <si>
    <t>Storage</t>
  </si>
  <si>
    <t>485073032</t>
  </si>
  <si>
    <t>Servers</t>
  </si>
  <si>
    <t>485073033</t>
  </si>
  <si>
    <t>Other Oper. Infra</t>
  </si>
  <si>
    <t>485073034</t>
  </si>
  <si>
    <t>IT-Security</t>
  </si>
  <si>
    <t>Security</t>
  </si>
  <si>
    <t>485074001</t>
  </si>
  <si>
    <t>Application Support</t>
  </si>
  <si>
    <t>485074002</t>
  </si>
  <si>
    <t>HP Application Support</t>
  </si>
  <si>
    <t>485040000</t>
  </si>
  <si>
    <t>Other costs hardware and software</t>
  </si>
  <si>
    <t>483040000</t>
  </si>
  <si>
    <t>Consultancies &amp; fees other</t>
  </si>
  <si>
    <t>485074003</t>
  </si>
  <si>
    <t>Other Sup Appl Sup</t>
  </si>
  <si>
    <t>485074004</t>
  </si>
  <si>
    <t>Software li SAP appl</t>
  </si>
  <si>
    <t>485074005</t>
  </si>
  <si>
    <t>Software li oth appl</t>
  </si>
  <si>
    <t>General remarks</t>
  </si>
  <si>
    <t>Network Services BT</t>
  </si>
  <si>
    <t>Accenture Appl. supp</t>
  </si>
  <si>
    <t>No applicable data found</t>
  </si>
  <si>
    <t>Subject</t>
  </si>
  <si>
    <t>Change Driver</t>
  </si>
  <si>
    <t>Project code</t>
  </si>
  <si>
    <t>Cost Center</t>
  </si>
  <si>
    <t>Additional Costs</t>
  </si>
  <si>
    <t>Status</t>
  </si>
  <si>
    <t>Periodicity</t>
  </si>
  <si>
    <t>Type</t>
  </si>
  <si>
    <t>AOP Year</t>
  </si>
  <si>
    <t>Contact</t>
  </si>
  <si>
    <t>Remarks</t>
  </si>
  <si>
    <t>Winshuttle</t>
  </si>
  <si>
    <t>Ezy Replacement</t>
  </si>
  <si>
    <t>Processed</t>
  </si>
  <si>
    <t>Annual</t>
  </si>
  <si>
    <t>Maintenance</t>
  </si>
  <si>
    <t>Robin Diepeveen</t>
  </si>
  <si>
    <t>20% on net license base (58K), after 3 years base will become gross</t>
  </si>
  <si>
    <t>Runbook</t>
  </si>
  <si>
    <t>17% on software base (190K)</t>
  </si>
  <si>
    <t>VIM</t>
  </si>
  <si>
    <t>Upgrade VIM</t>
  </si>
  <si>
    <t>Hardware/NW</t>
  </si>
  <si>
    <t>Ognyan Romanov</t>
  </si>
  <si>
    <t>Additional Hardware Cost</t>
  </si>
  <si>
    <t>Simba</t>
  </si>
  <si>
    <t>Connector SDS / SF</t>
  </si>
  <si>
    <t>Kauri</t>
  </si>
  <si>
    <t>license</t>
  </si>
  <si>
    <t>Stefan Beekman</t>
  </si>
  <si>
    <t>1 connector is 2000$ subscription per environment</t>
  </si>
  <si>
    <t>Zylab</t>
  </si>
  <si>
    <t>Transition to support</t>
  </si>
  <si>
    <t>Support</t>
  </si>
  <si>
    <t>Wilco Westerman</t>
  </si>
  <si>
    <t>Engagor</t>
  </si>
  <si>
    <t>Ezy Solutions EoL</t>
  </si>
  <si>
    <t>Ezy End of Life, no more license cost expected</t>
  </si>
  <si>
    <t>SharePoint</t>
  </si>
  <si>
    <t>Outsourcing of Intranet Team</t>
  </si>
  <si>
    <t>SDS Support, rebaselining</t>
  </si>
  <si>
    <t>Wave 2 go live</t>
  </si>
  <si>
    <t>Delta CCN5 vs CCN6</t>
  </si>
  <si>
    <t>J2Global Efax Tool</t>
  </si>
  <si>
    <t>Dropped in 2017</t>
  </si>
  <si>
    <t>Theo van Vliet</t>
  </si>
  <si>
    <t>Was taken out of global budget but did not land locally</t>
  </si>
  <si>
    <t>3 new BAS resources</t>
  </si>
  <si>
    <t>Bas extension</t>
  </si>
  <si>
    <t>3 new BAS resources added</t>
  </si>
  <si>
    <t>AMS Bonus</t>
  </si>
  <si>
    <t>Contractual Agreement</t>
  </si>
  <si>
    <t>Needs to be accrued annually in case AMS Gets a bonus</t>
  </si>
  <si>
    <t>Keops Waterfall</t>
  </si>
  <si>
    <t>Roll out to other factories</t>
  </si>
  <si>
    <t>Joost Speek</t>
  </si>
  <si>
    <t>Additional Countries being added in 2017</t>
  </si>
  <si>
    <t>Blackline</t>
  </si>
  <si>
    <t>W3 Rollout Brazil &amp; Norway</t>
  </si>
  <si>
    <t>Sharon Dijksma</t>
  </si>
  <si>
    <t>from 150K to 160K</t>
  </si>
  <si>
    <t>Packflow</t>
  </si>
  <si>
    <t>New module implemented</t>
  </si>
  <si>
    <t>Ravi Venkatamaran</t>
  </si>
  <si>
    <t>Seems there is an overestimation of 70K in AOP compared to ongoing cost</t>
  </si>
  <si>
    <t>QlikView</t>
  </si>
  <si>
    <t>Project 1 added scope</t>
  </si>
  <si>
    <t>Xavier Marrisal</t>
  </si>
  <si>
    <t>Higher cost due to additional licenses acquired through project 1</t>
  </si>
  <si>
    <t>SAP licenses Purchase</t>
  </si>
  <si>
    <t xml:space="preserve">licenses Appendix 16 </t>
  </si>
  <si>
    <t>Rohan Uppal</t>
  </si>
  <si>
    <t>Based on 1.3Mio license purchase Kauri</t>
  </si>
  <si>
    <t>Lease Accounting</t>
  </si>
  <si>
    <t>LAE extension</t>
  </si>
  <si>
    <t>Antonio Branco</t>
  </si>
  <si>
    <t>Machine renewal (175K), Maintenance (195K), SAP development (55K), AMS Support (70K)</t>
  </si>
  <si>
    <t>Excise Duty</t>
  </si>
  <si>
    <t>Support Contract</t>
  </si>
  <si>
    <t>James Cronk</t>
  </si>
  <si>
    <t>Salesforce</t>
  </si>
  <si>
    <t>licenses</t>
  </si>
  <si>
    <t>Subscription as of November 2018</t>
  </si>
  <si>
    <t>Apttus</t>
  </si>
  <si>
    <t>Click</t>
  </si>
  <si>
    <t>XTEL Support</t>
  </si>
  <si>
    <t>Hugo v/d Heijden</t>
  </si>
  <si>
    <t>L2/L3 Support coverage</t>
  </si>
  <si>
    <t>XTEL Maintenance</t>
  </si>
  <si>
    <t>Maintenance fee XTEL</t>
  </si>
  <si>
    <t xml:space="preserve">Total license base = 980K * 18% </t>
  </si>
  <si>
    <t>SharePoint Support</t>
  </si>
  <si>
    <t>SharePoint Support Outsourcing</t>
  </si>
  <si>
    <t>Remco Gerrets</t>
  </si>
  <si>
    <t>fxtel</t>
  </si>
  <si>
    <t>Increase in licenses</t>
  </si>
  <si>
    <t>license + Maintenance</t>
  </si>
  <si>
    <t>Marco Groenewegen</t>
  </si>
  <si>
    <t>140 users * 925 + 18% maintenance fee is 200K vs 170K 2017</t>
  </si>
  <si>
    <t>SF Marketing Cloud</t>
  </si>
  <si>
    <t>Services</t>
  </si>
  <si>
    <t>Subscription</t>
  </si>
  <si>
    <t>DTC Project recurring cost</t>
  </si>
  <si>
    <t>SF licenses Coffeecare</t>
  </si>
  <si>
    <t>License</t>
  </si>
  <si>
    <t>80 SF licenses for Coffeecare</t>
  </si>
  <si>
    <t>Sopheon</t>
  </si>
  <si>
    <t>Additional licenses</t>
  </si>
  <si>
    <t>RFGen Mobile Scanning</t>
  </si>
  <si>
    <t>Consumption</t>
  </si>
  <si>
    <t>3 man-days per month for covering changes to RFGen</t>
  </si>
  <si>
    <t>iRely</t>
  </si>
  <si>
    <t>Sheryl dmello</t>
  </si>
  <si>
    <t>(522900 = implementation + licenses = 60 * 5444 euro + 15 * 3444 ) * 22% (first year)</t>
  </si>
  <si>
    <t>Hardware</t>
  </si>
  <si>
    <t>Infra</t>
  </si>
  <si>
    <t>SQL DB = 5300, 2 SQL Server CPS = 2300, I21 landscape (D,T,P) = 6000</t>
  </si>
  <si>
    <t>PLM Oracle licenses</t>
  </si>
  <si>
    <t>Covers for additional acquisition of 150 licenses which were missed in AOP 2017</t>
  </si>
  <si>
    <t>Tas Support to PDC</t>
  </si>
  <si>
    <t>Support transition</t>
  </si>
  <si>
    <t>Positive Delta from moving support from Barcelona (100K) to PDC (60K)</t>
  </si>
  <si>
    <t>Authorization Support to PDC</t>
  </si>
  <si>
    <t>Support outsourcing</t>
  </si>
  <si>
    <t>Increase in costs for managing additional Authorization requests</t>
  </si>
  <si>
    <t>EyeQuestion</t>
  </si>
  <si>
    <t>license Cost</t>
  </si>
  <si>
    <t>Stefan Jochems</t>
  </si>
  <si>
    <t>This was missed during AOP 2017 as it was still part of Sequoia</t>
  </si>
  <si>
    <t>Webservices.nl</t>
  </si>
  <si>
    <t>Sjors van Rijswijk</t>
  </si>
  <si>
    <t>replacing Trillium resulting in 30K savings</t>
  </si>
  <si>
    <t>Generix (influ)</t>
  </si>
  <si>
    <t>Running costs</t>
  </si>
  <si>
    <t>Xavier Marisal</t>
  </si>
  <si>
    <t>Additional running costs moving from local to central</t>
  </si>
  <si>
    <t>Service Now</t>
  </si>
  <si>
    <t>License Cost</t>
  </si>
  <si>
    <t>Michal Tepczynski</t>
  </si>
  <si>
    <t>Additional Service Now Licenses due to EUC project</t>
  </si>
  <si>
    <t>Vatbox</t>
  </si>
  <si>
    <t>Change of Contract Sovos</t>
  </si>
  <si>
    <t>Irene Duward</t>
  </si>
  <si>
    <t xml:space="preserve">Change of contract with Sovos where IT component is separately charged </t>
  </si>
  <si>
    <t>Software Asset Mgt (SNOW)</t>
  </si>
  <si>
    <t>Managed Service + Maint.</t>
  </si>
  <si>
    <t>Adriana Rubio</t>
  </si>
  <si>
    <t>Hardware / hosting</t>
  </si>
  <si>
    <t>Hosting</t>
  </si>
  <si>
    <t>Knowledge Mgt Associates</t>
  </si>
  <si>
    <t>Mekko Graphics</t>
  </si>
  <si>
    <t>3 Years</t>
  </si>
  <si>
    <t>Jaap Schouten</t>
  </si>
  <si>
    <t># extension due in 2018, was formerly in local budget</t>
  </si>
  <si>
    <t>Decartes</t>
  </si>
  <si>
    <t>EDI Messages, VAN</t>
  </si>
  <si>
    <t>Will move to local NL AOP</t>
  </si>
  <si>
    <t>Hana Cloud Platform</t>
  </si>
  <si>
    <t>C4C hosting</t>
  </si>
  <si>
    <t>Mylene Schuyt</t>
  </si>
  <si>
    <t>Surprise leftover from Sequoia</t>
  </si>
  <si>
    <t>GEMS</t>
  </si>
  <si>
    <t>Annual License</t>
  </si>
  <si>
    <t>Toni Tuells</t>
  </si>
  <si>
    <t>GEMS will be decommissioned, Effacts will be introduced</t>
  </si>
  <si>
    <t>Effacts</t>
  </si>
  <si>
    <t>Replacement of GEMS</t>
  </si>
  <si>
    <t>Editel Austria</t>
  </si>
  <si>
    <t>Takeout of 2017 AOP but still costs are central</t>
  </si>
  <si>
    <t>IQN</t>
  </si>
  <si>
    <t>Contingent Labor</t>
  </si>
  <si>
    <t>Contingent Labor project never came of the ground</t>
  </si>
  <si>
    <t>Prepaid locally in 2014, now coming to global</t>
  </si>
  <si>
    <t>Giarte</t>
  </si>
  <si>
    <t>Managed Service + Platform</t>
  </si>
  <si>
    <t>Bas Schroder</t>
  </si>
  <si>
    <t>9 initial + 50K coming from roll out</t>
  </si>
  <si>
    <t>Atos</t>
  </si>
  <si>
    <t>SAP SSR &amp; NSSR</t>
  </si>
  <si>
    <t>Nizaar Thierens</t>
  </si>
  <si>
    <t>New wintel machines supporting SAP solutions BO, GRC</t>
  </si>
  <si>
    <t>GITHub</t>
  </si>
  <si>
    <t>Basis support SF</t>
  </si>
  <si>
    <t>Copado</t>
  </si>
  <si>
    <t>Jira</t>
  </si>
  <si>
    <t>Ariba</t>
  </si>
  <si>
    <t>Metalogics</t>
  </si>
  <si>
    <t>Discontinued per dec 2016</t>
  </si>
  <si>
    <t>Macaw</t>
  </si>
  <si>
    <t>360 support</t>
  </si>
  <si>
    <t>Ivan Hrdina</t>
  </si>
  <si>
    <t>Moved to AMS</t>
  </si>
  <si>
    <t>Point X</t>
  </si>
  <si>
    <t>Annual maintenance</t>
  </si>
  <si>
    <t>Moved from local to central (again)</t>
  </si>
  <si>
    <t>Sonar Qube VM</t>
  </si>
  <si>
    <t>VM Costs</t>
  </si>
  <si>
    <t>Sanne Reus</t>
  </si>
  <si>
    <t>VM supporting Sonar Qube</t>
  </si>
  <si>
    <t>AutoCAD</t>
  </si>
  <si>
    <t>Additional Design Suite licenses</t>
  </si>
  <si>
    <t>Intershop</t>
  </si>
  <si>
    <t>Cancelled</t>
  </si>
  <si>
    <t>Peter Vogel</t>
  </si>
  <si>
    <t>Moved from Global Sales to Central AOP as these are (significant) IT Cost</t>
  </si>
  <si>
    <t>Bazaar Voice</t>
  </si>
  <si>
    <t>ChannelSight</t>
  </si>
  <si>
    <t>Adobe</t>
  </si>
  <si>
    <t>Pro licenses</t>
  </si>
  <si>
    <t>Jeroen Wijbenga</t>
  </si>
  <si>
    <t>C4C Roll out</t>
  </si>
  <si>
    <t>Martin Doens</t>
  </si>
  <si>
    <t>EPI finds</t>
  </si>
  <si>
    <t>licenses for NL, BE and DK</t>
  </si>
  <si>
    <t>Extended scope Ukrain Hub</t>
  </si>
  <si>
    <t>Jeroen Aalten</t>
  </si>
  <si>
    <t>Poll Everywhere</t>
  </si>
  <si>
    <t>Kalypso</t>
  </si>
  <si>
    <t>Additional Tickets</t>
  </si>
  <si>
    <t>More Ticket Volume used</t>
  </si>
  <si>
    <t>Storage Costs</t>
  </si>
  <si>
    <t>DTC</t>
  </si>
  <si>
    <t>Review again after Consumer DB migration project!</t>
  </si>
  <si>
    <t>Nintex</t>
  </si>
  <si>
    <t>Missed Costs Y3</t>
  </si>
  <si>
    <t>Data Grinder App</t>
  </si>
  <si>
    <t>Support costs Just BI</t>
  </si>
  <si>
    <t>Agnieszka Kubiak</t>
  </si>
  <si>
    <t>Just BI support for board room app Exco</t>
  </si>
  <si>
    <t>Sap cloud Subscription</t>
  </si>
  <si>
    <t>Annual fee</t>
  </si>
  <si>
    <t>Analytics Hub</t>
  </si>
  <si>
    <t>Sap Audit find / appendix 17</t>
  </si>
  <si>
    <t>Maintenance fee 22%</t>
  </si>
  <si>
    <t>22% on 732K audit find SAP 2017</t>
  </si>
  <si>
    <t>SAFT</t>
  </si>
  <si>
    <t>Maintenance fee</t>
  </si>
  <si>
    <t>Paulo Martins</t>
  </si>
  <si>
    <t>Navigator</t>
  </si>
  <si>
    <t>AOP was in euro but actual amounts are in GBP….</t>
  </si>
  <si>
    <t>iPaaS DellBoomi</t>
  </si>
  <si>
    <t>license fee</t>
  </si>
  <si>
    <t>Kumar Gaurav</t>
  </si>
  <si>
    <t>Y2 - €143K, Y3 - €202K &amp; Y4 – 261K</t>
  </si>
  <si>
    <t>Eenvoud Media</t>
  </si>
  <si>
    <t>Supply Chain Apps Hosting fee</t>
  </si>
  <si>
    <t>20 Certificates, 20 jira / confluence. 70vps, 160 software, 225 SLA</t>
  </si>
  <si>
    <t>RFGen extension banburry</t>
  </si>
  <si>
    <t xml:space="preserve">Additional scanners </t>
  </si>
  <si>
    <t>New Scanners</t>
  </si>
  <si>
    <t>Website Legal compliance</t>
  </si>
  <si>
    <t>Additional Websites AMS</t>
  </si>
  <si>
    <t>Accenture AMS</t>
  </si>
  <si>
    <t>8 additional websites being migrated to AMS</t>
  </si>
  <si>
    <t>Lease Accounting Usage</t>
  </si>
  <si>
    <t>Usage fee for registered assets</t>
  </si>
  <si>
    <t>1,98 per asset per year * 112000 Machines (NL,BE,DE,FR,DK) Delta = 225 - 52(AOP 2018)</t>
  </si>
  <si>
    <t>Willem Dijkhuizen</t>
  </si>
  <si>
    <t>Covering for additional scope on blackline (200K vs 160K in 2018)</t>
  </si>
  <si>
    <t>Support Contract IPaaS</t>
  </si>
  <si>
    <t>AMS Support (incidents, changes)</t>
  </si>
  <si>
    <t>Gaurav Kumar</t>
  </si>
  <si>
    <t>AMS support Full 1 FTE (40K)+ BAS(125K) + once off T2S cost (35K), to be validated</t>
  </si>
  <si>
    <t>Support Contract XTEL</t>
  </si>
  <si>
    <t>Based on 230 days X 950 euro per day for Kantar AMS, to be validated</t>
  </si>
  <si>
    <t>Maintenance Xtel</t>
  </si>
  <si>
    <t>Correction Licenses</t>
  </si>
  <si>
    <t>Correction on Maintenance base Xtel, splitting maintenance in Support</t>
  </si>
  <si>
    <t>BAS XTEL</t>
  </si>
  <si>
    <t>Dedicated BAS person assuming Accenture rate of 125K annual Cost</t>
  </si>
  <si>
    <t>Infra XTEL</t>
  </si>
  <si>
    <t>Increase capacity</t>
  </si>
  <si>
    <t>Farhan Malik</t>
  </si>
  <si>
    <t>Included in Atos infra costs</t>
  </si>
  <si>
    <t>CIS SecureSuite</t>
  </si>
  <si>
    <t>Membership fee</t>
  </si>
  <si>
    <t>Regien Schagen</t>
  </si>
  <si>
    <t>Visual Analytics</t>
  </si>
  <si>
    <t>BI for Caloc</t>
  </si>
  <si>
    <t>Barbara Kiendl</t>
  </si>
  <si>
    <t xml:space="preserve">Lumira </t>
  </si>
  <si>
    <t>Maintenance on additional licenses</t>
  </si>
  <si>
    <t>22% on 55 additional licenses</t>
  </si>
  <si>
    <t>Eplan</t>
  </si>
  <si>
    <t>Annual Fee</t>
  </si>
  <si>
    <t>Belongs to AutoCAD which is central IT already</t>
  </si>
  <si>
    <t>Restricted Party Screening</t>
  </si>
  <si>
    <t>Inflation correction</t>
  </si>
  <si>
    <t>Blue Prism</t>
  </si>
  <si>
    <t>Running costs for 2 Blue Prism licenses</t>
  </si>
  <si>
    <t>Magento</t>
  </si>
  <si>
    <t>Vaimo hosting, Magento Order Management and Mageneto e-com licenses</t>
  </si>
  <si>
    <t>SAP Active Embedded</t>
  </si>
  <si>
    <t>Seems AOP for Active embedded was too low (140 while it is 197)</t>
  </si>
  <si>
    <t>Uptrends</t>
  </si>
  <si>
    <t>Wesley Geurts</t>
  </si>
  <si>
    <t>Seems invoices are a bit higher than budgeted</t>
  </si>
  <si>
    <t>Winshuttle Support</t>
  </si>
  <si>
    <t xml:space="preserve">Support / Strippenkaart </t>
  </si>
  <si>
    <t>This is to cover for the occasional support needed from Ctac 30 hrs * 130 euro</t>
  </si>
  <si>
    <t>Opentext</t>
  </si>
  <si>
    <t>We only have license cost covered however we receive seperate invoice for maintenance..</t>
  </si>
  <si>
    <t>Infor</t>
  </si>
  <si>
    <t>S21 decommissioning</t>
  </si>
  <si>
    <t>We will not be able to decommision fully in 2019 so keeping the cost in</t>
  </si>
  <si>
    <t>Taleo</t>
  </si>
  <si>
    <t>License &amp; support decommissioning</t>
  </si>
  <si>
    <t>Rene Borst</t>
  </si>
  <si>
    <t>Replaced by Smart Recruiters</t>
  </si>
  <si>
    <t>Smartrecruiters</t>
  </si>
  <si>
    <t>Annual Service Fee + support</t>
  </si>
  <si>
    <t>Toni Peric</t>
  </si>
  <si>
    <t>Replacing Taleo, check if this budget goes to business</t>
  </si>
  <si>
    <t>Board Vantage</t>
  </si>
  <si>
    <t>Budget Move</t>
  </si>
  <si>
    <t>Umit Unver</t>
  </si>
  <si>
    <t>Budget is with Exco Assistant</t>
  </si>
  <si>
    <t>XL Reporting</t>
  </si>
  <si>
    <t>Cancellation</t>
  </si>
  <si>
    <t>We did not see an invoice for last 3 years, probably local or no longer in use</t>
  </si>
  <si>
    <t>Iot Application &amp; Landscape support</t>
  </si>
  <si>
    <t>Connected coffee machine support</t>
  </si>
  <si>
    <t>150K reserved for IOT support, hosting costs covered in new MS contract - project will support in '19</t>
  </si>
  <si>
    <t>Bynder</t>
  </si>
  <si>
    <t>Decommisioned in favor of Pulse</t>
  </si>
  <si>
    <t>Bynder contract will be stopped in october 2018, Pulse will be used instead</t>
  </si>
  <si>
    <t>Additional Support Digital AMS</t>
  </si>
  <si>
    <t>1 Additonal resource Digital Team</t>
  </si>
  <si>
    <t xml:space="preserve">Due to increase in e-commerce activites + additonal websites under management </t>
  </si>
  <si>
    <t>Oracle Database licenses</t>
  </si>
  <si>
    <t>Cancellation service contracts</t>
  </si>
  <si>
    <t>Cancellation service contracts 5510557 (290K) and 6716064 (157K), Take out Oracle Saving</t>
  </si>
  <si>
    <t>PointX :    24 X 7 Support</t>
  </si>
  <si>
    <t>Murat Celic</t>
  </si>
  <si>
    <t>Improving support on point x which is getting larger footprint and is becoming more critical</t>
  </si>
  <si>
    <t>Licenses</t>
  </si>
  <si>
    <t>Second attempt to move all Point X cost to central</t>
  </si>
  <si>
    <t>SAP</t>
  </si>
  <si>
    <t>Maintenance Fee SAP AIF, LAE Build</t>
  </si>
  <si>
    <t>22% over Custombuild effort LAE / AIF (511K) = 112K vs 50K in 2018</t>
  </si>
  <si>
    <t>Data Protector Microfocus</t>
  </si>
  <si>
    <t>Annual maintenance fee</t>
  </si>
  <si>
    <t>Maintenance fee over software base (106K)</t>
  </si>
  <si>
    <t>Licenses Delta 2019</t>
  </si>
  <si>
    <t>Delta: 1528K - 132,5K (AOP 2018)</t>
  </si>
  <si>
    <t>Henk vd Gugten</t>
  </si>
  <si>
    <t>Delta: 1152K-210K (AOP 2018)</t>
  </si>
  <si>
    <t>Delta: 375K - 62,5K (AOP 2018)</t>
  </si>
  <si>
    <t>Apttus AMS</t>
  </si>
  <si>
    <t>Support Contract Apttuss</t>
  </si>
  <si>
    <t>Remainder AMS Apttus --&gt; Will be cancelled</t>
  </si>
  <si>
    <t>Professional Devops</t>
  </si>
  <si>
    <t>Application support &amp; development</t>
  </si>
  <si>
    <t>ITMT</t>
  </si>
  <si>
    <t>Devops Salesforce &amp; Apttus</t>
  </si>
  <si>
    <t>Click Support</t>
  </si>
  <si>
    <t>Full Year AMS 24X7 Support for Click from Lisbon + Transition Cost</t>
  </si>
  <si>
    <t>DTC AMS Support</t>
  </si>
  <si>
    <t>24 X 7 support, Blokker Extension</t>
  </si>
  <si>
    <t>Ton Hofstede</t>
  </si>
  <si>
    <t>Additional Manpower</t>
  </si>
  <si>
    <t>ATOS</t>
  </si>
  <si>
    <t>Ton Hostede will be chargeble from 2018 / 2019</t>
  </si>
  <si>
    <t>Seeburger</t>
  </si>
  <si>
    <t>Additional edi messaging volume due to scope increases</t>
  </si>
  <si>
    <t>RFC Budget</t>
  </si>
  <si>
    <t>Additional scope due to kauri release retain &amp; proffesional</t>
  </si>
  <si>
    <t>Net AMS Contract Delta 2019</t>
  </si>
  <si>
    <t>Monitoring:-83K, Enh: +25K, Incidents:+65K, BAS:+15K</t>
  </si>
  <si>
    <t xml:space="preserve">Usage increase </t>
  </si>
  <si>
    <t>Additional licenses for Service now due to Epsylon and extended use</t>
  </si>
  <si>
    <t>HP ALM</t>
  </si>
  <si>
    <t>Full ownership Operations</t>
  </si>
  <si>
    <t>Assumption: 180 Euro Per user Per month; 100 concurrent users (vs 175 today)</t>
  </si>
  <si>
    <t>Storage Non-SAP + Store Simple</t>
  </si>
  <si>
    <t>Data growth</t>
  </si>
  <si>
    <t>Expected increase in Storage Cost ATOS</t>
  </si>
  <si>
    <t>Sap Operations</t>
  </si>
  <si>
    <t>Atos Running cost delta SAP DS</t>
  </si>
  <si>
    <t>Fiori: +32K CRM Decom: -56K Storage:+90K : Solman Java Split, Extra SiD:+30K. 4-Tier:120K</t>
  </si>
  <si>
    <t>Additional Licenses</t>
  </si>
  <si>
    <t>Inge Groen</t>
  </si>
  <si>
    <t>Overrun on 300 licenses, moving to 400 licenses</t>
  </si>
  <si>
    <t>S4 HANA Readiness</t>
  </si>
  <si>
    <t>Follow up actions</t>
  </si>
  <si>
    <t>Archiving, code clean up, code optimization</t>
  </si>
  <si>
    <t>S4 HANA Dryruns</t>
  </si>
  <si>
    <t>Hosting and effort</t>
  </si>
  <si>
    <t>Sandbox setup, hosting and migration trials</t>
  </si>
  <si>
    <t>S4 HANA Value</t>
  </si>
  <si>
    <t>Value Engenering</t>
  </si>
  <si>
    <t>Other</t>
  </si>
  <si>
    <t>Business case, future TCO, contract review</t>
  </si>
  <si>
    <t>Awareness standard e-training subscription</t>
  </si>
  <si>
    <t>Awareness Ambasador Program</t>
  </si>
  <si>
    <t>Full time hire for a year</t>
  </si>
  <si>
    <t>GRC Access Control KPMG</t>
  </si>
  <si>
    <t>KPMG</t>
  </si>
  <si>
    <t xml:space="preserve">Small saving </t>
  </si>
  <si>
    <t>Pentest SAP</t>
  </si>
  <si>
    <t>Split Pen Testing in SAP / Salesforce</t>
  </si>
  <si>
    <t>Symantec</t>
  </si>
  <si>
    <t>Original Amount covered 3 years in stead of 1 year</t>
  </si>
  <si>
    <t>Firewalls Runrate</t>
  </si>
  <si>
    <t>Firewalls Runrate BT</t>
  </si>
  <si>
    <t>Factory IT firewalls, part of BT contract. Cancelled as it is in factory RFP</t>
  </si>
  <si>
    <t>3rd Party Remote Access</t>
  </si>
  <si>
    <t>Cancelled as it was double with Ivan</t>
  </si>
  <si>
    <t>Factory Assessment gaps Follow up</t>
  </si>
  <si>
    <t>PM cost for one year, is this in Business AOP?</t>
  </si>
  <si>
    <t>Cylance Endpoint Protection</t>
  </si>
  <si>
    <t>Cylance + Accenture EUS</t>
  </si>
  <si>
    <t>Service Desk Onboarding</t>
  </si>
  <si>
    <t>Costs for onboarding applications / vendors</t>
  </si>
  <si>
    <t>Onboarding costs Kauri and critical Applications with IT Service Desk</t>
  </si>
  <si>
    <t xml:space="preserve">ClearDB </t>
  </si>
  <si>
    <t>Charging now separate from Azure</t>
  </si>
  <si>
    <t>assuming 3K monthly invoice. Cancelled Asuming we get rid of clearDB in 2019</t>
  </si>
  <si>
    <t>Cryptshare</t>
  </si>
  <si>
    <t>Potential Decommisioning</t>
  </si>
  <si>
    <t>26,3K licenses +0,6K support: Cancelled as cost are not in AOP 2018 so no delta</t>
  </si>
  <si>
    <t>Apptio</t>
  </si>
  <si>
    <t>Annual Runrate</t>
  </si>
  <si>
    <t>Ines Rodrigues</t>
  </si>
  <si>
    <t>New tool for ITFM</t>
  </si>
  <si>
    <t>Maintenance Visual Doc / Flow</t>
  </si>
  <si>
    <t>Has been decommisioned</t>
  </si>
  <si>
    <t>Decommisioned in Hungary and now Uk due to Salesforce implementation</t>
  </si>
  <si>
    <t>Keops Ukraine</t>
  </si>
  <si>
    <t>Budgetted locally</t>
  </si>
  <si>
    <t>Apple</t>
  </si>
  <si>
    <t>150 euro anually with no vendor</t>
  </si>
  <si>
    <t>There is no vendor and no invoice, taking this out from central AOP</t>
  </si>
  <si>
    <t>Saving due to 3 year contract</t>
  </si>
  <si>
    <t>we paid 48K for 3 years, this is 16K per year instead of 26K budgetted</t>
  </si>
  <si>
    <t>Potential increase dus to added products</t>
  </si>
  <si>
    <t>Moving photoshop etc to central budget</t>
  </si>
  <si>
    <t>EY VAT Tool</t>
  </si>
  <si>
    <t>Taking it out of operations AOP</t>
  </si>
  <si>
    <t>No business owner, no vendor, no cost since 2014. We take this out from AOP</t>
  </si>
  <si>
    <t>Predictive Analysis</t>
  </si>
  <si>
    <t>Additional component for native HANA</t>
  </si>
  <si>
    <t>Patrick Vet</t>
  </si>
  <si>
    <t xml:space="preserve">New licenses for SAP Predictive </t>
  </si>
  <si>
    <t>Business Objects</t>
  </si>
  <si>
    <t>Scope increase</t>
  </si>
  <si>
    <t>Addiotnal BO licenses for SDS</t>
  </si>
  <si>
    <t>HANA / BI Stabilization</t>
  </si>
  <si>
    <t>Extra (AMS) resources to stabilize Kauri Template</t>
  </si>
  <si>
    <t>Once Kauri (transactional) template stabilization is done BI will likely need additional manpower</t>
  </si>
  <si>
    <t>SF / Apttus Usage</t>
  </si>
  <si>
    <t>Extra buffer for under estimated volume drivers</t>
  </si>
  <si>
    <t>To account unexpected charges for storage, api calls, messages etc</t>
  </si>
  <si>
    <t>Workplace Support</t>
  </si>
  <si>
    <t>IT support for Workplace</t>
  </si>
  <si>
    <t>Milou Wesdijk</t>
  </si>
  <si>
    <t>MS Contract Renegotiation</t>
  </si>
  <si>
    <t>Check True Up 3 year line 2019</t>
  </si>
  <si>
    <t>Microsoft</t>
  </si>
  <si>
    <t>Moved to True up 1 year, 230K vs 357K</t>
  </si>
  <si>
    <t>Enterprise Support - Appendix 15</t>
  </si>
  <si>
    <t>Correction on AOP figure as it did not match actuals for unknown reason.</t>
  </si>
  <si>
    <t>Inflation yearly contract</t>
  </si>
  <si>
    <t>Inflation correction (160K --&gt; 165K)</t>
  </si>
  <si>
    <t>Sandboxes Salesforce</t>
  </si>
  <si>
    <t>Sanboxes will be aprt of total SF costs</t>
  </si>
  <si>
    <t>Sandboxes were listed seperately in AOP but will be covered in overall SF costs</t>
  </si>
  <si>
    <t>Global Infrastructure Services for Local Application Hosting Projects</t>
  </si>
  <si>
    <t>Other Operational Infrastructure</t>
  </si>
  <si>
    <t>New item to cover infra costs for ongoing projects ATOS: Cancelled</t>
  </si>
  <si>
    <t>New item to cover infra costs for ongoing projects Accenture</t>
  </si>
  <si>
    <t>Non-Standard Services (AS400 + HPUX)</t>
  </si>
  <si>
    <t>Global Network Services costs for Local Network Projects</t>
  </si>
  <si>
    <t>BT</t>
  </si>
  <si>
    <t>New BT Contract</t>
  </si>
  <si>
    <t>LAN</t>
  </si>
  <si>
    <t>WAN</t>
  </si>
  <si>
    <t>SD-WAN</t>
  </si>
  <si>
    <t>Supergroup, cafax</t>
  </si>
  <si>
    <t>Skype for Business</t>
  </si>
  <si>
    <t>Skype for Business Contact Center (Interactive Intelligence)</t>
  </si>
  <si>
    <t>Skype for Business Contact Center (Interactive Intelligence) SSR's &amp; NSSR's</t>
  </si>
  <si>
    <t>Support cost Skype</t>
  </si>
  <si>
    <t>Hightail Subscription</t>
  </si>
  <si>
    <t>Software licence costs Other</t>
  </si>
  <si>
    <t>Netwrix Subscription</t>
  </si>
  <si>
    <t>O365 Security</t>
  </si>
  <si>
    <t>Microsoft Enterprise Services</t>
  </si>
  <si>
    <t>Software licence costs Microsoft (Infra)</t>
  </si>
  <si>
    <t>Enterprises services replaces premier support line going from 105K to 115K</t>
  </si>
  <si>
    <t>Microsoft Azure Server and Cloud Enrollment</t>
  </si>
  <si>
    <t>New contract Microsoft</t>
  </si>
  <si>
    <t>Microsoft Enterprise Agreement Subscription</t>
  </si>
  <si>
    <t>Microsoft Hybrid Server and Cloud Enrollment</t>
  </si>
  <si>
    <t>Microsoft Azure</t>
  </si>
  <si>
    <t>Canceling old Microsoft Items sources through Lage Landen Vendor Lease</t>
  </si>
  <si>
    <t>Microsoft Enterprise Agreement</t>
  </si>
  <si>
    <t>Lage Landen</t>
  </si>
  <si>
    <t>Microsoft Premier Support</t>
  </si>
  <si>
    <t>Selenium</t>
  </si>
  <si>
    <t>Test Automation Software</t>
  </si>
  <si>
    <t>New solution for test automation Salesforce platform</t>
  </si>
  <si>
    <t>Adobe E-Sign</t>
  </si>
  <si>
    <t>License cost Adobe E-Sign</t>
  </si>
  <si>
    <t>Secure Access Servers (Office Network &gt; CCN)</t>
  </si>
  <si>
    <t>Accenture</t>
  </si>
  <si>
    <t>Signed Contracts incl. Security CER</t>
  </si>
  <si>
    <t>Third Party VPN Access</t>
  </si>
  <si>
    <t>EPI Server License cost</t>
  </si>
  <si>
    <t>Licence split epifind</t>
  </si>
  <si>
    <t>Technical split epi server and epi find licenses</t>
  </si>
  <si>
    <t>EPI find licenses 2018 + 2019 impact</t>
  </si>
  <si>
    <t>Additional License</t>
  </si>
  <si>
    <t>30K transfer episerver -14K NL/BE/DK + additional scope 27.280 euro</t>
  </si>
  <si>
    <t>Workplace Licenses</t>
  </si>
  <si>
    <t>Workplace by Facebook</t>
  </si>
  <si>
    <t>Facebook</t>
  </si>
  <si>
    <t>Professional AMS (Service Cloud etc)</t>
  </si>
  <si>
    <t>BI Native HANA Support</t>
  </si>
  <si>
    <t>Route Sales App</t>
  </si>
  <si>
    <t>SAP RAR/LAE/AIF</t>
  </si>
  <si>
    <t>Star LIMS</t>
  </si>
  <si>
    <t>Replacement of Nautilus LIMS</t>
  </si>
  <si>
    <t xml:space="preserve">Sender Domain Management </t>
  </si>
  <si>
    <t>Additional SF module for quality checks on email campaigns</t>
  </si>
  <si>
    <t>Additonal Salses Force and Apttus License Impact</t>
  </si>
  <si>
    <t>Additional licenses needed after kauri counts</t>
  </si>
  <si>
    <t>Crunchr</t>
  </si>
  <si>
    <t>New Analytics tool HR</t>
  </si>
  <si>
    <t>110K Licenses and 40K Support</t>
  </si>
  <si>
    <t>OrgPublisher license cost</t>
  </si>
  <si>
    <t>Decommisioned in favor of Crunchr</t>
  </si>
  <si>
    <t>Decommisioned, licenses cost go through Accenture</t>
  </si>
  <si>
    <t>ImageResizer V4 Elite License</t>
  </si>
  <si>
    <t>Decommisioned since no known contract</t>
  </si>
  <si>
    <t>No business owner, no vendor, no cost since 2 years. We take this out from AOP</t>
  </si>
  <si>
    <t>Salesforce additional runrate</t>
  </si>
  <si>
    <t>Brewer registration project</t>
  </si>
  <si>
    <t>Additional run rate salesforce costs, rolled up in total SF costs 2019</t>
  </si>
  <si>
    <t>Identity &amp; Access mgt tool Savyint</t>
  </si>
  <si>
    <t>New tool implementation for IDM</t>
  </si>
  <si>
    <t>Security - Factories</t>
  </si>
  <si>
    <t>Factory Firewalls</t>
  </si>
  <si>
    <t>Split Factory Firewalls out per request MW for charging direct to MU's</t>
  </si>
  <si>
    <t>S4/Hana + SAP Support</t>
  </si>
  <si>
    <t>AOP discussions</t>
  </si>
  <si>
    <t>Mark Wormgoor</t>
  </si>
  <si>
    <t>Removed S/4 Hana (€270k) - added SAP Lifecycle Management costs (€200k)</t>
  </si>
  <si>
    <t>Reduced to 50 concurrent users - Super Group / Kauri to pay for their own ALM licenses</t>
  </si>
  <si>
    <t>Additional Roll outs</t>
  </si>
  <si>
    <t>Wave 3 impact Engagor rollout</t>
  </si>
  <si>
    <t>Monthly</t>
  </si>
  <si>
    <t>Changed Aure charging to mothly actuals vs. evenly phased contract (contracted amount E 1.934 M)</t>
  </si>
  <si>
    <t>Professional Support</t>
  </si>
  <si>
    <t>WSSS</t>
  </si>
  <si>
    <t>Included charge of €2m WSSS to Professional</t>
  </si>
  <si>
    <t>Video Conferencing</t>
  </si>
  <si>
    <t>Deployment of Kinley video conferencing</t>
  </si>
  <si>
    <t>Robbert van Straaten</t>
  </si>
  <si>
    <t>Further deployment of video conferencing</t>
  </si>
  <si>
    <t>HP Server Lease</t>
  </si>
  <si>
    <t>Reservation 2018 HP</t>
  </si>
  <si>
    <t>Accrual for Server lease removed</t>
  </si>
  <si>
    <t>Professional DevOps - WSSS</t>
  </si>
  <si>
    <t>Supposed to be WSSS</t>
  </si>
  <si>
    <t>Telecoms Expense Management</t>
  </si>
  <si>
    <t>Future opportunity</t>
  </si>
  <si>
    <t>Future opportunity to reduce telecoms cost</t>
  </si>
  <si>
    <t>Cross Browser Testing Tool</t>
  </si>
  <si>
    <t>BrowserStack Solution</t>
  </si>
  <si>
    <t>BrowserStack</t>
  </si>
  <si>
    <t>Acquisition of new tooling to support AMS and Agile office in Cross Browser testing for website changes</t>
  </si>
  <si>
    <t>e-dialog</t>
  </si>
  <si>
    <t>Zeta interactive</t>
  </si>
  <si>
    <t>Bas Vredenburg</t>
  </si>
  <si>
    <t>Contract terminated due to implementation of magento</t>
  </si>
  <si>
    <t>NiceLabel</t>
  </si>
  <si>
    <t>New license Model based on printers</t>
  </si>
  <si>
    <t>New licensing model based on printers for nice label</t>
  </si>
  <si>
    <t>GXS VAN Cost</t>
  </si>
  <si>
    <t>Continued usage increase</t>
  </si>
  <si>
    <t>Continued Increase in VAN cost</t>
  </si>
  <si>
    <t xml:space="preserve">EMT Gearset </t>
  </si>
  <si>
    <t>New solution introduced</t>
  </si>
  <si>
    <t>New solution for frontend deployment consitency checks, 2 X 3 licenses</t>
  </si>
  <si>
    <t>Pointx Enhancements</t>
  </si>
  <si>
    <t>Additional budget for small changes</t>
  </si>
  <si>
    <t>Small budget for small enhancements</t>
  </si>
  <si>
    <t>SAP Preffered care</t>
  </si>
  <si>
    <t>Rate increase Active embedded</t>
  </si>
  <si>
    <t>Increase in SAP support rates</t>
  </si>
  <si>
    <t>Caloc Support</t>
  </si>
  <si>
    <t>Additional Weekly support PW consultancy</t>
  </si>
  <si>
    <t>Increased support for Caloc</t>
  </si>
  <si>
    <t>Moving to a SaaS solution</t>
  </si>
  <si>
    <t>Move Zylab solution to a SaaS</t>
  </si>
  <si>
    <t>40 additional licenses</t>
  </si>
  <si>
    <t>runrate on 40 additional lumira licenses</t>
  </si>
  <si>
    <t>Coffee Care Licenses</t>
  </si>
  <si>
    <t>New Pega 7 implementation</t>
  </si>
  <si>
    <t>Decrease in runrate from 410K to 360K (30K per month)</t>
  </si>
  <si>
    <t>Coffee Care Support</t>
  </si>
  <si>
    <t>Support Costs Pega</t>
  </si>
  <si>
    <t>Delta Accenture AMS (digital) support vs new support contract</t>
  </si>
  <si>
    <t>Salesforce Additional BU</t>
  </si>
  <si>
    <t>New Business Unit Spain Retail</t>
  </si>
  <si>
    <t>Dora Hajnal</t>
  </si>
  <si>
    <t>New Business unit Hormimans / Marcilla</t>
  </si>
  <si>
    <t>BAS Support R&amp;D</t>
  </si>
  <si>
    <t xml:space="preserve">There is no BAS for R&amp;D </t>
  </si>
  <si>
    <t>Internal Role</t>
  </si>
  <si>
    <t>New Business Unit Tiora</t>
  </si>
  <si>
    <t>Additional Business Unit for Tiora</t>
  </si>
  <si>
    <t>OwnBackup</t>
  </si>
  <si>
    <t>Backup / DR solution SalesForce</t>
  </si>
  <si>
    <t>Separte Backup solution for DR &amp; Backup (Sales and Service Cloud only!)</t>
  </si>
  <si>
    <t>SF Event Monitoring</t>
  </si>
  <si>
    <t>SF Module for Security / Application Monitoring</t>
  </si>
  <si>
    <t>Addon SF Mondule for Security and application Monitoring</t>
  </si>
  <si>
    <t>Additional Click users</t>
  </si>
  <si>
    <t>100 additional users 12 months</t>
  </si>
  <si>
    <t>Additional Click users due to scope increase (Q-10689)</t>
  </si>
  <si>
    <t>Salesforce Adapters BI</t>
  </si>
  <si>
    <t>3 Salesforce adapters for SDS</t>
  </si>
  <si>
    <t>Livecom / Consulink</t>
  </si>
  <si>
    <t>Decommisioned due to Pega upgrade</t>
  </si>
  <si>
    <t>EpiServer</t>
  </si>
  <si>
    <t>Cost increase due to additional scope</t>
  </si>
  <si>
    <t>10% increase license cost</t>
  </si>
  <si>
    <t>Octopus Deploy</t>
  </si>
  <si>
    <t>New solution for Website deployments</t>
  </si>
  <si>
    <t>Remco Wijnings</t>
  </si>
  <si>
    <t>New solution for Website Deployments</t>
  </si>
  <si>
    <t xml:space="preserve">Sharegate </t>
  </si>
  <si>
    <t>Increase license count</t>
  </si>
  <si>
    <t>Additional licenses required due to extended AMS activiites</t>
  </si>
  <si>
    <t>Amber Road</t>
  </si>
  <si>
    <t xml:space="preserve">Exceeded subscription </t>
  </si>
  <si>
    <t>Subscription is now for 400K entities, is increased to 500K entities</t>
  </si>
  <si>
    <t>Additional Apps supply chain</t>
  </si>
  <si>
    <t>John Bakker</t>
  </si>
  <si>
    <t>Supply chain mobile apps</t>
  </si>
  <si>
    <t>Just-BI DevOps</t>
  </si>
  <si>
    <t>Support Native HANA, SDS, Apps (Full Amount)</t>
  </si>
  <si>
    <t>Montly Fee = 34700 ; Service Mngt = 1800 ; 24X5 Support = 1800; Upgrades = 1667 = 480000</t>
  </si>
  <si>
    <t>Just-BI AMS</t>
  </si>
  <si>
    <t>Former AMS scope + PowerBi + Altryx</t>
  </si>
  <si>
    <t>Full AMS scope + transitions + 2 onshore resources</t>
  </si>
  <si>
    <t>AMS Support Native HANA</t>
  </si>
  <si>
    <t>Decommisioned , now part of Just BI AMS Support</t>
  </si>
  <si>
    <t>BW Transtion AMS to Just BI</t>
  </si>
  <si>
    <t>Once Off transition from ACN to Just-Bi</t>
  </si>
  <si>
    <t>Once off transition cost for Accenture AMS for taking SAP BW out of AMS scope</t>
  </si>
  <si>
    <t>Additional scope + premier support</t>
  </si>
  <si>
    <t>Seems original amount of 40K was adjusted down which is wrong + adding additional scope</t>
  </si>
  <si>
    <t>ServiceNow</t>
  </si>
  <si>
    <t>Increased scope (Kauri, HR, Master data, AMS)</t>
  </si>
  <si>
    <t>Additonal usage Service Now (based 516 Licenses), Security charges are with Regien</t>
  </si>
  <si>
    <t>Technical correction for more detailed split</t>
  </si>
  <si>
    <t>Correction on 2019 AOP</t>
  </si>
  <si>
    <t>XTEL AMS</t>
  </si>
  <si>
    <t>Kantar Service Desk (Full Amount)</t>
  </si>
  <si>
    <t>XTEL Change Budget</t>
  </si>
  <si>
    <t>Run rate Licenses</t>
  </si>
  <si>
    <t>No run rate increase expected</t>
  </si>
  <si>
    <t xml:space="preserve">BAS Sales </t>
  </si>
  <si>
    <t>There is no BAS for XTEL / C4C</t>
  </si>
  <si>
    <t>No additional Bas needed. Current bas moves to devops and we line up new resource against existing role</t>
  </si>
  <si>
    <t>Accolade</t>
  </si>
  <si>
    <t>Additional runrate</t>
  </si>
  <si>
    <t>maintenance fee for 19 additional licenses</t>
  </si>
  <si>
    <t>Analytics HUB</t>
  </si>
  <si>
    <t>Introduction SAP Analytics Hub</t>
  </si>
  <si>
    <t>SAP Analytics Hub increase usage (2 euro per month per normal user, 20 euro per admin)</t>
  </si>
  <si>
    <t>IT2 Move 2 Cloud</t>
  </si>
  <si>
    <t>Incremental cost moving IT2 to ION</t>
  </si>
  <si>
    <t>IT2</t>
  </si>
  <si>
    <t>Antonio Tuells</t>
  </si>
  <si>
    <t>Move IT2 application from ATOS hosing 2 ION</t>
  </si>
  <si>
    <t>Jira &amp; Confluence</t>
  </si>
  <si>
    <t>Increased usage due to DevOps implementation</t>
  </si>
  <si>
    <t>Increase in licenses to 500 for Jira and 500 for Confluence</t>
  </si>
  <si>
    <t>Ops travel Budget</t>
  </si>
  <si>
    <t>Delivery Center &amp; Vendor visits</t>
  </si>
  <si>
    <t>Taken into WSSS</t>
  </si>
  <si>
    <t>V@Tbox</t>
  </si>
  <si>
    <t>Budget seems to sit with Business</t>
  </si>
  <si>
    <t>Application is confirmed decommisioned by R2R Team</t>
  </si>
  <si>
    <t>HCM Subscription</t>
  </si>
  <si>
    <t>Successfactors Subscription</t>
  </si>
  <si>
    <t>Succesfactors implementation (APP002642)</t>
  </si>
  <si>
    <t>HCM Support</t>
  </si>
  <si>
    <t>Support desk / AMS (Incidents / monitoring)</t>
  </si>
  <si>
    <t>AMS support estimate, to be validated</t>
  </si>
  <si>
    <t>HCM Transition</t>
  </si>
  <si>
    <t>Transition to support costs</t>
  </si>
  <si>
    <t>Once off transition towards AMS</t>
  </si>
  <si>
    <t>Support Model E-Commerce</t>
  </si>
  <si>
    <t xml:space="preserve">Support cost Magento </t>
  </si>
  <si>
    <t>Pending</t>
  </si>
  <si>
    <t>Support cost will become devops hence business funded</t>
  </si>
  <si>
    <t>Deployment Tooling SF / Apttus</t>
  </si>
  <si>
    <t>Increase of cost Gearset</t>
  </si>
  <si>
    <t>Double</t>
  </si>
  <si>
    <t>Oasis Transition</t>
  </si>
  <si>
    <t>Once Off transition to AMS</t>
  </si>
  <si>
    <t>Oasis AMS cost</t>
  </si>
  <si>
    <t>Extended support APAC + AMS scope increase</t>
  </si>
  <si>
    <t>Additional AMS cost and 24 X 7 Scope</t>
  </si>
  <si>
    <t xml:space="preserve">Oasis Swat Team </t>
  </si>
  <si>
    <t>3 Month swat team post hypercare</t>
  </si>
  <si>
    <t>Post hypercare Swat team on the ground to land Oasis properly</t>
  </si>
  <si>
    <t>Test factory</t>
  </si>
  <si>
    <t>Increase scope due to Kauri</t>
  </si>
  <si>
    <t>Splitting SF cost</t>
  </si>
  <si>
    <t>Technical correction to split cost on 5 SF instances</t>
  </si>
  <si>
    <t>System 21 UK / DE</t>
  </si>
  <si>
    <t>Decommisioning System 21</t>
  </si>
  <si>
    <t xml:space="preserve">Fiori </t>
  </si>
  <si>
    <t>Support cost AMS</t>
  </si>
  <si>
    <t>Rolled up in AMS lines</t>
  </si>
  <si>
    <t>Connector4U</t>
  </si>
  <si>
    <t>Increased Run rate Service Now plugin</t>
  </si>
  <si>
    <t>Plugin for Service Now / Jira interfaces</t>
  </si>
  <si>
    <t>Azure Technical support</t>
  </si>
  <si>
    <t>AMS scope increase on Azure</t>
  </si>
  <si>
    <t>Security, sizing, monitoring, upgrades etc</t>
  </si>
  <si>
    <t>Decommisioning in France</t>
  </si>
  <si>
    <t>Xavier Marissal</t>
  </si>
  <si>
    <t>Navigator was decommisioned per April 2019</t>
  </si>
  <si>
    <t>Marketing Cloud Support</t>
  </si>
  <si>
    <t>increase to full fte AMS Marketing / Sales Cloud</t>
  </si>
  <si>
    <t>Full fte in AMS due to increased scope</t>
  </si>
  <si>
    <t>Increased usage (CCM, START)</t>
  </si>
  <si>
    <t>Tas Support</t>
  </si>
  <si>
    <t>Additional SME support TAS</t>
  </si>
  <si>
    <t>Rory Oloughlin</t>
  </si>
  <si>
    <t>Additional support for maintaining TAS which is EOL but has increased scope</t>
  </si>
  <si>
    <t>Increase in number of users KAURi/ OASIS</t>
  </si>
  <si>
    <t>Additonal usage Black line</t>
  </si>
  <si>
    <t>Dellboomi</t>
  </si>
  <si>
    <t xml:space="preserve">Increase subscription </t>
  </si>
  <si>
    <t>Connected Coffee Machine</t>
  </si>
  <si>
    <t>AMS support IOT + transition</t>
  </si>
  <si>
    <t>50K transtion + 2 fte per year 50K per fte</t>
  </si>
  <si>
    <t>EPI Find</t>
  </si>
  <si>
    <t>2 additonal instances</t>
  </si>
  <si>
    <t>Apttio Support TBM</t>
  </si>
  <si>
    <t>Support contract Its value</t>
  </si>
  <si>
    <t>TBM support It's value (6K per month)</t>
  </si>
  <si>
    <t>Retail BI support scope Just BI</t>
  </si>
  <si>
    <t>Additional Retail BI support Just BI</t>
  </si>
  <si>
    <t>D&amp;A</t>
  </si>
  <si>
    <t>Workplace License increase</t>
  </si>
  <si>
    <t>License prices expected to go up</t>
  </si>
  <si>
    <t>Workplace</t>
  </si>
  <si>
    <t>Release management HR solutions</t>
  </si>
  <si>
    <t>DXC release Management Support Cornerstone</t>
  </si>
  <si>
    <t>HR</t>
  </si>
  <si>
    <t>No release mngt coverage, charter cancelled</t>
  </si>
  <si>
    <t>DXC release Management Support Successfactors</t>
  </si>
  <si>
    <t xml:space="preserve">8 additional users, 5 additional streampacks </t>
  </si>
  <si>
    <t>Google Analytics</t>
  </si>
  <si>
    <t>Budget sits with Business</t>
  </si>
  <si>
    <t>Google Search</t>
  </si>
  <si>
    <t>EWM Pilot Implementation</t>
  </si>
  <si>
    <t>Additional Run rate EWM</t>
  </si>
  <si>
    <t>Rollo van der Sar</t>
  </si>
  <si>
    <t>Will be project budget</t>
  </si>
  <si>
    <t>AlteryX Introduction</t>
  </si>
  <si>
    <t>Licenses / subscription costs</t>
  </si>
  <si>
    <t>ATOS SAP Hosting</t>
  </si>
  <si>
    <t>Changes in Hosting Fees</t>
  </si>
  <si>
    <t>BAS Services</t>
  </si>
  <si>
    <t>2% increase in Bas rates</t>
  </si>
  <si>
    <t>Rate increase</t>
  </si>
  <si>
    <t xml:space="preserve">Enhancement Services </t>
  </si>
  <si>
    <t>Kauri, Savyint, Fiori, Dellboomi CCN's</t>
  </si>
  <si>
    <t>Incident management services</t>
  </si>
  <si>
    <t>Webhosting</t>
  </si>
  <si>
    <t>Monitoring &amp; release management</t>
  </si>
  <si>
    <t>Kauri impact from DevOps, environment Management</t>
  </si>
  <si>
    <t>Compliance Services</t>
  </si>
  <si>
    <t>Robotics Support</t>
  </si>
  <si>
    <t>Robotics support AMS</t>
  </si>
  <si>
    <t>AMS support on Robotics platform</t>
  </si>
  <si>
    <t>iPaaS Dellboomi Support</t>
  </si>
  <si>
    <t>Technical correction, now rolled up in other AMS lines</t>
  </si>
  <si>
    <t xml:space="preserve">Kauri Retail (Brazil) + Support </t>
  </si>
  <si>
    <t>Maintenance / upgrades web sites / stores</t>
  </si>
  <si>
    <t>Onshore resource ATOS</t>
  </si>
  <si>
    <t>Retaining onshore resource not contrated yet</t>
  </si>
  <si>
    <t>Onshore resource is required like is the case for BAS persons in AMS. Now partially funded by Oasis until may 2020</t>
  </si>
  <si>
    <t xml:space="preserve">Saviynt </t>
  </si>
  <si>
    <t>IDM replacement</t>
  </si>
  <si>
    <t>Nico Steenbeek</t>
  </si>
  <si>
    <t>Actual cost are 20K per month</t>
  </si>
  <si>
    <t xml:space="preserve">Additional SAP factory licenses </t>
  </si>
  <si>
    <t>Diva upgrade Elmshorn</t>
  </si>
  <si>
    <t>Diva upgrade Elmshorn 14 workers + 2 engineers (22% x 12750 euro license cost)</t>
  </si>
  <si>
    <t>Oracle License Audit finds</t>
  </si>
  <si>
    <t>Due to Java components coming under licenses</t>
  </si>
  <si>
    <t>Oracle</t>
  </si>
  <si>
    <t>2$ per user per month; 26$ * 1600 users; Windows 10 rollout will give more insight</t>
  </si>
  <si>
    <t>Test Factory AMS</t>
  </si>
  <si>
    <t>Capacity increase due to Kauri</t>
  </si>
  <si>
    <t>Gagandeep Sharma</t>
  </si>
  <si>
    <t>increase from 2 to 3.5 FTE , CCN29</t>
  </si>
  <si>
    <t>SIAMS / Service Desk Onboarding</t>
  </si>
  <si>
    <t>No Financial model for onboarding</t>
  </si>
  <si>
    <t>Retrospective 535K, Run cost june 2019 - may 2020 = 743K, June 2020 - Dec 2020 = 434K, HR Brasil = 55K</t>
  </si>
  <si>
    <t>Minitab</t>
  </si>
  <si>
    <t>Budget transfer from local to global</t>
  </si>
  <si>
    <t>Application is locally owned however is used in multiple factories / countries</t>
  </si>
  <si>
    <t>Landschape refresh activities</t>
  </si>
  <si>
    <t>SAP, BPC, SF, HANA, DellBoomi / PO</t>
  </si>
  <si>
    <t xml:space="preserve">Effort required to do a full landscape refresh </t>
  </si>
  <si>
    <t>CSC Geotrust Certificates</t>
  </si>
  <si>
    <t>Moves to Brandstock, budget with Legal</t>
  </si>
  <si>
    <t>Cancel contract once all domains have been moved to Brandstock</t>
  </si>
  <si>
    <t>Additonal licenses</t>
  </si>
  <si>
    <t>Procampaign</t>
  </si>
  <si>
    <t>Deminishing scope, only RU and Ukraine left</t>
  </si>
  <si>
    <t>Procampaign only used in Russia and Ukraine due to legislation</t>
  </si>
  <si>
    <t>Fox IT Services</t>
  </si>
  <si>
    <t>Recurring service in Security</t>
  </si>
  <si>
    <t>Plumsail</t>
  </si>
  <si>
    <t xml:space="preserve">Workflow scheduler </t>
  </si>
  <si>
    <t>Never saw an invoice ever for this</t>
  </si>
  <si>
    <t>Global Efax Ireland</t>
  </si>
  <si>
    <t>More licenses for Legal</t>
  </si>
  <si>
    <t>Additional licenses for Legal</t>
  </si>
  <si>
    <t>SAP Life Cycle Budget</t>
  </si>
  <si>
    <t>Under Oasis for 2020</t>
  </si>
  <si>
    <t>We keep 200K</t>
  </si>
  <si>
    <t>Additional UX designers website team</t>
  </si>
  <si>
    <t xml:space="preserve">To better support content changes </t>
  </si>
  <si>
    <t>Actemium Strippenkaart</t>
  </si>
  <si>
    <t>Was dropped from AOP 2019</t>
  </si>
  <si>
    <t>Add it back to AOP 2020</t>
  </si>
  <si>
    <t>Environment Management SF</t>
  </si>
  <si>
    <t>Additional Support Environment Management</t>
  </si>
  <si>
    <t>Accenture SOW71</t>
  </si>
  <si>
    <t>Additional License Requirements</t>
  </si>
  <si>
    <t>iPPM tooling</t>
  </si>
  <si>
    <t>Run Rate</t>
  </si>
  <si>
    <t>Anna Reitenbach</t>
  </si>
  <si>
    <t>Runrate IPPM + Jira connector</t>
  </si>
  <si>
    <t>Modern Workplace Adoption</t>
  </si>
  <si>
    <t>Lessons learned</t>
  </si>
  <si>
    <t>Infrastructure</t>
  </si>
  <si>
    <t>Moves to Project Charter 150K</t>
  </si>
  <si>
    <t>Recurring Security Assessments</t>
  </si>
  <si>
    <t>Renewed insights</t>
  </si>
  <si>
    <t xml:space="preserve">Retail Salesforce Licenses </t>
  </si>
  <si>
    <t>Marketing Cloud:15 / Salescloud 20 licenses</t>
  </si>
  <si>
    <t>License increase + small change budget</t>
  </si>
  <si>
    <t>Crunhr</t>
  </si>
  <si>
    <t>Docusign</t>
  </si>
  <si>
    <t>Actual licenses lower than estimate</t>
  </si>
  <si>
    <t>Star Lims</t>
  </si>
  <si>
    <t>Moved to People budget</t>
  </si>
  <si>
    <t>Moved to HR resources budget (Wicher), reduction from 150k to 75k</t>
  </si>
  <si>
    <t>Name change</t>
  </si>
  <si>
    <t>Ad hoc</t>
  </si>
  <si>
    <t>Awareness campaign (elearning is separate by SANS)</t>
  </si>
  <si>
    <t>Marcel majoor</t>
  </si>
  <si>
    <t>Remove</t>
  </si>
  <si>
    <t>Vulnerability scanning: Qualys</t>
  </si>
  <si>
    <t>Remove Qualys</t>
  </si>
  <si>
    <t>Penetration test SAP / Sales Force</t>
  </si>
  <si>
    <t>Simplify and combine to one line</t>
  </si>
  <si>
    <t>100k</t>
  </si>
  <si>
    <t>Penetration test infrastructure and websites</t>
  </si>
  <si>
    <t>Snow Managed Service + Hosting</t>
  </si>
  <si>
    <t>Reduction of service fee</t>
  </si>
  <si>
    <t>reduction from 335 to 250k</t>
  </si>
  <si>
    <t>ServiceNow VM module</t>
  </si>
  <si>
    <t>annual fee: Alexander</t>
  </si>
  <si>
    <t>Accenture managed service websites on Nessus</t>
  </si>
  <si>
    <t xml:space="preserve">Avecto </t>
  </si>
  <si>
    <t>additional licenses</t>
  </si>
  <si>
    <t>10.7k</t>
  </si>
  <si>
    <t>Bitsight subscription</t>
  </si>
  <si>
    <t>New Recurring service in Security</t>
  </si>
  <si>
    <t>T&amp;M Messaging small RFC's; Mailbox restores, Intune, Exchange (Infra)</t>
  </si>
  <si>
    <t>move  to EUS</t>
  </si>
  <si>
    <t>Moved to Jeroen</t>
  </si>
  <si>
    <t>Increased monthly usage</t>
  </si>
  <si>
    <t>Farhan to budget based on LE, has been processed according to guidance ITMT</t>
  </si>
  <si>
    <t>Microsoft True-Up (Year 2)</t>
  </si>
  <si>
    <t>Increased licenses due to Acquisition/integration</t>
  </si>
  <si>
    <t>Valeria to check expected true up</t>
  </si>
  <si>
    <t>Audioconferencing</t>
  </si>
  <si>
    <t>decrease of usage, replaced by Skype4B</t>
  </si>
  <si>
    <t>support</t>
  </si>
  <si>
    <t>multiple countries onboarded</t>
  </si>
  <si>
    <t>total mobile cost are 7mln, expected savings are around 5% (350k)</t>
  </si>
  <si>
    <t>Operations Atos &amp; Accenture hosting</t>
  </si>
  <si>
    <t>??</t>
  </si>
  <si>
    <t>Farhan to budget</t>
  </si>
  <si>
    <t>HP ALM Licenses</t>
  </si>
  <si>
    <t>Increase due to increased scope + training</t>
  </si>
  <si>
    <t>Dell Boomi MCS</t>
  </si>
  <si>
    <t xml:space="preserve">Managed Service Dell Boomi </t>
  </si>
  <si>
    <t>Onshore ABAP Resource BAS</t>
  </si>
  <si>
    <t>Quality and speed of ABAP delivery + Hana Prep</t>
  </si>
  <si>
    <t>Lower than expected operational costs</t>
  </si>
  <si>
    <t>Costs seem to be lower than expected, william Mol to clarify</t>
  </si>
  <si>
    <t>Adjusted based on actuals</t>
  </si>
  <si>
    <t>Change Security Items to GL485073034</t>
  </si>
  <si>
    <t>More focus on security</t>
  </si>
  <si>
    <t>Decommisioned as we will use Octane + Gearset</t>
  </si>
  <si>
    <t>Selenium was put in as a place holder as part of Automation tools. This will be Octane icm Gearset</t>
  </si>
  <si>
    <t>BI Bas Resource</t>
  </si>
  <si>
    <t>Asumed Roll Off for BI BAS resource Mid 2019</t>
  </si>
  <si>
    <t>If BI Scope is transferred the BI resource for Accenture will no longer be needed</t>
  </si>
  <si>
    <t>ReturnPath</t>
  </si>
  <si>
    <t>Additional Module SF retail</t>
  </si>
  <si>
    <t>Budget sits with Business, now company info</t>
  </si>
  <si>
    <t>Budget Sits with business</t>
  </si>
  <si>
    <t>Professional DevOps - S&amp;M</t>
  </si>
  <si>
    <t>Split From DevOps External Support</t>
  </si>
  <si>
    <t>Dominique Mallard</t>
  </si>
  <si>
    <t>Professional DevOps - TS</t>
  </si>
  <si>
    <t>Professional DevOps - QTC</t>
  </si>
  <si>
    <t>Accenture SOW QtC Supp</t>
  </si>
  <si>
    <t>Now WSSS so no charge out</t>
  </si>
  <si>
    <t>Click Application Maintenance &amp; Support</t>
  </si>
  <si>
    <t>Apttus Annual Subscription + Support</t>
  </si>
  <si>
    <t>SalesForce Annual Subscription + Support</t>
  </si>
  <si>
    <t>Additional Copado licenses</t>
  </si>
  <si>
    <t>Additonal License impact Salesforce Apttus</t>
  </si>
  <si>
    <t>Rolled up in Apttus Licenses</t>
  </si>
  <si>
    <t>Seeburger APAC</t>
  </si>
  <si>
    <t>Additonal Support for APAC from Singapore</t>
  </si>
  <si>
    <t>Additional support from Seeburger in APAC</t>
  </si>
  <si>
    <t>Pole Everywhere</t>
  </si>
  <si>
    <t>No longer needed</t>
  </si>
  <si>
    <t xml:space="preserve">PowerBi </t>
  </si>
  <si>
    <t>Ongoing fees licenses and maintenance</t>
  </si>
  <si>
    <t>APP002619, 10$ p/m X 12 X 500 users</t>
  </si>
  <si>
    <t>Split various EDI Items</t>
  </si>
  <si>
    <t>Comarch, Editel, CCV etc</t>
  </si>
  <si>
    <t>for better tracability of actuals</t>
  </si>
  <si>
    <t>ST-Addons</t>
  </si>
  <si>
    <t>No longer in use so cancelling contract</t>
  </si>
  <si>
    <t>Replaced by IXOS</t>
  </si>
  <si>
    <t>Oracle database licenses</t>
  </si>
  <si>
    <t>Additional licenses needed for SAP rollout</t>
  </si>
  <si>
    <t>Additional DB fee Oracle</t>
  </si>
  <si>
    <t>BT Runrate Factories</t>
  </si>
  <si>
    <t>Adjusted now actual run rate is known</t>
  </si>
  <si>
    <t>Change in license Model</t>
  </si>
  <si>
    <t>Nintex will adjust license scheme based on users and or workflows</t>
  </si>
  <si>
    <t>SAS Analytics</t>
  </si>
  <si>
    <t xml:space="preserve">Adjusted based on actuals + Larger environment </t>
  </si>
  <si>
    <t>Added 9K for larger environment however lowered budget based on actuals</t>
  </si>
  <si>
    <t>Vaimo hosting</t>
  </si>
  <si>
    <t>Higher fee than anticipated</t>
  </si>
  <si>
    <t>Cancelled due to move Platform.sh</t>
  </si>
  <si>
    <t>Microstrategy</t>
  </si>
  <si>
    <t>Decommisioned</t>
  </si>
  <si>
    <t>Sap Appendix 21</t>
  </si>
  <si>
    <t>SAP SSO Solution run rate</t>
  </si>
  <si>
    <t>Rob Veenman</t>
  </si>
  <si>
    <t>Sap Appendix 20</t>
  </si>
  <si>
    <t>License Audit finds</t>
  </si>
  <si>
    <t>Insourcing Human Data Warehouse DTC</t>
  </si>
  <si>
    <t>Just Bi support Scope</t>
  </si>
  <si>
    <t>cancelled</t>
  </si>
  <si>
    <t>Covered in just-Bi charge</t>
  </si>
  <si>
    <t>Azure / hosting increase</t>
  </si>
  <si>
    <t>Split Edicom, CCv, Comarch for better tracking</t>
  </si>
  <si>
    <t>Admin Split only</t>
  </si>
  <si>
    <t>EPI find</t>
  </si>
  <si>
    <t>licenses increase</t>
  </si>
  <si>
    <t>Koen Zweers</t>
  </si>
  <si>
    <t>Increase should be 12K in total not 20K.</t>
  </si>
  <si>
    <t>C4C Perfect Store Support</t>
  </si>
  <si>
    <t>Accorel Support</t>
  </si>
  <si>
    <t>Ron van de Water</t>
  </si>
  <si>
    <t>Cancelled. 135K to be included in WBSS</t>
  </si>
  <si>
    <t>Split XTEL budget in AMS and Change Budget</t>
  </si>
  <si>
    <t xml:space="preserve">For better tracking &amp; control of CI </t>
  </si>
  <si>
    <t>Total Budget of 435 was split based on Contratc : 60K Changes / 365K AMS Contract</t>
  </si>
  <si>
    <t>iPaaS Dellboomi Development</t>
  </si>
  <si>
    <t>Moving Dev capacity to AMS / SI</t>
  </si>
  <si>
    <t>B2B Transition + Boomi Dev Capacity + Onshore lead</t>
  </si>
  <si>
    <t>2 Additional Blue Prism Licenses</t>
  </si>
  <si>
    <t>Sourcing through IBM</t>
  </si>
  <si>
    <t>Total licences for blueprism should be 40.2K according to Nizaar (4 current licences + 2 additional)</t>
  </si>
  <si>
    <t>Savyint run cost</t>
  </si>
  <si>
    <t>Additional users Oasis</t>
  </si>
  <si>
    <t>Lieke Koers</t>
  </si>
  <si>
    <t>Small Projects Funding</t>
  </si>
  <si>
    <t>Cover small projects / ticket model under AMS</t>
  </si>
  <si>
    <t>eenvoud Media</t>
  </si>
  <si>
    <t>Additional apps</t>
  </si>
  <si>
    <t xml:space="preserve">Loqate </t>
  </si>
  <si>
    <t>New Address Check tool e-commerce</t>
  </si>
  <si>
    <t>Prateek Tiwari</t>
  </si>
  <si>
    <t>Missed in AOP 2020…, 204439 GB Group plc</t>
  </si>
  <si>
    <t>IBM Optim</t>
  </si>
  <si>
    <t>Archive for Saralee entities</t>
  </si>
  <si>
    <t>Swap Support</t>
  </si>
  <si>
    <t xml:space="preserve">Decreased Support </t>
  </si>
  <si>
    <t>Replaced with Azure DevOps</t>
  </si>
  <si>
    <t>Uptrends Monitoring</t>
  </si>
  <si>
    <t>Phased out</t>
  </si>
  <si>
    <t>AGS</t>
  </si>
  <si>
    <t>Learning Module Factories</t>
  </si>
  <si>
    <t>New learning platform which needs global contract and budget</t>
  </si>
  <si>
    <t>Decommisioned in favor of Gearset</t>
  </si>
  <si>
    <t>SAP CP Support</t>
  </si>
  <si>
    <t>Additional Contract</t>
  </si>
  <si>
    <t>Salesforce Storage Proff &amp; Retail</t>
  </si>
  <si>
    <t>Additional Contract Strorage costs</t>
  </si>
  <si>
    <t>Split Siams Onboarding &amp; Run Cost</t>
  </si>
  <si>
    <t>Technical split for tracking ongoing cost and once Off onboarding</t>
  </si>
  <si>
    <t>Split OBS &amp; BT on WAN</t>
  </si>
  <si>
    <t>Technical Split for actual tracking OBS</t>
  </si>
  <si>
    <t>OBS</t>
  </si>
  <si>
    <t>Network</t>
  </si>
  <si>
    <t>Planorama</t>
  </si>
  <si>
    <t>Removed since all costs are paid locally</t>
  </si>
  <si>
    <t>Most costs are paid locally hance reducing central cost</t>
  </si>
  <si>
    <t>C4C Prefered Care</t>
  </si>
  <si>
    <t>Cost prefered care part of licence budget</t>
  </si>
  <si>
    <t>Correcting central budget</t>
  </si>
  <si>
    <t>Syncforce</t>
  </si>
  <si>
    <t>Packflow 1.0 which is still in use</t>
  </si>
  <si>
    <t>For Packflow 1.0 which is still in use</t>
  </si>
  <si>
    <t>Shopspray</t>
  </si>
  <si>
    <t>Addon solution to Epi server</t>
  </si>
  <si>
    <t>SonarCube</t>
  </si>
  <si>
    <t>No longer used for websites</t>
  </si>
  <si>
    <t>Maksym Ivanchenko</t>
  </si>
  <si>
    <t>Teams confirmed Sonar cube no longer in use</t>
  </si>
  <si>
    <t>Minitab entered double in AOP 2020</t>
  </si>
  <si>
    <t>Taking out New entry on minitab</t>
  </si>
  <si>
    <t>Error in AOP 2020, double entry</t>
  </si>
  <si>
    <t>Eyequestion</t>
  </si>
  <si>
    <t>Additional licenses requested by business</t>
  </si>
  <si>
    <t>Salesforce Retail Licenses</t>
  </si>
  <si>
    <t>Additonal Quotes / storage</t>
  </si>
  <si>
    <t>AOP 2020 for retail was too low…</t>
  </si>
  <si>
    <t>MIRC Data protector</t>
  </si>
  <si>
    <t>Microfocus</t>
  </si>
  <si>
    <t>MIRC is decommisioned</t>
  </si>
  <si>
    <t>Decommision Messaging GL account</t>
  </si>
  <si>
    <t>Move budget from 485073004 to 485073003</t>
  </si>
  <si>
    <t xml:space="preserve">Simplify reporting </t>
  </si>
  <si>
    <t>AS400 hardware</t>
  </si>
  <si>
    <t>Econocom (through ATOS), Non-Standard Services (AS400 + HPUX)</t>
  </si>
  <si>
    <t>Need to decommision in 2021</t>
  </si>
  <si>
    <t>Robotics Support Change</t>
  </si>
  <si>
    <t>Potential move from Acn to IBM</t>
  </si>
  <si>
    <t>Business Objects Licenses</t>
  </si>
  <si>
    <t>Business Objects Licenses did not increase</t>
  </si>
  <si>
    <t>Anticipated increase did not materialize, taking it out of AOP 2021</t>
  </si>
  <si>
    <t>Runbook Decommisioning</t>
  </si>
  <si>
    <t>Runbook will be replaced with Aico</t>
  </si>
  <si>
    <t>Runbook will not be decommisioned in 2021</t>
  </si>
  <si>
    <t>Add new SAP worker license line</t>
  </si>
  <si>
    <t>APP002802</t>
  </si>
  <si>
    <t>Adjusted charging model PM for Factories</t>
  </si>
  <si>
    <t>Transition AMS BI Scope</t>
  </si>
  <si>
    <t>Once off for AOP 2020</t>
  </si>
  <si>
    <t>HCM Support Successfactors</t>
  </si>
  <si>
    <t>Higher fee for Succesfactors support</t>
  </si>
  <si>
    <t>Oasis Transition 2.0</t>
  </si>
  <si>
    <t>Keeping Oasis 2.0 Transition</t>
  </si>
  <si>
    <t>Oasis + ANZ Support -</t>
  </si>
  <si>
    <t>New Service APAC support additional shift</t>
  </si>
  <si>
    <t>Final Delta for additional shift basd on CCN36 (23.6K X 12 = 284K vs 250)</t>
  </si>
  <si>
    <t>Increase Coffee Care Support (Pega 7)</t>
  </si>
  <si>
    <t>Rolled up in regular service lines</t>
  </si>
  <si>
    <t>Salesforce retail support</t>
  </si>
  <si>
    <t>Increase due 1 FTE added</t>
  </si>
  <si>
    <t>1 FTE added</t>
  </si>
  <si>
    <t>Rolled up in other service lines</t>
  </si>
  <si>
    <t>Extended support for Workplace</t>
  </si>
  <si>
    <t>Rolled up under AMS with minimal cost impact</t>
  </si>
  <si>
    <t>XTEL AMS Budget</t>
  </si>
  <si>
    <t>Technical Correction</t>
  </si>
  <si>
    <t>Lowering AMS cost as per contract 2020</t>
  </si>
  <si>
    <t>Increasing change budget with amount from AMS</t>
  </si>
  <si>
    <t>Orange Trail support moving to AMS</t>
  </si>
  <si>
    <t>Workplace support with AMS</t>
  </si>
  <si>
    <t>ATOS SAP Infra Changes</t>
  </si>
  <si>
    <t>4 tier landscape</t>
  </si>
  <si>
    <t>8K per month X 12</t>
  </si>
  <si>
    <t>Practitest</t>
  </si>
  <si>
    <t>New solution for manual testing</t>
  </si>
  <si>
    <t>25 licenses</t>
  </si>
  <si>
    <t>Plat4mation</t>
  </si>
  <si>
    <t>C4U License upgrade to PRO</t>
  </si>
  <si>
    <t>covers unlimited connectors + premium support; PRO is needed to complete JIRA change integration</t>
  </si>
  <si>
    <t>Enhancement Budget</t>
  </si>
  <si>
    <t>Change budget to allow for small changes to existing solutions</t>
  </si>
  <si>
    <t>Certificate Management fully with Brandstock now</t>
  </si>
  <si>
    <t>Last invoice was in feb 2019…</t>
  </si>
  <si>
    <t>Move Store Simple + Local App hosting storage</t>
  </si>
  <si>
    <t>Change GL 485073031 Storage to 485073032 Servers</t>
  </si>
  <si>
    <t>Oscar Rodrigues</t>
  </si>
  <si>
    <t>Covered in other changes</t>
  </si>
  <si>
    <t>Octane for DevOps</t>
  </si>
  <si>
    <t>Test Automation for DevOps</t>
  </si>
  <si>
    <t xml:space="preserve">20 licenses. Includes Saas subscription from Micro Focus. </t>
  </si>
  <si>
    <t>VisualWebsiteIOptimizer</t>
  </si>
  <si>
    <t>Costs are local with NL</t>
  </si>
  <si>
    <t>SAF-T Maintenance fee</t>
  </si>
  <si>
    <t>No owner, no vendor, no invoices</t>
  </si>
  <si>
    <t>Taking this out as there is never an invoice from this vendor</t>
  </si>
  <si>
    <t xml:space="preserve">Check budget / accrual EUC </t>
  </si>
  <si>
    <t>Technical Change to decommision GL for storage costs as it is not used</t>
  </si>
  <si>
    <t>Microsoft Contract Expiration</t>
  </si>
  <si>
    <t>Impact on AOP 2021</t>
  </si>
  <si>
    <t>Change Security Items to Network GL 485073010</t>
  </si>
  <si>
    <t>Both ownership and GL for these items are change to improve reporting &amp; control</t>
  </si>
  <si>
    <t>Security (+ BT Zscaler / Security)</t>
  </si>
  <si>
    <t>Security SSR's &amp; NSSR's</t>
  </si>
  <si>
    <t>RAR / LAE / AIF Maintenance Fee Update description</t>
  </si>
  <si>
    <t>Appendix 20 LAE maintenace fee</t>
  </si>
  <si>
    <t>To increase visibility and tracebility of SAP cost</t>
  </si>
  <si>
    <t xml:space="preserve">Reduce licences or end contract by april. </t>
  </si>
  <si>
    <t>Vanessa Barmpa</t>
  </si>
  <si>
    <t>Will be confirmed by Sharon. Proposal will most likely be to add 50% of the annual costs in</t>
  </si>
  <si>
    <t>Aico</t>
  </si>
  <si>
    <t xml:space="preserve">New application </t>
  </si>
  <si>
    <t>New application which will replace Runbook &amp; Blackline</t>
  </si>
  <si>
    <t xml:space="preserve">Salesforce </t>
  </si>
  <si>
    <t>2 additional busines units</t>
  </si>
  <si>
    <t>1 for supergroup and 1 for Moccona</t>
  </si>
  <si>
    <t>14 additional Licenses</t>
  </si>
  <si>
    <t>14 additional licenses, rolled up in one line</t>
  </si>
  <si>
    <t>Oracle license Oasis / Super group</t>
  </si>
  <si>
    <t>Decommision, Consolidate under SAP Oracle licenses</t>
  </si>
  <si>
    <t>8. Oracle Maintenance SAP</t>
  </si>
  <si>
    <t>Add Supergroup Oracle license to Oracle Maint SAP</t>
  </si>
  <si>
    <t>Adding licenses to existing line based on actuals</t>
  </si>
  <si>
    <t>Ariba T2S AMS</t>
  </si>
  <si>
    <t>Moving Ariba under scope of AMS</t>
  </si>
  <si>
    <t>Procurement going for RFI / RFP route so this is unlikely to materialize</t>
  </si>
  <si>
    <t>PLM Solution T2S AMS</t>
  </si>
  <si>
    <t>Moving future PLM solution under AMS</t>
  </si>
  <si>
    <t>Should be captured by project</t>
  </si>
  <si>
    <t>Transition CCN Scope to AMS</t>
  </si>
  <si>
    <t>Moving Connected Coffee Machines to AMS</t>
  </si>
  <si>
    <t>Once Off</t>
  </si>
  <si>
    <t>We will not transition CCM in 2021</t>
  </si>
  <si>
    <t>Dell boomi ipaas licences</t>
  </si>
  <si>
    <t>Increase licences year 4</t>
  </si>
  <si>
    <t>Contract extension to be checked by Robin 80-100K</t>
  </si>
  <si>
    <t xml:space="preserve">Seeburger RFC </t>
  </si>
  <si>
    <t xml:space="preserve">Move to Dell Boomi - Volume re-negotiation  </t>
  </si>
  <si>
    <t>Moving to Dell Boomi</t>
  </si>
  <si>
    <t>Seeburger EDI connection</t>
  </si>
  <si>
    <t>Azure CCM</t>
  </si>
  <si>
    <t>Cost optimizations by cognizant team</t>
  </si>
  <si>
    <t>Azure</t>
  </si>
  <si>
    <t xml:space="preserve">Cost optimizations </t>
  </si>
  <si>
    <t xml:space="preserve">Connected coffee machines </t>
  </si>
  <si>
    <t>Transition to Accenture</t>
  </si>
  <si>
    <t>Cognizant</t>
  </si>
  <si>
    <t>Additonal VIM Licenses Oasis</t>
  </si>
  <si>
    <t>Uimasking, VIM and OCR Licenses Schedule 1 SAP</t>
  </si>
  <si>
    <t>Succesfactors</t>
  </si>
  <si>
    <t>Organic growth. Additional licenses</t>
  </si>
  <si>
    <t>Smart recruiters</t>
  </si>
  <si>
    <t>Ending of 3 year contract based on 12.000 employees. We currently have 18.000 employees. Estimated increase of 10K</t>
  </si>
  <si>
    <t>Epi</t>
  </si>
  <si>
    <t>220 websites expected on epi</t>
  </si>
  <si>
    <t>Due to AMS Renegotiation</t>
  </si>
  <si>
    <t>Consolidated all contracts</t>
  </si>
  <si>
    <t>Power BI</t>
  </si>
  <si>
    <t>Premium Capacity</t>
  </si>
  <si>
    <t>Additional instance to cover for demand</t>
  </si>
  <si>
    <t>Oracle Agile Product Data Management</t>
  </si>
  <si>
    <t>Decommisioning service contract 6711621</t>
  </si>
  <si>
    <t>Stefan Dijs</t>
  </si>
  <si>
    <t>Obsolete licenses</t>
  </si>
  <si>
    <t>Coffee &amp; Tea Sourcing tool Cargoo</t>
  </si>
  <si>
    <t>New solution C&amp;T Sourcing</t>
  </si>
  <si>
    <t>James Gracey</t>
  </si>
  <si>
    <t>Will be 90K in 2022!!</t>
  </si>
  <si>
    <t>Zoovu</t>
  </si>
  <si>
    <t>New online coffee tasting solution</t>
  </si>
  <si>
    <t>Diva Upgrade Elmshorn</t>
  </si>
  <si>
    <t>Roll up in Existing SAP Lines</t>
  </si>
  <si>
    <t>No need to keep a separate AOP line for this</t>
  </si>
  <si>
    <t xml:space="preserve">Alteryx licence </t>
  </si>
  <si>
    <t>Increase of licences because more users are using it</t>
  </si>
  <si>
    <t>Alteryx</t>
  </si>
  <si>
    <t>Bruna Dupim</t>
  </si>
  <si>
    <t>1/3 of new contract which is 101K for 3 years signed in June 2020</t>
  </si>
  <si>
    <t>SAP refresh</t>
  </si>
  <si>
    <t>already covered in ops budget (50K)</t>
  </si>
  <si>
    <t>Predictive Analysis Hana</t>
  </si>
  <si>
    <t>Not used . To be confirmed by Bruna</t>
  </si>
  <si>
    <t>SAP Analytics Hub</t>
  </si>
  <si>
    <t>Licence increase, number unkown</t>
  </si>
  <si>
    <t>Decommision GL 485073004 Messaging</t>
  </si>
  <si>
    <t>Move to GL 485073004 PC Support</t>
  </si>
  <si>
    <t>No use for Messaging GL anymore</t>
  </si>
  <si>
    <t>Flexera</t>
  </si>
  <si>
    <t>Charged seperately as of 2020</t>
  </si>
  <si>
    <t>Higher cost in 2020</t>
  </si>
  <si>
    <t>Change ownership</t>
  </si>
  <si>
    <t>2 year contract</t>
  </si>
  <si>
    <t>RDS Third Party Access Split</t>
  </si>
  <si>
    <t>EUC Part</t>
  </si>
  <si>
    <t>Technical split between RDS for factory Security</t>
  </si>
  <si>
    <t>UiPath</t>
  </si>
  <si>
    <t xml:space="preserve">Fixed asset + variable license price </t>
  </si>
  <si>
    <t>Support cost based on current 12 bots plus growth of 4 in 2021</t>
  </si>
  <si>
    <t>Data &amp; Analytics Just-Bi Support Professional</t>
  </si>
  <si>
    <t xml:space="preserve">Lowered support costs for 2021 </t>
  </si>
  <si>
    <t>Just-Bi</t>
  </si>
  <si>
    <t>Total annual costs would be: 1.562,000. Split between retail and Profesional: tbd</t>
  </si>
  <si>
    <t>ALM</t>
  </si>
  <si>
    <t>Reduce ALM licences</t>
  </si>
  <si>
    <t>Test Factory Utilization</t>
  </si>
  <si>
    <t>Increase 1 FTE to handle Jira and DevOps tools admin part, in 2021.</t>
  </si>
  <si>
    <t>Performance testing</t>
  </si>
  <si>
    <t>Multiple vendors</t>
  </si>
  <si>
    <t xml:space="preserve">Would like to keep this budget, as we spent 25K for Performance tests this year. Expecting demand to go higher, as we have marketed it now at different levels. </t>
  </si>
  <si>
    <t>ServiceNow licenses</t>
  </si>
  <si>
    <t>Licenses, organiz Growth + OT domain</t>
  </si>
  <si>
    <t>20k (25 licenses to cover organic growth) + 17,5k (24 licenses for OT domain; to be discussed if project covers full 2021)</t>
  </si>
  <si>
    <t xml:space="preserve">Giarte </t>
  </si>
  <si>
    <t>Cover new Languages</t>
  </si>
  <si>
    <t>to cover new languages and being aligned with Project Zeta language improvements</t>
  </si>
  <si>
    <t>ITSM</t>
  </si>
  <si>
    <t>Cover small enhancements</t>
  </si>
  <si>
    <t>ITSM small improvement budget to cover advisory/consultancy work, small PoCs and small improvements (bigger ones will go via Charters</t>
  </si>
  <si>
    <t>C4C</t>
  </si>
  <si>
    <t>Adding Brazil + reducing overall price</t>
  </si>
  <si>
    <t>No C4C in brazil as confirmed on 28-9-2020</t>
  </si>
  <si>
    <t>OBS at 500k + BT Zscaler for 4 months at 268k</t>
  </si>
  <si>
    <t>Organic growth</t>
  </si>
  <si>
    <t>Based on actuals 2020</t>
  </si>
  <si>
    <t>Premium support</t>
  </si>
  <si>
    <t>already covered by Jeroen</t>
  </si>
  <si>
    <t>Accenture Si</t>
  </si>
  <si>
    <t>Support for BT 6 months only</t>
  </si>
  <si>
    <t>6 months of activites</t>
  </si>
  <si>
    <t>SD WAN</t>
  </si>
  <si>
    <t>Move to OBS</t>
  </si>
  <si>
    <t>LAN BT</t>
  </si>
  <si>
    <t>WAN BT</t>
  </si>
  <si>
    <t>50% of the sites left for WAN BT</t>
  </si>
  <si>
    <t>Remove line, this is covered in SD WAN</t>
  </si>
  <si>
    <t>Third Party RDS Access</t>
  </si>
  <si>
    <t>Moved to EUC</t>
  </si>
  <si>
    <t>90k to EUC for third party access; the rest for factory RDS support; Category should be schanged to operations</t>
  </si>
  <si>
    <t>T&amp;M Support DirectAccess, VPN (Infra)</t>
  </si>
  <si>
    <t>Can be freed</t>
  </si>
  <si>
    <t>Audioconferencing - BT voice</t>
  </si>
  <si>
    <t>Decomissioned</t>
  </si>
  <si>
    <t>Skype for business</t>
  </si>
  <si>
    <t>Moves to teams</t>
  </si>
  <si>
    <t>This is based on EV committed for 8 months + SIP for 12 months</t>
  </si>
  <si>
    <t>Non SAP Storage</t>
  </si>
  <si>
    <t>Combined with Non SAP Operations</t>
  </si>
  <si>
    <t>Local Application Hosting Central Storage</t>
  </si>
  <si>
    <t>All storage costs combined</t>
  </si>
  <si>
    <t>EUC Storage Central</t>
  </si>
  <si>
    <t>Line to be removed, covered in central storage</t>
  </si>
  <si>
    <t>Non SAP Operations</t>
  </si>
  <si>
    <t>Non SAP storage added</t>
  </si>
  <si>
    <t>Additional license assessment</t>
  </si>
  <si>
    <t>Should belong to security</t>
  </si>
  <si>
    <t>B-lay B.V.</t>
  </si>
  <si>
    <t>MU NSSR support</t>
  </si>
  <si>
    <t>Support for factory related changes like DNS, DHCP changes</t>
  </si>
  <si>
    <t>Colocation costs</t>
  </si>
  <si>
    <t>3 Equinix sites</t>
  </si>
  <si>
    <t>Equinix</t>
  </si>
  <si>
    <t>Software assurance (StoreOnce)</t>
  </si>
  <si>
    <t>HPE</t>
  </si>
  <si>
    <t>Dataprotector annual support renewal</t>
  </si>
  <si>
    <t>Data Protector was in budget for 29K. Increased to 55K, moved budget tp oscar</t>
  </si>
  <si>
    <t>Service Now interface support</t>
  </si>
  <si>
    <t>Already covered in other change</t>
  </si>
  <si>
    <t>LAN OBS</t>
  </si>
  <si>
    <t>Move to OBS - reduce BT</t>
  </si>
  <si>
    <t>AMS / Service Desk Onboarding</t>
  </si>
  <si>
    <t>Allocate from New Service to SAP Suite / SAP Apps</t>
  </si>
  <si>
    <t>Allocating cost to existing service</t>
  </si>
  <si>
    <t>SIAMS Annual Run and onboarding costs</t>
  </si>
  <si>
    <t>Allocate from New Service to Service Now APP0000007</t>
  </si>
  <si>
    <t xml:space="preserve">Cost Center Change Connected Coffee Machines </t>
  </si>
  <si>
    <t>Moves from 68427709 to 68427719</t>
  </si>
  <si>
    <t>Niranjan Sridhar</t>
  </si>
  <si>
    <t>Cancelled as decision has been made to keep this under S&amp;O 7-10-2020</t>
  </si>
  <si>
    <t>Cost Center Change Azure CCM</t>
  </si>
  <si>
    <t>Based on current users and costs</t>
  </si>
  <si>
    <t>Koen Zweers &amp; Kelvin Divendal</t>
  </si>
  <si>
    <t>Salesforce Annual subcription and support</t>
  </si>
  <si>
    <t>Based on current users and costs.</t>
  </si>
  <si>
    <t>Including Marketing Cloud</t>
  </si>
  <si>
    <t>Click annual subscription and support</t>
  </si>
  <si>
    <t>Based on actuals which are currently 397K</t>
  </si>
  <si>
    <t>910 Field Engineers + 48 Service Operations</t>
  </si>
  <si>
    <t>SalesForce event monitoring</t>
  </si>
  <si>
    <t>Included in SELA</t>
  </si>
  <si>
    <t>New Relic</t>
  </si>
  <si>
    <t>Monitoring tool Magento Platform</t>
  </si>
  <si>
    <t xml:space="preserve">Gaurav Kumar </t>
  </si>
  <si>
    <t>Mintab cost increase</t>
  </si>
  <si>
    <t>Higher license fee</t>
  </si>
  <si>
    <t>Veerle Kerstens</t>
  </si>
  <si>
    <t>Pega License increase as of 2021</t>
  </si>
  <si>
    <t>Fee for 2021 - 2024 = 360000 vs 300000 in 2020</t>
  </si>
  <si>
    <t>Dell Boomi mcs</t>
  </si>
  <si>
    <t>Higher Fee due to Seeburger Exit</t>
  </si>
  <si>
    <t>Platform.sh</t>
  </si>
  <si>
    <t>Move from Vaimo to Platform.sh</t>
  </si>
  <si>
    <t>Vaimo Hosting</t>
  </si>
  <si>
    <t>To be decomissioned</t>
  </si>
  <si>
    <t>Vaimo</t>
  </si>
  <si>
    <t>Magento hosting</t>
  </si>
  <si>
    <t xml:space="preserve">Épi find </t>
  </si>
  <si>
    <t>epi find to professional</t>
  </si>
  <si>
    <t>Application support</t>
  </si>
  <si>
    <t>Runbook &amp; Blackline</t>
  </si>
  <si>
    <t>Microsoft azure ATP</t>
  </si>
  <si>
    <t>Protecting all active directory accounts</t>
  </si>
  <si>
    <t>Alexander Klaver</t>
  </si>
  <si>
    <t xml:space="preserve">Support </t>
  </si>
  <si>
    <t>Vulnerability Scanning</t>
  </si>
  <si>
    <t>MICR support fee (Data protector)</t>
  </si>
  <si>
    <t>Remove line, covered by Oscar? To be checked by Willem</t>
  </si>
  <si>
    <t>Now under Oscar, rolled up in other change log item</t>
  </si>
  <si>
    <t>SNOW Licenses</t>
  </si>
  <si>
    <t>Additional devices</t>
  </si>
  <si>
    <t>Valeria</t>
  </si>
  <si>
    <t>Environment Management Team Offshoring</t>
  </si>
  <si>
    <t>Moving onsite resource to offshore</t>
  </si>
  <si>
    <t>Moved under AMS contract</t>
  </si>
  <si>
    <t>Environment Management Team to S&amp;O</t>
  </si>
  <si>
    <t>EMT to move under AMS, hence changing cc 68427709</t>
  </si>
  <si>
    <t>Accenture AMS ABAP BAS</t>
  </si>
  <si>
    <t>Dedicated BAS for ABAP</t>
  </si>
  <si>
    <t>New AMS Contract</t>
  </si>
  <si>
    <t>Azure cost optimization Start</t>
  </si>
  <si>
    <t>Azure optimization for Start Tenant Brazil</t>
  </si>
  <si>
    <t>NSSR Budget increase</t>
  </si>
  <si>
    <t>Related to SIP trunking for MS Teams</t>
  </si>
  <si>
    <t>Dellboomi charging key</t>
  </si>
  <si>
    <t>Change from PC users to SAP users</t>
  </si>
  <si>
    <t xml:space="preserve">Suggest by Niranjan to compensate Seeburger </t>
  </si>
  <si>
    <t xml:space="preserve">Store once </t>
  </si>
  <si>
    <t>Move to Storage GL</t>
  </si>
  <si>
    <t>Microsoft teams support</t>
  </si>
  <si>
    <t>Support costs</t>
  </si>
  <si>
    <t>Henk Kamp</t>
  </si>
  <si>
    <t>Licenses are covered in Microsoft contract?</t>
  </si>
  <si>
    <t xml:space="preserve">Change charging key to central finance </t>
  </si>
  <si>
    <t>Change charging key to DTC</t>
  </si>
  <si>
    <t>Defender ATP</t>
  </si>
  <si>
    <t>Additional Support Hours Its Value</t>
  </si>
  <si>
    <t>Additional Support hours</t>
  </si>
  <si>
    <t>SIAMS Onboarding</t>
  </si>
  <si>
    <t xml:space="preserve">Lesser amount of onboarding expected, lower rates </t>
  </si>
  <si>
    <t>SIAMS runrate</t>
  </si>
  <si>
    <t>Actual Rates slightly lower</t>
  </si>
  <si>
    <t>Bas Services</t>
  </si>
  <si>
    <t>Slightly better rates</t>
  </si>
  <si>
    <t>User Management Services</t>
  </si>
  <si>
    <t>Reduced effort, lower rate</t>
  </si>
  <si>
    <t>Account Management Services</t>
  </si>
  <si>
    <t>Rolled up under Foundational Services</t>
  </si>
  <si>
    <t>Connectivity</t>
  </si>
  <si>
    <t>Monitoring and Release Management Services</t>
  </si>
  <si>
    <t>Incident Management Services</t>
  </si>
  <si>
    <t>Lower rates</t>
  </si>
  <si>
    <t>Website Support</t>
  </si>
  <si>
    <t>Split into Core and Enhancement Services</t>
  </si>
  <si>
    <t>Enhancement services</t>
  </si>
  <si>
    <t>Foundational Services</t>
  </si>
  <si>
    <t>Includes Acc Man, Compliance, Monitoring, EMT, Connectivity</t>
  </si>
  <si>
    <t>Service Reliability Engineers</t>
  </si>
  <si>
    <t>Embedded Automation tema within AMS</t>
  </si>
  <si>
    <t>Core AMS - Enhancement Services – AM – Digital</t>
  </si>
  <si>
    <t>Appl. Development Enhancement Services – SAP/NSA</t>
  </si>
  <si>
    <t>New line for Application Development SAP / NSA</t>
  </si>
  <si>
    <t>Appl. Development Enhancement Services – Digital</t>
  </si>
  <si>
    <t>New line for Application Development Websites</t>
  </si>
  <si>
    <t>Azure Professional Website hosting</t>
  </si>
  <si>
    <t>Additonal professional websites to be hosted</t>
  </si>
  <si>
    <t>As a result of the growth in eCommerce for Professional infrastructure changes are required that will result in an increase in hosting costs</t>
  </si>
  <si>
    <t>Netwrix</t>
  </si>
  <si>
    <t>Wrongly budgetted</t>
  </si>
  <si>
    <t>Seems to be a  3 year budget</t>
  </si>
  <si>
    <t>Symantec Premium SSL</t>
  </si>
  <si>
    <t>Last Po and invoice was in 2015</t>
  </si>
  <si>
    <t>Taking out of the budget</t>
  </si>
  <si>
    <t>WebTMS</t>
  </si>
  <si>
    <t>Apparently budget sits with business</t>
  </si>
  <si>
    <t>Budget sits with business</t>
  </si>
  <si>
    <t>E-Plan</t>
  </si>
  <si>
    <t>Budget still local</t>
  </si>
  <si>
    <t>Budget sits local</t>
  </si>
  <si>
    <t>Increased usage did not materialize in 2020</t>
  </si>
  <si>
    <t>No increase in cost in 2021</t>
  </si>
  <si>
    <t>PW Consulting SAS</t>
  </si>
  <si>
    <t>SAS</t>
  </si>
  <si>
    <t>Oracle: Java components coming under licenses</t>
  </si>
  <si>
    <t>Risk is not matrializing</t>
  </si>
  <si>
    <t>No costs seen in 2020</t>
  </si>
  <si>
    <t>IQS</t>
  </si>
  <si>
    <t>Budget either local or central business, only UK using it</t>
  </si>
  <si>
    <t>Global Waterfall</t>
  </si>
  <si>
    <t>original budget was in Canadian dollars instead of euro</t>
  </si>
  <si>
    <t>Correcting Budget</t>
  </si>
  <si>
    <t>Excise Duty Support</t>
  </si>
  <si>
    <t>No longer needed in separte contract</t>
  </si>
  <si>
    <t>No longer needed in 2021</t>
  </si>
  <si>
    <t>Actemium - Mobile scanning RFGEN</t>
  </si>
  <si>
    <t>Bringing budget in line with actuals as former budgets are too high</t>
  </si>
  <si>
    <t>Bringing in line budget in line with actuals.</t>
  </si>
  <si>
    <t>1Sync</t>
  </si>
  <si>
    <t>Renegotiated terms and scope</t>
  </si>
  <si>
    <t xml:space="preserve">was a bit overbudgetted as well </t>
  </si>
  <si>
    <t>Lumira Licenses</t>
  </si>
  <si>
    <t>Adjusting budget to reflect Appendix 18</t>
  </si>
  <si>
    <t>Lease Accounting Usage / Subscription</t>
  </si>
  <si>
    <t>Rolled up in SAP Appendix 20, taking separte line out</t>
  </si>
  <si>
    <t>Part of Sap appendix 20</t>
  </si>
  <si>
    <t>Split SF MC cost professional &amp; retail</t>
  </si>
  <si>
    <t>Technical split to better allocate Marketing Cloud Cost and added charging key SF users instead of pc uers</t>
  </si>
  <si>
    <t>Managed Service Security Qsight (SOC)</t>
  </si>
  <si>
    <t>Moved to Security GL</t>
  </si>
  <si>
    <t>Oracle PLM - Full Licenses</t>
  </si>
  <si>
    <t>Cancelled contract for 150 licenses (6711621)</t>
  </si>
  <si>
    <t>Budget was too high + cancellation of 1 PLM contract (90K)</t>
  </si>
  <si>
    <t>Oracle PLM - Reader Licenses</t>
  </si>
  <si>
    <t>Additional Licenses Supergroup (18829631)</t>
  </si>
  <si>
    <t>Reducing budget to be in line with actuals</t>
  </si>
  <si>
    <t>To reflect Ops budget only. Dev budget will be paid by Professional centrally</t>
  </si>
  <si>
    <t>MC costs Professional</t>
  </si>
  <si>
    <t>Increase due to additional costs for Spain</t>
  </si>
  <si>
    <t>SAS Visual Analytics</t>
  </si>
  <si>
    <t>License and price increase</t>
  </si>
  <si>
    <t>Based on last invoice</t>
  </si>
  <si>
    <t>Website hosting cost</t>
  </si>
  <si>
    <t>Additional costs for website hosting on Azure</t>
  </si>
  <si>
    <t>Data &amp; Analytics Just-Bi Support Retail</t>
  </si>
  <si>
    <t xml:space="preserve">Increased support costs for 2021 </t>
  </si>
  <si>
    <t>Reallocation of costs + increased scope Just-BI</t>
  </si>
  <si>
    <t>Awareness Campaign</t>
  </si>
  <si>
    <t>Adjusted during AOP discussions with Finance</t>
  </si>
  <si>
    <t>Cancelled during AOP discussions with finance</t>
  </si>
  <si>
    <t>Vulnerability scanning: CIS SecureSuite</t>
  </si>
  <si>
    <t>Microsoft True-Up (Year 1)</t>
  </si>
  <si>
    <t>Additional License Assessment</t>
  </si>
  <si>
    <t xml:space="preserve">Compliance support </t>
  </si>
  <si>
    <t>RDS cost Accenture</t>
  </si>
  <si>
    <t>Adjusted during AOP discussions</t>
  </si>
  <si>
    <t>Videoconferencing Kinly</t>
  </si>
  <si>
    <t>Legisway</t>
  </si>
  <si>
    <t>Increased License count</t>
  </si>
  <si>
    <t>Additional users using this application</t>
  </si>
  <si>
    <t>Additional usage + other Service Model</t>
  </si>
  <si>
    <t>Lisete Otten</t>
  </si>
  <si>
    <t>SAFE booking Tool</t>
  </si>
  <si>
    <t>New application to book desk &amp; trace contact during COVID-19. 6000 users scope</t>
  </si>
  <si>
    <t>Condeco</t>
  </si>
  <si>
    <t>Philippe Piso</t>
  </si>
  <si>
    <t xml:space="preserve">Can be extended to other countries or globally. </t>
  </si>
  <si>
    <t>C4C Licenses SAP</t>
  </si>
  <si>
    <t>Renegotiated contract eo 202</t>
  </si>
  <si>
    <t>Renegotiated contract</t>
  </si>
  <si>
    <t>Splunk Subscriptions</t>
  </si>
  <si>
    <t>Advanced Monitoring on SAP and Infrastructure (Via AMS)</t>
  </si>
  <si>
    <t>Splunk</t>
  </si>
  <si>
    <t>Storage &amp; Transaction fees extended splunk</t>
  </si>
  <si>
    <t>Influe</t>
  </si>
  <si>
    <t>Higher run rate based on actuals</t>
  </si>
  <si>
    <t>Based on actual PO value</t>
  </si>
  <si>
    <t>SAP Appendix 23</t>
  </si>
  <si>
    <t>Missed Oracle / Hana Fees after license Swap</t>
  </si>
  <si>
    <t>Once off charge due to missed Hana / Oracle Fees, needed for swapping licenses</t>
  </si>
  <si>
    <t>Concur</t>
  </si>
  <si>
    <t>Adjusted AOP based on actuals</t>
  </si>
  <si>
    <t>Security Awareness Training</t>
  </si>
  <si>
    <t>Move under GL 485073034</t>
  </si>
  <si>
    <t>Sans</t>
  </si>
  <si>
    <t>Marcel van Leent</t>
  </si>
  <si>
    <t>Should be under security</t>
  </si>
  <si>
    <t>SafeFood</t>
  </si>
  <si>
    <t>R&amp;D Vendor Quality Management Implementation.</t>
  </si>
  <si>
    <t>Saas solution signed by business. Based on 1000 vendors by q4 2021</t>
  </si>
  <si>
    <t>PLM Hamilton Grand</t>
  </si>
  <si>
    <t>R&amp;D the single source of truth for product information (materials, nutrition, packaging, product data)</t>
  </si>
  <si>
    <t>Saas solution signed by business</t>
  </si>
  <si>
    <t>Oracle PLM reader Licenses</t>
  </si>
  <si>
    <t>Decommissioning Oracle contract 6293608 due to Hamilton Grand Roll Out</t>
  </si>
  <si>
    <t>Oracle PLM Full Licenses</t>
  </si>
  <si>
    <t>Decommissioning Oracle contract 10621818 due to Hamilton Grand Roll Out</t>
  </si>
  <si>
    <t>PLM Support Kalypso</t>
  </si>
  <si>
    <t>Decommissioning due to Hamilton Grand Roll Out</t>
  </si>
  <si>
    <t>Oracle Rebudgetting</t>
  </si>
  <si>
    <t>5. Polish license – Database (9526212)</t>
  </si>
  <si>
    <t>Decommissioned</t>
  </si>
  <si>
    <t>3. Oracle Maintenance TAS/Influe Rename :5829345 Oracle Database Enterprise Edtiion - Named User Plus Perpetual</t>
  </si>
  <si>
    <t>Renamed According to Oracle Contract + Inflation</t>
  </si>
  <si>
    <t>4. BI and Database licenses Rename :5850883 Oracle Database Enterprise Edition - Named user Plus</t>
  </si>
  <si>
    <t>Renamed According to Oracle Contract + License reduction</t>
  </si>
  <si>
    <t>6. Database EE Proc licenses Rename :5950219 Oracle Database Enterprise Edition - Processor Perpetual</t>
  </si>
  <si>
    <t>Partitioning and DB standard edition Rename :15189452 Oracle Database Standard Edition 2 - Processor Perpetual</t>
  </si>
  <si>
    <t>8. Oracle Maintenance SAP Rename :10615492 Oracle Database Enterprise Edition - Processor Perpetual</t>
  </si>
  <si>
    <t>Renamed According to Oracle Contract + Correction Amount</t>
  </si>
  <si>
    <t>2. Denmark licenses (DB and OLAP) Rename :5645063 Oracle Database Enterprise Edition 50 NUP Licenses Perpetual</t>
  </si>
  <si>
    <t>5651323 Oracle Database Standard Edition One - Oracle 1-Click Ordering Program - Processor Perpetual</t>
  </si>
  <si>
    <t>Oracle OTM Rename :8308059 Oracle EBS Transportation Management</t>
  </si>
  <si>
    <t>Project Link (Pega)</t>
  </si>
  <si>
    <t>Additional workflows on pega system</t>
  </si>
  <si>
    <t>Pega</t>
  </si>
  <si>
    <t>Signed by business</t>
  </si>
  <si>
    <t>Digital MOS</t>
  </si>
  <si>
    <t>9 sites charge out to factories</t>
  </si>
  <si>
    <t>MOS</t>
  </si>
  <si>
    <t>Murat</t>
  </si>
  <si>
    <t>Exact charge out to be confirmed by Murat</t>
  </si>
  <si>
    <t>SAP security add on</t>
  </si>
  <si>
    <t>Protect4S, Main focus on SAP hardening and vulnerability management</t>
  </si>
  <si>
    <t>Will be included in project budget</t>
  </si>
  <si>
    <t>SAP CDP Project Support</t>
  </si>
  <si>
    <t>CW5465 SAP CDP Project Support</t>
  </si>
  <si>
    <t>Jira License increase</t>
  </si>
  <si>
    <t>Increase userbase from 400 to 500 + additional plug ins</t>
  </si>
  <si>
    <t>MES</t>
  </si>
  <si>
    <t>New</t>
  </si>
  <si>
    <t>Murat Celik</t>
  </si>
  <si>
    <t>EPL</t>
  </si>
  <si>
    <t>Error proof Loading. New</t>
  </si>
  <si>
    <t>Sendgrid</t>
  </si>
  <si>
    <t>Now separated with Microsoft contract (5400849200)</t>
  </si>
  <si>
    <t>Sendgrit</t>
  </si>
  <si>
    <t>Hugo Plaisier</t>
  </si>
  <si>
    <t>Pack Flow 1.0 Still in use</t>
  </si>
  <si>
    <t>Livecom</t>
  </si>
  <si>
    <t>Apparantly this was not decommissioned after Pega Go live</t>
  </si>
  <si>
    <t>Generix</t>
  </si>
  <si>
    <t>Matching budget with actual costs - double entry</t>
  </si>
  <si>
    <t>Remove DXC costs succesfactors</t>
  </si>
  <si>
    <t>No DXC support for succesfactors, this is included in AMS contract</t>
  </si>
  <si>
    <t>DXC</t>
  </si>
  <si>
    <t>DAM licences</t>
  </si>
  <si>
    <t>Digital Asset Management Charge to central DTC</t>
  </si>
  <si>
    <t>These cost will be taken by Central Marketing Dpt as confirmend on 31-8-2021</t>
  </si>
  <si>
    <t xml:space="preserve">Google translate api </t>
  </si>
  <si>
    <t>Ongoing costs. Project Murat to be charged to R&amp;d</t>
  </si>
  <si>
    <t>Vendor code change</t>
  </si>
  <si>
    <t>Changed vendor code Accenture from 118255 to 187516</t>
  </si>
  <si>
    <t>Connected Samba</t>
  </si>
  <si>
    <t>Run costs connected Samba project</t>
  </si>
  <si>
    <t xml:space="preserve">Infinium </t>
  </si>
  <si>
    <t>Corine Beerepoot</t>
  </si>
  <si>
    <t>SAP Cloud Enterprise Agreement</t>
  </si>
  <si>
    <t>Change in Contract setup with SAP</t>
  </si>
  <si>
    <t>Old contract and subscription no longer used, moved to consumption based enterprise contract</t>
  </si>
  <si>
    <t>Azure websites increase</t>
  </si>
  <si>
    <t>representing actuals</t>
  </si>
  <si>
    <t>600K actuals + 50K for growth</t>
  </si>
  <si>
    <t>Split for azure website costs between Retail and professional</t>
  </si>
  <si>
    <t>All website costs are tagged to retail, while 15% of the costs are related to professional</t>
  </si>
  <si>
    <t xml:space="preserve">Smart recruiters </t>
  </si>
  <si>
    <t>contract extension</t>
  </si>
  <si>
    <t>Smart Recruiters</t>
  </si>
  <si>
    <t>licence</t>
  </si>
  <si>
    <t>VPN</t>
  </si>
  <si>
    <t xml:space="preserve">Replacement of SoW 30 VPN implementation van ACN </t>
  </si>
  <si>
    <t>Jeroen/Hugo</t>
  </si>
  <si>
    <t>Ariba contract change</t>
  </si>
  <si>
    <t>Global roll out</t>
  </si>
  <si>
    <t>Stan</t>
  </si>
  <si>
    <t>Ariba support</t>
  </si>
  <si>
    <t>Move support from Key user procerement to accenture</t>
  </si>
  <si>
    <t>Miro</t>
  </si>
  <si>
    <t>Miro collaboartion tooling. 30 licences for Uk&amp;I</t>
  </si>
  <si>
    <t>Licence</t>
  </si>
  <si>
    <t>7600 for UK &amp; I. Adding budget to gather to roll out for other countries</t>
  </si>
  <si>
    <t xml:space="preserve">Platform.sh </t>
  </si>
  <si>
    <t>Insufficient solution sizing</t>
  </si>
  <si>
    <t>Eelke</t>
  </si>
  <si>
    <t>Skype</t>
  </si>
  <si>
    <t>Decomission Skype</t>
  </si>
  <si>
    <t>Changed to teams</t>
  </si>
  <si>
    <t>Saviynt</t>
  </si>
  <si>
    <t>As discussed with Marcel and Carloyn on 7-9-2021</t>
  </si>
  <si>
    <t>Transition to Support Saviynt</t>
  </si>
  <si>
    <t>Needs to part of the project, discussed with Carolyn on 6-9-2021</t>
  </si>
  <si>
    <t>Teams direct Routing</t>
  </si>
  <si>
    <t>BT costs for roll out of Teams</t>
  </si>
  <si>
    <t>Robbert/Henk Kamp</t>
  </si>
  <si>
    <t>Includes gateways, porting, routing</t>
  </si>
  <si>
    <t>Additional internet lines for teams</t>
  </si>
  <si>
    <t>Microsoft Teams</t>
  </si>
  <si>
    <t>Licences</t>
  </si>
  <si>
    <t>Part of microsoft contract</t>
  </si>
  <si>
    <t>Additional storage needed (based on actuals)</t>
  </si>
  <si>
    <t>Decomissioned. We keep it for auditing purposed only. No licences needed</t>
  </si>
  <si>
    <t>Vanessa</t>
  </si>
  <si>
    <t>Decomissioned (replaiced by Aico)</t>
  </si>
  <si>
    <t>Release Management Support Cornerstone</t>
  </si>
  <si>
    <t>Release Management Support Cornerstone. According to actuals</t>
  </si>
  <si>
    <t>Performance, Talent, Succession, Development modules + extension compensation</t>
  </si>
  <si>
    <t>SuccessFactors</t>
  </si>
  <si>
    <t>AMS Succesfactors support increase</t>
  </si>
  <si>
    <t>Support Accenture AMS Talent &amp; performance Successfactors (0,5 fte)</t>
  </si>
  <si>
    <t>Cornerstone performance &amp; Talent</t>
  </si>
  <si>
    <t>Decommissioning Performance module (March 2022)</t>
  </si>
  <si>
    <t>Cornerstone</t>
  </si>
  <si>
    <t>Cruncr</t>
  </si>
  <si>
    <t>Discount due to functionality decommissioned</t>
  </si>
  <si>
    <t>Convercent (helpline)</t>
  </si>
  <si>
    <t>APP002908</t>
  </si>
  <si>
    <t>Helpline</t>
  </si>
  <si>
    <t>No IT contract should this be in AOP?</t>
  </si>
  <si>
    <t>Edicom split</t>
  </si>
  <si>
    <t>Splitting EDI vendor edicom for better transparancy</t>
  </si>
  <si>
    <t>Edicom</t>
  </si>
  <si>
    <t>Moved to Kelvin</t>
  </si>
  <si>
    <t>Name change to CX social</t>
  </si>
  <si>
    <t>Clarabridge</t>
  </si>
  <si>
    <t>Development team digital</t>
  </si>
  <si>
    <t>Move from Agile Office to Operations</t>
  </si>
  <si>
    <t>Capepack</t>
  </si>
  <si>
    <t>Missing in AOP - new app to replace the old one</t>
  </si>
  <si>
    <t>Cape systems ESKO</t>
  </si>
  <si>
    <t>SIAM onboarding costs</t>
  </si>
  <si>
    <t xml:space="preserve">Remove line. Included in run costs. </t>
  </si>
  <si>
    <t>Michal</t>
  </si>
  <si>
    <t>SIAM runcosts</t>
  </si>
  <si>
    <t>Reduced due to contract negotiations</t>
  </si>
  <si>
    <t>95K Adding additional functionality QBR and education</t>
  </si>
  <si>
    <t>Upgraded to Pro + additional licences for compliance</t>
  </si>
  <si>
    <t>Servicenow</t>
  </si>
  <si>
    <t>Additional requirements regarding interfaces</t>
  </si>
  <si>
    <t>Additional licences</t>
  </si>
  <si>
    <t>Gagandeep</t>
  </si>
  <si>
    <t xml:space="preserve">Snow </t>
  </si>
  <si>
    <t>According to actuals</t>
  </si>
  <si>
    <t>Van Sambeek Org Adviesbureau B.V.</t>
  </si>
  <si>
    <t>Change GL account SAP SSR ATOS</t>
  </si>
  <si>
    <t>Change from 485073033 to 485073030</t>
  </si>
  <si>
    <t>Mismatch budgetting vs actual postings</t>
  </si>
  <si>
    <t>Disaster Recovery Test</t>
  </si>
  <si>
    <t>Decommission this line as this is part of regular service</t>
  </si>
  <si>
    <t>Rolled up in SAP Operations</t>
  </si>
  <si>
    <t>SSR Non-Sap</t>
  </si>
  <si>
    <t>Increase line to mirror SAP amount</t>
  </si>
  <si>
    <t>Adjusted and renamed due to re-contracting with Atos</t>
  </si>
  <si>
    <t>Includes SAP Infrastructure, Storage, Tech. Application Mngt, Batch management</t>
  </si>
  <si>
    <t>Non Standard Services (F5)</t>
  </si>
  <si>
    <t xml:space="preserve">Consolidate into Non-Sap Service line </t>
  </si>
  <si>
    <t>Follow Guidance from Oscar on other change log item</t>
  </si>
  <si>
    <t>Hosting Generic Infrastructure</t>
  </si>
  <si>
    <t>Non-Sap Operations</t>
  </si>
  <si>
    <t>Includes Non-sap Infra, VoC Hotel, Storage, Service Management and Co location service</t>
  </si>
  <si>
    <t>Bonus Atos</t>
  </si>
  <si>
    <t>2% of annual contract value can be awarded</t>
  </si>
  <si>
    <t>Needs to be accrued Seperately</t>
  </si>
  <si>
    <t>XDR (E5 security suite estimate)</t>
  </si>
  <si>
    <t>New XDR solution which is replacing Symantec</t>
  </si>
  <si>
    <t>Email protection</t>
  </si>
  <si>
    <t>Email protection to protect against phishing, spam and malware (MS lacks proper tool, TrendMicro has capabilities which can make this obsolete)</t>
  </si>
  <si>
    <t>Symantec Advanced Threat Protection</t>
  </si>
  <si>
    <t>Will be replaced by XDR</t>
  </si>
  <si>
    <t>Insight Enterprise Netherlands B.V.</t>
  </si>
  <si>
    <t>Symantec end point protection Global</t>
  </si>
  <si>
    <t>Security Operations Centre Services</t>
  </si>
  <si>
    <t>SOC services cost will drop year over year due to automation and usecase implementation</t>
  </si>
  <si>
    <t>Awaiting input Marcel</t>
  </si>
  <si>
    <t>Azure ATP Licences</t>
  </si>
  <si>
    <t>Azure ATP licenses change to: defender for identities Onderdeel van microsoft contract dus line deleten en toevoegen bij Oscar</t>
  </si>
  <si>
    <t>Managed Service Security Qsight (SOC) KPN</t>
  </si>
  <si>
    <t>Service will be stopped as this will be taken over by Accenture</t>
  </si>
  <si>
    <t>SOC</t>
  </si>
  <si>
    <t>Blue Prism (Robotics)</t>
  </si>
  <si>
    <t>Remainder of BluePrism contract. Blueprism will be terminated in May 2022</t>
  </si>
  <si>
    <t>IBM</t>
  </si>
  <si>
    <t>Uipath licenses</t>
  </si>
  <si>
    <t>Assuming move towards UiPath SaaS instead of on Prem and increase in dev and robot licenses</t>
  </si>
  <si>
    <t>Github</t>
  </si>
  <si>
    <t>According to actuals + additional users</t>
  </si>
  <si>
    <t>Dell Boomi Support</t>
  </si>
  <si>
    <t>Additional developers for migration to Dell boomi</t>
  </si>
  <si>
    <t>Roberto</t>
  </si>
  <si>
    <t>Ipaas Dell Boomi Licences</t>
  </si>
  <si>
    <t>According to new contract / additional licences</t>
  </si>
  <si>
    <t>Dell</t>
  </si>
  <si>
    <t>Seeburger EDI</t>
  </si>
  <si>
    <t>Solace Platform</t>
  </si>
  <si>
    <t>New platform for transffering data</t>
  </si>
  <si>
    <t>Solace</t>
  </si>
  <si>
    <t>Microsoft Azure: Magento hosting</t>
  </si>
  <si>
    <t>Storage usage way higher than anticipated during RFP</t>
  </si>
  <si>
    <t>NewRelic</t>
  </si>
  <si>
    <t>Less functionality used</t>
  </si>
  <si>
    <t>Newrelic</t>
  </si>
  <si>
    <t>Increase in websites</t>
  </si>
  <si>
    <t>310 websites under support</t>
  </si>
  <si>
    <t>According to actuals (BAS hours not charged on projects)</t>
  </si>
  <si>
    <t>0,5 FTE Pega, 0,5 FTE intranet and abab Bas (2.0 FTE offshore)</t>
  </si>
  <si>
    <t>Pega project link support 10K, 60K for succesfactors/HR</t>
  </si>
  <si>
    <t>Pega project link enhancement support 30K +50K enhancement support HR/succesfactors, 10k for IAM</t>
  </si>
  <si>
    <t>UAM requests</t>
  </si>
  <si>
    <t>Increase in UAM requests</t>
  </si>
  <si>
    <t>Increase in monitoring, SF resource and compliance scope + splunk support</t>
  </si>
  <si>
    <t>Rename</t>
  </si>
  <si>
    <t>Rename network services BT to Network services</t>
  </si>
  <si>
    <t>Orange Business Netherlands B.V.</t>
  </si>
  <si>
    <t>Based on quote</t>
  </si>
  <si>
    <t>Security-factories</t>
  </si>
  <si>
    <t>Recontracted with OBS</t>
  </si>
  <si>
    <t>New line item Recontracted with OBS</t>
  </si>
  <si>
    <t>Change vendor from BT to Orange</t>
  </si>
  <si>
    <t>New linte item: change vendor to orange</t>
  </si>
  <si>
    <t>New line item: OBS</t>
  </si>
  <si>
    <t>Sdriguess</t>
  </si>
  <si>
    <t>Added small Amount for Teams</t>
  </si>
  <si>
    <t>Tdriguesa</t>
  </si>
  <si>
    <t xml:space="preserve">Mdrigues </t>
  </si>
  <si>
    <t>According to new contract and including Microsoft teams &amp; defender for identity (security suite)</t>
  </si>
  <si>
    <t>Microsoft Azure: EUS / Infra</t>
  </si>
  <si>
    <t>Microsoft Azure: CCM</t>
  </si>
  <si>
    <t>Rename to:Microsoft Azure : CTS_IOT'</t>
  </si>
  <si>
    <t>Microsoft Azure: Start (Brazil)</t>
  </si>
  <si>
    <t>Based on actuals</t>
  </si>
  <si>
    <t>Microsoft Azure: Azure Marketplace</t>
  </si>
  <si>
    <t>New row added</t>
  </si>
  <si>
    <t>Microsoft Azure: Data &amp; Analytics</t>
  </si>
  <si>
    <t>Rename: Microsoft Azure : Human Data</t>
  </si>
  <si>
    <t>Microsoft Azure: ACN_SPLUNK-Prod</t>
  </si>
  <si>
    <t>Microsoft Azure: ACN_RAS</t>
  </si>
  <si>
    <t>Microsoft Azure: ACN_SOC-IT</t>
  </si>
  <si>
    <t>Move ownership to Kelvin</t>
  </si>
  <si>
    <t>Increased for the MS Unify product (premier support is not offered any  longer)</t>
  </si>
  <si>
    <t>Service Integration</t>
  </si>
  <si>
    <t>Estimate based on continuation of the last part of BT's network services into 2022</t>
  </si>
  <si>
    <t>Rename to WAN - OBS</t>
  </si>
  <si>
    <t>Network SSR's &amp; NSSR's</t>
  </si>
  <si>
    <t>Change supplier to OBS</t>
  </si>
  <si>
    <t>NdriguesN</t>
  </si>
  <si>
    <t>Reduced because moving to OBS</t>
  </si>
  <si>
    <t>Based on forecast from OBS</t>
  </si>
  <si>
    <t>Support increased because servers increased</t>
  </si>
  <si>
    <t>Remove line item (double entry?)</t>
  </si>
  <si>
    <t>Skype for Business: rename to Teams direct routing</t>
  </si>
  <si>
    <t>Non-Standard Services (F5)</t>
  </si>
  <si>
    <t>Remove line as Atos is not responsible for this</t>
  </si>
  <si>
    <t>Non-Standard Services (StoreOnce + StorSimple)</t>
  </si>
  <si>
    <t xml:space="preserve">Remove storsimple from name </t>
  </si>
  <si>
    <t>HP</t>
  </si>
  <si>
    <t>Open Text Coöperatief U.A.</t>
  </si>
  <si>
    <t>The amount is higher because of a new way of counting the manner in which data storage is counted</t>
  </si>
  <si>
    <t xml:space="preserve">MICRdrigues </t>
  </si>
  <si>
    <t>Adobe Design</t>
  </si>
  <si>
    <t>Increase in users</t>
  </si>
  <si>
    <t>Not all Mus are using it. Therfore amount reduced</t>
  </si>
  <si>
    <t>Enterprise voice support - NSSRs or minor modifications</t>
  </si>
  <si>
    <t>new line item</t>
  </si>
  <si>
    <t>Skype for Business SSR's &amp; NSSR's</t>
  </si>
  <si>
    <t>rename to: Teams direct Routing - NSSRs</t>
  </si>
  <si>
    <t>Enterprise voice support</t>
  </si>
  <si>
    <t>New line item Support accenture</t>
  </si>
  <si>
    <t>ProCampaign</t>
  </si>
  <si>
    <t>SalesForce Return Path (Sender Domain Management )</t>
  </si>
  <si>
    <t>SAP APO additional dev capacity</t>
  </si>
  <si>
    <t>Continuation of change log in AOP22 file</t>
  </si>
  <si>
    <t>Oasis transition to support</t>
  </si>
  <si>
    <t>Once off</t>
  </si>
  <si>
    <t>Curvature</t>
  </si>
  <si>
    <t>Not decomissioned yet</t>
  </si>
  <si>
    <t>SAP APO</t>
  </si>
  <si>
    <t>Additional dev capacity</t>
  </si>
  <si>
    <t>Rory</t>
  </si>
  <si>
    <t>Metapack for Pudo services</t>
  </si>
  <si>
    <t>to be able to slect pick up points</t>
  </si>
  <si>
    <t xml:space="preserve">SPSS </t>
  </si>
  <si>
    <t xml:space="preserve">Annual upgrade </t>
  </si>
  <si>
    <t>Additional landscpae for annual upgrade</t>
  </si>
  <si>
    <t>D&amp;A retail support</t>
  </si>
  <si>
    <t>18 additional dashboards to support. Adding 2 support FTE</t>
  </si>
  <si>
    <t>Dar Sias</t>
  </si>
  <si>
    <t>To be confirmed tomorrow</t>
  </si>
  <si>
    <t>Power Bi</t>
  </si>
  <si>
    <t>Licence increase</t>
  </si>
  <si>
    <t>Licence increase + SAC POC</t>
  </si>
  <si>
    <t>Decrease in licences and negotiating of the contract</t>
  </si>
  <si>
    <t>Kelvin/Koen</t>
  </si>
  <si>
    <t>Actuals 1,360,000 -&gt; 140k buffer included. Additional users for CH/FR in project budget / renegotiation per november '22 required; to be catered for potential</t>
  </si>
  <si>
    <t>Salesforce Marketing Cloud Licenses Professional</t>
  </si>
  <si>
    <t>Decrease in licences</t>
  </si>
  <si>
    <t>Click Annual Subscription</t>
  </si>
  <si>
    <t>according to actuals</t>
  </si>
  <si>
    <t>Coens</t>
  </si>
  <si>
    <t>Epifind</t>
  </si>
  <si>
    <t>Increase. Move ownership to Kelvin</t>
  </si>
  <si>
    <t>Company.info</t>
  </si>
  <si>
    <t>New tool: Credit checks</t>
  </si>
  <si>
    <t>Company</t>
  </si>
  <si>
    <t>Sonar Cloud</t>
  </si>
  <si>
    <t>New tool</t>
  </si>
  <si>
    <t>Sonar</t>
  </si>
  <si>
    <t>Kendis</t>
  </si>
  <si>
    <t xml:space="preserve">PACKFLOW 2.0 </t>
  </si>
  <si>
    <t>Only used by Russia, replaced by Syncforce</t>
  </si>
  <si>
    <t>PACKFLOW</t>
  </si>
  <si>
    <t xml:space="preserve">Syncforce support </t>
  </si>
  <si>
    <t>Global Water fall (GWF) + IQS</t>
  </si>
  <si>
    <t>Glikl</t>
  </si>
  <si>
    <t>Goldfire application</t>
  </si>
  <si>
    <t>Starlims</t>
  </si>
  <si>
    <t>Change charge to SAP users</t>
  </si>
  <si>
    <t>Boost.AI</t>
  </si>
  <si>
    <t>Virtual assistant / chatbot</t>
  </si>
  <si>
    <t>Bas vredenburg</t>
  </si>
  <si>
    <t>Slight decrease expected based on internalization</t>
  </si>
  <si>
    <t>PivendalO</t>
  </si>
  <si>
    <t>Kelvin Divendal</t>
  </si>
  <si>
    <t>Litmus / E-mail on Acid</t>
  </si>
  <si>
    <t>New Application</t>
  </si>
  <si>
    <t>Livendalo</t>
  </si>
  <si>
    <t>PEGA CoffeeCare</t>
  </si>
  <si>
    <t>Upgrade budget</t>
  </si>
  <si>
    <t>PEGA</t>
  </si>
  <si>
    <t>PEGA LINK</t>
  </si>
  <si>
    <t>AutoCad suite</t>
  </si>
  <si>
    <t>Aochemst</t>
  </si>
  <si>
    <t>SAS VA</t>
  </si>
  <si>
    <t>workplace</t>
  </si>
  <si>
    <t>SuccessFactors Charging</t>
  </si>
  <si>
    <t>Changing Charging Key to SAP Users</t>
  </si>
  <si>
    <t>Sepeveenh</t>
  </si>
  <si>
    <t>CSI EUS/INFRA</t>
  </si>
  <si>
    <t>Ian</t>
  </si>
  <si>
    <t>Epi server</t>
  </si>
  <si>
    <t>Trax</t>
  </si>
  <si>
    <t>Recurring costs for integration</t>
  </si>
  <si>
    <t>Cesare</t>
  </si>
  <si>
    <t>Taken out of AOP because there is no APP ID</t>
  </si>
  <si>
    <t>Workplace Charging</t>
  </si>
  <si>
    <t>Change from central charge to user charge</t>
  </si>
  <si>
    <t>As discussed with Michal Orr and confirmed on 31-8-2021</t>
  </si>
  <si>
    <t xml:space="preserve">Apptus/Conga Technical Upgrades 2022 </t>
  </si>
  <si>
    <t>Apptus upgrades / life cycle management moving from IT4IT to operations</t>
  </si>
  <si>
    <t>Coming from IT4IT discussion on 9-9-2021: Taken out again based on request from 13-9-2021; Included again on 29-9-2021</t>
  </si>
  <si>
    <t>Editel CZ, s.r.o.</t>
  </si>
  <si>
    <t>Budget moves to local</t>
  </si>
  <si>
    <t>Editel</t>
  </si>
  <si>
    <t>Grit, s.r.o.</t>
  </si>
  <si>
    <t>Editel AT</t>
  </si>
  <si>
    <t>Editel CZ</t>
  </si>
  <si>
    <t>EDI: Edicom</t>
  </si>
  <si>
    <t>No further changes</t>
  </si>
  <si>
    <t>Epi Find Licences</t>
  </si>
  <si>
    <t>Add new app id for professional webshops so that only 4 countries will be charged</t>
  </si>
  <si>
    <t>Leonie van Ham</t>
  </si>
  <si>
    <t>Leonie discussed this with Kelvin and we will leave it for this year</t>
  </si>
  <si>
    <t>Icron (replacement of caloc licencs &amp; support)</t>
  </si>
  <si>
    <t xml:space="preserve">Saas solution. </t>
  </si>
  <si>
    <t>Icron</t>
  </si>
  <si>
    <t xml:space="preserve">Including support. 300K licence and 29k is hosting. </t>
  </si>
  <si>
    <t>Caloc maintenance</t>
  </si>
  <si>
    <t>Replaced by Icron</t>
  </si>
  <si>
    <t>Caloc</t>
  </si>
  <si>
    <t>Caloc support</t>
  </si>
  <si>
    <t>Zylab France</t>
  </si>
  <si>
    <t>Roll out to France 21-0195</t>
  </si>
  <si>
    <t>Storage &amp; Licenses</t>
  </si>
  <si>
    <t>Bonus Just-Bi</t>
  </si>
  <si>
    <t>Bonus</t>
  </si>
  <si>
    <t>In total cost</t>
  </si>
  <si>
    <t>SF Retail licences</t>
  </si>
  <si>
    <t>XDR costs</t>
  </si>
  <si>
    <t>450 licences</t>
  </si>
  <si>
    <t>?</t>
  </si>
  <si>
    <t>XDR solution</t>
  </si>
  <si>
    <t>ESG tool</t>
  </si>
  <si>
    <t>tbd</t>
  </si>
  <si>
    <t>Agnieska</t>
  </si>
  <si>
    <t>Did not hear anything about this tool</t>
  </si>
  <si>
    <t>Sitecore licences</t>
  </si>
  <si>
    <t>Licences + environments</t>
  </si>
  <si>
    <t>Accenture support Ecommerce</t>
  </si>
  <si>
    <t>Because this team is unsure, costs will be taken by Ludo directly</t>
  </si>
  <si>
    <t>Dell boomi MCS</t>
  </si>
  <si>
    <t xml:space="preserve">4TH tier boomi </t>
  </si>
  <si>
    <t>Aravo Replacement amber road</t>
  </si>
  <si>
    <t>Aravo, APP003015</t>
  </si>
  <si>
    <t>licences</t>
  </si>
  <si>
    <t>Mural</t>
  </si>
  <si>
    <t>Online whiteboard tool. Costs for three countries</t>
  </si>
  <si>
    <t>Combine GL network services &amp; network services other</t>
  </si>
  <si>
    <t>SR, block postings on gl 11</t>
  </si>
  <si>
    <t>Aico upgrade budget</t>
  </si>
  <si>
    <t>Missing in AOP</t>
  </si>
  <si>
    <t>Jenkins</t>
  </si>
  <si>
    <t>Licences. IT4IT?</t>
  </si>
  <si>
    <t>Gagan Sharma</t>
  </si>
  <si>
    <t xml:space="preserve">Reduce ariba costs. Lience costs reduced </t>
  </si>
  <si>
    <t>This was already processes in 2022</t>
  </si>
  <si>
    <t>Licentie kosten 142k ipv 132k plus potentieel upgrade budget tbd</t>
  </si>
  <si>
    <t>Atos Non-Sap Infra</t>
  </si>
  <si>
    <t>Taking out consolidated entry, will replace with detailed server overview</t>
  </si>
  <si>
    <t>APP000034</t>
  </si>
  <si>
    <t>Infra Cost BCC</t>
  </si>
  <si>
    <t>APP000039</t>
  </si>
  <si>
    <t>Infra Cost Accolade (R&amp;D)</t>
  </si>
  <si>
    <t>APP000041</t>
  </si>
  <si>
    <t>Infra Cost PLM4Process (Kalypso)</t>
  </si>
  <si>
    <t>APP000049</t>
  </si>
  <si>
    <t>Infra Cost Concur Expense</t>
  </si>
  <si>
    <t>APP000050</t>
  </si>
  <si>
    <t>Infra Cost Zylab ONE</t>
  </si>
  <si>
    <t>APP000051</t>
  </si>
  <si>
    <t>Infra Cost Goldfire</t>
  </si>
  <si>
    <t>APP000053</t>
  </si>
  <si>
    <t>Infra Cost TAS</t>
  </si>
  <si>
    <t>APP000054</t>
  </si>
  <si>
    <t>Infra Cost RFGEN Global Instance 1</t>
  </si>
  <si>
    <t>APP000061</t>
  </si>
  <si>
    <t>Infra Cost QIS Utrecht - NL</t>
  </si>
  <si>
    <t>APP000205</t>
  </si>
  <si>
    <t>Infra Cost Rantsoen</t>
  </si>
  <si>
    <t>APP000338</t>
  </si>
  <si>
    <t>Infra Cost Qlikview</t>
  </si>
  <si>
    <t>APP000339</t>
  </si>
  <si>
    <t>Infra Cost PROXESS</t>
  </si>
  <si>
    <t>APP000369</t>
  </si>
  <si>
    <t>Infra Cost CAPEPACK</t>
  </si>
  <si>
    <t>APP000374</t>
  </si>
  <si>
    <t>Infra Cost SAFIR (Romania)</t>
  </si>
  <si>
    <t>APP000382</t>
  </si>
  <si>
    <t>Infra Cost Solidworks (UK)</t>
  </si>
  <si>
    <t>APP000383</t>
  </si>
  <si>
    <t>Infra Cost XLSTAT</t>
  </si>
  <si>
    <t>APP000388</t>
  </si>
  <si>
    <t>Infra Cost !mpuls</t>
  </si>
  <si>
    <t>APP000406</t>
  </si>
  <si>
    <t>Infra Cost Janus - SQL DB AFH-MDP EU-3021</t>
  </si>
  <si>
    <t>APP000428</t>
  </si>
  <si>
    <t>Infra Cost Interflex (Germany)</t>
  </si>
  <si>
    <t>APP000458</t>
  </si>
  <si>
    <t>Infra Cost AIS</t>
  </si>
  <si>
    <t>APP000558</t>
  </si>
  <si>
    <t>Infra Cost Bonsai</t>
  </si>
  <si>
    <t>APP000820</t>
  </si>
  <si>
    <t>Infra Cost Honeywell EBI</t>
  </si>
  <si>
    <t>APP000869</t>
  </si>
  <si>
    <t>Infra Cost PDM</t>
  </si>
  <si>
    <t>APP000884</t>
  </si>
  <si>
    <t>Infra Cost Manual Master</t>
  </si>
  <si>
    <t>Will be decommisioned according to Veerle (July 2022)</t>
  </si>
  <si>
    <t>APP000965</t>
  </si>
  <si>
    <t>Infra Cost Proxsafe</t>
  </si>
  <si>
    <t>APP000985</t>
  </si>
  <si>
    <t>Infra Cost DEP CRM - Obrazovka</t>
  </si>
  <si>
    <t>APP000990</t>
  </si>
  <si>
    <t>Infra Cost BOARD</t>
  </si>
  <si>
    <t>APP001088</t>
  </si>
  <si>
    <t>Infra Cost Honeywell</t>
  </si>
  <si>
    <t>APP001157</t>
  </si>
  <si>
    <t>Infra Cost Tax(VAT) reporting application</t>
  </si>
  <si>
    <t>APP001319</t>
  </si>
  <si>
    <t>Infra Cost RFGEN/ NiceLabel Coffee Utrecht</t>
  </si>
  <si>
    <t>APP001424</t>
  </si>
  <si>
    <t>Infra Cost IXOS</t>
  </si>
  <si>
    <t>APP001536</t>
  </si>
  <si>
    <t>Infra Cost i21(iRely)</t>
  </si>
  <si>
    <t>APP001635</t>
  </si>
  <si>
    <t>Infra Cost Winshuttle</t>
  </si>
  <si>
    <t>APP001724</t>
  </si>
  <si>
    <t>Infra Cost Salesforce Sales Cloud Retail</t>
  </si>
  <si>
    <t>APP001797</t>
  </si>
  <si>
    <t>Infra Cost SNOW Software Asset Management</t>
  </si>
  <si>
    <t>APP001821</t>
  </si>
  <si>
    <t>Infra Cost Genesys PureConnect</t>
  </si>
  <si>
    <t>APP001828</t>
  </si>
  <si>
    <t>Infra Cost XTEL</t>
  </si>
  <si>
    <t>APP001857</t>
  </si>
  <si>
    <t>Infra Cost Baylo AGV UK</t>
  </si>
  <si>
    <t>APP001894</t>
  </si>
  <si>
    <t>Infra Cost RFGEN Global Instance 2</t>
  </si>
  <si>
    <t>APP001908</t>
  </si>
  <si>
    <t>Infra Cost Point.X Global Instance</t>
  </si>
  <si>
    <t>APP002012</t>
  </si>
  <si>
    <t>Infra Cost AGVR AGV Joure</t>
  </si>
  <si>
    <t>APP002306</t>
  </si>
  <si>
    <t>Infra Cost PwC Invoicing Tool</t>
  </si>
  <si>
    <t>APP002589</t>
  </si>
  <si>
    <t>Infra Cost Comscale</t>
  </si>
  <si>
    <t>APP002652</t>
  </si>
  <si>
    <t>Infra Cost Alteryx Designer</t>
  </si>
  <si>
    <t>APP002906</t>
  </si>
  <si>
    <t>Infra Cost HarvesterStore (Nordics)</t>
  </si>
  <si>
    <t>APP002912</t>
  </si>
  <si>
    <t>Infra Cost KEVOX</t>
  </si>
  <si>
    <t>Increase of 27% due to more users using the platform (15 new) + increase of the unit price for the server + reduction of the discount model after 3 years contract</t>
  </si>
  <si>
    <t>Microsoft PowerBi</t>
  </si>
  <si>
    <t>Reduction of 32% on the cost due to better negotiations with Microsoft performed by the Vendor Management team.</t>
  </si>
  <si>
    <t>Just BI support retail</t>
  </si>
  <si>
    <t>Just Bi support Professional</t>
  </si>
  <si>
    <t xml:space="preserve">Only operations costs. </t>
  </si>
  <si>
    <t>Qlikview</t>
  </si>
  <si>
    <t>Increased focus on campaigns</t>
  </si>
  <si>
    <t>Switch completely to Qualys as the single VM platform. Servicenow VR module will be cancelled (80K).</t>
  </si>
  <si>
    <t>Servicenow VR module will be cancelled (80K).</t>
  </si>
  <si>
    <t>No reduction according to Michal because of increase in licences</t>
  </si>
  <si>
    <t>Baylo AGV UK</t>
  </si>
  <si>
    <t>Non-SAP</t>
  </si>
  <si>
    <t>Operational</t>
  </si>
  <si>
    <t>Local Business</t>
  </si>
  <si>
    <t>Kathryn Turner</t>
  </si>
  <si>
    <t>Managed Hosting (Private Cloud)</t>
  </si>
  <si>
    <t>Private Cloud - DHC</t>
  </si>
  <si>
    <t>Additional training</t>
  </si>
  <si>
    <t>Azure ATP Support</t>
  </si>
  <si>
    <t>Azure ATP support rename to Accenture SOC services</t>
  </si>
  <si>
    <t>Compliance Support</t>
  </si>
  <si>
    <t>Ad Hoc support for compliance</t>
  </si>
  <si>
    <t>Dedicated Saviynt support team</t>
  </si>
  <si>
    <t>Factory servers remain running on Symantec. APP002630</t>
  </si>
  <si>
    <t>E5 support contract</t>
  </si>
  <si>
    <t>Vendor: Accenture</t>
  </si>
  <si>
    <t>Mandiant Incident Response</t>
  </si>
  <si>
    <t>Both IT and OT incident response. Vendor: Mandiant</t>
  </si>
  <si>
    <t>vendor: Ironscales. APP002997</t>
  </si>
  <si>
    <t>3 year contract in place</t>
  </si>
  <si>
    <t>Protect4S</t>
  </si>
  <si>
    <t>charged to SAP users. Vendor: Protect4S. APP002949</t>
  </si>
  <si>
    <t>Fox IT Services : Recurring service in Security</t>
  </si>
  <si>
    <t>Replaced by the Mandiant IR contract to include OT besides IT</t>
  </si>
  <si>
    <t>Charge to central R&amp;D</t>
  </si>
  <si>
    <t>HarvesterStore (Nordics)</t>
  </si>
  <si>
    <t>IT4BUS</t>
  </si>
  <si>
    <t>Karsten Pedersen</t>
  </si>
  <si>
    <t>Reallocation of Oracle support contract</t>
  </si>
  <si>
    <t>Charging Oracle contract to Local factory in Germany. Oracle Contracts 5829345, 5950219 APP ID :APP000744</t>
  </si>
  <si>
    <t>German factory has a local Oracle database for which licenses are paid centrally and will now be charged directly</t>
  </si>
  <si>
    <t>Service Now Contract Renegotiation</t>
  </si>
  <si>
    <t>Additional user base + additional features</t>
  </si>
  <si>
    <t>Michal Tepchzinksi</t>
  </si>
  <si>
    <t>Blue Prism (Robotics) Decommissioning</t>
  </si>
  <si>
    <t>Blue prism is replaced with UIPath</t>
  </si>
  <si>
    <t>UIPath Direct Licensing</t>
  </si>
  <si>
    <t>Contrating UIPath directly for SaaS solution</t>
  </si>
  <si>
    <t>Licence increase + Support CTAC instead of MDM</t>
  </si>
  <si>
    <t xml:space="preserve">Vanessa </t>
  </si>
  <si>
    <t>Lifecycle budget</t>
  </si>
  <si>
    <t>No oracle or aix planned next year</t>
  </si>
  <si>
    <t>AMS onboarding</t>
  </si>
  <si>
    <t>Landscape refresh activities</t>
  </si>
  <si>
    <t>Not needed this year</t>
  </si>
  <si>
    <t>Cost ompitmized swichting to fixed capacity</t>
  </si>
  <si>
    <t>Sitecore support</t>
  </si>
  <si>
    <t>Support by Avenade</t>
  </si>
  <si>
    <t>Carolina</t>
  </si>
  <si>
    <t>Maksym</t>
  </si>
  <si>
    <t>Gearset</t>
  </si>
  <si>
    <t>Ownback up</t>
  </si>
  <si>
    <t xml:space="preserve">C4C </t>
  </si>
  <si>
    <t>Maintenance budget</t>
  </si>
  <si>
    <t>Xtel AMS Contract</t>
  </si>
  <si>
    <t>Charge to Professional cost center. 15K increase due to inflation</t>
  </si>
  <si>
    <t>Remove from retail cost center</t>
  </si>
  <si>
    <t>Reduction because of less usage (removed italy)</t>
  </si>
  <si>
    <t>Garvis</t>
  </si>
  <si>
    <t>S&amp;M support professional</t>
  </si>
  <si>
    <t>Increase due to more develoments and my services</t>
  </si>
  <si>
    <t>Kelvin</t>
  </si>
  <si>
    <t>TS support professional</t>
  </si>
  <si>
    <t>Decrease based on Jira analysis</t>
  </si>
  <si>
    <t>QTC support professional</t>
  </si>
  <si>
    <t>Roll-outs FR, CH (based on same volumes, 5% price increase and removal of free licenses). Contract renewal November 2022.</t>
  </si>
  <si>
    <t>SalesForce Annual Subscription + Support Professional</t>
  </si>
  <si>
    <t>Marketing Cloud licences included</t>
  </si>
  <si>
    <t>Will be included in general salesforce charge</t>
  </si>
  <si>
    <t xml:space="preserve">Decrease in users from 758 to ~550-600. Price protection will no longer apply; </t>
  </si>
  <si>
    <t>EpiFind licenses</t>
  </si>
  <si>
    <t>Add inflation</t>
  </si>
  <si>
    <t>Will be decomissioned</t>
  </si>
  <si>
    <t>Vonage</t>
  </si>
  <si>
    <t>New tool: Customer Service teams, Telesales teams. PC users, charged to Germany only</t>
  </si>
  <si>
    <t>WeGrow</t>
  </si>
  <si>
    <t>PC users, app ID to be provided by bas. New Tool</t>
  </si>
  <si>
    <t>Savings due to Potential move to Adobe</t>
  </si>
  <si>
    <t>Magento Commerce</t>
  </si>
  <si>
    <t>Magento Order management</t>
  </si>
  <si>
    <t>According to contract</t>
  </si>
  <si>
    <t>decrease</t>
  </si>
  <si>
    <t>CX Social</t>
  </si>
  <si>
    <t>Increase accoridng to actuals</t>
  </si>
  <si>
    <t>Decreased because of Accenture support</t>
  </si>
  <si>
    <t>Swaven</t>
  </si>
  <si>
    <t>Local PO, to be moved centrally on request of Carolina/BAS</t>
  </si>
  <si>
    <t>Agreed with Carolina</t>
  </si>
  <si>
    <t>Support moved from Vaimo to Accenture</t>
  </si>
  <si>
    <t>Browserstack</t>
  </si>
  <si>
    <t>Increase in usage vaimo/ecommerce</t>
  </si>
  <si>
    <t xml:space="preserve">Gagan </t>
  </si>
  <si>
    <t>Includign UTF. According to actuals</t>
  </si>
  <si>
    <t>Websites</t>
  </si>
  <si>
    <t>Increase in websites expected but did not materialize. Websites epected 275 in 2023 (300k)</t>
  </si>
  <si>
    <t>User Management</t>
  </si>
  <si>
    <t>User management decreased because this is moved to enhancements. Based on actuals</t>
  </si>
  <si>
    <t>Decrease accordign to contract negotiations</t>
  </si>
  <si>
    <t xml:space="preserve">Succesfactors support </t>
  </si>
  <si>
    <t>Additional support</t>
  </si>
  <si>
    <t>Service support 24x5</t>
  </si>
  <si>
    <t>Accordign to contract</t>
  </si>
  <si>
    <t>SPSS  upgrade</t>
  </si>
  <si>
    <t>100k According to actuals</t>
  </si>
  <si>
    <t>Accoridng to actuals</t>
  </si>
  <si>
    <t>CANCELLED</t>
  </si>
  <si>
    <t>Change name of Network services BT to Network services</t>
  </si>
  <si>
    <t>Not rolled out to all countries</t>
  </si>
  <si>
    <t>Pedro</t>
  </si>
  <si>
    <t>To be decomissioned, expires june 2023</t>
  </si>
  <si>
    <t>Contracto</t>
  </si>
  <si>
    <t>Amber road</t>
  </si>
  <si>
    <t>To be paid by Global Legal directly</t>
  </si>
  <si>
    <t>According tot actuals</t>
  </si>
  <si>
    <t>Adding ~50k for fixing security related findings like email hardening</t>
  </si>
  <si>
    <t>Oscar</t>
  </si>
  <si>
    <t>Additional 30k licensing needed for factories</t>
  </si>
  <si>
    <t>Additional costs for RDS - Ukraine and Russia</t>
  </si>
  <si>
    <t>Microsoft Azure: Websites</t>
  </si>
  <si>
    <t>Microsoft Azure: CTS_IOT</t>
  </si>
  <si>
    <t>Forecasted was 89k</t>
  </si>
  <si>
    <t>Microsoft Azure: Professional Websites</t>
  </si>
  <si>
    <t>Based on reservations and forecast of 153k by Azure for 2022</t>
  </si>
  <si>
    <t>Based on a forecast of 140K by Azure</t>
  </si>
  <si>
    <t>Microsoft Enterprise Services (Unified/Premier support)</t>
  </si>
  <si>
    <t>Premier support is no longer available from June 2023 and we need to move to Unified support, which is much more expensive.</t>
  </si>
  <si>
    <t>Based on Additional true up  for SQL server usage + Additional licenses for MDE for server (420)</t>
  </si>
  <si>
    <t>Based on a forecast of 28,5K by Azure</t>
  </si>
  <si>
    <t>Based on a forecast of 108K by Azure</t>
  </si>
  <si>
    <t>Based on a forecast of 161K by Azure</t>
  </si>
  <si>
    <t>This budget includes factory firewall support (45k) + factory firewall cobranded maintenance costs (85k )</t>
  </si>
  <si>
    <t>Service integration in the present form is not needed</t>
  </si>
  <si>
    <t>WAN-OBS</t>
  </si>
  <si>
    <t>MPLS=700k; SDWAN=2,6mln; upgrade=185k; gateways=30k;VMS MRC=37k; managed internet access = 270k</t>
  </si>
  <si>
    <t>Please change Vendor to OBS</t>
  </si>
  <si>
    <t>Flex NSSR</t>
  </si>
  <si>
    <t>No more engagement with BT in this area</t>
  </si>
  <si>
    <t>Is Euro 517k; APs and Sw=6k; Ipam=28k; 3P VM = 17k</t>
  </si>
  <si>
    <t>WAN-BT</t>
  </si>
  <si>
    <t>Teams direct routing</t>
  </si>
  <si>
    <t>Non-SAP Operations, Storage, VoC Hotel &amp; Service Management</t>
  </si>
  <si>
    <t>Avg. spend is about 97k per month and is expected to go down</t>
  </si>
  <si>
    <t>divided over applications as infra costs</t>
  </si>
  <si>
    <t>T&amp;M hours, based on RFCs (Infra)</t>
  </si>
  <si>
    <t>Flexera Adminstudio</t>
  </si>
  <si>
    <t>Mekko</t>
  </si>
  <si>
    <t>License costs currently are Euro 80 per license and are expected to increase to Euro 100 per license</t>
  </si>
  <si>
    <t>New costs for Java (6k for laptops and 69k for servers)</t>
  </si>
  <si>
    <t>Ripe NCC</t>
  </si>
  <si>
    <t>Costs for our internet registry</t>
  </si>
  <si>
    <t>PC and Connectivity</t>
  </si>
  <si>
    <t>ClarOTy support at various factories</t>
  </si>
  <si>
    <t>New line item for supporting the ClarOTy installations at various factories</t>
  </si>
  <si>
    <t>Factory Security</t>
  </si>
  <si>
    <t>iPPM</t>
  </si>
  <si>
    <t>Contract negotiations</t>
  </si>
  <si>
    <t>SAP APO Dedicated capacity</t>
  </si>
  <si>
    <t>Open text</t>
  </si>
  <si>
    <t>Managed services + connections set up accoriding to contract</t>
  </si>
  <si>
    <t>Traffic reduced to 50%, to be decomissioned eventually</t>
  </si>
  <si>
    <t>End to end monitoring</t>
  </si>
  <si>
    <t>API Management tool</t>
  </si>
  <si>
    <t>Dell boomi support</t>
  </si>
  <si>
    <t>Moved from ticket to capacity based</t>
  </si>
  <si>
    <t>Incident management</t>
  </si>
  <si>
    <t>Incidents reduced and minus 50000 for Dell boomi</t>
  </si>
  <si>
    <t>Admin changes, to be in line with contract</t>
  </si>
  <si>
    <t>Core AMS - Enhancement Services – AM – SAP/NSA</t>
  </si>
  <si>
    <t>Digital MOS SHE Module</t>
  </si>
  <si>
    <t>Create CMDB app + update OpCos</t>
  </si>
  <si>
    <t>Increase due to MaaS license number increase + Strippenkaart</t>
  </si>
  <si>
    <t>Actemium - Strippenkaart</t>
  </si>
  <si>
    <t>Thinkstep - Sofi</t>
  </si>
  <si>
    <t>Increase due to broadening of scope to JDE ESG fixed reporting. It is currently charged to all Mus, but for next year, it should be charged to all OpCos (Global). Should we reflect that already in CMDB?</t>
  </si>
  <si>
    <t>SUMI Business SLA SIX-MIX</t>
  </si>
  <si>
    <t>Syncforce support</t>
  </si>
  <si>
    <t>Waiting on BO to confirm if there is additional support costs.</t>
  </si>
  <si>
    <t>Change to named licenses did not happen.</t>
  </si>
  <si>
    <t>Check contract.Discuss with Stefan how it should be charged. Only Russia is using it, but it is not clear if the contract has been adjusted</t>
  </si>
  <si>
    <t>EyeQuestion SAAS</t>
  </si>
  <si>
    <t>Safefood 360</t>
  </si>
  <si>
    <t>DTC contract has been terminated. Decomissioned</t>
  </si>
  <si>
    <t>Check the contract</t>
  </si>
  <si>
    <t xml:space="preserve">Value might change if # of licenses is increased. </t>
  </si>
  <si>
    <t>Autocad</t>
  </si>
  <si>
    <t>Increase due to new licensing model + settlement of audit</t>
  </si>
  <si>
    <t>James</t>
  </si>
  <si>
    <t>End of Change log 2022</t>
  </si>
  <si>
    <t>Open Text Archiving</t>
  </si>
  <si>
    <t>Increased annual cost</t>
  </si>
  <si>
    <t>OpenText</t>
  </si>
  <si>
    <t>Nintex workflow Licenses</t>
  </si>
  <si>
    <t>Inflation uplift based on new contract</t>
  </si>
  <si>
    <t>CX SOCIAL</t>
  </si>
  <si>
    <t>Actuals</t>
  </si>
  <si>
    <t>Epi-Use Labs</t>
  </si>
  <si>
    <t>RunMyJobs  (Redwood)</t>
  </si>
  <si>
    <t xml:space="preserve">Replacing SAP CPS </t>
  </si>
  <si>
    <t>RunMyJobs</t>
  </si>
  <si>
    <t>CPS will be out of support and will be replaced with cloud solution</t>
  </si>
  <si>
    <t>Atos Bonus</t>
  </si>
  <si>
    <t>They will likely not reach this bonus so taking it out of AOP</t>
  </si>
  <si>
    <t>Partially Decommissioned</t>
  </si>
  <si>
    <t>Succesfactors Support LMS (new module)</t>
  </si>
  <si>
    <t>C4C support (move to dedicated resource)</t>
  </si>
  <si>
    <t>Bas</t>
  </si>
  <si>
    <t>Increase of 80k and decrease of 120k results in decrease of 40k</t>
  </si>
  <si>
    <t>80K for TAS</t>
  </si>
  <si>
    <t>Developer will not be extended in 2024. agreement based for MT costs savings</t>
  </si>
  <si>
    <t>Azure cloud monitoring &amp; support</t>
  </si>
  <si>
    <t>Not materialized</t>
  </si>
  <si>
    <t>Compliance support</t>
  </si>
  <si>
    <t>Additional support moved to AMS</t>
  </si>
  <si>
    <t>Test resource</t>
  </si>
  <si>
    <t>Testing resource</t>
  </si>
  <si>
    <t>Gagan</t>
  </si>
  <si>
    <t>Decrease in enhancement hours. Moet dit nog hoger?</t>
  </si>
  <si>
    <t>decrease?</t>
  </si>
  <si>
    <t xml:space="preserve">Jira </t>
  </si>
  <si>
    <t>Jira Increase in licences</t>
  </si>
  <si>
    <t>Own back up</t>
  </si>
  <si>
    <t>Increase to 100k because we are adding back up and archiving</t>
  </si>
  <si>
    <t>Sudish</t>
  </si>
  <si>
    <t>To check with Oscar</t>
  </si>
  <si>
    <t>Cost center change, charged to professional</t>
  </si>
  <si>
    <t>Increase in licences</t>
  </si>
  <si>
    <t>Licence negotiation</t>
  </si>
  <si>
    <t>SIAM</t>
  </si>
  <si>
    <t>SIAM recontracting, building servicenow capabilities. Change name to: Service Management, servicenow and platform</t>
  </si>
  <si>
    <t>90k increase reduced, mt decision</t>
  </si>
  <si>
    <t>ITSM SIAMS / EUC</t>
  </si>
  <si>
    <t>Onboarding costs + change name</t>
  </si>
  <si>
    <t>IT2 - Retail price increase</t>
  </si>
  <si>
    <t>Rabish</t>
  </si>
  <si>
    <t>AG5</t>
  </si>
  <si>
    <t>Not contracted globally, but locally hence take this out of AOP</t>
  </si>
  <si>
    <t>No longer needed after COVID. Decomissioned</t>
  </si>
  <si>
    <t>Replaced by SF Learning</t>
  </si>
  <si>
    <t>Support cornerstone</t>
  </si>
  <si>
    <t>Will be done by Accenture</t>
  </si>
  <si>
    <t>Visier</t>
  </si>
  <si>
    <t>New HR analytics tooling, licences and support</t>
  </si>
  <si>
    <t>Will be replaced by Visier</t>
  </si>
  <si>
    <t>Qualtrics licences</t>
  </si>
  <si>
    <t>New survey tooling in HR</t>
  </si>
  <si>
    <t>Qualtrics Support</t>
  </si>
  <si>
    <t>Increase in licences because of new learning module</t>
  </si>
  <si>
    <t>Salesforce annual subscription</t>
  </si>
  <si>
    <t>Getfeedback</t>
  </si>
  <si>
    <t>NEW tool</t>
  </si>
  <si>
    <t>Contract negotiation savings</t>
  </si>
  <si>
    <t>Included in Salesforce contract</t>
  </si>
  <si>
    <t>Professional S&amp;M</t>
  </si>
  <si>
    <t>Professional S&amp;M. Change vendor to Emakina</t>
  </si>
  <si>
    <t>Professional QTC</t>
  </si>
  <si>
    <t>Prossional DevOps QTC Support. Change vendor to Globant</t>
  </si>
  <si>
    <t>Professional TS</t>
  </si>
  <si>
    <t>Porfessional devops TS. Change vendor to Emakina</t>
  </si>
  <si>
    <t>New contract and native connector</t>
  </si>
  <si>
    <t>Amber road rps</t>
  </si>
  <si>
    <t>Contract will be decomissioned April 2024</t>
  </si>
  <si>
    <t>Aravo</t>
  </si>
  <si>
    <t>refinitiv conection</t>
  </si>
  <si>
    <t>Refinitiv - NEW</t>
  </si>
  <si>
    <t>vendor code: 117547. APP003162</t>
  </si>
  <si>
    <t>Plat4mation Hospitality App - NEW</t>
  </si>
  <si>
    <t>Workplace licences</t>
  </si>
  <si>
    <t>Growth expecated</t>
  </si>
  <si>
    <t>Sharegate</t>
  </si>
  <si>
    <t>New 3 year contract</t>
  </si>
  <si>
    <t>Martijn Smeitink</t>
  </si>
  <si>
    <t>Microsoft Power Platform</t>
  </si>
  <si>
    <t>New licences</t>
  </si>
  <si>
    <t>Support costs retail (40+ projects moving to support)</t>
  </si>
  <si>
    <t>260k increase removed, MT decision</t>
  </si>
  <si>
    <t>Microsoft azure start Brazil</t>
  </si>
  <si>
    <t>Microsoft Power Bi</t>
  </si>
  <si>
    <t>Premium capacity + future growth (increasen 2 capacities at a cost of 26,5k each</t>
  </si>
  <si>
    <t>Forecast &amp; inventory module for spare parts</t>
  </si>
  <si>
    <t xml:space="preserve">Sharath </t>
  </si>
  <si>
    <t>Contract until December 2025. OpCos updated. 313k (10 sites)+128.5k (5 sites)+40k(BAU strippenkaart)</t>
  </si>
  <si>
    <t>She module</t>
  </si>
  <si>
    <t>12k for strippenkaart</t>
  </si>
  <si>
    <t>Inflation</t>
  </si>
  <si>
    <t>IQS now excluded because this is a local contract (only used in UK). GWF contract until December 2025, termination at any time with notice period of 90 days.</t>
  </si>
  <si>
    <t>179k + 20k provisioned for new licenses</t>
  </si>
  <si>
    <t>PLM Hamilton Grant</t>
  </si>
  <si>
    <t>350k for retail, affiliates 20k, aditional enviroment 8k, Strippenkaart 30k</t>
  </si>
  <si>
    <t>Coffee Care licenses</t>
  </si>
  <si>
    <t>Contract renewal in Q1 2024. 5% potential increase included</t>
  </si>
  <si>
    <t>Project Link (Pega) + BIX - Central R&amp;D</t>
  </si>
  <si>
    <t>5% potential increase included. 1/3 charged to R&amp;D; 2/3 to the markets</t>
  </si>
  <si>
    <t>Project Link (Pega) + BIX - Markets</t>
  </si>
  <si>
    <t>Risk management (90k) addded</t>
  </si>
  <si>
    <t>Accolade was an on-prem solution and has been migrated to cloud. The SaaS subscription costs became 235k.</t>
  </si>
  <si>
    <t>Annual SaaS subscription: €38.400 + Annual licenses: €40.157</t>
  </si>
  <si>
    <t>To be decomissioned this year</t>
  </si>
  <si>
    <t>Microsoft Azure: ecommerce Magento hosting</t>
  </si>
  <si>
    <t>Moved to adobe</t>
  </si>
  <si>
    <t>Platform.sh (Magento Hosting)</t>
  </si>
  <si>
    <t>Moved to Adobe</t>
  </si>
  <si>
    <t>Vaimo Application support</t>
  </si>
  <si>
    <t>According to vendor Management (actuals)</t>
  </si>
  <si>
    <t>Decomissioned, move to Cloud</t>
  </si>
  <si>
    <t>Magento Commerce Cloud</t>
  </si>
  <si>
    <t>NEW. Vendor Adobe</t>
  </si>
  <si>
    <t>Magento Order Management</t>
  </si>
  <si>
    <t>Decomissioned. Move to Salesforce</t>
  </si>
  <si>
    <t>Decomissioned. Included in the cloud licences</t>
  </si>
  <si>
    <t>Metapack for Pudo services (Pick up points)</t>
  </si>
  <si>
    <t>Additional service</t>
  </si>
  <si>
    <t>Ecommerce Application Support</t>
  </si>
  <si>
    <t>WeGrow licences + upgrade</t>
  </si>
  <si>
    <t>Less usage than anticipated</t>
  </si>
  <si>
    <t>Salesforce OMS</t>
  </si>
  <si>
    <t>NEW, Cental charge to DTC</t>
  </si>
  <si>
    <t>OneTrust</t>
  </si>
  <si>
    <t>NEW - Moved from central budget to GIS, charged to PC users</t>
  </si>
  <si>
    <t>Artefact support (GA/GTM/OT) Digital</t>
  </si>
  <si>
    <t>NEW - Moved from central budget to GIS. Charge to PC users, APP003153</t>
  </si>
  <si>
    <t>Artefact support (GA/GTM/OT) eCommerce</t>
  </si>
  <si>
    <t>NEW - Moved from central budget to GIS, charged to DTC</t>
  </si>
  <si>
    <t>GA/GTM contract</t>
  </si>
  <si>
    <t>NEW - APP003153, Charge to PC users</t>
  </si>
  <si>
    <t xml:space="preserve"> GetFeedback RTL</t>
  </si>
  <si>
    <t>NEW - CHECK, Charge to DTC</t>
  </si>
  <si>
    <t>Microsoft Azure: ecommerce Hypgraph hosting</t>
  </si>
  <si>
    <t>charge to DTC</t>
  </si>
  <si>
    <t>15189452 Oracle Database Standard Edition 2 - Processor Perpetual</t>
  </si>
  <si>
    <t>Oracle inflation increase</t>
  </si>
  <si>
    <t>10615492 Oracle Database Enterprise Edition - Processor Perpetual</t>
  </si>
  <si>
    <t>5850883 Oracle Database Enterprise Edition - Named user Plus</t>
  </si>
  <si>
    <t>5950219 Oracle Database Enterprise Edition - Processor Perpetual</t>
  </si>
  <si>
    <t>8308059 Oracle EBS Transportation Management</t>
  </si>
  <si>
    <t>5829345 Oracle Database Enterprise Edtiion - Named User Plus Perpetual</t>
  </si>
  <si>
    <t>Salesforce Marketing / Sales Cloud licenses Retail</t>
  </si>
  <si>
    <t>Dev team digital</t>
  </si>
  <si>
    <t>Additional capacity for migration</t>
  </si>
  <si>
    <t>iPaaS Dellboomi DevOps Support</t>
  </si>
  <si>
    <t>1 additional senior resource for upcoming projects</t>
  </si>
  <si>
    <t>Resource will be part of project budget</t>
  </si>
  <si>
    <t>iPaaS DellBoomi Licenses</t>
  </si>
  <si>
    <t>10 new licenses added</t>
  </si>
  <si>
    <t>Open Text Business Network (VAN)</t>
  </si>
  <si>
    <t>Real cost based on contract + 3% yearly increase</t>
  </si>
  <si>
    <t>All mappings for customers to be kept in Seeburger</t>
  </si>
  <si>
    <t>Azure API Management tool</t>
  </si>
  <si>
    <t>Additional license costs</t>
  </si>
  <si>
    <t>These are the costs for supporting Beyond Trust in 2024 for 50% of the factotries + half of RDS support costs (ramp down of RDS is assumed to be at 50%)</t>
  </si>
  <si>
    <t>Local Application Hosting Central Servers &amp; Storage</t>
  </si>
  <si>
    <t>Based on the information provided by Accenture's proposal. Is subject to change based on EUS contract renewal rates.</t>
  </si>
  <si>
    <t>Adjusted on 24th of July. EUS contract not finalized</t>
  </si>
  <si>
    <t>Local Application Hosting Central Servers</t>
  </si>
  <si>
    <t>Factory costs removed, this line item is only for IT</t>
  </si>
  <si>
    <t>End User Computing Central RDS</t>
  </si>
  <si>
    <t>Reduced because of move from RDS to AVD</t>
  </si>
  <si>
    <t>Accenture SOC services</t>
  </si>
  <si>
    <t>These estimates are as per the new Accenture proposal (yet to be finalized at the time of creating this 09 June)
Includes :
AD, AAD, PKI support = 505k
SOC = 512k
Qualys scanning = 438k
Symantec, Avecto, MDE = 113k
Security integration = 288k</t>
  </si>
  <si>
    <t>E5 Support contract (EUC)</t>
  </si>
  <si>
    <t>Reduced and is needed to cover for Symantec only until April 2024</t>
  </si>
  <si>
    <t>Non-SAP Operations SSR's &amp; NSSR's</t>
  </si>
  <si>
    <t>Uplift of 2% for paying SCF charges</t>
  </si>
  <si>
    <t>Microsoft Azure : Data &amp; Analytics</t>
  </si>
  <si>
    <t>Based on actual Azure costs for May 22 to April 23 of Euro 225k</t>
  </si>
  <si>
    <t>Based on actual Azure costs for May 22 to April 23 of Euro 104k</t>
  </si>
  <si>
    <t>As per MS contract + price increases starting in 2023 +  200 new licenses for Campos (50K)</t>
  </si>
  <si>
    <t>Microsoft Enterprise Services [Microsoft Enterprise Services - Unified support]</t>
  </si>
  <si>
    <t>Increase in costs as we are moving from Premier support to Unified support and costs change to a percentage of our total MS spend</t>
  </si>
  <si>
    <t>Based on actual Azure costs for May 22 to April 23 of Euro 83k</t>
  </si>
  <si>
    <t>Based on actual Azure costs for May 22 to April 23 of Euro 120k</t>
  </si>
  <si>
    <t>Based on actual Azure costs for May 22 to April 23 of Euro 171k</t>
  </si>
  <si>
    <t>Microsoft True-up</t>
  </si>
  <si>
    <t>Additional costs for MS Team Rooms Pro licenses + Powerapps licenses (for nintex migration too)</t>
  </si>
  <si>
    <t>Security (+Zscaler / Security + IPAM)</t>
  </si>
  <si>
    <t>Reduced, including uplift of 2% for paying SCF charges</t>
  </si>
  <si>
    <t>ClarOTy support for the factories</t>
  </si>
  <si>
    <t>Increase in costs to accommodate 12 months of line costs for Campos (3 new sites) + increase for DDoS + 50k bandwidth upgrades+ addition of new sites in MY, US etc. + Uplift of 2% for paying SCF charges</t>
  </si>
  <si>
    <t xml:space="preserve">144k WAN Campos costs deleted, will be part of the project </t>
  </si>
  <si>
    <t>TelcoView</t>
  </si>
  <si>
    <t>Reduced due to reduced scope</t>
  </si>
  <si>
    <t>Added 32k based on the true  up</t>
  </si>
  <si>
    <t>This will be paid for by the SLR III project</t>
  </si>
  <si>
    <t>Although this line is decomissioned, we still need this to pay for hosting core infra.</t>
  </si>
  <si>
    <t>CCoE platfrom support (Azure WAF Landing Zone support, other LZ support, tennant support etc.)</t>
  </si>
  <si>
    <t>Added for supporting our CCoE core infrastructure</t>
  </si>
  <si>
    <t>Azure connectivity hub</t>
  </si>
  <si>
    <t>Added for supporting the network part of our CCoE core infrastructure</t>
  </si>
  <si>
    <t>AVD Support</t>
  </si>
  <si>
    <t>AVD support costs based on the latest Accenture proposal</t>
  </si>
  <si>
    <t>MU only - These are the MU backup licensing costs and need to be cross charged to the factory</t>
  </si>
  <si>
    <t>Non-Standard Services (StoreOnce or another backup solution )</t>
  </si>
  <si>
    <t>MU only - These are for the MU backup solution (non standard requests)</t>
  </si>
  <si>
    <t>Software assurance (StoreOnce or another backup solution)</t>
  </si>
  <si>
    <t>MU only - These are the MU backup solution maintenance costs to the backup solution vendor</t>
  </si>
  <si>
    <t xml:space="preserve">AVEVA </t>
  </si>
  <si>
    <t>Support fee for template maintain processes</t>
  </si>
  <si>
    <t>Jelmder de Jong</t>
  </si>
  <si>
    <t>Support fee for 24/7 support for the plants using</t>
  </si>
  <si>
    <t>Licence related fee for software maintenance &amp; support</t>
  </si>
  <si>
    <t>Jira support</t>
  </si>
  <si>
    <t>Jira support resource</t>
  </si>
  <si>
    <t>Additional budget outsourcing requests core functions</t>
  </si>
  <si>
    <t>Incident maangement</t>
  </si>
  <si>
    <t>SAP C4C moved to dedicate resource</t>
  </si>
  <si>
    <t>zylab</t>
  </si>
  <si>
    <t>change to pc users?</t>
  </si>
  <si>
    <t>260 websites live</t>
  </si>
  <si>
    <t>Azure costs decrease</t>
  </si>
  <si>
    <t>T&amp;M Infrastructure changes; AVD, adding DNS records, modifying volumes (Infra)</t>
  </si>
  <si>
    <t>Additional budget to accommodate small changes</t>
  </si>
  <si>
    <t>Pro.File</t>
  </si>
  <si>
    <t>Licnces</t>
  </si>
  <si>
    <t>GE Light Decide4Action</t>
  </si>
  <si>
    <t>Planisware</t>
  </si>
  <si>
    <t>Apttio decom</t>
  </si>
  <si>
    <t>Tamara</t>
  </si>
  <si>
    <t>Xtel Application AMS Support</t>
  </si>
  <si>
    <t xml:space="preserve">Xtel Application RFQ / Change budget </t>
  </si>
  <si>
    <t>Xtel Maintenance Fee</t>
  </si>
  <si>
    <t>SAP 5% maintenance increase</t>
  </si>
  <si>
    <t>END OF CHANGE LOG 2024</t>
  </si>
  <si>
    <t>HYGRAPH</t>
  </si>
  <si>
    <t>New app, charge to central DTC</t>
  </si>
  <si>
    <t>Change Ownback up cost center</t>
  </si>
  <si>
    <t xml:space="preserve">Change from 68427719 to 68427709 </t>
  </si>
  <si>
    <t>Trend</t>
  </si>
  <si>
    <t>Contract ID</t>
  </si>
  <si>
    <t>Category</t>
  </si>
  <si>
    <t>Line in AOP template</t>
  </si>
  <si>
    <t>Service1</t>
  </si>
  <si>
    <t>Service2</t>
  </si>
  <si>
    <t>Vendor Code</t>
  </si>
  <si>
    <t>Vendor</t>
  </si>
  <si>
    <t>PO</t>
  </si>
  <si>
    <t>Line</t>
  </si>
  <si>
    <t>Owner</t>
  </si>
  <si>
    <t>Consulted</t>
  </si>
  <si>
    <t>Charging Basis</t>
  </si>
  <si>
    <t>FUNCTION</t>
  </si>
  <si>
    <t>AOP 2022</t>
  </si>
  <si>
    <t>AOP 2023</t>
  </si>
  <si>
    <t>AOP 2024</t>
  </si>
  <si>
    <t>Variance</t>
  </si>
  <si>
    <t>% Change</t>
  </si>
  <si>
    <t>Comments</t>
  </si>
  <si>
    <t>% spent</t>
  </si>
  <si>
    <t>Invoice Schedule</t>
  </si>
  <si>
    <t>Method</t>
  </si>
  <si>
    <t>Timing</t>
  </si>
  <si>
    <t>Comments PMO / FIN</t>
  </si>
  <si>
    <t>Line ID</t>
  </si>
  <si>
    <t>Active</t>
  </si>
  <si>
    <t>CW3310</t>
  </si>
  <si>
    <t>SRC (PDM) Contribution 1Sync</t>
  </si>
  <si>
    <t>APP000057</t>
  </si>
  <si>
    <t>1SYNC Inc.</t>
  </si>
  <si>
    <t>Robin</t>
  </si>
  <si>
    <t>L-SAP-USERS</t>
  </si>
  <si>
    <t>Shared Platforms</t>
  </si>
  <si>
    <t>GR</t>
  </si>
  <si>
    <t>APP002863</t>
  </si>
  <si>
    <t>4Industry b.v.</t>
  </si>
  <si>
    <t>Marco</t>
  </si>
  <si>
    <t>L-FACTORIES-SIZE</t>
  </si>
  <si>
    <t>Manufacturing</t>
  </si>
  <si>
    <t>313k (10 sites)+128.5k (5 sites)+40k(BAU strippenkaart)</t>
  </si>
  <si>
    <t>Yearly</t>
  </si>
  <si>
    <t>Pre paid</t>
  </si>
  <si>
    <t>APP003053</t>
  </si>
  <si>
    <t>4Industry B.V.</t>
  </si>
  <si>
    <t>L-PC-USERS</t>
  </si>
  <si>
    <t>CW4537</t>
  </si>
  <si>
    <t>APP002398</t>
  </si>
  <si>
    <t>Abbott Informatics Netherlands B.V.</t>
  </si>
  <si>
    <t>Vasco</t>
  </si>
  <si>
    <t>Central</t>
  </si>
  <si>
    <t>R&amp;D</t>
  </si>
  <si>
    <t>APP000007</t>
  </si>
  <si>
    <t>CW4363</t>
  </si>
  <si>
    <t>SAP suite</t>
  </si>
  <si>
    <t>APP000018</t>
  </si>
  <si>
    <t>Lieke</t>
  </si>
  <si>
    <t>Increase for TAS BAS but 120k decrease for offshore bas TI/HR/SF</t>
  </si>
  <si>
    <t>Spot</t>
  </si>
  <si>
    <t>Core AMS - Incident Management Services</t>
  </si>
  <si>
    <t>SAP C4C support moved to dedicated resource</t>
  </si>
  <si>
    <t>Core AMS - Foundation Services</t>
  </si>
  <si>
    <t>Service Reliability Engineers (SRE)</t>
  </si>
  <si>
    <t>Test Factory Services</t>
  </si>
  <si>
    <t>Additional test factory resource</t>
  </si>
  <si>
    <t>Core AMS - User Management Services</t>
  </si>
  <si>
    <t>Other services/ bonus</t>
  </si>
  <si>
    <t>CW4702</t>
  </si>
  <si>
    <t>SAP Lifecycle Management</t>
  </si>
  <si>
    <t>Service Support 24 X 5 APAC &amp; ANZ</t>
  </si>
  <si>
    <t>Inactive</t>
  </si>
  <si>
    <t>Rob</t>
  </si>
  <si>
    <t>Pre</t>
  </si>
  <si>
    <t>Small projects funding (support)</t>
  </si>
  <si>
    <t>SPSS Upgrade</t>
  </si>
  <si>
    <t>Post</t>
  </si>
  <si>
    <t>Splunk Monitoring</t>
  </si>
  <si>
    <t>SAP APO dedicated capacity</t>
  </si>
  <si>
    <t>Ad hoc support compliance (AMS)</t>
  </si>
  <si>
    <t>Marcel</t>
  </si>
  <si>
    <t>Additional compliance scope</t>
  </si>
  <si>
    <t>APP001010</t>
  </si>
  <si>
    <t>Reduction in Enhancements</t>
  </si>
  <si>
    <t>Core AMS - Websites</t>
  </si>
  <si>
    <t>260 websites live, no major growth expected</t>
  </si>
  <si>
    <t>Azure Cloud Monitoring &amp; Support</t>
  </si>
  <si>
    <t>Not Materialized</t>
  </si>
  <si>
    <t>Digital</t>
  </si>
  <si>
    <t>Additional capacity for migration to Cloud</t>
  </si>
  <si>
    <t>CW5498</t>
  </si>
  <si>
    <t>IT4IT</t>
  </si>
  <si>
    <t>APP001185</t>
  </si>
  <si>
    <t>CW9370</t>
  </si>
  <si>
    <t>APP001725</t>
  </si>
  <si>
    <t>Emakina</t>
  </si>
  <si>
    <t>L-CLICK-USERS</t>
  </si>
  <si>
    <t>Professional DevOps</t>
  </si>
  <si>
    <t>Support efficiency</t>
  </si>
  <si>
    <t>DevOps SFDC - DTC</t>
  </si>
  <si>
    <t>APP001874</t>
  </si>
  <si>
    <t>APP001951</t>
  </si>
  <si>
    <t>Globant</t>
  </si>
  <si>
    <t>L-APT-USERS</t>
  </si>
  <si>
    <t>Vendor change</t>
  </si>
  <si>
    <t>CW5502</t>
  </si>
  <si>
    <t>APP001975</t>
  </si>
  <si>
    <t>Jeroen</t>
  </si>
  <si>
    <t>Infra/EUS</t>
  </si>
  <si>
    <t>additional licence costs</t>
  </si>
  <si>
    <t>APP002101</t>
  </si>
  <si>
    <t>Additional resource</t>
  </si>
  <si>
    <t>APP002104</t>
  </si>
  <si>
    <t>APP002132</t>
  </si>
  <si>
    <t>L-SF-USERS</t>
  </si>
  <si>
    <t>2 FTE internalized</t>
  </si>
  <si>
    <t>Coffee Care Support (Pega) Upgrade budget</t>
  </si>
  <si>
    <t>APP002609</t>
  </si>
  <si>
    <t>CW10432</t>
  </si>
  <si>
    <t>SuccessFactors Support</t>
  </si>
  <si>
    <t>APP002642</t>
  </si>
  <si>
    <t>Dedicated SME for for LMS (0.5 FTE)</t>
  </si>
  <si>
    <t>Saviynt dedicated support team (EUC)</t>
  </si>
  <si>
    <t>APP002649</t>
  </si>
  <si>
    <t>APP002834</t>
  </si>
  <si>
    <t>Network Services</t>
  </si>
  <si>
    <t>FactorySec</t>
  </si>
  <si>
    <t>L-FACTORIES</t>
  </si>
  <si>
    <t>Expected actuals</t>
  </si>
  <si>
    <t>CW4271</t>
  </si>
  <si>
    <t>Infrastructure services: Servers &amp; Storage</t>
  </si>
  <si>
    <t>Infrastructure Cost Non-SAP applications</t>
  </si>
  <si>
    <t>InfraNonSAP</t>
  </si>
  <si>
    <t xml:space="preserve">New EUS Contract not finalized. </t>
  </si>
  <si>
    <t>Infrastructureservices: Servers</t>
  </si>
  <si>
    <t>CW5500</t>
  </si>
  <si>
    <t>Removed factory, this item is IT only</t>
  </si>
  <si>
    <t>Other EUC Infra Changes (packaging, service catalog)</t>
  </si>
  <si>
    <t>PCConnectivity</t>
  </si>
  <si>
    <t>Moved from RDS to AVD</t>
  </si>
  <si>
    <t>CW6415</t>
  </si>
  <si>
    <t>T&amp;M Infrastructure changes; VDI, adding DNS records, modifying volumes (Infra)</t>
  </si>
  <si>
    <t>T&amp;M Maintenance Projects, interfacing (Infra)</t>
  </si>
  <si>
    <t>CW4346</t>
  </si>
  <si>
    <t>CW6296</t>
  </si>
  <si>
    <t>Penetration Testing SAP / Sales Force /Web</t>
  </si>
  <si>
    <t xml:space="preserve">SOC (259k), Qualys + AAD (220k) are included now as additions. AD, PKI, VM, EDR, SI are all part of the current user based security price so nothing has been included for them. 
</t>
  </si>
  <si>
    <t>EUS contract not finalized. Same costs as 2023 included</t>
  </si>
  <si>
    <t>SAPAPPS</t>
  </si>
  <si>
    <t>Unified Communication</t>
  </si>
  <si>
    <t>UniComm</t>
  </si>
  <si>
    <t>ServiceNow, service management and platform</t>
  </si>
  <si>
    <t xml:space="preserve">Accenture </t>
  </si>
  <si>
    <t>SIAM recontracting, building servicenow capabilities</t>
  </si>
  <si>
    <t>ALM Octane</t>
  </si>
  <si>
    <t>APP002758</t>
  </si>
  <si>
    <t>Accenture B.V.</t>
  </si>
  <si>
    <t>Sitecore Support</t>
  </si>
  <si>
    <t>APP002952</t>
  </si>
  <si>
    <t>Accenture/Avenade</t>
  </si>
  <si>
    <t>CW7648</t>
  </si>
  <si>
    <t>Actemium</t>
  </si>
  <si>
    <t>Albert</t>
  </si>
  <si>
    <t>CW9425</t>
  </si>
  <si>
    <t>Pre Paid</t>
  </si>
  <si>
    <t>c</t>
  </si>
  <si>
    <t>APP002669</t>
  </si>
  <si>
    <t>No contract</t>
  </si>
  <si>
    <t>HR/Legal</t>
  </si>
  <si>
    <t>Paid locally</t>
  </si>
  <si>
    <t>APP002809</t>
  </si>
  <si>
    <t>Aico Group Oy</t>
  </si>
  <si>
    <t>New Key</t>
  </si>
  <si>
    <t>Finance</t>
  </si>
  <si>
    <t>CW7049</t>
  </si>
  <si>
    <t>APP000069</t>
  </si>
  <si>
    <t>Alizent Canada Inc.</t>
  </si>
  <si>
    <t>IQS now excluded because this is a local contract (only used in UK).</t>
  </si>
  <si>
    <t>CW4729</t>
  </si>
  <si>
    <t xml:space="preserve">AlteryX </t>
  </si>
  <si>
    <t>De Villiers Walton Limited</t>
  </si>
  <si>
    <t>Patrick</t>
  </si>
  <si>
    <t>L-ALTERYX-USERS</t>
  </si>
  <si>
    <t>CW7056</t>
  </si>
  <si>
    <t>Restricted Party Screening (RPS)</t>
  </si>
  <si>
    <t>APP000047</t>
  </si>
  <si>
    <t>Contract will be decomissioned in 2024</t>
  </si>
  <si>
    <t>CW5510</t>
  </si>
  <si>
    <t>APP002309</t>
  </si>
  <si>
    <t>Apptio Inc</t>
  </si>
  <si>
    <t>Ashish Ketkar</t>
  </si>
  <si>
    <t>Decomissioned end of q1</t>
  </si>
  <si>
    <t>CW4286</t>
  </si>
  <si>
    <t>Apttus Corporation</t>
  </si>
  <si>
    <t>APP003015</t>
  </si>
  <si>
    <t>Aravo Solutions, Inc.</t>
  </si>
  <si>
    <t>Adding Refinitiv conection</t>
  </si>
  <si>
    <t>APP000968</t>
  </si>
  <si>
    <t>Artilium B.V.</t>
  </si>
  <si>
    <t>CW9789</t>
  </si>
  <si>
    <t>Jira Licenses</t>
  </si>
  <si>
    <t>APP000150</t>
  </si>
  <si>
    <t>Atlassian</t>
  </si>
  <si>
    <t>Increased user count</t>
  </si>
  <si>
    <t>Infra costs per application</t>
  </si>
  <si>
    <t>Google Translate</t>
  </si>
  <si>
    <t>APP002944</t>
  </si>
  <si>
    <t>Will not materialize</t>
  </si>
  <si>
    <t>SAP Suite</t>
  </si>
  <si>
    <t>InfraSAP</t>
  </si>
  <si>
    <t>Atos SAP Operations, Storage &amp; Batch Management</t>
  </si>
  <si>
    <t>SPSS Upgrade landscape</t>
  </si>
  <si>
    <t>CW5676</t>
  </si>
  <si>
    <t>Boomi BeNeLux B.V</t>
  </si>
  <si>
    <t>10 additional licences</t>
  </si>
  <si>
    <t>CW7618</t>
  </si>
  <si>
    <t>Tech Integration</t>
  </si>
  <si>
    <t>APP002945</t>
  </si>
  <si>
    <t>APP002946</t>
  </si>
  <si>
    <t>Boost AI AS</t>
  </si>
  <si>
    <t>New licence fee</t>
  </si>
  <si>
    <t>CW10435</t>
  </si>
  <si>
    <t xml:space="preserve">Gearset </t>
  </si>
  <si>
    <t>APP002662</t>
  </si>
  <si>
    <t>Bright Market LLC dba FastSpring</t>
  </si>
  <si>
    <t>CW5898</t>
  </si>
  <si>
    <t>APP002535</t>
  </si>
  <si>
    <t>Broweerstack Inc.</t>
  </si>
  <si>
    <t>CW4251</t>
  </si>
  <si>
    <t>APP002793</t>
  </si>
  <si>
    <t>Teams direct routing NSSRS</t>
  </si>
  <si>
    <t>CW7058</t>
  </si>
  <si>
    <t>APP000167</t>
  </si>
  <si>
    <t>Cadac Group</t>
  </si>
  <si>
    <t>Expected growth</t>
  </si>
  <si>
    <t>Cape systems Esko</t>
  </si>
  <si>
    <t>CW5966</t>
  </si>
  <si>
    <t>SalesForce</t>
  </si>
  <si>
    <t>Contract negotiations, included in Salesforce contract</t>
  </si>
  <si>
    <t>CW9430</t>
  </si>
  <si>
    <t>Connected Coffee Machine Support</t>
  </si>
  <si>
    <t>APP002668</t>
  </si>
  <si>
    <t>CW8581</t>
  </si>
  <si>
    <t>EDI: Comarch</t>
  </si>
  <si>
    <t>APP002928</t>
  </si>
  <si>
    <t>Comarch AG Belgian branch</t>
  </si>
  <si>
    <t>APP002825</t>
  </si>
  <si>
    <t>Commodity Supplies AG</t>
  </si>
  <si>
    <t>C&amp;T</t>
  </si>
  <si>
    <t>APP002318</t>
  </si>
  <si>
    <t>CW5181</t>
  </si>
  <si>
    <t>Concur T&amp;E Tool</t>
  </si>
  <si>
    <t>Concur Holdings</t>
  </si>
  <si>
    <t>GR without inv</t>
  </si>
  <si>
    <t>APP002884</t>
  </si>
  <si>
    <t>Martijn</t>
  </si>
  <si>
    <t>Decomissioned, no longer needed after COVID</t>
  </si>
  <si>
    <t>APP000010</t>
  </si>
  <si>
    <t>Contracto BV</t>
  </si>
  <si>
    <t>Convercent, Inc.</t>
  </si>
  <si>
    <t>CW5523</t>
  </si>
  <si>
    <t>Cornerstone Performance and Talent</t>
  </si>
  <si>
    <t>APP000043</t>
  </si>
  <si>
    <t>Cornerstone OnDemand Ltd</t>
  </si>
  <si>
    <t>Decomissioned, Replaced by LMS</t>
  </si>
  <si>
    <t>CW6000</t>
  </si>
  <si>
    <t>Winshuttle Maintenance + Support</t>
  </si>
  <si>
    <t>Ctac B.V.</t>
  </si>
  <si>
    <t>Curvature LLC</t>
  </si>
  <si>
    <t>CW7953</t>
  </si>
  <si>
    <t>APP002655</t>
  </si>
  <si>
    <t>Rohan</t>
  </si>
  <si>
    <t>CW9111</t>
  </si>
  <si>
    <t>Support Cornerstone</t>
  </si>
  <si>
    <t>DXC Technology B.V.</t>
  </si>
  <si>
    <t>Manufacturing Dashboard Coffee en Tea</t>
  </si>
  <si>
    <t>APP001588</t>
  </si>
  <si>
    <t>CW7631</t>
  </si>
  <si>
    <t>APP000255</t>
  </si>
  <si>
    <t>Engagor NV</t>
  </si>
  <si>
    <t>CW5940</t>
  </si>
  <si>
    <t>EPI Server licenses</t>
  </si>
  <si>
    <t>EPiServer</t>
  </si>
  <si>
    <t>CW4333</t>
  </si>
  <si>
    <t>APP002733</t>
  </si>
  <si>
    <t>CW4382</t>
  </si>
  <si>
    <t>EPI-Use Maintenance</t>
  </si>
  <si>
    <t>APP001036</t>
  </si>
  <si>
    <t>Eulabs B.V.</t>
  </si>
  <si>
    <t>Half-Year</t>
  </si>
  <si>
    <t>CW6955</t>
  </si>
  <si>
    <t>APP002274</t>
  </si>
  <si>
    <t>CW4379</t>
  </si>
  <si>
    <t>Crunchr Licenses + Support</t>
  </si>
  <si>
    <t>APP002476</t>
  </si>
  <si>
    <t>Focus Orange Technology B.V.</t>
  </si>
  <si>
    <t>Decomissioned, replaced by Visier</t>
  </si>
  <si>
    <t>CW6149</t>
  </si>
  <si>
    <t>Fox-IT B.V.</t>
  </si>
  <si>
    <t>CW5716</t>
  </si>
  <si>
    <t>Genesys PureConnect SSRs &amp; NSSRs</t>
  </si>
  <si>
    <t>Frontline</t>
  </si>
  <si>
    <t>Genesys PureConnect support</t>
  </si>
  <si>
    <t>APP003046</t>
  </si>
  <si>
    <t>Garvis B.V.</t>
  </si>
  <si>
    <t>Supply Chain</t>
  </si>
  <si>
    <t>Loqate</t>
  </si>
  <si>
    <t>APP002674</t>
  </si>
  <si>
    <t>GB Group plc</t>
  </si>
  <si>
    <t>CW6061</t>
  </si>
  <si>
    <t>Influe / EWR</t>
  </si>
  <si>
    <t>APP000394</t>
  </si>
  <si>
    <t>GENERIX</t>
  </si>
  <si>
    <t>CW8846</t>
  </si>
  <si>
    <t>GeONE Excellent Support Bundle (NINTEX)</t>
  </si>
  <si>
    <t>APP000997</t>
  </si>
  <si>
    <t>GeOne</t>
  </si>
  <si>
    <t>Remco</t>
  </si>
  <si>
    <t>Nintex Workflow Complete Pack</t>
  </si>
  <si>
    <t>CW6157</t>
  </si>
  <si>
    <t>Platform fee &amp; managed service</t>
  </si>
  <si>
    <t>APP002310</t>
  </si>
  <si>
    <t>CW9827</t>
  </si>
  <si>
    <t>Github Annual Subscription + Support</t>
  </si>
  <si>
    <t>APP002314</t>
  </si>
  <si>
    <t>CW9322</t>
  </si>
  <si>
    <t>APP001403</t>
  </si>
  <si>
    <t>Groupe Sharegate</t>
  </si>
  <si>
    <t>APP002882</t>
  </si>
  <si>
    <t>Hamilton Grant Software Limited</t>
  </si>
  <si>
    <t>CW4879</t>
  </si>
  <si>
    <t>Non-Standard Services (StoreOnce )</t>
  </si>
  <si>
    <t>CW9584</t>
  </si>
  <si>
    <t>IBM Nederland B.V.</t>
  </si>
  <si>
    <t>APP003006</t>
  </si>
  <si>
    <t>Icron Technologies Europe B.V.</t>
  </si>
  <si>
    <t>CW9780</t>
  </si>
  <si>
    <t>Goldfire Application</t>
  </si>
  <si>
    <t>IHS</t>
  </si>
  <si>
    <t>R&amp;d</t>
  </si>
  <si>
    <t>APP002877</t>
  </si>
  <si>
    <t>Innovapeak Ltd</t>
  </si>
  <si>
    <t>CW9402</t>
  </si>
  <si>
    <t>APP002630</t>
  </si>
  <si>
    <t>CW7162</t>
  </si>
  <si>
    <t>APP002631</t>
  </si>
  <si>
    <t>CW7983</t>
  </si>
  <si>
    <t>APP000011</t>
  </si>
  <si>
    <t>Insight Nederland</t>
  </si>
  <si>
    <t>CW9775</t>
  </si>
  <si>
    <t>APP000560</t>
  </si>
  <si>
    <t>Intelligent Solutions</t>
  </si>
  <si>
    <t>SUMI Technical SLA</t>
  </si>
  <si>
    <t>3-Year</t>
  </si>
  <si>
    <t>CW4322</t>
  </si>
  <si>
    <t>i21 Maintenance</t>
  </si>
  <si>
    <t>Email Protection</t>
  </si>
  <si>
    <t>Ironscales</t>
  </si>
  <si>
    <t>CW9512</t>
  </si>
  <si>
    <t>ITs Value Consultancy</t>
  </si>
  <si>
    <t>Marek</t>
  </si>
  <si>
    <t>CW6681</t>
  </si>
  <si>
    <t>Global Efax tool</t>
  </si>
  <si>
    <t>APP000114</t>
  </si>
  <si>
    <r>
      <t xml:space="preserve">J2 Global Ireland Limited </t>
    </r>
    <r>
      <rPr>
        <sz val="11"/>
        <color rgb="FFFF0000"/>
        <rFont val="Calibri"/>
        <family val="2"/>
        <scheme val="minor"/>
      </rPr>
      <t>(Consensus)</t>
    </r>
  </si>
  <si>
    <t>CW9446</t>
  </si>
  <si>
    <t>D&amp;A Retail Support</t>
  </si>
  <si>
    <t>Just BI B.V.</t>
  </si>
  <si>
    <t xml:space="preserve">MT decision, increase reduced. </t>
  </si>
  <si>
    <t>D&amp;A Prof Support</t>
  </si>
  <si>
    <t>APP001760</t>
  </si>
  <si>
    <t>CW5395</t>
  </si>
  <si>
    <t>Kantar Retail</t>
  </si>
  <si>
    <t>L-XTEL-USERS</t>
  </si>
  <si>
    <t>Retail Sales</t>
  </si>
  <si>
    <t>10% Inflation expected</t>
  </si>
  <si>
    <t>Reduced to 60 days of change budget</t>
  </si>
  <si>
    <t>CW4442</t>
  </si>
  <si>
    <t>125k additional for 50 users + 20% maintenance fee</t>
  </si>
  <si>
    <t>APP002937</t>
  </si>
  <si>
    <t>APP000838</t>
  </si>
  <si>
    <t>Knowledge Management Associates</t>
  </si>
  <si>
    <t>CW9851</t>
  </si>
  <si>
    <t>GRC Access Controls</t>
  </si>
  <si>
    <t>APP000026</t>
  </si>
  <si>
    <t>GRC Process Control Support</t>
  </si>
  <si>
    <t>APP002951</t>
  </si>
  <si>
    <t>Litmus Software Inc.</t>
  </si>
  <si>
    <t>CW5195</t>
  </si>
  <si>
    <t>APP000354</t>
  </si>
  <si>
    <t>Logic8</t>
  </si>
  <si>
    <t>CW5969</t>
  </si>
  <si>
    <t>APP002415</t>
  </si>
  <si>
    <t>Included in adobe contract</t>
  </si>
  <si>
    <t>Quarterly</t>
  </si>
  <si>
    <t>CW5971</t>
  </si>
  <si>
    <t>APP002450</t>
  </si>
  <si>
    <t>Mandiant</t>
  </si>
  <si>
    <t>CW7140</t>
  </si>
  <si>
    <t>Meridian VAT Application</t>
  </si>
  <si>
    <t>APP000005</t>
  </si>
  <si>
    <t>Meridian VAT processing</t>
  </si>
  <si>
    <t>APP002947</t>
  </si>
  <si>
    <t>Metapack LtD</t>
  </si>
  <si>
    <t>An additional service of delivery tracker is included</t>
  </si>
  <si>
    <t>CW7803</t>
  </si>
  <si>
    <t>APP002599</t>
  </si>
  <si>
    <t>Based on actuals and forecast</t>
  </si>
  <si>
    <t>CW7800</t>
  </si>
  <si>
    <t>Microsoft PowerBI</t>
  </si>
  <si>
    <t>APP002619</t>
  </si>
  <si>
    <t>Premium capacity + future growth</t>
  </si>
  <si>
    <t>CW7798</t>
  </si>
  <si>
    <t>Price increase and 50 new licences for Campos</t>
  </si>
  <si>
    <t>CW7258</t>
  </si>
  <si>
    <t>Move from Premier support to unified support</t>
  </si>
  <si>
    <t xml:space="preserve">Additional costs for MS Team Rooms Pro licenses </t>
  </si>
  <si>
    <t xml:space="preserve">Sendgrid </t>
  </si>
  <si>
    <t>APP002571</t>
  </si>
  <si>
    <t>Microsoft B.V.</t>
  </si>
  <si>
    <t>APP000827</t>
  </si>
  <si>
    <t>Minitab Ltd.</t>
  </si>
  <si>
    <t>APP003010</t>
  </si>
  <si>
    <t>Mural Tactivos</t>
  </si>
  <si>
    <t>10</t>
  </si>
  <si>
    <t>APP002769</t>
  </si>
  <si>
    <t>New Relic inc.</t>
  </si>
  <si>
    <t>CW4360</t>
  </si>
  <si>
    <t>TraceIT</t>
  </si>
  <si>
    <t>APP000065</t>
  </si>
  <si>
    <t>Novexx</t>
  </si>
  <si>
    <t>CW7829</t>
  </si>
  <si>
    <t>OpenText Maintenance Fee</t>
  </si>
  <si>
    <t>Open Text</t>
  </si>
  <si>
    <t>RobIN</t>
  </si>
  <si>
    <t>SAP Archiving solution (OpenText)</t>
  </si>
  <si>
    <t>Increased annual fee</t>
  </si>
  <si>
    <t>CW7957</t>
  </si>
  <si>
    <t>APP002550</t>
  </si>
  <si>
    <t>Actuals + 3% increase</t>
  </si>
  <si>
    <t>CW9746</t>
  </si>
  <si>
    <t>CW9748</t>
  </si>
  <si>
    <t>CW9754</t>
  </si>
  <si>
    <t>CW9756</t>
  </si>
  <si>
    <t>CW9766</t>
  </si>
  <si>
    <t>APP000398</t>
  </si>
  <si>
    <t>CW9750</t>
  </si>
  <si>
    <t>APP000744</t>
  </si>
  <si>
    <t>Security (+Zscaler / Security)</t>
  </si>
  <si>
    <t>APP002805</t>
  </si>
  <si>
    <t>CW9509</t>
  </si>
  <si>
    <t>increase for DDoS + 50k bandwidth upgrades+ addition of new sites in MY, US etc. + Uplift of 2% for paying SCF charges</t>
  </si>
  <si>
    <t>CW4564</t>
  </si>
  <si>
    <t>APP002647</t>
  </si>
  <si>
    <t>OwnBackup, Inc</t>
  </si>
  <si>
    <t>CW7633</t>
  </si>
  <si>
    <t>Pegasystems</t>
  </si>
  <si>
    <t>Inflation and growth</t>
  </si>
  <si>
    <t>Project Link (Pega) + BIX</t>
  </si>
  <si>
    <t>APP002880</t>
  </si>
  <si>
    <t>1/3 charged to R&amp;D, other 2/3 charged t0 markets</t>
  </si>
  <si>
    <t>CW7965</t>
  </si>
  <si>
    <t>PlanView (iPPM)</t>
  </si>
  <si>
    <t>APP002666</t>
  </si>
  <si>
    <t>Planview International AB</t>
  </si>
  <si>
    <t>Henk</t>
  </si>
  <si>
    <t>CW7941</t>
  </si>
  <si>
    <t>Connector4U Pro Licenses</t>
  </si>
  <si>
    <t>Plat4mation B.V.</t>
  </si>
  <si>
    <t>Plat4mation Enhancement budget</t>
  </si>
  <si>
    <t>APP002785</t>
  </si>
  <si>
    <t>Included in adobe contract (Cloud)</t>
  </si>
  <si>
    <t>CW4721</t>
  </si>
  <si>
    <t>Point.X Licenses</t>
  </si>
  <si>
    <t>Point. X, spol. s r.o.</t>
  </si>
  <si>
    <t>Accoriding to actuals</t>
  </si>
  <si>
    <t>APP002759</t>
  </si>
  <si>
    <t>CW7235</t>
  </si>
  <si>
    <t>Solarwinds Maintenance</t>
  </si>
  <si>
    <t>APP000900</t>
  </si>
  <si>
    <t>Procyon Networks B.V.</t>
  </si>
  <si>
    <t>CW10007</t>
  </si>
  <si>
    <t>Avecto</t>
  </si>
  <si>
    <t>APP001977</t>
  </si>
  <si>
    <t>Professional Developm Systems B.V.</t>
  </si>
  <si>
    <t>APP002949</t>
  </si>
  <si>
    <t>CW6184</t>
  </si>
  <si>
    <t>CALOC Support</t>
  </si>
  <si>
    <t>APP000009</t>
  </si>
  <si>
    <t>PW Consulting B.V.</t>
  </si>
  <si>
    <t>Not renewed</t>
  </si>
  <si>
    <t>APP002265</t>
  </si>
  <si>
    <t>PWC Advisory</t>
  </si>
  <si>
    <t>CW9785</t>
  </si>
  <si>
    <t>Qlikview Maintenance</t>
  </si>
  <si>
    <t>Qliktech</t>
  </si>
  <si>
    <t>CW4723</t>
  </si>
  <si>
    <t>APP000957</t>
  </si>
  <si>
    <t>ReleaseTMS B.V.</t>
  </si>
  <si>
    <t>Reduced scope</t>
  </si>
  <si>
    <t>RIPE</t>
  </si>
  <si>
    <t>ROJO Middleware Monitoring Tool</t>
  </si>
  <si>
    <t>APP003056</t>
  </si>
  <si>
    <t>Rojo Innovation B.V.</t>
  </si>
  <si>
    <t>CW9490</t>
  </si>
  <si>
    <t>APP002130</t>
  </si>
  <si>
    <t>CW7747</t>
  </si>
  <si>
    <t>Sans Institute</t>
  </si>
  <si>
    <t>CW7745</t>
  </si>
  <si>
    <t>Sap Ent. Support Appendix 1 : Initial Scope</t>
  </si>
  <si>
    <t>Sap Ent. Support Appendix 6 : APO</t>
  </si>
  <si>
    <t xml:space="preserve">Sap Ent. Support Appendix 7 : Sales orders </t>
  </si>
  <si>
    <t>Sap Ent. Support Appendix 8 : Lease accounting Tickets (LAE)</t>
  </si>
  <si>
    <t>Sap Ent. Support Appendix 9 : Open Text</t>
  </si>
  <si>
    <t>Sap Ent. Support Appendix 10 : OCR OpenText</t>
  </si>
  <si>
    <t>Sap Ent. Support Appendix 11 : Sequoia Extension</t>
  </si>
  <si>
    <t>Sap Ent. Support Appendix 12 : CPS (Redwood) - changed to: Run my Jobs</t>
  </si>
  <si>
    <t>Sap Ent. Support Appendix 13 : Sequoia + HANA</t>
  </si>
  <si>
    <t>Sap Ent. Support Appendix 14 : SAP TAO SDS</t>
  </si>
  <si>
    <t>Sap Ent. Support Appendix 15 : Cypress License Acquisition</t>
  </si>
  <si>
    <t>Sap Ent. Support Appendix 16 : Native HANA + PO + AIF</t>
  </si>
  <si>
    <t>Sap Ent. Support Appendix 17 : License audit</t>
  </si>
  <si>
    <t>Sap Ent. Support Appendix 21 : SAP SSO 3.0</t>
  </si>
  <si>
    <t>CW5457</t>
  </si>
  <si>
    <t>Active Embedded Support</t>
  </si>
  <si>
    <t>SAP Appendix 23: Oracle/Hana fees</t>
  </si>
  <si>
    <t>Sap Ent. Support Appendix 4 : BPC, HANA, BO BI</t>
  </si>
  <si>
    <t>APP000020</t>
  </si>
  <si>
    <t>Sap Ent. Support Appendix 5 : APO</t>
  </si>
  <si>
    <t>APP000022</t>
  </si>
  <si>
    <t>Sap Ent. Support Appendix 18 : Lumira Licenses</t>
  </si>
  <si>
    <t>APP000023</t>
  </si>
  <si>
    <t>CW5684</t>
  </si>
  <si>
    <t>Sap Ent. Support Appendix 2 : Identity Management (IDM)</t>
  </si>
  <si>
    <t>APP000025</t>
  </si>
  <si>
    <t>Sap Ent. Support Appendix 3 : GRC</t>
  </si>
  <si>
    <t>CW5686</t>
  </si>
  <si>
    <t>Sap C4C Licenses</t>
  </si>
  <si>
    <t>APP000029</t>
  </si>
  <si>
    <t>CW13459</t>
  </si>
  <si>
    <t>APP001804</t>
  </si>
  <si>
    <t>Stanislav Stoyanov</t>
  </si>
  <si>
    <t>PROC</t>
  </si>
  <si>
    <t>CW7158</t>
  </si>
  <si>
    <t>APP001896</t>
  </si>
  <si>
    <t>Sap Ent. Support Appendix 20 : Audit find LAE, BI</t>
  </si>
  <si>
    <t>APP002552</t>
  </si>
  <si>
    <t>CW6216</t>
  </si>
  <si>
    <t>Successfactors</t>
  </si>
  <si>
    <t>Adding licences for LMS</t>
  </si>
  <si>
    <t>CW7897</t>
  </si>
  <si>
    <t>CALOC maintenance on Licenses</t>
  </si>
  <si>
    <t>APP003051</t>
  </si>
  <si>
    <t>SAS Fastmarketing Cloud Software</t>
  </si>
  <si>
    <t>CW6059</t>
  </si>
  <si>
    <t>Saviynt Europe Ltd</t>
  </si>
  <si>
    <t>CW4405</t>
  </si>
  <si>
    <t>Seeburger (EDI Connection)</t>
  </si>
  <si>
    <t>APP000063</t>
  </si>
  <si>
    <t>All customer mapping remains in Seeburger</t>
  </si>
  <si>
    <t>APP003064</t>
  </si>
  <si>
    <t>Servana Managed Services Ltd</t>
  </si>
  <si>
    <t>CW10044</t>
  </si>
  <si>
    <t>Service now</t>
  </si>
  <si>
    <t>APP002786</t>
  </si>
  <si>
    <t>CW5905</t>
  </si>
  <si>
    <t>Salesforce Adapters SDS / Salesforce</t>
  </si>
  <si>
    <t>APP001035</t>
  </si>
  <si>
    <t>Simba Technologies Inc.</t>
  </si>
  <si>
    <t>Sitecore</t>
  </si>
  <si>
    <t>CW5692</t>
  </si>
  <si>
    <t>SmartRecruiters</t>
  </si>
  <si>
    <t>APP002268</t>
  </si>
  <si>
    <t>APP003057</t>
  </si>
  <si>
    <t>Softwareone Netherlands B.V.</t>
  </si>
  <si>
    <t>APP002950</t>
  </si>
  <si>
    <t>Sonarsource SA</t>
  </si>
  <si>
    <t>CW9701</t>
  </si>
  <si>
    <t>Moved to cloud, more expensive licences</t>
  </si>
  <si>
    <t>APP001861</t>
  </si>
  <si>
    <t>Sphera Solutions Gmbh</t>
  </si>
  <si>
    <t>CW9691</t>
  </si>
  <si>
    <t>Sposea Brightprice</t>
  </si>
  <si>
    <t>APP001100</t>
  </si>
  <si>
    <t>Sposea Software BV</t>
  </si>
  <si>
    <t>CW9648</t>
  </si>
  <si>
    <t>BPC Support</t>
  </si>
  <si>
    <t>CW7757</t>
  </si>
  <si>
    <t>APP000867</t>
  </si>
  <si>
    <t>SyncForce B.V.</t>
  </si>
  <si>
    <t>Tallon Graphic Solutions NV</t>
  </si>
  <si>
    <t>Va</t>
  </si>
  <si>
    <t>According to VM</t>
  </si>
  <si>
    <t>CW9121</t>
  </si>
  <si>
    <t>Snow Licenses</t>
  </si>
  <si>
    <t>APP003042</t>
  </si>
  <si>
    <t>Egon</t>
  </si>
  <si>
    <t>CW7975</t>
  </si>
  <si>
    <t>APP000463</t>
  </si>
  <si>
    <t>Wall Street Systems UK Limited</t>
  </si>
  <si>
    <t>Rabish Shaunak</t>
  </si>
  <si>
    <t>Retail price increase</t>
  </si>
  <si>
    <t>CW6670</t>
  </si>
  <si>
    <t>Effacts | Legisway</t>
  </si>
  <si>
    <t>APP001834</t>
  </si>
  <si>
    <t>Wolters Kluwer</t>
  </si>
  <si>
    <t>CW6679</t>
  </si>
  <si>
    <t xml:space="preserve">IXOS Support </t>
  </si>
  <si>
    <t>X-center</t>
  </si>
  <si>
    <t>APP002784</t>
  </si>
  <si>
    <t>Zoovu (Austria) GmbH</t>
  </si>
  <si>
    <t>CW5538</t>
  </si>
  <si>
    <t>PS Support (Zylab)</t>
  </si>
  <si>
    <t>CW4342</t>
  </si>
  <si>
    <t>Aveva - template maintennace</t>
  </si>
  <si>
    <t>APP002146</t>
  </si>
  <si>
    <t>Not Materialized, support remains at Vaimo</t>
  </si>
  <si>
    <t>Error Proof Loading (EPL)</t>
  </si>
  <si>
    <t>APP002760</t>
  </si>
  <si>
    <t>Visier licences &amp; support</t>
  </si>
  <si>
    <t>APP003152</t>
  </si>
  <si>
    <t>New HR analytics tool replacing Crunchr</t>
  </si>
  <si>
    <t>APP003151</t>
  </si>
  <si>
    <t>New HR survey tool for joiners/leavers</t>
  </si>
  <si>
    <t>Qualtrics support</t>
  </si>
  <si>
    <t>APP003157</t>
  </si>
  <si>
    <t>Refinitiv</t>
  </si>
  <si>
    <t>APP003162</t>
  </si>
  <si>
    <t>New screening tool</t>
  </si>
  <si>
    <t>Plat4mation Hospitality App</t>
  </si>
  <si>
    <t>APP003167</t>
  </si>
  <si>
    <t>Auditing tool for hospitality business</t>
  </si>
  <si>
    <t>Microsoft Power Automate &amp; Power Apps</t>
  </si>
  <si>
    <t>APP003176</t>
  </si>
  <si>
    <t>Stefan jochems</t>
  </si>
  <si>
    <t>Salesforce Order Management</t>
  </si>
  <si>
    <t>Moved from Magento to Salesforce</t>
  </si>
  <si>
    <t>Onetrust</t>
  </si>
  <si>
    <t>APP003168</t>
  </si>
  <si>
    <t>Moved from Central Marketing to GIS</t>
  </si>
  <si>
    <t>APP003153</t>
  </si>
  <si>
    <t>Artefact</t>
  </si>
  <si>
    <t>Microsoft Azure: ecommerce Hygraph hosting</t>
  </si>
  <si>
    <t>APP003154</t>
  </si>
  <si>
    <t>Magento Commerce Cloud (Adobe)</t>
  </si>
  <si>
    <t>New adobe contract</t>
  </si>
  <si>
    <t>Jira Support</t>
  </si>
  <si>
    <t>Admin support for Jira</t>
  </si>
  <si>
    <t>Additional support requests core functions (E.g: Security, R&amp;D, Ariba, Aravo, App ownership)</t>
  </si>
  <si>
    <t>SAP C4C Support</t>
  </si>
  <si>
    <t>Moved to dedicated resource</t>
  </si>
  <si>
    <t>Aveva - 24/7 support</t>
  </si>
  <si>
    <t>Moved from local budget to central budget</t>
  </si>
  <si>
    <t>Aveva- Licences</t>
  </si>
  <si>
    <t>GetFeedback - DTC</t>
  </si>
  <si>
    <t>APP003177</t>
  </si>
  <si>
    <t>Solution to manage all the Drawings from CAD applications</t>
  </si>
  <si>
    <t>Monitoring factory KPIs and standstill</t>
  </si>
  <si>
    <t>Project management tooling for factories</t>
  </si>
  <si>
    <t xml:space="preserve"> </t>
  </si>
  <si>
    <t>Booking method</t>
  </si>
  <si>
    <t>MacroRange</t>
  </si>
  <si>
    <t>Sheet</t>
  </si>
  <si>
    <t>Range</t>
  </si>
  <si>
    <t>Function</t>
  </si>
  <si>
    <t>PONumbers</t>
  </si>
  <si>
    <t>BIAnalysis</t>
  </si>
  <si>
    <t>C4:C200</t>
  </si>
  <si>
    <t>Infra / EUS</t>
  </si>
  <si>
    <t>Accrual</t>
  </si>
  <si>
    <t>DevOps</t>
  </si>
  <si>
    <t>Nizaar</t>
  </si>
  <si>
    <t>MTD &amp; R&amp;D</t>
  </si>
  <si>
    <t>E-Commerce</t>
  </si>
  <si>
    <t>Gaurav</t>
  </si>
  <si>
    <t>HR, Legal</t>
  </si>
  <si>
    <t>STP</t>
  </si>
  <si>
    <t>Milou</t>
  </si>
  <si>
    <t>Jaap</t>
  </si>
  <si>
    <t>Johan</t>
  </si>
  <si>
    <t>Prateek</t>
  </si>
  <si>
    <t>Anna</t>
  </si>
  <si>
    <t>Vendor name</t>
  </si>
  <si>
    <t>Item</t>
  </si>
  <si>
    <t>Value</t>
  </si>
  <si>
    <t>PO in AOP</t>
  </si>
  <si>
    <t>Checked</t>
  </si>
  <si>
    <t>Last Updated</t>
  </si>
  <si>
    <t>Cost Centre</t>
  </si>
  <si>
    <t>Summary</t>
  </si>
  <si>
    <t>Delta</t>
  </si>
  <si>
    <t>Decrease</t>
  </si>
  <si>
    <t>Increase</t>
  </si>
  <si>
    <t>No Change</t>
  </si>
  <si>
    <t>Charging Key</t>
  </si>
  <si>
    <t># Users</t>
  </si>
  <si>
    <t>Charge</t>
  </si>
  <si>
    <t>Delta # Users</t>
  </si>
  <si>
    <t>Delta €</t>
  </si>
  <si>
    <t>Delta Charge%</t>
  </si>
  <si>
    <t>L-AUTOCAD-USERS</t>
  </si>
  <si>
    <t>L-AICO-USERS</t>
  </si>
  <si>
    <t>Funtion</t>
  </si>
  <si>
    <t>Core Functions</t>
  </si>
  <si>
    <t>CPG</t>
  </si>
  <si>
    <t>HQ</t>
  </si>
  <si>
    <t>Infra &amp; Shared Platforms</t>
  </si>
  <si>
    <t>Professional</t>
  </si>
  <si>
    <t>Number</t>
  </si>
  <si>
    <t>Requester</t>
  </si>
  <si>
    <t xml:space="preserve">Item </t>
  </si>
  <si>
    <t>Amount</t>
  </si>
  <si>
    <t xml:space="preserve">Agreed with </t>
  </si>
  <si>
    <t>Recurrence</t>
  </si>
  <si>
    <t xml:space="preserve">Name Charged coct center </t>
  </si>
  <si>
    <t>Charged cost center</t>
  </si>
  <si>
    <t>Name benefitted cost center</t>
  </si>
  <si>
    <t>Beniffeted cost center</t>
  </si>
  <si>
    <t>Comment</t>
  </si>
  <si>
    <t>Cross charge completed yes/no (to be completed by central finance)</t>
  </si>
  <si>
    <t>DevOps testers 2023 2 FTE</t>
  </si>
  <si>
    <t>IT OPS</t>
  </si>
  <si>
    <t>Completed</t>
  </si>
  <si>
    <t>Devops ABAP resource 0.5 FTE</t>
  </si>
  <si>
    <t>D&amp;A professional Ops</t>
  </si>
  <si>
    <t>Kelvin Diependal</t>
  </si>
  <si>
    <t>D&amp;A Professional Dev</t>
  </si>
  <si>
    <t>Frans Verheij</t>
  </si>
  <si>
    <t>Ecommerce total costs 2023</t>
  </si>
  <si>
    <t>Aprox 800k</t>
  </si>
  <si>
    <t>BAS Vredenburg</t>
  </si>
  <si>
    <t xml:space="preserve">Actual costs to be checked end Q2 and cross charge accordingly
Adding OMS costs for € 24369 - MP </t>
  </si>
  <si>
    <t>Not completed</t>
  </si>
  <si>
    <t xml:space="preserve">Ariba support </t>
  </si>
  <si>
    <t>Stanislav</t>
  </si>
  <si>
    <t>When it materializes</t>
  </si>
  <si>
    <t>Mathilde</t>
  </si>
  <si>
    <t>OBS OF 10-1501349 - Belarus</t>
  </si>
  <si>
    <t>Albert Setiawan</t>
  </si>
  <si>
    <t>Once</t>
  </si>
  <si>
    <t>5400977254: Tamara is informed</t>
  </si>
  <si>
    <t>Accenture SoW 70 Malaysia</t>
  </si>
  <si>
    <t>Sharon Leong</t>
  </si>
  <si>
    <t>SoW A57 Exemption report</t>
  </si>
  <si>
    <t>€20000</t>
  </si>
  <si>
    <t>Gagan Sharma/ 
Tamara Hryv</t>
  </si>
  <si>
    <t>HQ Budget</t>
  </si>
  <si>
    <t>Tamara is already caught up
Will be x-charged to Apac after GR</t>
  </si>
  <si>
    <t>Last update : 18-5-2018</t>
  </si>
  <si>
    <t>MAIN ANALYSIS COMPONENTS</t>
  </si>
  <si>
    <t>The Summary tab provides insight in actual cost developments against AOP</t>
  </si>
  <si>
    <t>The tab shows actual values Year to Date based on parameters in BW summary tab</t>
  </si>
  <si>
    <t>The AOP year value is divided by 12 and then multiplied with the number of months past in the year</t>
  </si>
  <si>
    <t>The Reporting Month value needs to be updated each month to correctly calculate and display AOP YtD value</t>
  </si>
  <si>
    <t>To ease analysis on GL account, any cell holding a GL account number can be selected and…</t>
  </si>
  <si>
    <t>… by clicking on the 'Detail button', you will jump to BW summary page starting with the first matching line item</t>
  </si>
  <si>
    <t>This is the main analysis table within the file which lists all relevant AOP items against the GL account and where possible, the vendor / supplier</t>
  </si>
  <si>
    <t>To be as detailed as possible in terms of tracking and operational follow up, each line item is tagged with a corresponding PO and PO item number</t>
  </si>
  <si>
    <t>This will allow better tracking of actuals and allows budget responsibles to quickly find the right PO number in case of changes and adjustments</t>
  </si>
  <si>
    <r>
      <t xml:space="preserve">As actuals populate the Bidetails tab, </t>
    </r>
    <r>
      <rPr>
        <b/>
        <sz val="11"/>
        <color theme="1"/>
        <rFont val="Calibri"/>
        <family val="2"/>
        <scheme val="minor"/>
      </rPr>
      <t>it is key to keep track of new PO's receiving actuals</t>
    </r>
    <r>
      <rPr>
        <sz val="11"/>
        <color theme="1"/>
        <rFont val="Calibri"/>
        <family val="2"/>
        <scheme val="minor"/>
      </rPr>
      <t xml:space="preserve"> to ensure they properly roll up into the AOP file</t>
    </r>
  </si>
  <si>
    <t>Ideally, the sum of actuals in the Bidetails tab should match with what is in the summary</t>
  </si>
  <si>
    <t xml:space="preserve">Due to credit notes and financial adjustments not tied to a PO there will be deviations between all individual AOP values and PO items </t>
  </si>
  <si>
    <t>Objective however is to track status for each line item from logistics perspective to ensure we have PO in place and that we are aware of (potential) cost overruns for each line item</t>
  </si>
  <si>
    <t>SUPPORTING COMPONENTS</t>
  </si>
  <si>
    <t>BW Summary, BW Details</t>
  </si>
  <si>
    <t>Filter Criteria</t>
  </si>
  <si>
    <t>Company Code: 0002</t>
  </si>
  <si>
    <t>Cost Center : 68427709 Ops &amp; Compl</t>
  </si>
  <si>
    <t>Fiscal Period : 1 -12 of desired fiscal year</t>
  </si>
  <si>
    <t>GL Accounts (Last updated 1-2-2018)</t>
  </si>
  <si>
    <t>Important!</t>
  </si>
  <si>
    <t>As BW typically will show numbers as text fields, both PO number and PO item will need to be converted to properly match BW actual data with AOP values</t>
  </si>
  <si>
    <t xml:space="preserve">After each refresh of the BW query, the numbers need to be converted by clicking the 'Convert PO NR' button </t>
  </si>
  <si>
    <t>Note that for being able to refresh BW querys you will need:</t>
  </si>
  <si>
    <t>Installation of Business Objects Analysis for office which can be downloaded from Software Center</t>
  </si>
  <si>
    <t>Proper authorizations to be assigned to your user in BW, minimum roles required are:</t>
  </si>
  <si>
    <t xml:space="preserve">ZOB-2-NL-ALLXXX-R-FIN-GL </t>
  </si>
  <si>
    <t>ZCB-0-YY-XXXXXX-R-FIN-GL</t>
  </si>
  <si>
    <t>PO's not in AOP</t>
  </si>
  <si>
    <t>In order check if AOP items are matching with PO lines, a check table is setup comparing which PO's are listed in BI details Tab</t>
  </si>
  <si>
    <t>In case a PO is found which is not tied to an AOP item the check column will show 'Not Found'</t>
  </si>
  <si>
    <t xml:space="preserve">To ease analysis on PO matching, any cell holding a PO number can be selected and </t>
  </si>
  <si>
    <t>… by clicking on the 'Find PO' button, you will jump to BIdetails page starting with the first matching line item found</t>
  </si>
  <si>
    <t>Changelog</t>
  </si>
  <si>
    <t>Throughout the year, many different drivers will impact the Central IT Operations budget in the upcoming year</t>
  </si>
  <si>
    <t>To be able to keep track of these changes, a change log is incorporated within this file to list all items representing a delta (both upward and downward) for the following year</t>
  </si>
  <si>
    <t>It is absolutely key that on each occasion (Project / program go live, contract renewal / change, omission or errors) an entry is made in the change log by relevant budget holder!</t>
  </si>
  <si>
    <t>Step</t>
  </si>
  <si>
    <t>Save a new version of the file and Rename AOP and AOP summary tab to new year (eg: AOP22 to AOP23)</t>
  </si>
  <si>
    <t>Mark the end of the change log for the file in the current year so stakeholders know the latest change log is in the newly created file</t>
  </si>
  <si>
    <t>In Summary Tab, change the year in cell F7 and set reporting month to 12 in Cell D3</t>
  </si>
  <si>
    <t>Refresh both BW summary and BI details tab with next fiscal year data, this will clear all actual results from current year to avoid any confusion</t>
  </si>
  <si>
    <t>Make sure that columns holding this year and previous years AOP numbers (Column S,T,U) do not contain any formulas! Best to copy and paste the contents as numbers only.</t>
  </si>
  <si>
    <t>Next, copy last years aop to AOP-2 column (T --&gt; S). Copy this years AOP data to last years AOP column ((U--&gt; T)). Rename current year to next years AOP but keep the aop numbers in</t>
  </si>
  <si>
    <t>Filter on '0' (zero) values for all 3 AOP columns. This will show items having 0 AOP for 3 year, please remove / clear contents of these lines</t>
  </si>
  <si>
    <t>Incorporate all the delta's from the change log. Once completed, set the status for each item in the change log to 'Processed'</t>
  </si>
  <si>
    <t>Clear all previous comments in AOP tab where there is no Delta</t>
  </si>
  <si>
    <t>Add comments for all lines showing a delta</t>
  </si>
  <si>
    <t>Check for consistency between the variance column and processed changes in the change log</t>
  </si>
  <si>
    <t>Make sure the all items under Service 1 'SAP Suite' have charging key 'L-SAP-USER'</t>
  </si>
  <si>
    <t>Mare sure that all items having charging key 'Central' have function filled in</t>
  </si>
  <si>
    <t>Mare sure Service2 column has and application ID and or general service filled in, no blanks are allowed!</t>
  </si>
  <si>
    <t>Improvement</t>
  </si>
  <si>
    <t>Start training on how charging works and what to do for new applications</t>
  </si>
  <si>
    <t>Add prereuiqisits for charging/adding items to AOP (Creation in the CMDB, APP IDD, Countries etc).</t>
  </si>
  <si>
    <t>Charging key for alterryx</t>
  </si>
  <si>
    <t>Year 1 costs part of project</t>
  </si>
  <si>
    <t>Make a country code global instead of 0002</t>
  </si>
  <si>
    <t>Separate Infra Structure cost per Application</t>
  </si>
  <si>
    <t>Separate retail from Professional -Epi</t>
  </si>
  <si>
    <t>Moved connected coffee machines to Professional</t>
  </si>
  <si>
    <t>Last Update</t>
  </si>
  <si>
    <t>a) Annual Non-Sap Spend Atos</t>
  </si>
  <si>
    <t>b) Non-Sap Assets</t>
  </si>
  <si>
    <t>c) Avg. cost per Asset (a/b)</t>
  </si>
  <si>
    <t>Non-sap &amp; operational only!</t>
  </si>
  <si>
    <t>APPID</t>
  </si>
  <si>
    <t>App Name</t>
  </si>
  <si>
    <t>SAP?</t>
  </si>
  <si>
    <t>Operational Status</t>
  </si>
  <si>
    <t>Cost Ownership</t>
  </si>
  <si>
    <t>L1 Bus Process</t>
  </si>
  <si>
    <t>IT Application Owner</t>
  </si>
  <si>
    <t>Current Hosting State</t>
  </si>
  <si>
    <t>Future Hosting State</t>
  </si>
  <si>
    <t>Counter</t>
  </si>
  <si>
    <t># Assets</t>
  </si>
  <si>
    <t>Charge p asset</t>
  </si>
  <si>
    <t>Total Charge</t>
  </si>
  <si>
    <t>Total Charge LY</t>
  </si>
  <si>
    <t>Charge Method</t>
  </si>
  <si>
    <t>SAP ECC</t>
  </si>
  <si>
    <t>Central IT</t>
  </si>
  <si>
    <t>Infrastructure as a Service (IaaS)</t>
  </si>
  <si>
    <t>SAP BPC</t>
  </si>
  <si>
    <t>APP000021</t>
  </si>
  <si>
    <t>SAP CRM</t>
  </si>
  <si>
    <t>Archived</t>
  </si>
  <si>
    <t>PRF</t>
  </si>
  <si>
    <t>SAP SCM (APO)</t>
  </si>
  <si>
    <t>SCP</t>
  </si>
  <si>
    <t>Evgeniya Shabalina</t>
  </si>
  <si>
    <t>SAP BW</t>
  </si>
  <si>
    <t>APP000024</t>
  </si>
  <si>
    <t>SAP DWM</t>
  </si>
  <si>
    <t>OTC</t>
  </si>
  <si>
    <t>Albert Codina Altafaja</t>
  </si>
  <si>
    <t>Decommission / Archive</t>
  </si>
  <si>
    <t>SAP IDM</t>
  </si>
  <si>
    <t>Marcel Leent</t>
  </si>
  <si>
    <t>SAP GRC</t>
  </si>
  <si>
    <t>Software as a Service (SaaS)</t>
  </si>
  <si>
    <t>APP000027</t>
  </si>
  <si>
    <t>SAP CPS</t>
  </si>
  <si>
    <t>Will be replaced with RunMyJobs, SaaS</t>
  </si>
  <si>
    <t>APP000028</t>
  </si>
  <si>
    <t>SAP Solution manager</t>
  </si>
  <si>
    <t>BCC</t>
  </si>
  <si>
    <t>PTP</t>
  </si>
  <si>
    <t>Used icw VIM only</t>
  </si>
  <si>
    <t>Accolade (R&amp;D)</t>
  </si>
  <si>
    <t>IRD</t>
  </si>
  <si>
    <t>Application ID</t>
  </si>
  <si>
    <t>Only remaining legacy + any oracle fee</t>
  </si>
  <si>
    <t>PLM4Process (Kalypso)</t>
  </si>
  <si>
    <t>Concur Expense</t>
  </si>
  <si>
    <t>Zylab ONE</t>
  </si>
  <si>
    <t>HRM</t>
  </si>
  <si>
    <t>As long as on premise instance remains</t>
  </si>
  <si>
    <t>Goldfire</t>
  </si>
  <si>
    <t>TAS</t>
  </si>
  <si>
    <t>Rory O Loughlin</t>
  </si>
  <si>
    <t>Asumption is only remaining legacy + Oracle licences</t>
  </si>
  <si>
    <t>RFGEN Global Instance 1</t>
  </si>
  <si>
    <t>QIS Utrecht - NL</t>
  </si>
  <si>
    <t>MTD</t>
  </si>
  <si>
    <t>Rene van Eijk</t>
  </si>
  <si>
    <t>APP000078</t>
  </si>
  <si>
    <t>SAP ECC APAC Container (MDLZ)</t>
  </si>
  <si>
    <t>Rantsoen</t>
  </si>
  <si>
    <t>Cluster/Regional IT</t>
  </si>
  <si>
    <t>Veerle Kestens</t>
  </si>
  <si>
    <t>APP000333</t>
  </si>
  <si>
    <t>CPI brandinfo</t>
  </si>
  <si>
    <t>PROXESS</t>
  </si>
  <si>
    <t>Ines Memenga</t>
  </si>
  <si>
    <t>APP000367</t>
  </si>
  <si>
    <t>ProTime Belgium</t>
  </si>
  <si>
    <t>CAPEPACK</t>
  </si>
  <si>
    <t>SAFIR (Romania)</t>
  </si>
  <si>
    <t>LEG</t>
  </si>
  <si>
    <t>Ognian Petrov</t>
  </si>
  <si>
    <t>Solidworks (UK)</t>
  </si>
  <si>
    <t>XLSTAT</t>
  </si>
  <si>
    <t>!mpuls</t>
  </si>
  <si>
    <t>Gustavo Queiroz</t>
  </si>
  <si>
    <t>APP000391</t>
  </si>
  <si>
    <t>EDP (TIMBRATURE) (Italy)</t>
  </si>
  <si>
    <t>Jorge Galve</t>
  </si>
  <si>
    <t>Moved to SaaS</t>
  </si>
  <si>
    <t>Janus - SQL DB AFH-MDP EU-3021</t>
  </si>
  <si>
    <t>Interflex (Germany)</t>
  </si>
  <si>
    <t>AIS</t>
  </si>
  <si>
    <t>Bonsai</t>
  </si>
  <si>
    <t>APP000752</t>
  </si>
  <si>
    <t>SIMATIC IT ANDEZENO</t>
  </si>
  <si>
    <t>APP000819</t>
  </si>
  <si>
    <t>Helpmaster Pro</t>
  </si>
  <si>
    <t>Honeywell EBI</t>
  </si>
  <si>
    <t>PDM</t>
  </si>
  <si>
    <t>CRD</t>
  </si>
  <si>
    <t>Manual Master</t>
  </si>
  <si>
    <t>RTR</t>
  </si>
  <si>
    <t>APP000932</t>
  </si>
  <si>
    <t>Kofax</t>
  </si>
  <si>
    <t>Andrzej Zytko</t>
  </si>
  <si>
    <t>Proxsafe</t>
  </si>
  <si>
    <t>DEP CRM - Obrazovka</t>
  </si>
  <si>
    <t>Martin Knor</t>
  </si>
  <si>
    <t>APP000988</t>
  </si>
  <si>
    <t>Negoce (vax)</t>
  </si>
  <si>
    <t>Romuald Zouzou</t>
  </si>
  <si>
    <t>BOARD</t>
  </si>
  <si>
    <t>SAP SDS</t>
  </si>
  <si>
    <t>Honeywell</t>
  </si>
  <si>
    <t>Tax(VAT) reporting application</t>
  </si>
  <si>
    <t>Kostyantyn Herasymov</t>
  </si>
  <si>
    <t>RFGEN/ NiceLabel Coffee Utrecht</t>
  </si>
  <si>
    <t>IXOS</t>
  </si>
  <si>
    <t>APP001438</t>
  </si>
  <si>
    <t>SAP ADS</t>
  </si>
  <si>
    <t>APP001510</t>
  </si>
  <si>
    <t>SAP SAPRouter</t>
  </si>
  <si>
    <t>APP001511</t>
  </si>
  <si>
    <t>SAP Business Objects</t>
  </si>
  <si>
    <t>i21(iRely)</t>
  </si>
  <si>
    <t>Konstantin Vasilyev</t>
  </si>
  <si>
    <t>APP001669</t>
  </si>
  <si>
    <t>APP001723</t>
  </si>
  <si>
    <t>KeyWin</t>
  </si>
  <si>
    <t>Salesforce Sales Cloud Retail</t>
  </si>
  <si>
    <t>APP001752</t>
  </si>
  <si>
    <t>SAP SLT</t>
  </si>
  <si>
    <t>SNOW Software Asset Management</t>
  </si>
  <si>
    <t>Jana Kapustova</t>
  </si>
  <si>
    <t>APP001799</t>
  </si>
  <si>
    <t>Audit Analytics (Thuja)</t>
  </si>
  <si>
    <t>CAT</t>
  </si>
  <si>
    <t>Genesys PureConnect</t>
  </si>
  <si>
    <t>XTEL</t>
  </si>
  <si>
    <t>Juliana Acchar</t>
  </si>
  <si>
    <t>Private Cloud - VoC Hotel</t>
  </si>
  <si>
    <t>Will include Oracle licenses as well</t>
  </si>
  <si>
    <t>APP001872</t>
  </si>
  <si>
    <t>R Shiny</t>
  </si>
  <si>
    <t>Martijn Vijlbrief</t>
  </si>
  <si>
    <t>RFGEN Global Instance 2</t>
  </si>
  <si>
    <t>SAP PO</t>
  </si>
  <si>
    <t>John Carlo Beltran</t>
  </si>
  <si>
    <t>Point.X Global Instance</t>
  </si>
  <si>
    <t>AGVR AGV Joure</t>
  </si>
  <si>
    <t>BluePrism</t>
  </si>
  <si>
    <t>No cost in case Blueprism is migrated to UIPath</t>
  </si>
  <si>
    <t>PwC Invoicing Tool</t>
  </si>
  <si>
    <t>Comscale</t>
  </si>
  <si>
    <t>APP002635</t>
  </si>
  <si>
    <t>SAP Fiori</t>
  </si>
  <si>
    <t>Alteryx Designer</t>
  </si>
  <si>
    <t>APP002856</t>
  </si>
  <si>
    <t>SPLUNK</t>
  </si>
  <si>
    <t>Will move to Azure</t>
  </si>
  <si>
    <t>KEVOX</t>
  </si>
  <si>
    <t>SQL Cluster &amp; Databases</t>
  </si>
  <si>
    <t>General</t>
  </si>
  <si>
    <t/>
  </si>
  <si>
    <t>0</t>
  </si>
  <si>
    <t>SAP Assets</t>
  </si>
  <si>
    <t>Non-Sap Assets</t>
  </si>
  <si>
    <t>Syncorce</t>
  </si>
  <si>
    <t>no</t>
  </si>
  <si>
    <t xml:space="preserve">This will be paid for by the SLR III project, it was payed for 3 years until mid 2026, need to add costs 2026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</si>
</sst>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000"/>
    <numFmt numFmtId="167" formatCode="0.0%"/>
    <numFmt numFmtId="168" formatCode="_ * #,##0_ ;_ * \-#,##0_ ;_ * &quot;-&quot;??_ ;_ @_ "/>
    <numFmt numFmtId="169" formatCode="_(* #,##0_);_(* \(#,##0\);_(* &quot;-&quot;??_);_(@_)"/>
    <numFmt numFmtId="170" formatCode="_ [$€-413]\ * #,##0.00_ ;_ [$€-413]\ * \-#,##0.00_ ;_ [$€-413]\ * &quot;-&quot;??_ ;_ @_ "/>
  </numFmts>
  <fonts count="25" x14ac:knownFonts="1">
    <font>
      <sz val="11"/>
      <color theme="1"/>
      <name val="Calibri"/>
      <family val="2"/>
      <scheme val="minor"/>
    </font>
    <font>
      <sz val="11"/>
      <color theme="1"/>
      <name val="Calibri"/>
      <family val="2"/>
      <scheme val="minor"/>
    </font>
    <font>
      <b/>
      <sz val="11"/>
      <color theme="1"/>
      <name val="Calibri"/>
      <family val="2"/>
      <scheme val="minor"/>
    </font>
    <font>
      <sz val="11"/>
      <color rgb="FF006100"/>
      <name val="Calibri"/>
      <family val="2"/>
      <scheme val="minor"/>
    </font>
    <font>
      <sz val="11"/>
      <color rgb="FF9C5700"/>
      <name val="Calibri"/>
      <family val="2"/>
      <scheme val="minor"/>
    </font>
    <font>
      <sz val="11"/>
      <name val="Calibri"/>
      <family val="2"/>
      <scheme val="minor"/>
    </font>
    <font>
      <b/>
      <sz val="8"/>
      <color rgb="FF1F497D"/>
      <name val="Verdana"/>
      <family val="2"/>
    </font>
    <font>
      <sz val="8"/>
      <color rgb="FF1F497D"/>
      <name val="Verdana"/>
      <family val="2"/>
    </font>
    <font>
      <sz val="8"/>
      <color rgb="FF000000"/>
      <name val="Verdana"/>
      <family val="2"/>
    </font>
    <font>
      <b/>
      <sz val="8"/>
      <color rgb="FF00CC00"/>
      <name val="Verdana"/>
      <family val="2"/>
    </font>
    <font>
      <b/>
      <sz val="8"/>
      <color rgb="FF33CC33"/>
      <name val="Verdana"/>
      <family val="2"/>
    </font>
    <font>
      <b/>
      <sz val="8"/>
      <color rgb="FFFF9900"/>
      <name val="Verdana"/>
      <family val="2"/>
    </font>
    <font>
      <b/>
      <sz val="8"/>
      <color rgb="FFFF0000"/>
      <name val="Verdana"/>
      <family val="2"/>
    </font>
    <font>
      <sz val="8"/>
      <color rgb="FF000000"/>
      <name val="Arial"/>
      <family val="2"/>
    </font>
    <font>
      <i/>
      <sz val="8"/>
      <color rgb="FF000000"/>
      <name val="Verdana"/>
      <family val="2"/>
    </font>
    <font>
      <b/>
      <i/>
      <sz val="8"/>
      <color rgb="FF000000"/>
      <name val="Verdana"/>
      <family val="2"/>
    </font>
    <font>
      <b/>
      <i/>
      <sz val="8"/>
      <color rgb="FF1F497D"/>
      <name val="Verdana"/>
      <family val="2"/>
    </font>
    <font>
      <i/>
      <sz val="8"/>
      <color rgb="FF1F497D"/>
      <name val="Verdana"/>
      <family val="2"/>
    </font>
    <font>
      <sz val="11"/>
      <color theme="1"/>
      <name val="Calibri"/>
      <family val="2"/>
    </font>
    <font>
      <sz val="11"/>
      <color rgb="FF000000"/>
      <name val="Calibri"/>
      <family val="2"/>
      <scheme val="minor"/>
    </font>
    <font>
      <sz val="8"/>
      <color rgb="FFDBE5F1"/>
      <name val="Verdana"/>
      <family val="2"/>
    </font>
    <font>
      <sz val="11"/>
      <color theme="0"/>
      <name val="Calibri"/>
      <family val="2"/>
      <scheme val="minor"/>
    </font>
    <font>
      <sz val="11"/>
      <color rgb="FF000000"/>
      <name val="Calibri"/>
      <family val="2"/>
    </font>
    <font>
      <sz val="8"/>
      <name val="Calibri"/>
      <family val="2"/>
      <scheme val="minor"/>
    </font>
    <font>
      <sz val="11"/>
      <color rgb="FFFF0000"/>
      <name val="Calibri"/>
      <family val="2"/>
      <scheme val="minor"/>
    </font>
  </fonts>
  <fills count="35">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C6EFCE"/>
      </patternFill>
    </fill>
    <fill>
      <patternFill patternType="solid">
        <fgColor rgb="FFFFEB9C"/>
      </patternFill>
    </fill>
    <fill>
      <patternFill patternType="solid">
        <fgColor rgb="FFDBE5F1"/>
        <bgColor rgb="FF000000"/>
      </patternFill>
    </fill>
    <fill>
      <patternFill patternType="solid">
        <fgColor rgb="FFFFFFFF"/>
        <bgColor rgb="FF000000"/>
      </patternFill>
    </fill>
    <fill>
      <patternFill patternType="solid">
        <fgColor rgb="FFF1F5FB"/>
        <bgColor rgb="FF000000"/>
      </patternFill>
    </fill>
    <fill>
      <patternFill patternType="solid">
        <fgColor rgb="FFE9EFF7"/>
        <bgColor rgb="FF000000"/>
      </patternFill>
    </fill>
    <fill>
      <patternFill patternType="solid">
        <fgColor rgb="FFC6F9C1"/>
        <bgColor rgb="FF000000"/>
      </patternFill>
    </fill>
    <fill>
      <patternFill patternType="solid">
        <fgColor rgb="FFABEDA5"/>
        <bgColor rgb="FF000000"/>
      </patternFill>
    </fill>
    <fill>
      <patternFill patternType="solid">
        <fgColor rgb="FF94D88F"/>
        <bgColor rgb="FF000000"/>
      </patternFill>
    </fill>
    <fill>
      <patternFill patternType="solid">
        <fgColor rgb="FFFFFDBF"/>
        <bgColor rgb="FF000000"/>
      </patternFill>
    </fill>
    <fill>
      <patternFill patternType="solid">
        <fgColor rgb="FFFFFB8C"/>
        <bgColor rgb="FF000000"/>
      </patternFill>
    </fill>
    <fill>
      <patternFill patternType="solid">
        <fgColor rgb="FFFFF843"/>
        <bgColor rgb="FF000000"/>
      </patternFill>
    </fill>
    <fill>
      <patternFill patternType="solid">
        <fgColor rgb="FFFFC7CE"/>
        <bgColor rgb="FF000000"/>
      </patternFill>
    </fill>
    <fill>
      <patternFill patternType="solid">
        <fgColor rgb="FFFF988C"/>
        <bgColor rgb="FF000000"/>
      </patternFill>
    </fill>
    <fill>
      <patternFill patternType="solid">
        <fgColor rgb="FFFF6758"/>
        <bgColor rgb="FF000000"/>
      </patternFill>
    </fill>
    <fill>
      <patternFill patternType="solid">
        <fgColor rgb="FFDBE5F1"/>
        <bgColor rgb="FFFFFFFF"/>
      </patternFill>
    </fill>
    <fill>
      <patternFill patternType="solid">
        <fgColor rgb="FFB7CFE8"/>
        <bgColor rgb="FF000000"/>
      </patternFill>
    </fill>
    <fill>
      <patternFill patternType="solid">
        <fgColor rgb="FFC3D6EB"/>
        <bgColor rgb="FF000000"/>
      </patternFill>
    </fill>
    <fill>
      <patternFill patternType="solid">
        <fgColor rgb="FFDBE5F2"/>
        <bgColor rgb="FF000000"/>
      </patternFill>
    </fill>
    <fill>
      <patternFill patternType="solid">
        <fgColor theme="7" tint="0.59999389629810485"/>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0070C0"/>
        <bgColor indexed="64"/>
      </patternFill>
    </fill>
    <fill>
      <patternFill patternType="solid">
        <fgColor rgb="FFFFC000"/>
        <bgColor indexed="64"/>
      </patternFill>
    </fill>
    <fill>
      <patternFill patternType="solid">
        <fgColor rgb="FFFF0000"/>
        <bgColor indexed="64"/>
      </patternFill>
    </fill>
    <fill>
      <patternFill patternType="solid">
        <fgColor theme="5" tint="0.39997558519241921"/>
        <bgColor indexed="64"/>
      </patternFill>
    </fill>
    <fill>
      <patternFill patternType="solid">
        <fgColor rgb="FF00B05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theme="0"/>
      </top>
      <bottom style="thin">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3" tint="-0.24994659260841701"/>
      </left>
      <right style="thin">
        <color theme="3" tint="-0.24994659260841701"/>
      </right>
      <top style="thin">
        <color theme="3" tint="-0.24994659260841701"/>
      </top>
      <bottom style="thin">
        <color theme="3" tint="-0.24994659260841701"/>
      </bottom>
      <diagonal/>
    </border>
    <border>
      <left style="thin">
        <color theme="3" tint="0.59996337778862885"/>
      </left>
      <right style="thin">
        <color theme="3" tint="0.59996337778862885"/>
      </right>
      <top style="thin">
        <color theme="3" tint="0.59996337778862885"/>
      </top>
      <bottom style="thin">
        <color theme="3" tint="0.59996337778862885"/>
      </bottom>
      <diagonal/>
    </border>
    <border>
      <left style="thin">
        <color rgb="FF808080"/>
      </left>
      <right style="thin">
        <color rgb="FF808080"/>
      </right>
      <top style="thin">
        <color rgb="FF808080"/>
      </top>
      <bottom style="thin">
        <color rgb="FF808080"/>
      </bottom>
      <diagonal/>
    </border>
    <border>
      <left style="thin">
        <color rgb="FF000000"/>
      </left>
      <right style="thin">
        <color rgb="FF000000"/>
      </right>
      <top style="thin">
        <color rgb="FF000000"/>
      </top>
      <bottom style="thin">
        <color rgb="FF000000"/>
      </bottom>
      <diagonal/>
    </border>
    <border>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thin">
        <color rgb="FFC0C0C0"/>
      </left>
      <right style="thin">
        <color rgb="FFC0C0C0"/>
      </right>
      <top style="thin">
        <color rgb="FF808080"/>
      </top>
      <bottom style="thin">
        <color rgb="FF808080"/>
      </bottom>
      <diagonal/>
    </border>
    <border>
      <left style="thin">
        <color rgb="FFFF0000"/>
      </left>
      <right style="thin">
        <color rgb="FFFF0000"/>
      </right>
      <top style="thin">
        <color rgb="FFFF0000"/>
      </top>
      <bottom style="thin">
        <color rgb="FFFF0000"/>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theme="0"/>
      </bottom>
      <diagonal/>
    </border>
    <border>
      <left style="thin">
        <color indexed="64"/>
      </left>
      <right/>
      <top/>
      <bottom style="medium">
        <color indexed="64"/>
      </bottom>
      <diagonal/>
    </border>
    <border>
      <left/>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5">
    <xf numFmtId="0" fontId="0" fillId="0" borderId="0"/>
    <xf numFmtId="9" fontId="1" fillId="0" borderId="0" applyFont="0" applyFill="0" applyBorder="0" applyAlignment="0" applyProtection="0"/>
    <xf numFmtId="0" fontId="3" fillId="6" borderId="0" applyNumberFormat="0" applyBorder="0" applyAlignment="0" applyProtection="0"/>
    <xf numFmtId="0" fontId="4" fillId="7" borderId="0" applyNumberFormat="0" applyBorder="0" applyAlignment="0" applyProtection="0"/>
    <xf numFmtId="0" fontId="6" fillId="8" borderId="17" applyNumberFormat="0" applyAlignment="0" applyProtection="0">
      <alignment horizontal="left" vertical="center" indent="1"/>
    </xf>
    <xf numFmtId="166" fontId="7" fillId="0" borderId="18" applyNumberFormat="0" applyProtection="0">
      <alignment horizontal="right" vertical="center"/>
    </xf>
    <xf numFmtId="166" fontId="6" fillId="0" borderId="19" applyNumberFormat="0" applyProtection="0">
      <alignment horizontal="right" vertical="center"/>
    </xf>
    <xf numFmtId="0" fontId="8" fillId="9" borderId="19" applyNumberFormat="0" applyAlignment="0">
      <alignment horizontal="left" vertical="center" indent="1"/>
      <protection locked="0"/>
    </xf>
    <xf numFmtId="0" fontId="8" fillId="10" borderId="19" applyNumberFormat="0" applyAlignment="0" applyProtection="0">
      <alignment horizontal="left" vertical="center" indent="1"/>
    </xf>
    <xf numFmtId="166" fontId="7" fillId="11" borderId="18" applyNumberFormat="0" applyBorder="0">
      <alignment horizontal="right" vertical="center"/>
      <protection locked="0"/>
    </xf>
    <xf numFmtId="0" fontId="8" fillId="9" borderId="19" applyNumberFormat="0" applyAlignment="0">
      <alignment horizontal="left" vertical="center" indent="1"/>
      <protection locked="0"/>
    </xf>
    <xf numFmtId="166" fontId="6" fillId="10" borderId="19" applyNumberFormat="0" applyProtection="0">
      <alignment horizontal="right" vertical="center"/>
    </xf>
    <xf numFmtId="166" fontId="6" fillId="11" borderId="19" applyNumberFormat="0" applyBorder="0">
      <alignment horizontal="right" vertical="center"/>
      <protection locked="0"/>
    </xf>
    <xf numFmtId="166" fontId="9" fillId="12" borderId="34" applyNumberFormat="0" applyBorder="0" applyAlignment="0" applyProtection="0">
      <alignment horizontal="right" vertical="center" indent="1"/>
    </xf>
    <xf numFmtId="166" fontId="10" fillId="13" borderId="34" applyNumberFormat="0" applyBorder="0" applyAlignment="0" applyProtection="0">
      <alignment horizontal="right" vertical="center" indent="1"/>
    </xf>
    <xf numFmtId="166" fontId="10" fillId="14" borderId="34" applyNumberFormat="0" applyBorder="0" applyAlignment="0" applyProtection="0">
      <alignment horizontal="right" vertical="center" indent="1"/>
    </xf>
    <xf numFmtId="166" fontId="11" fillId="15" borderId="34" applyNumberFormat="0" applyBorder="0" applyAlignment="0" applyProtection="0">
      <alignment horizontal="right" vertical="center" indent="1"/>
    </xf>
    <xf numFmtId="166" fontId="11" fillId="16" borderId="34" applyNumberFormat="0" applyBorder="0" applyAlignment="0" applyProtection="0">
      <alignment horizontal="right" vertical="center" indent="1"/>
    </xf>
    <xf numFmtId="166" fontId="11" fillId="17" borderId="34" applyNumberFormat="0" applyBorder="0" applyAlignment="0" applyProtection="0">
      <alignment horizontal="right" vertical="center" indent="1"/>
    </xf>
    <xf numFmtId="166" fontId="12" fillId="18" borderId="34" applyNumberFormat="0" applyBorder="0" applyAlignment="0" applyProtection="0">
      <alignment horizontal="right" vertical="center" indent="1"/>
    </xf>
    <xf numFmtId="166" fontId="12" fillId="19" borderId="34" applyNumberFormat="0" applyBorder="0" applyAlignment="0" applyProtection="0">
      <alignment horizontal="right" vertical="center" indent="1"/>
    </xf>
    <xf numFmtId="166" fontId="12" fillId="20" borderId="34" applyNumberFormat="0" applyBorder="0" applyAlignment="0" applyProtection="0">
      <alignment horizontal="right" vertical="center" indent="1"/>
    </xf>
    <xf numFmtId="0" fontId="13" fillId="0" borderId="17" applyNumberFormat="0" applyFont="0" applyFill="0" applyAlignment="0" applyProtection="0"/>
    <xf numFmtId="166" fontId="7" fillId="21" borderId="17" applyNumberFormat="0" applyAlignment="0" applyProtection="0">
      <alignment horizontal="left" vertical="center" indent="1"/>
    </xf>
    <xf numFmtId="0" fontId="6" fillId="8" borderId="19" applyNumberFormat="0" applyAlignment="0" applyProtection="0">
      <alignment horizontal="left" vertical="center" indent="1"/>
    </xf>
    <xf numFmtId="0" fontId="8" fillId="22" borderId="17" applyNumberFormat="0" applyAlignment="0" applyProtection="0">
      <alignment horizontal="left" vertical="center" indent="1"/>
    </xf>
    <xf numFmtId="0" fontId="8" fillId="23" borderId="17" applyNumberFormat="0" applyAlignment="0" applyProtection="0">
      <alignment horizontal="left" vertical="center" indent="1"/>
    </xf>
    <xf numFmtId="0" fontId="8" fillId="24" borderId="17" applyNumberFormat="0" applyAlignment="0" applyProtection="0">
      <alignment horizontal="left" vertical="center" indent="1"/>
    </xf>
    <xf numFmtId="0" fontId="8" fillId="11" borderId="17" applyNumberFormat="0" applyAlignment="0" applyProtection="0">
      <alignment horizontal="left" vertical="center" indent="1"/>
    </xf>
    <xf numFmtId="0" fontId="8" fillId="10" borderId="19" applyNumberFormat="0" applyAlignment="0" applyProtection="0">
      <alignment horizontal="left" vertical="center" indent="1"/>
    </xf>
    <xf numFmtId="0" fontId="14" fillId="0" borderId="20" applyNumberFormat="0" applyFill="0" applyBorder="0" applyAlignment="0" applyProtection="0"/>
    <xf numFmtId="0" fontId="15" fillId="0" borderId="20" applyNumberFormat="0" applyBorder="0" applyAlignment="0" applyProtection="0"/>
    <xf numFmtId="0" fontId="14" fillId="9" borderId="19" applyNumberFormat="0" applyAlignment="0">
      <alignment horizontal="left" vertical="center" indent="1"/>
      <protection locked="0"/>
    </xf>
    <xf numFmtId="0" fontId="14" fillId="9" borderId="19" applyNumberFormat="0" applyAlignment="0">
      <alignment horizontal="left" vertical="center" indent="1"/>
      <protection locked="0"/>
    </xf>
    <xf numFmtId="0" fontId="14" fillId="10" borderId="19" applyNumberFormat="0" applyAlignment="0" applyProtection="0">
      <alignment horizontal="left" vertical="center" indent="1"/>
    </xf>
    <xf numFmtId="166" fontId="16" fillId="10" borderId="19" applyNumberFormat="0" applyProtection="0">
      <alignment horizontal="right" vertical="center"/>
    </xf>
    <xf numFmtId="166" fontId="17" fillId="11" borderId="18" applyNumberFormat="0" applyBorder="0">
      <alignment horizontal="right" vertical="center"/>
      <protection locked="0"/>
    </xf>
    <xf numFmtId="166" fontId="16" fillId="11" borderId="19" applyNumberFormat="0" applyBorder="0">
      <alignment horizontal="right" vertical="center"/>
      <protection locked="0"/>
    </xf>
    <xf numFmtId="166" fontId="7" fillId="0" borderId="18" applyNumberFormat="0" applyFill="0" applyBorder="0" applyAlignment="0" applyProtection="0">
      <alignment horizontal="right" vertical="center"/>
    </xf>
    <xf numFmtId="166" fontId="7" fillId="0" borderId="18" applyNumberFormat="0" applyFill="0" applyBorder="0" applyAlignment="0" applyProtection="0">
      <alignment horizontal="right" vertical="center"/>
    </xf>
    <xf numFmtId="0" fontId="13" fillId="0" borderId="35" applyNumberFormat="0" applyFont="0" applyFill="0" applyAlignment="0" applyProtection="0"/>
    <xf numFmtId="164" fontId="1" fillId="0" borderId="0" applyFont="0" applyFill="0" applyBorder="0" applyAlignment="0" applyProtection="0"/>
    <xf numFmtId="165" fontId="1" fillId="0" borderId="0" applyFont="0" applyFill="0" applyBorder="0" applyAlignment="0" applyProtection="0"/>
    <xf numFmtId="166" fontId="7" fillId="21" borderId="17" applyNumberFormat="0" applyAlignment="0" applyProtection="0">
      <alignment horizontal="left" vertical="center" indent="1"/>
    </xf>
    <xf numFmtId="166" fontId="20" fillId="21" borderId="0" applyNumberFormat="0" applyAlignment="0" applyProtection="0">
      <alignment horizontal="left" vertical="center" indent="1"/>
    </xf>
  </cellStyleXfs>
  <cellXfs count="265">
    <xf numFmtId="0" fontId="0" fillId="0" borderId="0" xfId="0"/>
    <xf numFmtId="3" fontId="0" fillId="0" borderId="0" xfId="0" applyNumberFormat="1"/>
    <xf numFmtId="0" fontId="2" fillId="2" borderId="1" xfId="0" applyFont="1" applyFill="1" applyBorder="1"/>
    <xf numFmtId="3" fontId="2" fillId="2" borderId="1" xfId="0" applyNumberFormat="1" applyFont="1" applyFill="1" applyBorder="1"/>
    <xf numFmtId="3" fontId="2" fillId="2" borderId="2" xfId="0" applyNumberFormat="1" applyFont="1" applyFill="1" applyBorder="1"/>
    <xf numFmtId="9" fontId="0" fillId="0" borderId="0" xfId="1" applyFont="1"/>
    <xf numFmtId="0" fontId="0" fillId="3" borderId="3" xfId="0" applyFill="1" applyBorder="1"/>
    <xf numFmtId="3" fontId="0" fillId="4" borderId="3" xfId="0" applyNumberFormat="1" applyFill="1" applyBorder="1"/>
    <xf numFmtId="3" fontId="2" fillId="5" borderId="1" xfId="0" applyNumberFormat="1" applyFont="1" applyFill="1" applyBorder="1"/>
    <xf numFmtId="0" fontId="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2" fillId="0" borderId="14" xfId="0" applyFont="1" applyBorder="1" applyAlignment="1">
      <alignment vertical="distributed"/>
    </xf>
    <xf numFmtId="0" fontId="2" fillId="0" borderId="15" xfId="0" applyFont="1" applyBorder="1" applyAlignment="1">
      <alignment vertical="distributed"/>
    </xf>
    <xf numFmtId="0" fontId="2" fillId="0" borderId="16" xfId="0" applyFont="1" applyBorder="1" applyAlignment="1">
      <alignment vertical="distributed"/>
    </xf>
    <xf numFmtId="0" fontId="0" fillId="0" borderId="0" xfId="0" applyAlignment="1">
      <alignment horizontal="right"/>
    </xf>
    <xf numFmtId="0" fontId="0" fillId="0" borderId="2" xfId="0" applyBorder="1"/>
    <xf numFmtId="0" fontId="4" fillId="0" borderId="0" xfId="3" applyFill="1" applyBorder="1"/>
    <xf numFmtId="0" fontId="4" fillId="0" borderId="0" xfId="3" applyFill="1" applyBorder="1" applyAlignment="1">
      <alignment horizontal="right"/>
    </xf>
    <xf numFmtId="9" fontId="0" fillId="0" borderId="0" xfId="1" applyFont="1" applyFill="1" applyBorder="1"/>
    <xf numFmtId="0" fontId="5" fillId="0" borderId="0" xfId="3" applyFont="1" applyFill="1" applyBorder="1"/>
    <xf numFmtId="0" fontId="5" fillId="0" borderId="0" xfId="0" applyFont="1"/>
    <xf numFmtId="0" fontId="5" fillId="0" borderId="0" xfId="3" applyFont="1" applyFill="1" applyBorder="1" applyAlignment="1">
      <alignment horizontal="right"/>
    </xf>
    <xf numFmtId="0" fontId="0" fillId="0" borderId="0" xfId="0" applyAlignment="1">
      <alignment vertical="top"/>
    </xf>
    <xf numFmtId="0" fontId="2" fillId="2" borderId="2" xfId="0" applyFont="1" applyFill="1" applyBorder="1"/>
    <xf numFmtId="0" fontId="0" fillId="3" borderId="0" xfId="0" applyFill="1"/>
    <xf numFmtId="0" fontId="5" fillId="3" borderId="3" xfId="3" applyFont="1" applyFill="1" applyBorder="1"/>
    <xf numFmtId="0" fontId="5" fillId="3" borderId="0" xfId="3" applyFont="1" applyFill="1" applyBorder="1"/>
    <xf numFmtId="4" fontId="0" fillId="26" borderId="0" xfId="0" applyNumberFormat="1" applyFill="1"/>
    <xf numFmtId="167" fontId="0" fillId="25" borderId="0" xfId="0" applyNumberFormat="1" applyFill="1"/>
    <xf numFmtId="0" fontId="2" fillId="2" borderId="0" xfId="0" applyFont="1" applyFill="1"/>
    <xf numFmtId="0" fontId="5" fillId="0" borderId="0" xfId="2" applyNumberFormat="1" applyFont="1" applyFill="1" applyBorder="1" applyAlignment="1">
      <alignment horizontal="right"/>
    </xf>
    <xf numFmtId="0" fontId="0" fillId="5" borderId="0" xfId="0" applyFill="1"/>
    <xf numFmtId="0" fontId="2" fillId="0" borderId="0" xfId="0" applyFont="1" applyAlignment="1">
      <alignment vertical="distributed"/>
    </xf>
    <xf numFmtId="0" fontId="0" fillId="3" borderId="2" xfId="0" applyFill="1" applyBorder="1"/>
    <xf numFmtId="4" fontId="0" fillId="0" borderId="0" xfId="0" applyNumberFormat="1"/>
    <xf numFmtId="14" fontId="0" fillId="0" borderId="0" xfId="0" applyNumberFormat="1"/>
    <xf numFmtId="0" fontId="2" fillId="0" borderId="14" xfId="0" applyFont="1" applyBorder="1" applyAlignment="1">
      <alignment horizontal="centerContinuous"/>
    </xf>
    <xf numFmtId="0" fontId="2" fillId="0" borderId="15" xfId="0" applyFont="1" applyBorder="1" applyAlignment="1">
      <alignment horizontal="centerContinuous"/>
    </xf>
    <xf numFmtId="0" fontId="2" fillId="0" borderId="16" xfId="0" applyFont="1" applyBorder="1" applyAlignment="1">
      <alignment horizontal="centerContinuous"/>
    </xf>
    <xf numFmtId="0" fontId="2" fillId="0" borderId="6" xfId="0" applyFont="1" applyBorder="1"/>
    <xf numFmtId="0" fontId="2" fillId="0" borderId="7" xfId="0" applyFont="1" applyBorder="1"/>
    <xf numFmtId="0" fontId="2" fillId="0" borderId="7" xfId="0" applyFont="1" applyBorder="1" applyAlignment="1">
      <alignment horizontal="center"/>
    </xf>
    <xf numFmtId="0" fontId="2" fillId="0" borderId="8" xfId="0" applyFont="1" applyBorder="1" applyAlignment="1">
      <alignment horizontal="center"/>
    </xf>
    <xf numFmtId="0" fontId="2" fillId="0" borderId="11" xfId="0" applyFont="1" applyBorder="1"/>
    <xf numFmtId="0" fontId="2" fillId="0" borderId="12" xfId="0" applyFont="1" applyBorder="1"/>
    <xf numFmtId="0" fontId="2" fillId="0" borderId="12" xfId="0" applyFont="1" applyBorder="1" applyAlignment="1">
      <alignment horizontal="center"/>
    </xf>
    <xf numFmtId="0" fontId="2" fillId="0" borderId="13" xfId="0" applyFont="1" applyBorder="1" applyAlignment="1">
      <alignment horizontal="center"/>
    </xf>
    <xf numFmtId="0" fontId="0" fillId="0" borderId="24" xfId="0" applyBorder="1"/>
    <xf numFmtId="0" fontId="2" fillId="0" borderId="14" xfId="0" applyFont="1" applyBorder="1"/>
    <xf numFmtId="0" fontId="2" fillId="0" borderId="15" xfId="0" applyFont="1" applyBorder="1"/>
    <xf numFmtId="168" fontId="2" fillId="0" borderId="15" xfId="41" applyNumberFormat="1" applyFont="1" applyBorder="1"/>
    <xf numFmtId="168" fontId="2" fillId="0" borderId="16" xfId="0" applyNumberFormat="1" applyFont="1" applyBorder="1"/>
    <xf numFmtId="0" fontId="2" fillId="0" borderId="8" xfId="0" applyFont="1" applyBorder="1"/>
    <xf numFmtId="0" fontId="0" fillId="3" borderId="9" xfId="0" quotePrefix="1" applyFill="1" applyBorder="1"/>
    <xf numFmtId="168" fontId="0" fillId="0" borderId="0" xfId="41" quotePrefix="1" applyNumberFormat="1" applyFont="1" applyBorder="1"/>
    <xf numFmtId="168" fontId="1" fillId="0" borderId="0" xfId="41" applyNumberFormat="1" applyFont="1" applyBorder="1"/>
    <xf numFmtId="168" fontId="0" fillId="0" borderId="10" xfId="0" applyNumberFormat="1" applyBorder="1"/>
    <xf numFmtId="0" fontId="0" fillId="0" borderId="23" xfId="0" applyBorder="1"/>
    <xf numFmtId="0" fontId="0" fillId="0" borderId="25" xfId="0" applyBorder="1"/>
    <xf numFmtId="0" fontId="0" fillId="0" borderId="9" xfId="0" quotePrefix="1" applyBorder="1"/>
    <xf numFmtId="0" fontId="5" fillId="3" borderId="9" xfId="2" quotePrefix="1" applyFont="1" applyFill="1" applyBorder="1"/>
    <xf numFmtId="0" fontId="5" fillId="3" borderId="9" xfId="3" quotePrefix="1" applyFont="1" applyFill="1" applyBorder="1"/>
    <xf numFmtId="0" fontId="0" fillId="0" borderId="11" xfId="0" quotePrefix="1" applyBorder="1"/>
    <xf numFmtId="168" fontId="0" fillId="0" borderId="12" xfId="41" quotePrefix="1" applyNumberFormat="1" applyFont="1" applyBorder="1"/>
    <xf numFmtId="168" fontId="1" fillId="0" borderId="12" xfId="41" applyNumberFormat="1" applyFont="1" applyBorder="1"/>
    <xf numFmtId="168" fontId="0" fillId="0" borderId="13" xfId="0" applyNumberFormat="1" applyBorder="1"/>
    <xf numFmtId="0" fontId="2" fillId="0" borderId="26" xfId="0" applyFont="1" applyBorder="1"/>
    <xf numFmtId="0" fontId="2" fillId="0" borderId="27" xfId="0" applyFont="1" applyBorder="1"/>
    <xf numFmtId="0" fontId="2" fillId="0" borderId="28" xfId="0" applyFont="1" applyBorder="1"/>
    <xf numFmtId="14" fontId="0" fillId="0" borderId="29" xfId="0" applyNumberFormat="1" applyBorder="1" applyAlignment="1">
      <alignment wrapText="1"/>
    </xf>
    <xf numFmtId="0" fontId="0" fillId="0" borderId="22" xfId="0" applyBorder="1" applyAlignment="1">
      <alignment wrapText="1"/>
    </xf>
    <xf numFmtId="0" fontId="0" fillId="0" borderId="30" xfId="0" applyBorder="1" applyAlignment="1">
      <alignment wrapText="1"/>
    </xf>
    <xf numFmtId="14" fontId="0" fillId="0" borderId="31" xfId="0" applyNumberFormat="1" applyBorder="1"/>
    <xf numFmtId="0" fontId="0" fillId="0" borderId="1" xfId="0" applyBorder="1"/>
    <xf numFmtId="0" fontId="0" fillId="0" borderId="32" xfId="0" applyBorder="1"/>
    <xf numFmtId="14" fontId="0" fillId="0" borderId="33" xfId="0" applyNumberFormat="1" applyBorder="1"/>
    <xf numFmtId="14" fontId="0" fillId="0" borderId="1" xfId="0" applyNumberFormat="1" applyBorder="1"/>
    <xf numFmtId="14" fontId="0" fillId="27" borderId="1" xfId="0" applyNumberFormat="1" applyFill="1" applyBorder="1"/>
    <xf numFmtId="0" fontId="0" fillId="27" borderId="1" xfId="0" applyFill="1" applyBorder="1"/>
    <xf numFmtId="0" fontId="0" fillId="28" borderId="0" xfId="0" applyFill="1"/>
    <xf numFmtId="0" fontId="2" fillId="28" borderId="0" xfId="0" applyFont="1" applyFill="1"/>
    <xf numFmtId="0" fontId="0" fillId="28" borderId="0" xfId="0" applyFill="1" applyAlignment="1">
      <alignment wrapText="1"/>
    </xf>
    <xf numFmtId="0" fontId="2" fillId="2" borderId="23" xfId="0" applyFont="1" applyFill="1" applyBorder="1"/>
    <xf numFmtId="14" fontId="0" fillId="0" borderId="5" xfId="0" applyNumberFormat="1" applyBorder="1"/>
    <xf numFmtId="0" fontId="0" fillId="0" borderId="4" xfId="0" applyBorder="1"/>
    <xf numFmtId="0" fontId="18" fillId="0" borderId="1" xfId="0" applyFont="1" applyBorder="1"/>
    <xf numFmtId="0" fontId="0" fillId="3" borderId="1" xfId="0" applyFill="1" applyBorder="1"/>
    <xf numFmtId="169" fontId="0" fillId="0" borderId="1" xfId="41" applyNumberFormat="1" applyFont="1" applyFill="1" applyBorder="1"/>
    <xf numFmtId="0" fontId="2" fillId="2" borderId="36" xfId="0" applyFont="1" applyFill="1" applyBorder="1"/>
    <xf numFmtId="0" fontId="0" fillId="0" borderId="0" xfId="0" quotePrefix="1"/>
    <xf numFmtId="0" fontId="5" fillId="3" borderId="0" xfId="2" applyFont="1" applyFill="1" applyBorder="1"/>
    <xf numFmtId="0" fontId="5" fillId="0" borderId="0" xfId="2" applyFont="1" applyFill="1" applyBorder="1"/>
    <xf numFmtId="0" fontId="5" fillId="0" borderId="0" xfId="2" applyFont="1" applyFill="1" applyBorder="1" applyAlignment="1">
      <alignment horizontal="right"/>
    </xf>
    <xf numFmtId="49" fontId="5" fillId="0" borderId="0" xfId="2" applyNumberFormat="1" applyFont="1" applyFill="1" applyBorder="1" applyAlignment="1">
      <alignment horizontal="right"/>
    </xf>
    <xf numFmtId="0" fontId="0" fillId="0" borderId="0" xfId="0" applyAlignment="1">
      <alignment vertical="center"/>
    </xf>
    <xf numFmtId="0" fontId="0" fillId="2" borderId="36" xfId="0" applyFill="1" applyBorder="1"/>
    <xf numFmtId="0" fontId="5" fillId="0" borderId="0" xfId="2" quotePrefix="1" applyFont="1" applyFill="1" applyBorder="1"/>
    <xf numFmtId="0" fontId="5" fillId="0" borderId="0" xfId="3" quotePrefix="1" applyFont="1" applyFill="1" applyBorder="1"/>
    <xf numFmtId="0" fontId="2" fillId="5" borderId="0" xfId="0" applyFont="1" applyFill="1"/>
    <xf numFmtId="0" fontId="2" fillId="0" borderId="16" xfId="0" applyFont="1" applyBorder="1"/>
    <xf numFmtId="169" fontId="0" fillId="0" borderId="7" xfId="41" applyNumberFormat="1" applyFont="1" applyBorder="1"/>
    <xf numFmtId="169" fontId="0" fillId="0" borderId="8" xfId="0" applyNumberFormat="1" applyBorder="1"/>
    <xf numFmtId="169" fontId="0" fillId="0" borderId="0" xfId="41" applyNumberFormat="1" applyFont="1" applyBorder="1"/>
    <xf numFmtId="169" fontId="0" fillId="0" borderId="10" xfId="0" applyNumberFormat="1" applyBorder="1"/>
    <xf numFmtId="169" fontId="0" fillId="0" borderId="12" xfId="41" applyNumberFormat="1" applyFont="1" applyBorder="1"/>
    <xf numFmtId="169" fontId="0" fillId="0" borderId="13" xfId="0" applyNumberFormat="1" applyBorder="1"/>
    <xf numFmtId="0" fontId="2" fillId="0" borderId="37" xfId="0" applyFont="1" applyBorder="1"/>
    <xf numFmtId="169" fontId="0" fillId="0" borderId="6" xfId="41" applyNumberFormat="1" applyFont="1" applyBorder="1"/>
    <xf numFmtId="169" fontId="0" fillId="0" borderId="9" xfId="41" applyNumberFormat="1" applyFont="1" applyBorder="1"/>
    <xf numFmtId="169" fontId="0" fillId="0" borderId="11" xfId="41" applyNumberFormat="1" applyFont="1" applyBorder="1"/>
    <xf numFmtId="0" fontId="0" fillId="0" borderId="37" xfId="0" applyBorder="1"/>
    <xf numFmtId="169" fontId="0" fillId="0" borderId="14" xfId="0" applyNumberFormat="1" applyBorder="1"/>
    <xf numFmtId="169" fontId="0" fillId="0" borderId="15" xfId="0" applyNumberFormat="1" applyBorder="1"/>
    <xf numFmtId="169" fontId="0" fillId="0" borderId="16" xfId="0" applyNumberFormat="1" applyBorder="1"/>
    <xf numFmtId="14" fontId="2" fillId="0" borderId="0" xfId="0" applyNumberFormat="1" applyFont="1"/>
    <xf numFmtId="167" fontId="2" fillId="5" borderId="1" xfId="1" applyNumberFormat="1" applyFont="1" applyFill="1" applyBorder="1"/>
    <xf numFmtId="169" fontId="0" fillId="0" borderId="22" xfId="41" applyNumberFormat="1" applyFont="1" applyFill="1" applyBorder="1" applyAlignment="1">
      <alignment wrapText="1"/>
    </xf>
    <xf numFmtId="169" fontId="0" fillId="27" borderId="1" xfId="41" applyNumberFormat="1" applyFont="1" applyFill="1" applyBorder="1"/>
    <xf numFmtId="0" fontId="5" fillId="0" borderId="1" xfId="3" applyFont="1" applyFill="1" applyBorder="1"/>
    <xf numFmtId="0" fontId="0" fillId="0" borderId="3" xfId="0" applyBorder="1"/>
    <xf numFmtId="169" fontId="0" fillId="0" borderId="0" xfId="41" applyNumberFormat="1" applyFont="1"/>
    <xf numFmtId="165" fontId="0" fillId="0" borderId="0" xfId="42" applyFont="1"/>
    <xf numFmtId="165" fontId="0" fillId="0" borderId="0" xfId="42" applyFont="1" applyBorder="1"/>
    <xf numFmtId="0" fontId="0" fillId="0" borderId="14" xfId="0" applyBorder="1"/>
    <xf numFmtId="0" fontId="0" fillId="0" borderId="15" xfId="0" applyBorder="1"/>
    <xf numFmtId="0" fontId="0" fillId="0" borderId="16" xfId="0" applyBorder="1"/>
    <xf numFmtId="169" fontId="0" fillId="0" borderId="0" xfId="0" applyNumberFormat="1"/>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37" xfId="0" applyFont="1" applyBorder="1" applyAlignment="1">
      <alignment horizontal="center" vertical="center"/>
    </xf>
    <xf numFmtId="9" fontId="0" fillId="0" borderId="9" xfId="1" applyFont="1" applyBorder="1"/>
    <xf numFmtId="9" fontId="0" fillId="0" borderId="10" xfId="1" applyFont="1" applyBorder="1"/>
    <xf numFmtId="14" fontId="0" fillId="0" borderId="4" xfId="0" applyNumberFormat="1" applyBorder="1"/>
    <xf numFmtId="0" fontId="0" fillId="0" borderId="5" xfId="0" applyBorder="1"/>
    <xf numFmtId="0" fontId="0" fillId="0" borderId="36" xfId="0" applyBorder="1"/>
    <xf numFmtId="169" fontId="0" fillId="0" borderId="36" xfId="41" applyNumberFormat="1" applyFont="1" applyFill="1" applyBorder="1"/>
    <xf numFmtId="0" fontId="0" fillId="0" borderId="21" xfId="0" applyBorder="1"/>
    <xf numFmtId="169" fontId="0" fillId="0" borderId="1" xfId="0" applyNumberFormat="1" applyBorder="1"/>
    <xf numFmtId="14" fontId="0" fillId="27" borderId="0" xfId="0" applyNumberFormat="1" applyFill="1"/>
    <xf numFmtId="0" fontId="2" fillId="0" borderId="13" xfId="0" applyFont="1" applyBorder="1"/>
    <xf numFmtId="169" fontId="2" fillId="0" borderId="14" xfId="41" applyNumberFormat="1" applyFont="1" applyBorder="1"/>
    <xf numFmtId="169" fontId="2" fillId="0" borderId="15" xfId="41" applyNumberFormat="1" applyFont="1" applyBorder="1"/>
    <xf numFmtId="169" fontId="2" fillId="0" borderId="16" xfId="41" applyNumberFormat="1" applyFont="1" applyBorder="1"/>
    <xf numFmtId="169" fontId="0" fillId="0" borderId="10" xfId="41" applyNumberFormat="1" applyFont="1" applyBorder="1"/>
    <xf numFmtId="169" fontId="0" fillId="0" borderId="13" xfId="41" applyNumberFormat="1" applyFont="1" applyBorder="1"/>
    <xf numFmtId="0" fontId="5" fillId="0" borderId="1" xfId="2" applyFont="1" applyFill="1" applyBorder="1"/>
    <xf numFmtId="0" fontId="5" fillId="0" borderId="0" xfId="3" applyNumberFormat="1" applyFont="1" applyFill="1" applyBorder="1"/>
    <xf numFmtId="0" fontId="19" fillId="0" borderId="0" xfId="0" applyFont="1"/>
    <xf numFmtId="0" fontId="5" fillId="0" borderId="0" xfId="2" applyNumberFormat="1" applyFont="1" applyFill="1" applyBorder="1"/>
    <xf numFmtId="0" fontId="0" fillId="0" borderId="22" xfId="0" applyBorder="1"/>
    <xf numFmtId="0" fontId="0" fillId="3" borderId="38" xfId="0" applyFill="1" applyBorder="1"/>
    <xf numFmtId="0" fontId="0" fillId="0" borderId="15" xfId="0" applyBorder="1" applyAlignment="1">
      <alignment horizontal="centerContinuous"/>
    </xf>
    <xf numFmtId="0" fontId="0" fillId="0" borderId="16" xfId="0" applyBorder="1" applyAlignment="1">
      <alignment horizontal="centerContinuous"/>
    </xf>
    <xf numFmtId="169" fontId="0" fillId="0" borderId="6" xfId="0" applyNumberFormat="1" applyBorder="1"/>
    <xf numFmtId="169" fontId="0" fillId="0" borderId="7" xfId="0" applyNumberFormat="1" applyBorder="1"/>
    <xf numFmtId="169" fontId="0" fillId="0" borderId="9" xfId="0" applyNumberFormat="1" applyBorder="1"/>
    <xf numFmtId="169" fontId="0" fillId="0" borderId="11" xfId="0" applyNumberFormat="1" applyBorder="1"/>
    <xf numFmtId="169" fontId="0" fillId="0" borderId="12" xfId="0" applyNumberFormat="1" applyBorder="1"/>
    <xf numFmtId="0" fontId="0" fillId="5" borderId="1" xfId="0" applyFill="1" applyBorder="1"/>
    <xf numFmtId="0" fontId="21" fillId="0" borderId="0" xfId="0" applyFont="1"/>
    <xf numFmtId="39" fontId="0" fillId="0" borderId="0" xfId="0" applyNumberFormat="1"/>
    <xf numFmtId="0" fontId="2" fillId="0" borderId="0" xfId="0" applyFont="1" applyAlignment="1">
      <alignment horizontal="centerContinuous"/>
    </xf>
    <xf numFmtId="0" fontId="2" fillId="0" borderId="0" xfId="0" applyFont="1" applyAlignment="1">
      <alignment horizontal="center"/>
    </xf>
    <xf numFmtId="0" fontId="0" fillId="27" borderId="0" xfId="0" applyFill="1"/>
    <xf numFmtId="169" fontId="0" fillId="0" borderId="9" xfId="41" quotePrefix="1" applyNumberFormat="1" applyFont="1" applyBorder="1"/>
    <xf numFmtId="169" fontId="0" fillId="0" borderId="0" xfId="41" quotePrefix="1" applyNumberFormat="1" applyFont="1" applyBorder="1"/>
    <xf numFmtId="168" fontId="2" fillId="0" borderId="8" xfId="41" applyNumberFormat="1" applyFont="1" applyBorder="1"/>
    <xf numFmtId="0" fontId="0" fillId="0" borderId="1" xfId="0" applyBorder="1" applyAlignment="1">
      <alignment wrapText="1"/>
    </xf>
    <xf numFmtId="3" fontId="0" fillId="0" borderId="1" xfId="0" applyNumberFormat="1" applyBorder="1"/>
    <xf numFmtId="169" fontId="0" fillId="0" borderId="1" xfId="41" applyNumberFormat="1" applyFont="1" applyFill="1" applyBorder="1" applyAlignment="1">
      <alignment horizontal="right"/>
    </xf>
    <xf numFmtId="0" fontId="5" fillId="27" borderId="0" xfId="2" applyFont="1" applyFill="1" applyBorder="1"/>
    <xf numFmtId="14" fontId="0" fillId="0" borderId="36" xfId="0" applyNumberFormat="1" applyBorder="1"/>
    <xf numFmtId="169" fontId="0" fillId="0" borderId="36" xfId="41" applyNumberFormat="1" applyFont="1" applyFill="1" applyBorder="1" applyAlignment="1">
      <alignment horizontal="right"/>
    </xf>
    <xf numFmtId="0" fontId="5" fillId="0" borderId="0" xfId="2" applyFont="1" applyFill="1"/>
    <xf numFmtId="0" fontId="0" fillId="0" borderId="0" xfId="0" applyAlignment="1">
      <alignment vertical="top" wrapText="1"/>
    </xf>
    <xf numFmtId="167" fontId="5" fillId="25" borderId="0" xfId="0" applyNumberFormat="1" applyFont="1" applyFill="1"/>
    <xf numFmtId="0" fontId="2" fillId="28" borderId="0" xfId="0" applyFont="1" applyFill="1" applyAlignment="1">
      <alignment horizontal="center" vertical="center"/>
    </xf>
    <xf numFmtId="168" fontId="1" fillId="0" borderId="0" xfId="41" applyNumberFormat="1" applyFont="1"/>
    <xf numFmtId="0" fontId="22" fillId="0" borderId="1" xfId="0" applyFont="1" applyBorder="1" applyAlignment="1">
      <alignment vertical="center"/>
    </xf>
    <xf numFmtId="0" fontId="19" fillId="0" borderId="1" xfId="0" applyFont="1" applyBorder="1"/>
    <xf numFmtId="3" fontId="0" fillId="27" borderId="1" xfId="0" applyNumberFormat="1" applyFill="1" applyBorder="1"/>
    <xf numFmtId="169" fontId="2" fillId="0" borderId="16" xfId="0" applyNumberFormat="1" applyFont="1" applyBorder="1"/>
    <xf numFmtId="9" fontId="0" fillId="0" borderId="6" xfId="1" applyFont="1" applyBorder="1"/>
    <xf numFmtId="9" fontId="0" fillId="0" borderId="8" xfId="1" applyFont="1" applyBorder="1"/>
    <xf numFmtId="9" fontId="0" fillId="0" borderId="11" xfId="1" applyFont="1" applyBorder="1"/>
    <xf numFmtId="9" fontId="0" fillId="0" borderId="13" xfId="1" applyFont="1" applyBorder="1"/>
    <xf numFmtId="0" fontId="2" fillId="0" borderId="0" xfId="0" applyFont="1" applyAlignment="1">
      <alignment horizontal="center" vertical="center"/>
    </xf>
    <xf numFmtId="1" fontId="0" fillId="0" borderId="10" xfId="0" applyNumberFormat="1" applyBorder="1"/>
    <xf numFmtId="0" fontId="0" fillId="29" borderId="0" xfId="0" applyFill="1"/>
    <xf numFmtId="0" fontId="5" fillId="29" borderId="0" xfId="3" applyFont="1" applyFill="1" applyBorder="1"/>
    <xf numFmtId="168" fontId="0" fillId="30" borderId="10" xfId="0" applyNumberFormat="1" applyFill="1" applyBorder="1"/>
    <xf numFmtId="0" fontId="5" fillId="29" borderId="0" xfId="3" applyFont="1" applyFill="1" applyBorder="1" applyAlignment="1">
      <alignment horizontal="right"/>
    </xf>
    <xf numFmtId="168" fontId="0" fillId="29" borderId="13" xfId="0" applyNumberFormat="1" applyFill="1" applyBorder="1"/>
    <xf numFmtId="9" fontId="0" fillId="0" borderId="25" xfId="1" applyFont="1" applyBorder="1"/>
    <xf numFmtId="168" fontId="0" fillId="31" borderId="10" xfId="0" applyNumberFormat="1" applyFill="1" applyBorder="1"/>
    <xf numFmtId="0" fontId="1" fillId="0" borderId="0" xfId="2" applyFont="1" applyFill="1" applyBorder="1"/>
    <xf numFmtId="9" fontId="0" fillId="0" borderId="24" xfId="1" applyFont="1" applyBorder="1"/>
    <xf numFmtId="0" fontId="0" fillId="0" borderId="39" xfId="0" applyBorder="1"/>
    <xf numFmtId="0" fontId="5" fillId="0" borderId="0" xfId="3" applyFont="1" applyFill="1" applyAlignment="1">
      <alignment horizontal="left"/>
    </xf>
    <xf numFmtId="168" fontId="0" fillId="0" borderId="0" xfId="41" applyNumberFormat="1" applyFont="1"/>
    <xf numFmtId="168" fontId="0" fillId="29" borderId="0" xfId="0" applyNumberFormat="1" applyFill="1"/>
    <xf numFmtId="168" fontId="2" fillId="0" borderId="0" xfId="0" applyNumberFormat="1" applyFont="1"/>
    <xf numFmtId="0" fontId="2" fillId="0" borderId="4" xfId="0" applyFont="1" applyBorder="1"/>
    <xf numFmtId="0" fontId="2" fillId="0" borderId="40" xfId="0" applyFont="1" applyBorder="1"/>
    <xf numFmtId="0" fontId="2" fillId="0" borderId="5" xfId="0" applyFont="1" applyBorder="1"/>
    <xf numFmtId="0" fontId="2" fillId="0" borderId="41" xfId="0" applyFont="1" applyBorder="1"/>
    <xf numFmtId="0" fontId="0" fillId="0" borderId="42" xfId="0" applyBorder="1"/>
    <xf numFmtId="168" fontId="0" fillId="0" borderId="0" xfId="41" applyNumberFormat="1" applyFont="1" applyBorder="1"/>
    <xf numFmtId="0" fontId="0" fillId="0" borderId="43" xfId="0" applyBorder="1"/>
    <xf numFmtId="0" fontId="0" fillId="0" borderId="44" xfId="0" applyBorder="1"/>
    <xf numFmtId="0" fontId="0" fillId="0" borderId="45" xfId="0" applyBorder="1"/>
    <xf numFmtId="168" fontId="0" fillId="0" borderId="0" xfId="0" applyNumberFormat="1"/>
    <xf numFmtId="169" fontId="0" fillId="0" borderId="8" xfId="41" applyNumberFormat="1" applyFont="1" applyBorder="1"/>
    <xf numFmtId="169" fontId="2" fillId="0" borderId="0" xfId="0" applyNumberFormat="1" applyFont="1"/>
    <xf numFmtId="170" fontId="0" fillId="0" borderId="0" xfId="0" applyNumberFormat="1"/>
    <xf numFmtId="0" fontId="0" fillId="31" borderId="0" xfId="0" applyFill="1"/>
    <xf numFmtId="0" fontId="0" fillId="31" borderId="0" xfId="0" quotePrefix="1" applyFill="1"/>
    <xf numFmtId="0" fontId="0" fillId="31" borderId="0" xfId="0" applyFill="1" applyAlignment="1">
      <alignment vertical="top" wrapText="1"/>
    </xf>
    <xf numFmtId="1" fontId="0" fillId="0" borderId="13" xfId="0" applyNumberFormat="1" applyBorder="1"/>
    <xf numFmtId="0" fontId="0" fillId="32" borderId="0" xfId="0" applyFill="1"/>
    <xf numFmtId="0" fontId="0" fillId="0" borderId="0" xfId="0" quotePrefix="1" applyAlignment="1">
      <alignment horizontal="right"/>
    </xf>
    <xf numFmtId="0" fontId="0" fillId="0" borderId="0" xfId="0" quotePrefix="1" applyAlignment="1">
      <alignment vertical="top"/>
    </xf>
    <xf numFmtId="0" fontId="0" fillId="0" borderId="0" xfId="0" applyAlignment="1">
      <alignment horizontal="right" vertical="top"/>
    </xf>
    <xf numFmtId="0" fontId="5" fillId="0" borderId="0" xfId="0" applyFont="1" applyAlignment="1">
      <alignment horizontal="right"/>
    </xf>
    <xf numFmtId="0" fontId="2" fillId="0" borderId="0" xfId="0" applyFont="1" applyAlignment="1">
      <alignment horizontal="right"/>
    </xf>
    <xf numFmtId="0" fontId="0" fillId="29" borderId="0" xfId="0" applyFill="1" applyAlignment="1">
      <alignment horizontal="right"/>
    </xf>
    <xf numFmtId="0" fontId="5" fillId="29" borderId="0" xfId="2" applyFont="1" applyFill="1" applyBorder="1" applyAlignment="1">
      <alignment horizontal="right"/>
    </xf>
    <xf numFmtId="0" fontId="0" fillId="29" borderId="0" xfId="0" quotePrefix="1" applyFill="1" applyAlignment="1">
      <alignment horizontal="right"/>
    </xf>
    <xf numFmtId="0" fontId="0" fillId="29" borderId="0" xfId="0" applyFill="1" applyAlignment="1">
      <alignment vertical="top"/>
    </xf>
    <xf numFmtId="0" fontId="0" fillId="29" borderId="0" xfId="0" applyFill="1" applyAlignment="1">
      <alignment horizontal="right" vertical="top"/>
    </xf>
    <xf numFmtId="0" fontId="0" fillId="29" borderId="0" xfId="0" quotePrefix="1" applyFill="1" applyAlignment="1">
      <alignment vertical="top"/>
    </xf>
    <xf numFmtId="0" fontId="0" fillId="0" borderId="0" xfId="0" applyAlignment="1">
      <alignment horizontal="left" vertical="center" indent="1"/>
    </xf>
    <xf numFmtId="0" fontId="19" fillId="0" borderId="0" xfId="0" applyFont="1" applyAlignment="1">
      <alignment horizontal="left" vertical="center" indent="1"/>
    </xf>
    <xf numFmtId="0" fontId="0" fillId="0" borderId="0" xfId="0" applyAlignment="1">
      <alignment horizontal="left"/>
    </xf>
    <xf numFmtId="170" fontId="0" fillId="0" borderId="2" xfId="0" applyNumberFormat="1" applyBorder="1"/>
    <xf numFmtId="0" fontId="0" fillId="33" borderId="0" xfId="0" applyFill="1"/>
    <xf numFmtId="0" fontId="0" fillId="0" borderId="0" xfId="0" applyAlignment="1">
      <alignment horizontal="left" wrapText="1"/>
    </xf>
    <xf numFmtId="0" fontId="22" fillId="29" borderId="0" xfId="0" applyFont="1" applyFill="1"/>
    <xf numFmtId="0" fontId="5" fillId="29" borderId="0" xfId="2" applyNumberFormat="1" applyFont="1" applyFill="1" applyBorder="1" applyAlignment="1">
      <alignment horizontal="right"/>
    </xf>
    <xf numFmtId="0" fontId="0" fillId="0" borderId="0" xfId="0" applyAlignment="1">
      <alignment wrapText="1"/>
    </xf>
    <xf numFmtId="0" fontId="0" fillId="29" borderId="0" xfId="0" applyFill="1" applyAlignment="1">
      <alignment vertical="center"/>
    </xf>
    <xf numFmtId="0" fontId="0" fillId="27" borderId="42" xfId="0" applyFill="1" applyBorder="1"/>
    <xf numFmtId="168" fontId="0" fillId="27" borderId="0" xfId="41" applyNumberFormat="1" applyFont="1" applyFill="1" applyBorder="1"/>
    <xf numFmtId="0" fontId="0" fillId="27" borderId="21" xfId="0" applyFill="1" applyBorder="1"/>
    <xf numFmtId="0" fontId="0" fillId="34" borderId="0" xfId="0" applyFill="1"/>
    <xf numFmtId="0" fontId="5" fillId="27" borderId="0" xfId="3" applyFont="1" applyFill="1" applyBorder="1"/>
    <xf numFmtId="0" fontId="5" fillId="0" borderId="1" xfId="0" applyFont="1" applyBorder="1"/>
    <xf numFmtId="3" fontId="0" fillId="0" borderId="2" xfId="0" applyNumberFormat="1" applyBorder="1"/>
    <xf numFmtId="3" fontId="2" fillId="4" borderId="3" xfId="0" applyNumberFormat="1" applyFont="1" applyFill="1" applyBorder="1"/>
    <xf numFmtId="0" fontId="0" fillId="27" borderId="0" xfId="0" quotePrefix="1" applyFill="1"/>
    <xf numFmtId="0" fontId="7" fillId="0" borderId="0" xfId="38" applyNumberFormat="1" applyBorder="1" applyAlignment="1"/>
    <xf numFmtId="0" fontId="5" fillId="31" borderId="0" xfId="3" applyFont="1" applyFill="1" applyBorder="1"/>
    <xf numFmtId="0" fontId="5" fillId="0" borderId="0" xfId="3" applyFont="1" applyFill="1"/>
    <xf numFmtId="169" fontId="0" fillId="27" borderId="0" xfId="41" applyNumberFormat="1" applyFont="1" applyFill="1" applyBorder="1"/>
    <xf numFmtId="0" fontId="24" fillId="3" borderId="3" xfId="0" applyFont="1" applyFill="1" applyBorder="1"/>
    <xf numFmtId="0" fontId="24" fillId="3" borderId="3" xfId="0" applyFont="1" applyFill="1" applyBorder="1" applyAlignment="1">
      <alignment wrapText="1"/>
    </xf>
    <xf numFmtId="3" fontId="0" fillId="0" borderId="3" xfId="0" applyNumberFormat="1" applyBorder="1"/>
  </cellXfs>
  <cellStyles count="45">
    <cellStyle name="Comma" xfId="41" builtinId="3"/>
    <cellStyle name="Currency" xfId="42" builtinId="4"/>
    <cellStyle name="Good" xfId="2" builtinId="26"/>
    <cellStyle name="Neutral" xfId="3" builtinId="28"/>
    <cellStyle name="Normal" xfId="0" builtinId="0"/>
    <cellStyle name="Percent" xfId="1" builtinId="5"/>
    <cellStyle name="SAPBorder" xfId="22" xr:uid="{00000000-0005-0000-0000-000006000000}"/>
    <cellStyle name="SAPDataCell" xfId="5" xr:uid="{00000000-0005-0000-0000-000007000000}"/>
    <cellStyle name="SAPDataRemoved" xfId="44" xr:uid="{E5AD5B14-CA45-4179-8D48-BA36DA800640}"/>
    <cellStyle name="SAPDataTotalCell" xfId="6" xr:uid="{00000000-0005-0000-0000-000008000000}"/>
    <cellStyle name="SAPDimensionCell" xfId="4" xr:uid="{00000000-0005-0000-0000-000009000000}"/>
    <cellStyle name="SAPEditableDataCell" xfId="7" xr:uid="{00000000-0005-0000-0000-00000A000000}"/>
    <cellStyle name="SAPEditableDataTotalCell" xfId="10" xr:uid="{00000000-0005-0000-0000-00000B000000}"/>
    <cellStyle name="SAPEmphasized" xfId="30" xr:uid="{00000000-0005-0000-0000-00000C000000}"/>
    <cellStyle name="SAPEmphasizedEditableDataCell" xfId="32" xr:uid="{00000000-0005-0000-0000-00000D000000}"/>
    <cellStyle name="SAPEmphasizedEditableDataTotalCell" xfId="33" xr:uid="{00000000-0005-0000-0000-00000E000000}"/>
    <cellStyle name="SAPEmphasizedLockedDataCell" xfId="36" xr:uid="{00000000-0005-0000-0000-00000F000000}"/>
    <cellStyle name="SAPEmphasizedLockedDataTotalCell" xfId="37" xr:uid="{00000000-0005-0000-0000-000010000000}"/>
    <cellStyle name="SAPEmphasizedReadonlyDataCell" xfId="34" xr:uid="{00000000-0005-0000-0000-000011000000}"/>
    <cellStyle name="SAPEmphasizedReadonlyDataTotalCell" xfId="35" xr:uid="{00000000-0005-0000-0000-000012000000}"/>
    <cellStyle name="SAPEmphasizedTotal" xfId="31" xr:uid="{00000000-0005-0000-0000-000013000000}"/>
    <cellStyle name="SAPError" xfId="40" xr:uid="{00000000-0005-0000-0000-000014000000}"/>
    <cellStyle name="SAPExceptionLevel1" xfId="13" xr:uid="{00000000-0005-0000-0000-000015000000}"/>
    <cellStyle name="SAPExceptionLevel2" xfId="14" xr:uid="{00000000-0005-0000-0000-000016000000}"/>
    <cellStyle name="SAPExceptionLevel3" xfId="15" xr:uid="{00000000-0005-0000-0000-000017000000}"/>
    <cellStyle name="SAPExceptionLevel4" xfId="16" xr:uid="{00000000-0005-0000-0000-000018000000}"/>
    <cellStyle name="SAPExceptionLevel5" xfId="17" xr:uid="{00000000-0005-0000-0000-000019000000}"/>
    <cellStyle name="SAPExceptionLevel6" xfId="18" xr:uid="{00000000-0005-0000-0000-00001A000000}"/>
    <cellStyle name="SAPExceptionLevel7" xfId="19" xr:uid="{00000000-0005-0000-0000-00001B000000}"/>
    <cellStyle name="SAPExceptionLevel8" xfId="20" xr:uid="{00000000-0005-0000-0000-00001C000000}"/>
    <cellStyle name="SAPExceptionLevel9" xfId="21" xr:uid="{00000000-0005-0000-0000-00001D000000}"/>
    <cellStyle name="SAPFormula" xfId="39" xr:uid="{00000000-0005-0000-0000-00001E000000}"/>
    <cellStyle name="SAPGroupingFillCell" xfId="43" xr:uid="{6B51DC53-8934-48E5-966E-05C25797862E}"/>
    <cellStyle name="SAPHierarchyCell0" xfId="25" xr:uid="{00000000-0005-0000-0000-00001F000000}"/>
    <cellStyle name="SAPHierarchyCell1" xfId="26" xr:uid="{00000000-0005-0000-0000-000020000000}"/>
    <cellStyle name="SAPHierarchyCell2" xfId="27" xr:uid="{00000000-0005-0000-0000-000021000000}"/>
    <cellStyle name="SAPHierarchyCell3" xfId="28" xr:uid="{00000000-0005-0000-0000-000022000000}"/>
    <cellStyle name="SAPHierarchyCell4" xfId="29" xr:uid="{00000000-0005-0000-0000-000023000000}"/>
    <cellStyle name="SAPLockedDataCell" xfId="9" xr:uid="{00000000-0005-0000-0000-000024000000}"/>
    <cellStyle name="SAPLockedDataTotalCell" xfId="12" xr:uid="{00000000-0005-0000-0000-000025000000}"/>
    <cellStyle name="SAPMemberCell" xfId="23" xr:uid="{00000000-0005-0000-0000-000026000000}"/>
    <cellStyle name="SAPMemberTotalCell" xfId="24" xr:uid="{00000000-0005-0000-0000-000027000000}"/>
    <cellStyle name="SAPMessageText" xfId="38" xr:uid="{00000000-0005-0000-0000-000028000000}"/>
    <cellStyle name="SAPReadonlyDataCell" xfId="8" xr:uid="{00000000-0005-0000-0000-000029000000}"/>
    <cellStyle name="SAPReadonlyDataTotalCell" xfId="11" xr:uid="{00000000-0005-0000-0000-00002A000000}"/>
  </cellStyles>
  <dxfs count="14">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rgb="FFFF0000"/>
        </patternFill>
      </fill>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1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8</xdr:row>
          <xdr:rowOff>104775</xdr:rowOff>
        </xdr:from>
        <xdr:to>
          <xdr:col>0</xdr:col>
          <xdr:colOff>752475</xdr:colOff>
          <xdr:row>10</xdr:row>
          <xdr:rowOff>104775</xdr:rowOff>
        </xdr:to>
        <xdr:sp macro="" textlink="">
          <xdr:nvSpPr>
            <xdr:cNvPr id="21505" name="Button 2"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1000125</xdr:colOff>
          <xdr:row>0</xdr:row>
          <xdr:rowOff>66675</xdr:rowOff>
        </xdr:from>
        <xdr:to>
          <xdr:col>2</xdr:col>
          <xdr:colOff>333375</xdr:colOff>
          <xdr:row>1</xdr:row>
          <xdr:rowOff>104775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Convert PO NR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333375</xdr:colOff>
          <xdr:row>1</xdr:row>
          <xdr:rowOff>28575</xdr:rowOff>
        </xdr:from>
        <xdr:to>
          <xdr:col>7</xdr:col>
          <xdr:colOff>57150</xdr:colOff>
          <xdr:row>3</xdr:row>
          <xdr:rowOff>76200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8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175259</xdr:colOff>
      <xdr:row>33</xdr:row>
      <xdr:rowOff>160020</xdr:rowOff>
    </xdr:from>
    <xdr:to>
      <xdr:col>0</xdr:col>
      <xdr:colOff>2141220</xdr:colOff>
      <xdr:row>47</xdr:row>
      <xdr:rowOff>30710</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980" t="8595" r="31847"/>
        <a:stretch/>
      </xdr:blipFill>
      <xdr:spPr>
        <a:xfrm>
          <a:off x="175259" y="4549140"/>
          <a:ext cx="1965961" cy="2431010"/>
        </a:xfrm>
        <a:prstGeom prst="rect">
          <a:avLst/>
        </a:prstGeom>
      </xdr:spPr>
    </xdr:pic>
    <xdr:clientData/>
  </xdr:twoCellAnchor>
  <xdr:twoCellAnchor editAs="oneCell">
    <xdr:from>
      <xdr:col>0</xdr:col>
      <xdr:colOff>6784339</xdr:colOff>
      <xdr:row>51</xdr:row>
      <xdr:rowOff>96519</xdr:rowOff>
    </xdr:from>
    <xdr:to>
      <xdr:col>0</xdr:col>
      <xdr:colOff>7866380</xdr:colOff>
      <xdr:row>53</xdr:row>
      <xdr:rowOff>11430</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333" t="9755"/>
        <a:stretch/>
      </xdr:blipFill>
      <xdr:spPr>
        <a:xfrm>
          <a:off x="6784339" y="9488169"/>
          <a:ext cx="1082041" cy="283211"/>
        </a:xfrm>
        <a:prstGeom prst="rect">
          <a:avLst/>
        </a:prstGeom>
        <a:ln>
          <a:solidFill>
            <a:schemeClr val="tx1"/>
          </a:solidFill>
        </a:ln>
      </xdr:spPr>
    </xdr:pic>
    <xdr:clientData/>
  </xdr:twoCellAnchor>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2.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3.bin"/><Relationship Id="rId6" Type="http://schemas.openxmlformats.org/officeDocument/2006/relationships/ctrlProp" Target="../ctrlProps/ctrlProp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4.bin"/><Relationship Id="rId4" Type="http://schemas.openxmlformats.org/officeDocument/2006/relationships/customProperty" Target="../customProperty11.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3.bin"/><Relationship Id="rId2" Type="http://schemas.openxmlformats.org/officeDocument/2006/relationships/customProperty" Target="../customProperty12.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printerSettings" Target="../printerSettings/printerSettings6.bin"/><Relationship Id="rId1" Type="http://schemas.openxmlformats.org/officeDocument/2006/relationships/hyperlink" Target="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TargetMode="External"/><Relationship Id="rId4" Type="http://schemas.openxmlformats.org/officeDocument/2006/relationships/customProperty" Target="../customProperty15.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7.bin"/><Relationship Id="rId2" Type="http://schemas.openxmlformats.org/officeDocument/2006/relationships/customProperty" Target="../customProperty16.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9.bin"/><Relationship Id="rId7" Type="http://schemas.openxmlformats.org/officeDocument/2006/relationships/ctrlProp" Target="../ctrlProps/ctrlProp3.xml"/><Relationship Id="rId2" Type="http://schemas.openxmlformats.org/officeDocument/2006/relationships/customProperty" Target="../customProperty18.bin"/><Relationship Id="rId1" Type="http://schemas.openxmlformats.org/officeDocument/2006/relationships/printerSettings" Target="../printerSettings/printerSettings8.bin"/><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customProperty" Target="../customProperty20.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22.bin"/><Relationship Id="rId7" Type="http://schemas.openxmlformats.org/officeDocument/2006/relationships/image" Target="../media/image1.emf"/><Relationship Id="rId2" Type="http://schemas.openxmlformats.org/officeDocument/2006/relationships/customProperty" Target="../customProperty21.bin"/><Relationship Id="rId1" Type="http://schemas.openxmlformats.org/officeDocument/2006/relationships/printerSettings" Target="../printerSettings/printerSettings9.bin"/><Relationship Id="rId6" Type="http://schemas.openxmlformats.org/officeDocument/2006/relationships/control" Target="../activeX/activeX1.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2.bin"/><Relationship Id="rId4"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workbookViewId="0"/>
  </sheetViews>
  <sheetFormatPr defaultRowHeight="15" x14ac:dyDescent="0.25"/>
  <sheetData/>
  <pageMargins left="0.7" right="0.7" top="0.75" bottom="0.75" header="0.3" footer="0.3"/>
  <pageSetup paperSize="9" orientation="portrait" r:id="rId1"/>
  <customProperties>
    <customPr name="_pios_id" r:id="rId2"/>
    <customPr name="CofWorksheetType" r:id="rId3"/>
    <customPr name="EpmWorksheetKeyString_GUID" r:id="rId4"/>
    <customPr name="serializedData2" r:id="rId5"/>
  </customPropertie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B1:L40"/>
  <sheetViews>
    <sheetView showGridLines="0" zoomScale="80" zoomScaleNormal="80" workbookViewId="0">
      <selection activeCell="F25" sqref="F25"/>
    </sheetView>
  </sheetViews>
  <sheetFormatPr defaultRowHeight="15" x14ac:dyDescent="0.25"/>
  <cols>
    <col min="1" max="1" width="12.5703125" customWidth="1"/>
    <col min="2" max="2" width="21.5703125" customWidth="1"/>
    <col min="3" max="3" width="31.42578125" customWidth="1"/>
    <col min="4" max="4" width="21.42578125" bestFit="1" customWidth="1"/>
    <col min="5" max="5" width="11" hidden="1" customWidth="1"/>
    <col min="6" max="6" width="16.5703125" bestFit="1" customWidth="1"/>
    <col min="7" max="7" width="12.5703125" hidden="1" customWidth="1"/>
    <col min="8" max="8" width="15.42578125" bestFit="1" customWidth="1"/>
    <col min="9" max="9" width="15.5703125" bestFit="1" customWidth="1"/>
    <col min="10" max="10" width="15.42578125" customWidth="1"/>
    <col min="11" max="11" width="15" customWidth="1"/>
    <col min="12" max="12" width="35.42578125" customWidth="1"/>
    <col min="13" max="13" width="10.42578125" bestFit="1" customWidth="1"/>
  </cols>
  <sheetData>
    <row r="1" spans="2:12" x14ac:dyDescent="0.25">
      <c r="D1" s="167">
        <v>68427709</v>
      </c>
    </row>
    <row r="2" spans="2:12" x14ac:dyDescent="0.25">
      <c r="B2" t="s">
        <v>0</v>
      </c>
      <c r="D2" s="42">
        <f ca="1">NOW()</f>
        <v>45603.558958564812</v>
      </c>
    </row>
    <row r="3" spans="2:12" x14ac:dyDescent="0.25">
      <c r="B3" t="s">
        <v>1</v>
      </c>
      <c r="D3" s="86">
        <v>12</v>
      </c>
    </row>
    <row r="5" spans="2:12" x14ac:dyDescent="0.25">
      <c r="B5" s="169" t="s">
        <v>2</v>
      </c>
      <c r="C5" s="169"/>
      <c r="D5" s="169"/>
      <c r="E5" s="169"/>
      <c r="F5" s="169"/>
      <c r="G5" s="169"/>
      <c r="H5" s="169"/>
      <c r="I5" s="169"/>
    </row>
    <row r="6" spans="2:12" x14ac:dyDescent="0.25">
      <c r="B6" s="9"/>
      <c r="C6" s="9"/>
      <c r="D6" s="9"/>
      <c r="E6" s="170" t="s">
        <v>3</v>
      </c>
      <c r="F6" s="170" t="s">
        <v>3</v>
      </c>
      <c r="G6" s="170" t="s">
        <v>4</v>
      </c>
      <c r="H6" s="170" t="s">
        <v>5</v>
      </c>
      <c r="I6" s="170" t="s">
        <v>6</v>
      </c>
      <c r="J6" s="170" t="s">
        <v>7</v>
      </c>
      <c r="K6" s="170" t="s">
        <v>8</v>
      </c>
      <c r="L6" s="170" t="s">
        <v>9</v>
      </c>
    </row>
    <row r="7" spans="2:12" x14ac:dyDescent="0.25">
      <c r="B7" s="9" t="s">
        <v>10</v>
      </c>
      <c r="C7" s="9" t="s">
        <v>11</v>
      </c>
      <c r="D7" s="9"/>
      <c r="E7" s="170">
        <f>F7-1</f>
        <v>2023</v>
      </c>
      <c r="F7" s="184">
        <v>2024</v>
      </c>
      <c r="G7" s="170" t="str">
        <f>F7&amp;" vs "&amp;E7</f>
        <v>2024 vs 2023</v>
      </c>
      <c r="H7" s="170" t="str">
        <f>ShowMonthName(D3)</f>
        <v>December</v>
      </c>
      <c r="I7" s="170"/>
      <c r="J7" s="170"/>
      <c r="K7" s="170"/>
    </row>
    <row r="8" spans="2:12" ht="15.75" thickBot="1" x14ac:dyDescent="0.3">
      <c r="B8" s="9"/>
      <c r="C8" s="9"/>
      <c r="D8" s="9"/>
      <c r="F8" s="9"/>
      <c r="G8" s="9"/>
      <c r="H8" s="9"/>
      <c r="I8" s="9"/>
      <c r="J8" s="9"/>
    </row>
    <row r="9" spans="2:12" ht="15.75" thickBot="1" x14ac:dyDescent="0.3">
      <c r="B9" s="55" t="s">
        <v>12</v>
      </c>
      <c r="C9" s="56"/>
      <c r="D9" s="56"/>
      <c r="E9" s="57">
        <f>SUM(E10:E28)</f>
        <v>47692326</v>
      </c>
      <c r="F9" s="57">
        <f>SUM(F10:F28)</f>
        <v>53441122</v>
      </c>
      <c r="G9" s="57">
        <f>SUM(G10:G28)</f>
        <v>5748796</v>
      </c>
      <c r="H9" s="57">
        <f>(F9/12)*$D$3</f>
        <v>53441122</v>
      </c>
      <c r="I9" s="57">
        <f>SUM(I10:I28)</f>
        <v>0</v>
      </c>
      <c r="J9" s="58">
        <f>H9-I9</f>
        <v>53441122</v>
      </c>
      <c r="K9" s="174"/>
      <c r="L9" s="12" t="s">
        <v>13</v>
      </c>
    </row>
    <row r="10" spans="2:12" x14ac:dyDescent="0.25">
      <c r="B10" s="46"/>
      <c r="C10" s="47"/>
      <c r="D10" s="47"/>
      <c r="E10" s="11"/>
      <c r="F10" s="47"/>
      <c r="G10" s="47"/>
      <c r="H10" s="47"/>
      <c r="I10" s="47"/>
      <c r="J10" s="59"/>
      <c r="K10" s="64"/>
      <c r="L10" s="12"/>
    </row>
    <row r="11" spans="2:12" x14ac:dyDescent="0.25">
      <c r="B11" s="60" t="s">
        <v>14</v>
      </c>
      <c r="C11" t="s">
        <v>15</v>
      </c>
      <c r="D11" t="s">
        <v>16</v>
      </c>
      <c r="E11" s="109">
        <f>SUMPRODUCT(('AOP24'!$E$2:$E$600=Summary!B11)*('AOP24'!$D$2:$D$600=$D$1)*('AOP24'!$S$2:$S$600))</f>
        <v>214920</v>
      </c>
      <c r="F11" s="61" cm="1">
        <f t="array" ref="F11">SUMPRODUCT(('AOP24'!$E$2:$E$600=Summary!B11)*('AOP24'!$D$2:$D$600=$D$1)*('AOP24'!$U$2:$U$600))</f>
        <v>302000</v>
      </c>
      <c r="G11" s="61">
        <f>F11-E11</f>
        <v>87080</v>
      </c>
      <c r="H11" s="62">
        <f t="shared" ref="H11:H28" si="0">(F11/12)*$D$3</f>
        <v>302000</v>
      </c>
      <c r="I11" s="61">
        <f>SUMPRODUCT(('BW Summary'!$B$7:$B$248=Summary!B11)*('BW Summary'!$F$7:$F$248))</f>
        <v>0</v>
      </c>
      <c r="J11" s="202">
        <f>H11-I11</f>
        <v>302000</v>
      </c>
      <c r="K11" s="201">
        <f>IF(ISERROR(I11/H11),0,I11/H11)</f>
        <v>0</v>
      </c>
      <c r="L11" s="14"/>
    </row>
    <row r="12" spans="2:12" ht="15" customHeight="1" x14ac:dyDescent="0.25">
      <c r="B12" s="60" t="s">
        <v>17</v>
      </c>
      <c r="C12" t="s">
        <v>18</v>
      </c>
      <c r="D12" t="s">
        <v>16</v>
      </c>
      <c r="E12" s="109">
        <f>SUMPRODUCT(('AOP24'!$E$2:$E$600=Summary!B12)*('AOP24'!$D$2:$D$600=$D$1)*('AOP24'!$S$2:$S$600))</f>
        <v>0</v>
      </c>
      <c r="F12" s="61" cm="1">
        <f t="array" ref="F12">SUMPRODUCT(('AOP24'!$E$2:$E$600=Summary!B12)*('AOP24'!$D$2:$D$600=$D$1)*('AOP24'!$U$2:$U$600))</f>
        <v>0</v>
      </c>
      <c r="G12" s="61">
        <f t="shared" ref="G12:G28" si="1">F12-E12</f>
        <v>0</v>
      </c>
      <c r="H12" s="62">
        <f t="shared" si="0"/>
        <v>0</v>
      </c>
      <c r="I12" s="61">
        <f>SUMPRODUCT(('BW Summary'!$B$7:$B$248=Summary!B12)*('BW Summary'!$F$7:$F$248))</f>
        <v>0</v>
      </c>
      <c r="J12" s="63">
        <f t="shared" ref="J12:J28" si="2">H12-I12</f>
        <v>0</v>
      </c>
      <c r="K12" s="201">
        <f>IF(ISERROR(I12/H12),0,I12/H12)</f>
        <v>0</v>
      </c>
      <c r="L12" s="14"/>
    </row>
    <row r="13" spans="2:12" x14ac:dyDescent="0.25">
      <c r="B13" s="60" t="s">
        <v>19</v>
      </c>
      <c r="C13" t="s">
        <v>20</v>
      </c>
      <c r="D13" t="s">
        <v>16</v>
      </c>
      <c r="E13" s="109">
        <f>SUMPRODUCT(('AOP24'!$E$2:$E$600=Summary!B13)*('AOP24'!$D$2:$D$600=$D$1)*('AOP24'!$S$2:$S$600))</f>
        <v>7219700</v>
      </c>
      <c r="F13" s="61" cm="1">
        <f t="array" ref="F13">SUMPRODUCT(('AOP24'!$E$2:$E$600=Summary!B13)*('AOP24'!$D$2:$D$600=$D$1)*('AOP24'!$U$2:$U$600))</f>
        <v>8364800</v>
      </c>
      <c r="G13" s="61">
        <f t="shared" si="1"/>
        <v>1145100</v>
      </c>
      <c r="H13" s="62">
        <f t="shared" si="0"/>
        <v>8364800</v>
      </c>
      <c r="I13" s="61">
        <f>SUMPRODUCT(('BW Summary'!$B$7:$B$248=Summary!B13)*('BW Summary'!$F$7:$F$248))</f>
        <v>0</v>
      </c>
      <c r="J13" s="198">
        <f t="shared" si="2"/>
        <v>8364800</v>
      </c>
      <c r="K13" s="201">
        <f t="shared" ref="K13:K28" si="3">IF(ISERROR(I13/H13),0,I13/H13)</f>
        <v>0</v>
      </c>
      <c r="L13" s="14"/>
    </row>
    <row r="14" spans="2:12" x14ac:dyDescent="0.25">
      <c r="B14" s="66" t="s">
        <v>21</v>
      </c>
      <c r="C14" t="s">
        <v>22</v>
      </c>
      <c r="D14" t="s">
        <v>23</v>
      </c>
      <c r="E14" s="109">
        <f>SUMPRODUCT(('AOP24'!$E$2:$E$600=Summary!B14)*('AOP24'!$D$2:$D$600=$D$1)*('AOP24'!$S$2:$S$600))</f>
        <v>6664640</v>
      </c>
      <c r="F14" s="61" cm="1">
        <f t="array" ref="F14">SUMPRODUCT(('AOP24'!$E$2:$E$600=Summary!B14)*('AOP24'!$D$2:$D$600=$D$1)*('AOP24'!$U$2:$U$600))</f>
        <v>6946700</v>
      </c>
      <c r="G14" s="61">
        <f t="shared" si="1"/>
        <v>282060</v>
      </c>
      <c r="H14" s="62">
        <f t="shared" si="0"/>
        <v>6946700</v>
      </c>
      <c r="I14" s="61">
        <f>SUMPRODUCT(('BW Summary'!$B$7:$B$248=Summary!B14)*('BW Summary'!$F$7:$F$248))</f>
        <v>0</v>
      </c>
      <c r="J14" s="63">
        <f t="shared" si="2"/>
        <v>6946700</v>
      </c>
      <c r="K14" s="201">
        <f t="shared" si="3"/>
        <v>0</v>
      </c>
      <c r="L14" s="14"/>
    </row>
    <row r="15" spans="2:12" ht="15.6" customHeight="1" x14ac:dyDescent="0.25">
      <c r="B15" s="66" t="s">
        <v>24</v>
      </c>
      <c r="C15" t="s">
        <v>25</v>
      </c>
      <c r="D15" t="s">
        <v>23</v>
      </c>
      <c r="E15" s="109">
        <f>SUMPRODUCT(('AOP24'!$E$2:$E$600=Summary!B15)*('AOP24'!$D$2:$D$600=$D$1)*('AOP24'!$S$2:$S$600))</f>
        <v>0</v>
      </c>
      <c r="F15" s="61" cm="1">
        <f t="array" ref="F15">SUMPRODUCT(('AOP24'!$E$2:$E$600=Summary!B15)*('AOP24'!$D$2:$D$600=$D$1)*('AOP24'!$U$2:$U$600))</f>
        <v>0</v>
      </c>
      <c r="G15" s="61">
        <f t="shared" si="1"/>
        <v>0</v>
      </c>
      <c r="H15" s="62">
        <f t="shared" si="0"/>
        <v>0</v>
      </c>
      <c r="I15" s="61">
        <f>SUMPRODUCT(('BW Summary'!$B$7:$B$248=Summary!B15)*('BW Summary'!$F$7:$F$248))</f>
        <v>0</v>
      </c>
      <c r="J15" s="63">
        <f t="shared" si="2"/>
        <v>0</v>
      </c>
      <c r="K15" s="201">
        <f t="shared" si="3"/>
        <v>0</v>
      </c>
      <c r="L15" s="14"/>
    </row>
    <row r="16" spans="2:12" x14ac:dyDescent="0.25">
      <c r="B16" s="66" t="s">
        <v>26</v>
      </c>
      <c r="C16" t="s">
        <v>27</v>
      </c>
      <c r="D16" t="s">
        <v>28</v>
      </c>
      <c r="E16" s="109">
        <f>SUMPRODUCT(('AOP24'!$E$2:$E$600=Summary!B16)*('AOP24'!$D$2:$D$600=$D$1)*('AOP24'!$S$2:$S$600))</f>
        <v>631760</v>
      </c>
      <c r="F16" s="61" cm="1">
        <f t="array" ref="F16">SUMPRODUCT(('AOP24'!$E$2:$E$600=Summary!B16)*('AOP24'!$D$2:$D$600=$D$1)*('AOP24'!$U$2:$U$600))</f>
        <v>599960</v>
      </c>
      <c r="G16" s="61">
        <f t="shared" si="1"/>
        <v>-31800</v>
      </c>
      <c r="H16" s="62">
        <f t="shared" si="0"/>
        <v>599960</v>
      </c>
      <c r="I16" s="61">
        <f>SUMPRODUCT(('BW Summary'!$B$7:$B$248=Summary!B16)*('BW Summary'!$F$7:$F$248))</f>
        <v>0</v>
      </c>
      <c r="J16" s="63">
        <f t="shared" si="2"/>
        <v>599960</v>
      </c>
      <c r="K16" s="201">
        <f t="shared" si="3"/>
        <v>0</v>
      </c>
      <c r="L16" s="14"/>
    </row>
    <row r="17" spans="2:12" x14ac:dyDescent="0.25">
      <c r="B17" s="67" t="s">
        <v>29</v>
      </c>
      <c r="C17" t="s">
        <v>30</v>
      </c>
      <c r="D17" t="s">
        <v>31</v>
      </c>
      <c r="E17" s="109">
        <f>SUMPRODUCT(('AOP24'!$E$2:$E$600=Summary!B17)*('AOP24'!$D$2:$D$600=$D$1)*('AOP24'!$S$2:$S$600))</f>
        <v>2260000</v>
      </c>
      <c r="F17" s="61" cm="1">
        <f t="array" ref="F17">SUMPRODUCT(('AOP24'!$E$2:$E$600=Summary!B17)*('AOP24'!$D$2:$D$600=$D$1)*('AOP24'!$U$2:$U$600))</f>
        <v>2260000</v>
      </c>
      <c r="G17" s="61">
        <f t="shared" si="1"/>
        <v>0</v>
      </c>
      <c r="H17" s="62">
        <f t="shared" si="0"/>
        <v>2260000</v>
      </c>
      <c r="I17" s="61">
        <f>SUMPRODUCT(('BW Summary'!$B$7:$B$248=Summary!B17)*('BW Summary'!$F$7:$F$248))</f>
        <v>0</v>
      </c>
      <c r="J17" s="63">
        <f t="shared" si="2"/>
        <v>2260000</v>
      </c>
      <c r="K17" s="201">
        <f t="shared" si="3"/>
        <v>0</v>
      </c>
      <c r="L17" s="14"/>
    </row>
    <row r="18" spans="2:12" x14ac:dyDescent="0.25">
      <c r="B18" s="67" t="s">
        <v>32</v>
      </c>
      <c r="C18" t="s">
        <v>33</v>
      </c>
      <c r="D18" t="s">
        <v>31</v>
      </c>
      <c r="E18" s="109">
        <f>SUMPRODUCT(('AOP24'!$E$2:$E$600=Summary!B18)*('AOP24'!$D$2:$D$600=$D$1)*('AOP24'!$S$2:$S$600))</f>
        <v>0</v>
      </c>
      <c r="F18" s="61" cm="1">
        <f t="array" ref="F18">SUMPRODUCT(('AOP24'!$E$2:$E$600=Summary!B18)*('AOP24'!$D$2:$D$600=$D$1)*('AOP24'!$U$2:$U$600))</f>
        <v>0</v>
      </c>
      <c r="G18" s="61">
        <f t="shared" si="1"/>
        <v>0</v>
      </c>
      <c r="H18" s="62">
        <f t="shared" si="0"/>
        <v>0</v>
      </c>
      <c r="I18" s="61">
        <f>SUMPRODUCT(('BW Summary'!$B$7:$B$248=Summary!B18)*('BW Summary'!$F$7:$F$248))</f>
        <v>0</v>
      </c>
      <c r="J18" s="63">
        <f t="shared" si="2"/>
        <v>0</v>
      </c>
      <c r="K18" s="201">
        <f t="shared" si="3"/>
        <v>0</v>
      </c>
      <c r="L18" s="14"/>
    </row>
    <row r="19" spans="2:12" x14ac:dyDescent="0.25">
      <c r="B19" s="66" t="s">
        <v>34</v>
      </c>
      <c r="C19" t="s">
        <v>35</v>
      </c>
      <c r="D19" t="s">
        <v>31</v>
      </c>
      <c r="E19" s="109">
        <f>SUMPRODUCT(('AOP24'!$E$2:$E$600=Summary!B19)*('AOP24'!$D$2:$D$600=$D$1)*('AOP24'!$S$2:$S$600))</f>
        <v>1513408</v>
      </c>
      <c r="F19" s="61" cm="1">
        <f t="array" ref="F19">SUMPRODUCT(('AOP24'!$E$2:$E$600=Summary!B19)*('AOP24'!$D$2:$D$600=$D$1)*('AOP24'!$U$2:$U$600))</f>
        <v>1592044</v>
      </c>
      <c r="G19" s="61">
        <f t="shared" si="1"/>
        <v>78636</v>
      </c>
      <c r="H19" s="62">
        <f t="shared" si="0"/>
        <v>1592044</v>
      </c>
      <c r="I19" s="61">
        <f>SUMPRODUCT(('BW Summary'!$B$7:$B$248=Summary!B19)*('BW Summary'!$F$7:$F$248))</f>
        <v>0</v>
      </c>
      <c r="J19" s="63">
        <f t="shared" si="2"/>
        <v>1592044</v>
      </c>
      <c r="K19" s="201">
        <f t="shared" si="3"/>
        <v>0</v>
      </c>
      <c r="L19" s="14"/>
    </row>
    <row r="20" spans="2:12" x14ac:dyDescent="0.25">
      <c r="B20" s="67" t="s">
        <v>36</v>
      </c>
      <c r="C20" t="s">
        <v>37</v>
      </c>
      <c r="D20" t="s">
        <v>31</v>
      </c>
      <c r="E20" s="109">
        <f>SUMPRODUCT(('AOP24'!$E$2:$E$600=Summary!B20)*('AOP24'!$D$2:$D$600=$D$1)*('AOP24'!$S$2:$S$600))</f>
        <v>122920</v>
      </c>
      <c r="F20" s="61" cm="1">
        <f t="array" ref="F20">SUMPRODUCT(('AOP24'!$E$2:$E$600=Summary!B20)*('AOP24'!$D$2:$D$600=$D$1)*('AOP24'!$U$2:$U$600))</f>
        <v>217420</v>
      </c>
      <c r="G20" s="61">
        <f t="shared" si="1"/>
        <v>94500</v>
      </c>
      <c r="H20" s="62">
        <f t="shared" si="0"/>
        <v>217420</v>
      </c>
      <c r="I20" s="61">
        <f>SUMPRODUCT(('BW Summary'!$B$7:$B$248=Summary!B20)*('BW Summary'!$F$7:$F$248))</f>
        <v>0</v>
      </c>
      <c r="J20" s="63">
        <f t="shared" si="2"/>
        <v>217420</v>
      </c>
      <c r="K20" s="201">
        <f t="shared" si="3"/>
        <v>0</v>
      </c>
      <c r="L20" s="14"/>
    </row>
    <row r="21" spans="2:12" x14ac:dyDescent="0.25">
      <c r="B21" s="67" t="s">
        <v>38</v>
      </c>
      <c r="C21" t="s">
        <v>39</v>
      </c>
      <c r="D21" t="s">
        <v>40</v>
      </c>
      <c r="E21" s="109">
        <f>SUMPRODUCT(('AOP24'!$E$2:$E$600=Summary!B21)*('AOP24'!$D$2:$D$600=$D$1)*('AOP24'!$S$2:$S$600))</f>
        <v>643000</v>
      </c>
      <c r="F21" s="61" cm="1">
        <f t="array" ref="F21">SUMPRODUCT(('AOP24'!$E$2:$E$600=Summary!B21)*('AOP24'!$D$2:$D$600=$D$1)*('AOP24'!$U$2:$U$600))</f>
        <v>1504000</v>
      </c>
      <c r="G21" s="61">
        <f t="shared" si="1"/>
        <v>861000</v>
      </c>
      <c r="H21" s="62">
        <f t="shared" si="0"/>
        <v>1504000</v>
      </c>
      <c r="I21" s="61">
        <f>SUMPRODUCT(('BW Summary'!$B$7:$B$248=Summary!B21)*('BW Summary'!$F$7:$F$248))</f>
        <v>0</v>
      </c>
      <c r="J21" s="63">
        <f t="shared" ref="J21" si="4">H21-I21</f>
        <v>1504000</v>
      </c>
      <c r="K21" s="201">
        <f t="shared" si="3"/>
        <v>0</v>
      </c>
      <c r="L21" s="14"/>
    </row>
    <row r="22" spans="2:12" x14ac:dyDescent="0.25">
      <c r="B22" s="66" t="s">
        <v>41</v>
      </c>
      <c r="C22" t="s">
        <v>42</v>
      </c>
      <c r="D22" t="s">
        <v>42</v>
      </c>
      <c r="E22" s="109">
        <f>SUMPRODUCT(('AOP24'!$E$2:$E$600=Summary!B22)*('AOP24'!$D$2:$D$600=$D$1)*('AOP24'!$S$2:$S$600))</f>
        <v>7425000</v>
      </c>
      <c r="F22" s="61" cm="1">
        <f t="array" ref="F22">SUMPRODUCT(('AOP24'!$E$2:$E$600=Summary!B22)*('AOP24'!$D$2:$D$600=$D$1)*('AOP24'!$U$2:$U$600))</f>
        <v>7547000</v>
      </c>
      <c r="G22" s="61">
        <f t="shared" si="1"/>
        <v>122000</v>
      </c>
      <c r="H22" s="62">
        <f t="shared" si="0"/>
        <v>7547000</v>
      </c>
      <c r="I22" s="61">
        <f>SUMPRODUCT(('BW Summary'!$B$7:$B$248=Summary!B22)*('BW Summary'!$F$7:$F$248))</f>
        <v>0</v>
      </c>
      <c r="J22" s="63">
        <f t="shared" si="2"/>
        <v>7547000</v>
      </c>
      <c r="K22" s="201">
        <f t="shared" si="3"/>
        <v>0</v>
      </c>
      <c r="L22" s="14"/>
    </row>
    <row r="23" spans="2:12" x14ac:dyDescent="0.25">
      <c r="B23" s="66" t="s">
        <v>43</v>
      </c>
      <c r="C23" t="s">
        <v>44</v>
      </c>
      <c r="E23" s="109">
        <f>SUMPRODUCT(('AOP24'!$E$2:$E$600=Summary!B23)*('AOP24'!$D$2:$D$600=$D$1)*('AOP24'!$S$2:$S$600))</f>
        <v>0</v>
      </c>
      <c r="F23" s="61" cm="1">
        <f t="array" ref="F23">SUMPRODUCT(('AOP24'!$E$2:$E$600=Summary!B23)*('AOP24'!$D$2:$D$600=$D$1)*('AOP24'!$U$2:$U$600))</f>
        <v>0</v>
      </c>
      <c r="G23" s="61">
        <f t="shared" si="1"/>
        <v>0</v>
      </c>
      <c r="H23" s="62">
        <f t="shared" si="0"/>
        <v>0</v>
      </c>
      <c r="I23" s="61">
        <f>SUMPRODUCT(('BW Summary'!$B$7:$B$248=Summary!B23)*('BW Summary'!$F$7:$F$248))</f>
        <v>0</v>
      </c>
      <c r="J23" s="63">
        <f t="shared" si="2"/>
        <v>0</v>
      </c>
      <c r="K23" s="201">
        <f t="shared" si="3"/>
        <v>0</v>
      </c>
      <c r="L23" s="14"/>
    </row>
    <row r="24" spans="2:12" x14ac:dyDescent="0.25">
      <c r="B24" s="66" t="s">
        <v>45</v>
      </c>
      <c r="C24" t="s">
        <v>46</v>
      </c>
      <c r="E24" s="109">
        <f>SUMPRODUCT(('AOP24'!$E$2:$E$600=Summary!B24)*('AOP24'!$D$2:$D$600=$D$1)*('AOP24'!$S$2:$S$600))</f>
        <v>0</v>
      </c>
      <c r="F24" s="61" cm="1">
        <f t="array" ref="F24">SUMPRODUCT(('AOP24'!$E$2:$E$600=Summary!B24)*('AOP24'!$D$2:$D$600=$D$1)*('AOP24'!$U$2:$U$600))</f>
        <v>0</v>
      </c>
      <c r="G24" s="61">
        <f t="shared" si="1"/>
        <v>0</v>
      </c>
      <c r="H24" s="62">
        <f t="shared" si="0"/>
        <v>0</v>
      </c>
      <c r="I24" s="61">
        <f>SUMPRODUCT(('BW Summary'!$B$7:$B$248=Summary!B24)*('BW Summary'!$F$7:$F$248))</f>
        <v>0</v>
      </c>
      <c r="J24" s="63">
        <f t="shared" ref="J24:J25" si="5">H24-I24</f>
        <v>0</v>
      </c>
      <c r="K24" s="201">
        <f t="shared" si="3"/>
        <v>0</v>
      </c>
      <c r="L24" s="14"/>
    </row>
    <row r="25" spans="2:12" x14ac:dyDescent="0.25">
      <c r="B25" s="66" t="s">
        <v>47</v>
      </c>
      <c r="C25" t="s">
        <v>48</v>
      </c>
      <c r="E25" s="109">
        <f>SUMPRODUCT(('AOP24'!$E$2:$E$600=Summary!B25)*('AOP24'!$D$2:$D$600=$D$1)*('AOP24'!$S$2:$S$600))</f>
        <v>0</v>
      </c>
      <c r="F25" s="61" cm="1">
        <f t="array" ref="F25">SUMPRODUCT(('AOP24'!$E$2:$E$600=Summary!B25)*('AOP24'!$D$2:$D$600=$D$1)*('AOP24'!$U$2:$U$600))</f>
        <v>0</v>
      </c>
      <c r="G25" s="61">
        <f t="shared" si="1"/>
        <v>0</v>
      </c>
      <c r="H25" s="62">
        <f t="shared" si="0"/>
        <v>0</v>
      </c>
      <c r="I25" s="61">
        <f>SUMPRODUCT(('BW Summary'!$B$7:$B$248=Summary!B25)*('BW Summary'!$F$7:$F$248))</f>
        <v>0</v>
      </c>
      <c r="J25" s="63">
        <f t="shared" si="5"/>
        <v>0</v>
      </c>
      <c r="K25" s="201">
        <f t="shared" si="3"/>
        <v>0</v>
      </c>
      <c r="L25" s="14"/>
    </row>
    <row r="26" spans="2:12" x14ac:dyDescent="0.25">
      <c r="B26" s="66" t="s">
        <v>49</v>
      </c>
      <c r="C26" t="s">
        <v>50</v>
      </c>
      <c r="D26" t="s">
        <v>42</v>
      </c>
      <c r="E26" s="109">
        <f>SUMPRODUCT(('AOP24'!$E$2:$E$600=Summary!B26)*('AOP24'!$D$2:$D$600=$D$1)*('AOP24'!$S$2:$S$600))</f>
        <v>5214400</v>
      </c>
      <c r="F26" s="61" cm="1">
        <f t="array" ref="F26">SUMPRODUCT(('AOP24'!$E$2:$E$600=Summary!B26)*('AOP24'!$D$2:$D$600=$D$1)*('AOP24'!$U$2:$U$600))</f>
        <v>5961500</v>
      </c>
      <c r="G26" s="61">
        <f t="shared" si="1"/>
        <v>747100</v>
      </c>
      <c r="H26" s="62">
        <f t="shared" si="0"/>
        <v>5961500</v>
      </c>
      <c r="I26" s="61">
        <f>SUMPRODUCT(('BW Summary'!$B$7:$B$248=Summary!B26)*('BW Summary'!$F$7:$F$248))</f>
        <v>0</v>
      </c>
      <c r="J26" s="63">
        <f t="shared" si="2"/>
        <v>5961500</v>
      </c>
      <c r="K26" s="201">
        <f t="shared" si="3"/>
        <v>0</v>
      </c>
      <c r="L26" s="14"/>
    </row>
    <row r="27" spans="2:12" x14ac:dyDescent="0.25">
      <c r="B27" s="68" t="s">
        <v>51</v>
      </c>
      <c r="C27" t="s">
        <v>52</v>
      </c>
      <c r="D27" t="s">
        <v>42</v>
      </c>
      <c r="E27" s="109">
        <f>SUMPRODUCT(('AOP24'!$E$2:$E$600=Summary!B27)*('AOP24'!$D$2:$D$600=$D$1)*('AOP24'!$S$2:$S$600))</f>
        <v>7295738</v>
      </c>
      <c r="F27" s="61" cm="1">
        <f t="array" ref="F27">SUMPRODUCT(('AOP24'!$E$2:$E$600=Summary!B27)*('AOP24'!$D$2:$D$600=$D$1)*('AOP24'!$U$2:$U$600))</f>
        <v>7487548</v>
      </c>
      <c r="G27" s="61">
        <f t="shared" si="1"/>
        <v>191810</v>
      </c>
      <c r="H27" s="62">
        <f t="shared" si="0"/>
        <v>7487548</v>
      </c>
      <c r="I27" s="61">
        <f>SUMPRODUCT(('BW Summary'!$B$7:$B$248=Summary!B27)*('BW Summary'!$F$7:$F$248))</f>
        <v>0</v>
      </c>
      <c r="J27" s="63">
        <f t="shared" si="2"/>
        <v>7487548</v>
      </c>
      <c r="K27" s="201">
        <f t="shared" si="3"/>
        <v>0</v>
      </c>
      <c r="L27" s="14"/>
    </row>
    <row r="28" spans="2:12" ht="15.75" thickBot="1" x14ac:dyDescent="0.3">
      <c r="B28" s="69" t="s">
        <v>53</v>
      </c>
      <c r="C28" s="16" t="s">
        <v>54</v>
      </c>
      <c r="D28" s="16" t="s">
        <v>42</v>
      </c>
      <c r="E28" s="111">
        <f>SUMPRODUCT(('AOP24'!$E$2:$E$600=Summary!B28)*('AOP24'!$D$2:$D$600=$D$1)*('AOP24'!$S$2:$S$600))</f>
        <v>8486840</v>
      </c>
      <c r="F28" s="70" cm="1">
        <f t="array" ref="F28">SUMPRODUCT(('AOP24'!$E$2:$E$600=Summary!B28)*('AOP24'!$D$2:$D$600=$D$1)*('AOP24'!$U$2:$U$600))</f>
        <v>10658150</v>
      </c>
      <c r="G28" s="70">
        <f t="shared" si="1"/>
        <v>2171310</v>
      </c>
      <c r="H28" s="71">
        <f t="shared" si="0"/>
        <v>10658150</v>
      </c>
      <c r="I28" s="70">
        <f>SUMPRODUCT(('BW Summary'!$B$7:$B$248=Summary!B28)*('BW Summary'!$F$7:$F$248))</f>
        <v>0</v>
      </c>
      <c r="J28" s="200">
        <f t="shared" si="2"/>
        <v>10658150</v>
      </c>
      <c r="K28" s="204">
        <f t="shared" si="3"/>
        <v>0</v>
      </c>
      <c r="L28" s="17"/>
    </row>
    <row r="29" spans="2:12" ht="15.75" thickBot="1" x14ac:dyDescent="0.3"/>
    <row r="30" spans="2:12" ht="15.75" thickBot="1" x14ac:dyDescent="0.3">
      <c r="B30" s="46" t="s">
        <v>55</v>
      </c>
      <c r="C30" s="47"/>
      <c r="D30" s="47"/>
      <c r="E30" s="47"/>
      <c r="F30" s="47"/>
      <c r="G30" s="47"/>
      <c r="H30" s="47"/>
      <c r="I30" s="47"/>
      <c r="J30" s="47"/>
      <c r="K30" s="47"/>
      <c r="L30" s="12"/>
    </row>
    <row r="31" spans="2:12" x14ac:dyDescent="0.25">
      <c r="B31" s="10">
        <v>1</v>
      </c>
      <c r="C31" s="11"/>
      <c r="D31" s="11"/>
      <c r="E31" s="11"/>
      <c r="F31" s="11"/>
      <c r="G31" s="11"/>
      <c r="H31" s="11"/>
      <c r="I31" s="11"/>
      <c r="J31" s="11"/>
      <c r="K31" s="11"/>
      <c r="L31" s="12"/>
    </row>
    <row r="32" spans="2:12" x14ac:dyDescent="0.25">
      <c r="B32" s="13">
        <v>2</v>
      </c>
      <c r="L32" s="14"/>
    </row>
    <row r="33" spans="2:12" x14ac:dyDescent="0.25">
      <c r="B33" s="13">
        <v>3</v>
      </c>
      <c r="L33" s="14"/>
    </row>
    <row r="34" spans="2:12" x14ac:dyDescent="0.25">
      <c r="B34" s="13">
        <v>4</v>
      </c>
      <c r="L34" s="14"/>
    </row>
    <row r="35" spans="2:12" x14ac:dyDescent="0.25">
      <c r="B35" s="13">
        <v>5</v>
      </c>
      <c r="L35" s="14"/>
    </row>
    <row r="36" spans="2:12" x14ac:dyDescent="0.25">
      <c r="B36" s="13">
        <v>6</v>
      </c>
      <c r="L36" s="14"/>
    </row>
    <row r="37" spans="2:12" x14ac:dyDescent="0.25">
      <c r="B37" s="13">
        <v>7</v>
      </c>
      <c r="L37" s="14"/>
    </row>
    <row r="38" spans="2:12" x14ac:dyDescent="0.25">
      <c r="B38" s="13">
        <v>9</v>
      </c>
      <c r="L38" s="14"/>
    </row>
    <row r="39" spans="2:12" x14ac:dyDescent="0.25">
      <c r="B39" s="13">
        <v>10</v>
      </c>
      <c r="L39" s="14"/>
    </row>
    <row r="40" spans="2:12" ht="15.75" thickBot="1" x14ac:dyDescent="0.3">
      <c r="B40" s="205">
        <v>11</v>
      </c>
      <c r="C40" s="16"/>
      <c r="D40" s="16"/>
      <c r="E40" s="16"/>
      <c r="F40" s="16"/>
      <c r="G40" s="16"/>
      <c r="H40" s="16"/>
      <c r="I40" s="16"/>
      <c r="J40" s="16"/>
      <c r="K40" s="16"/>
      <c r="L40" s="17"/>
    </row>
  </sheetData>
  <conditionalFormatting sqref="C11:D11 C26:D28 C12:C23 D12:D25">
    <cfRule type="cellIs" dxfId="13" priority="8" operator="lessThan">
      <formula>0</formula>
    </cfRule>
  </conditionalFormatting>
  <conditionalFormatting sqref="J11:J20 J26:J28 J22:J23">
    <cfRule type="expression" dxfId="12" priority="6">
      <formula>IF(J11&lt;0,1)</formula>
    </cfRule>
    <cfRule type="expression" dxfId="11" priority="7">
      <formula>IF(J11&gt;0,1)</formula>
    </cfRule>
  </conditionalFormatting>
  <conditionalFormatting sqref="C24:C25">
    <cfRule type="cellIs" dxfId="10" priority="5" operator="lessThan">
      <formula>0</formula>
    </cfRule>
  </conditionalFormatting>
  <conditionalFormatting sqref="J24:J25">
    <cfRule type="expression" dxfId="9" priority="3">
      <formula>IF(J24&lt;0,1)</formula>
    </cfRule>
    <cfRule type="expression" dxfId="8" priority="4">
      <formula>IF(J24&gt;0,1)</formula>
    </cfRule>
  </conditionalFormatting>
  <conditionalFormatting sqref="J21">
    <cfRule type="expression" dxfId="7" priority="1">
      <formula>IF(J21&lt;0,1)</formula>
    </cfRule>
    <cfRule type="expression" dxfId="6" priority="2">
      <formula>IF(J21&gt;0,1)</formula>
    </cfRule>
  </conditionalFormatting>
  <pageMargins left="0.7" right="0.7" top="0.75" bottom="0.75" header="0.3" footer="0.3"/>
  <pageSetup paperSize="9" orientation="portrait" r:id="rId1"/>
  <customProperties>
    <customPr name="_pios_id" r:id="rId2"/>
    <customPr name="Epm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9218" r:id="rId6"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733E2-B547-4655-8AD5-ED79E26CDAE7}">
  <sheetPr codeName="Sheet11"/>
  <dimension ref="B1:U32"/>
  <sheetViews>
    <sheetView showGridLines="0" topLeftCell="A4" zoomScale="70" zoomScaleNormal="70" workbookViewId="0">
      <selection activeCell="J26" sqref="J26:L26"/>
    </sheetView>
  </sheetViews>
  <sheetFormatPr defaultRowHeight="15" x14ac:dyDescent="0.25"/>
  <cols>
    <col min="1" max="1" width="12.5703125" customWidth="1"/>
    <col min="2" max="2" width="11.42578125" customWidth="1"/>
    <col min="3" max="3" width="20.42578125" bestFit="1" customWidth="1"/>
    <col min="4" max="4" width="13.5703125" bestFit="1" customWidth="1"/>
    <col min="5" max="5" width="12.5703125" bestFit="1" customWidth="1"/>
    <col min="6" max="6" width="14.5703125" bestFit="1" customWidth="1"/>
    <col min="7" max="7" width="15.42578125" bestFit="1" customWidth="1"/>
    <col min="8" max="8" width="4.42578125" customWidth="1"/>
    <col min="10" max="10" width="11.5703125" customWidth="1"/>
    <col min="11" max="11" width="11.42578125" customWidth="1"/>
    <col min="12" max="12" width="10.42578125" customWidth="1"/>
    <col min="13" max="13" width="10.42578125" bestFit="1" customWidth="1"/>
    <col min="14" max="14" width="11.5703125" bestFit="1" customWidth="1"/>
    <col min="15" max="21" width="10.42578125" bestFit="1" customWidth="1"/>
  </cols>
  <sheetData>
    <row r="1" spans="2:21" x14ac:dyDescent="0.25">
      <c r="E1" s="167">
        <v>68427709</v>
      </c>
    </row>
    <row r="2" spans="2:21" x14ac:dyDescent="0.25">
      <c r="B2" t="s">
        <v>0</v>
      </c>
      <c r="D2" s="42">
        <f ca="1">NOW()</f>
        <v>45603.558958564812</v>
      </c>
    </row>
    <row r="3" spans="2:21" x14ac:dyDescent="0.25">
      <c r="B3" t="s">
        <v>1</v>
      </c>
      <c r="D3">
        <f>Summary!D3</f>
        <v>12</v>
      </c>
    </row>
    <row r="4" spans="2:21" ht="15.75" thickBot="1" x14ac:dyDescent="0.3"/>
    <row r="5" spans="2:21" ht="15.75" thickBot="1" x14ac:dyDescent="0.3">
      <c r="B5" s="43" t="s">
        <v>2</v>
      </c>
      <c r="C5" s="44"/>
      <c r="D5" s="44"/>
      <c r="E5" s="44"/>
      <c r="F5" s="44"/>
      <c r="G5" s="45"/>
    </row>
    <row r="6" spans="2:21" x14ac:dyDescent="0.25">
      <c r="B6" s="46"/>
      <c r="C6" s="47"/>
      <c r="D6" s="48" t="s">
        <v>3</v>
      </c>
      <c r="E6" s="48" t="s">
        <v>5</v>
      </c>
      <c r="F6" s="48" t="s">
        <v>6</v>
      </c>
      <c r="G6" s="49" t="s">
        <v>7</v>
      </c>
      <c r="J6" s="10"/>
      <c r="K6" s="11"/>
      <c r="L6" s="11"/>
      <c r="M6" s="11"/>
      <c r="N6" s="11"/>
      <c r="O6" s="11"/>
      <c r="P6" s="11"/>
      <c r="Q6" s="11"/>
      <c r="R6" s="11"/>
      <c r="S6" s="11"/>
      <c r="T6" s="11"/>
      <c r="U6" s="12"/>
    </row>
    <row r="7" spans="2:21" ht="15.75" thickBot="1" x14ac:dyDescent="0.3">
      <c r="B7" s="50" t="s">
        <v>10</v>
      </c>
      <c r="C7" s="51" t="s">
        <v>11</v>
      </c>
      <c r="D7" s="52">
        <f>Summary!F7</f>
        <v>2024</v>
      </c>
      <c r="E7" s="52" t="str">
        <f>ShowMonthName(D3)</f>
        <v>December</v>
      </c>
      <c r="F7" s="52"/>
      <c r="G7" s="53"/>
      <c r="J7" s="50">
        <v>1</v>
      </c>
      <c r="K7" s="51">
        <v>2</v>
      </c>
      <c r="L7" s="51">
        <v>3</v>
      </c>
      <c r="M7" s="51">
        <v>4</v>
      </c>
      <c r="N7" s="51">
        <v>5</v>
      </c>
      <c r="O7" s="51">
        <v>6</v>
      </c>
      <c r="P7" s="51">
        <v>7</v>
      </c>
      <c r="Q7" s="51">
        <v>8</v>
      </c>
      <c r="R7" s="51">
        <v>9</v>
      </c>
      <c r="S7" s="51">
        <v>10</v>
      </c>
      <c r="T7" s="51">
        <v>11</v>
      </c>
      <c r="U7" s="147">
        <v>12</v>
      </c>
    </row>
    <row r="8" spans="2:21" ht="15.75" thickBot="1" x14ac:dyDescent="0.3">
      <c r="B8" s="9"/>
      <c r="C8" s="9"/>
      <c r="D8" s="9"/>
      <c r="E8" s="9"/>
      <c r="F8" s="9"/>
      <c r="G8" s="9"/>
    </row>
    <row r="9" spans="2:21" ht="15.75" thickBot="1" x14ac:dyDescent="0.3">
      <c r="B9" s="55" t="s">
        <v>12</v>
      </c>
      <c r="C9" s="56"/>
      <c r="D9" s="57">
        <f>SUM(D10:D28)</f>
        <v>53441122</v>
      </c>
      <c r="E9" s="57">
        <f>(D9/12)*$D$3</f>
        <v>53441122</v>
      </c>
      <c r="F9" s="57">
        <f>SUM(F10:F28)</f>
        <v>0</v>
      </c>
      <c r="G9" s="58">
        <f>E9-F9</f>
        <v>53441122</v>
      </c>
      <c r="J9" s="148">
        <f>SUM(J10:J28)</f>
        <v>0</v>
      </c>
      <c r="K9" s="149">
        <f t="shared" ref="K9:U9" si="0">SUM(K10:K28)</f>
        <v>0</v>
      </c>
      <c r="L9" s="149">
        <f t="shared" si="0"/>
        <v>0</v>
      </c>
      <c r="M9" s="149">
        <f t="shared" si="0"/>
        <v>0</v>
      </c>
      <c r="N9" s="149">
        <f t="shared" si="0"/>
        <v>0</v>
      </c>
      <c r="O9" s="149">
        <f t="shared" si="0"/>
        <v>0</v>
      </c>
      <c r="P9" s="149">
        <f t="shared" si="0"/>
        <v>0</v>
      </c>
      <c r="Q9" s="149">
        <f t="shared" si="0"/>
        <v>0</v>
      </c>
      <c r="R9" s="149">
        <f t="shared" si="0"/>
        <v>0</v>
      </c>
      <c r="S9" s="149">
        <f t="shared" si="0"/>
        <v>0</v>
      </c>
      <c r="T9" s="149">
        <f t="shared" si="0"/>
        <v>0</v>
      </c>
      <c r="U9" s="150">
        <f t="shared" si="0"/>
        <v>0</v>
      </c>
    </row>
    <row r="10" spans="2:21" x14ac:dyDescent="0.25">
      <c r="B10" s="46"/>
      <c r="C10" s="47"/>
      <c r="D10" s="47"/>
      <c r="E10" s="47"/>
      <c r="F10" s="47"/>
      <c r="G10" s="59"/>
      <c r="J10" s="115"/>
      <c r="K10" s="109"/>
      <c r="L10" s="109"/>
      <c r="M10" s="109"/>
      <c r="N10" s="109"/>
      <c r="O10" s="109"/>
      <c r="P10" s="109"/>
      <c r="Q10" s="109"/>
      <c r="R10" s="109"/>
      <c r="S10" s="109"/>
      <c r="T10" s="109"/>
      <c r="U10" s="151"/>
    </row>
    <row r="11" spans="2:21" x14ac:dyDescent="0.25">
      <c r="B11" s="60" t="s">
        <v>14</v>
      </c>
      <c r="C11" t="s">
        <v>15</v>
      </c>
      <c r="D11" s="61" cm="1">
        <f t="array" ref="D11">SUMPRODUCT(('AOP24'!$E$2:$E$600=Summary!B11)*('AOP24'!$D$2:$D$600=$E$1)*('AOP24'!$U$2:$U$600))</f>
        <v>302000</v>
      </c>
      <c r="E11" s="62">
        <f t="shared" ref="E11:E28" si="1">(D11/12)*$D$3</f>
        <v>302000</v>
      </c>
      <c r="F11" s="61">
        <f>SUMPRODUCT(('BW Summary'!$B$7:$B$494=LE!B11)*('BW Summary'!$F$7:$F$494))</f>
        <v>0</v>
      </c>
      <c r="G11" s="63">
        <f>E11-F11</f>
        <v>302000</v>
      </c>
      <c r="J11" s="172">
        <f>SUMPRODUCT(('BW Summary'!$B$7:$B$494=LE!$B11)*('BW Summary'!$G$7:$G$494))</f>
        <v>0</v>
      </c>
      <c r="K11" s="173">
        <f>SUMPRODUCT(('BW Summary'!$B$7:$B$494=LE!$B11)*('BW Summary'!$H$7:$H$494))</f>
        <v>0</v>
      </c>
      <c r="L11" s="173">
        <f>SUMPRODUCT(('BW Summary'!$B$7:$B$494=LE!$B11)*('BW Summary'!$I$7:$I$494))</f>
        <v>0</v>
      </c>
      <c r="M11" s="173">
        <f>SUMPRODUCT(('BW Summary'!$B$7:$B$494=LE!$B11)*('BW Summary'!$J$7:$J$494))</f>
        <v>0</v>
      </c>
      <c r="N11" s="173">
        <f>SUMPRODUCT(('BW Summary'!$B$7:$B$494=LE!$B11)*('BW Summary'!$K$7:$K$494))</f>
        <v>0</v>
      </c>
      <c r="O11" s="173">
        <f>SUMPRODUCT(('BW Summary'!$B$7:$B$494=LE!$B11)*('BW Summary'!$L$7:$L$494))</f>
        <v>0</v>
      </c>
      <c r="P11" s="173" cm="1">
        <f t="array" ref="P11">SUMPRODUCT(('BW Summary'!$B$7:$B$494=LE!$B11)*('BW Summary'!$M$7:$M$494))</f>
        <v>0</v>
      </c>
      <c r="Q11" s="109" cm="1">
        <f t="array" ref="Q11">SUMPRODUCT(('BW Summary'!$B$7:$B$494=LE!$B11)*('BW Summary'!$N$7:$N$494))</f>
        <v>0</v>
      </c>
      <c r="R11" s="109" cm="1">
        <f t="array" ref="R11">SUMPRODUCT(('BW Summary'!$B$7:$B$494=LE!$B11)*('BW Summary'!$O$7:$O$494))</f>
        <v>0</v>
      </c>
      <c r="S11" s="109" cm="1">
        <f t="array" ref="S11">SUMPRODUCT(('BW Summary'!$B$7:$B$494=LE!$B11)*('BW Summary'!$P$7:$P$494))</f>
        <v>0</v>
      </c>
      <c r="T11" s="109" cm="1">
        <f t="array" ref="T11">SUMPRODUCT(('BW Summary'!$B$7:$B$494=LE!$B11)*('BW Summary'!$Q$7:$Q$494))</f>
        <v>0</v>
      </c>
      <c r="U11" s="151" cm="1">
        <f t="array" ref="U11">SUMPRODUCT(('BW Summary'!$B$7:$B$494=LE!$B11)*('BW Summary'!$R$7:$R$494))</f>
        <v>0</v>
      </c>
    </row>
    <row r="12" spans="2:21" x14ac:dyDescent="0.25">
      <c r="B12" s="60" t="s">
        <v>17</v>
      </c>
      <c r="C12" t="s">
        <v>18</v>
      </c>
      <c r="D12" s="61" cm="1">
        <f t="array" ref="D12">SUMPRODUCT(('AOP24'!$E$2:$E$600=Summary!B12)*('AOP24'!$D$2:$D$600=$E$1)*('AOP24'!$U$2:$U$600))</f>
        <v>0</v>
      </c>
      <c r="E12" s="62">
        <f t="shared" si="1"/>
        <v>0</v>
      </c>
      <c r="F12" s="61">
        <f>SUMPRODUCT(('BW Summary'!$B$7:$B$494=LE!B12)*('BW Summary'!$F$7:$F$494))</f>
        <v>0</v>
      </c>
      <c r="G12" s="63">
        <f t="shared" ref="G12:G28" si="2">E12-F12</f>
        <v>0</v>
      </c>
      <c r="J12" s="115">
        <f>SUMPRODUCT(('BW Summary'!$B$7:$B$494=LE!$B12)*('BW Summary'!$G$7:$G$494))</f>
        <v>0</v>
      </c>
      <c r="K12" s="109">
        <f>SUMPRODUCT(('BW Summary'!$B$7:$B$494=LE!$B12)*('BW Summary'!$H$7:$H$494))</f>
        <v>0</v>
      </c>
      <c r="L12" s="109">
        <f>SUMPRODUCT(('BW Summary'!$B$7:$B$494=LE!$B12)*('BW Summary'!$I$7:$I$494))</f>
        <v>0</v>
      </c>
      <c r="M12" s="109">
        <f>SUMPRODUCT(('BW Summary'!$B$7:$B$494=LE!$B12)*('BW Summary'!$J$7:$J$494))</f>
        <v>0</v>
      </c>
      <c r="N12" s="109">
        <f>SUMPRODUCT(('BW Summary'!$B$7:$B$494=LE!$B12)*('BW Summary'!$K$7:$K$494))</f>
        <v>0</v>
      </c>
      <c r="O12" s="109">
        <f>SUMPRODUCT(('BW Summary'!$B$7:$B$494=LE!$B12)*('BW Summary'!$L$7:$L$494))</f>
        <v>0</v>
      </c>
      <c r="P12" s="109" cm="1">
        <f t="array" ref="P12">SUMPRODUCT(('BW Summary'!$B$7:$B$494=LE!$B12)*('BW Summary'!$M$7:$M$494))</f>
        <v>0</v>
      </c>
      <c r="Q12" s="109" cm="1">
        <f t="array" ref="Q12">SUMPRODUCT(('BW Summary'!$B$7:$B$494=LE!$B12)*('BW Summary'!$N$7:$N$494))</f>
        <v>0</v>
      </c>
      <c r="R12" s="109" cm="1">
        <f t="array" ref="R12">SUMPRODUCT(('BW Summary'!$B$7:$B$494=LE!$B12)*('BW Summary'!$O$7:$O$494))</f>
        <v>0</v>
      </c>
      <c r="S12" s="109" cm="1">
        <f t="array" ref="S12">SUMPRODUCT(('BW Summary'!$B$7:$B$494=LE!$B12)*('BW Summary'!$P$7:$P$494))</f>
        <v>0</v>
      </c>
      <c r="T12" s="109" cm="1">
        <f t="array" ref="T12">SUMPRODUCT(('BW Summary'!$B$7:$B$494=LE!$B12)*('BW Summary'!$Q$7:$Q$494))</f>
        <v>0</v>
      </c>
      <c r="U12" s="151" cm="1">
        <f t="array" ref="U12">SUMPRODUCT(('BW Summary'!$B$7:$B$494=LE!$B12)*('BW Summary'!$R$7:$R$494))</f>
        <v>0</v>
      </c>
    </row>
    <row r="13" spans="2:21" x14ac:dyDescent="0.25">
      <c r="B13" s="60" t="s">
        <v>19</v>
      </c>
      <c r="C13" t="s">
        <v>20</v>
      </c>
      <c r="D13" s="61" cm="1">
        <f t="array" ref="D13">SUMPRODUCT(('AOP24'!$E$2:$E$600=Summary!B13)*('AOP24'!$D$2:$D$600=$E$1)*('AOP24'!$U$2:$U$600))</f>
        <v>8364800</v>
      </c>
      <c r="E13" s="62">
        <f t="shared" si="1"/>
        <v>8364800</v>
      </c>
      <c r="F13" s="61">
        <f>SUMPRODUCT(('BW Summary'!$B$7:$B$494=LE!B13)*('BW Summary'!$F$7:$F$494))</f>
        <v>0</v>
      </c>
      <c r="G13" s="63">
        <f>E13-F13</f>
        <v>8364800</v>
      </c>
      <c r="J13" s="115">
        <f>SUMPRODUCT(('BW Summary'!$B$7:$B$494=LE!$B13)*('BW Summary'!$G$7:$G$494))</f>
        <v>0</v>
      </c>
      <c r="K13" s="109">
        <f>SUMPRODUCT(('BW Summary'!$B$7:$B$494=LE!$B13)*('BW Summary'!$H$7:$H$494))</f>
        <v>0</v>
      </c>
      <c r="L13" s="109">
        <f>SUMPRODUCT(('BW Summary'!$B$7:$B$494=LE!$B13)*('BW Summary'!$I$7:$I$494))</f>
        <v>0</v>
      </c>
      <c r="M13" s="109">
        <f>SUMPRODUCT(('BW Summary'!$B$7:$B$494=LE!$B13)*('BW Summary'!$J$7:$J$494))</f>
        <v>0</v>
      </c>
      <c r="N13" s="109">
        <f>SUMPRODUCT(('BW Summary'!$B$7:$B$494=LE!$B13)*('BW Summary'!$K$7:$K$494))</f>
        <v>0</v>
      </c>
      <c r="O13" s="109">
        <f>SUMPRODUCT(('BW Summary'!$B$7:$B$494=LE!$B13)*('BW Summary'!$L$7:$L$494))</f>
        <v>0</v>
      </c>
      <c r="P13" s="109" cm="1">
        <f t="array" ref="P13">SUMPRODUCT(('BW Summary'!$B$7:$B$494=LE!$B13)*('BW Summary'!$M$7:$M$494))</f>
        <v>0</v>
      </c>
      <c r="Q13" s="109" cm="1">
        <f t="array" ref="Q13">SUMPRODUCT(('BW Summary'!$B$7:$B$494=LE!$B13)*('BW Summary'!$N$7:$N$494))</f>
        <v>0</v>
      </c>
      <c r="R13" s="109" cm="1">
        <f t="array" ref="R13">SUMPRODUCT(('BW Summary'!$B$7:$B$494=LE!$B13)*('BW Summary'!$O$7:$O$494))</f>
        <v>0</v>
      </c>
      <c r="S13" s="109" cm="1">
        <f t="array" ref="S13">SUMPRODUCT(('BW Summary'!$B$7:$B$494=LE!$B13)*('BW Summary'!$P$7:$P$494))</f>
        <v>0</v>
      </c>
      <c r="T13" s="109" cm="1">
        <f t="array" ref="T13">SUMPRODUCT(('BW Summary'!$B$7:$B$494=LE!$B13)*('BW Summary'!$Q$7:$Q$494))</f>
        <v>0</v>
      </c>
      <c r="U13" s="151" cm="1">
        <f t="array" ref="U13">SUMPRODUCT(('BW Summary'!$B$7:$B$494=LE!$B13)*('BW Summary'!$R$7:$R$494))</f>
        <v>0</v>
      </c>
    </row>
    <row r="14" spans="2:21" x14ac:dyDescent="0.25">
      <c r="B14" s="66" t="s">
        <v>21</v>
      </c>
      <c r="C14" t="s">
        <v>56</v>
      </c>
      <c r="D14" s="61" cm="1">
        <f t="array" ref="D14">SUMPRODUCT(('AOP24'!$E$2:$E$600=Summary!B14)*('AOP24'!$D$2:$D$600=$E$1)*('AOP24'!$U$2:$U$600))</f>
        <v>6946700</v>
      </c>
      <c r="E14" s="62">
        <f t="shared" si="1"/>
        <v>6946700</v>
      </c>
      <c r="F14" s="61">
        <f>SUMPRODUCT(('BW Summary'!$B$7:$B$494=LE!B14)*('BW Summary'!$F$7:$F$494))</f>
        <v>0</v>
      </c>
      <c r="G14" s="63">
        <f t="shared" si="2"/>
        <v>6946700</v>
      </c>
      <c r="J14" s="115">
        <f>SUMPRODUCT(('BW Summary'!$B$7:$B$494=LE!$B14)*('BW Summary'!$G$7:$G$494))</f>
        <v>0</v>
      </c>
      <c r="K14" s="109">
        <f>SUMPRODUCT(('BW Summary'!$B$7:$B$494=LE!$B14)*('BW Summary'!$H$7:$H$494))</f>
        <v>0</v>
      </c>
      <c r="L14" s="109">
        <f>SUMPRODUCT(('BW Summary'!$B$7:$B$494=LE!$B14)*('BW Summary'!$I$7:$I$494))</f>
        <v>0</v>
      </c>
      <c r="M14" s="109">
        <f>SUMPRODUCT(('BW Summary'!$B$7:$B$494=LE!$B14)*('BW Summary'!$J$7:$J$494))</f>
        <v>0</v>
      </c>
      <c r="N14" s="109">
        <f>SUMPRODUCT(('BW Summary'!$B$7:$B$494=LE!$B14)*('BW Summary'!$K$7:$K$494))</f>
        <v>0</v>
      </c>
      <c r="O14" s="109">
        <f>SUMPRODUCT(('BW Summary'!$B$7:$B$494=LE!$B14)*('BW Summary'!$L$7:$L$494))</f>
        <v>0</v>
      </c>
      <c r="P14" s="109" cm="1">
        <f t="array" ref="P14">SUMPRODUCT(('BW Summary'!$B$7:$B$494=LE!$B14)*('BW Summary'!$M$7:$M$494))</f>
        <v>0</v>
      </c>
      <c r="Q14" s="109" cm="1">
        <f t="array" ref="Q14">SUMPRODUCT(('BW Summary'!$B$7:$B$494=LE!$B14)*('BW Summary'!$N$7:$N$494))</f>
        <v>0</v>
      </c>
      <c r="R14" s="109" cm="1">
        <f t="array" ref="R14">SUMPRODUCT(('BW Summary'!$B$7:$B$494=LE!$B14)*('BW Summary'!$O$7:$O$494))</f>
        <v>0</v>
      </c>
      <c r="S14" s="109" cm="1">
        <f t="array" ref="S14">SUMPRODUCT(('BW Summary'!$B$7:$B$494=LE!$B14)*('BW Summary'!$P$7:$P$494))</f>
        <v>0</v>
      </c>
      <c r="T14" s="109" cm="1">
        <f t="array" ref="T14">SUMPRODUCT(('BW Summary'!$B$7:$B$494=LE!$B14)*('BW Summary'!$Q$7:$Q$494))</f>
        <v>0</v>
      </c>
      <c r="U14" s="151" cm="1">
        <f t="array" ref="U14">SUMPRODUCT(('BW Summary'!$B$7:$B$494=LE!$B14)*('BW Summary'!$R$7:$R$494))</f>
        <v>0</v>
      </c>
    </row>
    <row r="15" spans="2:21" x14ac:dyDescent="0.25">
      <c r="B15" s="66" t="s">
        <v>24</v>
      </c>
      <c r="C15" t="s">
        <v>25</v>
      </c>
      <c r="D15" s="61" cm="1">
        <f t="array" ref="D15">SUMPRODUCT(('AOP24'!$E$2:$E$600=Summary!B15)*('AOP24'!$D$2:$D$600=$E$1)*('AOP24'!$U$2:$U$600))</f>
        <v>0</v>
      </c>
      <c r="E15" s="62">
        <f t="shared" si="1"/>
        <v>0</v>
      </c>
      <c r="F15" s="61">
        <f>SUMPRODUCT(('BW Summary'!$B$7:$B$494=LE!B15)*('BW Summary'!$F$7:$F$494))</f>
        <v>0</v>
      </c>
      <c r="G15" s="63">
        <f t="shared" si="2"/>
        <v>0</v>
      </c>
      <c r="J15" s="115">
        <f>SUMPRODUCT(('BW Summary'!$B$7:$B$494=LE!$B15)*('BW Summary'!$G$7:$G$494))</f>
        <v>0</v>
      </c>
      <c r="K15" s="109">
        <f>SUMPRODUCT(('BW Summary'!$B$7:$B$494=LE!$B15)*('BW Summary'!$H$7:$H$494))</f>
        <v>0</v>
      </c>
      <c r="L15" s="109">
        <f>SUMPRODUCT(('BW Summary'!$B$7:$B$494=LE!$B15)*('BW Summary'!$I$7:$I$494))</f>
        <v>0</v>
      </c>
      <c r="M15" s="109">
        <f>SUMPRODUCT(('BW Summary'!$B$7:$B$494=LE!$B15)*('BW Summary'!$J$7:$J$494))</f>
        <v>0</v>
      </c>
      <c r="N15" s="109">
        <f>SUMPRODUCT(('BW Summary'!$B$7:$B$494=LE!$B15)*('BW Summary'!$K$7:$K$494))</f>
        <v>0</v>
      </c>
      <c r="O15" s="109">
        <f>SUMPRODUCT(('BW Summary'!$B$7:$B$494=LE!$B15)*('BW Summary'!$L$7:$L$494))</f>
        <v>0</v>
      </c>
      <c r="P15" s="109" cm="1">
        <f t="array" ref="P15">SUMPRODUCT(('BW Summary'!$B$7:$B$494=LE!$B15)*('BW Summary'!$M$7:$M$494))</f>
        <v>0</v>
      </c>
      <c r="Q15" s="109" cm="1">
        <f t="array" ref="Q15">SUMPRODUCT(('BW Summary'!$B$7:$B$494=LE!$B15)*('BW Summary'!$N$7:$N$494))</f>
        <v>0</v>
      </c>
      <c r="R15" s="109" cm="1">
        <f t="array" ref="R15">SUMPRODUCT(('BW Summary'!$B$7:$B$494=LE!$B15)*('BW Summary'!$O$7:$O$494))</f>
        <v>0</v>
      </c>
      <c r="S15" s="109" cm="1">
        <f t="array" ref="S15">SUMPRODUCT(('BW Summary'!$B$7:$B$494=LE!$B15)*('BW Summary'!$P$7:$P$494))</f>
        <v>0</v>
      </c>
      <c r="T15" s="109" cm="1">
        <f t="array" ref="T15">SUMPRODUCT(('BW Summary'!$B$7:$B$494=LE!$B15)*('BW Summary'!$Q$7:$Q$494))</f>
        <v>0</v>
      </c>
      <c r="U15" s="151" cm="1">
        <f t="array" ref="U15">SUMPRODUCT(('BW Summary'!$B$7:$B$494=LE!$B15)*('BW Summary'!$R$7:$R$494))</f>
        <v>0</v>
      </c>
    </row>
    <row r="16" spans="2:21" x14ac:dyDescent="0.25">
      <c r="B16" s="66" t="s">
        <v>26</v>
      </c>
      <c r="C16" t="s">
        <v>27</v>
      </c>
      <c r="D16" s="61" cm="1">
        <f t="array" ref="D16">SUMPRODUCT(('AOP24'!$E$2:$E$600=Summary!B16)*('AOP24'!$D$2:$D$600=$E$1)*('AOP24'!$U$2:$U$600))</f>
        <v>599960</v>
      </c>
      <c r="E16" s="62">
        <f t="shared" si="1"/>
        <v>599960</v>
      </c>
      <c r="F16" s="61">
        <f>SUMPRODUCT(('BW Summary'!$B$7:$B$494=LE!B16)*('BW Summary'!$F$7:$F$494))</f>
        <v>0</v>
      </c>
      <c r="G16" s="63">
        <f t="shared" si="2"/>
        <v>599960</v>
      </c>
      <c r="J16" s="115">
        <f>SUMPRODUCT(('BW Summary'!$B$7:$B$494=LE!$B16)*('BW Summary'!$G$7:$G$494))</f>
        <v>0</v>
      </c>
      <c r="K16" s="109">
        <f>SUMPRODUCT(('BW Summary'!$B$7:$B$494=LE!$B16)*('BW Summary'!$H$7:$H$494))</f>
        <v>0</v>
      </c>
      <c r="L16" s="109">
        <f>SUMPRODUCT(('BW Summary'!$B$7:$B$494=LE!$B16)*('BW Summary'!$I$7:$I$494))</f>
        <v>0</v>
      </c>
      <c r="M16" s="109">
        <f>SUMPRODUCT(('BW Summary'!$B$7:$B$494=LE!$B16)*('BW Summary'!$J$7:$J$494))</f>
        <v>0</v>
      </c>
      <c r="N16" s="109">
        <f>SUMPRODUCT(('BW Summary'!$B$7:$B$494=LE!$B16)*('BW Summary'!$K$7:$K$494))</f>
        <v>0</v>
      </c>
      <c r="O16" s="109">
        <f>SUMPRODUCT(('BW Summary'!$B$7:$B$494=LE!$B16)*('BW Summary'!$L$7:$L$494))</f>
        <v>0</v>
      </c>
      <c r="P16" s="109" cm="1">
        <f t="array" ref="P16">SUMPRODUCT(('BW Summary'!$B$7:$B$494=LE!$B16)*('BW Summary'!$M$7:$M$494))</f>
        <v>0</v>
      </c>
      <c r="Q16" s="109" cm="1">
        <f t="array" ref="Q16">SUMPRODUCT(('BW Summary'!$B$7:$B$494=LE!$B16)*('BW Summary'!$N$7:$N$494))</f>
        <v>0</v>
      </c>
      <c r="R16" s="109" cm="1">
        <f t="array" ref="R16">SUMPRODUCT(('BW Summary'!$B$7:$B$494=LE!$B16)*('BW Summary'!$O$7:$O$494))</f>
        <v>0</v>
      </c>
      <c r="S16" s="109" cm="1">
        <f t="array" ref="S16">SUMPRODUCT(('BW Summary'!$B$7:$B$494=LE!$B16)*('BW Summary'!$P$7:$P$494))</f>
        <v>0</v>
      </c>
      <c r="T16" s="109" cm="1">
        <f t="array" ref="T16">SUMPRODUCT(('BW Summary'!$B$7:$B$494=LE!$B16)*('BW Summary'!$Q$7:$Q$494))</f>
        <v>0</v>
      </c>
      <c r="U16" s="151" cm="1">
        <f t="array" ref="U16">SUMPRODUCT(('BW Summary'!$B$7:$B$494=LE!$B16)*('BW Summary'!$R$7:$R$494))</f>
        <v>0</v>
      </c>
    </row>
    <row r="17" spans="2:21" x14ac:dyDescent="0.25">
      <c r="B17" s="67" t="s">
        <v>29</v>
      </c>
      <c r="C17" t="s">
        <v>30</v>
      </c>
      <c r="D17" s="61" cm="1">
        <f t="array" ref="D17">SUMPRODUCT(('AOP24'!$E$2:$E$600=Summary!B17)*('AOP24'!$D$2:$D$600=$E$1)*('AOP24'!$U$2:$U$600))</f>
        <v>2260000</v>
      </c>
      <c r="E17" s="62">
        <f t="shared" si="1"/>
        <v>2260000</v>
      </c>
      <c r="F17" s="61">
        <f>SUMPRODUCT(('BW Summary'!$B$7:$B$494=LE!B17)*('BW Summary'!$F$7:$F$494))</f>
        <v>0</v>
      </c>
      <c r="G17" s="63">
        <f t="shared" si="2"/>
        <v>2260000</v>
      </c>
      <c r="J17" s="115">
        <f>SUMPRODUCT(('BW Summary'!$B$7:$B$494=LE!$B17)*('BW Summary'!$G$7:$G$494))</f>
        <v>0</v>
      </c>
      <c r="K17" s="109">
        <f>SUMPRODUCT(('BW Summary'!$B$7:$B$494=LE!$B17)*('BW Summary'!$H$7:$H$494))</f>
        <v>0</v>
      </c>
      <c r="L17" s="109">
        <f>SUMPRODUCT(('BW Summary'!$B$7:$B$494=LE!$B17)*('BW Summary'!$I$7:$I$494))</f>
        <v>0</v>
      </c>
      <c r="M17" s="109">
        <f>SUMPRODUCT(('BW Summary'!$B$7:$B$494=LE!$B17)*('BW Summary'!$J$7:$J$494))</f>
        <v>0</v>
      </c>
      <c r="N17" s="109">
        <f>SUMPRODUCT(('BW Summary'!$B$7:$B$494=LE!$B17)*('BW Summary'!$K$7:$K$494))</f>
        <v>0</v>
      </c>
      <c r="O17" s="109">
        <f>SUMPRODUCT(('BW Summary'!$B$7:$B$494=LE!$B17)*('BW Summary'!$L$7:$L$494))</f>
        <v>0</v>
      </c>
      <c r="P17" s="109" cm="1">
        <f t="array" ref="P17">SUMPRODUCT(('BW Summary'!$B$7:$B$494=LE!$B17)*('BW Summary'!$M$7:$M$494))</f>
        <v>0</v>
      </c>
      <c r="Q17" s="109" cm="1">
        <f t="array" ref="Q17">SUMPRODUCT(('BW Summary'!$B$7:$B$494=LE!$B17)*('BW Summary'!$N$7:$N$494))</f>
        <v>0</v>
      </c>
      <c r="R17" s="109" cm="1">
        <f t="array" ref="R17">SUMPRODUCT(('BW Summary'!$B$7:$B$494=LE!$B17)*('BW Summary'!$O$7:$O$494))</f>
        <v>0</v>
      </c>
      <c r="S17" s="109" cm="1">
        <f t="array" ref="S17">SUMPRODUCT(('BW Summary'!$B$7:$B$494=LE!$B17)*('BW Summary'!$P$7:$P$494))</f>
        <v>0</v>
      </c>
      <c r="T17" s="109" cm="1">
        <f t="array" ref="T17">SUMPRODUCT(('BW Summary'!$B$7:$B$494=LE!$B17)*('BW Summary'!$Q$7:$Q$494))</f>
        <v>0</v>
      </c>
      <c r="U17" s="151" cm="1">
        <f t="array" ref="U17">SUMPRODUCT(('BW Summary'!$B$7:$B$494=LE!$B17)*('BW Summary'!$R$7:$R$494))</f>
        <v>0</v>
      </c>
    </row>
    <row r="18" spans="2:21" x14ac:dyDescent="0.25">
      <c r="B18" s="67" t="s">
        <v>32</v>
      </c>
      <c r="C18" t="s">
        <v>33</v>
      </c>
      <c r="D18" s="61" cm="1">
        <f t="array" ref="D18">SUMPRODUCT(('AOP24'!$E$2:$E$600=Summary!B18)*('AOP24'!$D$2:$D$600=$E$1)*('AOP24'!$U$2:$U$600))</f>
        <v>0</v>
      </c>
      <c r="E18" s="62">
        <f t="shared" si="1"/>
        <v>0</v>
      </c>
      <c r="F18" s="61">
        <f>SUMPRODUCT(('BW Summary'!$B$7:$B$494=LE!B18)*('BW Summary'!$F$7:$F$494))</f>
        <v>0</v>
      </c>
      <c r="G18" s="63">
        <f t="shared" si="2"/>
        <v>0</v>
      </c>
      <c r="J18" s="115">
        <f>SUMPRODUCT(('BW Summary'!$B$7:$B$494=LE!$B18)*('BW Summary'!$G$7:$G$494))</f>
        <v>0</v>
      </c>
      <c r="K18" s="109">
        <f>SUMPRODUCT(('BW Summary'!$B$7:$B$494=LE!$B18)*('BW Summary'!$H$7:$H$494))</f>
        <v>0</v>
      </c>
      <c r="L18" s="109">
        <f>SUMPRODUCT(('BW Summary'!$B$7:$B$494=LE!$B18)*('BW Summary'!$I$7:$I$494))</f>
        <v>0</v>
      </c>
      <c r="M18" s="109">
        <f>SUMPRODUCT(('BW Summary'!$B$7:$B$494=LE!$B18)*('BW Summary'!$J$7:$J$494))</f>
        <v>0</v>
      </c>
      <c r="N18" s="109">
        <f>SUMPRODUCT(('BW Summary'!$B$7:$B$494=LE!$B18)*('BW Summary'!$K$7:$K$494))</f>
        <v>0</v>
      </c>
      <c r="O18" s="109">
        <f>SUMPRODUCT(('BW Summary'!$B$7:$B$494=LE!$B18)*('BW Summary'!$L$7:$L$494))</f>
        <v>0</v>
      </c>
      <c r="P18" s="109" cm="1">
        <f t="array" ref="P18">SUMPRODUCT(('BW Summary'!$B$7:$B$494=LE!$B18)*('BW Summary'!$M$7:$M$494))</f>
        <v>0</v>
      </c>
      <c r="Q18" s="109" cm="1">
        <f t="array" ref="Q18">SUMPRODUCT(('BW Summary'!$B$7:$B$494=LE!$B18)*('BW Summary'!$N$7:$N$494))</f>
        <v>0</v>
      </c>
      <c r="R18" s="109" cm="1">
        <f t="array" ref="R18">SUMPRODUCT(('BW Summary'!$B$7:$B$494=LE!$B18)*('BW Summary'!$O$7:$O$494))</f>
        <v>0</v>
      </c>
      <c r="S18" s="109" cm="1">
        <f t="array" ref="S18">SUMPRODUCT(('BW Summary'!$B$7:$B$494=LE!$B18)*('BW Summary'!$P$7:$P$494))</f>
        <v>0</v>
      </c>
      <c r="T18" s="109" cm="1">
        <f t="array" ref="T18">SUMPRODUCT(('BW Summary'!$B$7:$B$494=LE!$B18)*('BW Summary'!$Q$7:$Q$494))</f>
        <v>0</v>
      </c>
      <c r="U18" s="151" cm="1">
        <f t="array" ref="U18">SUMPRODUCT(('BW Summary'!$B$7:$B$494=LE!$B18)*('BW Summary'!$R$7:$R$494))</f>
        <v>0</v>
      </c>
    </row>
    <row r="19" spans="2:21" x14ac:dyDescent="0.25">
      <c r="B19" s="66" t="s">
        <v>34</v>
      </c>
      <c r="C19" t="s">
        <v>35</v>
      </c>
      <c r="D19" s="61" cm="1">
        <f t="array" ref="D19">SUMPRODUCT(('AOP24'!$E$2:$E$600=Summary!B19)*('AOP24'!$D$2:$D$600=$E$1)*('AOP24'!$U$2:$U$600))</f>
        <v>1592044</v>
      </c>
      <c r="E19" s="62">
        <f t="shared" si="1"/>
        <v>1592044</v>
      </c>
      <c r="F19" s="61">
        <f>SUMPRODUCT(('BW Summary'!$B$7:$B$494=LE!B19)*('BW Summary'!$F$7:$F$494))</f>
        <v>0</v>
      </c>
      <c r="G19" s="63">
        <f t="shared" si="2"/>
        <v>1592044</v>
      </c>
      <c r="J19" s="115">
        <f>SUMPRODUCT(('BW Summary'!$B$7:$B$494=LE!$B19)*('BW Summary'!$G$7:$G$494))</f>
        <v>0</v>
      </c>
      <c r="K19" s="109">
        <f>SUMPRODUCT(('BW Summary'!$B$7:$B$494=LE!$B19)*('BW Summary'!$H$7:$H$494))</f>
        <v>0</v>
      </c>
      <c r="L19" s="109">
        <f>SUMPRODUCT(('BW Summary'!$B$7:$B$494=LE!$B19)*('BW Summary'!$I$7:$I$494))</f>
        <v>0</v>
      </c>
      <c r="M19" s="109">
        <f>SUMPRODUCT(('BW Summary'!$B$7:$B$494=LE!$B19)*('BW Summary'!$J$7:$J$494))</f>
        <v>0</v>
      </c>
      <c r="N19" s="109">
        <f>SUMPRODUCT(('BW Summary'!$B$7:$B$494=LE!$B19)*('BW Summary'!$K$7:$K$494))</f>
        <v>0</v>
      </c>
      <c r="O19" s="109">
        <f>SUMPRODUCT(('BW Summary'!$B$7:$B$494=LE!$B19)*('BW Summary'!$L$7:$L$494))</f>
        <v>0</v>
      </c>
      <c r="P19" s="109" cm="1">
        <f t="array" ref="P19">SUMPRODUCT(('BW Summary'!$B$7:$B$494=LE!$B19)*('BW Summary'!$M$7:$M$494))</f>
        <v>0</v>
      </c>
      <c r="Q19" s="109" cm="1">
        <f t="array" ref="Q19">SUMPRODUCT(('BW Summary'!$B$7:$B$494=LE!$B19)*('BW Summary'!$N$7:$N$494))</f>
        <v>0</v>
      </c>
      <c r="R19" s="109" cm="1">
        <f t="array" ref="R19">SUMPRODUCT(('BW Summary'!$B$7:$B$494=LE!$B19)*('BW Summary'!$O$7:$O$494))</f>
        <v>0</v>
      </c>
      <c r="S19" s="109" cm="1">
        <f t="array" ref="S19">SUMPRODUCT(('BW Summary'!$B$7:$B$494=LE!$B19)*('BW Summary'!$P$7:$P$494))</f>
        <v>0</v>
      </c>
      <c r="T19" s="109" cm="1">
        <f t="array" ref="T19">SUMPRODUCT(('BW Summary'!$B$7:$B$494=LE!$B19)*('BW Summary'!$Q$7:$Q$494))</f>
        <v>0</v>
      </c>
      <c r="U19" s="151" cm="1">
        <f t="array" ref="U19">SUMPRODUCT(('BW Summary'!$B$7:$B$494=LE!$B19)*('BW Summary'!$R$7:$R$494))</f>
        <v>0</v>
      </c>
    </row>
    <row r="20" spans="2:21" x14ac:dyDescent="0.25">
      <c r="B20" s="67" t="s">
        <v>36</v>
      </c>
      <c r="C20" t="s">
        <v>37</v>
      </c>
      <c r="D20" s="61" cm="1">
        <f t="array" ref="D20">SUMPRODUCT(('AOP24'!$E$2:$E$600=Summary!B20)*('AOP24'!$D$2:$D$600=$E$1)*('AOP24'!$U$2:$U$600))</f>
        <v>217420</v>
      </c>
      <c r="E20" s="62">
        <f t="shared" si="1"/>
        <v>217420</v>
      </c>
      <c r="F20" s="61">
        <f>SUMPRODUCT(('BW Summary'!$B$7:$B$494=LE!B20)*('BW Summary'!$F$7:$F$494))</f>
        <v>0</v>
      </c>
      <c r="G20" s="63">
        <f t="shared" si="2"/>
        <v>217420</v>
      </c>
      <c r="J20" s="115">
        <f>SUMPRODUCT(('BW Summary'!$B$7:$B$494=LE!$B20)*('BW Summary'!$G$7:$G$494))</f>
        <v>0</v>
      </c>
      <c r="K20" s="109">
        <f>SUMPRODUCT(('BW Summary'!$B$7:$B$494=LE!$B20)*('BW Summary'!$H$7:$H$494))</f>
        <v>0</v>
      </c>
      <c r="L20" s="109">
        <f>SUMPRODUCT(('BW Summary'!$B$7:$B$494=LE!$B20)*('BW Summary'!$I$7:$I$494))</f>
        <v>0</v>
      </c>
      <c r="M20" s="109">
        <f>SUMPRODUCT(('BW Summary'!$B$7:$B$494=LE!$B20)*('BW Summary'!$J$7:$J$494))</f>
        <v>0</v>
      </c>
      <c r="N20" s="109">
        <f>SUMPRODUCT(('BW Summary'!$B$7:$B$494=LE!$B20)*('BW Summary'!$K$7:$K$494))</f>
        <v>0</v>
      </c>
      <c r="O20" s="109">
        <f>SUMPRODUCT(('BW Summary'!$B$7:$B$494=LE!$B20)*('BW Summary'!$L$7:$L$494))</f>
        <v>0</v>
      </c>
      <c r="P20" s="109" cm="1">
        <f t="array" ref="P20">SUMPRODUCT(('BW Summary'!$B$7:$B$494=LE!$B20)*('BW Summary'!$M$7:$M$494))</f>
        <v>0</v>
      </c>
      <c r="Q20" s="109" cm="1">
        <f t="array" ref="Q20">SUMPRODUCT(('BW Summary'!$B$7:$B$494=LE!$B20)*('BW Summary'!$N$7:$N$494))</f>
        <v>0</v>
      </c>
      <c r="R20" s="109" cm="1">
        <f t="array" ref="R20">SUMPRODUCT(('BW Summary'!$B$7:$B$494=LE!$B20)*('BW Summary'!$O$7:$O$494))</f>
        <v>0</v>
      </c>
      <c r="S20" s="109" cm="1">
        <f t="array" ref="S20">SUMPRODUCT(('BW Summary'!$B$7:$B$494=LE!$B20)*('BW Summary'!$P$7:$P$494))</f>
        <v>0</v>
      </c>
      <c r="T20" s="109" cm="1">
        <f t="array" ref="T20">SUMPRODUCT(('BW Summary'!$B$7:$B$494=LE!$B20)*('BW Summary'!$Q$7:$Q$494))</f>
        <v>0</v>
      </c>
      <c r="U20" s="151" cm="1">
        <f t="array" ref="U20">SUMPRODUCT(('BW Summary'!$B$7:$B$494=LE!$B20)*('BW Summary'!$R$7:$R$494))</f>
        <v>0</v>
      </c>
    </row>
    <row r="21" spans="2:21" x14ac:dyDescent="0.25">
      <c r="B21" s="67" t="s">
        <v>38</v>
      </c>
      <c r="C21" t="s">
        <v>39</v>
      </c>
      <c r="D21" s="61" cm="1">
        <f t="array" ref="D21">SUMPRODUCT(('AOP24'!$E$2:$E$600=Summary!B21)*('AOP24'!$D$2:$D$600=$E$1)*('AOP24'!$U$2:$U$600))</f>
        <v>1504000</v>
      </c>
      <c r="E21" s="62">
        <f t="shared" ref="E21" si="3">(D21/12)*$D$3</f>
        <v>1504000</v>
      </c>
      <c r="F21" s="61">
        <f>SUMPRODUCT(('BW Summary'!$B$7:$B$494=LE!B21)*('BW Summary'!$F$7:$F$494))</f>
        <v>0</v>
      </c>
      <c r="G21" s="63">
        <f t="shared" ref="G21" si="4">E21-F21</f>
        <v>1504000</v>
      </c>
      <c r="J21" s="115">
        <f>SUMPRODUCT(('BW Summary'!$B$7:$B$494=LE!$B21)*('BW Summary'!$G$7:$G$494))</f>
        <v>0</v>
      </c>
      <c r="K21" s="109">
        <f>SUMPRODUCT(('BW Summary'!$B$7:$B$494=LE!$B21)*('BW Summary'!$H$7:$H$494))</f>
        <v>0</v>
      </c>
      <c r="L21" s="109">
        <f>SUMPRODUCT(('BW Summary'!$B$7:$B$494=LE!$B21)*('BW Summary'!$I$7:$I$494))</f>
        <v>0</v>
      </c>
      <c r="M21" s="109">
        <f>SUMPRODUCT(('BW Summary'!$B$7:$B$494=LE!$B21)*('BW Summary'!$J$7:$J$494))</f>
        <v>0</v>
      </c>
      <c r="N21" s="109">
        <f>SUMPRODUCT(('BW Summary'!$B$7:$B$494=LE!$B21)*('BW Summary'!$K$7:$K$494))</f>
        <v>0</v>
      </c>
      <c r="O21" s="109">
        <f>SUMPRODUCT(('BW Summary'!$B$7:$B$494=LE!$B21)*('BW Summary'!$L$7:$L$494))</f>
        <v>0</v>
      </c>
      <c r="P21" s="109" cm="1">
        <f t="array" ref="P21">SUMPRODUCT(('BW Summary'!$B$7:$B$494=LE!$B21)*('BW Summary'!$M$7:$M$494))</f>
        <v>0</v>
      </c>
      <c r="Q21" s="109" cm="1">
        <f t="array" ref="Q21">SUMPRODUCT(('BW Summary'!$B$7:$B$494=LE!$B21)*('BW Summary'!$N$7:$N$494))</f>
        <v>0</v>
      </c>
      <c r="R21" s="109" cm="1">
        <f t="array" ref="R21">SUMPRODUCT(('BW Summary'!$B$7:$B$494=LE!$B21)*('BW Summary'!$O$7:$O$494))</f>
        <v>0</v>
      </c>
      <c r="S21" s="109" cm="1">
        <f t="array" ref="S21">SUMPRODUCT(('BW Summary'!$B$7:$B$494=LE!$B21)*('BW Summary'!$P$7:$P$494))</f>
        <v>0</v>
      </c>
      <c r="T21" s="109" cm="1">
        <f t="array" ref="T21">SUMPRODUCT(('BW Summary'!$B$7:$B$494=LE!$B21)*('BW Summary'!$Q$7:$Q$494))</f>
        <v>0</v>
      </c>
      <c r="U21" s="151" cm="1">
        <f t="array" ref="U21">SUMPRODUCT(('BW Summary'!$B$7:$B$494=LE!$B21)*('BW Summary'!$R$7:$R$494))</f>
        <v>0</v>
      </c>
    </row>
    <row r="22" spans="2:21" x14ac:dyDescent="0.25">
      <c r="B22" s="66" t="s">
        <v>41</v>
      </c>
      <c r="C22" t="s">
        <v>57</v>
      </c>
      <c r="D22" s="61" cm="1">
        <f t="array" ref="D22">SUMPRODUCT(('AOP24'!$E$2:$E$600=Summary!B22)*('AOP24'!$D$2:$D$600=$E$1)*('AOP24'!$U$2:$U$600))</f>
        <v>7547000</v>
      </c>
      <c r="E22" s="62">
        <f t="shared" si="1"/>
        <v>7547000</v>
      </c>
      <c r="F22" s="61">
        <f>SUMPRODUCT(('BW Summary'!$B$7:$B$494=LE!B22)*('BW Summary'!$F$7:$F$494))</f>
        <v>0</v>
      </c>
      <c r="G22" s="63">
        <f t="shared" si="2"/>
        <v>7547000</v>
      </c>
      <c r="J22" s="115">
        <f>SUMPRODUCT(('BW Summary'!$B$7:$B$494=LE!$B22)*('BW Summary'!$G$7:$G$494))</f>
        <v>0</v>
      </c>
      <c r="K22" s="109">
        <f>SUMPRODUCT(('BW Summary'!$B$7:$B$494=LE!$B22)*('BW Summary'!$H$7:$H$494))</f>
        <v>0</v>
      </c>
      <c r="L22" s="109">
        <f>SUMPRODUCT(('BW Summary'!$B$7:$B$494=LE!$B22)*('BW Summary'!$I$7:$I$494))</f>
        <v>0</v>
      </c>
      <c r="M22" s="109">
        <f>SUMPRODUCT(('BW Summary'!$B$7:$B$494=LE!$B22)*('BW Summary'!$J$7:$J$494))</f>
        <v>0</v>
      </c>
      <c r="N22" s="109">
        <f>SUMPRODUCT(('BW Summary'!$B$7:$B$494=LE!$B22)*('BW Summary'!$K$7:$K$494))</f>
        <v>0</v>
      </c>
      <c r="O22" s="109">
        <f>SUMPRODUCT(('BW Summary'!$B$7:$B$494=LE!$B22)*('BW Summary'!$L$7:$L$494))</f>
        <v>0</v>
      </c>
      <c r="P22" s="109" cm="1">
        <f t="array" ref="P22">SUMPRODUCT(('BW Summary'!$B$7:$B$494=LE!$B22)*('BW Summary'!$M$7:$M$494))</f>
        <v>0</v>
      </c>
      <c r="Q22" s="109" cm="1">
        <f t="array" ref="Q22">SUMPRODUCT(('BW Summary'!$B$7:$B$494=LE!$B22)*('BW Summary'!$N$7:$N$494))</f>
        <v>0</v>
      </c>
      <c r="R22" s="109" cm="1">
        <f t="array" ref="R22">SUMPRODUCT(('BW Summary'!$B$7:$B$494=LE!$B22)*('BW Summary'!$O$7:$O$494))</f>
        <v>0</v>
      </c>
      <c r="S22" s="109" cm="1">
        <f t="array" ref="S22">SUMPRODUCT(('BW Summary'!$B$7:$B$494=LE!$B22)*('BW Summary'!$P$7:$P$494))</f>
        <v>0</v>
      </c>
      <c r="T22" s="109" cm="1">
        <f t="array" ref="T22">SUMPRODUCT(('BW Summary'!$B$7:$B$494=LE!$B22)*('BW Summary'!$Q$7:$Q$494))</f>
        <v>0</v>
      </c>
      <c r="U22" s="151" cm="1">
        <f t="array" ref="U22">SUMPRODUCT(('BW Summary'!$B$7:$B$494=LE!$B22)*('BW Summary'!$R$7:$R$494))</f>
        <v>0</v>
      </c>
    </row>
    <row r="23" spans="2:21" x14ac:dyDescent="0.25">
      <c r="B23" s="66" t="s">
        <v>43</v>
      </c>
      <c r="C23" t="s">
        <v>44</v>
      </c>
      <c r="D23" s="61" cm="1">
        <f t="array" ref="D23">SUMPRODUCT(('AOP24'!$E$2:$E$600=Summary!B23)*('AOP24'!$D$2:$D$600=$E$1)*('AOP24'!$U$2:$U$600))</f>
        <v>0</v>
      </c>
      <c r="E23" s="62">
        <f t="shared" si="1"/>
        <v>0</v>
      </c>
      <c r="F23" s="61">
        <f>SUMPRODUCT(('BW Summary'!$B$7:$B$494=LE!B23)*('BW Summary'!$F$7:$F$494))</f>
        <v>0</v>
      </c>
      <c r="G23" s="63">
        <f t="shared" si="2"/>
        <v>0</v>
      </c>
      <c r="J23" s="115">
        <f>SUMPRODUCT(('BW Summary'!$B$7:$B$494=LE!$B23)*('BW Summary'!$G$7:$G$494))</f>
        <v>0</v>
      </c>
      <c r="K23" s="109">
        <f>SUMPRODUCT(('BW Summary'!$B$7:$B$494=LE!$B23)*('BW Summary'!$H$7:$H$494))</f>
        <v>0</v>
      </c>
      <c r="L23" s="109">
        <f>SUMPRODUCT(('BW Summary'!$B$7:$B$494=LE!$B23)*('BW Summary'!$I$7:$I$494))</f>
        <v>0</v>
      </c>
      <c r="M23" s="109">
        <f>SUMPRODUCT(('BW Summary'!$B$7:$B$494=LE!$B23)*('BW Summary'!$J$7:$J$494))</f>
        <v>0</v>
      </c>
      <c r="N23" s="109">
        <f>SUMPRODUCT(('BW Summary'!$B$7:$B$494=LE!$B23)*('BW Summary'!$K$7:$K$494))</f>
        <v>0</v>
      </c>
      <c r="O23" s="109">
        <f>SUMPRODUCT(('BW Summary'!$B$7:$B$494=LE!$B23)*('BW Summary'!$L$7:$L$494))</f>
        <v>0</v>
      </c>
      <c r="P23" s="109" cm="1">
        <f t="array" ref="P23">SUMPRODUCT(('BW Summary'!$B$7:$B$494=LE!$B23)*('BW Summary'!$M$7:$M$494))</f>
        <v>0</v>
      </c>
      <c r="Q23" s="109" cm="1">
        <f t="array" ref="Q23">SUMPRODUCT(('BW Summary'!$B$7:$B$494=LE!$B23)*('BW Summary'!$N$7:$N$494))</f>
        <v>0</v>
      </c>
      <c r="R23" s="109" cm="1">
        <f t="array" ref="R23">SUMPRODUCT(('BW Summary'!$B$7:$B$494=LE!$B23)*('BW Summary'!$O$7:$O$494))</f>
        <v>0</v>
      </c>
      <c r="S23" s="109" cm="1">
        <f t="array" ref="S23">SUMPRODUCT(('BW Summary'!$B$7:$B$494=LE!$B23)*('BW Summary'!$P$7:$P$494))</f>
        <v>0</v>
      </c>
      <c r="T23" s="109" cm="1">
        <f t="array" ref="T23">SUMPRODUCT(('BW Summary'!$B$7:$B$494=LE!$B23)*('BW Summary'!$Q$7:$Q$494))</f>
        <v>0</v>
      </c>
      <c r="U23" s="151" cm="1">
        <f t="array" ref="U23">SUMPRODUCT(('BW Summary'!$B$7:$B$494=LE!$B23)*('BW Summary'!$R$7:$R$494))</f>
        <v>0</v>
      </c>
    </row>
    <row r="24" spans="2:21" x14ac:dyDescent="0.25">
      <c r="B24" s="66" t="s">
        <v>45</v>
      </c>
      <c r="C24" t="s">
        <v>46</v>
      </c>
      <c r="D24" s="61" cm="1">
        <f t="array" ref="D24">SUMPRODUCT(('AOP24'!$E$2:$E$600=Summary!B24)*('AOP24'!$D$2:$D$600=$E$1)*('AOP24'!$U$2:$U$600))</f>
        <v>0</v>
      </c>
      <c r="E24" s="62">
        <f t="shared" ref="E24:E25" si="5">(D24/12)*$D$3</f>
        <v>0</v>
      </c>
      <c r="F24" s="61">
        <f>SUMPRODUCT(('BW Summary'!$B$7:$B$494=LE!B24)*('BW Summary'!$F$7:$F$494))</f>
        <v>0</v>
      </c>
      <c r="G24" s="63">
        <f t="shared" ref="G24:G25" si="6">E24-F24</f>
        <v>0</v>
      </c>
      <c r="J24" s="115">
        <f>SUMPRODUCT(('BW Summary'!$B$7:$B$494=LE!$B24)*('BW Summary'!$G$7:$G$494))</f>
        <v>0</v>
      </c>
      <c r="K24" s="109">
        <f>SUMPRODUCT(('BW Summary'!$B$7:$B$494=LE!$B24)*('BW Summary'!$H$7:$H$494))</f>
        <v>0</v>
      </c>
      <c r="L24" s="109">
        <f>SUMPRODUCT(('BW Summary'!$B$7:$B$494=LE!$B24)*('BW Summary'!$I$7:$I$494))</f>
        <v>0</v>
      </c>
      <c r="M24" s="109">
        <f>SUMPRODUCT(('BW Summary'!$B$7:$B$494=LE!$B24)*('BW Summary'!$J$7:$J$494))</f>
        <v>0</v>
      </c>
      <c r="N24" s="109">
        <f>SUMPRODUCT(('BW Summary'!$B$7:$B$494=LE!$B24)*('BW Summary'!$K$7:$K$494))</f>
        <v>0</v>
      </c>
      <c r="O24" s="109">
        <f>SUMPRODUCT(('BW Summary'!$B$7:$B$494=LE!$B24)*('BW Summary'!$L$7:$L$494))</f>
        <v>0</v>
      </c>
      <c r="P24" s="109" cm="1">
        <f t="array" ref="P24">SUMPRODUCT(('BW Summary'!$B$7:$B$494=LE!$B24)*('BW Summary'!$M$7:$M$494))</f>
        <v>0</v>
      </c>
      <c r="Q24" s="109" cm="1">
        <f t="array" ref="Q24">SUMPRODUCT(('BW Summary'!$B$7:$B$494=LE!$B24)*('BW Summary'!$N$7:$N$494))</f>
        <v>0</v>
      </c>
      <c r="R24" s="109" cm="1">
        <f t="array" ref="R24">SUMPRODUCT(('BW Summary'!$B$7:$B$494=LE!$B24)*('BW Summary'!$O$7:$O$494))</f>
        <v>0</v>
      </c>
      <c r="S24" s="109" cm="1">
        <f t="array" ref="S24">SUMPRODUCT(('BW Summary'!$B$7:$B$494=LE!$B24)*('BW Summary'!$P$7:$P$494))</f>
        <v>0</v>
      </c>
      <c r="T24" s="109" cm="1">
        <f t="array" ref="T24">SUMPRODUCT(('BW Summary'!$B$7:$B$494=LE!$B24)*('BW Summary'!$Q$7:$Q$494))</f>
        <v>0</v>
      </c>
      <c r="U24" s="151" cm="1">
        <f t="array" ref="U24">SUMPRODUCT(('BW Summary'!$B$7:$B$494=LE!$B24)*('BW Summary'!$R$7:$R$494))</f>
        <v>0</v>
      </c>
    </row>
    <row r="25" spans="2:21" x14ac:dyDescent="0.25">
      <c r="B25" s="66" t="s">
        <v>47</v>
      </c>
      <c r="C25" t="s">
        <v>48</v>
      </c>
      <c r="D25" s="61" cm="1">
        <f t="array" ref="D25">SUMPRODUCT(('AOP24'!$E$2:$E$600=Summary!B25)*('AOP24'!$D$2:$D$600=$E$1)*('AOP24'!$U$2:$U$600))</f>
        <v>0</v>
      </c>
      <c r="E25" s="62">
        <f t="shared" si="5"/>
        <v>0</v>
      </c>
      <c r="F25" s="61">
        <f>SUMPRODUCT(('BW Summary'!$B$7:$B$494=LE!B25)*('BW Summary'!$F$7:$F$494))</f>
        <v>0</v>
      </c>
      <c r="G25" s="63">
        <f t="shared" si="6"/>
        <v>0</v>
      </c>
      <c r="J25" s="115">
        <f>SUMPRODUCT(('BW Summary'!$B$7:$B$494=LE!$B25)*('BW Summary'!$G$7:$G$494))</f>
        <v>0</v>
      </c>
      <c r="K25" s="109">
        <f>SUMPRODUCT(('BW Summary'!$B$7:$B$494=LE!$B25)*('BW Summary'!$H$7:$H$494))</f>
        <v>0</v>
      </c>
      <c r="L25" s="109">
        <f>SUMPRODUCT(('BW Summary'!$B$7:$B$494=LE!$B25)*('BW Summary'!$I$7:$I$494))</f>
        <v>0</v>
      </c>
      <c r="M25" s="109">
        <f>SUMPRODUCT(('BW Summary'!$B$7:$B$494=LE!$B25)*('BW Summary'!$J$7:$J$494))</f>
        <v>0</v>
      </c>
      <c r="N25" s="109">
        <f>SUMPRODUCT(('BW Summary'!$B$7:$B$494=LE!$B25)*('BW Summary'!$K$7:$K$494))</f>
        <v>0</v>
      </c>
      <c r="O25" s="109">
        <f>SUMPRODUCT(('BW Summary'!$B$7:$B$494=LE!$B25)*('BW Summary'!$L$7:$L$494))</f>
        <v>0</v>
      </c>
      <c r="P25" s="109" cm="1">
        <f t="array" ref="P25">SUMPRODUCT(('BW Summary'!$B$7:$B$494=LE!$B25)*('BW Summary'!$M$7:$M$494))</f>
        <v>0</v>
      </c>
      <c r="Q25" s="109" cm="1">
        <f t="array" ref="Q25">SUMPRODUCT(('BW Summary'!$B$7:$B$494=LE!$B25)*('BW Summary'!$N$7:$N$494))</f>
        <v>0</v>
      </c>
      <c r="R25" s="109" cm="1">
        <f t="array" ref="R25">SUMPRODUCT(('BW Summary'!$B$7:$B$494=LE!$B25)*('BW Summary'!$O$7:$O$494))</f>
        <v>0</v>
      </c>
      <c r="S25" s="109" cm="1">
        <f t="array" ref="S25">SUMPRODUCT(('BW Summary'!$B$7:$B$494=LE!$B25)*('BW Summary'!$P$7:$P$494))</f>
        <v>0</v>
      </c>
      <c r="T25" s="109" cm="1">
        <f t="array" ref="T25">SUMPRODUCT(('BW Summary'!$B$7:$B$494=LE!$B25)*('BW Summary'!$Q$7:$Q$494))</f>
        <v>0</v>
      </c>
      <c r="U25" s="151" cm="1">
        <f t="array" ref="U25">SUMPRODUCT(('BW Summary'!$B$7:$B$494=LE!$B25)*('BW Summary'!$R$7:$R$494))</f>
        <v>0</v>
      </c>
    </row>
    <row r="26" spans="2:21" x14ac:dyDescent="0.25">
      <c r="B26" s="66" t="s">
        <v>49</v>
      </c>
      <c r="C26" t="s">
        <v>50</v>
      </c>
      <c r="D26" s="61" cm="1">
        <f t="array" ref="D26">SUMPRODUCT(('AOP24'!$E$2:$E$600=Summary!B26)*('AOP24'!$D$2:$D$600=$E$1)*('AOP24'!$U$2:$U$600))</f>
        <v>5961500</v>
      </c>
      <c r="E26" s="62">
        <f t="shared" si="1"/>
        <v>5961500</v>
      </c>
      <c r="F26" s="61">
        <f>SUMPRODUCT(('BW Summary'!$B$7:$B$494=LE!B26)*('BW Summary'!$F$7:$F$494))</f>
        <v>0</v>
      </c>
      <c r="G26" s="63">
        <f t="shared" si="2"/>
        <v>5961500</v>
      </c>
      <c r="J26" s="115">
        <f>SUMPRODUCT(('BW Summary'!$B$7:$B$494=LE!$B26)*('BW Summary'!$G$7:$G$494))</f>
        <v>0</v>
      </c>
      <c r="K26" s="109">
        <f>SUMPRODUCT(('BW Summary'!$B$7:$B$494=LE!$B26)*('BW Summary'!$H$7:$H$494))</f>
        <v>0</v>
      </c>
      <c r="L26" s="109">
        <f>SUMPRODUCT(('BW Summary'!$B$7:$B$494=LE!$B26)*('BW Summary'!$I$7:$I$494))</f>
        <v>0</v>
      </c>
      <c r="M26" s="109">
        <f>SUMPRODUCT(('BW Summary'!$B$7:$B$494=LE!$B26)*('BW Summary'!$J$7:$J$494))</f>
        <v>0</v>
      </c>
      <c r="N26" s="109">
        <f>SUMPRODUCT(('BW Summary'!$B$7:$B$494=LE!$B26)*('BW Summary'!$K$7:$K$494))</f>
        <v>0</v>
      </c>
      <c r="O26" s="109">
        <f>SUMPRODUCT(('BW Summary'!$B$7:$B$494=LE!$B26)*('BW Summary'!$L$7:$L$494))</f>
        <v>0</v>
      </c>
      <c r="P26" s="109" cm="1">
        <f t="array" ref="P26">SUMPRODUCT(('BW Summary'!$B$7:$B$494=LE!$B26)*('BW Summary'!$M$7:$M$494))</f>
        <v>0</v>
      </c>
      <c r="Q26" s="109" cm="1">
        <f t="array" ref="Q26">SUMPRODUCT(('BW Summary'!$B$7:$B$494=LE!$B26)*('BW Summary'!$N$7:$N$494))</f>
        <v>0</v>
      </c>
      <c r="R26" s="109" cm="1">
        <f t="array" ref="R26">SUMPRODUCT(('BW Summary'!$B$7:$B$494=LE!$B26)*('BW Summary'!$O$7:$O$494))</f>
        <v>0</v>
      </c>
      <c r="S26" s="109" cm="1">
        <f t="array" ref="S26">SUMPRODUCT(('BW Summary'!$B$7:$B$494=LE!$B26)*('BW Summary'!$P$7:$P$494))</f>
        <v>0</v>
      </c>
      <c r="T26" s="109" cm="1">
        <f t="array" ref="T26">SUMPRODUCT(('BW Summary'!$B$7:$B$494=LE!$B26)*('BW Summary'!$Q$7:$Q$494))</f>
        <v>0</v>
      </c>
      <c r="U26" s="151" cm="1">
        <f t="array" ref="U26">SUMPRODUCT(('BW Summary'!$B$7:$B$494=LE!$B26)*('BW Summary'!$R$7:$R$494))</f>
        <v>0</v>
      </c>
    </row>
    <row r="27" spans="2:21" x14ac:dyDescent="0.25">
      <c r="B27" s="68" t="s">
        <v>51</v>
      </c>
      <c r="C27" t="s">
        <v>52</v>
      </c>
      <c r="D27" s="61" cm="1">
        <f t="array" ref="D27">SUMPRODUCT(('AOP24'!$E$2:$E$600=Summary!B27)*('AOP24'!$D$2:$D$600=$E$1)*('AOP24'!$U$2:$U$600))</f>
        <v>7487548</v>
      </c>
      <c r="E27" s="62">
        <f t="shared" si="1"/>
        <v>7487548</v>
      </c>
      <c r="F27" s="61">
        <f>SUMPRODUCT(('BW Summary'!$B$7:$B$494=LE!B27)*('BW Summary'!$F$7:$F$494))</f>
        <v>0</v>
      </c>
      <c r="G27" s="63">
        <f t="shared" si="2"/>
        <v>7487548</v>
      </c>
      <c r="J27" s="115">
        <f>SUMPRODUCT(('BW Summary'!$B$7:$B$494=LE!$B27)*('BW Summary'!$G$7:$G$494))</f>
        <v>0</v>
      </c>
      <c r="K27" s="109">
        <f>SUMPRODUCT(('BW Summary'!$B$7:$B$494=LE!$B27)*('BW Summary'!$H$7:$H$494))</f>
        <v>0</v>
      </c>
      <c r="L27" s="109">
        <f>SUMPRODUCT(('BW Summary'!$B$7:$B$494=LE!$B27)*('BW Summary'!$I$7:$I$494))</f>
        <v>0</v>
      </c>
      <c r="M27" s="109">
        <f>SUMPRODUCT(('BW Summary'!$B$7:$B$494=LE!$B27)*('BW Summary'!$J$7:$J$494))</f>
        <v>0</v>
      </c>
      <c r="N27" s="109">
        <f>SUMPRODUCT(('BW Summary'!$B$7:$B$494=LE!$B27)*('BW Summary'!$K$7:$K$494))</f>
        <v>0</v>
      </c>
      <c r="O27" s="109">
        <f>SUMPRODUCT(('BW Summary'!$B$7:$B$494=LE!$B27)*('BW Summary'!$L$7:$L$494))</f>
        <v>0</v>
      </c>
      <c r="P27" s="109" cm="1">
        <f t="array" ref="P27">SUMPRODUCT(('BW Summary'!$B$7:$B$494=LE!$B27)*('BW Summary'!$M$7:$M$494))</f>
        <v>0</v>
      </c>
      <c r="Q27" s="109" cm="1">
        <f t="array" ref="Q27">SUMPRODUCT(('BW Summary'!$B$7:$B$494=LE!$B27)*('BW Summary'!$N$7:$N$494))</f>
        <v>0</v>
      </c>
      <c r="R27" s="109" cm="1">
        <f t="array" ref="R27">SUMPRODUCT(('BW Summary'!$B$7:$B$494=LE!$B27)*('BW Summary'!$O$7:$O$494))</f>
        <v>0</v>
      </c>
      <c r="S27" s="109" cm="1">
        <f t="array" ref="S27">SUMPRODUCT(('BW Summary'!$B$7:$B$494=LE!$B27)*('BW Summary'!$P$7:$P$494))</f>
        <v>0</v>
      </c>
      <c r="T27" s="109" cm="1">
        <f t="array" ref="T27">SUMPRODUCT(('BW Summary'!$B$7:$B$494=LE!$B27)*('BW Summary'!$Q$7:$Q$494))</f>
        <v>0</v>
      </c>
      <c r="U27" s="151" cm="1">
        <f t="array" ref="U27">SUMPRODUCT(('BW Summary'!$B$7:$B$494=LE!$B27)*('BW Summary'!$R$7:$R$494))</f>
        <v>0</v>
      </c>
    </row>
    <row r="28" spans="2:21" ht="15.75" thickBot="1" x14ac:dyDescent="0.3">
      <c r="B28" s="69" t="s">
        <v>53</v>
      </c>
      <c r="C28" s="16" t="s">
        <v>54</v>
      </c>
      <c r="D28" s="70" cm="1">
        <f t="array" ref="D28">SUMPRODUCT(('AOP24'!$E$2:$E$600=Summary!B28)*('AOP24'!$D$2:$D$600=$E$1)*('AOP24'!$U$2:$U$600))</f>
        <v>10658150</v>
      </c>
      <c r="E28" s="71">
        <f t="shared" si="1"/>
        <v>10658150</v>
      </c>
      <c r="F28" s="70">
        <f>SUMPRODUCT(('BW Summary'!$B$7:$B$494=LE!B28)*('BW Summary'!$F$7:$F$494))</f>
        <v>0</v>
      </c>
      <c r="G28" s="72">
        <f t="shared" si="2"/>
        <v>10658150</v>
      </c>
      <c r="J28" s="116">
        <f>SUMPRODUCT(('BW Summary'!$B$7:$B$494=LE!$B28)*('BW Summary'!$G$7:$G$494))</f>
        <v>0</v>
      </c>
      <c r="K28" s="111">
        <f>SUMPRODUCT(('BW Summary'!$B$7:$B$494=LE!$B28)*('BW Summary'!$H$7:$H$494))</f>
        <v>0</v>
      </c>
      <c r="L28" s="111">
        <f>SUMPRODUCT(('BW Summary'!$B$7:$B$494=LE!$B28)*('BW Summary'!$I$7:$I$494))</f>
        <v>0</v>
      </c>
      <c r="M28" s="111">
        <f>SUMPRODUCT(('BW Summary'!$B$7:$B$494=LE!$B28)*('BW Summary'!$J$7:$J$494))</f>
        <v>0</v>
      </c>
      <c r="N28" s="111">
        <f>SUMPRODUCT(('BW Summary'!$B$7:$B$494=LE!$B28)*('BW Summary'!$K$7:$K$494))</f>
        <v>0</v>
      </c>
      <c r="O28" s="111">
        <f>SUMPRODUCT(('BW Summary'!$B$7:$B$494=LE!$B28)*('BW Summary'!$L$7:$L$494))</f>
        <v>0</v>
      </c>
      <c r="P28" s="111" cm="1">
        <f t="array" ref="P28">SUMPRODUCT(('BW Summary'!$B$7:$B$494=LE!$B28)*('BW Summary'!$M$7:$M$494))</f>
        <v>0</v>
      </c>
      <c r="Q28" s="111" cm="1">
        <f t="array" ref="Q28">SUMPRODUCT(('BW Summary'!$B$7:$B$494=LE!$B28)*('BW Summary'!$N$7:$N$494))</f>
        <v>0</v>
      </c>
      <c r="R28" s="111" cm="1">
        <f t="array" ref="R28">SUMPRODUCT(('BW Summary'!$B$7:$B$494=LE!$B28)*('BW Summary'!$O$7:$O$494))</f>
        <v>0</v>
      </c>
      <c r="S28" s="111" cm="1">
        <f t="array" ref="S28">SUMPRODUCT(('BW Summary'!$B$7:$B$494=LE!$B28)*('BW Summary'!$P$7:$P$494))</f>
        <v>0</v>
      </c>
      <c r="T28" s="111" cm="1">
        <f t="array" ref="T28">SUMPRODUCT(('BW Summary'!$B$7:$B$494=LE!$B28)*('BW Summary'!$Q$7:$Q$494))</f>
        <v>0</v>
      </c>
      <c r="U28" s="152" cm="1">
        <f t="array" ref="U28">SUMPRODUCT(('BW Summary'!$B$7:$B$494=LE!$B28)*('BW Summary'!$R$7:$R$494))</f>
        <v>0</v>
      </c>
    </row>
    <row r="30" spans="2:21" hidden="1" x14ac:dyDescent="0.25"/>
    <row r="31" spans="2:21" hidden="1" x14ac:dyDescent="0.25"/>
    <row r="32" spans="2:21" hidden="1" x14ac:dyDescent="0.25"/>
  </sheetData>
  <conditionalFormatting sqref="C11:C20 C22:C28">
    <cfRule type="cellIs" dxfId="5" priority="6" operator="lessThan">
      <formula>0</formula>
    </cfRule>
  </conditionalFormatting>
  <conditionalFormatting sqref="G11:G20 G22:G28">
    <cfRule type="expression" dxfId="4" priority="4">
      <formula>IF(G11&lt;0,1)</formula>
    </cfRule>
    <cfRule type="expression" dxfId="3" priority="5">
      <formula>IF(G11&gt;0,1)</formula>
    </cfRule>
  </conditionalFormatting>
  <conditionalFormatting sqref="C21">
    <cfRule type="cellIs" dxfId="2" priority="3" operator="lessThan">
      <formula>0</formula>
    </cfRule>
  </conditionalFormatting>
  <conditionalFormatting sqref="G21">
    <cfRule type="expression" dxfId="1" priority="1">
      <formula>IF(G21&lt;0,1)</formula>
    </cfRule>
    <cfRule type="expression" dxfId="0" priority="2">
      <formula>IF(G21&gt;0,1)</formula>
    </cfRule>
  </conditionalFormatting>
  <pageMargins left="0.7" right="0.7" top="0.75" bottom="0.75" header="0.3" footer="0.3"/>
  <pageSetup paperSize="9" orientation="portrait" r:id="rId1"/>
  <customProperties>
    <customPr name="_pios_id" r:id="rId2"/>
    <customPr name="EpmWorksheetKeyString_GUID"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21505" r:id="rId6" name="Button 2">
              <controlPr defaultSize="0" print="0" autoFill="0" autoPict="0" macro="[0]!FindDetails">
                <anchor moveWithCells="1" sizeWithCells="1">
                  <from>
                    <xdr:col>0</xdr:col>
                    <xdr:colOff>66675</xdr:colOff>
                    <xdr:row>8</xdr:row>
                    <xdr:rowOff>104775</xdr:rowOff>
                  </from>
                  <to>
                    <xdr:col>0</xdr:col>
                    <xdr:colOff>752475</xdr:colOff>
                    <xdr:row>10</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7E579-8566-4298-8976-28E7C2C6DB46}">
  <sheetPr codeName="Sheet4"/>
  <dimension ref="B1:O62"/>
  <sheetViews>
    <sheetView topLeftCell="B1" zoomScale="85" zoomScaleNormal="85" workbookViewId="0">
      <selection activeCell="E10" sqref="E10"/>
    </sheetView>
  </sheetViews>
  <sheetFormatPr defaultRowHeight="15" x14ac:dyDescent="0.25"/>
  <cols>
    <col min="2" max="2" width="19.85546875" bestFit="1" customWidth="1"/>
    <col min="3" max="3" width="30.85546875" bestFit="1" customWidth="1"/>
    <col min="4" max="4" width="7.85546875" bestFit="1" customWidth="1"/>
    <col min="5" max="5" width="29.85546875" bestFit="1" customWidth="1"/>
    <col min="6" max="6" width="19.140625" bestFit="1" customWidth="1"/>
    <col min="7" max="12" width="17" bestFit="1" customWidth="1"/>
    <col min="13" max="13" width="16.5703125" bestFit="1" customWidth="1"/>
    <col min="15" max="15" width="18.42578125" customWidth="1"/>
  </cols>
  <sheetData>
    <row r="1" spans="2:2" x14ac:dyDescent="0.25">
      <c r="B1" s="258" t="s">
        <v>58</v>
      </c>
    </row>
    <row r="61" spans="15:15" x14ac:dyDescent="0.25">
      <c r="O61" s="222"/>
    </row>
    <row r="62" spans="15:15" x14ac:dyDescent="0.25">
      <c r="O62" s="222"/>
    </row>
  </sheetData>
  <pageMargins left="0.7" right="0.7" top="0.75" bottom="0.75" header="0.3" footer="0.3"/>
  <pageSetup paperSize="9" orientation="portrait" horizontalDpi="300" verticalDpi="300" r:id="rId1"/>
  <customProperties>
    <customPr name="_pios_id" r:id="rId2"/>
    <customPr name="CofWorksheetType" r:id="rId3"/>
    <customPr name="EpmWorksheetKeyString_GUID" r:id="rId4"/>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A1278"/>
  <sheetViews>
    <sheetView topLeftCell="C1217" zoomScale="80" zoomScaleNormal="80" workbookViewId="0">
      <selection activeCell="C1224" sqref="C1224"/>
    </sheetView>
  </sheetViews>
  <sheetFormatPr defaultRowHeight="15" x14ac:dyDescent="0.25"/>
  <cols>
    <col min="1" max="1" width="15.5703125" customWidth="1"/>
    <col min="2" max="2" width="65.140625" customWidth="1"/>
    <col min="3" max="3" width="75.42578125" customWidth="1"/>
    <col min="4" max="4" width="15.42578125" customWidth="1"/>
    <col min="5" max="5" width="17.42578125" customWidth="1"/>
    <col min="6" max="6" width="28.42578125" customWidth="1"/>
    <col min="7" max="7" width="12.42578125" bestFit="1" customWidth="1"/>
    <col min="8" max="8" width="11.5703125" bestFit="1" customWidth="1"/>
    <col min="9" max="9" width="14.42578125" customWidth="1"/>
    <col min="10" max="10" width="13.42578125" customWidth="1"/>
    <col min="11" max="11" width="18.42578125" bestFit="1" customWidth="1"/>
    <col min="12" max="12" width="90.5703125" bestFit="1" customWidth="1"/>
  </cols>
  <sheetData>
    <row r="1" spans="1:12" ht="15.75" thickBot="1" x14ac:dyDescent="0.3">
      <c r="A1" s="73" t="s">
        <v>0</v>
      </c>
      <c r="B1" s="74" t="s">
        <v>59</v>
      </c>
      <c r="C1" s="74" t="s">
        <v>60</v>
      </c>
      <c r="D1" s="74" t="s">
        <v>61</v>
      </c>
      <c r="E1" s="74" t="s">
        <v>62</v>
      </c>
      <c r="F1" s="74" t="s">
        <v>63</v>
      </c>
      <c r="G1" s="74" t="s">
        <v>64</v>
      </c>
      <c r="H1" s="74" t="s">
        <v>65</v>
      </c>
      <c r="I1" s="74" t="s">
        <v>66</v>
      </c>
      <c r="J1" s="74" t="s">
        <v>67</v>
      </c>
      <c r="K1" s="74" t="s">
        <v>68</v>
      </c>
      <c r="L1" s="75" t="s">
        <v>69</v>
      </c>
    </row>
    <row r="2" spans="1:12" x14ac:dyDescent="0.25">
      <c r="A2" s="76">
        <v>42736</v>
      </c>
      <c r="B2" s="77" t="s">
        <v>70</v>
      </c>
      <c r="C2" s="77" t="s">
        <v>71</v>
      </c>
      <c r="D2" s="77" t="s">
        <v>0</v>
      </c>
      <c r="E2" s="77">
        <v>68427709</v>
      </c>
      <c r="F2" s="123">
        <v>19000</v>
      </c>
      <c r="G2" s="77" t="s">
        <v>72</v>
      </c>
      <c r="H2" s="77" t="s">
        <v>73</v>
      </c>
      <c r="I2" s="77" t="s">
        <v>74</v>
      </c>
      <c r="J2" s="77">
        <v>2018</v>
      </c>
      <c r="K2" s="77" t="s">
        <v>75</v>
      </c>
      <c r="L2" s="78" t="s">
        <v>76</v>
      </c>
    </row>
    <row r="3" spans="1:12" x14ac:dyDescent="0.25">
      <c r="A3" s="79">
        <v>42736</v>
      </c>
      <c r="B3" s="80" t="s">
        <v>77</v>
      </c>
      <c r="C3" s="80" t="s">
        <v>71</v>
      </c>
      <c r="D3" s="80" t="s">
        <v>0</v>
      </c>
      <c r="E3" s="80">
        <v>68427709</v>
      </c>
      <c r="F3" s="94">
        <v>34000</v>
      </c>
      <c r="G3" s="77" t="s">
        <v>72</v>
      </c>
      <c r="H3" s="80" t="s">
        <v>73</v>
      </c>
      <c r="I3" s="80" t="s">
        <v>74</v>
      </c>
      <c r="J3" s="77">
        <v>2018</v>
      </c>
      <c r="K3" s="80" t="s">
        <v>75</v>
      </c>
      <c r="L3" s="81" t="s">
        <v>78</v>
      </c>
    </row>
    <row r="4" spans="1:12" x14ac:dyDescent="0.25">
      <c r="A4" s="79">
        <v>42773</v>
      </c>
      <c r="B4" s="80" t="s">
        <v>79</v>
      </c>
      <c r="C4" s="80" t="s">
        <v>80</v>
      </c>
      <c r="D4" s="80" t="s">
        <v>0</v>
      </c>
      <c r="E4" s="80">
        <v>68427709</v>
      </c>
      <c r="F4" s="94">
        <v>12000</v>
      </c>
      <c r="G4" s="77" t="s">
        <v>72</v>
      </c>
      <c r="H4" s="80" t="s">
        <v>73</v>
      </c>
      <c r="I4" s="80" t="s">
        <v>81</v>
      </c>
      <c r="J4" s="77">
        <v>2018</v>
      </c>
      <c r="K4" s="80" t="s">
        <v>82</v>
      </c>
      <c r="L4" s="81" t="s">
        <v>83</v>
      </c>
    </row>
    <row r="5" spans="1:12" x14ac:dyDescent="0.25">
      <c r="A5" s="79">
        <v>42779</v>
      </c>
      <c r="B5" s="80" t="s">
        <v>84</v>
      </c>
      <c r="C5" s="80" t="s">
        <v>85</v>
      </c>
      <c r="D5" s="80" t="s">
        <v>86</v>
      </c>
      <c r="E5" s="80">
        <v>68427709</v>
      </c>
      <c r="F5" s="94">
        <v>0</v>
      </c>
      <c r="G5" s="77" t="s">
        <v>72</v>
      </c>
      <c r="H5" s="80" t="s">
        <v>73</v>
      </c>
      <c r="I5" s="80" t="s">
        <v>87</v>
      </c>
      <c r="J5" s="77">
        <v>2018</v>
      </c>
      <c r="K5" s="80" t="s">
        <v>88</v>
      </c>
      <c r="L5" s="81" t="s">
        <v>89</v>
      </c>
    </row>
    <row r="6" spans="1:12" x14ac:dyDescent="0.25">
      <c r="A6" s="79">
        <v>42779</v>
      </c>
      <c r="B6" s="80" t="s">
        <v>90</v>
      </c>
      <c r="C6" s="80" t="s">
        <v>91</v>
      </c>
      <c r="D6" s="80" t="s">
        <v>0</v>
      </c>
      <c r="E6" s="80">
        <v>68427709</v>
      </c>
      <c r="F6" s="94">
        <v>2500</v>
      </c>
      <c r="G6" s="77" t="s">
        <v>72</v>
      </c>
      <c r="H6" s="80" t="s">
        <v>73</v>
      </c>
      <c r="I6" s="80" t="s">
        <v>92</v>
      </c>
      <c r="J6" s="77">
        <v>2018</v>
      </c>
      <c r="K6" s="80" t="s">
        <v>93</v>
      </c>
      <c r="L6" s="81"/>
    </row>
    <row r="7" spans="1:12" x14ac:dyDescent="0.25">
      <c r="A7" s="79">
        <v>42779</v>
      </c>
      <c r="B7" s="80" t="s">
        <v>94</v>
      </c>
      <c r="C7" s="80" t="s">
        <v>91</v>
      </c>
      <c r="D7" s="80" t="s">
        <v>0</v>
      </c>
      <c r="E7" s="80">
        <v>68427709</v>
      </c>
      <c r="F7" s="94">
        <v>2500</v>
      </c>
      <c r="G7" s="77" t="s">
        <v>72</v>
      </c>
      <c r="H7" s="80" t="s">
        <v>73</v>
      </c>
      <c r="I7" s="80" t="s">
        <v>92</v>
      </c>
      <c r="J7" s="77">
        <v>2018</v>
      </c>
      <c r="K7" s="80" t="s">
        <v>93</v>
      </c>
      <c r="L7" s="81"/>
    </row>
    <row r="8" spans="1:12" x14ac:dyDescent="0.25">
      <c r="A8" s="79">
        <v>42779</v>
      </c>
      <c r="B8" s="80" t="s">
        <v>95</v>
      </c>
      <c r="C8" s="80" t="s">
        <v>71</v>
      </c>
      <c r="D8" s="80" t="s">
        <v>0</v>
      </c>
      <c r="E8" s="80">
        <v>68427709</v>
      </c>
      <c r="F8" s="94">
        <v>-13000</v>
      </c>
      <c r="G8" s="77" t="s">
        <v>72</v>
      </c>
      <c r="H8" s="80" t="s">
        <v>73</v>
      </c>
      <c r="I8" s="80" t="s">
        <v>87</v>
      </c>
      <c r="J8" s="77">
        <v>2018</v>
      </c>
      <c r="K8" s="80" t="s">
        <v>75</v>
      </c>
      <c r="L8" s="81" t="s">
        <v>96</v>
      </c>
    </row>
    <row r="9" spans="1:12" x14ac:dyDescent="0.25">
      <c r="A9" s="79">
        <v>42779</v>
      </c>
      <c r="B9" s="80" t="s">
        <v>97</v>
      </c>
      <c r="C9" s="80" t="s">
        <v>91</v>
      </c>
      <c r="D9" s="80" t="s">
        <v>0</v>
      </c>
      <c r="E9" s="80">
        <v>68427709</v>
      </c>
      <c r="F9" s="94">
        <v>100000</v>
      </c>
      <c r="G9" s="77" t="s">
        <v>72</v>
      </c>
      <c r="H9" s="80" t="s">
        <v>73</v>
      </c>
      <c r="I9" s="80" t="s">
        <v>92</v>
      </c>
      <c r="J9" s="77">
        <v>2018</v>
      </c>
      <c r="K9" s="80" t="s">
        <v>93</v>
      </c>
      <c r="L9" s="81" t="s">
        <v>98</v>
      </c>
    </row>
    <row r="10" spans="1:12" x14ac:dyDescent="0.25">
      <c r="A10" s="79">
        <v>42779</v>
      </c>
      <c r="B10" s="80" t="s">
        <v>99</v>
      </c>
      <c r="C10" s="80" t="s">
        <v>100</v>
      </c>
      <c r="D10" s="80" t="s">
        <v>0</v>
      </c>
      <c r="E10" s="80">
        <v>68427709</v>
      </c>
      <c r="F10" s="94">
        <v>200000</v>
      </c>
      <c r="G10" s="77" t="s">
        <v>72</v>
      </c>
      <c r="H10" s="80" t="s">
        <v>73</v>
      </c>
      <c r="I10" s="80" t="s">
        <v>92</v>
      </c>
      <c r="J10" s="77">
        <v>2018</v>
      </c>
      <c r="K10" s="80" t="s">
        <v>93</v>
      </c>
      <c r="L10" s="81" t="s">
        <v>101</v>
      </c>
    </row>
    <row r="11" spans="1:12" x14ac:dyDescent="0.25">
      <c r="A11" s="79">
        <v>42779</v>
      </c>
      <c r="B11" s="80" t="s">
        <v>102</v>
      </c>
      <c r="C11" s="80" t="s">
        <v>103</v>
      </c>
      <c r="D11" s="80" t="s">
        <v>0</v>
      </c>
      <c r="E11" s="80">
        <v>68427709</v>
      </c>
      <c r="F11" s="94">
        <v>6000</v>
      </c>
      <c r="G11" s="77" t="s">
        <v>72</v>
      </c>
      <c r="H11" s="80" t="s">
        <v>73</v>
      </c>
      <c r="I11" s="80" t="s">
        <v>87</v>
      </c>
      <c r="J11" s="77">
        <v>2018</v>
      </c>
      <c r="K11" s="80" t="s">
        <v>104</v>
      </c>
      <c r="L11" s="81" t="s">
        <v>105</v>
      </c>
    </row>
    <row r="12" spans="1:12" x14ac:dyDescent="0.25">
      <c r="A12" s="79">
        <v>42779</v>
      </c>
      <c r="B12" s="80" t="s">
        <v>106</v>
      </c>
      <c r="C12" s="80" t="s">
        <v>107</v>
      </c>
      <c r="D12" s="80" t="s">
        <v>0</v>
      </c>
      <c r="E12" s="80">
        <v>68427709</v>
      </c>
      <c r="F12" s="94">
        <v>370000</v>
      </c>
      <c r="G12" s="77" t="s">
        <v>72</v>
      </c>
      <c r="H12" s="80" t="s">
        <v>73</v>
      </c>
      <c r="I12" s="80" t="s">
        <v>92</v>
      </c>
      <c r="J12" s="77">
        <v>2018</v>
      </c>
      <c r="K12" s="80" t="s">
        <v>93</v>
      </c>
      <c r="L12" s="81" t="s">
        <v>108</v>
      </c>
    </row>
    <row r="13" spans="1:12" x14ac:dyDescent="0.25">
      <c r="A13" s="79">
        <v>42769</v>
      </c>
      <c r="B13" s="80" t="s">
        <v>109</v>
      </c>
      <c r="C13" s="80" t="s">
        <v>110</v>
      </c>
      <c r="D13" s="80" t="s">
        <v>0</v>
      </c>
      <c r="E13" s="80">
        <v>68427709</v>
      </c>
      <c r="F13" s="94">
        <v>100000</v>
      </c>
      <c r="G13" s="77" t="s">
        <v>72</v>
      </c>
      <c r="H13" s="80" t="s">
        <v>73</v>
      </c>
      <c r="I13" s="80" t="s">
        <v>92</v>
      </c>
      <c r="J13" s="77">
        <v>2018</v>
      </c>
      <c r="K13" s="80" t="s">
        <v>75</v>
      </c>
      <c r="L13" s="81" t="s">
        <v>111</v>
      </c>
    </row>
    <row r="14" spans="1:12" x14ac:dyDescent="0.25">
      <c r="A14" s="79">
        <v>42797</v>
      </c>
      <c r="B14" s="80" t="s">
        <v>112</v>
      </c>
      <c r="C14" s="80" t="s">
        <v>113</v>
      </c>
      <c r="D14" s="80" t="s">
        <v>0</v>
      </c>
      <c r="E14" s="80">
        <v>68427709</v>
      </c>
      <c r="F14" s="94">
        <v>31000</v>
      </c>
      <c r="G14" s="77" t="s">
        <v>72</v>
      </c>
      <c r="H14" s="80" t="s">
        <v>73</v>
      </c>
      <c r="I14" s="80" t="s">
        <v>87</v>
      </c>
      <c r="J14" s="77">
        <v>2018</v>
      </c>
      <c r="K14" s="80" t="s">
        <v>114</v>
      </c>
      <c r="L14" s="81" t="s">
        <v>115</v>
      </c>
    </row>
    <row r="15" spans="1:12" x14ac:dyDescent="0.25">
      <c r="A15" s="79">
        <v>42919</v>
      </c>
      <c r="B15" s="80" t="s">
        <v>116</v>
      </c>
      <c r="C15" s="80" t="s">
        <v>117</v>
      </c>
      <c r="D15" s="80" t="s">
        <v>86</v>
      </c>
      <c r="E15" s="80">
        <v>68427709</v>
      </c>
      <c r="F15" s="94">
        <v>10000</v>
      </c>
      <c r="G15" s="77" t="s">
        <v>72</v>
      </c>
      <c r="H15" s="80" t="s">
        <v>73</v>
      </c>
      <c r="I15" s="80" t="s">
        <v>87</v>
      </c>
      <c r="J15" s="77">
        <v>2018</v>
      </c>
      <c r="K15" s="80" t="s">
        <v>118</v>
      </c>
      <c r="L15" s="81" t="s">
        <v>119</v>
      </c>
    </row>
    <row r="16" spans="1:12" x14ac:dyDescent="0.25">
      <c r="A16" s="79">
        <v>42919</v>
      </c>
      <c r="B16" s="80" t="s">
        <v>120</v>
      </c>
      <c r="C16" s="80" t="s">
        <v>121</v>
      </c>
      <c r="D16" s="80" t="s">
        <v>0</v>
      </c>
      <c r="E16" s="80">
        <v>68427709</v>
      </c>
      <c r="F16" s="94">
        <v>0</v>
      </c>
      <c r="G16" s="77" t="s">
        <v>72</v>
      </c>
      <c r="H16" s="80" t="s">
        <v>73</v>
      </c>
      <c r="I16" s="80" t="s">
        <v>87</v>
      </c>
      <c r="J16" s="77">
        <v>2018</v>
      </c>
      <c r="K16" s="80" t="s">
        <v>122</v>
      </c>
      <c r="L16" s="81" t="s">
        <v>123</v>
      </c>
    </row>
    <row r="17" spans="1:12" x14ac:dyDescent="0.25">
      <c r="A17" s="79">
        <v>42803</v>
      </c>
      <c r="B17" s="80" t="s">
        <v>124</v>
      </c>
      <c r="C17" s="80" t="s">
        <v>125</v>
      </c>
      <c r="D17" s="80" t="s">
        <v>86</v>
      </c>
      <c r="E17" s="80">
        <v>68427709</v>
      </c>
      <c r="F17" s="94">
        <v>6000</v>
      </c>
      <c r="G17" s="77" t="s">
        <v>72</v>
      </c>
      <c r="H17" s="80" t="s">
        <v>73</v>
      </c>
      <c r="I17" s="80" t="s">
        <v>87</v>
      </c>
      <c r="J17" s="77">
        <v>2018</v>
      </c>
      <c r="K17" s="80" t="s">
        <v>126</v>
      </c>
      <c r="L17" s="81" t="s">
        <v>127</v>
      </c>
    </row>
    <row r="18" spans="1:12" x14ac:dyDescent="0.25">
      <c r="A18" s="79">
        <v>42824</v>
      </c>
      <c r="B18" s="80" t="s">
        <v>128</v>
      </c>
      <c r="C18" s="80" t="s">
        <v>129</v>
      </c>
      <c r="D18" s="80" t="s">
        <v>86</v>
      </c>
      <c r="E18" s="80">
        <v>68427709</v>
      </c>
      <c r="F18" s="94">
        <v>365000</v>
      </c>
      <c r="G18" s="77" t="s">
        <v>72</v>
      </c>
      <c r="H18" s="80" t="s">
        <v>73</v>
      </c>
      <c r="I18" s="80" t="s">
        <v>74</v>
      </c>
      <c r="J18" s="77">
        <v>2018</v>
      </c>
      <c r="K18" s="80" t="s">
        <v>130</v>
      </c>
      <c r="L18" s="81" t="s">
        <v>131</v>
      </c>
    </row>
    <row r="19" spans="1:12" x14ac:dyDescent="0.25">
      <c r="A19" s="79">
        <v>42824</v>
      </c>
      <c r="B19" s="80" t="s">
        <v>132</v>
      </c>
      <c r="C19" s="80" t="s">
        <v>133</v>
      </c>
      <c r="D19" s="80" t="s">
        <v>86</v>
      </c>
      <c r="E19" s="80">
        <v>68427709</v>
      </c>
      <c r="F19" s="94">
        <v>310000</v>
      </c>
      <c r="G19" s="77" t="s">
        <v>72</v>
      </c>
      <c r="H19" s="80" t="s">
        <v>73</v>
      </c>
      <c r="I19" s="80" t="s">
        <v>74</v>
      </c>
      <c r="J19" s="77">
        <v>2018</v>
      </c>
      <c r="K19" s="80" t="s">
        <v>134</v>
      </c>
      <c r="L19" s="81" t="s">
        <v>135</v>
      </c>
    </row>
    <row r="20" spans="1:12" x14ac:dyDescent="0.25">
      <c r="A20" s="79">
        <v>42824</v>
      </c>
      <c r="B20" s="80" t="s">
        <v>136</v>
      </c>
      <c r="C20" s="80" t="s">
        <v>137</v>
      </c>
      <c r="D20" s="80" t="s">
        <v>86</v>
      </c>
      <c r="E20" s="80">
        <v>68427709</v>
      </c>
      <c r="F20" s="94">
        <v>22000</v>
      </c>
      <c r="G20" s="77" t="s">
        <v>72</v>
      </c>
      <c r="H20" s="80" t="s">
        <v>73</v>
      </c>
      <c r="I20" s="80" t="s">
        <v>92</v>
      </c>
      <c r="J20" s="77">
        <v>2018</v>
      </c>
      <c r="K20" s="80" t="s">
        <v>138</v>
      </c>
      <c r="L20" s="81"/>
    </row>
    <row r="21" spans="1:12" x14ac:dyDescent="0.25">
      <c r="A21" s="79">
        <v>42824</v>
      </c>
      <c r="B21" s="80" t="s">
        <v>139</v>
      </c>
      <c r="C21" s="80" t="s">
        <v>140</v>
      </c>
      <c r="D21" s="80" t="s">
        <v>86</v>
      </c>
      <c r="E21" s="80">
        <v>68427709</v>
      </c>
      <c r="F21" s="94">
        <v>132500</v>
      </c>
      <c r="G21" s="77" t="s">
        <v>72</v>
      </c>
      <c r="H21" s="80" t="s">
        <v>73</v>
      </c>
      <c r="I21" s="80" t="s">
        <v>87</v>
      </c>
      <c r="J21" s="77">
        <v>2018</v>
      </c>
      <c r="K21" s="80" t="s">
        <v>134</v>
      </c>
      <c r="L21" s="81" t="s">
        <v>141</v>
      </c>
    </row>
    <row r="22" spans="1:12" x14ac:dyDescent="0.25">
      <c r="A22" s="79">
        <v>42824</v>
      </c>
      <c r="B22" s="80" t="s">
        <v>142</v>
      </c>
      <c r="C22" s="80" t="s">
        <v>140</v>
      </c>
      <c r="D22" s="80" t="s">
        <v>86</v>
      </c>
      <c r="E22" s="80">
        <v>68427709</v>
      </c>
      <c r="F22" s="94">
        <v>210000</v>
      </c>
      <c r="G22" s="77" t="s">
        <v>72</v>
      </c>
      <c r="H22" s="80" t="s">
        <v>73</v>
      </c>
      <c r="I22" s="80" t="s">
        <v>87</v>
      </c>
      <c r="J22" s="77">
        <v>2018</v>
      </c>
      <c r="K22" s="80" t="s">
        <v>134</v>
      </c>
      <c r="L22" s="81" t="s">
        <v>141</v>
      </c>
    </row>
    <row r="23" spans="1:12" x14ac:dyDescent="0.25">
      <c r="A23" s="79">
        <v>42824</v>
      </c>
      <c r="B23" s="80" t="s">
        <v>143</v>
      </c>
      <c r="C23" s="80" t="s">
        <v>140</v>
      </c>
      <c r="D23" s="80" t="s">
        <v>86</v>
      </c>
      <c r="E23" s="80">
        <v>68427709</v>
      </c>
      <c r="F23" s="94">
        <v>62500</v>
      </c>
      <c r="G23" s="77" t="s">
        <v>72</v>
      </c>
      <c r="H23" s="80" t="s">
        <v>73</v>
      </c>
      <c r="I23" s="80" t="s">
        <v>87</v>
      </c>
      <c r="J23" s="77">
        <v>2018</v>
      </c>
      <c r="K23" s="80" t="s">
        <v>134</v>
      </c>
      <c r="L23" s="81" t="s">
        <v>141</v>
      </c>
    </row>
    <row r="24" spans="1:12" x14ac:dyDescent="0.25">
      <c r="A24" s="79">
        <v>42824</v>
      </c>
      <c r="B24" s="80" t="s">
        <v>144</v>
      </c>
      <c r="C24" s="80" t="s">
        <v>137</v>
      </c>
      <c r="D24" s="80" t="s">
        <v>0</v>
      </c>
      <c r="E24" s="80">
        <v>68427709</v>
      </c>
      <c r="F24" s="94">
        <v>60000</v>
      </c>
      <c r="G24" s="77" t="s">
        <v>72</v>
      </c>
      <c r="H24" s="80" t="s">
        <v>73</v>
      </c>
      <c r="I24" s="80" t="s">
        <v>92</v>
      </c>
      <c r="J24" s="77">
        <v>2018</v>
      </c>
      <c r="K24" s="80" t="s">
        <v>145</v>
      </c>
      <c r="L24" s="81" t="s">
        <v>146</v>
      </c>
    </row>
    <row r="25" spans="1:12" x14ac:dyDescent="0.25">
      <c r="A25" s="79">
        <v>42824</v>
      </c>
      <c r="B25" s="80" t="s">
        <v>147</v>
      </c>
      <c r="C25" s="80" t="s">
        <v>148</v>
      </c>
      <c r="D25" s="80" t="s">
        <v>0</v>
      </c>
      <c r="E25" s="80">
        <v>68427709</v>
      </c>
      <c r="F25" s="94">
        <v>180000</v>
      </c>
      <c r="G25" s="77" t="s">
        <v>72</v>
      </c>
      <c r="H25" s="80" t="s">
        <v>73</v>
      </c>
      <c r="I25" s="80" t="s">
        <v>74</v>
      </c>
      <c r="J25" s="77">
        <v>2018</v>
      </c>
      <c r="K25" s="80" t="s">
        <v>145</v>
      </c>
      <c r="L25" s="81" t="s">
        <v>149</v>
      </c>
    </row>
    <row r="26" spans="1:12" x14ac:dyDescent="0.25">
      <c r="A26" s="79">
        <v>42830</v>
      </c>
      <c r="B26" s="80" t="s">
        <v>150</v>
      </c>
      <c r="C26" s="80" t="s">
        <v>151</v>
      </c>
      <c r="D26" s="80" t="s">
        <v>0</v>
      </c>
      <c r="E26" s="80">
        <v>68427709</v>
      </c>
      <c r="F26" s="94">
        <v>85000</v>
      </c>
      <c r="G26" s="77" t="s">
        <v>72</v>
      </c>
      <c r="H26" s="80" t="s">
        <v>73</v>
      </c>
      <c r="I26" s="80" t="s">
        <v>92</v>
      </c>
      <c r="J26" s="77">
        <v>2018</v>
      </c>
      <c r="K26" s="80" t="s">
        <v>152</v>
      </c>
      <c r="L26" s="81"/>
    </row>
    <row r="27" spans="1:12" x14ac:dyDescent="0.25">
      <c r="A27" s="79">
        <v>42836</v>
      </c>
      <c r="B27" s="80" t="s">
        <v>153</v>
      </c>
      <c r="C27" s="80" t="s">
        <v>154</v>
      </c>
      <c r="D27" s="80" t="s">
        <v>0</v>
      </c>
      <c r="E27" s="80">
        <v>68427709</v>
      </c>
      <c r="F27" s="94">
        <v>30000</v>
      </c>
      <c r="G27" s="77" t="s">
        <v>72</v>
      </c>
      <c r="H27" s="80" t="s">
        <v>73</v>
      </c>
      <c r="I27" s="80" t="s">
        <v>155</v>
      </c>
      <c r="J27" s="77">
        <v>2018</v>
      </c>
      <c r="K27" s="80" t="s">
        <v>156</v>
      </c>
      <c r="L27" s="81" t="s">
        <v>157</v>
      </c>
    </row>
    <row r="28" spans="1:12" x14ac:dyDescent="0.25">
      <c r="A28" s="79">
        <v>42850</v>
      </c>
      <c r="B28" s="80" t="s">
        <v>158</v>
      </c>
      <c r="C28" s="80" t="s">
        <v>159</v>
      </c>
      <c r="D28" s="80" t="s">
        <v>0</v>
      </c>
      <c r="E28" s="80">
        <v>68427709</v>
      </c>
      <c r="F28" s="94">
        <v>130000</v>
      </c>
      <c r="G28" s="77" t="s">
        <v>72</v>
      </c>
      <c r="H28" s="80" t="s">
        <v>73</v>
      </c>
      <c r="I28" s="80" t="s">
        <v>160</v>
      </c>
      <c r="J28" s="77">
        <v>2018</v>
      </c>
      <c r="K28" s="80" t="s">
        <v>145</v>
      </c>
      <c r="L28" s="81" t="s">
        <v>161</v>
      </c>
    </row>
    <row r="29" spans="1:12" x14ac:dyDescent="0.25">
      <c r="A29" s="79">
        <v>42851</v>
      </c>
      <c r="B29" s="80" t="s">
        <v>162</v>
      </c>
      <c r="C29" s="80" t="s">
        <v>140</v>
      </c>
      <c r="D29" s="80" t="s">
        <v>0</v>
      </c>
      <c r="E29" s="80">
        <v>68427709</v>
      </c>
      <c r="F29" s="94">
        <v>10000</v>
      </c>
      <c r="G29" s="77" t="s">
        <v>72</v>
      </c>
      <c r="H29" s="80" t="s">
        <v>73</v>
      </c>
      <c r="I29" s="80" t="s">
        <v>163</v>
      </c>
      <c r="J29" s="77">
        <v>2018</v>
      </c>
      <c r="K29" s="80" t="s">
        <v>145</v>
      </c>
      <c r="L29" s="81" t="s">
        <v>164</v>
      </c>
    </row>
    <row r="30" spans="1:12" x14ac:dyDescent="0.25">
      <c r="A30" s="79">
        <v>42513</v>
      </c>
      <c r="B30" s="80" t="s">
        <v>165</v>
      </c>
      <c r="C30" s="80" t="s">
        <v>166</v>
      </c>
      <c r="D30" s="80"/>
      <c r="E30" s="80">
        <v>68427709</v>
      </c>
      <c r="F30" s="94">
        <v>20000</v>
      </c>
      <c r="G30" s="77" t="s">
        <v>72</v>
      </c>
      <c r="H30" s="80" t="s">
        <v>73</v>
      </c>
      <c r="I30" s="80" t="s">
        <v>87</v>
      </c>
      <c r="J30" s="77">
        <v>2018</v>
      </c>
      <c r="K30" s="80" t="s">
        <v>122</v>
      </c>
      <c r="L30" s="81"/>
    </row>
    <row r="31" spans="1:12" x14ac:dyDescent="0.25">
      <c r="A31" s="79">
        <v>42879</v>
      </c>
      <c r="B31" s="80" t="s">
        <v>167</v>
      </c>
      <c r="C31" s="80" t="s">
        <v>137</v>
      </c>
      <c r="D31" s="80" t="s">
        <v>0</v>
      </c>
      <c r="E31" s="80">
        <v>68427709</v>
      </c>
      <c r="F31" s="94">
        <v>40000</v>
      </c>
      <c r="G31" s="77" t="s">
        <v>72</v>
      </c>
      <c r="H31" s="80" t="s">
        <v>168</v>
      </c>
      <c r="I31" s="80" t="s">
        <v>92</v>
      </c>
      <c r="J31" s="77">
        <v>2018</v>
      </c>
      <c r="K31" s="80" t="s">
        <v>156</v>
      </c>
      <c r="L31" s="81" t="s">
        <v>169</v>
      </c>
    </row>
    <row r="32" spans="1:12" x14ac:dyDescent="0.25">
      <c r="A32" s="79">
        <v>42879</v>
      </c>
      <c r="B32" s="80" t="s">
        <v>170</v>
      </c>
      <c r="C32" s="80" t="s">
        <v>137</v>
      </c>
      <c r="D32" s="80" t="s">
        <v>0</v>
      </c>
      <c r="E32" s="80">
        <v>68427709</v>
      </c>
      <c r="F32" s="94">
        <v>200000</v>
      </c>
      <c r="G32" s="77" t="s">
        <v>72</v>
      </c>
      <c r="H32" s="80" t="s">
        <v>73</v>
      </c>
      <c r="I32" s="80" t="s">
        <v>92</v>
      </c>
      <c r="J32" s="77">
        <v>2018</v>
      </c>
      <c r="K32" s="80" t="s">
        <v>171</v>
      </c>
      <c r="L32" s="81" t="s">
        <v>172</v>
      </c>
    </row>
    <row r="33" spans="1:12" x14ac:dyDescent="0.25">
      <c r="A33" s="79">
        <v>42879</v>
      </c>
      <c r="B33" s="80" t="s">
        <v>170</v>
      </c>
      <c r="C33" s="80" t="s">
        <v>173</v>
      </c>
      <c r="D33" s="80" t="s">
        <v>0</v>
      </c>
      <c r="E33" s="80">
        <v>68427709</v>
      </c>
      <c r="F33" s="94">
        <v>13600</v>
      </c>
      <c r="G33" s="77" t="s">
        <v>72</v>
      </c>
      <c r="H33" s="80" t="s">
        <v>73</v>
      </c>
      <c r="I33" s="80" t="s">
        <v>174</v>
      </c>
      <c r="J33" s="77">
        <v>2018</v>
      </c>
      <c r="K33" s="80" t="s">
        <v>171</v>
      </c>
      <c r="L33" s="81" t="s">
        <v>175</v>
      </c>
    </row>
    <row r="34" spans="1:12" x14ac:dyDescent="0.25">
      <c r="A34" s="79">
        <v>42884</v>
      </c>
      <c r="B34" s="80" t="s">
        <v>176</v>
      </c>
      <c r="C34" s="80" t="s">
        <v>140</v>
      </c>
      <c r="D34" s="80" t="s">
        <v>0</v>
      </c>
      <c r="E34" s="80">
        <v>68427709</v>
      </c>
      <c r="F34" s="94">
        <v>70000</v>
      </c>
      <c r="G34" s="77" t="s">
        <v>72</v>
      </c>
      <c r="H34" s="80" t="s">
        <v>73</v>
      </c>
      <c r="I34" s="80" t="s">
        <v>87</v>
      </c>
      <c r="J34" s="77">
        <v>2018</v>
      </c>
      <c r="K34" s="80" t="s">
        <v>130</v>
      </c>
      <c r="L34" s="81" t="s">
        <v>177</v>
      </c>
    </row>
    <row r="35" spans="1:12" x14ac:dyDescent="0.25">
      <c r="A35" s="79">
        <v>42884</v>
      </c>
      <c r="B35" s="80" t="s">
        <v>178</v>
      </c>
      <c r="C35" s="80" t="s">
        <v>179</v>
      </c>
      <c r="D35" s="80" t="s">
        <v>0</v>
      </c>
      <c r="E35" s="80">
        <v>68427709</v>
      </c>
      <c r="F35" s="94">
        <v>-30000</v>
      </c>
      <c r="G35" s="77" t="s">
        <v>72</v>
      </c>
      <c r="H35" s="80" t="s">
        <v>73</v>
      </c>
      <c r="I35" s="80" t="s">
        <v>92</v>
      </c>
      <c r="J35" s="77">
        <v>2018</v>
      </c>
      <c r="K35" s="80"/>
      <c r="L35" s="81" t="s">
        <v>180</v>
      </c>
    </row>
    <row r="36" spans="1:12" x14ac:dyDescent="0.25">
      <c r="A36" s="79">
        <v>42884</v>
      </c>
      <c r="B36" s="80" t="s">
        <v>181</v>
      </c>
      <c r="C36" s="80" t="s">
        <v>182</v>
      </c>
      <c r="D36" s="80" t="s">
        <v>0</v>
      </c>
      <c r="E36" s="80">
        <v>68427709</v>
      </c>
      <c r="F36" s="94">
        <v>20000</v>
      </c>
      <c r="G36" s="77" t="s">
        <v>72</v>
      </c>
      <c r="H36" s="80" t="s">
        <v>73</v>
      </c>
      <c r="I36" s="80" t="s">
        <v>92</v>
      </c>
      <c r="J36" s="77">
        <v>2018</v>
      </c>
      <c r="K36" s="80"/>
      <c r="L36" s="81" t="s">
        <v>183</v>
      </c>
    </row>
    <row r="37" spans="1:12" x14ac:dyDescent="0.25">
      <c r="A37" s="79">
        <v>42953</v>
      </c>
      <c r="B37" s="22" t="s">
        <v>184</v>
      </c>
      <c r="C37" s="22" t="s">
        <v>185</v>
      </c>
      <c r="D37" s="22" t="s">
        <v>0</v>
      </c>
      <c r="E37" s="22">
        <v>68427709</v>
      </c>
      <c r="F37" s="94">
        <v>21000</v>
      </c>
      <c r="G37" s="77" t="s">
        <v>72</v>
      </c>
      <c r="H37" s="80" t="s">
        <v>73</v>
      </c>
      <c r="I37" s="80" t="s">
        <v>87</v>
      </c>
      <c r="J37" s="77">
        <v>2018</v>
      </c>
      <c r="K37" s="80" t="s">
        <v>186</v>
      </c>
      <c r="L37" s="81" t="s">
        <v>187</v>
      </c>
    </row>
    <row r="38" spans="1:12" x14ac:dyDescent="0.25">
      <c r="A38" s="82">
        <v>42953</v>
      </c>
      <c r="B38" s="80" t="s">
        <v>188</v>
      </c>
      <c r="C38" s="80" t="s">
        <v>185</v>
      </c>
      <c r="D38" s="80" t="s">
        <v>86</v>
      </c>
      <c r="E38" s="80">
        <v>68427709</v>
      </c>
      <c r="F38" s="94">
        <v>12000</v>
      </c>
      <c r="G38" s="77" t="s">
        <v>72</v>
      </c>
      <c r="H38" s="80" t="s">
        <v>73</v>
      </c>
      <c r="I38" s="80" t="s">
        <v>87</v>
      </c>
      <c r="J38" s="77">
        <v>2018</v>
      </c>
      <c r="K38" s="80" t="s">
        <v>189</v>
      </c>
      <c r="L38" s="80" t="s">
        <v>190</v>
      </c>
    </row>
    <row r="39" spans="1:12" x14ac:dyDescent="0.25">
      <c r="A39" s="83">
        <v>42905</v>
      </c>
      <c r="B39" s="80" t="s">
        <v>191</v>
      </c>
      <c r="C39" s="80" t="s">
        <v>192</v>
      </c>
      <c r="D39" s="80" t="s">
        <v>0</v>
      </c>
      <c r="E39" s="80">
        <v>68427709</v>
      </c>
      <c r="F39" s="94">
        <v>5000</v>
      </c>
      <c r="G39" s="77" t="s">
        <v>72</v>
      </c>
      <c r="H39" s="80" t="s">
        <v>73</v>
      </c>
      <c r="I39" s="80" t="s">
        <v>87</v>
      </c>
      <c r="J39" s="77">
        <v>2018</v>
      </c>
      <c r="K39" s="80" t="s">
        <v>193</v>
      </c>
      <c r="L39" s="80" t="s">
        <v>194</v>
      </c>
    </row>
    <row r="40" spans="1:12" x14ac:dyDescent="0.25">
      <c r="A40" s="83">
        <v>42913</v>
      </c>
      <c r="B40" s="80" t="s">
        <v>195</v>
      </c>
      <c r="C40" s="80" t="s">
        <v>196</v>
      </c>
      <c r="D40" s="80" t="s">
        <v>0</v>
      </c>
      <c r="E40" s="80">
        <v>68427709</v>
      </c>
      <c r="F40" s="94">
        <v>130000</v>
      </c>
      <c r="G40" s="77" t="s">
        <v>72</v>
      </c>
      <c r="H40" s="80" t="s">
        <v>73</v>
      </c>
      <c r="I40" s="80" t="s">
        <v>87</v>
      </c>
      <c r="J40" s="77">
        <v>2018</v>
      </c>
      <c r="K40" s="80" t="s">
        <v>197</v>
      </c>
      <c r="L40" s="80" t="s">
        <v>198</v>
      </c>
    </row>
    <row r="41" spans="1:12" x14ac:dyDescent="0.25">
      <c r="A41" s="83">
        <v>42913</v>
      </c>
      <c r="B41" s="80" t="s">
        <v>199</v>
      </c>
      <c r="C41" s="80" t="s">
        <v>200</v>
      </c>
      <c r="D41" s="80"/>
      <c r="E41" s="80">
        <v>68427709</v>
      </c>
      <c r="F41" s="94">
        <v>120000</v>
      </c>
      <c r="G41" s="77" t="s">
        <v>72</v>
      </c>
      <c r="H41" s="80" t="s">
        <v>73</v>
      </c>
      <c r="I41" s="80" t="s">
        <v>87</v>
      </c>
      <c r="J41" s="77">
        <v>2018</v>
      </c>
      <c r="K41" s="80" t="s">
        <v>201</v>
      </c>
      <c r="L41" s="80" t="s">
        <v>202</v>
      </c>
    </row>
    <row r="42" spans="1:12" x14ac:dyDescent="0.25">
      <c r="A42" s="83">
        <v>42913</v>
      </c>
      <c r="B42" s="80" t="s">
        <v>203</v>
      </c>
      <c r="C42" s="80" t="s">
        <v>204</v>
      </c>
      <c r="D42" s="80" t="s">
        <v>0</v>
      </c>
      <c r="E42" s="80">
        <v>68427709</v>
      </c>
      <c r="F42" s="94">
        <v>372000</v>
      </c>
      <c r="G42" s="77" t="s">
        <v>72</v>
      </c>
      <c r="H42" s="80" t="s">
        <v>73</v>
      </c>
      <c r="I42" s="80" t="s">
        <v>74</v>
      </c>
      <c r="J42" s="77">
        <v>2018</v>
      </c>
      <c r="K42" s="80" t="s">
        <v>205</v>
      </c>
      <c r="L42" s="80"/>
    </row>
    <row r="43" spans="1:12" x14ac:dyDescent="0.25">
      <c r="A43" s="83">
        <v>42913</v>
      </c>
      <c r="B43" s="80" t="s">
        <v>203</v>
      </c>
      <c r="C43" s="80" t="s">
        <v>206</v>
      </c>
      <c r="D43" s="80" t="s">
        <v>0</v>
      </c>
      <c r="E43" s="80">
        <v>68427709</v>
      </c>
      <c r="F43" s="94">
        <v>34000</v>
      </c>
      <c r="G43" s="77" t="s">
        <v>72</v>
      </c>
      <c r="H43" s="80" t="s">
        <v>73</v>
      </c>
      <c r="I43" s="80" t="s">
        <v>207</v>
      </c>
      <c r="J43" s="77">
        <v>2018</v>
      </c>
      <c r="K43" s="80" t="s">
        <v>205</v>
      </c>
      <c r="L43" s="80"/>
    </row>
    <row r="44" spans="1:12" x14ac:dyDescent="0.25">
      <c r="A44" s="83">
        <v>42921</v>
      </c>
      <c r="B44" s="80" t="s">
        <v>208</v>
      </c>
      <c r="C44" s="80" t="s">
        <v>209</v>
      </c>
      <c r="D44" s="80" t="s">
        <v>0</v>
      </c>
      <c r="E44" s="80">
        <v>68427709</v>
      </c>
      <c r="F44" s="94">
        <v>26000</v>
      </c>
      <c r="G44" s="77" t="s">
        <v>72</v>
      </c>
      <c r="H44" s="80" t="s">
        <v>210</v>
      </c>
      <c r="I44" s="80" t="s">
        <v>87</v>
      </c>
      <c r="J44" s="77">
        <v>2018</v>
      </c>
      <c r="K44" s="80" t="s">
        <v>211</v>
      </c>
      <c r="L44" s="80" t="s">
        <v>212</v>
      </c>
    </row>
    <row r="45" spans="1:12" x14ac:dyDescent="0.25">
      <c r="A45" s="83">
        <v>42921</v>
      </c>
      <c r="B45" s="80" t="s">
        <v>213</v>
      </c>
      <c r="C45" s="80" t="s">
        <v>214</v>
      </c>
      <c r="D45" s="80"/>
      <c r="E45" s="80">
        <v>68427709</v>
      </c>
      <c r="F45" s="94">
        <v>-11000</v>
      </c>
      <c r="G45" s="77" t="s">
        <v>72</v>
      </c>
      <c r="H45" s="80" t="s">
        <v>73</v>
      </c>
      <c r="I45" s="80" t="s">
        <v>74</v>
      </c>
      <c r="J45" s="77">
        <v>2018</v>
      </c>
      <c r="K45" s="80" t="s">
        <v>211</v>
      </c>
      <c r="L45" s="80" t="s">
        <v>215</v>
      </c>
    </row>
    <row r="46" spans="1:12" x14ac:dyDescent="0.25">
      <c r="A46" s="83">
        <v>42921</v>
      </c>
      <c r="B46" s="80" t="s">
        <v>216</v>
      </c>
      <c r="C46" s="80" t="s">
        <v>217</v>
      </c>
      <c r="D46" s="80" t="s">
        <v>0</v>
      </c>
      <c r="E46" s="80">
        <v>68427709</v>
      </c>
      <c r="F46" s="94">
        <v>11000</v>
      </c>
      <c r="G46" s="77" t="s">
        <v>72</v>
      </c>
      <c r="H46" s="80" t="s">
        <v>73</v>
      </c>
      <c r="I46" s="80" t="s">
        <v>87</v>
      </c>
      <c r="J46" s="77">
        <v>2018</v>
      </c>
      <c r="K46" s="80" t="s">
        <v>218</v>
      </c>
      <c r="L46" s="80" t="s">
        <v>219</v>
      </c>
    </row>
    <row r="47" spans="1:12" x14ac:dyDescent="0.25">
      <c r="A47" s="83">
        <v>42923</v>
      </c>
      <c r="B47" s="80" t="s">
        <v>220</v>
      </c>
      <c r="C47" s="80" t="s">
        <v>221</v>
      </c>
      <c r="D47" s="80" t="s">
        <v>0</v>
      </c>
      <c r="E47" s="80">
        <v>68427709</v>
      </c>
      <c r="F47" s="94">
        <v>-25000</v>
      </c>
      <c r="G47" s="80" t="s">
        <v>72</v>
      </c>
      <c r="H47" s="80" t="s">
        <v>73</v>
      </c>
      <c r="I47" s="80" t="s">
        <v>87</v>
      </c>
      <c r="J47" s="77">
        <v>2018</v>
      </c>
      <c r="K47" s="80" t="s">
        <v>222</v>
      </c>
      <c r="L47" s="80" t="s">
        <v>223</v>
      </c>
    </row>
    <row r="48" spans="1:12" x14ac:dyDescent="0.25">
      <c r="A48" s="83">
        <v>42923</v>
      </c>
      <c r="B48" s="80" t="s">
        <v>224</v>
      </c>
      <c r="C48" s="80" t="s">
        <v>221</v>
      </c>
      <c r="D48" s="80" t="s">
        <v>0</v>
      </c>
      <c r="E48" s="80">
        <v>68427709</v>
      </c>
      <c r="F48" s="94">
        <v>16000</v>
      </c>
      <c r="G48" s="80" t="s">
        <v>72</v>
      </c>
      <c r="H48" s="80" t="s">
        <v>73</v>
      </c>
      <c r="I48" s="80" t="s">
        <v>87</v>
      </c>
      <c r="J48" s="77">
        <v>2018</v>
      </c>
      <c r="K48" s="80" t="s">
        <v>222</v>
      </c>
      <c r="L48" s="80" t="s">
        <v>225</v>
      </c>
    </row>
    <row r="49" spans="1:12" x14ac:dyDescent="0.25">
      <c r="A49" s="83">
        <v>42923</v>
      </c>
      <c r="B49" s="80" t="s">
        <v>226</v>
      </c>
      <c r="C49" s="80" t="s">
        <v>221</v>
      </c>
      <c r="D49" s="80" t="s">
        <v>0</v>
      </c>
      <c r="E49" s="80">
        <v>68427709</v>
      </c>
      <c r="F49" s="94">
        <v>6000</v>
      </c>
      <c r="G49" s="80" t="s">
        <v>72</v>
      </c>
      <c r="H49" s="80" t="s">
        <v>73</v>
      </c>
      <c r="I49" s="80" t="s">
        <v>87</v>
      </c>
      <c r="J49" s="77">
        <v>2018</v>
      </c>
      <c r="K49" s="80"/>
      <c r="L49" s="80" t="s">
        <v>227</v>
      </c>
    </row>
    <row r="50" spans="1:12" x14ac:dyDescent="0.25">
      <c r="A50" s="83">
        <v>42923</v>
      </c>
      <c r="B50" s="80" t="s">
        <v>228</v>
      </c>
      <c r="C50" s="80" t="s">
        <v>229</v>
      </c>
      <c r="D50" s="80"/>
      <c r="E50" s="80">
        <v>68427709</v>
      </c>
      <c r="F50" s="94">
        <v>-75000</v>
      </c>
      <c r="G50" s="80" t="s">
        <v>72</v>
      </c>
      <c r="H50" s="80" t="s">
        <v>73</v>
      </c>
      <c r="I50" s="80" t="s">
        <v>87</v>
      </c>
      <c r="J50" s="77">
        <v>2018</v>
      </c>
      <c r="K50" s="80" t="s">
        <v>222</v>
      </c>
      <c r="L50" s="80" t="s">
        <v>230</v>
      </c>
    </row>
    <row r="51" spans="1:12" x14ac:dyDescent="0.25">
      <c r="A51" s="83">
        <v>42923</v>
      </c>
      <c r="B51" s="80" t="s">
        <v>209</v>
      </c>
      <c r="C51" s="80" t="s">
        <v>221</v>
      </c>
      <c r="D51" s="80" t="s">
        <v>0</v>
      </c>
      <c r="E51" s="80">
        <v>68427709</v>
      </c>
      <c r="F51" s="94">
        <v>15000</v>
      </c>
      <c r="G51" s="80" t="s">
        <v>72</v>
      </c>
      <c r="H51" s="80" t="s">
        <v>73</v>
      </c>
      <c r="I51" s="80" t="s">
        <v>163</v>
      </c>
      <c r="J51" s="77">
        <v>2018</v>
      </c>
      <c r="K51" s="80" t="s">
        <v>211</v>
      </c>
      <c r="L51" s="80" t="s">
        <v>231</v>
      </c>
    </row>
    <row r="52" spans="1:12" x14ac:dyDescent="0.25">
      <c r="A52" s="83">
        <v>42923</v>
      </c>
      <c r="B52" s="80" t="s">
        <v>232</v>
      </c>
      <c r="C52" s="80" t="s">
        <v>233</v>
      </c>
      <c r="D52" s="80" t="s">
        <v>0</v>
      </c>
      <c r="E52" s="80">
        <v>68427709</v>
      </c>
      <c r="F52" s="94">
        <v>54000</v>
      </c>
      <c r="G52" s="80" t="s">
        <v>72</v>
      </c>
      <c r="H52" s="80" t="s">
        <v>73</v>
      </c>
      <c r="I52" s="80" t="s">
        <v>87</v>
      </c>
      <c r="J52" s="77">
        <v>2018</v>
      </c>
      <c r="K52" s="80" t="s">
        <v>197</v>
      </c>
      <c r="L52" s="80"/>
    </row>
    <row r="53" spans="1:12" x14ac:dyDescent="0.25">
      <c r="A53" s="83">
        <v>42926</v>
      </c>
      <c r="B53" s="80" t="s">
        <v>94</v>
      </c>
      <c r="C53" s="80" t="s">
        <v>221</v>
      </c>
      <c r="D53" s="80" t="s">
        <v>0</v>
      </c>
      <c r="E53" s="80">
        <v>68427709</v>
      </c>
      <c r="F53" s="94">
        <v>105000</v>
      </c>
      <c r="G53" s="80" t="s">
        <v>72</v>
      </c>
      <c r="H53" s="80" t="s">
        <v>73</v>
      </c>
      <c r="I53" s="80" t="s">
        <v>87</v>
      </c>
      <c r="J53" s="77">
        <v>2018</v>
      </c>
      <c r="K53" s="80" t="s">
        <v>234</v>
      </c>
      <c r="L53" s="80" t="s">
        <v>235</v>
      </c>
    </row>
    <row r="54" spans="1:12" x14ac:dyDescent="0.25">
      <c r="A54" s="83">
        <v>42926</v>
      </c>
      <c r="B54" s="80" t="s">
        <v>236</v>
      </c>
      <c r="C54" s="80" t="s">
        <v>237</v>
      </c>
      <c r="D54" s="80" t="s">
        <v>86</v>
      </c>
      <c r="E54" s="80">
        <v>68427709</v>
      </c>
      <c r="F54" s="94">
        <v>60000</v>
      </c>
      <c r="G54" s="80" t="s">
        <v>72</v>
      </c>
      <c r="H54" s="80" t="s">
        <v>73</v>
      </c>
      <c r="I54" s="80" t="s">
        <v>87</v>
      </c>
      <c r="J54" s="77">
        <v>2018</v>
      </c>
      <c r="K54" s="80" t="s">
        <v>238</v>
      </c>
      <c r="L54" s="80" t="s">
        <v>239</v>
      </c>
    </row>
    <row r="55" spans="1:12" x14ac:dyDescent="0.25">
      <c r="A55" s="83">
        <v>42928</v>
      </c>
      <c r="B55" s="80" t="s">
        <v>240</v>
      </c>
      <c r="C55" s="80" t="s">
        <v>221</v>
      </c>
      <c r="D55" s="80" t="s">
        <v>86</v>
      </c>
      <c r="E55" s="80">
        <v>68427709</v>
      </c>
      <c r="F55" s="94">
        <v>5500</v>
      </c>
      <c r="G55" s="80" t="s">
        <v>72</v>
      </c>
      <c r="H55" s="80" t="s">
        <v>73</v>
      </c>
      <c r="I55" s="80" t="s">
        <v>87</v>
      </c>
      <c r="J55" s="77">
        <v>2018</v>
      </c>
      <c r="K55" s="80" t="s">
        <v>130</v>
      </c>
      <c r="L55" s="80" t="s">
        <v>241</v>
      </c>
    </row>
    <row r="56" spans="1:12" x14ac:dyDescent="0.25">
      <c r="A56" s="83">
        <v>42928</v>
      </c>
      <c r="B56" s="80" t="s">
        <v>242</v>
      </c>
      <c r="C56" s="80" t="s">
        <v>221</v>
      </c>
      <c r="D56" s="80" t="s">
        <v>86</v>
      </c>
      <c r="E56" s="80">
        <v>68427709</v>
      </c>
      <c r="F56" s="94">
        <v>40000</v>
      </c>
      <c r="G56" s="80" t="s">
        <v>72</v>
      </c>
      <c r="H56" s="80" t="s">
        <v>73</v>
      </c>
      <c r="I56" s="80" t="s">
        <v>87</v>
      </c>
      <c r="J56" s="77">
        <v>2018</v>
      </c>
      <c r="K56" s="80" t="s">
        <v>130</v>
      </c>
      <c r="L56" s="80" t="s">
        <v>241</v>
      </c>
    </row>
    <row r="57" spans="1:12" x14ac:dyDescent="0.25">
      <c r="A57" s="83">
        <v>42928</v>
      </c>
      <c r="B57" s="80" t="s">
        <v>243</v>
      </c>
      <c r="C57" s="80" t="s">
        <v>221</v>
      </c>
      <c r="D57" s="80" t="s">
        <v>86</v>
      </c>
      <c r="E57" s="80">
        <v>68427709</v>
      </c>
      <c r="F57" s="94">
        <v>25000</v>
      </c>
      <c r="G57" s="80" t="s">
        <v>72</v>
      </c>
      <c r="H57" s="80" t="s">
        <v>73</v>
      </c>
      <c r="I57" s="80" t="s">
        <v>87</v>
      </c>
      <c r="J57" s="77">
        <v>2018</v>
      </c>
      <c r="K57" s="80" t="s">
        <v>130</v>
      </c>
      <c r="L57" s="80"/>
    </row>
    <row r="58" spans="1:12" x14ac:dyDescent="0.25">
      <c r="A58" s="83">
        <v>42928</v>
      </c>
      <c r="B58" s="80" t="s">
        <v>244</v>
      </c>
      <c r="C58" s="80" t="s">
        <v>221</v>
      </c>
      <c r="D58" s="80"/>
      <c r="E58" s="80">
        <v>68427709</v>
      </c>
      <c r="F58" s="94">
        <v>300000</v>
      </c>
      <c r="G58" s="80" t="s">
        <v>72</v>
      </c>
      <c r="H58" s="80" t="s">
        <v>73</v>
      </c>
      <c r="I58" s="80" t="s">
        <v>87</v>
      </c>
      <c r="J58" s="77">
        <v>2018</v>
      </c>
      <c r="K58" s="80" t="s">
        <v>130</v>
      </c>
      <c r="L58" s="80"/>
    </row>
    <row r="59" spans="1:12" x14ac:dyDescent="0.25">
      <c r="A59" s="83">
        <v>42928</v>
      </c>
      <c r="B59" s="80" t="s">
        <v>245</v>
      </c>
      <c r="C59" s="80" t="s">
        <v>221</v>
      </c>
      <c r="D59" s="80"/>
      <c r="E59" s="80">
        <v>68427709</v>
      </c>
      <c r="F59" s="94">
        <v>-15000</v>
      </c>
      <c r="G59" s="80" t="s">
        <v>72</v>
      </c>
      <c r="H59" s="80" t="s">
        <v>73</v>
      </c>
      <c r="I59" s="80" t="s">
        <v>87</v>
      </c>
      <c r="J59" s="77">
        <v>2018</v>
      </c>
      <c r="K59" s="80" t="s">
        <v>152</v>
      </c>
      <c r="L59" s="80" t="s">
        <v>246</v>
      </c>
    </row>
    <row r="60" spans="1:12" x14ac:dyDescent="0.25">
      <c r="A60" s="83">
        <v>42928</v>
      </c>
      <c r="B60" s="80" t="s">
        <v>247</v>
      </c>
      <c r="C60" s="80" t="s">
        <v>248</v>
      </c>
      <c r="D60" s="80"/>
      <c r="E60" s="80">
        <v>68427709</v>
      </c>
      <c r="F60" s="94">
        <v>-60000</v>
      </c>
      <c r="G60" s="80" t="s">
        <v>72</v>
      </c>
      <c r="H60" s="80" t="s">
        <v>73</v>
      </c>
      <c r="I60" s="80" t="s">
        <v>87</v>
      </c>
      <c r="J60" s="77">
        <v>2018</v>
      </c>
      <c r="K60" s="80" t="s">
        <v>249</v>
      </c>
      <c r="L60" s="80" t="s">
        <v>250</v>
      </c>
    </row>
    <row r="61" spans="1:12" x14ac:dyDescent="0.25">
      <c r="A61" s="83">
        <v>42928</v>
      </c>
      <c r="B61" s="80" t="s">
        <v>251</v>
      </c>
      <c r="C61" s="80" t="s">
        <v>252</v>
      </c>
      <c r="D61" s="80"/>
      <c r="E61" s="80">
        <v>68427709</v>
      </c>
      <c r="F61" s="94">
        <v>50000</v>
      </c>
      <c r="G61" s="80" t="s">
        <v>72</v>
      </c>
      <c r="H61" s="80" t="s">
        <v>73</v>
      </c>
      <c r="I61" s="80" t="s">
        <v>74</v>
      </c>
      <c r="J61" s="77">
        <v>2018</v>
      </c>
      <c r="K61" s="80" t="s">
        <v>156</v>
      </c>
      <c r="L61" s="80" t="s">
        <v>253</v>
      </c>
    </row>
    <row r="62" spans="1:12" x14ac:dyDescent="0.25">
      <c r="A62" s="83">
        <v>42930</v>
      </c>
      <c r="B62" s="80" t="s">
        <v>254</v>
      </c>
      <c r="C62" s="80" t="s">
        <v>255</v>
      </c>
      <c r="D62" s="80"/>
      <c r="E62" s="80">
        <v>68427709</v>
      </c>
      <c r="F62" s="94">
        <v>1500</v>
      </c>
      <c r="G62" s="80" t="s">
        <v>72</v>
      </c>
      <c r="H62" s="80" t="s">
        <v>73</v>
      </c>
      <c r="I62" s="80" t="s">
        <v>87</v>
      </c>
      <c r="J62" s="77">
        <v>2018</v>
      </c>
      <c r="K62" s="80" t="s">
        <v>256</v>
      </c>
      <c r="L62" s="80" t="s">
        <v>257</v>
      </c>
    </row>
    <row r="63" spans="1:12" x14ac:dyDescent="0.25">
      <c r="A63" s="83">
        <v>42940</v>
      </c>
      <c r="B63" s="80" t="s">
        <v>258</v>
      </c>
      <c r="C63" s="80" t="s">
        <v>259</v>
      </c>
      <c r="D63" s="80"/>
      <c r="E63" s="80">
        <v>68427709</v>
      </c>
      <c r="F63" s="94">
        <v>30000</v>
      </c>
      <c r="G63" s="80" t="s">
        <v>72</v>
      </c>
      <c r="H63" s="80" t="s">
        <v>73</v>
      </c>
      <c r="I63" s="80" t="s">
        <v>87</v>
      </c>
      <c r="J63" s="77">
        <v>2018</v>
      </c>
      <c r="K63" s="80" t="s">
        <v>211</v>
      </c>
      <c r="L63" s="80"/>
    </row>
    <row r="64" spans="1:12" x14ac:dyDescent="0.25">
      <c r="A64" s="83">
        <v>42944</v>
      </c>
      <c r="B64" s="80" t="s">
        <v>260</v>
      </c>
      <c r="C64" s="80" t="s">
        <v>221</v>
      </c>
      <c r="D64" s="80" t="s">
        <v>0</v>
      </c>
      <c r="E64" s="80">
        <v>68427709</v>
      </c>
      <c r="F64" s="94">
        <v>870000</v>
      </c>
      <c r="G64" s="80" t="s">
        <v>261</v>
      </c>
      <c r="H64" s="80" t="s">
        <v>73</v>
      </c>
      <c r="I64" s="80" t="s">
        <v>87</v>
      </c>
      <c r="J64" s="77">
        <v>2018</v>
      </c>
      <c r="K64" s="80" t="s">
        <v>262</v>
      </c>
      <c r="L64" s="80" t="s">
        <v>263</v>
      </c>
    </row>
    <row r="65" spans="1:12" x14ac:dyDescent="0.25">
      <c r="A65" s="83">
        <v>42944</v>
      </c>
      <c r="B65" s="80" t="s">
        <v>264</v>
      </c>
      <c r="C65" s="80" t="s">
        <v>221</v>
      </c>
      <c r="D65" s="80" t="s">
        <v>0</v>
      </c>
      <c r="E65" s="80">
        <v>68427709</v>
      </c>
      <c r="F65" s="94">
        <v>260000</v>
      </c>
      <c r="G65" s="80" t="s">
        <v>261</v>
      </c>
      <c r="H65" s="80" t="s">
        <v>73</v>
      </c>
      <c r="I65" s="80" t="s">
        <v>87</v>
      </c>
      <c r="J65" s="77">
        <v>2018</v>
      </c>
      <c r="K65" s="80" t="s">
        <v>262</v>
      </c>
      <c r="L65" s="80" t="s">
        <v>263</v>
      </c>
    </row>
    <row r="66" spans="1:12" x14ac:dyDescent="0.25">
      <c r="A66" s="83">
        <v>42944</v>
      </c>
      <c r="B66" s="80" t="s">
        <v>265</v>
      </c>
      <c r="C66" s="80" t="s">
        <v>221</v>
      </c>
      <c r="D66" s="80" t="s">
        <v>0</v>
      </c>
      <c r="E66" s="80">
        <v>68427709</v>
      </c>
      <c r="F66" s="94">
        <v>260000</v>
      </c>
      <c r="G66" s="80" t="s">
        <v>261</v>
      </c>
      <c r="H66" s="80" t="s">
        <v>73</v>
      </c>
      <c r="I66" s="80" t="s">
        <v>87</v>
      </c>
      <c r="J66" s="77">
        <v>2018</v>
      </c>
      <c r="K66" s="80" t="s">
        <v>262</v>
      </c>
      <c r="L66" s="80" t="s">
        <v>263</v>
      </c>
    </row>
    <row r="67" spans="1:12" x14ac:dyDescent="0.25">
      <c r="A67" s="83">
        <v>42947</v>
      </c>
      <c r="B67" s="80" t="s">
        <v>266</v>
      </c>
      <c r="C67" s="80" t="s">
        <v>267</v>
      </c>
      <c r="D67" s="80"/>
      <c r="E67" s="80">
        <v>68427709</v>
      </c>
      <c r="F67" s="94">
        <v>25000</v>
      </c>
      <c r="G67" s="80" t="s">
        <v>72</v>
      </c>
      <c r="H67" s="80" t="s">
        <v>73</v>
      </c>
      <c r="I67" s="80" t="s">
        <v>87</v>
      </c>
      <c r="J67" s="77">
        <v>2018</v>
      </c>
      <c r="K67" s="80" t="s">
        <v>268</v>
      </c>
      <c r="L67" s="80"/>
    </row>
    <row r="68" spans="1:12" x14ac:dyDescent="0.25">
      <c r="A68" s="83">
        <v>42955</v>
      </c>
      <c r="B68" s="80" t="s">
        <v>269</v>
      </c>
      <c r="C68" s="80" t="s">
        <v>154</v>
      </c>
      <c r="D68" s="80" t="s">
        <v>0</v>
      </c>
      <c r="E68" s="80">
        <v>68427709</v>
      </c>
      <c r="F68" s="94">
        <v>65000</v>
      </c>
      <c r="G68" s="80" t="s">
        <v>72</v>
      </c>
      <c r="H68" s="80" t="s">
        <v>73</v>
      </c>
      <c r="I68" s="80" t="s">
        <v>87</v>
      </c>
      <c r="J68" s="77">
        <v>2018</v>
      </c>
      <c r="K68" s="80" t="s">
        <v>270</v>
      </c>
      <c r="L68" s="80"/>
    </row>
    <row r="69" spans="1:12" x14ac:dyDescent="0.25">
      <c r="A69" s="83">
        <v>42956</v>
      </c>
      <c r="B69" s="80" t="s">
        <v>271</v>
      </c>
      <c r="C69" s="80" t="s">
        <v>140</v>
      </c>
      <c r="D69" s="80"/>
      <c r="E69" s="80">
        <v>68427709</v>
      </c>
      <c r="F69" s="94">
        <v>24000</v>
      </c>
      <c r="G69" s="80" t="s">
        <v>72</v>
      </c>
      <c r="H69" s="80" t="s">
        <v>73</v>
      </c>
      <c r="I69" s="80" t="s">
        <v>87</v>
      </c>
      <c r="J69" s="77">
        <v>2018</v>
      </c>
      <c r="K69" s="80" t="s">
        <v>152</v>
      </c>
      <c r="L69" s="80" t="s">
        <v>272</v>
      </c>
    </row>
    <row r="70" spans="1:12" x14ac:dyDescent="0.25">
      <c r="A70" s="84">
        <v>43028</v>
      </c>
      <c r="B70" s="85" t="s">
        <v>70</v>
      </c>
      <c r="C70" s="85" t="s">
        <v>273</v>
      </c>
      <c r="D70" s="85" t="s">
        <v>0</v>
      </c>
      <c r="E70" s="85">
        <v>68427709</v>
      </c>
      <c r="F70" s="124">
        <v>10000</v>
      </c>
      <c r="G70" s="85" t="s">
        <v>72</v>
      </c>
      <c r="H70" s="85" t="s">
        <v>73</v>
      </c>
      <c r="I70" s="85" t="s">
        <v>163</v>
      </c>
      <c r="J70" s="85">
        <v>2019</v>
      </c>
      <c r="K70" s="85" t="s">
        <v>274</v>
      </c>
      <c r="L70" s="85"/>
    </row>
    <row r="71" spans="1:12" x14ac:dyDescent="0.25">
      <c r="A71" s="83">
        <v>43031</v>
      </c>
      <c r="B71" s="80" t="s">
        <v>275</v>
      </c>
      <c r="C71" s="80" t="s">
        <v>160</v>
      </c>
      <c r="D71" s="80" t="s">
        <v>0</v>
      </c>
      <c r="E71" s="80">
        <v>68427709</v>
      </c>
      <c r="F71" s="94">
        <v>2000</v>
      </c>
      <c r="G71" s="80" t="s">
        <v>72</v>
      </c>
      <c r="H71" s="80" t="s">
        <v>73</v>
      </c>
      <c r="I71" s="80" t="s">
        <v>163</v>
      </c>
      <c r="J71" s="80">
        <v>2019</v>
      </c>
      <c r="K71" s="80" t="s">
        <v>238</v>
      </c>
      <c r="L71" s="80"/>
    </row>
    <row r="72" spans="1:12" x14ac:dyDescent="0.25">
      <c r="A72" s="83">
        <v>43031</v>
      </c>
      <c r="B72" s="80" t="s">
        <v>276</v>
      </c>
      <c r="C72" s="80" t="s">
        <v>277</v>
      </c>
      <c r="D72" s="80" t="s">
        <v>0</v>
      </c>
      <c r="E72" s="80">
        <v>68427709</v>
      </c>
      <c r="F72" s="94">
        <v>8000</v>
      </c>
      <c r="G72" s="80" t="s">
        <v>72</v>
      </c>
      <c r="H72" s="80" t="s">
        <v>73</v>
      </c>
      <c r="I72" s="80" t="s">
        <v>92</v>
      </c>
      <c r="J72" s="80">
        <v>2019</v>
      </c>
      <c r="K72" s="80" t="s">
        <v>186</v>
      </c>
      <c r="L72" s="80" t="s">
        <v>278</v>
      </c>
    </row>
    <row r="73" spans="1:12" x14ac:dyDescent="0.25">
      <c r="A73" s="83">
        <v>75906</v>
      </c>
      <c r="B73" s="80" t="s">
        <v>158</v>
      </c>
      <c r="C73" s="80" t="s">
        <v>279</v>
      </c>
      <c r="D73" s="80" t="s">
        <v>280</v>
      </c>
      <c r="E73" s="80">
        <v>68427709</v>
      </c>
      <c r="F73" s="94">
        <v>50000</v>
      </c>
      <c r="G73" s="80" t="s">
        <v>72</v>
      </c>
      <c r="H73" s="80" t="s">
        <v>73</v>
      </c>
      <c r="I73" s="80" t="s">
        <v>33</v>
      </c>
      <c r="J73" s="80">
        <v>2019</v>
      </c>
      <c r="K73" s="80" t="s">
        <v>270</v>
      </c>
      <c r="L73" s="80" t="s">
        <v>281</v>
      </c>
    </row>
    <row r="74" spans="1:12" x14ac:dyDescent="0.25">
      <c r="A74" s="83">
        <v>43066</v>
      </c>
      <c r="B74" s="80" t="s">
        <v>282</v>
      </c>
      <c r="C74" s="80" t="s">
        <v>283</v>
      </c>
      <c r="D74" s="80" t="s">
        <v>0</v>
      </c>
      <c r="E74" s="80">
        <v>68427709</v>
      </c>
      <c r="F74" s="94">
        <v>22000</v>
      </c>
      <c r="G74" s="80" t="s">
        <v>72</v>
      </c>
      <c r="H74" s="80" t="s">
        <v>73</v>
      </c>
      <c r="I74" s="80" t="s">
        <v>163</v>
      </c>
      <c r="J74" s="80">
        <v>2019</v>
      </c>
      <c r="K74" s="80" t="s">
        <v>152</v>
      </c>
      <c r="L74" s="80"/>
    </row>
    <row r="75" spans="1:12" x14ac:dyDescent="0.25">
      <c r="A75" s="83">
        <v>43067</v>
      </c>
      <c r="B75" s="80" t="s">
        <v>284</v>
      </c>
      <c r="C75" s="80" t="s">
        <v>285</v>
      </c>
      <c r="D75" s="80" t="s">
        <v>0</v>
      </c>
      <c r="E75" s="80">
        <v>68427709</v>
      </c>
      <c r="F75" s="94">
        <v>24000</v>
      </c>
      <c r="G75" s="80" t="s">
        <v>72</v>
      </c>
      <c r="H75" s="80" t="s">
        <v>73</v>
      </c>
      <c r="I75" s="80" t="s">
        <v>163</v>
      </c>
      <c r="J75" s="80">
        <v>2019</v>
      </c>
      <c r="K75" s="80" t="s">
        <v>286</v>
      </c>
      <c r="L75" s="80" t="s">
        <v>287</v>
      </c>
    </row>
    <row r="76" spans="1:12" x14ac:dyDescent="0.25">
      <c r="A76" s="83">
        <v>43111</v>
      </c>
      <c r="B76" s="80" t="s">
        <v>288</v>
      </c>
      <c r="C76" s="80" t="s">
        <v>289</v>
      </c>
      <c r="D76" s="80" t="s">
        <v>86</v>
      </c>
      <c r="E76" s="80">
        <v>68427709</v>
      </c>
      <c r="F76" s="94">
        <v>22000</v>
      </c>
      <c r="G76" s="80" t="s">
        <v>72</v>
      </c>
      <c r="H76" s="80" t="s">
        <v>73</v>
      </c>
      <c r="I76" s="80" t="s">
        <v>163</v>
      </c>
      <c r="J76" s="80">
        <v>2019</v>
      </c>
      <c r="K76" s="80" t="s">
        <v>238</v>
      </c>
      <c r="L76" s="80" t="s">
        <v>290</v>
      </c>
    </row>
    <row r="77" spans="1:12" x14ac:dyDescent="0.25">
      <c r="A77" s="83">
        <v>43111</v>
      </c>
      <c r="B77" s="80" t="s">
        <v>291</v>
      </c>
      <c r="C77" s="80" t="s">
        <v>292</v>
      </c>
      <c r="D77" s="80" t="s">
        <v>0</v>
      </c>
      <c r="E77" s="80">
        <v>68427709</v>
      </c>
      <c r="F77" s="94">
        <v>164000</v>
      </c>
      <c r="G77" s="80" t="s">
        <v>72</v>
      </c>
      <c r="H77" s="80" t="s">
        <v>73</v>
      </c>
      <c r="I77" s="80" t="s">
        <v>74</v>
      </c>
      <c r="J77" s="80">
        <v>2019</v>
      </c>
      <c r="K77" s="80" t="s">
        <v>130</v>
      </c>
      <c r="L77" s="80" t="s">
        <v>293</v>
      </c>
    </row>
    <row r="78" spans="1:12" x14ac:dyDescent="0.25">
      <c r="A78" s="83">
        <v>43116</v>
      </c>
      <c r="B78" s="80" t="s">
        <v>294</v>
      </c>
      <c r="C78" s="80" t="s">
        <v>295</v>
      </c>
      <c r="D78" s="80" t="s">
        <v>0</v>
      </c>
      <c r="E78" s="80">
        <v>68427709</v>
      </c>
      <c r="F78" s="94">
        <v>4000</v>
      </c>
      <c r="G78" s="80" t="s">
        <v>72</v>
      </c>
      <c r="H78" s="80" t="s">
        <v>73</v>
      </c>
      <c r="I78" s="80" t="s">
        <v>74</v>
      </c>
      <c r="J78" s="80">
        <v>2019</v>
      </c>
      <c r="K78" s="80" t="s">
        <v>296</v>
      </c>
      <c r="L78" s="80"/>
    </row>
    <row r="79" spans="1:12" x14ac:dyDescent="0.25">
      <c r="A79" s="83">
        <v>43117</v>
      </c>
      <c r="B79" s="80" t="s">
        <v>297</v>
      </c>
      <c r="C79" s="80" t="s">
        <v>185</v>
      </c>
      <c r="D79" s="80" t="s">
        <v>0</v>
      </c>
      <c r="E79" s="80">
        <v>68427709</v>
      </c>
      <c r="F79" s="94">
        <v>10000</v>
      </c>
      <c r="G79" s="80" t="s">
        <v>72</v>
      </c>
      <c r="H79" s="80" t="s">
        <v>73</v>
      </c>
      <c r="I79" s="80" t="s">
        <v>163</v>
      </c>
      <c r="J79" s="22">
        <v>2019</v>
      </c>
      <c r="K79" s="80" t="s">
        <v>75</v>
      </c>
      <c r="L79" s="80" t="s">
        <v>298</v>
      </c>
    </row>
    <row r="80" spans="1:12" x14ac:dyDescent="0.25">
      <c r="A80" s="83">
        <v>43131</v>
      </c>
      <c r="B80" s="80" t="s">
        <v>299</v>
      </c>
      <c r="C80" s="80" t="s">
        <v>300</v>
      </c>
      <c r="D80" s="80" t="s">
        <v>0</v>
      </c>
      <c r="E80" s="80">
        <v>68427709</v>
      </c>
      <c r="F80" s="94">
        <v>143000</v>
      </c>
      <c r="G80" s="80" t="s">
        <v>72</v>
      </c>
      <c r="H80" s="80" t="s">
        <v>73</v>
      </c>
      <c r="I80" s="80" t="s">
        <v>163</v>
      </c>
      <c r="J80" s="80">
        <v>2019</v>
      </c>
      <c r="K80" s="80" t="s">
        <v>301</v>
      </c>
      <c r="L80" s="80" t="s">
        <v>302</v>
      </c>
    </row>
    <row r="81" spans="1:12" x14ac:dyDescent="0.25">
      <c r="A81" s="83">
        <v>43132</v>
      </c>
      <c r="B81" s="80" t="s">
        <v>303</v>
      </c>
      <c r="C81" s="80" t="s">
        <v>304</v>
      </c>
      <c r="D81" s="80" t="s">
        <v>0</v>
      </c>
      <c r="E81" s="80">
        <v>68427709</v>
      </c>
      <c r="F81" s="94">
        <v>6000</v>
      </c>
      <c r="G81" s="80" t="s">
        <v>72</v>
      </c>
      <c r="H81" s="80" t="s">
        <v>73</v>
      </c>
      <c r="I81" s="80" t="s">
        <v>207</v>
      </c>
      <c r="J81" s="80">
        <v>2019</v>
      </c>
      <c r="K81" s="80" t="s">
        <v>122</v>
      </c>
      <c r="L81" s="80" t="s">
        <v>305</v>
      </c>
    </row>
    <row r="82" spans="1:12" x14ac:dyDescent="0.25">
      <c r="A82" s="83">
        <v>43138</v>
      </c>
      <c r="B82" s="80" t="s">
        <v>306</v>
      </c>
      <c r="C82" s="80" t="s">
        <v>307</v>
      </c>
      <c r="D82" s="80" t="s">
        <v>0</v>
      </c>
      <c r="E82" s="80">
        <v>68427709</v>
      </c>
      <c r="F82" s="94">
        <v>6000</v>
      </c>
      <c r="G82" s="80" t="s">
        <v>72</v>
      </c>
      <c r="H82" s="80" t="s">
        <v>73</v>
      </c>
      <c r="I82" s="80" t="s">
        <v>163</v>
      </c>
      <c r="J82" s="80">
        <v>2019</v>
      </c>
      <c r="K82" s="80" t="s">
        <v>122</v>
      </c>
      <c r="L82" s="80" t="s">
        <v>308</v>
      </c>
    </row>
    <row r="83" spans="1:12" x14ac:dyDescent="0.25">
      <c r="A83" s="83">
        <v>43138</v>
      </c>
      <c r="B83" s="80" t="s">
        <v>309</v>
      </c>
      <c r="C83" s="80" t="s">
        <v>310</v>
      </c>
      <c r="D83" s="80" t="s">
        <v>311</v>
      </c>
      <c r="E83" s="80">
        <v>68427709</v>
      </c>
      <c r="F83" s="94">
        <v>10000</v>
      </c>
      <c r="G83" s="80" t="s">
        <v>72</v>
      </c>
      <c r="H83" s="80" t="s">
        <v>73</v>
      </c>
      <c r="I83" s="80" t="s">
        <v>74</v>
      </c>
      <c r="J83" s="80">
        <v>2019</v>
      </c>
      <c r="K83" s="80" t="s">
        <v>145</v>
      </c>
      <c r="L83" s="80" t="s">
        <v>312</v>
      </c>
    </row>
    <row r="84" spans="1:12" x14ac:dyDescent="0.25">
      <c r="A84" s="83">
        <v>43140</v>
      </c>
      <c r="B84" s="80" t="s">
        <v>313</v>
      </c>
      <c r="C84" s="80" t="s">
        <v>314</v>
      </c>
      <c r="D84" s="80" t="s">
        <v>86</v>
      </c>
      <c r="E84" s="80">
        <v>68427709</v>
      </c>
      <c r="F84" s="94">
        <v>173000</v>
      </c>
      <c r="G84" s="80" t="s">
        <v>72</v>
      </c>
      <c r="H84" s="80" t="s">
        <v>73</v>
      </c>
      <c r="I84" s="80" t="s">
        <v>163</v>
      </c>
      <c r="J84" s="80">
        <v>2019</v>
      </c>
      <c r="K84" s="80" t="s">
        <v>138</v>
      </c>
      <c r="L84" s="80" t="s">
        <v>315</v>
      </c>
    </row>
    <row r="85" spans="1:12" x14ac:dyDescent="0.25">
      <c r="A85" s="83">
        <v>43143</v>
      </c>
      <c r="B85" s="80" t="s">
        <v>116</v>
      </c>
      <c r="C85" s="80" t="s">
        <v>166</v>
      </c>
      <c r="D85" s="80" t="s">
        <v>0</v>
      </c>
      <c r="E85" s="80">
        <v>68427709</v>
      </c>
      <c r="F85" s="94">
        <v>40000</v>
      </c>
      <c r="G85" s="80" t="s">
        <v>72</v>
      </c>
      <c r="H85" s="80" t="s">
        <v>73</v>
      </c>
      <c r="I85" s="80" t="s">
        <v>163</v>
      </c>
      <c r="J85" s="80">
        <v>2019</v>
      </c>
      <c r="K85" s="80" t="s">
        <v>316</v>
      </c>
      <c r="L85" s="80" t="s">
        <v>317</v>
      </c>
    </row>
    <row r="86" spans="1:12" x14ac:dyDescent="0.25">
      <c r="A86" s="83">
        <v>43146</v>
      </c>
      <c r="B86" s="80" t="s">
        <v>318</v>
      </c>
      <c r="C86" s="80" t="s">
        <v>319</v>
      </c>
      <c r="D86" s="80" t="s">
        <v>0</v>
      </c>
      <c r="E86" s="80">
        <v>68427709</v>
      </c>
      <c r="F86" s="94">
        <v>130000</v>
      </c>
      <c r="G86" s="80" t="s">
        <v>72</v>
      </c>
      <c r="H86" s="80" t="s">
        <v>73</v>
      </c>
      <c r="I86" s="80" t="s">
        <v>92</v>
      </c>
      <c r="J86" s="80">
        <v>2019</v>
      </c>
      <c r="K86" s="80" t="s">
        <v>320</v>
      </c>
      <c r="L86" s="80" t="s">
        <v>321</v>
      </c>
    </row>
    <row r="87" spans="1:12" x14ac:dyDescent="0.25">
      <c r="A87" s="83">
        <v>43151</v>
      </c>
      <c r="B87" s="80" t="s">
        <v>322</v>
      </c>
      <c r="C87" s="80" t="s">
        <v>319</v>
      </c>
      <c r="D87" s="80" t="s">
        <v>0</v>
      </c>
      <c r="E87" s="80">
        <v>68427709</v>
      </c>
      <c r="F87" s="94">
        <v>220000</v>
      </c>
      <c r="G87" s="80" t="s">
        <v>72</v>
      </c>
      <c r="H87" s="80" t="s">
        <v>73</v>
      </c>
      <c r="I87" s="80" t="s">
        <v>92</v>
      </c>
      <c r="J87" s="80">
        <v>2019</v>
      </c>
      <c r="K87" s="80" t="s">
        <v>270</v>
      </c>
      <c r="L87" s="80" t="s">
        <v>323</v>
      </c>
    </row>
    <row r="88" spans="1:12" x14ac:dyDescent="0.25">
      <c r="A88" s="83">
        <v>43151</v>
      </c>
      <c r="B88" s="80" t="s">
        <v>324</v>
      </c>
      <c r="C88" s="80" t="s">
        <v>325</v>
      </c>
      <c r="D88" s="80" t="s">
        <v>0</v>
      </c>
      <c r="E88" s="80">
        <v>68427709</v>
      </c>
      <c r="F88" s="94">
        <v>-88000</v>
      </c>
      <c r="G88" s="80" t="s">
        <v>72</v>
      </c>
      <c r="H88" s="80" t="s">
        <v>73</v>
      </c>
      <c r="I88" s="80" t="s">
        <v>74</v>
      </c>
      <c r="J88" s="80">
        <v>2019</v>
      </c>
      <c r="K88" s="80" t="s">
        <v>270</v>
      </c>
      <c r="L88" s="80" t="s">
        <v>326</v>
      </c>
    </row>
    <row r="89" spans="1:12" x14ac:dyDescent="0.25">
      <c r="A89" s="83">
        <v>43151</v>
      </c>
      <c r="B89" s="80" t="s">
        <v>327</v>
      </c>
      <c r="C89" s="80" t="s">
        <v>107</v>
      </c>
      <c r="D89" s="80" t="s">
        <v>0</v>
      </c>
      <c r="E89" s="80">
        <v>68427709</v>
      </c>
      <c r="F89" s="94">
        <v>125000</v>
      </c>
      <c r="G89" s="80" t="s">
        <v>261</v>
      </c>
      <c r="H89" s="80" t="s">
        <v>73</v>
      </c>
      <c r="I89" s="80" t="s">
        <v>92</v>
      </c>
      <c r="J89" s="80">
        <v>2019</v>
      </c>
      <c r="K89" s="80" t="s">
        <v>270</v>
      </c>
      <c r="L89" s="80" t="s">
        <v>328</v>
      </c>
    </row>
    <row r="90" spans="1:12" x14ac:dyDescent="0.25">
      <c r="A90" s="83">
        <v>43151</v>
      </c>
      <c r="B90" s="80" t="s">
        <v>329</v>
      </c>
      <c r="C90" s="80" t="s">
        <v>330</v>
      </c>
      <c r="D90" s="80" t="s">
        <v>0</v>
      </c>
      <c r="E90" s="80">
        <v>68427709</v>
      </c>
      <c r="F90" s="94">
        <v>20000</v>
      </c>
      <c r="G90" s="80" t="s">
        <v>261</v>
      </c>
      <c r="H90" s="80" t="s">
        <v>73</v>
      </c>
      <c r="I90" s="80" t="s">
        <v>207</v>
      </c>
      <c r="J90" s="80">
        <v>2019</v>
      </c>
      <c r="K90" s="80" t="s">
        <v>331</v>
      </c>
      <c r="L90" s="80" t="s">
        <v>332</v>
      </c>
    </row>
    <row r="91" spans="1:12" x14ac:dyDescent="0.25">
      <c r="A91" s="83">
        <v>43152</v>
      </c>
      <c r="B91" s="80" t="s">
        <v>333</v>
      </c>
      <c r="C91" s="80" t="s">
        <v>334</v>
      </c>
      <c r="D91" s="80" t="s">
        <v>40</v>
      </c>
      <c r="E91" s="80">
        <v>68427709</v>
      </c>
      <c r="F91" s="94">
        <v>10000</v>
      </c>
      <c r="G91" s="80" t="s">
        <v>72</v>
      </c>
      <c r="H91" s="80" t="s">
        <v>73</v>
      </c>
      <c r="I91" s="80" t="s">
        <v>160</v>
      </c>
      <c r="J91" s="80">
        <v>2019</v>
      </c>
      <c r="K91" s="80" t="s">
        <v>335</v>
      </c>
      <c r="L91" s="80"/>
    </row>
    <row r="92" spans="1:12" x14ac:dyDescent="0.25">
      <c r="A92" s="83">
        <v>43157</v>
      </c>
      <c r="B92" s="80" t="s">
        <v>336</v>
      </c>
      <c r="C92" s="80" t="s">
        <v>337</v>
      </c>
      <c r="D92" s="80" t="s">
        <v>0</v>
      </c>
      <c r="E92" s="80">
        <v>68427709</v>
      </c>
      <c r="F92" s="94">
        <v>10000</v>
      </c>
      <c r="G92" s="80" t="s">
        <v>72</v>
      </c>
      <c r="H92" s="80" t="s">
        <v>73</v>
      </c>
      <c r="I92" s="80" t="s">
        <v>160</v>
      </c>
      <c r="J92" s="80">
        <v>2019</v>
      </c>
      <c r="K92" s="80" t="s">
        <v>338</v>
      </c>
      <c r="L92" s="80"/>
    </row>
    <row r="93" spans="1:12" x14ac:dyDescent="0.25">
      <c r="A93" s="83">
        <v>43159</v>
      </c>
      <c r="B93" s="80" t="s">
        <v>339</v>
      </c>
      <c r="C93" s="80" t="s">
        <v>340</v>
      </c>
      <c r="D93" s="80" t="s">
        <v>86</v>
      </c>
      <c r="E93" s="80">
        <v>68427709</v>
      </c>
      <c r="F93" s="94">
        <v>5000</v>
      </c>
      <c r="G93" s="80" t="s">
        <v>72</v>
      </c>
      <c r="H93" s="80" t="s">
        <v>73</v>
      </c>
      <c r="I93" s="80" t="s">
        <v>74</v>
      </c>
      <c r="J93" s="80">
        <v>2019</v>
      </c>
      <c r="K93" s="80" t="s">
        <v>338</v>
      </c>
      <c r="L93" s="80" t="s">
        <v>341</v>
      </c>
    </row>
    <row r="94" spans="1:12" x14ac:dyDescent="0.25">
      <c r="A94" s="83">
        <v>43159</v>
      </c>
      <c r="B94" s="80" t="s">
        <v>342</v>
      </c>
      <c r="C94" s="80" t="s">
        <v>343</v>
      </c>
      <c r="D94" s="80" t="s">
        <v>0</v>
      </c>
      <c r="E94" s="80">
        <v>68427709</v>
      </c>
      <c r="F94" s="94">
        <v>10000</v>
      </c>
      <c r="G94" s="80" t="s">
        <v>72</v>
      </c>
      <c r="H94" s="80" t="s">
        <v>73</v>
      </c>
      <c r="I94" s="80" t="s">
        <v>74</v>
      </c>
      <c r="J94" s="80">
        <v>2019</v>
      </c>
      <c r="K94" s="80" t="s">
        <v>211</v>
      </c>
      <c r="L94" s="80" t="s">
        <v>344</v>
      </c>
    </row>
    <row r="95" spans="1:12" x14ac:dyDescent="0.25">
      <c r="A95" s="83">
        <v>43173</v>
      </c>
      <c r="B95" s="80" t="s">
        <v>345</v>
      </c>
      <c r="C95" s="80" t="s">
        <v>343</v>
      </c>
      <c r="D95" s="80" t="s">
        <v>0</v>
      </c>
      <c r="E95" s="80">
        <v>68427709</v>
      </c>
      <c r="F95" s="94">
        <v>2000</v>
      </c>
      <c r="G95" s="80" t="s">
        <v>72</v>
      </c>
      <c r="H95" s="80" t="s">
        <v>73</v>
      </c>
      <c r="I95" s="80" t="s">
        <v>160</v>
      </c>
      <c r="J95" s="80">
        <v>2019</v>
      </c>
      <c r="K95" s="80" t="s">
        <v>75</v>
      </c>
      <c r="L95" s="80" t="s">
        <v>346</v>
      </c>
    </row>
    <row r="96" spans="1:12" x14ac:dyDescent="0.25">
      <c r="A96" s="83">
        <v>43173</v>
      </c>
      <c r="B96" s="80" t="s">
        <v>347</v>
      </c>
      <c r="C96" s="80" t="s">
        <v>343</v>
      </c>
      <c r="D96" s="80" t="s">
        <v>0</v>
      </c>
      <c r="E96" s="80">
        <v>68427709</v>
      </c>
      <c r="F96" s="94">
        <v>18000</v>
      </c>
      <c r="G96" s="80" t="s">
        <v>72</v>
      </c>
      <c r="H96" s="80" t="s">
        <v>73</v>
      </c>
      <c r="I96" s="80" t="s">
        <v>160</v>
      </c>
      <c r="J96" s="80">
        <v>2019</v>
      </c>
      <c r="K96" s="80" t="s">
        <v>222</v>
      </c>
      <c r="L96" s="80" t="s">
        <v>348</v>
      </c>
    </row>
    <row r="97" spans="1:12" x14ac:dyDescent="0.25">
      <c r="A97" s="83">
        <v>43185</v>
      </c>
      <c r="B97" s="80" t="s">
        <v>349</v>
      </c>
      <c r="C97" s="80" t="s">
        <v>343</v>
      </c>
      <c r="D97" s="80" t="s">
        <v>0</v>
      </c>
      <c r="E97" s="80">
        <v>68427709</v>
      </c>
      <c r="F97" s="94">
        <v>333000</v>
      </c>
      <c r="G97" s="80" t="s">
        <v>72</v>
      </c>
      <c r="H97" s="80" t="s">
        <v>73</v>
      </c>
      <c r="I97" s="80" t="s">
        <v>160</v>
      </c>
      <c r="J97" s="80">
        <v>2019</v>
      </c>
      <c r="K97" s="80" t="s">
        <v>270</v>
      </c>
      <c r="L97" s="80" t="s">
        <v>350</v>
      </c>
    </row>
    <row r="98" spans="1:12" x14ac:dyDescent="0.25">
      <c r="A98" s="83">
        <v>43185</v>
      </c>
      <c r="B98" s="80" t="s">
        <v>351</v>
      </c>
      <c r="C98" s="80" t="s">
        <v>343</v>
      </c>
      <c r="D98" s="80" t="s">
        <v>0</v>
      </c>
      <c r="E98" s="80">
        <v>68427709</v>
      </c>
      <c r="F98" s="94">
        <v>57000</v>
      </c>
      <c r="G98" s="80" t="s">
        <v>72</v>
      </c>
      <c r="H98" s="80" t="s">
        <v>73</v>
      </c>
      <c r="I98" s="80" t="s">
        <v>92</v>
      </c>
      <c r="J98" s="80">
        <v>2019</v>
      </c>
      <c r="K98" s="80" t="s">
        <v>75</v>
      </c>
      <c r="L98" s="80" t="s">
        <v>352</v>
      </c>
    </row>
    <row r="99" spans="1:12" x14ac:dyDescent="0.25">
      <c r="A99" s="83">
        <v>43186</v>
      </c>
      <c r="B99" s="80" t="s">
        <v>353</v>
      </c>
      <c r="C99" s="80" t="s">
        <v>343</v>
      </c>
      <c r="D99" s="80" t="s">
        <v>0</v>
      </c>
      <c r="E99" s="80">
        <v>68427709</v>
      </c>
      <c r="F99" s="94">
        <v>500</v>
      </c>
      <c r="G99" s="80" t="s">
        <v>72</v>
      </c>
      <c r="H99" s="80" t="s">
        <v>73</v>
      </c>
      <c r="I99" s="80" t="s">
        <v>160</v>
      </c>
      <c r="J99" s="80">
        <v>2019</v>
      </c>
      <c r="K99" s="80" t="s">
        <v>354</v>
      </c>
      <c r="L99" s="80" t="s">
        <v>355</v>
      </c>
    </row>
    <row r="100" spans="1:12" x14ac:dyDescent="0.25">
      <c r="A100" s="83">
        <v>43200</v>
      </c>
      <c r="B100" s="80" t="s">
        <v>356</v>
      </c>
      <c r="C100" s="80" t="s">
        <v>357</v>
      </c>
      <c r="D100" s="80" t="s">
        <v>0</v>
      </c>
      <c r="E100" s="80">
        <v>68427709</v>
      </c>
      <c r="F100" s="94">
        <v>5000</v>
      </c>
      <c r="G100" s="80" t="s">
        <v>72</v>
      </c>
      <c r="H100" s="80" t="s">
        <v>73</v>
      </c>
      <c r="I100" s="80" t="s">
        <v>92</v>
      </c>
      <c r="J100" s="80">
        <v>2019</v>
      </c>
      <c r="K100" s="80" t="s">
        <v>75</v>
      </c>
      <c r="L100" s="80" t="s">
        <v>358</v>
      </c>
    </row>
    <row r="101" spans="1:12" x14ac:dyDescent="0.25">
      <c r="A101" s="83">
        <v>43200</v>
      </c>
      <c r="B101" s="80" t="s">
        <v>359</v>
      </c>
      <c r="C101" s="80" t="s">
        <v>295</v>
      </c>
      <c r="D101" s="80" t="s">
        <v>0</v>
      </c>
      <c r="E101" s="80">
        <v>68427709</v>
      </c>
      <c r="F101" s="94">
        <v>28000</v>
      </c>
      <c r="G101" s="80" t="s">
        <v>72</v>
      </c>
      <c r="H101" s="80" t="s">
        <v>73</v>
      </c>
      <c r="I101" s="80" t="s">
        <v>74</v>
      </c>
      <c r="J101" s="80">
        <v>2019</v>
      </c>
      <c r="K101" s="80" t="s">
        <v>75</v>
      </c>
      <c r="L101" s="80" t="s">
        <v>360</v>
      </c>
    </row>
    <row r="102" spans="1:12" x14ac:dyDescent="0.25">
      <c r="A102" s="83">
        <v>43201</v>
      </c>
      <c r="B102" s="80" t="s">
        <v>361</v>
      </c>
      <c r="C102" s="80" t="s">
        <v>362</v>
      </c>
      <c r="D102" s="80" t="s">
        <v>86</v>
      </c>
      <c r="E102" s="80">
        <v>68427709</v>
      </c>
      <c r="F102" s="94">
        <v>-170000</v>
      </c>
      <c r="G102" s="80" t="s">
        <v>261</v>
      </c>
      <c r="H102" s="80" t="s">
        <v>73</v>
      </c>
      <c r="I102" s="80" t="s">
        <v>163</v>
      </c>
      <c r="J102" s="80">
        <v>2019</v>
      </c>
      <c r="K102" s="80" t="s">
        <v>75</v>
      </c>
      <c r="L102" s="80" t="s">
        <v>363</v>
      </c>
    </row>
    <row r="103" spans="1:12" x14ac:dyDescent="0.25">
      <c r="A103" s="83">
        <v>43214</v>
      </c>
      <c r="B103" s="80" t="s">
        <v>364</v>
      </c>
      <c r="C103" s="80" t="s">
        <v>365</v>
      </c>
      <c r="D103" s="80" t="s">
        <v>0</v>
      </c>
      <c r="E103" s="80">
        <v>68427709</v>
      </c>
      <c r="F103" s="94">
        <v>-170000</v>
      </c>
      <c r="G103" s="80" t="s">
        <v>72</v>
      </c>
      <c r="H103" s="80" t="s">
        <v>73</v>
      </c>
      <c r="I103" s="80" t="s">
        <v>163</v>
      </c>
      <c r="J103" s="80">
        <v>2019</v>
      </c>
      <c r="K103" s="80" t="s">
        <v>366</v>
      </c>
      <c r="L103" s="80" t="s">
        <v>367</v>
      </c>
    </row>
    <row r="104" spans="1:12" x14ac:dyDescent="0.25">
      <c r="A104" s="83">
        <v>43214</v>
      </c>
      <c r="B104" s="80" t="s">
        <v>368</v>
      </c>
      <c r="C104" s="80" t="s">
        <v>369</v>
      </c>
      <c r="D104" s="80" t="s">
        <v>0</v>
      </c>
      <c r="E104" s="80">
        <v>68427709</v>
      </c>
      <c r="F104" s="94">
        <v>120000</v>
      </c>
      <c r="G104" s="80" t="s">
        <v>72</v>
      </c>
      <c r="H104" s="80" t="s">
        <v>73</v>
      </c>
      <c r="I104" s="80" t="s">
        <v>160</v>
      </c>
      <c r="J104" s="80">
        <v>2019</v>
      </c>
      <c r="K104" s="80" t="s">
        <v>370</v>
      </c>
      <c r="L104" s="80" t="s">
        <v>371</v>
      </c>
    </row>
    <row r="105" spans="1:12" x14ac:dyDescent="0.25">
      <c r="A105" s="83">
        <v>43223</v>
      </c>
      <c r="B105" s="80" t="s">
        <v>372</v>
      </c>
      <c r="C105" s="80" t="s">
        <v>373</v>
      </c>
      <c r="D105" s="80" t="s">
        <v>0</v>
      </c>
      <c r="E105" s="80">
        <v>68427709</v>
      </c>
      <c r="F105" s="94">
        <v>-16000</v>
      </c>
      <c r="G105" s="80" t="s">
        <v>72</v>
      </c>
      <c r="H105" s="80" t="s">
        <v>73</v>
      </c>
      <c r="I105" s="80" t="s">
        <v>163</v>
      </c>
      <c r="J105" s="80">
        <v>2019</v>
      </c>
      <c r="K105" s="80" t="s">
        <v>374</v>
      </c>
      <c r="L105" s="80" t="s">
        <v>375</v>
      </c>
    </row>
    <row r="106" spans="1:12" x14ac:dyDescent="0.25">
      <c r="A106" s="83">
        <v>43224</v>
      </c>
      <c r="B106" s="80" t="s">
        <v>376</v>
      </c>
      <c r="C106" s="80" t="s">
        <v>377</v>
      </c>
      <c r="D106" s="80" t="s">
        <v>0</v>
      </c>
      <c r="E106" s="80">
        <v>68427709</v>
      </c>
      <c r="F106" s="94">
        <v>-8000</v>
      </c>
      <c r="G106" s="80" t="s">
        <v>72</v>
      </c>
      <c r="H106" s="80" t="s">
        <v>73</v>
      </c>
      <c r="I106" s="80" t="s">
        <v>163</v>
      </c>
      <c r="J106" s="80">
        <v>2019</v>
      </c>
      <c r="K106" s="80" t="s">
        <v>75</v>
      </c>
      <c r="L106" s="80" t="s">
        <v>378</v>
      </c>
    </row>
    <row r="107" spans="1:12" x14ac:dyDescent="0.25">
      <c r="A107" s="83">
        <v>43224</v>
      </c>
      <c r="B107" s="80" t="s">
        <v>379</v>
      </c>
      <c r="C107" s="80" t="s">
        <v>380</v>
      </c>
      <c r="D107" s="80" t="s">
        <v>0</v>
      </c>
      <c r="E107" s="80">
        <v>68427709</v>
      </c>
      <c r="F107" s="94">
        <v>150000</v>
      </c>
      <c r="G107" s="80" t="s">
        <v>261</v>
      </c>
      <c r="H107" s="80" t="s">
        <v>73</v>
      </c>
      <c r="I107" s="80" t="s">
        <v>207</v>
      </c>
      <c r="J107" s="80">
        <v>2019</v>
      </c>
      <c r="K107" s="80" t="s">
        <v>270</v>
      </c>
      <c r="L107" s="80" t="s">
        <v>381</v>
      </c>
    </row>
    <row r="108" spans="1:12" x14ac:dyDescent="0.25">
      <c r="A108" s="83">
        <v>43227</v>
      </c>
      <c r="B108" s="80" t="s">
        <v>382</v>
      </c>
      <c r="C108" s="80" t="s">
        <v>383</v>
      </c>
      <c r="D108" s="80" t="s">
        <v>0</v>
      </c>
      <c r="E108" s="80">
        <v>68427709</v>
      </c>
      <c r="F108" s="94">
        <v>-130000</v>
      </c>
      <c r="G108" s="80" t="s">
        <v>72</v>
      </c>
      <c r="H108" s="80" t="s">
        <v>73</v>
      </c>
      <c r="I108" s="80" t="s">
        <v>160</v>
      </c>
      <c r="J108" s="80">
        <v>2019</v>
      </c>
      <c r="K108" s="80" t="s">
        <v>222</v>
      </c>
      <c r="L108" s="80" t="s">
        <v>384</v>
      </c>
    </row>
    <row r="109" spans="1:12" x14ac:dyDescent="0.25">
      <c r="A109" s="83">
        <v>43227</v>
      </c>
      <c r="B109" s="80" t="s">
        <v>385</v>
      </c>
      <c r="C109" s="80" t="s">
        <v>386</v>
      </c>
      <c r="D109" s="80" t="s">
        <v>311</v>
      </c>
      <c r="E109" s="80">
        <v>68427709</v>
      </c>
      <c r="F109" s="94">
        <v>60000</v>
      </c>
      <c r="G109" s="80" t="s">
        <v>72</v>
      </c>
      <c r="H109" s="80" t="s">
        <v>73</v>
      </c>
      <c r="I109" s="80" t="s">
        <v>92</v>
      </c>
      <c r="J109" s="80">
        <v>2019</v>
      </c>
      <c r="K109" s="80" t="s">
        <v>75</v>
      </c>
      <c r="L109" s="80" t="s">
        <v>387</v>
      </c>
    </row>
    <row r="110" spans="1:12" x14ac:dyDescent="0.25">
      <c r="A110" s="83">
        <v>43238</v>
      </c>
      <c r="B110" s="80" t="s">
        <v>388</v>
      </c>
      <c r="C110" s="80" t="s">
        <v>389</v>
      </c>
      <c r="D110" s="80" t="s">
        <v>0</v>
      </c>
      <c r="E110" s="80">
        <v>68427709</v>
      </c>
      <c r="F110" s="94">
        <v>10000</v>
      </c>
      <c r="G110" s="80" t="s">
        <v>72</v>
      </c>
      <c r="H110" s="80" t="s">
        <v>73</v>
      </c>
      <c r="I110" s="80" t="s">
        <v>163</v>
      </c>
      <c r="J110" s="80">
        <v>2019</v>
      </c>
      <c r="K110" s="80" t="s">
        <v>130</v>
      </c>
      <c r="L110" s="80" t="s">
        <v>390</v>
      </c>
    </row>
    <row r="111" spans="1:12" x14ac:dyDescent="0.25">
      <c r="A111" s="83">
        <v>43241</v>
      </c>
      <c r="B111" s="80" t="s">
        <v>251</v>
      </c>
      <c r="C111" s="80" t="s">
        <v>391</v>
      </c>
      <c r="D111" s="80" t="s">
        <v>0</v>
      </c>
      <c r="E111" s="80">
        <v>68427709</v>
      </c>
      <c r="F111" s="94">
        <v>45000</v>
      </c>
      <c r="G111" s="80" t="s">
        <v>261</v>
      </c>
      <c r="H111" s="80" t="s">
        <v>73</v>
      </c>
      <c r="I111" s="80" t="s">
        <v>92</v>
      </c>
      <c r="J111" s="80">
        <v>2019</v>
      </c>
      <c r="K111" s="80" t="s">
        <v>392</v>
      </c>
      <c r="L111" s="80" t="s">
        <v>393</v>
      </c>
    </row>
    <row r="112" spans="1:12" x14ac:dyDescent="0.25">
      <c r="A112" s="83">
        <v>43241</v>
      </c>
      <c r="B112" s="80" t="s">
        <v>251</v>
      </c>
      <c r="C112" s="80" t="s">
        <v>394</v>
      </c>
      <c r="D112" s="80" t="s">
        <v>0</v>
      </c>
      <c r="E112" s="80">
        <v>68427709</v>
      </c>
      <c r="F112" s="94">
        <v>40000</v>
      </c>
      <c r="G112" s="80" t="s">
        <v>72</v>
      </c>
      <c r="H112" s="80" t="s">
        <v>73</v>
      </c>
      <c r="I112" s="80" t="s">
        <v>163</v>
      </c>
      <c r="J112" s="80">
        <v>2019</v>
      </c>
      <c r="K112" s="80" t="s">
        <v>392</v>
      </c>
      <c r="L112" s="80" t="s">
        <v>395</v>
      </c>
    </row>
    <row r="113" spans="1:12" x14ac:dyDescent="0.25">
      <c r="A113" s="83">
        <v>43264</v>
      </c>
      <c r="B113" s="80" t="s">
        <v>396</v>
      </c>
      <c r="C113" s="80" t="s">
        <v>397</v>
      </c>
      <c r="D113" s="80" t="s">
        <v>86</v>
      </c>
      <c r="E113" s="80">
        <v>68427709</v>
      </c>
      <c r="F113" s="94">
        <v>62000</v>
      </c>
      <c r="G113" s="80" t="s">
        <v>72</v>
      </c>
      <c r="H113" s="80" t="s">
        <v>73</v>
      </c>
      <c r="I113" s="80" t="s">
        <v>74</v>
      </c>
      <c r="J113" s="80">
        <v>2019</v>
      </c>
      <c r="K113" s="80" t="s">
        <v>138</v>
      </c>
      <c r="L113" s="80" t="s">
        <v>398</v>
      </c>
    </row>
    <row r="114" spans="1:12" x14ac:dyDescent="0.25">
      <c r="A114" s="83">
        <v>43264</v>
      </c>
      <c r="B114" s="80" t="s">
        <v>399</v>
      </c>
      <c r="C114" s="80" t="s">
        <v>400</v>
      </c>
      <c r="D114" s="80" t="s">
        <v>0</v>
      </c>
      <c r="E114" s="80">
        <v>68427709</v>
      </c>
      <c r="F114" s="94">
        <v>29000</v>
      </c>
      <c r="G114" s="80" t="s">
        <v>72</v>
      </c>
      <c r="H114" s="80" t="s">
        <v>73</v>
      </c>
      <c r="I114" s="80" t="s">
        <v>74</v>
      </c>
      <c r="J114" s="80">
        <v>2019</v>
      </c>
      <c r="K114" s="80" t="s">
        <v>249</v>
      </c>
      <c r="L114" s="80" t="s">
        <v>401</v>
      </c>
    </row>
    <row r="115" spans="1:12" x14ac:dyDescent="0.25">
      <c r="A115" s="79">
        <v>43266</v>
      </c>
      <c r="B115" s="80" t="s">
        <v>139</v>
      </c>
      <c r="C115" s="80" t="s">
        <v>402</v>
      </c>
      <c r="D115" s="80" t="s">
        <v>86</v>
      </c>
      <c r="E115" s="80">
        <v>68427709</v>
      </c>
      <c r="F115" s="94">
        <v>1395500</v>
      </c>
      <c r="G115" s="77" t="s">
        <v>72</v>
      </c>
      <c r="H115" s="80" t="s">
        <v>73</v>
      </c>
      <c r="I115" s="80" t="s">
        <v>87</v>
      </c>
      <c r="J115" s="77">
        <v>2019</v>
      </c>
      <c r="K115" s="80" t="s">
        <v>270</v>
      </c>
      <c r="L115" s="81" t="s">
        <v>403</v>
      </c>
    </row>
    <row r="116" spans="1:12" x14ac:dyDescent="0.25">
      <c r="A116" s="79">
        <v>43266</v>
      </c>
      <c r="B116" s="80" t="s">
        <v>142</v>
      </c>
      <c r="C116" s="80" t="s">
        <v>402</v>
      </c>
      <c r="D116" s="80" t="s">
        <v>86</v>
      </c>
      <c r="E116" s="80">
        <v>68427709</v>
      </c>
      <c r="F116" s="94">
        <v>942000</v>
      </c>
      <c r="G116" s="77" t="s">
        <v>72</v>
      </c>
      <c r="H116" s="80" t="s">
        <v>73</v>
      </c>
      <c r="I116" s="80" t="s">
        <v>87</v>
      </c>
      <c r="J116" s="77">
        <v>2019</v>
      </c>
      <c r="K116" s="80" t="s">
        <v>404</v>
      </c>
      <c r="L116" s="81" t="s">
        <v>405</v>
      </c>
    </row>
    <row r="117" spans="1:12" x14ac:dyDescent="0.25">
      <c r="A117" s="79">
        <v>43266</v>
      </c>
      <c r="B117" s="80" t="s">
        <v>143</v>
      </c>
      <c r="C117" s="80" t="s">
        <v>402</v>
      </c>
      <c r="D117" s="80" t="s">
        <v>86</v>
      </c>
      <c r="E117" s="80">
        <v>68427709</v>
      </c>
      <c r="F117" s="94">
        <v>312500</v>
      </c>
      <c r="G117" s="77" t="s">
        <v>72</v>
      </c>
      <c r="H117" s="80" t="s">
        <v>73</v>
      </c>
      <c r="I117" s="80" t="s">
        <v>87</v>
      </c>
      <c r="J117" s="77">
        <v>2019</v>
      </c>
      <c r="K117" s="80" t="s">
        <v>270</v>
      </c>
      <c r="L117" s="81" t="s">
        <v>406</v>
      </c>
    </row>
    <row r="118" spans="1:12" x14ac:dyDescent="0.25">
      <c r="A118" s="90">
        <v>43266</v>
      </c>
      <c r="B118" s="80" t="s">
        <v>407</v>
      </c>
      <c r="C118" s="80" t="s">
        <v>408</v>
      </c>
      <c r="D118" s="80" t="s">
        <v>86</v>
      </c>
      <c r="E118" s="80">
        <v>68427709</v>
      </c>
      <c r="F118" s="94">
        <v>916666.66666666674</v>
      </c>
      <c r="G118" s="77" t="s">
        <v>261</v>
      </c>
      <c r="H118" s="80" t="s">
        <v>73</v>
      </c>
      <c r="I118" s="80" t="s">
        <v>92</v>
      </c>
      <c r="J118" s="77">
        <v>2019</v>
      </c>
      <c r="K118" s="80" t="s">
        <v>134</v>
      </c>
      <c r="L118" s="91" t="s">
        <v>409</v>
      </c>
    </row>
    <row r="119" spans="1:12" x14ac:dyDescent="0.25">
      <c r="A119" s="83">
        <v>43266</v>
      </c>
      <c r="B119" s="80" t="s">
        <v>410</v>
      </c>
      <c r="C119" s="80" t="s">
        <v>411</v>
      </c>
      <c r="D119" s="80" t="s">
        <v>86</v>
      </c>
      <c r="E119" s="80">
        <v>68427709</v>
      </c>
      <c r="F119" s="94">
        <v>1800000</v>
      </c>
      <c r="G119" s="80" t="s">
        <v>72</v>
      </c>
      <c r="H119" s="80" t="s">
        <v>73</v>
      </c>
      <c r="I119" s="80" t="s">
        <v>92</v>
      </c>
      <c r="J119" s="80">
        <v>2019</v>
      </c>
      <c r="K119" s="80" t="s">
        <v>412</v>
      </c>
      <c r="L119" s="80" t="s">
        <v>413</v>
      </c>
    </row>
    <row r="120" spans="1:12" x14ac:dyDescent="0.25">
      <c r="A120" s="83">
        <v>43266</v>
      </c>
      <c r="B120" s="80" t="s">
        <v>414</v>
      </c>
      <c r="C120" s="80" t="s">
        <v>411</v>
      </c>
      <c r="D120" s="80" t="s">
        <v>86</v>
      </c>
      <c r="E120" s="80">
        <v>68427709</v>
      </c>
      <c r="F120" s="94">
        <v>200000</v>
      </c>
      <c r="G120" s="80" t="s">
        <v>72</v>
      </c>
      <c r="H120" s="80" t="s">
        <v>73</v>
      </c>
      <c r="I120" s="80" t="s">
        <v>92</v>
      </c>
      <c r="J120" s="80">
        <v>2019</v>
      </c>
      <c r="K120" s="80" t="s">
        <v>412</v>
      </c>
      <c r="L120" s="80" t="s">
        <v>415</v>
      </c>
    </row>
    <row r="121" spans="1:12" x14ac:dyDescent="0.25">
      <c r="A121" s="83">
        <v>43266</v>
      </c>
      <c r="B121" s="80" t="s">
        <v>416</v>
      </c>
      <c r="C121" s="80" t="s">
        <v>417</v>
      </c>
      <c r="D121" s="80" t="s">
        <v>311</v>
      </c>
      <c r="E121" s="80">
        <v>68427709</v>
      </c>
      <c r="F121" s="94">
        <v>70000</v>
      </c>
      <c r="G121" s="80" t="s">
        <v>72</v>
      </c>
      <c r="H121" s="80" t="s">
        <v>73</v>
      </c>
      <c r="I121" s="80" t="s">
        <v>92</v>
      </c>
      <c r="J121" s="80">
        <v>2019</v>
      </c>
      <c r="K121" s="80" t="s">
        <v>270</v>
      </c>
      <c r="L121" s="80"/>
    </row>
    <row r="122" spans="1:12" x14ac:dyDescent="0.25">
      <c r="A122" s="83">
        <v>43266</v>
      </c>
      <c r="B122" s="80" t="s">
        <v>418</v>
      </c>
      <c r="C122" s="80" t="s">
        <v>419</v>
      </c>
      <c r="D122" s="80" t="s">
        <v>420</v>
      </c>
      <c r="E122" s="80">
        <v>68427709</v>
      </c>
      <c r="F122" s="94">
        <v>185000</v>
      </c>
      <c r="G122" s="80" t="s">
        <v>261</v>
      </c>
      <c r="H122" s="80" t="s">
        <v>73</v>
      </c>
      <c r="I122" s="80" t="s">
        <v>92</v>
      </c>
      <c r="J122" s="80">
        <v>2019</v>
      </c>
      <c r="K122" s="80" t="s">
        <v>249</v>
      </c>
      <c r="L122" s="80" t="s">
        <v>421</v>
      </c>
    </row>
    <row r="123" spans="1:12" x14ac:dyDescent="0.25">
      <c r="A123" s="83">
        <v>43270</v>
      </c>
      <c r="B123" s="80" t="s">
        <v>422</v>
      </c>
      <c r="C123" s="80" t="s">
        <v>207</v>
      </c>
      <c r="D123" s="80" t="s">
        <v>0</v>
      </c>
      <c r="E123" s="80">
        <v>68427709</v>
      </c>
      <c r="F123" s="94">
        <v>50000</v>
      </c>
      <c r="G123" s="80" t="s">
        <v>72</v>
      </c>
      <c r="H123" s="80" t="s">
        <v>73</v>
      </c>
      <c r="I123" s="80" t="s">
        <v>207</v>
      </c>
      <c r="J123" s="80">
        <v>2019</v>
      </c>
      <c r="K123" s="80" t="s">
        <v>320</v>
      </c>
      <c r="L123" s="80" t="s">
        <v>423</v>
      </c>
    </row>
    <row r="124" spans="1:12" x14ac:dyDescent="0.25">
      <c r="A124" s="83">
        <v>43270</v>
      </c>
      <c r="B124" s="80" t="s">
        <v>422</v>
      </c>
      <c r="C124" s="80" t="s">
        <v>424</v>
      </c>
      <c r="D124" s="80" t="s">
        <v>0</v>
      </c>
      <c r="E124" s="80">
        <v>68427709</v>
      </c>
      <c r="F124" s="94">
        <v>150000</v>
      </c>
      <c r="G124" s="80" t="s">
        <v>72</v>
      </c>
      <c r="H124" s="80" t="s">
        <v>73</v>
      </c>
      <c r="I124" s="80" t="s">
        <v>92</v>
      </c>
      <c r="J124" s="80">
        <v>2019</v>
      </c>
      <c r="K124" s="80" t="s">
        <v>320</v>
      </c>
      <c r="L124" s="80" t="s">
        <v>425</v>
      </c>
    </row>
    <row r="125" spans="1:12" x14ac:dyDescent="0.25">
      <c r="A125" s="83">
        <v>43272</v>
      </c>
      <c r="B125" s="80" t="s">
        <v>311</v>
      </c>
      <c r="C125" s="80" t="s">
        <v>426</v>
      </c>
      <c r="D125" s="80" t="s">
        <v>311</v>
      </c>
      <c r="E125" s="80">
        <v>68427709</v>
      </c>
      <c r="F125" s="94">
        <v>22000</v>
      </c>
      <c r="G125" s="80" t="s">
        <v>72</v>
      </c>
      <c r="H125" s="80" t="s">
        <v>73</v>
      </c>
      <c r="I125" s="80" t="s">
        <v>92</v>
      </c>
      <c r="J125" s="80">
        <v>2019</v>
      </c>
      <c r="K125" s="80" t="s">
        <v>75</v>
      </c>
      <c r="L125" s="80" t="s">
        <v>427</v>
      </c>
    </row>
    <row r="126" spans="1:12" x14ac:dyDescent="0.25">
      <c r="A126" s="83">
        <v>43278</v>
      </c>
      <c r="B126" s="80" t="s">
        <v>195</v>
      </c>
      <c r="C126" s="80" t="s">
        <v>428</v>
      </c>
      <c r="D126" s="80" t="s">
        <v>0</v>
      </c>
      <c r="E126" s="80">
        <v>68427709</v>
      </c>
      <c r="F126" s="94">
        <v>125000</v>
      </c>
      <c r="G126" s="80" t="s">
        <v>72</v>
      </c>
      <c r="H126" s="80" t="s">
        <v>73</v>
      </c>
      <c r="I126" s="80" t="s">
        <v>163</v>
      </c>
      <c r="J126" s="80">
        <v>2019</v>
      </c>
      <c r="K126" s="80" t="s">
        <v>197</v>
      </c>
      <c r="L126" s="80" t="s">
        <v>429</v>
      </c>
    </row>
    <row r="127" spans="1:12" x14ac:dyDescent="0.25">
      <c r="A127" s="83">
        <v>43279</v>
      </c>
      <c r="B127" s="80" t="s">
        <v>430</v>
      </c>
      <c r="C127" s="80" t="s">
        <v>431</v>
      </c>
      <c r="D127" s="80" t="s">
        <v>86</v>
      </c>
      <c r="E127" s="80">
        <v>68427709</v>
      </c>
      <c r="F127" s="94">
        <v>116000</v>
      </c>
      <c r="G127" s="80" t="s">
        <v>72</v>
      </c>
      <c r="H127" s="80" t="s">
        <v>73</v>
      </c>
      <c r="I127" s="80" t="s">
        <v>163</v>
      </c>
      <c r="J127" s="80">
        <v>2019</v>
      </c>
      <c r="K127" s="80" t="s">
        <v>75</v>
      </c>
      <c r="L127" s="80" t="s">
        <v>432</v>
      </c>
    </row>
    <row r="128" spans="1:12" x14ac:dyDescent="0.25">
      <c r="A128" s="83">
        <v>43280</v>
      </c>
      <c r="B128" s="80" t="s">
        <v>433</v>
      </c>
      <c r="C128" s="80" t="s">
        <v>434</v>
      </c>
      <c r="D128" s="80" t="s">
        <v>0</v>
      </c>
      <c r="E128" s="80">
        <v>68427709</v>
      </c>
      <c r="F128" s="94">
        <v>60000</v>
      </c>
      <c r="G128" s="80" t="s">
        <v>72</v>
      </c>
      <c r="H128" s="80" t="s">
        <v>73</v>
      </c>
      <c r="I128" s="80" t="s">
        <v>207</v>
      </c>
      <c r="J128" s="80">
        <v>2019</v>
      </c>
      <c r="K128" s="80" t="s">
        <v>249</v>
      </c>
      <c r="L128" s="80" t="s">
        <v>435</v>
      </c>
    </row>
    <row r="129" spans="1:12" x14ac:dyDescent="0.25">
      <c r="A129" s="83">
        <v>43280</v>
      </c>
      <c r="B129" s="80" t="s">
        <v>436</v>
      </c>
      <c r="C129" s="80" t="s">
        <v>437</v>
      </c>
      <c r="D129" s="80" t="s">
        <v>420</v>
      </c>
      <c r="E129" s="80">
        <v>68427709</v>
      </c>
      <c r="F129" s="94">
        <f>96000+120000</f>
        <v>216000</v>
      </c>
      <c r="G129" s="80" t="s">
        <v>72</v>
      </c>
      <c r="H129" s="80" t="s">
        <v>73</v>
      </c>
      <c r="I129" s="80" t="s">
        <v>207</v>
      </c>
      <c r="J129" s="80">
        <v>2019</v>
      </c>
      <c r="K129" s="80" t="s">
        <v>238</v>
      </c>
      <c r="L129" s="80" t="s">
        <v>438</v>
      </c>
    </row>
    <row r="130" spans="1:12" x14ac:dyDescent="0.25">
      <c r="A130" s="83">
        <v>43285</v>
      </c>
      <c r="B130" s="80" t="s">
        <v>243</v>
      </c>
      <c r="C130" s="80" t="s">
        <v>439</v>
      </c>
      <c r="D130" s="80" t="s">
        <v>0</v>
      </c>
      <c r="E130" s="80">
        <v>68427709</v>
      </c>
      <c r="F130" s="94">
        <v>5000</v>
      </c>
      <c r="G130" s="80" t="s">
        <v>72</v>
      </c>
      <c r="H130" s="80" t="s">
        <v>73</v>
      </c>
      <c r="I130" s="80" t="s">
        <v>163</v>
      </c>
      <c r="J130" s="80">
        <v>2019</v>
      </c>
      <c r="K130" s="80" t="s">
        <v>440</v>
      </c>
      <c r="L130" s="80" t="s">
        <v>441</v>
      </c>
    </row>
    <row r="131" spans="1:12" x14ac:dyDescent="0.25">
      <c r="A131" s="83">
        <v>43286</v>
      </c>
      <c r="B131" s="80" t="s">
        <v>442</v>
      </c>
      <c r="C131" s="80" t="s">
        <v>443</v>
      </c>
      <c r="D131" s="80" t="s">
        <v>0</v>
      </c>
      <c r="E131" s="80">
        <v>68427709</v>
      </c>
      <c r="F131" s="94">
        <v>150000</v>
      </c>
      <c r="G131" s="80" t="s">
        <v>72</v>
      </c>
      <c r="H131" s="80" t="s">
        <v>73</v>
      </c>
      <c r="I131" s="80" t="s">
        <v>92</v>
      </c>
      <c r="J131" s="80">
        <v>2019</v>
      </c>
      <c r="K131" s="80" t="s">
        <v>75</v>
      </c>
      <c r="L131" s="80" t="s">
        <v>444</v>
      </c>
    </row>
    <row r="132" spans="1:12" x14ac:dyDescent="0.25">
      <c r="A132" s="83">
        <v>43286</v>
      </c>
      <c r="B132" s="80" t="s">
        <v>445</v>
      </c>
      <c r="C132" s="80" t="s">
        <v>446</v>
      </c>
      <c r="D132" s="80" t="s">
        <v>0</v>
      </c>
      <c r="E132" s="80">
        <v>68427709</v>
      </c>
      <c r="F132" s="94">
        <v>70000</v>
      </c>
      <c r="G132" s="80" t="s">
        <v>72</v>
      </c>
      <c r="H132" s="80" t="s">
        <v>73</v>
      </c>
      <c r="I132" s="80" t="s">
        <v>207</v>
      </c>
      <c r="J132" s="80">
        <v>2019</v>
      </c>
      <c r="K132" s="80" t="s">
        <v>75</v>
      </c>
      <c r="L132" s="80" t="s">
        <v>447</v>
      </c>
    </row>
    <row r="133" spans="1:12" x14ac:dyDescent="0.25">
      <c r="A133" s="83">
        <v>43286</v>
      </c>
      <c r="B133" s="80" t="s">
        <v>448</v>
      </c>
      <c r="C133" s="80" t="s">
        <v>449</v>
      </c>
      <c r="D133" s="80" t="s">
        <v>0</v>
      </c>
      <c r="E133" s="80">
        <v>68427709</v>
      </c>
      <c r="F133" s="94">
        <v>50000</v>
      </c>
      <c r="G133" s="80" t="s">
        <v>72</v>
      </c>
      <c r="H133" s="80" t="s">
        <v>73</v>
      </c>
      <c r="I133" s="80" t="s">
        <v>450</v>
      </c>
      <c r="J133" s="80">
        <v>2019</v>
      </c>
      <c r="K133" s="80" t="s">
        <v>75</v>
      </c>
      <c r="L133" s="80" t="s">
        <v>451</v>
      </c>
    </row>
    <row r="134" spans="1:12" x14ac:dyDescent="0.25">
      <c r="A134" s="83">
        <v>43286</v>
      </c>
      <c r="B134" s="80" t="s">
        <v>452</v>
      </c>
      <c r="C134" s="80" t="s">
        <v>453</v>
      </c>
      <c r="D134" s="80" t="s">
        <v>0</v>
      </c>
      <c r="E134" s="80">
        <v>68427709</v>
      </c>
      <c r="F134" s="94">
        <v>150000</v>
      </c>
      <c r="G134" s="80" t="s">
        <v>72</v>
      </c>
      <c r="H134" s="80" t="s">
        <v>73</v>
      </c>
      <c r="I134" s="80" t="s">
        <v>450</v>
      </c>
      <c r="J134" s="80">
        <v>2019</v>
      </c>
      <c r="K134" s="80" t="s">
        <v>335</v>
      </c>
      <c r="L134" s="80" t="s">
        <v>454</v>
      </c>
    </row>
    <row r="135" spans="1:12" x14ac:dyDescent="0.25">
      <c r="A135" s="83">
        <v>43286</v>
      </c>
      <c r="B135" s="80" t="s">
        <v>455</v>
      </c>
      <c r="C135" s="80" t="s">
        <v>455</v>
      </c>
      <c r="D135" s="80" t="s">
        <v>456</v>
      </c>
      <c r="E135" s="80">
        <v>68427709</v>
      </c>
      <c r="F135" s="94">
        <v>-10000</v>
      </c>
      <c r="G135" s="80" t="s">
        <v>72</v>
      </c>
      <c r="H135" s="80" t="s">
        <v>73</v>
      </c>
      <c r="I135" s="80" t="s">
        <v>92</v>
      </c>
      <c r="J135" s="80">
        <v>2019</v>
      </c>
      <c r="K135" s="80" t="s">
        <v>335</v>
      </c>
      <c r="L135" s="80" t="s">
        <v>457</v>
      </c>
    </row>
    <row r="136" spans="1:12" x14ac:dyDescent="0.25">
      <c r="A136" s="83">
        <v>43286</v>
      </c>
      <c r="B136" s="80" t="s">
        <v>458</v>
      </c>
      <c r="C136" s="80" t="s">
        <v>459</v>
      </c>
      <c r="D136" s="80" t="s">
        <v>456</v>
      </c>
      <c r="E136" s="80">
        <v>68427709</v>
      </c>
      <c r="F136" s="94">
        <v>-10000</v>
      </c>
      <c r="G136" s="80" t="s">
        <v>72</v>
      </c>
      <c r="H136" s="80" t="s">
        <v>73</v>
      </c>
      <c r="I136" s="80" t="s">
        <v>92</v>
      </c>
      <c r="J136" s="80">
        <v>2019</v>
      </c>
      <c r="K136" s="80" t="s">
        <v>335</v>
      </c>
      <c r="L136" s="80" t="s">
        <v>457</v>
      </c>
    </row>
    <row r="137" spans="1:12" x14ac:dyDescent="0.25">
      <c r="A137" s="83">
        <v>43286</v>
      </c>
      <c r="B137" s="80" t="s">
        <v>460</v>
      </c>
      <c r="C137" s="80" t="s">
        <v>460</v>
      </c>
      <c r="D137" s="80" t="s">
        <v>0</v>
      </c>
      <c r="E137" s="80">
        <v>68427709</v>
      </c>
      <c r="F137" s="94">
        <v>-80000</v>
      </c>
      <c r="G137" s="80" t="s">
        <v>72</v>
      </c>
      <c r="H137" s="80" t="s">
        <v>73</v>
      </c>
      <c r="I137" s="80" t="s">
        <v>163</v>
      </c>
      <c r="J137" s="80">
        <v>2019</v>
      </c>
      <c r="K137" s="80" t="s">
        <v>335</v>
      </c>
      <c r="L137" s="80" t="s">
        <v>461</v>
      </c>
    </row>
    <row r="138" spans="1:12" x14ac:dyDescent="0.25">
      <c r="A138" s="83">
        <v>43286</v>
      </c>
      <c r="B138" s="80" t="s">
        <v>462</v>
      </c>
      <c r="C138" s="80" t="s">
        <v>463</v>
      </c>
      <c r="D138" s="80" t="s">
        <v>0</v>
      </c>
      <c r="E138" s="80">
        <v>68427709</v>
      </c>
      <c r="F138" s="94">
        <v>0</v>
      </c>
      <c r="G138" s="80" t="s">
        <v>261</v>
      </c>
      <c r="H138" s="80" t="s">
        <v>73</v>
      </c>
      <c r="I138" s="80" t="s">
        <v>81</v>
      </c>
      <c r="J138" s="80">
        <v>2019</v>
      </c>
      <c r="K138" s="80" t="s">
        <v>249</v>
      </c>
      <c r="L138" s="80" t="s">
        <v>464</v>
      </c>
    </row>
    <row r="139" spans="1:12" x14ac:dyDescent="0.25">
      <c r="A139" s="83">
        <v>43286</v>
      </c>
      <c r="B139" s="80" t="s">
        <v>465</v>
      </c>
      <c r="C139" s="80" t="s">
        <v>465</v>
      </c>
      <c r="D139" s="80" t="s">
        <v>0</v>
      </c>
      <c r="E139" s="80">
        <v>68427709</v>
      </c>
      <c r="F139" s="94">
        <v>100000</v>
      </c>
      <c r="G139" s="80" t="s">
        <v>261</v>
      </c>
      <c r="H139" s="80" t="s">
        <v>73</v>
      </c>
      <c r="I139" s="80" t="s">
        <v>450</v>
      </c>
      <c r="J139" s="80">
        <v>2019</v>
      </c>
      <c r="K139" s="80" t="s">
        <v>335</v>
      </c>
      <c r="L139" s="80" t="s">
        <v>466</v>
      </c>
    </row>
    <row r="140" spans="1:12" x14ac:dyDescent="0.25">
      <c r="A140" s="83">
        <v>43286</v>
      </c>
      <c r="B140" s="80" t="s">
        <v>467</v>
      </c>
      <c r="C140" s="80" t="s">
        <v>467</v>
      </c>
      <c r="D140" s="80" t="s">
        <v>0</v>
      </c>
      <c r="E140" s="80">
        <v>68427709</v>
      </c>
      <c r="F140" s="94">
        <v>150000</v>
      </c>
      <c r="G140" s="80" t="s">
        <v>261</v>
      </c>
      <c r="H140" s="80" t="s">
        <v>73</v>
      </c>
      <c r="I140" s="80" t="s">
        <v>450</v>
      </c>
      <c r="J140" s="80">
        <v>2019</v>
      </c>
      <c r="K140" s="80" t="s">
        <v>335</v>
      </c>
      <c r="L140" s="80" t="s">
        <v>468</v>
      </c>
    </row>
    <row r="141" spans="1:12" x14ac:dyDescent="0.25">
      <c r="A141" s="83">
        <v>43286</v>
      </c>
      <c r="B141" s="80" t="s">
        <v>469</v>
      </c>
      <c r="C141" s="80" t="s">
        <v>469</v>
      </c>
      <c r="D141" s="80" t="s">
        <v>0</v>
      </c>
      <c r="E141" s="80">
        <v>68427709</v>
      </c>
      <c r="F141" s="94">
        <v>118000</v>
      </c>
      <c r="G141" s="80" t="s">
        <v>72</v>
      </c>
      <c r="H141" s="80" t="s">
        <v>73</v>
      </c>
      <c r="I141" s="80" t="s">
        <v>163</v>
      </c>
      <c r="J141" s="80">
        <v>2019</v>
      </c>
      <c r="K141" s="80" t="s">
        <v>335</v>
      </c>
      <c r="L141" s="80" t="s">
        <v>470</v>
      </c>
    </row>
    <row r="142" spans="1:12" x14ac:dyDescent="0.25">
      <c r="A142" s="83">
        <v>43287</v>
      </c>
      <c r="B142" s="80" t="s">
        <v>471</v>
      </c>
      <c r="C142" s="80" t="s">
        <v>472</v>
      </c>
      <c r="D142" s="80" t="s">
        <v>0</v>
      </c>
      <c r="E142" s="80">
        <v>68427709</v>
      </c>
      <c r="F142" s="94">
        <v>100000</v>
      </c>
      <c r="G142" s="80" t="s">
        <v>72</v>
      </c>
      <c r="H142" s="80" t="s">
        <v>73</v>
      </c>
      <c r="I142" s="80" t="s">
        <v>92</v>
      </c>
      <c r="J142" s="80">
        <v>2019</v>
      </c>
      <c r="K142" s="80" t="s">
        <v>75</v>
      </c>
      <c r="L142" s="80" t="s">
        <v>473</v>
      </c>
    </row>
    <row r="143" spans="1:12" x14ac:dyDescent="0.25">
      <c r="A143" s="83">
        <v>43290</v>
      </c>
      <c r="B143" s="80" t="s">
        <v>474</v>
      </c>
      <c r="C143" s="80" t="s">
        <v>475</v>
      </c>
      <c r="D143" s="80" t="s">
        <v>0</v>
      </c>
      <c r="E143" s="80">
        <v>68427709</v>
      </c>
      <c r="F143" s="94">
        <v>36000</v>
      </c>
      <c r="G143" s="80" t="s">
        <v>261</v>
      </c>
      <c r="H143" s="80" t="s">
        <v>73</v>
      </c>
      <c r="I143" s="80" t="s">
        <v>207</v>
      </c>
      <c r="J143" s="80">
        <v>2019</v>
      </c>
      <c r="K143" s="80" t="s">
        <v>249</v>
      </c>
      <c r="L143" s="80" t="s">
        <v>476</v>
      </c>
    </row>
    <row r="144" spans="1:12" x14ac:dyDescent="0.25">
      <c r="A144" s="83">
        <v>43290</v>
      </c>
      <c r="B144" s="80" t="s">
        <v>477</v>
      </c>
      <c r="C144" s="80" t="s">
        <v>478</v>
      </c>
      <c r="D144" s="80" t="s">
        <v>0</v>
      </c>
      <c r="E144" s="80">
        <v>68427709</v>
      </c>
      <c r="F144" s="94">
        <v>-26900.000000000004</v>
      </c>
      <c r="G144" s="80" t="s">
        <v>261</v>
      </c>
      <c r="H144" s="80" t="s">
        <v>73</v>
      </c>
      <c r="I144" s="80" t="s">
        <v>163</v>
      </c>
      <c r="J144" s="80">
        <v>2019</v>
      </c>
      <c r="K144" s="80" t="s">
        <v>75</v>
      </c>
      <c r="L144" s="80" t="s">
        <v>479</v>
      </c>
    </row>
    <row r="145" spans="1:12" x14ac:dyDescent="0.25">
      <c r="A145" s="83">
        <v>43293</v>
      </c>
      <c r="B145" s="80" t="s">
        <v>480</v>
      </c>
      <c r="C145" s="80" t="s">
        <v>481</v>
      </c>
      <c r="D145" s="80" t="s">
        <v>0</v>
      </c>
      <c r="E145" s="80">
        <v>68427709</v>
      </c>
      <c r="F145" s="94">
        <v>120000</v>
      </c>
      <c r="G145" s="80" t="s">
        <v>72</v>
      </c>
      <c r="H145" s="80" t="s">
        <v>73</v>
      </c>
      <c r="I145" s="80" t="s">
        <v>163</v>
      </c>
      <c r="J145" s="80">
        <v>2019</v>
      </c>
      <c r="K145" s="80" t="s">
        <v>482</v>
      </c>
      <c r="L145" s="80" t="s">
        <v>483</v>
      </c>
    </row>
    <row r="146" spans="1:12" x14ac:dyDescent="0.25">
      <c r="A146" s="83">
        <v>43293</v>
      </c>
      <c r="B146" s="80" t="s">
        <v>484</v>
      </c>
      <c r="C146" s="80" t="s">
        <v>485</v>
      </c>
      <c r="D146" s="80" t="s">
        <v>0</v>
      </c>
      <c r="E146" s="80">
        <v>68427709</v>
      </c>
      <c r="F146" s="94">
        <v>-11000</v>
      </c>
      <c r="G146" s="80" t="s">
        <v>72</v>
      </c>
      <c r="H146" s="80" t="s">
        <v>73</v>
      </c>
      <c r="I146" s="80" t="s">
        <v>92</v>
      </c>
      <c r="J146" s="80">
        <v>2019</v>
      </c>
      <c r="K146" s="80" t="s">
        <v>138</v>
      </c>
      <c r="L146" s="80" t="s">
        <v>486</v>
      </c>
    </row>
    <row r="147" spans="1:12" x14ac:dyDescent="0.25">
      <c r="A147" s="83">
        <v>43293</v>
      </c>
      <c r="B147" s="80" t="s">
        <v>487</v>
      </c>
      <c r="C147" s="80" t="s">
        <v>488</v>
      </c>
      <c r="D147" s="80" t="s">
        <v>0</v>
      </c>
      <c r="E147" s="80">
        <v>68427709</v>
      </c>
      <c r="F147" s="94">
        <v>-2360</v>
      </c>
      <c r="G147" s="80" t="s">
        <v>72</v>
      </c>
      <c r="H147" s="80" t="s">
        <v>73</v>
      </c>
      <c r="I147" s="80" t="s">
        <v>163</v>
      </c>
      <c r="J147" s="80">
        <v>2019</v>
      </c>
      <c r="K147" s="80" t="s">
        <v>75</v>
      </c>
      <c r="L147" s="80"/>
    </row>
    <row r="148" spans="1:12" x14ac:dyDescent="0.25">
      <c r="A148" s="83">
        <v>43293</v>
      </c>
      <c r="B148" s="80" t="s">
        <v>489</v>
      </c>
      <c r="C148" s="80" t="s">
        <v>490</v>
      </c>
      <c r="D148" s="80" t="s">
        <v>0</v>
      </c>
      <c r="E148" s="80">
        <v>68427709</v>
      </c>
      <c r="F148" s="94">
        <v>150</v>
      </c>
      <c r="G148" s="80" t="s">
        <v>72</v>
      </c>
      <c r="H148" s="80" t="s">
        <v>73</v>
      </c>
      <c r="I148" s="80" t="s">
        <v>163</v>
      </c>
      <c r="J148" s="80">
        <v>2019</v>
      </c>
      <c r="K148" s="80" t="s">
        <v>75</v>
      </c>
      <c r="L148" s="80" t="s">
        <v>491</v>
      </c>
    </row>
    <row r="149" spans="1:12" x14ac:dyDescent="0.25">
      <c r="A149" s="83">
        <v>43297</v>
      </c>
      <c r="B149" s="80" t="s">
        <v>209</v>
      </c>
      <c r="C149" s="80" t="s">
        <v>492</v>
      </c>
      <c r="D149" s="80" t="s">
        <v>0</v>
      </c>
      <c r="E149" s="80">
        <v>68427709</v>
      </c>
      <c r="F149" s="94">
        <v>-10000</v>
      </c>
      <c r="G149" s="80" t="s">
        <v>72</v>
      </c>
      <c r="H149" s="80" t="s">
        <v>73</v>
      </c>
      <c r="I149" s="80" t="s">
        <v>163</v>
      </c>
      <c r="J149" s="80">
        <v>2019</v>
      </c>
      <c r="K149" s="80" t="s">
        <v>268</v>
      </c>
      <c r="L149" s="80" t="s">
        <v>493</v>
      </c>
    </row>
    <row r="150" spans="1:12" x14ac:dyDescent="0.25">
      <c r="A150" s="83">
        <v>43297</v>
      </c>
      <c r="B150" s="80" t="s">
        <v>266</v>
      </c>
      <c r="C150" s="80" t="s">
        <v>494</v>
      </c>
      <c r="D150" s="80" t="s">
        <v>0</v>
      </c>
      <c r="E150" s="80">
        <v>68427709</v>
      </c>
      <c r="F150" s="94">
        <v>30000</v>
      </c>
      <c r="G150" s="80" t="s">
        <v>72</v>
      </c>
      <c r="H150" s="80" t="s">
        <v>73</v>
      </c>
      <c r="I150" s="80" t="s">
        <v>163</v>
      </c>
      <c r="J150" s="80">
        <v>2019</v>
      </c>
      <c r="K150" s="80" t="s">
        <v>268</v>
      </c>
      <c r="L150" s="80" t="s">
        <v>495</v>
      </c>
    </row>
    <row r="151" spans="1:12" x14ac:dyDescent="0.25">
      <c r="A151" s="83">
        <v>43297</v>
      </c>
      <c r="B151" s="80" t="s">
        <v>496</v>
      </c>
      <c r="C151" s="80" t="s">
        <v>497</v>
      </c>
      <c r="D151" s="80" t="s">
        <v>0</v>
      </c>
      <c r="E151" s="80">
        <v>68427709</v>
      </c>
      <c r="F151" s="94">
        <v>-16850</v>
      </c>
      <c r="G151" s="80" t="s">
        <v>72</v>
      </c>
      <c r="H151" s="80" t="s">
        <v>73</v>
      </c>
      <c r="I151" s="80" t="s">
        <v>450</v>
      </c>
      <c r="J151" s="80">
        <v>2019</v>
      </c>
      <c r="K151" s="80" t="s">
        <v>75</v>
      </c>
      <c r="L151" s="80" t="s">
        <v>498</v>
      </c>
    </row>
    <row r="152" spans="1:12" x14ac:dyDescent="0.25">
      <c r="A152" s="83">
        <v>43300</v>
      </c>
      <c r="B152" s="80" t="s">
        <v>499</v>
      </c>
      <c r="C152" s="80" t="s">
        <v>500</v>
      </c>
      <c r="D152" s="80" t="s">
        <v>86</v>
      </c>
      <c r="E152" s="80">
        <v>68427709</v>
      </c>
      <c r="F152" s="94">
        <v>42000</v>
      </c>
      <c r="G152" s="80" t="s">
        <v>72</v>
      </c>
      <c r="H152" s="80" t="s">
        <v>73</v>
      </c>
      <c r="I152" s="80" t="s">
        <v>163</v>
      </c>
      <c r="J152" s="80">
        <v>2019</v>
      </c>
      <c r="K152" s="80" t="s">
        <v>501</v>
      </c>
      <c r="L152" s="80" t="s">
        <v>502</v>
      </c>
    </row>
    <row r="153" spans="1:12" x14ac:dyDescent="0.25">
      <c r="A153" s="83">
        <v>43300</v>
      </c>
      <c r="B153" s="80" t="s">
        <v>503</v>
      </c>
      <c r="C153" s="80" t="s">
        <v>504</v>
      </c>
      <c r="D153" s="80" t="s">
        <v>86</v>
      </c>
      <c r="E153" s="80">
        <v>68427709</v>
      </c>
      <c r="F153" s="94">
        <v>95000</v>
      </c>
      <c r="G153" s="80" t="s">
        <v>72</v>
      </c>
      <c r="H153" s="80" t="s">
        <v>73</v>
      </c>
      <c r="I153" s="80" t="s">
        <v>163</v>
      </c>
      <c r="J153" s="80">
        <v>2019</v>
      </c>
      <c r="K153" s="80" t="s">
        <v>501</v>
      </c>
      <c r="L153" s="80" t="s">
        <v>505</v>
      </c>
    </row>
    <row r="154" spans="1:12" x14ac:dyDescent="0.25">
      <c r="A154" s="83">
        <v>43300</v>
      </c>
      <c r="B154" s="80" t="s">
        <v>506</v>
      </c>
      <c r="C154" s="80" t="s">
        <v>507</v>
      </c>
      <c r="D154" s="80" t="s">
        <v>86</v>
      </c>
      <c r="E154" s="80">
        <v>68427709</v>
      </c>
      <c r="F154" s="94">
        <v>100000</v>
      </c>
      <c r="G154" s="80" t="s">
        <v>261</v>
      </c>
      <c r="H154" s="80" t="s">
        <v>73</v>
      </c>
      <c r="I154" s="80" t="s">
        <v>163</v>
      </c>
      <c r="J154" s="80">
        <v>2019</v>
      </c>
      <c r="K154" s="80" t="s">
        <v>75</v>
      </c>
      <c r="L154" s="80" t="s">
        <v>508</v>
      </c>
    </row>
    <row r="155" spans="1:12" x14ac:dyDescent="0.25">
      <c r="A155" s="83">
        <v>43304</v>
      </c>
      <c r="B155" s="80" t="s">
        <v>509</v>
      </c>
      <c r="C155" s="80" t="s">
        <v>510</v>
      </c>
      <c r="D155" s="80" t="s">
        <v>86</v>
      </c>
      <c r="E155" s="80">
        <v>68427709</v>
      </c>
      <c r="F155" s="94">
        <v>200000</v>
      </c>
      <c r="G155" s="80" t="s">
        <v>261</v>
      </c>
      <c r="H155" s="80" t="s">
        <v>73</v>
      </c>
      <c r="I155" s="80" t="s">
        <v>450</v>
      </c>
      <c r="J155" s="80">
        <v>2019</v>
      </c>
      <c r="K155" s="80" t="s">
        <v>75</v>
      </c>
      <c r="L155" s="80" t="s">
        <v>511</v>
      </c>
    </row>
    <row r="156" spans="1:12" x14ac:dyDescent="0.25">
      <c r="A156" s="83">
        <v>43305</v>
      </c>
      <c r="B156" s="80" t="s">
        <v>512</v>
      </c>
      <c r="C156" s="80" t="s">
        <v>513</v>
      </c>
      <c r="D156" s="80"/>
      <c r="E156" s="80">
        <v>68427709</v>
      </c>
      <c r="F156" s="94">
        <v>50000</v>
      </c>
      <c r="G156" s="80" t="s">
        <v>72</v>
      </c>
      <c r="H156" s="80" t="s">
        <v>73</v>
      </c>
      <c r="I156" s="80" t="s">
        <v>92</v>
      </c>
      <c r="J156" s="80">
        <v>2019</v>
      </c>
      <c r="K156" s="80" t="s">
        <v>514</v>
      </c>
      <c r="L156" s="80" t="s">
        <v>513</v>
      </c>
    </row>
    <row r="157" spans="1:12" x14ac:dyDescent="0.25">
      <c r="A157" s="83">
        <v>43305</v>
      </c>
      <c r="B157" s="80" t="s">
        <v>515</v>
      </c>
      <c r="C157" s="80" t="s">
        <v>516</v>
      </c>
      <c r="D157" s="80" t="s">
        <v>517</v>
      </c>
      <c r="E157" s="80">
        <v>68427709</v>
      </c>
      <c r="F157" s="94">
        <v>-127000</v>
      </c>
      <c r="G157" s="80" t="s">
        <v>72</v>
      </c>
      <c r="H157" s="80" t="s">
        <v>73</v>
      </c>
      <c r="I157" s="80" t="s">
        <v>163</v>
      </c>
      <c r="J157" s="80">
        <v>2019</v>
      </c>
      <c r="K157" s="80" t="s">
        <v>249</v>
      </c>
      <c r="L157" s="80" t="s">
        <v>518</v>
      </c>
    </row>
    <row r="158" spans="1:12" x14ac:dyDescent="0.25">
      <c r="A158" s="83">
        <v>43305</v>
      </c>
      <c r="B158" s="80" t="s">
        <v>396</v>
      </c>
      <c r="C158" s="32" t="s">
        <v>519</v>
      </c>
      <c r="D158" s="80" t="s">
        <v>0</v>
      </c>
      <c r="E158" s="80">
        <v>68427709</v>
      </c>
      <c r="F158" s="94">
        <v>-260000</v>
      </c>
      <c r="G158" s="80" t="s">
        <v>72</v>
      </c>
      <c r="H158" s="80" t="s">
        <v>73</v>
      </c>
      <c r="I158" s="80" t="s">
        <v>74</v>
      </c>
      <c r="J158" s="80">
        <v>2019</v>
      </c>
      <c r="K158" s="80" t="s">
        <v>75</v>
      </c>
      <c r="L158" s="80" t="s">
        <v>520</v>
      </c>
    </row>
    <row r="159" spans="1:12" x14ac:dyDescent="0.25">
      <c r="A159" s="83">
        <v>43309</v>
      </c>
      <c r="B159" s="80" t="s">
        <v>359</v>
      </c>
      <c r="C159" s="80" t="s">
        <v>521</v>
      </c>
      <c r="D159" s="80" t="s">
        <v>0</v>
      </c>
      <c r="E159" s="80">
        <v>68427709</v>
      </c>
      <c r="F159" s="94">
        <v>5000</v>
      </c>
      <c r="G159" s="80" t="s">
        <v>72</v>
      </c>
      <c r="H159" s="80" t="s">
        <v>73</v>
      </c>
      <c r="I159" s="80" t="s">
        <v>163</v>
      </c>
      <c r="J159" s="80">
        <v>2019</v>
      </c>
      <c r="K159" s="80" t="s">
        <v>75</v>
      </c>
      <c r="L159" s="80" t="s">
        <v>522</v>
      </c>
    </row>
    <row r="160" spans="1:12" x14ac:dyDescent="0.25">
      <c r="A160" s="83">
        <v>43311</v>
      </c>
      <c r="B160" s="80" t="s">
        <v>523</v>
      </c>
      <c r="C160" s="80" t="s">
        <v>524</v>
      </c>
      <c r="D160" s="80" t="s">
        <v>0</v>
      </c>
      <c r="E160" s="80">
        <v>68427709</v>
      </c>
      <c r="F160" s="94">
        <v>-16700</v>
      </c>
      <c r="G160" s="80" t="s">
        <v>72</v>
      </c>
      <c r="H160" s="80" t="s">
        <v>73</v>
      </c>
      <c r="I160" s="80" t="s">
        <v>163</v>
      </c>
      <c r="J160" s="80">
        <v>2019</v>
      </c>
      <c r="K160" s="80" t="s">
        <v>75</v>
      </c>
      <c r="L160" s="80" t="s">
        <v>525</v>
      </c>
    </row>
    <row r="161" spans="1:12" x14ac:dyDescent="0.25">
      <c r="A161" s="83">
        <v>43311</v>
      </c>
      <c r="B161" s="80" t="s">
        <v>526</v>
      </c>
      <c r="C161" s="80" t="s">
        <v>527</v>
      </c>
      <c r="D161" s="80" t="s">
        <v>420</v>
      </c>
      <c r="E161" s="80">
        <v>68427709</v>
      </c>
      <c r="F161" s="94">
        <v>250000</v>
      </c>
      <c r="G161" s="80" t="s">
        <v>261</v>
      </c>
      <c r="H161" s="80" t="s">
        <v>73</v>
      </c>
      <c r="I161" s="80" t="s">
        <v>207</v>
      </c>
      <c r="J161" s="80">
        <v>2019</v>
      </c>
      <c r="K161" s="80" t="s">
        <v>249</v>
      </c>
      <c r="L161" s="80" t="s">
        <v>528</v>
      </c>
    </row>
    <row r="162" spans="1:12" x14ac:dyDescent="0.25">
      <c r="A162" s="83">
        <v>43311</v>
      </c>
      <c r="B162" s="80" t="s">
        <v>526</v>
      </c>
      <c r="C162" s="80" t="s">
        <v>527</v>
      </c>
      <c r="D162" s="80" t="s">
        <v>311</v>
      </c>
      <c r="E162" s="80">
        <v>68427709</v>
      </c>
      <c r="F162" s="94">
        <v>250000</v>
      </c>
      <c r="G162" s="80" t="s">
        <v>261</v>
      </c>
      <c r="H162" s="80" t="s">
        <v>73</v>
      </c>
      <c r="I162" s="80" t="s">
        <v>207</v>
      </c>
      <c r="J162" s="80">
        <v>2019</v>
      </c>
      <c r="K162" s="80" t="s">
        <v>249</v>
      </c>
      <c r="L162" s="80" t="s">
        <v>529</v>
      </c>
    </row>
    <row r="163" spans="1:12" x14ac:dyDescent="0.25">
      <c r="A163" s="83">
        <v>43311</v>
      </c>
      <c r="B163" s="92" t="s">
        <v>530</v>
      </c>
      <c r="C163" s="92" t="s">
        <v>35</v>
      </c>
      <c r="D163" s="92" t="s">
        <v>420</v>
      </c>
      <c r="E163" s="92">
        <v>68427709</v>
      </c>
      <c r="F163" s="94">
        <v>20000</v>
      </c>
      <c r="G163" s="80" t="s">
        <v>72</v>
      </c>
      <c r="H163" s="80" t="s">
        <v>73</v>
      </c>
      <c r="I163" s="80" t="s">
        <v>207</v>
      </c>
      <c r="J163" s="80">
        <v>2019</v>
      </c>
      <c r="K163" s="80" t="s">
        <v>249</v>
      </c>
      <c r="L163" s="80"/>
    </row>
    <row r="164" spans="1:12" x14ac:dyDescent="0.25">
      <c r="A164" s="83">
        <v>43311</v>
      </c>
      <c r="B164" s="80" t="s">
        <v>531</v>
      </c>
      <c r="C164" s="80" t="s">
        <v>56</v>
      </c>
      <c r="D164" s="80" t="s">
        <v>532</v>
      </c>
      <c r="E164" s="80">
        <v>68427709</v>
      </c>
      <c r="F164" s="94">
        <v>750000</v>
      </c>
      <c r="G164" s="80" t="s">
        <v>261</v>
      </c>
      <c r="H164" s="80" t="s">
        <v>73</v>
      </c>
      <c r="I164" s="80" t="s">
        <v>81</v>
      </c>
      <c r="J164" s="80">
        <v>2019</v>
      </c>
      <c r="K164" s="80" t="s">
        <v>249</v>
      </c>
      <c r="L164" s="80" t="s">
        <v>533</v>
      </c>
    </row>
    <row r="165" spans="1:12" x14ac:dyDescent="0.25">
      <c r="A165" s="83">
        <v>43311</v>
      </c>
      <c r="B165" s="80" t="s">
        <v>534</v>
      </c>
      <c r="C165" s="80" t="s">
        <v>56</v>
      </c>
      <c r="D165" s="80" t="s">
        <v>532</v>
      </c>
      <c r="E165" s="80">
        <v>68427709</v>
      </c>
      <c r="F165" s="94">
        <v>489000</v>
      </c>
      <c r="G165" s="80" t="s">
        <v>261</v>
      </c>
      <c r="H165" s="80" t="s">
        <v>73</v>
      </c>
      <c r="I165" s="80" t="s">
        <v>81</v>
      </c>
      <c r="J165" s="80">
        <v>2019</v>
      </c>
      <c r="K165" s="80" t="s">
        <v>249</v>
      </c>
      <c r="L165" s="80" t="s">
        <v>533</v>
      </c>
    </row>
    <row r="166" spans="1:12" x14ac:dyDescent="0.25">
      <c r="A166" s="83">
        <v>43311</v>
      </c>
      <c r="B166" s="80" t="s">
        <v>40</v>
      </c>
      <c r="C166" s="80" t="s">
        <v>56</v>
      </c>
      <c r="D166" s="80" t="s">
        <v>532</v>
      </c>
      <c r="E166" s="80">
        <v>68427709</v>
      </c>
      <c r="F166" s="94">
        <v>355200</v>
      </c>
      <c r="G166" s="80" t="s">
        <v>72</v>
      </c>
      <c r="H166" s="80" t="s">
        <v>73</v>
      </c>
      <c r="I166" s="80" t="s">
        <v>81</v>
      </c>
      <c r="J166" s="80">
        <v>2019</v>
      </c>
      <c r="K166" s="80" t="s">
        <v>249</v>
      </c>
      <c r="L166" s="80" t="s">
        <v>533</v>
      </c>
    </row>
    <row r="167" spans="1:12" x14ac:dyDescent="0.25">
      <c r="A167" s="83">
        <v>43311</v>
      </c>
      <c r="B167" s="80" t="s">
        <v>535</v>
      </c>
      <c r="C167" s="80" t="s">
        <v>56</v>
      </c>
      <c r="D167" s="80" t="s">
        <v>532</v>
      </c>
      <c r="E167" s="80">
        <v>68427709</v>
      </c>
      <c r="F167" s="94">
        <v>488000</v>
      </c>
      <c r="G167" s="80" t="s">
        <v>261</v>
      </c>
      <c r="H167" s="80" t="s">
        <v>73</v>
      </c>
      <c r="I167" s="80" t="s">
        <v>81</v>
      </c>
      <c r="J167" s="80">
        <v>2019</v>
      </c>
      <c r="K167" s="80" t="s">
        <v>249</v>
      </c>
      <c r="L167" s="80" t="s">
        <v>533</v>
      </c>
    </row>
    <row r="168" spans="1:12" x14ac:dyDescent="0.25">
      <c r="A168" s="83">
        <v>43311</v>
      </c>
      <c r="B168" s="80" t="s">
        <v>536</v>
      </c>
      <c r="C168" s="80" t="s">
        <v>25</v>
      </c>
      <c r="D168" s="80" t="s">
        <v>0</v>
      </c>
      <c r="E168" s="80">
        <v>68427709</v>
      </c>
      <c r="F168" s="94">
        <v>245000</v>
      </c>
      <c r="G168" s="80" t="s">
        <v>72</v>
      </c>
      <c r="H168" s="80" t="s">
        <v>73</v>
      </c>
      <c r="I168" s="80" t="s">
        <v>81</v>
      </c>
      <c r="J168" s="80">
        <v>2019</v>
      </c>
      <c r="K168" s="80" t="s">
        <v>249</v>
      </c>
      <c r="L168" s="80" t="s">
        <v>537</v>
      </c>
    </row>
    <row r="169" spans="1:12" x14ac:dyDescent="0.25">
      <c r="A169" s="83">
        <v>43311</v>
      </c>
      <c r="B169" s="80" t="s">
        <v>538</v>
      </c>
      <c r="C169" s="80"/>
      <c r="D169" s="80" t="s">
        <v>532</v>
      </c>
      <c r="E169" s="80">
        <v>68427709</v>
      </c>
      <c r="F169" s="94">
        <v>96000</v>
      </c>
      <c r="G169" s="80" t="s">
        <v>72</v>
      </c>
      <c r="H169" s="80" t="s">
        <v>73</v>
      </c>
      <c r="I169" s="80" t="s">
        <v>81</v>
      </c>
      <c r="J169" s="80">
        <v>2019</v>
      </c>
      <c r="K169" s="80" t="s">
        <v>249</v>
      </c>
      <c r="L169" s="80" t="s">
        <v>533</v>
      </c>
    </row>
    <row r="170" spans="1:12" x14ac:dyDescent="0.25">
      <c r="A170" s="83">
        <v>43311</v>
      </c>
      <c r="B170" s="80" t="s">
        <v>539</v>
      </c>
      <c r="C170" s="80"/>
      <c r="D170" s="80" t="s">
        <v>0</v>
      </c>
      <c r="E170" s="80">
        <v>68427709</v>
      </c>
      <c r="F170" s="94">
        <v>36000</v>
      </c>
      <c r="G170" s="80" t="s">
        <v>72</v>
      </c>
      <c r="H170" s="80" t="s">
        <v>73</v>
      </c>
      <c r="I170" s="80" t="s">
        <v>81</v>
      </c>
      <c r="J170" s="80">
        <v>2019</v>
      </c>
      <c r="K170" s="80" t="s">
        <v>249</v>
      </c>
      <c r="L170" s="80"/>
    </row>
    <row r="171" spans="1:12" x14ac:dyDescent="0.25">
      <c r="A171" s="83">
        <v>43311</v>
      </c>
      <c r="B171" s="80" t="s">
        <v>540</v>
      </c>
      <c r="C171" s="80"/>
      <c r="D171" s="80" t="s">
        <v>0</v>
      </c>
      <c r="E171" s="80">
        <v>68427709</v>
      </c>
      <c r="F171" s="94">
        <v>12500</v>
      </c>
      <c r="G171" s="80" t="s">
        <v>72</v>
      </c>
      <c r="H171" s="80" t="s">
        <v>73</v>
      </c>
      <c r="I171" s="80" t="s">
        <v>92</v>
      </c>
      <c r="J171" s="80">
        <v>2019</v>
      </c>
      <c r="K171" s="80" t="s">
        <v>249</v>
      </c>
      <c r="L171" s="80" t="s">
        <v>541</v>
      </c>
    </row>
    <row r="172" spans="1:12" x14ac:dyDescent="0.25">
      <c r="A172" s="83">
        <v>43311</v>
      </c>
      <c r="B172" s="80" t="s">
        <v>542</v>
      </c>
      <c r="C172" s="80" t="s">
        <v>543</v>
      </c>
      <c r="D172" s="80" t="s">
        <v>0</v>
      </c>
      <c r="E172" s="80">
        <v>68427709</v>
      </c>
      <c r="F172" s="94">
        <v>175000</v>
      </c>
      <c r="G172" s="80" t="s">
        <v>72</v>
      </c>
      <c r="H172" s="80" t="s">
        <v>73</v>
      </c>
      <c r="I172" s="80" t="s">
        <v>163</v>
      </c>
      <c r="J172" s="80">
        <v>2019</v>
      </c>
      <c r="K172" s="80" t="s">
        <v>249</v>
      </c>
      <c r="L172" s="80"/>
    </row>
    <row r="173" spans="1:12" x14ac:dyDescent="0.25">
      <c r="A173" s="83">
        <v>43311</v>
      </c>
      <c r="B173" s="80" t="s">
        <v>544</v>
      </c>
      <c r="C173" s="80" t="s">
        <v>543</v>
      </c>
      <c r="D173" s="80" t="s">
        <v>0</v>
      </c>
      <c r="E173" s="80">
        <v>68427709</v>
      </c>
      <c r="F173" s="94">
        <v>139000</v>
      </c>
      <c r="G173" s="80" t="s">
        <v>72</v>
      </c>
      <c r="H173" s="80" t="s">
        <v>73</v>
      </c>
      <c r="I173" s="80" t="s">
        <v>163</v>
      </c>
      <c r="J173" s="80">
        <v>2019</v>
      </c>
      <c r="K173" s="80" t="s">
        <v>249</v>
      </c>
      <c r="L173" s="80" t="s">
        <v>545</v>
      </c>
    </row>
    <row r="174" spans="1:12" x14ac:dyDescent="0.25">
      <c r="A174" s="83">
        <v>43311</v>
      </c>
      <c r="B174" s="80" t="s">
        <v>546</v>
      </c>
      <c r="C174" s="80" t="s">
        <v>547</v>
      </c>
      <c r="D174" s="80" t="s">
        <v>517</v>
      </c>
      <c r="E174" s="80">
        <v>68427709</v>
      </c>
      <c r="F174" s="94">
        <v>115000</v>
      </c>
      <c r="G174" s="80" t="s">
        <v>72</v>
      </c>
      <c r="H174" s="80" t="s">
        <v>73</v>
      </c>
      <c r="I174" s="80" t="s">
        <v>92</v>
      </c>
      <c r="J174" s="80">
        <v>2019</v>
      </c>
      <c r="K174" s="80" t="s">
        <v>249</v>
      </c>
      <c r="L174" s="80" t="s">
        <v>548</v>
      </c>
    </row>
    <row r="175" spans="1:12" x14ac:dyDescent="0.25">
      <c r="A175" s="83">
        <v>43311</v>
      </c>
      <c r="B175" s="80" t="s">
        <v>549</v>
      </c>
      <c r="C175" s="80" t="s">
        <v>547</v>
      </c>
      <c r="D175" s="80" t="s">
        <v>517</v>
      </c>
      <c r="E175" s="80">
        <v>68427709</v>
      </c>
      <c r="F175" s="94">
        <v>1934000</v>
      </c>
      <c r="G175" s="80" t="s">
        <v>72</v>
      </c>
      <c r="H175" s="80" t="s">
        <v>73</v>
      </c>
      <c r="I175" s="80" t="s">
        <v>207</v>
      </c>
      <c r="J175" s="80">
        <v>2019</v>
      </c>
      <c r="K175" s="80" t="s">
        <v>249</v>
      </c>
      <c r="L175" s="80" t="s">
        <v>550</v>
      </c>
    </row>
    <row r="176" spans="1:12" x14ac:dyDescent="0.25">
      <c r="A176" s="83">
        <v>43311</v>
      </c>
      <c r="B176" s="80" t="s">
        <v>551</v>
      </c>
      <c r="C176" s="80" t="s">
        <v>547</v>
      </c>
      <c r="D176" s="80" t="s">
        <v>517</v>
      </c>
      <c r="E176" s="80">
        <v>68427709</v>
      </c>
      <c r="F176" s="94">
        <v>2974000</v>
      </c>
      <c r="G176" s="80" t="s">
        <v>72</v>
      </c>
      <c r="H176" s="80" t="s">
        <v>73</v>
      </c>
      <c r="I176" s="80" t="s">
        <v>207</v>
      </c>
      <c r="J176" s="80">
        <v>2019</v>
      </c>
      <c r="K176" s="80" t="s">
        <v>249</v>
      </c>
      <c r="L176" s="80" t="s">
        <v>550</v>
      </c>
    </row>
    <row r="177" spans="1:12" x14ac:dyDescent="0.25">
      <c r="A177" s="83">
        <v>43311</v>
      </c>
      <c r="B177" s="80" t="s">
        <v>552</v>
      </c>
      <c r="C177" s="80" t="s">
        <v>547</v>
      </c>
      <c r="D177" s="80" t="s">
        <v>517</v>
      </c>
      <c r="E177" s="80">
        <v>68427709</v>
      </c>
      <c r="F177" s="94">
        <v>265000</v>
      </c>
      <c r="G177" s="80" t="s">
        <v>72</v>
      </c>
      <c r="H177" s="80" t="s">
        <v>73</v>
      </c>
      <c r="I177" s="80" t="s">
        <v>207</v>
      </c>
      <c r="J177" s="80">
        <v>2019</v>
      </c>
      <c r="K177" s="80" t="s">
        <v>249</v>
      </c>
      <c r="L177" s="80" t="s">
        <v>550</v>
      </c>
    </row>
    <row r="178" spans="1:12" x14ac:dyDescent="0.25">
      <c r="A178" s="83">
        <v>43311</v>
      </c>
      <c r="B178" s="93" t="s">
        <v>16</v>
      </c>
      <c r="C178" s="6" t="s">
        <v>553</v>
      </c>
      <c r="D178" s="80" t="s">
        <v>0</v>
      </c>
      <c r="E178" s="80">
        <v>68427709</v>
      </c>
      <c r="F178" s="94">
        <v>-683000</v>
      </c>
      <c r="G178" s="80" t="s">
        <v>72</v>
      </c>
      <c r="H178" s="80" t="s">
        <v>73</v>
      </c>
      <c r="I178" s="80" t="s">
        <v>207</v>
      </c>
      <c r="J178" s="80">
        <v>2019</v>
      </c>
      <c r="K178" s="80" t="s">
        <v>249</v>
      </c>
      <c r="L178" s="80" t="s">
        <v>554</v>
      </c>
    </row>
    <row r="179" spans="1:12" x14ac:dyDescent="0.25">
      <c r="A179" s="83">
        <v>43311</v>
      </c>
      <c r="B179" s="93" t="s">
        <v>555</v>
      </c>
      <c r="C179" s="80" t="s">
        <v>556</v>
      </c>
      <c r="D179" s="80" t="s">
        <v>0</v>
      </c>
      <c r="E179" s="80">
        <v>68427709</v>
      </c>
      <c r="F179" s="94">
        <v>-2836000</v>
      </c>
      <c r="G179" s="80" t="s">
        <v>72</v>
      </c>
      <c r="H179" s="80" t="s">
        <v>73</v>
      </c>
      <c r="I179" s="80" t="s">
        <v>207</v>
      </c>
      <c r="J179" s="80">
        <v>2019</v>
      </c>
      <c r="K179" s="80" t="s">
        <v>249</v>
      </c>
      <c r="L179" s="80" t="s">
        <v>554</v>
      </c>
    </row>
    <row r="180" spans="1:12" x14ac:dyDescent="0.25">
      <c r="A180" s="83">
        <v>43311</v>
      </c>
      <c r="B180" s="93" t="s">
        <v>555</v>
      </c>
      <c r="C180" s="80" t="s">
        <v>556</v>
      </c>
      <c r="D180" s="80" t="s">
        <v>0</v>
      </c>
      <c r="E180" s="80">
        <v>68427709</v>
      </c>
      <c r="F180" s="94">
        <v>-284000</v>
      </c>
      <c r="G180" s="80" t="s">
        <v>72</v>
      </c>
      <c r="H180" s="80" t="s">
        <v>73</v>
      </c>
      <c r="I180" s="80" t="s">
        <v>207</v>
      </c>
      <c r="J180" s="80">
        <v>2019</v>
      </c>
      <c r="K180" s="80" t="s">
        <v>249</v>
      </c>
      <c r="L180" s="80" t="s">
        <v>554</v>
      </c>
    </row>
    <row r="181" spans="1:12" x14ac:dyDescent="0.25">
      <c r="A181" s="83">
        <v>43311</v>
      </c>
      <c r="B181" s="93" t="s">
        <v>555</v>
      </c>
      <c r="C181" s="80" t="s">
        <v>556</v>
      </c>
      <c r="D181" s="80" t="s">
        <v>0</v>
      </c>
      <c r="E181" s="80">
        <v>68427709</v>
      </c>
      <c r="F181" s="94">
        <v>-203000</v>
      </c>
      <c r="G181" s="80" t="s">
        <v>72</v>
      </c>
      <c r="H181" s="80" t="s">
        <v>73</v>
      </c>
      <c r="I181" s="80" t="s">
        <v>207</v>
      </c>
      <c r="J181" s="80">
        <v>2019</v>
      </c>
      <c r="K181" s="80" t="s">
        <v>249</v>
      </c>
      <c r="L181" s="80" t="s">
        <v>554</v>
      </c>
    </row>
    <row r="182" spans="1:12" x14ac:dyDescent="0.25">
      <c r="A182" s="83">
        <v>43311</v>
      </c>
      <c r="B182" s="80" t="s">
        <v>557</v>
      </c>
      <c r="C182" s="80" t="s">
        <v>517</v>
      </c>
      <c r="D182" s="80" t="s">
        <v>0</v>
      </c>
      <c r="E182" s="80">
        <v>68427709</v>
      </c>
      <c r="F182" s="94">
        <v>-105000</v>
      </c>
      <c r="G182" s="80" t="s">
        <v>72</v>
      </c>
      <c r="H182" s="80" t="s">
        <v>73</v>
      </c>
      <c r="I182" s="80" t="s">
        <v>92</v>
      </c>
      <c r="J182" s="80">
        <v>2019</v>
      </c>
      <c r="K182" s="80" t="s">
        <v>249</v>
      </c>
      <c r="L182" s="80" t="s">
        <v>554</v>
      </c>
    </row>
    <row r="183" spans="1:12" x14ac:dyDescent="0.25">
      <c r="A183" s="83">
        <v>43311</v>
      </c>
      <c r="B183" t="s">
        <v>558</v>
      </c>
      <c r="C183" s="80" t="s">
        <v>559</v>
      </c>
      <c r="D183" s="80" t="s">
        <v>86</v>
      </c>
      <c r="E183" s="80">
        <v>68427709</v>
      </c>
      <c r="F183" s="94">
        <v>40000</v>
      </c>
      <c r="G183" s="80" t="s">
        <v>72</v>
      </c>
      <c r="H183" s="80" t="s">
        <v>73</v>
      </c>
      <c r="I183" s="80" t="s">
        <v>163</v>
      </c>
      <c r="J183" s="80">
        <v>2019</v>
      </c>
      <c r="K183" s="80" t="s">
        <v>75</v>
      </c>
      <c r="L183" s="80" t="s">
        <v>560</v>
      </c>
    </row>
    <row r="184" spans="1:12" x14ac:dyDescent="0.25">
      <c r="A184" s="83">
        <v>43311</v>
      </c>
      <c r="B184" s="80" t="s">
        <v>561</v>
      </c>
      <c r="C184" s="80" t="s">
        <v>394</v>
      </c>
      <c r="D184" s="80" t="s">
        <v>86</v>
      </c>
      <c r="E184" s="80">
        <v>68427709</v>
      </c>
      <c r="F184" s="94">
        <v>50000</v>
      </c>
      <c r="G184" s="80" t="s">
        <v>72</v>
      </c>
      <c r="H184" s="80" t="s">
        <v>73</v>
      </c>
      <c r="I184" s="80" t="s">
        <v>163</v>
      </c>
      <c r="J184" s="80">
        <v>2019</v>
      </c>
      <c r="K184" s="80" t="s">
        <v>130</v>
      </c>
      <c r="L184" s="80" t="s">
        <v>562</v>
      </c>
    </row>
    <row r="185" spans="1:12" x14ac:dyDescent="0.25">
      <c r="A185" s="83">
        <v>43314</v>
      </c>
      <c r="B185" t="s">
        <v>563</v>
      </c>
      <c r="C185" t="s">
        <v>564</v>
      </c>
      <c r="D185" s="80" t="s">
        <v>0</v>
      </c>
      <c r="E185" s="80">
        <v>68427709</v>
      </c>
      <c r="F185" s="94">
        <v>600000</v>
      </c>
      <c r="G185" s="80" t="s">
        <v>72</v>
      </c>
      <c r="H185" s="80" t="s">
        <v>73</v>
      </c>
      <c r="I185" s="80" t="s">
        <v>92</v>
      </c>
      <c r="J185" s="80">
        <v>2019</v>
      </c>
      <c r="K185" s="80" t="s">
        <v>249</v>
      </c>
      <c r="L185" s="80" t="s">
        <v>565</v>
      </c>
    </row>
    <row r="186" spans="1:12" x14ac:dyDescent="0.25">
      <c r="A186" s="83">
        <v>43314</v>
      </c>
      <c r="B186" s="80" t="s">
        <v>566</v>
      </c>
      <c r="C186" s="80"/>
      <c r="D186" s="80" t="s">
        <v>0</v>
      </c>
      <c r="E186" s="80">
        <v>68427709</v>
      </c>
      <c r="F186" s="94">
        <v>204000</v>
      </c>
      <c r="G186" s="80" t="s">
        <v>72</v>
      </c>
      <c r="H186" s="80" t="s">
        <v>73</v>
      </c>
      <c r="I186" s="80" t="s">
        <v>92</v>
      </c>
      <c r="J186" s="80">
        <v>2019</v>
      </c>
      <c r="K186" s="80" t="s">
        <v>249</v>
      </c>
      <c r="L186" s="80" t="s">
        <v>565</v>
      </c>
    </row>
    <row r="187" spans="1:12" x14ac:dyDescent="0.25">
      <c r="A187" s="83">
        <v>43315</v>
      </c>
      <c r="B187" s="80" t="s">
        <v>567</v>
      </c>
      <c r="C187" s="80" t="s">
        <v>568</v>
      </c>
      <c r="D187" s="80" t="s">
        <v>0</v>
      </c>
      <c r="E187" s="80">
        <v>68427709</v>
      </c>
      <c r="F187" s="94">
        <v>-30000</v>
      </c>
      <c r="G187" s="80" t="s">
        <v>72</v>
      </c>
      <c r="H187" s="80" t="s">
        <v>73</v>
      </c>
      <c r="I187" s="80" t="s">
        <v>163</v>
      </c>
      <c r="J187" s="80">
        <v>2019</v>
      </c>
      <c r="K187" s="80" t="s">
        <v>75</v>
      </c>
      <c r="L187" s="80" t="s">
        <v>569</v>
      </c>
    </row>
    <row r="188" spans="1:12" x14ac:dyDescent="0.25">
      <c r="A188" s="83">
        <v>43315</v>
      </c>
      <c r="B188" s="80" t="s">
        <v>570</v>
      </c>
      <c r="C188" s="80" t="s">
        <v>571</v>
      </c>
      <c r="D188" s="80" t="s">
        <v>0</v>
      </c>
      <c r="E188" s="80">
        <v>68427709</v>
      </c>
      <c r="F188" s="94">
        <f>71280-14000</f>
        <v>57280</v>
      </c>
      <c r="G188" s="80" t="s">
        <v>72</v>
      </c>
      <c r="H188" s="80" t="s">
        <v>73</v>
      </c>
      <c r="I188" s="80" t="s">
        <v>163</v>
      </c>
      <c r="J188" s="80">
        <v>2019</v>
      </c>
      <c r="K188" s="80" t="s">
        <v>256</v>
      </c>
      <c r="L188" s="80" t="s">
        <v>572</v>
      </c>
    </row>
    <row r="189" spans="1:12" x14ac:dyDescent="0.25">
      <c r="A189" s="83">
        <v>43315</v>
      </c>
      <c r="B189" s="125" t="s">
        <v>573</v>
      </c>
      <c r="C189" s="80" t="s">
        <v>574</v>
      </c>
      <c r="D189" s="80" t="s">
        <v>575</v>
      </c>
      <c r="E189" s="80">
        <v>68427709</v>
      </c>
      <c r="F189" s="94">
        <v>150000</v>
      </c>
      <c r="G189" s="80" t="s">
        <v>72</v>
      </c>
      <c r="H189" s="80" t="s">
        <v>73</v>
      </c>
      <c r="I189" s="80" t="s">
        <v>163</v>
      </c>
      <c r="J189" s="80">
        <v>2019</v>
      </c>
      <c r="K189" s="80" t="s">
        <v>514</v>
      </c>
      <c r="L189" s="93" t="s">
        <v>574</v>
      </c>
    </row>
    <row r="190" spans="1:12" x14ac:dyDescent="0.25">
      <c r="A190" s="83">
        <v>43315</v>
      </c>
      <c r="B190" s="125" t="s">
        <v>576</v>
      </c>
      <c r="C190" s="80" t="s">
        <v>86</v>
      </c>
      <c r="D190" s="80" t="s">
        <v>311</v>
      </c>
      <c r="E190" s="80">
        <v>68427709</v>
      </c>
      <c r="F190" s="94">
        <v>80000</v>
      </c>
      <c r="G190" s="80" t="s">
        <v>72</v>
      </c>
      <c r="H190" s="80" t="s">
        <v>73</v>
      </c>
      <c r="I190" s="80" t="s">
        <v>92</v>
      </c>
      <c r="J190" s="80">
        <v>2019</v>
      </c>
      <c r="K190" s="80" t="s">
        <v>75</v>
      </c>
      <c r="L190" s="80"/>
    </row>
    <row r="191" spans="1:12" x14ac:dyDescent="0.25">
      <c r="A191" s="83">
        <v>43315</v>
      </c>
      <c r="B191" s="125" t="s">
        <v>577</v>
      </c>
      <c r="C191" s="80" t="s">
        <v>86</v>
      </c>
      <c r="D191" s="80" t="s">
        <v>311</v>
      </c>
      <c r="E191" s="80">
        <v>68427709</v>
      </c>
      <c r="F191" s="94">
        <v>120000</v>
      </c>
      <c r="G191" s="80" t="s">
        <v>72</v>
      </c>
      <c r="H191" s="80" t="s">
        <v>73</v>
      </c>
      <c r="I191" s="80" t="s">
        <v>92</v>
      </c>
      <c r="J191" s="80">
        <v>2019</v>
      </c>
      <c r="K191" s="80" t="s">
        <v>75</v>
      </c>
      <c r="L191" s="80"/>
    </row>
    <row r="192" spans="1:12" x14ac:dyDescent="0.25">
      <c r="A192" s="83">
        <v>43315</v>
      </c>
      <c r="B192" s="125" t="s">
        <v>578</v>
      </c>
      <c r="C192" s="80" t="s">
        <v>86</v>
      </c>
      <c r="D192" s="80" t="s">
        <v>311</v>
      </c>
      <c r="E192" s="80">
        <v>68427709</v>
      </c>
      <c r="F192" s="94">
        <v>50000</v>
      </c>
      <c r="G192" s="80" t="s">
        <v>72</v>
      </c>
      <c r="H192" s="80" t="s">
        <v>73</v>
      </c>
      <c r="I192" s="80" t="s">
        <v>92</v>
      </c>
      <c r="J192" s="80">
        <v>2019</v>
      </c>
      <c r="K192" s="80" t="s">
        <v>75</v>
      </c>
      <c r="L192" s="80"/>
    </row>
    <row r="193" spans="1:12" x14ac:dyDescent="0.25">
      <c r="A193" s="83">
        <v>43315</v>
      </c>
      <c r="B193" s="125" t="s">
        <v>579</v>
      </c>
      <c r="C193" s="80" t="s">
        <v>86</v>
      </c>
      <c r="D193" s="80" t="s">
        <v>311</v>
      </c>
      <c r="E193" s="80">
        <v>68427709</v>
      </c>
      <c r="F193" s="94">
        <v>80000</v>
      </c>
      <c r="G193" s="80" t="s">
        <v>72</v>
      </c>
      <c r="H193" s="80" t="s">
        <v>73</v>
      </c>
      <c r="I193" s="80" t="s">
        <v>92</v>
      </c>
      <c r="J193" s="80">
        <v>2019</v>
      </c>
      <c r="K193" s="80" t="s">
        <v>75</v>
      </c>
      <c r="L193" s="80"/>
    </row>
    <row r="194" spans="1:12" x14ac:dyDescent="0.25">
      <c r="A194" s="83">
        <v>43684</v>
      </c>
      <c r="B194" s="80" t="s">
        <v>580</v>
      </c>
      <c r="C194" s="80" t="s">
        <v>581</v>
      </c>
      <c r="D194" s="80" t="s">
        <v>0</v>
      </c>
      <c r="E194" s="80">
        <v>68427709</v>
      </c>
      <c r="F194" s="94">
        <v>49000</v>
      </c>
      <c r="G194" s="80" t="s">
        <v>72</v>
      </c>
      <c r="H194" s="80" t="s">
        <v>73</v>
      </c>
      <c r="I194" s="80" t="s">
        <v>92</v>
      </c>
      <c r="J194" s="80">
        <v>2019</v>
      </c>
      <c r="K194" s="80" t="s">
        <v>186</v>
      </c>
      <c r="L194" s="80"/>
    </row>
    <row r="195" spans="1:12" x14ac:dyDescent="0.25">
      <c r="A195" s="83">
        <v>43690</v>
      </c>
      <c r="B195" s="80" t="s">
        <v>582</v>
      </c>
      <c r="C195" s="80" t="s">
        <v>86</v>
      </c>
      <c r="D195" s="80"/>
      <c r="E195" s="80">
        <v>68427709</v>
      </c>
      <c r="F195" s="94">
        <v>30000</v>
      </c>
      <c r="G195" s="80" t="s">
        <v>72</v>
      </c>
      <c r="H195" s="80" t="s">
        <v>73</v>
      </c>
      <c r="I195" s="80" t="s">
        <v>163</v>
      </c>
      <c r="J195" s="80">
        <v>2019</v>
      </c>
      <c r="K195" s="80" t="s">
        <v>270</v>
      </c>
      <c r="L195" s="93" t="s">
        <v>583</v>
      </c>
    </row>
    <row r="196" spans="1:12" x14ac:dyDescent="0.25">
      <c r="A196" s="83">
        <v>43691</v>
      </c>
      <c r="B196" s="80" t="s">
        <v>584</v>
      </c>
      <c r="C196" s="80" t="s">
        <v>86</v>
      </c>
      <c r="D196" s="80"/>
      <c r="E196" s="80">
        <v>68427709</v>
      </c>
      <c r="F196" s="94">
        <v>700000</v>
      </c>
      <c r="G196" s="80" t="s">
        <v>72</v>
      </c>
      <c r="H196" s="80" t="s">
        <v>73</v>
      </c>
      <c r="I196" s="80" t="s">
        <v>163</v>
      </c>
      <c r="J196" s="80">
        <v>2019</v>
      </c>
      <c r="K196" s="80" t="s">
        <v>130</v>
      </c>
      <c r="L196" s="80" t="s">
        <v>585</v>
      </c>
    </row>
    <row r="197" spans="1:12" x14ac:dyDescent="0.25">
      <c r="A197" s="83">
        <v>43328</v>
      </c>
      <c r="B197" s="80" t="s">
        <v>586</v>
      </c>
      <c r="C197" s="80" t="s">
        <v>587</v>
      </c>
      <c r="D197" s="80"/>
      <c r="E197" s="80">
        <v>68427709</v>
      </c>
      <c r="F197" s="94">
        <v>150000</v>
      </c>
      <c r="G197" s="80" t="s">
        <v>72</v>
      </c>
      <c r="H197" s="80" t="s">
        <v>73</v>
      </c>
      <c r="I197" s="80" t="s">
        <v>163</v>
      </c>
      <c r="J197" s="80">
        <v>2019</v>
      </c>
      <c r="K197" s="80" t="s">
        <v>514</v>
      </c>
      <c r="L197" s="80" t="s">
        <v>588</v>
      </c>
    </row>
    <row r="198" spans="1:12" x14ac:dyDescent="0.25">
      <c r="A198" s="83">
        <v>43328</v>
      </c>
      <c r="B198" t="s">
        <v>589</v>
      </c>
      <c r="C198" s="80" t="s">
        <v>590</v>
      </c>
      <c r="D198" s="80"/>
      <c r="E198" s="80">
        <v>68427709</v>
      </c>
      <c r="F198" s="94">
        <v>-14000</v>
      </c>
      <c r="G198" s="80" t="s">
        <v>72</v>
      </c>
      <c r="H198" s="80" t="s">
        <v>73</v>
      </c>
      <c r="I198" s="80" t="s">
        <v>163</v>
      </c>
      <c r="J198" s="80">
        <v>2019</v>
      </c>
      <c r="K198" s="80" t="s">
        <v>514</v>
      </c>
      <c r="L198" s="80" t="s">
        <v>591</v>
      </c>
    </row>
    <row r="199" spans="1:12" x14ac:dyDescent="0.25">
      <c r="A199" s="83">
        <v>43328</v>
      </c>
      <c r="B199" s="80" t="s">
        <v>592</v>
      </c>
      <c r="C199" s="80" t="s">
        <v>593</v>
      </c>
      <c r="D199" s="80"/>
      <c r="E199" s="80">
        <v>68427709</v>
      </c>
      <c r="F199" s="94">
        <v>-1000</v>
      </c>
      <c r="G199" s="80" t="s">
        <v>72</v>
      </c>
      <c r="H199" s="80" t="s">
        <v>73</v>
      </c>
      <c r="I199" s="80" t="s">
        <v>163</v>
      </c>
      <c r="J199" s="80">
        <v>2019</v>
      </c>
      <c r="K199" s="80" t="s">
        <v>75</v>
      </c>
      <c r="L199" s="80" t="s">
        <v>594</v>
      </c>
    </row>
    <row r="200" spans="1:12" x14ac:dyDescent="0.25">
      <c r="A200" s="83">
        <v>43328</v>
      </c>
      <c r="B200" s="80" t="s">
        <v>595</v>
      </c>
      <c r="C200" s="80" t="s">
        <v>596</v>
      </c>
      <c r="D200" s="80" t="s">
        <v>0</v>
      </c>
      <c r="E200" s="80">
        <v>68427709</v>
      </c>
      <c r="F200" s="94">
        <v>94000</v>
      </c>
      <c r="G200" s="80" t="s">
        <v>72</v>
      </c>
      <c r="H200" s="80" t="s">
        <v>73</v>
      </c>
      <c r="I200" s="80" t="s">
        <v>163</v>
      </c>
      <c r="J200" s="80">
        <v>2019</v>
      </c>
      <c r="K200" s="80" t="s">
        <v>270</v>
      </c>
      <c r="L200" s="80" t="s">
        <v>597</v>
      </c>
    </row>
    <row r="201" spans="1:12" x14ac:dyDescent="0.25">
      <c r="A201" s="83">
        <v>43328</v>
      </c>
      <c r="B201" t="s">
        <v>598</v>
      </c>
      <c r="C201" s="142" t="s">
        <v>599</v>
      </c>
      <c r="D201" s="142"/>
      <c r="E201" s="142">
        <v>68427709</v>
      </c>
      <c r="F201" s="143">
        <v>300000</v>
      </c>
      <c r="G201" s="142" t="s">
        <v>72</v>
      </c>
      <c r="H201" s="142" t="s">
        <v>73</v>
      </c>
      <c r="I201" s="142" t="s">
        <v>163</v>
      </c>
      <c r="J201" s="142">
        <v>2019</v>
      </c>
      <c r="K201" s="142" t="s">
        <v>335</v>
      </c>
      <c r="L201" s="80"/>
    </row>
    <row r="202" spans="1:12" x14ac:dyDescent="0.25">
      <c r="A202" s="140">
        <v>43329</v>
      </c>
      <c r="B202" s="80" t="s">
        <v>600</v>
      </c>
      <c r="C202" s="80" t="s">
        <v>601</v>
      </c>
      <c r="D202" s="80"/>
      <c r="E202" s="80">
        <v>68427709</v>
      </c>
      <c r="F202" s="94">
        <v>0</v>
      </c>
      <c r="G202" s="80" t="s">
        <v>72</v>
      </c>
      <c r="H202" s="80" t="s">
        <v>73</v>
      </c>
      <c r="I202" s="80" t="s">
        <v>92</v>
      </c>
      <c r="J202" s="80">
        <v>2019</v>
      </c>
      <c r="K202" s="80" t="s">
        <v>249</v>
      </c>
      <c r="L202" s="141" t="s">
        <v>602</v>
      </c>
    </row>
    <row r="203" spans="1:12" x14ac:dyDescent="0.25">
      <c r="A203" s="140">
        <v>43335</v>
      </c>
      <c r="B203" s="80" t="s">
        <v>603</v>
      </c>
      <c r="C203" s="80" t="s">
        <v>604</v>
      </c>
      <c r="D203" s="80"/>
      <c r="E203" s="80">
        <v>68427709</v>
      </c>
      <c r="F203" s="94">
        <v>-70000</v>
      </c>
      <c r="G203" s="80" t="s">
        <v>72</v>
      </c>
      <c r="H203" s="80" t="s">
        <v>73</v>
      </c>
      <c r="I203" s="80" t="s">
        <v>92</v>
      </c>
      <c r="J203" s="80">
        <v>2019</v>
      </c>
      <c r="K203" s="80" t="s">
        <v>605</v>
      </c>
      <c r="L203" s="141" t="s">
        <v>606</v>
      </c>
    </row>
    <row r="204" spans="1:12" x14ac:dyDescent="0.25">
      <c r="A204" s="140">
        <v>43335</v>
      </c>
      <c r="B204" s="80" t="s">
        <v>430</v>
      </c>
      <c r="C204" s="80" t="s">
        <v>604</v>
      </c>
      <c r="D204" s="80"/>
      <c r="E204" s="80">
        <v>68427709</v>
      </c>
      <c r="F204" s="94">
        <v>-100000</v>
      </c>
      <c r="G204" s="80" t="s">
        <v>72</v>
      </c>
      <c r="H204" s="80" t="s">
        <v>73</v>
      </c>
      <c r="I204" s="80" t="s">
        <v>163</v>
      </c>
      <c r="J204" s="80">
        <v>2019</v>
      </c>
      <c r="K204" s="80" t="s">
        <v>605</v>
      </c>
      <c r="L204" s="141" t="s">
        <v>607</v>
      </c>
    </row>
    <row r="205" spans="1:12" x14ac:dyDescent="0.25">
      <c r="A205" s="140">
        <v>43335</v>
      </c>
      <c r="B205" s="80" t="s">
        <v>94</v>
      </c>
      <c r="C205" s="80" t="s">
        <v>608</v>
      </c>
      <c r="D205" s="80" t="s">
        <v>0</v>
      </c>
      <c r="E205" s="80">
        <v>68427709</v>
      </c>
      <c r="F205" s="94">
        <v>84000</v>
      </c>
      <c r="G205" s="80" t="s">
        <v>72</v>
      </c>
      <c r="H205" s="80" t="s">
        <v>73</v>
      </c>
      <c r="I205" s="80" t="s">
        <v>163</v>
      </c>
      <c r="J205" s="80">
        <v>2019</v>
      </c>
      <c r="K205" s="80" t="s">
        <v>270</v>
      </c>
      <c r="L205" s="141" t="s">
        <v>609</v>
      </c>
    </row>
    <row r="206" spans="1:12" x14ac:dyDescent="0.25">
      <c r="A206" s="42">
        <v>43338</v>
      </c>
      <c r="B206" s="80" t="s">
        <v>549</v>
      </c>
      <c r="C206" s="80" t="s">
        <v>547</v>
      </c>
      <c r="D206" s="80" t="s">
        <v>517</v>
      </c>
      <c r="E206" s="80">
        <v>68427709</v>
      </c>
      <c r="F206" s="145">
        <f>1096000-F175</f>
        <v>-838000</v>
      </c>
      <c r="G206" s="80" t="s">
        <v>72</v>
      </c>
      <c r="H206" s="80" t="s">
        <v>610</v>
      </c>
      <c r="I206" s="80" t="s">
        <v>163</v>
      </c>
      <c r="J206" s="80">
        <v>2019</v>
      </c>
      <c r="K206" s="80" t="s">
        <v>249</v>
      </c>
      <c r="L206" s="144" t="s">
        <v>611</v>
      </c>
    </row>
    <row r="207" spans="1:12" x14ac:dyDescent="0.25">
      <c r="A207" s="42">
        <v>43339</v>
      </c>
      <c r="B207" s="80" t="s">
        <v>612</v>
      </c>
      <c r="C207" s="80" t="s">
        <v>86</v>
      </c>
      <c r="D207" s="80"/>
      <c r="E207" s="80">
        <v>68427709</v>
      </c>
      <c r="F207" s="145">
        <v>-2000000</v>
      </c>
      <c r="G207" s="80" t="s">
        <v>72</v>
      </c>
      <c r="H207" s="80" t="s">
        <v>73</v>
      </c>
      <c r="I207" s="80" t="s">
        <v>613</v>
      </c>
      <c r="J207" s="80">
        <v>2019</v>
      </c>
      <c r="K207" s="80" t="s">
        <v>605</v>
      </c>
      <c r="L207" s="144" t="s">
        <v>614</v>
      </c>
    </row>
    <row r="208" spans="1:12" x14ac:dyDescent="0.25">
      <c r="A208" s="42">
        <v>43339</v>
      </c>
      <c r="B208" s="80" t="s">
        <v>615</v>
      </c>
      <c r="C208" s="80" t="s">
        <v>616</v>
      </c>
      <c r="D208" s="80" t="s">
        <v>0</v>
      </c>
      <c r="E208" s="80">
        <v>68427709</v>
      </c>
      <c r="F208" s="94">
        <v>-38000</v>
      </c>
      <c r="G208" s="80" t="s">
        <v>72</v>
      </c>
      <c r="H208" s="80" t="s">
        <v>73</v>
      </c>
      <c r="I208" s="80" t="s">
        <v>163</v>
      </c>
      <c r="J208" s="80">
        <v>2019</v>
      </c>
      <c r="K208" s="80" t="s">
        <v>617</v>
      </c>
      <c r="L208" s="80" t="s">
        <v>618</v>
      </c>
    </row>
    <row r="209" spans="1:12" x14ac:dyDescent="0.25">
      <c r="A209" s="42">
        <v>43339</v>
      </c>
      <c r="B209" s="80" t="s">
        <v>619</v>
      </c>
      <c r="C209" s="80" t="s">
        <v>620</v>
      </c>
      <c r="D209" s="80" t="s">
        <v>420</v>
      </c>
      <c r="E209" s="80">
        <v>68427709</v>
      </c>
      <c r="F209" s="94">
        <v>-1314581</v>
      </c>
      <c r="G209" s="80" t="s">
        <v>72</v>
      </c>
      <c r="H209" s="80" t="s">
        <v>73</v>
      </c>
      <c r="I209" s="80" t="s">
        <v>207</v>
      </c>
      <c r="J209" s="80">
        <v>2019</v>
      </c>
      <c r="K209" s="80" t="s">
        <v>605</v>
      </c>
      <c r="L209" s="80" t="s">
        <v>621</v>
      </c>
    </row>
    <row r="210" spans="1:12" x14ac:dyDescent="0.25">
      <c r="A210" s="42">
        <v>43339</v>
      </c>
      <c r="B210" s="80" t="s">
        <v>622</v>
      </c>
      <c r="C210" s="80" t="s">
        <v>623</v>
      </c>
      <c r="D210" s="80" t="s">
        <v>86</v>
      </c>
      <c r="E210" s="80">
        <v>68427709</v>
      </c>
      <c r="F210" s="94">
        <v>-750000</v>
      </c>
      <c r="G210" s="80" t="s">
        <v>72</v>
      </c>
      <c r="H210" s="80" t="s">
        <v>73</v>
      </c>
      <c r="I210" s="80" t="s">
        <v>613</v>
      </c>
      <c r="J210" s="80">
        <v>2019</v>
      </c>
      <c r="K210" s="80" t="s">
        <v>605</v>
      </c>
      <c r="L210" s="80" t="s">
        <v>623</v>
      </c>
    </row>
    <row r="211" spans="1:12" x14ac:dyDescent="0.25">
      <c r="A211" s="146">
        <v>43339</v>
      </c>
      <c r="B211" s="85" t="s">
        <v>624</v>
      </c>
      <c r="C211" s="85" t="s">
        <v>625</v>
      </c>
      <c r="D211" s="85" t="s">
        <v>0</v>
      </c>
      <c r="E211" s="85">
        <v>68427709</v>
      </c>
      <c r="F211" s="124">
        <v>-35000</v>
      </c>
      <c r="G211" s="85" t="s">
        <v>72</v>
      </c>
      <c r="H211" s="85" t="s">
        <v>73</v>
      </c>
      <c r="I211" s="85" t="s">
        <v>163</v>
      </c>
      <c r="J211" s="85">
        <v>2019</v>
      </c>
      <c r="K211" s="85" t="s">
        <v>617</v>
      </c>
      <c r="L211" s="85" t="s">
        <v>626</v>
      </c>
    </row>
    <row r="212" spans="1:12" x14ac:dyDescent="0.25">
      <c r="A212" s="83">
        <v>43402</v>
      </c>
      <c r="B212" s="80" t="s">
        <v>627</v>
      </c>
      <c r="C212" s="80" t="s">
        <v>628</v>
      </c>
      <c r="D212" s="80" t="s">
        <v>629</v>
      </c>
      <c r="E212" s="80">
        <v>68427709</v>
      </c>
      <c r="F212" s="94">
        <v>2500</v>
      </c>
      <c r="G212" s="80" t="s">
        <v>72</v>
      </c>
      <c r="H212" s="80" t="s">
        <v>73</v>
      </c>
      <c r="I212" s="80" t="s">
        <v>163</v>
      </c>
      <c r="J212" s="80">
        <v>2020</v>
      </c>
      <c r="K212" s="80" t="s">
        <v>75</v>
      </c>
      <c r="L212" s="80" t="s">
        <v>630</v>
      </c>
    </row>
    <row r="213" spans="1:12" x14ac:dyDescent="0.25">
      <c r="A213" s="83">
        <v>43403</v>
      </c>
      <c r="B213" s="80" t="s">
        <v>631</v>
      </c>
      <c r="C213" s="80" t="s">
        <v>632</v>
      </c>
      <c r="D213" s="80" t="s">
        <v>0</v>
      </c>
      <c r="E213" s="80">
        <v>68427709</v>
      </c>
      <c r="F213" s="94">
        <v>-144000</v>
      </c>
      <c r="G213" s="80" t="s">
        <v>72</v>
      </c>
      <c r="H213" s="80" t="s">
        <v>73</v>
      </c>
      <c r="I213" s="80" t="s">
        <v>87</v>
      </c>
      <c r="J213" s="80">
        <v>2020</v>
      </c>
      <c r="K213" s="80" t="s">
        <v>633</v>
      </c>
      <c r="L213" s="80" t="s">
        <v>634</v>
      </c>
    </row>
    <row r="214" spans="1:12" x14ac:dyDescent="0.25">
      <c r="A214" s="83">
        <v>43420</v>
      </c>
      <c r="B214" s="80" t="s">
        <v>635</v>
      </c>
      <c r="C214" s="80" t="s">
        <v>636</v>
      </c>
      <c r="D214" s="80" t="s">
        <v>0</v>
      </c>
      <c r="E214" s="80">
        <v>68427709</v>
      </c>
      <c r="F214" s="94">
        <v>9000</v>
      </c>
      <c r="G214" s="80" t="s">
        <v>72</v>
      </c>
      <c r="H214" s="80" t="s">
        <v>73</v>
      </c>
      <c r="I214" s="80" t="s">
        <v>163</v>
      </c>
      <c r="J214" s="80">
        <v>2020</v>
      </c>
      <c r="K214" s="80" t="s">
        <v>392</v>
      </c>
      <c r="L214" s="80" t="s">
        <v>637</v>
      </c>
    </row>
    <row r="215" spans="1:12" x14ac:dyDescent="0.25">
      <c r="A215" s="83">
        <v>43433</v>
      </c>
      <c r="B215" s="80" t="s">
        <v>638</v>
      </c>
      <c r="C215" s="80" t="s">
        <v>639</v>
      </c>
      <c r="D215" s="80" t="s">
        <v>0</v>
      </c>
      <c r="E215" s="80">
        <v>68427709</v>
      </c>
      <c r="F215" s="94">
        <v>60000</v>
      </c>
      <c r="G215" s="80" t="s">
        <v>72</v>
      </c>
      <c r="H215" s="80" t="s">
        <v>73</v>
      </c>
      <c r="I215" s="80" t="s">
        <v>163</v>
      </c>
      <c r="J215" s="80">
        <v>2020</v>
      </c>
      <c r="K215" s="80" t="s">
        <v>75</v>
      </c>
      <c r="L215" s="80" t="s">
        <v>640</v>
      </c>
    </row>
    <row r="216" spans="1:12" x14ac:dyDescent="0.25">
      <c r="A216" s="83">
        <v>43437</v>
      </c>
      <c r="B216" s="80" t="s">
        <v>641</v>
      </c>
      <c r="C216" s="80" t="s">
        <v>642</v>
      </c>
      <c r="D216" s="80" t="s">
        <v>86</v>
      </c>
      <c r="E216" s="80">
        <v>68427719</v>
      </c>
      <c r="F216" s="94">
        <v>20000</v>
      </c>
      <c r="G216" s="80" t="s">
        <v>72</v>
      </c>
      <c r="H216" s="80" t="s">
        <v>73</v>
      </c>
      <c r="I216" s="80" t="s">
        <v>163</v>
      </c>
      <c r="J216" s="80">
        <v>2020</v>
      </c>
      <c r="K216" s="80" t="s">
        <v>75</v>
      </c>
      <c r="L216" s="80" t="s">
        <v>643</v>
      </c>
    </row>
    <row r="217" spans="1:12" x14ac:dyDescent="0.25">
      <c r="A217" s="83">
        <v>43445</v>
      </c>
      <c r="B217" s="80" t="s">
        <v>644</v>
      </c>
      <c r="C217" s="80" t="s">
        <v>645</v>
      </c>
      <c r="D217" s="80" t="s">
        <v>0</v>
      </c>
      <c r="E217" s="80">
        <v>68427709</v>
      </c>
      <c r="F217" s="94">
        <v>9000</v>
      </c>
      <c r="G217" s="80" t="s">
        <v>72</v>
      </c>
      <c r="H217" s="80" t="s">
        <v>73</v>
      </c>
      <c r="I217" s="80" t="s">
        <v>163</v>
      </c>
      <c r="J217" s="80">
        <v>2020</v>
      </c>
      <c r="K217" s="80" t="s">
        <v>392</v>
      </c>
      <c r="L217" s="80" t="s">
        <v>646</v>
      </c>
    </row>
    <row r="218" spans="1:12" x14ac:dyDescent="0.25">
      <c r="A218" s="83">
        <v>43451</v>
      </c>
      <c r="B218" s="80" t="s">
        <v>647</v>
      </c>
      <c r="C218" s="80" t="s">
        <v>648</v>
      </c>
      <c r="D218" s="80" t="s">
        <v>396</v>
      </c>
      <c r="E218" s="80">
        <v>68427709</v>
      </c>
      <c r="F218" s="94">
        <v>14000</v>
      </c>
      <c r="G218" s="80" t="s">
        <v>72</v>
      </c>
      <c r="H218" s="80" t="s">
        <v>73</v>
      </c>
      <c r="I218" s="80" t="s">
        <v>92</v>
      </c>
      <c r="J218" s="80">
        <v>2020</v>
      </c>
      <c r="K218" s="80" t="s">
        <v>75</v>
      </c>
      <c r="L218" s="80" t="s">
        <v>649</v>
      </c>
    </row>
    <row r="219" spans="1:12" x14ac:dyDescent="0.25">
      <c r="A219" s="83">
        <v>43451</v>
      </c>
      <c r="B219" s="80" t="s">
        <v>650</v>
      </c>
      <c r="C219" s="80" t="s">
        <v>651</v>
      </c>
      <c r="D219" s="80" t="s">
        <v>0</v>
      </c>
      <c r="E219" s="80">
        <v>68427709</v>
      </c>
      <c r="F219" s="94">
        <v>12000</v>
      </c>
      <c r="G219" s="80" t="s">
        <v>72</v>
      </c>
      <c r="H219" s="80" t="s">
        <v>73</v>
      </c>
      <c r="I219" s="80" t="s">
        <v>92</v>
      </c>
      <c r="J219" s="80">
        <v>2020</v>
      </c>
      <c r="K219" s="80" t="s">
        <v>186</v>
      </c>
      <c r="L219" s="80" t="s">
        <v>652</v>
      </c>
    </row>
    <row r="220" spans="1:12" x14ac:dyDescent="0.25">
      <c r="A220" s="83">
        <v>43454</v>
      </c>
      <c r="B220" s="80" t="s">
        <v>90</v>
      </c>
      <c r="C220" s="80" t="s">
        <v>653</v>
      </c>
      <c r="D220" s="80" t="s">
        <v>0</v>
      </c>
      <c r="E220" s="80">
        <v>68427709</v>
      </c>
      <c r="F220" s="94">
        <v>25000</v>
      </c>
      <c r="G220" s="80" t="s">
        <v>72</v>
      </c>
      <c r="H220" s="80" t="s">
        <v>73</v>
      </c>
      <c r="I220" s="80" t="s">
        <v>163</v>
      </c>
      <c r="J220" s="80">
        <v>2020</v>
      </c>
      <c r="K220" s="80" t="s">
        <v>186</v>
      </c>
      <c r="L220" s="80" t="s">
        <v>654</v>
      </c>
    </row>
    <row r="221" spans="1:12" x14ac:dyDescent="0.25">
      <c r="A221" s="83">
        <v>43467</v>
      </c>
      <c r="B221" s="80" t="s">
        <v>339</v>
      </c>
      <c r="C221" s="80" t="s">
        <v>655</v>
      </c>
      <c r="D221" s="80" t="s">
        <v>0</v>
      </c>
      <c r="E221" s="80">
        <v>68427709</v>
      </c>
      <c r="F221" s="94">
        <v>2500</v>
      </c>
      <c r="G221" s="80" t="s">
        <v>72</v>
      </c>
      <c r="H221" s="80" t="s">
        <v>73</v>
      </c>
      <c r="I221" s="80" t="s">
        <v>163</v>
      </c>
      <c r="J221" s="80">
        <v>2020</v>
      </c>
      <c r="K221" s="80" t="s">
        <v>501</v>
      </c>
      <c r="L221" s="80" t="s">
        <v>656</v>
      </c>
    </row>
    <row r="222" spans="1:12" x14ac:dyDescent="0.25">
      <c r="A222" s="83">
        <v>43468</v>
      </c>
      <c r="B222" s="80" t="s">
        <v>657</v>
      </c>
      <c r="C222" s="80" t="s">
        <v>658</v>
      </c>
      <c r="D222" s="80" t="s">
        <v>0</v>
      </c>
      <c r="E222" s="80">
        <v>68427709</v>
      </c>
      <c r="F222" s="94">
        <v>-110000</v>
      </c>
      <c r="G222" s="80" t="s">
        <v>72</v>
      </c>
      <c r="H222" s="80" t="s">
        <v>73</v>
      </c>
      <c r="I222" s="80" t="s">
        <v>87</v>
      </c>
      <c r="J222" s="80">
        <v>2020</v>
      </c>
      <c r="K222" s="80" t="s">
        <v>186</v>
      </c>
      <c r="L222" s="80" t="s">
        <v>659</v>
      </c>
    </row>
    <row r="223" spans="1:12" x14ac:dyDescent="0.25">
      <c r="A223" s="83">
        <v>43468</v>
      </c>
      <c r="B223" s="80" t="s">
        <v>660</v>
      </c>
      <c r="C223" s="80" t="s">
        <v>661</v>
      </c>
      <c r="D223" s="80" t="s">
        <v>0</v>
      </c>
      <c r="E223" s="80">
        <v>68427709</v>
      </c>
      <c r="F223" s="94">
        <v>50000</v>
      </c>
      <c r="G223" s="80" t="s">
        <v>72</v>
      </c>
      <c r="H223" s="80" t="s">
        <v>73</v>
      </c>
      <c r="I223" s="80" t="s">
        <v>92</v>
      </c>
      <c r="J223" s="80">
        <v>2020</v>
      </c>
      <c r="K223" s="80" t="s">
        <v>186</v>
      </c>
      <c r="L223" s="80" t="s">
        <v>662</v>
      </c>
    </row>
    <row r="224" spans="1:12" x14ac:dyDescent="0.25">
      <c r="A224" s="83">
        <v>43474</v>
      </c>
      <c r="B224" s="80" t="s">
        <v>663</v>
      </c>
      <c r="C224" s="80" t="s">
        <v>664</v>
      </c>
      <c r="D224" s="80" t="s">
        <v>0</v>
      </c>
      <c r="E224" s="80">
        <v>68427709</v>
      </c>
      <c r="F224" s="94">
        <v>8200</v>
      </c>
      <c r="G224" s="80" t="s">
        <v>72</v>
      </c>
      <c r="H224" s="80" t="s">
        <v>73</v>
      </c>
      <c r="I224" s="80" t="s">
        <v>163</v>
      </c>
      <c r="J224" s="80">
        <v>2020</v>
      </c>
      <c r="K224" s="80" t="s">
        <v>665</v>
      </c>
      <c r="L224" s="80" t="s">
        <v>666</v>
      </c>
    </row>
    <row r="225" spans="1:12" x14ac:dyDescent="0.25">
      <c r="A225" s="83">
        <v>43486</v>
      </c>
      <c r="B225" s="80" t="s">
        <v>667</v>
      </c>
      <c r="C225" s="80" t="s">
        <v>668</v>
      </c>
      <c r="D225" s="80" t="s">
        <v>0</v>
      </c>
      <c r="E225" s="80">
        <v>68427709</v>
      </c>
      <c r="F225" s="94">
        <f>135000*0.6</f>
        <v>81000</v>
      </c>
      <c r="G225" s="80" t="s">
        <v>261</v>
      </c>
      <c r="H225" s="80" t="s">
        <v>73</v>
      </c>
      <c r="I225" s="80" t="s">
        <v>92</v>
      </c>
      <c r="J225" s="80">
        <v>2020</v>
      </c>
      <c r="K225" s="80" t="s">
        <v>156</v>
      </c>
      <c r="L225" s="80" t="s">
        <v>669</v>
      </c>
    </row>
    <row r="226" spans="1:12" x14ac:dyDescent="0.25">
      <c r="A226" s="83">
        <v>43490</v>
      </c>
      <c r="B226" s="80" t="s">
        <v>663</v>
      </c>
      <c r="C226" s="80" t="s">
        <v>670</v>
      </c>
      <c r="D226" t="s">
        <v>0</v>
      </c>
      <c r="E226" s="80">
        <v>68427709</v>
      </c>
      <c r="F226" s="94">
        <v>3000</v>
      </c>
      <c r="G226" s="80" t="s">
        <v>72</v>
      </c>
      <c r="H226" s="80" t="s">
        <v>73</v>
      </c>
      <c r="I226" s="80" t="s">
        <v>163</v>
      </c>
      <c r="J226" s="80">
        <v>2020</v>
      </c>
      <c r="K226" s="80" t="s">
        <v>270</v>
      </c>
      <c r="L226" s="80" t="s">
        <v>671</v>
      </c>
    </row>
    <row r="227" spans="1:12" x14ac:dyDescent="0.25">
      <c r="A227" s="83">
        <v>43494</v>
      </c>
      <c r="B227" s="80" t="s">
        <v>672</v>
      </c>
      <c r="C227" s="80" t="s">
        <v>673</v>
      </c>
      <c r="D227" s="80" t="s">
        <v>86</v>
      </c>
      <c r="E227" s="80">
        <v>68427719</v>
      </c>
      <c r="F227" s="94">
        <v>52000</v>
      </c>
      <c r="G227" s="80" t="s">
        <v>72</v>
      </c>
      <c r="H227" s="80" t="s">
        <v>73</v>
      </c>
      <c r="I227" s="80" t="s">
        <v>163</v>
      </c>
      <c r="J227" s="80">
        <v>2020</v>
      </c>
      <c r="K227" s="80" t="s">
        <v>270</v>
      </c>
      <c r="L227" s="80" t="s">
        <v>674</v>
      </c>
    </row>
    <row r="228" spans="1:12" x14ac:dyDescent="0.25">
      <c r="A228" s="83">
        <v>43494</v>
      </c>
      <c r="B228" s="80" t="s">
        <v>675</v>
      </c>
      <c r="C228" s="80" t="s">
        <v>676</v>
      </c>
      <c r="D228" s="80" t="s">
        <v>86</v>
      </c>
      <c r="E228" s="80">
        <v>68427719</v>
      </c>
      <c r="F228" s="94">
        <v>90000</v>
      </c>
      <c r="G228" s="80" t="s">
        <v>72</v>
      </c>
      <c r="H228" s="80" t="s">
        <v>73</v>
      </c>
      <c r="I228" s="80" t="s">
        <v>163</v>
      </c>
      <c r="J228" s="80">
        <v>2020</v>
      </c>
      <c r="K228" s="80" t="s">
        <v>270</v>
      </c>
      <c r="L228" s="80" t="s">
        <v>677</v>
      </c>
    </row>
    <row r="229" spans="1:12" x14ac:dyDescent="0.25">
      <c r="A229" s="83">
        <v>43495</v>
      </c>
      <c r="B229" s="80" t="s">
        <v>678</v>
      </c>
      <c r="C229" s="80" t="s">
        <v>679</v>
      </c>
      <c r="D229" s="80" t="s">
        <v>86</v>
      </c>
      <c r="E229" s="80">
        <v>68427719</v>
      </c>
      <c r="F229" s="94">
        <v>49000</v>
      </c>
      <c r="G229" s="80" t="s">
        <v>72</v>
      </c>
      <c r="H229" s="80" t="s">
        <v>73</v>
      </c>
      <c r="I229" s="80" t="s">
        <v>163</v>
      </c>
      <c r="J229" s="80">
        <v>2020</v>
      </c>
      <c r="K229" s="80" t="s">
        <v>130</v>
      </c>
      <c r="L229" s="80" t="s">
        <v>680</v>
      </c>
    </row>
    <row r="230" spans="1:12" x14ac:dyDescent="0.25">
      <c r="A230" s="83">
        <v>43509</v>
      </c>
      <c r="B230" s="80" t="s">
        <v>84</v>
      </c>
      <c r="C230" s="80" t="s">
        <v>681</v>
      </c>
      <c r="D230" s="80" t="s">
        <v>86</v>
      </c>
      <c r="E230" s="80">
        <v>68427709</v>
      </c>
      <c r="F230" s="94">
        <v>2000</v>
      </c>
      <c r="G230" s="80" t="s">
        <v>72</v>
      </c>
      <c r="H230" s="80" t="s">
        <v>73</v>
      </c>
      <c r="I230" s="80" t="s">
        <v>163</v>
      </c>
      <c r="J230" s="80">
        <v>2020</v>
      </c>
      <c r="K230" s="80" t="s">
        <v>501</v>
      </c>
      <c r="L230" s="157" t="s">
        <v>682</v>
      </c>
    </row>
    <row r="231" spans="1:12" x14ac:dyDescent="0.25">
      <c r="A231" s="83">
        <v>43510</v>
      </c>
      <c r="B231" s="80" t="s">
        <v>683</v>
      </c>
      <c r="C231" s="80" t="s">
        <v>684</v>
      </c>
      <c r="D231" s="80" t="s">
        <v>0</v>
      </c>
      <c r="E231" s="80">
        <v>68427709</v>
      </c>
      <c r="F231" s="94">
        <v>-50000</v>
      </c>
      <c r="G231" s="80" t="s">
        <v>72</v>
      </c>
      <c r="H231" s="80" t="s">
        <v>73</v>
      </c>
      <c r="I231" s="80" t="s">
        <v>163</v>
      </c>
      <c r="J231" s="80">
        <v>2020</v>
      </c>
      <c r="K231" s="80" t="s">
        <v>633</v>
      </c>
      <c r="L231" s="80"/>
    </row>
    <row r="232" spans="1:12" x14ac:dyDescent="0.25">
      <c r="A232" s="83">
        <v>43515</v>
      </c>
      <c r="B232" s="80" t="s">
        <v>685</v>
      </c>
      <c r="C232" s="80" t="s">
        <v>686</v>
      </c>
      <c r="D232" s="80" t="s">
        <v>0</v>
      </c>
      <c r="E232" s="80">
        <v>68427709</v>
      </c>
      <c r="F232" s="94">
        <v>7000</v>
      </c>
      <c r="G232" s="80" t="s">
        <v>72</v>
      </c>
      <c r="H232" s="80" t="s">
        <v>73</v>
      </c>
      <c r="I232" s="80" t="s">
        <v>163</v>
      </c>
      <c r="J232" s="80">
        <v>2020</v>
      </c>
      <c r="K232" s="80" t="s">
        <v>256</v>
      </c>
      <c r="L232" s="80" t="s">
        <v>687</v>
      </c>
    </row>
    <row r="233" spans="1:12" x14ac:dyDescent="0.25">
      <c r="A233" s="83">
        <v>43515</v>
      </c>
      <c r="B233" s="80" t="s">
        <v>688</v>
      </c>
      <c r="C233" s="80" t="s">
        <v>689</v>
      </c>
      <c r="D233" s="80" t="s">
        <v>0</v>
      </c>
      <c r="E233" s="80">
        <v>68427709</v>
      </c>
      <c r="F233" s="94">
        <v>2600</v>
      </c>
      <c r="G233" s="80" t="s">
        <v>72</v>
      </c>
      <c r="H233" s="80" t="s">
        <v>73</v>
      </c>
      <c r="I233" s="80" t="s">
        <v>163</v>
      </c>
      <c r="J233" s="80">
        <v>2020</v>
      </c>
      <c r="K233" s="80" t="s">
        <v>690</v>
      </c>
      <c r="L233" s="80" t="s">
        <v>691</v>
      </c>
    </row>
    <row r="234" spans="1:12" x14ac:dyDescent="0.25">
      <c r="A234" s="83">
        <v>43517</v>
      </c>
      <c r="B234" s="80" t="s">
        <v>692</v>
      </c>
      <c r="C234" s="80" t="s">
        <v>693</v>
      </c>
      <c r="D234" s="80" t="s">
        <v>0</v>
      </c>
      <c r="E234" s="80">
        <v>68427709</v>
      </c>
      <c r="F234" s="94">
        <v>4000</v>
      </c>
      <c r="G234" s="80" t="s">
        <v>72</v>
      </c>
      <c r="H234" s="80" t="s">
        <v>73</v>
      </c>
      <c r="I234" s="80" t="s">
        <v>87</v>
      </c>
      <c r="J234" s="80">
        <v>2020</v>
      </c>
      <c r="K234" s="80" t="s">
        <v>152</v>
      </c>
      <c r="L234" s="80" t="s">
        <v>694</v>
      </c>
    </row>
    <row r="235" spans="1:12" x14ac:dyDescent="0.25">
      <c r="A235" s="83">
        <v>43528</v>
      </c>
      <c r="B235" s="80" t="s">
        <v>695</v>
      </c>
      <c r="C235" s="80" t="s">
        <v>696</v>
      </c>
      <c r="D235" s="80" t="s">
        <v>0</v>
      </c>
      <c r="E235" s="80">
        <v>68427709</v>
      </c>
      <c r="F235" s="94">
        <v>10000</v>
      </c>
      <c r="G235" s="80" t="s">
        <v>72</v>
      </c>
      <c r="H235" s="80" t="s">
        <v>73</v>
      </c>
      <c r="I235" s="80" t="s">
        <v>87</v>
      </c>
      <c r="J235" s="80">
        <v>2020</v>
      </c>
      <c r="K235" s="80" t="s">
        <v>75</v>
      </c>
      <c r="L235" s="80" t="s">
        <v>697</v>
      </c>
    </row>
    <row r="236" spans="1:12" x14ac:dyDescent="0.25">
      <c r="A236" s="83">
        <v>43528</v>
      </c>
      <c r="B236" s="80" t="s">
        <v>303</v>
      </c>
      <c r="C236" s="80" t="s">
        <v>698</v>
      </c>
      <c r="D236" s="80" t="s">
        <v>0</v>
      </c>
      <c r="E236" s="80">
        <v>68427709</v>
      </c>
      <c r="F236" s="94">
        <v>10000</v>
      </c>
      <c r="G236" s="80" t="s">
        <v>72</v>
      </c>
      <c r="H236" s="80" t="s">
        <v>73</v>
      </c>
      <c r="I236" s="80" t="s">
        <v>163</v>
      </c>
      <c r="J236" s="80">
        <v>2020</v>
      </c>
      <c r="K236" s="80" t="s">
        <v>699</v>
      </c>
      <c r="L236" s="80" t="s">
        <v>700</v>
      </c>
    </row>
    <row r="237" spans="1:12" x14ac:dyDescent="0.25">
      <c r="A237" s="83">
        <v>43535</v>
      </c>
      <c r="B237" s="80" t="s">
        <v>701</v>
      </c>
      <c r="C237" s="80" t="s">
        <v>702</v>
      </c>
      <c r="D237" s="80" t="s">
        <v>86</v>
      </c>
      <c r="E237" s="80">
        <v>68427719</v>
      </c>
      <c r="F237" s="94">
        <v>750000</v>
      </c>
      <c r="G237" s="80" t="s">
        <v>72</v>
      </c>
      <c r="H237" s="80" t="s">
        <v>73</v>
      </c>
      <c r="I237" s="80" t="s">
        <v>92</v>
      </c>
      <c r="J237" s="80">
        <v>2020</v>
      </c>
      <c r="K237" s="80" t="s">
        <v>501</v>
      </c>
      <c r="L237" s="80" t="s">
        <v>703</v>
      </c>
    </row>
    <row r="238" spans="1:12" x14ac:dyDescent="0.25">
      <c r="A238" s="83">
        <v>43535</v>
      </c>
      <c r="B238" s="80" t="s">
        <v>704</v>
      </c>
      <c r="C238" s="80" t="s">
        <v>705</v>
      </c>
      <c r="D238" s="80" t="s">
        <v>0</v>
      </c>
      <c r="E238" s="80">
        <v>68427709</v>
      </c>
      <c r="F238" s="94">
        <v>635000</v>
      </c>
      <c r="G238" s="80" t="s">
        <v>72</v>
      </c>
      <c r="H238" s="80" t="s">
        <v>73</v>
      </c>
      <c r="I238" s="80" t="s">
        <v>92</v>
      </c>
      <c r="J238" s="80">
        <v>2020</v>
      </c>
      <c r="K238" s="80" t="s">
        <v>501</v>
      </c>
      <c r="L238" s="157" t="s">
        <v>706</v>
      </c>
    </row>
    <row r="239" spans="1:12" x14ac:dyDescent="0.25">
      <c r="A239" s="83">
        <v>43535</v>
      </c>
      <c r="B239" s="125" t="s">
        <v>577</v>
      </c>
      <c r="C239" s="80" t="s">
        <v>707</v>
      </c>
      <c r="D239" s="80" t="s">
        <v>86</v>
      </c>
      <c r="E239" s="80">
        <v>68427709</v>
      </c>
      <c r="F239" s="94">
        <v>-120000</v>
      </c>
      <c r="G239" s="80" t="s">
        <v>72</v>
      </c>
      <c r="H239" s="80" t="s">
        <v>73</v>
      </c>
      <c r="I239" s="80" t="s">
        <v>92</v>
      </c>
      <c r="J239" s="80">
        <v>2020</v>
      </c>
      <c r="K239" s="80" t="s">
        <v>501</v>
      </c>
      <c r="L239" s="80" t="s">
        <v>708</v>
      </c>
    </row>
    <row r="240" spans="1:12" x14ac:dyDescent="0.25">
      <c r="A240" s="83">
        <v>43535</v>
      </c>
      <c r="B240" s="80" t="s">
        <v>284</v>
      </c>
      <c r="C240" s="80" t="s">
        <v>285</v>
      </c>
      <c r="D240" s="80" t="s">
        <v>0</v>
      </c>
      <c r="E240" s="80">
        <v>68427709</v>
      </c>
      <c r="F240" s="94">
        <v>-24000</v>
      </c>
      <c r="G240" s="80" t="s">
        <v>72</v>
      </c>
      <c r="H240" s="80" t="s">
        <v>73</v>
      </c>
      <c r="I240" s="80" t="s">
        <v>92</v>
      </c>
      <c r="J240" s="80">
        <v>2020</v>
      </c>
      <c r="K240" s="80" t="s">
        <v>501</v>
      </c>
      <c r="L240" s="80" t="s">
        <v>708</v>
      </c>
    </row>
    <row r="241" spans="1:12" x14ac:dyDescent="0.25">
      <c r="A241" s="83">
        <v>43535</v>
      </c>
      <c r="B241" s="80" t="s">
        <v>709</v>
      </c>
      <c r="C241" s="80" t="s">
        <v>710</v>
      </c>
      <c r="D241" s="80" t="s">
        <v>311</v>
      </c>
      <c r="E241" s="80">
        <v>68427709</v>
      </c>
      <c r="F241" s="94">
        <v>50000</v>
      </c>
      <c r="G241" s="80" t="s">
        <v>72</v>
      </c>
      <c r="H241" s="80" t="s">
        <v>73</v>
      </c>
      <c r="I241" s="80" t="s">
        <v>92</v>
      </c>
      <c r="J241" s="80">
        <v>2020</v>
      </c>
      <c r="K241" s="80" t="s">
        <v>501</v>
      </c>
      <c r="L241" s="80" t="s">
        <v>711</v>
      </c>
    </row>
    <row r="242" spans="1:12" x14ac:dyDescent="0.25">
      <c r="A242" s="83">
        <v>43535</v>
      </c>
      <c r="B242" s="80" t="s">
        <v>242</v>
      </c>
      <c r="C242" s="80" t="s">
        <v>712</v>
      </c>
      <c r="D242" s="80" t="s">
        <v>86</v>
      </c>
      <c r="E242" s="80">
        <v>68427709</v>
      </c>
      <c r="F242" s="94">
        <v>42000</v>
      </c>
      <c r="G242" s="80" t="s">
        <v>72</v>
      </c>
      <c r="H242" s="80" t="s">
        <v>73</v>
      </c>
      <c r="I242" s="80" t="s">
        <v>163</v>
      </c>
      <c r="J242" s="80">
        <v>2020</v>
      </c>
      <c r="K242" s="80" t="s">
        <v>75</v>
      </c>
      <c r="L242" s="80" t="s">
        <v>713</v>
      </c>
    </row>
    <row r="243" spans="1:12" x14ac:dyDescent="0.25">
      <c r="A243" s="83">
        <v>43536</v>
      </c>
      <c r="B243" s="80" t="s">
        <v>714</v>
      </c>
      <c r="C243" s="80" t="s">
        <v>715</v>
      </c>
      <c r="D243" s="80" t="s">
        <v>0</v>
      </c>
      <c r="E243" s="80">
        <v>68427709</v>
      </c>
      <c r="F243" s="94">
        <v>86000</v>
      </c>
      <c r="G243" s="80" t="s">
        <v>72</v>
      </c>
      <c r="H243" s="80" t="s">
        <v>73</v>
      </c>
      <c r="I243" s="80" t="s">
        <v>163</v>
      </c>
      <c r="J243" s="80">
        <v>2020</v>
      </c>
      <c r="K243" s="80" t="s">
        <v>197</v>
      </c>
      <c r="L243" s="80" t="s">
        <v>716</v>
      </c>
    </row>
    <row r="244" spans="1:12" x14ac:dyDescent="0.25">
      <c r="A244" s="83">
        <v>43538</v>
      </c>
      <c r="B244" s="80" t="s">
        <v>144</v>
      </c>
      <c r="C244" s="80" t="s">
        <v>717</v>
      </c>
      <c r="D244" s="80" t="s">
        <v>0</v>
      </c>
      <c r="E244" s="80">
        <v>68427709</v>
      </c>
      <c r="F244" s="94">
        <v>-220000</v>
      </c>
      <c r="G244" s="80" t="s">
        <v>72</v>
      </c>
      <c r="H244" s="80" t="s">
        <v>73</v>
      </c>
      <c r="I244" s="80" t="s">
        <v>92</v>
      </c>
      <c r="J244" s="80">
        <v>2020</v>
      </c>
      <c r="K244" s="80" t="s">
        <v>145</v>
      </c>
      <c r="L244" s="80" t="s">
        <v>718</v>
      </c>
    </row>
    <row r="245" spans="1:12" x14ac:dyDescent="0.25">
      <c r="A245" s="83">
        <v>43538</v>
      </c>
      <c r="B245" s="80" t="s">
        <v>719</v>
      </c>
      <c r="C245" s="80" t="s">
        <v>720</v>
      </c>
      <c r="D245" s="80" t="s">
        <v>0</v>
      </c>
      <c r="E245" s="80">
        <v>68427709</v>
      </c>
      <c r="F245" s="94">
        <v>315000</v>
      </c>
      <c r="G245" s="80" t="s">
        <v>72</v>
      </c>
      <c r="H245" s="80" t="s">
        <v>73</v>
      </c>
      <c r="I245" s="80" t="s">
        <v>92</v>
      </c>
      <c r="J245" s="80">
        <v>2020</v>
      </c>
      <c r="K245" s="80" t="s">
        <v>145</v>
      </c>
      <c r="L245" s="80"/>
    </row>
    <row r="246" spans="1:12" x14ac:dyDescent="0.25">
      <c r="A246" s="83">
        <v>43538</v>
      </c>
      <c r="B246" s="80" t="s">
        <v>721</v>
      </c>
      <c r="C246" s="80" t="s">
        <v>720</v>
      </c>
      <c r="D246" s="80" t="s">
        <v>0</v>
      </c>
      <c r="E246" s="80">
        <v>68427709</v>
      </c>
      <c r="F246" s="94">
        <v>120000</v>
      </c>
      <c r="G246" s="80" t="s">
        <v>72</v>
      </c>
      <c r="H246" s="80" t="s">
        <v>73</v>
      </c>
      <c r="I246" s="80" t="s">
        <v>92</v>
      </c>
      <c r="J246" s="80">
        <v>2020</v>
      </c>
      <c r="K246" s="80" t="s">
        <v>145</v>
      </c>
      <c r="L246" s="80"/>
    </row>
    <row r="247" spans="1:12" x14ac:dyDescent="0.25">
      <c r="A247" s="83">
        <v>43538</v>
      </c>
      <c r="B247" s="80" t="s">
        <v>147</v>
      </c>
      <c r="C247" s="80" t="s">
        <v>722</v>
      </c>
      <c r="D247" s="80" t="s">
        <v>0</v>
      </c>
      <c r="E247" s="80">
        <v>68427709</v>
      </c>
      <c r="F247" s="94">
        <v>0</v>
      </c>
      <c r="G247" s="80" t="s">
        <v>72</v>
      </c>
      <c r="H247" s="80" t="s">
        <v>73</v>
      </c>
      <c r="I247" s="80" t="s">
        <v>163</v>
      </c>
      <c r="J247" s="80">
        <v>2020</v>
      </c>
      <c r="K247" s="80" t="s">
        <v>145</v>
      </c>
      <c r="L247" s="80" t="s">
        <v>723</v>
      </c>
    </row>
    <row r="248" spans="1:12" x14ac:dyDescent="0.25">
      <c r="A248" s="83">
        <v>43538</v>
      </c>
      <c r="B248" s="80" t="s">
        <v>724</v>
      </c>
      <c r="C248" s="80" t="s">
        <v>725</v>
      </c>
      <c r="D248" s="80" t="s">
        <v>0</v>
      </c>
      <c r="E248" s="80">
        <v>68427709</v>
      </c>
      <c r="F248" s="124">
        <v>0</v>
      </c>
      <c r="G248" s="80" t="s">
        <v>261</v>
      </c>
      <c r="H248" s="80" t="s">
        <v>73</v>
      </c>
      <c r="I248" s="80" t="s">
        <v>92</v>
      </c>
      <c r="J248" s="80">
        <v>2020</v>
      </c>
      <c r="K248" s="80" t="s">
        <v>145</v>
      </c>
      <c r="L248" s="80" t="s">
        <v>726</v>
      </c>
    </row>
    <row r="249" spans="1:12" x14ac:dyDescent="0.25">
      <c r="A249" s="83">
        <v>43550</v>
      </c>
      <c r="B249" s="80" t="s">
        <v>727</v>
      </c>
      <c r="C249" s="80" t="s">
        <v>728</v>
      </c>
      <c r="D249" s="80" t="s">
        <v>0</v>
      </c>
      <c r="E249" s="80">
        <v>68427709</v>
      </c>
      <c r="F249" s="94">
        <v>9000</v>
      </c>
      <c r="G249" s="80" t="s">
        <v>72</v>
      </c>
      <c r="H249" s="80" t="s">
        <v>73</v>
      </c>
      <c r="I249" s="80" t="s">
        <v>163</v>
      </c>
      <c r="J249" s="80">
        <v>2020</v>
      </c>
      <c r="K249" s="80" t="s">
        <v>222</v>
      </c>
      <c r="L249" s="80" t="s">
        <v>729</v>
      </c>
    </row>
    <row r="250" spans="1:12" x14ac:dyDescent="0.25">
      <c r="A250" s="83">
        <v>43581</v>
      </c>
      <c r="B250" s="80" t="s">
        <v>730</v>
      </c>
      <c r="C250" s="80" t="s">
        <v>731</v>
      </c>
      <c r="D250" s="80" t="s">
        <v>86</v>
      </c>
      <c r="E250" s="80">
        <v>68427709</v>
      </c>
      <c r="F250" s="94">
        <v>30000</v>
      </c>
      <c r="G250" s="80" t="s">
        <v>72</v>
      </c>
      <c r="H250" s="80" t="s">
        <v>73</v>
      </c>
      <c r="I250" s="80" t="s">
        <v>163</v>
      </c>
      <c r="J250" s="80">
        <v>2020</v>
      </c>
      <c r="K250" s="80" t="s">
        <v>501</v>
      </c>
      <c r="L250" s="80" t="s">
        <v>732</v>
      </c>
    </row>
    <row r="251" spans="1:12" x14ac:dyDescent="0.25">
      <c r="A251" s="83">
        <v>43587</v>
      </c>
      <c r="B251" s="80" t="s">
        <v>733</v>
      </c>
      <c r="C251" s="80" t="s">
        <v>734</v>
      </c>
      <c r="D251" s="80" t="s">
        <v>735</v>
      </c>
      <c r="E251" s="80">
        <v>68427709</v>
      </c>
      <c r="F251" s="94">
        <v>40000</v>
      </c>
      <c r="G251" s="80" t="s">
        <v>72</v>
      </c>
      <c r="H251" s="80" t="s">
        <v>73</v>
      </c>
      <c r="I251" s="80" t="s">
        <v>92</v>
      </c>
      <c r="J251" s="80">
        <v>2020</v>
      </c>
      <c r="K251" s="80" t="s">
        <v>736</v>
      </c>
      <c r="L251" s="80" t="s">
        <v>737</v>
      </c>
    </row>
    <row r="252" spans="1:12" x14ac:dyDescent="0.25">
      <c r="A252" s="83">
        <v>43591</v>
      </c>
      <c r="B252" s="80" t="s">
        <v>738</v>
      </c>
      <c r="C252" s="80" t="s">
        <v>739</v>
      </c>
      <c r="D252" s="80" t="s">
        <v>86</v>
      </c>
      <c r="E252" s="80">
        <v>68427709</v>
      </c>
      <c r="F252" s="94">
        <v>20000</v>
      </c>
      <c r="G252" s="80" t="s">
        <v>72</v>
      </c>
      <c r="H252" s="80" t="s">
        <v>73</v>
      </c>
      <c r="I252" s="80" t="s">
        <v>163</v>
      </c>
      <c r="J252" s="80">
        <v>2020</v>
      </c>
      <c r="K252" s="80" t="s">
        <v>75</v>
      </c>
      <c r="L252" s="80" t="s">
        <v>740</v>
      </c>
    </row>
    <row r="253" spans="1:12" x14ac:dyDescent="0.25">
      <c r="A253" s="83">
        <v>43591</v>
      </c>
      <c r="B253" s="80" t="s">
        <v>741</v>
      </c>
      <c r="C253" s="80" t="s">
        <v>742</v>
      </c>
      <c r="D253" s="80" t="s">
        <v>613</v>
      </c>
      <c r="E253" s="80">
        <v>68427709</v>
      </c>
      <c r="F253" s="94">
        <v>30000</v>
      </c>
      <c r="G253" s="80" t="s">
        <v>261</v>
      </c>
      <c r="H253" s="80" t="s">
        <v>73</v>
      </c>
      <c r="I253" s="80" t="s">
        <v>450</v>
      </c>
      <c r="J253" s="80">
        <v>2020</v>
      </c>
      <c r="K253" s="80" t="s">
        <v>75</v>
      </c>
      <c r="L253" s="80" t="s">
        <v>743</v>
      </c>
    </row>
    <row r="254" spans="1:12" x14ac:dyDescent="0.25">
      <c r="A254" s="83">
        <v>43592</v>
      </c>
      <c r="B254" s="80" t="s">
        <v>744</v>
      </c>
      <c r="C254" s="80" t="s">
        <v>745</v>
      </c>
      <c r="D254" s="80" t="s">
        <v>0</v>
      </c>
      <c r="E254" s="80">
        <v>68427709</v>
      </c>
      <c r="F254" s="94">
        <v>-145000</v>
      </c>
      <c r="G254" s="80" t="s">
        <v>72</v>
      </c>
      <c r="H254" s="80" t="s">
        <v>73</v>
      </c>
      <c r="I254" s="80" t="s">
        <v>163</v>
      </c>
      <c r="J254" s="80">
        <v>2020</v>
      </c>
      <c r="K254" s="80" t="s">
        <v>222</v>
      </c>
      <c r="L254" s="80" t="s">
        <v>746</v>
      </c>
    </row>
    <row r="255" spans="1:12" x14ac:dyDescent="0.25">
      <c r="A255" s="83">
        <v>43593</v>
      </c>
      <c r="B255" s="80" t="s">
        <v>747</v>
      </c>
      <c r="C255" s="80" t="s">
        <v>748</v>
      </c>
      <c r="D255" s="80" t="s">
        <v>0</v>
      </c>
      <c r="E255" s="80">
        <v>68427709</v>
      </c>
      <c r="F255" s="94">
        <v>250000</v>
      </c>
      <c r="G255" s="80" t="s">
        <v>72</v>
      </c>
      <c r="H255" s="80" t="s">
        <v>73</v>
      </c>
      <c r="I255" s="80" t="s">
        <v>163</v>
      </c>
      <c r="J255" s="80">
        <v>2020</v>
      </c>
      <c r="K255" s="80" t="s">
        <v>514</v>
      </c>
      <c r="L255" s="80" t="s">
        <v>749</v>
      </c>
    </row>
    <row r="256" spans="1:12" x14ac:dyDescent="0.25">
      <c r="A256" s="83">
        <v>43593</v>
      </c>
      <c r="B256" s="80" t="s">
        <v>750</v>
      </c>
      <c r="C256" s="80" t="s">
        <v>751</v>
      </c>
      <c r="D256" s="80" t="s">
        <v>0</v>
      </c>
      <c r="E256" s="80">
        <v>68427709</v>
      </c>
      <c r="F256" s="94">
        <v>75000</v>
      </c>
      <c r="G256" s="80" t="s">
        <v>72</v>
      </c>
      <c r="H256" s="80" t="s">
        <v>73</v>
      </c>
      <c r="I256" s="80" t="s">
        <v>92</v>
      </c>
      <c r="J256" s="80">
        <v>2020</v>
      </c>
      <c r="K256" s="80" t="s">
        <v>514</v>
      </c>
      <c r="L256" s="80" t="s">
        <v>752</v>
      </c>
    </row>
    <row r="257" spans="1:12" x14ac:dyDescent="0.25">
      <c r="A257" s="83">
        <v>43593</v>
      </c>
      <c r="B257" s="80" t="s">
        <v>753</v>
      </c>
      <c r="C257" s="80" t="s">
        <v>754</v>
      </c>
      <c r="D257" s="80" t="s">
        <v>0</v>
      </c>
      <c r="E257" s="80">
        <v>68427709</v>
      </c>
      <c r="F257" s="94">
        <v>120000</v>
      </c>
      <c r="G257" s="80" t="s">
        <v>72</v>
      </c>
      <c r="H257" s="80" t="s">
        <v>73</v>
      </c>
      <c r="I257" s="80" t="s">
        <v>92</v>
      </c>
      <c r="J257" s="80">
        <v>2020</v>
      </c>
      <c r="K257" s="80" t="s">
        <v>514</v>
      </c>
      <c r="L257" s="80" t="s">
        <v>755</v>
      </c>
    </row>
    <row r="258" spans="1:12" x14ac:dyDescent="0.25">
      <c r="A258" s="83">
        <v>43593</v>
      </c>
      <c r="B258" s="80" t="s">
        <v>756</v>
      </c>
      <c r="C258" s="80" t="s">
        <v>757</v>
      </c>
      <c r="D258" s="80" t="s">
        <v>0</v>
      </c>
      <c r="E258" s="80">
        <v>68427709</v>
      </c>
      <c r="F258" s="124"/>
      <c r="G258" s="80" t="s">
        <v>758</v>
      </c>
      <c r="H258" s="80" t="s">
        <v>73</v>
      </c>
      <c r="I258" s="80" t="s">
        <v>92</v>
      </c>
      <c r="J258" s="80">
        <v>2020</v>
      </c>
      <c r="K258" s="80" t="s">
        <v>354</v>
      </c>
      <c r="L258" s="80" t="s">
        <v>759</v>
      </c>
    </row>
    <row r="259" spans="1:12" x14ac:dyDescent="0.25">
      <c r="A259" s="83">
        <v>43593</v>
      </c>
      <c r="B259" s="80" t="s">
        <v>760</v>
      </c>
      <c r="C259" s="80" t="s">
        <v>761</v>
      </c>
      <c r="D259" s="80" t="s">
        <v>86</v>
      </c>
      <c r="E259" s="80">
        <v>68427709</v>
      </c>
      <c r="F259" s="94">
        <v>20000</v>
      </c>
      <c r="G259" s="80" t="s">
        <v>261</v>
      </c>
      <c r="H259" s="80" t="s">
        <v>73</v>
      </c>
      <c r="I259" s="80" t="s">
        <v>163</v>
      </c>
      <c r="J259" s="80">
        <v>2020</v>
      </c>
      <c r="K259" s="80" t="s">
        <v>75</v>
      </c>
      <c r="L259" s="80" t="s">
        <v>762</v>
      </c>
    </row>
    <row r="260" spans="1:12" x14ac:dyDescent="0.25">
      <c r="A260" s="83">
        <v>43595</v>
      </c>
      <c r="B260" s="80" t="s">
        <v>763</v>
      </c>
      <c r="C260" s="80" t="s">
        <v>764</v>
      </c>
      <c r="D260" s="80" t="s">
        <v>0</v>
      </c>
      <c r="E260" s="80">
        <v>68427709</v>
      </c>
      <c r="F260" s="94">
        <v>100000</v>
      </c>
      <c r="G260" s="80" t="s">
        <v>72</v>
      </c>
      <c r="H260" s="80" t="s">
        <v>73</v>
      </c>
      <c r="I260" s="80" t="s">
        <v>92</v>
      </c>
      <c r="J260" s="80">
        <v>2020</v>
      </c>
      <c r="K260" s="80" t="s">
        <v>171</v>
      </c>
      <c r="L260" s="80" t="s">
        <v>755</v>
      </c>
    </row>
    <row r="261" spans="1:12" x14ac:dyDescent="0.25">
      <c r="A261" s="83">
        <v>43595</v>
      </c>
      <c r="B261" s="80" t="s">
        <v>765</v>
      </c>
      <c r="C261" s="80" t="s">
        <v>766</v>
      </c>
      <c r="D261" s="80" t="s">
        <v>0</v>
      </c>
      <c r="E261" s="80">
        <v>68427709</v>
      </c>
      <c r="F261" s="94">
        <v>250000</v>
      </c>
      <c r="G261" s="80" t="s">
        <v>72</v>
      </c>
      <c r="H261" s="80" t="s">
        <v>73</v>
      </c>
      <c r="I261" s="80" t="s">
        <v>92</v>
      </c>
      <c r="J261" s="80">
        <v>2020</v>
      </c>
      <c r="K261" s="80" t="s">
        <v>171</v>
      </c>
      <c r="L261" s="80" t="s">
        <v>767</v>
      </c>
    </row>
    <row r="262" spans="1:12" x14ac:dyDescent="0.25">
      <c r="A262" s="83">
        <v>43595</v>
      </c>
      <c r="B262" s="80" t="s">
        <v>768</v>
      </c>
      <c r="C262" s="80" t="s">
        <v>769</v>
      </c>
      <c r="D262" s="80" t="s">
        <v>0</v>
      </c>
      <c r="E262" s="80">
        <v>68427709</v>
      </c>
      <c r="F262" s="94">
        <v>150000</v>
      </c>
      <c r="G262" s="80" t="s">
        <v>72</v>
      </c>
      <c r="H262" s="80" t="s">
        <v>73</v>
      </c>
      <c r="I262" s="80" t="s">
        <v>92</v>
      </c>
      <c r="J262" s="80">
        <v>2020</v>
      </c>
      <c r="K262" s="80" t="s">
        <v>171</v>
      </c>
      <c r="L262" s="80" t="s">
        <v>770</v>
      </c>
    </row>
    <row r="263" spans="1:12" x14ac:dyDescent="0.25">
      <c r="A263" s="83">
        <v>43595</v>
      </c>
      <c r="B263" s="80" t="s">
        <v>771</v>
      </c>
      <c r="C263" s="80" t="s">
        <v>772</v>
      </c>
      <c r="D263" s="80" t="s">
        <v>86</v>
      </c>
      <c r="E263" s="80">
        <v>68427709</v>
      </c>
      <c r="F263" s="94">
        <v>50000</v>
      </c>
      <c r="G263" s="80" t="s">
        <v>261</v>
      </c>
      <c r="H263" s="80" t="s">
        <v>73</v>
      </c>
      <c r="I263" s="80" t="s">
        <v>92</v>
      </c>
      <c r="J263" s="80">
        <v>2020</v>
      </c>
      <c r="K263" s="80" t="s">
        <v>75</v>
      </c>
      <c r="L263" s="80" t="s">
        <v>762</v>
      </c>
    </row>
    <row r="264" spans="1:12" x14ac:dyDescent="0.25">
      <c r="A264" s="83">
        <v>43595</v>
      </c>
      <c r="B264" s="80" t="s">
        <v>773</v>
      </c>
      <c r="C264" s="80" t="s">
        <v>774</v>
      </c>
      <c r="D264" s="80" t="s">
        <v>86</v>
      </c>
      <c r="E264" s="80">
        <v>68427709</v>
      </c>
      <c r="F264" s="94">
        <v>0</v>
      </c>
      <c r="G264" s="80" t="s">
        <v>72</v>
      </c>
      <c r="H264" s="80" t="s">
        <v>73</v>
      </c>
      <c r="I264" s="80" t="s">
        <v>450</v>
      </c>
      <c r="J264" s="80">
        <v>2020</v>
      </c>
      <c r="K264" s="80" t="s">
        <v>75</v>
      </c>
      <c r="L264" s="80"/>
    </row>
    <row r="265" spans="1:12" x14ac:dyDescent="0.25">
      <c r="A265" s="83">
        <v>43600</v>
      </c>
      <c r="B265" s="80" t="s">
        <v>775</v>
      </c>
      <c r="C265" s="80" t="s">
        <v>776</v>
      </c>
      <c r="D265" s="80" t="s">
        <v>86</v>
      </c>
      <c r="E265" s="80">
        <v>68427709</v>
      </c>
      <c r="F265" s="94">
        <v>-170000</v>
      </c>
      <c r="G265" s="80" t="s">
        <v>72</v>
      </c>
      <c r="H265" s="80" t="s">
        <v>73</v>
      </c>
      <c r="I265" s="80" t="s">
        <v>163</v>
      </c>
      <c r="J265" s="80">
        <v>2020</v>
      </c>
      <c r="K265" s="80" t="s">
        <v>75</v>
      </c>
      <c r="L265" s="80"/>
    </row>
    <row r="266" spans="1:12" x14ac:dyDescent="0.25">
      <c r="A266" s="83">
        <v>43600</v>
      </c>
      <c r="B266" s="80" t="s">
        <v>777</v>
      </c>
      <c r="C266" s="80" t="s">
        <v>778</v>
      </c>
      <c r="D266" s="80" t="s">
        <v>311</v>
      </c>
      <c r="E266" s="80">
        <v>68427709</v>
      </c>
      <c r="F266" s="94">
        <v>30000</v>
      </c>
      <c r="G266" s="80" t="s">
        <v>261</v>
      </c>
      <c r="H266" s="80" t="s">
        <v>73</v>
      </c>
      <c r="I266" s="80" t="s">
        <v>92</v>
      </c>
      <c r="J266" s="80">
        <v>2020</v>
      </c>
      <c r="K266" s="80" t="s">
        <v>238</v>
      </c>
      <c r="L266" s="80" t="s">
        <v>779</v>
      </c>
    </row>
    <row r="267" spans="1:12" x14ac:dyDescent="0.25">
      <c r="A267" s="83">
        <v>43600</v>
      </c>
      <c r="B267" s="80" t="s">
        <v>780</v>
      </c>
      <c r="C267" s="80" t="s">
        <v>781</v>
      </c>
      <c r="D267" s="80" t="s">
        <v>86</v>
      </c>
      <c r="E267" s="80">
        <v>68427709</v>
      </c>
      <c r="F267" s="94">
        <v>30000</v>
      </c>
      <c r="G267" s="80" t="s">
        <v>72</v>
      </c>
      <c r="H267" s="80" t="s">
        <v>73</v>
      </c>
      <c r="I267" s="80" t="s">
        <v>163</v>
      </c>
      <c r="J267" s="80">
        <v>2020</v>
      </c>
      <c r="K267" s="80" t="s">
        <v>75</v>
      </c>
      <c r="L267" s="80" t="s">
        <v>782</v>
      </c>
    </row>
    <row r="268" spans="1:12" x14ac:dyDescent="0.25">
      <c r="A268" s="83">
        <v>43600</v>
      </c>
      <c r="B268" s="80" t="s">
        <v>783</v>
      </c>
      <c r="C268" s="80" t="s">
        <v>784</v>
      </c>
      <c r="D268" s="80" t="s">
        <v>311</v>
      </c>
      <c r="E268" s="80">
        <v>68427709</v>
      </c>
      <c r="F268" s="94">
        <v>80000</v>
      </c>
      <c r="G268" s="80" t="s">
        <v>72</v>
      </c>
      <c r="H268" s="80" t="s">
        <v>73</v>
      </c>
      <c r="I268" s="80" t="s">
        <v>92</v>
      </c>
      <c r="J268" s="80">
        <v>2020</v>
      </c>
      <c r="K268" s="80" t="s">
        <v>75</v>
      </c>
      <c r="L268" s="80" t="s">
        <v>785</v>
      </c>
    </row>
    <row r="269" spans="1:12" x14ac:dyDescent="0.25">
      <c r="A269" s="83">
        <v>43601</v>
      </c>
      <c r="B269" s="80" t="s">
        <v>297</v>
      </c>
      <c r="C269" s="80" t="s">
        <v>786</v>
      </c>
      <c r="D269" s="80" t="s">
        <v>0</v>
      </c>
      <c r="E269" s="80">
        <v>68427709</v>
      </c>
      <c r="F269" s="94">
        <v>-70000</v>
      </c>
      <c r="G269" s="80" t="s">
        <v>72</v>
      </c>
      <c r="H269" s="80" t="s">
        <v>73</v>
      </c>
      <c r="I269" s="80" t="s">
        <v>163</v>
      </c>
      <c r="J269" s="80">
        <v>2020</v>
      </c>
      <c r="K269" s="80" t="s">
        <v>787</v>
      </c>
      <c r="L269" s="80" t="s">
        <v>788</v>
      </c>
    </row>
    <row r="270" spans="1:12" x14ac:dyDescent="0.25">
      <c r="A270" s="83">
        <v>43613</v>
      </c>
      <c r="B270" s="80" t="s">
        <v>789</v>
      </c>
      <c r="C270" s="80" t="s">
        <v>790</v>
      </c>
      <c r="D270" s="80" t="s">
        <v>311</v>
      </c>
      <c r="E270" s="80">
        <v>68427709</v>
      </c>
      <c r="F270" s="94">
        <v>40000</v>
      </c>
      <c r="G270" s="80" t="s">
        <v>72</v>
      </c>
      <c r="H270" s="80" t="s">
        <v>73</v>
      </c>
      <c r="I270" s="80" t="s">
        <v>92</v>
      </c>
      <c r="J270" s="80">
        <v>2020</v>
      </c>
      <c r="K270" s="80" t="s">
        <v>665</v>
      </c>
      <c r="L270" s="80" t="s">
        <v>791</v>
      </c>
    </row>
    <row r="271" spans="1:12" x14ac:dyDescent="0.25">
      <c r="A271" s="83">
        <v>43613</v>
      </c>
      <c r="B271" s="80" t="s">
        <v>549</v>
      </c>
      <c r="C271" s="80" t="s">
        <v>792</v>
      </c>
      <c r="D271" s="80" t="s">
        <v>517</v>
      </c>
      <c r="E271" s="80">
        <v>68427709</v>
      </c>
      <c r="F271" s="94">
        <v>860000</v>
      </c>
      <c r="G271" s="80" t="s">
        <v>72</v>
      </c>
      <c r="H271" s="80" t="s">
        <v>73</v>
      </c>
      <c r="I271" s="80" t="s">
        <v>163</v>
      </c>
      <c r="J271" s="80">
        <v>2020</v>
      </c>
      <c r="K271" s="80" t="s">
        <v>335</v>
      </c>
      <c r="L271" s="80"/>
    </row>
    <row r="272" spans="1:12" x14ac:dyDescent="0.25">
      <c r="A272" s="83">
        <v>43620</v>
      </c>
      <c r="B272" s="80" t="s">
        <v>793</v>
      </c>
      <c r="C272" s="80" t="s">
        <v>794</v>
      </c>
      <c r="D272" s="80" t="s">
        <v>311</v>
      </c>
      <c r="E272" s="80">
        <v>68427709</v>
      </c>
      <c r="F272" s="94">
        <v>25000</v>
      </c>
      <c r="G272" s="80" t="s">
        <v>72</v>
      </c>
      <c r="H272" s="80" t="s">
        <v>73</v>
      </c>
      <c r="I272" s="80" t="s">
        <v>92</v>
      </c>
      <c r="J272" s="80">
        <v>2020</v>
      </c>
      <c r="K272" s="80" t="s">
        <v>795</v>
      </c>
      <c r="L272" s="80" t="s">
        <v>796</v>
      </c>
    </row>
    <row r="273" spans="1:12" x14ac:dyDescent="0.25">
      <c r="A273" s="83">
        <v>43622</v>
      </c>
      <c r="B273" s="80" t="s">
        <v>116</v>
      </c>
      <c r="C273" s="80" t="s">
        <v>797</v>
      </c>
      <c r="D273" s="80" t="s">
        <v>0</v>
      </c>
      <c r="E273" s="80">
        <v>68427709</v>
      </c>
      <c r="F273" s="94">
        <v>20000</v>
      </c>
      <c r="G273" s="80" t="s">
        <v>72</v>
      </c>
      <c r="H273" s="80" t="s">
        <v>73</v>
      </c>
      <c r="I273" s="80" t="s">
        <v>163</v>
      </c>
      <c r="J273" s="80">
        <v>2020</v>
      </c>
      <c r="K273" s="80" t="s">
        <v>138</v>
      </c>
      <c r="L273" s="80" t="s">
        <v>798</v>
      </c>
    </row>
    <row r="274" spans="1:12" x14ac:dyDescent="0.25">
      <c r="A274" s="83">
        <v>43622</v>
      </c>
      <c r="B274" s="80" t="s">
        <v>799</v>
      </c>
      <c r="C274" s="80" t="s">
        <v>800</v>
      </c>
      <c r="D274" s="80" t="s">
        <v>0</v>
      </c>
      <c r="E274" s="80">
        <v>68427709</v>
      </c>
      <c r="F274" s="94">
        <f>(187-143)*1000</f>
        <v>44000</v>
      </c>
      <c r="G274" s="80" t="s">
        <v>72</v>
      </c>
      <c r="H274" s="80" t="s">
        <v>73</v>
      </c>
      <c r="I274" s="80" t="s">
        <v>163</v>
      </c>
      <c r="J274" s="80">
        <v>2020</v>
      </c>
      <c r="K274" s="80" t="s">
        <v>320</v>
      </c>
      <c r="L274" s="80"/>
    </row>
    <row r="275" spans="1:12" x14ac:dyDescent="0.25">
      <c r="A275" s="83">
        <v>43622</v>
      </c>
      <c r="B275" s="80" t="s">
        <v>801</v>
      </c>
      <c r="C275" s="80" t="s">
        <v>802</v>
      </c>
      <c r="D275" s="80" t="s">
        <v>0</v>
      </c>
      <c r="E275" s="80">
        <v>68427709</v>
      </c>
      <c r="F275" s="94">
        <v>150000</v>
      </c>
      <c r="G275" s="80" t="s">
        <v>72</v>
      </c>
      <c r="H275" s="80" t="s">
        <v>73</v>
      </c>
      <c r="I275" s="80" t="s">
        <v>92</v>
      </c>
      <c r="J275" s="80">
        <v>2020</v>
      </c>
      <c r="K275" s="80" t="s">
        <v>320</v>
      </c>
      <c r="L275" s="80" t="s">
        <v>803</v>
      </c>
    </row>
    <row r="276" spans="1:12" x14ac:dyDescent="0.25">
      <c r="A276" s="83">
        <v>43634</v>
      </c>
      <c r="B276" s="80" t="s">
        <v>804</v>
      </c>
      <c r="C276" s="80" t="s">
        <v>805</v>
      </c>
      <c r="D276" s="80" t="s">
        <v>0</v>
      </c>
      <c r="E276" s="80">
        <v>68427709</v>
      </c>
      <c r="F276" s="94">
        <v>9720</v>
      </c>
      <c r="G276" s="80" t="s">
        <v>72</v>
      </c>
      <c r="H276" s="80" t="s">
        <v>73</v>
      </c>
      <c r="I276" s="80" t="s">
        <v>163</v>
      </c>
      <c r="J276" s="80">
        <v>2020</v>
      </c>
      <c r="K276" s="80" t="s">
        <v>270</v>
      </c>
      <c r="L276" s="80"/>
    </row>
    <row r="277" spans="1:12" x14ac:dyDescent="0.25">
      <c r="A277" s="83">
        <v>43634</v>
      </c>
      <c r="B277" s="80" t="s">
        <v>806</v>
      </c>
      <c r="C277" s="80" t="s">
        <v>807</v>
      </c>
      <c r="D277" s="80" t="s">
        <v>0</v>
      </c>
      <c r="E277" s="80">
        <v>68427709</v>
      </c>
      <c r="F277" s="94">
        <v>72000</v>
      </c>
      <c r="G277" s="80" t="s">
        <v>72</v>
      </c>
      <c r="H277" s="80" t="s">
        <v>73</v>
      </c>
      <c r="I277" s="80" t="s">
        <v>92</v>
      </c>
      <c r="J277" s="80">
        <v>2020</v>
      </c>
      <c r="K277" s="80" t="s">
        <v>482</v>
      </c>
      <c r="L277" s="80" t="s">
        <v>808</v>
      </c>
    </row>
    <row r="278" spans="1:12" x14ac:dyDescent="0.25">
      <c r="A278" s="83">
        <v>43634</v>
      </c>
      <c r="B278" s="80" t="s">
        <v>809</v>
      </c>
      <c r="C278" s="80" t="s">
        <v>810</v>
      </c>
      <c r="D278" s="80" t="s">
        <v>811</v>
      </c>
      <c r="E278" s="80">
        <v>68427709</v>
      </c>
      <c r="F278" s="94">
        <v>100000</v>
      </c>
      <c r="G278" s="80" t="s">
        <v>261</v>
      </c>
      <c r="H278" s="80" t="s">
        <v>73</v>
      </c>
      <c r="I278" s="80" t="s">
        <v>92</v>
      </c>
      <c r="J278" s="80">
        <v>2020</v>
      </c>
      <c r="K278" s="80" t="s">
        <v>501</v>
      </c>
      <c r="L278" s="80" t="s">
        <v>762</v>
      </c>
    </row>
    <row r="279" spans="1:12" x14ac:dyDescent="0.25">
      <c r="A279" s="83">
        <v>43634</v>
      </c>
      <c r="B279" s="80" t="s">
        <v>812</v>
      </c>
      <c r="C279" s="80" t="s">
        <v>813</v>
      </c>
      <c r="D279" s="80" t="s">
        <v>814</v>
      </c>
      <c r="E279" s="80">
        <v>68427709</v>
      </c>
      <c r="F279" s="94">
        <v>100000</v>
      </c>
      <c r="G279" s="80" t="s">
        <v>72</v>
      </c>
      <c r="H279" s="80" t="s">
        <v>73</v>
      </c>
      <c r="I279" s="80" t="s">
        <v>163</v>
      </c>
      <c r="J279" s="80">
        <v>2020</v>
      </c>
      <c r="K279" s="80" t="s">
        <v>514</v>
      </c>
    </row>
    <row r="280" spans="1:12" x14ac:dyDescent="0.25">
      <c r="A280" s="83">
        <v>43634</v>
      </c>
      <c r="B280" s="80" t="s">
        <v>815</v>
      </c>
      <c r="C280" s="80" t="s">
        <v>816</v>
      </c>
      <c r="D280" s="80" t="s">
        <v>817</v>
      </c>
      <c r="E280" s="80">
        <v>68427709</v>
      </c>
      <c r="F280" s="94">
        <v>20000</v>
      </c>
      <c r="G280" s="80" t="s">
        <v>72</v>
      </c>
      <c r="H280" s="80" t="s">
        <v>73</v>
      </c>
      <c r="I280" s="80" t="s">
        <v>163</v>
      </c>
      <c r="J280" s="80">
        <v>2020</v>
      </c>
      <c r="K280" s="80" t="s">
        <v>514</v>
      </c>
      <c r="L280" s="80" t="s">
        <v>818</v>
      </c>
    </row>
    <row r="281" spans="1:12" x14ac:dyDescent="0.25">
      <c r="A281" s="83">
        <v>43634</v>
      </c>
      <c r="B281" s="80" t="s">
        <v>815</v>
      </c>
      <c r="C281" s="80" t="s">
        <v>819</v>
      </c>
      <c r="D281" s="80" t="s">
        <v>817</v>
      </c>
      <c r="E281" s="80">
        <v>68427709</v>
      </c>
      <c r="F281" s="94">
        <v>19000</v>
      </c>
      <c r="G281" s="80" t="s">
        <v>72</v>
      </c>
      <c r="H281" s="80" t="s">
        <v>73</v>
      </c>
      <c r="I281" s="80" t="s">
        <v>163</v>
      </c>
      <c r="J281" s="80">
        <v>2020</v>
      </c>
      <c r="K281" s="80" t="s">
        <v>514</v>
      </c>
      <c r="L281" s="80" t="s">
        <v>818</v>
      </c>
    </row>
    <row r="282" spans="1:12" x14ac:dyDescent="0.25">
      <c r="A282" s="83">
        <v>43636</v>
      </c>
      <c r="B282" s="80" t="s">
        <v>94</v>
      </c>
      <c r="C282" s="80" t="s">
        <v>820</v>
      </c>
      <c r="D282" s="80" t="s">
        <v>94</v>
      </c>
      <c r="E282" s="80">
        <v>68427709</v>
      </c>
      <c r="F282" s="94">
        <v>19000</v>
      </c>
      <c r="G282" s="80" t="s">
        <v>72</v>
      </c>
      <c r="H282" s="80" t="s">
        <v>73</v>
      </c>
      <c r="I282" s="80" t="s">
        <v>163</v>
      </c>
      <c r="J282" s="80">
        <v>2020</v>
      </c>
      <c r="K282" s="80" t="s">
        <v>633</v>
      </c>
      <c r="L282" s="80"/>
    </row>
    <row r="283" spans="1:12" x14ac:dyDescent="0.25">
      <c r="A283" s="83">
        <v>43636</v>
      </c>
      <c r="B283" s="80" t="s">
        <v>821</v>
      </c>
      <c r="C283" s="80" t="s">
        <v>822</v>
      </c>
      <c r="D283" s="80" t="s">
        <v>0</v>
      </c>
      <c r="E283" s="80">
        <v>68427709</v>
      </c>
      <c r="F283" s="94">
        <v>-3000</v>
      </c>
      <c r="G283" s="80" t="s">
        <v>72</v>
      </c>
      <c r="H283" s="80" t="s">
        <v>73</v>
      </c>
      <c r="I283" s="80" t="s">
        <v>163</v>
      </c>
      <c r="J283" s="80">
        <v>2020</v>
      </c>
      <c r="K283" s="80" t="s">
        <v>501</v>
      </c>
      <c r="L283" s="80"/>
    </row>
    <row r="284" spans="1:12" x14ac:dyDescent="0.25">
      <c r="A284" s="83">
        <v>43636</v>
      </c>
      <c r="B284" s="80" t="s">
        <v>823</v>
      </c>
      <c r="C284" s="80" t="s">
        <v>822</v>
      </c>
      <c r="D284" s="80" t="s">
        <v>0</v>
      </c>
      <c r="E284" s="80">
        <v>68427709</v>
      </c>
      <c r="F284" s="94">
        <v>-1700</v>
      </c>
      <c r="G284" s="80" t="s">
        <v>72</v>
      </c>
      <c r="H284" s="80" t="s">
        <v>73</v>
      </c>
      <c r="I284" s="80" t="s">
        <v>163</v>
      </c>
      <c r="J284" s="80">
        <v>2020</v>
      </c>
      <c r="K284" s="80" t="s">
        <v>501</v>
      </c>
      <c r="L284" s="80"/>
    </row>
    <row r="285" spans="1:12" x14ac:dyDescent="0.25">
      <c r="A285" s="83">
        <v>43637</v>
      </c>
      <c r="B285" s="80" t="s">
        <v>824</v>
      </c>
      <c r="C285" s="80" t="s">
        <v>825</v>
      </c>
      <c r="D285" s="80" t="s">
        <v>0</v>
      </c>
      <c r="E285" s="80">
        <v>68427709</v>
      </c>
      <c r="F285" s="124">
        <v>0</v>
      </c>
      <c r="G285" s="80" t="s">
        <v>261</v>
      </c>
      <c r="H285" s="80" t="s">
        <v>73</v>
      </c>
      <c r="I285" s="80" t="s">
        <v>163</v>
      </c>
      <c r="J285" s="80">
        <v>2020</v>
      </c>
      <c r="K285" s="80" t="s">
        <v>826</v>
      </c>
      <c r="L285" s="80" t="s">
        <v>827</v>
      </c>
    </row>
    <row r="286" spans="1:12" x14ac:dyDescent="0.25">
      <c r="A286" s="83">
        <v>43640</v>
      </c>
      <c r="B286" s="80" t="s">
        <v>828</v>
      </c>
      <c r="C286" s="80" t="s">
        <v>829</v>
      </c>
      <c r="D286" s="80" t="s">
        <v>0</v>
      </c>
      <c r="E286" s="80">
        <v>68427709</v>
      </c>
      <c r="F286" s="94">
        <v>165000</v>
      </c>
      <c r="G286" s="80" t="s">
        <v>72</v>
      </c>
      <c r="H286" s="80" t="s">
        <v>73</v>
      </c>
      <c r="I286" s="80" t="s">
        <v>163</v>
      </c>
      <c r="J286" s="80">
        <v>2020</v>
      </c>
      <c r="K286" s="80" t="s">
        <v>501</v>
      </c>
      <c r="L286" s="80"/>
    </row>
    <row r="287" spans="1:12" x14ac:dyDescent="0.25">
      <c r="A287" s="83">
        <v>43640</v>
      </c>
      <c r="B287" s="80" t="s">
        <v>830</v>
      </c>
      <c r="C287" s="80" t="s">
        <v>831</v>
      </c>
      <c r="D287" s="80" t="s">
        <v>420</v>
      </c>
      <c r="E287" s="80">
        <v>68427709</v>
      </c>
      <c r="F287" s="94">
        <v>100000</v>
      </c>
      <c r="G287" s="80" t="s">
        <v>72</v>
      </c>
      <c r="H287" s="80" t="s">
        <v>73</v>
      </c>
      <c r="I287" s="80" t="s">
        <v>207</v>
      </c>
      <c r="J287" s="80">
        <v>2020</v>
      </c>
      <c r="K287" s="80" t="s">
        <v>238</v>
      </c>
      <c r="L287" s="80"/>
    </row>
    <row r="288" spans="1:12" x14ac:dyDescent="0.25">
      <c r="A288" s="83">
        <v>43640</v>
      </c>
      <c r="B288" s="80" t="s">
        <v>832</v>
      </c>
      <c r="C288" s="80" t="s">
        <v>833</v>
      </c>
      <c r="D288" s="80" t="s">
        <v>311</v>
      </c>
      <c r="E288" s="80">
        <v>68427709</v>
      </c>
      <c r="F288" s="94">
        <v>20000</v>
      </c>
      <c r="G288" s="80" t="s">
        <v>72</v>
      </c>
      <c r="H288" s="80" t="s">
        <v>73</v>
      </c>
      <c r="I288" s="80" t="s">
        <v>92</v>
      </c>
      <c r="J288" s="80">
        <v>2020</v>
      </c>
      <c r="K288" s="80" t="s">
        <v>75</v>
      </c>
      <c r="L288" s="80" t="s">
        <v>834</v>
      </c>
    </row>
    <row r="289" spans="1:12" x14ac:dyDescent="0.25">
      <c r="A289" s="83">
        <v>43640</v>
      </c>
      <c r="B289" s="80" t="s">
        <v>835</v>
      </c>
      <c r="C289" s="80" t="s">
        <v>835</v>
      </c>
      <c r="D289" s="80" t="s">
        <v>311</v>
      </c>
      <c r="E289" s="80">
        <v>68427709</v>
      </c>
      <c r="F289" s="94">
        <v>120000</v>
      </c>
      <c r="G289" s="80" t="s">
        <v>72</v>
      </c>
      <c r="H289" s="80" t="s">
        <v>73</v>
      </c>
      <c r="I289" s="80" t="s">
        <v>92</v>
      </c>
      <c r="J289" s="80">
        <v>2020</v>
      </c>
      <c r="K289" s="80" t="s">
        <v>75</v>
      </c>
      <c r="L289" s="80" t="s">
        <v>836</v>
      </c>
    </row>
    <row r="290" spans="1:12" x14ac:dyDescent="0.25">
      <c r="A290" s="83">
        <v>43640</v>
      </c>
      <c r="B290" s="80" t="s">
        <v>837</v>
      </c>
      <c r="C290" s="80" t="s">
        <v>837</v>
      </c>
      <c r="D290" s="80" t="s">
        <v>311</v>
      </c>
      <c r="E290" s="80">
        <v>68427709</v>
      </c>
      <c r="F290" s="94">
        <v>130000</v>
      </c>
      <c r="G290" s="80" t="s">
        <v>72</v>
      </c>
      <c r="H290" s="80" t="s">
        <v>73</v>
      </c>
      <c r="I290" s="80" t="s">
        <v>92</v>
      </c>
      <c r="J290" s="80">
        <v>2020</v>
      </c>
      <c r="K290" s="80" t="s">
        <v>75</v>
      </c>
      <c r="L290" s="80" t="s">
        <v>836</v>
      </c>
    </row>
    <row r="291" spans="1:12" x14ac:dyDescent="0.25">
      <c r="A291" s="83">
        <v>43640</v>
      </c>
      <c r="B291" s="80" t="s">
        <v>838</v>
      </c>
      <c r="C291" s="80" t="s">
        <v>838</v>
      </c>
      <c r="D291" s="80" t="s">
        <v>311</v>
      </c>
      <c r="E291" s="80">
        <v>68427709</v>
      </c>
      <c r="F291" s="94">
        <v>32000</v>
      </c>
      <c r="G291" s="80" t="s">
        <v>72</v>
      </c>
      <c r="H291" s="80" t="s">
        <v>73</v>
      </c>
      <c r="I291" s="80" t="s">
        <v>92</v>
      </c>
      <c r="J291" s="80">
        <v>2020</v>
      </c>
      <c r="K291" s="80" t="s">
        <v>75</v>
      </c>
      <c r="L291" s="80"/>
    </row>
    <row r="292" spans="1:12" x14ac:dyDescent="0.25">
      <c r="A292" s="83">
        <v>43640</v>
      </c>
      <c r="B292" s="80" t="s">
        <v>839</v>
      </c>
      <c r="C292" s="80" t="s">
        <v>839</v>
      </c>
      <c r="D292" s="80" t="s">
        <v>311</v>
      </c>
      <c r="E292" s="80">
        <v>68427709</v>
      </c>
      <c r="F292" s="94">
        <v>32000</v>
      </c>
      <c r="G292" s="80" t="s">
        <v>72</v>
      </c>
      <c r="H292" s="80" t="s">
        <v>73</v>
      </c>
      <c r="I292" s="80" t="s">
        <v>92</v>
      </c>
      <c r="J292" s="80">
        <v>2020</v>
      </c>
      <c r="K292" s="80" t="s">
        <v>75</v>
      </c>
      <c r="L292" s="80" t="s">
        <v>840</v>
      </c>
    </row>
    <row r="293" spans="1:12" x14ac:dyDescent="0.25">
      <c r="A293" s="83">
        <v>43640</v>
      </c>
      <c r="B293" s="80" t="s">
        <v>841</v>
      </c>
      <c r="C293" s="80" t="s">
        <v>841</v>
      </c>
      <c r="D293" s="80" t="s">
        <v>311</v>
      </c>
      <c r="E293" s="80">
        <v>68427709</v>
      </c>
      <c r="F293" s="94">
        <v>7000</v>
      </c>
      <c r="G293" s="80" t="s">
        <v>72</v>
      </c>
      <c r="H293" s="80" t="s">
        <v>73</v>
      </c>
      <c r="I293" s="80" t="s">
        <v>92</v>
      </c>
      <c r="J293" s="80">
        <v>2020</v>
      </c>
      <c r="K293" s="80" t="s">
        <v>75</v>
      </c>
      <c r="L293" s="80"/>
    </row>
    <row r="294" spans="1:12" x14ac:dyDescent="0.25">
      <c r="A294" s="83">
        <v>43640</v>
      </c>
      <c r="B294" s="80" t="s">
        <v>842</v>
      </c>
      <c r="C294" s="80" t="s">
        <v>843</v>
      </c>
      <c r="D294" s="80" t="s">
        <v>0</v>
      </c>
      <c r="E294" s="80">
        <v>68427709</v>
      </c>
      <c r="F294" s="94">
        <v>63000</v>
      </c>
      <c r="G294" s="80" t="s">
        <v>72</v>
      </c>
      <c r="H294" s="80" t="s">
        <v>73</v>
      </c>
      <c r="I294" s="80" t="s">
        <v>92</v>
      </c>
      <c r="J294" s="80">
        <v>2020</v>
      </c>
      <c r="K294" s="80" t="s">
        <v>238</v>
      </c>
      <c r="L294" s="80" t="s">
        <v>844</v>
      </c>
    </row>
    <row r="295" spans="1:12" x14ac:dyDescent="0.25">
      <c r="A295" s="83">
        <v>43640</v>
      </c>
      <c r="B295" s="153" t="s">
        <v>845</v>
      </c>
      <c r="C295" s="153" t="s">
        <v>845</v>
      </c>
      <c r="D295" s="80" t="s">
        <v>0</v>
      </c>
      <c r="E295" s="80">
        <v>68427709</v>
      </c>
      <c r="F295" s="94">
        <v>-130000</v>
      </c>
      <c r="G295" s="80" t="s">
        <v>72</v>
      </c>
      <c r="H295" s="80" t="s">
        <v>73</v>
      </c>
      <c r="I295" s="80" t="s">
        <v>92</v>
      </c>
      <c r="J295" s="80">
        <v>2020</v>
      </c>
      <c r="K295" s="80" t="s">
        <v>75</v>
      </c>
      <c r="L295" s="80" t="s">
        <v>846</v>
      </c>
    </row>
    <row r="296" spans="1:12" x14ac:dyDescent="0.25">
      <c r="A296" s="83">
        <v>43640</v>
      </c>
      <c r="B296" s="80" t="s">
        <v>847</v>
      </c>
      <c r="C296" s="80" t="s">
        <v>847</v>
      </c>
      <c r="D296" s="80" t="s">
        <v>0</v>
      </c>
      <c r="E296" s="80">
        <v>68427709</v>
      </c>
      <c r="F296" s="94">
        <v>-120000</v>
      </c>
      <c r="G296" s="80" t="s">
        <v>72</v>
      </c>
      <c r="H296" s="80" t="s">
        <v>73</v>
      </c>
      <c r="I296" s="80" t="s">
        <v>92</v>
      </c>
      <c r="J296" s="80">
        <v>2020</v>
      </c>
      <c r="K296" s="80" t="s">
        <v>75</v>
      </c>
      <c r="L296" s="80" t="s">
        <v>846</v>
      </c>
    </row>
    <row r="297" spans="1:12" x14ac:dyDescent="0.25">
      <c r="A297" s="83">
        <v>43640</v>
      </c>
      <c r="B297" s="153" t="s">
        <v>848</v>
      </c>
      <c r="C297" s="153" t="s">
        <v>848</v>
      </c>
      <c r="D297" s="80" t="s">
        <v>0</v>
      </c>
      <c r="E297" s="80">
        <v>68427709</v>
      </c>
      <c r="F297" s="94">
        <v>-120000</v>
      </c>
      <c r="G297" s="80" t="s">
        <v>72</v>
      </c>
      <c r="H297" s="80" t="s">
        <v>73</v>
      </c>
      <c r="I297" s="80" t="s">
        <v>92</v>
      </c>
      <c r="J297" s="80">
        <v>2020</v>
      </c>
      <c r="K297" s="80" t="s">
        <v>75</v>
      </c>
      <c r="L297" s="80" t="s">
        <v>846</v>
      </c>
    </row>
    <row r="298" spans="1:12" x14ac:dyDescent="0.25">
      <c r="A298" s="83">
        <v>43641</v>
      </c>
      <c r="B298" s="80" t="s">
        <v>849</v>
      </c>
      <c r="C298" s="80" t="s">
        <v>850</v>
      </c>
      <c r="D298" s="80" t="s">
        <v>420</v>
      </c>
      <c r="E298" s="80">
        <v>68427709</v>
      </c>
      <c r="F298" s="94">
        <v>150000</v>
      </c>
      <c r="G298" s="80" t="s">
        <v>72</v>
      </c>
      <c r="H298" s="80" t="s">
        <v>73</v>
      </c>
      <c r="I298" s="80" t="s">
        <v>92</v>
      </c>
      <c r="J298" s="80">
        <v>2020</v>
      </c>
      <c r="K298" s="80" t="s">
        <v>75</v>
      </c>
      <c r="L298" s="80" t="s">
        <v>851</v>
      </c>
    </row>
    <row r="299" spans="1:12" x14ac:dyDescent="0.25">
      <c r="A299" s="83">
        <v>43644</v>
      </c>
      <c r="B299" s="80" t="s">
        <v>852</v>
      </c>
      <c r="C299" s="80" t="s">
        <v>853</v>
      </c>
      <c r="D299" s="80" t="s">
        <v>852</v>
      </c>
      <c r="E299" s="80">
        <v>68427709</v>
      </c>
      <c r="F299" s="94">
        <v>-60000</v>
      </c>
      <c r="G299" s="80" t="s">
        <v>72</v>
      </c>
      <c r="H299" s="80" t="s">
        <v>73</v>
      </c>
      <c r="I299" s="80" t="s">
        <v>163</v>
      </c>
      <c r="J299" s="80">
        <v>2020</v>
      </c>
      <c r="K299" s="80" t="s">
        <v>854</v>
      </c>
      <c r="L299" s="80" t="s">
        <v>855</v>
      </c>
    </row>
    <row r="300" spans="1:12" x14ac:dyDescent="0.25">
      <c r="A300" s="83">
        <v>43647</v>
      </c>
      <c r="B300" s="80" t="s">
        <v>856</v>
      </c>
      <c r="C300" s="80" t="s">
        <v>857</v>
      </c>
      <c r="D300" s="80" t="s">
        <v>396</v>
      </c>
      <c r="E300" s="80">
        <v>68427709</v>
      </c>
      <c r="F300" s="94">
        <v>2800</v>
      </c>
      <c r="G300" s="80" t="s">
        <v>72</v>
      </c>
      <c r="H300" s="80" t="s">
        <v>73</v>
      </c>
      <c r="I300" s="80" t="s">
        <v>163</v>
      </c>
      <c r="J300" s="80">
        <v>2020</v>
      </c>
      <c r="K300" s="80" t="s">
        <v>156</v>
      </c>
      <c r="L300" s="80" t="s">
        <v>858</v>
      </c>
    </row>
    <row r="301" spans="1:12" x14ac:dyDescent="0.25">
      <c r="A301" s="83">
        <v>43648</v>
      </c>
      <c r="B301" s="80" t="s">
        <v>859</v>
      </c>
      <c r="C301" s="80" t="s">
        <v>860</v>
      </c>
      <c r="D301" s="80" t="s">
        <v>861</v>
      </c>
      <c r="E301" s="80">
        <v>68427709</v>
      </c>
      <c r="F301" s="94">
        <v>30000</v>
      </c>
      <c r="G301" s="80" t="s">
        <v>72</v>
      </c>
      <c r="H301" s="80" t="s">
        <v>73</v>
      </c>
      <c r="I301" s="80" t="s">
        <v>163</v>
      </c>
      <c r="J301" s="80">
        <v>2020</v>
      </c>
      <c r="K301" s="80" t="s">
        <v>268</v>
      </c>
      <c r="L301" s="80" t="s">
        <v>862</v>
      </c>
    </row>
    <row r="302" spans="1:12" x14ac:dyDescent="0.25">
      <c r="A302" s="83">
        <v>43648</v>
      </c>
      <c r="B302" s="80" t="s">
        <v>863</v>
      </c>
      <c r="C302" s="80" t="s">
        <v>864</v>
      </c>
      <c r="D302" s="80" t="s">
        <v>311</v>
      </c>
      <c r="E302" s="80">
        <v>68427709</v>
      </c>
      <c r="F302" s="94">
        <v>90000</v>
      </c>
      <c r="G302" s="80" t="s">
        <v>72</v>
      </c>
      <c r="H302" s="80" t="s">
        <v>73</v>
      </c>
      <c r="I302" s="80" t="s">
        <v>92</v>
      </c>
      <c r="J302" s="80">
        <v>2020</v>
      </c>
      <c r="K302" s="80" t="s">
        <v>865</v>
      </c>
      <c r="L302" s="80" t="s">
        <v>866</v>
      </c>
    </row>
    <row r="303" spans="1:12" x14ac:dyDescent="0.25">
      <c r="A303" s="83">
        <v>43648</v>
      </c>
      <c r="B303" s="80" t="s">
        <v>867</v>
      </c>
      <c r="C303" s="80" t="s">
        <v>868</v>
      </c>
      <c r="D303" s="80" t="s">
        <v>0</v>
      </c>
      <c r="E303" s="80">
        <v>68427709</v>
      </c>
      <c r="F303" s="94">
        <v>1200000</v>
      </c>
      <c r="G303" s="80" t="s">
        <v>72</v>
      </c>
      <c r="H303" s="80" t="s">
        <v>73</v>
      </c>
      <c r="I303" s="80" t="s">
        <v>92</v>
      </c>
      <c r="J303" s="80">
        <v>2020</v>
      </c>
      <c r="K303" s="80" t="s">
        <v>197</v>
      </c>
      <c r="L303" s="80" t="s">
        <v>869</v>
      </c>
    </row>
    <row r="304" spans="1:12" x14ac:dyDescent="0.25">
      <c r="A304" s="83">
        <v>43649</v>
      </c>
      <c r="B304" s="80" t="s">
        <v>870</v>
      </c>
      <c r="C304" s="80" t="s">
        <v>871</v>
      </c>
      <c r="D304" s="80" t="s">
        <v>0</v>
      </c>
      <c r="E304" s="80">
        <v>68427709</v>
      </c>
      <c r="F304" s="94">
        <v>32000</v>
      </c>
      <c r="G304" s="80" t="s">
        <v>72</v>
      </c>
      <c r="H304" s="80" t="s">
        <v>73</v>
      </c>
      <c r="I304" s="80" t="s">
        <v>163</v>
      </c>
      <c r="J304" s="80">
        <v>2020</v>
      </c>
      <c r="K304" s="80" t="s">
        <v>211</v>
      </c>
      <c r="L304" s="80" t="s">
        <v>872</v>
      </c>
    </row>
    <row r="305" spans="1:12" x14ac:dyDescent="0.25">
      <c r="A305" s="83">
        <v>43650</v>
      </c>
      <c r="B305" s="80" t="s">
        <v>873</v>
      </c>
      <c r="C305" s="80" t="s">
        <v>874</v>
      </c>
      <c r="D305" s="80" t="s">
        <v>86</v>
      </c>
      <c r="E305" s="80">
        <v>68427709</v>
      </c>
      <c r="F305" s="94">
        <v>50000</v>
      </c>
      <c r="G305" s="80" t="s">
        <v>72</v>
      </c>
      <c r="H305" s="80" t="s">
        <v>73</v>
      </c>
      <c r="I305" s="80" t="s">
        <v>92</v>
      </c>
      <c r="J305" s="80">
        <v>2020</v>
      </c>
      <c r="K305" s="80" t="s">
        <v>238</v>
      </c>
      <c r="L305" s="80" t="s">
        <v>875</v>
      </c>
    </row>
    <row r="306" spans="1:12" x14ac:dyDescent="0.25">
      <c r="A306" s="83">
        <v>43655</v>
      </c>
      <c r="B306" s="80" t="s">
        <v>876</v>
      </c>
      <c r="C306" s="80" t="s">
        <v>877</v>
      </c>
      <c r="D306" s="80" t="s">
        <v>0</v>
      </c>
      <c r="E306" s="80">
        <v>68427709</v>
      </c>
      <c r="F306" s="94">
        <v>-15000</v>
      </c>
      <c r="G306" s="80" t="s">
        <v>72</v>
      </c>
      <c r="H306" s="80" t="s">
        <v>73</v>
      </c>
      <c r="I306" s="80" t="s">
        <v>163</v>
      </c>
      <c r="J306" s="80">
        <v>2020</v>
      </c>
      <c r="K306" s="80" t="s">
        <v>75</v>
      </c>
      <c r="L306" s="80" t="s">
        <v>878</v>
      </c>
    </row>
    <row r="307" spans="1:12" x14ac:dyDescent="0.25">
      <c r="A307" s="83">
        <v>43657</v>
      </c>
      <c r="B307" s="80" t="s">
        <v>240</v>
      </c>
      <c r="C307" s="80" t="s">
        <v>879</v>
      </c>
      <c r="D307" s="80" t="s">
        <v>86</v>
      </c>
      <c r="E307" s="80">
        <v>68427709</v>
      </c>
      <c r="F307" s="94">
        <v>4000</v>
      </c>
      <c r="G307" s="80" t="s">
        <v>72</v>
      </c>
      <c r="H307" s="80" t="s">
        <v>73</v>
      </c>
      <c r="I307" s="80" t="s">
        <v>163</v>
      </c>
      <c r="J307" s="80">
        <v>2020</v>
      </c>
      <c r="K307" s="80" t="s">
        <v>75</v>
      </c>
      <c r="L307" s="80"/>
    </row>
    <row r="308" spans="1:12" x14ac:dyDescent="0.25">
      <c r="A308" s="83">
        <v>43657</v>
      </c>
      <c r="B308" s="80" t="s">
        <v>880</v>
      </c>
      <c r="C308" s="80" t="s">
        <v>881</v>
      </c>
      <c r="D308" t="s">
        <v>0</v>
      </c>
      <c r="E308" s="80">
        <v>68427709</v>
      </c>
      <c r="F308" s="94">
        <v>-200000</v>
      </c>
      <c r="G308" s="80" t="s">
        <v>72</v>
      </c>
      <c r="H308" s="80" t="s">
        <v>73</v>
      </c>
      <c r="I308" s="80" t="s">
        <v>163</v>
      </c>
      <c r="J308" s="80">
        <v>2020</v>
      </c>
      <c r="K308" s="80" t="s">
        <v>633</v>
      </c>
      <c r="L308" s="80" t="s">
        <v>882</v>
      </c>
    </row>
    <row r="309" spans="1:12" x14ac:dyDescent="0.25">
      <c r="A309" s="83">
        <v>43657</v>
      </c>
      <c r="B309" s="80" t="s">
        <v>883</v>
      </c>
      <c r="C309" s="80" t="s">
        <v>884</v>
      </c>
      <c r="D309" s="80" t="s">
        <v>40</v>
      </c>
      <c r="E309" s="80">
        <v>68427709</v>
      </c>
      <c r="F309" s="94">
        <v>42000</v>
      </c>
      <c r="G309" s="80" t="s">
        <v>72</v>
      </c>
      <c r="H309" s="80" t="s">
        <v>73</v>
      </c>
      <c r="I309" s="80" t="s">
        <v>92</v>
      </c>
      <c r="J309" s="80">
        <v>2020</v>
      </c>
      <c r="K309" s="80" t="s">
        <v>335</v>
      </c>
      <c r="L309" s="80"/>
    </row>
    <row r="310" spans="1:12" x14ac:dyDescent="0.25">
      <c r="A310" s="83">
        <v>43657</v>
      </c>
      <c r="B310" s="80" t="s">
        <v>885</v>
      </c>
      <c r="C310" s="80" t="s">
        <v>886</v>
      </c>
      <c r="D310" s="80" t="s">
        <v>0</v>
      </c>
      <c r="E310" s="80">
        <v>68427709</v>
      </c>
      <c r="F310" s="94">
        <v>-400</v>
      </c>
      <c r="G310" s="80" t="s">
        <v>72</v>
      </c>
      <c r="H310" s="80" t="s">
        <v>73</v>
      </c>
      <c r="I310" s="80" t="s">
        <v>87</v>
      </c>
      <c r="J310" s="80">
        <v>2020</v>
      </c>
      <c r="K310" s="80" t="s">
        <v>75</v>
      </c>
      <c r="L310" s="80" t="s">
        <v>887</v>
      </c>
    </row>
    <row r="311" spans="1:12" x14ac:dyDescent="0.25">
      <c r="A311" s="83">
        <v>43657</v>
      </c>
      <c r="B311" s="80" t="s">
        <v>888</v>
      </c>
      <c r="C311" s="80" t="s">
        <v>889</v>
      </c>
      <c r="D311" s="80" t="s">
        <v>0</v>
      </c>
      <c r="E311" s="80">
        <v>68427709</v>
      </c>
      <c r="F311" s="94">
        <v>10000</v>
      </c>
      <c r="G311" s="80" t="s">
        <v>72</v>
      </c>
      <c r="H311" s="80" t="s">
        <v>73</v>
      </c>
      <c r="I311" s="80" t="s">
        <v>163</v>
      </c>
      <c r="J311" s="80">
        <v>2020</v>
      </c>
      <c r="K311" s="80" t="s">
        <v>222</v>
      </c>
      <c r="L311" s="80" t="s">
        <v>890</v>
      </c>
    </row>
    <row r="312" spans="1:12" x14ac:dyDescent="0.25">
      <c r="A312" s="83">
        <v>43657</v>
      </c>
      <c r="B312" s="80" t="s">
        <v>891</v>
      </c>
      <c r="C312" s="80" t="s">
        <v>892</v>
      </c>
      <c r="D312" s="80" t="s">
        <v>0</v>
      </c>
      <c r="E312" s="80">
        <v>68427709</v>
      </c>
      <c r="F312" s="94">
        <v>0</v>
      </c>
      <c r="G312" s="80" t="s">
        <v>261</v>
      </c>
      <c r="H312" s="80" t="s">
        <v>73</v>
      </c>
      <c r="I312" s="80" t="s">
        <v>92</v>
      </c>
      <c r="J312" s="80">
        <v>2020</v>
      </c>
      <c r="K312" s="80" t="s">
        <v>238</v>
      </c>
      <c r="L312" s="80" t="s">
        <v>893</v>
      </c>
    </row>
    <row r="313" spans="1:12" x14ac:dyDescent="0.25">
      <c r="A313" s="83">
        <v>43661</v>
      </c>
      <c r="B313" s="80" t="s">
        <v>894</v>
      </c>
      <c r="C313" s="80" t="s">
        <v>895</v>
      </c>
      <c r="D313" s="80" t="s">
        <v>311</v>
      </c>
      <c r="E313" s="80">
        <v>68427709</v>
      </c>
      <c r="F313" s="94">
        <f>50000+60000</f>
        <v>110000</v>
      </c>
      <c r="G313" s="80" t="s">
        <v>72</v>
      </c>
      <c r="H313" s="80" t="s">
        <v>73</v>
      </c>
      <c r="I313" s="80" t="s">
        <v>92</v>
      </c>
      <c r="J313" s="80">
        <v>2020</v>
      </c>
      <c r="K313" s="80" t="s">
        <v>75</v>
      </c>
      <c r="L313" s="80"/>
    </row>
    <row r="314" spans="1:12" x14ac:dyDescent="0.25">
      <c r="A314" s="83">
        <v>43661</v>
      </c>
      <c r="B314" s="80" t="s">
        <v>896</v>
      </c>
      <c r="C314" s="80" t="s">
        <v>897</v>
      </c>
      <c r="D314" s="80" t="s">
        <v>0</v>
      </c>
      <c r="E314" s="80">
        <v>68427709</v>
      </c>
      <c r="F314" s="94">
        <v>40000</v>
      </c>
      <c r="G314" s="80" t="s">
        <v>72</v>
      </c>
      <c r="H314" s="80" t="s">
        <v>73</v>
      </c>
      <c r="I314" s="80" t="s">
        <v>92</v>
      </c>
      <c r="J314" s="80">
        <v>2020</v>
      </c>
      <c r="K314" s="80" t="s">
        <v>392</v>
      </c>
      <c r="L314" s="80" t="s">
        <v>898</v>
      </c>
    </row>
    <row r="315" spans="1:12" x14ac:dyDescent="0.25">
      <c r="A315" s="83">
        <v>43661</v>
      </c>
      <c r="B315" s="80" t="s">
        <v>899</v>
      </c>
      <c r="C315" s="80" t="s">
        <v>900</v>
      </c>
      <c r="D315" s="80" t="s">
        <v>311</v>
      </c>
      <c r="E315" s="80">
        <v>68427719</v>
      </c>
      <c r="F315" s="94">
        <v>440000</v>
      </c>
      <c r="G315" s="80" t="s">
        <v>72</v>
      </c>
      <c r="H315" s="80" t="s">
        <v>73</v>
      </c>
      <c r="I315" s="80" t="s">
        <v>92</v>
      </c>
      <c r="J315" s="80">
        <v>2020</v>
      </c>
      <c r="K315" s="80" t="s">
        <v>75</v>
      </c>
      <c r="L315" s="93" t="s">
        <v>901</v>
      </c>
    </row>
    <row r="316" spans="1:12" x14ac:dyDescent="0.25">
      <c r="A316" s="83">
        <v>43661</v>
      </c>
      <c r="B316" s="80" t="s">
        <v>266</v>
      </c>
      <c r="C316" s="80" t="s">
        <v>902</v>
      </c>
      <c r="D316" s="80" t="s">
        <v>0</v>
      </c>
      <c r="E316" s="80">
        <v>68427709</v>
      </c>
      <c r="F316" s="94">
        <v>60000</v>
      </c>
      <c r="G316" s="80" t="s">
        <v>72</v>
      </c>
      <c r="H316" s="80" t="s">
        <v>73</v>
      </c>
      <c r="I316" s="80" t="s">
        <v>140</v>
      </c>
      <c r="J316" s="80">
        <v>2020</v>
      </c>
      <c r="K316" s="80" t="s">
        <v>268</v>
      </c>
      <c r="L316" s="157"/>
    </row>
    <row r="317" spans="1:12" x14ac:dyDescent="0.25">
      <c r="A317" s="83">
        <v>43663</v>
      </c>
      <c r="B317" s="80" t="s">
        <v>903</v>
      </c>
      <c r="C317" s="80" t="s">
        <v>904</v>
      </c>
      <c r="D317" s="80" t="s">
        <v>0</v>
      </c>
      <c r="E317" s="80">
        <v>68427709</v>
      </c>
      <c r="F317" s="94">
        <v>176000</v>
      </c>
      <c r="G317" s="80" t="s">
        <v>72</v>
      </c>
      <c r="H317" s="80" t="s">
        <v>73</v>
      </c>
      <c r="I317" s="80" t="s">
        <v>140</v>
      </c>
      <c r="J317" s="80">
        <v>2020</v>
      </c>
      <c r="K317" s="80" t="s">
        <v>905</v>
      </c>
      <c r="L317" s="80" t="s">
        <v>906</v>
      </c>
    </row>
    <row r="318" spans="1:12" x14ac:dyDescent="0.25">
      <c r="A318" s="83">
        <v>43663</v>
      </c>
      <c r="B318" s="80" t="s">
        <v>907</v>
      </c>
      <c r="C318" s="80" t="s">
        <v>908</v>
      </c>
      <c r="D318" s="80" t="s">
        <v>0</v>
      </c>
      <c r="E318" s="80">
        <v>68427709</v>
      </c>
      <c r="F318" s="94">
        <v>400000</v>
      </c>
      <c r="G318" s="80" t="s">
        <v>261</v>
      </c>
      <c r="H318" s="80" t="s">
        <v>73</v>
      </c>
      <c r="I318" s="80" t="s">
        <v>909</v>
      </c>
      <c r="J318" s="80">
        <v>2020</v>
      </c>
      <c r="K318" s="80" t="s">
        <v>268</v>
      </c>
      <c r="L318" s="80" t="s">
        <v>910</v>
      </c>
    </row>
    <row r="319" spans="1:12" x14ac:dyDescent="0.25">
      <c r="A319" s="83">
        <v>43663</v>
      </c>
      <c r="B319" s="80" t="s">
        <v>911</v>
      </c>
      <c r="C319" s="80" t="s">
        <v>912</v>
      </c>
      <c r="D319" s="80" t="s">
        <v>40</v>
      </c>
      <c r="E319" s="80">
        <v>68427709</v>
      </c>
      <c r="F319" s="94">
        <v>75000</v>
      </c>
      <c r="G319" s="80" t="s">
        <v>72</v>
      </c>
      <c r="H319" s="80" t="s">
        <v>73</v>
      </c>
      <c r="I319" s="80" t="s">
        <v>40</v>
      </c>
      <c r="J319" s="80">
        <v>2020</v>
      </c>
      <c r="K319" s="80" t="s">
        <v>335</v>
      </c>
      <c r="L319" s="80"/>
    </row>
    <row r="320" spans="1:12" x14ac:dyDescent="0.25">
      <c r="A320" s="83">
        <v>43664</v>
      </c>
      <c r="B320" s="80" t="s">
        <v>913</v>
      </c>
      <c r="C320" s="80" t="s">
        <v>914</v>
      </c>
      <c r="D320" s="80" t="s">
        <v>139</v>
      </c>
      <c r="E320" s="80">
        <v>68427709</v>
      </c>
      <c r="F320" s="94">
        <v>40000</v>
      </c>
      <c r="G320" s="80" t="s">
        <v>72</v>
      </c>
      <c r="H320" s="80" t="s">
        <v>73</v>
      </c>
      <c r="I320" s="80" t="s">
        <v>140</v>
      </c>
      <c r="J320" s="80">
        <v>2020</v>
      </c>
      <c r="K320" s="80" t="s">
        <v>665</v>
      </c>
      <c r="L320" s="80"/>
    </row>
    <row r="321" spans="1:12" x14ac:dyDescent="0.25">
      <c r="A321" s="83">
        <v>43658</v>
      </c>
      <c r="B321" s="80" t="s">
        <v>90</v>
      </c>
      <c r="C321" s="80" t="s">
        <v>915</v>
      </c>
      <c r="D321" s="80"/>
      <c r="E321" s="80">
        <v>68427709</v>
      </c>
      <c r="F321" s="94">
        <v>12000</v>
      </c>
      <c r="G321" s="80" t="s">
        <v>72</v>
      </c>
      <c r="H321" s="80" t="s">
        <v>73</v>
      </c>
      <c r="I321" s="80" t="s">
        <v>140</v>
      </c>
      <c r="J321" s="80">
        <v>2020</v>
      </c>
      <c r="K321" s="80" t="s">
        <v>186</v>
      </c>
      <c r="L321" s="80"/>
    </row>
    <row r="322" spans="1:12" x14ac:dyDescent="0.25">
      <c r="A322" s="83">
        <v>43677</v>
      </c>
      <c r="B322" s="80" t="s">
        <v>916</v>
      </c>
      <c r="C322" s="80" t="s">
        <v>571</v>
      </c>
      <c r="D322" s="80" t="s">
        <v>0</v>
      </c>
      <c r="E322" s="80">
        <v>68427709</v>
      </c>
      <c r="F322" s="94">
        <v>2000</v>
      </c>
      <c r="G322" s="80" t="s">
        <v>72</v>
      </c>
      <c r="H322" s="80" t="s">
        <v>73</v>
      </c>
      <c r="I322" s="80" t="s">
        <v>140</v>
      </c>
      <c r="J322" s="80">
        <v>2020</v>
      </c>
      <c r="K322" s="80" t="s">
        <v>514</v>
      </c>
      <c r="L322" s="80"/>
    </row>
    <row r="323" spans="1:12" x14ac:dyDescent="0.25">
      <c r="A323" s="83">
        <v>43677</v>
      </c>
      <c r="B323" s="80" t="s">
        <v>917</v>
      </c>
      <c r="C323" s="80" t="s">
        <v>918</v>
      </c>
      <c r="D323" s="80" t="s">
        <v>0</v>
      </c>
      <c r="E323" s="80">
        <v>68427709</v>
      </c>
      <c r="F323" s="94">
        <v>-13000</v>
      </c>
      <c r="G323" s="80" t="s">
        <v>72</v>
      </c>
      <c r="H323" s="80" t="s">
        <v>73</v>
      </c>
      <c r="I323" s="80" t="s">
        <v>140</v>
      </c>
      <c r="J323" s="80">
        <v>2020</v>
      </c>
      <c r="K323" s="80" t="s">
        <v>130</v>
      </c>
      <c r="L323" s="80"/>
    </row>
    <row r="324" spans="1:12" x14ac:dyDescent="0.25">
      <c r="A324" s="83">
        <v>43677</v>
      </c>
      <c r="B324" s="80" t="s">
        <v>919</v>
      </c>
      <c r="C324" s="80" t="s">
        <v>571</v>
      </c>
      <c r="D324" s="80" t="s">
        <v>919</v>
      </c>
      <c r="E324" s="80">
        <v>68427709</v>
      </c>
      <c r="F324" s="94">
        <v>12000</v>
      </c>
      <c r="G324" s="80" t="s">
        <v>72</v>
      </c>
      <c r="H324" s="80" t="s">
        <v>73</v>
      </c>
      <c r="I324" s="80" t="s">
        <v>140</v>
      </c>
      <c r="J324" s="80">
        <v>2020</v>
      </c>
      <c r="K324" s="80" t="s">
        <v>156</v>
      </c>
      <c r="L324" s="80"/>
    </row>
    <row r="325" spans="1:12" x14ac:dyDescent="0.25">
      <c r="A325" s="83">
        <v>43675</v>
      </c>
      <c r="B325" s="80" t="s">
        <v>452</v>
      </c>
      <c r="C325" s="80" t="s">
        <v>920</v>
      </c>
      <c r="D325" s="80" t="s">
        <v>40</v>
      </c>
      <c r="E325" s="80">
        <v>68427709</v>
      </c>
      <c r="F325" s="94">
        <v>-75000</v>
      </c>
      <c r="G325" s="80" t="s">
        <v>72</v>
      </c>
      <c r="H325" s="80" t="s">
        <v>73</v>
      </c>
      <c r="I325" s="80" t="s">
        <v>40</v>
      </c>
      <c r="J325" s="80">
        <v>2020</v>
      </c>
      <c r="K325" s="80" t="s">
        <v>335</v>
      </c>
      <c r="L325" s="80" t="s">
        <v>921</v>
      </c>
    </row>
    <row r="326" spans="1:12" x14ac:dyDescent="0.25">
      <c r="A326" s="83">
        <v>43675</v>
      </c>
      <c r="B326" s="80" t="s">
        <v>452</v>
      </c>
      <c r="C326" s="80" t="s">
        <v>922</v>
      </c>
      <c r="D326" s="80" t="s">
        <v>40</v>
      </c>
      <c r="E326" s="80">
        <v>68427709</v>
      </c>
      <c r="F326" s="94">
        <v>0</v>
      </c>
      <c r="G326" s="80" t="s">
        <v>72</v>
      </c>
      <c r="H326" s="80" t="s">
        <v>923</v>
      </c>
      <c r="I326" s="80" t="s">
        <v>40</v>
      </c>
      <c r="J326" s="80">
        <v>2020</v>
      </c>
      <c r="K326" s="80" t="s">
        <v>335</v>
      </c>
      <c r="L326" s="80" t="s">
        <v>924</v>
      </c>
    </row>
    <row r="327" spans="1:12" x14ac:dyDescent="0.25">
      <c r="A327" s="83">
        <v>43675</v>
      </c>
      <c r="B327" s="80" t="s">
        <v>925</v>
      </c>
      <c r="C327" s="80" t="s">
        <v>926</v>
      </c>
      <c r="D327" s="80" t="s">
        <v>40</v>
      </c>
      <c r="E327" s="80">
        <v>68427709</v>
      </c>
      <c r="F327" s="94">
        <v>0</v>
      </c>
      <c r="G327" s="80" t="s">
        <v>72</v>
      </c>
      <c r="H327" s="80" t="s">
        <v>73</v>
      </c>
      <c r="I327" s="80" t="s">
        <v>40</v>
      </c>
      <c r="J327" s="80">
        <v>2020</v>
      </c>
      <c r="K327" s="80" t="s">
        <v>335</v>
      </c>
      <c r="L327" s="80"/>
    </row>
    <row r="328" spans="1:12" x14ac:dyDescent="0.25">
      <c r="A328" s="83">
        <v>43675</v>
      </c>
      <c r="B328" s="80" t="s">
        <v>927</v>
      </c>
      <c r="C328" s="80" t="s">
        <v>922</v>
      </c>
      <c r="D328" s="80" t="s">
        <v>40</v>
      </c>
      <c r="E328" s="80">
        <v>68427709</v>
      </c>
      <c r="F328" s="94">
        <v>0</v>
      </c>
      <c r="G328" s="80" t="s">
        <v>72</v>
      </c>
      <c r="H328" s="80" t="s">
        <v>73</v>
      </c>
      <c r="I328" s="80" t="s">
        <v>40</v>
      </c>
      <c r="J328" s="80">
        <v>2020</v>
      </c>
      <c r="K328" s="80" t="s">
        <v>335</v>
      </c>
      <c r="L328" s="80" t="s">
        <v>928</v>
      </c>
    </row>
    <row r="329" spans="1:12" x14ac:dyDescent="0.25">
      <c r="A329" s="83">
        <v>43675</v>
      </c>
      <c r="B329" s="80" t="s">
        <v>929</v>
      </c>
      <c r="C329" s="80" t="s">
        <v>930</v>
      </c>
      <c r="D329" s="80" t="s">
        <v>40</v>
      </c>
      <c r="E329" s="80">
        <v>68427709</v>
      </c>
      <c r="F329" s="94">
        <v>0</v>
      </c>
      <c r="G329" s="80" t="s">
        <v>72</v>
      </c>
      <c r="H329" s="80" t="s">
        <v>923</v>
      </c>
      <c r="I329" s="80" t="s">
        <v>40</v>
      </c>
      <c r="J329" s="80">
        <v>2020</v>
      </c>
      <c r="K329" s="80" t="s">
        <v>335</v>
      </c>
      <c r="L329" s="80" t="s">
        <v>931</v>
      </c>
    </row>
    <row r="330" spans="1:12" x14ac:dyDescent="0.25">
      <c r="A330" s="83">
        <v>43675</v>
      </c>
      <c r="B330" s="80" t="s">
        <v>932</v>
      </c>
      <c r="C330" s="80" t="s">
        <v>930</v>
      </c>
      <c r="D330" s="80" t="s">
        <v>40</v>
      </c>
      <c r="E330" s="80">
        <v>68427709</v>
      </c>
      <c r="F330" s="94">
        <v>0</v>
      </c>
      <c r="G330" s="80" t="s">
        <v>72</v>
      </c>
      <c r="H330" s="80" t="s">
        <v>73</v>
      </c>
      <c r="I330" s="80" t="s">
        <v>40</v>
      </c>
      <c r="J330" s="80">
        <v>2020</v>
      </c>
      <c r="K330" s="80" t="s">
        <v>335</v>
      </c>
      <c r="L330" s="80" t="s">
        <v>931</v>
      </c>
    </row>
    <row r="331" spans="1:12" x14ac:dyDescent="0.25">
      <c r="A331" s="83">
        <v>43675</v>
      </c>
      <c r="B331" s="80" t="s">
        <v>933</v>
      </c>
      <c r="C331" s="80" t="s">
        <v>934</v>
      </c>
      <c r="D331" s="80" t="s">
        <v>0</v>
      </c>
      <c r="E331" s="80">
        <v>68427709</v>
      </c>
      <c r="F331" s="94">
        <v>-85000</v>
      </c>
      <c r="G331" s="80" t="s">
        <v>72</v>
      </c>
      <c r="H331" s="80" t="s">
        <v>73</v>
      </c>
      <c r="I331" s="80" t="s">
        <v>40</v>
      </c>
      <c r="J331" s="80">
        <v>2020</v>
      </c>
      <c r="K331" s="80" t="s">
        <v>335</v>
      </c>
      <c r="L331" s="80" t="s">
        <v>935</v>
      </c>
    </row>
    <row r="332" spans="1:12" x14ac:dyDescent="0.25">
      <c r="A332" s="83">
        <v>43675</v>
      </c>
      <c r="B332" s="80" t="s">
        <v>927</v>
      </c>
      <c r="C332" s="80" t="s">
        <v>936</v>
      </c>
      <c r="D332" s="80" t="s">
        <v>40</v>
      </c>
      <c r="E332" s="80">
        <v>68427709</v>
      </c>
      <c r="F332" s="124"/>
      <c r="G332" s="80" t="s">
        <v>758</v>
      </c>
      <c r="H332" s="80" t="s">
        <v>73</v>
      </c>
      <c r="I332" s="80" t="s">
        <v>40</v>
      </c>
      <c r="J332" s="80">
        <v>2020</v>
      </c>
      <c r="K332" s="80" t="s">
        <v>335</v>
      </c>
      <c r="L332" s="80" t="s">
        <v>937</v>
      </c>
    </row>
    <row r="333" spans="1:12" x14ac:dyDescent="0.25">
      <c r="A333" s="83">
        <v>43675</v>
      </c>
      <c r="B333" s="80" t="s">
        <v>927</v>
      </c>
      <c r="C333" s="80" t="s">
        <v>938</v>
      </c>
      <c r="D333" s="80" t="s">
        <v>40</v>
      </c>
      <c r="E333" s="80">
        <v>68427709</v>
      </c>
      <c r="F333" s="94">
        <v>55000</v>
      </c>
      <c r="G333" s="80" t="s">
        <v>72</v>
      </c>
      <c r="H333" s="80" t="s">
        <v>73</v>
      </c>
      <c r="I333" s="80" t="s">
        <v>40</v>
      </c>
      <c r="J333" s="80">
        <v>2020</v>
      </c>
      <c r="K333" s="80" t="s">
        <v>335</v>
      </c>
      <c r="L333" s="80"/>
    </row>
    <row r="334" spans="1:12" x14ac:dyDescent="0.25">
      <c r="A334" s="83">
        <v>43675</v>
      </c>
      <c r="B334" s="80" t="s">
        <v>939</v>
      </c>
      <c r="C334" s="80" t="s">
        <v>940</v>
      </c>
      <c r="D334" s="80" t="s">
        <v>40</v>
      </c>
      <c r="E334" s="80">
        <v>68427709</v>
      </c>
      <c r="F334" s="94">
        <v>3000</v>
      </c>
      <c r="G334" s="80" t="s">
        <v>72</v>
      </c>
      <c r="H334" s="80" t="s">
        <v>73</v>
      </c>
      <c r="I334" s="80" t="s">
        <v>40</v>
      </c>
      <c r="J334" s="80">
        <v>2020</v>
      </c>
      <c r="K334" s="80" t="s">
        <v>335</v>
      </c>
      <c r="L334" s="80" t="s">
        <v>941</v>
      </c>
    </row>
    <row r="335" spans="1:12" x14ac:dyDescent="0.25">
      <c r="A335" s="83">
        <v>43675</v>
      </c>
      <c r="B335" s="80" t="s">
        <v>942</v>
      </c>
      <c r="C335" s="80" t="s">
        <v>943</v>
      </c>
      <c r="D335" s="80" t="s">
        <v>40</v>
      </c>
      <c r="E335" s="80">
        <v>68427709</v>
      </c>
      <c r="F335" s="94">
        <v>30000</v>
      </c>
      <c r="G335" s="80" t="s">
        <v>72</v>
      </c>
      <c r="H335" s="80" t="s">
        <v>73</v>
      </c>
      <c r="I335" s="80" t="s">
        <v>40</v>
      </c>
      <c r="J335" s="80">
        <v>2020</v>
      </c>
      <c r="K335" s="80" t="s">
        <v>335</v>
      </c>
      <c r="L335" s="80"/>
    </row>
    <row r="336" spans="1:12" x14ac:dyDescent="0.25">
      <c r="A336" s="83">
        <v>43678</v>
      </c>
      <c r="B336" s="80" t="s">
        <v>944</v>
      </c>
      <c r="C336" s="80" t="s">
        <v>945</v>
      </c>
      <c r="D336" s="80" t="s">
        <v>0</v>
      </c>
      <c r="E336" s="80">
        <v>68427709</v>
      </c>
      <c r="F336" s="94">
        <v>0</v>
      </c>
      <c r="G336" s="80" t="s">
        <v>72</v>
      </c>
      <c r="H336" s="80" t="s">
        <v>73</v>
      </c>
      <c r="I336" s="80" t="s">
        <v>92</v>
      </c>
      <c r="J336" s="80">
        <v>2020</v>
      </c>
      <c r="K336" s="80" t="s">
        <v>335</v>
      </c>
      <c r="L336" s="80" t="s">
        <v>946</v>
      </c>
    </row>
    <row r="337" spans="1:12" x14ac:dyDescent="0.25">
      <c r="A337" s="83">
        <v>43678</v>
      </c>
      <c r="B337" s="80" t="s">
        <v>549</v>
      </c>
      <c r="C337" s="80" t="s">
        <v>947</v>
      </c>
      <c r="D337" s="80" t="s">
        <v>0</v>
      </c>
      <c r="E337" s="80">
        <v>68427709</v>
      </c>
      <c r="F337" s="85">
        <v>0</v>
      </c>
      <c r="G337" s="80" t="s">
        <v>72</v>
      </c>
      <c r="H337" s="80" t="s">
        <v>73</v>
      </c>
      <c r="I337" s="80" t="s">
        <v>140</v>
      </c>
      <c r="J337" s="80">
        <v>2020</v>
      </c>
      <c r="K337" s="80" t="s">
        <v>335</v>
      </c>
      <c r="L337" s="80" t="s">
        <v>948</v>
      </c>
    </row>
    <row r="338" spans="1:12" x14ac:dyDescent="0.25">
      <c r="A338" s="83">
        <v>43678</v>
      </c>
      <c r="B338" s="80" t="s">
        <v>949</v>
      </c>
      <c r="C338" s="80" t="s">
        <v>950</v>
      </c>
      <c r="D338" s="80" t="s">
        <v>0</v>
      </c>
      <c r="E338" s="80">
        <v>68427709</v>
      </c>
      <c r="F338" s="85"/>
      <c r="G338" s="80" t="s">
        <v>758</v>
      </c>
      <c r="H338" s="80" t="s">
        <v>73</v>
      </c>
      <c r="I338" s="80" t="s">
        <v>140</v>
      </c>
      <c r="J338" s="80">
        <v>2020</v>
      </c>
      <c r="K338" s="80" t="s">
        <v>335</v>
      </c>
      <c r="L338" s="80" t="s">
        <v>951</v>
      </c>
    </row>
    <row r="339" spans="1:12" x14ac:dyDescent="0.25">
      <c r="A339" s="83">
        <v>43678</v>
      </c>
      <c r="B339" s="80" t="s">
        <v>952</v>
      </c>
      <c r="C339" s="80" t="s">
        <v>953</v>
      </c>
      <c r="D339" s="80" t="s">
        <v>0</v>
      </c>
      <c r="E339" s="80">
        <v>68427709</v>
      </c>
      <c r="F339" s="94">
        <v>-65000</v>
      </c>
      <c r="G339" s="80" t="s">
        <v>72</v>
      </c>
      <c r="H339" s="80" t="s">
        <v>73</v>
      </c>
      <c r="I339" s="80" t="s">
        <v>954</v>
      </c>
      <c r="J339" s="80">
        <v>2020</v>
      </c>
      <c r="K339" s="80" t="s">
        <v>335</v>
      </c>
      <c r="L339" s="80"/>
    </row>
    <row r="340" spans="1:12" x14ac:dyDescent="0.25">
      <c r="A340" s="83">
        <v>43678</v>
      </c>
      <c r="B340" s="80" t="s">
        <v>624</v>
      </c>
      <c r="C340" s="80" t="s">
        <v>955</v>
      </c>
      <c r="D340" s="80" t="s">
        <v>0</v>
      </c>
      <c r="E340" s="80">
        <v>68427709</v>
      </c>
      <c r="F340" s="94">
        <v>35000</v>
      </c>
      <c r="G340" s="80" t="s">
        <v>72</v>
      </c>
      <c r="H340" s="80" t="s">
        <v>73</v>
      </c>
      <c r="I340" s="80" t="s">
        <v>92</v>
      </c>
      <c r="J340" s="80">
        <v>2020</v>
      </c>
      <c r="K340" s="80" t="s">
        <v>335</v>
      </c>
      <c r="L340" s="80" t="s">
        <v>956</v>
      </c>
    </row>
    <row r="341" spans="1:12" x14ac:dyDescent="0.25">
      <c r="A341" s="83">
        <v>43678</v>
      </c>
      <c r="B341" s="80" t="s">
        <v>957</v>
      </c>
      <c r="C341" s="80" t="s">
        <v>958</v>
      </c>
      <c r="D341" s="80" t="s">
        <v>0</v>
      </c>
      <c r="E341" s="80">
        <v>68427709</v>
      </c>
      <c r="F341" s="124"/>
      <c r="G341" s="80" t="s">
        <v>758</v>
      </c>
      <c r="H341" s="80" t="s">
        <v>73</v>
      </c>
      <c r="I341" s="80" t="s">
        <v>92</v>
      </c>
      <c r="J341" s="80">
        <v>2020</v>
      </c>
      <c r="K341" s="80" t="s">
        <v>335</v>
      </c>
      <c r="L341" s="80" t="s">
        <v>959</v>
      </c>
    </row>
    <row r="342" spans="1:12" x14ac:dyDescent="0.25">
      <c r="A342" s="83">
        <v>43679</v>
      </c>
      <c r="B342" s="80" t="s">
        <v>960</v>
      </c>
      <c r="C342" s="80" t="s">
        <v>961</v>
      </c>
      <c r="D342" s="80" t="s">
        <v>0</v>
      </c>
      <c r="E342" s="80">
        <v>68427709</v>
      </c>
      <c r="F342" s="94">
        <v>39000</v>
      </c>
      <c r="G342" s="80" t="s">
        <v>72</v>
      </c>
      <c r="H342" s="80" t="s">
        <v>73</v>
      </c>
      <c r="I342" s="80" t="s">
        <v>140</v>
      </c>
      <c r="J342" s="80">
        <v>2020</v>
      </c>
      <c r="K342" s="80" t="s">
        <v>865</v>
      </c>
      <c r="L342" s="80"/>
    </row>
    <row r="343" spans="1:12" x14ac:dyDescent="0.25">
      <c r="A343" s="83">
        <v>43682</v>
      </c>
      <c r="B343" s="80" t="s">
        <v>962</v>
      </c>
      <c r="C343" s="80" t="s">
        <v>963</v>
      </c>
      <c r="D343" s="80" t="s">
        <v>0</v>
      </c>
      <c r="E343" s="80">
        <v>68427709</v>
      </c>
      <c r="F343" s="94">
        <v>100000</v>
      </c>
      <c r="G343" s="80" t="s">
        <v>72</v>
      </c>
      <c r="H343" s="80" t="s">
        <v>73</v>
      </c>
      <c r="I343" s="80" t="s">
        <v>92</v>
      </c>
      <c r="J343" s="80">
        <v>2020</v>
      </c>
      <c r="K343" s="80" t="s">
        <v>320</v>
      </c>
      <c r="L343" s="80"/>
    </row>
    <row r="344" spans="1:12" x14ac:dyDescent="0.25">
      <c r="A344" s="83">
        <v>43683</v>
      </c>
      <c r="B344" s="80" t="s">
        <v>964</v>
      </c>
      <c r="C344" s="80" t="s">
        <v>965</v>
      </c>
      <c r="D344" s="80" t="s">
        <v>311</v>
      </c>
      <c r="E344" s="80">
        <v>68427709</v>
      </c>
      <c r="F344" s="94">
        <f>135000*0.6</f>
        <v>81000</v>
      </c>
      <c r="G344" s="80" t="s">
        <v>72</v>
      </c>
      <c r="H344" s="80" t="s">
        <v>73</v>
      </c>
      <c r="I344" s="80" t="s">
        <v>92</v>
      </c>
      <c r="J344" s="80">
        <v>2020</v>
      </c>
      <c r="K344" s="80" t="s">
        <v>75</v>
      </c>
      <c r="L344" s="80"/>
    </row>
    <row r="345" spans="1:12" x14ac:dyDescent="0.25">
      <c r="A345" s="83">
        <v>43683</v>
      </c>
      <c r="B345" s="80" t="s">
        <v>563</v>
      </c>
      <c r="C345" s="80" t="s">
        <v>966</v>
      </c>
      <c r="D345" s="80" t="s">
        <v>0</v>
      </c>
      <c r="E345" s="80">
        <v>68427709</v>
      </c>
      <c r="F345" s="94">
        <v>-564609</v>
      </c>
      <c r="G345" s="80" t="s">
        <v>72</v>
      </c>
      <c r="H345" s="80" t="s">
        <v>73</v>
      </c>
      <c r="I345" s="80" t="s">
        <v>909</v>
      </c>
      <c r="J345" s="80">
        <v>2020</v>
      </c>
      <c r="K345" s="80" t="s">
        <v>268</v>
      </c>
      <c r="L345" s="80" t="s">
        <v>967</v>
      </c>
    </row>
    <row r="346" spans="1:12" x14ac:dyDescent="0.25">
      <c r="A346" s="83">
        <v>43683</v>
      </c>
      <c r="B346" s="80" t="s">
        <v>566</v>
      </c>
      <c r="C346" s="80" t="s">
        <v>966</v>
      </c>
      <c r="D346" s="80" t="s">
        <v>0</v>
      </c>
      <c r="E346" s="80">
        <v>68427709</v>
      </c>
      <c r="F346" s="94">
        <v>335000</v>
      </c>
      <c r="G346" s="80" t="s">
        <v>72</v>
      </c>
      <c r="H346" s="80" t="s">
        <v>73</v>
      </c>
      <c r="I346" s="80" t="s">
        <v>909</v>
      </c>
      <c r="J346" s="80">
        <v>2020</v>
      </c>
      <c r="K346" s="80" t="s">
        <v>268</v>
      </c>
      <c r="L346" s="80" t="s">
        <v>968</v>
      </c>
    </row>
    <row r="347" spans="1:12" x14ac:dyDescent="0.25">
      <c r="A347" s="83">
        <v>43683</v>
      </c>
      <c r="B347" s="80" t="s">
        <v>969</v>
      </c>
      <c r="C347" s="80" t="s">
        <v>970</v>
      </c>
      <c r="D347" s="80" t="s">
        <v>40</v>
      </c>
      <c r="E347" s="80">
        <v>68427709</v>
      </c>
      <c r="F347" s="94">
        <v>0</v>
      </c>
      <c r="G347" s="80" t="s">
        <v>72</v>
      </c>
      <c r="H347" s="80" t="s">
        <v>923</v>
      </c>
      <c r="I347" s="80" t="s">
        <v>40</v>
      </c>
      <c r="J347" s="80">
        <v>2020</v>
      </c>
      <c r="K347" s="80" t="s">
        <v>335</v>
      </c>
      <c r="L347" s="80"/>
    </row>
    <row r="348" spans="1:12" x14ac:dyDescent="0.25">
      <c r="A348" s="83">
        <v>43695</v>
      </c>
      <c r="B348" s="80" t="s">
        <v>558</v>
      </c>
      <c r="C348" s="80" t="s">
        <v>971</v>
      </c>
      <c r="D348" s="80" t="s">
        <v>0</v>
      </c>
      <c r="E348" s="80">
        <v>68427709</v>
      </c>
      <c r="F348" s="94">
        <v>-40000</v>
      </c>
      <c r="G348" s="80" t="s">
        <v>72</v>
      </c>
      <c r="H348" s="80" t="s">
        <v>73</v>
      </c>
      <c r="I348" s="80" t="s">
        <v>140</v>
      </c>
      <c r="J348" s="80">
        <v>2020</v>
      </c>
      <c r="K348" s="80" t="s">
        <v>75</v>
      </c>
      <c r="L348" s="80" t="s">
        <v>972</v>
      </c>
    </row>
    <row r="349" spans="1:12" x14ac:dyDescent="0.25">
      <c r="A349" s="83">
        <v>43696</v>
      </c>
      <c r="B349" s="80" t="s">
        <v>973</v>
      </c>
      <c r="C349" s="80" t="s">
        <v>974</v>
      </c>
      <c r="D349" s="80" t="s">
        <v>311</v>
      </c>
      <c r="E349" s="80">
        <v>68427709</v>
      </c>
      <c r="F349" s="94">
        <f>-65000*0.6</f>
        <v>-39000</v>
      </c>
      <c r="G349" s="80" t="s">
        <v>72</v>
      </c>
      <c r="H349" s="80" t="s">
        <v>73</v>
      </c>
      <c r="I349" s="80" t="s">
        <v>92</v>
      </c>
      <c r="J349" s="80">
        <v>2020</v>
      </c>
      <c r="K349" s="80" t="s">
        <v>75</v>
      </c>
      <c r="L349" s="80" t="s">
        <v>975</v>
      </c>
    </row>
    <row r="350" spans="1:12" x14ac:dyDescent="0.25">
      <c r="A350" s="83">
        <v>43696</v>
      </c>
      <c r="B350" s="80" t="s">
        <v>976</v>
      </c>
      <c r="C350" s="80" t="s">
        <v>977</v>
      </c>
      <c r="D350" s="80" t="s">
        <v>139</v>
      </c>
      <c r="E350" s="80">
        <v>68427709</v>
      </c>
      <c r="F350" s="94">
        <v>25000</v>
      </c>
      <c r="G350" s="80" t="s">
        <v>72</v>
      </c>
      <c r="H350" s="80" t="s">
        <v>73</v>
      </c>
      <c r="I350" s="80" t="s">
        <v>92</v>
      </c>
      <c r="J350" s="80">
        <v>2020</v>
      </c>
      <c r="K350" s="80" t="s">
        <v>270</v>
      </c>
      <c r="L350" s="80"/>
    </row>
    <row r="351" spans="1:12" x14ac:dyDescent="0.25">
      <c r="A351" s="83">
        <v>43696</v>
      </c>
      <c r="B351" s="80" t="s">
        <v>188</v>
      </c>
      <c r="C351" s="80" t="s">
        <v>978</v>
      </c>
      <c r="D351" s="80" t="s">
        <v>86</v>
      </c>
      <c r="E351" s="80">
        <v>68427719</v>
      </c>
      <c r="F351" s="94">
        <v>-8000</v>
      </c>
      <c r="G351" s="80" t="s">
        <v>72</v>
      </c>
      <c r="H351" s="80" t="s">
        <v>73</v>
      </c>
      <c r="I351" s="80" t="s">
        <v>140</v>
      </c>
      <c r="J351" s="80">
        <v>2020</v>
      </c>
      <c r="K351" s="80" t="s">
        <v>270</v>
      </c>
      <c r="L351" s="80" t="s">
        <v>979</v>
      </c>
    </row>
    <row r="352" spans="1:12" x14ac:dyDescent="0.25">
      <c r="A352" s="83">
        <v>43696</v>
      </c>
      <c r="B352" s="80" t="s">
        <v>980</v>
      </c>
      <c r="C352" s="80" t="s">
        <v>981</v>
      </c>
      <c r="D352" s="80" t="s">
        <v>86</v>
      </c>
      <c r="E352" s="80">
        <v>68427719</v>
      </c>
      <c r="F352" s="94">
        <v>1235000</v>
      </c>
      <c r="G352" s="80" t="s">
        <v>72</v>
      </c>
      <c r="H352" s="80" t="s">
        <v>73</v>
      </c>
      <c r="I352" s="80" t="s">
        <v>92</v>
      </c>
      <c r="J352" s="80">
        <v>2020</v>
      </c>
      <c r="K352" s="80" t="s">
        <v>982</v>
      </c>
      <c r="L352" s="93" t="s">
        <v>901</v>
      </c>
    </row>
    <row r="353" spans="1:12" x14ac:dyDescent="0.25">
      <c r="A353" s="83">
        <v>43696</v>
      </c>
      <c r="B353" s="80" t="s">
        <v>983</v>
      </c>
      <c r="C353" s="80" t="s">
        <v>981</v>
      </c>
      <c r="D353" s="80" t="s">
        <v>86</v>
      </c>
      <c r="E353" s="80">
        <v>68427719</v>
      </c>
      <c r="F353" s="94">
        <v>1285000</v>
      </c>
      <c r="G353" s="80" t="s">
        <v>72</v>
      </c>
      <c r="H353" s="80" t="s">
        <v>73</v>
      </c>
      <c r="I353" s="80" t="s">
        <v>92</v>
      </c>
      <c r="J353" s="80">
        <v>2020</v>
      </c>
      <c r="K353" s="80" t="s">
        <v>982</v>
      </c>
      <c r="L353" s="93" t="s">
        <v>901</v>
      </c>
    </row>
    <row r="354" spans="1:12" x14ac:dyDescent="0.25">
      <c r="A354" s="83">
        <v>43696</v>
      </c>
      <c r="B354" s="80" t="s">
        <v>984</v>
      </c>
      <c r="C354" s="80" t="s">
        <v>981</v>
      </c>
      <c r="D354" s="80" t="s">
        <v>86</v>
      </c>
      <c r="E354" s="80">
        <v>68427719</v>
      </c>
      <c r="F354" s="94">
        <v>1970667</v>
      </c>
      <c r="G354" s="80" t="s">
        <v>72</v>
      </c>
      <c r="H354" s="80" t="s">
        <v>73</v>
      </c>
      <c r="I354" s="80" t="s">
        <v>92</v>
      </c>
      <c r="J354" s="80">
        <v>2020</v>
      </c>
      <c r="K354" s="80" t="s">
        <v>982</v>
      </c>
      <c r="L354" s="93" t="s">
        <v>985</v>
      </c>
    </row>
    <row r="355" spans="1:12" x14ac:dyDescent="0.25">
      <c r="A355" s="83">
        <v>43696</v>
      </c>
      <c r="B355" s="80" t="s">
        <v>622</v>
      </c>
      <c r="C355" s="80" t="s">
        <v>622</v>
      </c>
      <c r="D355" s="80" t="s">
        <v>86</v>
      </c>
      <c r="E355" s="80">
        <v>68427719</v>
      </c>
      <c r="F355" s="94">
        <v>-750000</v>
      </c>
      <c r="G355" s="80" t="s">
        <v>72</v>
      </c>
      <c r="H355" s="80" t="s">
        <v>73</v>
      </c>
      <c r="I355" s="80" t="s">
        <v>92</v>
      </c>
      <c r="J355" s="80">
        <v>2020</v>
      </c>
      <c r="K355" s="80" t="s">
        <v>982</v>
      </c>
      <c r="L355" s="158" t="s">
        <v>986</v>
      </c>
    </row>
    <row r="356" spans="1:12" x14ac:dyDescent="0.25">
      <c r="A356" s="83">
        <v>43696</v>
      </c>
      <c r="B356" s="125" t="s">
        <v>987</v>
      </c>
      <c r="C356" s="125" t="s">
        <v>987</v>
      </c>
      <c r="D356" s="80" t="s">
        <v>86</v>
      </c>
      <c r="E356" s="80">
        <v>68427719</v>
      </c>
      <c r="F356" s="94">
        <v>197000</v>
      </c>
      <c r="G356" s="80" t="s">
        <v>72</v>
      </c>
      <c r="H356" s="80" t="s">
        <v>73</v>
      </c>
      <c r="I356" s="80" t="s">
        <v>92</v>
      </c>
      <c r="J356" s="80">
        <v>2020</v>
      </c>
      <c r="K356" s="80" t="s">
        <v>982</v>
      </c>
      <c r="L356" s="93" t="s">
        <v>901</v>
      </c>
    </row>
    <row r="357" spans="1:12" x14ac:dyDescent="0.25">
      <c r="A357" s="83">
        <v>43696</v>
      </c>
      <c r="B357" s="80" t="s">
        <v>988</v>
      </c>
      <c r="C357" s="80" t="s">
        <v>154</v>
      </c>
      <c r="D357" s="80" t="s">
        <v>86</v>
      </c>
      <c r="E357" s="80">
        <v>68427719</v>
      </c>
      <c r="F357" s="94">
        <v>884000</v>
      </c>
      <c r="G357" s="80" t="s">
        <v>72</v>
      </c>
      <c r="H357" s="80" t="s">
        <v>73</v>
      </c>
      <c r="I357" s="80" t="s">
        <v>140</v>
      </c>
      <c r="J357" s="80">
        <v>2020</v>
      </c>
      <c r="K357" s="80" t="s">
        <v>982</v>
      </c>
      <c r="L357" s="80"/>
    </row>
    <row r="358" spans="1:12" x14ac:dyDescent="0.25">
      <c r="A358" s="83">
        <v>43696</v>
      </c>
      <c r="B358" s="80" t="s">
        <v>989</v>
      </c>
      <c r="C358" s="80" t="s">
        <v>154</v>
      </c>
      <c r="D358" s="80" t="s">
        <v>86</v>
      </c>
      <c r="E358" s="80">
        <v>68427719</v>
      </c>
      <c r="F358" s="94">
        <v>716000</v>
      </c>
      <c r="G358" s="80" t="s">
        <v>72</v>
      </c>
      <c r="H358" s="80" t="s">
        <v>73</v>
      </c>
      <c r="I358" s="80" t="s">
        <v>140</v>
      </c>
      <c r="J358" s="80">
        <v>2020</v>
      </c>
      <c r="K358" s="80" t="s">
        <v>982</v>
      </c>
      <c r="L358" s="80"/>
    </row>
    <row r="359" spans="1:12" x14ac:dyDescent="0.25">
      <c r="A359" s="83">
        <v>43696</v>
      </c>
      <c r="B359" s="80" t="s">
        <v>242</v>
      </c>
      <c r="C359" s="80" t="s">
        <v>154</v>
      </c>
      <c r="D359" s="80" t="s">
        <v>86</v>
      </c>
      <c r="E359" s="80">
        <v>68427719</v>
      </c>
      <c r="F359" s="94">
        <v>37333</v>
      </c>
      <c r="G359" s="80" t="s">
        <v>72</v>
      </c>
      <c r="H359" s="80" t="s">
        <v>73</v>
      </c>
      <c r="I359" s="80" t="s">
        <v>140</v>
      </c>
      <c r="J359" s="80">
        <v>2020</v>
      </c>
      <c r="K359" s="80" t="s">
        <v>75</v>
      </c>
      <c r="L359" s="80" t="s">
        <v>990</v>
      </c>
    </row>
    <row r="360" spans="1:12" x14ac:dyDescent="0.25">
      <c r="A360" s="83">
        <v>43696</v>
      </c>
      <c r="B360" s="26" t="s">
        <v>991</v>
      </c>
      <c r="C360" s="80" t="s">
        <v>992</v>
      </c>
      <c r="D360" s="80" t="s">
        <v>86</v>
      </c>
      <c r="E360" s="80">
        <v>68427719</v>
      </c>
      <c r="F360" s="94">
        <v>-300000</v>
      </c>
      <c r="G360" s="80" t="s">
        <v>72</v>
      </c>
      <c r="H360" s="80" t="s">
        <v>73</v>
      </c>
      <c r="I360" s="80" t="s">
        <v>140</v>
      </c>
      <c r="J360" s="80">
        <v>2020</v>
      </c>
      <c r="K360" s="80" t="s">
        <v>982</v>
      </c>
      <c r="L360" s="80" t="s">
        <v>992</v>
      </c>
    </row>
    <row r="361" spans="1:12" x14ac:dyDescent="0.25">
      <c r="A361" s="83">
        <v>43697</v>
      </c>
      <c r="B361" s="80" t="s">
        <v>993</v>
      </c>
      <c r="C361" s="80" t="s">
        <v>994</v>
      </c>
      <c r="D361" s="80" t="s">
        <v>0</v>
      </c>
      <c r="E361" s="80">
        <v>68427709</v>
      </c>
      <c r="F361" s="94">
        <v>70000</v>
      </c>
      <c r="G361" s="80" t="s">
        <v>72</v>
      </c>
      <c r="H361" s="80" t="s">
        <v>73</v>
      </c>
      <c r="I361" s="80" t="s">
        <v>92</v>
      </c>
      <c r="J361" s="80">
        <v>2020</v>
      </c>
      <c r="K361" s="80" t="s">
        <v>320</v>
      </c>
      <c r="L361" s="80" t="s">
        <v>995</v>
      </c>
    </row>
    <row r="362" spans="1:12" x14ac:dyDescent="0.25">
      <c r="A362" s="83">
        <v>43698</v>
      </c>
      <c r="B362" s="80" t="s">
        <v>996</v>
      </c>
      <c r="C362" s="80" t="s">
        <v>997</v>
      </c>
      <c r="D362" s="80" t="s">
        <v>0</v>
      </c>
      <c r="E362" s="80">
        <v>68427709</v>
      </c>
      <c r="F362" s="94">
        <v>-2000</v>
      </c>
      <c r="G362" s="80" t="s">
        <v>72</v>
      </c>
      <c r="H362" s="80" t="s">
        <v>73</v>
      </c>
      <c r="I362" s="80" t="s">
        <v>163</v>
      </c>
      <c r="J362" s="80">
        <v>2020</v>
      </c>
      <c r="K362" s="80" t="s">
        <v>75</v>
      </c>
      <c r="L362" s="80"/>
    </row>
    <row r="363" spans="1:12" x14ac:dyDescent="0.25">
      <c r="A363" s="83">
        <v>43700</v>
      </c>
      <c r="B363" s="80" t="s">
        <v>998</v>
      </c>
      <c r="C363" s="80" t="s">
        <v>999</v>
      </c>
      <c r="D363" s="80"/>
      <c r="E363" s="80">
        <v>68427709</v>
      </c>
      <c r="F363" s="94">
        <v>50000</v>
      </c>
      <c r="G363" s="80" t="s">
        <v>72</v>
      </c>
      <c r="H363" s="80" t="s">
        <v>73</v>
      </c>
      <c r="I363" s="80" t="s">
        <v>163</v>
      </c>
      <c r="J363" s="80">
        <v>2020</v>
      </c>
      <c r="K363" s="80" t="s">
        <v>501</v>
      </c>
      <c r="L363" s="80" t="s">
        <v>1000</v>
      </c>
    </row>
    <row r="364" spans="1:12" x14ac:dyDescent="0.25">
      <c r="A364" s="83">
        <v>43698</v>
      </c>
      <c r="B364" s="80" t="s">
        <v>1001</v>
      </c>
      <c r="C364" s="80" t="s">
        <v>1002</v>
      </c>
      <c r="D364" s="80"/>
      <c r="E364" s="80">
        <v>68427709</v>
      </c>
      <c r="F364" s="94">
        <v>0</v>
      </c>
      <c r="G364" s="80" t="s">
        <v>72</v>
      </c>
      <c r="H364" s="80" t="s">
        <v>73</v>
      </c>
      <c r="I364" s="80" t="s">
        <v>163</v>
      </c>
      <c r="J364" s="80">
        <v>2020</v>
      </c>
      <c r="K364" s="80" t="s">
        <v>75</v>
      </c>
      <c r="L364" s="80" t="s">
        <v>1003</v>
      </c>
    </row>
    <row r="365" spans="1:12" x14ac:dyDescent="0.25">
      <c r="A365" s="83">
        <v>43735</v>
      </c>
      <c r="B365" s="80" t="s">
        <v>1004</v>
      </c>
      <c r="C365" s="80" t="s">
        <v>1005</v>
      </c>
      <c r="D365" s="80" t="s">
        <v>0</v>
      </c>
      <c r="E365" s="80">
        <v>68427709</v>
      </c>
      <c r="F365" s="94">
        <v>-7000</v>
      </c>
      <c r="G365" s="80" t="s">
        <v>72</v>
      </c>
      <c r="H365" s="80" t="s">
        <v>73</v>
      </c>
      <c r="I365" s="80" t="s">
        <v>163</v>
      </c>
      <c r="J365" s="80">
        <v>2020</v>
      </c>
      <c r="K365" s="80" t="s">
        <v>238</v>
      </c>
      <c r="L365" s="80" t="s">
        <v>1006</v>
      </c>
    </row>
    <row r="366" spans="1:12" x14ac:dyDescent="0.25">
      <c r="A366" s="83">
        <v>43706</v>
      </c>
      <c r="B366" s="80" t="s">
        <v>1007</v>
      </c>
      <c r="C366" s="80" t="s">
        <v>1008</v>
      </c>
      <c r="D366" s="80" t="s">
        <v>0</v>
      </c>
      <c r="E366" s="80">
        <v>68427709</v>
      </c>
      <c r="F366" s="94">
        <v>32000</v>
      </c>
      <c r="G366" s="80" t="s">
        <v>72</v>
      </c>
      <c r="H366" s="80" t="s">
        <v>73</v>
      </c>
      <c r="I366" s="80" t="s">
        <v>87</v>
      </c>
      <c r="J366" s="80">
        <v>2020</v>
      </c>
      <c r="K366" s="80" t="s">
        <v>75</v>
      </c>
      <c r="L366" s="80" t="s">
        <v>1009</v>
      </c>
    </row>
    <row r="367" spans="1:12" x14ac:dyDescent="0.25">
      <c r="A367" s="84">
        <v>43707</v>
      </c>
      <c r="B367" s="85" t="s">
        <v>1010</v>
      </c>
      <c r="C367" s="85"/>
      <c r="D367" s="85" t="s">
        <v>0</v>
      </c>
      <c r="E367" s="85">
        <v>68427709</v>
      </c>
      <c r="F367" s="124">
        <v>-34391</v>
      </c>
      <c r="G367" s="85" t="s">
        <v>72</v>
      </c>
      <c r="H367" s="85" t="s">
        <v>73</v>
      </c>
      <c r="I367" s="85" t="s">
        <v>909</v>
      </c>
      <c r="J367" s="85">
        <v>2020</v>
      </c>
      <c r="K367" s="85" t="s">
        <v>335</v>
      </c>
      <c r="L367" s="85" t="s">
        <v>1011</v>
      </c>
    </row>
    <row r="368" spans="1:12" x14ac:dyDescent="0.25">
      <c r="A368" s="83">
        <v>43718</v>
      </c>
      <c r="B368" s="80" t="s">
        <v>282</v>
      </c>
      <c r="C368" s="80" t="s">
        <v>1012</v>
      </c>
      <c r="D368" s="80"/>
      <c r="E368" s="80">
        <v>68427709</v>
      </c>
      <c r="F368" s="94">
        <v>80000</v>
      </c>
      <c r="G368" s="80" t="s">
        <v>72</v>
      </c>
      <c r="H368" s="80" t="s">
        <v>73</v>
      </c>
      <c r="I368" s="80" t="s">
        <v>163</v>
      </c>
      <c r="J368" s="80">
        <v>2021</v>
      </c>
      <c r="K368" s="80" t="s">
        <v>152</v>
      </c>
      <c r="L368" s="80" t="s">
        <v>1013</v>
      </c>
    </row>
    <row r="369" spans="1:12" x14ac:dyDescent="0.25">
      <c r="A369" s="83"/>
      <c r="B369" s="80"/>
      <c r="C369" s="80"/>
      <c r="D369" s="80"/>
      <c r="E369" s="80"/>
      <c r="F369" s="94"/>
      <c r="G369" s="80"/>
      <c r="H369" s="80"/>
      <c r="I369" s="80"/>
      <c r="J369" s="80">
        <v>2021</v>
      </c>
      <c r="K369" s="80"/>
      <c r="L369" s="80"/>
    </row>
    <row r="370" spans="1:12" x14ac:dyDescent="0.25">
      <c r="A370" s="83">
        <v>43802</v>
      </c>
      <c r="B370" s="80" t="s">
        <v>1014</v>
      </c>
      <c r="C370" s="80" t="s">
        <v>1015</v>
      </c>
      <c r="D370" s="80"/>
      <c r="E370" s="80">
        <v>68427709</v>
      </c>
      <c r="F370" s="94">
        <v>-9000</v>
      </c>
      <c r="G370" s="80" t="s">
        <v>72</v>
      </c>
      <c r="H370" s="80" t="s">
        <v>73</v>
      </c>
      <c r="I370" s="80" t="s">
        <v>163</v>
      </c>
      <c r="J370" s="80">
        <v>2021</v>
      </c>
      <c r="K370" s="80" t="s">
        <v>186</v>
      </c>
      <c r="L370" s="80" t="s">
        <v>1016</v>
      </c>
    </row>
    <row r="371" spans="1:12" x14ac:dyDescent="0.25">
      <c r="A371" s="83">
        <v>43815</v>
      </c>
      <c r="B371" s="80" t="s">
        <v>1017</v>
      </c>
      <c r="C371" s="80" t="s">
        <v>1018</v>
      </c>
      <c r="D371" s="80" t="s">
        <v>0</v>
      </c>
      <c r="E371" s="80">
        <v>68427709</v>
      </c>
      <c r="F371" s="94">
        <v>30000</v>
      </c>
      <c r="G371" s="80" t="s">
        <v>261</v>
      </c>
      <c r="H371" s="80" t="s">
        <v>73</v>
      </c>
      <c r="I371" s="80" t="s">
        <v>207</v>
      </c>
      <c r="J371" s="80">
        <v>2021</v>
      </c>
      <c r="K371" s="80" t="s">
        <v>75</v>
      </c>
      <c r="L371" s="80" t="s">
        <v>1019</v>
      </c>
    </row>
    <row r="372" spans="1:12" x14ac:dyDescent="0.25">
      <c r="A372" s="83">
        <v>43815</v>
      </c>
      <c r="B372" s="80" t="s">
        <v>1020</v>
      </c>
      <c r="C372" s="80" t="s">
        <v>1021</v>
      </c>
      <c r="D372" s="80" t="s">
        <v>0</v>
      </c>
      <c r="E372" s="80">
        <v>68427709</v>
      </c>
      <c r="F372" s="94">
        <v>-12000</v>
      </c>
      <c r="G372" s="80" t="s">
        <v>72</v>
      </c>
      <c r="H372" s="80" t="s">
        <v>73</v>
      </c>
      <c r="I372" s="80" t="s">
        <v>163</v>
      </c>
      <c r="J372" s="80">
        <v>2021</v>
      </c>
      <c r="K372" s="80" t="s">
        <v>75</v>
      </c>
      <c r="L372" s="80"/>
    </row>
    <row r="373" spans="1:12" x14ac:dyDescent="0.25">
      <c r="A373" s="83">
        <v>43817</v>
      </c>
      <c r="B373" s="80" t="s">
        <v>1022</v>
      </c>
      <c r="C373" s="80" t="s">
        <v>1023</v>
      </c>
      <c r="D373" s="80" t="s">
        <v>396</v>
      </c>
      <c r="E373" s="80">
        <v>68427709</v>
      </c>
      <c r="F373" s="94">
        <v>18700</v>
      </c>
      <c r="G373" s="80" t="s">
        <v>72</v>
      </c>
      <c r="H373" s="80" t="s">
        <v>73</v>
      </c>
      <c r="I373" s="80" t="s">
        <v>163</v>
      </c>
      <c r="J373" s="80">
        <v>2021</v>
      </c>
      <c r="K373" s="80" t="s">
        <v>1024</v>
      </c>
      <c r="L373" s="80"/>
    </row>
    <row r="374" spans="1:12" x14ac:dyDescent="0.25">
      <c r="A374" s="83">
        <v>43817</v>
      </c>
      <c r="B374" s="80" t="s">
        <v>1025</v>
      </c>
      <c r="C374" s="80" t="s">
        <v>1026</v>
      </c>
      <c r="D374" s="80" t="s">
        <v>396</v>
      </c>
      <c r="E374" s="80">
        <v>68427709</v>
      </c>
      <c r="F374" s="94">
        <v>107000</v>
      </c>
      <c r="G374" s="80" t="s">
        <v>72</v>
      </c>
      <c r="H374" s="80" t="s">
        <v>73</v>
      </c>
      <c r="I374" s="80" t="s">
        <v>163</v>
      </c>
      <c r="J374" s="80">
        <v>2021</v>
      </c>
      <c r="K374" s="80" t="s">
        <v>605</v>
      </c>
      <c r="L374" s="80"/>
    </row>
    <row r="375" spans="1:12" x14ac:dyDescent="0.25">
      <c r="A375" s="83">
        <v>43839</v>
      </c>
      <c r="B375" s="80" t="s">
        <v>1027</v>
      </c>
      <c r="C375" s="80" t="s">
        <v>1028</v>
      </c>
      <c r="D375" s="80" t="s">
        <v>0</v>
      </c>
      <c r="E375" s="80">
        <v>68427709</v>
      </c>
      <c r="F375" s="94">
        <v>41000</v>
      </c>
      <c r="G375" s="80" t="s">
        <v>1029</v>
      </c>
      <c r="H375" s="80" t="s">
        <v>73</v>
      </c>
      <c r="I375" s="80" t="s">
        <v>92</v>
      </c>
      <c r="J375" s="80">
        <v>2021</v>
      </c>
      <c r="K375" s="80" t="s">
        <v>501</v>
      </c>
      <c r="L375" s="80" t="s">
        <v>1030</v>
      </c>
    </row>
    <row r="376" spans="1:12" x14ac:dyDescent="0.25">
      <c r="A376" s="83">
        <v>43839</v>
      </c>
      <c r="B376" s="80" t="s">
        <v>1027</v>
      </c>
      <c r="C376" s="80" t="s">
        <v>1031</v>
      </c>
      <c r="D376" s="80" t="s">
        <v>0</v>
      </c>
      <c r="E376" s="80">
        <v>68427709</v>
      </c>
      <c r="F376" s="94">
        <v>37500</v>
      </c>
      <c r="G376" s="80" t="s">
        <v>72</v>
      </c>
      <c r="H376" s="80" t="s">
        <v>73</v>
      </c>
      <c r="I376" s="80" t="s">
        <v>207</v>
      </c>
      <c r="J376" s="80">
        <v>2021</v>
      </c>
      <c r="K376" s="80" t="s">
        <v>501</v>
      </c>
      <c r="L376" s="80"/>
    </row>
    <row r="377" spans="1:12" x14ac:dyDescent="0.25">
      <c r="A377" s="83">
        <v>43843</v>
      </c>
      <c r="B377" s="80" t="s">
        <v>1032</v>
      </c>
      <c r="C377" s="80"/>
      <c r="D377" s="80"/>
      <c r="E377" s="80">
        <v>68427709</v>
      </c>
      <c r="F377" s="94">
        <v>0</v>
      </c>
      <c r="G377" s="80" t="s">
        <v>1029</v>
      </c>
      <c r="H377" s="80" t="s">
        <v>73</v>
      </c>
      <c r="I377" s="80" t="s">
        <v>163</v>
      </c>
      <c r="J377" s="80">
        <v>2021</v>
      </c>
      <c r="K377" s="80" t="s">
        <v>75</v>
      </c>
      <c r="L377" s="80" t="s">
        <v>1033</v>
      </c>
    </row>
    <row r="378" spans="1:12" x14ac:dyDescent="0.25">
      <c r="A378" s="83">
        <v>43844</v>
      </c>
      <c r="B378" s="80" t="s">
        <v>1034</v>
      </c>
      <c r="C378" s="80" t="s">
        <v>1035</v>
      </c>
      <c r="D378" s="80"/>
      <c r="E378" s="80">
        <v>68427709</v>
      </c>
      <c r="F378" s="94">
        <v>20000</v>
      </c>
      <c r="G378" s="80" t="s">
        <v>72</v>
      </c>
      <c r="H378" s="80" t="s">
        <v>73</v>
      </c>
      <c r="I378" s="80" t="s">
        <v>163</v>
      </c>
      <c r="J378" s="80">
        <v>2021</v>
      </c>
      <c r="K378" s="80" t="s">
        <v>1036</v>
      </c>
      <c r="L378" s="80" t="s">
        <v>1037</v>
      </c>
    </row>
    <row r="379" spans="1:12" x14ac:dyDescent="0.25">
      <c r="A379" s="83">
        <v>43846</v>
      </c>
      <c r="B379" s="80" t="s">
        <v>1038</v>
      </c>
      <c r="C379" s="80" t="s">
        <v>1039</v>
      </c>
      <c r="D379" s="80"/>
      <c r="E379" s="80">
        <v>68427709</v>
      </c>
      <c r="F379" s="94">
        <v>135000</v>
      </c>
      <c r="G379" s="80" t="s">
        <v>261</v>
      </c>
      <c r="H379" s="80" t="s">
        <v>73</v>
      </c>
      <c r="I379" s="80" t="s">
        <v>92</v>
      </c>
      <c r="J379" s="80">
        <v>2021</v>
      </c>
      <c r="K379" s="80" t="s">
        <v>1040</v>
      </c>
      <c r="L379" s="80" t="s">
        <v>1041</v>
      </c>
    </row>
    <row r="380" spans="1:12" x14ac:dyDescent="0.25">
      <c r="A380" s="83">
        <v>43846</v>
      </c>
      <c r="B380" s="80" t="s">
        <v>1042</v>
      </c>
      <c r="C380" s="80" t="s">
        <v>1043</v>
      </c>
      <c r="D380" s="80"/>
      <c r="E380" s="80">
        <v>68427709</v>
      </c>
      <c r="F380" s="94">
        <v>0</v>
      </c>
      <c r="G380" s="80" t="s">
        <v>72</v>
      </c>
      <c r="H380" s="80" t="s">
        <v>73</v>
      </c>
      <c r="I380" s="80" t="s">
        <v>92</v>
      </c>
      <c r="J380" s="80">
        <v>2021</v>
      </c>
      <c r="K380" s="80" t="s">
        <v>75</v>
      </c>
      <c r="L380" s="80" t="s">
        <v>1044</v>
      </c>
    </row>
    <row r="381" spans="1:12" x14ac:dyDescent="0.25">
      <c r="A381" s="83">
        <v>43858</v>
      </c>
      <c r="B381" s="80" t="s">
        <v>1045</v>
      </c>
      <c r="C381" s="80" t="s">
        <v>1046</v>
      </c>
      <c r="D381" s="80" t="s">
        <v>0</v>
      </c>
      <c r="E381" s="80">
        <v>68427709</v>
      </c>
      <c r="F381" s="94">
        <v>200000</v>
      </c>
      <c r="G381" s="80" t="s">
        <v>72</v>
      </c>
      <c r="H381" s="80" t="s">
        <v>73</v>
      </c>
      <c r="I381" s="80" t="s">
        <v>92</v>
      </c>
      <c r="J381" s="80">
        <v>2021</v>
      </c>
      <c r="K381" s="80" t="s">
        <v>320</v>
      </c>
      <c r="L381" s="80" t="s">
        <v>1047</v>
      </c>
    </row>
    <row r="382" spans="1:12" x14ac:dyDescent="0.25">
      <c r="A382" s="83">
        <v>43858</v>
      </c>
      <c r="B382" s="80" t="s">
        <v>1048</v>
      </c>
      <c r="C382" s="80" t="s">
        <v>1049</v>
      </c>
      <c r="D382" s="80"/>
      <c r="E382" s="80">
        <v>68427709</v>
      </c>
      <c r="F382" s="94">
        <v>22200</v>
      </c>
      <c r="G382" s="80" t="s">
        <v>72</v>
      </c>
      <c r="H382" s="80" t="s">
        <v>73</v>
      </c>
      <c r="I382" s="80" t="s">
        <v>163</v>
      </c>
      <c r="J382" s="80">
        <v>2021</v>
      </c>
      <c r="K382" s="80" t="s">
        <v>238</v>
      </c>
      <c r="L382" s="80" t="s">
        <v>1050</v>
      </c>
    </row>
    <row r="383" spans="1:12" x14ac:dyDescent="0.25">
      <c r="A383" s="83">
        <v>43879</v>
      </c>
      <c r="B383" s="80" t="s">
        <v>1051</v>
      </c>
      <c r="C383" s="80" t="s">
        <v>1052</v>
      </c>
      <c r="D383" s="80" t="s">
        <v>0</v>
      </c>
      <c r="E383" s="80">
        <v>68427709</v>
      </c>
      <c r="F383" s="94">
        <v>84000</v>
      </c>
      <c r="G383" s="80" t="s">
        <v>72</v>
      </c>
      <c r="H383" s="80" t="s">
        <v>73</v>
      </c>
      <c r="I383" s="80" t="s">
        <v>163</v>
      </c>
      <c r="J383" s="80">
        <v>2021</v>
      </c>
      <c r="K383" s="80" t="s">
        <v>1053</v>
      </c>
      <c r="L383" s="80"/>
    </row>
    <row r="384" spans="1:12" x14ac:dyDescent="0.25">
      <c r="A384" s="83">
        <v>43879</v>
      </c>
      <c r="B384" s="80" t="s">
        <v>1054</v>
      </c>
      <c r="C384" s="80" t="s">
        <v>1055</v>
      </c>
      <c r="D384" s="80" t="s">
        <v>311</v>
      </c>
      <c r="E384" s="80">
        <v>68427709</v>
      </c>
      <c r="F384" s="94">
        <v>128000</v>
      </c>
      <c r="G384" s="80" t="s">
        <v>72</v>
      </c>
      <c r="H384" s="80" t="s">
        <v>73</v>
      </c>
      <c r="I384" s="80" t="s">
        <v>92</v>
      </c>
      <c r="J384" s="80">
        <v>2021</v>
      </c>
      <c r="K384" s="80" t="s">
        <v>75</v>
      </c>
      <c r="L384" s="80"/>
    </row>
    <row r="385" spans="1:12" x14ac:dyDescent="0.25">
      <c r="A385" s="83">
        <v>43882</v>
      </c>
      <c r="B385" s="80" t="s">
        <v>1056</v>
      </c>
      <c r="C385" s="80" t="s">
        <v>1057</v>
      </c>
      <c r="D385" s="80"/>
      <c r="E385" s="80">
        <v>68427709</v>
      </c>
      <c r="F385" s="94">
        <v>8000</v>
      </c>
      <c r="G385" s="80" t="s">
        <v>72</v>
      </c>
      <c r="H385" s="80" t="s">
        <v>73</v>
      </c>
      <c r="I385" s="80" t="s">
        <v>92</v>
      </c>
      <c r="J385" s="80">
        <v>2021</v>
      </c>
      <c r="K385" s="80" t="s">
        <v>795</v>
      </c>
      <c r="L385" s="80"/>
    </row>
    <row r="386" spans="1:12" x14ac:dyDescent="0.25">
      <c r="A386" s="83">
        <v>43888</v>
      </c>
      <c r="B386" s="80" t="s">
        <v>1058</v>
      </c>
      <c r="C386" s="80" t="s">
        <v>1059</v>
      </c>
      <c r="D386" s="80"/>
      <c r="E386" s="80">
        <v>68427709</v>
      </c>
      <c r="F386" s="94">
        <v>32000</v>
      </c>
      <c r="G386" s="80" t="s">
        <v>72</v>
      </c>
      <c r="H386" s="80" t="s">
        <v>73</v>
      </c>
      <c r="I386" s="80" t="s">
        <v>163</v>
      </c>
      <c r="J386" s="80">
        <v>2021</v>
      </c>
      <c r="K386" s="80" t="s">
        <v>1060</v>
      </c>
      <c r="L386" s="80" t="s">
        <v>1061</v>
      </c>
    </row>
    <row r="387" spans="1:12" x14ac:dyDescent="0.25">
      <c r="A387" s="83">
        <v>43902</v>
      </c>
      <c r="B387" s="80" t="s">
        <v>1062</v>
      </c>
      <c r="C387" s="80" t="s">
        <v>1063</v>
      </c>
      <c r="D387" s="80" t="s">
        <v>0</v>
      </c>
      <c r="E387" s="80">
        <v>68427709</v>
      </c>
      <c r="F387" s="94">
        <v>-90000</v>
      </c>
      <c r="G387" s="80" t="s">
        <v>72</v>
      </c>
      <c r="H387" s="80" t="s">
        <v>73</v>
      </c>
      <c r="I387" s="80" t="s">
        <v>163</v>
      </c>
      <c r="J387" s="80">
        <v>2021</v>
      </c>
      <c r="K387" s="80" t="s">
        <v>75</v>
      </c>
      <c r="L387" s="80"/>
    </row>
    <row r="388" spans="1:12" x14ac:dyDescent="0.25">
      <c r="A388" s="83">
        <v>43902</v>
      </c>
      <c r="B388" s="80" t="s">
        <v>1064</v>
      </c>
      <c r="C388" s="80" t="s">
        <v>1065</v>
      </c>
      <c r="D388" s="80" t="s">
        <v>0</v>
      </c>
      <c r="E388" s="80">
        <v>68427709</v>
      </c>
      <c r="F388" s="94">
        <v>-30000</v>
      </c>
      <c r="G388" s="80" t="s">
        <v>72</v>
      </c>
      <c r="H388" s="80" t="s">
        <v>73</v>
      </c>
      <c r="I388" s="80" t="s">
        <v>92</v>
      </c>
      <c r="J388" s="80">
        <v>2021</v>
      </c>
      <c r="K388" s="80" t="s">
        <v>75</v>
      </c>
      <c r="L388" s="80"/>
    </row>
    <row r="389" spans="1:12" x14ac:dyDescent="0.25">
      <c r="A389" s="83">
        <v>43874</v>
      </c>
      <c r="B389" s="80" t="s">
        <v>688</v>
      </c>
      <c r="C389" s="80" t="s">
        <v>1066</v>
      </c>
      <c r="D389" s="80" t="s">
        <v>0</v>
      </c>
      <c r="E389" s="80">
        <v>68427709</v>
      </c>
      <c r="F389" s="94">
        <v>-2600</v>
      </c>
      <c r="G389" s="80" t="s">
        <v>72</v>
      </c>
      <c r="H389" s="80" t="s">
        <v>73</v>
      </c>
      <c r="I389" s="80" t="s">
        <v>163</v>
      </c>
      <c r="J389" s="80">
        <v>2021</v>
      </c>
      <c r="K389" s="80" t="s">
        <v>75</v>
      </c>
      <c r="L389" s="80"/>
    </row>
    <row r="390" spans="1:12" x14ac:dyDescent="0.25">
      <c r="A390" s="83">
        <v>43907</v>
      </c>
      <c r="B390" s="80" t="s">
        <v>1067</v>
      </c>
      <c r="C390" s="80" t="s">
        <v>1068</v>
      </c>
      <c r="D390" s="80" t="s">
        <v>0</v>
      </c>
      <c r="E390" s="80">
        <v>68427709</v>
      </c>
      <c r="F390" s="94">
        <v>-2500</v>
      </c>
      <c r="G390" s="80" t="s">
        <v>72</v>
      </c>
      <c r="H390" s="80" t="s">
        <v>73</v>
      </c>
      <c r="I390" s="80" t="s">
        <v>163</v>
      </c>
      <c r="J390" s="80">
        <v>2021</v>
      </c>
      <c r="K390" s="80" t="s">
        <v>1060</v>
      </c>
      <c r="L390" s="80"/>
    </row>
    <row r="391" spans="1:12" ht="15" customHeight="1" x14ac:dyDescent="0.25">
      <c r="A391" s="83">
        <v>43913</v>
      </c>
      <c r="B391" s="80" t="s">
        <v>1069</v>
      </c>
      <c r="C391" s="80" t="s">
        <v>1070</v>
      </c>
      <c r="D391" s="80" t="s">
        <v>1069</v>
      </c>
      <c r="E391" s="80">
        <v>68427709</v>
      </c>
      <c r="F391" s="94">
        <v>65000</v>
      </c>
      <c r="G391" s="80" t="s">
        <v>72</v>
      </c>
      <c r="H391" s="80" t="s">
        <v>73</v>
      </c>
      <c r="I391" s="80" t="s">
        <v>163</v>
      </c>
      <c r="J391" s="80">
        <v>2021</v>
      </c>
      <c r="K391" s="80" t="s">
        <v>514</v>
      </c>
      <c r="L391" s="80" t="s">
        <v>1071</v>
      </c>
    </row>
    <row r="392" spans="1:12" x14ac:dyDescent="0.25">
      <c r="A392" s="83">
        <v>43916</v>
      </c>
      <c r="B392" s="80" t="s">
        <v>242</v>
      </c>
      <c r="C392" s="80" t="s">
        <v>1072</v>
      </c>
      <c r="D392" s="80" t="s">
        <v>242</v>
      </c>
      <c r="E392" s="80">
        <v>68427719</v>
      </c>
      <c r="F392" s="94">
        <v>-64000</v>
      </c>
      <c r="G392" s="80" t="s">
        <v>72</v>
      </c>
      <c r="H392" s="80" t="s">
        <v>73</v>
      </c>
      <c r="I392" s="80" t="s">
        <v>163</v>
      </c>
      <c r="J392" s="80">
        <v>2021</v>
      </c>
      <c r="K392" s="80" t="s">
        <v>75</v>
      </c>
      <c r="L392" s="80"/>
    </row>
    <row r="393" spans="1:12" x14ac:dyDescent="0.25">
      <c r="A393" s="83">
        <v>43920</v>
      </c>
      <c r="B393" s="80" t="s">
        <v>1073</v>
      </c>
      <c r="C393" s="80" t="s">
        <v>1074</v>
      </c>
      <c r="D393" s="80" t="s">
        <v>396</v>
      </c>
      <c r="E393" s="80">
        <v>68427709</v>
      </c>
      <c r="F393" s="94">
        <v>29000</v>
      </c>
      <c r="G393" s="80" t="s">
        <v>72</v>
      </c>
      <c r="H393" s="80" t="s">
        <v>73</v>
      </c>
      <c r="I393" s="80" t="s">
        <v>92</v>
      </c>
      <c r="J393" s="80">
        <v>2021</v>
      </c>
      <c r="K393" s="80" t="s">
        <v>75</v>
      </c>
      <c r="L393" s="80"/>
    </row>
    <row r="394" spans="1:12" x14ac:dyDescent="0.25">
      <c r="A394" s="83">
        <v>43921</v>
      </c>
      <c r="B394" s="80" t="s">
        <v>1075</v>
      </c>
      <c r="C394" s="80" t="s">
        <v>1076</v>
      </c>
      <c r="D394" s="80" t="s">
        <v>139</v>
      </c>
      <c r="E394" s="80">
        <v>68427709</v>
      </c>
      <c r="F394" s="94">
        <v>21000</v>
      </c>
      <c r="G394" s="80" t="s">
        <v>72</v>
      </c>
      <c r="H394" s="80" t="s">
        <v>73</v>
      </c>
      <c r="I394" s="80" t="s">
        <v>163</v>
      </c>
      <c r="J394" s="80">
        <v>2021</v>
      </c>
      <c r="K394" s="80" t="s">
        <v>270</v>
      </c>
      <c r="L394" s="80"/>
    </row>
    <row r="395" spans="1:12" x14ac:dyDescent="0.25">
      <c r="A395" s="83">
        <v>43923</v>
      </c>
      <c r="B395" s="80" t="s">
        <v>1077</v>
      </c>
      <c r="C395" s="80"/>
      <c r="D395" s="80" t="s">
        <v>0</v>
      </c>
      <c r="E395" s="80">
        <v>68427709</v>
      </c>
      <c r="F395" s="94">
        <v>0</v>
      </c>
      <c r="G395" s="80" t="s">
        <v>72</v>
      </c>
      <c r="H395" s="80" t="s">
        <v>73</v>
      </c>
      <c r="I395" s="80" t="s">
        <v>92</v>
      </c>
      <c r="J395" s="80">
        <v>2021</v>
      </c>
      <c r="K395" s="80" t="s">
        <v>75</v>
      </c>
      <c r="L395" s="80" t="s">
        <v>1078</v>
      </c>
    </row>
    <row r="396" spans="1:12" x14ac:dyDescent="0.25">
      <c r="A396" s="83">
        <v>43923</v>
      </c>
      <c r="B396" s="80" t="s">
        <v>1079</v>
      </c>
      <c r="C396" s="80" t="s">
        <v>1080</v>
      </c>
      <c r="D396" s="80" t="s">
        <v>1081</v>
      </c>
      <c r="E396" s="80">
        <v>68427709</v>
      </c>
      <c r="F396" s="94">
        <v>0</v>
      </c>
      <c r="G396" s="80" t="s">
        <v>72</v>
      </c>
      <c r="H396" s="80" t="s">
        <v>73</v>
      </c>
      <c r="I396" s="80" t="s">
        <v>1082</v>
      </c>
      <c r="J396" s="80">
        <v>2021</v>
      </c>
      <c r="K396" s="80" t="s">
        <v>75</v>
      </c>
      <c r="L396" s="80"/>
    </row>
    <row r="397" spans="1:12" x14ac:dyDescent="0.25">
      <c r="A397" s="83">
        <v>43923</v>
      </c>
      <c r="B397" s="80" t="s">
        <v>1083</v>
      </c>
      <c r="C397" s="80" t="s">
        <v>1084</v>
      </c>
      <c r="D397" s="80" t="s">
        <v>0</v>
      </c>
      <c r="E397" s="80">
        <v>68427709</v>
      </c>
      <c r="F397" s="94">
        <v>-50000</v>
      </c>
      <c r="G397" s="80" t="s">
        <v>72</v>
      </c>
      <c r="H397" s="80" t="s">
        <v>73</v>
      </c>
      <c r="I397" s="80" t="s">
        <v>163</v>
      </c>
      <c r="J397" s="80">
        <v>2021</v>
      </c>
      <c r="K397" s="80" t="s">
        <v>75</v>
      </c>
      <c r="L397" s="80" t="s">
        <v>1085</v>
      </c>
    </row>
    <row r="398" spans="1:12" x14ac:dyDescent="0.25">
      <c r="A398" s="83">
        <v>43923</v>
      </c>
      <c r="B398" s="80" t="s">
        <v>1086</v>
      </c>
      <c r="C398" s="80" t="s">
        <v>1087</v>
      </c>
      <c r="D398" s="80" t="s">
        <v>0</v>
      </c>
      <c r="E398" s="80">
        <v>68427709</v>
      </c>
      <c r="F398" s="94">
        <v>-100000</v>
      </c>
      <c r="G398" s="80" t="s">
        <v>72</v>
      </c>
      <c r="H398" s="80" t="s">
        <v>73</v>
      </c>
      <c r="I398" s="80" t="s">
        <v>92</v>
      </c>
      <c r="J398" s="80">
        <v>2021</v>
      </c>
      <c r="K398" s="80" t="s">
        <v>75</v>
      </c>
      <c r="L398" s="80" t="s">
        <v>1088</v>
      </c>
    </row>
    <row r="399" spans="1:12" x14ac:dyDescent="0.25">
      <c r="A399" s="83">
        <v>43935</v>
      </c>
      <c r="B399" s="80" t="s">
        <v>1089</v>
      </c>
      <c r="C399" s="80" t="s">
        <v>1090</v>
      </c>
      <c r="D399" s="80" t="s">
        <v>0</v>
      </c>
      <c r="E399" s="80">
        <v>68427709</v>
      </c>
      <c r="F399" s="94">
        <v>160000</v>
      </c>
      <c r="G399" s="80" t="s">
        <v>261</v>
      </c>
      <c r="H399" s="80" t="s">
        <v>73</v>
      </c>
      <c r="I399" s="80" t="s">
        <v>163</v>
      </c>
      <c r="J399" s="80">
        <v>2021</v>
      </c>
      <c r="K399" s="80" t="s">
        <v>186</v>
      </c>
      <c r="L399" s="80" t="s">
        <v>1091</v>
      </c>
    </row>
    <row r="400" spans="1:12" x14ac:dyDescent="0.25">
      <c r="A400" s="83">
        <v>43938</v>
      </c>
      <c r="B400" s="80" t="s">
        <v>1092</v>
      </c>
      <c r="C400" s="80" t="s">
        <v>1093</v>
      </c>
      <c r="D400" s="80" t="s">
        <v>0</v>
      </c>
      <c r="E400" s="80">
        <v>68427709</v>
      </c>
      <c r="F400" s="94">
        <v>24000</v>
      </c>
      <c r="G400" s="80" t="s">
        <v>72</v>
      </c>
      <c r="H400" s="80" t="s">
        <v>73</v>
      </c>
      <c r="I400" s="80" t="s">
        <v>163</v>
      </c>
      <c r="J400" s="80">
        <v>2021</v>
      </c>
      <c r="K400" s="80" t="s">
        <v>270</v>
      </c>
      <c r="L400" s="80"/>
    </row>
    <row r="401" spans="1:12" x14ac:dyDescent="0.25">
      <c r="A401" s="83">
        <v>43941</v>
      </c>
      <c r="B401" t="s">
        <v>1094</v>
      </c>
      <c r="C401" s="80" t="s">
        <v>1095</v>
      </c>
      <c r="D401" t="s">
        <v>1094</v>
      </c>
      <c r="E401" s="80">
        <v>68427709</v>
      </c>
      <c r="F401" s="94">
        <v>-2000</v>
      </c>
      <c r="G401" s="80" t="s">
        <v>72</v>
      </c>
      <c r="H401" s="80" t="s">
        <v>73</v>
      </c>
      <c r="I401" s="80" t="s">
        <v>163</v>
      </c>
      <c r="J401" s="80">
        <v>2021</v>
      </c>
      <c r="K401" s="80" t="s">
        <v>1096</v>
      </c>
      <c r="L401" s="80" t="s">
        <v>1097</v>
      </c>
    </row>
    <row r="402" spans="1:12" x14ac:dyDescent="0.25">
      <c r="A402" s="83">
        <v>43943</v>
      </c>
      <c r="B402" s="80" t="s">
        <v>1098</v>
      </c>
      <c r="C402" s="80" t="s">
        <v>1099</v>
      </c>
      <c r="D402" s="80" t="s">
        <v>870</v>
      </c>
      <c r="E402" s="80">
        <v>68427709</v>
      </c>
      <c r="F402" s="94">
        <v>-32000</v>
      </c>
      <c r="G402" s="80" t="s">
        <v>72</v>
      </c>
      <c r="H402" s="80" t="s">
        <v>73</v>
      </c>
      <c r="I402" s="80" t="s">
        <v>87</v>
      </c>
      <c r="J402" s="80">
        <v>2021</v>
      </c>
      <c r="K402" s="80" t="s">
        <v>75</v>
      </c>
      <c r="L402" s="80" t="s">
        <v>1100</v>
      </c>
    </row>
    <row r="403" spans="1:12" x14ac:dyDescent="0.25">
      <c r="A403" s="83">
        <v>43943</v>
      </c>
      <c r="B403" s="80" t="s">
        <v>1101</v>
      </c>
      <c r="C403" s="80" t="s">
        <v>166</v>
      </c>
      <c r="D403" s="80"/>
      <c r="E403" s="80">
        <v>68427709</v>
      </c>
      <c r="F403" s="94">
        <v>7000</v>
      </c>
      <c r="G403" s="80" t="s">
        <v>72</v>
      </c>
      <c r="H403" s="80" t="s">
        <v>73</v>
      </c>
      <c r="I403" s="80" t="s">
        <v>163</v>
      </c>
      <c r="J403" s="80">
        <v>2021</v>
      </c>
      <c r="K403" s="80" t="s">
        <v>736</v>
      </c>
      <c r="L403" s="80" t="s">
        <v>1102</v>
      </c>
    </row>
    <row r="404" spans="1:12" x14ac:dyDescent="0.25">
      <c r="A404" s="83">
        <v>43955</v>
      </c>
      <c r="B404" s="80" t="s">
        <v>1103</v>
      </c>
      <c r="C404" s="80" t="s">
        <v>1104</v>
      </c>
      <c r="D404" s="80" t="s">
        <v>139</v>
      </c>
      <c r="E404" s="80">
        <v>68427709</v>
      </c>
      <c r="F404" s="94">
        <v>75000</v>
      </c>
      <c r="G404" s="80" t="s">
        <v>72</v>
      </c>
      <c r="H404" s="80" t="s">
        <v>73</v>
      </c>
      <c r="I404" s="80" t="s">
        <v>163</v>
      </c>
      <c r="J404" s="80">
        <v>2021</v>
      </c>
      <c r="K404" s="80" t="s">
        <v>75</v>
      </c>
      <c r="L404" s="80" t="s">
        <v>1105</v>
      </c>
    </row>
    <row r="405" spans="1:12" x14ac:dyDescent="0.25">
      <c r="A405" s="83">
        <v>43958</v>
      </c>
      <c r="B405" s="80" t="s">
        <v>1106</v>
      </c>
      <c r="C405" s="80" t="s">
        <v>521</v>
      </c>
      <c r="D405" s="80" t="s">
        <v>1107</v>
      </c>
      <c r="E405" s="80">
        <v>68427709</v>
      </c>
      <c r="F405" s="94">
        <v>5000</v>
      </c>
      <c r="G405" s="80" t="s">
        <v>1029</v>
      </c>
      <c r="H405" s="80" t="s">
        <v>73</v>
      </c>
      <c r="I405" s="80" t="s">
        <v>163</v>
      </c>
      <c r="J405" s="80">
        <v>2021</v>
      </c>
      <c r="K405" s="80" t="s">
        <v>75</v>
      </c>
      <c r="L405" s="80" t="s">
        <v>1108</v>
      </c>
    </row>
    <row r="406" spans="1:12" x14ac:dyDescent="0.25">
      <c r="A406" s="83">
        <v>43962</v>
      </c>
      <c r="B406" s="80" t="s">
        <v>1109</v>
      </c>
      <c r="C406" s="80" t="s">
        <v>1110</v>
      </c>
      <c r="D406" s="80"/>
      <c r="E406" s="80">
        <v>68427709</v>
      </c>
      <c r="F406" s="94">
        <v>0</v>
      </c>
      <c r="G406" s="80" t="s">
        <v>72</v>
      </c>
      <c r="H406" s="80" t="s">
        <v>73</v>
      </c>
      <c r="I406" s="80" t="s">
        <v>92</v>
      </c>
      <c r="J406" s="80">
        <v>2021</v>
      </c>
      <c r="K406" s="80" t="s">
        <v>75</v>
      </c>
      <c r="L406" s="80" t="s">
        <v>1111</v>
      </c>
    </row>
    <row r="407" spans="1:12" x14ac:dyDescent="0.25">
      <c r="A407" s="83">
        <v>43964</v>
      </c>
      <c r="B407" s="80" t="s">
        <v>1112</v>
      </c>
      <c r="C407" s="80" t="s">
        <v>1113</v>
      </c>
      <c r="D407" s="80"/>
      <c r="E407" s="80">
        <v>68427709</v>
      </c>
      <c r="F407" s="94">
        <v>0</v>
      </c>
      <c r="G407" s="80" t="s">
        <v>1029</v>
      </c>
      <c r="H407" s="80" t="s">
        <v>73</v>
      </c>
      <c r="I407" s="80" t="s">
        <v>909</v>
      </c>
      <c r="J407" s="80">
        <v>2021</v>
      </c>
      <c r="K407" s="80" t="s">
        <v>331</v>
      </c>
      <c r="L407" s="80" t="s">
        <v>1114</v>
      </c>
    </row>
    <row r="408" spans="1:12" x14ac:dyDescent="0.25">
      <c r="A408" s="83">
        <v>43965</v>
      </c>
      <c r="B408" s="80" t="s">
        <v>1115</v>
      </c>
      <c r="C408" s="80"/>
      <c r="D408" s="80" t="s">
        <v>347</v>
      </c>
      <c r="E408" s="80">
        <v>68427709</v>
      </c>
      <c r="F408" s="94">
        <v>0</v>
      </c>
      <c r="G408" s="80" t="s">
        <v>1029</v>
      </c>
      <c r="H408" s="80" t="s">
        <v>73</v>
      </c>
      <c r="I408" s="80" t="s">
        <v>92</v>
      </c>
      <c r="J408" s="80">
        <v>2021</v>
      </c>
      <c r="K408" s="80" t="s">
        <v>238</v>
      </c>
      <c r="L408" s="80" t="s">
        <v>1116</v>
      </c>
    </row>
    <row r="409" spans="1:12" x14ac:dyDescent="0.25">
      <c r="A409" s="83">
        <v>43965</v>
      </c>
      <c r="B409" t="s">
        <v>1117</v>
      </c>
      <c r="C409" s="80" t="s">
        <v>1118</v>
      </c>
      <c r="D409" s="80" t="s">
        <v>503</v>
      </c>
      <c r="E409" s="80">
        <v>68427709</v>
      </c>
      <c r="F409" s="94">
        <v>-95000</v>
      </c>
      <c r="G409" s="80" t="s">
        <v>72</v>
      </c>
      <c r="H409" s="80" t="s">
        <v>73</v>
      </c>
      <c r="I409" s="80" t="s">
        <v>163</v>
      </c>
      <c r="J409" s="80">
        <v>2021</v>
      </c>
      <c r="K409" s="80" t="s">
        <v>501</v>
      </c>
      <c r="L409" s="80" t="s">
        <v>1119</v>
      </c>
    </row>
    <row r="410" spans="1:12" x14ac:dyDescent="0.25">
      <c r="A410" s="83">
        <v>43968</v>
      </c>
      <c r="B410" s="80" t="s">
        <v>1120</v>
      </c>
      <c r="C410" s="80" t="s">
        <v>1121</v>
      </c>
      <c r="D410" s="80" t="s">
        <v>77</v>
      </c>
      <c r="E410" s="80">
        <v>68427709</v>
      </c>
      <c r="F410" s="94">
        <v>-34000</v>
      </c>
      <c r="G410" s="80" t="s">
        <v>1029</v>
      </c>
      <c r="H410" s="80" t="s">
        <v>73</v>
      </c>
      <c r="I410" s="80" t="s">
        <v>163</v>
      </c>
      <c r="J410" s="80">
        <v>2021</v>
      </c>
      <c r="K410" s="80" t="s">
        <v>138</v>
      </c>
      <c r="L410" s="80" t="s">
        <v>1122</v>
      </c>
    </row>
    <row r="411" spans="1:12" x14ac:dyDescent="0.25">
      <c r="A411" s="83">
        <v>43979</v>
      </c>
      <c r="B411" s="80" t="s">
        <v>1123</v>
      </c>
      <c r="C411" s="80" t="s">
        <v>1124</v>
      </c>
      <c r="D411" s="80" t="s">
        <v>0</v>
      </c>
      <c r="E411" s="80">
        <v>68427709</v>
      </c>
      <c r="F411" s="94">
        <v>0</v>
      </c>
      <c r="G411" s="80" t="s">
        <v>1029</v>
      </c>
      <c r="H411" s="80" t="s">
        <v>73</v>
      </c>
      <c r="I411" s="80" t="s">
        <v>163</v>
      </c>
      <c r="J411" s="80">
        <v>2021</v>
      </c>
      <c r="K411" s="80" t="s">
        <v>392</v>
      </c>
      <c r="L411" s="80" t="s">
        <v>1125</v>
      </c>
    </row>
    <row r="412" spans="1:12" x14ac:dyDescent="0.25">
      <c r="A412" s="83">
        <v>43990</v>
      </c>
      <c r="B412" s="80" t="s">
        <v>1126</v>
      </c>
      <c r="C412" s="80" t="s">
        <v>1127</v>
      </c>
      <c r="D412" s="80" t="s">
        <v>311</v>
      </c>
      <c r="E412" s="80">
        <v>68427709</v>
      </c>
      <c r="F412" s="94">
        <v>-50000</v>
      </c>
      <c r="G412" s="80" t="s">
        <v>72</v>
      </c>
      <c r="H412" s="80" t="s">
        <v>73</v>
      </c>
      <c r="I412" s="80" t="s">
        <v>92</v>
      </c>
      <c r="J412" s="80">
        <v>2021</v>
      </c>
      <c r="K412" s="80" t="s">
        <v>75</v>
      </c>
      <c r="L412" s="80"/>
    </row>
    <row r="413" spans="1:12" x14ac:dyDescent="0.25">
      <c r="A413" s="83">
        <v>43990</v>
      </c>
      <c r="B413" s="80" t="s">
        <v>783</v>
      </c>
      <c r="C413" s="80"/>
      <c r="D413" s="80" t="s">
        <v>311</v>
      </c>
      <c r="E413" s="80">
        <v>68427709</v>
      </c>
      <c r="F413" s="94">
        <v>-80000</v>
      </c>
      <c r="G413" s="80" t="s">
        <v>1029</v>
      </c>
      <c r="H413" s="80" t="s">
        <v>73</v>
      </c>
      <c r="I413" s="80" t="s">
        <v>92</v>
      </c>
      <c r="J413" s="80">
        <v>2021</v>
      </c>
      <c r="K413" s="80" t="s">
        <v>75</v>
      </c>
      <c r="L413" s="80"/>
    </row>
    <row r="414" spans="1:12" x14ac:dyDescent="0.25">
      <c r="A414" s="83">
        <v>43990</v>
      </c>
      <c r="B414" s="80" t="s">
        <v>753</v>
      </c>
      <c r="C414" s="80" t="s">
        <v>1127</v>
      </c>
      <c r="D414" s="80" t="s">
        <v>311</v>
      </c>
      <c r="E414" s="80">
        <v>68427709</v>
      </c>
      <c r="F414" s="94">
        <v>-120000</v>
      </c>
      <c r="G414" s="80" t="s">
        <v>72</v>
      </c>
      <c r="H414" s="80" t="s">
        <v>73</v>
      </c>
      <c r="I414" s="80" t="s">
        <v>92</v>
      </c>
      <c r="J414" s="80">
        <v>2021</v>
      </c>
      <c r="K414" s="80" t="s">
        <v>75</v>
      </c>
      <c r="L414" s="80"/>
    </row>
    <row r="415" spans="1:12" x14ac:dyDescent="0.25">
      <c r="A415" s="83">
        <v>43990</v>
      </c>
      <c r="B415" s="80" t="s">
        <v>1128</v>
      </c>
      <c r="C415" s="80" t="s">
        <v>1129</v>
      </c>
      <c r="D415" s="80" t="s">
        <v>311</v>
      </c>
      <c r="E415" s="80">
        <v>68427709</v>
      </c>
      <c r="F415" s="94">
        <v>-75000</v>
      </c>
      <c r="G415" s="80" t="s">
        <v>72</v>
      </c>
      <c r="H415" s="80" t="s">
        <v>73</v>
      </c>
      <c r="I415" s="80" t="s">
        <v>92</v>
      </c>
      <c r="J415" s="80">
        <v>2021</v>
      </c>
      <c r="K415" s="80" t="s">
        <v>75</v>
      </c>
      <c r="L415" s="80"/>
    </row>
    <row r="416" spans="1:12" x14ac:dyDescent="0.25">
      <c r="A416" s="83">
        <v>43990</v>
      </c>
      <c r="B416" s="80" t="s">
        <v>1130</v>
      </c>
      <c r="C416" s="80" t="s">
        <v>1131</v>
      </c>
      <c r="D416" s="80" t="s">
        <v>311</v>
      </c>
      <c r="E416" s="80">
        <v>68427709</v>
      </c>
      <c r="F416" s="94">
        <v>-50000</v>
      </c>
      <c r="G416" s="80" t="s">
        <v>72</v>
      </c>
      <c r="H416" s="80" t="s">
        <v>73</v>
      </c>
      <c r="I416" s="80" t="s">
        <v>92</v>
      </c>
      <c r="J416" s="80">
        <v>2021</v>
      </c>
      <c r="K416" s="80" t="s">
        <v>75</v>
      </c>
      <c r="L416" s="80"/>
    </row>
    <row r="417" spans="1:12" x14ac:dyDescent="0.25">
      <c r="A417" s="83">
        <v>43990</v>
      </c>
      <c r="B417" s="80" t="s">
        <v>768</v>
      </c>
      <c r="C417" s="80" t="s">
        <v>1127</v>
      </c>
      <c r="D417" s="80" t="s">
        <v>311</v>
      </c>
      <c r="E417" s="80">
        <v>68427709</v>
      </c>
      <c r="F417" s="94">
        <v>-150000</v>
      </c>
      <c r="G417" s="80" t="s">
        <v>72</v>
      </c>
      <c r="H417" s="80" t="s">
        <v>73</v>
      </c>
      <c r="I417" s="80" t="s">
        <v>92</v>
      </c>
      <c r="J417" s="80">
        <v>2021</v>
      </c>
      <c r="K417" s="80" t="s">
        <v>75</v>
      </c>
      <c r="L417" s="80"/>
    </row>
    <row r="418" spans="1:12" x14ac:dyDescent="0.25">
      <c r="A418" s="83">
        <v>43990</v>
      </c>
      <c r="B418" s="80" t="s">
        <v>1132</v>
      </c>
      <c r="C418" s="80" t="s">
        <v>1133</v>
      </c>
      <c r="D418" s="80" t="s">
        <v>311</v>
      </c>
      <c r="E418" s="80">
        <v>68427709</v>
      </c>
      <c r="F418" s="94">
        <v>34000</v>
      </c>
      <c r="G418" s="80" t="s">
        <v>72</v>
      </c>
      <c r="H418" s="80" t="s">
        <v>73</v>
      </c>
      <c r="I418" s="80" t="s">
        <v>92</v>
      </c>
      <c r="J418" s="80">
        <v>2021</v>
      </c>
      <c r="K418" s="80" t="s">
        <v>75</v>
      </c>
      <c r="L418" s="80" t="s">
        <v>1134</v>
      </c>
    </row>
    <row r="419" spans="1:12" x14ac:dyDescent="0.25">
      <c r="A419" s="83">
        <v>43990</v>
      </c>
      <c r="B419" t="s">
        <v>1135</v>
      </c>
      <c r="C419" s="80" t="s">
        <v>1127</v>
      </c>
      <c r="D419" s="80" t="s">
        <v>311</v>
      </c>
      <c r="E419" s="80">
        <v>68427709</v>
      </c>
      <c r="F419" s="94">
        <v>-50000</v>
      </c>
      <c r="G419" s="80" t="s">
        <v>72</v>
      </c>
      <c r="H419" s="80" t="s">
        <v>73</v>
      </c>
      <c r="I419" s="80" t="s">
        <v>92</v>
      </c>
      <c r="J419" s="80">
        <v>2021</v>
      </c>
      <c r="K419" s="80" t="s">
        <v>75</v>
      </c>
      <c r="L419" s="80" t="s">
        <v>1136</v>
      </c>
    </row>
    <row r="420" spans="1:12" x14ac:dyDescent="0.25">
      <c r="A420" s="83">
        <v>43990</v>
      </c>
      <c r="B420" s="80" t="s">
        <v>1137</v>
      </c>
      <c r="C420" s="80" t="s">
        <v>1138</v>
      </c>
      <c r="D420" s="80" t="s">
        <v>311</v>
      </c>
      <c r="E420" s="80">
        <v>68427709</v>
      </c>
      <c r="F420" s="94">
        <v>6000</v>
      </c>
      <c r="G420" s="80" t="s">
        <v>72</v>
      </c>
      <c r="H420" s="80" t="s">
        <v>73</v>
      </c>
      <c r="I420" s="80" t="s">
        <v>92</v>
      </c>
      <c r="J420" s="80">
        <v>2021</v>
      </c>
      <c r="K420" s="80" t="s">
        <v>75</v>
      </c>
      <c r="L420" s="80" t="s">
        <v>1139</v>
      </c>
    </row>
    <row r="421" spans="1:12" x14ac:dyDescent="0.25">
      <c r="A421" s="83">
        <v>43990</v>
      </c>
      <c r="B421" s="80" t="s">
        <v>579</v>
      </c>
      <c r="C421" s="80" t="s">
        <v>1140</v>
      </c>
      <c r="D421" s="80" t="s">
        <v>311</v>
      </c>
      <c r="E421" s="80">
        <v>68427709</v>
      </c>
      <c r="F421" s="94">
        <v>-80000</v>
      </c>
      <c r="G421" s="80" t="s">
        <v>72</v>
      </c>
      <c r="H421" s="80" t="s">
        <v>73</v>
      </c>
      <c r="I421" s="80" t="s">
        <v>92</v>
      </c>
      <c r="J421" s="80">
        <v>2021</v>
      </c>
      <c r="K421" s="80" t="s">
        <v>75</v>
      </c>
      <c r="L421" s="80"/>
    </row>
    <row r="422" spans="1:12" x14ac:dyDescent="0.25">
      <c r="A422" s="83">
        <v>43990</v>
      </c>
      <c r="B422" s="80" t="s">
        <v>512</v>
      </c>
      <c r="C422" s="80" t="s">
        <v>1141</v>
      </c>
      <c r="D422" s="80" t="s">
        <v>311</v>
      </c>
      <c r="E422" s="80">
        <v>68427709</v>
      </c>
      <c r="F422" s="94">
        <v>70000</v>
      </c>
      <c r="G422" s="80" t="s">
        <v>1029</v>
      </c>
      <c r="H422" s="80" t="s">
        <v>73</v>
      </c>
      <c r="I422" s="80" t="s">
        <v>92</v>
      </c>
      <c r="J422" s="80">
        <v>2021</v>
      </c>
      <c r="K422" s="80" t="s">
        <v>514</v>
      </c>
      <c r="L422" s="80" t="s">
        <v>1142</v>
      </c>
    </row>
    <row r="423" spans="1:12" x14ac:dyDescent="0.25">
      <c r="A423" s="83">
        <v>43990</v>
      </c>
      <c r="B423" s="80" t="s">
        <v>1143</v>
      </c>
      <c r="C423" s="80" t="s">
        <v>1144</v>
      </c>
      <c r="D423" s="80" t="s">
        <v>0</v>
      </c>
      <c r="E423" s="80">
        <v>68427709</v>
      </c>
      <c r="F423" s="94">
        <f>320000-375000</f>
        <v>-55000</v>
      </c>
      <c r="G423" s="80" t="s">
        <v>72</v>
      </c>
      <c r="H423" s="80" t="s">
        <v>73</v>
      </c>
      <c r="I423" s="80" t="s">
        <v>92</v>
      </c>
      <c r="J423" s="80">
        <v>2021</v>
      </c>
      <c r="K423" s="80" t="s">
        <v>75</v>
      </c>
      <c r="L423" s="80" t="s">
        <v>1145</v>
      </c>
    </row>
    <row r="424" spans="1:12" x14ac:dyDescent="0.25">
      <c r="A424" s="83">
        <v>43990</v>
      </c>
      <c r="B424" s="80" t="s">
        <v>721</v>
      </c>
      <c r="C424" s="80" t="s">
        <v>1144</v>
      </c>
      <c r="D424" s="80" t="s">
        <v>0</v>
      </c>
      <c r="E424" s="80">
        <v>68427709</v>
      </c>
      <c r="F424" s="94">
        <v>55000</v>
      </c>
      <c r="G424" s="80" t="s">
        <v>72</v>
      </c>
      <c r="H424" s="80" t="s">
        <v>73</v>
      </c>
      <c r="I424" s="80" t="s">
        <v>92</v>
      </c>
      <c r="J424" s="80">
        <v>2021</v>
      </c>
      <c r="K424" s="80" t="s">
        <v>75</v>
      </c>
      <c r="L424" s="80" t="s">
        <v>1146</v>
      </c>
    </row>
    <row r="425" spans="1:12" x14ac:dyDescent="0.25">
      <c r="A425" s="83">
        <v>43990</v>
      </c>
      <c r="B425" t="s">
        <v>512</v>
      </c>
      <c r="C425" s="80" t="s">
        <v>1147</v>
      </c>
      <c r="D425" s="80" t="s">
        <v>814</v>
      </c>
      <c r="E425" s="80">
        <v>68427709</v>
      </c>
      <c r="F425" s="94">
        <v>-50000</v>
      </c>
      <c r="G425" s="80" t="s">
        <v>72</v>
      </c>
      <c r="H425" s="80" t="s">
        <v>73</v>
      </c>
      <c r="I425" s="80" t="s">
        <v>92</v>
      </c>
      <c r="J425" s="80">
        <v>2021</v>
      </c>
      <c r="K425" s="80" t="s">
        <v>514</v>
      </c>
      <c r="L425" s="80" t="s">
        <v>1148</v>
      </c>
    </row>
    <row r="426" spans="1:12" x14ac:dyDescent="0.25">
      <c r="A426" s="83">
        <v>43990</v>
      </c>
      <c r="B426" s="80" t="s">
        <v>1149</v>
      </c>
      <c r="C426" s="80" t="s">
        <v>1150</v>
      </c>
      <c r="D426" s="80" t="s">
        <v>420</v>
      </c>
      <c r="E426" s="80">
        <v>68427709</v>
      </c>
      <c r="F426" s="94">
        <v>96000</v>
      </c>
      <c r="G426" s="80" t="s">
        <v>72</v>
      </c>
      <c r="H426" s="80" t="s">
        <v>73</v>
      </c>
      <c r="I426" s="80" t="s">
        <v>909</v>
      </c>
      <c r="J426" s="80">
        <v>2021</v>
      </c>
      <c r="K426" s="80" t="s">
        <v>238</v>
      </c>
      <c r="L426" s="80" t="s">
        <v>1151</v>
      </c>
    </row>
    <row r="427" spans="1:12" x14ac:dyDescent="0.25">
      <c r="A427" s="83">
        <v>43990</v>
      </c>
      <c r="B427" s="80" t="s">
        <v>1152</v>
      </c>
      <c r="C427" s="80" t="s">
        <v>1153</v>
      </c>
      <c r="D427" s="80" t="s">
        <v>1152</v>
      </c>
      <c r="E427" s="80">
        <v>68427709</v>
      </c>
      <c r="F427" s="94">
        <v>15000</v>
      </c>
      <c r="G427" s="80" t="s">
        <v>72</v>
      </c>
      <c r="H427" s="80" t="s">
        <v>73</v>
      </c>
      <c r="I427" s="80" t="s">
        <v>163</v>
      </c>
      <c r="J427" s="80">
        <v>2021</v>
      </c>
      <c r="K427" s="80" t="s">
        <v>865</v>
      </c>
      <c r="L427" s="80" t="s">
        <v>1154</v>
      </c>
    </row>
    <row r="428" spans="1:12" x14ac:dyDescent="0.25">
      <c r="A428" s="83">
        <v>43990</v>
      </c>
      <c r="B428" s="80" t="s">
        <v>1155</v>
      </c>
      <c r="C428" s="80" t="s">
        <v>1156</v>
      </c>
      <c r="D428" s="80" t="s">
        <v>0</v>
      </c>
      <c r="E428" s="80">
        <v>68427709</v>
      </c>
      <c r="F428" s="94">
        <v>36000</v>
      </c>
      <c r="G428" s="80" t="s">
        <v>72</v>
      </c>
      <c r="H428" s="80" t="s">
        <v>73</v>
      </c>
      <c r="I428" s="80" t="s">
        <v>163</v>
      </c>
      <c r="J428" s="80">
        <v>2021</v>
      </c>
      <c r="K428" s="80" t="s">
        <v>197</v>
      </c>
      <c r="L428" s="80" t="s">
        <v>1157</v>
      </c>
    </row>
    <row r="429" spans="1:12" x14ac:dyDescent="0.25">
      <c r="A429" s="83">
        <v>43990</v>
      </c>
      <c r="B429" s="80" t="s">
        <v>1155</v>
      </c>
      <c r="C429" s="80" t="s">
        <v>1158</v>
      </c>
      <c r="D429" s="80" t="s">
        <v>0</v>
      </c>
      <c r="E429" s="80">
        <v>68427709</v>
      </c>
      <c r="F429" s="94">
        <v>20000</v>
      </c>
      <c r="G429" s="80" t="s">
        <v>72</v>
      </c>
      <c r="H429" s="80" t="s">
        <v>73</v>
      </c>
      <c r="I429" s="80" t="s">
        <v>92</v>
      </c>
      <c r="J429" s="80">
        <v>2021</v>
      </c>
      <c r="K429" s="80" t="s">
        <v>197</v>
      </c>
      <c r="L429" s="80" t="s">
        <v>1159</v>
      </c>
    </row>
    <row r="430" spans="1:12" x14ac:dyDescent="0.25">
      <c r="A430" s="83">
        <v>43990</v>
      </c>
      <c r="B430" s="80" t="s">
        <v>876</v>
      </c>
      <c r="C430" s="80" t="s">
        <v>1160</v>
      </c>
      <c r="D430" s="80" t="s">
        <v>0</v>
      </c>
      <c r="E430" s="80">
        <v>68427709</v>
      </c>
      <c r="F430" s="94">
        <v>-5000</v>
      </c>
      <c r="G430" s="80" t="s">
        <v>72</v>
      </c>
      <c r="H430" s="80" t="s">
        <v>73</v>
      </c>
      <c r="I430" s="80" t="s">
        <v>92</v>
      </c>
      <c r="J430" s="80">
        <v>2021</v>
      </c>
      <c r="K430" s="80" t="s">
        <v>75</v>
      </c>
      <c r="L430" s="80" t="s">
        <v>1161</v>
      </c>
    </row>
    <row r="431" spans="1:12" x14ac:dyDescent="0.25">
      <c r="A431" s="83">
        <v>43990</v>
      </c>
      <c r="B431" s="80" t="s">
        <v>1162</v>
      </c>
      <c r="C431" s="80" t="s">
        <v>1163</v>
      </c>
      <c r="D431" s="80" t="s">
        <v>420</v>
      </c>
      <c r="E431" s="80">
        <v>68427709</v>
      </c>
      <c r="F431" s="94">
        <v>0</v>
      </c>
      <c r="G431" s="80" t="s">
        <v>1029</v>
      </c>
      <c r="H431" s="80" t="s">
        <v>73</v>
      </c>
      <c r="I431" s="80" t="s">
        <v>909</v>
      </c>
      <c r="J431" s="80">
        <v>2021</v>
      </c>
      <c r="K431" s="80" t="s">
        <v>1164</v>
      </c>
      <c r="L431" s="80" t="s">
        <v>1165</v>
      </c>
    </row>
    <row r="432" spans="1:12" x14ac:dyDescent="0.25">
      <c r="A432" s="83">
        <v>43990</v>
      </c>
      <c r="B432" s="80" t="s">
        <v>1166</v>
      </c>
      <c r="C432" s="80" t="s">
        <v>1167</v>
      </c>
      <c r="D432" s="80" t="s">
        <v>0</v>
      </c>
      <c r="E432" s="80">
        <v>68427709</v>
      </c>
      <c r="F432" s="94">
        <v>50000</v>
      </c>
      <c r="G432" s="80" t="s">
        <v>72</v>
      </c>
      <c r="H432" s="80" t="s">
        <v>73</v>
      </c>
      <c r="I432" s="80" t="s">
        <v>163</v>
      </c>
      <c r="J432" s="80">
        <v>2021</v>
      </c>
      <c r="K432" s="80" t="s">
        <v>865</v>
      </c>
      <c r="L432" t="s">
        <v>1168</v>
      </c>
    </row>
    <row r="433" spans="1:12" x14ac:dyDescent="0.25">
      <c r="A433" s="83">
        <v>43990</v>
      </c>
      <c r="B433" s="80" t="s">
        <v>1169</v>
      </c>
      <c r="C433" s="80" t="s">
        <v>1170</v>
      </c>
      <c r="D433" s="80"/>
      <c r="E433" s="80">
        <v>68427709</v>
      </c>
      <c r="F433" s="94">
        <v>-2000</v>
      </c>
      <c r="G433" s="80" t="s">
        <v>72</v>
      </c>
      <c r="H433" s="80" t="s">
        <v>73</v>
      </c>
      <c r="I433" s="80" t="s">
        <v>163</v>
      </c>
      <c r="J433" s="80">
        <v>2021</v>
      </c>
      <c r="K433" s="80" t="s">
        <v>211</v>
      </c>
      <c r="L433" s="80"/>
    </row>
    <row r="434" spans="1:12" x14ac:dyDescent="0.25">
      <c r="A434" s="83">
        <v>43990</v>
      </c>
      <c r="B434" s="80" t="s">
        <v>1171</v>
      </c>
      <c r="C434" s="80" t="s">
        <v>1172</v>
      </c>
      <c r="D434" s="80" t="s">
        <v>0</v>
      </c>
      <c r="E434" s="80">
        <v>68427709</v>
      </c>
      <c r="F434" s="94">
        <v>-4000</v>
      </c>
      <c r="G434" s="80" t="s">
        <v>72</v>
      </c>
      <c r="H434" s="80" t="s">
        <v>73</v>
      </c>
      <c r="I434" s="80" t="s">
        <v>92</v>
      </c>
      <c r="J434" s="80">
        <v>2021</v>
      </c>
      <c r="K434" s="80" t="s">
        <v>138</v>
      </c>
      <c r="L434" s="80" t="s">
        <v>1173</v>
      </c>
    </row>
    <row r="435" spans="1:12" x14ac:dyDescent="0.25">
      <c r="A435" s="83">
        <v>43992</v>
      </c>
      <c r="B435" s="80" t="s">
        <v>15</v>
      </c>
      <c r="C435" s="80" t="s">
        <v>1174</v>
      </c>
      <c r="D435" s="80" t="s">
        <v>0</v>
      </c>
      <c r="E435" s="80">
        <v>68427709</v>
      </c>
      <c r="F435" s="94">
        <v>0</v>
      </c>
      <c r="G435" s="80" t="s">
        <v>72</v>
      </c>
      <c r="H435" s="80" t="s">
        <v>73</v>
      </c>
      <c r="I435" s="80" t="s">
        <v>92</v>
      </c>
      <c r="J435" s="80">
        <v>2021</v>
      </c>
      <c r="K435" s="80" t="s">
        <v>1164</v>
      </c>
      <c r="L435" s="80" t="s">
        <v>1175</v>
      </c>
    </row>
    <row r="436" spans="1:12" x14ac:dyDescent="0.25">
      <c r="A436" s="83">
        <v>43992</v>
      </c>
      <c r="B436" s="80" t="s">
        <v>1176</v>
      </c>
      <c r="C436" s="80" t="s">
        <v>1177</v>
      </c>
      <c r="D436" s="80" t="s">
        <v>517</v>
      </c>
      <c r="E436" s="80">
        <v>68427709</v>
      </c>
      <c r="F436" s="94"/>
      <c r="G436" s="80" t="s">
        <v>758</v>
      </c>
      <c r="H436" s="80" t="s">
        <v>73</v>
      </c>
      <c r="I436" s="80" t="s">
        <v>163</v>
      </c>
      <c r="J436" s="80">
        <v>2021</v>
      </c>
      <c r="K436" s="80" t="s">
        <v>1164</v>
      </c>
      <c r="L436" s="80"/>
    </row>
    <row r="437" spans="1:12" x14ac:dyDescent="0.25">
      <c r="A437" s="83">
        <v>43992</v>
      </c>
      <c r="B437" s="80" t="s">
        <v>1178</v>
      </c>
      <c r="C437" t="s">
        <v>600</v>
      </c>
      <c r="D437" s="80" t="s">
        <v>40</v>
      </c>
      <c r="E437" s="80">
        <v>68427709</v>
      </c>
      <c r="F437" s="94">
        <v>0</v>
      </c>
      <c r="G437" s="80" t="s">
        <v>72</v>
      </c>
      <c r="H437" s="80" t="s">
        <v>73</v>
      </c>
      <c r="I437" s="80" t="s">
        <v>1082</v>
      </c>
      <c r="J437" s="80">
        <v>2021</v>
      </c>
      <c r="K437" s="80" t="s">
        <v>1164</v>
      </c>
      <c r="L437" s="80" t="s">
        <v>1179</v>
      </c>
    </row>
    <row r="438" spans="1:12" x14ac:dyDescent="0.25">
      <c r="A438" s="83">
        <v>43992</v>
      </c>
      <c r="B438" s="80" t="s">
        <v>1178</v>
      </c>
      <c r="C438" t="s">
        <v>1180</v>
      </c>
      <c r="D438" s="80" t="s">
        <v>40</v>
      </c>
      <c r="E438" s="80">
        <v>68427709</v>
      </c>
      <c r="F438" s="94">
        <v>0</v>
      </c>
      <c r="G438" s="80" t="s">
        <v>72</v>
      </c>
      <c r="H438" s="80" t="s">
        <v>73</v>
      </c>
      <c r="I438" s="80" t="s">
        <v>1082</v>
      </c>
      <c r="J438" s="80">
        <v>2021</v>
      </c>
      <c r="K438" s="80" t="s">
        <v>1164</v>
      </c>
      <c r="L438" s="80" t="s">
        <v>1179</v>
      </c>
    </row>
    <row r="439" spans="1:12" x14ac:dyDescent="0.25">
      <c r="A439" s="83">
        <v>43992</v>
      </c>
      <c r="B439" s="80" t="s">
        <v>1178</v>
      </c>
      <c r="C439" t="s">
        <v>1181</v>
      </c>
      <c r="D439" s="80" t="s">
        <v>40</v>
      </c>
      <c r="E439" s="80">
        <v>68427709</v>
      </c>
      <c r="F439" s="94">
        <v>0</v>
      </c>
      <c r="G439" s="80" t="s">
        <v>72</v>
      </c>
      <c r="H439" s="80" t="s">
        <v>73</v>
      </c>
      <c r="I439" s="80" t="s">
        <v>1082</v>
      </c>
      <c r="J439" s="80">
        <v>2021</v>
      </c>
      <c r="K439" s="80" t="s">
        <v>1164</v>
      </c>
      <c r="L439" s="80" t="s">
        <v>1179</v>
      </c>
    </row>
    <row r="440" spans="1:12" x14ac:dyDescent="0.25">
      <c r="A440" s="83">
        <v>43992</v>
      </c>
      <c r="B440" s="80" t="s">
        <v>1182</v>
      </c>
      <c r="C440" s="80" t="s">
        <v>1183</v>
      </c>
      <c r="D440" s="80" t="s">
        <v>396</v>
      </c>
      <c r="E440" s="80">
        <v>68427709</v>
      </c>
      <c r="F440" s="94">
        <v>0</v>
      </c>
      <c r="G440" s="80" t="s">
        <v>72</v>
      </c>
      <c r="H440" s="80" t="s">
        <v>73</v>
      </c>
      <c r="I440" s="80" t="s">
        <v>163</v>
      </c>
      <c r="J440" s="80">
        <v>2021</v>
      </c>
      <c r="K440" s="80" t="s">
        <v>75</v>
      </c>
      <c r="L440" s="80" t="s">
        <v>1184</v>
      </c>
    </row>
    <row r="441" spans="1:12" x14ac:dyDescent="0.25">
      <c r="A441" s="83">
        <v>44000</v>
      </c>
      <c r="B441" s="80" t="s">
        <v>116</v>
      </c>
      <c r="C441" s="80" t="s">
        <v>1185</v>
      </c>
      <c r="D441" s="80" t="s">
        <v>116</v>
      </c>
      <c r="E441" s="80">
        <v>68427709</v>
      </c>
      <c r="F441" s="94">
        <v>0</v>
      </c>
      <c r="G441" s="80" t="s">
        <v>1029</v>
      </c>
      <c r="H441" s="80" t="s">
        <v>73</v>
      </c>
      <c r="I441" s="80" t="s">
        <v>92</v>
      </c>
      <c r="J441" s="80">
        <v>2021</v>
      </c>
      <c r="K441" s="80" t="s">
        <v>1186</v>
      </c>
      <c r="L441" s="80" t="s">
        <v>1187</v>
      </c>
    </row>
    <row r="442" spans="1:12" x14ac:dyDescent="0.25">
      <c r="A442" s="83">
        <v>44000</v>
      </c>
      <c r="B442" s="80" t="s">
        <v>1188</v>
      </c>
      <c r="C442" s="80" t="s">
        <v>1189</v>
      </c>
      <c r="D442" s="80" t="s">
        <v>1188</v>
      </c>
      <c r="E442" s="80">
        <v>68427709</v>
      </c>
      <c r="F442" s="94">
        <v>273840</v>
      </c>
      <c r="G442" s="80" t="s">
        <v>72</v>
      </c>
      <c r="H442" s="80" t="s">
        <v>73</v>
      </c>
      <c r="I442" s="80" t="s">
        <v>92</v>
      </c>
      <c r="J442" s="80">
        <v>2021</v>
      </c>
      <c r="K442" s="80" t="s">
        <v>1186</v>
      </c>
      <c r="L442" s="80" t="s">
        <v>1190</v>
      </c>
    </row>
    <row r="443" spans="1:12" x14ac:dyDescent="0.25">
      <c r="A443" s="83">
        <v>44000</v>
      </c>
      <c r="B443" s="80" t="s">
        <v>1191</v>
      </c>
      <c r="C443" s="80" t="s">
        <v>1192</v>
      </c>
      <c r="D443" s="80" t="s">
        <v>139</v>
      </c>
      <c r="E443" s="80">
        <v>68427709</v>
      </c>
      <c r="F443" s="94">
        <v>8100</v>
      </c>
      <c r="G443" s="80" t="s">
        <v>72</v>
      </c>
      <c r="H443" s="80" t="s">
        <v>73</v>
      </c>
      <c r="I443" s="80" t="s">
        <v>92</v>
      </c>
      <c r="J443" s="80">
        <v>2021</v>
      </c>
      <c r="K443" s="80" t="s">
        <v>665</v>
      </c>
      <c r="L443" s="80" t="s">
        <v>1193</v>
      </c>
    </row>
    <row r="444" spans="1:12" x14ac:dyDescent="0.25">
      <c r="A444" s="83">
        <v>44001</v>
      </c>
      <c r="B444" s="80" t="s">
        <v>1101</v>
      </c>
      <c r="C444" s="80" t="s">
        <v>1194</v>
      </c>
      <c r="D444" s="80" t="s">
        <v>1101</v>
      </c>
      <c r="E444" s="80">
        <v>68427709</v>
      </c>
      <c r="F444" s="94">
        <v>2000</v>
      </c>
      <c r="G444" s="80" t="s">
        <v>1029</v>
      </c>
      <c r="H444" s="80" t="s">
        <v>73</v>
      </c>
      <c r="I444" s="80" t="s">
        <v>92</v>
      </c>
      <c r="J444" s="80">
        <v>2021</v>
      </c>
      <c r="K444" s="80" t="s">
        <v>186</v>
      </c>
      <c r="L444" s="80" t="s">
        <v>1195</v>
      </c>
    </row>
    <row r="445" spans="1:12" x14ac:dyDescent="0.25">
      <c r="A445" s="83">
        <v>44006</v>
      </c>
      <c r="B445" s="80" t="s">
        <v>1196</v>
      </c>
      <c r="C445" s="80" t="s">
        <v>1197</v>
      </c>
      <c r="D445" s="80" t="s">
        <v>861</v>
      </c>
      <c r="E445" s="80">
        <v>68427709</v>
      </c>
      <c r="F445" s="94">
        <v>-32000</v>
      </c>
      <c r="G445" s="80" t="s">
        <v>72</v>
      </c>
      <c r="H445" s="80" t="s">
        <v>73</v>
      </c>
      <c r="I445" s="80" t="s">
        <v>163</v>
      </c>
      <c r="J445" s="80">
        <v>2021</v>
      </c>
      <c r="K445" s="80" t="s">
        <v>75</v>
      </c>
      <c r="L445" s="80" t="s">
        <v>1144</v>
      </c>
    </row>
    <row r="446" spans="1:12" x14ac:dyDescent="0.25">
      <c r="A446" s="83">
        <v>44006</v>
      </c>
      <c r="B446" s="80" t="s">
        <v>1198</v>
      </c>
      <c r="C446" s="80" t="s">
        <v>1199</v>
      </c>
      <c r="D446" s="80" t="s">
        <v>861</v>
      </c>
      <c r="E446" s="80">
        <v>68427709</v>
      </c>
      <c r="F446" s="94">
        <v>35000</v>
      </c>
      <c r="G446" s="80" t="s">
        <v>72</v>
      </c>
      <c r="H446" s="80" t="s">
        <v>73</v>
      </c>
      <c r="I446" s="80" t="s">
        <v>163</v>
      </c>
      <c r="J446" s="80">
        <v>2021</v>
      </c>
      <c r="K446" s="80" t="s">
        <v>75</v>
      </c>
      <c r="L446" s="80" t="s">
        <v>1200</v>
      </c>
    </row>
    <row r="447" spans="1:12" x14ac:dyDescent="0.25">
      <c r="A447" s="83">
        <v>44007</v>
      </c>
      <c r="B447" s="80" t="s">
        <v>1201</v>
      </c>
      <c r="C447" s="80" t="s">
        <v>1202</v>
      </c>
      <c r="D447" s="80" t="s">
        <v>311</v>
      </c>
      <c r="E447" s="80">
        <v>68427709</v>
      </c>
      <c r="F447" s="94">
        <v>70000</v>
      </c>
      <c r="G447" s="80" t="s">
        <v>1029</v>
      </c>
      <c r="H447" s="80" t="s">
        <v>73</v>
      </c>
      <c r="I447" s="80" t="s">
        <v>92</v>
      </c>
      <c r="J447" s="80">
        <v>2021</v>
      </c>
      <c r="K447" s="80" t="s">
        <v>736</v>
      </c>
      <c r="L447" s="80" t="s">
        <v>1203</v>
      </c>
    </row>
    <row r="448" spans="1:12" x14ac:dyDescent="0.25">
      <c r="A448" s="83">
        <v>44007</v>
      </c>
      <c r="B448" s="80" t="s">
        <v>1204</v>
      </c>
      <c r="C448" s="80" t="s">
        <v>1205</v>
      </c>
      <c r="D448" s="80" t="s">
        <v>311</v>
      </c>
      <c r="E448" s="80">
        <v>68427709</v>
      </c>
      <c r="F448" s="94">
        <v>100000</v>
      </c>
      <c r="G448" s="80" t="s">
        <v>1029</v>
      </c>
      <c r="H448" s="80" t="s">
        <v>73</v>
      </c>
      <c r="I448" s="80" t="s">
        <v>92</v>
      </c>
      <c r="J448" s="80">
        <v>2021</v>
      </c>
      <c r="K448" s="80" t="s">
        <v>736</v>
      </c>
      <c r="L448" s="80" t="s">
        <v>1206</v>
      </c>
    </row>
    <row r="449" spans="1:12" x14ac:dyDescent="0.25">
      <c r="A449" s="83">
        <v>44007</v>
      </c>
      <c r="B449" s="80" t="s">
        <v>1207</v>
      </c>
      <c r="C449" s="80" t="s">
        <v>1208</v>
      </c>
      <c r="D449" s="80" t="s">
        <v>311</v>
      </c>
      <c r="E449" s="80">
        <v>68427709</v>
      </c>
      <c r="F449" s="94">
        <v>50000</v>
      </c>
      <c r="G449" s="80" t="s">
        <v>1029</v>
      </c>
      <c r="H449" s="80" t="s">
        <v>1209</v>
      </c>
      <c r="I449" s="80" t="s">
        <v>92</v>
      </c>
      <c r="J449" s="80">
        <v>2021</v>
      </c>
      <c r="K449" s="80" t="s">
        <v>320</v>
      </c>
      <c r="L449" s="80" t="s">
        <v>1210</v>
      </c>
    </row>
    <row r="450" spans="1:12" ht="15" customHeight="1" x14ac:dyDescent="0.25">
      <c r="A450" s="83">
        <v>44011</v>
      </c>
      <c r="B450" s="80" t="s">
        <v>1211</v>
      </c>
      <c r="C450" s="80" t="s">
        <v>1212</v>
      </c>
      <c r="D450" s="80" t="s">
        <v>0</v>
      </c>
      <c r="E450" s="80">
        <v>68427709</v>
      </c>
      <c r="F450" s="94">
        <v>84000</v>
      </c>
      <c r="G450" s="80" t="s">
        <v>72</v>
      </c>
      <c r="H450" s="80" t="s">
        <v>73</v>
      </c>
      <c r="I450" s="80" t="s">
        <v>163</v>
      </c>
      <c r="J450" s="80">
        <v>2021</v>
      </c>
      <c r="K450" s="80" t="s">
        <v>320</v>
      </c>
      <c r="L450" s="80" t="s">
        <v>1213</v>
      </c>
    </row>
    <row r="451" spans="1:12" ht="15.75" customHeight="1" x14ac:dyDescent="0.25">
      <c r="A451" s="83">
        <v>44011</v>
      </c>
      <c r="B451" s="80" t="s">
        <v>1214</v>
      </c>
      <c r="C451" s="80" t="s">
        <v>1215</v>
      </c>
      <c r="D451" s="80" t="s">
        <v>422</v>
      </c>
      <c r="E451" s="80">
        <v>68427709</v>
      </c>
      <c r="F451" s="94">
        <v>-285000</v>
      </c>
      <c r="G451" s="80" t="s">
        <v>72</v>
      </c>
      <c r="H451" s="80" t="s">
        <v>73</v>
      </c>
      <c r="I451" s="80" t="s">
        <v>92</v>
      </c>
      <c r="J451" s="80">
        <v>2021</v>
      </c>
      <c r="K451" s="80" t="s">
        <v>320</v>
      </c>
      <c r="L451" s="80" t="s">
        <v>1216</v>
      </c>
    </row>
    <row r="452" spans="1:12" x14ac:dyDescent="0.25">
      <c r="A452" s="83">
        <v>44011</v>
      </c>
      <c r="B452" s="80" t="s">
        <v>1217</v>
      </c>
      <c r="C452" s="80" t="s">
        <v>1215</v>
      </c>
      <c r="D452" s="80" t="s">
        <v>422</v>
      </c>
      <c r="E452" s="80">
        <v>68427709</v>
      </c>
      <c r="F452" s="94">
        <v>-165000</v>
      </c>
      <c r="G452" s="80" t="s">
        <v>72</v>
      </c>
      <c r="H452" s="80" t="s">
        <v>73</v>
      </c>
      <c r="I452" s="80" t="s">
        <v>92</v>
      </c>
      <c r="J452" s="80">
        <v>2021</v>
      </c>
      <c r="K452" s="80" t="s">
        <v>320</v>
      </c>
      <c r="L452" s="80" t="s">
        <v>1216</v>
      </c>
    </row>
    <row r="453" spans="1:12" x14ac:dyDescent="0.25">
      <c r="A453" s="83">
        <v>44011</v>
      </c>
      <c r="B453" s="80" t="s">
        <v>1218</v>
      </c>
      <c r="C453" s="80" t="s">
        <v>1219</v>
      </c>
      <c r="D453" s="80" t="s">
        <v>1220</v>
      </c>
      <c r="E453" s="80">
        <v>68427709</v>
      </c>
      <c r="F453" s="94">
        <v>-150000</v>
      </c>
      <c r="G453" s="80" t="s">
        <v>72</v>
      </c>
      <c r="H453" s="80" t="s">
        <v>73</v>
      </c>
      <c r="I453" s="80" t="s">
        <v>92</v>
      </c>
      <c r="J453" s="80">
        <v>2021</v>
      </c>
      <c r="K453" s="80" t="s">
        <v>320</v>
      </c>
      <c r="L453" s="80" t="s">
        <v>1221</v>
      </c>
    </row>
    <row r="454" spans="1:12" x14ac:dyDescent="0.25">
      <c r="A454" s="83">
        <v>44011</v>
      </c>
      <c r="B454" s="80" t="s">
        <v>1222</v>
      </c>
      <c r="C454" s="80" t="s">
        <v>1223</v>
      </c>
      <c r="D454" s="80" t="s">
        <v>1224</v>
      </c>
      <c r="E454" s="80">
        <v>68427709</v>
      </c>
      <c r="F454" s="94">
        <v>100000</v>
      </c>
      <c r="G454" s="80" t="s">
        <v>1029</v>
      </c>
      <c r="H454" s="80" t="s">
        <v>1209</v>
      </c>
      <c r="I454" s="80" t="s">
        <v>92</v>
      </c>
      <c r="J454" s="80">
        <v>2021</v>
      </c>
      <c r="K454" s="80" t="s">
        <v>320</v>
      </c>
      <c r="L454" s="80" t="s">
        <v>762</v>
      </c>
    </row>
    <row r="455" spans="1:12" x14ac:dyDescent="0.25">
      <c r="A455" s="83">
        <v>44012</v>
      </c>
      <c r="B455" s="80" t="s">
        <v>1225</v>
      </c>
      <c r="C455" s="80" t="s">
        <v>1226</v>
      </c>
      <c r="D455" s="80" t="s">
        <v>396</v>
      </c>
      <c r="E455" s="80">
        <v>68427709</v>
      </c>
      <c r="F455" s="94">
        <v>14000</v>
      </c>
      <c r="G455" s="80" t="s">
        <v>72</v>
      </c>
      <c r="H455" s="80" t="s">
        <v>73</v>
      </c>
      <c r="I455" s="80" t="s">
        <v>163</v>
      </c>
      <c r="J455" s="80">
        <v>2021</v>
      </c>
      <c r="K455" s="80" t="s">
        <v>130</v>
      </c>
      <c r="L455" s="80"/>
    </row>
    <row r="456" spans="1:12" x14ac:dyDescent="0.25">
      <c r="A456" s="83">
        <v>44012</v>
      </c>
      <c r="B456" s="80" t="s">
        <v>1227</v>
      </c>
      <c r="C456" s="80" t="s">
        <v>1228</v>
      </c>
      <c r="D456" s="80" t="s">
        <v>1227</v>
      </c>
      <c r="E456" s="80">
        <v>68427709</v>
      </c>
      <c r="F456" s="94">
        <v>50000</v>
      </c>
      <c r="G456" s="80" t="s">
        <v>72</v>
      </c>
      <c r="H456" s="80" t="s">
        <v>73</v>
      </c>
      <c r="I456" s="80" t="s">
        <v>163</v>
      </c>
      <c r="J456" s="80">
        <v>2021</v>
      </c>
      <c r="K456" s="80" t="s">
        <v>514</v>
      </c>
      <c r="L456" s="80"/>
    </row>
    <row r="457" spans="1:12" x14ac:dyDescent="0.25">
      <c r="A457" s="83">
        <v>44012</v>
      </c>
      <c r="B457" s="80" t="s">
        <v>1229</v>
      </c>
      <c r="C457" s="80" t="s">
        <v>166</v>
      </c>
      <c r="D457" s="80" t="s">
        <v>1229</v>
      </c>
      <c r="E457" s="80">
        <v>68427709</v>
      </c>
      <c r="F457" s="94">
        <v>10000</v>
      </c>
      <c r="G457" s="80" t="s">
        <v>72</v>
      </c>
      <c r="H457" s="80" t="s">
        <v>73</v>
      </c>
      <c r="I457" s="80" t="s">
        <v>163</v>
      </c>
      <c r="J457" s="80">
        <v>2021</v>
      </c>
      <c r="K457" s="80" t="s">
        <v>514</v>
      </c>
      <c r="L457" s="80" t="s">
        <v>1230</v>
      </c>
    </row>
    <row r="458" spans="1:12" x14ac:dyDescent="0.25">
      <c r="A458" s="83">
        <v>44012</v>
      </c>
      <c r="B458" s="80" t="s">
        <v>1231</v>
      </c>
      <c r="C458" s="80" t="s">
        <v>1232</v>
      </c>
      <c r="D458" s="80" t="s">
        <v>1231</v>
      </c>
      <c r="E458" s="80">
        <v>68427709</v>
      </c>
      <c r="F458" s="94">
        <v>60000</v>
      </c>
      <c r="G458" s="80" t="s">
        <v>1029</v>
      </c>
      <c r="H458" s="80" t="s">
        <v>73</v>
      </c>
      <c r="I458" s="80" t="s">
        <v>163</v>
      </c>
      <c r="J458" s="80">
        <v>2021</v>
      </c>
      <c r="K458" s="80" t="s">
        <v>665</v>
      </c>
      <c r="L458" s="80" t="s">
        <v>1233</v>
      </c>
    </row>
    <row r="459" spans="1:12" x14ac:dyDescent="0.25">
      <c r="A459" s="83">
        <v>44012</v>
      </c>
      <c r="B459" s="80" t="s">
        <v>727</v>
      </c>
      <c r="C459" s="80" t="s">
        <v>1234</v>
      </c>
      <c r="D459" s="80" t="s">
        <v>727</v>
      </c>
      <c r="E459" s="80">
        <v>68427709</v>
      </c>
      <c r="F459" s="94">
        <v>-12000</v>
      </c>
      <c r="G459" s="80" t="s">
        <v>72</v>
      </c>
      <c r="H459" s="80" t="s">
        <v>73</v>
      </c>
      <c r="I459" s="80" t="s">
        <v>163</v>
      </c>
      <c r="J459" s="80">
        <v>2021</v>
      </c>
      <c r="K459" s="80" t="s">
        <v>736</v>
      </c>
      <c r="L459" s="80"/>
    </row>
    <row r="460" spans="1:12" x14ac:dyDescent="0.25">
      <c r="A460" s="83">
        <v>44012</v>
      </c>
      <c r="B460" s="80" t="s">
        <v>1235</v>
      </c>
      <c r="C460" s="80" t="s">
        <v>1236</v>
      </c>
      <c r="D460" s="80" t="s">
        <v>0</v>
      </c>
      <c r="E460" s="80">
        <v>68427709</v>
      </c>
      <c r="F460" s="94">
        <v>70000</v>
      </c>
      <c r="G460" s="80" t="s">
        <v>72</v>
      </c>
      <c r="H460" s="80" t="s">
        <v>73</v>
      </c>
      <c r="I460" s="80" t="s">
        <v>163</v>
      </c>
      <c r="J460" s="80">
        <v>2021</v>
      </c>
      <c r="K460" s="80" t="s">
        <v>501</v>
      </c>
      <c r="L460" s="80" t="s">
        <v>1237</v>
      </c>
    </row>
    <row r="461" spans="1:12" x14ac:dyDescent="0.25">
      <c r="A461" s="83">
        <v>44012</v>
      </c>
      <c r="B461" s="80" t="s">
        <v>1238</v>
      </c>
      <c r="C461" s="175" t="s">
        <v>1239</v>
      </c>
      <c r="D461" s="80" t="s">
        <v>861</v>
      </c>
      <c r="E461" s="80">
        <v>68427709</v>
      </c>
      <c r="F461" s="94">
        <v>-81000</v>
      </c>
      <c r="G461" s="80" t="s">
        <v>72</v>
      </c>
      <c r="H461" s="80" t="s">
        <v>73</v>
      </c>
      <c r="I461" s="80" t="s">
        <v>163</v>
      </c>
      <c r="J461" s="80">
        <v>2021</v>
      </c>
      <c r="K461" s="80" t="s">
        <v>1240</v>
      </c>
      <c r="L461" s="80" t="s">
        <v>1241</v>
      </c>
    </row>
    <row r="462" spans="1:12" x14ac:dyDescent="0.25">
      <c r="A462" s="83">
        <v>44013</v>
      </c>
      <c r="B462" s="80" t="s">
        <v>1242</v>
      </c>
      <c r="C462" s="80" t="s">
        <v>1243</v>
      </c>
      <c r="D462" s="80" t="s">
        <v>0</v>
      </c>
      <c r="E462" s="80">
        <v>68427709</v>
      </c>
      <c r="F462" s="94">
        <v>45000</v>
      </c>
      <c r="G462" s="80" t="s">
        <v>72</v>
      </c>
      <c r="H462" s="80" t="s">
        <v>73</v>
      </c>
      <c r="I462" s="80" t="s">
        <v>163</v>
      </c>
      <c r="J462" s="80">
        <v>2021</v>
      </c>
      <c r="K462" s="80" t="s">
        <v>1244</v>
      </c>
      <c r="L462" s="80" t="s">
        <v>1245</v>
      </c>
    </row>
    <row r="463" spans="1:12" x14ac:dyDescent="0.25">
      <c r="A463" s="83">
        <v>44015</v>
      </c>
      <c r="B463" s="80" t="s">
        <v>1246</v>
      </c>
      <c r="C463" s="80" t="s">
        <v>1247</v>
      </c>
      <c r="D463" s="80" t="s">
        <v>1246</v>
      </c>
      <c r="E463" s="80">
        <v>68427709</v>
      </c>
      <c r="F463" s="94">
        <v>30000</v>
      </c>
      <c r="G463" s="80" t="s">
        <v>72</v>
      </c>
      <c r="H463" s="80" t="s">
        <v>73</v>
      </c>
      <c r="I463" s="80" t="s">
        <v>163</v>
      </c>
      <c r="J463" s="80">
        <v>2021</v>
      </c>
      <c r="K463" s="80" t="s">
        <v>665</v>
      </c>
      <c r="L463" s="80"/>
    </row>
    <row r="464" spans="1:12" x14ac:dyDescent="0.25">
      <c r="A464" s="83">
        <v>44015</v>
      </c>
      <c r="B464" s="80" t="s">
        <v>1248</v>
      </c>
      <c r="C464" s="80" t="s">
        <v>1249</v>
      </c>
      <c r="D464" s="80" t="s">
        <v>396</v>
      </c>
      <c r="E464" s="80">
        <v>68427709</v>
      </c>
      <c r="F464" s="94">
        <v>-2800</v>
      </c>
      <c r="G464" s="80" t="s">
        <v>72</v>
      </c>
      <c r="H464" s="80" t="s">
        <v>73</v>
      </c>
      <c r="I464" s="80" t="s">
        <v>163</v>
      </c>
      <c r="J464" s="80">
        <v>2021</v>
      </c>
      <c r="K464" s="80" t="s">
        <v>75</v>
      </c>
      <c r="L464" s="80" t="s">
        <v>1250</v>
      </c>
    </row>
    <row r="465" spans="1:12" x14ac:dyDescent="0.25">
      <c r="A465" s="83">
        <v>44019</v>
      </c>
      <c r="B465" s="80" t="s">
        <v>1251</v>
      </c>
      <c r="C465" s="80" t="s">
        <v>1252</v>
      </c>
      <c r="D465" s="80" t="s">
        <v>1253</v>
      </c>
      <c r="E465" s="80">
        <v>68427709</v>
      </c>
      <c r="F465" s="94">
        <v>34000</v>
      </c>
      <c r="G465" s="80" t="s">
        <v>72</v>
      </c>
      <c r="H465" s="80" t="s">
        <v>73</v>
      </c>
      <c r="I465" s="80" t="s">
        <v>163</v>
      </c>
      <c r="J465" s="80">
        <v>2021</v>
      </c>
      <c r="K465" s="80" t="s">
        <v>1254</v>
      </c>
      <c r="L465" s="80" t="s">
        <v>1255</v>
      </c>
    </row>
    <row r="466" spans="1:12" x14ac:dyDescent="0.25">
      <c r="A466" s="83">
        <v>44019</v>
      </c>
      <c r="B466" s="80" t="s">
        <v>1256</v>
      </c>
      <c r="C466" s="80"/>
      <c r="D466" s="80" t="s">
        <v>396</v>
      </c>
      <c r="E466" s="80">
        <v>68427709</v>
      </c>
      <c r="F466" s="94">
        <v>10000</v>
      </c>
      <c r="G466" s="80" t="s">
        <v>1029</v>
      </c>
      <c r="H466" s="80" t="s">
        <v>73</v>
      </c>
      <c r="I466" s="80" t="s">
        <v>92</v>
      </c>
      <c r="J466" s="80">
        <v>2021</v>
      </c>
      <c r="K466" s="80" t="s">
        <v>238</v>
      </c>
      <c r="L466" s="80" t="s">
        <v>1257</v>
      </c>
    </row>
    <row r="467" spans="1:12" x14ac:dyDescent="0.25">
      <c r="A467" s="83">
        <v>44019</v>
      </c>
      <c r="B467" s="80" t="s">
        <v>1258</v>
      </c>
      <c r="C467" s="80" t="s">
        <v>1259</v>
      </c>
      <c r="D467" s="80" t="s">
        <v>396</v>
      </c>
      <c r="E467" s="80">
        <v>68427709</v>
      </c>
      <c r="F467" s="94">
        <v>-45000</v>
      </c>
      <c r="G467" s="80" t="s">
        <v>72</v>
      </c>
      <c r="H467" s="80" t="s">
        <v>73</v>
      </c>
      <c r="I467" s="80" t="s">
        <v>163</v>
      </c>
      <c r="J467" s="80">
        <v>2021</v>
      </c>
      <c r="K467" s="80" t="s">
        <v>1254</v>
      </c>
      <c r="L467" s="80"/>
    </row>
    <row r="468" spans="1:12" x14ac:dyDescent="0.25">
      <c r="A468" s="83">
        <v>44019</v>
      </c>
      <c r="B468" s="80" t="s">
        <v>1260</v>
      </c>
      <c r="C468" s="80" t="s">
        <v>1261</v>
      </c>
      <c r="D468" s="80" t="s">
        <v>396</v>
      </c>
      <c r="E468" s="80">
        <v>68427709</v>
      </c>
      <c r="F468" s="94">
        <v>30000</v>
      </c>
      <c r="G468" s="80" t="s">
        <v>72</v>
      </c>
      <c r="H468" s="80" t="s">
        <v>73</v>
      </c>
      <c r="I468" s="80" t="s">
        <v>163</v>
      </c>
      <c r="J468" s="80">
        <v>2021</v>
      </c>
      <c r="K468" s="80" t="s">
        <v>1254</v>
      </c>
      <c r="L468" s="80"/>
    </row>
    <row r="469" spans="1:12" x14ac:dyDescent="0.25">
      <c r="A469" s="83">
        <v>44020</v>
      </c>
      <c r="B469" s="96" t="s">
        <v>1262</v>
      </c>
      <c r="C469" t="s">
        <v>1263</v>
      </c>
      <c r="D469" s="80"/>
      <c r="E469" s="80">
        <v>68427709</v>
      </c>
      <c r="F469" s="94">
        <v>0</v>
      </c>
      <c r="G469" s="80" t="s">
        <v>72</v>
      </c>
      <c r="H469" s="80" t="s">
        <v>73</v>
      </c>
      <c r="I469" s="80" t="s">
        <v>92</v>
      </c>
      <c r="J469" s="80">
        <v>2021</v>
      </c>
      <c r="K469" s="80" t="s">
        <v>268</v>
      </c>
      <c r="L469" s="80" t="s">
        <v>1264</v>
      </c>
    </row>
    <row r="470" spans="1:12" x14ac:dyDescent="0.25">
      <c r="A470" s="83">
        <v>44020</v>
      </c>
      <c r="B470" s="80" t="s">
        <v>1265</v>
      </c>
      <c r="C470" s="80" t="s">
        <v>521</v>
      </c>
      <c r="D470" s="80" t="s">
        <v>1265</v>
      </c>
      <c r="E470" s="80">
        <v>68427709</v>
      </c>
      <c r="F470" s="94">
        <v>1000</v>
      </c>
      <c r="G470" s="80" t="s">
        <v>72</v>
      </c>
      <c r="H470" s="80" t="s">
        <v>73</v>
      </c>
      <c r="I470" s="80" t="s">
        <v>163</v>
      </c>
      <c r="J470" s="80">
        <v>2021</v>
      </c>
      <c r="K470" s="80" t="s">
        <v>268</v>
      </c>
      <c r="L470" s="80" t="s">
        <v>1266</v>
      </c>
    </row>
    <row r="471" spans="1:12" x14ac:dyDescent="0.25">
      <c r="A471" s="83">
        <v>44020</v>
      </c>
      <c r="B471" s="80" t="s">
        <v>209</v>
      </c>
      <c r="C471" s="80"/>
      <c r="D471" s="80"/>
      <c r="E471" s="80">
        <v>68427709</v>
      </c>
      <c r="F471" s="94">
        <v>0</v>
      </c>
      <c r="G471" s="80" t="s">
        <v>1029</v>
      </c>
      <c r="H471" s="80" t="s">
        <v>73</v>
      </c>
      <c r="I471" s="80" t="s">
        <v>163</v>
      </c>
      <c r="J471" s="80">
        <v>2021</v>
      </c>
      <c r="K471" s="80" t="s">
        <v>268</v>
      </c>
      <c r="L471" s="80"/>
    </row>
    <row r="472" spans="1:12" x14ac:dyDescent="0.25">
      <c r="A472" s="83">
        <v>44020</v>
      </c>
      <c r="B472" s="80" t="s">
        <v>542</v>
      </c>
      <c r="C472" s="80"/>
      <c r="D472" s="80" t="s">
        <v>0</v>
      </c>
      <c r="E472" s="80">
        <v>68427709</v>
      </c>
      <c r="F472" s="94">
        <v>25000</v>
      </c>
      <c r="G472" s="80" t="s">
        <v>72</v>
      </c>
      <c r="H472" s="80" t="s">
        <v>73</v>
      </c>
      <c r="I472" s="80" t="s">
        <v>163</v>
      </c>
      <c r="J472" s="80">
        <v>2021</v>
      </c>
      <c r="K472" s="80" t="s">
        <v>268</v>
      </c>
      <c r="L472" s="80" t="s">
        <v>1267</v>
      </c>
    </row>
    <row r="473" spans="1:12" x14ac:dyDescent="0.25">
      <c r="A473" s="83">
        <v>44020</v>
      </c>
      <c r="B473" t="s">
        <v>546</v>
      </c>
      <c r="C473" s="80" t="s">
        <v>1268</v>
      </c>
      <c r="D473" s="80"/>
      <c r="E473" s="80">
        <v>68427709</v>
      </c>
      <c r="F473" s="94">
        <v>33000</v>
      </c>
      <c r="G473" s="80" t="s">
        <v>72</v>
      </c>
      <c r="H473" s="80" t="s">
        <v>73</v>
      </c>
      <c r="I473" s="80" t="s">
        <v>92</v>
      </c>
      <c r="J473" s="80">
        <v>2021</v>
      </c>
      <c r="K473" s="80" t="s">
        <v>268</v>
      </c>
      <c r="L473" s="80" t="s">
        <v>1269</v>
      </c>
    </row>
    <row r="474" spans="1:12" x14ac:dyDescent="0.25">
      <c r="A474" s="83">
        <v>44020</v>
      </c>
      <c r="B474" s="80" t="s">
        <v>1270</v>
      </c>
      <c r="C474" s="80" t="s">
        <v>1271</v>
      </c>
      <c r="D474" s="80" t="s">
        <v>0</v>
      </c>
      <c r="E474" s="80">
        <v>68427709</v>
      </c>
      <c r="F474" s="94">
        <v>90000</v>
      </c>
      <c r="G474" s="80" t="s">
        <v>72</v>
      </c>
      <c r="H474" s="80" t="s">
        <v>73</v>
      </c>
      <c r="I474" s="80" t="s">
        <v>92</v>
      </c>
      <c r="J474" s="80">
        <v>2021</v>
      </c>
      <c r="K474" s="80" t="s">
        <v>268</v>
      </c>
      <c r="L474" s="80" t="s">
        <v>1272</v>
      </c>
    </row>
    <row r="475" spans="1:12" x14ac:dyDescent="0.25">
      <c r="A475" s="83">
        <v>44025</v>
      </c>
      <c r="B475" s="80" t="s">
        <v>1273</v>
      </c>
      <c r="C475" t="s">
        <v>1274</v>
      </c>
      <c r="D475" s="80" t="s">
        <v>1273</v>
      </c>
      <c r="E475" s="80">
        <v>68427709</v>
      </c>
      <c r="F475" s="176">
        <v>34600</v>
      </c>
      <c r="G475" s="80" t="s">
        <v>72</v>
      </c>
      <c r="H475" s="80" t="s">
        <v>73</v>
      </c>
      <c r="I475" s="80" t="s">
        <v>163</v>
      </c>
      <c r="J475" s="80">
        <v>2021</v>
      </c>
      <c r="K475" s="80" t="s">
        <v>238</v>
      </c>
      <c r="L475" s="80"/>
    </row>
    <row r="476" spans="1:12" ht="15" customHeight="1" x14ac:dyDescent="0.25">
      <c r="A476" s="84">
        <v>44025</v>
      </c>
      <c r="B476" s="85" t="s">
        <v>1273</v>
      </c>
      <c r="C476" s="85" t="s">
        <v>1275</v>
      </c>
      <c r="D476" s="85" t="s">
        <v>1273</v>
      </c>
      <c r="E476" s="85">
        <v>68427709</v>
      </c>
      <c r="F476" s="188">
        <v>37000</v>
      </c>
      <c r="G476" s="85" t="s">
        <v>72</v>
      </c>
      <c r="H476" s="85" t="s">
        <v>73</v>
      </c>
      <c r="I476" s="85" t="s">
        <v>92</v>
      </c>
      <c r="J476" s="85">
        <v>2021</v>
      </c>
      <c r="K476" s="85" t="s">
        <v>238</v>
      </c>
      <c r="L476" s="85"/>
    </row>
    <row r="477" spans="1:12" x14ac:dyDescent="0.25">
      <c r="A477" s="83">
        <v>44025</v>
      </c>
      <c r="B477" s="80" t="s">
        <v>1276</v>
      </c>
      <c r="C477" s="80" t="s">
        <v>1277</v>
      </c>
      <c r="D477" s="80" t="s">
        <v>1278</v>
      </c>
      <c r="E477" s="80">
        <v>68427719</v>
      </c>
      <c r="F477" s="94">
        <v>-500000</v>
      </c>
      <c r="G477" s="80" t="s">
        <v>72</v>
      </c>
      <c r="H477" s="80" t="s">
        <v>73</v>
      </c>
      <c r="I477" s="80" t="s">
        <v>92</v>
      </c>
      <c r="J477" s="80">
        <v>2021</v>
      </c>
      <c r="K477" s="80" t="s">
        <v>501</v>
      </c>
      <c r="L477" s="80" t="s">
        <v>1279</v>
      </c>
    </row>
    <row r="478" spans="1:12" x14ac:dyDescent="0.25">
      <c r="A478" s="83">
        <v>44025</v>
      </c>
      <c r="B478" s="80" t="s">
        <v>1280</v>
      </c>
      <c r="C478" s="80" t="s">
        <v>1281</v>
      </c>
      <c r="D478" s="80" t="s">
        <v>1280</v>
      </c>
      <c r="E478" s="80">
        <v>68427709</v>
      </c>
      <c r="F478" s="94">
        <v>-82000</v>
      </c>
      <c r="G478" s="80" t="s">
        <v>72</v>
      </c>
      <c r="H478" s="80" t="s">
        <v>73</v>
      </c>
      <c r="I478" s="80" t="s">
        <v>163</v>
      </c>
      <c r="J478" s="80">
        <v>2021</v>
      </c>
      <c r="K478" s="80" t="s">
        <v>865</v>
      </c>
      <c r="L478" s="80"/>
    </row>
    <row r="479" spans="1:12" x14ac:dyDescent="0.25">
      <c r="A479" s="83">
        <v>44025</v>
      </c>
      <c r="B479" s="80" t="s">
        <v>1282</v>
      </c>
      <c r="C479" s="80" t="s">
        <v>1283</v>
      </c>
      <c r="D479" s="80" t="s">
        <v>0</v>
      </c>
      <c r="E479" s="80">
        <v>68427709</v>
      </c>
      <c r="F479" s="176">
        <v>60000</v>
      </c>
      <c r="G479" s="80" t="s">
        <v>72</v>
      </c>
      <c r="H479" s="80" t="s">
        <v>73</v>
      </c>
      <c r="I479" s="80" t="s">
        <v>92</v>
      </c>
      <c r="J479" s="80">
        <v>2021</v>
      </c>
      <c r="K479" s="80" t="s">
        <v>865</v>
      </c>
      <c r="L479" s="80" t="s">
        <v>1233</v>
      </c>
    </row>
    <row r="480" spans="1:12" x14ac:dyDescent="0.25">
      <c r="A480" s="83">
        <v>44025</v>
      </c>
      <c r="B480" s="80" t="s">
        <v>1284</v>
      </c>
      <c r="C480" s="80" t="s">
        <v>1285</v>
      </c>
      <c r="D480" s="80"/>
      <c r="E480" s="80">
        <v>68427709</v>
      </c>
      <c r="F480" s="176">
        <v>50000</v>
      </c>
      <c r="G480" s="80" t="s">
        <v>72</v>
      </c>
      <c r="H480" s="80" t="s">
        <v>73</v>
      </c>
      <c r="I480" s="80" t="s">
        <v>92</v>
      </c>
      <c r="J480" s="80">
        <v>2021</v>
      </c>
      <c r="K480" s="80" t="s">
        <v>865</v>
      </c>
      <c r="L480" t="s">
        <v>1286</v>
      </c>
    </row>
    <row r="481" spans="1:12" x14ac:dyDescent="0.25">
      <c r="A481" s="83">
        <v>44025</v>
      </c>
      <c r="B481" s="80" t="s">
        <v>1287</v>
      </c>
      <c r="C481" s="80" t="s">
        <v>1288</v>
      </c>
      <c r="D481" s="80"/>
      <c r="E481" s="80">
        <v>68427709</v>
      </c>
      <c r="F481" s="94">
        <v>39000</v>
      </c>
      <c r="G481" s="80" t="s">
        <v>72</v>
      </c>
      <c r="H481" s="80" t="s">
        <v>73</v>
      </c>
      <c r="I481" s="80" t="s">
        <v>394</v>
      </c>
      <c r="J481" s="80">
        <v>2021</v>
      </c>
      <c r="K481" s="80" t="s">
        <v>197</v>
      </c>
      <c r="L481" t="s">
        <v>1289</v>
      </c>
    </row>
    <row r="482" spans="1:12" x14ac:dyDescent="0.25">
      <c r="A482" s="83">
        <v>44025</v>
      </c>
      <c r="B482" t="s">
        <v>1290</v>
      </c>
      <c r="C482" s="80" t="s">
        <v>1291</v>
      </c>
      <c r="D482" s="80"/>
      <c r="E482" s="80">
        <v>68427709</v>
      </c>
      <c r="F482" s="176">
        <v>16000</v>
      </c>
      <c r="G482" s="80" t="s">
        <v>72</v>
      </c>
      <c r="H482" s="80" t="s">
        <v>73</v>
      </c>
      <c r="I482" s="80" t="s">
        <v>92</v>
      </c>
      <c r="J482" s="80">
        <v>2021</v>
      </c>
      <c r="K482" s="80" t="s">
        <v>197</v>
      </c>
      <c r="L482" t="s">
        <v>1292</v>
      </c>
    </row>
    <row r="483" spans="1:12" x14ac:dyDescent="0.25">
      <c r="A483" s="83">
        <v>44025</v>
      </c>
      <c r="B483" s="80" t="s">
        <v>1293</v>
      </c>
      <c r="C483" s="80" t="s">
        <v>1294</v>
      </c>
      <c r="D483" s="80"/>
      <c r="E483" s="80">
        <v>68427709</v>
      </c>
      <c r="F483" s="176">
        <v>30000</v>
      </c>
      <c r="G483" s="80" t="s">
        <v>72</v>
      </c>
      <c r="H483" s="80" t="s">
        <v>73</v>
      </c>
      <c r="I483" s="80" t="s">
        <v>92</v>
      </c>
      <c r="J483" s="80">
        <v>2021</v>
      </c>
      <c r="K483" s="80" t="s">
        <v>197</v>
      </c>
      <c r="L483" t="s">
        <v>1295</v>
      </c>
    </row>
    <row r="484" spans="1:12" x14ac:dyDescent="0.25">
      <c r="A484" s="83">
        <v>44025</v>
      </c>
      <c r="B484" s="80" t="s">
        <v>1296</v>
      </c>
      <c r="C484" s="80" t="s">
        <v>1297</v>
      </c>
      <c r="D484" s="80"/>
      <c r="E484" s="80">
        <v>68427709</v>
      </c>
      <c r="F484" s="176">
        <v>50000</v>
      </c>
      <c r="G484" s="80" t="s">
        <v>1029</v>
      </c>
      <c r="H484" s="80" t="s">
        <v>73</v>
      </c>
      <c r="I484" s="80" t="s">
        <v>394</v>
      </c>
      <c r="J484" s="80">
        <v>2021</v>
      </c>
      <c r="K484" s="80" t="s">
        <v>1040</v>
      </c>
      <c r="L484" s="80" t="s">
        <v>1298</v>
      </c>
    </row>
    <row r="485" spans="1:12" x14ac:dyDescent="0.25">
      <c r="A485" s="83">
        <v>44025</v>
      </c>
      <c r="B485" s="80" t="s">
        <v>1180</v>
      </c>
      <c r="C485" s="80"/>
      <c r="D485" s="80" t="s">
        <v>40</v>
      </c>
      <c r="E485" s="80">
        <v>68427709</v>
      </c>
      <c r="F485" s="94">
        <v>-279000</v>
      </c>
      <c r="G485" s="80" t="s">
        <v>72</v>
      </c>
      <c r="H485" s="80" t="s">
        <v>73</v>
      </c>
      <c r="I485" s="80" t="s">
        <v>1082</v>
      </c>
      <c r="J485" s="80">
        <v>2021</v>
      </c>
      <c r="K485" s="80" t="s">
        <v>1164</v>
      </c>
      <c r="L485" s="80" t="s">
        <v>1299</v>
      </c>
    </row>
    <row r="486" spans="1:12" x14ac:dyDescent="0.25">
      <c r="A486" s="83">
        <v>44025</v>
      </c>
      <c r="B486" t="s">
        <v>551</v>
      </c>
      <c r="C486" s="80" t="s">
        <v>1300</v>
      </c>
      <c r="D486" s="80" t="s">
        <v>517</v>
      </c>
      <c r="E486" s="80">
        <v>68427709</v>
      </c>
      <c r="F486" s="94">
        <v>344000</v>
      </c>
      <c r="G486" s="80" t="s">
        <v>72</v>
      </c>
      <c r="H486" s="80" t="s">
        <v>73</v>
      </c>
      <c r="I486" s="80" t="s">
        <v>394</v>
      </c>
      <c r="J486" s="80">
        <v>2021</v>
      </c>
      <c r="K486" s="80" t="s">
        <v>1164</v>
      </c>
      <c r="L486" s="80" t="s">
        <v>1301</v>
      </c>
    </row>
    <row r="487" spans="1:12" x14ac:dyDescent="0.25">
      <c r="A487" s="83">
        <v>44025</v>
      </c>
      <c r="B487" s="80" t="s">
        <v>546</v>
      </c>
      <c r="C487" s="80" t="s">
        <v>1302</v>
      </c>
      <c r="D487" s="80" t="s">
        <v>517</v>
      </c>
      <c r="E487" s="80">
        <v>68427709</v>
      </c>
      <c r="F487" s="94">
        <v>35000</v>
      </c>
      <c r="G487" s="80" t="s">
        <v>1029</v>
      </c>
      <c r="H487" s="80" t="s">
        <v>73</v>
      </c>
      <c r="I487" s="80" t="s">
        <v>92</v>
      </c>
      <c r="J487" s="80">
        <v>2021</v>
      </c>
      <c r="K487" s="80" t="s">
        <v>1164</v>
      </c>
      <c r="L487" s="80" t="s">
        <v>1303</v>
      </c>
    </row>
    <row r="488" spans="1:12" x14ac:dyDescent="0.25">
      <c r="A488" s="83">
        <v>44025</v>
      </c>
      <c r="B488" s="80" t="s">
        <v>1304</v>
      </c>
      <c r="C488" s="80" t="s">
        <v>1305</v>
      </c>
      <c r="D488" s="80" t="s">
        <v>0</v>
      </c>
      <c r="E488" s="80">
        <v>68427709</v>
      </c>
      <c r="F488" s="94">
        <v>-847000</v>
      </c>
      <c r="G488" s="80" t="s">
        <v>72</v>
      </c>
      <c r="H488" s="80" t="s">
        <v>73</v>
      </c>
      <c r="I488" s="80"/>
      <c r="J488" s="80">
        <v>2021</v>
      </c>
      <c r="K488" s="80" t="s">
        <v>1164</v>
      </c>
      <c r="L488" s="80" t="s">
        <v>1306</v>
      </c>
    </row>
    <row r="489" spans="1:12" x14ac:dyDescent="0.25">
      <c r="A489" s="83">
        <v>44025</v>
      </c>
      <c r="B489" s="80" t="s">
        <v>1307</v>
      </c>
      <c r="C489" s="80" t="s">
        <v>1308</v>
      </c>
      <c r="D489" s="80" t="s">
        <v>1081</v>
      </c>
      <c r="E489" s="80">
        <v>68427709</v>
      </c>
      <c r="F489" s="177">
        <v>2990000</v>
      </c>
      <c r="G489" s="80" t="s">
        <v>72</v>
      </c>
      <c r="H489" s="80" t="s">
        <v>73</v>
      </c>
      <c r="I489" s="80" t="s">
        <v>1082</v>
      </c>
      <c r="J489" s="80">
        <v>2021</v>
      </c>
      <c r="K489" s="80" t="s">
        <v>1164</v>
      </c>
      <c r="L489" s="80" t="s">
        <v>1308</v>
      </c>
    </row>
    <row r="490" spans="1:12" x14ac:dyDescent="0.25">
      <c r="A490" s="83">
        <v>44025</v>
      </c>
      <c r="B490" s="80" t="s">
        <v>1309</v>
      </c>
      <c r="C490" s="80" t="s">
        <v>1308</v>
      </c>
      <c r="D490" s="80" t="s">
        <v>532</v>
      </c>
      <c r="E490" s="80">
        <v>68427709</v>
      </c>
      <c r="F490" s="94">
        <v>-880000</v>
      </c>
      <c r="G490" s="80" t="s">
        <v>72</v>
      </c>
      <c r="H490" s="80" t="s">
        <v>73</v>
      </c>
      <c r="I490" s="80" t="s">
        <v>1082</v>
      </c>
      <c r="J490" s="80">
        <v>2021</v>
      </c>
      <c r="K490" s="80" t="s">
        <v>1164</v>
      </c>
      <c r="L490" s="80"/>
    </row>
    <row r="491" spans="1:12" x14ac:dyDescent="0.25">
      <c r="A491" s="83">
        <v>44026</v>
      </c>
      <c r="B491" s="80" t="s">
        <v>1310</v>
      </c>
      <c r="C491" s="80" t="s">
        <v>1311</v>
      </c>
      <c r="D491" s="80" t="s">
        <v>532</v>
      </c>
      <c r="E491" s="80">
        <v>68427709</v>
      </c>
      <c r="F491" s="94">
        <v>-1082000</v>
      </c>
      <c r="G491" s="80" t="s">
        <v>72</v>
      </c>
      <c r="H491" s="80" t="s">
        <v>73</v>
      </c>
      <c r="I491" s="80" t="s">
        <v>1082</v>
      </c>
      <c r="J491" s="80">
        <v>2021</v>
      </c>
      <c r="K491" s="80" t="s">
        <v>1164</v>
      </c>
      <c r="L491" s="80"/>
    </row>
    <row r="492" spans="1:12" x14ac:dyDescent="0.25">
      <c r="A492" s="83">
        <v>44026</v>
      </c>
      <c r="B492" s="80" t="s">
        <v>535</v>
      </c>
      <c r="C492" s="80" t="s">
        <v>1312</v>
      </c>
      <c r="D492" s="80" t="s">
        <v>0</v>
      </c>
      <c r="E492" s="80">
        <v>68427709</v>
      </c>
      <c r="F492" s="177">
        <v>-1800000</v>
      </c>
      <c r="G492" s="80" t="s">
        <v>72</v>
      </c>
      <c r="H492" s="80" t="s">
        <v>73</v>
      </c>
      <c r="I492" s="80" t="s">
        <v>1082</v>
      </c>
      <c r="J492" s="80">
        <v>2021</v>
      </c>
      <c r="K492" s="80" t="s">
        <v>1164</v>
      </c>
      <c r="L492" s="80"/>
    </row>
    <row r="493" spans="1:12" x14ac:dyDescent="0.25">
      <c r="A493" s="83">
        <v>44026</v>
      </c>
      <c r="B493" s="80" t="s">
        <v>1313</v>
      </c>
      <c r="C493" s="80" t="s">
        <v>1314</v>
      </c>
      <c r="D493" s="80" t="s">
        <v>0</v>
      </c>
      <c r="E493" s="80">
        <v>68427709</v>
      </c>
      <c r="F493" s="94">
        <v>-90000</v>
      </c>
      <c r="G493" s="80" t="s">
        <v>72</v>
      </c>
      <c r="H493" s="80" t="s">
        <v>73</v>
      </c>
      <c r="I493" s="80" t="s">
        <v>1082</v>
      </c>
      <c r="J493" s="80">
        <v>2021</v>
      </c>
      <c r="K493" s="80" t="s">
        <v>1164</v>
      </c>
      <c r="L493" s="80" t="s">
        <v>1315</v>
      </c>
    </row>
    <row r="494" spans="1:12" x14ac:dyDescent="0.25">
      <c r="A494" s="83">
        <v>44026</v>
      </c>
      <c r="B494" s="80" t="s">
        <v>1316</v>
      </c>
      <c r="C494" s="80" t="s">
        <v>1317</v>
      </c>
      <c r="D494" s="80" t="s">
        <v>564</v>
      </c>
      <c r="E494" s="80">
        <v>68427709</v>
      </c>
      <c r="F494" s="94">
        <v>-24960</v>
      </c>
      <c r="G494" s="80" t="s">
        <v>72</v>
      </c>
      <c r="H494" s="80" t="s">
        <v>73</v>
      </c>
      <c r="I494" s="80" t="s">
        <v>1082</v>
      </c>
      <c r="J494" s="80">
        <v>2021</v>
      </c>
      <c r="K494" s="80" t="s">
        <v>1164</v>
      </c>
      <c r="L494" s="80"/>
    </row>
    <row r="495" spans="1:12" x14ac:dyDescent="0.25">
      <c r="A495" s="83">
        <v>44026</v>
      </c>
      <c r="B495" s="80" t="s">
        <v>1318</v>
      </c>
      <c r="C495" s="80" t="s">
        <v>1319</v>
      </c>
      <c r="D495" s="80" t="s">
        <v>532</v>
      </c>
      <c r="E495" s="80">
        <v>68427709</v>
      </c>
      <c r="F495" s="94">
        <v>-10000</v>
      </c>
      <c r="G495" s="80" t="s">
        <v>72</v>
      </c>
      <c r="H495" s="80" t="s">
        <v>73</v>
      </c>
      <c r="I495" s="80" t="s">
        <v>1082</v>
      </c>
      <c r="J495" s="80">
        <v>2021</v>
      </c>
      <c r="K495" s="80" t="s">
        <v>1164</v>
      </c>
      <c r="L495" s="80"/>
    </row>
    <row r="496" spans="1:12" x14ac:dyDescent="0.25">
      <c r="A496" s="83">
        <v>44026</v>
      </c>
      <c r="B496" s="80" t="s">
        <v>1320</v>
      </c>
      <c r="C496" s="80" t="s">
        <v>1321</v>
      </c>
      <c r="D496" s="80" t="s">
        <v>532</v>
      </c>
      <c r="E496" s="80">
        <v>68427709</v>
      </c>
      <c r="F496" s="94">
        <v>-522420</v>
      </c>
      <c r="G496" s="80" t="s">
        <v>72</v>
      </c>
      <c r="H496" s="80" t="s">
        <v>73</v>
      </c>
      <c r="I496" s="80" t="s">
        <v>1082</v>
      </c>
      <c r="J496" s="80">
        <v>2021</v>
      </c>
      <c r="K496" s="80" t="s">
        <v>1164</v>
      </c>
      <c r="L496" s="80" t="s">
        <v>1322</v>
      </c>
    </row>
    <row r="497" spans="1:12" x14ac:dyDescent="0.25">
      <c r="A497" s="83">
        <v>44026</v>
      </c>
      <c r="B497" s="80" t="s">
        <v>1323</v>
      </c>
      <c r="C497" s="80" t="s">
        <v>1324</v>
      </c>
      <c r="D497" s="80" t="s">
        <v>236</v>
      </c>
      <c r="E497" s="80">
        <v>68427709</v>
      </c>
      <c r="F497" s="94">
        <v>-359531</v>
      </c>
      <c r="G497" s="80" t="s">
        <v>72</v>
      </c>
      <c r="H497" s="80" t="s">
        <v>73</v>
      </c>
      <c r="I497" s="80"/>
      <c r="J497" s="80">
        <v>2021</v>
      </c>
      <c r="K497" s="80" t="s">
        <v>1164</v>
      </c>
      <c r="L497" s="80" t="s">
        <v>31</v>
      </c>
    </row>
    <row r="498" spans="1:12" x14ac:dyDescent="0.25">
      <c r="A498" s="83">
        <v>44026</v>
      </c>
      <c r="B498" s="80" t="s">
        <v>1325</v>
      </c>
      <c r="C498" s="80" t="s">
        <v>1326</v>
      </c>
      <c r="D498" s="80" t="s">
        <v>564</v>
      </c>
      <c r="E498" s="80">
        <v>68427709</v>
      </c>
      <c r="F498" s="94">
        <v>4000</v>
      </c>
      <c r="G498" s="80" t="s">
        <v>72</v>
      </c>
      <c r="H498" s="80" t="s">
        <v>73</v>
      </c>
      <c r="I498" s="80"/>
      <c r="J498" s="80">
        <v>2021</v>
      </c>
      <c r="K498" s="80" t="s">
        <v>1164</v>
      </c>
      <c r="L498" s="80" t="s">
        <v>31</v>
      </c>
    </row>
    <row r="499" spans="1:12" x14ac:dyDescent="0.25">
      <c r="A499" s="83">
        <v>44026</v>
      </c>
      <c r="B499" s="80" t="s">
        <v>1327</v>
      </c>
      <c r="C499" s="80" t="s">
        <v>1328</v>
      </c>
      <c r="D499" s="80" t="s">
        <v>564</v>
      </c>
      <c r="E499" s="80">
        <v>68427709</v>
      </c>
      <c r="F499" s="94">
        <v>-4000</v>
      </c>
      <c r="G499" s="80" t="s">
        <v>72</v>
      </c>
      <c r="H499" s="80" t="s">
        <v>73</v>
      </c>
      <c r="I499" s="80"/>
      <c r="J499" s="80">
        <v>2021</v>
      </c>
      <c r="K499" s="80" t="s">
        <v>1164</v>
      </c>
      <c r="L499" s="80" t="s">
        <v>31</v>
      </c>
    </row>
    <row r="500" spans="1:12" x14ac:dyDescent="0.25">
      <c r="A500" s="83">
        <v>44026</v>
      </c>
      <c r="B500" s="80" t="s">
        <v>1329</v>
      </c>
      <c r="C500" s="80" t="s">
        <v>1330</v>
      </c>
      <c r="D500" s="80" t="s">
        <v>236</v>
      </c>
      <c r="E500" s="80">
        <v>68427709</v>
      </c>
      <c r="F500" s="94">
        <v>359531</v>
      </c>
      <c r="G500" s="80" t="s">
        <v>72</v>
      </c>
      <c r="H500" s="80" t="s">
        <v>73</v>
      </c>
      <c r="I500" s="80"/>
      <c r="J500" s="80">
        <v>2021</v>
      </c>
      <c r="K500" s="80" t="s">
        <v>1164</v>
      </c>
      <c r="L500" s="80" t="s">
        <v>31</v>
      </c>
    </row>
    <row r="501" spans="1:12" x14ac:dyDescent="0.25">
      <c r="A501" s="83">
        <v>44026</v>
      </c>
      <c r="B501" s="80" t="s">
        <v>1331</v>
      </c>
      <c r="C501" s="80" t="s">
        <v>1332</v>
      </c>
      <c r="D501" s="80" t="s">
        <v>1333</v>
      </c>
      <c r="E501" s="80">
        <v>68427709</v>
      </c>
      <c r="F501" s="94">
        <v>0</v>
      </c>
      <c r="G501" s="80" t="s">
        <v>72</v>
      </c>
      <c r="H501" s="80" t="s">
        <v>73</v>
      </c>
      <c r="I501" s="80"/>
      <c r="J501" s="80">
        <v>2021</v>
      </c>
      <c r="K501" s="80" t="s">
        <v>1164</v>
      </c>
      <c r="L501" s="80" t="s">
        <v>31</v>
      </c>
    </row>
    <row r="502" spans="1:12" x14ac:dyDescent="0.25">
      <c r="A502" s="83">
        <v>44026</v>
      </c>
      <c r="B502" s="80" t="s">
        <v>1334</v>
      </c>
      <c r="C502" s="80" t="s">
        <v>1335</v>
      </c>
      <c r="D502" s="80" t="s">
        <v>564</v>
      </c>
      <c r="E502" s="80">
        <v>68427709</v>
      </c>
      <c r="F502" s="94">
        <v>50000</v>
      </c>
      <c r="G502" s="80" t="s">
        <v>72</v>
      </c>
      <c r="H502" s="80" t="s">
        <v>73</v>
      </c>
      <c r="I502" s="80"/>
      <c r="J502" s="80">
        <v>2021</v>
      </c>
      <c r="K502" s="80" t="s">
        <v>1164</v>
      </c>
      <c r="L502" s="80" t="s">
        <v>31</v>
      </c>
    </row>
    <row r="503" spans="1:12" x14ac:dyDescent="0.25">
      <c r="A503" s="83">
        <v>44026</v>
      </c>
      <c r="B503" s="80" t="s">
        <v>1336</v>
      </c>
      <c r="C503" s="80" t="s">
        <v>1337</v>
      </c>
      <c r="D503" s="80" t="s">
        <v>1338</v>
      </c>
      <c r="E503" s="80">
        <v>68427709</v>
      </c>
      <c r="F503" s="94">
        <v>150000</v>
      </c>
      <c r="G503" s="80" t="s">
        <v>72</v>
      </c>
      <c r="H503" s="80" t="s">
        <v>73</v>
      </c>
      <c r="I503" s="80" t="s">
        <v>92</v>
      </c>
      <c r="J503" s="80">
        <v>2021</v>
      </c>
      <c r="K503" s="80" t="s">
        <v>1164</v>
      </c>
      <c r="L503" s="80" t="s">
        <v>31</v>
      </c>
    </row>
    <row r="504" spans="1:12" x14ac:dyDescent="0.25">
      <c r="A504" s="83">
        <v>44026</v>
      </c>
      <c r="B504" s="80" t="s">
        <v>1339</v>
      </c>
      <c r="C504" s="80" t="s">
        <v>1340</v>
      </c>
      <c r="D504" s="80" t="s">
        <v>1340</v>
      </c>
      <c r="E504" s="80">
        <v>68427709</v>
      </c>
      <c r="F504" s="94">
        <v>45000</v>
      </c>
      <c r="G504" s="80" t="s">
        <v>72</v>
      </c>
      <c r="H504" s="80" t="s">
        <v>73</v>
      </c>
      <c r="I504" s="80" t="s">
        <v>92</v>
      </c>
      <c r="J504" s="80">
        <v>2021</v>
      </c>
      <c r="K504" s="80" t="s">
        <v>1164</v>
      </c>
      <c r="L504" s="80" t="s">
        <v>31</v>
      </c>
    </row>
    <row r="505" spans="1:12" ht="14.1" customHeight="1" x14ac:dyDescent="0.25">
      <c r="A505" s="83">
        <v>44026</v>
      </c>
      <c r="B505" s="80" t="s">
        <v>1107</v>
      </c>
      <c r="C505" s="80" t="s">
        <v>1341</v>
      </c>
      <c r="D505" s="80" t="s">
        <v>1107</v>
      </c>
      <c r="E505" s="80">
        <v>68427709</v>
      </c>
      <c r="F505" s="94">
        <v>26000</v>
      </c>
      <c r="G505" s="80" t="s">
        <v>72</v>
      </c>
      <c r="H505" s="80" t="s">
        <v>73</v>
      </c>
      <c r="I505" s="80" t="s">
        <v>92</v>
      </c>
      <c r="J505" s="80">
        <v>2021</v>
      </c>
      <c r="K505" s="80" t="s">
        <v>1164</v>
      </c>
      <c r="L505" s="80" t="s">
        <v>1342</v>
      </c>
    </row>
    <row r="506" spans="1:12" x14ac:dyDescent="0.25">
      <c r="A506" s="83">
        <v>44026</v>
      </c>
      <c r="B506" s="80" t="s">
        <v>1155</v>
      </c>
      <c r="C506" s="80" t="s">
        <v>1343</v>
      </c>
      <c r="D506" s="80" t="s">
        <v>1155</v>
      </c>
      <c r="E506" s="80">
        <v>68427709</v>
      </c>
      <c r="F506" s="94">
        <v>20000</v>
      </c>
      <c r="G506" s="80" t="s">
        <v>1029</v>
      </c>
      <c r="H506" s="80" t="s">
        <v>73</v>
      </c>
      <c r="I506" s="80" t="s">
        <v>92</v>
      </c>
      <c r="J506" s="80">
        <v>2021</v>
      </c>
      <c r="K506" s="80" t="s">
        <v>1164</v>
      </c>
      <c r="L506" s="80" t="s">
        <v>1344</v>
      </c>
    </row>
    <row r="507" spans="1:12" x14ac:dyDescent="0.25">
      <c r="A507" s="83">
        <v>44026</v>
      </c>
      <c r="B507" s="80" t="s">
        <v>1345</v>
      </c>
      <c r="C507" s="80" t="s">
        <v>1346</v>
      </c>
      <c r="D507" s="80" t="s">
        <v>0</v>
      </c>
      <c r="E507" s="80">
        <v>68427709</v>
      </c>
      <c r="F507" s="94">
        <v>800000</v>
      </c>
      <c r="G507" s="80" t="s">
        <v>72</v>
      </c>
      <c r="H507" s="80" t="s">
        <v>73</v>
      </c>
      <c r="I507" s="80"/>
      <c r="J507" s="80">
        <v>2021</v>
      </c>
      <c r="K507" s="80" t="s">
        <v>1164</v>
      </c>
      <c r="L507" s="80" t="s">
        <v>31</v>
      </c>
    </row>
    <row r="508" spans="1:12" x14ac:dyDescent="0.25">
      <c r="A508" s="83">
        <v>44028</v>
      </c>
      <c r="B508" t="s">
        <v>1347</v>
      </c>
      <c r="C508" s="80" t="s">
        <v>1348</v>
      </c>
      <c r="D508" s="80" t="s">
        <v>195</v>
      </c>
      <c r="E508" s="80">
        <v>68427709</v>
      </c>
      <c r="F508" s="94">
        <v>0</v>
      </c>
      <c r="G508" s="80" t="s">
        <v>72</v>
      </c>
      <c r="H508" s="80" t="s">
        <v>73</v>
      </c>
      <c r="I508" s="80" t="s">
        <v>92</v>
      </c>
      <c r="J508" s="80">
        <v>2021</v>
      </c>
      <c r="K508" s="80" t="s">
        <v>75</v>
      </c>
      <c r="L508" s="80" t="s">
        <v>1349</v>
      </c>
    </row>
    <row r="509" spans="1:12" x14ac:dyDescent="0.25">
      <c r="A509" s="83">
        <v>44028</v>
      </c>
      <c r="B509" s="80" t="s">
        <v>1350</v>
      </c>
      <c r="C509" s="80" t="s">
        <v>1351</v>
      </c>
      <c r="D509" s="80" t="s">
        <v>195</v>
      </c>
      <c r="E509" s="80">
        <v>68427709</v>
      </c>
      <c r="F509" s="94">
        <v>0</v>
      </c>
      <c r="G509" s="80" t="s">
        <v>72</v>
      </c>
      <c r="H509" s="80" t="s">
        <v>73</v>
      </c>
      <c r="I509" s="80" t="s">
        <v>92</v>
      </c>
      <c r="J509" s="80">
        <v>2021</v>
      </c>
      <c r="K509" s="80" t="s">
        <v>75</v>
      </c>
      <c r="L509" s="80" t="s">
        <v>1349</v>
      </c>
    </row>
    <row r="510" spans="1:12" x14ac:dyDescent="0.25">
      <c r="A510" s="83">
        <v>44028</v>
      </c>
      <c r="B510" s="80" t="s">
        <v>1352</v>
      </c>
      <c r="C510" s="80" t="s">
        <v>1353</v>
      </c>
      <c r="D510" s="80" t="s">
        <v>0</v>
      </c>
      <c r="E510" s="80">
        <v>68427719</v>
      </c>
      <c r="F510" s="94">
        <v>0</v>
      </c>
      <c r="G510" s="80" t="s">
        <v>1029</v>
      </c>
      <c r="H510" s="80" t="s">
        <v>73</v>
      </c>
      <c r="I510" s="80" t="s">
        <v>92</v>
      </c>
      <c r="J510" s="80">
        <v>2021</v>
      </c>
      <c r="K510" s="80" t="s">
        <v>1354</v>
      </c>
      <c r="L510" s="80" t="s">
        <v>1355</v>
      </c>
    </row>
    <row r="511" spans="1:12" x14ac:dyDescent="0.25">
      <c r="A511" s="83">
        <v>44028</v>
      </c>
      <c r="B511" s="80" t="s">
        <v>1356</v>
      </c>
      <c r="C511" s="80" t="s">
        <v>1353</v>
      </c>
      <c r="D511" s="80" t="s">
        <v>1220</v>
      </c>
      <c r="E511" s="80">
        <v>68427719</v>
      </c>
      <c r="F511" s="94">
        <v>0</v>
      </c>
      <c r="G511" s="80" t="s">
        <v>1029</v>
      </c>
      <c r="H511" s="80" t="s">
        <v>73</v>
      </c>
      <c r="I511" s="80" t="s">
        <v>909</v>
      </c>
      <c r="J511" s="80">
        <v>2021</v>
      </c>
      <c r="K511" s="80" t="s">
        <v>1354</v>
      </c>
      <c r="L511" s="80" t="s">
        <v>1355</v>
      </c>
    </row>
    <row r="512" spans="1:12" x14ac:dyDescent="0.25">
      <c r="A512" s="83">
        <v>44032</v>
      </c>
      <c r="B512" s="80" t="s">
        <v>988</v>
      </c>
      <c r="C512" s="80" t="s">
        <v>1357</v>
      </c>
      <c r="D512" s="80" t="s">
        <v>142</v>
      </c>
      <c r="E512" s="80">
        <v>68427719</v>
      </c>
      <c r="F512" s="177">
        <v>648000</v>
      </c>
      <c r="G512" s="80" t="s">
        <v>72</v>
      </c>
      <c r="H512" s="80" t="s">
        <v>73</v>
      </c>
      <c r="I512" s="80" t="s">
        <v>394</v>
      </c>
      <c r="J512" s="80">
        <v>2021</v>
      </c>
      <c r="K512" s="80" t="s">
        <v>1358</v>
      </c>
      <c r="L512" s="80"/>
    </row>
    <row r="513" spans="1:12" x14ac:dyDescent="0.25">
      <c r="A513" s="83">
        <v>44032</v>
      </c>
      <c r="B513" s="80" t="s">
        <v>1359</v>
      </c>
      <c r="C513" s="80" t="s">
        <v>1360</v>
      </c>
      <c r="D513" s="80" t="s">
        <v>139</v>
      </c>
      <c r="E513" s="80">
        <v>68427719</v>
      </c>
      <c r="F513" s="177">
        <v>1159000</v>
      </c>
      <c r="G513" s="80" t="s">
        <v>72</v>
      </c>
      <c r="H513" s="80" t="s">
        <v>73</v>
      </c>
      <c r="I513" s="80" t="s">
        <v>394</v>
      </c>
      <c r="J513" s="80">
        <v>2021</v>
      </c>
      <c r="K513" s="80" t="s">
        <v>1358</v>
      </c>
      <c r="L513" s="80" t="s">
        <v>1361</v>
      </c>
    </row>
    <row r="514" spans="1:12" x14ac:dyDescent="0.25">
      <c r="A514" s="83">
        <v>44032</v>
      </c>
      <c r="B514" s="80" t="s">
        <v>1362</v>
      </c>
      <c r="C514" s="80" t="s">
        <v>1363</v>
      </c>
      <c r="D514" s="80" t="s">
        <v>143</v>
      </c>
      <c r="E514" s="80">
        <v>68427719</v>
      </c>
      <c r="F514" s="177">
        <v>98000</v>
      </c>
      <c r="G514" s="80" t="s">
        <v>72</v>
      </c>
      <c r="H514" s="80" t="s">
        <v>73</v>
      </c>
      <c r="I514" s="80" t="s">
        <v>394</v>
      </c>
      <c r="J514" s="80">
        <v>2021</v>
      </c>
      <c r="K514" s="80" t="s">
        <v>1358</v>
      </c>
      <c r="L514" s="80" t="s">
        <v>1364</v>
      </c>
    </row>
    <row r="515" spans="1:12" x14ac:dyDescent="0.25">
      <c r="A515" s="83">
        <v>44032</v>
      </c>
      <c r="B515" s="80" t="s">
        <v>1365</v>
      </c>
      <c r="C515" s="80" t="s">
        <v>1366</v>
      </c>
      <c r="D515" s="80" t="s">
        <v>139</v>
      </c>
      <c r="E515" s="80">
        <v>68427719</v>
      </c>
      <c r="F515" s="94">
        <v>-90000</v>
      </c>
      <c r="G515" s="80" t="s">
        <v>72</v>
      </c>
      <c r="H515" s="80" t="s">
        <v>73</v>
      </c>
      <c r="I515" s="80" t="s">
        <v>394</v>
      </c>
      <c r="J515" s="80">
        <v>2021</v>
      </c>
      <c r="K515" s="80" t="s">
        <v>1358</v>
      </c>
      <c r="L515" s="80"/>
    </row>
    <row r="516" spans="1:12" x14ac:dyDescent="0.25">
      <c r="A516" s="83">
        <v>44032</v>
      </c>
      <c r="B516" s="80" t="s">
        <v>1367</v>
      </c>
      <c r="C516" s="80" t="s">
        <v>1368</v>
      </c>
      <c r="D516" s="80" t="s">
        <v>349</v>
      </c>
      <c r="E516" s="80">
        <v>68427709</v>
      </c>
      <c r="F516" s="176">
        <v>100000</v>
      </c>
      <c r="G516" s="80" t="s">
        <v>72</v>
      </c>
      <c r="H516" s="80" t="s">
        <v>73</v>
      </c>
      <c r="I516" s="80" t="s">
        <v>394</v>
      </c>
      <c r="J516" s="80">
        <v>2021</v>
      </c>
      <c r="K516" s="80" t="s">
        <v>1369</v>
      </c>
      <c r="L516" s="80"/>
    </row>
    <row r="517" spans="1:12" x14ac:dyDescent="0.25">
      <c r="A517" s="83">
        <v>44036</v>
      </c>
      <c r="B517" s="80" t="s">
        <v>1370</v>
      </c>
      <c r="C517" s="80" t="s">
        <v>1371</v>
      </c>
      <c r="D517" s="80" t="s">
        <v>870</v>
      </c>
      <c r="E517" s="80">
        <v>68427709</v>
      </c>
      <c r="F517" s="177">
        <v>11000</v>
      </c>
      <c r="G517" s="80" t="s">
        <v>72</v>
      </c>
      <c r="H517" s="80" t="s">
        <v>73</v>
      </c>
      <c r="I517" s="80" t="s">
        <v>394</v>
      </c>
      <c r="J517" s="80">
        <v>2021</v>
      </c>
      <c r="K517" s="80" t="s">
        <v>1372</v>
      </c>
      <c r="L517" s="80"/>
    </row>
    <row r="518" spans="1:12" x14ac:dyDescent="0.25">
      <c r="A518" s="83">
        <v>44039</v>
      </c>
      <c r="B518" s="80" t="s">
        <v>1373</v>
      </c>
      <c r="C518" s="80" t="s">
        <v>1371</v>
      </c>
      <c r="D518" s="80" t="s">
        <v>0</v>
      </c>
      <c r="E518" s="80">
        <v>68427709</v>
      </c>
      <c r="F518" s="177">
        <v>60000</v>
      </c>
      <c r="G518" s="80" t="s">
        <v>72</v>
      </c>
      <c r="H518" s="80" t="s">
        <v>73</v>
      </c>
      <c r="I518" s="80" t="s">
        <v>394</v>
      </c>
      <c r="J518" s="80">
        <v>2021</v>
      </c>
      <c r="K518" s="80" t="s">
        <v>186</v>
      </c>
      <c r="L518" s="80" t="s">
        <v>1374</v>
      </c>
    </row>
    <row r="519" spans="1:12" x14ac:dyDescent="0.25">
      <c r="A519" s="83">
        <v>44041</v>
      </c>
      <c r="B519" s="80" t="s">
        <v>1375</v>
      </c>
      <c r="C519" s="80" t="s">
        <v>1376</v>
      </c>
      <c r="D519" s="80" t="s">
        <v>0</v>
      </c>
      <c r="E519" s="80">
        <v>68427709</v>
      </c>
      <c r="F519" s="177">
        <v>20000</v>
      </c>
      <c r="G519" s="80" t="s">
        <v>72</v>
      </c>
      <c r="H519" s="80" t="s">
        <v>73</v>
      </c>
      <c r="I519" s="80" t="s">
        <v>394</v>
      </c>
      <c r="J519" s="80">
        <v>2021</v>
      </c>
      <c r="K519" s="80" t="s">
        <v>320</v>
      </c>
      <c r="L519" s="80"/>
    </row>
    <row r="520" spans="1:12" x14ac:dyDescent="0.25">
      <c r="A520" s="83">
        <v>44041</v>
      </c>
      <c r="B520" s="80" t="s">
        <v>1377</v>
      </c>
      <c r="C520" s="80" t="s">
        <v>1378</v>
      </c>
      <c r="D520" s="80" t="s">
        <v>1377</v>
      </c>
      <c r="E520" s="80">
        <v>68427709</v>
      </c>
      <c r="F520" s="177">
        <v>214000</v>
      </c>
      <c r="G520" s="80" t="s">
        <v>72</v>
      </c>
      <c r="H520" s="80" t="s">
        <v>73</v>
      </c>
      <c r="I520" s="80" t="s">
        <v>92</v>
      </c>
      <c r="J520" s="80">
        <v>2021</v>
      </c>
      <c r="K520" s="80" t="s">
        <v>320</v>
      </c>
      <c r="L520" s="80"/>
    </row>
    <row r="521" spans="1:12" x14ac:dyDescent="0.25">
      <c r="A521" s="83">
        <v>44041</v>
      </c>
      <c r="B521" s="80" t="s">
        <v>1379</v>
      </c>
      <c r="C521" s="80" t="s">
        <v>1380</v>
      </c>
      <c r="D521" s="80" t="s">
        <v>1381</v>
      </c>
      <c r="E521" s="80">
        <v>68427709</v>
      </c>
      <c r="F521" s="177">
        <v>-163000</v>
      </c>
      <c r="G521" s="80" t="s">
        <v>72</v>
      </c>
      <c r="H521" s="80" t="s">
        <v>73</v>
      </c>
      <c r="I521" s="80" t="s">
        <v>92</v>
      </c>
      <c r="J521" s="80">
        <v>2021</v>
      </c>
      <c r="K521" s="80" t="s">
        <v>320</v>
      </c>
      <c r="L521" s="80"/>
    </row>
    <row r="522" spans="1:12" x14ac:dyDescent="0.25">
      <c r="A522" s="83">
        <v>44041</v>
      </c>
      <c r="B522" s="80" t="s">
        <v>1220</v>
      </c>
      <c r="C522" s="80" t="s">
        <v>1382</v>
      </c>
      <c r="D522" s="80" t="s">
        <v>1220</v>
      </c>
      <c r="E522" s="80">
        <v>68427709</v>
      </c>
      <c r="F522" s="177">
        <v>30000</v>
      </c>
      <c r="G522" s="80" t="s">
        <v>72</v>
      </c>
      <c r="H522" s="80" t="s">
        <v>73</v>
      </c>
      <c r="I522" s="80" t="s">
        <v>92</v>
      </c>
      <c r="J522" s="80">
        <v>2021</v>
      </c>
      <c r="K522" s="80" t="s">
        <v>320</v>
      </c>
      <c r="L522" s="80"/>
    </row>
    <row r="523" spans="1:12" x14ac:dyDescent="0.25">
      <c r="A523" s="83">
        <v>44041</v>
      </c>
      <c r="B523" s="80" t="s">
        <v>1383</v>
      </c>
      <c r="C523" s="80" t="s">
        <v>1384</v>
      </c>
      <c r="D523" s="80" t="s">
        <v>0</v>
      </c>
      <c r="E523" s="80">
        <v>68427709</v>
      </c>
      <c r="F523" s="177"/>
      <c r="G523" s="80" t="s">
        <v>72</v>
      </c>
      <c r="H523" s="80" t="s">
        <v>73</v>
      </c>
      <c r="I523" s="80" t="s">
        <v>394</v>
      </c>
      <c r="J523" s="80">
        <v>2021</v>
      </c>
      <c r="K523" s="80" t="s">
        <v>320</v>
      </c>
      <c r="L523" s="80"/>
    </row>
    <row r="524" spans="1:12" x14ac:dyDescent="0.25">
      <c r="A524" s="83">
        <v>44041</v>
      </c>
      <c r="B524" s="80" t="s">
        <v>1381</v>
      </c>
      <c r="C524" s="80" t="s">
        <v>1385</v>
      </c>
      <c r="D524" s="80" t="s">
        <v>1381</v>
      </c>
      <c r="E524" s="80">
        <v>68427709</v>
      </c>
      <c r="F524" s="177">
        <v>55000</v>
      </c>
      <c r="G524" s="80" t="s">
        <v>72</v>
      </c>
      <c r="H524" s="80" t="s">
        <v>73</v>
      </c>
      <c r="I524" s="80" t="s">
        <v>394</v>
      </c>
      <c r="J524" s="80">
        <v>2021</v>
      </c>
      <c r="K524" s="80" t="s">
        <v>320</v>
      </c>
      <c r="L524" s="80"/>
    </row>
    <row r="525" spans="1:12" x14ac:dyDescent="0.25">
      <c r="A525" s="83">
        <v>44041</v>
      </c>
      <c r="B525" s="80" t="s">
        <v>1386</v>
      </c>
      <c r="C525" s="80" t="s">
        <v>1380</v>
      </c>
      <c r="D525" s="80" t="s">
        <v>1386</v>
      </c>
      <c r="E525" s="80">
        <v>68427709</v>
      </c>
      <c r="F525" s="177">
        <v>0</v>
      </c>
      <c r="G525" s="80" t="s">
        <v>261</v>
      </c>
      <c r="H525" s="80" t="s">
        <v>73</v>
      </c>
      <c r="I525" s="80" t="s">
        <v>92</v>
      </c>
      <c r="J525" s="80">
        <v>2021</v>
      </c>
      <c r="K525" s="80" t="s">
        <v>1186</v>
      </c>
      <c r="L525" s="80"/>
    </row>
    <row r="526" spans="1:12" x14ac:dyDescent="0.25">
      <c r="A526" s="83">
        <v>44041</v>
      </c>
      <c r="B526" s="80" t="s">
        <v>1387</v>
      </c>
      <c r="C526" s="80" t="s">
        <v>1388</v>
      </c>
      <c r="D526" s="80" t="s">
        <v>1387</v>
      </c>
      <c r="E526" s="80">
        <v>68427709</v>
      </c>
      <c r="F526" s="177">
        <v>345000</v>
      </c>
      <c r="G526" s="80" t="s">
        <v>72</v>
      </c>
      <c r="H526" s="80" t="s">
        <v>73</v>
      </c>
      <c r="I526" s="80" t="s">
        <v>394</v>
      </c>
      <c r="J526" s="80">
        <v>2021</v>
      </c>
      <c r="K526" s="80" t="s">
        <v>1389</v>
      </c>
      <c r="L526" s="80" t="s">
        <v>40</v>
      </c>
    </row>
    <row r="527" spans="1:12" x14ac:dyDescent="0.25">
      <c r="A527" s="83">
        <v>44041</v>
      </c>
      <c r="B527" s="80" t="s">
        <v>1387</v>
      </c>
      <c r="C527" s="80" t="s">
        <v>1390</v>
      </c>
      <c r="D527" s="80" t="s">
        <v>1387</v>
      </c>
      <c r="E527" s="80">
        <v>68427709</v>
      </c>
      <c r="F527" s="177">
        <v>156000</v>
      </c>
      <c r="G527" s="80" t="s">
        <v>72</v>
      </c>
      <c r="H527" s="80" t="s">
        <v>73</v>
      </c>
      <c r="I527" s="80" t="s">
        <v>92</v>
      </c>
      <c r="J527" s="80">
        <v>2021</v>
      </c>
      <c r="K527" s="80" t="s">
        <v>1389</v>
      </c>
      <c r="L527" s="80"/>
    </row>
    <row r="528" spans="1:12" x14ac:dyDescent="0.25">
      <c r="A528" s="83">
        <v>44041</v>
      </c>
      <c r="B528" s="80" t="s">
        <v>1391</v>
      </c>
      <c r="C528" s="80" t="s">
        <v>1380</v>
      </c>
      <c r="D528" s="80"/>
      <c r="E528" s="80">
        <v>68427709</v>
      </c>
      <c r="F528" s="177">
        <v>-140000</v>
      </c>
      <c r="G528" s="80" t="s">
        <v>72</v>
      </c>
      <c r="H528" s="80" t="s">
        <v>73</v>
      </c>
      <c r="I528" s="80" t="s">
        <v>92</v>
      </c>
      <c r="J528" s="80">
        <v>2021</v>
      </c>
      <c r="K528" s="80" t="s">
        <v>1389</v>
      </c>
      <c r="L528" s="80"/>
    </row>
    <row r="529" spans="1:12" x14ac:dyDescent="0.25">
      <c r="A529" s="83">
        <v>44041</v>
      </c>
      <c r="B529" s="26" t="s">
        <v>1392</v>
      </c>
      <c r="C529" s="80" t="s">
        <v>1393</v>
      </c>
      <c r="D529" s="80"/>
      <c r="E529" s="80">
        <v>68427709</v>
      </c>
      <c r="F529" s="177">
        <v>-29000</v>
      </c>
      <c r="G529" s="80" t="s">
        <v>1029</v>
      </c>
      <c r="H529" s="80" t="s">
        <v>73</v>
      </c>
      <c r="I529" s="80" t="s">
        <v>92</v>
      </c>
      <c r="J529" s="80">
        <v>2021</v>
      </c>
      <c r="K529" s="80" t="s">
        <v>1389</v>
      </c>
      <c r="L529" s="80" t="s">
        <v>1394</v>
      </c>
    </row>
    <row r="530" spans="1:12" x14ac:dyDescent="0.25">
      <c r="A530" s="83">
        <v>44041</v>
      </c>
      <c r="B530" s="80" t="s">
        <v>1395</v>
      </c>
      <c r="C530" s="80" t="s">
        <v>1396</v>
      </c>
      <c r="D530" s="80"/>
      <c r="E530" s="80">
        <v>68427709</v>
      </c>
      <c r="F530" s="176">
        <v>12000</v>
      </c>
      <c r="G530" s="80" t="s">
        <v>72</v>
      </c>
      <c r="H530" s="80" t="s">
        <v>73</v>
      </c>
      <c r="I530" s="80" t="s">
        <v>92</v>
      </c>
      <c r="J530" s="80">
        <v>2021</v>
      </c>
      <c r="K530" s="80" t="s">
        <v>1397</v>
      </c>
      <c r="L530" s="80"/>
    </row>
    <row r="531" spans="1:12" x14ac:dyDescent="0.25">
      <c r="A531" s="83">
        <v>44045</v>
      </c>
      <c r="B531" s="80" t="s">
        <v>1398</v>
      </c>
      <c r="C531" s="80" t="s">
        <v>1399</v>
      </c>
      <c r="D531" s="80"/>
      <c r="E531" s="80">
        <v>68427719</v>
      </c>
      <c r="F531" s="177">
        <v>-440000</v>
      </c>
      <c r="G531" s="80" t="s">
        <v>72</v>
      </c>
      <c r="H531" s="80" t="s">
        <v>73</v>
      </c>
      <c r="I531" s="80" t="s">
        <v>92</v>
      </c>
      <c r="J531" s="80">
        <v>2021</v>
      </c>
      <c r="K531" s="80" t="s">
        <v>75</v>
      </c>
      <c r="L531" s="80" t="s">
        <v>1400</v>
      </c>
    </row>
    <row r="532" spans="1:12" x14ac:dyDescent="0.25">
      <c r="A532" s="83">
        <v>44045</v>
      </c>
      <c r="B532" s="80" t="s">
        <v>1401</v>
      </c>
      <c r="C532" s="80" t="s">
        <v>1402</v>
      </c>
      <c r="D532" s="80"/>
      <c r="E532" s="80">
        <v>68427709</v>
      </c>
      <c r="F532" s="177">
        <v>0</v>
      </c>
      <c r="G532" s="80" t="s">
        <v>72</v>
      </c>
      <c r="H532" s="80" t="s">
        <v>73</v>
      </c>
      <c r="I532" s="80" t="s">
        <v>92</v>
      </c>
      <c r="J532" s="80">
        <v>2021</v>
      </c>
      <c r="K532" s="80" t="s">
        <v>75</v>
      </c>
      <c r="L532" s="80"/>
    </row>
    <row r="533" spans="1:12" x14ac:dyDescent="0.25">
      <c r="A533" s="83">
        <v>44046</v>
      </c>
      <c r="B533" s="80" t="s">
        <v>1403</v>
      </c>
      <c r="C533" s="80" t="s">
        <v>1404</v>
      </c>
      <c r="D533" s="80" t="s">
        <v>311</v>
      </c>
      <c r="E533" s="80">
        <v>68427709</v>
      </c>
      <c r="F533" s="177">
        <v>50000</v>
      </c>
      <c r="G533" s="80" t="s">
        <v>72</v>
      </c>
      <c r="H533" s="80" t="s">
        <v>73</v>
      </c>
      <c r="I533" s="80" t="s">
        <v>92</v>
      </c>
      <c r="J533" s="80">
        <v>2021</v>
      </c>
      <c r="K533" s="80" t="s">
        <v>75</v>
      </c>
      <c r="L533" s="80" t="s">
        <v>1405</v>
      </c>
    </row>
    <row r="534" spans="1:12" x14ac:dyDescent="0.25">
      <c r="A534" s="83">
        <v>44046</v>
      </c>
      <c r="B534" s="80" t="s">
        <v>1406</v>
      </c>
      <c r="C534" s="80" t="s">
        <v>1407</v>
      </c>
      <c r="D534" s="80" t="s">
        <v>1220</v>
      </c>
      <c r="E534" s="80">
        <v>68427709</v>
      </c>
      <c r="F534" s="177">
        <v>-156000</v>
      </c>
      <c r="G534" s="80" t="s">
        <v>72</v>
      </c>
      <c r="H534" s="80" t="s">
        <v>73</v>
      </c>
      <c r="I534" s="80" t="s">
        <v>909</v>
      </c>
      <c r="J534" s="80">
        <v>2021</v>
      </c>
      <c r="K534" s="80" t="s">
        <v>1164</v>
      </c>
      <c r="L534" s="80"/>
    </row>
    <row r="535" spans="1:12" x14ac:dyDescent="0.25">
      <c r="A535" s="83">
        <v>44046</v>
      </c>
      <c r="B535" s="80" t="s">
        <v>1408</v>
      </c>
      <c r="C535" s="80" t="s">
        <v>1409</v>
      </c>
      <c r="D535" s="80" t="s">
        <v>0</v>
      </c>
      <c r="E535" s="80">
        <v>68427709</v>
      </c>
      <c r="F535" s="177">
        <v>5040</v>
      </c>
      <c r="G535" s="80" t="s">
        <v>72</v>
      </c>
      <c r="H535" s="80" t="s">
        <v>73</v>
      </c>
      <c r="I535" s="80" t="s">
        <v>92</v>
      </c>
      <c r="J535" s="80">
        <v>2021</v>
      </c>
      <c r="K535" s="80" t="s">
        <v>1164</v>
      </c>
      <c r="L535" s="80"/>
    </row>
    <row r="536" spans="1:12" x14ac:dyDescent="0.25">
      <c r="A536" s="83">
        <v>44046</v>
      </c>
      <c r="B536" s="80" t="s">
        <v>1410</v>
      </c>
      <c r="C536" s="80" t="s">
        <v>1411</v>
      </c>
      <c r="D536" s="80"/>
      <c r="E536" s="80">
        <v>68427709</v>
      </c>
      <c r="F536" s="177">
        <v>0</v>
      </c>
      <c r="G536" s="80" t="s">
        <v>72</v>
      </c>
      <c r="H536" s="80"/>
      <c r="I536" s="80"/>
      <c r="J536" s="80">
        <v>2021</v>
      </c>
      <c r="K536" s="80" t="s">
        <v>75</v>
      </c>
      <c r="L536" s="80" t="s">
        <v>1412</v>
      </c>
    </row>
    <row r="537" spans="1:12" x14ac:dyDescent="0.25">
      <c r="A537" s="83">
        <v>44049</v>
      </c>
      <c r="B537" s="80" t="s">
        <v>1413</v>
      </c>
      <c r="C537" s="80" t="s">
        <v>1414</v>
      </c>
      <c r="D537" s="80"/>
      <c r="E537" s="80">
        <v>68427709</v>
      </c>
      <c r="F537" s="177">
        <v>0</v>
      </c>
      <c r="G537" s="80" t="s">
        <v>1029</v>
      </c>
      <c r="H537" s="80" t="s">
        <v>73</v>
      </c>
      <c r="I537" s="80"/>
      <c r="J537" s="80">
        <v>2021</v>
      </c>
      <c r="K537" s="80" t="s">
        <v>605</v>
      </c>
      <c r="L537" s="80"/>
    </row>
    <row r="538" spans="1:12" x14ac:dyDescent="0.25">
      <c r="A538" s="83">
        <v>44049</v>
      </c>
      <c r="B538" s="80" t="s">
        <v>1415</v>
      </c>
      <c r="C538" s="80" t="s">
        <v>1416</v>
      </c>
      <c r="D538" s="80" t="s">
        <v>0</v>
      </c>
      <c r="E538" s="80">
        <v>68427709</v>
      </c>
      <c r="F538" s="177">
        <v>530</v>
      </c>
      <c r="G538" s="80" t="s">
        <v>758</v>
      </c>
      <c r="H538" s="80" t="s">
        <v>73</v>
      </c>
      <c r="I538" s="80" t="s">
        <v>92</v>
      </c>
      <c r="J538" s="80">
        <v>2021</v>
      </c>
      <c r="K538" s="80" t="s">
        <v>1417</v>
      </c>
      <c r="L538" s="80" t="s">
        <v>1418</v>
      </c>
    </row>
    <row r="539" spans="1:12" x14ac:dyDescent="0.25">
      <c r="A539" s="83">
        <v>44049</v>
      </c>
      <c r="B539" s="80" t="s">
        <v>1188</v>
      </c>
      <c r="C539" s="80" t="s">
        <v>1419</v>
      </c>
      <c r="D539" s="80" t="s">
        <v>244</v>
      </c>
      <c r="E539" s="80">
        <v>68427709</v>
      </c>
      <c r="F539" s="177">
        <v>0</v>
      </c>
      <c r="G539" s="80" t="s">
        <v>72</v>
      </c>
      <c r="H539" s="80" t="s">
        <v>73</v>
      </c>
      <c r="I539" s="80"/>
      <c r="J539" s="80">
        <v>2021</v>
      </c>
      <c r="K539" s="80" t="s">
        <v>605</v>
      </c>
      <c r="L539" s="80"/>
    </row>
    <row r="540" spans="1:12" x14ac:dyDescent="0.25">
      <c r="A540" s="83">
        <v>44049</v>
      </c>
      <c r="B540" s="80" t="s">
        <v>1367</v>
      </c>
      <c r="C540" s="80" t="s">
        <v>1420</v>
      </c>
      <c r="D540" s="80" t="s">
        <v>0</v>
      </c>
      <c r="E540" s="80">
        <v>68427709</v>
      </c>
      <c r="F540" s="177">
        <v>0</v>
      </c>
      <c r="G540" s="80" t="s">
        <v>72</v>
      </c>
      <c r="H540" s="80" t="s">
        <v>73</v>
      </c>
      <c r="I540" s="80"/>
      <c r="J540" s="80">
        <v>2021</v>
      </c>
      <c r="K540" s="80" t="s">
        <v>605</v>
      </c>
      <c r="L540" s="80"/>
    </row>
    <row r="541" spans="1:12" x14ac:dyDescent="0.25">
      <c r="A541" s="83"/>
      <c r="B541" s="80"/>
      <c r="C541" s="80"/>
      <c r="D541" s="80"/>
      <c r="E541" s="80"/>
      <c r="F541" s="177"/>
      <c r="G541" s="80"/>
      <c r="H541" s="80"/>
      <c r="I541" s="80"/>
      <c r="J541" s="80">
        <v>2021</v>
      </c>
      <c r="K541" s="80"/>
      <c r="L541" s="155"/>
    </row>
    <row r="542" spans="1:12" x14ac:dyDescent="0.25">
      <c r="A542" s="83">
        <v>44056</v>
      </c>
      <c r="B542" s="80" t="s">
        <v>1421</v>
      </c>
      <c r="C542" s="80"/>
      <c r="D542" s="80" t="s">
        <v>0</v>
      </c>
      <c r="E542" s="80">
        <v>68427709</v>
      </c>
      <c r="F542" s="177">
        <v>596000</v>
      </c>
      <c r="G542" s="80" t="s">
        <v>758</v>
      </c>
      <c r="H542" s="80" t="s">
        <v>73</v>
      </c>
      <c r="I542" s="80" t="s">
        <v>140</v>
      </c>
      <c r="J542" s="80">
        <v>2021</v>
      </c>
      <c r="K542" s="80" t="s">
        <v>1389</v>
      </c>
      <c r="L542" s="80"/>
    </row>
    <row r="543" spans="1:12" x14ac:dyDescent="0.25">
      <c r="A543" s="83">
        <v>44074</v>
      </c>
      <c r="B543" s="80" t="s">
        <v>806</v>
      </c>
      <c r="C543" s="80" t="s">
        <v>1422</v>
      </c>
      <c r="D543" s="80" t="s">
        <v>0</v>
      </c>
      <c r="E543" s="80">
        <v>68427709</v>
      </c>
      <c r="F543" s="94">
        <v>15000</v>
      </c>
      <c r="G543" s="80" t="s">
        <v>72</v>
      </c>
      <c r="H543" s="80" t="s">
        <v>73</v>
      </c>
      <c r="I543" s="80" t="s">
        <v>92</v>
      </c>
      <c r="J543" s="80">
        <v>2021</v>
      </c>
      <c r="K543" s="80" t="s">
        <v>482</v>
      </c>
      <c r="L543" s="80" t="s">
        <v>1423</v>
      </c>
    </row>
    <row r="544" spans="1:12" x14ac:dyDescent="0.25">
      <c r="A544" s="83">
        <v>44077</v>
      </c>
      <c r="B544" s="80" t="s">
        <v>1424</v>
      </c>
      <c r="C544" s="80" t="s">
        <v>1425</v>
      </c>
      <c r="D544" s="80" t="s">
        <v>0</v>
      </c>
      <c r="E544" s="80">
        <v>68427709</v>
      </c>
      <c r="F544" s="177">
        <v>-100000</v>
      </c>
      <c r="G544" s="80" t="s">
        <v>72</v>
      </c>
      <c r="H544" s="80" t="s">
        <v>73</v>
      </c>
      <c r="I544" s="80" t="s">
        <v>92</v>
      </c>
      <c r="J544" s="80">
        <v>2021</v>
      </c>
      <c r="K544" s="80" t="s">
        <v>75</v>
      </c>
      <c r="L544" s="80"/>
    </row>
    <row r="545" spans="1:12" x14ac:dyDescent="0.25">
      <c r="A545" s="83">
        <v>44077</v>
      </c>
      <c r="B545" s="80" t="s">
        <v>1426</v>
      </c>
      <c r="C545" s="80" t="s">
        <v>1427</v>
      </c>
      <c r="D545" s="80" t="s">
        <v>0</v>
      </c>
      <c r="E545" s="80">
        <v>68427709</v>
      </c>
      <c r="F545" s="177">
        <v>-100000</v>
      </c>
      <c r="G545" s="80" t="s">
        <v>72</v>
      </c>
      <c r="H545" s="80" t="s">
        <v>73</v>
      </c>
      <c r="I545" s="80" t="s">
        <v>92</v>
      </c>
      <c r="J545" s="80">
        <v>2021</v>
      </c>
      <c r="K545" s="80" t="s">
        <v>75</v>
      </c>
      <c r="L545" s="80"/>
    </row>
    <row r="546" spans="1:12" x14ac:dyDescent="0.25">
      <c r="A546" s="83">
        <v>44077</v>
      </c>
      <c r="B546" s="80" t="s">
        <v>1428</v>
      </c>
      <c r="C546" s="80" t="s">
        <v>1429</v>
      </c>
      <c r="D546" s="80" t="s">
        <v>311</v>
      </c>
      <c r="E546" s="80">
        <v>68427709</v>
      </c>
      <c r="F546" s="177">
        <v>-21000</v>
      </c>
      <c r="G546" s="80" t="s">
        <v>261</v>
      </c>
      <c r="H546" s="80" t="s">
        <v>73</v>
      </c>
      <c r="I546" s="80" t="s">
        <v>92</v>
      </c>
      <c r="J546" s="80">
        <v>2021</v>
      </c>
      <c r="K546" s="80" t="s">
        <v>75</v>
      </c>
      <c r="L546" s="80" t="s">
        <v>1405</v>
      </c>
    </row>
    <row r="547" spans="1:12" x14ac:dyDescent="0.25">
      <c r="A547" s="83">
        <v>44077</v>
      </c>
      <c r="B547" s="80" t="s">
        <v>1430</v>
      </c>
      <c r="C547" s="80" t="s">
        <v>1431</v>
      </c>
      <c r="D547" s="80" t="s">
        <v>311</v>
      </c>
      <c r="E547" s="80">
        <v>68427709</v>
      </c>
      <c r="F547" s="177">
        <v>-10000</v>
      </c>
      <c r="G547" s="80" t="s">
        <v>72</v>
      </c>
      <c r="H547" s="80" t="s">
        <v>73</v>
      </c>
      <c r="I547" s="80" t="s">
        <v>92</v>
      </c>
      <c r="J547" s="80">
        <v>2021</v>
      </c>
      <c r="K547" s="80" t="s">
        <v>75</v>
      </c>
      <c r="L547" s="80" t="s">
        <v>1405</v>
      </c>
    </row>
    <row r="548" spans="1:12" x14ac:dyDescent="0.25">
      <c r="A548" s="83">
        <v>44077</v>
      </c>
      <c r="B548" s="80" t="s">
        <v>1432</v>
      </c>
      <c r="C548" s="80" t="s">
        <v>1433</v>
      </c>
      <c r="D548" s="80" t="s">
        <v>311</v>
      </c>
      <c r="E548" s="80">
        <v>68427709</v>
      </c>
      <c r="F548" s="177">
        <v>-120000</v>
      </c>
      <c r="G548" s="80" t="s">
        <v>72</v>
      </c>
      <c r="H548" s="80" t="s">
        <v>73</v>
      </c>
      <c r="I548" s="80" t="s">
        <v>92</v>
      </c>
      <c r="J548" s="80">
        <v>2021</v>
      </c>
      <c r="K548" s="80" t="s">
        <v>75</v>
      </c>
      <c r="L548" s="80" t="s">
        <v>1405</v>
      </c>
    </row>
    <row r="549" spans="1:12" x14ac:dyDescent="0.25">
      <c r="A549" s="83">
        <v>44077</v>
      </c>
      <c r="B549" s="80" t="s">
        <v>841</v>
      </c>
      <c r="C549" s="80" t="s">
        <v>1433</v>
      </c>
      <c r="D549" s="80" t="s">
        <v>311</v>
      </c>
      <c r="E549" s="80">
        <v>68427709</v>
      </c>
      <c r="F549" s="177">
        <v>-107000</v>
      </c>
      <c r="G549" s="80" t="s">
        <v>72</v>
      </c>
      <c r="H549" s="80" t="s">
        <v>73</v>
      </c>
      <c r="I549" s="80" t="s">
        <v>92</v>
      </c>
      <c r="J549" s="80">
        <v>2021</v>
      </c>
      <c r="K549" s="80" t="s">
        <v>75</v>
      </c>
      <c r="L549" s="80" t="s">
        <v>1405</v>
      </c>
    </row>
    <row r="550" spans="1:12" x14ac:dyDescent="0.25">
      <c r="A550" s="83">
        <v>44077</v>
      </c>
      <c r="B550" s="80" t="s">
        <v>1434</v>
      </c>
      <c r="C550" s="80" t="s">
        <v>1433</v>
      </c>
      <c r="D550" s="80" t="s">
        <v>311</v>
      </c>
      <c r="E550" s="80">
        <v>68427709</v>
      </c>
      <c r="F550" s="177">
        <v>-22000</v>
      </c>
      <c r="G550" s="80" t="s">
        <v>72</v>
      </c>
      <c r="H550" s="80" t="s">
        <v>73</v>
      </c>
      <c r="I550" s="80" t="s">
        <v>92</v>
      </c>
      <c r="J550" s="80">
        <v>2021</v>
      </c>
      <c r="K550" s="80" t="s">
        <v>75</v>
      </c>
      <c r="L550" s="80" t="s">
        <v>1405</v>
      </c>
    </row>
    <row r="551" spans="1:12" x14ac:dyDescent="0.25">
      <c r="A551" s="83">
        <v>44077</v>
      </c>
      <c r="B551" s="80" t="s">
        <v>1435</v>
      </c>
      <c r="C551" s="80" t="s">
        <v>1433</v>
      </c>
      <c r="D551" s="80" t="s">
        <v>311</v>
      </c>
      <c r="E551" s="80">
        <v>68427709</v>
      </c>
      <c r="F551" s="177">
        <v>-282000</v>
      </c>
      <c r="G551" s="80" t="s">
        <v>72</v>
      </c>
      <c r="H551" s="80" t="s">
        <v>73</v>
      </c>
      <c r="I551" s="80" t="s">
        <v>92</v>
      </c>
      <c r="J551" s="80">
        <v>2021</v>
      </c>
      <c r="K551" s="80" t="s">
        <v>75</v>
      </c>
      <c r="L551" s="80" t="s">
        <v>1405</v>
      </c>
    </row>
    <row r="552" spans="1:12" x14ac:dyDescent="0.25">
      <c r="A552" s="83">
        <v>44077</v>
      </c>
      <c r="B552" s="80" t="s">
        <v>1436</v>
      </c>
      <c r="C552" s="80" t="s">
        <v>1437</v>
      </c>
      <c r="D552" s="80" t="s">
        <v>311</v>
      </c>
      <c r="E552" s="80">
        <v>68427709</v>
      </c>
      <c r="F552" s="177">
        <v>-125000</v>
      </c>
      <c r="G552" s="80" t="s">
        <v>72</v>
      </c>
      <c r="H552" s="80" t="s">
        <v>73</v>
      </c>
      <c r="I552" s="80" t="s">
        <v>92</v>
      </c>
      <c r="J552" s="80">
        <v>2021</v>
      </c>
      <c r="K552" s="80" t="s">
        <v>75</v>
      </c>
      <c r="L552" s="80" t="s">
        <v>1405</v>
      </c>
    </row>
    <row r="553" spans="1:12" x14ac:dyDescent="0.25">
      <c r="A553" s="83">
        <v>44077</v>
      </c>
      <c r="B553" s="80" t="s">
        <v>1438</v>
      </c>
      <c r="C553" s="80" t="s">
        <v>1439</v>
      </c>
      <c r="D553" s="80" t="s">
        <v>311</v>
      </c>
      <c r="E553" s="80">
        <v>68427709</v>
      </c>
      <c r="F553" s="177">
        <v>-332000</v>
      </c>
      <c r="G553" s="80" t="s">
        <v>72</v>
      </c>
      <c r="H553" s="80" t="s">
        <v>73</v>
      </c>
      <c r="I553" s="80" t="s">
        <v>92</v>
      </c>
      <c r="J553" s="80">
        <v>2021</v>
      </c>
      <c r="K553" s="80" t="s">
        <v>75</v>
      </c>
      <c r="L553" s="80" t="s">
        <v>1405</v>
      </c>
    </row>
    <row r="554" spans="1:12" x14ac:dyDescent="0.25">
      <c r="A554" s="83">
        <v>44077</v>
      </c>
      <c r="B554" s="80" t="s">
        <v>1440</v>
      </c>
      <c r="C554" s="80" t="s">
        <v>1439</v>
      </c>
      <c r="D554" s="80" t="s">
        <v>311</v>
      </c>
      <c r="E554" s="80">
        <v>68427709</v>
      </c>
      <c r="F554" s="177">
        <v>-430000</v>
      </c>
      <c r="G554" s="80" t="s">
        <v>72</v>
      </c>
      <c r="H554" s="80" t="s">
        <v>73</v>
      </c>
      <c r="I554" s="80" t="s">
        <v>92</v>
      </c>
      <c r="J554" s="80">
        <v>2021</v>
      </c>
      <c r="K554" s="80" t="s">
        <v>75</v>
      </c>
      <c r="L554" s="80" t="s">
        <v>1405</v>
      </c>
    </row>
    <row r="555" spans="1:12" x14ac:dyDescent="0.25">
      <c r="A555" s="83">
        <v>44077</v>
      </c>
      <c r="B555" s="80" t="s">
        <v>1441</v>
      </c>
      <c r="C555" s="80" t="s">
        <v>1442</v>
      </c>
      <c r="D555" s="80" t="s">
        <v>311</v>
      </c>
      <c r="E555" s="80">
        <v>68427709</v>
      </c>
      <c r="F555" s="177">
        <v>625000</v>
      </c>
      <c r="G555" s="80" t="s">
        <v>72</v>
      </c>
      <c r="H555" s="80" t="s">
        <v>73</v>
      </c>
      <c r="I555" s="80" t="s">
        <v>92</v>
      </c>
      <c r="J555" s="80">
        <v>2021</v>
      </c>
      <c r="K555" s="80" t="s">
        <v>75</v>
      </c>
      <c r="L555" s="80" t="s">
        <v>1405</v>
      </c>
    </row>
    <row r="556" spans="1:12" x14ac:dyDescent="0.25">
      <c r="A556" s="83">
        <v>44077</v>
      </c>
      <c r="B556" s="80" t="s">
        <v>1443</v>
      </c>
      <c r="C556" s="80" t="s">
        <v>1444</v>
      </c>
      <c r="D556" s="80" t="s">
        <v>311</v>
      </c>
      <c r="E556" s="80">
        <v>68427709</v>
      </c>
      <c r="F556" s="177">
        <v>80000</v>
      </c>
      <c r="G556" s="80" t="s">
        <v>72</v>
      </c>
      <c r="H556" s="80" t="s">
        <v>73</v>
      </c>
      <c r="I556" s="80" t="s">
        <v>92</v>
      </c>
      <c r="J556" s="80">
        <v>2021</v>
      </c>
      <c r="K556" s="80" t="s">
        <v>75</v>
      </c>
      <c r="L556" s="80" t="s">
        <v>1405</v>
      </c>
    </row>
    <row r="557" spans="1:12" x14ac:dyDescent="0.25">
      <c r="A557" s="83">
        <v>44077</v>
      </c>
      <c r="B557" s="98" t="s">
        <v>1445</v>
      </c>
      <c r="C557" s="80" t="s">
        <v>1439</v>
      </c>
      <c r="D557" s="80" t="s">
        <v>311</v>
      </c>
      <c r="E557" s="80">
        <v>68427709</v>
      </c>
      <c r="F557" s="177">
        <v>85000</v>
      </c>
      <c r="G557" s="80" t="s">
        <v>72</v>
      </c>
      <c r="H557" s="80" t="s">
        <v>73</v>
      </c>
      <c r="I557" s="80" t="s">
        <v>92</v>
      </c>
      <c r="J557" s="80">
        <v>2021</v>
      </c>
      <c r="K557" s="80" t="s">
        <v>75</v>
      </c>
      <c r="L557" s="80" t="s">
        <v>1405</v>
      </c>
    </row>
    <row r="558" spans="1:12" x14ac:dyDescent="0.25">
      <c r="A558" s="179">
        <v>44077</v>
      </c>
      <c r="B558" s="98" t="s">
        <v>1446</v>
      </c>
      <c r="C558" s="142" t="s">
        <v>1447</v>
      </c>
      <c r="D558" s="142" t="s">
        <v>311</v>
      </c>
      <c r="E558" s="142">
        <v>68427709</v>
      </c>
      <c r="F558" s="180">
        <v>500000</v>
      </c>
      <c r="G558" s="142" t="s">
        <v>72</v>
      </c>
      <c r="H558" s="142" t="s">
        <v>73</v>
      </c>
      <c r="I558" s="142" t="s">
        <v>92</v>
      </c>
      <c r="J558" s="142">
        <v>2021</v>
      </c>
      <c r="K558" s="142" t="s">
        <v>75</v>
      </c>
      <c r="L558" s="142" t="s">
        <v>1405</v>
      </c>
    </row>
    <row r="559" spans="1:12" x14ac:dyDescent="0.25">
      <c r="A559" s="83">
        <v>44077</v>
      </c>
      <c r="B559" s="153" t="s">
        <v>1448</v>
      </c>
      <c r="C559" s="80" t="s">
        <v>1449</v>
      </c>
      <c r="D559" s="80" t="s">
        <v>311</v>
      </c>
      <c r="E559" s="80">
        <v>68427709</v>
      </c>
      <c r="F559" s="177">
        <v>170000</v>
      </c>
      <c r="G559" s="80" t="s">
        <v>72</v>
      </c>
      <c r="H559" s="80" t="s">
        <v>73</v>
      </c>
      <c r="I559" s="80" t="s">
        <v>92</v>
      </c>
      <c r="J559" s="80">
        <v>2021</v>
      </c>
      <c r="K559" s="80" t="s">
        <v>75</v>
      </c>
      <c r="L559" s="80" t="s">
        <v>1405</v>
      </c>
    </row>
    <row r="560" spans="1:12" x14ac:dyDescent="0.25">
      <c r="A560" s="83">
        <v>44077</v>
      </c>
      <c r="B560" s="80" t="s">
        <v>1450</v>
      </c>
      <c r="C560" s="80" t="s">
        <v>1451</v>
      </c>
      <c r="D560" s="80"/>
      <c r="E560" s="80">
        <v>68427709</v>
      </c>
      <c r="F560" s="177">
        <v>42000</v>
      </c>
      <c r="G560" s="80" t="s">
        <v>72</v>
      </c>
      <c r="H560" s="80" t="s">
        <v>73</v>
      </c>
      <c r="I560" s="80" t="s">
        <v>92</v>
      </c>
      <c r="J560" s="80">
        <v>2021</v>
      </c>
      <c r="K560" s="80" t="s">
        <v>1358</v>
      </c>
      <c r="L560" s="155" t="s">
        <v>1452</v>
      </c>
    </row>
    <row r="561" spans="1:12" x14ac:dyDescent="0.25">
      <c r="A561" s="83">
        <v>44082</v>
      </c>
      <c r="B561" s="153" t="s">
        <v>1453</v>
      </c>
      <c r="C561" s="80" t="s">
        <v>1454</v>
      </c>
      <c r="D561" s="80" t="s">
        <v>1453</v>
      </c>
      <c r="E561" s="80">
        <v>68427709</v>
      </c>
      <c r="F561" s="177">
        <v>-85000</v>
      </c>
      <c r="G561" s="80" t="s">
        <v>72</v>
      </c>
      <c r="H561" s="80" t="s">
        <v>73</v>
      </c>
      <c r="I561" s="80" t="s">
        <v>163</v>
      </c>
      <c r="J561" s="80">
        <v>2021</v>
      </c>
      <c r="K561" s="80" t="s">
        <v>268</v>
      </c>
      <c r="L561" s="80" t="s">
        <v>1455</v>
      </c>
    </row>
    <row r="562" spans="1:12" x14ac:dyDescent="0.25">
      <c r="A562" s="83">
        <v>44082</v>
      </c>
      <c r="B562" s="153" t="s">
        <v>1456</v>
      </c>
      <c r="C562" s="80" t="s">
        <v>1457</v>
      </c>
      <c r="D562" s="80" t="s">
        <v>460</v>
      </c>
      <c r="E562" s="80">
        <v>68427709</v>
      </c>
      <c r="F562" s="177">
        <v>-55000</v>
      </c>
      <c r="G562" s="80" t="s">
        <v>72</v>
      </c>
      <c r="H562" s="80" t="s">
        <v>73</v>
      </c>
      <c r="I562" s="80" t="s">
        <v>163</v>
      </c>
      <c r="J562" s="80">
        <v>2021</v>
      </c>
      <c r="K562" s="80" t="s">
        <v>75</v>
      </c>
      <c r="L562" s="80" t="s">
        <v>1458</v>
      </c>
    </row>
    <row r="563" spans="1:12" x14ac:dyDescent="0.25">
      <c r="A563" s="83">
        <v>44082</v>
      </c>
      <c r="B563" s="153" t="s">
        <v>1459</v>
      </c>
      <c r="C563" s="80" t="s">
        <v>1460</v>
      </c>
      <c r="D563" s="80" t="s">
        <v>1459</v>
      </c>
      <c r="E563" s="80">
        <v>68427709</v>
      </c>
      <c r="F563" s="177">
        <v>-12000</v>
      </c>
      <c r="G563" s="80" t="s">
        <v>72</v>
      </c>
      <c r="H563" s="80" t="s">
        <v>73</v>
      </c>
      <c r="I563" s="80" t="s">
        <v>163</v>
      </c>
      <c r="J563" s="80">
        <v>2021</v>
      </c>
      <c r="K563" s="80" t="s">
        <v>75</v>
      </c>
      <c r="L563" s="93" t="s">
        <v>1461</v>
      </c>
    </row>
    <row r="564" spans="1:12" x14ac:dyDescent="0.25">
      <c r="A564" s="83">
        <v>44082</v>
      </c>
      <c r="B564" s="153" t="s">
        <v>1462</v>
      </c>
      <c r="C564" s="80" t="s">
        <v>1463</v>
      </c>
      <c r="D564" s="80" t="s">
        <v>0</v>
      </c>
      <c r="E564" s="80">
        <v>68427709</v>
      </c>
      <c r="F564" s="177">
        <v>-10000</v>
      </c>
      <c r="G564" s="80" t="s">
        <v>72</v>
      </c>
      <c r="H564" s="80" t="s">
        <v>73</v>
      </c>
      <c r="I564" s="80" t="s">
        <v>163</v>
      </c>
      <c r="J564" s="80">
        <v>2021</v>
      </c>
      <c r="K564" s="80" t="s">
        <v>75</v>
      </c>
      <c r="L564" s="80" t="s">
        <v>1464</v>
      </c>
    </row>
    <row r="565" spans="1:12" x14ac:dyDescent="0.25">
      <c r="A565" s="83">
        <v>44082</v>
      </c>
      <c r="B565" s="153" t="s">
        <v>888</v>
      </c>
      <c r="C565" s="93" t="s">
        <v>1465</v>
      </c>
      <c r="D565" s="80" t="s">
        <v>0</v>
      </c>
      <c r="E565" s="80">
        <v>68427709</v>
      </c>
      <c r="F565" s="177">
        <v>-10000</v>
      </c>
      <c r="G565" s="80" t="s">
        <v>72</v>
      </c>
      <c r="H565" s="80" t="s">
        <v>73</v>
      </c>
      <c r="I565" s="80" t="s">
        <v>163</v>
      </c>
      <c r="J565" s="80">
        <v>2021</v>
      </c>
      <c r="K565" s="80" t="s">
        <v>75</v>
      </c>
      <c r="L565" s="80" t="s">
        <v>1466</v>
      </c>
    </row>
    <row r="566" spans="1:12" x14ac:dyDescent="0.25">
      <c r="A566" s="83">
        <v>44082</v>
      </c>
      <c r="B566" s="153" t="s">
        <v>1467</v>
      </c>
      <c r="C566" s="93" t="s">
        <v>1465</v>
      </c>
      <c r="D566" s="80" t="s">
        <v>1468</v>
      </c>
      <c r="E566" s="80">
        <v>68427709</v>
      </c>
      <c r="F566" s="177">
        <v>-11000</v>
      </c>
      <c r="G566" s="80" t="s">
        <v>72</v>
      </c>
      <c r="H566" s="80" t="s">
        <v>73</v>
      </c>
      <c r="I566" s="80" t="s">
        <v>163</v>
      </c>
      <c r="J566" s="80">
        <v>2021</v>
      </c>
      <c r="K566" s="80" t="s">
        <v>75</v>
      </c>
      <c r="L566" s="80" t="s">
        <v>1466</v>
      </c>
    </row>
    <row r="567" spans="1:12" x14ac:dyDescent="0.25">
      <c r="A567" s="83">
        <v>44082</v>
      </c>
      <c r="B567" s="80" t="s">
        <v>1469</v>
      </c>
      <c r="C567" s="80" t="s">
        <v>1470</v>
      </c>
      <c r="D567" s="80" t="s">
        <v>861</v>
      </c>
      <c r="E567" s="80">
        <v>68427709</v>
      </c>
      <c r="F567" s="177">
        <v>-30000</v>
      </c>
      <c r="G567" s="80" t="s">
        <v>72</v>
      </c>
      <c r="H567" s="80" t="s">
        <v>73</v>
      </c>
      <c r="I567" s="80" t="s">
        <v>163</v>
      </c>
      <c r="J567" s="80">
        <v>2021</v>
      </c>
      <c r="K567" s="80" t="s">
        <v>75</v>
      </c>
      <c r="L567" s="80" t="s">
        <v>1471</v>
      </c>
    </row>
    <row r="568" spans="1:12" x14ac:dyDescent="0.25">
      <c r="A568" s="83">
        <v>44082</v>
      </c>
      <c r="B568" s="153" t="s">
        <v>1472</v>
      </c>
      <c r="C568" s="80" t="s">
        <v>1473</v>
      </c>
      <c r="D568" s="80" t="s">
        <v>1472</v>
      </c>
      <c r="E568" s="80">
        <v>68427709</v>
      </c>
      <c r="F568" s="177">
        <v>-20000</v>
      </c>
      <c r="G568" s="80" t="s">
        <v>72</v>
      </c>
      <c r="H568" s="80" t="s">
        <v>73</v>
      </c>
      <c r="I568" s="80" t="s">
        <v>163</v>
      </c>
      <c r="J568" s="80">
        <v>2021</v>
      </c>
      <c r="K568" s="80" t="s">
        <v>75</v>
      </c>
      <c r="L568" s="93" t="s">
        <v>1461</v>
      </c>
    </row>
    <row r="569" spans="1:12" x14ac:dyDescent="0.25">
      <c r="A569" s="83">
        <v>44082</v>
      </c>
      <c r="B569" s="80" t="s">
        <v>1474</v>
      </c>
      <c r="C569" s="80" t="s">
        <v>1475</v>
      </c>
      <c r="D569" s="80" t="s">
        <v>1474</v>
      </c>
      <c r="E569" s="80">
        <v>68427709</v>
      </c>
      <c r="F569" s="177">
        <v>-27000</v>
      </c>
      <c r="G569" s="80" t="s">
        <v>72</v>
      </c>
      <c r="H569" s="80" t="s">
        <v>73</v>
      </c>
      <c r="I569" s="80" t="s">
        <v>163</v>
      </c>
      <c r="J569" s="80">
        <v>2021</v>
      </c>
      <c r="K569" s="80" t="s">
        <v>392</v>
      </c>
      <c r="L569" s="93" t="s">
        <v>1476</v>
      </c>
    </row>
    <row r="570" spans="1:12" x14ac:dyDescent="0.25">
      <c r="A570" s="83">
        <v>44082</v>
      </c>
      <c r="B570" s="80" t="s">
        <v>1477</v>
      </c>
      <c r="C570" s="80" t="s">
        <v>1478</v>
      </c>
      <c r="D570" s="80" t="s">
        <v>136</v>
      </c>
      <c r="E570" s="80">
        <v>68427709</v>
      </c>
      <c r="F570" s="177">
        <v>-22000</v>
      </c>
      <c r="G570" s="80" t="s">
        <v>72</v>
      </c>
      <c r="H570" s="80" t="s">
        <v>73</v>
      </c>
      <c r="I570" s="80" t="s">
        <v>163</v>
      </c>
      <c r="J570" s="80">
        <v>2021</v>
      </c>
      <c r="K570" s="80" t="s">
        <v>75</v>
      </c>
      <c r="L570" s="80" t="s">
        <v>1479</v>
      </c>
    </row>
    <row r="571" spans="1:12" x14ac:dyDescent="0.25">
      <c r="A571" s="83">
        <v>44082</v>
      </c>
      <c r="B571" s="181" t="s">
        <v>1480</v>
      </c>
      <c r="C571" s="80" t="s">
        <v>1481</v>
      </c>
      <c r="D571" s="80" t="s">
        <v>0</v>
      </c>
      <c r="E571" s="80">
        <v>68427709</v>
      </c>
      <c r="F571" s="177">
        <v>-120000</v>
      </c>
      <c r="G571" s="80" t="s">
        <v>72</v>
      </c>
      <c r="H571" s="80" t="s">
        <v>73</v>
      </c>
      <c r="I571" s="80" t="s">
        <v>163</v>
      </c>
      <c r="J571" s="80">
        <v>2021</v>
      </c>
      <c r="K571" s="80" t="s">
        <v>75</v>
      </c>
      <c r="L571" s="80" t="s">
        <v>1482</v>
      </c>
    </row>
    <row r="572" spans="1:12" x14ac:dyDescent="0.25">
      <c r="A572" s="83">
        <v>44082</v>
      </c>
      <c r="B572" s="80" t="s">
        <v>1483</v>
      </c>
      <c r="C572" s="80" t="s">
        <v>1484</v>
      </c>
      <c r="D572" s="80" t="s">
        <v>1483</v>
      </c>
      <c r="E572" s="80">
        <v>68427709</v>
      </c>
      <c r="F572" s="177">
        <v>-125000</v>
      </c>
      <c r="G572" s="80" t="s">
        <v>72</v>
      </c>
      <c r="H572" s="80" t="s">
        <v>73</v>
      </c>
      <c r="I572" s="80" t="s">
        <v>163</v>
      </c>
      <c r="J572" s="80">
        <v>2021</v>
      </c>
      <c r="K572" s="80" t="s">
        <v>75</v>
      </c>
      <c r="L572" s="80" t="s">
        <v>1485</v>
      </c>
    </row>
    <row r="573" spans="1:12" x14ac:dyDescent="0.25">
      <c r="A573" s="83">
        <v>44082</v>
      </c>
      <c r="B573" s="22" t="s">
        <v>1486</v>
      </c>
      <c r="C573" s="80" t="s">
        <v>1487</v>
      </c>
      <c r="D573" s="80" t="s">
        <v>0</v>
      </c>
      <c r="E573" s="80">
        <v>68427709</v>
      </c>
      <c r="F573" s="177">
        <v>-6500</v>
      </c>
      <c r="G573" s="80" t="s">
        <v>72</v>
      </c>
      <c r="H573" s="80" t="s">
        <v>73</v>
      </c>
      <c r="I573" s="80" t="s">
        <v>163</v>
      </c>
      <c r="J573" s="80">
        <v>2021</v>
      </c>
      <c r="K573" s="80" t="s">
        <v>75</v>
      </c>
      <c r="L573" s="80"/>
    </row>
    <row r="574" spans="1:12" x14ac:dyDescent="0.25">
      <c r="A574" s="83">
        <v>44082</v>
      </c>
      <c r="B574" t="s">
        <v>1488</v>
      </c>
      <c r="C574" s="80" t="s">
        <v>1489</v>
      </c>
      <c r="D574" s="80" t="s">
        <v>0</v>
      </c>
      <c r="E574" s="80">
        <v>68427709</v>
      </c>
      <c r="F574" s="177">
        <v>-225000</v>
      </c>
      <c r="G574" s="80" t="s">
        <v>72</v>
      </c>
      <c r="H574" s="80" t="s">
        <v>73</v>
      </c>
      <c r="I574" s="80" t="s">
        <v>163</v>
      </c>
      <c r="J574" s="80">
        <v>2021</v>
      </c>
      <c r="K574" s="80" t="s">
        <v>75</v>
      </c>
      <c r="L574" s="80" t="s">
        <v>1490</v>
      </c>
    </row>
    <row r="575" spans="1:12" x14ac:dyDescent="0.25">
      <c r="A575" s="83">
        <v>44088</v>
      </c>
      <c r="B575" s="80" t="s">
        <v>1491</v>
      </c>
      <c r="C575" s="80" t="s">
        <v>1492</v>
      </c>
      <c r="D575" s="80" t="s">
        <v>139</v>
      </c>
      <c r="E575" s="80">
        <v>68427719</v>
      </c>
      <c r="F575" s="177">
        <v>0</v>
      </c>
      <c r="G575" s="80" t="s">
        <v>261</v>
      </c>
      <c r="H575" s="80" t="s">
        <v>73</v>
      </c>
      <c r="I575" s="80" t="s">
        <v>163</v>
      </c>
      <c r="J575" s="80">
        <v>2021</v>
      </c>
      <c r="K575" s="80" t="s">
        <v>1358</v>
      </c>
      <c r="L575" s="80" t="s">
        <v>1355</v>
      </c>
    </row>
    <row r="576" spans="1:12" x14ac:dyDescent="0.25">
      <c r="A576" s="83">
        <v>44088</v>
      </c>
      <c r="B576" s="80" t="s">
        <v>1493</v>
      </c>
      <c r="C576" s="80" t="s">
        <v>1494</v>
      </c>
      <c r="D576" s="80" t="s">
        <v>40</v>
      </c>
      <c r="E576" s="80">
        <v>68427709</v>
      </c>
      <c r="F576" s="177">
        <v>0</v>
      </c>
      <c r="G576" s="80" t="s">
        <v>72</v>
      </c>
      <c r="H576" s="80" t="s">
        <v>73</v>
      </c>
      <c r="I576" s="80" t="s">
        <v>163</v>
      </c>
      <c r="J576" s="80">
        <v>2021</v>
      </c>
      <c r="K576" s="80" t="s">
        <v>1389</v>
      </c>
      <c r="L576" s="80"/>
    </row>
    <row r="577" spans="1:12" x14ac:dyDescent="0.25">
      <c r="A577" s="83">
        <v>44090</v>
      </c>
      <c r="B577" s="80" t="s">
        <v>1495</v>
      </c>
      <c r="C577" s="80" t="s">
        <v>1496</v>
      </c>
      <c r="D577" s="80" t="s">
        <v>861</v>
      </c>
      <c r="E577" s="80">
        <v>68427709</v>
      </c>
      <c r="F577" s="177">
        <v>-106000</v>
      </c>
      <c r="G577" s="80" t="s">
        <v>72</v>
      </c>
      <c r="H577" s="80" t="s">
        <v>73</v>
      </c>
      <c r="I577" s="80" t="s">
        <v>163</v>
      </c>
      <c r="J577" s="80">
        <v>2021</v>
      </c>
      <c r="K577" s="80" t="s">
        <v>75</v>
      </c>
      <c r="L577" s="80" t="s">
        <v>1497</v>
      </c>
    </row>
    <row r="578" spans="1:12" x14ac:dyDescent="0.25">
      <c r="A578" s="83">
        <v>44090</v>
      </c>
      <c r="B578" s="80" t="s">
        <v>1498</v>
      </c>
      <c r="C578" s="80" t="s">
        <v>1499</v>
      </c>
      <c r="D578" s="80" t="s">
        <v>861</v>
      </c>
      <c r="E578" s="80">
        <v>68427709</v>
      </c>
      <c r="F578" s="177">
        <v>9000</v>
      </c>
      <c r="G578" s="80" t="s">
        <v>72</v>
      </c>
      <c r="H578" s="80" t="s">
        <v>73</v>
      </c>
      <c r="I578" s="80" t="s">
        <v>163</v>
      </c>
      <c r="J578" s="80">
        <v>2021</v>
      </c>
      <c r="K578" s="80" t="s">
        <v>75</v>
      </c>
      <c r="L578" s="80"/>
    </row>
    <row r="579" spans="1:12" x14ac:dyDescent="0.25">
      <c r="A579" s="83">
        <v>44090</v>
      </c>
      <c r="B579" s="80" t="s">
        <v>266</v>
      </c>
      <c r="C579" s="80" t="s">
        <v>1500</v>
      </c>
      <c r="D579" s="80" t="s">
        <v>266</v>
      </c>
      <c r="E579" s="80">
        <v>68427709</v>
      </c>
      <c r="F579" s="177">
        <v>-30000</v>
      </c>
      <c r="G579" s="80" t="s">
        <v>72</v>
      </c>
      <c r="H579" s="80" t="s">
        <v>73</v>
      </c>
      <c r="I579" s="80" t="s">
        <v>163</v>
      </c>
      <c r="J579" s="80">
        <v>2021</v>
      </c>
      <c r="K579" s="80" t="s">
        <v>75</v>
      </c>
      <c r="L579" s="80"/>
    </row>
    <row r="580" spans="1:12" x14ac:dyDescent="0.25">
      <c r="A580" s="83">
        <v>44092</v>
      </c>
      <c r="B580" s="80" t="s">
        <v>980</v>
      </c>
      <c r="C580" s="80" t="s">
        <v>1501</v>
      </c>
      <c r="D580" s="80" t="s">
        <v>139</v>
      </c>
      <c r="E580" s="80">
        <v>68427719</v>
      </c>
      <c r="F580" s="177">
        <v>-900000</v>
      </c>
      <c r="G580" s="80" t="s">
        <v>72</v>
      </c>
      <c r="H580" s="80" t="s">
        <v>73</v>
      </c>
      <c r="I580" s="80" t="s">
        <v>92</v>
      </c>
      <c r="J580" s="80">
        <v>2021</v>
      </c>
      <c r="K580" s="80" t="s">
        <v>1358</v>
      </c>
      <c r="L580" s="80"/>
    </row>
    <row r="581" spans="1:12" x14ac:dyDescent="0.25">
      <c r="A581" s="83">
        <v>44092</v>
      </c>
      <c r="B581" s="80" t="s">
        <v>983</v>
      </c>
      <c r="C581" s="80" t="s">
        <v>1501</v>
      </c>
      <c r="D581" s="80" t="s">
        <v>143</v>
      </c>
      <c r="E581" s="80">
        <v>68427719</v>
      </c>
      <c r="F581" s="177">
        <v>-650000</v>
      </c>
      <c r="G581" s="80" t="s">
        <v>72</v>
      </c>
      <c r="H581" s="80" t="s">
        <v>73</v>
      </c>
      <c r="I581" s="80" t="s">
        <v>92</v>
      </c>
      <c r="J581" s="80">
        <v>2021</v>
      </c>
      <c r="K581" s="80" t="s">
        <v>1358</v>
      </c>
      <c r="L581" s="80"/>
    </row>
    <row r="582" spans="1:12" x14ac:dyDescent="0.25">
      <c r="A582" s="83">
        <v>44092</v>
      </c>
      <c r="B582" s="80" t="s">
        <v>984</v>
      </c>
      <c r="C582" s="80" t="s">
        <v>1501</v>
      </c>
      <c r="D582" s="80" t="s">
        <v>142</v>
      </c>
      <c r="E582" s="80">
        <v>68427719</v>
      </c>
      <c r="F582" s="177">
        <v>-1400000</v>
      </c>
      <c r="G582" s="80" t="s">
        <v>72</v>
      </c>
      <c r="H582" s="80" t="s">
        <v>73</v>
      </c>
      <c r="I582" s="80" t="s">
        <v>92</v>
      </c>
      <c r="J582" s="80">
        <v>2021</v>
      </c>
      <c r="K582" s="80" t="s">
        <v>1358</v>
      </c>
      <c r="L582" s="80"/>
    </row>
    <row r="583" spans="1:12" x14ac:dyDescent="0.25">
      <c r="A583" s="83">
        <v>44098</v>
      </c>
      <c r="B583" s="80" t="s">
        <v>1502</v>
      </c>
      <c r="C583" s="80" t="s">
        <v>1503</v>
      </c>
      <c r="D583" s="80" t="s">
        <v>139</v>
      </c>
      <c r="E583" s="80">
        <v>68427709</v>
      </c>
      <c r="F583" s="177">
        <v>13000</v>
      </c>
      <c r="G583" s="80" t="s">
        <v>72</v>
      </c>
      <c r="H583" s="80" t="s">
        <v>73</v>
      </c>
      <c r="I583" s="80" t="s">
        <v>87</v>
      </c>
      <c r="J583" s="80">
        <v>2021</v>
      </c>
      <c r="K583" s="80" t="s">
        <v>1358</v>
      </c>
      <c r="L583" s="80"/>
    </row>
    <row r="584" spans="1:12" x14ac:dyDescent="0.25">
      <c r="A584" s="83">
        <v>44102</v>
      </c>
      <c r="B584" s="80" t="s">
        <v>1504</v>
      </c>
      <c r="C584" s="80" t="s">
        <v>1505</v>
      </c>
      <c r="D584" s="80" t="s">
        <v>1468</v>
      </c>
      <c r="E584" s="80">
        <v>68427709</v>
      </c>
      <c r="F584" s="177">
        <v>14000</v>
      </c>
      <c r="G584" s="80" t="s">
        <v>72</v>
      </c>
      <c r="H584" s="80" t="s">
        <v>73</v>
      </c>
      <c r="I584" s="80" t="s">
        <v>163</v>
      </c>
      <c r="J584" s="80">
        <v>2021</v>
      </c>
      <c r="K584" s="80" t="s">
        <v>186</v>
      </c>
      <c r="L584" s="80" t="s">
        <v>1506</v>
      </c>
    </row>
    <row r="585" spans="1:12" x14ac:dyDescent="0.25">
      <c r="A585" s="83">
        <v>44106</v>
      </c>
      <c r="B585" s="80" t="s">
        <v>1507</v>
      </c>
      <c r="C585" s="80" t="s">
        <v>1508</v>
      </c>
      <c r="D585" s="80" t="s">
        <v>1220</v>
      </c>
      <c r="E585" s="80">
        <v>68427709</v>
      </c>
      <c r="F585" s="177">
        <v>150000</v>
      </c>
      <c r="G585" s="80" t="s">
        <v>72</v>
      </c>
      <c r="H585" s="80" t="s">
        <v>73</v>
      </c>
      <c r="I585" s="80" t="s">
        <v>163</v>
      </c>
      <c r="J585" s="80">
        <v>2021</v>
      </c>
      <c r="K585" s="80" t="s">
        <v>320</v>
      </c>
      <c r="L585" s="80"/>
    </row>
    <row r="586" spans="1:12" x14ac:dyDescent="0.25">
      <c r="A586" s="83">
        <v>44106</v>
      </c>
      <c r="B586" s="80" t="s">
        <v>1509</v>
      </c>
      <c r="C586" s="80" t="s">
        <v>1510</v>
      </c>
      <c r="D586" s="80" t="s">
        <v>1278</v>
      </c>
      <c r="E586" s="80">
        <v>68427709</v>
      </c>
      <c r="F586" s="177">
        <v>677000</v>
      </c>
      <c r="G586" s="80" t="s">
        <v>72</v>
      </c>
      <c r="H586" s="80" t="s">
        <v>73</v>
      </c>
      <c r="I586" s="80" t="s">
        <v>92</v>
      </c>
      <c r="J586" s="80">
        <v>2021</v>
      </c>
      <c r="K586" s="80" t="s">
        <v>501</v>
      </c>
      <c r="L586" s="80" t="s">
        <v>1511</v>
      </c>
    </row>
    <row r="587" spans="1:12" x14ac:dyDescent="0.25">
      <c r="A587" s="83">
        <v>44133</v>
      </c>
      <c r="B587" s="80" t="s">
        <v>1512</v>
      </c>
      <c r="C587" s="80" t="s">
        <v>1513</v>
      </c>
      <c r="D587" s="80"/>
      <c r="E587" s="80">
        <v>68427709</v>
      </c>
      <c r="F587" s="177">
        <v>-10000</v>
      </c>
      <c r="G587" s="80" t="s">
        <v>72</v>
      </c>
      <c r="H587" s="80" t="s">
        <v>73</v>
      </c>
      <c r="I587" s="80"/>
      <c r="J587" s="80">
        <v>2021</v>
      </c>
      <c r="K587" s="80"/>
      <c r="L587" s="80" t="s">
        <v>1514</v>
      </c>
    </row>
    <row r="588" spans="1:12" x14ac:dyDescent="0.25">
      <c r="A588" s="83">
        <v>44133</v>
      </c>
      <c r="B588" s="80" t="s">
        <v>1515</v>
      </c>
      <c r="C588" s="80" t="s">
        <v>1513</v>
      </c>
      <c r="D588" s="80"/>
      <c r="E588" s="80">
        <v>68427709</v>
      </c>
      <c r="F588" s="177">
        <v>-25000</v>
      </c>
      <c r="G588" s="80" t="s">
        <v>72</v>
      </c>
      <c r="H588" s="80" t="s">
        <v>73</v>
      </c>
      <c r="I588" s="80"/>
      <c r="J588" s="80">
        <v>2021</v>
      </c>
      <c r="K588" s="80"/>
      <c r="L588" s="80" t="s">
        <v>1514</v>
      </c>
    </row>
    <row r="589" spans="1:12" x14ac:dyDescent="0.25">
      <c r="A589" s="83">
        <v>44133</v>
      </c>
      <c r="B589" t="s">
        <v>911</v>
      </c>
      <c r="C589" s="80" t="s">
        <v>1513</v>
      </c>
      <c r="D589" s="80"/>
      <c r="E589" s="80">
        <v>68427709</v>
      </c>
      <c r="F589" s="177">
        <v>-25000</v>
      </c>
      <c r="G589" s="80" t="s">
        <v>72</v>
      </c>
      <c r="H589" s="80" t="s">
        <v>73</v>
      </c>
      <c r="I589" s="80"/>
      <c r="J589" s="80">
        <v>2021</v>
      </c>
      <c r="K589" s="80"/>
      <c r="L589" s="80" t="s">
        <v>1514</v>
      </c>
    </row>
    <row r="590" spans="1:12" x14ac:dyDescent="0.25">
      <c r="A590" s="83">
        <v>44133</v>
      </c>
      <c r="B590" s="80" t="s">
        <v>1516</v>
      </c>
      <c r="C590" s="80" t="s">
        <v>1513</v>
      </c>
      <c r="D590" s="80"/>
      <c r="E590" s="80">
        <v>68427709</v>
      </c>
      <c r="F590" s="177">
        <v>-230000</v>
      </c>
      <c r="G590" s="80" t="s">
        <v>72</v>
      </c>
      <c r="H590" s="80" t="s">
        <v>73</v>
      </c>
      <c r="I590" s="80"/>
      <c r="J590" s="80">
        <v>2021</v>
      </c>
      <c r="K590" s="80"/>
      <c r="L590" s="80" t="s">
        <v>1514</v>
      </c>
    </row>
    <row r="591" spans="1:12" x14ac:dyDescent="0.25">
      <c r="A591" s="83">
        <v>44133</v>
      </c>
      <c r="B591" t="s">
        <v>1517</v>
      </c>
      <c r="C591" s="80" t="s">
        <v>1513</v>
      </c>
      <c r="D591" s="80"/>
      <c r="E591" s="80">
        <v>68427709</v>
      </c>
      <c r="F591" s="177">
        <v>-80000</v>
      </c>
      <c r="G591" s="80" t="s">
        <v>72</v>
      </c>
      <c r="H591" s="80" t="s">
        <v>73</v>
      </c>
      <c r="I591" s="80"/>
      <c r="J591" s="80">
        <v>2021</v>
      </c>
      <c r="K591" s="80"/>
      <c r="L591" s="80" t="s">
        <v>1514</v>
      </c>
    </row>
    <row r="592" spans="1:12" x14ac:dyDescent="0.25">
      <c r="A592" s="83">
        <v>44133</v>
      </c>
      <c r="B592" s="80" t="s">
        <v>1518</v>
      </c>
      <c r="C592" s="80" t="s">
        <v>1513</v>
      </c>
      <c r="D592" s="80"/>
      <c r="E592" s="80">
        <v>68427709</v>
      </c>
      <c r="F592" s="177">
        <v>-40000</v>
      </c>
      <c r="G592" s="80" t="s">
        <v>72</v>
      </c>
      <c r="H592" s="80" t="s">
        <v>73</v>
      </c>
      <c r="I592" s="80"/>
      <c r="J592" s="80">
        <v>2021</v>
      </c>
      <c r="K592" s="80"/>
      <c r="L592" s="80" t="s">
        <v>1514</v>
      </c>
    </row>
    <row r="593" spans="1:12" x14ac:dyDescent="0.25">
      <c r="A593" s="83">
        <v>44133</v>
      </c>
      <c r="B593" s="80" t="s">
        <v>1493</v>
      </c>
      <c r="C593" s="80" t="s">
        <v>1513</v>
      </c>
      <c r="D593" s="80"/>
      <c r="E593" s="80">
        <v>68427709</v>
      </c>
      <c r="F593" s="177">
        <v>-56000</v>
      </c>
      <c r="G593" s="80" t="s">
        <v>72</v>
      </c>
      <c r="H593" s="80" t="s">
        <v>73</v>
      </c>
      <c r="I593" s="80"/>
      <c r="J593" s="80">
        <v>2021</v>
      </c>
      <c r="K593" s="80"/>
      <c r="L593" s="80" t="s">
        <v>1514</v>
      </c>
    </row>
    <row r="594" spans="1:12" x14ac:dyDescent="0.25">
      <c r="A594" s="83">
        <v>44137</v>
      </c>
      <c r="B594" s="80" t="s">
        <v>1519</v>
      </c>
      <c r="C594" s="80" t="s">
        <v>1513</v>
      </c>
      <c r="D594" s="80"/>
      <c r="E594" s="80">
        <v>68427709</v>
      </c>
      <c r="F594" s="177">
        <v>-245000</v>
      </c>
      <c r="G594" s="80" t="s">
        <v>72</v>
      </c>
      <c r="H594" s="80" t="s">
        <v>73</v>
      </c>
      <c r="I594" s="80"/>
      <c r="J594" s="80">
        <v>2021</v>
      </c>
      <c r="K594" s="80" t="s">
        <v>1164</v>
      </c>
      <c r="L594" s="80" t="s">
        <v>1520</v>
      </c>
    </row>
    <row r="595" spans="1:12" x14ac:dyDescent="0.25">
      <c r="A595" s="83">
        <v>44137</v>
      </c>
      <c r="B595" s="80" t="s">
        <v>1521</v>
      </c>
      <c r="C595" s="80" t="s">
        <v>1513</v>
      </c>
      <c r="D595" s="80"/>
      <c r="E595" s="80">
        <v>68427709</v>
      </c>
      <c r="F595" s="177">
        <v>-50000</v>
      </c>
      <c r="G595" s="80" t="s">
        <v>72</v>
      </c>
      <c r="H595" s="80" t="s">
        <v>73</v>
      </c>
      <c r="I595" s="80"/>
      <c r="J595" s="80">
        <v>2021</v>
      </c>
      <c r="K595" s="80" t="s">
        <v>1164</v>
      </c>
      <c r="L595" s="80" t="s">
        <v>1520</v>
      </c>
    </row>
    <row r="596" spans="1:12" x14ac:dyDescent="0.25">
      <c r="A596" s="83">
        <v>44137</v>
      </c>
      <c r="B596" s="80" t="s">
        <v>530</v>
      </c>
      <c r="C596" s="80" t="s">
        <v>1513</v>
      </c>
      <c r="D596" s="80"/>
      <c r="E596" s="80">
        <v>68427709</v>
      </c>
      <c r="F596" s="177">
        <v>-71430</v>
      </c>
      <c r="G596" s="80" t="s">
        <v>72</v>
      </c>
      <c r="H596" s="80" t="s">
        <v>73</v>
      </c>
      <c r="I596" s="80"/>
      <c r="J596" s="80">
        <v>2021</v>
      </c>
      <c r="K596" s="80" t="s">
        <v>1164</v>
      </c>
      <c r="L596" s="80" t="s">
        <v>1520</v>
      </c>
    </row>
    <row r="597" spans="1:12" x14ac:dyDescent="0.25">
      <c r="A597" s="83"/>
      <c r="C597" s="80"/>
      <c r="D597" s="80"/>
      <c r="E597" s="80"/>
      <c r="F597" s="177"/>
      <c r="G597" s="80"/>
      <c r="H597" s="80"/>
      <c r="I597" s="80"/>
      <c r="J597" s="80">
        <v>2022</v>
      </c>
      <c r="K597" s="80"/>
      <c r="L597" s="80"/>
    </row>
    <row r="598" spans="1:12" x14ac:dyDescent="0.25">
      <c r="A598" s="83">
        <v>44137</v>
      </c>
      <c r="B598" t="s">
        <v>1522</v>
      </c>
      <c r="C598" s="80" t="s">
        <v>1523</v>
      </c>
      <c r="D598" s="80" t="s">
        <v>1522</v>
      </c>
      <c r="E598" s="80">
        <v>68427709</v>
      </c>
      <c r="F598" s="177">
        <v>17000</v>
      </c>
      <c r="G598" s="80" t="s">
        <v>72</v>
      </c>
      <c r="H598" s="80" t="s">
        <v>73</v>
      </c>
      <c r="I598" s="80" t="s">
        <v>163</v>
      </c>
      <c r="J598" s="80">
        <v>2022</v>
      </c>
      <c r="K598" s="80" t="s">
        <v>514</v>
      </c>
      <c r="L598" s="80" t="s">
        <v>1524</v>
      </c>
    </row>
    <row r="599" spans="1:12" x14ac:dyDescent="0.25">
      <c r="A599" s="83">
        <v>44137</v>
      </c>
      <c r="B599" s="80" t="s">
        <v>94</v>
      </c>
      <c r="C599" s="80" t="s">
        <v>1525</v>
      </c>
      <c r="D599" s="80" t="s">
        <v>94</v>
      </c>
      <c r="E599" s="80">
        <v>68427709</v>
      </c>
      <c r="F599" s="177">
        <v>70000</v>
      </c>
      <c r="G599" s="80" t="s">
        <v>72</v>
      </c>
      <c r="H599" s="80" t="s">
        <v>73</v>
      </c>
      <c r="I599" s="80" t="s">
        <v>163</v>
      </c>
      <c r="J599" s="80">
        <v>2022</v>
      </c>
      <c r="K599" s="80" t="s">
        <v>1526</v>
      </c>
      <c r="L599" s="80" t="s">
        <v>1524</v>
      </c>
    </row>
    <row r="600" spans="1:12" x14ac:dyDescent="0.25">
      <c r="A600" s="83">
        <v>44140</v>
      </c>
      <c r="B600" s="80" t="s">
        <v>1527</v>
      </c>
      <c r="C600" s="80" t="s">
        <v>1528</v>
      </c>
      <c r="D600" s="80" t="s">
        <v>1529</v>
      </c>
      <c r="E600" s="80">
        <v>68427709</v>
      </c>
      <c r="F600" s="94">
        <v>210000</v>
      </c>
      <c r="G600" s="80" t="s">
        <v>72</v>
      </c>
      <c r="H600" s="80" t="s">
        <v>73</v>
      </c>
      <c r="I600" s="80" t="s">
        <v>92</v>
      </c>
      <c r="J600" s="80">
        <v>2022</v>
      </c>
      <c r="K600" s="80" t="s">
        <v>1530</v>
      </c>
      <c r="L600" s="80" t="s">
        <v>1531</v>
      </c>
    </row>
    <row r="601" spans="1:12" x14ac:dyDescent="0.25">
      <c r="A601" s="83">
        <v>44150</v>
      </c>
      <c r="B601" s="80" t="s">
        <v>1532</v>
      </c>
      <c r="C601" s="80" t="s">
        <v>1533</v>
      </c>
      <c r="D601" s="80" t="s">
        <v>1296</v>
      </c>
      <c r="E601" s="80">
        <v>68427709</v>
      </c>
      <c r="F601" s="94">
        <v>-150000</v>
      </c>
      <c r="G601" s="80" t="s">
        <v>72</v>
      </c>
      <c r="H601" s="80" t="s">
        <v>73</v>
      </c>
      <c r="I601" s="80" t="s">
        <v>163</v>
      </c>
      <c r="J601" s="80">
        <v>2022</v>
      </c>
      <c r="K601" s="80" t="s">
        <v>130</v>
      </c>
      <c r="L601" s="80" t="s">
        <v>1534</v>
      </c>
    </row>
    <row r="602" spans="1:12" x14ac:dyDescent="0.25">
      <c r="A602" s="83">
        <v>44150</v>
      </c>
      <c r="B602" s="80" t="s">
        <v>1535</v>
      </c>
      <c r="C602" s="80" t="s">
        <v>1536</v>
      </c>
      <c r="D602" s="80" t="s">
        <v>1537</v>
      </c>
      <c r="E602" s="80">
        <v>68427709</v>
      </c>
      <c r="F602" s="94">
        <v>25000</v>
      </c>
      <c r="G602" s="80" t="s">
        <v>72</v>
      </c>
      <c r="H602" s="80" t="s">
        <v>73</v>
      </c>
      <c r="I602" s="80" t="s">
        <v>92</v>
      </c>
      <c r="J602" s="80">
        <v>2022</v>
      </c>
      <c r="K602" s="80" t="s">
        <v>75</v>
      </c>
      <c r="L602" s="80" t="s">
        <v>1538</v>
      </c>
    </row>
    <row r="603" spans="1:12" x14ac:dyDescent="0.25">
      <c r="A603" s="83">
        <v>44150</v>
      </c>
      <c r="B603" s="80" t="s">
        <v>1539</v>
      </c>
      <c r="C603" s="80" t="s">
        <v>1540</v>
      </c>
      <c r="D603" s="80" t="s">
        <v>1539</v>
      </c>
      <c r="E603" s="80">
        <v>68427709</v>
      </c>
      <c r="F603" s="94">
        <v>25000</v>
      </c>
      <c r="G603" s="80" t="s">
        <v>72</v>
      </c>
      <c r="H603" s="80" t="s">
        <v>73</v>
      </c>
      <c r="I603" s="80" t="s">
        <v>163</v>
      </c>
      <c r="J603" s="80">
        <v>2022</v>
      </c>
      <c r="K603" s="80" t="s">
        <v>75</v>
      </c>
      <c r="L603" s="80" t="s">
        <v>1541</v>
      </c>
    </row>
    <row r="604" spans="1:12" x14ac:dyDescent="0.25">
      <c r="A604" s="83">
        <v>44150</v>
      </c>
      <c r="B604" s="80" t="s">
        <v>1542</v>
      </c>
      <c r="C604" s="80" t="s">
        <v>1543</v>
      </c>
      <c r="D604" s="80" t="s">
        <v>396</v>
      </c>
      <c r="E604" s="80">
        <v>68427709</v>
      </c>
      <c r="F604" s="94">
        <v>21250</v>
      </c>
      <c r="G604" s="80" t="s">
        <v>72</v>
      </c>
      <c r="H604" s="80" t="s">
        <v>73</v>
      </c>
      <c r="I604" s="80" t="s">
        <v>163</v>
      </c>
      <c r="J604" s="80">
        <v>2022</v>
      </c>
      <c r="K604" s="80" t="s">
        <v>130</v>
      </c>
      <c r="L604" s="80" t="s">
        <v>1544</v>
      </c>
    </row>
    <row r="605" spans="1:12" x14ac:dyDescent="0.25">
      <c r="A605" s="83">
        <v>44150</v>
      </c>
      <c r="B605" s="80" t="s">
        <v>1545</v>
      </c>
      <c r="C605" s="80" t="s">
        <v>1546</v>
      </c>
      <c r="D605" s="80" t="s">
        <v>1545</v>
      </c>
      <c r="E605" s="80">
        <v>68427709</v>
      </c>
      <c r="F605" s="94">
        <v>-50000</v>
      </c>
      <c r="G605" s="80" t="s">
        <v>72</v>
      </c>
      <c r="H605" s="80" t="s">
        <v>73</v>
      </c>
      <c r="I605" s="80" t="s">
        <v>163</v>
      </c>
      <c r="J605" s="80">
        <v>2022</v>
      </c>
      <c r="K605" s="80" t="s">
        <v>75</v>
      </c>
      <c r="L605" s="80" t="s">
        <v>968</v>
      </c>
    </row>
    <row r="606" spans="1:12" x14ac:dyDescent="0.25">
      <c r="A606" s="83">
        <v>44209</v>
      </c>
      <c r="B606" s="80" t="s">
        <v>1547</v>
      </c>
      <c r="C606" s="80" t="s">
        <v>1548</v>
      </c>
      <c r="D606" s="80" t="s">
        <v>1549</v>
      </c>
      <c r="E606" s="80">
        <v>68427709</v>
      </c>
      <c r="F606" s="94">
        <v>0</v>
      </c>
      <c r="G606" s="80" t="s">
        <v>72</v>
      </c>
      <c r="H606" s="80" t="s">
        <v>73</v>
      </c>
      <c r="I606" s="80" t="s">
        <v>92</v>
      </c>
      <c r="J606" s="80">
        <v>2022</v>
      </c>
      <c r="K606" s="80" t="s">
        <v>1550</v>
      </c>
      <c r="L606" s="80" t="s">
        <v>1551</v>
      </c>
    </row>
    <row r="607" spans="1:12" x14ac:dyDescent="0.25">
      <c r="A607" s="83">
        <v>44210</v>
      </c>
      <c r="B607" s="80" t="s">
        <v>1552</v>
      </c>
      <c r="C607" s="80" t="s">
        <v>1553</v>
      </c>
      <c r="D607" s="80" t="s">
        <v>1552</v>
      </c>
      <c r="E607" s="80">
        <v>68427709</v>
      </c>
      <c r="F607" s="94">
        <v>85000</v>
      </c>
      <c r="G607" s="80" t="s">
        <v>72</v>
      </c>
      <c r="H607" s="80" t="s">
        <v>73</v>
      </c>
      <c r="I607" s="80" t="s">
        <v>92</v>
      </c>
      <c r="J607" s="80">
        <v>2022</v>
      </c>
      <c r="K607" s="80" t="s">
        <v>1244</v>
      </c>
      <c r="L607" s="80" t="s">
        <v>1554</v>
      </c>
    </row>
    <row r="608" spans="1:12" x14ac:dyDescent="0.25">
      <c r="A608" s="83">
        <v>44210</v>
      </c>
      <c r="B608" s="80" t="s">
        <v>1555</v>
      </c>
      <c r="C608" s="80" t="s">
        <v>1556</v>
      </c>
      <c r="D608" s="80" t="s">
        <v>1555</v>
      </c>
      <c r="E608" s="80">
        <v>68427709</v>
      </c>
      <c r="F608" s="94">
        <v>310000</v>
      </c>
      <c r="G608" s="80" t="s">
        <v>72</v>
      </c>
      <c r="H608" s="80" t="s">
        <v>73</v>
      </c>
      <c r="I608" s="80" t="s">
        <v>92</v>
      </c>
      <c r="J608" s="80">
        <v>2022</v>
      </c>
      <c r="K608" s="80" t="s">
        <v>1244</v>
      </c>
      <c r="L608" s="80" t="s">
        <v>1557</v>
      </c>
    </row>
    <row r="609" spans="1:12" x14ac:dyDescent="0.25">
      <c r="A609" s="83">
        <v>44214</v>
      </c>
      <c r="B609" s="80" t="s">
        <v>1558</v>
      </c>
      <c r="C609" s="80" t="s">
        <v>1559</v>
      </c>
      <c r="D609" s="80" t="s">
        <v>1555</v>
      </c>
      <c r="E609" s="80">
        <v>68427709</v>
      </c>
      <c r="F609" s="94">
        <v>-39000</v>
      </c>
      <c r="G609" s="80" t="s">
        <v>72</v>
      </c>
      <c r="H609" s="80" t="s">
        <v>73</v>
      </c>
      <c r="I609" s="80" t="s">
        <v>163</v>
      </c>
      <c r="J609" s="80">
        <v>2022</v>
      </c>
      <c r="K609" s="80" t="s">
        <v>1244</v>
      </c>
      <c r="L609" s="80"/>
    </row>
    <row r="610" spans="1:12" x14ac:dyDescent="0.25">
      <c r="A610" s="83">
        <v>44214</v>
      </c>
      <c r="B610" s="80" t="s">
        <v>1560</v>
      </c>
      <c r="C610" s="80" t="s">
        <v>1561</v>
      </c>
      <c r="D610" s="80" t="s">
        <v>1555</v>
      </c>
      <c r="E610" s="80">
        <v>68427709</v>
      </c>
      <c r="F610" s="94">
        <v>-111000</v>
      </c>
      <c r="G610" s="80" t="s">
        <v>72</v>
      </c>
      <c r="H610" s="80" t="s">
        <v>73</v>
      </c>
      <c r="I610" s="80" t="s">
        <v>163</v>
      </c>
      <c r="J610" s="80">
        <v>2022</v>
      </c>
      <c r="K610" s="80" t="s">
        <v>1244</v>
      </c>
      <c r="L610" s="80"/>
    </row>
    <row r="611" spans="1:12" x14ac:dyDescent="0.25">
      <c r="A611" s="83">
        <v>44214</v>
      </c>
      <c r="B611" s="80" t="s">
        <v>1562</v>
      </c>
      <c r="C611" s="80" t="s">
        <v>1563</v>
      </c>
      <c r="D611" s="80" t="s">
        <v>1555</v>
      </c>
      <c r="E611" s="80">
        <v>68427709</v>
      </c>
      <c r="F611" s="94">
        <v>-63000</v>
      </c>
      <c r="G611" s="80" t="s">
        <v>72</v>
      </c>
      <c r="H611" s="80" t="s">
        <v>73</v>
      </c>
      <c r="I611" s="80" t="s">
        <v>92</v>
      </c>
      <c r="J611" s="80">
        <v>2022</v>
      </c>
      <c r="K611" s="80" t="s">
        <v>1244</v>
      </c>
      <c r="L611" s="80"/>
    </row>
    <row r="612" spans="1:12" x14ac:dyDescent="0.25">
      <c r="A612" s="83">
        <v>44221</v>
      </c>
      <c r="B612" s="80" t="s">
        <v>1564</v>
      </c>
      <c r="C612" s="80" t="s">
        <v>1565</v>
      </c>
      <c r="D612" s="80" t="s">
        <v>861</v>
      </c>
      <c r="E612" s="80">
        <v>68427709</v>
      </c>
      <c r="F612" s="94">
        <v>-832</v>
      </c>
      <c r="G612" s="80" t="s">
        <v>72</v>
      </c>
      <c r="H612" s="80" t="s">
        <v>73</v>
      </c>
      <c r="I612" s="80" t="s">
        <v>163</v>
      </c>
      <c r="J612" s="80">
        <v>2022</v>
      </c>
      <c r="K612" s="80" t="s">
        <v>75</v>
      </c>
      <c r="L612" s="80" t="s">
        <v>1566</v>
      </c>
    </row>
    <row r="613" spans="1:12" x14ac:dyDescent="0.25">
      <c r="A613" s="83">
        <v>44221</v>
      </c>
      <c r="B613" s="80" t="s">
        <v>1564</v>
      </c>
      <c r="C613" s="80" t="s">
        <v>1567</v>
      </c>
      <c r="D613" s="80" t="s">
        <v>861</v>
      </c>
      <c r="E613" s="80">
        <v>68427709</v>
      </c>
      <c r="F613" s="94">
        <v>4300</v>
      </c>
      <c r="G613" s="80" t="s">
        <v>72</v>
      </c>
      <c r="H613" s="80" t="s">
        <v>73</v>
      </c>
      <c r="I613" s="80" t="s">
        <v>163</v>
      </c>
      <c r="J613" s="80">
        <v>2022</v>
      </c>
      <c r="K613" s="80" t="s">
        <v>75</v>
      </c>
      <c r="L613" s="80" t="s">
        <v>1568</v>
      </c>
    </row>
    <row r="614" spans="1:12" x14ac:dyDescent="0.25">
      <c r="A614" s="83">
        <v>44221</v>
      </c>
      <c r="B614" s="80" t="s">
        <v>1564</v>
      </c>
      <c r="C614" s="80" t="s">
        <v>1569</v>
      </c>
      <c r="D614" s="80" t="s">
        <v>861</v>
      </c>
      <c r="E614" s="80">
        <v>68427709</v>
      </c>
      <c r="F614" s="94">
        <v>-12300</v>
      </c>
      <c r="G614" s="80" t="s">
        <v>72</v>
      </c>
      <c r="H614" s="80" t="s">
        <v>73</v>
      </c>
      <c r="I614" s="80" t="s">
        <v>163</v>
      </c>
      <c r="J614" s="80">
        <v>2022</v>
      </c>
      <c r="K614" s="80" t="s">
        <v>75</v>
      </c>
      <c r="L614" s="80" t="s">
        <v>1570</v>
      </c>
    </row>
    <row r="615" spans="1:12" x14ac:dyDescent="0.25">
      <c r="A615" s="83">
        <v>44221</v>
      </c>
      <c r="B615" s="80" t="s">
        <v>1564</v>
      </c>
      <c r="C615" s="80" t="s">
        <v>1571</v>
      </c>
      <c r="D615" s="80" t="s">
        <v>861</v>
      </c>
      <c r="E615" s="80">
        <v>68427709</v>
      </c>
      <c r="F615" s="94">
        <v>300</v>
      </c>
      <c r="G615" s="80" t="s">
        <v>72</v>
      </c>
      <c r="H615" s="80" t="s">
        <v>73</v>
      </c>
      <c r="I615" s="80" t="s">
        <v>163</v>
      </c>
      <c r="J615" s="80">
        <v>2022</v>
      </c>
      <c r="K615" s="80" t="s">
        <v>75</v>
      </c>
      <c r="L615" s="80" t="s">
        <v>1568</v>
      </c>
    </row>
    <row r="616" spans="1:12" x14ac:dyDescent="0.25">
      <c r="A616" s="83">
        <v>44221</v>
      </c>
      <c r="B616" s="80" t="s">
        <v>1564</v>
      </c>
      <c r="C616" s="80" t="s">
        <v>1572</v>
      </c>
      <c r="D616" s="80" t="s">
        <v>861</v>
      </c>
      <c r="E616" s="80">
        <v>68427709</v>
      </c>
      <c r="F616" s="94">
        <v>300</v>
      </c>
      <c r="G616" s="80" t="s">
        <v>72</v>
      </c>
      <c r="H616" s="80" t="s">
        <v>73</v>
      </c>
      <c r="I616" s="80" t="s">
        <v>163</v>
      </c>
      <c r="J616" s="80">
        <v>2022</v>
      </c>
      <c r="K616" s="80" t="s">
        <v>75</v>
      </c>
      <c r="L616" s="80" t="s">
        <v>1568</v>
      </c>
    </row>
    <row r="617" spans="1:12" x14ac:dyDescent="0.25">
      <c r="A617" s="83">
        <v>44221</v>
      </c>
      <c r="B617" s="80" t="s">
        <v>1564</v>
      </c>
      <c r="C617" s="80" t="s">
        <v>1573</v>
      </c>
      <c r="D617" s="80" t="s">
        <v>861</v>
      </c>
      <c r="E617" s="80">
        <v>68427709</v>
      </c>
      <c r="F617" s="94">
        <v>61000</v>
      </c>
      <c r="G617" s="80" t="s">
        <v>72</v>
      </c>
      <c r="H617" s="80" t="s">
        <v>73</v>
      </c>
      <c r="I617" s="80" t="s">
        <v>163</v>
      </c>
      <c r="J617" s="80">
        <v>2022</v>
      </c>
      <c r="K617" s="80" t="s">
        <v>75</v>
      </c>
      <c r="L617" s="80" t="s">
        <v>1574</v>
      </c>
    </row>
    <row r="618" spans="1:12" x14ac:dyDescent="0.25">
      <c r="A618" s="83">
        <v>44221</v>
      </c>
      <c r="B618" s="80" t="s">
        <v>1564</v>
      </c>
      <c r="C618" s="80" t="s">
        <v>1575</v>
      </c>
      <c r="D618" s="80" t="s">
        <v>861</v>
      </c>
      <c r="E618" s="80">
        <v>68427709</v>
      </c>
      <c r="F618" s="94">
        <v>-20800</v>
      </c>
      <c r="G618" s="80" t="s">
        <v>72</v>
      </c>
      <c r="H618" s="80" t="s">
        <v>73</v>
      </c>
      <c r="I618" s="80" t="s">
        <v>163</v>
      </c>
      <c r="J618" s="80">
        <v>2022</v>
      </c>
      <c r="K618" s="80" t="s">
        <v>75</v>
      </c>
      <c r="L618" s="80" t="s">
        <v>1566</v>
      </c>
    </row>
    <row r="619" spans="1:12" x14ac:dyDescent="0.25">
      <c r="A619" s="83">
        <v>44222</v>
      </c>
      <c r="B619" s="80" t="s">
        <v>1564</v>
      </c>
      <c r="C619" t="s">
        <v>1576</v>
      </c>
      <c r="D619" s="80" t="s">
        <v>861</v>
      </c>
      <c r="E619" s="80">
        <v>68427709</v>
      </c>
      <c r="F619">
        <v>900</v>
      </c>
      <c r="G619" s="80" t="s">
        <v>72</v>
      </c>
      <c r="H619" s="80" t="s">
        <v>73</v>
      </c>
      <c r="I619" s="80" t="s">
        <v>163</v>
      </c>
      <c r="J619" s="80">
        <v>2022</v>
      </c>
      <c r="K619" s="80" t="s">
        <v>75</v>
      </c>
      <c r="L619" s="80" t="s">
        <v>1568</v>
      </c>
    </row>
    <row r="620" spans="1:12" x14ac:dyDescent="0.25">
      <c r="A620" s="83">
        <v>44222</v>
      </c>
      <c r="B620" s="80" t="s">
        <v>1564</v>
      </c>
      <c r="C620" s="80" t="s">
        <v>1577</v>
      </c>
      <c r="D620" s="80" t="s">
        <v>861</v>
      </c>
      <c r="E620" s="80">
        <v>68427709</v>
      </c>
      <c r="F620" s="94">
        <v>1800</v>
      </c>
      <c r="G620" s="80" t="s">
        <v>72</v>
      </c>
      <c r="H620" s="80" t="s">
        <v>73</v>
      </c>
      <c r="I620" s="80" t="s">
        <v>163</v>
      </c>
      <c r="J620" s="80">
        <v>2022</v>
      </c>
      <c r="K620" s="80" t="s">
        <v>75</v>
      </c>
      <c r="L620" s="80" t="s">
        <v>1568</v>
      </c>
    </row>
    <row r="621" spans="1:12" x14ac:dyDescent="0.25">
      <c r="A621" s="83">
        <v>44224</v>
      </c>
      <c r="B621" s="80" t="s">
        <v>1578</v>
      </c>
      <c r="C621" s="80" t="s">
        <v>1579</v>
      </c>
      <c r="D621" s="80" t="s">
        <v>1580</v>
      </c>
      <c r="E621" s="80">
        <v>68427709</v>
      </c>
      <c r="F621" s="185">
        <v>215000</v>
      </c>
      <c r="G621" s="80" t="s">
        <v>72</v>
      </c>
      <c r="H621" s="80" t="s">
        <v>73</v>
      </c>
      <c r="I621" s="80" t="s">
        <v>163</v>
      </c>
      <c r="J621" s="80">
        <v>2022</v>
      </c>
      <c r="K621" s="80" t="s">
        <v>186</v>
      </c>
      <c r="L621" s="80" t="s">
        <v>1581</v>
      </c>
    </row>
    <row r="622" spans="1:12" ht="14.1" customHeight="1" x14ac:dyDescent="0.25">
      <c r="A622" s="83">
        <v>44252</v>
      </c>
      <c r="B622" s="80" t="s">
        <v>1582</v>
      </c>
      <c r="C622" s="80" t="s">
        <v>1583</v>
      </c>
      <c r="D622" s="80" t="s">
        <v>1584</v>
      </c>
      <c r="E622" s="80">
        <v>68427709</v>
      </c>
      <c r="F622" s="94">
        <v>360000</v>
      </c>
      <c r="G622" s="80" t="s">
        <v>72</v>
      </c>
      <c r="H622" s="80" t="s">
        <v>73</v>
      </c>
      <c r="I622" s="80" t="s">
        <v>163</v>
      </c>
      <c r="J622" s="80">
        <v>2022</v>
      </c>
      <c r="K622" s="80" t="s">
        <v>1585</v>
      </c>
      <c r="L622" s="80" t="s">
        <v>1586</v>
      </c>
    </row>
    <row r="623" spans="1:12" x14ac:dyDescent="0.25">
      <c r="A623" s="83">
        <v>44258</v>
      </c>
      <c r="B623" s="80" t="s">
        <v>1587</v>
      </c>
      <c r="C623" s="80" t="s">
        <v>1588</v>
      </c>
      <c r="D623" s="80" t="s">
        <v>396</v>
      </c>
      <c r="E623" s="80">
        <v>68427709</v>
      </c>
      <c r="F623" s="94">
        <v>62000</v>
      </c>
      <c r="G623" s="80" t="s">
        <v>261</v>
      </c>
      <c r="H623" s="80" t="s">
        <v>73</v>
      </c>
      <c r="I623" s="80" t="s">
        <v>163</v>
      </c>
      <c r="J623" s="80">
        <v>2022</v>
      </c>
      <c r="K623" s="80" t="s">
        <v>1389</v>
      </c>
      <c r="L623" s="80" t="s">
        <v>1589</v>
      </c>
    </row>
    <row r="624" spans="1:12" x14ac:dyDescent="0.25">
      <c r="A624" s="83">
        <v>44260</v>
      </c>
      <c r="B624" s="80" t="s">
        <v>1590</v>
      </c>
      <c r="C624" s="80" t="s">
        <v>1591</v>
      </c>
      <c r="D624" s="80" t="s">
        <v>396</v>
      </c>
      <c r="E624" s="80">
        <v>68427709</v>
      </c>
      <c r="F624" s="94">
        <v>29000</v>
      </c>
      <c r="G624" s="80" t="s">
        <v>72</v>
      </c>
      <c r="H624" s="80" t="s">
        <v>73</v>
      </c>
      <c r="I624" s="80" t="s">
        <v>163</v>
      </c>
      <c r="J624" s="80">
        <v>2022</v>
      </c>
      <c r="K624" s="80" t="s">
        <v>75</v>
      </c>
      <c r="L624" s="80"/>
    </row>
    <row r="625" spans="1:12" x14ac:dyDescent="0.25">
      <c r="A625" s="83">
        <v>44263</v>
      </c>
      <c r="B625" s="80" t="s">
        <v>1592</v>
      </c>
      <c r="C625" s="80" t="s">
        <v>1593</v>
      </c>
      <c r="D625" s="80" t="s">
        <v>243</v>
      </c>
      <c r="E625" s="80">
        <v>68427709</v>
      </c>
      <c r="F625" s="94">
        <v>32000</v>
      </c>
      <c r="G625" s="80" t="s">
        <v>72</v>
      </c>
      <c r="H625" s="80" t="s">
        <v>73</v>
      </c>
      <c r="I625" s="80" t="s">
        <v>163</v>
      </c>
      <c r="J625" s="80">
        <v>2022</v>
      </c>
      <c r="K625" s="80" t="s">
        <v>1096</v>
      </c>
      <c r="L625" s="80"/>
    </row>
    <row r="626" spans="1:12" x14ac:dyDescent="0.25">
      <c r="A626" s="83">
        <v>44271</v>
      </c>
      <c r="B626" s="80" t="s">
        <v>1594</v>
      </c>
      <c r="C626" s="80" t="s">
        <v>1595</v>
      </c>
      <c r="D626" s="80" t="s">
        <v>1594</v>
      </c>
      <c r="E626" s="80">
        <v>68427709</v>
      </c>
      <c r="F626" s="94">
        <v>20000</v>
      </c>
      <c r="G626" s="80" t="s">
        <v>72</v>
      </c>
      <c r="H626" s="80" t="s">
        <v>73</v>
      </c>
      <c r="I626" s="80"/>
      <c r="J626" s="80">
        <v>2022</v>
      </c>
      <c r="K626" s="80" t="s">
        <v>1596</v>
      </c>
      <c r="L626" s="80"/>
    </row>
    <row r="627" spans="1:12" x14ac:dyDescent="0.25">
      <c r="A627" s="83">
        <v>44271</v>
      </c>
      <c r="B627" s="80" t="s">
        <v>1597</v>
      </c>
      <c r="C627" s="80" t="s">
        <v>1598</v>
      </c>
      <c r="D627" s="80" t="s">
        <v>1597</v>
      </c>
      <c r="E627" s="80">
        <v>68427709</v>
      </c>
      <c r="F627" s="94">
        <v>40000</v>
      </c>
      <c r="G627" s="80" t="s">
        <v>72</v>
      </c>
      <c r="H627" s="80" t="s">
        <v>73</v>
      </c>
      <c r="I627" s="80" t="s">
        <v>163</v>
      </c>
      <c r="J627" s="80">
        <v>2022</v>
      </c>
      <c r="K627" s="80" t="s">
        <v>1596</v>
      </c>
      <c r="L627" s="80"/>
    </row>
    <row r="628" spans="1:12" x14ac:dyDescent="0.25">
      <c r="A628" s="83">
        <v>44284</v>
      </c>
      <c r="B628" s="80" t="s">
        <v>1599</v>
      </c>
      <c r="C628" s="80" t="s">
        <v>1600</v>
      </c>
      <c r="D628" s="80" t="s">
        <v>1601</v>
      </c>
      <c r="E628" s="80">
        <v>68427709</v>
      </c>
      <c r="F628" s="94">
        <v>7000</v>
      </c>
      <c r="G628" s="80" t="s">
        <v>72</v>
      </c>
      <c r="H628" s="80" t="s">
        <v>73</v>
      </c>
      <c r="I628" s="80" t="s">
        <v>163</v>
      </c>
      <c r="J628" s="80">
        <v>2022</v>
      </c>
      <c r="K628" s="80" t="s">
        <v>1602</v>
      </c>
      <c r="L628" s="80"/>
    </row>
    <row r="629" spans="1:12" x14ac:dyDescent="0.25">
      <c r="A629" s="83">
        <v>44284</v>
      </c>
      <c r="B629" s="80" t="s">
        <v>120</v>
      </c>
      <c r="C629" s="80" t="s">
        <v>1603</v>
      </c>
      <c r="D629" s="80" t="s">
        <v>120</v>
      </c>
      <c r="E629" s="80">
        <v>68427709</v>
      </c>
      <c r="F629" s="94">
        <v>0</v>
      </c>
      <c r="G629" s="80" t="s">
        <v>261</v>
      </c>
      <c r="H629" s="80" t="s">
        <v>73</v>
      </c>
      <c r="I629" s="80" t="s">
        <v>163</v>
      </c>
      <c r="J629" s="80">
        <v>2022</v>
      </c>
      <c r="K629" s="80" t="s">
        <v>186</v>
      </c>
      <c r="L629" s="80"/>
    </row>
    <row r="630" spans="1:12" x14ac:dyDescent="0.25">
      <c r="A630" s="83">
        <v>44292</v>
      </c>
      <c r="B630" s="80" t="s">
        <v>1604</v>
      </c>
      <c r="C630" s="80" t="s">
        <v>1605</v>
      </c>
      <c r="D630" s="80" t="s">
        <v>1604</v>
      </c>
      <c r="E630" s="80">
        <v>68427709</v>
      </c>
      <c r="F630" s="94">
        <v>36000</v>
      </c>
      <c r="G630" s="80" t="s">
        <v>72</v>
      </c>
      <c r="H630" s="80" t="s">
        <v>73</v>
      </c>
      <c r="I630" s="80" t="s">
        <v>163</v>
      </c>
      <c r="J630" s="80">
        <v>2022</v>
      </c>
      <c r="K630" s="80"/>
      <c r="L630" s="80"/>
    </row>
    <row r="631" spans="1:12" x14ac:dyDescent="0.25">
      <c r="A631" s="83">
        <v>44292</v>
      </c>
      <c r="B631" s="80" t="s">
        <v>1606</v>
      </c>
      <c r="C631" s="80" t="s">
        <v>1607</v>
      </c>
      <c r="D631" s="80" t="s">
        <v>1606</v>
      </c>
      <c r="E631" s="80">
        <v>68427709</v>
      </c>
      <c r="F631" s="94">
        <v>0</v>
      </c>
      <c r="G631" s="80" t="s">
        <v>261</v>
      </c>
      <c r="H631" s="80" t="s">
        <v>73</v>
      </c>
      <c r="I631" s="80" t="s">
        <v>163</v>
      </c>
      <c r="J631" s="80">
        <v>2022</v>
      </c>
      <c r="K631" s="80" t="s">
        <v>75</v>
      </c>
      <c r="L631" s="80"/>
    </row>
    <row r="632" spans="1:12" x14ac:dyDescent="0.25">
      <c r="A632" s="83">
        <v>44299</v>
      </c>
      <c r="B632" s="80" t="s">
        <v>1608</v>
      </c>
      <c r="C632" s="80" t="s">
        <v>1609</v>
      </c>
      <c r="D632" s="80" t="s">
        <v>1610</v>
      </c>
      <c r="E632" s="80">
        <v>68427709</v>
      </c>
      <c r="F632" s="94">
        <v>-19000</v>
      </c>
      <c r="G632" s="80" t="s">
        <v>72</v>
      </c>
      <c r="H632" s="80" t="s">
        <v>73</v>
      </c>
      <c r="I632" s="80" t="s">
        <v>92</v>
      </c>
      <c r="J632" s="80">
        <v>2022</v>
      </c>
      <c r="K632" s="80" t="s">
        <v>514</v>
      </c>
      <c r="L632" s="80"/>
    </row>
    <row r="633" spans="1:12" x14ac:dyDescent="0.25">
      <c r="A633" s="83">
        <v>44305</v>
      </c>
      <c r="B633" s="80" t="s">
        <v>1611</v>
      </c>
      <c r="C633" t="s">
        <v>1612</v>
      </c>
      <c r="D633" s="80" t="s">
        <v>0</v>
      </c>
      <c r="E633" s="80">
        <v>68427709</v>
      </c>
      <c r="F633" s="94">
        <v>206000</v>
      </c>
      <c r="G633" s="80" t="s">
        <v>261</v>
      </c>
      <c r="H633" s="80" t="s">
        <v>73</v>
      </c>
      <c r="I633" s="80" t="s">
        <v>163</v>
      </c>
      <c r="J633" s="80">
        <v>2022</v>
      </c>
      <c r="K633" s="80" t="s">
        <v>982</v>
      </c>
      <c r="L633" s="80" t="s">
        <v>1613</v>
      </c>
    </row>
    <row r="634" spans="1:12" x14ac:dyDescent="0.25">
      <c r="A634" s="83">
        <v>44307</v>
      </c>
      <c r="B634" s="80" t="s">
        <v>1614</v>
      </c>
      <c r="C634" s="80" t="s">
        <v>1615</v>
      </c>
      <c r="D634" s="80" t="s">
        <v>236</v>
      </c>
      <c r="E634" s="80">
        <v>68427709</v>
      </c>
      <c r="F634" s="94">
        <v>5300</v>
      </c>
      <c r="G634" s="80" t="s">
        <v>72</v>
      </c>
      <c r="H634" s="80" t="s">
        <v>73</v>
      </c>
      <c r="I634" s="80" t="s">
        <v>163</v>
      </c>
      <c r="J634" s="80">
        <v>2022</v>
      </c>
      <c r="K634" s="80" t="s">
        <v>1596</v>
      </c>
      <c r="L634" s="80"/>
    </row>
    <row r="635" spans="1:12" x14ac:dyDescent="0.25">
      <c r="A635" s="83">
        <v>44307</v>
      </c>
      <c r="B635" s="80" t="s">
        <v>1616</v>
      </c>
      <c r="C635" s="80" t="s">
        <v>1617</v>
      </c>
      <c r="D635" s="80" t="s">
        <v>564</v>
      </c>
      <c r="E635" s="80"/>
      <c r="F635" s="94">
        <v>0</v>
      </c>
      <c r="G635" s="80" t="s">
        <v>72</v>
      </c>
      <c r="H635" s="80" t="s">
        <v>73</v>
      </c>
      <c r="I635" s="80"/>
      <c r="J635" s="80">
        <v>2022</v>
      </c>
      <c r="K635" s="80"/>
      <c r="L635" s="80"/>
    </row>
    <row r="636" spans="1:12" x14ac:dyDescent="0.25">
      <c r="A636" s="83">
        <v>44309</v>
      </c>
      <c r="B636" s="80" t="s">
        <v>1618</v>
      </c>
      <c r="C636" s="80" t="s">
        <v>1619</v>
      </c>
      <c r="D636" s="80" t="s">
        <v>0</v>
      </c>
      <c r="E636" s="80">
        <v>68427709</v>
      </c>
      <c r="F636" s="94">
        <v>0</v>
      </c>
      <c r="G636" s="80" t="s">
        <v>261</v>
      </c>
      <c r="H636" s="80" t="s">
        <v>73</v>
      </c>
      <c r="I636" s="80"/>
      <c r="J636" s="80">
        <v>2022</v>
      </c>
      <c r="K636" s="80" t="s">
        <v>320</v>
      </c>
      <c r="L636" s="80"/>
    </row>
    <row r="637" spans="1:12" x14ac:dyDescent="0.25">
      <c r="A637" s="83">
        <v>44334</v>
      </c>
      <c r="B637" s="80" t="s">
        <v>1620</v>
      </c>
      <c r="C637" s="80" t="s">
        <v>1618</v>
      </c>
      <c r="D637" s="80" t="s">
        <v>1620</v>
      </c>
      <c r="E637" s="80">
        <v>68427709</v>
      </c>
      <c r="F637" s="94">
        <v>0</v>
      </c>
      <c r="G637" s="80" t="s">
        <v>261</v>
      </c>
      <c r="H637" s="80" t="s">
        <v>73</v>
      </c>
      <c r="I637" s="80"/>
      <c r="J637" s="80">
        <v>2022</v>
      </c>
      <c r="K637" s="80" t="s">
        <v>320</v>
      </c>
      <c r="L637" s="80" t="s">
        <v>1621</v>
      </c>
    </row>
    <row r="638" spans="1:12" x14ac:dyDescent="0.25">
      <c r="A638" s="83">
        <v>44336</v>
      </c>
      <c r="B638" s="80" t="s">
        <v>1622</v>
      </c>
      <c r="C638" s="80" t="s">
        <v>1623</v>
      </c>
      <c r="D638" s="80" t="s">
        <v>396</v>
      </c>
      <c r="E638" s="80">
        <v>68427709</v>
      </c>
      <c r="F638" s="94">
        <v>-12000</v>
      </c>
      <c r="G638" s="80" t="s">
        <v>72</v>
      </c>
      <c r="H638" s="80" t="s">
        <v>73</v>
      </c>
      <c r="I638" s="80" t="s">
        <v>163</v>
      </c>
      <c r="J638" s="80">
        <v>2022</v>
      </c>
      <c r="K638" s="80" t="s">
        <v>238</v>
      </c>
      <c r="L638" s="80" t="s">
        <v>1624</v>
      </c>
    </row>
    <row r="639" spans="1:12" x14ac:dyDescent="0.25">
      <c r="A639" s="83">
        <v>44356</v>
      </c>
      <c r="B639" s="80" t="s">
        <v>1625</v>
      </c>
      <c r="C639" s="80" t="s">
        <v>1626</v>
      </c>
      <c r="D639" s="80" t="s">
        <v>1220</v>
      </c>
      <c r="E639" s="80">
        <v>68427709</v>
      </c>
      <c r="F639" s="94">
        <v>50000</v>
      </c>
      <c r="G639" s="80" t="s">
        <v>72</v>
      </c>
      <c r="H639" s="80" t="s">
        <v>73</v>
      </c>
      <c r="I639" s="80" t="s">
        <v>909</v>
      </c>
      <c r="J639" s="80">
        <v>2022</v>
      </c>
      <c r="K639" s="80" t="s">
        <v>1053</v>
      </c>
      <c r="L639" s="80" t="s">
        <v>1627</v>
      </c>
    </row>
    <row r="640" spans="1:12" x14ac:dyDescent="0.25">
      <c r="A640" s="83">
        <v>44356</v>
      </c>
      <c r="B640" s="80" t="s">
        <v>1628</v>
      </c>
      <c r="C640" s="80" t="s">
        <v>1629</v>
      </c>
      <c r="D640" s="80" t="s">
        <v>1220</v>
      </c>
      <c r="E640" s="80">
        <v>68427709</v>
      </c>
      <c r="F640" s="94">
        <v>108000</v>
      </c>
      <c r="G640" s="80" t="s">
        <v>72</v>
      </c>
      <c r="H640" s="80" t="s">
        <v>73</v>
      </c>
      <c r="I640" s="80" t="s">
        <v>909</v>
      </c>
      <c r="J640" s="80">
        <v>2022</v>
      </c>
      <c r="K640" s="80" t="s">
        <v>1053</v>
      </c>
      <c r="L640" s="80"/>
    </row>
    <row r="641" spans="1:12" x14ac:dyDescent="0.25">
      <c r="A641" s="83">
        <v>44356</v>
      </c>
      <c r="B641" s="80" t="s">
        <v>1630</v>
      </c>
      <c r="C641" s="80" t="s">
        <v>1631</v>
      </c>
      <c r="D641" s="80" t="s">
        <v>1632</v>
      </c>
      <c r="E641" s="80">
        <v>68427709</v>
      </c>
      <c r="F641" s="94">
        <v>5000</v>
      </c>
      <c r="G641" s="80" t="s">
        <v>72</v>
      </c>
      <c r="H641" s="80" t="s">
        <v>73</v>
      </c>
      <c r="I641" s="80" t="s">
        <v>1633</v>
      </c>
      <c r="J641" s="80">
        <v>2022</v>
      </c>
      <c r="K641" s="80" t="s">
        <v>514</v>
      </c>
      <c r="L641" s="80"/>
    </row>
    <row r="642" spans="1:12" x14ac:dyDescent="0.25">
      <c r="A642" s="83">
        <v>44361</v>
      </c>
      <c r="B642" s="80" t="s">
        <v>1634</v>
      </c>
      <c r="C642" s="80" t="s">
        <v>1635</v>
      </c>
      <c r="D642" s="80" t="s">
        <v>0</v>
      </c>
      <c r="E642" s="80">
        <v>68427709</v>
      </c>
      <c r="F642" s="94">
        <v>0</v>
      </c>
      <c r="G642" s="80" t="s">
        <v>261</v>
      </c>
      <c r="H642" s="80" t="s">
        <v>73</v>
      </c>
      <c r="I642" s="80" t="s">
        <v>909</v>
      </c>
      <c r="J642" s="80">
        <v>2022</v>
      </c>
      <c r="K642" s="80" t="s">
        <v>1636</v>
      </c>
      <c r="L642" s="80"/>
    </row>
    <row r="643" spans="1:12" x14ac:dyDescent="0.25">
      <c r="A643" s="83">
        <v>44362</v>
      </c>
      <c r="B643" s="80" t="s">
        <v>1637</v>
      </c>
      <c r="C643" s="80" t="s">
        <v>1638</v>
      </c>
      <c r="D643" s="80" t="s">
        <v>244</v>
      </c>
      <c r="E643" s="80">
        <v>68427709</v>
      </c>
      <c r="F643" s="94">
        <v>0</v>
      </c>
      <c r="G643" s="80" t="s">
        <v>261</v>
      </c>
      <c r="H643" s="80" t="s">
        <v>73</v>
      </c>
      <c r="I643" s="80" t="s">
        <v>1633</v>
      </c>
      <c r="J643" s="80">
        <v>2022</v>
      </c>
      <c r="K643" s="80" t="s">
        <v>1639</v>
      </c>
      <c r="L643" s="80"/>
    </row>
    <row r="644" spans="1:12" x14ac:dyDescent="0.25">
      <c r="A644" s="83">
        <v>44362</v>
      </c>
      <c r="B644" s="80" t="s">
        <v>1640</v>
      </c>
      <c r="C644" s="80" t="s">
        <v>1641</v>
      </c>
      <c r="D644" s="80" t="s">
        <v>564</v>
      </c>
      <c r="E644" s="80">
        <v>68427709</v>
      </c>
      <c r="F644" s="94">
        <v>0</v>
      </c>
      <c r="G644" s="80" t="s">
        <v>261</v>
      </c>
      <c r="H644" s="80" t="s">
        <v>73</v>
      </c>
      <c r="I644" s="80" t="s">
        <v>92</v>
      </c>
      <c r="J644" s="80">
        <v>2022</v>
      </c>
      <c r="K644" s="80" t="s">
        <v>1639</v>
      </c>
      <c r="L644" s="80"/>
    </row>
    <row r="645" spans="1:12" x14ac:dyDescent="0.25">
      <c r="A645" s="83">
        <v>44363</v>
      </c>
      <c r="B645" s="80" t="s">
        <v>1642</v>
      </c>
      <c r="C645" s="80" t="s">
        <v>1643</v>
      </c>
      <c r="D645" s="80" t="s">
        <v>1642</v>
      </c>
      <c r="E645" s="80">
        <v>68427709</v>
      </c>
      <c r="F645" s="94">
        <v>0</v>
      </c>
      <c r="G645" s="80" t="s">
        <v>261</v>
      </c>
      <c r="H645" s="80" t="s">
        <v>73</v>
      </c>
      <c r="I645" s="80" t="s">
        <v>1644</v>
      </c>
      <c r="J645" s="80">
        <v>2022</v>
      </c>
      <c r="K645" s="80" t="s">
        <v>152</v>
      </c>
      <c r="L645" s="80" t="s">
        <v>1645</v>
      </c>
    </row>
    <row r="646" spans="1:12" x14ac:dyDescent="0.25">
      <c r="A646" s="83">
        <v>44372</v>
      </c>
      <c r="B646" s="80" t="s">
        <v>1646</v>
      </c>
      <c r="C646" s="80" t="s">
        <v>1647</v>
      </c>
      <c r="D646" s="80" t="s">
        <v>1377</v>
      </c>
      <c r="E646" s="80">
        <v>68427709</v>
      </c>
      <c r="F646" s="94">
        <v>55000</v>
      </c>
      <c r="G646" s="80" t="s">
        <v>72</v>
      </c>
      <c r="H646" s="80" t="s">
        <v>73</v>
      </c>
      <c r="I646" s="80" t="s">
        <v>1644</v>
      </c>
      <c r="J646" s="80">
        <v>2022</v>
      </c>
      <c r="K646" s="80" t="s">
        <v>320</v>
      </c>
      <c r="L646" s="80" t="s">
        <v>1648</v>
      </c>
    </row>
    <row r="647" spans="1:12" x14ac:dyDescent="0.25">
      <c r="A647" s="83">
        <v>44372</v>
      </c>
      <c r="B647" s="80" t="s">
        <v>1649</v>
      </c>
      <c r="C647" s="80" t="s">
        <v>1650</v>
      </c>
      <c r="D647" s="80" t="s">
        <v>532</v>
      </c>
      <c r="E647" s="80">
        <v>68427709</v>
      </c>
      <c r="F647" s="94">
        <v>-527772</v>
      </c>
      <c r="G647" s="80" t="s">
        <v>72</v>
      </c>
      <c r="H647" s="80" t="s">
        <v>73</v>
      </c>
      <c r="I647" s="80" t="s">
        <v>1644</v>
      </c>
      <c r="J647" s="80">
        <v>2022</v>
      </c>
      <c r="K647" s="80" t="s">
        <v>617</v>
      </c>
      <c r="L647" s="80"/>
    </row>
    <row r="648" spans="1:12" x14ac:dyDescent="0.25">
      <c r="A648" s="83">
        <v>44372</v>
      </c>
      <c r="B648" s="80" t="s">
        <v>1649</v>
      </c>
      <c r="C648" s="80" t="s">
        <v>1650</v>
      </c>
      <c r="D648" s="80" t="s">
        <v>532</v>
      </c>
      <c r="E648" s="80">
        <v>68427709</v>
      </c>
      <c r="F648" s="94">
        <v>-24960</v>
      </c>
      <c r="G648" s="80" t="s">
        <v>261</v>
      </c>
      <c r="H648" s="80" t="s">
        <v>73</v>
      </c>
      <c r="I648" s="80" t="s">
        <v>1644</v>
      </c>
      <c r="J648" s="80">
        <v>2022</v>
      </c>
      <c r="K648" s="80" t="s">
        <v>617</v>
      </c>
      <c r="L648" s="80" t="s">
        <v>1651</v>
      </c>
    </row>
    <row r="649" spans="1:12" x14ac:dyDescent="0.25">
      <c r="A649" s="83">
        <v>44372</v>
      </c>
      <c r="B649" s="80" t="s">
        <v>1652</v>
      </c>
      <c r="C649" s="80" t="s">
        <v>1534</v>
      </c>
      <c r="D649" s="80" t="s">
        <v>1652</v>
      </c>
      <c r="E649" s="80">
        <v>68427709</v>
      </c>
      <c r="F649" s="94">
        <v>-24000</v>
      </c>
      <c r="G649" s="80" t="s">
        <v>72</v>
      </c>
      <c r="H649" s="80" t="s">
        <v>73</v>
      </c>
      <c r="I649" s="80" t="s">
        <v>1644</v>
      </c>
      <c r="J649" s="80">
        <v>2022</v>
      </c>
      <c r="K649" s="80" t="s">
        <v>1550</v>
      </c>
      <c r="L649" s="80" t="s">
        <v>1653</v>
      </c>
    </row>
    <row r="650" spans="1:12" x14ac:dyDescent="0.25">
      <c r="A650" s="83">
        <v>44372</v>
      </c>
      <c r="B650" s="80" t="s">
        <v>1654</v>
      </c>
      <c r="C650" s="80"/>
      <c r="D650" s="80" t="s">
        <v>311</v>
      </c>
      <c r="E650" s="80">
        <v>68427709</v>
      </c>
      <c r="F650" s="94">
        <v>50000</v>
      </c>
      <c r="G650" s="80" t="s">
        <v>261</v>
      </c>
      <c r="H650" s="80" t="s">
        <v>73</v>
      </c>
      <c r="I650" s="80" t="s">
        <v>92</v>
      </c>
      <c r="J650" s="80">
        <v>2022</v>
      </c>
      <c r="K650" s="80" t="s">
        <v>1053</v>
      </c>
      <c r="L650" s="80" t="s">
        <v>1655</v>
      </c>
    </row>
    <row r="651" spans="1:12" x14ac:dyDescent="0.25">
      <c r="A651" s="83">
        <v>44372</v>
      </c>
      <c r="B651" s="80" t="s">
        <v>1656</v>
      </c>
      <c r="C651" s="80" t="s">
        <v>1657</v>
      </c>
      <c r="D651" s="80" t="s">
        <v>532</v>
      </c>
      <c r="E651" s="80">
        <v>68427709</v>
      </c>
      <c r="F651" s="94">
        <v>200000</v>
      </c>
      <c r="G651" s="80" t="s">
        <v>261</v>
      </c>
      <c r="H651" s="80" t="s">
        <v>73</v>
      </c>
      <c r="I651" s="80" t="s">
        <v>1644</v>
      </c>
      <c r="J651" s="80">
        <v>2022</v>
      </c>
      <c r="K651" s="80" t="s">
        <v>1658</v>
      </c>
      <c r="L651" s="80" t="s">
        <v>1659</v>
      </c>
    </row>
    <row r="652" spans="1:12" x14ac:dyDescent="0.25">
      <c r="A652" s="83">
        <v>44372</v>
      </c>
      <c r="B652" s="80" t="s">
        <v>1081</v>
      </c>
      <c r="C652" s="80" t="s">
        <v>1660</v>
      </c>
      <c r="D652" s="80" t="s">
        <v>0</v>
      </c>
      <c r="E652" s="80">
        <v>68427709</v>
      </c>
      <c r="F652" s="94">
        <v>36000</v>
      </c>
      <c r="G652" s="80" t="s">
        <v>261</v>
      </c>
      <c r="H652" s="80" t="s">
        <v>73</v>
      </c>
      <c r="I652" s="80" t="s">
        <v>1644</v>
      </c>
      <c r="J652" s="80">
        <v>2022</v>
      </c>
      <c r="K652" s="80" t="s">
        <v>1658</v>
      </c>
      <c r="L652" s="80"/>
    </row>
    <row r="653" spans="1:12" x14ac:dyDescent="0.25">
      <c r="A653" s="83">
        <v>44372</v>
      </c>
      <c r="B653" s="80" t="s">
        <v>1661</v>
      </c>
      <c r="C653" s="80" t="s">
        <v>1662</v>
      </c>
      <c r="D653" s="80" t="s">
        <v>517</v>
      </c>
      <c r="E653" s="80">
        <v>68427709</v>
      </c>
      <c r="F653" s="94">
        <v>0</v>
      </c>
      <c r="G653" s="80" t="s">
        <v>261</v>
      </c>
      <c r="H653" s="80" t="s">
        <v>73</v>
      </c>
      <c r="I653" s="80" t="s">
        <v>1644</v>
      </c>
      <c r="J653" s="80">
        <v>2022</v>
      </c>
      <c r="K653" s="80" t="s">
        <v>1658</v>
      </c>
      <c r="L653" s="80" t="s">
        <v>1663</v>
      </c>
    </row>
    <row r="654" spans="1:12" x14ac:dyDescent="0.25">
      <c r="A654" s="83">
        <v>44203</v>
      </c>
      <c r="B654" s="80" t="s">
        <v>90</v>
      </c>
      <c r="C654" s="80" t="s">
        <v>1664</v>
      </c>
      <c r="D654" s="80" t="s">
        <v>90</v>
      </c>
      <c r="E654" s="80">
        <v>68427709</v>
      </c>
      <c r="F654" s="94">
        <v>5000</v>
      </c>
      <c r="G654" s="80" t="s">
        <v>72</v>
      </c>
      <c r="H654" s="80" t="s">
        <v>73</v>
      </c>
      <c r="I654" s="80" t="s">
        <v>1644</v>
      </c>
      <c r="J654" s="80">
        <v>2022</v>
      </c>
      <c r="K654" s="80" t="s">
        <v>186</v>
      </c>
      <c r="L654" s="80"/>
    </row>
    <row r="655" spans="1:12" x14ac:dyDescent="0.25">
      <c r="A655" s="83">
        <v>44203</v>
      </c>
      <c r="B655" s="80" t="s">
        <v>735</v>
      </c>
      <c r="C655" s="80" t="s">
        <v>968</v>
      </c>
      <c r="D655" s="80" t="s">
        <v>735</v>
      </c>
      <c r="E655" s="80">
        <v>68427709</v>
      </c>
      <c r="F655" s="94">
        <v>1000</v>
      </c>
      <c r="G655" s="80" t="s">
        <v>72</v>
      </c>
      <c r="H655" s="80" t="s">
        <v>73</v>
      </c>
      <c r="I655" s="80" t="s">
        <v>1644</v>
      </c>
      <c r="J655" s="80">
        <v>2022</v>
      </c>
      <c r="K655" s="80" t="s">
        <v>296</v>
      </c>
      <c r="L655" s="80"/>
    </row>
    <row r="656" spans="1:12" x14ac:dyDescent="0.25">
      <c r="A656" s="83">
        <v>44203</v>
      </c>
      <c r="B656" s="80" t="s">
        <v>77</v>
      </c>
      <c r="C656" s="80" t="s">
        <v>1665</v>
      </c>
      <c r="D656" s="80" t="s">
        <v>77</v>
      </c>
      <c r="E656" s="80">
        <v>68427709</v>
      </c>
      <c r="F656" s="94">
        <v>-34000</v>
      </c>
      <c r="G656" s="80" t="s">
        <v>72</v>
      </c>
      <c r="H656" s="80" t="s">
        <v>73</v>
      </c>
      <c r="I656" s="80" t="s">
        <v>1644</v>
      </c>
      <c r="J656" s="80">
        <v>2022</v>
      </c>
      <c r="K656" s="80" t="s">
        <v>1666</v>
      </c>
      <c r="L656" s="80"/>
    </row>
    <row r="657" spans="1:12" x14ac:dyDescent="0.25">
      <c r="A657" s="83">
        <v>44203</v>
      </c>
      <c r="B657" s="80" t="s">
        <v>116</v>
      </c>
      <c r="C657" s="80" t="s">
        <v>1667</v>
      </c>
      <c r="D657" s="80" t="s">
        <v>116</v>
      </c>
      <c r="E657" s="80">
        <v>68427709</v>
      </c>
      <c r="F657" s="94">
        <v>-220000</v>
      </c>
      <c r="G657" s="80" t="s">
        <v>72</v>
      </c>
      <c r="H657" s="80" t="s">
        <v>73</v>
      </c>
      <c r="I657" s="80" t="s">
        <v>1644</v>
      </c>
      <c r="J657" s="80">
        <v>2022</v>
      </c>
      <c r="K657" s="80" t="s">
        <v>1666</v>
      </c>
      <c r="L657" s="80"/>
    </row>
    <row r="658" spans="1:12" x14ac:dyDescent="0.25">
      <c r="A658" s="83">
        <v>44203</v>
      </c>
      <c r="B658" s="186" t="s">
        <v>1668</v>
      </c>
      <c r="C658" s="186" t="s">
        <v>1669</v>
      </c>
      <c r="D658" s="80" t="s">
        <v>1610</v>
      </c>
      <c r="E658" s="80">
        <v>68427709</v>
      </c>
      <c r="F658" s="94">
        <v>8000</v>
      </c>
      <c r="G658" s="80" t="s">
        <v>72</v>
      </c>
      <c r="H658" s="80" t="s">
        <v>73</v>
      </c>
      <c r="I658" s="80" t="s">
        <v>954</v>
      </c>
      <c r="J658" s="80">
        <v>2022</v>
      </c>
      <c r="K658" s="80" t="s">
        <v>514</v>
      </c>
      <c r="L658" s="80"/>
    </row>
    <row r="659" spans="1:12" x14ac:dyDescent="0.25">
      <c r="A659" s="83">
        <v>44203</v>
      </c>
      <c r="B659" s="80" t="s">
        <v>1227</v>
      </c>
      <c r="C659" s="186" t="s">
        <v>1670</v>
      </c>
      <c r="D659" s="80" t="s">
        <v>1671</v>
      </c>
      <c r="E659" s="80">
        <v>68427709</v>
      </c>
      <c r="F659" s="94">
        <v>162000</v>
      </c>
      <c r="G659" s="80" t="s">
        <v>72</v>
      </c>
      <c r="H659" s="80" t="s">
        <v>73</v>
      </c>
      <c r="I659" s="80" t="s">
        <v>1644</v>
      </c>
      <c r="J659" s="80">
        <v>2022</v>
      </c>
      <c r="K659" s="80" t="s">
        <v>514</v>
      </c>
      <c r="L659" s="80"/>
    </row>
    <row r="660" spans="1:12" x14ac:dyDescent="0.25">
      <c r="A660" s="83">
        <v>44203</v>
      </c>
      <c r="B660" s="80" t="s">
        <v>1672</v>
      </c>
      <c r="C660" s="186" t="s">
        <v>1673</v>
      </c>
      <c r="D660" s="80" t="s">
        <v>564</v>
      </c>
      <c r="E660" s="80">
        <v>68427709</v>
      </c>
      <c r="F660" s="94">
        <v>30000</v>
      </c>
      <c r="G660" s="80" t="s">
        <v>72</v>
      </c>
      <c r="H660" s="80" t="s">
        <v>73</v>
      </c>
      <c r="I660" s="80" t="s">
        <v>954</v>
      </c>
      <c r="J660" s="80">
        <v>2022</v>
      </c>
      <c r="K660" s="80" t="s">
        <v>514</v>
      </c>
      <c r="L660" s="80"/>
    </row>
    <row r="661" spans="1:12" x14ac:dyDescent="0.25">
      <c r="A661" s="83">
        <v>44203</v>
      </c>
      <c r="B661" s="80" t="s">
        <v>1674</v>
      </c>
      <c r="C661" s="186" t="s">
        <v>1675</v>
      </c>
      <c r="D661" s="80" t="s">
        <v>1676</v>
      </c>
      <c r="E661" s="80">
        <v>68427709</v>
      </c>
      <c r="F661" s="94">
        <v>-175000</v>
      </c>
      <c r="G661" s="80" t="s">
        <v>72</v>
      </c>
      <c r="H661" s="80" t="s">
        <v>73</v>
      </c>
      <c r="I661" s="80" t="s">
        <v>1644</v>
      </c>
      <c r="J661" s="80">
        <v>2022</v>
      </c>
      <c r="K661" s="80" t="s">
        <v>514</v>
      </c>
      <c r="L661" s="80"/>
    </row>
    <row r="662" spans="1:12" x14ac:dyDescent="0.25">
      <c r="A662" s="83">
        <v>44203</v>
      </c>
      <c r="B662" s="80" t="s">
        <v>1677</v>
      </c>
      <c r="C662" s="186" t="s">
        <v>1678</v>
      </c>
      <c r="D662" s="80" t="s">
        <v>1677</v>
      </c>
      <c r="E662" s="80">
        <v>68427709</v>
      </c>
      <c r="F662" s="94">
        <v>-10000</v>
      </c>
      <c r="G662" s="80" t="s">
        <v>72</v>
      </c>
      <c r="H662" s="80" t="s">
        <v>73</v>
      </c>
      <c r="I662" s="80" t="s">
        <v>1644</v>
      </c>
      <c r="J662" s="80">
        <v>2022</v>
      </c>
      <c r="K662" s="80" t="s">
        <v>514</v>
      </c>
      <c r="L662" s="80"/>
    </row>
    <row r="663" spans="1:12" x14ac:dyDescent="0.25">
      <c r="A663" s="83">
        <v>44203</v>
      </c>
      <c r="B663" s="187" t="s">
        <v>1679</v>
      </c>
      <c r="C663" s="186" t="s">
        <v>1680</v>
      </c>
      <c r="D663" s="80" t="s">
        <v>1681</v>
      </c>
      <c r="E663" s="80">
        <v>68427709</v>
      </c>
      <c r="F663" s="94">
        <v>10500</v>
      </c>
      <c r="G663" s="80" t="s">
        <v>72</v>
      </c>
      <c r="H663" s="80" t="s">
        <v>73</v>
      </c>
      <c r="I663" s="80" t="s">
        <v>1644</v>
      </c>
      <c r="J663" s="80">
        <v>2022</v>
      </c>
      <c r="K663" s="80" t="s">
        <v>514</v>
      </c>
      <c r="L663" s="80" t="s">
        <v>1682</v>
      </c>
    </row>
    <row r="664" spans="1:12" x14ac:dyDescent="0.25">
      <c r="A664" s="83">
        <v>44203</v>
      </c>
      <c r="B664" s="80" t="s">
        <v>1683</v>
      </c>
      <c r="C664" s="80" t="s">
        <v>1684</v>
      </c>
      <c r="D664" s="80" t="s">
        <v>1685</v>
      </c>
      <c r="E664" s="80">
        <v>68427709</v>
      </c>
      <c r="F664" s="94">
        <v>0</v>
      </c>
      <c r="G664" s="80" t="s">
        <v>72</v>
      </c>
      <c r="H664" s="80" t="s">
        <v>73</v>
      </c>
      <c r="I664" s="80" t="s">
        <v>1644</v>
      </c>
      <c r="J664" s="80">
        <v>2022</v>
      </c>
      <c r="K664" s="80" t="s">
        <v>75</v>
      </c>
      <c r="L664" s="80"/>
    </row>
    <row r="665" spans="1:12" x14ac:dyDescent="0.25">
      <c r="A665" s="83">
        <v>44384</v>
      </c>
      <c r="B665" s="80" t="s">
        <v>1092</v>
      </c>
      <c r="C665" s="80" t="s">
        <v>1686</v>
      </c>
      <c r="D665" s="80" t="s">
        <v>1092</v>
      </c>
      <c r="E665" s="80">
        <v>68427719</v>
      </c>
      <c r="F665" s="94">
        <v>0</v>
      </c>
      <c r="G665" s="80" t="s">
        <v>72</v>
      </c>
      <c r="H665" s="80" t="s">
        <v>73</v>
      </c>
      <c r="I665" s="80" t="s">
        <v>1644</v>
      </c>
      <c r="J665" s="80">
        <v>2022</v>
      </c>
      <c r="K665" s="80" t="s">
        <v>320</v>
      </c>
      <c r="L665" s="80"/>
    </row>
    <row r="666" spans="1:12" x14ac:dyDescent="0.25">
      <c r="A666" s="83">
        <v>44384</v>
      </c>
      <c r="B666" s="80" t="s">
        <v>94</v>
      </c>
      <c r="C666" s="80" t="s">
        <v>1687</v>
      </c>
      <c r="D666" s="80" t="s">
        <v>1688</v>
      </c>
      <c r="E666" s="80">
        <v>68427709</v>
      </c>
      <c r="F666" s="94">
        <v>0</v>
      </c>
      <c r="G666" s="80" t="s">
        <v>72</v>
      </c>
      <c r="H666" s="80" t="s">
        <v>73</v>
      </c>
      <c r="I666" s="80" t="s">
        <v>1644</v>
      </c>
      <c r="J666" s="80">
        <v>2022</v>
      </c>
      <c r="K666" s="80" t="s">
        <v>320</v>
      </c>
      <c r="L666" s="80"/>
    </row>
    <row r="667" spans="1:12" x14ac:dyDescent="0.25">
      <c r="A667" s="83">
        <v>44384</v>
      </c>
      <c r="B667" s="80" t="s">
        <v>1689</v>
      </c>
      <c r="C667" s="80" t="s">
        <v>1690</v>
      </c>
      <c r="D667" s="80" t="s">
        <v>311</v>
      </c>
      <c r="E667" s="80">
        <v>68427709</v>
      </c>
      <c r="F667" s="94">
        <v>260000</v>
      </c>
      <c r="G667" s="80" t="s">
        <v>72</v>
      </c>
      <c r="H667" s="80" t="s">
        <v>73</v>
      </c>
      <c r="I667" s="80" t="s">
        <v>92</v>
      </c>
      <c r="J667" s="80">
        <v>2022</v>
      </c>
      <c r="K667" s="80" t="s">
        <v>320</v>
      </c>
      <c r="L667" s="80"/>
    </row>
    <row r="668" spans="1:12" x14ac:dyDescent="0.25">
      <c r="A668" s="83">
        <v>44384</v>
      </c>
      <c r="B668" s="80" t="s">
        <v>1691</v>
      </c>
      <c r="C668" s="80" t="s">
        <v>1692</v>
      </c>
      <c r="D668" s="155" t="s">
        <v>1693</v>
      </c>
      <c r="E668" s="80">
        <v>68427709</v>
      </c>
      <c r="F668" s="94">
        <v>32000</v>
      </c>
      <c r="G668" s="80" t="s">
        <v>72</v>
      </c>
      <c r="H668" s="80" t="s">
        <v>73</v>
      </c>
      <c r="I668" s="80" t="s">
        <v>1633</v>
      </c>
      <c r="J668" s="80">
        <v>2022</v>
      </c>
      <c r="K668" s="80" t="s">
        <v>186</v>
      </c>
      <c r="L668" s="80"/>
    </row>
    <row r="669" spans="1:12" x14ac:dyDescent="0.25">
      <c r="A669" s="83">
        <v>44415</v>
      </c>
      <c r="B669" s="80" t="s">
        <v>1694</v>
      </c>
      <c r="C669" s="80" t="s">
        <v>1695</v>
      </c>
      <c r="D669" s="80" t="s">
        <v>564</v>
      </c>
      <c r="E669" s="80">
        <v>68427709</v>
      </c>
      <c r="F669" s="94">
        <v>-100000</v>
      </c>
      <c r="G669" s="80" t="s">
        <v>72</v>
      </c>
      <c r="H669" s="80" t="s">
        <v>73</v>
      </c>
      <c r="I669" s="80" t="s">
        <v>92</v>
      </c>
      <c r="J669" s="80">
        <v>2022</v>
      </c>
      <c r="K669" s="80" t="s">
        <v>1696</v>
      </c>
      <c r="L669" s="80"/>
    </row>
    <row r="670" spans="1:12" x14ac:dyDescent="0.25">
      <c r="A670" s="83">
        <v>44415</v>
      </c>
      <c r="B670" s="80" t="s">
        <v>1697</v>
      </c>
      <c r="C670" s="80" t="s">
        <v>1698</v>
      </c>
      <c r="D670" s="80" t="s">
        <v>564</v>
      </c>
      <c r="E670" s="80">
        <v>68427709</v>
      </c>
      <c r="F670" s="94">
        <v>-100000</v>
      </c>
      <c r="G670" s="80" t="s">
        <v>72</v>
      </c>
      <c r="H670" s="80" t="s">
        <v>73</v>
      </c>
      <c r="I670" s="80" t="s">
        <v>92</v>
      </c>
      <c r="J670" s="80">
        <v>2022</v>
      </c>
      <c r="K670" s="80" t="s">
        <v>1696</v>
      </c>
      <c r="L670" s="80"/>
    </row>
    <row r="671" spans="1:12" x14ac:dyDescent="0.25">
      <c r="A671" s="83">
        <v>44415</v>
      </c>
      <c r="B671" s="80" t="s">
        <v>232</v>
      </c>
      <c r="C671" t="s">
        <v>1699</v>
      </c>
      <c r="D671" s="80" t="s">
        <v>232</v>
      </c>
      <c r="E671" s="80">
        <v>68427709</v>
      </c>
      <c r="F671" s="94">
        <v>25000</v>
      </c>
      <c r="G671" s="80" t="s">
        <v>72</v>
      </c>
      <c r="H671" s="80" t="s">
        <v>73</v>
      </c>
      <c r="I671" s="80" t="s">
        <v>1633</v>
      </c>
      <c r="J671" s="80">
        <v>2022</v>
      </c>
      <c r="K671" s="80" t="s">
        <v>1696</v>
      </c>
      <c r="L671" s="80"/>
    </row>
    <row r="672" spans="1:12" x14ac:dyDescent="0.25">
      <c r="A672" s="83">
        <v>44415</v>
      </c>
      <c r="B672" s="80" t="s">
        <v>714</v>
      </c>
      <c r="C672" t="s">
        <v>1700</v>
      </c>
      <c r="D672" s="80" t="s">
        <v>1701</v>
      </c>
      <c r="E672" s="80">
        <v>68427709</v>
      </c>
      <c r="F672" s="94">
        <v>150000</v>
      </c>
      <c r="G672" s="80" t="s">
        <v>72</v>
      </c>
      <c r="H672" s="80" t="s">
        <v>73</v>
      </c>
      <c r="I672" s="80" t="s">
        <v>1633</v>
      </c>
      <c r="J672" s="80">
        <v>2022</v>
      </c>
      <c r="K672" s="80" t="s">
        <v>1696</v>
      </c>
      <c r="L672" s="80"/>
    </row>
    <row r="673" spans="1:12" x14ac:dyDescent="0.25">
      <c r="A673" s="83">
        <v>44415</v>
      </c>
      <c r="B673" s="80" t="s">
        <v>1155</v>
      </c>
      <c r="C673" s="80" t="s">
        <v>1702</v>
      </c>
      <c r="D673" s="80" t="s">
        <v>1155</v>
      </c>
      <c r="E673" s="80">
        <v>68427709</v>
      </c>
      <c r="F673" s="94">
        <v>20000</v>
      </c>
      <c r="G673" s="80" t="s">
        <v>72</v>
      </c>
      <c r="H673" s="80" t="s">
        <v>73</v>
      </c>
      <c r="I673" s="80" t="s">
        <v>92</v>
      </c>
      <c r="J673" s="80">
        <v>2022</v>
      </c>
      <c r="K673" s="80" t="s">
        <v>1696</v>
      </c>
      <c r="L673" s="80"/>
    </row>
    <row r="674" spans="1:12" x14ac:dyDescent="0.25">
      <c r="A674" s="83">
        <v>44537</v>
      </c>
      <c r="B674" s="80" t="s">
        <v>1152</v>
      </c>
      <c r="C674" s="80" t="s">
        <v>1703</v>
      </c>
      <c r="D674" s="80" t="s">
        <v>1152</v>
      </c>
      <c r="E674" s="80">
        <v>68427709</v>
      </c>
      <c r="F674" s="94">
        <v>20000</v>
      </c>
      <c r="G674" s="80" t="s">
        <v>72</v>
      </c>
      <c r="H674" s="80" t="s">
        <v>73</v>
      </c>
      <c r="I674" s="80" t="s">
        <v>1633</v>
      </c>
      <c r="J674" s="80">
        <v>2022</v>
      </c>
      <c r="K674" s="80" t="s">
        <v>1704</v>
      </c>
      <c r="L674" s="80"/>
    </row>
    <row r="675" spans="1:12" x14ac:dyDescent="0.25">
      <c r="A675" s="83">
        <v>44390</v>
      </c>
      <c r="B675" s="80" t="s">
        <v>1705</v>
      </c>
      <c r="C675" s="80" t="s">
        <v>1706</v>
      </c>
      <c r="D675" s="80" t="s">
        <v>1707</v>
      </c>
      <c r="E675" s="80">
        <v>68427709</v>
      </c>
      <c r="F675" s="94">
        <v>60000</v>
      </c>
      <c r="G675" s="80" t="s">
        <v>72</v>
      </c>
      <c r="H675" s="80" t="s">
        <v>73</v>
      </c>
      <c r="I675" s="80" t="s">
        <v>1633</v>
      </c>
      <c r="J675" s="80">
        <v>2022</v>
      </c>
      <c r="K675" s="80" t="s">
        <v>1053</v>
      </c>
      <c r="L675" s="80"/>
    </row>
    <row r="676" spans="1:12" x14ac:dyDescent="0.25">
      <c r="A676" s="83">
        <v>44391</v>
      </c>
      <c r="B676" s="80" t="s">
        <v>1708</v>
      </c>
      <c r="C676" s="80" t="s">
        <v>1709</v>
      </c>
      <c r="D676" s="80" t="s">
        <v>236</v>
      </c>
      <c r="E676" s="80">
        <v>68427709</v>
      </c>
      <c r="F676" s="94">
        <v>0</v>
      </c>
      <c r="G676" s="80" t="s">
        <v>72</v>
      </c>
      <c r="H676" s="80" t="s">
        <v>73</v>
      </c>
      <c r="I676" s="80" t="s">
        <v>909</v>
      </c>
      <c r="J676" s="80">
        <v>2022</v>
      </c>
      <c r="K676" s="80" t="s">
        <v>75</v>
      </c>
      <c r="L676" s="80" t="s">
        <v>1710</v>
      </c>
    </row>
    <row r="677" spans="1:12" x14ac:dyDescent="0.25">
      <c r="A677" s="83">
        <v>44391</v>
      </c>
      <c r="B677" s="80" t="s">
        <v>1711</v>
      </c>
      <c r="C677" s="80" t="s">
        <v>1712</v>
      </c>
      <c r="D677" s="80" t="s">
        <v>236</v>
      </c>
      <c r="E677" s="80">
        <v>68427709</v>
      </c>
      <c r="F677" s="94">
        <v>-48960</v>
      </c>
      <c r="G677" s="80" t="s">
        <v>72</v>
      </c>
      <c r="H677" s="80" t="s">
        <v>73</v>
      </c>
      <c r="I677" s="80" t="s">
        <v>909</v>
      </c>
      <c r="J677" s="80">
        <v>2022</v>
      </c>
      <c r="K677" s="80" t="s">
        <v>75</v>
      </c>
      <c r="L677" s="80" t="s">
        <v>1713</v>
      </c>
    </row>
    <row r="678" spans="1:12" x14ac:dyDescent="0.25">
      <c r="A678" s="83">
        <v>44391</v>
      </c>
      <c r="B678" s="80" t="s">
        <v>1714</v>
      </c>
      <c r="C678" s="80" t="s">
        <v>1715</v>
      </c>
      <c r="D678" s="80" t="s">
        <v>236</v>
      </c>
      <c r="E678" s="80">
        <v>68427709</v>
      </c>
      <c r="F678" s="94">
        <v>11040</v>
      </c>
      <c r="G678" s="80" t="s">
        <v>72</v>
      </c>
      <c r="H678" s="80" t="s">
        <v>73</v>
      </c>
      <c r="I678" s="80" t="s">
        <v>909</v>
      </c>
      <c r="J678" s="80">
        <v>2022</v>
      </c>
      <c r="K678" s="80" t="s">
        <v>75</v>
      </c>
      <c r="L678" s="80"/>
    </row>
    <row r="679" spans="1:12" x14ac:dyDescent="0.25">
      <c r="A679" s="83">
        <v>44391</v>
      </c>
      <c r="B679" s="80" t="s">
        <v>30</v>
      </c>
      <c r="C679" s="80" t="s">
        <v>1716</v>
      </c>
      <c r="D679" s="80" t="s">
        <v>236</v>
      </c>
      <c r="E679" s="80">
        <v>68427709</v>
      </c>
      <c r="F679" s="94">
        <v>-192000</v>
      </c>
      <c r="G679" s="80" t="s">
        <v>72</v>
      </c>
      <c r="H679" s="80" t="s">
        <v>73</v>
      </c>
      <c r="I679" s="80" t="s">
        <v>909</v>
      </c>
      <c r="J679" s="80">
        <v>2022</v>
      </c>
      <c r="K679" s="80" t="s">
        <v>75</v>
      </c>
      <c r="L679" s="80" t="s">
        <v>1717</v>
      </c>
    </row>
    <row r="680" spans="1:12" x14ac:dyDescent="0.25">
      <c r="A680" s="83">
        <v>44391</v>
      </c>
      <c r="B680" s="80" t="s">
        <v>1718</v>
      </c>
      <c r="C680" s="80" t="s">
        <v>1719</v>
      </c>
      <c r="D680" s="80" t="s">
        <v>236</v>
      </c>
      <c r="E680" s="80">
        <v>68427709</v>
      </c>
      <c r="F680" s="94">
        <v>-37975</v>
      </c>
      <c r="G680" s="80" t="s">
        <v>261</v>
      </c>
      <c r="H680" s="80" t="s">
        <v>73</v>
      </c>
      <c r="I680" s="80" t="s">
        <v>909</v>
      </c>
      <c r="J680" s="80">
        <v>2022</v>
      </c>
      <c r="K680" s="80" t="s">
        <v>75</v>
      </c>
      <c r="L680" s="80" t="s">
        <v>1720</v>
      </c>
    </row>
    <row r="681" spans="1:12" x14ac:dyDescent="0.25">
      <c r="A681" s="83">
        <v>44391</v>
      </c>
      <c r="B681" s="80" t="s">
        <v>530</v>
      </c>
      <c r="C681" s="80" t="s">
        <v>1719</v>
      </c>
      <c r="D681" s="80" t="s">
        <v>236</v>
      </c>
      <c r="E681" s="80">
        <v>68427709</v>
      </c>
      <c r="F681" s="94">
        <v>-50000</v>
      </c>
      <c r="G681" s="80" t="s">
        <v>72</v>
      </c>
      <c r="H681" s="80" t="s">
        <v>73</v>
      </c>
      <c r="I681" s="80" t="s">
        <v>909</v>
      </c>
      <c r="J681" s="80">
        <v>2022</v>
      </c>
      <c r="K681" s="80" t="s">
        <v>75</v>
      </c>
      <c r="L681" s="80"/>
    </row>
    <row r="682" spans="1:12" x14ac:dyDescent="0.25">
      <c r="A682" s="83">
        <v>44391</v>
      </c>
      <c r="B682" s="80" t="s">
        <v>1721</v>
      </c>
      <c r="C682" s="80" t="s">
        <v>1719</v>
      </c>
      <c r="D682" s="80" t="s">
        <v>236</v>
      </c>
      <c r="E682" s="80">
        <v>68427709</v>
      </c>
      <c r="F682" s="94">
        <v>-61783</v>
      </c>
      <c r="G682" s="80" t="s">
        <v>72</v>
      </c>
      <c r="H682" s="80" t="s">
        <v>73</v>
      </c>
      <c r="I682" s="80" t="s">
        <v>909</v>
      </c>
      <c r="J682" s="80">
        <v>2022</v>
      </c>
      <c r="K682" s="80" t="s">
        <v>75</v>
      </c>
      <c r="L682" s="80"/>
    </row>
    <row r="683" spans="1:12" x14ac:dyDescent="0.25">
      <c r="A683" s="83">
        <v>44391</v>
      </c>
      <c r="B683" s="80" t="s">
        <v>1722</v>
      </c>
      <c r="C683" s="80" t="s">
        <v>1716</v>
      </c>
      <c r="D683" s="80" t="s">
        <v>236</v>
      </c>
      <c r="E683" s="80">
        <v>68427709</v>
      </c>
      <c r="F683" s="94">
        <v>111783</v>
      </c>
      <c r="G683" s="80" t="s">
        <v>72</v>
      </c>
      <c r="H683" s="80" t="s">
        <v>73</v>
      </c>
      <c r="I683" s="80" t="s">
        <v>909</v>
      </c>
      <c r="J683" s="80">
        <v>2022</v>
      </c>
      <c r="K683" s="80" t="s">
        <v>75</v>
      </c>
      <c r="L683" s="80" t="s">
        <v>1723</v>
      </c>
    </row>
    <row r="684" spans="1:12" x14ac:dyDescent="0.25">
      <c r="A684" s="83">
        <v>44391</v>
      </c>
      <c r="B684" s="80" t="s">
        <v>1724</v>
      </c>
      <c r="C684" s="80" t="s">
        <v>1725</v>
      </c>
      <c r="D684" s="80" t="s">
        <v>236</v>
      </c>
      <c r="E684" s="80">
        <v>68427709</v>
      </c>
      <c r="F684" s="94">
        <v>60000</v>
      </c>
      <c r="G684" s="80" t="s">
        <v>72</v>
      </c>
      <c r="H684" s="80" t="s">
        <v>73</v>
      </c>
      <c r="I684" s="80" t="s">
        <v>909</v>
      </c>
      <c r="J684" s="80">
        <v>2022</v>
      </c>
      <c r="K684" s="80" t="s">
        <v>75</v>
      </c>
      <c r="L684" s="80" t="s">
        <v>1726</v>
      </c>
    </row>
    <row r="685" spans="1:12" x14ac:dyDescent="0.25">
      <c r="A685" s="83">
        <v>44392</v>
      </c>
      <c r="B685" s="80" t="s">
        <v>1727</v>
      </c>
      <c r="C685" s="80" t="s">
        <v>1728</v>
      </c>
      <c r="D685" s="80" t="s">
        <v>0</v>
      </c>
      <c r="E685" s="80">
        <v>68427709</v>
      </c>
      <c r="F685" s="94">
        <v>700000</v>
      </c>
      <c r="G685" s="80" t="s">
        <v>261</v>
      </c>
      <c r="H685" s="80" t="s">
        <v>73</v>
      </c>
      <c r="I685" s="80" t="s">
        <v>1633</v>
      </c>
      <c r="J685" s="80">
        <v>2022</v>
      </c>
      <c r="K685" s="80" t="s">
        <v>1550</v>
      </c>
      <c r="L685" s="80" t="s">
        <v>1589</v>
      </c>
    </row>
    <row r="686" spans="1:12" x14ac:dyDescent="0.25">
      <c r="A686" s="83">
        <v>44392</v>
      </c>
      <c r="B686" s="80" t="s">
        <v>1729</v>
      </c>
      <c r="C686" s="80" t="s">
        <v>1730</v>
      </c>
      <c r="D686" s="80"/>
      <c r="E686" s="80">
        <v>68427709</v>
      </c>
      <c r="F686" s="94">
        <v>300000</v>
      </c>
      <c r="G686" s="80" t="s">
        <v>261</v>
      </c>
      <c r="H686" s="80" t="s">
        <v>73</v>
      </c>
      <c r="I686" s="80" t="s">
        <v>1633</v>
      </c>
      <c r="J686" s="80">
        <v>2022</v>
      </c>
      <c r="K686" s="80" t="s">
        <v>1550</v>
      </c>
      <c r="L686" s="80" t="s">
        <v>1589</v>
      </c>
    </row>
    <row r="687" spans="1:12" x14ac:dyDescent="0.25">
      <c r="A687" s="83">
        <v>44392</v>
      </c>
      <c r="B687" s="80" t="s">
        <v>1731</v>
      </c>
      <c r="C687" s="80" t="s">
        <v>1732</v>
      </c>
      <c r="D687" s="80" t="s">
        <v>1733</v>
      </c>
      <c r="E687" s="80">
        <v>68427709</v>
      </c>
      <c r="F687" s="94">
        <v>-118000</v>
      </c>
      <c r="G687" s="80" t="s">
        <v>72</v>
      </c>
      <c r="H687" s="80" t="s">
        <v>73</v>
      </c>
      <c r="I687" s="80" t="s">
        <v>1633</v>
      </c>
      <c r="J687" s="80">
        <v>2022</v>
      </c>
      <c r="K687" s="80" t="s">
        <v>1550</v>
      </c>
      <c r="L687" s="80"/>
    </row>
    <row r="688" spans="1:12" x14ac:dyDescent="0.25">
      <c r="A688" s="83">
        <v>44392</v>
      </c>
      <c r="B688" s="80" t="s">
        <v>1734</v>
      </c>
      <c r="C688" s="80" t="s">
        <v>1732</v>
      </c>
      <c r="D688" s="80" t="s">
        <v>1733</v>
      </c>
      <c r="E688" s="80">
        <v>68427709</v>
      </c>
      <c r="F688" s="94">
        <v>-40000</v>
      </c>
      <c r="G688" s="80" t="s">
        <v>72</v>
      </c>
      <c r="H688" s="80" t="s">
        <v>73</v>
      </c>
      <c r="I688" s="80" t="s">
        <v>1633</v>
      </c>
      <c r="J688" s="80">
        <v>2022</v>
      </c>
      <c r="K688" s="80" t="s">
        <v>1550</v>
      </c>
      <c r="L688" s="80"/>
    </row>
    <row r="689" spans="1:12" x14ac:dyDescent="0.25">
      <c r="A689" s="83">
        <v>44392</v>
      </c>
      <c r="B689" s="80" t="s">
        <v>1735</v>
      </c>
      <c r="C689" s="80" t="s">
        <v>1736</v>
      </c>
      <c r="D689" s="80" t="s">
        <v>564</v>
      </c>
      <c r="E689" s="80">
        <v>68427709</v>
      </c>
      <c r="F689" s="94">
        <v>-53000</v>
      </c>
      <c r="G689" s="80" t="s">
        <v>261</v>
      </c>
      <c r="H689" s="80" t="s">
        <v>73</v>
      </c>
      <c r="I689" s="80" t="s">
        <v>1633</v>
      </c>
      <c r="J689" s="80">
        <v>2022</v>
      </c>
      <c r="K689" s="80" t="s">
        <v>1550</v>
      </c>
      <c r="L689" s="80" t="s">
        <v>1737</v>
      </c>
    </row>
    <row r="690" spans="1:12" x14ac:dyDescent="0.25">
      <c r="A690" s="83">
        <v>44392</v>
      </c>
      <c r="B690" s="80" t="s">
        <v>1738</v>
      </c>
      <c r="C690" s="80" t="s">
        <v>1739</v>
      </c>
      <c r="D690" s="80" t="s">
        <v>517</v>
      </c>
      <c r="E690" s="80">
        <v>68427709</v>
      </c>
      <c r="F690" s="94">
        <v>-345000</v>
      </c>
      <c r="G690" s="80" t="s">
        <v>72</v>
      </c>
      <c r="H690" s="80" t="s">
        <v>73</v>
      </c>
      <c r="I690" s="80" t="s">
        <v>1633</v>
      </c>
      <c r="J690" s="80">
        <v>2022</v>
      </c>
      <c r="K690" s="80" t="s">
        <v>1550</v>
      </c>
      <c r="L690" s="80"/>
    </row>
    <row r="691" spans="1:12" x14ac:dyDescent="0.25">
      <c r="A691" s="83">
        <v>44392</v>
      </c>
      <c r="B691" s="80" t="s">
        <v>1740</v>
      </c>
      <c r="C691" s="80" t="s">
        <v>1741</v>
      </c>
      <c r="D691" s="80" t="s">
        <v>1742</v>
      </c>
      <c r="E691" s="80">
        <v>68427709</v>
      </c>
      <c r="F691" s="94">
        <v>-250000</v>
      </c>
      <c r="G691" s="80" t="s">
        <v>72</v>
      </c>
      <c r="H691" s="80" t="s">
        <v>73</v>
      </c>
      <c r="I691" s="80" t="s">
        <v>1633</v>
      </c>
      <c r="J691" s="80">
        <v>2022</v>
      </c>
      <c r="K691" s="80" t="s">
        <v>1550</v>
      </c>
      <c r="L691" s="80"/>
    </row>
    <row r="692" spans="1:12" x14ac:dyDescent="0.25">
      <c r="A692" s="83">
        <v>44396</v>
      </c>
      <c r="B692" s="80" t="s">
        <v>1743</v>
      </c>
      <c r="C692" s="80" t="s">
        <v>1744</v>
      </c>
      <c r="D692" s="80" t="s">
        <v>1745</v>
      </c>
      <c r="E692" s="80">
        <v>68427709</v>
      </c>
      <c r="F692" s="94">
        <v>-30000</v>
      </c>
      <c r="G692" s="80" t="s">
        <v>72</v>
      </c>
      <c r="H692" s="80" t="s">
        <v>73</v>
      </c>
      <c r="I692" s="80" t="s">
        <v>1633</v>
      </c>
      <c r="J692" s="80">
        <v>2022</v>
      </c>
      <c r="K692" s="80" t="s">
        <v>238</v>
      </c>
      <c r="L692" s="80"/>
    </row>
    <row r="693" spans="1:12" x14ac:dyDescent="0.25">
      <c r="A693" s="83">
        <v>44396</v>
      </c>
      <c r="B693" s="80" t="s">
        <v>1746</v>
      </c>
      <c r="C693" s="80" t="s">
        <v>1747</v>
      </c>
      <c r="D693" s="80" t="s">
        <v>1745</v>
      </c>
      <c r="E693" s="80">
        <v>68427709</v>
      </c>
      <c r="F693" s="94">
        <v>95400</v>
      </c>
      <c r="G693" s="80" t="s">
        <v>72</v>
      </c>
      <c r="H693" s="80" t="s">
        <v>73</v>
      </c>
      <c r="I693" s="80" t="s">
        <v>1633</v>
      </c>
      <c r="J693" s="80">
        <v>2022</v>
      </c>
      <c r="K693" s="80" t="s">
        <v>238</v>
      </c>
      <c r="L693" s="80"/>
    </row>
    <row r="694" spans="1:12" x14ac:dyDescent="0.25">
      <c r="A694" s="83">
        <v>44396</v>
      </c>
      <c r="B694" s="80" t="s">
        <v>1748</v>
      </c>
      <c r="C694" s="80" t="s">
        <v>1749</v>
      </c>
      <c r="D694" s="80" t="s">
        <v>1748</v>
      </c>
      <c r="E694" s="80">
        <v>68427709</v>
      </c>
      <c r="F694" s="94">
        <v>8000</v>
      </c>
      <c r="G694" s="80" t="s">
        <v>72</v>
      </c>
      <c r="H694" s="80" t="s">
        <v>73</v>
      </c>
      <c r="I694" s="80" t="s">
        <v>1633</v>
      </c>
      <c r="J694" s="80">
        <v>2022</v>
      </c>
      <c r="K694" s="80" t="s">
        <v>1096</v>
      </c>
      <c r="L694" s="80"/>
    </row>
    <row r="695" spans="1:12" x14ac:dyDescent="0.25">
      <c r="A695" s="83">
        <v>44398</v>
      </c>
      <c r="B695" s="80" t="s">
        <v>917</v>
      </c>
      <c r="C695" s="80" t="s">
        <v>1534</v>
      </c>
      <c r="D695" s="80" t="s">
        <v>917</v>
      </c>
      <c r="E695" s="80">
        <v>68427709</v>
      </c>
      <c r="F695" s="94">
        <v>-10000</v>
      </c>
      <c r="G695" s="80" t="s">
        <v>72</v>
      </c>
      <c r="H695" s="80" t="s">
        <v>73</v>
      </c>
      <c r="I695" s="80" t="s">
        <v>1633</v>
      </c>
      <c r="J695" s="80">
        <v>2022</v>
      </c>
      <c r="K695" s="80" t="s">
        <v>514</v>
      </c>
      <c r="L695" s="80"/>
    </row>
    <row r="696" spans="1:12" x14ac:dyDescent="0.25">
      <c r="A696" s="83">
        <v>44398</v>
      </c>
      <c r="B696" s="80" t="s">
        <v>1750</v>
      </c>
      <c r="C696" s="80" t="s">
        <v>1751</v>
      </c>
      <c r="D696" s="80" t="s">
        <v>564</v>
      </c>
      <c r="E696" s="80">
        <v>68427709</v>
      </c>
      <c r="F696" s="94">
        <v>145000</v>
      </c>
      <c r="G696" s="80" t="s">
        <v>72</v>
      </c>
      <c r="H696" s="80" t="s">
        <v>73</v>
      </c>
      <c r="I696" s="80" t="s">
        <v>92</v>
      </c>
      <c r="J696" s="80">
        <v>2022</v>
      </c>
      <c r="K696" s="80" t="s">
        <v>1752</v>
      </c>
      <c r="L696" s="80"/>
    </row>
    <row r="697" spans="1:12" x14ac:dyDescent="0.25">
      <c r="A697" s="83">
        <v>44398</v>
      </c>
      <c r="B697" s="80" t="s">
        <v>1753</v>
      </c>
      <c r="C697" s="80" t="s">
        <v>1754</v>
      </c>
      <c r="D697" s="80" t="s">
        <v>1755</v>
      </c>
      <c r="E697" s="80">
        <v>68427709</v>
      </c>
      <c r="F697" s="94">
        <v>34000</v>
      </c>
      <c r="G697" s="80" t="s">
        <v>72</v>
      </c>
      <c r="H697" s="80" t="s">
        <v>73</v>
      </c>
      <c r="I697" s="80" t="s">
        <v>1644</v>
      </c>
      <c r="J697" s="80">
        <v>2022</v>
      </c>
      <c r="K697" s="80" t="s">
        <v>1752</v>
      </c>
      <c r="L697" s="80"/>
    </row>
    <row r="698" spans="1:12" x14ac:dyDescent="0.25">
      <c r="A698" s="83">
        <v>44398</v>
      </c>
      <c r="B698" s="80" t="s">
        <v>1756</v>
      </c>
      <c r="C698" s="80" t="s">
        <v>1706</v>
      </c>
      <c r="D698" s="80" t="s">
        <v>422</v>
      </c>
      <c r="E698" s="80">
        <v>68427709</v>
      </c>
      <c r="F698" s="94">
        <v>-40000</v>
      </c>
      <c r="G698" s="80" t="s">
        <v>72</v>
      </c>
      <c r="H698" s="80" t="s">
        <v>73</v>
      </c>
      <c r="I698" s="80" t="s">
        <v>1644</v>
      </c>
      <c r="J698" s="80">
        <v>2022</v>
      </c>
      <c r="K698" s="80" t="s">
        <v>1752</v>
      </c>
      <c r="L698" s="80"/>
    </row>
    <row r="699" spans="1:12" x14ac:dyDescent="0.25">
      <c r="A699" s="83">
        <v>44398</v>
      </c>
      <c r="B699" s="80" t="s">
        <v>1757</v>
      </c>
      <c r="C699" s="80" t="s">
        <v>1758</v>
      </c>
      <c r="D699" s="80" t="s">
        <v>1759</v>
      </c>
      <c r="E699" s="80">
        <v>68427709</v>
      </c>
      <c r="F699" s="94">
        <v>160000</v>
      </c>
      <c r="G699" s="80" t="s">
        <v>72</v>
      </c>
      <c r="H699" s="80" t="s">
        <v>73</v>
      </c>
      <c r="I699" s="80" t="s">
        <v>1644</v>
      </c>
      <c r="J699" s="80">
        <v>2022</v>
      </c>
      <c r="K699" s="80" t="s">
        <v>1752</v>
      </c>
      <c r="L699" s="80"/>
    </row>
    <row r="700" spans="1:12" x14ac:dyDescent="0.25">
      <c r="A700" s="83">
        <v>44398</v>
      </c>
      <c r="B700" s="80" t="s">
        <v>1760</v>
      </c>
      <c r="C700" s="80" t="s">
        <v>1761</v>
      </c>
      <c r="D700" s="80" t="s">
        <v>517</v>
      </c>
      <c r="E700" s="80">
        <v>68427709</v>
      </c>
      <c r="F700" s="94">
        <v>120000</v>
      </c>
      <c r="G700" s="80" t="s">
        <v>72</v>
      </c>
      <c r="H700" s="80" t="s">
        <v>73</v>
      </c>
      <c r="I700" s="80" t="s">
        <v>1644</v>
      </c>
      <c r="J700" s="80">
        <v>2022</v>
      </c>
      <c r="K700" s="80" t="s">
        <v>320</v>
      </c>
      <c r="L700" s="80"/>
    </row>
    <row r="701" spans="1:12" x14ac:dyDescent="0.25">
      <c r="A701" s="83">
        <v>44398</v>
      </c>
      <c r="B701" s="80" t="s">
        <v>1762</v>
      </c>
      <c r="C701" s="80" t="s">
        <v>1763</v>
      </c>
      <c r="D701" s="80" t="s">
        <v>1764</v>
      </c>
      <c r="E701" s="80">
        <v>68427709</v>
      </c>
      <c r="F701" s="94">
        <v>-40000</v>
      </c>
      <c r="G701" s="80" t="s">
        <v>72</v>
      </c>
      <c r="H701" s="80" t="s">
        <v>73</v>
      </c>
      <c r="I701" s="80" t="s">
        <v>1644</v>
      </c>
      <c r="J701" s="80">
        <v>2022</v>
      </c>
      <c r="K701" s="80" t="s">
        <v>320</v>
      </c>
      <c r="L701" s="80"/>
    </row>
    <row r="702" spans="1:12" x14ac:dyDescent="0.25">
      <c r="A702" s="83">
        <v>44398</v>
      </c>
      <c r="B702" s="80" t="s">
        <v>1765</v>
      </c>
      <c r="C702" s="80" t="s">
        <v>1766</v>
      </c>
      <c r="D702" s="80" t="s">
        <v>564</v>
      </c>
      <c r="E702" s="80">
        <v>68427709</v>
      </c>
      <c r="F702" s="94">
        <v>100000</v>
      </c>
      <c r="G702" s="80" t="s">
        <v>72</v>
      </c>
      <c r="H702" s="80" t="s">
        <v>73</v>
      </c>
      <c r="I702" s="80" t="s">
        <v>92</v>
      </c>
      <c r="J702" s="80">
        <v>2022</v>
      </c>
      <c r="K702" s="80" t="s">
        <v>1053</v>
      </c>
      <c r="L702" s="80"/>
    </row>
    <row r="703" spans="1:12" x14ac:dyDescent="0.25">
      <c r="A703" s="83">
        <v>44398</v>
      </c>
      <c r="B703" s="80" t="s">
        <v>1428</v>
      </c>
      <c r="C703" s="80" t="s">
        <v>1767</v>
      </c>
      <c r="D703" s="80" t="s">
        <v>564</v>
      </c>
      <c r="E703" s="80">
        <v>68427709</v>
      </c>
      <c r="F703" s="94">
        <v>250000</v>
      </c>
      <c r="G703" s="80" t="s">
        <v>72</v>
      </c>
      <c r="H703" s="80" t="s">
        <v>73</v>
      </c>
      <c r="I703" s="80" t="s">
        <v>92</v>
      </c>
      <c r="J703" s="80">
        <v>2022</v>
      </c>
      <c r="K703" s="80" t="s">
        <v>1053</v>
      </c>
      <c r="L703" s="80"/>
    </row>
    <row r="704" spans="1:12" x14ac:dyDescent="0.25">
      <c r="A704" s="83">
        <v>44398</v>
      </c>
      <c r="B704" s="80" t="s">
        <v>1428</v>
      </c>
      <c r="C704" s="80" t="s">
        <v>1768</v>
      </c>
      <c r="D704" s="80" t="s">
        <v>564</v>
      </c>
      <c r="E704" s="80">
        <v>68427709</v>
      </c>
      <c r="F704" s="94">
        <v>140000</v>
      </c>
      <c r="G704" s="80" t="s">
        <v>72</v>
      </c>
      <c r="H704" s="80" t="s">
        <v>73</v>
      </c>
      <c r="I704" s="80" t="s">
        <v>92</v>
      </c>
      <c r="J704" s="80">
        <v>2022</v>
      </c>
      <c r="K704" s="80" t="s">
        <v>1053</v>
      </c>
      <c r="L704" s="80"/>
    </row>
    <row r="705" spans="1:12" x14ac:dyDescent="0.25">
      <c r="A705" s="83">
        <v>44398</v>
      </c>
      <c r="B705" s="80" t="s">
        <v>1436</v>
      </c>
      <c r="C705" s="80" t="s">
        <v>1769</v>
      </c>
      <c r="D705" s="80" t="s">
        <v>564</v>
      </c>
      <c r="E705" s="80">
        <v>68427709</v>
      </c>
      <c r="F705" s="94">
        <v>70000</v>
      </c>
      <c r="G705" s="80" t="s">
        <v>72</v>
      </c>
      <c r="H705" s="80" t="s">
        <v>73</v>
      </c>
      <c r="I705" s="80" t="s">
        <v>92</v>
      </c>
      <c r="J705" s="80">
        <v>2022</v>
      </c>
      <c r="K705" s="80" t="s">
        <v>1053</v>
      </c>
      <c r="L705" s="80"/>
    </row>
    <row r="706" spans="1:12" x14ac:dyDescent="0.25">
      <c r="A706" s="83">
        <v>44398</v>
      </c>
      <c r="B706" s="80" t="s">
        <v>1440</v>
      </c>
      <c r="C706" s="80" t="s">
        <v>1770</v>
      </c>
      <c r="D706" s="80" t="s">
        <v>564</v>
      </c>
      <c r="E706" s="80">
        <v>68427709</v>
      </c>
      <c r="F706" s="94">
        <v>90000</v>
      </c>
      <c r="G706" s="80" t="s">
        <v>72</v>
      </c>
      <c r="H706" s="80" t="s">
        <v>73</v>
      </c>
      <c r="I706" s="80" t="s">
        <v>92</v>
      </c>
      <c r="J706" s="80">
        <v>2022</v>
      </c>
      <c r="K706" s="80" t="s">
        <v>1053</v>
      </c>
      <c r="L706" s="80"/>
    </row>
    <row r="707" spans="1:12" x14ac:dyDescent="0.25">
      <c r="A707" s="83">
        <v>44398</v>
      </c>
      <c r="B707" s="80" t="s">
        <v>1771</v>
      </c>
      <c r="C707" s="80" t="s">
        <v>1772</v>
      </c>
      <c r="D707" s="80" t="s">
        <v>564</v>
      </c>
      <c r="E707" s="80">
        <v>68427709</v>
      </c>
      <c r="F707" s="94">
        <v>43000</v>
      </c>
      <c r="G707" s="80" t="s">
        <v>72</v>
      </c>
      <c r="H707" s="80" t="s">
        <v>73</v>
      </c>
      <c r="I707" s="80" t="s">
        <v>92</v>
      </c>
      <c r="J707" s="80">
        <v>2022</v>
      </c>
      <c r="K707" s="80" t="s">
        <v>1053</v>
      </c>
      <c r="L707" s="80"/>
    </row>
    <row r="708" spans="1:12" x14ac:dyDescent="0.25">
      <c r="A708" s="83">
        <v>44398</v>
      </c>
      <c r="B708" s="80" t="s">
        <v>1441</v>
      </c>
      <c r="C708" s="80" t="s">
        <v>1773</v>
      </c>
      <c r="D708" s="80" t="s">
        <v>564</v>
      </c>
      <c r="E708" s="80">
        <v>68427709</v>
      </c>
      <c r="F708" s="94">
        <v>50000</v>
      </c>
      <c r="G708" s="80" t="s">
        <v>72</v>
      </c>
      <c r="H708" s="80" t="s">
        <v>73</v>
      </c>
      <c r="I708" s="80" t="s">
        <v>92</v>
      </c>
      <c r="J708" s="80">
        <v>2022</v>
      </c>
      <c r="K708" s="80" t="s">
        <v>1053</v>
      </c>
      <c r="L708" s="80"/>
    </row>
    <row r="709" spans="1:12" x14ac:dyDescent="0.25">
      <c r="A709" s="83">
        <v>44399</v>
      </c>
      <c r="B709" s="80" t="s">
        <v>1774</v>
      </c>
      <c r="C709" s="80" t="s">
        <v>1775</v>
      </c>
      <c r="D709" s="80" t="s">
        <v>1776</v>
      </c>
      <c r="E709" s="80">
        <v>68427709</v>
      </c>
      <c r="F709" s="94">
        <v>0</v>
      </c>
      <c r="G709" s="80" t="s">
        <v>72</v>
      </c>
      <c r="H709" s="80" t="s">
        <v>73</v>
      </c>
      <c r="I709" s="80" t="s">
        <v>1644</v>
      </c>
      <c r="J709" s="80">
        <v>2022</v>
      </c>
      <c r="K709" s="80" t="s">
        <v>1164</v>
      </c>
      <c r="L709" s="80"/>
    </row>
    <row r="710" spans="1:12" x14ac:dyDescent="0.25">
      <c r="A710" s="83">
        <v>44399</v>
      </c>
      <c r="B710" s="80" t="s">
        <v>1180</v>
      </c>
      <c r="C710" s="80" t="s">
        <v>1308</v>
      </c>
      <c r="D710" s="80" t="s">
        <v>532</v>
      </c>
      <c r="E710" s="80">
        <v>68427709</v>
      </c>
      <c r="F710" s="94">
        <v>-767698</v>
      </c>
      <c r="G710" s="80" t="s">
        <v>72</v>
      </c>
      <c r="H710" s="80" t="s">
        <v>73</v>
      </c>
      <c r="I710" s="80" t="s">
        <v>1644</v>
      </c>
      <c r="J710" s="80">
        <v>2022</v>
      </c>
      <c r="K710" s="80" t="s">
        <v>1164</v>
      </c>
      <c r="L710" s="80" t="s">
        <v>1777</v>
      </c>
    </row>
    <row r="711" spans="1:12" x14ac:dyDescent="0.25">
      <c r="A711" s="83">
        <v>44399</v>
      </c>
      <c r="B711" s="80" t="s">
        <v>1778</v>
      </c>
      <c r="C711" s="80" t="s">
        <v>1779</v>
      </c>
      <c r="D711" s="80" t="s">
        <v>532</v>
      </c>
      <c r="E711" s="80">
        <v>68427709</v>
      </c>
      <c r="F711" s="94">
        <v>-730000</v>
      </c>
      <c r="G711" s="80" t="s">
        <v>72</v>
      </c>
      <c r="H711" s="80" t="s">
        <v>73</v>
      </c>
      <c r="I711" s="80" t="s">
        <v>92</v>
      </c>
      <c r="J711" s="80">
        <v>2022</v>
      </c>
      <c r="K711" s="80" t="s">
        <v>1164</v>
      </c>
      <c r="L711" s="80"/>
    </row>
    <row r="712" spans="1:12" x14ac:dyDescent="0.25">
      <c r="A712" s="83">
        <v>44399</v>
      </c>
      <c r="B712" s="80" t="s">
        <v>1778</v>
      </c>
      <c r="C712" s="80" t="s">
        <v>1780</v>
      </c>
      <c r="D712" s="80" t="s">
        <v>1776</v>
      </c>
      <c r="E712" s="80">
        <v>68427709</v>
      </c>
      <c r="F712" s="94">
        <v>50000</v>
      </c>
      <c r="G712" s="80" t="s">
        <v>72</v>
      </c>
      <c r="H712" s="80" t="s">
        <v>73</v>
      </c>
      <c r="I712" s="80" t="s">
        <v>92</v>
      </c>
      <c r="J712" s="80">
        <v>2022</v>
      </c>
      <c r="K712" s="80" t="s">
        <v>1164</v>
      </c>
      <c r="L712" s="80"/>
    </row>
    <row r="713" spans="1:12" x14ac:dyDescent="0.25">
      <c r="A713" s="83">
        <v>44399</v>
      </c>
      <c r="B713" s="80" t="s">
        <v>1181</v>
      </c>
      <c r="C713" s="80" t="s">
        <v>1781</v>
      </c>
      <c r="D713" s="80" t="s">
        <v>532</v>
      </c>
      <c r="E713" s="80">
        <v>68427709</v>
      </c>
      <c r="F713" s="94">
        <v>-48960</v>
      </c>
      <c r="G713" s="80" t="s">
        <v>72</v>
      </c>
      <c r="H713" s="80" t="s">
        <v>73</v>
      </c>
      <c r="I713" s="80" t="s">
        <v>92</v>
      </c>
      <c r="J713" s="80">
        <v>2022</v>
      </c>
      <c r="K713" s="80" t="s">
        <v>1164</v>
      </c>
      <c r="L713" s="80"/>
    </row>
    <row r="714" spans="1:12" x14ac:dyDescent="0.25">
      <c r="A714" s="83">
        <v>44399</v>
      </c>
      <c r="B714" s="80" t="s">
        <v>1181</v>
      </c>
      <c r="C714" s="80" t="s">
        <v>1782</v>
      </c>
      <c r="D714" s="80" t="s">
        <v>1776</v>
      </c>
      <c r="E714" s="80">
        <v>68427709</v>
      </c>
      <c r="F714" s="94">
        <v>50000</v>
      </c>
      <c r="G714" s="80" t="s">
        <v>72</v>
      </c>
      <c r="H714" s="80" t="s">
        <v>73</v>
      </c>
      <c r="I714" s="80" t="s">
        <v>92</v>
      </c>
      <c r="J714" s="80">
        <v>2022</v>
      </c>
      <c r="K714" s="80" t="s">
        <v>1164</v>
      </c>
      <c r="L714" s="80"/>
    </row>
    <row r="715" spans="1:12" x14ac:dyDescent="0.25">
      <c r="A715" s="83">
        <v>44399</v>
      </c>
      <c r="B715" s="80" t="s">
        <v>1180</v>
      </c>
      <c r="C715" s="80" t="s">
        <v>1783</v>
      </c>
      <c r="D715" s="80" t="s">
        <v>1784</v>
      </c>
      <c r="E715" s="80">
        <v>68427709</v>
      </c>
      <c r="F715" s="94">
        <v>790000</v>
      </c>
      <c r="G715" s="80" t="s">
        <v>72</v>
      </c>
      <c r="H715" s="80" t="s">
        <v>73</v>
      </c>
      <c r="I715" s="80" t="s">
        <v>92</v>
      </c>
      <c r="J715" s="80">
        <v>2022</v>
      </c>
      <c r="K715" s="80" t="s">
        <v>1164</v>
      </c>
      <c r="L715" s="80"/>
    </row>
    <row r="716" spans="1:12" x14ac:dyDescent="0.25">
      <c r="A716" s="83">
        <v>44399</v>
      </c>
      <c r="B716" s="80" t="s">
        <v>944</v>
      </c>
      <c r="C716" s="80" t="s">
        <v>1785</v>
      </c>
      <c r="D716" s="80" t="s">
        <v>1786</v>
      </c>
      <c r="E716" s="80">
        <v>68427709</v>
      </c>
      <c r="F716" s="94">
        <v>3040</v>
      </c>
      <c r="G716" s="80" t="s">
        <v>72</v>
      </c>
      <c r="H716" s="80" t="s">
        <v>73</v>
      </c>
      <c r="I716" s="80" t="s">
        <v>1644</v>
      </c>
      <c r="J716" s="80">
        <v>2022</v>
      </c>
      <c r="K716" s="80" t="s">
        <v>1164</v>
      </c>
      <c r="L716" s="80"/>
    </row>
    <row r="717" spans="1:12" x14ac:dyDescent="0.25">
      <c r="A717" s="83">
        <v>44399</v>
      </c>
      <c r="B717" s="80" t="s">
        <v>552</v>
      </c>
      <c r="C717" s="80" t="s">
        <v>1706</v>
      </c>
      <c r="D717" s="80" t="s">
        <v>1787</v>
      </c>
      <c r="E717" s="80">
        <v>68427709</v>
      </c>
      <c r="F717" s="94">
        <v>-20000</v>
      </c>
      <c r="G717" s="80" t="s">
        <v>72</v>
      </c>
      <c r="H717" s="80" t="s">
        <v>73</v>
      </c>
      <c r="I717" s="80" t="s">
        <v>1644</v>
      </c>
      <c r="J717" s="80">
        <v>2022</v>
      </c>
      <c r="K717" s="80" t="s">
        <v>1164</v>
      </c>
      <c r="L717" s="80"/>
    </row>
    <row r="718" spans="1:12" x14ac:dyDescent="0.25">
      <c r="A718" s="83">
        <v>44399</v>
      </c>
      <c r="B718" s="80" t="s">
        <v>551</v>
      </c>
      <c r="C718" s="80" t="s">
        <v>1788</v>
      </c>
      <c r="D718" s="80" t="s">
        <v>517</v>
      </c>
      <c r="E718" s="80">
        <v>68427709</v>
      </c>
      <c r="F718" s="94">
        <v>882000</v>
      </c>
      <c r="G718" s="80" t="s">
        <v>72</v>
      </c>
      <c r="H718" s="80" t="s">
        <v>73</v>
      </c>
      <c r="I718" s="80" t="s">
        <v>1644</v>
      </c>
      <c r="J718" s="80">
        <v>2022</v>
      </c>
      <c r="K718" s="80" t="s">
        <v>1164</v>
      </c>
      <c r="L718" s="80"/>
    </row>
    <row r="719" spans="1:12" x14ac:dyDescent="0.25">
      <c r="A719" s="83">
        <v>44399</v>
      </c>
      <c r="B719" s="80" t="s">
        <v>1789</v>
      </c>
      <c r="C719" s="80"/>
      <c r="D719" s="80" t="s">
        <v>517</v>
      </c>
      <c r="E719" s="80">
        <v>68427709</v>
      </c>
      <c r="F719" s="94">
        <v>225000</v>
      </c>
      <c r="G719" s="80" t="s">
        <v>72</v>
      </c>
      <c r="H719" s="80" t="s">
        <v>73</v>
      </c>
      <c r="I719" s="80" t="s">
        <v>1644</v>
      </c>
      <c r="J719" s="80">
        <v>2022</v>
      </c>
      <c r="K719" s="80" t="s">
        <v>1164</v>
      </c>
      <c r="L719" s="80"/>
    </row>
    <row r="720" spans="1:12" x14ac:dyDescent="0.25">
      <c r="A720" s="83">
        <v>44399</v>
      </c>
      <c r="B720" s="80" t="s">
        <v>1790</v>
      </c>
      <c r="C720" s="80" t="s">
        <v>1791</v>
      </c>
      <c r="D720" s="80" t="s">
        <v>517</v>
      </c>
      <c r="E720" s="80">
        <v>68427709</v>
      </c>
      <c r="F720" s="94">
        <v>4000</v>
      </c>
      <c r="G720" s="80" t="s">
        <v>72</v>
      </c>
      <c r="H720" s="80" t="s">
        <v>73</v>
      </c>
      <c r="I720" s="80" t="s">
        <v>1644</v>
      </c>
      <c r="J720" s="80">
        <v>2022</v>
      </c>
      <c r="K720" s="80" t="s">
        <v>1164</v>
      </c>
      <c r="L720" s="80"/>
    </row>
    <row r="721" spans="1:12" x14ac:dyDescent="0.25">
      <c r="A721" s="83">
        <v>44399</v>
      </c>
      <c r="B721" s="80" t="s">
        <v>1792</v>
      </c>
      <c r="C721" s="80" t="s">
        <v>1793</v>
      </c>
      <c r="D721" s="80" t="s">
        <v>517</v>
      </c>
      <c r="E721" s="80">
        <v>68427709</v>
      </c>
      <c r="F721" s="94">
        <v>32000</v>
      </c>
      <c r="G721" s="80" t="s">
        <v>72</v>
      </c>
      <c r="H721" s="80" t="s">
        <v>73</v>
      </c>
      <c r="I721" s="80" t="s">
        <v>1644</v>
      </c>
      <c r="J721" s="80">
        <v>2022</v>
      </c>
      <c r="K721" s="80" t="s">
        <v>1164</v>
      </c>
      <c r="L721" s="80"/>
    </row>
    <row r="722" spans="1:12" x14ac:dyDescent="0.25">
      <c r="A722" s="83">
        <v>44399</v>
      </c>
      <c r="B722" s="80" t="s">
        <v>1794</v>
      </c>
      <c r="C722" s="80" t="s">
        <v>1795</v>
      </c>
      <c r="D722" s="80" t="s">
        <v>517</v>
      </c>
      <c r="E722" s="80">
        <v>68427709</v>
      </c>
      <c r="F722" s="94">
        <v>7800</v>
      </c>
      <c r="G722" s="80" t="s">
        <v>72</v>
      </c>
      <c r="H722" s="80" t="s">
        <v>73</v>
      </c>
      <c r="I722" s="80" t="s">
        <v>1644</v>
      </c>
      <c r="J722" s="80">
        <v>2022</v>
      </c>
      <c r="K722" s="80" t="s">
        <v>1164</v>
      </c>
      <c r="L722" s="80"/>
    </row>
    <row r="723" spans="1:12" x14ac:dyDescent="0.25">
      <c r="A723" s="83">
        <v>44399</v>
      </c>
      <c r="B723" s="80" t="s">
        <v>1796</v>
      </c>
      <c r="C723" s="80" t="s">
        <v>1797</v>
      </c>
      <c r="D723" s="80" t="s">
        <v>517</v>
      </c>
      <c r="E723" s="80">
        <v>68427709</v>
      </c>
      <c r="F723" s="94">
        <f>170000-37500</f>
        <v>132500</v>
      </c>
      <c r="G723" s="80" t="s">
        <v>72</v>
      </c>
      <c r="H723" s="80" t="s">
        <v>73</v>
      </c>
      <c r="I723" s="80" t="s">
        <v>1644</v>
      </c>
      <c r="J723" s="80">
        <v>2022</v>
      </c>
      <c r="K723" s="80" t="s">
        <v>1164</v>
      </c>
      <c r="L723" s="80"/>
    </row>
    <row r="724" spans="1:12" x14ac:dyDescent="0.25">
      <c r="A724" s="83">
        <v>44399</v>
      </c>
      <c r="B724" s="80" t="s">
        <v>1798</v>
      </c>
      <c r="C724" s="80" t="s">
        <v>1795</v>
      </c>
      <c r="D724" s="80" t="s">
        <v>517</v>
      </c>
      <c r="E724" s="80">
        <v>68427709</v>
      </c>
      <c r="F724" s="94">
        <v>10000</v>
      </c>
      <c r="G724" s="80" t="s">
        <v>72</v>
      </c>
      <c r="H724" s="80" t="s">
        <v>73</v>
      </c>
      <c r="I724" s="80" t="s">
        <v>1644</v>
      </c>
      <c r="J724" s="80">
        <v>2022</v>
      </c>
      <c r="K724" s="80" t="s">
        <v>1164</v>
      </c>
      <c r="L724" s="80"/>
    </row>
    <row r="725" spans="1:12" x14ac:dyDescent="0.25">
      <c r="A725" s="83">
        <v>44399</v>
      </c>
      <c r="B725" s="80" t="s">
        <v>1799</v>
      </c>
      <c r="C725" s="80" t="s">
        <v>1795</v>
      </c>
      <c r="D725" s="80" t="s">
        <v>517</v>
      </c>
      <c r="E725" s="80">
        <v>68427709</v>
      </c>
      <c r="F725" s="94">
        <v>133900</v>
      </c>
      <c r="G725" s="80" t="s">
        <v>72</v>
      </c>
      <c r="H725" s="80" t="s">
        <v>73</v>
      </c>
      <c r="I725" s="80" t="s">
        <v>1644</v>
      </c>
      <c r="J725" s="80">
        <v>2022</v>
      </c>
      <c r="K725" s="80" t="s">
        <v>1164</v>
      </c>
      <c r="L725" s="80"/>
    </row>
    <row r="726" spans="1:12" x14ac:dyDescent="0.25">
      <c r="A726" s="83">
        <v>44399</v>
      </c>
      <c r="B726" s="80" t="s">
        <v>1800</v>
      </c>
      <c r="C726" s="80" t="s">
        <v>1795</v>
      </c>
      <c r="D726" s="80" t="s">
        <v>517</v>
      </c>
      <c r="E726" s="80">
        <v>68427709</v>
      </c>
      <c r="F726" s="94">
        <v>12000</v>
      </c>
      <c r="G726" s="80" t="s">
        <v>72</v>
      </c>
      <c r="H726" s="80" t="s">
        <v>73</v>
      </c>
      <c r="I726" s="80" t="s">
        <v>1644</v>
      </c>
      <c r="J726" s="80">
        <v>2022</v>
      </c>
      <c r="K726" s="80" t="s">
        <v>1164</v>
      </c>
      <c r="L726" s="80"/>
    </row>
    <row r="727" spans="1:12" x14ac:dyDescent="0.25">
      <c r="A727" s="83">
        <v>44399</v>
      </c>
      <c r="B727" s="80" t="s">
        <v>1224</v>
      </c>
      <c r="C727" s="80" t="s">
        <v>1801</v>
      </c>
      <c r="D727" s="80" t="s">
        <v>1224</v>
      </c>
      <c r="E727" s="80">
        <v>68427709</v>
      </c>
      <c r="F727" s="94">
        <v>0</v>
      </c>
      <c r="G727" s="80" t="s">
        <v>72</v>
      </c>
      <c r="H727" s="80" t="s">
        <v>73</v>
      </c>
      <c r="I727" s="80" t="s">
        <v>1644</v>
      </c>
      <c r="J727" s="80">
        <v>2022</v>
      </c>
      <c r="K727" s="80" t="s">
        <v>1164</v>
      </c>
      <c r="L727" s="80"/>
    </row>
    <row r="728" spans="1:12" x14ac:dyDescent="0.25">
      <c r="A728" s="83">
        <v>44399</v>
      </c>
      <c r="B728" s="80" t="s">
        <v>546</v>
      </c>
      <c r="C728" s="80" t="s">
        <v>1802</v>
      </c>
      <c r="D728" s="80" t="s">
        <v>517</v>
      </c>
      <c r="E728" s="80">
        <v>68427709</v>
      </c>
      <c r="F728" s="94">
        <v>52000</v>
      </c>
      <c r="G728" s="80" t="s">
        <v>72</v>
      </c>
      <c r="H728" s="80" t="s">
        <v>73</v>
      </c>
      <c r="I728" s="80" t="s">
        <v>1644</v>
      </c>
      <c r="J728" s="80">
        <v>2022</v>
      </c>
      <c r="K728" s="80" t="s">
        <v>1164</v>
      </c>
      <c r="L728" s="80"/>
    </row>
    <row r="729" spans="1:12" x14ac:dyDescent="0.25">
      <c r="A729" s="83">
        <v>44399</v>
      </c>
      <c r="B729" s="80" t="s">
        <v>1803</v>
      </c>
      <c r="C729" s="80" t="s">
        <v>1804</v>
      </c>
      <c r="D729" s="80" t="s">
        <v>564</v>
      </c>
      <c r="E729" s="80">
        <v>68427709</v>
      </c>
      <c r="F729" s="94">
        <v>-50000</v>
      </c>
      <c r="G729" s="80" t="s">
        <v>72</v>
      </c>
      <c r="H729" s="80" t="s">
        <v>73</v>
      </c>
      <c r="I729" s="80" t="s">
        <v>92</v>
      </c>
      <c r="J729" s="80">
        <v>2022</v>
      </c>
      <c r="K729" s="80" t="s">
        <v>1164</v>
      </c>
      <c r="L729" s="80"/>
    </row>
    <row r="730" spans="1:12" x14ac:dyDescent="0.25">
      <c r="A730" s="83">
        <v>44399</v>
      </c>
      <c r="B730" s="80" t="s">
        <v>536</v>
      </c>
      <c r="C730" s="80" t="s">
        <v>1805</v>
      </c>
      <c r="D730" s="80" t="s">
        <v>1776</v>
      </c>
      <c r="E730" s="80">
        <v>68427709</v>
      </c>
      <c r="F730" s="94">
        <v>515086</v>
      </c>
      <c r="G730" s="80" t="s">
        <v>72</v>
      </c>
      <c r="H730" s="80" t="s">
        <v>73</v>
      </c>
      <c r="I730" s="80" t="s">
        <v>92</v>
      </c>
      <c r="J730" s="80">
        <v>2022</v>
      </c>
      <c r="K730" s="80" t="s">
        <v>1164</v>
      </c>
      <c r="L730" s="80"/>
    </row>
    <row r="731" spans="1:12" x14ac:dyDescent="0.25">
      <c r="A731" s="83">
        <v>44399</v>
      </c>
      <c r="B731" s="80" t="s">
        <v>1806</v>
      </c>
      <c r="C731" s="80" t="s">
        <v>1807</v>
      </c>
      <c r="D731" s="80" t="s">
        <v>1808</v>
      </c>
      <c r="E731" s="80">
        <v>68427709</v>
      </c>
      <c r="F731" s="94">
        <v>0</v>
      </c>
      <c r="G731" s="80" t="s">
        <v>72</v>
      </c>
      <c r="H731" s="80" t="s">
        <v>73</v>
      </c>
      <c r="I731" s="80" t="s">
        <v>92</v>
      </c>
      <c r="J731" s="80">
        <v>2022</v>
      </c>
      <c r="K731" s="80" t="s">
        <v>1164</v>
      </c>
      <c r="L731" s="80"/>
    </row>
    <row r="732" spans="1:12" x14ac:dyDescent="0.25">
      <c r="A732" s="83">
        <v>44399</v>
      </c>
      <c r="B732" s="80" t="s">
        <v>1309</v>
      </c>
      <c r="C732" s="80" t="s">
        <v>1809</v>
      </c>
      <c r="D732" s="80" t="s">
        <v>532</v>
      </c>
      <c r="E732" s="80">
        <v>68427709</v>
      </c>
      <c r="F732" s="94">
        <v>-83840</v>
      </c>
      <c r="G732" s="80" t="s">
        <v>72</v>
      </c>
      <c r="H732" s="80" t="s">
        <v>73</v>
      </c>
      <c r="I732" s="80" t="s">
        <v>92</v>
      </c>
      <c r="J732" s="80">
        <v>2022</v>
      </c>
      <c r="K732" s="80" t="s">
        <v>1164</v>
      </c>
      <c r="L732" s="80"/>
    </row>
    <row r="733" spans="1:12" x14ac:dyDescent="0.25">
      <c r="A733" s="83">
        <v>44399</v>
      </c>
      <c r="B733" s="80" t="s">
        <v>1345</v>
      </c>
      <c r="C733" s="80" t="s">
        <v>1810</v>
      </c>
      <c r="D733" s="80" t="s">
        <v>1776</v>
      </c>
      <c r="E733" s="80">
        <v>68427709</v>
      </c>
      <c r="F733" s="94">
        <v>-100000</v>
      </c>
      <c r="G733" s="80" t="s">
        <v>72</v>
      </c>
      <c r="H733" s="80" t="s">
        <v>73</v>
      </c>
      <c r="I733" s="80" t="s">
        <v>92</v>
      </c>
      <c r="J733" s="80">
        <v>2022</v>
      </c>
      <c r="K733" s="80" t="s">
        <v>1164</v>
      </c>
      <c r="L733" s="80"/>
    </row>
    <row r="734" spans="1:12" x14ac:dyDescent="0.25">
      <c r="A734" s="83">
        <v>44399</v>
      </c>
      <c r="B734" s="80" t="s">
        <v>1310</v>
      </c>
      <c r="C734" s="80" t="s">
        <v>1809</v>
      </c>
      <c r="D734" s="80" t="s">
        <v>532</v>
      </c>
      <c r="E734" s="80">
        <v>68427709</v>
      </c>
      <c r="F734" s="94">
        <v>-50400</v>
      </c>
      <c r="G734" s="80" t="s">
        <v>72</v>
      </c>
      <c r="H734" s="80" t="s">
        <v>73</v>
      </c>
      <c r="I734" s="80" t="s">
        <v>92</v>
      </c>
      <c r="J734" s="80">
        <v>2022</v>
      </c>
      <c r="K734" s="80" t="s">
        <v>1164</v>
      </c>
      <c r="L734" s="80"/>
    </row>
    <row r="735" spans="1:12" x14ac:dyDescent="0.25">
      <c r="A735" s="83">
        <v>44399</v>
      </c>
      <c r="B735" s="80" t="s">
        <v>1313</v>
      </c>
      <c r="C735" s="80" t="s">
        <v>1811</v>
      </c>
      <c r="D735" s="80" t="s">
        <v>564</v>
      </c>
      <c r="E735" s="80">
        <v>68427709</v>
      </c>
      <c r="F735" s="94">
        <v>180000</v>
      </c>
      <c r="G735" s="80" t="s">
        <v>72</v>
      </c>
      <c r="H735" s="80" t="s">
        <v>73</v>
      </c>
      <c r="I735" s="80" t="s">
        <v>92</v>
      </c>
      <c r="J735" s="80">
        <v>2022</v>
      </c>
      <c r="K735" s="80" t="s">
        <v>1164</v>
      </c>
      <c r="L735" s="80"/>
    </row>
    <row r="736" spans="1:12" x14ac:dyDescent="0.25">
      <c r="A736" s="83">
        <v>44399</v>
      </c>
      <c r="B736" s="80" t="s">
        <v>1313</v>
      </c>
      <c r="C736" s="80" t="s">
        <v>1812</v>
      </c>
      <c r="D736" s="80" t="s">
        <v>564</v>
      </c>
      <c r="E736" s="80">
        <v>68427709</v>
      </c>
      <c r="F736" s="94">
        <v>-90000</v>
      </c>
      <c r="G736" s="80" t="s">
        <v>72</v>
      </c>
      <c r="H736" s="80" t="s">
        <v>73</v>
      </c>
      <c r="I736" s="80" t="s">
        <v>1644</v>
      </c>
      <c r="J736" s="80">
        <v>2022</v>
      </c>
      <c r="K736" s="80" t="s">
        <v>1164</v>
      </c>
      <c r="L736" s="80"/>
    </row>
    <row r="737" spans="1:12" x14ac:dyDescent="0.25">
      <c r="A737" s="83">
        <v>44399</v>
      </c>
      <c r="B737" s="80" t="s">
        <v>1320</v>
      </c>
      <c r="C737" s="80" t="s">
        <v>1813</v>
      </c>
      <c r="D737" s="80" t="s">
        <v>1784</v>
      </c>
      <c r="E737" s="80">
        <v>68427709</v>
      </c>
      <c r="F737" s="94">
        <v>196800</v>
      </c>
      <c r="G737" s="80" t="s">
        <v>72</v>
      </c>
      <c r="H737" s="80" t="s">
        <v>73</v>
      </c>
      <c r="I737" s="80" t="s">
        <v>1644</v>
      </c>
      <c r="J737" s="80">
        <v>2022</v>
      </c>
      <c r="K737" s="80" t="s">
        <v>1164</v>
      </c>
      <c r="L737" s="80"/>
    </row>
    <row r="738" spans="1:12" x14ac:dyDescent="0.25">
      <c r="A738" s="83">
        <v>44399</v>
      </c>
      <c r="B738" s="80" t="s">
        <v>1814</v>
      </c>
      <c r="C738" s="80" t="s">
        <v>1815</v>
      </c>
      <c r="D738" s="80" t="s">
        <v>236</v>
      </c>
      <c r="E738" s="80">
        <v>68427709</v>
      </c>
      <c r="F738" s="94">
        <v>-37975</v>
      </c>
      <c r="G738" s="80" t="s">
        <v>72</v>
      </c>
      <c r="H738" s="80" t="s">
        <v>73</v>
      </c>
      <c r="I738" s="80" t="s">
        <v>1644</v>
      </c>
      <c r="J738" s="80">
        <v>2022</v>
      </c>
      <c r="K738" s="80" t="s">
        <v>1164</v>
      </c>
      <c r="L738" s="80"/>
    </row>
    <row r="739" spans="1:12" x14ac:dyDescent="0.25">
      <c r="A739" s="83">
        <v>44399</v>
      </c>
      <c r="B739" s="80" t="s">
        <v>1816</v>
      </c>
      <c r="C739" s="80" t="s">
        <v>1817</v>
      </c>
      <c r="D739" s="80" t="s">
        <v>1818</v>
      </c>
      <c r="E739" s="80">
        <v>68427709</v>
      </c>
      <c r="F739" s="94">
        <v>5000</v>
      </c>
      <c r="G739" s="80" t="s">
        <v>72</v>
      </c>
      <c r="H739" s="80" t="s">
        <v>73</v>
      </c>
      <c r="I739" s="80" t="s">
        <v>1644</v>
      </c>
      <c r="J739" s="80">
        <v>2022</v>
      </c>
      <c r="K739" s="80" t="s">
        <v>1164</v>
      </c>
      <c r="L739" s="80"/>
    </row>
    <row r="740" spans="1:12" x14ac:dyDescent="0.25">
      <c r="A740" s="83">
        <v>44399</v>
      </c>
      <c r="B740" s="80" t="s">
        <v>542</v>
      </c>
      <c r="C740" s="80" t="s">
        <v>1319</v>
      </c>
      <c r="D740" s="80" t="s">
        <v>1819</v>
      </c>
      <c r="E740" s="80">
        <v>68427709</v>
      </c>
      <c r="F740" s="94">
        <v>-200000</v>
      </c>
      <c r="G740" s="80" t="s">
        <v>72</v>
      </c>
      <c r="H740" s="80" t="s">
        <v>73</v>
      </c>
      <c r="I740" s="80" t="s">
        <v>1644</v>
      </c>
      <c r="J740" s="80">
        <v>2022</v>
      </c>
      <c r="K740" s="80" t="s">
        <v>1164</v>
      </c>
      <c r="L740" s="80"/>
    </row>
    <row r="741" spans="1:12" x14ac:dyDescent="0.25">
      <c r="A741" s="83">
        <v>44399</v>
      </c>
      <c r="B741" s="80" t="s">
        <v>1392</v>
      </c>
      <c r="C741" s="80" t="s">
        <v>1820</v>
      </c>
      <c r="D741" s="80" t="s">
        <v>1821</v>
      </c>
      <c r="E741" s="80">
        <v>68427709</v>
      </c>
      <c r="F741" s="94">
        <v>40000</v>
      </c>
      <c r="G741" s="80" t="s">
        <v>72</v>
      </c>
      <c r="H741" s="80" t="s">
        <v>73</v>
      </c>
      <c r="I741" s="80" t="s">
        <v>1644</v>
      </c>
      <c r="J741" s="80">
        <v>2022</v>
      </c>
      <c r="K741" s="80" t="s">
        <v>1164</v>
      </c>
      <c r="L741" s="80"/>
    </row>
    <row r="742" spans="1:12" x14ac:dyDescent="0.25">
      <c r="A742" s="83">
        <v>44399</v>
      </c>
      <c r="B742" s="80" t="s">
        <v>1822</v>
      </c>
      <c r="C742" s="80" t="s">
        <v>1823</v>
      </c>
      <c r="D742" s="80" t="s">
        <v>266</v>
      </c>
      <c r="E742" s="80">
        <v>68427709</v>
      </c>
      <c r="F742" s="94">
        <v>30000</v>
      </c>
      <c r="G742" s="80" t="s">
        <v>72</v>
      </c>
      <c r="H742" s="80" t="s">
        <v>73</v>
      </c>
      <c r="I742" s="80" t="s">
        <v>1644</v>
      </c>
      <c r="J742" s="80">
        <v>2022</v>
      </c>
      <c r="K742" s="80" t="s">
        <v>1164</v>
      </c>
      <c r="L742" s="80"/>
    </row>
    <row r="743" spans="1:12" x14ac:dyDescent="0.25">
      <c r="A743" s="83">
        <v>44399</v>
      </c>
      <c r="B743" s="80" t="s">
        <v>1334</v>
      </c>
      <c r="C743" s="80" t="s">
        <v>1824</v>
      </c>
      <c r="D743" s="80"/>
      <c r="E743" s="80">
        <v>68427709</v>
      </c>
      <c r="F743" s="94">
        <v>-30000</v>
      </c>
      <c r="G743" s="80" t="s">
        <v>72</v>
      </c>
      <c r="H743" s="80" t="s">
        <v>73</v>
      </c>
      <c r="I743" s="80" t="s">
        <v>1644</v>
      </c>
      <c r="J743" s="80">
        <v>2022</v>
      </c>
      <c r="K743" s="80" t="s">
        <v>1164</v>
      </c>
      <c r="L743" s="80"/>
    </row>
    <row r="744" spans="1:12" x14ac:dyDescent="0.25">
      <c r="A744" s="83">
        <v>44399</v>
      </c>
      <c r="B744" s="80" t="s">
        <v>1339</v>
      </c>
      <c r="C744" s="80"/>
      <c r="D744" s="80" t="s">
        <v>1818</v>
      </c>
      <c r="E744" s="80">
        <v>68427709</v>
      </c>
      <c r="F744" s="94">
        <v>-20000</v>
      </c>
      <c r="G744" s="80" t="s">
        <v>72</v>
      </c>
      <c r="H744" s="80" t="s">
        <v>73</v>
      </c>
      <c r="I744" s="80" t="s">
        <v>1644</v>
      </c>
      <c r="J744" s="80">
        <v>2022</v>
      </c>
      <c r="K744" s="80" t="s">
        <v>1164</v>
      </c>
      <c r="L744" s="80"/>
    </row>
    <row r="745" spans="1:12" x14ac:dyDescent="0.25">
      <c r="A745" s="83">
        <v>44399</v>
      </c>
      <c r="B745" s="80" t="s">
        <v>1825</v>
      </c>
      <c r="C745" s="80" t="s">
        <v>1826</v>
      </c>
      <c r="D745" s="80" t="s">
        <v>564</v>
      </c>
      <c r="E745" s="80">
        <v>68427709</v>
      </c>
      <c r="F745" s="94">
        <v>50000</v>
      </c>
      <c r="G745" s="80" t="s">
        <v>72</v>
      </c>
      <c r="H745" s="80" t="s">
        <v>73</v>
      </c>
      <c r="I745" s="80" t="s">
        <v>92</v>
      </c>
      <c r="J745" s="80">
        <v>2022</v>
      </c>
      <c r="K745" s="80" t="s">
        <v>1164</v>
      </c>
      <c r="L745" s="80"/>
    </row>
    <row r="746" spans="1:12" x14ac:dyDescent="0.25">
      <c r="A746" s="83">
        <v>44399</v>
      </c>
      <c r="B746" s="80" t="s">
        <v>1827</v>
      </c>
      <c r="C746" s="80" t="s">
        <v>1828</v>
      </c>
      <c r="D746" s="80" t="s">
        <v>532</v>
      </c>
      <c r="E746" s="80">
        <v>68427709</v>
      </c>
      <c r="F746" s="94">
        <v>0</v>
      </c>
      <c r="G746" s="80" t="s">
        <v>72</v>
      </c>
      <c r="H746" s="80" t="s">
        <v>73</v>
      </c>
      <c r="I746" s="80" t="s">
        <v>92</v>
      </c>
      <c r="J746" s="80">
        <v>2022</v>
      </c>
      <c r="K746" s="80" t="s">
        <v>1164</v>
      </c>
      <c r="L746" s="80"/>
    </row>
    <row r="747" spans="1:12" x14ac:dyDescent="0.25">
      <c r="A747" s="83">
        <v>44399</v>
      </c>
      <c r="B747" s="80" t="s">
        <v>1829</v>
      </c>
      <c r="C747" s="80" t="s">
        <v>1830</v>
      </c>
      <c r="D747" s="80" t="s">
        <v>564</v>
      </c>
      <c r="E747" s="80">
        <v>68427709</v>
      </c>
      <c r="F747" s="94">
        <v>80000</v>
      </c>
      <c r="G747" s="80" t="s">
        <v>72</v>
      </c>
      <c r="H747" s="80" t="s">
        <v>73</v>
      </c>
      <c r="I747" s="80" t="s">
        <v>92</v>
      </c>
      <c r="J747" s="80">
        <v>2022</v>
      </c>
      <c r="K747" s="80" t="s">
        <v>1164</v>
      </c>
      <c r="L747" s="80"/>
    </row>
    <row r="748" spans="1:12" x14ac:dyDescent="0.25">
      <c r="A748" s="83">
        <v>44399</v>
      </c>
      <c r="B748" s="80" t="s">
        <v>880</v>
      </c>
      <c r="C748" s="80" t="s">
        <v>1319</v>
      </c>
      <c r="D748" s="80" t="s">
        <v>1831</v>
      </c>
      <c r="E748" s="80">
        <v>68427709</v>
      </c>
      <c r="F748" s="94">
        <v>-22000</v>
      </c>
      <c r="G748" s="80" t="s">
        <v>72</v>
      </c>
      <c r="H748" s="80" t="s">
        <v>73</v>
      </c>
      <c r="I748" s="80" t="s">
        <v>1644</v>
      </c>
      <c r="J748" s="80">
        <v>2022</v>
      </c>
      <c r="K748" s="80" t="s">
        <v>320</v>
      </c>
      <c r="L748" s="80"/>
    </row>
    <row r="749" spans="1:12" x14ac:dyDescent="0.25">
      <c r="A749" s="83">
        <v>44399</v>
      </c>
      <c r="B749" s="80" t="s">
        <v>1832</v>
      </c>
      <c r="C749" s="80" t="s">
        <v>1319</v>
      </c>
      <c r="D749" s="80" t="s">
        <v>139</v>
      </c>
      <c r="E749" s="80">
        <v>68427709</v>
      </c>
      <c r="F749" s="94">
        <v>-25000</v>
      </c>
      <c r="G749" s="80" t="s">
        <v>72</v>
      </c>
      <c r="H749" s="80" t="s">
        <v>73</v>
      </c>
      <c r="I749" s="80" t="s">
        <v>1644</v>
      </c>
      <c r="J749" s="80">
        <v>2022</v>
      </c>
      <c r="K749" s="80" t="s">
        <v>320</v>
      </c>
      <c r="L749" s="80"/>
    </row>
    <row r="750" spans="1:12" x14ac:dyDescent="0.25">
      <c r="A750" s="83">
        <v>44399</v>
      </c>
      <c r="B750" s="80" t="s">
        <v>1833</v>
      </c>
      <c r="C750" s="80"/>
      <c r="D750" s="80"/>
      <c r="E750" s="80"/>
      <c r="F750" s="94"/>
      <c r="G750" s="80"/>
      <c r="H750" s="80"/>
      <c r="I750" s="80"/>
      <c r="J750" s="80">
        <v>2022</v>
      </c>
      <c r="K750" s="80"/>
      <c r="L750" s="80"/>
    </row>
    <row r="751" spans="1:12" s="171" customFormat="1" x14ac:dyDescent="0.25">
      <c r="A751" s="84">
        <v>44400</v>
      </c>
      <c r="B751" s="85" t="s">
        <v>1834</v>
      </c>
      <c r="C751" s="85"/>
      <c r="D751" s="85"/>
      <c r="E751" s="85"/>
      <c r="F751" s="124"/>
      <c r="G751" s="85"/>
      <c r="H751" s="85"/>
      <c r="I751" s="85"/>
      <c r="J751" s="85">
        <v>2022</v>
      </c>
      <c r="K751" s="85"/>
      <c r="L751" s="85"/>
    </row>
    <row r="752" spans="1:12" x14ac:dyDescent="0.25">
      <c r="A752" s="83">
        <v>44400</v>
      </c>
      <c r="B752" s="80" t="s">
        <v>1835</v>
      </c>
      <c r="C752" s="80" t="s">
        <v>1836</v>
      </c>
      <c r="D752" s="80" t="s">
        <v>311</v>
      </c>
      <c r="E752" s="80">
        <v>68427709</v>
      </c>
      <c r="F752" s="94">
        <v>-50000</v>
      </c>
      <c r="G752" s="80" t="s">
        <v>72</v>
      </c>
      <c r="H752" s="80" t="s">
        <v>73</v>
      </c>
      <c r="I752" s="80" t="s">
        <v>1644</v>
      </c>
      <c r="J752" s="80">
        <v>2022</v>
      </c>
      <c r="K752" s="80" t="s">
        <v>1053</v>
      </c>
      <c r="L752" s="80"/>
    </row>
    <row r="753" spans="1:12" x14ac:dyDescent="0.25">
      <c r="A753" s="83">
        <v>44403</v>
      </c>
      <c r="B753" t="s">
        <v>1837</v>
      </c>
      <c r="C753" s="80" t="s">
        <v>1838</v>
      </c>
      <c r="D753" s="80" t="s">
        <v>1837</v>
      </c>
      <c r="E753" s="80">
        <v>68427709</v>
      </c>
      <c r="F753" s="94">
        <v>35000</v>
      </c>
      <c r="G753" s="80" t="s">
        <v>72</v>
      </c>
      <c r="H753" s="80" t="s">
        <v>73</v>
      </c>
      <c r="I753" s="80" t="s">
        <v>1644</v>
      </c>
      <c r="J753" s="80">
        <v>2022</v>
      </c>
      <c r="K753" s="80" t="s">
        <v>1164</v>
      </c>
      <c r="L753" s="80"/>
    </row>
    <row r="754" spans="1:12" x14ac:dyDescent="0.25">
      <c r="A754" s="83">
        <v>44403</v>
      </c>
      <c r="B754" s="80" t="s">
        <v>1839</v>
      </c>
      <c r="C754" s="80" t="s">
        <v>1840</v>
      </c>
      <c r="D754" s="80" t="s">
        <v>564</v>
      </c>
      <c r="E754" s="80">
        <v>68427709</v>
      </c>
      <c r="F754" s="94">
        <v>100000</v>
      </c>
      <c r="G754" s="80" t="s">
        <v>72</v>
      </c>
      <c r="H754" s="80" t="s">
        <v>73</v>
      </c>
      <c r="I754" s="80" t="s">
        <v>1644</v>
      </c>
      <c r="J754" s="80">
        <v>2022</v>
      </c>
      <c r="K754" s="80" t="s">
        <v>1841</v>
      </c>
      <c r="L754" s="80"/>
    </row>
    <row r="755" spans="1:12" x14ac:dyDescent="0.25">
      <c r="A755" s="83">
        <v>44403</v>
      </c>
      <c r="B755" s="80" t="s">
        <v>1842</v>
      </c>
      <c r="C755" s="80" t="s">
        <v>1843</v>
      </c>
      <c r="D755" s="80" t="s">
        <v>1381</v>
      </c>
      <c r="E755" s="80">
        <v>68427709</v>
      </c>
      <c r="F755" s="94">
        <v>23000</v>
      </c>
      <c r="G755" s="80" t="s">
        <v>72</v>
      </c>
      <c r="H755" s="80" t="s">
        <v>73</v>
      </c>
      <c r="I755" s="80" t="s">
        <v>1644</v>
      </c>
      <c r="J755" s="80">
        <v>2022</v>
      </c>
      <c r="K755" s="80" t="s">
        <v>633</v>
      </c>
      <c r="L755" s="80"/>
    </row>
    <row r="756" spans="1:12" x14ac:dyDescent="0.25">
      <c r="A756" s="83">
        <v>44404</v>
      </c>
      <c r="B756" s="80" t="s">
        <v>1844</v>
      </c>
      <c r="C756" s="80" t="s">
        <v>1845</v>
      </c>
      <c r="D756" s="80" t="s">
        <v>564</v>
      </c>
      <c r="E756" s="80">
        <v>68427709</v>
      </c>
      <c r="F756" s="94">
        <v>150000</v>
      </c>
      <c r="G756" s="80" t="s">
        <v>72</v>
      </c>
      <c r="H756" s="80" t="s">
        <v>73</v>
      </c>
      <c r="I756" s="80" t="s">
        <v>954</v>
      </c>
      <c r="J756" s="80">
        <v>2022</v>
      </c>
      <c r="K756" s="80" t="s">
        <v>1024</v>
      </c>
      <c r="L756" s="80"/>
    </row>
    <row r="757" spans="1:12" x14ac:dyDescent="0.25">
      <c r="A757" s="83">
        <v>44404</v>
      </c>
      <c r="B757" s="80" t="s">
        <v>1844</v>
      </c>
      <c r="C757" s="80" t="s">
        <v>1846</v>
      </c>
      <c r="D757" s="80" t="s">
        <v>236</v>
      </c>
      <c r="E757" s="80">
        <v>68427709</v>
      </c>
      <c r="F757" s="94">
        <v>100000</v>
      </c>
      <c r="G757" s="80" t="s">
        <v>72</v>
      </c>
      <c r="H757" s="80" t="s">
        <v>73</v>
      </c>
      <c r="I757" s="80" t="s">
        <v>954</v>
      </c>
      <c r="J757" s="80">
        <v>2022</v>
      </c>
      <c r="K757" s="80" t="s">
        <v>1024</v>
      </c>
      <c r="L757" s="80"/>
    </row>
    <row r="758" spans="1:12" x14ac:dyDescent="0.25">
      <c r="A758" s="83">
        <v>44404</v>
      </c>
      <c r="B758" s="80" t="s">
        <v>1847</v>
      </c>
      <c r="C758" s="80" t="s">
        <v>1848</v>
      </c>
      <c r="D758" s="80" t="s">
        <v>1278</v>
      </c>
      <c r="E758" s="80">
        <v>68427709</v>
      </c>
      <c r="F758" s="94">
        <v>250000</v>
      </c>
      <c r="G758" s="80" t="s">
        <v>72</v>
      </c>
      <c r="H758" s="80" t="s">
        <v>73</v>
      </c>
      <c r="I758" s="80" t="s">
        <v>954</v>
      </c>
      <c r="J758" s="80">
        <v>2022</v>
      </c>
      <c r="K758" s="80" t="s">
        <v>1849</v>
      </c>
      <c r="L758" s="80" t="s">
        <v>1850</v>
      </c>
    </row>
    <row r="759" spans="1:12" x14ac:dyDescent="0.25">
      <c r="A759" s="83">
        <v>44404</v>
      </c>
      <c r="B759" s="80" t="s">
        <v>1851</v>
      </c>
      <c r="C759" s="80" t="s">
        <v>1852</v>
      </c>
      <c r="D759" s="80" t="s">
        <v>517</v>
      </c>
      <c r="E759" s="80">
        <v>68427709</v>
      </c>
      <c r="F759" s="94">
        <v>25000</v>
      </c>
      <c r="G759" s="80" t="s">
        <v>72</v>
      </c>
      <c r="H759" s="80" t="s">
        <v>73</v>
      </c>
      <c r="I759" s="80" t="s">
        <v>954</v>
      </c>
      <c r="J759" s="80">
        <v>2022</v>
      </c>
      <c r="K759" s="80" t="s">
        <v>1254</v>
      </c>
      <c r="L759" s="80"/>
    </row>
    <row r="760" spans="1:12" x14ac:dyDescent="0.25">
      <c r="A760" s="83">
        <v>44404</v>
      </c>
      <c r="B760" s="80" t="s">
        <v>1253</v>
      </c>
      <c r="C760" s="80" t="s">
        <v>1852</v>
      </c>
      <c r="D760" s="80" t="s">
        <v>1253</v>
      </c>
      <c r="E760" s="80">
        <v>68427709</v>
      </c>
      <c r="F760" s="94">
        <v>101000</v>
      </c>
      <c r="G760" s="80" t="s">
        <v>72</v>
      </c>
      <c r="H760" s="80" t="s">
        <v>73</v>
      </c>
      <c r="I760" s="80" t="s">
        <v>1662</v>
      </c>
      <c r="J760" s="80">
        <v>2022</v>
      </c>
      <c r="K760" s="80" t="s">
        <v>1254</v>
      </c>
      <c r="L760" s="80"/>
    </row>
    <row r="761" spans="1:12" x14ac:dyDescent="0.25">
      <c r="A761" s="83">
        <v>44404</v>
      </c>
      <c r="B761" s="80" t="s">
        <v>290</v>
      </c>
      <c r="C761" s="80" t="s">
        <v>1853</v>
      </c>
      <c r="D761" s="80" t="s">
        <v>396</v>
      </c>
      <c r="E761" s="80">
        <v>68427709</v>
      </c>
      <c r="F761" s="94">
        <v>25000</v>
      </c>
      <c r="G761" s="80" t="s">
        <v>72</v>
      </c>
      <c r="H761" s="80" t="s">
        <v>73</v>
      </c>
      <c r="I761" s="80" t="s">
        <v>1662</v>
      </c>
      <c r="J761" s="80">
        <v>2022</v>
      </c>
      <c r="K761" s="80" t="s">
        <v>1254</v>
      </c>
      <c r="L761" s="80"/>
    </row>
    <row r="762" spans="1:12" x14ac:dyDescent="0.25">
      <c r="A762" s="83">
        <v>44404</v>
      </c>
      <c r="B762" s="80" t="s">
        <v>988</v>
      </c>
      <c r="C762" s="80" t="s">
        <v>1854</v>
      </c>
      <c r="D762" s="80" t="s">
        <v>139</v>
      </c>
      <c r="E762" s="80">
        <v>68427719</v>
      </c>
      <c r="F762" s="94">
        <v>-800000</v>
      </c>
      <c r="G762" s="80" t="s">
        <v>72</v>
      </c>
      <c r="H762" s="80" t="s">
        <v>73</v>
      </c>
      <c r="I762" s="80" t="s">
        <v>1662</v>
      </c>
      <c r="J762" s="80">
        <v>2022</v>
      </c>
      <c r="K762" s="80" t="s">
        <v>1855</v>
      </c>
      <c r="L762" s="80" t="s">
        <v>1856</v>
      </c>
    </row>
    <row r="763" spans="1:12" x14ac:dyDescent="0.25">
      <c r="A763" s="83">
        <v>44404</v>
      </c>
      <c r="B763" s="80" t="s">
        <v>1857</v>
      </c>
      <c r="C763" s="80" t="s">
        <v>1858</v>
      </c>
      <c r="D763" s="80" t="s">
        <v>139</v>
      </c>
      <c r="E763" s="80">
        <v>68427719</v>
      </c>
      <c r="F763" s="94">
        <v>-36000</v>
      </c>
      <c r="G763" s="80" t="s">
        <v>72</v>
      </c>
      <c r="H763" s="80" t="s">
        <v>73</v>
      </c>
      <c r="I763" s="80" t="s">
        <v>1662</v>
      </c>
      <c r="J763" s="80">
        <v>2022</v>
      </c>
      <c r="K763" s="80" t="s">
        <v>1855</v>
      </c>
      <c r="L763" s="80"/>
    </row>
    <row r="764" spans="1:12" x14ac:dyDescent="0.25">
      <c r="A764" s="83">
        <v>44404</v>
      </c>
      <c r="B764" s="80" t="s">
        <v>1859</v>
      </c>
      <c r="C764" s="80" t="s">
        <v>1860</v>
      </c>
      <c r="D764" s="80" t="s">
        <v>1861</v>
      </c>
      <c r="E764" s="80">
        <v>68427719</v>
      </c>
      <c r="F764" s="94">
        <v>-25000</v>
      </c>
      <c r="G764" s="80" t="s">
        <v>72</v>
      </c>
      <c r="H764" s="80" t="s">
        <v>73</v>
      </c>
      <c r="I764" s="80" t="s">
        <v>1662</v>
      </c>
      <c r="J764" s="80">
        <v>2022</v>
      </c>
      <c r="K764" s="80" t="s">
        <v>1855</v>
      </c>
      <c r="L764" s="80"/>
    </row>
    <row r="765" spans="1:12" x14ac:dyDescent="0.25">
      <c r="A765" s="83">
        <v>44404</v>
      </c>
      <c r="B765" s="80" t="s">
        <v>1862</v>
      </c>
      <c r="C765" s="80" t="s">
        <v>1863</v>
      </c>
      <c r="D765" s="80" t="s">
        <v>1231</v>
      </c>
      <c r="E765" s="80">
        <v>68427709</v>
      </c>
      <c r="F765" s="94">
        <v>3000</v>
      </c>
      <c r="G765" s="80" t="s">
        <v>72</v>
      </c>
      <c r="H765" s="80" t="s">
        <v>73</v>
      </c>
      <c r="I765" s="80" t="s">
        <v>1662</v>
      </c>
      <c r="J765" s="80">
        <v>2022</v>
      </c>
      <c r="K765" s="80" t="s">
        <v>1855</v>
      </c>
      <c r="L765" s="80"/>
    </row>
    <row r="766" spans="1:12" x14ac:dyDescent="0.25">
      <c r="A766" s="83">
        <v>44404</v>
      </c>
      <c r="B766" s="80" t="s">
        <v>1864</v>
      </c>
      <c r="C766" s="80" t="s">
        <v>1865</v>
      </c>
      <c r="D766" s="80" t="s">
        <v>1866</v>
      </c>
      <c r="E766" s="80">
        <v>68427719</v>
      </c>
      <c r="F766" s="94">
        <v>105000</v>
      </c>
      <c r="G766" s="80" t="s">
        <v>72</v>
      </c>
      <c r="H766" s="80" t="s">
        <v>73</v>
      </c>
      <c r="I766" s="80" t="s">
        <v>1662</v>
      </c>
      <c r="J766" s="80">
        <v>2022</v>
      </c>
      <c r="K766" s="80" t="s">
        <v>1855</v>
      </c>
      <c r="L766" s="80"/>
    </row>
    <row r="767" spans="1:12" x14ac:dyDescent="0.25">
      <c r="A767" s="83">
        <v>44404</v>
      </c>
      <c r="B767" s="80" t="s">
        <v>1867</v>
      </c>
      <c r="C767" s="80" t="s">
        <v>1868</v>
      </c>
      <c r="D767" s="80" t="s">
        <v>1869</v>
      </c>
      <c r="E767" s="80">
        <v>68427709</v>
      </c>
      <c r="F767" s="94">
        <v>1000</v>
      </c>
      <c r="G767" s="80" t="s">
        <v>72</v>
      </c>
      <c r="H767" s="80" t="s">
        <v>73</v>
      </c>
      <c r="I767" s="80" t="s">
        <v>1662</v>
      </c>
      <c r="J767" s="80">
        <v>2022</v>
      </c>
      <c r="K767" s="80" t="s">
        <v>1855</v>
      </c>
      <c r="L767" s="80"/>
    </row>
    <row r="768" spans="1:12" x14ac:dyDescent="0.25">
      <c r="A768" s="83">
        <v>44404</v>
      </c>
      <c r="B768" s="80" t="s">
        <v>1870</v>
      </c>
      <c r="C768" s="80" t="s">
        <v>1868</v>
      </c>
      <c r="D768" s="80" t="s">
        <v>1870</v>
      </c>
      <c r="E768" s="80">
        <v>68427709</v>
      </c>
      <c r="F768" s="94">
        <v>7000</v>
      </c>
      <c r="G768" s="80" t="s">
        <v>72</v>
      </c>
      <c r="H768" s="80" t="s">
        <v>73</v>
      </c>
      <c r="I768" s="80" t="s">
        <v>1662</v>
      </c>
      <c r="J768" s="80">
        <v>2022</v>
      </c>
      <c r="K768" s="80" t="s">
        <v>1855</v>
      </c>
      <c r="L768" s="80"/>
    </row>
    <row r="769" spans="1:12" x14ac:dyDescent="0.25">
      <c r="A769" s="83">
        <v>44404</v>
      </c>
      <c r="B769" s="80" t="s">
        <v>1871</v>
      </c>
      <c r="C769" s="80" t="s">
        <v>1872</v>
      </c>
      <c r="D769" s="80" t="s">
        <v>1873</v>
      </c>
      <c r="E769" s="80">
        <v>68427709</v>
      </c>
      <c r="F769" s="94">
        <v>-188000</v>
      </c>
      <c r="G769" s="80" t="s">
        <v>72</v>
      </c>
      <c r="H769" s="80" t="s">
        <v>73</v>
      </c>
      <c r="I769" s="80" t="s">
        <v>1662</v>
      </c>
      <c r="J769" s="80">
        <v>2022</v>
      </c>
      <c r="K769" s="80" t="s">
        <v>1596</v>
      </c>
      <c r="L769" s="80"/>
    </row>
    <row r="770" spans="1:12" x14ac:dyDescent="0.25">
      <c r="A770" s="83">
        <v>44404</v>
      </c>
      <c r="B770" s="80" t="s">
        <v>1874</v>
      </c>
      <c r="C770" s="80"/>
      <c r="D770" s="80" t="s">
        <v>1089</v>
      </c>
      <c r="E770" s="80">
        <v>68427709</v>
      </c>
      <c r="F770" s="94">
        <v>170000</v>
      </c>
      <c r="G770" s="80" t="s">
        <v>72</v>
      </c>
      <c r="H770" s="80" t="s">
        <v>73</v>
      </c>
      <c r="I770" s="80" t="s">
        <v>1662</v>
      </c>
      <c r="J770" s="80">
        <v>2022</v>
      </c>
      <c r="K770" s="80" t="s">
        <v>1596</v>
      </c>
      <c r="L770" s="80"/>
    </row>
    <row r="771" spans="1:12" x14ac:dyDescent="0.25">
      <c r="A771" s="83">
        <v>44404</v>
      </c>
      <c r="B771" s="80" t="s">
        <v>1875</v>
      </c>
      <c r="C771" s="80" t="s">
        <v>1706</v>
      </c>
      <c r="D771" s="80" t="s">
        <v>1876</v>
      </c>
      <c r="E771" s="80">
        <v>68427709</v>
      </c>
      <c r="F771" s="94">
        <v>22000</v>
      </c>
      <c r="G771" s="80" t="s">
        <v>72</v>
      </c>
      <c r="H771" s="80" t="s">
        <v>73</v>
      </c>
      <c r="I771" s="80" t="s">
        <v>1662</v>
      </c>
      <c r="J771" s="80">
        <v>2022</v>
      </c>
      <c r="K771" s="80" t="s">
        <v>1596</v>
      </c>
      <c r="L771" s="80"/>
    </row>
    <row r="772" spans="1:12" x14ac:dyDescent="0.25">
      <c r="A772" s="83">
        <v>44404</v>
      </c>
      <c r="B772" s="80" t="s">
        <v>1877</v>
      </c>
      <c r="C772" s="80" t="s">
        <v>1706</v>
      </c>
      <c r="D772" s="80"/>
      <c r="E772" s="80">
        <v>68427709</v>
      </c>
      <c r="F772" s="94">
        <v>15000</v>
      </c>
      <c r="G772" s="80" t="s">
        <v>72</v>
      </c>
      <c r="H772" s="80" t="s">
        <v>73</v>
      </c>
      <c r="I772" s="80" t="s">
        <v>1662</v>
      </c>
      <c r="J772" s="80">
        <v>2022</v>
      </c>
      <c r="K772" s="80" t="s">
        <v>1596</v>
      </c>
      <c r="L772" s="80"/>
    </row>
    <row r="773" spans="1:12" x14ac:dyDescent="0.25">
      <c r="A773" s="83">
        <v>44404</v>
      </c>
      <c r="B773" s="80" t="s">
        <v>1878</v>
      </c>
      <c r="C773" s="80"/>
      <c r="D773" s="80" t="s">
        <v>1878</v>
      </c>
      <c r="E773" s="80">
        <v>68427709</v>
      </c>
      <c r="F773" s="94">
        <v>-11000</v>
      </c>
      <c r="G773" s="80" t="s">
        <v>72</v>
      </c>
      <c r="H773" s="80" t="s">
        <v>73</v>
      </c>
      <c r="I773" s="80" t="s">
        <v>1662</v>
      </c>
      <c r="J773" s="80">
        <v>2022</v>
      </c>
      <c r="K773" s="80" t="s">
        <v>1596</v>
      </c>
      <c r="L773" s="80"/>
    </row>
    <row r="774" spans="1:12" x14ac:dyDescent="0.25">
      <c r="A774" s="83">
        <v>44404</v>
      </c>
      <c r="B774" s="80" t="s">
        <v>244</v>
      </c>
      <c r="C774" s="80" t="s">
        <v>1879</v>
      </c>
      <c r="D774" s="80" t="s">
        <v>244</v>
      </c>
      <c r="E774" s="80">
        <v>68427709</v>
      </c>
      <c r="F774" s="94">
        <v>0</v>
      </c>
      <c r="G774" s="80" t="s">
        <v>72</v>
      </c>
      <c r="H774" s="80" t="s">
        <v>73</v>
      </c>
      <c r="I774" s="80" t="s">
        <v>1662</v>
      </c>
      <c r="J774" s="80">
        <v>2022</v>
      </c>
      <c r="K774" s="80" t="s">
        <v>1596</v>
      </c>
      <c r="L774" s="80"/>
    </row>
    <row r="775" spans="1:12" x14ac:dyDescent="0.25">
      <c r="A775" s="83">
        <v>44410</v>
      </c>
      <c r="B775" s="80" t="s">
        <v>1880</v>
      </c>
      <c r="C775" s="80" t="s">
        <v>1881</v>
      </c>
      <c r="D775" s="80" t="s">
        <v>1880</v>
      </c>
      <c r="E775" s="80">
        <v>68427709</v>
      </c>
      <c r="F775" s="94">
        <v>48000</v>
      </c>
      <c r="G775" s="80" t="s">
        <v>72</v>
      </c>
      <c r="H775" s="80" t="s">
        <v>73</v>
      </c>
      <c r="I775" s="80" t="s">
        <v>1662</v>
      </c>
      <c r="J775" s="80">
        <v>2022</v>
      </c>
      <c r="K775" s="80" t="s">
        <v>1882</v>
      </c>
      <c r="L775" s="80"/>
    </row>
    <row r="776" spans="1:12" x14ac:dyDescent="0.25">
      <c r="A776" s="83">
        <v>44412</v>
      </c>
      <c r="B776" s="80" t="s">
        <v>980</v>
      </c>
      <c r="C776" s="80" t="s">
        <v>1883</v>
      </c>
      <c r="D776" s="80" t="s">
        <v>1884</v>
      </c>
      <c r="E776" s="80">
        <v>68427719</v>
      </c>
      <c r="F776" s="94">
        <v>-25000</v>
      </c>
      <c r="G776" s="80" t="s">
        <v>72</v>
      </c>
      <c r="H776" s="80" t="s">
        <v>73</v>
      </c>
      <c r="I776" s="80" t="s">
        <v>92</v>
      </c>
      <c r="J776" s="80">
        <v>2022</v>
      </c>
      <c r="K776" s="80" t="s">
        <v>1885</v>
      </c>
      <c r="L776" s="80"/>
    </row>
    <row r="777" spans="1:12" x14ac:dyDescent="0.25">
      <c r="A777" s="83">
        <v>44412</v>
      </c>
      <c r="B777" s="80" t="s">
        <v>983</v>
      </c>
      <c r="C777" s="80" t="s">
        <v>1883</v>
      </c>
      <c r="D777" s="80" t="s">
        <v>1884</v>
      </c>
      <c r="E777" s="80">
        <v>68427719</v>
      </c>
      <c r="F777" s="94">
        <v>-125000</v>
      </c>
      <c r="G777" s="80" t="s">
        <v>72</v>
      </c>
      <c r="H777" s="80" t="s">
        <v>73</v>
      </c>
      <c r="I777" s="80" t="s">
        <v>92</v>
      </c>
      <c r="J777" s="80">
        <v>2022</v>
      </c>
      <c r="K777" s="80" t="s">
        <v>1885</v>
      </c>
      <c r="L777" s="80"/>
    </row>
    <row r="778" spans="1:12" x14ac:dyDescent="0.25">
      <c r="A778" s="83">
        <v>44412</v>
      </c>
      <c r="B778" s="80" t="s">
        <v>984</v>
      </c>
      <c r="C778" s="80" t="s">
        <v>1883</v>
      </c>
      <c r="D778" s="80" t="s">
        <v>1884</v>
      </c>
      <c r="E778" s="80">
        <v>68427719</v>
      </c>
      <c r="F778" s="94">
        <v>-180000</v>
      </c>
      <c r="G778" s="80" t="s">
        <v>72</v>
      </c>
      <c r="H778" s="80" t="s">
        <v>73</v>
      </c>
      <c r="I778" s="80" t="s">
        <v>92</v>
      </c>
      <c r="J778" s="80">
        <v>2022</v>
      </c>
      <c r="K778" s="80" t="s">
        <v>1885</v>
      </c>
      <c r="L778" s="80"/>
    </row>
    <row r="779" spans="1:12" x14ac:dyDescent="0.25">
      <c r="A779" s="83">
        <v>44412</v>
      </c>
      <c r="B779" s="80" t="s">
        <v>1886</v>
      </c>
      <c r="C779" s="80" t="s">
        <v>1887</v>
      </c>
      <c r="D779" s="80" t="s">
        <v>1888</v>
      </c>
      <c r="E779" s="80">
        <v>68427719</v>
      </c>
      <c r="F779" s="94">
        <v>2000</v>
      </c>
      <c r="G779" s="80" t="s">
        <v>72</v>
      </c>
      <c r="H779" s="80" t="s">
        <v>73</v>
      </c>
      <c r="I779" s="80" t="s">
        <v>92</v>
      </c>
      <c r="J779" s="80">
        <v>2022</v>
      </c>
      <c r="K779" s="80" t="s">
        <v>1885</v>
      </c>
      <c r="L779" s="80"/>
    </row>
    <row r="780" spans="1:12" x14ac:dyDescent="0.25">
      <c r="A780" s="83">
        <v>44412</v>
      </c>
      <c r="B780" s="80" t="s">
        <v>1889</v>
      </c>
      <c r="C780" s="80" t="s">
        <v>1890</v>
      </c>
      <c r="D780" s="80" t="s">
        <v>1891</v>
      </c>
      <c r="E780" s="80">
        <v>68427709</v>
      </c>
      <c r="F780" s="94">
        <v>8000</v>
      </c>
      <c r="G780" s="80" t="s">
        <v>72</v>
      </c>
      <c r="H780" s="80" t="s">
        <v>73</v>
      </c>
      <c r="I780" s="80" t="s">
        <v>92</v>
      </c>
      <c r="J780" s="80">
        <v>2022</v>
      </c>
      <c r="K780" s="80" t="s">
        <v>186</v>
      </c>
      <c r="L780" s="80"/>
    </row>
    <row r="781" spans="1:12" x14ac:dyDescent="0.25">
      <c r="A781" s="83">
        <v>44412</v>
      </c>
      <c r="B781" s="80" t="s">
        <v>1892</v>
      </c>
      <c r="C781" s="80" t="s">
        <v>1890</v>
      </c>
      <c r="D781" s="80" t="s">
        <v>1891</v>
      </c>
      <c r="E781" s="80">
        <v>68427709</v>
      </c>
      <c r="F781" s="94">
        <v>4000</v>
      </c>
      <c r="G781" s="80" t="s">
        <v>72</v>
      </c>
      <c r="H781" s="80" t="s">
        <v>73</v>
      </c>
      <c r="I781" s="80" t="s">
        <v>92</v>
      </c>
      <c r="J781" s="80">
        <v>2022</v>
      </c>
      <c r="K781" s="80" t="s">
        <v>186</v>
      </c>
      <c r="L781" s="80"/>
    </row>
    <row r="782" spans="1:12" x14ac:dyDescent="0.25">
      <c r="A782" s="83">
        <v>44412</v>
      </c>
      <c r="B782" s="80" t="s">
        <v>90</v>
      </c>
      <c r="C782" s="80" t="s">
        <v>1890</v>
      </c>
      <c r="D782" s="80" t="s">
        <v>90</v>
      </c>
      <c r="E782" s="80">
        <v>68427709</v>
      </c>
      <c r="F782" s="94">
        <v>8000</v>
      </c>
      <c r="G782" s="80" t="s">
        <v>72</v>
      </c>
      <c r="H782" s="80" t="s">
        <v>73</v>
      </c>
      <c r="I782" s="80" t="s">
        <v>92</v>
      </c>
      <c r="J782" s="80">
        <v>2022</v>
      </c>
      <c r="K782" s="80" t="s">
        <v>186</v>
      </c>
      <c r="L782" s="80"/>
    </row>
    <row r="783" spans="1:12" x14ac:dyDescent="0.25">
      <c r="A783" s="83">
        <v>44412</v>
      </c>
      <c r="B783" s="80" t="s">
        <v>1893</v>
      </c>
      <c r="C783" s="80" t="s">
        <v>1890</v>
      </c>
      <c r="D783" s="80" t="s">
        <v>1894</v>
      </c>
      <c r="E783" s="80">
        <v>68427709</v>
      </c>
      <c r="F783" s="94">
        <v>4000</v>
      </c>
      <c r="G783" s="80" t="s">
        <v>72</v>
      </c>
      <c r="H783" s="80" t="s">
        <v>73</v>
      </c>
      <c r="I783" s="80" t="s">
        <v>92</v>
      </c>
      <c r="J783" s="80">
        <v>2022</v>
      </c>
      <c r="K783" s="80" t="s">
        <v>186</v>
      </c>
      <c r="L783" s="80"/>
    </row>
    <row r="784" spans="1:12" x14ac:dyDescent="0.25">
      <c r="A784" s="83">
        <v>44412</v>
      </c>
      <c r="B784" s="80" t="s">
        <v>1895</v>
      </c>
      <c r="C784" s="80" t="s">
        <v>1890</v>
      </c>
      <c r="D784" s="80" t="s">
        <v>1468</v>
      </c>
      <c r="E784" s="80">
        <v>68427709</v>
      </c>
      <c r="F784" s="94">
        <v>3000</v>
      </c>
      <c r="G784" s="80" t="s">
        <v>72</v>
      </c>
      <c r="H784" s="80" t="s">
        <v>73</v>
      </c>
      <c r="I784" s="80" t="s">
        <v>92</v>
      </c>
      <c r="J784" s="80">
        <v>2022</v>
      </c>
      <c r="K784" s="80" t="s">
        <v>186</v>
      </c>
      <c r="L784" s="80"/>
    </row>
    <row r="785" spans="1:12" x14ac:dyDescent="0.25">
      <c r="A785" s="83">
        <v>44412</v>
      </c>
      <c r="B785" s="80" t="s">
        <v>1896</v>
      </c>
      <c r="C785" s="80" t="s">
        <v>1662</v>
      </c>
      <c r="D785" s="80" t="s">
        <v>1896</v>
      </c>
      <c r="E785" s="80">
        <v>68427709</v>
      </c>
      <c r="F785" s="94">
        <v>-25000</v>
      </c>
      <c r="G785" s="80" t="s">
        <v>72</v>
      </c>
      <c r="H785" s="80" t="s">
        <v>73</v>
      </c>
      <c r="I785" s="80" t="s">
        <v>92</v>
      </c>
      <c r="J785" s="80">
        <v>2022</v>
      </c>
      <c r="K785" s="80" t="s">
        <v>186</v>
      </c>
      <c r="L785" s="80"/>
    </row>
    <row r="786" spans="1:12" x14ac:dyDescent="0.25">
      <c r="A786" s="83">
        <v>44412</v>
      </c>
      <c r="B786" s="80" t="s">
        <v>1897</v>
      </c>
      <c r="C786" s="80" t="s">
        <v>1898</v>
      </c>
      <c r="D786" s="80" t="s">
        <v>1899</v>
      </c>
      <c r="E786" s="80">
        <v>68427709</v>
      </c>
      <c r="F786" s="94">
        <v>0</v>
      </c>
      <c r="G786" s="80" t="s">
        <v>72</v>
      </c>
      <c r="H786" s="80" t="s">
        <v>73</v>
      </c>
      <c r="I786" s="80" t="s">
        <v>1662</v>
      </c>
      <c r="J786" s="80">
        <v>2022</v>
      </c>
      <c r="K786" s="80" t="s">
        <v>75</v>
      </c>
      <c r="L786" s="80"/>
    </row>
    <row r="787" spans="1:12" x14ac:dyDescent="0.25">
      <c r="A787" s="83">
        <v>44412</v>
      </c>
      <c r="B787" s="80" t="s">
        <v>1900</v>
      </c>
      <c r="C787" s="80"/>
      <c r="D787" s="80"/>
      <c r="E787" s="80">
        <v>68427709</v>
      </c>
      <c r="F787" s="94">
        <v>50000</v>
      </c>
      <c r="G787" s="80" t="s">
        <v>72</v>
      </c>
      <c r="H787" s="80" t="s">
        <v>73</v>
      </c>
      <c r="I787" s="80" t="s">
        <v>92</v>
      </c>
      <c r="J787" s="80">
        <v>2022</v>
      </c>
      <c r="K787" s="80" t="s">
        <v>1901</v>
      </c>
      <c r="L787" s="80"/>
    </row>
    <row r="788" spans="1:12" x14ac:dyDescent="0.25">
      <c r="A788" s="83">
        <v>44412</v>
      </c>
      <c r="B788" s="80" t="s">
        <v>1902</v>
      </c>
      <c r="C788" s="80" t="s">
        <v>521</v>
      </c>
      <c r="D788" s="80" t="s">
        <v>1231</v>
      </c>
      <c r="E788" s="80">
        <v>68427709</v>
      </c>
      <c r="F788" s="94">
        <v>2000</v>
      </c>
      <c r="G788" s="80" t="s">
        <v>72</v>
      </c>
      <c r="H788" s="80" t="s">
        <v>73</v>
      </c>
      <c r="I788" s="80" t="s">
        <v>1662</v>
      </c>
      <c r="J788" s="80">
        <v>2022</v>
      </c>
      <c r="K788" s="80" t="s">
        <v>1885</v>
      </c>
      <c r="L788" s="80"/>
    </row>
    <row r="789" spans="1:12" x14ac:dyDescent="0.25">
      <c r="A789" s="83">
        <v>44412</v>
      </c>
      <c r="B789" s="80" t="s">
        <v>1903</v>
      </c>
      <c r="C789" s="80" t="s">
        <v>1904</v>
      </c>
      <c r="D789" s="80" t="s">
        <v>1903</v>
      </c>
      <c r="E789" s="80">
        <v>68427709</v>
      </c>
      <c r="F789" s="94">
        <v>8000</v>
      </c>
      <c r="G789" s="80" t="s">
        <v>261</v>
      </c>
      <c r="H789" s="80" t="s">
        <v>73</v>
      </c>
      <c r="I789" s="80" t="s">
        <v>1662</v>
      </c>
      <c r="J789" s="80">
        <v>2022</v>
      </c>
      <c r="K789" s="80" t="s">
        <v>1905</v>
      </c>
      <c r="L789" s="80" t="s">
        <v>1906</v>
      </c>
    </row>
    <row r="790" spans="1:12" x14ac:dyDescent="0.25">
      <c r="A790" s="83">
        <v>44439</v>
      </c>
      <c r="B790" s="80" t="s">
        <v>1907</v>
      </c>
      <c r="C790" s="80" t="s">
        <v>1908</v>
      </c>
      <c r="D790" s="80" t="s">
        <v>814</v>
      </c>
      <c r="E790" s="80">
        <v>68427709</v>
      </c>
      <c r="F790" s="94">
        <v>0</v>
      </c>
      <c r="G790" s="80" t="s">
        <v>72</v>
      </c>
      <c r="H790" s="80" t="s">
        <v>73</v>
      </c>
      <c r="I790" s="80" t="s">
        <v>1662</v>
      </c>
      <c r="J790" s="80">
        <v>2022</v>
      </c>
      <c r="K790" s="80" t="s">
        <v>514</v>
      </c>
      <c r="L790" s="80" t="s">
        <v>1909</v>
      </c>
    </row>
    <row r="791" spans="1:12" x14ac:dyDescent="0.25">
      <c r="A791" s="83">
        <v>44448</v>
      </c>
      <c r="B791" s="80" t="s">
        <v>1910</v>
      </c>
      <c r="C791" s="80" t="s">
        <v>1911</v>
      </c>
      <c r="D791" s="80" t="s">
        <v>142</v>
      </c>
      <c r="E791" s="80">
        <v>68427719</v>
      </c>
      <c r="F791" s="94">
        <v>200000</v>
      </c>
      <c r="G791" s="80" t="s">
        <v>72</v>
      </c>
      <c r="H791" s="80" t="s">
        <v>73</v>
      </c>
      <c r="I791" s="80" t="s">
        <v>92</v>
      </c>
      <c r="J791" s="80">
        <v>2022</v>
      </c>
      <c r="K791" s="80" t="s">
        <v>1885</v>
      </c>
      <c r="L791" s="80" t="s">
        <v>1912</v>
      </c>
    </row>
    <row r="792" spans="1:12" x14ac:dyDescent="0.25">
      <c r="A792" s="83">
        <v>44468</v>
      </c>
      <c r="B792" s="80" t="s">
        <v>1913</v>
      </c>
      <c r="C792" s="80" t="s">
        <v>1914</v>
      </c>
      <c r="D792" s="80" t="s">
        <v>1915</v>
      </c>
      <c r="E792" s="80">
        <v>68427709</v>
      </c>
      <c r="F792" s="94">
        <v>-2000</v>
      </c>
      <c r="G792" s="80" t="s">
        <v>72</v>
      </c>
      <c r="H792" s="80" t="s">
        <v>73</v>
      </c>
      <c r="I792" s="80" t="s">
        <v>1662</v>
      </c>
      <c r="J792" s="80">
        <v>2022</v>
      </c>
      <c r="K792" s="80" t="s">
        <v>75</v>
      </c>
      <c r="L792" s="80"/>
    </row>
    <row r="793" spans="1:12" x14ac:dyDescent="0.25">
      <c r="A793" s="83">
        <v>44468</v>
      </c>
      <c r="B793" s="80" t="s">
        <v>1916</v>
      </c>
      <c r="C793" s="80" t="s">
        <v>1914</v>
      </c>
      <c r="D793" s="80" t="s">
        <v>1915</v>
      </c>
      <c r="E793" s="80">
        <v>68427709</v>
      </c>
      <c r="F793" s="94">
        <v>-5000</v>
      </c>
      <c r="G793" s="80" t="s">
        <v>72</v>
      </c>
      <c r="H793" s="80" t="s">
        <v>73</v>
      </c>
      <c r="I793" s="80" t="s">
        <v>1662</v>
      </c>
      <c r="J793" s="80">
        <v>2022</v>
      </c>
      <c r="K793" s="80" t="s">
        <v>75</v>
      </c>
      <c r="L793" s="80"/>
    </row>
    <row r="794" spans="1:12" x14ac:dyDescent="0.25">
      <c r="A794" s="83">
        <v>44468</v>
      </c>
      <c r="B794" s="80" t="s">
        <v>1917</v>
      </c>
      <c r="C794" s="80" t="s">
        <v>1914</v>
      </c>
      <c r="D794" s="80" t="s">
        <v>1915</v>
      </c>
      <c r="E794" s="80">
        <v>68427709</v>
      </c>
      <c r="F794" s="94">
        <v>-6000</v>
      </c>
      <c r="G794" s="80" t="s">
        <v>72</v>
      </c>
      <c r="H794" s="80" t="s">
        <v>73</v>
      </c>
      <c r="I794" s="80" t="s">
        <v>1662</v>
      </c>
      <c r="J794" s="80">
        <v>2022</v>
      </c>
      <c r="K794" s="80" t="s">
        <v>75</v>
      </c>
      <c r="L794" s="80"/>
    </row>
    <row r="795" spans="1:12" x14ac:dyDescent="0.25">
      <c r="A795" s="83">
        <v>44468</v>
      </c>
      <c r="B795" s="80" t="s">
        <v>1918</v>
      </c>
      <c r="C795" s="80" t="s">
        <v>1914</v>
      </c>
      <c r="D795" s="80" t="s">
        <v>1915</v>
      </c>
      <c r="E795" s="80">
        <v>68427709</v>
      </c>
      <c r="F795" s="94">
        <v>-5000</v>
      </c>
      <c r="G795" s="80" t="s">
        <v>72</v>
      </c>
      <c r="H795" s="80" t="s">
        <v>73</v>
      </c>
      <c r="I795" s="80" t="s">
        <v>1662</v>
      </c>
      <c r="J795" s="80">
        <v>2022</v>
      </c>
      <c r="K795" s="80" t="s">
        <v>75</v>
      </c>
      <c r="L795" s="80"/>
    </row>
    <row r="796" spans="1:12" x14ac:dyDescent="0.25">
      <c r="A796" s="83">
        <v>44468</v>
      </c>
      <c r="B796" t="s">
        <v>1919</v>
      </c>
      <c r="C796" s="80" t="s">
        <v>1914</v>
      </c>
      <c r="D796" s="80" t="s">
        <v>1685</v>
      </c>
      <c r="E796" s="80">
        <v>68427709</v>
      </c>
      <c r="F796" s="94">
        <v>-2000</v>
      </c>
      <c r="G796" s="80" t="s">
        <v>72</v>
      </c>
      <c r="H796" s="80" t="s">
        <v>73</v>
      </c>
      <c r="I796" s="80" t="s">
        <v>1662</v>
      </c>
      <c r="J796" s="80">
        <v>2022</v>
      </c>
      <c r="K796" s="80" t="s">
        <v>75</v>
      </c>
      <c r="L796" s="80"/>
    </row>
    <row r="797" spans="1:12" s="171" customFormat="1" x14ac:dyDescent="0.25">
      <c r="A797" s="85" t="s">
        <v>1920</v>
      </c>
      <c r="B797" s="85"/>
      <c r="C797" s="85"/>
      <c r="D797" s="85"/>
      <c r="E797" s="85"/>
      <c r="F797" s="85"/>
      <c r="G797" s="85"/>
      <c r="H797" s="85"/>
      <c r="I797" s="85"/>
      <c r="J797" s="85"/>
      <c r="K797" s="85"/>
      <c r="L797" s="85"/>
    </row>
    <row r="798" spans="1:12" x14ac:dyDescent="0.25">
      <c r="A798" s="83">
        <v>44494</v>
      </c>
      <c r="B798" s="80" t="s">
        <v>1921</v>
      </c>
      <c r="C798" s="80" t="s">
        <v>1922</v>
      </c>
      <c r="D798" s="80"/>
      <c r="E798" s="80">
        <v>68427709</v>
      </c>
      <c r="F798" s="94">
        <v>0</v>
      </c>
      <c r="G798" s="80" t="s">
        <v>261</v>
      </c>
      <c r="H798" s="80" t="s">
        <v>73</v>
      </c>
      <c r="I798" s="80" t="s">
        <v>1662</v>
      </c>
      <c r="J798" s="80">
        <v>2023</v>
      </c>
      <c r="K798" s="80" t="s">
        <v>1923</v>
      </c>
      <c r="L798" s="80" t="s">
        <v>1924</v>
      </c>
    </row>
    <row r="799" spans="1:12" x14ac:dyDescent="0.25">
      <c r="A799" s="83">
        <v>44540</v>
      </c>
      <c r="B799" s="80" t="s">
        <v>1925</v>
      </c>
      <c r="C799" s="80" t="s">
        <v>1926</v>
      </c>
      <c r="D799" s="80" t="s">
        <v>1927</v>
      </c>
      <c r="E799" s="80">
        <v>68427709</v>
      </c>
      <c r="F799" s="94">
        <v>329000</v>
      </c>
      <c r="G799" s="80" t="s">
        <v>72</v>
      </c>
      <c r="H799" s="80" t="s">
        <v>73</v>
      </c>
      <c r="I799" s="80" t="s">
        <v>1662</v>
      </c>
      <c r="J799" s="80">
        <v>2023</v>
      </c>
      <c r="K799" s="80" t="s">
        <v>186</v>
      </c>
      <c r="L799" s="80" t="s">
        <v>1928</v>
      </c>
    </row>
    <row r="800" spans="1:12" x14ac:dyDescent="0.25">
      <c r="A800" s="83">
        <v>44540</v>
      </c>
      <c r="B800" s="80" t="s">
        <v>1929</v>
      </c>
      <c r="C800" s="80" t="s">
        <v>1930</v>
      </c>
      <c r="D800" s="80" t="s">
        <v>1931</v>
      </c>
      <c r="E800" s="80">
        <v>68427709</v>
      </c>
      <c r="F800" s="94">
        <v>-37000</v>
      </c>
      <c r="G800" s="80" t="s">
        <v>72</v>
      </c>
      <c r="H800" s="80" t="s">
        <v>73</v>
      </c>
      <c r="I800" s="80" t="s">
        <v>1662</v>
      </c>
      <c r="J800" s="80">
        <v>2023</v>
      </c>
      <c r="K800" s="80" t="s">
        <v>186</v>
      </c>
      <c r="L800" s="80"/>
    </row>
    <row r="801" spans="1:12" x14ac:dyDescent="0.25">
      <c r="A801" s="83">
        <v>44540</v>
      </c>
      <c r="B801" s="80" t="s">
        <v>1932</v>
      </c>
      <c r="C801" s="80" t="s">
        <v>1930</v>
      </c>
      <c r="D801" s="80" t="s">
        <v>1931</v>
      </c>
      <c r="E801" s="80">
        <v>68427709</v>
      </c>
      <c r="F801" s="94">
        <v>-25000</v>
      </c>
      <c r="G801" s="80" t="s">
        <v>72</v>
      </c>
      <c r="H801" s="80" t="s">
        <v>73</v>
      </c>
      <c r="I801" s="80" t="s">
        <v>92</v>
      </c>
      <c r="J801" s="80">
        <v>2023</v>
      </c>
      <c r="K801" s="80" t="s">
        <v>186</v>
      </c>
      <c r="L801" s="80"/>
    </row>
    <row r="802" spans="1:12" x14ac:dyDescent="0.25">
      <c r="A802" s="83">
        <v>44545</v>
      </c>
      <c r="B802" s="80" t="s">
        <v>1933</v>
      </c>
      <c r="C802" s="80" t="s">
        <v>1934</v>
      </c>
      <c r="D802" s="80" t="s">
        <v>90</v>
      </c>
      <c r="E802" s="80">
        <v>68427709</v>
      </c>
      <c r="F802" s="94">
        <v>5000</v>
      </c>
      <c r="G802" s="80" t="s">
        <v>72</v>
      </c>
      <c r="H802" s="80" t="s">
        <v>73</v>
      </c>
      <c r="I802" s="80" t="s">
        <v>1662</v>
      </c>
      <c r="J802" s="80">
        <v>2023</v>
      </c>
      <c r="K802" s="80" t="s">
        <v>186</v>
      </c>
      <c r="L802" s="80" t="s">
        <v>1935</v>
      </c>
    </row>
    <row r="803" spans="1:12" x14ac:dyDescent="0.25">
      <c r="A803" s="83">
        <v>44553</v>
      </c>
      <c r="B803" s="80" t="s">
        <v>1936</v>
      </c>
      <c r="C803" s="80" t="s">
        <v>1937</v>
      </c>
      <c r="D803" s="80" t="s">
        <v>1278</v>
      </c>
      <c r="E803" s="80">
        <v>68427709</v>
      </c>
      <c r="F803" s="94">
        <v>57000</v>
      </c>
      <c r="G803" s="80" t="s">
        <v>261</v>
      </c>
      <c r="H803" s="80" t="s">
        <v>73</v>
      </c>
      <c r="I803" s="80" t="s">
        <v>92</v>
      </c>
      <c r="J803" s="80">
        <v>2023</v>
      </c>
      <c r="K803" s="80" t="s">
        <v>1849</v>
      </c>
      <c r="L803" s="80" t="s">
        <v>1938</v>
      </c>
    </row>
    <row r="804" spans="1:12" x14ac:dyDescent="0.25">
      <c r="A804" s="83">
        <v>44553</v>
      </c>
      <c r="B804" s="80" t="s">
        <v>1939</v>
      </c>
      <c r="C804" s="80" t="s">
        <v>1662</v>
      </c>
      <c r="D804" s="80" t="s">
        <v>139</v>
      </c>
      <c r="E804" s="80">
        <v>68427709</v>
      </c>
      <c r="F804" s="94">
        <v>18000</v>
      </c>
      <c r="G804" s="80" t="s">
        <v>72</v>
      </c>
      <c r="H804" s="80" t="s">
        <v>73</v>
      </c>
      <c r="I804" s="80" t="s">
        <v>1662</v>
      </c>
      <c r="J804" s="80">
        <v>2023</v>
      </c>
      <c r="K804" s="80" t="s">
        <v>1060</v>
      </c>
      <c r="L804" s="80"/>
    </row>
    <row r="805" spans="1:12" x14ac:dyDescent="0.25">
      <c r="A805" s="83">
        <v>44392</v>
      </c>
      <c r="B805" s="80" t="s">
        <v>1940</v>
      </c>
      <c r="C805" s="80" t="s">
        <v>1941</v>
      </c>
      <c r="D805" s="80" t="s">
        <v>1942</v>
      </c>
      <c r="E805" s="80"/>
      <c r="F805" s="94" t="s">
        <v>1942</v>
      </c>
      <c r="G805" s="80"/>
      <c r="H805" s="80"/>
      <c r="I805" s="80"/>
      <c r="J805" s="80"/>
      <c r="K805" s="80"/>
      <c r="L805" s="80"/>
    </row>
    <row r="806" spans="1:12" x14ac:dyDescent="0.25">
      <c r="A806" s="83">
        <v>44653</v>
      </c>
      <c r="B806" s="80" t="s">
        <v>1943</v>
      </c>
      <c r="C806" s="80"/>
      <c r="D806" s="80"/>
      <c r="E806" s="80">
        <v>68427709</v>
      </c>
      <c r="F806" s="94">
        <v>0</v>
      </c>
      <c r="G806" s="80" t="s">
        <v>261</v>
      </c>
      <c r="H806" s="80" t="s">
        <v>73</v>
      </c>
      <c r="I806" s="80" t="s">
        <v>1662</v>
      </c>
      <c r="J806" s="80">
        <v>2023</v>
      </c>
      <c r="K806" s="80" t="s">
        <v>1417</v>
      </c>
      <c r="L806" s="80" t="s">
        <v>1663</v>
      </c>
    </row>
    <row r="807" spans="1:12" x14ac:dyDescent="0.25">
      <c r="A807" s="83">
        <v>44595</v>
      </c>
      <c r="B807" s="80" t="s">
        <v>1944</v>
      </c>
      <c r="C807" s="80" t="s">
        <v>1868</v>
      </c>
      <c r="D807" s="80" t="s">
        <v>1945</v>
      </c>
      <c r="E807" s="80">
        <v>68427709</v>
      </c>
      <c r="F807" s="94" t="s">
        <v>1942</v>
      </c>
      <c r="G807" s="80" t="s">
        <v>261</v>
      </c>
      <c r="H807" s="80" t="s">
        <v>73</v>
      </c>
      <c r="I807" s="80" t="s">
        <v>1662</v>
      </c>
      <c r="J807" s="80">
        <v>2023</v>
      </c>
      <c r="K807" s="80" t="s">
        <v>1946</v>
      </c>
      <c r="L807" s="80" t="s">
        <v>1947</v>
      </c>
    </row>
    <row r="808" spans="1:12" x14ac:dyDescent="0.25">
      <c r="A808" s="83">
        <v>44595</v>
      </c>
      <c r="B808" s="80" t="s">
        <v>1948</v>
      </c>
      <c r="C808" s="80" t="s">
        <v>1949</v>
      </c>
      <c r="D808" s="80"/>
      <c r="E808" s="80">
        <v>68427709</v>
      </c>
      <c r="F808" s="94">
        <f>205000+85000</f>
        <v>290000</v>
      </c>
      <c r="G808" s="80" t="s">
        <v>72</v>
      </c>
      <c r="H808" s="80" t="s">
        <v>73</v>
      </c>
      <c r="I808" s="80" t="s">
        <v>1662</v>
      </c>
      <c r="J808" s="80">
        <v>2023</v>
      </c>
      <c r="K808" s="80" t="s">
        <v>982</v>
      </c>
      <c r="L808" s="80"/>
    </row>
    <row r="809" spans="1:12" x14ac:dyDescent="0.25">
      <c r="A809" s="83">
        <v>44595</v>
      </c>
      <c r="B809" s="80" t="s">
        <v>1950</v>
      </c>
      <c r="C809" s="80"/>
      <c r="D809" s="80" t="s">
        <v>1945</v>
      </c>
      <c r="E809" s="80">
        <v>68427709</v>
      </c>
      <c r="F809" s="94">
        <v>0</v>
      </c>
      <c r="G809" s="80" t="s">
        <v>261</v>
      </c>
      <c r="H809" s="80" t="s">
        <v>73</v>
      </c>
      <c r="I809" s="80" t="s">
        <v>92</v>
      </c>
      <c r="J809" s="80">
        <v>2023</v>
      </c>
      <c r="K809" s="80" t="s">
        <v>633</v>
      </c>
      <c r="L809" s="80" t="s">
        <v>1951</v>
      </c>
    </row>
    <row r="810" spans="1:12" x14ac:dyDescent="0.25">
      <c r="A810" s="83">
        <v>44716</v>
      </c>
      <c r="B810" t="s">
        <v>1952</v>
      </c>
      <c r="C810" s="80" t="s">
        <v>1953</v>
      </c>
      <c r="D810" s="80"/>
      <c r="E810" s="80">
        <v>68427709</v>
      </c>
      <c r="F810" s="94">
        <v>37000</v>
      </c>
      <c r="G810" s="80" t="s">
        <v>72</v>
      </c>
      <c r="H810" s="80" t="s">
        <v>73</v>
      </c>
      <c r="I810" s="80" t="s">
        <v>909</v>
      </c>
      <c r="J810" s="80">
        <v>2023</v>
      </c>
      <c r="K810" s="80" t="s">
        <v>1752</v>
      </c>
      <c r="L810" s="80"/>
    </row>
    <row r="811" spans="1:12" x14ac:dyDescent="0.25">
      <c r="A811" s="83">
        <v>44716</v>
      </c>
      <c r="B811" s="80" t="s">
        <v>1954</v>
      </c>
      <c r="C811" s="80" t="s">
        <v>1955</v>
      </c>
      <c r="D811" s="80"/>
      <c r="E811" s="80">
        <v>68427709</v>
      </c>
      <c r="F811" s="94">
        <v>150000</v>
      </c>
      <c r="G811" s="80" t="s">
        <v>72</v>
      </c>
      <c r="H811" s="80" t="s">
        <v>73</v>
      </c>
      <c r="I811" s="80" t="s">
        <v>1956</v>
      </c>
      <c r="J811" s="80">
        <v>2023</v>
      </c>
      <c r="K811" s="80" t="s">
        <v>1244</v>
      </c>
      <c r="L811" s="80"/>
    </row>
    <row r="812" spans="1:12" x14ac:dyDescent="0.25">
      <c r="A812" s="83">
        <v>44670</v>
      </c>
      <c r="B812" s="80" t="s">
        <v>1957</v>
      </c>
      <c r="C812" s="80" t="s">
        <v>1958</v>
      </c>
      <c r="D812" s="80"/>
      <c r="E812" s="80">
        <v>68427709</v>
      </c>
      <c r="F812" s="94">
        <v>15000</v>
      </c>
      <c r="G812" s="80" t="s">
        <v>72</v>
      </c>
      <c r="H812" s="80" t="s">
        <v>73</v>
      </c>
      <c r="I812" s="80" t="s">
        <v>1956</v>
      </c>
      <c r="J812" s="80">
        <v>2023</v>
      </c>
      <c r="K812" s="80" t="s">
        <v>152</v>
      </c>
      <c r="L812" s="80"/>
    </row>
    <row r="813" spans="1:12" x14ac:dyDescent="0.25">
      <c r="A813" s="83">
        <v>44613</v>
      </c>
      <c r="B813" s="80" t="s">
        <v>1959</v>
      </c>
      <c r="C813" s="80" t="s">
        <v>1960</v>
      </c>
      <c r="D813" s="80"/>
      <c r="E813" s="80">
        <v>68427709</v>
      </c>
      <c r="F813" s="94">
        <v>0</v>
      </c>
      <c r="G813" s="80" t="s">
        <v>72</v>
      </c>
      <c r="H813" s="80" t="s">
        <v>73</v>
      </c>
      <c r="I813" s="80" t="s">
        <v>1956</v>
      </c>
      <c r="J813" s="80">
        <v>2023</v>
      </c>
      <c r="K813" s="80" t="s">
        <v>1053</v>
      </c>
      <c r="L813" s="80"/>
    </row>
    <row r="814" spans="1:12" x14ac:dyDescent="0.25">
      <c r="A814" s="83">
        <v>44676</v>
      </c>
      <c r="B814" s="80" t="s">
        <v>1961</v>
      </c>
      <c r="C814" s="80" t="s">
        <v>1962</v>
      </c>
      <c r="D814" s="80"/>
      <c r="E814" s="80">
        <v>68427709</v>
      </c>
      <c r="F814" s="94">
        <v>20160</v>
      </c>
      <c r="G814" s="80" t="s">
        <v>72</v>
      </c>
      <c r="H814" s="80" t="s">
        <v>73</v>
      </c>
      <c r="I814" s="80" t="s">
        <v>92</v>
      </c>
      <c r="J814" s="80">
        <v>2023</v>
      </c>
      <c r="K814" s="80" t="s">
        <v>1666</v>
      </c>
      <c r="L814" s="80"/>
    </row>
    <row r="815" spans="1:12" x14ac:dyDescent="0.25">
      <c r="A815" s="83">
        <v>44656</v>
      </c>
      <c r="B815" s="80" t="s">
        <v>1963</v>
      </c>
      <c r="C815" s="80" t="s">
        <v>1964</v>
      </c>
      <c r="D815" s="80"/>
      <c r="E815" s="80">
        <v>68427709</v>
      </c>
      <c r="F815" s="94">
        <v>14000</v>
      </c>
      <c r="G815" s="80" t="s">
        <v>72</v>
      </c>
      <c r="H815" s="80" t="s">
        <v>73</v>
      </c>
      <c r="I815" s="80" t="s">
        <v>1662</v>
      </c>
      <c r="J815" s="80">
        <v>2023</v>
      </c>
      <c r="K815" s="80" t="s">
        <v>1965</v>
      </c>
      <c r="L815" s="80"/>
    </row>
    <row r="816" spans="1:12" x14ac:dyDescent="0.25">
      <c r="A816" s="83">
        <v>44598</v>
      </c>
      <c r="B816" s="80" t="s">
        <v>244</v>
      </c>
      <c r="C816" s="80" t="s">
        <v>1966</v>
      </c>
      <c r="D816" s="80"/>
      <c r="E816" s="80">
        <v>68427709</v>
      </c>
      <c r="F816" s="94">
        <v>-170000</v>
      </c>
      <c r="G816" s="80" t="s">
        <v>72</v>
      </c>
      <c r="H816" s="80" t="s">
        <v>73</v>
      </c>
      <c r="I816" s="80" t="s">
        <v>1662</v>
      </c>
      <c r="J816" s="80">
        <v>2023</v>
      </c>
      <c r="K816" s="80" t="s">
        <v>1639</v>
      </c>
      <c r="L816" s="80" t="s">
        <v>1967</v>
      </c>
    </row>
    <row r="817" spans="1:12" x14ac:dyDescent="0.25">
      <c r="A817" s="83">
        <v>44726</v>
      </c>
      <c r="B817" s="80" t="s">
        <v>727</v>
      </c>
      <c r="C817" s="80" t="s">
        <v>1968</v>
      </c>
      <c r="D817" s="80"/>
      <c r="E817" s="80">
        <v>68427709</v>
      </c>
      <c r="F817" s="94">
        <v>10000</v>
      </c>
      <c r="G817" s="80" t="s">
        <v>72</v>
      </c>
      <c r="H817" s="80" t="s">
        <v>73</v>
      </c>
      <c r="I817" s="80" t="s">
        <v>1662</v>
      </c>
      <c r="J817" s="80">
        <v>2023</v>
      </c>
      <c r="K817" s="80" t="s">
        <v>186</v>
      </c>
      <c r="L817" s="80"/>
    </row>
    <row r="818" spans="1:12" x14ac:dyDescent="0.25">
      <c r="A818" s="83">
        <v>44728</v>
      </c>
      <c r="B818" s="80" t="s">
        <v>1592</v>
      </c>
      <c r="C818" s="80"/>
      <c r="D818" s="80"/>
      <c r="E818" s="80">
        <v>68427709</v>
      </c>
      <c r="F818" s="94">
        <v>33000</v>
      </c>
      <c r="G818" s="80" t="s">
        <v>72</v>
      </c>
      <c r="H818" s="80" t="s">
        <v>73</v>
      </c>
      <c r="I818" s="80" t="s">
        <v>1662</v>
      </c>
      <c r="J818" s="80">
        <v>2023</v>
      </c>
      <c r="K818" s="80" t="s">
        <v>1096</v>
      </c>
      <c r="L818" s="80"/>
    </row>
    <row r="819" spans="1:12" x14ac:dyDescent="0.25">
      <c r="A819" s="83">
        <v>44729</v>
      </c>
      <c r="B819" s="80" t="s">
        <v>1969</v>
      </c>
      <c r="C819" s="80" t="s">
        <v>1970</v>
      </c>
      <c r="D819" s="80"/>
      <c r="E819" s="80">
        <v>68427709</v>
      </c>
      <c r="F819" s="94">
        <v>-1169944</v>
      </c>
      <c r="G819" s="80" t="s">
        <v>72</v>
      </c>
      <c r="H819" s="80" t="s">
        <v>73</v>
      </c>
      <c r="I819" s="80" t="s">
        <v>909</v>
      </c>
      <c r="J819" s="80">
        <v>2023</v>
      </c>
      <c r="K819" s="80" t="s">
        <v>75</v>
      </c>
      <c r="L819" s="80"/>
    </row>
    <row r="820" spans="1:12" x14ac:dyDescent="0.25">
      <c r="A820" s="83">
        <v>44729</v>
      </c>
      <c r="B820" s="80" t="s">
        <v>1971</v>
      </c>
      <c r="C820" s="80" t="s">
        <v>1972</v>
      </c>
      <c r="D820" s="80"/>
      <c r="E820" s="80">
        <v>68427709</v>
      </c>
      <c r="F820" s="94">
        <v>43200</v>
      </c>
      <c r="G820" s="80" t="s">
        <v>72</v>
      </c>
      <c r="H820" s="80" t="s">
        <v>73</v>
      </c>
      <c r="I820" s="80" t="s">
        <v>909</v>
      </c>
      <c r="J820" s="80">
        <v>2023</v>
      </c>
      <c r="K820" s="80" t="s">
        <v>75</v>
      </c>
      <c r="L820" s="80"/>
    </row>
    <row r="821" spans="1:12" x14ac:dyDescent="0.25">
      <c r="A821" s="83">
        <v>44729</v>
      </c>
      <c r="B821" s="80" t="s">
        <v>1973</v>
      </c>
      <c r="C821" s="80" t="s">
        <v>1974</v>
      </c>
      <c r="D821" s="80"/>
      <c r="E821" s="80">
        <v>68427709</v>
      </c>
      <c r="F821" s="94">
        <v>43200</v>
      </c>
      <c r="G821" s="80" t="s">
        <v>72</v>
      </c>
      <c r="H821" s="80" t="s">
        <v>73</v>
      </c>
      <c r="I821" s="80" t="s">
        <v>909</v>
      </c>
      <c r="J821" s="80">
        <v>2023</v>
      </c>
      <c r="K821" s="80" t="s">
        <v>75</v>
      </c>
      <c r="L821" s="80"/>
    </row>
    <row r="822" spans="1:12" x14ac:dyDescent="0.25">
      <c r="A822" s="83">
        <v>44729</v>
      </c>
      <c r="B822" s="80" t="s">
        <v>1975</v>
      </c>
      <c r="C822" s="80" t="s">
        <v>1976</v>
      </c>
      <c r="D822" s="80"/>
      <c r="E822" s="80">
        <v>68427709</v>
      </c>
      <c r="F822" s="94">
        <v>64800</v>
      </c>
      <c r="G822" s="80" t="s">
        <v>72</v>
      </c>
      <c r="H822" s="80" t="s">
        <v>73</v>
      </c>
      <c r="I822" s="80" t="s">
        <v>909</v>
      </c>
      <c r="J822" s="80">
        <v>2023</v>
      </c>
      <c r="K822" s="80" t="s">
        <v>75</v>
      </c>
      <c r="L822" s="80"/>
    </row>
    <row r="823" spans="1:12" x14ac:dyDescent="0.25">
      <c r="A823" s="83">
        <v>44729</v>
      </c>
      <c r="B823" s="80" t="s">
        <v>1977</v>
      </c>
      <c r="C823" s="80" t="s">
        <v>1978</v>
      </c>
      <c r="D823" s="80"/>
      <c r="E823" s="80">
        <v>68427709</v>
      </c>
      <c r="F823" s="94">
        <v>21600</v>
      </c>
      <c r="G823" s="80" t="s">
        <v>72</v>
      </c>
      <c r="H823" s="80" t="s">
        <v>73</v>
      </c>
      <c r="I823" s="80" t="s">
        <v>909</v>
      </c>
      <c r="J823" s="80">
        <v>2023</v>
      </c>
      <c r="K823" s="80" t="s">
        <v>75</v>
      </c>
      <c r="L823" s="80"/>
    </row>
    <row r="824" spans="1:12" x14ac:dyDescent="0.25">
      <c r="A824" s="83">
        <v>44729</v>
      </c>
      <c r="B824" s="80" t="s">
        <v>1979</v>
      </c>
      <c r="C824" s="80" t="s">
        <v>1980</v>
      </c>
      <c r="D824" s="80"/>
      <c r="E824" s="80">
        <v>68427709</v>
      </c>
      <c r="F824" s="94">
        <v>32400</v>
      </c>
      <c r="G824" s="80" t="s">
        <v>72</v>
      </c>
      <c r="H824" s="80" t="s">
        <v>73</v>
      </c>
      <c r="I824" s="80" t="s">
        <v>909</v>
      </c>
      <c r="J824" s="80">
        <v>2023</v>
      </c>
      <c r="K824" s="80" t="s">
        <v>75</v>
      </c>
      <c r="L824" s="80"/>
    </row>
    <row r="825" spans="1:12" x14ac:dyDescent="0.25">
      <c r="A825" s="83">
        <v>44729</v>
      </c>
      <c r="B825" s="80" t="s">
        <v>1981</v>
      </c>
      <c r="C825" s="80" t="s">
        <v>1982</v>
      </c>
      <c r="D825" s="80"/>
      <c r="E825" s="80">
        <v>68427709</v>
      </c>
      <c r="F825" s="94">
        <v>21600</v>
      </c>
      <c r="G825" s="80" t="s">
        <v>72</v>
      </c>
      <c r="H825" s="80" t="s">
        <v>73</v>
      </c>
      <c r="I825" s="80" t="s">
        <v>909</v>
      </c>
      <c r="J825" s="80">
        <v>2023</v>
      </c>
      <c r="K825" s="80" t="s">
        <v>75</v>
      </c>
      <c r="L825" s="80"/>
    </row>
    <row r="826" spans="1:12" x14ac:dyDescent="0.25">
      <c r="A826" s="83">
        <v>44729</v>
      </c>
      <c r="B826" s="80" t="s">
        <v>1983</v>
      </c>
      <c r="C826" s="80" t="s">
        <v>1984</v>
      </c>
      <c r="D826" s="80"/>
      <c r="E826" s="80">
        <v>68427709</v>
      </c>
      <c r="F826" s="94">
        <v>75600</v>
      </c>
      <c r="G826" s="80" t="s">
        <v>72</v>
      </c>
      <c r="H826" s="80" t="s">
        <v>73</v>
      </c>
      <c r="I826" s="80" t="s">
        <v>909</v>
      </c>
      <c r="J826" s="80">
        <v>2023</v>
      </c>
      <c r="K826" s="80" t="s">
        <v>75</v>
      </c>
      <c r="L826" s="80"/>
    </row>
    <row r="827" spans="1:12" x14ac:dyDescent="0.25">
      <c r="A827" s="83">
        <v>44729</v>
      </c>
      <c r="B827" s="80" t="s">
        <v>1985</v>
      </c>
      <c r="C827" s="80" t="s">
        <v>1986</v>
      </c>
      <c r="D827" s="80"/>
      <c r="E827" s="80">
        <v>68427709</v>
      </c>
      <c r="F827" s="94">
        <v>64800</v>
      </c>
      <c r="G827" s="80" t="s">
        <v>72</v>
      </c>
      <c r="H827" s="80" t="s">
        <v>73</v>
      </c>
      <c r="I827" s="80" t="s">
        <v>909</v>
      </c>
      <c r="J827" s="80">
        <v>2023</v>
      </c>
      <c r="K827" s="80" t="s">
        <v>75</v>
      </c>
      <c r="L827" s="80"/>
    </row>
    <row r="828" spans="1:12" x14ac:dyDescent="0.25">
      <c r="A828" s="83">
        <v>44729</v>
      </c>
      <c r="B828" s="80" t="s">
        <v>1987</v>
      </c>
      <c r="C828" s="80" t="s">
        <v>1988</v>
      </c>
      <c r="D828" s="80"/>
      <c r="E828" s="80">
        <v>68427709</v>
      </c>
      <c r="F828" s="94">
        <v>10800</v>
      </c>
      <c r="G828" s="80" t="s">
        <v>72</v>
      </c>
      <c r="H828" s="80" t="s">
        <v>73</v>
      </c>
      <c r="I828" s="80" t="s">
        <v>909</v>
      </c>
      <c r="J828" s="80">
        <v>2023</v>
      </c>
      <c r="K828" s="80" t="s">
        <v>75</v>
      </c>
      <c r="L828" s="80"/>
    </row>
    <row r="829" spans="1:12" x14ac:dyDescent="0.25">
      <c r="A829" s="83">
        <v>44729</v>
      </c>
      <c r="B829" s="80" t="s">
        <v>1989</v>
      </c>
      <c r="C829" s="80" t="s">
        <v>1990</v>
      </c>
      <c r="D829" s="80"/>
      <c r="E829" s="80">
        <v>68427709</v>
      </c>
      <c r="F829" s="94">
        <v>21600</v>
      </c>
      <c r="G829" s="80" t="s">
        <v>72</v>
      </c>
      <c r="H829" s="80" t="s">
        <v>73</v>
      </c>
      <c r="I829" s="80" t="s">
        <v>909</v>
      </c>
      <c r="J829" s="80">
        <v>2023</v>
      </c>
      <c r="K829" s="80" t="s">
        <v>75</v>
      </c>
      <c r="L829" s="80"/>
    </row>
    <row r="830" spans="1:12" x14ac:dyDescent="0.25">
      <c r="A830" s="83">
        <v>44729</v>
      </c>
      <c r="B830" s="80" t="s">
        <v>1991</v>
      </c>
      <c r="C830" s="80" t="s">
        <v>1992</v>
      </c>
      <c r="D830" s="80"/>
      <c r="E830" s="80">
        <v>68427709</v>
      </c>
      <c r="F830" s="94">
        <v>32400</v>
      </c>
      <c r="G830" s="80" t="s">
        <v>72</v>
      </c>
      <c r="H830" s="80" t="s">
        <v>73</v>
      </c>
      <c r="I830" s="80" t="s">
        <v>909</v>
      </c>
      <c r="J830" s="80">
        <v>2023</v>
      </c>
      <c r="K830" s="80" t="s">
        <v>75</v>
      </c>
      <c r="L830" s="80"/>
    </row>
    <row r="831" spans="1:12" x14ac:dyDescent="0.25">
      <c r="A831" s="83">
        <v>44729</v>
      </c>
      <c r="B831" s="80" t="s">
        <v>1993</v>
      </c>
      <c r="C831" s="80" t="s">
        <v>1994</v>
      </c>
      <c r="D831" s="80"/>
      <c r="E831" s="80">
        <v>68427709</v>
      </c>
      <c r="F831" s="94">
        <v>10800</v>
      </c>
      <c r="G831" s="80" t="s">
        <v>72</v>
      </c>
      <c r="H831" s="80" t="s">
        <v>73</v>
      </c>
      <c r="I831" s="80" t="s">
        <v>909</v>
      </c>
      <c r="J831" s="80">
        <v>2023</v>
      </c>
      <c r="K831" s="80" t="s">
        <v>75</v>
      </c>
      <c r="L831" s="80"/>
    </row>
    <row r="832" spans="1:12" x14ac:dyDescent="0.25">
      <c r="A832" s="83">
        <v>44729</v>
      </c>
      <c r="B832" s="80" t="s">
        <v>1995</v>
      </c>
      <c r="C832" s="80" t="s">
        <v>1996</v>
      </c>
      <c r="D832" s="80"/>
      <c r="E832" s="80">
        <v>68427709</v>
      </c>
      <c r="F832" s="94">
        <v>10800</v>
      </c>
      <c r="G832" s="80" t="s">
        <v>72</v>
      </c>
      <c r="H832" s="80" t="s">
        <v>73</v>
      </c>
      <c r="I832" s="80" t="s">
        <v>909</v>
      </c>
      <c r="J832" s="80">
        <v>2023</v>
      </c>
      <c r="K832" s="80" t="s">
        <v>75</v>
      </c>
      <c r="L832" s="80"/>
    </row>
    <row r="833" spans="1:12" x14ac:dyDescent="0.25">
      <c r="A833" s="83">
        <v>44729</v>
      </c>
      <c r="B833" s="80" t="s">
        <v>1997</v>
      </c>
      <c r="C833" s="80" t="s">
        <v>1998</v>
      </c>
      <c r="D833" s="80"/>
      <c r="E833" s="80">
        <v>68427709</v>
      </c>
      <c r="F833" s="94">
        <v>21600</v>
      </c>
      <c r="G833" s="80" t="s">
        <v>72</v>
      </c>
      <c r="H833" s="80" t="s">
        <v>73</v>
      </c>
      <c r="I833" s="80" t="s">
        <v>909</v>
      </c>
      <c r="J833" s="80">
        <v>2023</v>
      </c>
      <c r="K833" s="80" t="s">
        <v>75</v>
      </c>
      <c r="L833" s="80"/>
    </row>
    <row r="834" spans="1:12" x14ac:dyDescent="0.25">
      <c r="A834" s="83">
        <v>44729</v>
      </c>
      <c r="B834" s="80" t="s">
        <v>1999</v>
      </c>
      <c r="C834" s="80" t="s">
        <v>2000</v>
      </c>
      <c r="D834" s="80"/>
      <c r="E834" s="80">
        <v>68427709</v>
      </c>
      <c r="F834" s="94">
        <v>21600</v>
      </c>
      <c r="G834" s="80" t="s">
        <v>72</v>
      </c>
      <c r="H834" s="80" t="s">
        <v>73</v>
      </c>
      <c r="I834" s="80" t="s">
        <v>909</v>
      </c>
      <c r="J834" s="80">
        <v>2023</v>
      </c>
      <c r="K834" s="80" t="s">
        <v>75</v>
      </c>
      <c r="L834" s="80"/>
    </row>
    <row r="835" spans="1:12" x14ac:dyDescent="0.25">
      <c r="A835" s="83">
        <v>44729</v>
      </c>
      <c r="B835" s="80" t="s">
        <v>2001</v>
      </c>
      <c r="C835" s="80" t="s">
        <v>2002</v>
      </c>
      <c r="D835" s="80"/>
      <c r="E835" s="80">
        <v>68427709</v>
      </c>
      <c r="F835" s="94">
        <v>10800</v>
      </c>
      <c r="G835" s="80" t="s">
        <v>72</v>
      </c>
      <c r="H835" s="80" t="s">
        <v>73</v>
      </c>
      <c r="I835" s="80" t="s">
        <v>909</v>
      </c>
      <c r="J835" s="80">
        <v>2023</v>
      </c>
      <c r="K835" s="80" t="s">
        <v>75</v>
      </c>
      <c r="L835" s="80"/>
    </row>
    <row r="836" spans="1:12" x14ac:dyDescent="0.25">
      <c r="A836" s="83">
        <v>44729</v>
      </c>
      <c r="B836" s="80" t="s">
        <v>2003</v>
      </c>
      <c r="C836" s="80" t="s">
        <v>2004</v>
      </c>
      <c r="D836" s="80"/>
      <c r="E836" s="80">
        <v>68427709</v>
      </c>
      <c r="F836" s="94">
        <v>21600</v>
      </c>
      <c r="G836" s="80" t="s">
        <v>72</v>
      </c>
      <c r="H836" s="80" t="s">
        <v>73</v>
      </c>
      <c r="I836" s="80" t="s">
        <v>909</v>
      </c>
      <c r="J836" s="80">
        <v>2023</v>
      </c>
      <c r="K836" s="80" t="s">
        <v>75</v>
      </c>
      <c r="L836" s="80"/>
    </row>
    <row r="837" spans="1:12" x14ac:dyDescent="0.25">
      <c r="A837" s="83">
        <v>44729</v>
      </c>
      <c r="B837" s="80" t="s">
        <v>2005</v>
      </c>
      <c r="C837" s="80" t="s">
        <v>2006</v>
      </c>
      <c r="D837" s="80"/>
      <c r="E837" s="80">
        <v>68427709</v>
      </c>
      <c r="F837" s="94">
        <v>21600</v>
      </c>
      <c r="G837" s="80" t="s">
        <v>72</v>
      </c>
      <c r="H837" s="80" t="s">
        <v>73</v>
      </c>
      <c r="I837" s="80" t="s">
        <v>909</v>
      </c>
      <c r="J837" s="80">
        <v>2023</v>
      </c>
      <c r="K837" s="80" t="s">
        <v>75</v>
      </c>
      <c r="L837" s="80"/>
    </row>
    <row r="838" spans="1:12" x14ac:dyDescent="0.25">
      <c r="A838" s="83">
        <v>44729</v>
      </c>
      <c r="B838" s="80" t="s">
        <v>2007</v>
      </c>
      <c r="C838" s="80" t="s">
        <v>2008</v>
      </c>
      <c r="D838" s="80"/>
      <c r="E838" s="80">
        <v>68427709</v>
      </c>
      <c r="F838" s="94">
        <v>21600</v>
      </c>
      <c r="G838" s="80" t="s">
        <v>72</v>
      </c>
      <c r="H838" s="80" t="s">
        <v>73</v>
      </c>
      <c r="I838" s="80" t="s">
        <v>909</v>
      </c>
      <c r="J838" s="80">
        <v>2023</v>
      </c>
      <c r="K838" s="80" t="s">
        <v>75</v>
      </c>
      <c r="L838" s="80"/>
    </row>
    <row r="839" spans="1:12" x14ac:dyDescent="0.25">
      <c r="A839" s="83">
        <v>44729</v>
      </c>
      <c r="B839" s="80" t="s">
        <v>2009</v>
      </c>
      <c r="C839" s="80" t="s">
        <v>2010</v>
      </c>
      <c r="D839" s="80"/>
      <c r="E839" s="80">
        <v>68427709</v>
      </c>
      <c r="F839" s="94">
        <v>10800</v>
      </c>
      <c r="G839" s="80" t="s">
        <v>72</v>
      </c>
      <c r="H839" s="80" t="s">
        <v>73</v>
      </c>
      <c r="I839" s="80" t="s">
        <v>909</v>
      </c>
      <c r="J839" s="80">
        <v>2023</v>
      </c>
      <c r="K839" s="80" t="s">
        <v>75</v>
      </c>
      <c r="L839" s="80"/>
    </row>
    <row r="840" spans="1:12" x14ac:dyDescent="0.25">
      <c r="A840" s="83">
        <v>44729</v>
      </c>
      <c r="B840" s="80" t="s">
        <v>2011</v>
      </c>
      <c r="C840" s="80" t="s">
        <v>2012</v>
      </c>
      <c r="D840" s="80"/>
      <c r="E840" s="80">
        <v>68427709</v>
      </c>
      <c r="F840" s="94">
        <v>10800</v>
      </c>
      <c r="G840" s="80" t="s">
        <v>72</v>
      </c>
      <c r="H840" s="80" t="s">
        <v>73</v>
      </c>
      <c r="I840" s="80" t="s">
        <v>909</v>
      </c>
      <c r="J840" s="80">
        <v>2023</v>
      </c>
      <c r="K840" s="80" t="s">
        <v>75</v>
      </c>
      <c r="L840" s="80"/>
    </row>
    <row r="841" spans="1:12" x14ac:dyDescent="0.25">
      <c r="A841" s="83">
        <v>44729</v>
      </c>
      <c r="B841" s="80" t="s">
        <v>2013</v>
      </c>
      <c r="C841" s="80" t="s">
        <v>2014</v>
      </c>
      <c r="D841" s="80"/>
      <c r="E841" s="80">
        <v>68427709</v>
      </c>
      <c r="F841" s="94">
        <v>10800</v>
      </c>
      <c r="G841" s="80" t="s">
        <v>72</v>
      </c>
      <c r="H841" s="80" t="s">
        <v>73</v>
      </c>
      <c r="I841" s="80" t="s">
        <v>909</v>
      </c>
      <c r="J841" s="80">
        <v>2023</v>
      </c>
      <c r="K841" s="80" t="s">
        <v>75</v>
      </c>
      <c r="L841" s="80"/>
    </row>
    <row r="842" spans="1:12" x14ac:dyDescent="0.25">
      <c r="A842" s="83">
        <v>44729</v>
      </c>
      <c r="B842" s="80" t="s">
        <v>2015</v>
      </c>
      <c r="C842" s="80" t="s">
        <v>2016</v>
      </c>
      <c r="D842" s="80"/>
      <c r="E842" s="80">
        <v>68427709</v>
      </c>
      <c r="F842" s="94">
        <v>10800</v>
      </c>
      <c r="G842" s="80" t="s">
        <v>72</v>
      </c>
      <c r="H842" s="80" t="s">
        <v>73</v>
      </c>
      <c r="I842" s="80" t="s">
        <v>909</v>
      </c>
      <c r="J842" s="80">
        <v>2023</v>
      </c>
      <c r="K842" s="80" t="s">
        <v>75</v>
      </c>
      <c r="L842" s="80"/>
    </row>
    <row r="843" spans="1:12" x14ac:dyDescent="0.25">
      <c r="A843" s="83">
        <v>44729</v>
      </c>
      <c r="B843" s="80" t="s">
        <v>2017</v>
      </c>
      <c r="C843" s="80" t="s">
        <v>2018</v>
      </c>
      <c r="D843" s="80"/>
      <c r="E843" s="80">
        <v>68427709</v>
      </c>
      <c r="F843" s="94">
        <v>21600</v>
      </c>
      <c r="G843" s="80" t="s">
        <v>261</v>
      </c>
      <c r="H843" s="80" t="s">
        <v>73</v>
      </c>
      <c r="I843" s="80" t="s">
        <v>909</v>
      </c>
      <c r="J843" s="80">
        <v>2023</v>
      </c>
      <c r="K843" s="80" t="s">
        <v>75</v>
      </c>
      <c r="L843" s="80" t="s">
        <v>2019</v>
      </c>
    </row>
    <row r="844" spans="1:12" x14ac:dyDescent="0.25">
      <c r="A844" s="83">
        <v>44729</v>
      </c>
      <c r="B844" s="80" t="s">
        <v>2020</v>
      </c>
      <c r="C844" s="80" t="s">
        <v>2021</v>
      </c>
      <c r="D844" s="80"/>
      <c r="E844" s="80">
        <v>68427709</v>
      </c>
      <c r="F844" s="94">
        <v>10800</v>
      </c>
      <c r="G844" s="80" t="s">
        <v>72</v>
      </c>
      <c r="H844" s="80" t="s">
        <v>73</v>
      </c>
      <c r="I844" s="80" t="s">
        <v>909</v>
      </c>
      <c r="J844" s="80">
        <v>2023</v>
      </c>
      <c r="K844" s="80" t="s">
        <v>75</v>
      </c>
      <c r="L844" s="80"/>
    </row>
    <row r="845" spans="1:12" x14ac:dyDescent="0.25">
      <c r="A845" s="83">
        <v>44729</v>
      </c>
      <c r="B845" s="80" t="s">
        <v>2022</v>
      </c>
      <c r="C845" s="80" t="s">
        <v>2023</v>
      </c>
      <c r="D845" s="80"/>
      <c r="E845" s="80">
        <v>68427709</v>
      </c>
      <c r="F845" s="94">
        <v>10800</v>
      </c>
      <c r="G845" s="80" t="s">
        <v>72</v>
      </c>
      <c r="H845" s="80" t="s">
        <v>73</v>
      </c>
      <c r="I845" s="80" t="s">
        <v>909</v>
      </c>
      <c r="J845" s="80">
        <v>2023</v>
      </c>
      <c r="K845" s="80" t="s">
        <v>75</v>
      </c>
      <c r="L845" s="80"/>
    </row>
    <row r="846" spans="1:12" x14ac:dyDescent="0.25">
      <c r="A846" s="83">
        <v>44729</v>
      </c>
      <c r="B846" s="80" t="s">
        <v>2024</v>
      </c>
      <c r="C846" s="80" t="s">
        <v>2025</v>
      </c>
      <c r="D846" s="80"/>
      <c r="E846" s="80">
        <v>68427709</v>
      </c>
      <c r="F846" s="94">
        <v>21600</v>
      </c>
      <c r="G846" s="80" t="s">
        <v>72</v>
      </c>
      <c r="H846" s="80" t="s">
        <v>73</v>
      </c>
      <c r="I846" s="80" t="s">
        <v>909</v>
      </c>
      <c r="J846" s="80">
        <v>2023</v>
      </c>
      <c r="K846" s="80" t="s">
        <v>75</v>
      </c>
      <c r="L846" s="80"/>
    </row>
    <row r="847" spans="1:12" x14ac:dyDescent="0.25">
      <c r="A847" s="83">
        <v>44729</v>
      </c>
      <c r="B847" s="80" t="s">
        <v>2026</v>
      </c>
      <c r="C847" s="80" t="s">
        <v>2027</v>
      </c>
      <c r="D847" s="80"/>
      <c r="E847" s="80">
        <v>68427709</v>
      </c>
      <c r="F847" s="94">
        <v>21600</v>
      </c>
      <c r="G847" s="80" t="s">
        <v>72</v>
      </c>
      <c r="H847" s="80" t="s">
        <v>73</v>
      </c>
      <c r="I847" s="80" t="s">
        <v>909</v>
      </c>
      <c r="J847" s="80">
        <v>2023</v>
      </c>
      <c r="K847" s="80" t="s">
        <v>75</v>
      </c>
      <c r="L847" s="80"/>
    </row>
    <row r="848" spans="1:12" x14ac:dyDescent="0.25">
      <c r="A848" s="83">
        <v>44729</v>
      </c>
      <c r="B848" s="80" t="s">
        <v>2028</v>
      </c>
      <c r="C848" s="80" t="s">
        <v>2029</v>
      </c>
      <c r="D848" s="80"/>
      <c r="E848" s="80">
        <v>68427709</v>
      </c>
      <c r="F848" s="94">
        <v>10800</v>
      </c>
      <c r="G848" s="80" t="s">
        <v>72</v>
      </c>
      <c r="H848" s="80" t="s">
        <v>73</v>
      </c>
      <c r="I848" s="80" t="s">
        <v>909</v>
      </c>
      <c r="J848" s="80">
        <v>2023</v>
      </c>
      <c r="K848" s="80" t="s">
        <v>75</v>
      </c>
      <c r="L848" s="80"/>
    </row>
    <row r="849" spans="1:12" x14ac:dyDescent="0.25">
      <c r="A849" s="83">
        <v>44729</v>
      </c>
      <c r="B849" s="80" t="s">
        <v>2030</v>
      </c>
      <c r="C849" s="80" t="s">
        <v>2031</v>
      </c>
      <c r="D849" s="80"/>
      <c r="E849" s="80">
        <v>68427709</v>
      </c>
      <c r="F849" s="94">
        <v>32400</v>
      </c>
      <c r="G849" s="80" t="s">
        <v>72</v>
      </c>
      <c r="H849" s="80" t="s">
        <v>73</v>
      </c>
      <c r="I849" s="80" t="s">
        <v>909</v>
      </c>
      <c r="J849" s="80">
        <v>2023</v>
      </c>
      <c r="K849" s="80" t="s">
        <v>75</v>
      </c>
      <c r="L849" s="80"/>
    </row>
    <row r="850" spans="1:12" x14ac:dyDescent="0.25">
      <c r="A850" s="83">
        <v>44729</v>
      </c>
      <c r="B850" s="80" t="s">
        <v>2032</v>
      </c>
      <c r="C850" s="80" t="s">
        <v>2033</v>
      </c>
      <c r="D850" s="80"/>
      <c r="E850" s="80">
        <v>68427709</v>
      </c>
      <c r="F850" s="94">
        <v>21600</v>
      </c>
      <c r="G850" s="80" t="s">
        <v>72</v>
      </c>
      <c r="H850" s="80" t="s">
        <v>73</v>
      </c>
      <c r="I850" s="80" t="s">
        <v>909</v>
      </c>
      <c r="J850" s="80">
        <v>2023</v>
      </c>
      <c r="K850" s="80" t="s">
        <v>75</v>
      </c>
      <c r="L850" s="80"/>
    </row>
    <row r="851" spans="1:12" x14ac:dyDescent="0.25">
      <c r="A851" s="83">
        <v>44729</v>
      </c>
      <c r="B851" s="80" t="s">
        <v>2034</v>
      </c>
      <c r="C851" s="80" t="s">
        <v>2035</v>
      </c>
      <c r="D851" s="80"/>
      <c r="E851" s="80">
        <v>68427709</v>
      </c>
      <c r="F851" s="94">
        <v>43200</v>
      </c>
      <c r="G851" s="80" t="s">
        <v>72</v>
      </c>
      <c r="H851" s="80" t="s">
        <v>73</v>
      </c>
      <c r="I851" s="80" t="s">
        <v>909</v>
      </c>
      <c r="J851" s="80">
        <v>2023</v>
      </c>
      <c r="K851" s="80" t="s">
        <v>75</v>
      </c>
      <c r="L851" s="80"/>
    </row>
    <row r="852" spans="1:12" x14ac:dyDescent="0.25">
      <c r="A852" s="83">
        <v>44729</v>
      </c>
      <c r="B852" s="80" t="s">
        <v>2036</v>
      </c>
      <c r="C852" s="80" t="s">
        <v>2037</v>
      </c>
      <c r="D852" s="80"/>
      <c r="E852" s="80">
        <v>68427709</v>
      </c>
      <c r="F852" s="94">
        <v>10800</v>
      </c>
      <c r="G852" s="80" t="s">
        <v>72</v>
      </c>
      <c r="H852" s="80" t="s">
        <v>73</v>
      </c>
      <c r="I852" s="80" t="s">
        <v>909</v>
      </c>
      <c r="J852" s="80">
        <v>2023</v>
      </c>
      <c r="K852" s="80" t="s">
        <v>75</v>
      </c>
      <c r="L852" s="80"/>
    </row>
    <row r="853" spans="1:12" x14ac:dyDescent="0.25">
      <c r="A853" s="83">
        <v>44729</v>
      </c>
      <c r="B853" s="80" t="s">
        <v>2038</v>
      </c>
      <c r="C853" s="80" t="s">
        <v>2039</v>
      </c>
      <c r="D853" s="80"/>
      <c r="E853" s="80">
        <v>68427709</v>
      </c>
      <c r="F853" s="94">
        <v>10800</v>
      </c>
      <c r="G853" s="80" t="s">
        <v>72</v>
      </c>
      <c r="H853" s="80" t="s">
        <v>73</v>
      </c>
      <c r="I853" s="80" t="s">
        <v>909</v>
      </c>
      <c r="J853" s="80">
        <v>2023</v>
      </c>
      <c r="K853" s="80" t="s">
        <v>75</v>
      </c>
      <c r="L853" s="80"/>
    </row>
    <row r="854" spans="1:12" x14ac:dyDescent="0.25">
      <c r="A854" s="83">
        <v>44729</v>
      </c>
      <c r="B854" s="80" t="s">
        <v>2040</v>
      </c>
      <c r="C854" s="80" t="s">
        <v>2041</v>
      </c>
      <c r="D854" s="80"/>
      <c r="E854" s="80">
        <v>68427709</v>
      </c>
      <c r="F854" s="94">
        <v>43200</v>
      </c>
      <c r="G854" s="80" t="s">
        <v>72</v>
      </c>
      <c r="H854" s="80" t="s">
        <v>73</v>
      </c>
      <c r="I854" s="80" t="s">
        <v>909</v>
      </c>
      <c r="J854" s="80">
        <v>2023</v>
      </c>
      <c r="K854" s="80" t="s">
        <v>75</v>
      </c>
      <c r="L854" s="80"/>
    </row>
    <row r="855" spans="1:12" x14ac:dyDescent="0.25">
      <c r="A855" s="83">
        <v>44729</v>
      </c>
      <c r="B855" s="80" t="s">
        <v>2042</v>
      </c>
      <c r="C855" s="80" t="s">
        <v>2043</v>
      </c>
      <c r="D855" s="80"/>
      <c r="E855" s="80">
        <v>68427709</v>
      </c>
      <c r="F855" s="94">
        <v>108000</v>
      </c>
      <c r="G855" s="80" t="s">
        <v>72</v>
      </c>
      <c r="H855" s="80" t="s">
        <v>73</v>
      </c>
      <c r="I855" s="80" t="s">
        <v>909</v>
      </c>
      <c r="J855" s="80">
        <v>2023</v>
      </c>
      <c r="K855" s="80" t="s">
        <v>75</v>
      </c>
      <c r="L855" s="80"/>
    </row>
    <row r="856" spans="1:12" x14ac:dyDescent="0.25">
      <c r="A856" s="83">
        <v>44729</v>
      </c>
      <c r="B856" s="80" t="s">
        <v>2044</v>
      </c>
      <c r="C856" s="80" t="s">
        <v>2045</v>
      </c>
      <c r="D856" s="80"/>
      <c r="E856" s="80">
        <v>68427709</v>
      </c>
      <c r="F856" s="94">
        <v>43200</v>
      </c>
      <c r="G856" s="80" t="s">
        <v>72</v>
      </c>
      <c r="H856" s="80" t="s">
        <v>73</v>
      </c>
      <c r="I856" s="80" t="s">
        <v>909</v>
      </c>
      <c r="J856" s="80">
        <v>2023</v>
      </c>
      <c r="K856" s="80" t="s">
        <v>75</v>
      </c>
      <c r="L856" s="80"/>
    </row>
    <row r="857" spans="1:12" x14ac:dyDescent="0.25">
      <c r="A857" s="83">
        <v>44729</v>
      </c>
      <c r="B857" s="80" t="s">
        <v>2046</v>
      </c>
      <c r="C857" s="80" t="s">
        <v>2047</v>
      </c>
      <c r="D857" s="80"/>
      <c r="E857" s="80">
        <v>68427709</v>
      </c>
      <c r="F857" s="94">
        <v>10800</v>
      </c>
      <c r="G857" s="80" t="s">
        <v>72</v>
      </c>
      <c r="H857" s="80" t="s">
        <v>73</v>
      </c>
      <c r="I857" s="80" t="s">
        <v>909</v>
      </c>
      <c r="J857" s="80">
        <v>2023</v>
      </c>
      <c r="K857" s="80" t="s">
        <v>75</v>
      </c>
      <c r="L857" s="80"/>
    </row>
    <row r="858" spans="1:12" x14ac:dyDescent="0.25">
      <c r="A858" s="83">
        <v>44729</v>
      </c>
      <c r="B858" s="80" t="s">
        <v>2048</v>
      </c>
      <c r="C858" s="80" t="s">
        <v>2049</v>
      </c>
      <c r="D858" s="80"/>
      <c r="E858" s="80">
        <v>68427709</v>
      </c>
      <c r="F858" s="94">
        <v>10800</v>
      </c>
      <c r="G858" s="80" t="s">
        <v>72</v>
      </c>
      <c r="H858" s="80" t="s">
        <v>73</v>
      </c>
      <c r="I858" s="80" t="s">
        <v>909</v>
      </c>
      <c r="J858" s="80">
        <v>2023</v>
      </c>
      <c r="K858" s="80" t="s">
        <v>75</v>
      </c>
      <c r="L858" s="80"/>
    </row>
    <row r="859" spans="1:12" x14ac:dyDescent="0.25">
      <c r="A859" s="83">
        <v>44729</v>
      </c>
      <c r="B859" s="80" t="s">
        <v>2050</v>
      </c>
      <c r="C859" s="80" t="s">
        <v>2051</v>
      </c>
      <c r="D859" s="80"/>
      <c r="E859" s="80">
        <v>68427709</v>
      </c>
      <c r="F859" s="94">
        <v>32400</v>
      </c>
      <c r="G859" s="80" t="s">
        <v>72</v>
      </c>
      <c r="H859" s="80" t="s">
        <v>73</v>
      </c>
      <c r="I859" s="80" t="s">
        <v>909</v>
      </c>
      <c r="J859" s="80">
        <v>2023</v>
      </c>
      <c r="K859" s="80" t="s">
        <v>75</v>
      </c>
      <c r="L859" s="80"/>
    </row>
    <row r="860" spans="1:12" x14ac:dyDescent="0.25">
      <c r="A860" s="83">
        <v>44729</v>
      </c>
      <c r="B860" s="80" t="s">
        <v>2052</v>
      </c>
      <c r="C860" s="80" t="s">
        <v>2053</v>
      </c>
      <c r="D860" s="80"/>
      <c r="E860" s="80">
        <v>68427709</v>
      </c>
      <c r="F860" s="94">
        <v>32400</v>
      </c>
      <c r="G860" s="80" t="s">
        <v>72</v>
      </c>
      <c r="H860" s="80" t="s">
        <v>73</v>
      </c>
      <c r="I860" s="80" t="s">
        <v>909</v>
      </c>
      <c r="J860" s="80">
        <v>2023</v>
      </c>
      <c r="K860" s="80" t="s">
        <v>75</v>
      </c>
      <c r="L860" s="80"/>
    </row>
    <row r="861" spans="1:12" x14ac:dyDescent="0.25">
      <c r="A861" s="83">
        <v>44729</v>
      </c>
      <c r="B861" s="80" t="s">
        <v>2054</v>
      </c>
      <c r="C861" s="80" t="s">
        <v>2055</v>
      </c>
      <c r="D861" s="80"/>
      <c r="E861" s="80">
        <v>68427709</v>
      </c>
      <c r="F861" s="94">
        <v>10800</v>
      </c>
      <c r="G861" s="80" t="s">
        <v>72</v>
      </c>
      <c r="H861" s="80" t="s">
        <v>73</v>
      </c>
      <c r="I861" s="80" t="s">
        <v>909</v>
      </c>
      <c r="J861" s="80">
        <v>2023</v>
      </c>
      <c r="K861" s="80" t="s">
        <v>75</v>
      </c>
      <c r="L861" s="80"/>
    </row>
    <row r="862" spans="1:12" x14ac:dyDescent="0.25">
      <c r="A862" s="83">
        <v>44729</v>
      </c>
      <c r="B862" s="80" t="s">
        <v>2056</v>
      </c>
      <c r="C862" s="80" t="s">
        <v>2057</v>
      </c>
      <c r="D862" s="80"/>
      <c r="E862" s="80">
        <v>68427709</v>
      </c>
      <c r="F862" s="94">
        <v>10800</v>
      </c>
      <c r="G862" s="80" t="s">
        <v>72</v>
      </c>
      <c r="H862" s="80" t="s">
        <v>73</v>
      </c>
      <c r="I862" s="80" t="s">
        <v>909</v>
      </c>
      <c r="J862" s="80">
        <v>2023</v>
      </c>
      <c r="K862" s="80" t="s">
        <v>75</v>
      </c>
      <c r="L862" s="80"/>
    </row>
    <row r="863" spans="1:12" x14ac:dyDescent="0.25">
      <c r="A863" s="83">
        <v>44729</v>
      </c>
      <c r="B863" s="80" t="s">
        <v>2058</v>
      </c>
      <c r="C863" s="80" t="s">
        <v>2059</v>
      </c>
      <c r="D863" s="80"/>
      <c r="E863" s="80">
        <v>68427709</v>
      </c>
      <c r="F863" s="94">
        <v>21600</v>
      </c>
      <c r="G863" s="80" t="s">
        <v>72</v>
      </c>
      <c r="H863" s="80" t="s">
        <v>73</v>
      </c>
      <c r="I863" s="80" t="s">
        <v>909</v>
      </c>
      <c r="J863" s="80">
        <v>2023</v>
      </c>
      <c r="K863" s="80" t="s">
        <v>75</v>
      </c>
      <c r="L863" s="80"/>
    </row>
    <row r="864" spans="1:12" x14ac:dyDescent="0.25">
      <c r="A864" s="83">
        <v>44729</v>
      </c>
      <c r="B864" s="80" t="s">
        <v>2060</v>
      </c>
      <c r="C864" s="80" t="s">
        <v>2061</v>
      </c>
      <c r="D864" s="80"/>
      <c r="E864" s="80">
        <v>68427709</v>
      </c>
      <c r="F864" s="94">
        <v>10800</v>
      </c>
      <c r="G864" s="80" t="s">
        <v>72</v>
      </c>
      <c r="H864" s="80" t="s">
        <v>73</v>
      </c>
      <c r="I864" s="80" t="s">
        <v>909</v>
      </c>
      <c r="J864" s="80">
        <v>2023</v>
      </c>
      <c r="K864" s="80" t="s">
        <v>75</v>
      </c>
      <c r="L864" s="80"/>
    </row>
    <row r="865" spans="1:27" x14ac:dyDescent="0.25">
      <c r="A865" s="83">
        <v>44729</v>
      </c>
      <c r="B865" s="80" t="s">
        <v>2062</v>
      </c>
      <c r="C865" s="80" t="s">
        <v>2063</v>
      </c>
      <c r="D865" s="80"/>
      <c r="E865" s="80">
        <v>68427709</v>
      </c>
      <c r="F865" s="94">
        <v>10800</v>
      </c>
      <c r="G865" s="80" t="s">
        <v>72</v>
      </c>
      <c r="H865" s="80" t="s">
        <v>73</v>
      </c>
      <c r="I865" s="80" t="s">
        <v>909</v>
      </c>
      <c r="J865" s="80">
        <v>2023</v>
      </c>
      <c r="K865" s="80" t="s">
        <v>75</v>
      </c>
      <c r="L865" s="80"/>
    </row>
    <row r="866" spans="1:27" x14ac:dyDescent="0.25">
      <c r="A866" s="83">
        <v>44748</v>
      </c>
      <c r="B866" s="80" t="s">
        <v>1260</v>
      </c>
      <c r="C866" s="80"/>
      <c r="D866" s="80"/>
      <c r="E866" s="80">
        <v>68427709</v>
      </c>
      <c r="F866" s="94">
        <v>0</v>
      </c>
      <c r="G866" s="80" t="s">
        <v>261</v>
      </c>
      <c r="H866" s="80" t="s">
        <v>73</v>
      </c>
      <c r="I866" s="80" t="s">
        <v>1662</v>
      </c>
      <c r="J866" s="80">
        <v>2023</v>
      </c>
      <c r="K866" s="80" t="s">
        <v>501</v>
      </c>
      <c r="L866" s="80"/>
    </row>
    <row r="867" spans="1:27" x14ac:dyDescent="0.25">
      <c r="A867" s="83">
        <v>44748</v>
      </c>
      <c r="B867" s="80" t="s">
        <v>1253</v>
      </c>
      <c r="C867" s="83" t="s">
        <v>2064</v>
      </c>
      <c r="D867" s="80"/>
      <c r="E867" s="80">
        <v>68427709</v>
      </c>
      <c r="F867" s="94">
        <v>80000</v>
      </c>
      <c r="G867" s="80" t="s">
        <v>72</v>
      </c>
      <c r="H867" s="80" t="s">
        <v>73</v>
      </c>
      <c r="I867" s="80" t="s">
        <v>1662</v>
      </c>
      <c r="J867" s="80">
        <v>2023</v>
      </c>
      <c r="K867" s="80" t="s">
        <v>501</v>
      </c>
      <c r="L867" s="80"/>
    </row>
    <row r="868" spans="1:27" x14ac:dyDescent="0.25">
      <c r="A868" s="83">
        <v>44748</v>
      </c>
      <c r="B868" s="80" t="s">
        <v>2065</v>
      </c>
      <c r="C868" s="80" t="s">
        <v>2066</v>
      </c>
      <c r="D868" s="80"/>
      <c r="E868" s="80">
        <v>68427709</v>
      </c>
      <c r="F868" s="94">
        <v>-61000</v>
      </c>
      <c r="G868" s="80" t="s">
        <v>72</v>
      </c>
      <c r="H868" s="80" t="s">
        <v>73</v>
      </c>
      <c r="I868" s="80" t="s">
        <v>1662</v>
      </c>
      <c r="J868" s="80">
        <v>2023</v>
      </c>
      <c r="K868" s="80" t="s">
        <v>501</v>
      </c>
      <c r="L868" s="80"/>
    </row>
    <row r="869" spans="1:27" x14ac:dyDescent="0.25">
      <c r="A869" s="83">
        <v>44748</v>
      </c>
      <c r="B869" s="80" t="s">
        <v>2067</v>
      </c>
      <c r="C869" s="80"/>
      <c r="D869" s="80"/>
      <c r="E869" s="80">
        <v>68427709</v>
      </c>
      <c r="F869" s="94">
        <v>154000</v>
      </c>
      <c r="G869" s="80" t="s">
        <v>72</v>
      </c>
      <c r="H869" s="80" t="s">
        <v>73</v>
      </c>
      <c r="I869" s="80" t="s">
        <v>92</v>
      </c>
      <c r="J869" s="80">
        <v>2023</v>
      </c>
      <c r="K869" s="80" t="s">
        <v>501</v>
      </c>
      <c r="L869" s="80"/>
    </row>
    <row r="870" spans="1:27" x14ac:dyDescent="0.25">
      <c r="A870" s="83">
        <v>44748</v>
      </c>
      <c r="B870" s="80" t="s">
        <v>2068</v>
      </c>
      <c r="C870" s="80" t="s">
        <v>2069</v>
      </c>
      <c r="D870" s="80"/>
      <c r="E870" s="80">
        <v>68427719</v>
      </c>
      <c r="F870" s="94">
        <v>-35000</v>
      </c>
      <c r="G870" s="80" t="s">
        <v>72</v>
      </c>
      <c r="H870" s="80" t="s">
        <v>73</v>
      </c>
      <c r="I870" s="80" t="s">
        <v>92</v>
      </c>
      <c r="J870" s="80">
        <v>2023</v>
      </c>
      <c r="K870" s="80" t="s">
        <v>501</v>
      </c>
      <c r="L870" s="80"/>
    </row>
    <row r="871" spans="1:27" x14ac:dyDescent="0.25">
      <c r="A871" s="83">
        <v>44748</v>
      </c>
      <c r="B871" s="80" t="s">
        <v>2070</v>
      </c>
      <c r="C871" s="80" t="s">
        <v>1319</v>
      </c>
      <c r="D871" s="80"/>
      <c r="E871" s="80">
        <v>68427709</v>
      </c>
      <c r="F871" s="94">
        <v>-36000</v>
      </c>
      <c r="G871" s="80" t="s">
        <v>72</v>
      </c>
      <c r="H871" s="80" t="s">
        <v>73</v>
      </c>
      <c r="I871" s="80" t="s">
        <v>1956</v>
      </c>
      <c r="J871" s="80">
        <v>2023</v>
      </c>
      <c r="K871" s="80" t="s">
        <v>501</v>
      </c>
      <c r="L871" s="80"/>
    </row>
    <row r="872" spans="1:27" x14ac:dyDescent="0.25">
      <c r="A872" s="83">
        <v>44748</v>
      </c>
      <c r="B872" s="80" t="s">
        <v>1512</v>
      </c>
      <c r="C872" s="80" t="s">
        <v>2071</v>
      </c>
      <c r="D872" s="80"/>
      <c r="E872" s="80">
        <v>68427709</v>
      </c>
      <c r="F872" s="94">
        <v>20000</v>
      </c>
      <c r="G872" s="80" t="s">
        <v>72</v>
      </c>
      <c r="H872" s="80" t="s">
        <v>73</v>
      </c>
      <c r="I872" s="80" t="s">
        <v>1956</v>
      </c>
      <c r="J872" s="80">
        <v>2023</v>
      </c>
      <c r="K872" s="80" t="s">
        <v>1550</v>
      </c>
      <c r="L872" s="80"/>
    </row>
    <row r="873" spans="1:27" x14ac:dyDescent="0.25">
      <c r="A873" s="83">
        <v>44748</v>
      </c>
      <c r="B873" s="80" t="s">
        <v>927</v>
      </c>
      <c r="C873" s="80" t="s">
        <v>2072</v>
      </c>
      <c r="D873" s="80"/>
      <c r="E873" s="80">
        <v>68427709</v>
      </c>
      <c r="F873" s="94">
        <v>85000</v>
      </c>
      <c r="G873" s="80" t="s">
        <v>72</v>
      </c>
      <c r="H873" s="80" t="s">
        <v>73</v>
      </c>
      <c r="I873" s="80" t="s">
        <v>1956</v>
      </c>
      <c r="J873" s="80">
        <v>2023</v>
      </c>
      <c r="K873" s="80" t="s">
        <v>1550</v>
      </c>
      <c r="L873" s="80"/>
    </row>
    <row r="874" spans="1:27" x14ac:dyDescent="0.25">
      <c r="A874" s="83">
        <v>44748</v>
      </c>
      <c r="B874" s="80" t="s">
        <v>714</v>
      </c>
      <c r="C874" s="80" t="s">
        <v>2073</v>
      </c>
      <c r="D874" s="80"/>
      <c r="E874" s="80">
        <v>68427709</v>
      </c>
      <c r="F874" s="94">
        <v>-80000</v>
      </c>
      <c r="G874" s="80" t="s">
        <v>261</v>
      </c>
      <c r="H874" s="80" t="s">
        <v>73</v>
      </c>
      <c r="I874" s="80" t="s">
        <v>1956</v>
      </c>
      <c r="J874" s="80">
        <v>2023</v>
      </c>
      <c r="K874" s="80" t="s">
        <v>1550</v>
      </c>
      <c r="L874" s="80" t="s">
        <v>2074</v>
      </c>
      <c r="O874" t="s">
        <v>2046</v>
      </c>
      <c r="P874" t="s">
        <v>2075</v>
      </c>
      <c r="Q874" t="s">
        <v>2076</v>
      </c>
      <c r="R874" t="s">
        <v>2077</v>
      </c>
      <c r="S874" t="s">
        <v>2078</v>
      </c>
      <c r="T874" t="s">
        <v>811</v>
      </c>
      <c r="U874" t="s">
        <v>2079</v>
      </c>
      <c r="V874" t="s">
        <v>2080</v>
      </c>
      <c r="W874" t="s">
        <v>2081</v>
      </c>
      <c r="X874">
        <v>1</v>
      </c>
      <c r="Y874">
        <v>1</v>
      </c>
      <c r="Z874">
        <v>10798.173351082569</v>
      </c>
      <c r="AA874">
        <v>10798.173351082569</v>
      </c>
    </row>
    <row r="875" spans="1:27" x14ac:dyDescent="0.25">
      <c r="A875" s="83">
        <v>44748</v>
      </c>
      <c r="B875" s="80" t="s">
        <v>452</v>
      </c>
      <c r="C875" s="80" t="s">
        <v>2082</v>
      </c>
      <c r="D875" s="80"/>
      <c r="E875" s="80">
        <v>68427709</v>
      </c>
      <c r="F875" s="94">
        <v>20000</v>
      </c>
      <c r="G875" s="80" t="s">
        <v>72</v>
      </c>
      <c r="H875" s="80" t="s">
        <v>73</v>
      </c>
      <c r="I875" s="80" t="s">
        <v>1956</v>
      </c>
      <c r="J875" s="80">
        <v>2023</v>
      </c>
      <c r="K875" s="80" t="s">
        <v>1550</v>
      </c>
      <c r="L875" s="80"/>
    </row>
    <row r="876" spans="1:27" x14ac:dyDescent="0.25">
      <c r="A876" s="83">
        <v>44748</v>
      </c>
      <c r="B876" s="80" t="s">
        <v>2083</v>
      </c>
      <c r="C876" s="80" t="s">
        <v>2084</v>
      </c>
      <c r="D876" s="80"/>
      <c r="E876" s="80">
        <v>68427709</v>
      </c>
      <c r="F876" s="94">
        <v>73000</v>
      </c>
      <c r="G876" s="80" t="s">
        <v>72</v>
      </c>
      <c r="H876" s="80" t="s">
        <v>73</v>
      </c>
      <c r="I876" s="80" t="s">
        <v>92</v>
      </c>
      <c r="J876" s="80">
        <v>2023</v>
      </c>
      <c r="K876" s="80" t="s">
        <v>1550</v>
      </c>
      <c r="L876" s="80"/>
    </row>
    <row r="877" spans="1:27" x14ac:dyDescent="0.25">
      <c r="A877" s="83">
        <v>44748</v>
      </c>
      <c r="B877" s="80" t="s">
        <v>2085</v>
      </c>
      <c r="C877" s="80" t="s">
        <v>2086</v>
      </c>
      <c r="D877" s="80" t="s">
        <v>311</v>
      </c>
      <c r="E877" s="80">
        <v>68427709</v>
      </c>
      <c r="F877" s="94">
        <v>50000</v>
      </c>
      <c r="G877" s="80" t="s">
        <v>72</v>
      </c>
      <c r="H877" s="80" t="s">
        <v>73</v>
      </c>
      <c r="I877" s="80" t="s">
        <v>92</v>
      </c>
      <c r="J877" s="80">
        <v>2023</v>
      </c>
      <c r="K877" s="80" t="s">
        <v>1550</v>
      </c>
      <c r="L877" s="80"/>
    </row>
    <row r="878" spans="1:27" x14ac:dyDescent="0.25">
      <c r="A878" s="83">
        <v>44748</v>
      </c>
      <c r="B878" s="80" t="s">
        <v>852</v>
      </c>
      <c r="C878" s="80" t="s">
        <v>2087</v>
      </c>
      <c r="D878" s="80" t="s">
        <v>311</v>
      </c>
      <c r="E878" s="80">
        <v>68427709</v>
      </c>
      <c r="F878" s="94">
        <v>130000</v>
      </c>
      <c r="G878" s="80" t="s">
        <v>72</v>
      </c>
      <c r="H878" s="80" t="s">
        <v>73</v>
      </c>
      <c r="I878" s="80" t="s">
        <v>92</v>
      </c>
      <c r="J878" s="80">
        <v>2023</v>
      </c>
      <c r="K878" s="80" t="s">
        <v>1550</v>
      </c>
      <c r="L878" s="80"/>
    </row>
    <row r="879" spans="1:27" x14ac:dyDescent="0.25">
      <c r="A879" s="83">
        <v>44748</v>
      </c>
      <c r="B879" s="80" t="s">
        <v>460</v>
      </c>
      <c r="C879" s="80" t="s">
        <v>2088</v>
      </c>
      <c r="D879" s="80"/>
      <c r="E879" s="80">
        <v>68427709</v>
      </c>
      <c r="F879" s="94">
        <v>45000</v>
      </c>
      <c r="G879" s="80" t="s">
        <v>72</v>
      </c>
      <c r="H879" s="80" t="s">
        <v>73</v>
      </c>
      <c r="I879" s="80" t="s">
        <v>92</v>
      </c>
      <c r="J879" s="80">
        <v>2023</v>
      </c>
      <c r="K879" s="80" t="s">
        <v>1550</v>
      </c>
      <c r="L879" s="80"/>
    </row>
    <row r="880" spans="1:27" x14ac:dyDescent="0.25">
      <c r="A880" s="83">
        <v>44748</v>
      </c>
      <c r="B880" s="80" t="s">
        <v>2089</v>
      </c>
      <c r="C880" s="80" t="s">
        <v>2090</v>
      </c>
      <c r="D880" s="80"/>
      <c r="E880" s="80">
        <v>68427709</v>
      </c>
      <c r="F880" s="94">
        <v>141000</v>
      </c>
      <c r="G880" s="80" t="s">
        <v>72</v>
      </c>
      <c r="H880" s="80" t="s">
        <v>73</v>
      </c>
      <c r="I880" s="80" t="s">
        <v>92</v>
      </c>
      <c r="J880" s="80">
        <v>2023</v>
      </c>
      <c r="K880" s="80" t="s">
        <v>1550</v>
      </c>
      <c r="L880" s="80"/>
    </row>
    <row r="881" spans="1:27" x14ac:dyDescent="0.25">
      <c r="A881" s="83">
        <v>44748</v>
      </c>
      <c r="B881" s="80" t="s">
        <v>2091</v>
      </c>
      <c r="C881" s="80" t="s">
        <v>2092</v>
      </c>
      <c r="D881" s="80"/>
      <c r="E881" s="80">
        <v>68427709</v>
      </c>
      <c r="F881" s="94">
        <v>74000</v>
      </c>
      <c r="G881" s="80" t="s">
        <v>72</v>
      </c>
      <c r="H881" s="80" t="s">
        <v>73</v>
      </c>
      <c r="I881" s="80" t="s">
        <v>92</v>
      </c>
      <c r="J881" s="80">
        <v>2023</v>
      </c>
      <c r="K881" s="80" t="s">
        <v>1550</v>
      </c>
      <c r="L881" s="80"/>
    </row>
    <row r="882" spans="1:27" x14ac:dyDescent="0.25">
      <c r="A882" s="83">
        <v>44748</v>
      </c>
      <c r="B882" s="80" t="s">
        <v>1729</v>
      </c>
      <c r="C882" s="80" t="s">
        <v>2093</v>
      </c>
      <c r="D882" s="80"/>
      <c r="E882" s="80">
        <v>68427709</v>
      </c>
      <c r="F882" s="94">
        <v>250000</v>
      </c>
      <c r="G882" s="80" t="s">
        <v>72</v>
      </c>
      <c r="H882" s="80" t="s">
        <v>73</v>
      </c>
      <c r="I882" s="80" t="s">
        <v>92</v>
      </c>
      <c r="J882" s="80">
        <v>2023</v>
      </c>
      <c r="K882" s="80" t="s">
        <v>1550</v>
      </c>
      <c r="L882" s="80" t="s">
        <v>2094</v>
      </c>
    </row>
    <row r="883" spans="1:27" x14ac:dyDescent="0.25">
      <c r="A883" s="83">
        <v>44748</v>
      </c>
      <c r="B883" s="80" t="s">
        <v>2095</v>
      </c>
      <c r="C883" s="80" t="s">
        <v>2096</v>
      </c>
      <c r="D883" s="80"/>
      <c r="E883" s="80">
        <v>68427709</v>
      </c>
      <c r="F883" s="94">
        <v>85000</v>
      </c>
      <c r="G883" s="80" t="s">
        <v>72</v>
      </c>
      <c r="H883" s="80" t="s">
        <v>73</v>
      </c>
      <c r="I883" s="80" t="s">
        <v>92</v>
      </c>
      <c r="J883" s="80">
        <v>2023</v>
      </c>
      <c r="K883" s="80" t="s">
        <v>1550</v>
      </c>
      <c r="L883" s="80"/>
    </row>
    <row r="884" spans="1:27" x14ac:dyDescent="0.25">
      <c r="A884" s="83">
        <v>44748</v>
      </c>
      <c r="B884" s="80" t="s">
        <v>2097</v>
      </c>
      <c r="C884" s="80" t="s">
        <v>2098</v>
      </c>
      <c r="D884" s="80"/>
      <c r="E884" s="80">
        <v>68427709</v>
      </c>
      <c r="F884" s="94">
        <v>-42000</v>
      </c>
      <c r="G884" s="80" t="s">
        <v>72</v>
      </c>
      <c r="H884" s="80" t="s">
        <v>73</v>
      </c>
      <c r="I884" s="80" t="s">
        <v>92</v>
      </c>
      <c r="J884" s="80">
        <v>2023</v>
      </c>
      <c r="K884" s="80" t="s">
        <v>1550</v>
      </c>
      <c r="L884" s="80"/>
    </row>
    <row r="885" spans="1:27" x14ac:dyDescent="0.25">
      <c r="A885" s="83">
        <v>44748</v>
      </c>
      <c r="B885" s="80" t="s">
        <v>90</v>
      </c>
      <c r="C885" s="80" t="s">
        <v>2099</v>
      </c>
      <c r="D885" s="80"/>
      <c r="E885" s="80">
        <v>68427709</v>
      </c>
      <c r="F885" s="94">
        <v>0</v>
      </c>
      <c r="G885" s="80" t="s">
        <v>72</v>
      </c>
      <c r="H885" s="80" t="s">
        <v>73</v>
      </c>
      <c r="I885" s="80" t="s">
        <v>92</v>
      </c>
      <c r="J885" s="80">
        <v>2023</v>
      </c>
      <c r="K885" s="80" t="s">
        <v>186</v>
      </c>
      <c r="L885" s="80"/>
    </row>
    <row r="886" spans="1:27" x14ac:dyDescent="0.25">
      <c r="A886" s="83">
        <v>44748</v>
      </c>
      <c r="B886" s="80"/>
      <c r="C886" s="80"/>
      <c r="D886" s="80"/>
      <c r="E886" s="80"/>
      <c r="F886" s="94"/>
      <c r="G886" s="80"/>
      <c r="H886" s="80"/>
      <c r="I886" s="80"/>
      <c r="J886" s="80"/>
      <c r="K886" s="80"/>
      <c r="L886" s="80"/>
      <c r="O886" t="s">
        <v>2060</v>
      </c>
      <c r="P886" t="s">
        <v>2100</v>
      </c>
      <c r="Q886" t="s">
        <v>2076</v>
      </c>
      <c r="R886" t="s">
        <v>2077</v>
      </c>
      <c r="S886" t="s">
        <v>2078</v>
      </c>
      <c r="T886" t="s">
        <v>2101</v>
      </c>
      <c r="U886" t="s">
        <v>2102</v>
      </c>
      <c r="V886" t="s">
        <v>2080</v>
      </c>
      <c r="W886" t="s">
        <v>2081</v>
      </c>
      <c r="X886">
        <v>1</v>
      </c>
      <c r="Y886">
        <v>1</v>
      </c>
      <c r="Z886">
        <v>10798.173351082569</v>
      </c>
      <c r="AA886">
        <v>10798.173351082569</v>
      </c>
    </row>
    <row r="887" spans="1:27" x14ac:dyDescent="0.25">
      <c r="A887" s="83">
        <v>44755</v>
      </c>
      <c r="B887" s="80" t="s">
        <v>2103</v>
      </c>
      <c r="C887" s="80" t="s">
        <v>2104</v>
      </c>
      <c r="D887" s="80"/>
      <c r="E887" s="80">
        <v>68427709</v>
      </c>
      <c r="F887" s="94">
        <v>0</v>
      </c>
      <c r="G887" s="80" t="s">
        <v>72</v>
      </c>
      <c r="H887" s="80" t="s">
        <v>73</v>
      </c>
      <c r="I887" s="80" t="s">
        <v>163</v>
      </c>
      <c r="J887" s="80">
        <v>2023</v>
      </c>
      <c r="K887" s="80" t="s">
        <v>75</v>
      </c>
      <c r="L887" s="80" t="s">
        <v>2105</v>
      </c>
    </row>
    <row r="888" spans="1:27" x14ac:dyDescent="0.25">
      <c r="A888" s="83">
        <v>44755</v>
      </c>
      <c r="B888" s="80" t="s">
        <v>2106</v>
      </c>
      <c r="C888" s="80" t="s">
        <v>2107</v>
      </c>
      <c r="D888" s="80"/>
      <c r="E888" s="80">
        <v>68427709</v>
      </c>
      <c r="F888" s="94">
        <v>50000</v>
      </c>
      <c r="G888" s="80" t="s">
        <v>72</v>
      </c>
      <c r="H888" s="80" t="s">
        <v>73</v>
      </c>
      <c r="I888" s="80" t="s">
        <v>163</v>
      </c>
      <c r="J888" s="80">
        <v>2023</v>
      </c>
      <c r="K888" s="80" t="s">
        <v>2108</v>
      </c>
      <c r="L888" s="80"/>
    </row>
    <row r="889" spans="1:27" x14ac:dyDescent="0.25">
      <c r="A889" s="83">
        <v>44755</v>
      </c>
      <c r="B889" s="80" t="s">
        <v>2109</v>
      </c>
      <c r="C889" s="80" t="s">
        <v>2110</v>
      </c>
      <c r="D889" s="80"/>
      <c r="E889" s="80">
        <v>68427709</v>
      </c>
      <c r="F889" s="94">
        <v>-10200</v>
      </c>
      <c r="G889" s="80" t="s">
        <v>72</v>
      </c>
      <c r="H889" s="80" t="s">
        <v>73</v>
      </c>
      <c r="I889" s="80" t="s">
        <v>163</v>
      </c>
      <c r="J889" s="80">
        <v>2023</v>
      </c>
      <c r="K889" s="80" t="s">
        <v>865</v>
      </c>
      <c r="L889" s="80"/>
    </row>
    <row r="890" spans="1:27" x14ac:dyDescent="0.25">
      <c r="A890" s="83">
        <v>44755</v>
      </c>
      <c r="B890" s="80" t="s">
        <v>2111</v>
      </c>
      <c r="C890" s="80" t="s">
        <v>2112</v>
      </c>
      <c r="D890" s="80"/>
      <c r="E890" s="80">
        <v>68427709</v>
      </c>
      <c r="F890" s="94">
        <v>-30000</v>
      </c>
      <c r="G890" s="80" t="s">
        <v>72</v>
      </c>
      <c r="H890" s="80" t="s">
        <v>73</v>
      </c>
      <c r="I890" s="80" t="s">
        <v>163</v>
      </c>
      <c r="J890" s="80">
        <v>2023</v>
      </c>
      <c r="K890" s="80" t="s">
        <v>865</v>
      </c>
      <c r="L890" s="80"/>
    </row>
    <row r="891" spans="1:27" x14ac:dyDescent="0.25">
      <c r="A891" s="83">
        <v>44760</v>
      </c>
      <c r="B891" s="80" t="s">
        <v>70</v>
      </c>
      <c r="C891" s="80" t="s">
        <v>2113</v>
      </c>
      <c r="D891" s="80"/>
      <c r="E891" s="80">
        <v>68427709</v>
      </c>
      <c r="F891" s="94">
        <v>26000</v>
      </c>
      <c r="G891" s="80" t="s">
        <v>72</v>
      </c>
      <c r="H891" s="80" t="s">
        <v>73</v>
      </c>
      <c r="I891" s="80" t="s">
        <v>163</v>
      </c>
      <c r="J891" s="80">
        <v>2023</v>
      </c>
      <c r="K891" s="80" t="s">
        <v>2114</v>
      </c>
      <c r="L891" s="80"/>
    </row>
    <row r="892" spans="1:27" x14ac:dyDescent="0.25">
      <c r="A892" s="83">
        <v>44760</v>
      </c>
      <c r="B892" s="80" t="s">
        <v>2115</v>
      </c>
      <c r="C892" s="80" t="s">
        <v>2116</v>
      </c>
      <c r="D892" s="80" t="s">
        <v>311</v>
      </c>
      <c r="E892" s="80">
        <v>68427709</v>
      </c>
      <c r="F892" s="94">
        <v>-100000</v>
      </c>
      <c r="G892" s="80" t="s">
        <v>72</v>
      </c>
      <c r="H892" s="80" t="s">
        <v>73</v>
      </c>
      <c r="I892" s="80" t="s">
        <v>92</v>
      </c>
      <c r="J892" s="80">
        <v>2023</v>
      </c>
      <c r="K892" s="80" t="s">
        <v>1053</v>
      </c>
      <c r="L892" s="80"/>
    </row>
    <row r="893" spans="1:27" x14ac:dyDescent="0.25">
      <c r="A893" s="83">
        <v>44760</v>
      </c>
      <c r="B893" s="80" t="s">
        <v>2117</v>
      </c>
      <c r="C893" s="80"/>
      <c r="D893" s="80" t="s">
        <v>311</v>
      </c>
      <c r="E893" s="80">
        <v>68427709</v>
      </c>
      <c r="F893" s="94">
        <v>-50000</v>
      </c>
      <c r="G893" s="80" t="s">
        <v>72</v>
      </c>
      <c r="H893" s="80" t="s">
        <v>73</v>
      </c>
      <c r="I893" s="80" t="s">
        <v>92</v>
      </c>
      <c r="J893" s="80">
        <v>2023</v>
      </c>
      <c r="K893" s="80" t="s">
        <v>1053</v>
      </c>
      <c r="L893" s="80"/>
    </row>
    <row r="894" spans="1:27" x14ac:dyDescent="0.25">
      <c r="A894" s="83">
        <v>44760</v>
      </c>
      <c r="B894" s="80" t="s">
        <v>2118</v>
      </c>
      <c r="C894" s="80" t="s">
        <v>2119</v>
      </c>
      <c r="D894" s="80" t="s">
        <v>311</v>
      </c>
      <c r="E894" s="80">
        <v>68427709</v>
      </c>
      <c r="F894" s="94">
        <v>-50000</v>
      </c>
      <c r="G894" s="80" t="s">
        <v>72</v>
      </c>
      <c r="H894" s="80" t="s">
        <v>73</v>
      </c>
      <c r="I894" s="80" t="s">
        <v>92</v>
      </c>
      <c r="J894" s="80">
        <v>2023</v>
      </c>
      <c r="K894" s="80" t="s">
        <v>1024</v>
      </c>
      <c r="L894" s="80"/>
    </row>
    <row r="895" spans="1:27" x14ac:dyDescent="0.25">
      <c r="A895" s="83">
        <v>44761</v>
      </c>
      <c r="B895" s="80" t="s">
        <v>1697</v>
      </c>
      <c r="C895" s="80" t="s">
        <v>2120</v>
      </c>
      <c r="D895" s="80"/>
      <c r="E895" s="80">
        <v>68427709</v>
      </c>
      <c r="F895" s="94">
        <v>-100000</v>
      </c>
      <c r="G895" s="80" t="s">
        <v>72</v>
      </c>
      <c r="H895" s="80" t="s">
        <v>73</v>
      </c>
      <c r="I895" s="80" t="s">
        <v>92</v>
      </c>
      <c r="J895" s="80">
        <v>2023</v>
      </c>
      <c r="K895" s="80" t="s">
        <v>2108</v>
      </c>
      <c r="L895" s="80"/>
    </row>
    <row r="896" spans="1:27" x14ac:dyDescent="0.25">
      <c r="A896" s="83">
        <v>44761</v>
      </c>
      <c r="B896" s="80" t="s">
        <v>2121</v>
      </c>
      <c r="C896" s="80" t="s">
        <v>2122</v>
      </c>
      <c r="D896" s="80"/>
      <c r="E896" s="80">
        <v>68427709</v>
      </c>
      <c r="F896" s="94">
        <v>432000</v>
      </c>
      <c r="G896" s="80" t="s">
        <v>72</v>
      </c>
      <c r="H896" s="80" t="s">
        <v>73</v>
      </c>
      <c r="I896" s="80" t="s">
        <v>92</v>
      </c>
      <c r="J896" s="80">
        <v>2023</v>
      </c>
      <c r="K896" s="80" t="s">
        <v>2123</v>
      </c>
      <c r="L896" s="80"/>
    </row>
    <row r="897" spans="1:12" x14ac:dyDescent="0.25">
      <c r="A897" s="83">
        <v>44761</v>
      </c>
      <c r="B897" s="80" t="s">
        <v>1748</v>
      </c>
      <c r="C897" s="80" t="s">
        <v>521</v>
      </c>
      <c r="D897" s="80"/>
      <c r="E897" s="80">
        <v>68427709</v>
      </c>
      <c r="F897" s="94">
        <v>2500</v>
      </c>
      <c r="G897" s="80" t="s">
        <v>72</v>
      </c>
      <c r="H897" s="80" t="s">
        <v>73</v>
      </c>
      <c r="I897" s="80" t="s">
        <v>1662</v>
      </c>
      <c r="J897" s="80">
        <v>2023</v>
      </c>
      <c r="K897" s="80" t="s">
        <v>2124</v>
      </c>
      <c r="L897" s="80"/>
    </row>
    <row r="898" spans="1:12" x14ac:dyDescent="0.25">
      <c r="A898" s="83">
        <v>44761</v>
      </c>
      <c r="B898" s="80" t="s">
        <v>2125</v>
      </c>
      <c r="C898" s="80" t="s">
        <v>521</v>
      </c>
      <c r="D898" s="80"/>
      <c r="E898" s="80">
        <v>68427709</v>
      </c>
      <c r="F898" s="94">
        <v>3000</v>
      </c>
      <c r="G898" s="80" t="s">
        <v>72</v>
      </c>
      <c r="H898" s="80" t="s">
        <v>73</v>
      </c>
      <c r="I898" s="80" t="s">
        <v>1662</v>
      </c>
      <c r="J898" s="80">
        <v>2023</v>
      </c>
      <c r="K898" s="80" t="s">
        <v>2124</v>
      </c>
      <c r="L898" s="80"/>
    </row>
    <row r="899" spans="1:12" x14ac:dyDescent="0.25">
      <c r="A899" s="83">
        <v>44761</v>
      </c>
      <c r="B899" s="80" t="s">
        <v>2126</v>
      </c>
      <c r="C899" s="80" t="s">
        <v>521</v>
      </c>
      <c r="D899" s="80"/>
      <c r="E899" s="80">
        <v>68427709</v>
      </c>
      <c r="F899" s="94">
        <v>8000</v>
      </c>
      <c r="G899" s="80" t="s">
        <v>72</v>
      </c>
      <c r="H899" s="80" t="s">
        <v>73</v>
      </c>
      <c r="I899" s="80" t="s">
        <v>1662</v>
      </c>
      <c r="J899" s="80">
        <v>2023</v>
      </c>
      <c r="K899" s="80" t="s">
        <v>2124</v>
      </c>
      <c r="L899" s="80"/>
    </row>
    <row r="900" spans="1:12" x14ac:dyDescent="0.25">
      <c r="A900" s="83">
        <v>44761</v>
      </c>
      <c r="B900" s="80" t="s">
        <v>2127</v>
      </c>
      <c r="C900" s="80" t="s">
        <v>2128</v>
      </c>
      <c r="D900" s="80"/>
      <c r="E900" s="80">
        <v>68427709</v>
      </c>
      <c r="F900" s="94">
        <v>50000</v>
      </c>
      <c r="G900" s="80" t="s">
        <v>72</v>
      </c>
      <c r="H900" s="80" t="s">
        <v>73</v>
      </c>
      <c r="I900" s="80" t="s">
        <v>92</v>
      </c>
      <c r="J900" s="80">
        <v>2023</v>
      </c>
      <c r="K900" s="80" t="s">
        <v>1905</v>
      </c>
      <c r="L900" s="80"/>
    </row>
    <row r="901" spans="1:12" x14ac:dyDescent="0.25">
      <c r="A901" s="83">
        <v>44761</v>
      </c>
      <c r="B901" s="80" t="s">
        <v>2129</v>
      </c>
      <c r="C901" s="80" t="s">
        <v>1706</v>
      </c>
      <c r="D901" s="80"/>
      <c r="E901" s="80">
        <v>68427709</v>
      </c>
      <c r="F901" s="94">
        <v>-40000</v>
      </c>
      <c r="G901" s="80" t="s">
        <v>72</v>
      </c>
      <c r="H901" s="80" t="s">
        <v>73</v>
      </c>
      <c r="I901" s="80" t="s">
        <v>92</v>
      </c>
      <c r="J901" s="80">
        <v>2023</v>
      </c>
      <c r="K901" s="80" t="s">
        <v>1905</v>
      </c>
      <c r="L901" s="80"/>
    </row>
    <row r="902" spans="1:12" ht="15" customHeight="1" x14ac:dyDescent="0.25">
      <c r="A902" s="83">
        <v>44761</v>
      </c>
      <c r="B902" s="80" t="s">
        <v>721</v>
      </c>
      <c r="C902" s="80" t="s">
        <v>1706</v>
      </c>
      <c r="D902" s="80"/>
      <c r="E902" s="80">
        <v>68427709</v>
      </c>
      <c r="F902" s="94">
        <v>-15000</v>
      </c>
      <c r="G902" s="80" t="s">
        <v>72</v>
      </c>
      <c r="H902" s="80" t="s">
        <v>73</v>
      </c>
      <c r="I902" s="80" t="s">
        <v>92</v>
      </c>
      <c r="J902" s="80">
        <v>2023</v>
      </c>
      <c r="K902" s="80" t="s">
        <v>1905</v>
      </c>
      <c r="L902" s="80"/>
    </row>
    <row r="903" spans="1:12" x14ac:dyDescent="0.25">
      <c r="A903" s="83">
        <v>44761</v>
      </c>
      <c r="B903" s="80" t="s">
        <v>1222</v>
      </c>
      <c r="C903" s="80" t="s">
        <v>2130</v>
      </c>
      <c r="D903" s="80"/>
      <c r="E903" s="80">
        <v>68427719</v>
      </c>
      <c r="F903" s="94">
        <v>165000</v>
      </c>
      <c r="G903" s="80" t="s">
        <v>72</v>
      </c>
      <c r="H903" s="80" t="s">
        <v>73</v>
      </c>
      <c r="I903" s="80" t="s">
        <v>92</v>
      </c>
      <c r="J903" s="80">
        <v>2023</v>
      </c>
      <c r="K903" s="80" t="s">
        <v>1053</v>
      </c>
      <c r="L903" s="80"/>
    </row>
    <row r="904" spans="1:12" x14ac:dyDescent="0.25">
      <c r="A904" s="83">
        <v>44761</v>
      </c>
      <c r="B904" s="80" t="s">
        <v>1222</v>
      </c>
      <c r="C904" s="80" t="s">
        <v>2131</v>
      </c>
      <c r="D904" s="80"/>
      <c r="E904" s="80">
        <v>68427709</v>
      </c>
      <c r="F904" s="94">
        <v>-150000</v>
      </c>
      <c r="G904" s="80" t="s">
        <v>72</v>
      </c>
      <c r="H904" s="80" t="s">
        <v>73</v>
      </c>
      <c r="I904" s="80" t="s">
        <v>92</v>
      </c>
      <c r="J904" s="80">
        <v>2023</v>
      </c>
      <c r="K904" s="80" t="s">
        <v>1053</v>
      </c>
      <c r="L904" s="80"/>
    </row>
    <row r="905" spans="1:12" x14ac:dyDescent="0.25">
      <c r="A905" s="83">
        <v>44762</v>
      </c>
      <c r="B905" s="80" t="s">
        <v>1606</v>
      </c>
      <c r="C905" s="80" t="s">
        <v>2132</v>
      </c>
      <c r="D905" s="80"/>
      <c r="E905" s="80">
        <v>68427709</v>
      </c>
      <c r="F905" s="94">
        <v>-43000</v>
      </c>
      <c r="G905" s="80" t="s">
        <v>72</v>
      </c>
      <c r="H905" s="80" t="s">
        <v>73</v>
      </c>
      <c r="I905" s="80" t="s">
        <v>1956</v>
      </c>
      <c r="J905" s="80">
        <v>2023</v>
      </c>
      <c r="K905" s="80" t="s">
        <v>1841</v>
      </c>
      <c r="L905" s="80"/>
    </row>
    <row r="906" spans="1:12" x14ac:dyDescent="0.25">
      <c r="A906" s="83">
        <v>44762</v>
      </c>
      <c r="B906" s="80" t="s">
        <v>2133</v>
      </c>
      <c r="C906" s="80" t="s">
        <v>1868</v>
      </c>
      <c r="D906" s="80"/>
      <c r="E906" s="80">
        <v>68427709</v>
      </c>
      <c r="F906" s="94">
        <v>63000</v>
      </c>
      <c r="G906" s="80" t="s">
        <v>72</v>
      </c>
      <c r="H906" s="80" t="s">
        <v>73</v>
      </c>
      <c r="I906" s="80" t="s">
        <v>1956</v>
      </c>
      <c r="J906" s="80">
        <v>2023</v>
      </c>
      <c r="K906" s="80" t="s">
        <v>1841</v>
      </c>
      <c r="L906" s="80"/>
    </row>
    <row r="907" spans="1:12" x14ac:dyDescent="0.25">
      <c r="A907" s="83">
        <v>44764</v>
      </c>
      <c r="B907" s="80" t="s">
        <v>2134</v>
      </c>
      <c r="C907" s="80" t="s">
        <v>2135</v>
      </c>
      <c r="D907" s="80"/>
      <c r="E907" s="80">
        <v>68427719</v>
      </c>
      <c r="F907" s="94">
        <v>480000</v>
      </c>
      <c r="G907" s="80" t="s">
        <v>72</v>
      </c>
      <c r="H907" s="80" t="s">
        <v>73</v>
      </c>
      <c r="I907" s="80" t="s">
        <v>92</v>
      </c>
      <c r="J907" s="80">
        <v>2023</v>
      </c>
      <c r="K907" s="80" t="s">
        <v>2136</v>
      </c>
      <c r="L907" s="80"/>
    </row>
    <row r="908" spans="1:12" x14ac:dyDescent="0.25">
      <c r="A908" s="83">
        <v>44764</v>
      </c>
      <c r="B908" s="80" t="s">
        <v>2137</v>
      </c>
      <c r="C908" s="80" t="s">
        <v>2138</v>
      </c>
      <c r="D908" s="80"/>
      <c r="E908" s="80">
        <v>68427719</v>
      </c>
      <c r="F908" s="94">
        <v>-25000</v>
      </c>
      <c r="G908" s="80" t="s">
        <v>72</v>
      </c>
      <c r="H908" s="80" t="s">
        <v>73</v>
      </c>
      <c r="I908" s="80" t="s">
        <v>92</v>
      </c>
      <c r="J908" s="80">
        <v>2023</v>
      </c>
      <c r="K908" s="80" t="s">
        <v>2136</v>
      </c>
      <c r="L908" s="80"/>
    </row>
    <row r="909" spans="1:12" x14ac:dyDescent="0.25">
      <c r="A909" s="83">
        <v>44764</v>
      </c>
      <c r="B909" s="80" t="s">
        <v>2139</v>
      </c>
      <c r="C909" s="80" t="s">
        <v>2138</v>
      </c>
      <c r="D909" s="80"/>
      <c r="E909" s="80">
        <v>68427719</v>
      </c>
      <c r="F909" s="94">
        <v>-420000</v>
      </c>
      <c r="G909" s="80" t="s">
        <v>72</v>
      </c>
      <c r="H909" s="80" t="s">
        <v>73</v>
      </c>
      <c r="I909" s="80" t="s">
        <v>92</v>
      </c>
      <c r="J909" s="80">
        <v>2023</v>
      </c>
      <c r="K909" s="80" t="s">
        <v>2136</v>
      </c>
      <c r="L909" s="80"/>
    </row>
    <row r="910" spans="1:12" x14ac:dyDescent="0.25">
      <c r="A910" s="83">
        <v>44764</v>
      </c>
      <c r="B910" s="80" t="s">
        <v>1910</v>
      </c>
      <c r="C910" s="80" t="s">
        <v>2119</v>
      </c>
      <c r="D910" s="80"/>
      <c r="E910" s="80">
        <v>68427719</v>
      </c>
      <c r="F910" s="94">
        <v>-200000</v>
      </c>
      <c r="G910" s="80" t="s">
        <v>72</v>
      </c>
      <c r="H910" s="80" t="s">
        <v>73</v>
      </c>
      <c r="I910" s="80" t="s">
        <v>92</v>
      </c>
      <c r="J910" s="80">
        <v>2023</v>
      </c>
      <c r="K910" s="80" t="s">
        <v>2136</v>
      </c>
      <c r="L910" s="80"/>
    </row>
    <row r="911" spans="1:12" x14ac:dyDescent="0.25">
      <c r="A911" s="83">
        <v>44764</v>
      </c>
      <c r="B911" s="80" t="s">
        <v>988</v>
      </c>
      <c r="C911" s="80" t="s">
        <v>2140</v>
      </c>
      <c r="D911" s="80"/>
      <c r="E911" s="80">
        <v>68427719</v>
      </c>
      <c r="F911" s="94">
        <v>200000</v>
      </c>
      <c r="G911" s="80" t="s">
        <v>72</v>
      </c>
      <c r="H911" s="80" t="s">
        <v>73</v>
      </c>
      <c r="I911" s="80" t="s">
        <v>92</v>
      </c>
      <c r="J911" s="80">
        <v>2023</v>
      </c>
      <c r="K911" s="80" t="s">
        <v>2136</v>
      </c>
      <c r="L911" s="80"/>
    </row>
    <row r="912" spans="1:12" x14ac:dyDescent="0.25">
      <c r="A912" s="83">
        <v>44764</v>
      </c>
      <c r="B912" s="80" t="s">
        <v>2141</v>
      </c>
      <c r="C912" s="80" t="s">
        <v>2142</v>
      </c>
      <c r="D912" s="80"/>
      <c r="E912" s="80">
        <v>68427719</v>
      </c>
      <c r="F912" s="94">
        <v>140000</v>
      </c>
      <c r="G912" s="80" t="s">
        <v>72</v>
      </c>
      <c r="H912" s="80" t="s">
        <v>73</v>
      </c>
      <c r="I912" s="80" t="s">
        <v>92</v>
      </c>
      <c r="J912" s="80">
        <v>2023</v>
      </c>
      <c r="K912" s="80" t="s">
        <v>2136</v>
      </c>
      <c r="L912" s="80"/>
    </row>
    <row r="913" spans="1:12" x14ac:dyDescent="0.25">
      <c r="A913" s="83">
        <v>44764</v>
      </c>
      <c r="B913" s="80" t="s">
        <v>1857</v>
      </c>
      <c r="C913" s="80" t="s">
        <v>2143</v>
      </c>
      <c r="D913" s="80"/>
      <c r="E913" s="80">
        <v>68427719</v>
      </c>
      <c r="F913" s="94">
        <v>-124000</v>
      </c>
      <c r="G913" s="80" t="s">
        <v>72</v>
      </c>
      <c r="H913" s="80" t="s">
        <v>73</v>
      </c>
      <c r="I913" s="80" t="s">
        <v>92</v>
      </c>
      <c r="J913" s="80">
        <v>2023</v>
      </c>
      <c r="K913" s="80" t="s">
        <v>2136</v>
      </c>
      <c r="L913" s="80"/>
    </row>
    <row r="914" spans="1:12" x14ac:dyDescent="0.25">
      <c r="A914" s="83">
        <v>44764</v>
      </c>
      <c r="B914" s="80" t="s">
        <v>1859</v>
      </c>
      <c r="C914" s="80" t="s">
        <v>2144</v>
      </c>
      <c r="D914" s="80"/>
      <c r="E914" s="80">
        <v>68427719</v>
      </c>
      <c r="F914" s="94">
        <v>-22000</v>
      </c>
      <c r="G914" s="80" t="s">
        <v>72</v>
      </c>
      <c r="H914" s="80" t="s">
        <v>73</v>
      </c>
      <c r="I914" s="80" t="s">
        <v>1662</v>
      </c>
      <c r="J914" s="80">
        <v>2023</v>
      </c>
      <c r="K914" s="80" t="s">
        <v>2136</v>
      </c>
      <c r="L914" s="80"/>
    </row>
    <row r="915" spans="1:12" x14ac:dyDescent="0.25">
      <c r="A915" s="83">
        <v>44764</v>
      </c>
      <c r="B915" s="80" t="s">
        <v>2145</v>
      </c>
      <c r="C915" s="80" t="s">
        <v>2146</v>
      </c>
      <c r="D915" s="80"/>
      <c r="E915" s="80">
        <v>68427719</v>
      </c>
      <c r="F915" s="94">
        <v>9000</v>
      </c>
      <c r="G915" s="80" t="s">
        <v>72</v>
      </c>
      <c r="H915" s="80" t="s">
        <v>73</v>
      </c>
      <c r="I915" s="80" t="s">
        <v>92</v>
      </c>
      <c r="J915" s="80">
        <v>2023</v>
      </c>
      <c r="K915" s="80" t="s">
        <v>2136</v>
      </c>
      <c r="L915" s="80"/>
    </row>
    <row r="916" spans="1:12" x14ac:dyDescent="0.25">
      <c r="A916" s="83">
        <v>44764</v>
      </c>
      <c r="B916" s="80" t="s">
        <v>1867</v>
      </c>
      <c r="C916" s="80" t="s">
        <v>2147</v>
      </c>
      <c r="D916" s="80"/>
      <c r="E916" s="80">
        <v>68427719</v>
      </c>
      <c r="F916" s="94">
        <v>-1000</v>
      </c>
      <c r="G916" s="80" t="s">
        <v>72</v>
      </c>
      <c r="H916" s="80" t="s">
        <v>73</v>
      </c>
      <c r="I916" s="80" t="s">
        <v>92</v>
      </c>
      <c r="J916" s="80">
        <v>2023</v>
      </c>
      <c r="K916" s="80" t="s">
        <v>2136</v>
      </c>
      <c r="L916" s="80"/>
    </row>
    <row r="917" spans="1:12" x14ac:dyDescent="0.25">
      <c r="A917" s="83">
        <v>44764</v>
      </c>
      <c r="B917" s="80" t="s">
        <v>1886</v>
      </c>
      <c r="C917" s="80" t="s">
        <v>1793</v>
      </c>
      <c r="D917" s="80"/>
      <c r="E917" s="80">
        <v>68427719</v>
      </c>
      <c r="F917" s="94">
        <v>980</v>
      </c>
      <c r="G917" s="80" t="s">
        <v>72</v>
      </c>
      <c r="H917" s="80" t="s">
        <v>73</v>
      </c>
      <c r="I917" s="80" t="s">
        <v>92</v>
      </c>
      <c r="J917" s="80">
        <v>2023</v>
      </c>
      <c r="K917" s="80" t="s">
        <v>2136</v>
      </c>
      <c r="L917" s="80"/>
    </row>
    <row r="918" spans="1:12" x14ac:dyDescent="0.25">
      <c r="A918" s="83">
        <v>44764</v>
      </c>
      <c r="B918" s="80" t="s">
        <v>2148</v>
      </c>
      <c r="C918" s="80" t="s">
        <v>2149</v>
      </c>
      <c r="D918" s="80"/>
      <c r="E918" s="80">
        <v>68427719</v>
      </c>
      <c r="F918" s="94">
        <v>92500</v>
      </c>
      <c r="G918" s="80" t="s">
        <v>72</v>
      </c>
      <c r="H918" s="80" t="s">
        <v>73</v>
      </c>
      <c r="I918" s="80" t="s">
        <v>92</v>
      </c>
      <c r="J918" s="80">
        <v>2023</v>
      </c>
      <c r="K918" s="80" t="s">
        <v>2136</v>
      </c>
      <c r="L918" s="80"/>
    </row>
    <row r="919" spans="1:12" x14ac:dyDescent="0.25">
      <c r="A919" s="83">
        <v>44768</v>
      </c>
      <c r="B919" s="80" t="s">
        <v>2150</v>
      </c>
      <c r="C919" s="80" t="s">
        <v>2151</v>
      </c>
      <c r="D919" s="80"/>
      <c r="E919" s="80">
        <v>68427709</v>
      </c>
      <c r="F919" s="94">
        <v>115000</v>
      </c>
      <c r="G919" s="80" t="s">
        <v>72</v>
      </c>
      <c r="H919" s="80" t="s">
        <v>73</v>
      </c>
      <c r="I919" s="80" t="s">
        <v>1662</v>
      </c>
      <c r="J919" s="80">
        <v>2023</v>
      </c>
      <c r="K919" s="80" t="s">
        <v>633</v>
      </c>
      <c r="L919" s="80"/>
    </row>
    <row r="920" spans="1:12" x14ac:dyDescent="0.25">
      <c r="A920" s="83">
        <v>44768</v>
      </c>
      <c r="B920" s="80" t="s">
        <v>1842</v>
      </c>
      <c r="C920" s="80"/>
      <c r="D920" s="80"/>
      <c r="E920" s="80">
        <v>68427709</v>
      </c>
      <c r="F920" s="94">
        <v>2000</v>
      </c>
      <c r="G920" s="80" t="s">
        <v>72</v>
      </c>
      <c r="H920" s="80" t="s">
        <v>73</v>
      </c>
      <c r="I920" s="80" t="s">
        <v>1956</v>
      </c>
      <c r="J920" s="80">
        <v>2023</v>
      </c>
      <c r="K920" s="80" t="s">
        <v>633</v>
      </c>
      <c r="L920" s="80"/>
    </row>
    <row r="921" spans="1:12" x14ac:dyDescent="0.25">
      <c r="A921" s="83">
        <v>44768</v>
      </c>
      <c r="B921" s="80" t="s">
        <v>1880</v>
      </c>
      <c r="C921" s="80"/>
      <c r="D921" s="80"/>
      <c r="E921" s="80">
        <v>68427709</v>
      </c>
      <c r="F921" s="94">
        <v>72000</v>
      </c>
      <c r="G921" s="80" t="s">
        <v>72</v>
      </c>
      <c r="H921" s="80" t="s">
        <v>73</v>
      </c>
      <c r="I921" s="80" t="s">
        <v>1956</v>
      </c>
      <c r="J921" s="80">
        <v>2023</v>
      </c>
      <c r="K921" s="80" t="s">
        <v>633</v>
      </c>
      <c r="L921" s="80"/>
    </row>
    <row r="922" spans="1:12" x14ac:dyDescent="0.25">
      <c r="A922" s="83">
        <v>44768</v>
      </c>
      <c r="B922" s="80" t="s">
        <v>1367</v>
      </c>
      <c r="C922" s="80" t="s">
        <v>2152</v>
      </c>
      <c r="D922" s="80"/>
      <c r="E922" s="80">
        <v>68427709</v>
      </c>
      <c r="F922" s="94">
        <v>-50000</v>
      </c>
      <c r="G922" s="80" t="s">
        <v>261</v>
      </c>
      <c r="H922" s="80" t="s">
        <v>73</v>
      </c>
      <c r="I922" s="80" t="s">
        <v>1956</v>
      </c>
      <c r="J922" s="80">
        <v>2023</v>
      </c>
      <c r="K922" s="80" t="s">
        <v>633</v>
      </c>
      <c r="L922" s="80"/>
    </row>
    <row r="923" spans="1:12" x14ac:dyDescent="0.25">
      <c r="A923" s="83">
        <v>44768</v>
      </c>
      <c r="B923" s="80" t="s">
        <v>1646</v>
      </c>
      <c r="C923" s="80" t="s">
        <v>2152</v>
      </c>
      <c r="D923" s="80"/>
      <c r="E923" s="80">
        <v>68427709</v>
      </c>
      <c r="F923" s="94">
        <v>-224000</v>
      </c>
      <c r="G923" s="80" t="s">
        <v>261</v>
      </c>
      <c r="H923" s="80" t="s">
        <v>73</v>
      </c>
      <c r="I923" s="80" t="s">
        <v>92</v>
      </c>
      <c r="J923" s="80">
        <v>2023</v>
      </c>
      <c r="K923" s="80" t="s">
        <v>633</v>
      </c>
      <c r="L923" s="80"/>
    </row>
    <row r="924" spans="1:12" x14ac:dyDescent="0.25">
      <c r="A924" s="83">
        <v>44768</v>
      </c>
      <c r="B924" s="80" t="s">
        <v>2153</v>
      </c>
      <c r="C924" s="80" t="s">
        <v>2152</v>
      </c>
      <c r="D924" s="80"/>
      <c r="E924" s="80">
        <v>68427709</v>
      </c>
      <c r="F924" s="94">
        <v>210000</v>
      </c>
      <c r="G924" s="80" t="s">
        <v>261</v>
      </c>
      <c r="H924" s="80" t="s">
        <v>73</v>
      </c>
      <c r="I924" s="80" t="s">
        <v>92</v>
      </c>
      <c r="J924" s="80">
        <v>2023</v>
      </c>
      <c r="K924" s="80" t="s">
        <v>633</v>
      </c>
      <c r="L924" s="80"/>
    </row>
    <row r="925" spans="1:12" x14ac:dyDescent="0.25">
      <c r="A925" s="83">
        <v>44768</v>
      </c>
      <c r="B925" s="80" t="s">
        <v>2154</v>
      </c>
      <c r="C925" s="80" t="s">
        <v>2152</v>
      </c>
      <c r="D925" s="80"/>
      <c r="E925" s="80">
        <v>68427709</v>
      </c>
      <c r="F925" s="94">
        <v>-70000</v>
      </c>
      <c r="G925" s="80" t="s">
        <v>72</v>
      </c>
      <c r="H925" s="80" t="s">
        <v>73</v>
      </c>
      <c r="I925" s="80" t="s">
        <v>92</v>
      </c>
      <c r="J925" s="80">
        <v>2023</v>
      </c>
      <c r="K925" s="80" t="s">
        <v>633</v>
      </c>
      <c r="L925" s="80"/>
    </row>
    <row r="926" spans="1:12" ht="15" customHeight="1" x14ac:dyDescent="0.25">
      <c r="A926" s="83">
        <v>44768</v>
      </c>
      <c r="B926" s="80" t="s">
        <v>1367</v>
      </c>
      <c r="C926" s="80" t="s">
        <v>1706</v>
      </c>
      <c r="D926" s="80"/>
      <c r="E926" s="80">
        <v>68427709</v>
      </c>
      <c r="F926" s="94">
        <v>-20000</v>
      </c>
      <c r="G926" s="80" t="s">
        <v>72</v>
      </c>
      <c r="H926" s="80" t="s">
        <v>73</v>
      </c>
      <c r="I926" s="80" t="s">
        <v>1662</v>
      </c>
      <c r="J926" s="80">
        <v>2023</v>
      </c>
      <c r="K926" s="80" t="s">
        <v>633</v>
      </c>
      <c r="L926" s="80"/>
    </row>
    <row r="927" spans="1:12" x14ac:dyDescent="0.25">
      <c r="A927" s="83">
        <v>44768</v>
      </c>
      <c r="B927" s="80" t="s">
        <v>1646</v>
      </c>
      <c r="C927" s="80" t="s">
        <v>2155</v>
      </c>
      <c r="D927" s="80"/>
      <c r="E927" s="80">
        <v>68427709</v>
      </c>
      <c r="F927" s="94">
        <v>16000</v>
      </c>
      <c r="G927" s="80" t="s">
        <v>72</v>
      </c>
      <c r="H927" s="80" t="s">
        <v>73</v>
      </c>
      <c r="I927" s="80" t="s">
        <v>1662</v>
      </c>
      <c r="J927" s="80">
        <v>2023</v>
      </c>
      <c r="K927" s="80" t="s">
        <v>633</v>
      </c>
      <c r="L927" s="80"/>
    </row>
    <row r="928" spans="1:12" x14ac:dyDescent="0.25">
      <c r="A928" s="83">
        <v>44768</v>
      </c>
      <c r="B928" s="80" t="s">
        <v>1246</v>
      </c>
      <c r="C928" s="80" t="s">
        <v>2156</v>
      </c>
      <c r="D928" s="80"/>
      <c r="E928" s="80">
        <v>68427709</v>
      </c>
      <c r="F928" s="94">
        <v>-7000</v>
      </c>
      <c r="G928" s="80" t="s">
        <v>72</v>
      </c>
      <c r="H928" s="80" t="s">
        <v>73</v>
      </c>
      <c r="I928" s="80" t="s">
        <v>1662</v>
      </c>
      <c r="J928" s="80">
        <v>2023</v>
      </c>
      <c r="K928" s="80" t="s">
        <v>633</v>
      </c>
      <c r="L928" s="80"/>
    </row>
    <row r="929" spans="1:12" x14ac:dyDescent="0.25">
      <c r="A929" s="83">
        <v>44768</v>
      </c>
      <c r="B929" s="80" t="s">
        <v>2157</v>
      </c>
      <c r="C929" s="80" t="s">
        <v>2158</v>
      </c>
      <c r="D929" s="80"/>
      <c r="E929" s="80">
        <v>68427709</v>
      </c>
      <c r="F929" s="94">
        <v>20000</v>
      </c>
      <c r="G929" s="80" t="s">
        <v>72</v>
      </c>
      <c r="H929" s="80" t="s">
        <v>73</v>
      </c>
      <c r="I929" s="80" t="s">
        <v>1662</v>
      </c>
      <c r="J929" s="80">
        <v>2023</v>
      </c>
      <c r="K929" s="80" t="s">
        <v>633</v>
      </c>
      <c r="L929" s="80"/>
    </row>
    <row r="930" spans="1:12" x14ac:dyDescent="0.25">
      <c r="A930" s="83">
        <v>44768</v>
      </c>
      <c r="B930" s="80" t="s">
        <v>1381</v>
      </c>
      <c r="C930" s="80" t="s">
        <v>2159</v>
      </c>
      <c r="D930" s="80"/>
      <c r="E930" s="80">
        <v>68427709</v>
      </c>
      <c r="F930" s="94">
        <v>-30000</v>
      </c>
      <c r="G930" s="80" t="s">
        <v>72</v>
      </c>
      <c r="H930" s="80" t="s">
        <v>73</v>
      </c>
      <c r="I930" s="80" t="s">
        <v>92</v>
      </c>
      <c r="J930" s="80">
        <v>2023</v>
      </c>
      <c r="K930" s="80" t="s">
        <v>633</v>
      </c>
      <c r="L930" s="80"/>
    </row>
    <row r="931" spans="1:12" x14ac:dyDescent="0.25">
      <c r="A931" s="83">
        <v>44768</v>
      </c>
      <c r="B931" s="80" t="s">
        <v>2160</v>
      </c>
      <c r="C931" s="80" t="s">
        <v>2161</v>
      </c>
      <c r="D931" s="80"/>
      <c r="E931" s="80">
        <v>68427709</v>
      </c>
      <c r="F931" s="94">
        <v>105000</v>
      </c>
      <c r="G931" s="80" t="s">
        <v>261</v>
      </c>
      <c r="H931" s="80" t="s">
        <v>73</v>
      </c>
      <c r="I931" s="80" t="s">
        <v>1956</v>
      </c>
      <c r="J931" s="80">
        <v>2023</v>
      </c>
      <c r="K931" s="80" t="s">
        <v>633</v>
      </c>
      <c r="L931" s="80" t="s">
        <v>2162</v>
      </c>
    </row>
    <row r="932" spans="1:12" x14ac:dyDescent="0.25">
      <c r="A932" s="83">
        <v>44768</v>
      </c>
      <c r="B932" s="80" t="s">
        <v>1950</v>
      </c>
      <c r="C932" s="80" t="s">
        <v>2163</v>
      </c>
      <c r="D932" s="80"/>
      <c r="E932" s="80">
        <v>68427709</v>
      </c>
      <c r="F932" s="94">
        <v>323000</v>
      </c>
      <c r="G932" s="80" t="s">
        <v>72</v>
      </c>
      <c r="H932" s="80" t="s">
        <v>73</v>
      </c>
      <c r="I932" s="80" t="s">
        <v>92</v>
      </c>
      <c r="J932" s="80">
        <v>2023</v>
      </c>
      <c r="K932" s="80" t="s">
        <v>633</v>
      </c>
      <c r="L932" s="80"/>
    </row>
    <row r="933" spans="1:12" x14ac:dyDescent="0.25">
      <c r="A933" s="83">
        <v>44768</v>
      </c>
      <c r="B933" s="80" t="s">
        <v>2164</v>
      </c>
      <c r="C933" s="80" t="s">
        <v>2165</v>
      </c>
      <c r="D933" s="80"/>
      <c r="E933" s="80">
        <v>68427709</v>
      </c>
      <c r="F933" s="94">
        <v>1500</v>
      </c>
      <c r="G933" s="80" t="s">
        <v>72</v>
      </c>
      <c r="H933" s="80" t="s">
        <v>73</v>
      </c>
      <c r="I933" s="80" t="s">
        <v>1956</v>
      </c>
      <c r="J933" s="80">
        <v>2023</v>
      </c>
      <c r="K933" s="80" t="s">
        <v>2166</v>
      </c>
      <c r="L933" s="80"/>
    </row>
    <row r="934" spans="1:12" x14ac:dyDescent="0.25">
      <c r="A934" s="83">
        <v>44768</v>
      </c>
      <c r="B934" s="80" t="s">
        <v>430</v>
      </c>
      <c r="C934" s="80" t="s">
        <v>2167</v>
      </c>
      <c r="D934" s="80"/>
      <c r="E934" s="80">
        <v>68427709</v>
      </c>
      <c r="F934" s="94">
        <v>7000</v>
      </c>
      <c r="G934" s="80" t="s">
        <v>72</v>
      </c>
      <c r="H934" s="80" t="s">
        <v>73</v>
      </c>
      <c r="I934" s="80" t="s">
        <v>1956</v>
      </c>
      <c r="J934" s="80">
        <v>2023</v>
      </c>
      <c r="K934" s="80" t="s">
        <v>2166</v>
      </c>
      <c r="L934" s="80"/>
    </row>
    <row r="935" spans="1:12" x14ac:dyDescent="0.25">
      <c r="A935" s="83">
        <v>44768</v>
      </c>
      <c r="B935" s="80" t="s">
        <v>2168</v>
      </c>
      <c r="C935" s="80" t="s">
        <v>2169</v>
      </c>
      <c r="D935" s="80" t="s">
        <v>311</v>
      </c>
      <c r="E935" s="80">
        <v>68427709</v>
      </c>
      <c r="F935" s="94">
        <v>-50000</v>
      </c>
      <c r="G935" s="80" t="s">
        <v>72</v>
      </c>
      <c r="H935" s="80" t="s">
        <v>73</v>
      </c>
      <c r="I935" s="80" t="s">
        <v>92</v>
      </c>
      <c r="J935" s="80">
        <v>2023</v>
      </c>
      <c r="K935" s="80" t="s">
        <v>1053</v>
      </c>
      <c r="L935" s="80"/>
    </row>
    <row r="936" spans="1:12" x14ac:dyDescent="0.25">
      <c r="A936" s="83">
        <v>44768</v>
      </c>
      <c r="B936" s="80" t="s">
        <v>2170</v>
      </c>
      <c r="C936" s="80" t="s">
        <v>2171</v>
      </c>
      <c r="D936" s="80" t="s">
        <v>311</v>
      </c>
      <c r="E936" s="80">
        <v>68427709</v>
      </c>
      <c r="F936" s="94">
        <v>-88000</v>
      </c>
      <c r="G936" s="80" t="s">
        <v>72</v>
      </c>
      <c r="H936" s="80" t="s">
        <v>73</v>
      </c>
      <c r="I936" s="80" t="s">
        <v>92</v>
      </c>
      <c r="J936" s="80">
        <v>2023</v>
      </c>
      <c r="K936" s="80" t="s">
        <v>1053</v>
      </c>
      <c r="L936" s="80"/>
    </row>
    <row r="937" spans="1:12" ht="15.6" customHeight="1" x14ac:dyDescent="0.25">
      <c r="A937" s="83">
        <v>44768</v>
      </c>
      <c r="B937" s="80" t="s">
        <v>1443</v>
      </c>
      <c r="C937" s="80" t="s">
        <v>2172</v>
      </c>
      <c r="D937" s="80" t="s">
        <v>311</v>
      </c>
      <c r="E937" s="80">
        <v>68427709</v>
      </c>
      <c r="F937" s="94">
        <v>-21000</v>
      </c>
      <c r="G937" s="80" t="s">
        <v>72</v>
      </c>
      <c r="H937" s="80" t="s">
        <v>73</v>
      </c>
      <c r="I937" s="80" t="s">
        <v>92</v>
      </c>
      <c r="J937" s="80">
        <v>2023</v>
      </c>
      <c r="K937" s="80" t="s">
        <v>1053</v>
      </c>
      <c r="L937" s="80"/>
    </row>
    <row r="938" spans="1:12" x14ac:dyDescent="0.25">
      <c r="A938" s="83">
        <v>44768</v>
      </c>
      <c r="B938" s="80" t="s">
        <v>2173</v>
      </c>
      <c r="C938" s="80" t="s">
        <v>2174</v>
      </c>
      <c r="D938" s="80" t="s">
        <v>311</v>
      </c>
      <c r="E938" s="80">
        <v>68427709</v>
      </c>
      <c r="F938" s="94">
        <v>70000</v>
      </c>
      <c r="G938" s="80" t="s">
        <v>72</v>
      </c>
      <c r="H938" s="80" t="s">
        <v>73</v>
      </c>
      <c r="I938" s="80" t="s">
        <v>92</v>
      </c>
      <c r="J938" s="80">
        <v>2023</v>
      </c>
      <c r="K938" s="80" t="s">
        <v>1053</v>
      </c>
      <c r="L938" s="80"/>
    </row>
    <row r="939" spans="1:12" x14ac:dyDescent="0.25">
      <c r="A939" s="83">
        <v>44768</v>
      </c>
      <c r="B939" s="80" t="s">
        <v>2175</v>
      </c>
      <c r="C939" s="80" t="s">
        <v>2176</v>
      </c>
      <c r="D939" s="80" t="s">
        <v>311</v>
      </c>
      <c r="E939" s="80">
        <v>68427709</v>
      </c>
      <c r="F939" s="94">
        <v>21000</v>
      </c>
      <c r="G939" s="80" t="s">
        <v>72</v>
      </c>
      <c r="H939" s="80" t="s">
        <v>73</v>
      </c>
      <c r="I939" s="80" t="s">
        <v>92</v>
      </c>
      <c r="J939" s="80">
        <v>2023</v>
      </c>
      <c r="K939" s="80" t="s">
        <v>1053</v>
      </c>
      <c r="L939" s="80"/>
    </row>
    <row r="940" spans="1:12" ht="15" customHeight="1" x14ac:dyDescent="0.25">
      <c r="A940" s="83">
        <v>44768</v>
      </c>
      <c r="B940" s="80" t="s">
        <v>2177</v>
      </c>
      <c r="C940" s="80" t="s">
        <v>2178</v>
      </c>
      <c r="D940" s="80" t="s">
        <v>311</v>
      </c>
      <c r="E940" s="80">
        <v>68427709</v>
      </c>
      <c r="F940" s="94">
        <v>-40000</v>
      </c>
      <c r="G940" s="80" t="s">
        <v>72</v>
      </c>
      <c r="H940" s="80" t="s">
        <v>73</v>
      </c>
      <c r="I940" s="80" t="s">
        <v>92</v>
      </c>
      <c r="J940" s="80">
        <v>2023</v>
      </c>
      <c r="K940" s="80" t="s">
        <v>1053</v>
      </c>
      <c r="L940" s="80"/>
    </row>
    <row r="941" spans="1:12" x14ac:dyDescent="0.25">
      <c r="A941" s="83">
        <v>44769</v>
      </c>
      <c r="B941" s="80" t="s">
        <v>1377</v>
      </c>
      <c r="C941" s="80" t="s">
        <v>2179</v>
      </c>
      <c r="D941" s="80"/>
      <c r="E941" s="80">
        <v>68427709</v>
      </c>
      <c r="F941" s="94">
        <v>60000</v>
      </c>
      <c r="G941" s="80" t="s">
        <v>2180</v>
      </c>
      <c r="H941" s="80" t="s">
        <v>73</v>
      </c>
      <c r="I941" s="80" t="s">
        <v>92</v>
      </c>
      <c r="J941" s="80">
        <v>2023</v>
      </c>
      <c r="K941" s="80" t="s">
        <v>1053</v>
      </c>
      <c r="L941" s="80"/>
    </row>
    <row r="942" spans="1:12" x14ac:dyDescent="0.25">
      <c r="A942" s="83">
        <v>44770</v>
      </c>
      <c r="B942" s="80" t="s">
        <v>2181</v>
      </c>
      <c r="C942" s="80"/>
      <c r="D942" s="80"/>
      <c r="E942" s="80">
        <v>68427709</v>
      </c>
      <c r="F942" s="94">
        <v>0</v>
      </c>
      <c r="G942" s="80" t="s">
        <v>72</v>
      </c>
      <c r="H942" s="80" t="s">
        <v>73</v>
      </c>
      <c r="I942" s="80"/>
      <c r="J942" s="80">
        <v>2023</v>
      </c>
      <c r="K942" s="80" t="s">
        <v>1053</v>
      </c>
      <c r="L942" s="80"/>
    </row>
    <row r="943" spans="1:12" x14ac:dyDescent="0.25">
      <c r="A943" s="83">
        <v>44770</v>
      </c>
      <c r="B943" s="80" t="s">
        <v>1529</v>
      </c>
      <c r="C943" s="80" t="s">
        <v>2182</v>
      </c>
      <c r="D943" s="80"/>
      <c r="E943" s="80">
        <v>68427709</v>
      </c>
      <c r="F943" s="94">
        <v>-85000</v>
      </c>
      <c r="G943" s="80" t="s">
        <v>72</v>
      </c>
      <c r="H943" s="80" t="s">
        <v>73</v>
      </c>
      <c r="I943" s="80" t="s">
        <v>1662</v>
      </c>
      <c r="J943" s="80">
        <v>2023</v>
      </c>
      <c r="K943" s="80" t="s">
        <v>2183</v>
      </c>
      <c r="L943" s="80"/>
    </row>
    <row r="944" spans="1:12" x14ac:dyDescent="0.25">
      <c r="A944" s="83">
        <v>44770</v>
      </c>
      <c r="B944" s="80" t="s">
        <v>1674</v>
      </c>
      <c r="C944" s="80" t="s">
        <v>2184</v>
      </c>
      <c r="D944" s="80"/>
      <c r="E944" s="80">
        <v>68427709</v>
      </c>
      <c r="F944" s="94">
        <v>-95000</v>
      </c>
      <c r="G944" s="80" t="s">
        <v>72</v>
      </c>
      <c r="H944" s="80" t="s">
        <v>73</v>
      </c>
      <c r="I944" s="80" t="s">
        <v>1662</v>
      </c>
      <c r="J944" s="80">
        <v>2023</v>
      </c>
      <c r="K944" s="80" t="s">
        <v>2183</v>
      </c>
      <c r="L944" s="80"/>
    </row>
    <row r="945" spans="1:12" x14ac:dyDescent="0.25">
      <c r="A945" s="83">
        <v>44770</v>
      </c>
      <c r="B945" s="80" t="s">
        <v>2185</v>
      </c>
      <c r="C945" s="80" t="s">
        <v>1319</v>
      </c>
      <c r="D945" s="80"/>
      <c r="E945" s="80">
        <v>68427709</v>
      </c>
      <c r="F945" s="94">
        <v>-70000</v>
      </c>
      <c r="G945" s="80" t="s">
        <v>72</v>
      </c>
      <c r="H945" s="80" t="s">
        <v>73</v>
      </c>
      <c r="I945" s="80" t="s">
        <v>1662</v>
      </c>
      <c r="J945" s="80">
        <v>2023</v>
      </c>
      <c r="K945" s="80" t="s">
        <v>2183</v>
      </c>
      <c r="L945" s="80"/>
    </row>
    <row r="946" spans="1:12" x14ac:dyDescent="0.25">
      <c r="A946" s="83">
        <v>44770</v>
      </c>
      <c r="B946" s="80" t="s">
        <v>2186</v>
      </c>
      <c r="C946" s="80" t="s">
        <v>2187</v>
      </c>
      <c r="D946" s="80"/>
      <c r="E946" s="80">
        <v>68427709</v>
      </c>
      <c r="F946" s="94">
        <v>-5000</v>
      </c>
      <c r="G946" s="80" t="s">
        <v>72</v>
      </c>
      <c r="H946" s="80" t="s">
        <v>73</v>
      </c>
      <c r="I946" s="80" t="s">
        <v>1662</v>
      </c>
      <c r="J946" s="80">
        <v>2023</v>
      </c>
      <c r="K946" s="80" t="s">
        <v>2183</v>
      </c>
      <c r="L946" s="80"/>
    </row>
    <row r="947" spans="1:12" x14ac:dyDescent="0.25">
      <c r="A947" s="83">
        <v>44770</v>
      </c>
      <c r="B947" s="80" t="s">
        <v>1679</v>
      </c>
      <c r="C947" s="80" t="s">
        <v>2188</v>
      </c>
      <c r="D947" s="80"/>
      <c r="E947" s="80">
        <v>68427709</v>
      </c>
      <c r="F947" s="94">
        <v>2000</v>
      </c>
      <c r="G947" s="80" t="s">
        <v>72</v>
      </c>
      <c r="H947" s="80" t="s">
        <v>73</v>
      </c>
      <c r="I947" s="80" t="s">
        <v>1662</v>
      </c>
      <c r="J947" s="80">
        <v>2023</v>
      </c>
      <c r="K947" s="80" t="s">
        <v>2183</v>
      </c>
      <c r="L947" s="80"/>
    </row>
    <row r="948" spans="1:12" x14ac:dyDescent="0.25">
      <c r="A948" s="83">
        <v>44770</v>
      </c>
      <c r="B948" s="80"/>
      <c r="C948" s="80"/>
      <c r="D948" s="80"/>
      <c r="E948" s="80"/>
      <c r="F948" s="94"/>
      <c r="G948" s="80"/>
      <c r="H948" s="80"/>
      <c r="I948" s="80"/>
      <c r="J948" s="80"/>
      <c r="K948" s="80"/>
      <c r="L948" s="80"/>
    </row>
    <row r="949" spans="1:12" x14ac:dyDescent="0.25">
      <c r="A949" s="83">
        <v>44770</v>
      </c>
      <c r="B949" s="80" t="s">
        <v>944</v>
      </c>
      <c r="C949" s="80" t="s">
        <v>2189</v>
      </c>
      <c r="D949" s="80"/>
      <c r="E949" s="80">
        <v>68427709</v>
      </c>
      <c r="F949" s="94">
        <v>50800</v>
      </c>
      <c r="G949" s="80" t="s">
        <v>72</v>
      </c>
      <c r="H949" s="80" t="s">
        <v>73</v>
      </c>
      <c r="I949" s="80" t="s">
        <v>92</v>
      </c>
      <c r="J949" s="80">
        <v>2023</v>
      </c>
      <c r="K949" s="80" t="s">
        <v>2190</v>
      </c>
      <c r="L949" s="80"/>
    </row>
    <row r="950" spans="1:12" x14ac:dyDescent="0.25">
      <c r="A950" s="83">
        <v>44770</v>
      </c>
      <c r="B950" s="80" t="s">
        <v>552</v>
      </c>
      <c r="C950" s="80" t="s">
        <v>2191</v>
      </c>
      <c r="D950" s="80"/>
      <c r="E950" s="80">
        <v>68427709</v>
      </c>
      <c r="F950" s="94">
        <v>30000</v>
      </c>
      <c r="G950" s="80" t="s">
        <v>72</v>
      </c>
      <c r="H950" s="80" t="s">
        <v>73</v>
      </c>
      <c r="I950" s="80" t="s">
        <v>92</v>
      </c>
      <c r="J950" s="80">
        <v>2023</v>
      </c>
      <c r="K950" s="80" t="s">
        <v>2190</v>
      </c>
      <c r="L950" s="80"/>
    </row>
    <row r="951" spans="1:12" x14ac:dyDescent="0.25">
      <c r="A951" s="83">
        <v>44770</v>
      </c>
      <c r="B951" s="80" t="s">
        <v>1789</v>
      </c>
      <c r="C951" s="80" t="s">
        <v>2192</v>
      </c>
      <c r="D951" s="80"/>
      <c r="E951" s="80">
        <v>68427709</v>
      </c>
      <c r="F951" s="94">
        <v>125000</v>
      </c>
      <c r="G951" s="80" t="s">
        <v>72</v>
      </c>
      <c r="H951" s="80" t="s">
        <v>73</v>
      </c>
      <c r="I951" s="80"/>
      <c r="J951" s="80">
        <v>2023</v>
      </c>
      <c r="K951" s="80" t="s">
        <v>2190</v>
      </c>
      <c r="L951" s="80"/>
    </row>
    <row r="952" spans="1:12" x14ac:dyDescent="0.25">
      <c r="A952" s="83">
        <v>44770</v>
      </c>
      <c r="B952" s="80" t="s">
        <v>2193</v>
      </c>
      <c r="C952" s="80" t="s">
        <v>1860</v>
      </c>
      <c r="D952" s="80"/>
      <c r="E952" s="80">
        <v>68427709</v>
      </c>
      <c r="F952" s="94">
        <v>-50000</v>
      </c>
      <c r="G952" s="80" t="s">
        <v>72</v>
      </c>
      <c r="H952" s="80" t="s">
        <v>73</v>
      </c>
      <c r="I952" s="80"/>
      <c r="J952" s="80">
        <v>2023</v>
      </c>
      <c r="K952" s="80" t="s">
        <v>2190</v>
      </c>
      <c r="L952" s="80"/>
    </row>
    <row r="953" spans="1:12" x14ac:dyDescent="0.25">
      <c r="A953" s="83">
        <v>44770</v>
      </c>
      <c r="B953" s="80" t="s">
        <v>2194</v>
      </c>
      <c r="C953" s="80" t="s">
        <v>2195</v>
      </c>
      <c r="D953" s="80"/>
      <c r="E953" s="80">
        <v>68427709</v>
      </c>
      <c r="F953" s="94">
        <v>-4000</v>
      </c>
      <c r="G953" s="80" t="s">
        <v>72</v>
      </c>
      <c r="H953" s="80" t="s">
        <v>73</v>
      </c>
      <c r="I953" s="80"/>
      <c r="J953" s="80">
        <v>2023</v>
      </c>
      <c r="K953" s="80" t="s">
        <v>2190</v>
      </c>
      <c r="L953" s="80"/>
    </row>
    <row r="954" spans="1:12" x14ac:dyDescent="0.25">
      <c r="A954" s="83">
        <v>44770</v>
      </c>
      <c r="B954" s="80" t="s">
        <v>2196</v>
      </c>
      <c r="C954" s="80" t="s">
        <v>2197</v>
      </c>
      <c r="D954" s="80"/>
      <c r="E954" s="80">
        <v>68427709</v>
      </c>
      <c r="F954" s="94">
        <v>20000</v>
      </c>
      <c r="G954" s="80" t="s">
        <v>72</v>
      </c>
      <c r="H954" s="80" t="s">
        <v>73</v>
      </c>
      <c r="I954" s="80"/>
      <c r="J954" s="80">
        <v>2023</v>
      </c>
      <c r="K954" s="80" t="s">
        <v>2190</v>
      </c>
      <c r="L954" s="80"/>
    </row>
    <row r="955" spans="1:12" x14ac:dyDescent="0.25">
      <c r="A955" s="83">
        <v>44770</v>
      </c>
      <c r="B955" s="80" t="s">
        <v>1792</v>
      </c>
      <c r="C955" s="80" t="s">
        <v>2198</v>
      </c>
      <c r="D955" s="80"/>
      <c r="E955" s="80">
        <v>68427709</v>
      </c>
      <c r="F955" s="94">
        <v>-92000</v>
      </c>
      <c r="G955" s="80" t="s">
        <v>72</v>
      </c>
      <c r="H955" s="80" t="s">
        <v>73</v>
      </c>
      <c r="I955" s="80"/>
      <c r="J955" s="80">
        <v>2023</v>
      </c>
      <c r="K955" s="80" t="s">
        <v>2190</v>
      </c>
      <c r="L955" s="80"/>
    </row>
    <row r="956" spans="1:12" x14ac:dyDescent="0.25">
      <c r="A956" s="83">
        <v>44770</v>
      </c>
      <c r="B956" s="80" t="s">
        <v>2199</v>
      </c>
      <c r="C956" s="80" t="s">
        <v>2200</v>
      </c>
      <c r="D956" s="80"/>
      <c r="E956" s="80">
        <v>68427709</v>
      </c>
      <c r="F956" s="94">
        <v>100000</v>
      </c>
      <c r="G956" s="80" t="s">
        <v>72</v>
      </c>
      <c r="H956" s="80" t="s">
        <v>73</v>
      </c>
      <c r="I956" s="80"/>
      <c r="J956" s="80">
        <v>2023</v>
      </c>
      <c r="K956" s="80" t="s">
        <v>2190</v>
      </c>
      <c r="L956" s="80"/>
    </row>
    <row r="957" spans="1:12" x14ac:dyDescent="0.25">
      <c r="A957" s="83">
        <v>44770</v>
      </c>
      <c r="B957" s="80" t="s">
        <v>1516</v>
      </c>
      <c r="C957" s="80" t="s">
        <v>2201</v>
      </c>
      <c r="D957" s="80"/>
      <c r="E957" s="80">
        <v>68427709</v>
      </c>
      <c r="F957" s="94">
        <v>50000</v>
      </c>
      <c r="G957" s="80" t="s">
        <v>72</v>
      </c>
      <c r="H957" s="80" t="s">
        <v>73</v>
      </c>
      <c r="I957" s="80" t="s">
        <v>1662</v>
      </c>
      <c r="J957" s="80">
        <v>2023</v>
      </c>
      <c r="K957" s="80" t="s">
        <v>2190</v>
      </c>
      <c r="L957" s="80"/>
    </row>
    <row r="958" spans="1:12" x14ac:dyDescent="0.25">
      <c r="A958" s="83">
        <v>44770</v>
      </c>
      <c r="B958" s="125" t="s">
        <v>1794</v>
      </c>
      <c r="C958" s="80"/>
      <c r="D958" s="80"/>
      <c r="E958" s="80">
        <v>68427709</v>
      </c>
      <c r="F958" s="94">
        <v>200</v>
      </c>
      <c r="G958" s="80" t="s">
        <v>72</v>
      </c>
      <c r="H958" s="80" t="s">
        <v>73</v>
      </c>
      <c r="I958" s="80" t="s">
        <v>1662</v>
      </c>
      <c r="J958" s="80">
        <v>2023</v>
      </c>
      <c r="K958" s="80" t="s">
        <v>2190</v>
      </c>
      <c r="L958" s="80"/>
    </row>
    <row r="959" spans="1:12" x14ac:dyDescent="0.25">
      <c r="A959" s="83">
        <v>44770</v>
      </c>
      <c r="B959" s="125" t="s">
        <v>1798</v>
      </c>
      <c r="C959" s="80" t="s">
        <v>2202</v>
      </c>
      <c r="D959" s="80"/>
      <c r="E959" s="80">
        <v>68427709</v>
      </c>
      <c r="F959" s="94">
        <v>20000</v>
      </c>
      <c r="G959" s="80" t="s">
        <v>72</v>
      </c>
      <c r="H959" s="80" t="s">
        <v>73</v>
      </c>
      <c r="I959" s="80" t="s">
        <v>1662</v>
      </c>
      <c r="J959" s="80">
        <v>2023</v>
      </c>
      <c r="K959" s="80" t="s">
        <v>2190</v>
      </c>
      <c r="L959" s="80"/>
    </row>
    <row r="960" spans="1:12" x14ac:dyDescent="0.25">
      <c r="A960" s="83">
        <v>44770</v>
      </c>
      <c r="B960" s="125" t="s">
        <v>1799</v>
      </c>
      <c r="C960" s="80" t="s">
        <v>2203</v>
      </c>
      <c r="D960" s="80"/>
      <c r="E960" s="80">
        <v>68427709</v>
      </c>
      <c r="F960" s="94">
        <v>-900</v>
      </c>
      <c r="G960" s="80" t="s">
        <v>72</v>
      </c>
      <c r="H960" s="80" t="s">
        <v>73</v>
      </c>
      <c r="I960" s="80" t="s">
        <v>1662</v>
      </c>
      <c r="J960" s="80">
        <v>2023</v>
      </c>
      <c r="K960" s="80" t="s">
        <v>2190</v>
      </c>
      <c r="L960" s="80"/>
    </row>
    <row r="961" spans="1:12" x14ac:dyDescent="0.25">
      <c r="A961" s="83">
        <v>44770</v>
      </c>
      <c r="B961" s="125" t="s">
        <v>1800</v>
      </c>
      <c r="C961" s="80" t="s">
        <v>2204</v>
      </c>
      <c r="D961" s="80"/>
      <c r="E961" s="80">
        <v>68427709</v>
      </c>
      <c r="F961" s="94">
        <v>153000</v>
      </c>
      <c r="G961" s="80" t="s">
        <v>72</v>
      </c>
      <c r="H961" s="80" t="s">
        <v>73</v>
      </c>
      <c r="I961" s="80" t="s">
        <v>1662</v>
      </c>
      <c r="J961" s="80">
        <v>2023</v>
      </c>
      <c r="K961" s="80" t="s">
        <v>2190</v>
      </c>
      <c r="L961" s="80"/>
    </row>
    <row r="962" spans="1:12" x14ac:dyDescent="0.25">
      <c r="A962" s="83">
        <v>44770</v>
      </c>
      <c r="B962" s="80" t="s">
        <v>600</v>
      </c>
      <c r="C962" s="80" t="s">
        <v>2205</v>
      </c>
      <c r="D962" s="80"/>
      <c r="E962" s="80">
        <v>68427709</v>
      </c>
      <c r="F962" s="94">
        <v>80000</v>
      </c>
      <c r="G962" s="80" t="s">
        <v>72</v>
      </c>
      <c r="H962" s="80" t="s">
        <v>73</v>
      </c>
      <c r="I962" s="80" t="s">
        <v>92</v>
      </c>
      <c r="J962" s="80">
        <v>2023</v>
      </c>
      <c r="K962" s="80" t="s">
        <v>2190</v>
      </c>
      <c r="L962" s="80"/>
    </row>
    <row r="963" spans="1:12" x14ac:dyDescent="0.25">
      <c r="A963" s="83">
        <v>44770</v>
      </c>
      <c r="B963" s="80" t="s">
        <v>1181</v>
      </c>
      <c r="C963" s="80"/>
      <c r="D963" s="80"/>
      <c r="E963" s="80">
        <v>68427709</v>
      </c>
      <c r="F963" s="94">
        <v>-5000</v>
      </c>
      <c r="G963" s="80" t="s">
        <v>72</v>
      </c>
      <c r="H963" s="80" t="s">
        <v>73</v>
      </c>
      <c r="I963" s="80"/>
      <c r="J963" s="80">
        <v>2023</v>
      </c>
      <c r="K963" s="80" t="s">
        <v>2190</v>
      </c>
      <c r="L963" s="80"/>
    </row>
    <row r="964" spans="1:12" x14ac:dyDescent="0.25">
      <c r="A964" s="83">
        <v>44770</v>
      </c>
      <c r="B964" s="80" t="s">
        <v>1803</v>
      </c>
      <c r="C964" s="80" t="s">
        <v>2206</v>
      </c>
      <c r="D964" s="80"/>
      <c r="E964" s="80">
        <v>68427709</v>
      </c>
      <c r="F964" s="94">
        <v>-249480</v>
      </c>
      <c r="G964" s="80" t="s">
        <v>72</v>
      </c>
      <c r="H964" s="80" t="s">
        <v>73</v>
      </c>
      <c r="I964" s="80"/>
      <c r="J964" s="80">
        <v>2023</v>
      </c>
      <c r="K964" s="80" t="s">
        <v>2190</v>
      </c>
      <c r="L964" s="80"/>
    </row>
    <row r="965" spans="1:12" x14ac:dyDescent="0.25">
      <c r="A965" s="83">
        <v>44770</v>
      </c>
      <c r="B965" s="80" t="s">
        <v>2207</v>
      </c>
      <c r="C965" s="80" t="s">
        <v>2208</v>
      </c>
      <c r="D965" s="80"/>
      <c r="E965" s="80">
        <v>68427709</v>
      </c>
      <c r="F965" s="94">
        <v>222000</v>
      </c>
      <c r="G965" s="80" t="s">
        <v>72</v>
      </c>
      <c r="H965" s="80" t="s">
        <v>73</v>
      </c>
      <c r="I965" s="80"/>
      <c r="J965" s="80">
        <v>2023</v>
      </c>
      <c r="K965" s="80" t="s">
        <v>2190</v>
      </c>
      <c r="L965" s="80"/>
    </row>
    <row r="966" spans="1:12" x14ac:dyDescent="0.25">
      <c r="A966" s="83">
        <v>44770</v>
      </c>
      <c r="B966" s="80" t="s">
        <v>1806</v>
      </c>
      <c r="C966" s="80" t="s">
        <v>2209</v>
      </c>
      <c r="D966" s="80"/>
      <c r="E966" s="80">
        <v>68427709</v>
      </c>
      <c r="F966" s="94">
        <v>11040</v>
      </c>
      <c r="G966" s="80" t="s">
        <v>72</v>
      </c>
      <c r="H966" s="80" t="s">
        <v>73</v>
      </c>
      <c r="I966" s="80"/>
      <c r="J966" s="80">
        <v>2023</v>
      </c>
      <c r="K966" s="80" t="s">
        <v>2190</v>
      </c>
      <c r="L966" s="80"/>
    </row>
    <row r="967" spans="1:12" x14ac:dyDescent="0.25">
      <c r="A967" s="83">
        <v>44770</v>
      </c>
      <c r="B967" s="80" t="s">
        <v>2210</v>
      </c>
      <c r="C967" s="80" t="s">
        <v>2209</v>
      </c>
      <c r="D967" s="80"/>
      <c r="E967" s="80">
        <v>68427709</v>
      </c>
      <c r="F967" s="94">
        <v>-11200</v>
      </c>
      <c r="G967" s="80" t="s">
        <v>72</v>
      </c>
      <c r="H967" s="80" t="s">
        <v>73</v>
      </c>
      <c r="I967" s="80"/>
      <c r="J967" s="80">
        <v>2023</v>
      </c>
      <c r="K967" s="80" t="s">
        <v>2190</v>
      </c>
      <c r="L967" s="80"/>
    </row>
    <row r="968" spans="1:12" x14ac:dyDescent="0.25">
      <c r="A968" s="83">
        <v>44770</v>
      </c>
      <c r="B968" s="80" t="s">
        <v>534</v>
      </c>
      <c r="C968" s="80" t="s">
        <v>2211</v>
      </c>
      <c r="D968" s="80"/>
      <c r="E968" s="80">
        <v>68427709</v>
      </c>
      <c r="F968" s="94">
        <v>-150000</v>
      </c>
      <c r="G968" s="80" t="s">
        <v>72</v>
      </c>
      <c r="H968" s="80" t="s">
        <v>73</v>
      </c>
      <c r="I968" s="80"/>
      <c r="J968" s="80">
        <v>2023</v>
      </c>
      <c r="K968" s="80" t="s">
        <v>2190</v>
      </c>
      <c r="L968" s="80"/>
    </row>
    <row r="969" spans="1:12" x14ac:dyDescent="0.25">
      <c r="A969" s="83">
        <v>44770</v>
      </c>
      <c r="B969" s="80" t="s">
        <v>1345</v>
      </c>
      <c r="C969" s="80" t="s">
        <v>2212</v>
      </c>
      <c r="D969" s="80"/>
      <c r="E969" s="80">
        <v>68427709</v>
      </c>
      <c r="F969" s="94">
        <v>-50000</v>
      </c>
      <c r="G969" s="80" t="s">
        <v>72</v>
      </c>
      <c r="H969" s="80" t="s">
        <v>73</v>
      </c>
      <c r="I969" s="80"/>
      <c r="J969" s="80">
        <v>2023</v>
      </c>
      <c r="K969" s="80" t="s">
        <v>2190</v>
      </c>
      <c r="L969" s="80"/>
    </row>
    <row r="970" spans="1:12" x14ac:dyDescent="0.25">
      <c r="A970" s="83">
        <v>44770</v>
      </c>
      <c r="B970" s="80" t="s">
        <v>2213</v>
      </c>
      <c r="C970" s="80" t="s">
        <v>2211</v>
      </c>
      <c r="D970" s="80"/>
      <c r="E970" s="80">
        <v>68427709</v>
      </c>
      <c r="F970" s="94">
        <v>-250000</v>
      </c>
      <c r="G970" s="80" t="s">
        <v>72</v>
      </c>
      <c r="H970" s="80" t="s">
        <v>73</v>
      </c>
      <c r="I970" s="80"/>
      <c r="J970" s="80">
        <v>2023</v>
      </c>
      <c r="K970" s="80" t="s">
        <v>2190</v>
      </c>
      <c r="L970" s="80"/>
    </row>
    <row r="971" spans="1:12" x14ac:dyDescent="0.25">
      <c r="A971" s="83">
        <v>44770</v>
      </c>
      <c r="B971" s="80" t="s">
        <v>2214</v>
      </c>
      <c r="C971" s="80"/>
      <c r="D971" s="80"/>
      <c r="E971" s="80">
        <v>68427709</v>
      </c>
      <c r="F971" s="94">
        <v>3200</v>
      </c>
      <c r="G971" s="80" t="s">
        <v>72</v>
      </c>
      <c r="H971" s="80" t="s">
        <v>73</v>
      </c>
      <c r="I971" s="80"/>
      <c r="J971" s="80">
        <v>2023</v>
      </c>
      <c r="K971" s="80" t="s">
        <v>2190</v>
      </c>
      <c r="L971" s="80"/>
    </row>
    <row r="972" spans="1:12" x14ac:dyDescent="0.25">
      <c r="A972" s="83">
        <v>44770</v>
      </c>
      <c r="B972" s="80" t="s">
        <v>2215</v>
      </c>
      <c r="C972" s="80" t="s">
        <v>2216</v>
      </c>
      <c r="D972" s="80"/>
      <c r="E972" s="80">
        <v>68427709</v>
      </c>
      <c r="F972" s="94">
        <v>30056</v>
      </c>
      <c r="G972" s="80" t="s">
        <v>261</v>
      </c>
      <c r="H972" s="80" t="s">
        <v>73</v>
      </c>
      <c r="I972" s="80"/>
      <c r="J972" s="80">
        <v>2023</v>
      </c>
      <c r="K972" s="80" t="s">
        <v>2190</v>
      </c>
      <c r="L972" s="80" t="s">
        <v>2217</v>
      </c>
    </row>
    <row r="973" spans="1:12" x14ac:dyDescent="0.25">
      <c r="A973" s="83">
        <v>44770</v>
      </c>
      <c r="B973" s="80" t="s">
        <v>2218</v>
      </c>
      <c r="C973" s="80"/>
      <c r="D973" s="80"/>
      <c r="E973" s="80">
        <v>68427709</v>
      </c>
      <c r="F973" s="94">
        <v>80</v>
      </c>
      <c r="G973" s="80" t="s">
        <v>72</v>
      </c>
      <c r="H973" s="80" t="s">
        <v>73</v>
      </c>
      <c r="I973" s="80"/>
      <c r="J973" s="80">
        <v>2023</v>
      </c>
      <c r="K973" s="80" t="s">
        <v>2190</v>
      </c>
      <c r="L973" s="80"/>
    </row>
    <row r="974" spans="1:12" x14ac:dyDescent="0.25">
      <c r="A974" s="83">
        <v>44770</v>
      </c>
      <c r="B974" s="80" t="s">
        <v>2219</v>
      </c>
      <c r="C974" s="80"/>
      <c r="D974" s="80"/>
      <c r="E974" s="80">
        <v>68427709</v>
      </c>
      <c r="F974" s="94">
        <v>1000</v>
      </c>
      <c r="G974" s="80" t="s">
        <v>72</v>
      </c>
      <c r="H974" s="80" t="s">
        <v>73</v>
      </c>
      <c r="I974" s="80"/>
      <c r="J974" s="80">
        <v>2023</v>
      </c>
      <c r="K974" s="80" t="s">
        <v>2190</v>
      </c>
      <c r="L974" s="80"/>
    </row>
    <row r="975" spans="1:12" x14ac:dyDescent="0.25">
      <c r="A975" s="83">
        <v>44770</v>
      </c>
      <c r="B975" s="80" t="s">
        <v>2220</v>
      </c>
      <c r="C975" s="80" t="s">
        <v>2221</v>
      </c>
      <c r="D975" s="80"/>
      <c r="E975" s="80">
        <v>68427709</v>
      </c>
      <c r="F975" s="94">
        <v>9000</v>
      </c>
      <c r="G975" s="80" t="s">
        <v>72</v>
      </c>
      <c r="H975" s="80" t="s">
        <v>73</v>
      </c>
      <c r="I975" s="80"/>
      <c r="J975" s="80">
        <v>2023</v>
      </c>
      <c r="K975" s="80" t="s">
        <v>2190</v>
      </c>
      <c r="L975" s="80"/>
    </row>
    <row r="976" spans="1:12" x14ac:dyDescent="0.25">
      <c r="A976" s="83">
        <v>44770</v>
      </c>
      <c r="B976" s="80" t="s">
        <v>1469</v>
      </c>
      <c r="C976" s="80" t="s">
        <v>2222</v>
      </c>
      <c r="D976" s="80"/>
      <c r="E976" s="80">
        <v>68427709</v>
      </c>
      <c r="F976" s="94">
        <v>75000</v>
      </c>
      <c r="G976" s="80" t="s">
        <v>72</v>
      </c>
      <c r="H976" s="80" t="s">
        <v>73</v>
      </c>
      <c r="I976" s="80"/>
      <c r="J976" s="80">
        <v>2023</v>
      </c>
      <c r="K976" s="80" t="s">
        <v>2190</v>
      </c>
      <c r="L976" s="80"/>
    </row>
    <row r="977" spans="1:12" x14ac:dyDescent="0.25">
      <c r="A977" s="83">
        <v>44770</v>
      </c>
      <c r="B977" s="80" t="s">
        <v>2223</v>
      </c>
      <c r="C977" s="80" t="s">
        <v>2224</v>
      </c>
      <c r="D977" s="80" t="s">
        <v>2225</v>
      </c>
      <c r="E977" s="80">
        <v>68427709</v>
      </c>
      <c r="F977" s="94">
        <v>2500</v>
      </c>
      <c r="G977" s="80" t="s">
        <v>72</v>
      </c>
      <c r="H977" s="80" t="s">
        <v>73</v>
      </c>
      <c r="I977" s="80"/>
      <c r="J977" s="80">
        <v>2023</v>
      </c>
      <c r="K977" s="80" t="s">
        <v>2190</v>
      </c>
      <c r="L977" s="80"/>
    </row>
    <row r="978" spans="1:12" x14ac:dyDescent="0.25">
      <c r="A978" s="83">
        <v>44770</v>
      </c>
      <c r="B978" s="80" t="s">
        <v>2226</v>
      </c>
      <c r="C978" s="80" t="s">
        <v>2227</v>
      </c>
      <c r="D978" s="80" t="s">
        <v>2228</v>
      </c>
      <c r="E978" s="80">
        <v>68427709</v>
      </c>
      <c r="F978" s="94">
        <v>0</v>
      </c>
      <c r="G978" s="80" t="s">
        <v>72</v>
      </c>
      <c r="H978" s="80" t="s">
        <v>73</v>
      </c>
      <c r="I978" s="80"/>
      <c r="J978" s="80">
        <v>2023</v>
      </c>
      <c r="K978" s="80" t="s">
        <v>2190</v>
      </c>
      <c r="L978" s="80"/>
    </row>
    <row r="979" spans="1:12" x14ac:dyDescent="0.25">
      <c r="A979" s="83">
        <v>44770</v>
      </c>
      <c r="B979" s="80"/>
      <c r="C979" s="80"/>
      <c r="D979" s="80"/>
      <c r="E979" s="80">
        <v>68427709</v>
      </c>
      <c r="F979" s="94"/>
      <c r="G979" s="80"/>
      <c r="H979" s="80"/>
      <c r="I979" s="80"/>
      <c r="J979" s="80"/>
      <c r="K979" s="80" t="s">
        <v>2190</v>
      </c>
      <c r="L979" s="80"/>
    </row>
    <row r="980" spans="1:12" x14ac:dyDescent="0.25">
      <c r="A980" s="80"/>
      <c r="B980" s="80"/>
      <c r="C980" s="80"/>
      <c r="D980" s="80"/>
      <c r="E980" s="80">
        <v>68427709</v>
      </c>
      <c r="F980" s="94"/>
      <c r="G980" s="80"/>
      <c r="H980" s="80"/>
      <c r="I980" s="80"/>
      <c r="J980" s="80"/>
      <c r="K980" s="80"/>
      <c r="L980" s="80"/>
    </row>
    <row r="981" spans="1:12" x14ac:dyDescent="0.25">
      <c r="A981" s="80"/>
      <c r="B981" s="80"/>
      <c r="C981" s="80"/>
      <c r="D981" s="80"/>
      <c r="E981" s="80">
        <v>68427709</v>
      </c>
      <c r="F981" s="94"/>
      <c r="G981" s="80"/>
      <c r="H981" s="80"/>
      <c r="I981" s="80"/>
      <c r="J981" s="80"/>
      <c r="K981" s="80"/>
      <c r="L981" s="80"/>
    </row>
    <row r="982" spans="1:12" x14ac:dyDescent="0.25">
      <c r="A982" s="80"/>
      <c r="B982" s="80"/>
      <c r="C982" s="80"/>
      <c r="D982" s="80"/>
      <c r="E982" s="80">
        <v>68427709</v>
      </c>
      <c r="F982" s="94"/>
      <c r="G982" s="80"/>
      <c r="H982" s="80"/>
      <c r="I982" s="80"/>
      <c r="J982" s="80"/>
      <c r="K982" s="80"/>
      <c r="L982" s="80"/>
    </row>
    <row r="983" spans="1:12" x14ac:dyDescent="0.25">
      <c r="A983" s="83">
        <v>44770</v>
      </c>
      <c r="B983" s="80" t="s">
        <v>2229</v>
      </c>
      <c r="C983" s="80" t="s">
        <v>2230</v>
      </c>
      <c r="D983" s="80"/>
      <c r="E983" s="80">
        <v>68427709</v>
      </c>
      <c r="F983" s="94">
        <v>-25000</v>
      </c>
      <c r="G983" s="80" t="s">
        <v>261</v>
      </c>
      <c r="H983" s="80" t="s">
        <v>73</v>
      </c>
      <c r="I983" s="80" t="s">
        <v>1662</v>
      </c>
      <c r="J983" s="80">
        <v>2023</v>
      </c>
      <c r="K983" s="80" t="s">
        <v>130</v>
      </c>
      <c r="L983" s="80"/>
    </row>
    <row r="984" spans="1:12" ht="22.35" customHeight="1" x14ac:dyDescent="0.25">
      <c r="A984" s="83">
        <v>44774</v>
      </c>
      <c r="B984" s="80" t="s">
        <v>2231</v>
      </c>
      <c r="C984" s="80" t="s">
        <v>2119</v>
      </c>
      <c r="D984" s="80" t="s">
        <v>311</v>
      </c>
      <c r="E984" s="80">
        <v>68427709</v>
      </c>
      <c r="F984" s="94">
        <v>-100000</v>
      </c>
      <c r="G984" s="80" t="s">
        <v>72</v>
      </c>
      <c r="H984" s="80" t="s">
        <v>73</v>
      </c>
      <c r="I984" s="80" t="s">
        <v>92</v>
      </c>
      <c r="J984" s="80">
        <v>2023</v>
      </c>
      <c r="K984" s="80" t="s">
        <v>1053</v>
      </c>
      <c r="L984" s="80"/>
    </row>
    <row r="985" spans="1:12" x14ac:dyDescent="0.25">
      <c r="A985" s="83">
        <v>44774</v>
      </c>
      <c r="B985" s="80" t="s">
        <v>2232</v>
      </c>
      <c r="C985" s="80" t="s">
        <v>2233</v>
      </c>
      <c r="D985" s="80"/>
      <c r="E985" s="80">
        <v>68427709</v>
      </c>
      <c r="F985" s="94">
        <v>35000</v>
      </c>
      <c r="G985" s="80" t="s">
        <v>72</v>
      </c>
      <c r="H985" s="80" t="s">
        <v>73</v>
      </c>
      <c r="I985" s="80" t="s">
        <v>1956</v>
      </c>
      <c r="J985" s="80">
        <v>2023</v>
      </c>
      <c r="K985" s="80" t="s">
        <v>1752</v>
      </c>
      <c r="L985" s="80"/>
    </row>
    <row r="986" spans="1:12" x14ac:dyDescent="0.25">
      <c r="A986" s="83">
        <v>44774</v>
      </c>
      <c r="B986" s="80" t="s">
        <v>1756</v>
      </c>
      <c r="C986" s="80" t="s">
        <v>2234</v>
      </c>
      <c r="D986" s="80"/>
      <c r="E986" s="80">
        <v>68427709</v>
      </c>
      <c r="F986" s="94">
        <v>-90000</v>
      </c>
      <c r="G986" s="80" t="s">
        <v>72</v>
      </c>
      <c r="H986" s="80" t="s">
        <v>73</v>
      </c>
      <c r="I986" s="80" t="s">
        <v>1662</v>
      </c>
      <c r="J986" s="80">
        <v>2023</v>
      </c>
      <c r="K986" s="80" t="s">
        <v>1752</v>
      </c>
      <c r="L986" s="80"/>
    </row>
    <row r="987" spans="1:12" x14ac:dyDescent="0.25">
      <c r="A987" s="83">
        <v>44774</v>
      </c>
      <c r="B987" s="80" t="s">
        <v>1214</v>
      </c>
      <c r="C987" s="80"/>
      <c r="D987" s="80"/>
      <c r="E987" s="80">
        <v>68427709</v>
      </c>
      <c r="F987" s="94">
        <v>-75000</v>
      </c>
      <c r="G987" s="80" t="s">
        <v>72</v>
      </c>
      <c r="H987" s="80" t="s">
        <v>73</v>
      </c>
      <c r="I987" s="80" t="s">
        <v>1662</v>
      </c>
      <c r="J987" s="80">
        <v>2023</v>
      </c>
      <c r="K987" s="80" t="s">
        <v>1752</v>
      </c>
      <c r="L987" s="80"/>
    </row>
    <row r="988" spans="1:12" x14ac:dyDescent="0.25">
      <c r="A988" s="83">
        <v>44774</v>
      </c>
      <c r="B988" s="80" t="s">
        <v>2235</v>
      </c>
      <c r="C988" s="80" t="s">
        <v>1868</v>
      </c>
      <c r="D988" s="80"/>
      <c r="E988" s="80">
        <v>68427709</v>
      </c>
      <c r="F988" s="94">
        <v>24000</v>
      </c>
      <c r="G988" s="80" t="s">
        <v>72</v>
      </c>
      <c r="H988" s="80" t="s">
        <v>73</v>
      </c>
      <c r="I988" s="80" t="s">
        <v>1662</v>
      </c>
      <c r="J988" s="80">
        <v>2023</v>
      </c>
      <c r="K988" s="80" t="s">
        <v>1752</v>
      </c>
      <c r="L988" s="80"/>
    </row>
    <row r="989" spans="1:12" x14ac:dyDescent="0.25">
      <c r="A989" s="83">
        <v>44774</v>
      </c>
      <c r="B989" s="80" t="s">
        <v>2236</v>
      </c>
      <c r="C989" s="80" t="s">
        <v>1868</v>
      </c>
      <c r="D989" s="80"/>
      <c r="E989" s="80">
        <v>68427709</v>
      </c>
      <c r="F989" s="94">
        <v>60000</v>
      </c>
      <c r="G989" s="80" t="s">
        <v>72</v>
      </c>
      <c r="H989" s="80" t="s">
        <v>73</v>
      </c>
      <c r="I989" s="80" t="s">
        <v>1662</v>
      </c>
      <c r="J989" s="80">
        <v>2023</v>
      </c>
      <c r="K989" s="80" t="s">
        <v>1752</v>
      </c>
      <c r="L989" s="80"/>
    </row>
    <row r="990" spans="1:12" x14ac:dyDescent="0.25">
      <c r="A990" s="83">
        <v>44774</v>
      </c>
      <c r="B990" s="80" t="s">
        <v>2237</v>
      </c>
      <c r="C990" s="80" t="s">
        <v>2238</v>
      </c>
      <c r="D990" s="80" t="s">
        <v>311</v>
      </c>
      <c r="E990" s="80">
        <v>68427709</v>
      </c>
      <c r="F990" s="94">
        <v>125000</v>
      </c>
      <c r="G990" s="80" t="s">
        <v>72</v>
      </c>
      <c r="H990" s="80" t="s">
        <v>73</v>
      </c>
      <c r="I990" s="80" t="s">
        <v>92</v>
      </c>
      <c r="J990" s="80">
        <v>2023</v>
      </c>
      <c r="K990" s="80" t="s">
        <v>1752</v>
      </c>
      <c r="L990" s="80"/>
    </row>
    <row r="991" spans="1:12" x14ac:dyDescent="0.25">
      <c r="A991" s="83">
        <v>44774</v>
      </c>
      <c r="B991" s="80" t="s">
        <v>2239</v>
      </c>
      <c r="C991" s="80" t="s">
        <v>2240</v>
      </c>
      <c r="D991" s="80" t="s">
        <v>311</v>
      </c>
      <c r="E991" s="80">
        <v>68427709</v>
      </c>
      <c r="F991" s="94">
        <v>-120000</v>
      </c>
      <c r="G991" s="80" t="s">
        <v>72</v>
      </c>
      <c r="H991" s="80" t="s">
        <v>73</v>
      </c>
      <c r="I991" s="80" t="s">
        <v>92</v>
      </c>
      <c r="J991" s="80">
        <v>2023</v>
      </c>
      <c r="K991" s="80" t="s">
        <v>1053</v>
      </c>
      <c r="L991" s="80"/>
    </row>
    <row r="992" spans="1:12" x14ac:dyDescent="0.25">
      <c r="A992" s="83">
        <v>44774</v>
      </c>
      <c r="B992" s="153" t="s">
        <v>1446</v>
      </c>
      <c r="C992" s="80" t="s">
        <v>2241</v>
      </c>
      <c r="D992" s="80" t="s">
        <v>311</v>
      </c>
      <c r="E992" s="80">
        <v>68427709</v>
      </c>
      <c r="F992" s="94">
        <v>150000</v>
      </c>
      <c r="G992" s="80" t="s">
        <v>72</v>
      </c>
      <c r="H992" s="80" t="s">
        <v>73</v>
      </c>
      <c r="I992" s="80" t="s">
        <v>92</v>
      </c>
      <c r="J992" s="80">
        <v>2023</v>
      </c>
      <c r="K992" s="80" t="s">
        <v>1053</v>
      </c>
      <c r="L992" s="80"/>
    </row>
    <row r="993" spans="1:12" x14ac:dyDescent="0.25">
      <c r="A993" s="83">
        <v>44774</v>
      </c>
      <c r="B993" s="153" t="s">
        <v>1448</v>
      </c>
      <c r="C993" s="80" t="s">
        <v>2241</v>
      </c>
      <c r="D993" s="80" t="s">
        <v>311</v>
      </c>
      <c r="E993" s="80">
        <v>68427709</v>
      </c>
      <c r="F993" s="94">
        <v>60000</v>
      </c>
      <c r="G993" s="80" t="s">
        <v>72</v>
      </c>
      <c r="H993" s="80" t="s">
        <v>73</v>
      </c>
      <c r="I993" s="80" t="s">
        <v>92</v>
      </c>
      <c r="J993" s="80">
        <v>2023</v>
      </c>
      <c r="K993" s="80" t="s">
        <v>1053</v>
      </c>
      <c r="L993" s="80"/>
    </row>
    <row r="994" spans="1:12" x14ac:dyDescent="0.25">
      <c r="A994" s="83">
        <v>44774</v>
      </c>
      <c r="B994" s="153" t="s">
        <v>2242</v>
      </c>
      <c r="C994" s="80" t="s">
        <v>2241</v>
      </c>
      <c r="D994" s="80" t="s">
        <v>311</v>
      </c>
      <c r="E994" s="80">
        <v>68427709</v>
      </c>
      <c r="F994" s="94">
        <v>-185000</v>
      </c>
      <c r="G994" s="80" t="s">
        <v>72</v>
      </c>
      <c r="H994" s="80" t="s">
        <v>73</v>
      </c>
      <c r="I994" s="80" t="s">
        <v>92</v>
      </c>
      <c r="J994" s="80">
        <v>2023</v>
      </c>
      <c r="K994" s="80" t="s">
        <v>1053</v>
      </c>
      <c r="L994" s="80"/>
    </row>
    <row r="995" spans="1:12" x14ac:dyDescent="0.25">
      <c r="A995" s="83">
        <v>44774</v>
      </c>
      <c r="B995" s="153" t="s">
        <v>1445</v>
      </c>
      <c r="C995" s="80" t="s">
        <v>2241</v>
      </c>
      <c r="D995" s="80" t="s">
        <v>311</v>
      </c>
      <c r="E995" s="80">
        <v>68427709</v>
      </c>
      <c r="F995" s="94">
        <v>-40000</v>
      </c>
      <c r="G995" s="80" t="s">
        <v>72</v>
      </c>
      <c r="H995" s="80" t="s">
        <v>73</v>
      </c>
      <c r="I995" s="80" t="s">
        <v>92</v>
      </c>
      <c r="J995" s="80">
        <v>2023</v>
      </c>
      <c r="K995" s="80" t="s">
        <v>1053</v>
      </c>
      <c r="L995" s="80"/>
    </row>
    <row r="996" spans="1:12" x14ac:dyDescent="0.25">
      <c r="A996" s="83">
        <v>44774</v>
      </c>
      <c r="B996" s="80" t="s">
        <v>2243</v>
      </c>
      <c r="C996" s="80" t="s">
        <v>2244</v>
      </c>
      <c r="D996" s="80"/>
      <c r="E996" s="80">
        <v>68427709</v>
      </c>
      <c r="F996" s="94">
        <v>24000</v>
      </c>
      <c r="G996" s="80" t="s">
        <v>72</v>
      </c>
      <c r="H996" s="80" t="s">
        <v>73</v>
      </c>
      <c r="I996" s="80"/>
      <c r="J996" s="80">
        <v>2023</v>
      </c>
      <c r="K996" s="80" t="s">
        <v>1596</v>
      </c>
      <c r="L996" s="80"/>
    </row>
    <row r="997" spans="1:12" x14ac:dyDescent="0.25">
      <c r="A997" s="83">
        <v>44774</v>
      </c>
      <c r="B997" s="80" t="s">
        <v>1480</v>
      </c>
      <c r="C997" s="80" t="s">
        <v>2245</v>
      </c>
      <c r="D997" s="80"/>
      <c r="E997" s="80">
        <v>68427709</v>
      </c>
      <c r="F997" s="94">
        <v>20000</v>
      </c>
      <c r="G997" s="80" t="s">
        <v>72</v>
      </c>
      <c r="H997" s="80" t="s">
        <v>73</v>
      </c>
      <c r="I997" s="80"/>
      <c r="J997" s="80">
        <v>2023</v>
      </c>
      <c r="K997" s="80" t="s">
        <v>1596</v>
      </c>
      <c r="L997" s="80"/>
    </row>
    <row r="998" spans="1:12" x14ac:dyDescent="0.25">
      <c r="A998" s="83">
        <v>44774</v>
      </c>
      <c r="B998" s="80" t="s">
        <v>2246</v>
      </c>
      <c r="C998" s="80"/>
      <c r="D998" s="80"/>
      <c r="E998" s="80">
        <v>68427709</v>
      </c>
      <c r="F998" s="94">
        <v>2000</v>
      </c>
      <c r="G998" s="80" t="s">
        <v>72</v>
      </c>
      <c r="H998" s="80" t="s">
        <v>73</v>
      </c>
      <c r="I998" s="80"/>
      <c r="J998" s="80">
        <v>2023</v>
      </c>
      <c r="K998" s="80" t="s">
        <v>1596</v>
      </c>
      <c r="L998" s="80"/>
    </row>
    <row r="999" spans="1:12" x14ac:dyDescent="0.25">
      <c r="A999" s="83">
        <v>44774</v>
      </c>
      <c r="B999" s="80" t="s">
        <v>2247</v>
      </c>
      <c r="C999" s="80" t="s">
        <v>2248</v>
      </c>
      <c r="D999" s="80"/>
      <c r="E999" s="80">
        <v>68427709</v>
      </c>
      <c r="F999" s="94">
        <v>25000</v>
      </c>
      <c r="G999" s="80" t="s">
        <v>72</v>
      </c>
      <c r="H999" s="80" t="s">
        <v>73</v>
      </c>
      <c r="I999" s="80"/>
      <c r="J999" s="80">
        <v>2023</v>
      </c>
      <c r="K999" s="80" t="s">
        <v>1596</v>
      </c>
      <c r="L999" s="80"/>
    </row>
    <row r="1000" spans="1:12" x14ac:dyDescent="0.25">
      <c r="A1000" s="83">
        <v>44774</v>
      </c>
      <c r="B1000" s="80" t="s">
        <v>2249</v>
      </c>
      <c r="C1000" s="80"/>
      <c r="D1000" s="80"/>
      <c r="E1000" s="80">
        <v>68427709</v>
      </c>
      <c r="F1000" s="94">
        <v>54000</v>
      </c>
      <c r="G1000" s="80" t="s">
        <v>72</v>
      </c>
      <c r="H1000" s="80" t="s">
        <v>73</v>
      </c>
      <c r="I1000" s="80"/>
      <c r="J1000" s="80">
        <v>2023</v>
      </c>
      <c r="K1000" s="80" t="s">
        <v>1596</v>
      </c>
      <c r="L1000" s="80"/>
    </row>
    <row r="1001" spans="1:12" x14ac:dyDescent="0.25">
      <c r="A1001" s="83">
        <v>44774</v>
      </c>
      <c r="B1001" s="80" t="s">
        <v>580</v>
      </c>
      <c r="C1001" s="80"/>
      <c r="D1001" s="80"/>
      <c r="E1001" s="80">
        <v>68427709</v>
      </c>
      <c r="F1001" s="94">
        <v>5000</v>
      </c>
      <c r="G1001" s="80" t="s">
        <v>72</v>
      </c>
      <c r="H1001" s="80" t="s">
        <v>73</v>
      </c>
      <c r="I1001" s="80"/>
      <c r="J1001" s="80">
        <v>2023</v>
      </c>
      <c r="K1001" s="80" t="s">
        <v>1596</v>
      </c>
      <c r="L1001" s="80"/>
    </row>
    <row r="1002" spans="1:12" x14ac:dyDescent="0.25">
      <c r="A1002" s="83">
        <v>44774</v>
      </c>
      <c r="B1002" s="80" t="s">
        <v>2250</v>
      </c>
      <c r="C1002" s="80" t="s">
        <v>2251</v>
      </c>
      <c r="D1002" s="80"/>
      <c r="E1002" s="80">
        <v>68427709</v>
      </c>
      <c r="F1002" s="94">
        <v>-75000</v>
      </c>
      <c r="G1002" s="80" t="s">
        <v>72</v>
      </c>
      <c r="H1002" s="80" t="s">
        <v>73</v>
      </c>
      <c r="I1002" s="80"/>
      <c r="J1002" s="80">
        <v>2023</v>
      </c>
      <c r="K1002" s="80" t="s">
        <v>1596</v>
      </c>
      <c r="L1002" s="80"/>
    </row>
    <row r="1003" spans="1:12" x14ac:dyDescent="0.25">
      <c r="A1003" s="83">
        <v>44774</v>
      </c>
      <c r="B1003" s="80" t="s">
        <v>870</v>
      </c>
      <c r="C1003" s="80" t="s">
        <v>2252</v>
      </c>
      <c r="D1003" s="80"/>
      <c r="E1003" s="80">
        <v>68427709</v>
      </c>
      <c r="F1003" s="94">
        <v>7000</v>
      </c>
      <c r="G1003" s="80" t="s">
        <v>72</v>
      </c>
      <c r="H1003" s="80" t="s">
        <v>73</v>
      </c>
      <c r="I1003" s="80"/>
      <c r="J1003" s="80">
        <v>2023</v>
      </c>
      <c r="K1003" s="80" t="s">
        <v>1596</v>
      </c>
      <c r="L1003" s="80"/>
    </row>
    <row r="1004" spans="1:12" x14ac:dyDescent="0.25">
      <c r="A1004" s="83">
        <v>44774</v>
      </c>
      <c r="B1004" s="80" t="s">
        <v>727</v>
      </c>
      <c r="C1004" s="80"/>
      <c r="D1004" s="80"/>
      <c r="E1004" s="80">
        <v>68427709</v>
      </c>
      <c r="F1004" s="94">
        <v>11000</v>
      </c>
      <c r="G1004" s="80" t="s">
        <v>72</v>
      </c>
      <c r="H1004" s="80" t="s">
        <v>73</v>
      </c>
      <c r="I1004" s="80"/>
      <c r="J1004" s="80">
        <v>2023</v>
      </c>
      <c r="K1004" s="80" t="s">
        <v>1596</v>
      </c>
      <c r="L1004" s="80"/>
    </row>
    <row r="1005" spans="1:12" x14ac:dyDescent="0.25">
      <c r="A1005" s="83">
        <v>44774</v>
      </c>
      <c r="B1005" s="80" t="s">
        <v>120</v>
      </c>
      <c r="C1005" s="80" t="s">
        <v>2253</v>
      </c>
      <c r="D1005" s="80"/>
      <c r="E1005" s="80">
        <v>68427709</v>
      </c>
      <c r="F1005" s="94">
        <v>118000</v>
      </c>
      <c r="G1005" s="80" t="s">
        <v>72</v>
      </c>
      <c r="H1005" s="80" t="s">
        <v>73</v>
      </c>
      <c r="I1005" s="80"/>
      <c r="J1005" s="80">
        <v>2023</v>
      </c>
      <c r="K1005" s="80" t="s">
        <v>1596</v>
      </c>
      <c r="L1005" s="80"/>
    </row>
    <row r="1006" spans="1:12" x14ac:dyDescent="0.25">
      <c r="A1006" s="83">
        <v>44774</v>
      </c>
      <c r="B1006" s="80" t="s">
        <v>2254</v>
      </c>
      <c r="C1006" s="80"/>
      <c r="D1006" s="80"/>
      <c r="E1006" s="80">
        <v>68427709</v>
      </c>
      <c r="F1006" s="94">
        <v>2000</v>
      </c>
      <c r="G1006" s="80" t="s">
        <v>72</v>
      </c>
      <c r="H1006" s="80" t="s">
        <v>73</v>
      </c>
      <c r="I1006" s="80"/>
      <c r="J1006" s="80">
        <v>2023</v>
      </c>
      <c r="K1006" s="80" t="s">
        <v>1596</v>
      </c>
      <c r="L1006" s="80"/>
    </row>
    <row r="1007" spans="1:12" x14ac:dyDescent="0.25">
      <c r="A1007" s="83">
        <v>44774</v>
      </c>
      <c r="B1007" s="80" t="s">
        <v>2255</v>
      </c>
      <c r="C1007" s="80" t="s">
        <v>2155</v>
      </c>
      <c r="D1007" s="80"/>
      <c r="E1007" s="80">
        <v>68427709</v>
      </c>
      <c r="F1007" s="94">
        <v>-33000</v>
      </c>
      <c r="G1007" s="80" t="s">
        <v>72</v>
      </c>
      <c r="H1007" s="80" t="s">
        <v>73</v>
      </c>
      <c r="I1007" s="80"/>
      <c r="J1007" s="80">
        <v>2023</v>
      </c>
      <c r="K1007" s="80" t="s">
        <v>1596</v>
      </c>
      <c r="L1007" s="80"/>
    </row>
    <row r="1008" spans="1:12" x14ac:dyDescent="0.25">
      <c r="A1008" s="83">
        <v>44774</v>
      </c>
      <c r="B1008" s="80" t="s">
        <v>1604</v>
      </c>
      <c r="C1008" s="80" t="s">
        <v>2256</v>
      </c>
      <c r="D1008" s="80"/>
      <c r="E1008" s="80">
        <v>68427709</v>
      </c>
      <c r="F1008" s="94">
        <v>-36000</v>
      </c>
      <c r="G1008" s="80" t="s">
        <v>72</v>
      </c>
      <c r="H1008" s="80" t="s">
        <v>73</v>
      </c>
      <c r="I1008" s="80"/>
      <c r="J1008" s="80">
        <v>2023</v>
      </c>
      <c r="K1008" s="80" t="s">
        <v>1596</v>
      </c>
      <c r="L1008" s="80"/>
    </row>
    <row r="1009" spans="1:12" x14ac:dyDescent="0.25">
      <c r="A1009" s="83">
        <v>44774</v>
      </c>
      <c r="B1009" s="80" t="s">
        <v>1691</v>
      </c>
      <c r="C1009" s="80" t="s">
        <v>2257</v>
      </c>
      <c r="D1009" s="80"/>
      <c r="E1009" s="80">
        <v>68427709</v>
      </c>
      <c r="F1009" s="94">
        <v>-5000</v>
      </c>
      <c r="G1009" s="80" t="s">
        <v>72</v>
      </c>
      <c r="H1009" s="80" t="s">
        <v>73</v>
      </c>
      <c r="I1009" s="80"/>
      <c r="J1009" s="80">
        <v>2023</v>
      </c>
      <c r="K1009" s="80" t="s">
        <v>1596</v>
      </c>
      <c r="L1009" s="80"/>
    </row>
    <row r="1010" spans="1:12" x14ac:dyDescent="0.25">
      <c r="A1010" s="83">
        <v>44774</v>
      </c>
      <c r="B1010" s="80" t="s">
        <v>1555</v>
      </c>
      <c r="C1010" s="80" t="s">
        <v>2258</v>
      </c>
      <c r="D1010" s="80"/>
      <c r="E1010" s="80">
        <v>68427709</v>
      </c>
      <c r="F1010" s="94">
        <v>140000</v>
      </c>
      <c r="G1010" s="80" t="s">
        <v>72</v>
      </c>
      <c r="H1010" s="80" t="s">
        <v>73</v>
      </c>
      <c r="I1010" s="80"/>
      <c r="J1010" s="80">
        <v>2023</v>
      </c>
      <c r="K1010" s="80" t="s">
        <v>1596</v>
      </c>
      <c r="L1010" s="80"/>
    </row>
    <row r="1011" spans="1:12" x14ac:dyDescent="0.25">
      <c r="A1011" s="83">
        <v>44774</v>
      </c>
      <c r="B1011" s="80" t="s">
        <v>2259</v>
      </c>
      <c r="C1011" s="80" t="s">
        <v>2260</v>
      </c>
      <c r="D1011" s="80"/>
      <c r="E1011" s="80">
        <v>68427709</v>
      </c>
      <c r="F1011" s="94">
        <v>78000</v>
      </c>
      <c r="G1011" s="80" t="s">
        <v>72</v>
      </c>
      <c r="H1011" s="80" t="s">
        <v>73</v>
      </c>
      <c r="I1011" s="80"/>
      <c r="J1011" s="80">
        <v>2023</v>
      </c>
      <c r="K1011" s="80" t="s">
        <v>1596</v>
      </c>
      <c r="L1011" s="80"/>
    </row>
    <row r="1012" spans="1:12" x14ac:dyDescent="0.25">
      <c r="A1012" s="83">
        <v>44775</v>
      </c>
      <c r="B1012" s="80" t="s">
        <v>735</v>
      </c>
      <c r="C1012" s="80" t="s">
        <v>1706</v>
      </c>
      <c r="D1012" s="80"/>
      <c r="E1012" s="80">
        <v>68427709</v>
      </c>
      <c r="F1012" s="94">
        <v>14000</v>
      </c>
      <c r="G1012" s="80" t="s">
        <v>72</v>
      </c>
      <c r="H1012" s="80" t="s">
        <v>73</v>
      </c>
      <c r="I1012" s="80"/>
      <c r="J1012" s="80">
        <v>2023</v>
      </c>
      <c r="K1012" s="80" t="s">
        <v>2261</v>
      </c>
      <c r="L1012" s="80"/>
    </row>
    <row r="1013" spans="1:12" x14ac:dyDescent="0.25">
      <c r="A1013" s="83">
        <v>44776</v>
      </c>
      <c r="B1013" s="80" t="s">
        <v>1652</v>
      </c>
      <c r="C1013" s="80" t="s">
        <v>521</v>
      </c>
      <c r="D1013" s="80"/>
      <c r="E1013" s="80">
        <v>68427709</v>
      </c>
      <c r="F1013" s="94">
        <v>30000</v>
      </c>
      <c r="G1013" s="80" t="s">
        <v>72</v>
      </c>
      <c r="H1013" s="80" t="s">
        <v>73</v>
      </c>
      <c r="I1013" s="80" t="s">
        <v>1662</v>
      </c>
      <c r="J1013" s="80">
        <v>2023</v>
      </c>
      <c r="K1013" s="80" t="s">
        <v>1550</v>
      </c>
      <c r="L1013" s="80"/>
    </row>
    <row r="1014" spans="1:12" x14ac:dyDescent="0.25">
      <c r="A1014" s="83">
        <v>44782</v>
      </c>
      <c r="B1014" s="80" t="s">
        <v>1504</v>
      </c>
      <c r="C1014" s="80" t="s">
        <v>2147</v>
      </c>
      <c r="D1014" s="80"/>
      <c r="E1014" s="80">
        <v>68427709</v>
      </c>
      <c r="F1014" s="94">
        <v>-27000</v>
      </c>
      <c r="G1014" s="80" t="s">
        <v>72</v>
      </c>
      <c r="H1014" s="80" t="s">
        <v>73</v>
      </c>
      <c r="I1014" s="80" t="s">
        <v>1662</v>
      </c>
      <c r="J1014" s="80">
        <v>2023</v>
      </c>
      <c r="K1014" s="80" t="s">
        <v>1596</v>
      </c>
      <c r="L1014" s="80"/>
    </row>
    <row r="1015" spans="1:12" x14ac:dyDescent="0.25">
      <c r="A1015" s="85"/>
      <c r="B1015" s="85" t="s">
        <v>2262</v>
      </c>
      <c r="C1015" s="85"/>
      <c r="D1015" s="85"/>
      <c r="E1015" s="85"/>
      <c r="F1015" s="124"/>
      <c r="G1015" s="85"/>
      <c r="H1015" s="85"/>
      <c r="I1015" s="85"/>
      <c r="J1015" s="85"/>
      <c r="K1015" s="85"/>
      <c r="L1015" s="85"/>
    </row>
    <row r="1016" spans="1:12" x14ac:dyDescent="0.25">
      <c r="A1016" s="83">
        <v>44902</v>
      </c>
      <c r="B1016" s="80" t="s">
        <v>2263</v>
      </c>
      <c r="C1016" s="80" t="s">
        <v>2264</v>
      </c>
      <c r="D1016" s="80" t="s">
        <v>2265</v>
      </c>
      <c r="E1016" s="80">
        <v>68427709</v>
      </c>
      <c r="F1016" s="94">
        <v>70000</v>
      </c>
      <c r="G1016" s="80" t="s">
        <v>72</v>
      </c>
      <c r="H1016" s="80" t="s">
        <v>73</v>
      </c>
      <c r="I1016" s="80" t="s">
        <v>1662</v>
      </c>
      <c r="J1016" s="80">
        <v>2024</v>
      </c>
      <c r="K1016" s="80" t="s">
        <v>75</v>
      </c>
      <c r="L1016" s="80"/>
    </row>
    <row r="1017" spans="1:12" x14ac:dyDescent="0.25">
      <c r="A1017" s="83">
        <v>44917</v>
      </c>
      <c r="B1017" s="80" t="s">
        <v>2266</v>
      </c>
      <c r="C1017" s="80" t="s">
        <v>2267</v>
      </c>
      <c r="D1017" s="80" t="s">
        <v>282</v>
      </c>
      <c r="E1017" s="80">
        <v>68427709</v>
      </c>
      <c r="F1017" s="94">
        <v>10000</v>
      </c>
      <c r="G1017" s="80" t="s">
        <v>72</v>
      </c>
      <c r="H1017" s="80" t="s">
        <v>73</v>
      </c>
      <c r="I1017" s="80" t="s">
        <v>1662</v>
      </c>
      <c r="J1017" s="80">
        <v>2024</v>
      </c>
      <c r="K1017" s="80" t="s">
        <v>75</v>
      </c>
      <c r="L1017" s="80"/>
    </row>
    <row r="1018" spans="1:12" x14ac:dyDescent="0.25">
      <c r="A1018" s="83">
        <v>44930</v>
      </c>
      <c r="B1018" s="80" t="s">
        <v>2268</v>
      </c>
      <c r="C1018" s="80" t="s">
        <v>2269</v>
      </c>
      <c r="D1018" s="80" t="s">
        <v>94</v>
      </c>
      <c r="E1018" s="80">
        <v>68427709</v>
      </c>
      <c r="F1018" s="94">
        <v>9000</v>
      </c>
      <c r="G1018" s="80" t="s">
        <v>72</v>
      </c>
      <c r="H1018" s="80" t="s">
        <v>73</v>
      </c>
      <c r="I1018" s="80" t="s">
        <v>1662</v>
      </c>
      <c r="J1018" s="80">
        <v>2024</v>
      </c>
      <c r="K1018" s="80" t="s">
        <v>1053</v>
      </c>
      <c r="L1018" s="80"/>
    </row>
    <row r="1019" spans="1:12" x14ac:dyDescent="0.25">
      <c r="A1019" s="83">
        <v>44930</v>
      </c>
      <c r="B1019" s="80" t="s">
        <v>251</v>
      </c>
      <c r="C1019" s="80" t="s">
        <v>2269</v>
      </c>
      <c r="D1019" s="80"/>
      <c r="E1019" s="80">
        <v>68427709</v>
      </c>
      <c r="F1019" s="94">
        <v>-10000</v>
      </c>
      <c r="G1019" s="80" t="s">
        <v>72</v>
      </c>
      <c r="H1019" s="80" t="s">
        <v>73</v>
      </c>
      <c r="I1019" s="80" t="s">
        <v>1662</v>
      </c>
      <c r="J1019" s="80">
        <v>2024</v>
      </c>
      <c r="K1019" s="80" t="s">
        <v>1053</v>
      </c>
      <c r="L1019" s="80"/>
    </row>
    <row r="1020" spans="1:12" x14ac:dyDescent="0.25">
      <c r="A1020" s="83">
        <v>44956</v>
      </c>
      <c r="B1020" s="80" t="s">
        <v>2270</v>
      </c>
      <c r="C1020" s="80" t="s">
        <v>2269</v>
      </c>
      <c r="D1020" s="80"/>
      <c r="E1020" s="80">
        <v>68427709</v>
      </c>
      <c r="F1020" s="94">
        <v>3500</v>
      </c>
      <c r="G1020" s="80" t="s">
        <v>72</v>
      </c>
      <c r="H1020" s="80" t="s">
        <v>73</v>
      </c>
      <c r="I1020" s="80" t="s">
        <v>1662</v>
      </c>
      <c r="J1020" s="80">
        <v>2024</v>
      </c>
      <c r="K1020" s="80" t="s">
        <v>75</v>
      </c>
      <c r="L1020" s="80"/>
    </row>
    <row r="1021" spans="1:12" x14ac:dyDescent="0.25">
      <c r="A1021" s="83">
        <v>45035</v>
      </c>
      <c r="B1021" s="80" t="s">
        <v>2271</v>
      </c>
      <c r="C1021" s="80" t="s">
        <v>2272</v>
      </c>
      <c r="D1021" s="80" t="s">
        <v>2273</v>
      </c>
      <c r="E1021" s="80">
        <v>68427709</v>
      </c>
      <c r="F1021" s="94">
        <v>55000</v>
      </c>
      <c r="G1021" s="80" t="s">
        <v>72</v>
      </c>
      <c r="H1021" s="80" t="s">
        <v>73</v>
      </c>
      <c r="I1021" s="80" t="s">
        <v>1662</v>
      </c>
      <c r="J1021" s="80">
        <v>2024</v>
      </c>
      <c r="K1021" s="80" t="s">
        <v>75</v>
      </c>
      <c r="L1021" s="80" t="s">
        <v>2274</v>
      </c>
    </row>
    <row r="1022" spans="1:12" x14ac:dyDescent="0.25">
      <c r="A1022" s="83">
        <v>45035</v>
      </c>
      <c r="B1022" s="80" t="s">
        <v>2275</v>
      </c>
      <c r="C1022" s="80" t="s">
        <v>2276</v>
      </c>
      <c r="D1022" s="80" t="s">
        <v>236</v>
      </c>
      <c r="E1022" s="80">
        <v>68427709</v>
      </c>
      <c r="F1022" s="94">
        <v>-60000</v>
      </c>
      <c r="G1022" s="80" t="s">
        <v>72</v>
      </c>
      <c r="H1022" s="80" t="s">
        <v>73</v>
      </c>
      <c r="I1022" s="80" t="s">
        <v>909</v>
      </c>
      <c r="J1022" s="80">
        <v>2024</v>
      </c>
      <c r="K1022" s="80" t="s">
        <v>75</v>
      </c>
      <c r="L1022" s="80"/>
    </row>
    <row r="1023" spans="1:12" x14ac:dyDescent="0.25">
      <c r="A1023" s="83">
        <v>45069</v>
      </c>
      <c r="B1023" s="80" t="s">
        <v>1971</v>
      </c>
      <c r="C1023" s="80" t="s">
        <v>1972</v>
      </c>
      <c r="D1023" s="80"/>
      <c r="E1023" s="80">
        <v>68427709</v>
      </c>
      <c r="F1023" s="94">
        <v>-1800</v>
      </c>
      <c r="G1023" s="80" t="s">
        <v>72</v>
      </c>
      <c r="H1023" s="80" t="s">
        <v>73</v>
      </c>
      <c r="I1023" s="80" t="s">
        <v>909</v>
      </c>
      <c r="J1023" s="80">
        <v>2024</v>
      </c>
      <c r="K1023" s="80" t="s">
        <v>75</v>
      </c>
      <c r="L1023" s="80"/>
    </row>
    <row r="1024" spans="1:12" x14ac:dyDescent="0.25">
      <c r="A1024" s="83">
        <v>45069</v>
      </c>
      <c r="B1024" s="80" t="s">
        <v>1973</v>
      </c>
      <c r="C1024" s="80" t="s">
        <v>1974</v>
      </c>
      <c r="D1024" s="80"/>
      <c r="E1024" s="80">
        <v>68427709</v>
      </c>
      <c r="F1024" s="94">
        <v>-1800</v>
      </c>
      <c r="G1024" s="80" t="s">
        <v>72</v>
      </c>
      <c r="H1024" s="80" t="s">
        <v>73</v>
      </c>
      <c r="I1024" s="80" t="s">
        <v>909</v>
      </c>
      <c r="J1024" s="80">
        <v>2024</v>
      </c>
      <c r="K1024" s="80" t="s">
        <v>75</v>
      </c>
      <c r="L1024" s="80"/>
    </row>
    <row r="1025" spans="1:12" x14ac:dyDescent="0.25">
      <c r="A1025" s="83">
        <v>45069</v>
      </c>
      <c r="B1025" s="80" t="s">
        <v>1975</v>
      </c>
      <c r="C1025" s="80" t="s">
        <v>1976</v>
      </c>
      <c r="D1025" s="80"/>
      <c r="E1025" s="80">
        <v>68427709</v>
      </c>
      <c r="F1025" s="94">
        <v>-64800</v>
      </c>
      <c r="G1025" s="80" t="s">
        <v>72</v>
      </c>
      <c r="H1025" s="80" t="s">
        <v>73</v>
      </c>
      <c r="I1025" s="80" t="s">
        <v>909</v>
      </c>
      <c r="J1025" s="80">
        <v>2024</v>
      </c>
      <c r="K1025" s="80" t="s">
        <v>75</v>
      </c>
      <c r="L1025" s="80" t="s">
        <v>1566</v>
      </c>
    </row>
    <row r="1026" spans="1:12" x14ac:dyDescent="0.25">
      <c r="A1026" s="83">
        <v>45069</v>
      </c>
      <c r="B1026" s="80" t="s">
        <v>1977</v>
      </c>
      <c r="C1026" s="80" t="s">
        <v>1978</v>
      </c>
      <c r="D1026" s="80"/>
      <c r="E1026" s="80">
        <v>68427709</v>
      </c>
      <c r="F1026" s="94">
        <v>-21600</v>
      </c>
      <c r="G1026" s="80" t="s">
        <v>72</v>
      </c>
      <c r="H1026" s="80" t="s">
        <v>73</v>
      </c>
      <c r="I1026" s="80" t="s">
        <v>909</v>
      </c>
      <c r="J1026" s="80">
        <v>2024</v>
      </c>
      <c r="K1026" s="80" t="s">
        <v>75</v>
      </c>
      <c r="L1026" s="80" t="s">
        <v>1566</v>
      </c>
    </row>
    <row r="1027" spans="1:12" x14ac:dyDescent="0.25">
      <c r="A1027" s="83">
        <v>45069</v>
      </c>
      <c r="B1027" s="80" t="s">
        <v>1979</v>
      </c>
      <c r="C1027" s="80" t="s">
        <v>1980</v>
      </c>
      <c r="D1027" s="80"/>
      <c r="E1027" s="80">
        <v>68427709</v>
      </c>
      <c r="F1027" s="94">
        <v>-22000</v>
      </c>
      <c r="G1027" s="80" t="s">
        <v>72</v>
      </c>
      <c r="H1027" s="80" t="s">
        <v>73</v>
      </c>
      <c r="I1027" s="80" t="s">
        <v>909</v>
      </c>
      <c r="J1027" s="80">
        <v>2024</v>
      </c>
      <c r="K1027" s="80" t="s">
        <v>75</v>
      </c>
      <c r="L1027" s="80" t="s">
        <v>2277</v>
      </c>
    </row>
    <row r="1028" spans="1:12" x14ac:dyDescent="0.25">
      <c r="A1028" s="83">
        <v>45069</v>
      </c>
      <c r="B1028" s="80" t="s">
        <v>1981</v>
      </c>
      <c r="C1028" s="80" t="s">
        <v>1982</v>
      </c>
      <c r="D1028" s="80"/>
      <c r="E1028" s="80">
        <v>68427709</v>
      </c>
      <c r="F1028" s="94">
        <v>-900</v>
      </c>
      <c r="G1028" s="80" t="s">
        <v>72</v>
      </c>
      <c r="H1028" s="80" t="s">
        <v>73</v>
      </c>
      <c r="I1028" s="80" t="s">
        <v>909</v>
      </c>
      <c r="J1028" s="80">
        <v>2024</v>
      </c>
      <c r="K1028" s="80" t="s">
        <v>75</v>
      </c>
      <c r="L1028" s="80"/>
    </row>
    <row r="1029" spans="1:12" x14ac:dyDescent="0.25">
      <c r="A1029" s="83">
        <v>45069</v>
      </c>
      <c r="B1029" s="80" t="s">
        <v>1983</v>
      </c>
      <c r="C1029" s="80" t="s">
        <v>1984</v>
      </c>
      <c r="D1029" s="80"/>
      <c r="E1029" s="80">
        <v>68427709</v>
      </c>
      <c r="F1029" s="94">
        <v>-75600</v>
      </c>
      <c r="G1029" s="80" t="s">
        <v>72</v>
      </c>
      <c r="H1029" s="80" t="s">
        <v>73</v>
      </c>
      <c r="I1029" s="80" t="s">
        <v>909</v>
      </c>
      <c r="J1029" s="80">
        <v>2024</v>
      </c>
      <c r="K1029" s="80" t="s">
        <v>75</v>
      </c>
      <c r="L1029" s="80" t="s">
        <v>1566</v>
      </c>
    </row>
    <row r="1030" spans="1:12" x14ac:dyDescent="0.25">
      <c r="A1030" s="83">
        <v>45069</v>
      </c>
      <c r="B1030" s="80" t="s">
        <v>1985</v>
      </c>
      <c r="C1030" s="80" t="s">
        <v>1986</v>
      </c>
      <c r="D1030" s="80"/>
      <c r="E1030" s="80">
        <v>68427709</v>
      </c>
      <c r="F1030" s="94">
        <v>-2800</v>
      </c>
      <c r="G1030" s="80" t="s">
        <v>72</v>
      </c>
      <c r="H1030" s="80" t="s">
        <v>73</v>
      </c>
      <c r="I1030" s="80" t="s">
        <v>909</v>
      </c>
      <c r="J1030" s="80">
        <v>2024</v>
      </c>
      <c r="K1030" s="80" t="s">
        <v>75</v>
      </c>
      <c r="L1030" s="80"/>
    </row>
    <row r="1031" spans="1:12" x14ac:dyDescent="0.25">
      <c r="A1031" s="83">
        <v>45069</v>
      </c>
      <c r="B1031" s="80" t="s">
        <v>1987</v>
      </c>
      <c r="C1031" s="80" t="s">
        <v>1988</v>
      </c>
      <c r="D1031" s="80"/>
      <c r="E1031" s="80">
        <v>68427709</v>
      </c>
      <c r="F1031" s="94">
        <v>-400</v>
      </c>
      <c r="G1031" s="80" t="s">
        <v>72</v>
      </c>
      <c r="H1031" s="80" t="s">
        <v>73</v>
      </c>
      <c r="I1031" s="80" t="s">
        <v>909</v>
      </c>
      <c r="J1031" s="80">
        <v>2024</v>
      </c>
      <c r="K1031" s="80" t="s">
        <v>75</v>
      </c>
      <c r="L1031" s="80"/>
    </row>
    <row r="1032" spans="1:12" x14ac:dyDescent="0.25">
      <c r="A1032" s="83">
        <v>45069</v>
      </c>
      <c r="B1032" s="80" t="s">
        <v>1989</v>
      </c>
      <c r="C1032" s="80" t="s">
        <v>1990</v>
      </c>
      <c r="D1032" s="80"/>
      <c r="E1032" s="80">
        <v>68427709</v>
      </c>
      <c r="F1032" s="94">
        <v>-900</v>
      </c>
      <c r="G1032" s="80" t="s">
        <v>72</v>
      </c>
      <c r="H1032" s="80" t="s">
        <v>73</v>
      </c>
      <c r="I1032" s="80" t="s">
        <v>909</v>
      </c>
      <c r="J1032" s="80">
        <v>2024</v>
      </c>
      <c r="K1032" s="80" t="s">
        <v>75</v>
      </c>
      <c r="L1032" s="80"/>
    </row>
    <row r="1033" spans="1:12" x14ac:dyDescent="0.25">
      <c r="A1033" s="83">
        <v>45069</v>
      </c>
      <c r="B1033" s="80" t="s">
        <v>1991</v>
      </c>
      <c r="C1033" s="80" t="s">
        <v>1992</v>
      </c>
      <c r="D1033" s="80"/>
      <c r="E1033" s="80">
        <v>68427709</v>
      </c>
      <c r="F1033" s="94">
        <v>-1400</v>
      </c>
      <c r="G1033" s="80" t="s">
        <v>72</v>
      </c>
      <c r="H1033" s="80" t="s">
        <v>73</v>
      </c>
      <c r="I1033" s="80" t="s">
        <v>909</v>
      </c>
      <c r="J1033" s="80">
        <v>2024</v>
      </c>
      <c r="K1033" s="80" t="s">
        <v>75</v>
      </c>
      <c r="L1033" s="80"/>
    </row>
    <row r="1034" spans="1:12" x14ac:dyDescent="0.25">
      <c r="A1034" s="83">
        <v>45069</v>
      </c>
      <c r="B1034" s="80" t="s">
        <v>1993</v>
      </c>
      <c r="C1034" s="80" t="s">
        <v>1994</v>
      </c>
      <c r="D1034" s="80"/>
      <c r="E1034" s="80">
        <v>68427709</v>
      </c>
      <c r="F1034" s="94">
        <v>-400</v>
      </c>
      <c r="G1034" s="80" t="s">
        <v>72</v>
      </c>
      <c r="H1034" s="80" t="s">
        <v>73</v>
      </c>
      <c r="I1034" s="80" t="s">
        <v>909</v>
      </c>
      <c r="J1034" s="80">
        <v>2024</v>
      </c>
      <c r="K1034" s="80" t="s">
        <v>75</v>
      </c>
      <c r="L1034" s="80"/>
    </row>
    <row r="1035" spans="1:12" x14ac:dyDescent="0.25">
      <c r="A1035" s="83">
        <v>45069</v>
      </c>
      <c r="B1035" s="80" t="s">
        <v>1995</v>
      </c>
      <c r="C1035" s="80" t="s">
        <v>1996</v>
      </c>
      <c r="D1035" s="80"/>
      <c r="E1035" s="80">
        <v>68427709</v>
      </c>
      <c r="F1035" s="94">
        <v>-400</v>
      </c>
      <c r="G1035" s="80" t="s">
        <v>72</v>
      </c>
      <c r="H1035" s="80" t="s">
        <v>73</v>
      </c>
      <c r="I1035" s="80" t="s">
        <v>909</v>
      </c>
      <c r="J1035" s="80">
        <v>2024</v>
      </c>
      <c r="K1035" s="80" t="s">
        <v>75</v>
      </c>
      <c r="L1035" s="80"/>
    </row>
    <row r="1036" spans="1:12" x14ac:dyDescent="0.25">
      <c r="A1036" s="83">
        <v>45069</v>
      </c>
      <c r="B1036" s="80" t="s">
        <v>1997</v>
      </c>
      <c r="C1036" s="80" t="s">
        <v>1998</v>
      </c>
      <c r="D1036" s="80"/>
      <c r="E1036" s="80">
        <v>68427709</v>
      </c>
      <c r="F1036" s="94">
        <v>-900</v>
      </c>
      <c r="G1036" s="80" t="s">
        <v>72</v>
      </c>
      <c r="H1036" s="80" t="s">
        <v>73</v>
      </c>
      <c r="I1036" s="80" t="s">
        <v>909</v>
      </c>
      <c r="J1036" s="80">
        <v>2024</v>
      </c>
      <c r="K1036" s="80" t="s">
        <v>75</v>
      </c>
      <c r="L1036" s="80"/>
    </row>
    <row r="1037" spans="1:12" x14ac:dyDescent="0.25">
      <c r="A1037" s="83">
        <v>45069</v>
      </c>
      <c r="B1037" s="80" t="s">
        <v>1999</v>
      </c>
      <c r="C1037" s="80" t="s">
        <v>2000</v>
      </c>
      <c r="D1037" s="80"/>
      <c r="E1037" s="80">
        <v>68427709</v>
      </c>
      <c r="F1037" s="94">
        <v>-900</v>
      </c>
      <c r="G1037" s="80" t="s">
        <v>72</v>
      </c>
      <c r="H1037" s="80" t="s">
        <v>73</v>
      </c>
      <c r="I1037" s="80" t="s">
        <v>909</v>
      </c>
      <c r="J1037" s="80">
        <v>2024</v>
      </c>
      <c r="K1037" s="80" t="s">
        <v>75</v>
      </c>
      <c r="L1037" s="80"/>
    </row>
    <row r="1038" spans="1:12" x14ac:dyDescent="0.25">
      <c r="A1038" s="83">
        <v>45069</v>
      </c>
      <c r="B1038" s="80" t="s">
        <v>2001</v>
      </c>
      <c r="C1038" s="80" t="s">
        <v>2002</v>
      </c>
      <c r="D1038" s="80"/>
      <c r="E1038" s="80">
        <v>68427709</v>
      </c>
      <c r="F1038" s="94">
        <v>-400</v>
      </c>
      <c r="G1038" s="80" t="s">
        <v>72</v>
      </c>
      <c r="H1038" s="80" t="s">
        <v>73</v>
      </c>
      <c r="I1038" s="80" t="s">
        <v>909</v>
      </c>
      <c r="J1038" s="80">
        <v>2024</v>
      </c>
      <c r="K1038" s="80" t="s">
        <v>75</v>
      </c>
      <c r="L1038" s="80"/>
    </row>
    <row r="1039" spans="1:12" x14ac:dyDescent="0.25">
      <c r="A1039" s="83">
        <v>45069</v>
      </c>
      <c r="B1039" s="80" t="s">
        <v>2003</v>
      </c>
      <c r="C1039" s="80" t="s">
        <v>2004</v>
      </c>
      <c r="D1039" s="80"/>
      <c r="E1039" s="80">
        <v>68427709</v>
      </c>
      <c r="F1039" s="94">
        <v>-900</v>
      </c>
      <c r="G1039" s="80" t="s">
        <v>72</v>
      </c>
      <c r="H1039" s="80" t="s">
        <v>73</v>
      </c>
      <c r="I1039" s="80" t="s">
        <v>909</v>
      </c>
      <c r="J1039" s="80">
        <v>2024</v>
      </c>
      <c r="K1039" s="80" t="s">
        <v>75</v>
      </c>
      <c r="L1039" s="80"/>
    </row>
    <row r="1040" spans="1:12" x14ac:dyDescent="0.25">
      <c r="A1040" s="83">
        <v>45069</v>
      </c>
      <c r="B1040" s="80" t="s">
        <v>2005</v>
      </c>
      <c r="C1040" s="80" t="s">
        <v>2006</v>
      </c>
      <c r="D1040" s="80"/>
      <c r="E1040" s="80">
        <v>68427709</v>
      </c>
      <c r="F1040" s="94">
        <v>-900</v>
      </c>
      <c r="G1040" s="80" t="s">
        <v>72</v>
      </c>
      <c r="H1040" s="80" t="s">
        <v>73</v>
      </c>
      <c r="I1040" s="80" t="s">
        <v>909</v>
      </c>
      <c r="J1040" s="80">
        <v>2024</v>
      </c>
      <c r="K1040" s="80" t="s">
        <v>75</v>
      </c>
      <c r="L1040" s="80"/>
    </row>
    <row r="1041" spans="1:12" x14ac:dyDescent="0.25">
      <c r="A1041" s="83">
        <v>45069</v>
      </c>
      <c r="B1041" s="80" t="s">
        <v>2007</v>
      </c>
      <c r="C1041" s="80" t="s">
        <v>2008</v>
      </c>
      <c r="D1041" s="80"/>
      <c r="E1041" s="80">
        <v>68427709</v>
      </c>
      <c r="F1041" s="94">
        <v>-900</v>
      </c>
      <c r="G1041" s="80" t="s">
        <v>72</v>
      </c>
      <c r="H1041" s="80" t="s">
        <v>73</v>
      </c>
      <c r="I1041" s="80" t="s">
        <v>909</v>
      </c>
      <c r="J1041" s="80">
        <v>2024</v>
      </c>
      <c r="K1041" s="80" t="s">
        <v>75</v>
      </c>
      <c r="L1041" s="80"/>
    </row>
    <row r="1042" spans="1:12" x14ac:dyDescent="0.25">
      <c r="A1042" s="83">
        <v>45069</v>
      </c>
      <c r="B1042" s="80" t="s">
        <v>2009</v>
      </c>
      <c r="C1042" s="80" t="s">
        <v>2010</v>
      </c>
      <c r="D1042" s="80"/>
      <c r="E1042" s="80">
        <v>68427709</v>
      </c>
      <c r="F1042" s="94">
        <v>-400</v>
      </c>
      <c r="G1042" s="80" t="s">
        <v>72</v>
      </c>
      <c r="H1042" s="80" t="s">
        <v>73</v>
      </c>
      <c r="I1042" s="80" t="s">
        <v>909</v>
      </c>
      <c r="J1042" s="80">
        <v>2024</v>
      </c>
      <c r="K1042" s="80" t="s">
        <v>75</v>
      </c>
      <c r="L1042" s="80"/>
    </row>
    <row r="1043" spans="1:12" x14ac:dyDescent="0.25">
      <c r="A1043" s="83">
        <v>45069</v>
      </c>
      <c r="B1043" s="80" t="s">
        <v>2011</v>
      </c>
      <c r="C1043" s="80" t="s">
        <v>2012</v>
      </c>
      <c r="D1043" s="80"/>
      <c r="E1043" s="80">
        <v>68427709</v>
      </c>
      <c r="F1043" s="94">
        <v>-400</v>
      </c>
      <c r="G1043" s="80" t="s">
        <v>72</v>
      </c>
      <c r="H1043" s="80" t="s">
        <v>73</v>
      </c>
      <c r="I1043" s="80" t="s">
        <v>909</v>
      </c>
      <c r="J1043" s="80">
        <v>2024</v>
      </c>
      <c r="K1043" s="80" t="s">
        <v>75</v>
      </c>
      <c r="L1043" s="80"/>
    </row>
    <row r="1044" spans="1:12" x14ac:dyDescent="0.25">
      <c r="A1044" s="83">
        <v>45069</v>
      </c>
      <c r="B1044" s="80" t="s">
        <v>2013</v>
      </c>
      <c r="C1044" s="80" t="s">
        <v>2014</v>
      </c>
      <c r="D1044" s="80"/>
      <c r="E1044" s="80">
        <v>68427709</v>
      </c>
      <c r="F1044" s="94">
        <v>-400</v>
      </c>
      <c r="G1044" s="80" t="s">
        <v>72</v>
      </c>
      <c r="H1044" s="80" t="s">
        <v>73</v>
      </c>
      <c r="I1044" s="80" t="s">
        <v>909</v>
      </c>
      <c r="J1044" s="80">
        <v>2024</v>
      </c>
      <c r="K1044" s="80" t="s">
        <v>75</v>
      </c>
      <c r="L1044" s="80"/>
    </row>
    <row r="1045" spans="1:12" x14ac:dyDescent="0.25">
      <c r="A1045" s="83">
        <v>45069</v>
      </c>
      <c r="B1045" s="80" t="s">
        <v>2015</v>
      </c>
      <c r="C1045" s="80" t="s">
        <v>2016</v>
      </c>
      <c r="D1045" s="80"/>
      <c r="E1045" s="80">
        <v>68427709</v>
      </c>
      <c r="F1045" s="94">
        <v>-400</v>
      </c>
      <c r="G1045" s="80" t="s">
        <v>72</v>
      </c>
      <c r="H1045" s="80" t="s">
        <v>73</v>
      </c>
      <c r="I1045" s="80" t="s">
        <v>909</v>
      </c>
      <c r="J1045" s="80">
        <v>2024</v>
      </c>
      <c r="K1045" s="80" t="s">
        <v>75</v>
      </c>
      <c r="L1045" s="80"/>
    </row>
    <row r="1046" spans="1:12" x14ac:dyDescent="0.25">
      <c r="A1046" s="83">
        <v>45069</v>
      </c>
      <c r="B1046" s="80" t="s">
        <v>2020</v>
      </c>
      <c r="C1046" s="80" t="s">
        <v>2021</v>
      </c>
      <c r="D1046" s="80"/>
      <c r="E1046" s="80">
        <v>68427709</v>
      </c>
      <c r="F1046" s="94">
        <v>-400</v>
      </c>
      <c r="G1046" s="80" t="s">
        <v>72</v>
      </c>
      <c r="H1046" s="80" t="s">
        <v>73</v>
      </c>
      <c r="I1046" s="80" t="s">
        <v>909</v>
      </c>
      <c r="J1046" s="80">
        <v>2024</v>
      </c>
      <c r="K1046" s="80" t="s">
        <v>75</v>
      </c>
      <c r="L1046" s="80"/>
    </row>
    <row r="1047" spans="1:12" x14ac:dyDescent="0.25">
      <c r="A1047" s="83">
        <v>45069</v>
      </c>
      <c r="B1047" s="80" t="s">
        <v>2022</v>
      </c>
      <c r="C1047" s="80" t="s">
        <v>2023</v>
      </c>
      <c r="D1047" s="80"/>
      <c r="E1047" s="80">
        <v>68427709</v>
      </c>
      <c r="F1047" s="94">
        <v>-400</v>
      </c>
      <c r="G1047" s="80" t="s">
        <v>72</v>
      </c>
      <c r="H1047" s="80" t="s">
        <v>73</v>
      </c>
      <c r="I1047" s="80" t="s">
        <v>909</v>
      </c>
      <c r="J1047" s="80">
        <v>2024</v>
      </c>
      <c r="K1047" s="80" t="s">
        <v>75</v>
      </c>
      <c r="L1047" s="80"/>
    </row>
    <row r="1048" spans="1:12" x14ac:dyDescent="0.25">
      <c r="A1048" s="83">
        <v>45069</v>
      </c>
      <c r="B1048" s="80" t="s">
        <v>2024</v>
      </c>
      <c r="C1048" s="80" t="s">
        <v>2025</v>
      </c>
      <c r="D1048" s="80"/>
      <c r="E1048" s="80">
        <v>68427709</v>
      </c>
      <c r="F1048" s="94">
        <v>-900</v>
      </c>
      <c r="G1048" s="80" t="s">
        <v>72</v>
      </c>
      <c r="H1048" s="80" t="s">
        <v>73</v>
      </c>
      <c r="I1048" s="80" t="s">
        <v>909</v>
      </c>
      <c r="J1048" s="80">
        <v>2024</v>
      </c>
      <c r="K1048" s="80" t="s">
        <v>75</v>
      </c>
      <c r="L1048" s="80"/>
    </row>
    <row r="1049" spans="1:12" x14ac:dyDescent="0.25">
      <c r="A1049" s="83">
        <v>45069</v>
      </c>
      <c r="B1049" s="80" t="s">
        <v>2026</v>
      </c>
      <c r="C1049" s="80" t="s">
        <v>2027</v>
      </c>
      <c r="D1049" s="80"/>
      <c r="E1049" s="80">
        <v>68427709</v>
      </c>
      <c r="F1049" s="94">
        <v>-900</v>
      </c>
      <c r="G1049" s="80" t="s">
        <v>72</v>
      </c>
      <c r="H1049" s="80" t="s">
        <v>73</v>
      </c>
      <c r="I1049" s="80" t="s">
        <v>909</v>
      </c>
      <c r="J1049" s="80">
        <v>2024</v>
      </c>
      <c r="K1049" s="80" t="s">
        <v>75</v>
      </c>
      <c r="L1049" s="80"/>
    </row>
    <row r="1050" spans="1:12" x14ac:dyDescent="0.25">
      <c r="A1050" s="83">
        <v>45069</v>
      </c>
      <c r="B1050" s="80" t="s">
        <v>2028</v>
      </c>
      <c r="C1050" s="80" t="s">
        <v>2029</v>
      </c>
      <c r="D1050" s="80"/>
      <c r="E1050" s="80">
        <v>68427709</v>
      </c>
      <c r="F1050" s="94">
        <v>-400</v>
      </c>
      <c r="G1050" s="80" t="s">
        <v>72</v>
      </c>
      <c r="H1050" s="80" t="s">
        <v>73</v>
      </c>
      <c r="I1050" s="80" t="s">
        <v>909</v>
      </c>
      <c r="J1050" s="80">
        <v>2024</v>
      </c>
      <c r="K1050" s="80" t="s">
        <v>75</v>
      </c>
      <c r="L1050" s="80"/>
    </row>
    <row r="1051" spans="1:12" x14ac:dyDescent="0.25">
      <c r="A1051" s="83">
        <v>45069</v>
      </c>
      <c r="B1051" s="80" t="s">
        <v>2030</v>
      </c>
      <c r="C1051" s="80" t="s">
        <v>2031</v>
      </c>
      <c r="D1051" s="80"/>
      <c r="E1051" s="80">
        <v>68427709</v>
      </c>
      <c r="F1051" s="94">
        <v>-1400</v>
      </c>
      <c r="G1051" s="80" t="s">
        <v>72</v>
      </c>
      <c r="H1051" s="80" t="s">
        <v>73</v>
      </c>
      <c r="I1051" s="80" t="s">
        <v>909</v>
      </c>
      <c r="J1051" s="80">
        <v>2024</v>
      </c>
      <c r="K1051" s="80" t="s">
        <v>75</v>
      </c>
      <c r="L1051" s="80"/>
    </row>
    <row r="1052" spans="1:12" x14ac:dyDescent="0.25">
      <c r="A1052" s="83">
        <v>45069</v>
      </c>
      <c r="B1052" s="80" t="s">
        <v>2032</v>
      </c>
      <c r="C1052" s="80" t="s">
        <v>2033</v>
      </c>
      <c r="D1052" s="80"/>
      <c r="E1052" s="80">
        <v>68427709</v>
      </c>
      <c r="F1052" s="94">
        <v>-900</v>
      </c>
      <c r="G1052" s="80" t="s">
        <v>72</v>
      </c>
      <c r="H1052" s="80" t="s">
        <v>73</v>
      </c>
      <c r="I1052" s="80" t="s">
        <v>909</v>
      </c>
      <c r="J1052" s="80">
        <v>2024</v>
      </c>
      <c r="K1052" s="80" t="s">
        <v>75</v>
      </c>
      <c r="L1052" s="80"/>
    </row>
    <row r="1053" spans="1:12" x14ac:dyDescent="0.25">
      <c r="A1053" s="83">
        <v>45069</v>
      </c>
      <c r="B1053" s="80" t="s">
        <v>2034</v>
      </c>
      <c r="C1053" s="80" t="s">
        <v>2035</v>
      </c>
      <c r="D1053" s="80"/>
      <c r="E1053" s="80">
        <v>68427709</v>
      </c>
      <c r="F1053" s="94">
        <v>-1800</v>
      </c>
      <c r="G1053" s="80" t="s">
        <v>72</v>
      </c>
      <c r="H1053" s="80" t="s">
        <v>73</v>
      </c>
      <c r="I1053" s="80" t="s">
        <v>909</v>
      </c>
      <c r="J1053" s="80">
        <v>2024</v>
      </c>
      <c r="K1053" s="80" t="s">
        <v>75</v>
      </c>
      <c r="L1053" s="80"/>
    </row>
    <row r="1054" spans="1:12" x14ac:dyDescent="0.25">
      <c r="A1054" s="83">
        <v>45069</v>
      </c>
      <c r="B1054" s="80" t="s">
        <v>2036</v>
      </c>
      <c r="C1054" s="80" t="s">
        <v>2037</v>
      </c>
      <c r="D1054" s="80"/>
      <c r="E1054" s="80">
        <v>68427709</v>
      </c>
      <c r="F1054" s="94">
        <v>-400</v>
      </c>
      <c r="G1054" s="80" t="s">
        <v>72</v>
      </c>
      <c r="H1054" s="80" t="s">
        <v>73</v>
      </c>
      <c r="I1054" s="80" t="s">
        <v>909</v>
      </c>
      <c r="J1054" s="80">
        <v>2024</v>
      </c>
      <c r="K1054" s="80" t="s">
        <v>75</v>
      </c>
      <c r="L1054" s="80"/>
    </row>
    <row r="1055" spans="1:12" x14ac:dyDescent="0.25">
      <c r="A1055" s="83">
        <v>45069</v>
      </c>
      <c r="B1055" s="80" t="s">
        <v>2038</v>
      </c>
      <c r="C1055" s="80" t="s">
        <v>2039</v>
      </c>
      <c r="D1055" s="80"/>
      <c r="E1055" s="80">
        <v>68427709</v>
      </c>
      <c r="F1055" s="94">
        <v>-400</v>
      </c>
      <c r="G1055" s="80" t="s">
        <v>72</v>
      </c>
      <c r="H1055" s="80" t="s">
        <v>73</v>
      </c>
      <c r="I1055" s="80" t="s">
        <v>909</v>
      </c>
      <c r="J1055" s="80">
        <v>2024</v>
      </c>
      <c r="K1055" s="80" t="s">
        <v>75</v>
      </c>
      <c r="L1055" s="80"/>
    </row>
    <row r="1056" spans="1:12" x14ac:dyDescent="0.25">
      <c r="A1056" s="83">
        <v>45069</v>
      </c>
      <c r="B1056" s="80" t="s">
        <v>2040</v>
      </c>
      <c r="C1056" s="80" t="s">
        <v>2041</v>
      </c>
      <c r="D1056" s="80"/>
      <c r="E1056" s="80">
        <v>68427709</v>
      </c>
      <c r="F1056" s="94">
        <v>-1800</v>
      </c>
      <c r="G1056" s="80" t="s">
        <v>72</v>
      </c>
      <c r="H1056" s="80" t="s">
        <v>73</v>
      </c>
      <c r="I1056" s="80" t="s">
        <v>909</v>
      </c>
      <c r="J1056" s="80">
        <v>2024</v>
      </c>
      <c r="K1056" s="80" t="s">
        <v>75</v>
      </c>
      <c r="L1056" s="80"/>
    </row>
    <row r="1057" spans="1:12" x14ac:dyDescent="0.25">
      <c r="A1057" s="83">
        <v>45069</v>
      </c>
      <c r="B1057" s="80" t="s">
        <v>2042</v>
      </c>
      <c r="C1057" s="80" t="s">
        <v>2043</v>
      </c>
      <c r="D1057" s="80"/>
      <c r="E1057" s="80">
        <v>68427709</v>
      </c>
      <c r="F1057" s="94">
        <v>-4700</v>
      </c>
      <c r="G1057" s="80" t="s">
        <v>72</v>
      </c>
      <c r="H1057" s="80" t="s">
        <v>73</v>
      </c>
      <c r="I1057" s="80" t="s">
        <v>909</v>
      </c>
      <c r="J1057" s="80">
        <v>2024</v>
      </c>
      <c r="K1057" s="80" t="s">
        <v>75</v>
      </c>
      <c r="L1057" s="80"/>
    </row>
    <row r="1058" spans="1:12" x14ac:dyDescent="0.25">
      <c r="A1058" s="83">
        <v>45069</v>
      </c>
      <c r="B1058" s="80" t="s">
        <v>2044</v>
      </c>
      <c r="C1058" s="80" t="s">
        <v>2045</v>
      </c>
      <c r="D1058" s="80"/>
      <c r="E1058" s="80">
        <v>68427709</v>
      </c>
      <c r="F1058" s="94">
        <v>-1800</v>
      </c>
      <c r="G1058" s="80" t="s">
        <v>72</v>
      </c>
      <c r="H1058" s="80" t="s">
        <v>73</v>
      </c>
      <c r="I1058" s="80" t="s">
        <v>909</v>
      </c>
      <c r="J1058" s="80">
        <v>2024</v>
      </c>
      <c r="K1058" s="80" t="s">
        <v>75</v>
      </c>
      <c r="L1058" s="80"/>
    </row>
    <row r="1059" spans="1:12" x14ac:dyDescent="0.25">
      <c r="A1059" s="83">
        <v>45069</v>
      </c>
      <c r="B1059" s="80" t="s">
        <v>2046</v>
      </c>
      <c r="C1059" s="80" t="s">
        <v>2047</v>
      </c>
      <c r="D1059" s="80"/>
      <c r="E1059" s="80">
        <v>68427709</v>
      </c>
      <c r="F1059" s="94">
        <v>-400</v>
      </c>
      <c r="G1059" s="80" t="s">
        <v>72</v>
      </c>
      <c r="H1059" s="80" t="s">
        <v>73</v>
      </c>
      <c r="I1059" s="80" t="s">
        <v>909</v>
      </c>
      <c r="J1059" s="80">
        <v>2024</v>
      </c>
      <c r="K1059" s="80" t="s">
        <v>75</v>
      </c>
      <c r="L1059" s="80"/>
    </row>
    <row r="1060" spans="1:12" x14ac:dyDescent="0.25">
      <c r="A1060" s="83">
        <v>45069</v>
      </c>
      <c r="B1060" s="80" t="s">
        <v>2048</v>
      </c>
      <c r="C1060" s="80" t="s">
        <v>2049</v>
      </c>
      <c r="D1060" s="80"/>
      <c r="E1060" s="80">
        <v>68427709</v>
      </c>
      <c r="F1060" s="94">
        <v>-400</v>
      </c>
      <c r="G1060" s="80" t="s">
        <v>72</v>
      </c>
      <c r="H1060" s="80" t="s">
        <v>73</v>
      </c>
      <c r="I1060" s="80" t="s">
        <v>909</v>
      </c>
      <c r="J1060" s="80">
        <v>2024</v>
      </c>
      <c r="K1060" s="80" t="s">
        <v>75</v>
      </c>
      <c r="L1060" s="80"/>
    </row>
    <row r="1061" spans="1:12" x14ac:dyDescent="0.25">
      <c r="A1061" s="83">
        <v>45069</v>
      </c>
      <c r="B1061" s="80" t="s">
        <v>2050</v>
      </c>
      <c r="C1061" s="80" t="s">
        <v>2051</v>
      </c>
      <c r="D1061" s="80"/>
      <c r="E1061" s="80">
        <v>68427709</v>
      </c>
      <c r="F1061" s="94">
        <v>-1400</v>
      </c>
      <c r="G1061" s="80" t="s">
        <v>72</v>
      </c>
      <c r="H1061" s="80" t="s">
        <v>73</v>
      </c>
      <c r="I1061" s="80" t="s">
        <v>909</v>
      </c>
      <c r="J1061" s="80">
        <v>2024</v>
      </c>
      <c r="K1061" s="80" t="s">
        <v>75</v>
      </c>
      <c r="L1061" s="80"/>
    </row>
    <row r="1062" spans="1:12" x14ac:dyDescent="0.25">
      <c r="A1062" s="83">
        <v>45069</v>
      </c>
      <c r="B1062" s="80" t="s">
        <v>2052</v>
      </c>
      <c r="C1062" s="80" t="s">
        <v>2053</v>
      </c>
      <c r="D1062" s="80"/>
      <c r="E1062" s="80">
        <v>68427709</v>
      </c>
      <c r="F1062" s="94">
        <v>-1400</v>
      </c>
      <c r="G1062" s="80" t="s">
        <v>72</v>
      </c>
      <c r="H1062" s="80" t="s">
        <v>73</v>
      </c>
      <c r="I1062" s="80" t="s">
        <v>909</v>
      </c>
      <c r="J1062" s="80">
        <v>2024</v>
      </c>
      <c r="K1062" s="80" t="s">
        <v>75</v>
      </c>
      <c r="L1062" s="80"/>
    </row>
    <row r="1063" spans="1:12" x14ac:dyDescent="0.25">
      <c r="A1063" s="83">
        <v>45069</v>
      </c>
      <c r="B1063" s="80" t="s">
        <v>2054</v>
      </c>
      <c r="C1063" s="80" t="s">
        <v>2055</v>
      </c>
      <c r="D1063" s="80"/>
      <c r="E1063" s="80">
        <v>68427709</v>
      </c>
      <c r="F1063" s="94">
        <v>-400</v>
      </c>
      <c r="G1063" s="80" t="s">
        <v>72</v>
      </c>
      <c r="H1063" s="80" t="s">
        <v>73</v>
      </c>
      <c r="I1063" s="80" t="s">
        <v>909</v>
      </c>
      <c r="J1063" s="80">
        <v>2024</v>
      </c>
      <c r="K1063" s="80" t="s">
        <v>75</v>
      </c>
      <c r="L1063" s="80"/>
    </row>
    <row r="1064" spans="1:12" x14ac:dyDescent="0.25">
      <c r="A1064" s="83">
        <v>45069</v>
      </c>
      <c r="B1064" s="80" t="s">
        <v>2056</v>
      </c>
      <c r="C1064" s="80" t="s">
        <v>2057</v>
      </c>
      <c r="D1064" s="80"/>
      <c r="E1064" s="80">
        <v>68427709</v>
      </c>
      <c r="F1064" s="94">
        <v>-400</v>
      </c>
      <c r="G1064" s="80" t="s">
        <v>72</v>
      </c>
      <c r="H1064" s="80" t="s">
        <v>73</v>
      </c>
      <c r="I1064" s="80" t="s">
        <v>909</v>
      </c>
      <c r="J1064" s="80">
        <v>2024</v>
      </c>
      <c r="K1064" s="80" t="s">
        <v>75</v>
      </c>
      <c r="L1064" s="80"/>
    </row>
    <row r="1065" spans="1:12" x14ac:dyDescent="0.25">
      <c r="A1065" s="83">
        <v>45069</v>
      </c>
      <c r="B1065" s="80" t="s">
        <v>2058</v>
      </c>
      <c r="C1065" s="80" t="s">
        <v>2059</v>
      </c>
      <c r="D1065" s="80"/>
      <c r="E1065" s="80">
        <v>68427709</v>
      </c>
      <c r="F1065" s="94">
        <v>-900</v>
      </c>
      <c r="G1065" s="80" t="s">
        <v>72</v>
      </c>
      <c r="H1065" s="80" t="s">
        <v>73</v>
      </c>
      <c r="I1065" s="80" t="s">
        <v>909</v>
      </c>
      <c r="J1065" s="80">
        <v>2024</v>
      </c>
      <c r="K1065" s="80" t="s">
        <v>75</v>
      </c>
      <c r="L1065" s="80"/>
    </row>
    <row r="1066" spans="1:12" x14ac:dyDescent="0.25">
      <c r="A1066" s="83">
        <v>45069</v>
      </c>
      <c r="B1066" s="80" t="s">
        <v>2060</v>
      </c>
      <c r="C1066" s="80" t="s">
        <v>2061</v>
      </c>
      <c r="D1066" s="80"/>
      <c r="E1066" s="80">
        <v>68427709</v>
      </c>
      <c r="F1066" s="94">
        <v>-400</v>
      </c>
      <c r="G1066" s="80" t="s">
        <v>72</v>
      </c>
      <c r="H1066" s="80" t="s">
        <v>73</v>
      </c>
      <c r="I1066" s="80" t="s">
        <v>909</v>
      </c>
      <c r="J1066" s="80">
        <v>2024</v>
      </c>
      <c r="K1066" s="80" t="s">
        <v>75</v>
      </c>
      <c r="L1066" s="80"/>
    </row>
    <row r="1067" spans="1:12" x14ac:dyDescent="0.25">
      <c r="A1067" s="83">
        <v>45069</v>
      </c>
      <c r="B1067" s="80" t="s">
        <v>2062</v>
      </c>
      <c r="C1067" s="80" t="s">
        <v>2063</v>
      </c>
      <c r="D1067" s="80"/>
      <c r="E1067" s="80">
        <v>68427709</v>
      </c>
      <c r="F1067" s="94">
        <v>-400</v>
      </c>
      <c r="G1067" s="80" t="s">
        <v>72</v>
      </c>
      <c r="H1067" s="80" t="s">
        <v>73</v>
      </c>
      <c r="I1067" s="80" t="s">
        <v>909</v>
      </c>
      <c r="J1067" s="80">
        <v>2024</v>
      </c>
      <c r="K1067" s="80" t="s">
        <v>75</v>
      </c>
      <c r="L1067" s="80"/>
    </row>
    <row r="1068" spans="1:12" x14ac:dyDescent="0.25">
      <c r="A1068" s="83">
        <v>45070</v>
      </c>
      <c r="B1068" s="80" t="s">
        <v>1227</v>
      </c>
      <c r="C1068" s="80" t="s">
        <v>2278</v>
      </c>
      <c r="D1068" s="80"/>
      <c r="E1068" s="80">
        <v>68427709</v>
      </c>
      <c r="F1068" s="94">
        <v>40000</v>
      </c>
      <c r="G1068" s="80" t="s">
        <v>72</v>
      </c>
      <c r="H1068" s="80" t="s">
        <v>73</v>
      </c>
      <c r="I1068" s="80" t="s">
        <v>92</v>
      </c>
      <c r="J1068" s="80">
        <v>2024</v>
      </c>
      <c r="K1068" s="80" t="s">
        <v>1053</v>
      </c>
      <c r="L1068" s="80"/>
    </row>
    <row r="1069" spans="1:12" x14ac:dyDescent="0.25">
      <c r="A1069" s="83">
        <v>45070</v>
      </c>
      <c r="B1069" s="80" t="s">
        <v>2127</v>
      </c>
      <c r="C1069" s="80" t="s">
        <v>2279</v>
      </c>
      <c r="D1069" s="80"/>
      <c r="E1069" s="80">
        <v>68427709</v>
      </c>
      <c r="F1069" s="94">
        <v>65000</v>
      </c>
      <c r="G1069" s="80" t="s">
        <v>72</v>
      </c>
      <c r="H1069" s="80" t="s">
        <v>73</v>
      </c>
      <c r="I1069" s="80" t="s">
        <v>92</v>
      </c>
      <c r="J1069" s="80">
        <v>2024</v>
      </c>
      <c r="K1069" s="80" t="s">
        <v>1053</v>
      </c>
      <c r="L1069" s="80"/>
    </row>
    <row r="1070" spans="1:12" x14ac:dyDescent="0.25">
      <c r="A1070" s="83">
        <v>45071</v>
      </c>
      <c r="B1070" s="80" t="s">
        <v>2280</v>
      </c>
      <c r="C1070" s="80"/>
      <c r="D1070" s="80"/>
      <c r="E1070" s="80">
        <v>68427709</v>
      </c>
      <c r="F1070" s="94">
        <v>-30000</v>
      </c>
      <c r="G1070" s="80" t="s">
        <v>72</v>
      </c>
      <c r="H1070" s="80" t="s">
        <v>73</v>
      </c>
      <c r="I1070" s="80" t="s">
        <v>92</v>
      </c>
      <c r="J1070" s="80">
        <v>2024</v>
      </c>
      <c r="K1070" s="80" t="s">
        <v>1053</v>
      </c>
      <c r="L1070" s="80" t="s">
        <v>2281</v>
      </c>
    </row>
    <row r="1071" spans="1:12" x14ac:dyDescent="0.25">
      <c r="A1071" s="83">
        <v>45071</v>
      </c>
      <c r="B1071" s="80" t="s">
        <v>1446</v>
      </c>
      <c r="C1071" s="80" t="s">
        <v>2282</v>
      </c>
      <c r="D1071" s="80"/>
      <c r="E1071" s="80">
        <v>68427709</v>
      </c>
      <c r="F1071" s="94">
        <v>0</v>
      </c>
      <c r="G1071" s="80" t="s">
        <v>72</v>
      </c>
      <c r="H1071" s="80" t="s">
        <v>73</v>
      </c>
      <c r="I1071" s="80" t="s">
        <v>92</v>
      </c>
      <c r="J1071" s="80">
        <v>2024</v>
      </c>
      <c r="K1071" s="80" t="s">
        <v>1053</v>
      </c>
      <c r="L1071" s="80" t="s">
        <v>2283</v>
      </c>
    </row>
    <row r="1072" spans="1:12" x14ac:dyDescent="0.25">
      <c r="A1072" s="83">
        <v>45071</v>
      </c>
      <c r="B1072" s="80" t="s">
        <v>2284</v>
      </c>
      <c r="C1072" s="80" t="s">
        <v>2285</v>
      </c>
      <c r="D1072" s="80"/>
      <c r="E1072" s="80">
        <v>68427709</v>
      </c>
      <c r="F1072" s="94">
        <v>-80000</v>
      </c>
      <c r="G1072" s="80" t="s">
        <v>72</v>
      </c>
      <c r="H1072" s="80" t="s">
        <v>73</v>
      </c>
      <c r="I1072" s="80" t="s">
        <v>92</v>
      </c>
      <c r="J1072" s="80">
        <v>2024</v>
      </c>
      <c r="K1072" s="80" t="s">
        <v>1053</v>
      </c>
      <c r="L1072" s="80"/>
    </row>
    <row r="1073" spans="1:12" x14ac:dyDescent="0.25">
      <c r="A1073" s="83">
        <v>45071</v>
      </c>
      <c r="B1073" s="80" t="s">
        <v>2286</v>
      </c>
      <c r="C1073" s="80" t="s">
        <v>2287</v>
      </c>
      <c r="D1073" s="80"/>
      <c r="E1073" s="80">
        <v>68427709</v>
      </c>
      <c r="F1073" s="94">
        <v>100000</v>
      </c>
      <c r="G1073" s="80" t="s">
        <v>72</v>
      </c>
      <c r="H1073" s="80" t="s">
        <v>73</v>
      </c>
      <c r="I1073" s="80" t="s">
        <v>92</v>
      </c>
      <c r="J1073" s="80">
        <v>2024</v>
      </c>
      <c r="K1073" s="80" t="s">
        <v>1053</v>
      </c>
      <c r="L1073" s="80"/>
    </row>
    <row r="1074" spans="1:12" x14ac:dyDescent="0.25">
      <c r="A1074" s="83">
        <v>45070</v>
      </c>
      <c r="B1074" s="80" t="s">
        <v>2288</v>
      </c>
      <c r="C1074" s="80" t="s">
        <v>2289</v>
      </c>
      <c r="D1074" s="80"/>
      <c r="E1074" s="80">
        <v>68427709</v>
      </c>
      <c r="F1074" s="94">
        <v>50000</v>
      </c>
      <c r="G1074" s="80" t="s">
        <v>72</v>
      </c>
      <c r="H1074" s="80" t="s">
        <v>73</v>
      </c>
      <c r="I1074" s="80" t="s">
        <v>92</v>
      </c>
      <c r="J1074" s="80">
        <v>2024</v>
      </c>
      <c r="K1074" s="80" t="s">
        <v>2290</v>
      </c>
      <c r="L1074" s="80"/>
    </row>
    <row r="1075" spans="1:12" s="171" customFormat="1" x14ac:dyDescent="0.25">
      <c r="A1075" s="84">
        <v>45071</v>
      </c>
      <c r="B1075" s="85" t="s">
        <v>1448</v>
      </c>
      <c r="C1075" s="85" t="s">
        <v>2291</v>
      </c>
      <c r="D1075" s="85"/>
      <c r="E1075" s="85">
        <v>68427709</v>
      </c>
      <c r="F1075" s="124">
        <v>-50000</v>
      </c>
      <c r="G1075" s="85" t="s">
        <v>72</v>
      </c>
      <c r="H1075" s="85" t="s">
        <v>73</v>
      </c>
      <c r="I1075" s="85" t="s">
        <v>92</v>
      </c>
      <c r="J1075" s="85">
        <v>2024</v>
      </c>
      <c r="K1075" s="85" t="s">
        <v>1053</v>
      </c>
      <c r="L1075" s="85"/>
    </row>
    <row r="1076" spans="1:12" s="171" customFormat="1" x14ac:dyDescent="0.25">
      <c r="A1076" s="84">
        <v>45071</v>
      </c>
      <c r="B1076" s="85" t="s">
        <v>2168</v>
      </c>
      <c r="C1076" s="85" t="s">
        <v>2292</v>
      </c>
      <c r="D1076" s="85"/>
      <c r="E1076" s="85">
        <v>68427709</v>
      </c>
      <c r="F1076" s="124" t="s">
        <v>1942</v>
      </c>
      <c r="G1076" s="85"/>
      <c r="H1076" s="85"/>
      <c r="I1076" s="85"/>
      <c r="J1076" s="85"/>
      <c r="K1076" s="85"/>
      <c r="L1076" s="85"/>
    </row>
    <row r="1077" spans="1:12" x14ac:dyDescent="0.25">
      <c r="A1077" s="83">
        <v>45070</v>
      </c>
      <c r="B1077" s="80" t="s">
        <v>2293</v>
      </c>
      <c r="C1077" s="80" t="s">
        <v>2294</v>
      </c>
      <c r="D1077" s="80"/>
      <c r="E1077" s="80">
        <v>68427709</v>
      </c>
      <c r="F1077" s="94">
        <v>15000</v>
      </c>
      <c r="G1077" s="80" t="s">
        <v>72</v>
      </c>
      <c r="H1077" s="80" t="s">
        <v>73</v>
      </c>
      <c r="I1077" s="80" t="s">
        <v>1956</v>
      </c>
      <c r="J1077" s="80">
        <v>2024</v>
      </c>
      <c r="K1077" s="80" t="s">
        <v>2124</v>
      </c>
      <c r="L1077" s="80"/>
    </row>
    <row r="1078" spans="1:12" x14ac:dyDescent="0.25">
      <c r="A1078" s="83">
        <v>45070</v>
      </c>
      <c r="B1078" s="80" t="s">
        <v>2295</v>
      </c>
      <c r="C1078" s="80" t="s">
        <v>2296</v>
      </c>
      <c r="D1078" s="80"/>
      <c r="E1078" s="80">
        <v>68427719</v>
      </c>
      <c r="F1078" s="94">
        <v>40000</v>
      </c>
      <c r="G1078" s="80" t="s">
        <v>72</v>
      </c>
      <c r="H1078" s="80" t="s">
        <v>73</v>
      </c>
      <c r="I1078" s="80" t="s">
        <v>1956</v>
      </c>
      <c r="J1078" s="80">
        <v>2024</v>
      </c>
      <c r="K1078" s="80" t="s">
        <v>2297</v>
      </c>
      <c r="L1078" s="80"/>
    </row>
    <row r="1079" spans="1:12" x14ac:dyDescent="0.25">
      <c r="A1079" s="83">
        <v>45070</v>
      </c>
      <c r="B1079" s="80" t="s">
        <v>1748</v>
      </c>
      <c r="C1079" s="80" t="s">
        <v>2298</v>
      </c>
      <c r="D1079" s="80"/>
      <c r="E1079" s="80">
        <v>68427709</v>
      </c>
      <c r="F1079" s="94">
        <v>10000</v>
      </c>
      <c r="G1079" s="80" t="s">
        <v>72</v>
      </c>
      <c r="H1079" s="80" t="s">
        <v>73</v>
      </c>
      <c r="I1079" s="80" t="s">
        <v>1956</v>
      </c>
      <c r="J1079" s="80">
        <v>2024</v>
      </c>
      <c r="K1079" s="80" t="s">
        <v>2124</v>
      </c>
      <c r="L1079" s="80"/>
    </row>
    <row r="1080" spans="1:12" ht="14.1" customHeight="1" x14ac:dyDescent="0.25">
      <c r="A1080" s="83">
        <v>45070</v>
      </c>
      <c r="B1080" s="80" t="s">
        <v>1870</v>
      </c>
      <c r="C1080" s="80" t="s">
        <v>2299</v>
      </c>
      <c r="D1080" s="80"/>
      <c r="E1080" s="80">
        <v>68427709</v>
      </c>
      <c r="F1080" s="94">
        <v>-7000</v>
      </c>
      <c r="G1080" s="80" t="s">
        <v>72</v>
      </c>
      <c r="H1080" s="80" t="s">
        <v>73</v>
      </c>
      <c r="I1080" s="80" t="s">
        <v>1956</v>
      </c>
      <c r="J1080" s="80">
        <v>2024</v>
      </c>
      <c r="K1080" s="80" t="s">
        <v>1053</v>
      </c>
      <c r="L1080" s="80"/>
    </row>
    <row r="1081" spans="1:12" x14ac:dyDescent="0.25">
      <c r="A1081" s="83">
        <v>45070</v>
      </c>
      <c r="B1081" s="80" t="s">
        <v>1870</v>
      </c>
      <c r="C1081" s="80" t="s">
        <v>2299</v>
      </c>
      <c r="D1081" s="80"/>
      <c r="E1081" s="80">
        <v>68427719</v>
      </c>
      <c r="F1081" s="94">
        <v>10000</v>
      </c>
      <c r="G1081" s="80" t="s">
        <v>72</v>
      </c>
      <c r="H1081" s="80" t="s">
        <v>73</v>
      </c>
      <c r="I1081" s="80" t="s">
        <v>1956</v>
      </c>
      <c r="J1081" s="80">
        <v>2024</v>
      </c>
      <c r="K1081" s="80" t="s">
        <v>2124</v>
      </c>
      <c r="L1081" s="80"/>
    </row>
    <row r="1082" spans="1:12" x14ac:dyDescent="0.25">
      <c r="A1082" s="83">
        <v>45070</v>
      </c>
      <c r="B1082" s="80" t="s">
        <v>1701</v>
      </c>
      <c r="C1082" s="80" t="s">
        <v>2300</v>
      </c>
      <c r="D1082" s="80"/>
      <c r="E1082" s="80">
        <v>68427709</v>
      </c>
      <c r="F1082" s="94">
        <v>50000</v>
      </c>
      <c r="G1082" s="80" t="s">
        <v>72</v>
      </c>
      <c r="H1082" s="80" t="s">
        <v>73</v>
      </c>
      <c r="I1082" s="80" t="s">
        <v>1956</v>
      </c>
      <c r="J1082" s="80">
        <v>2024</v>
      </c>
      <c r="K1082" s="80" t="s">
        <v>2108</v>
      </c>
      <c r="L1082" s="80"/>
    </row>
    <row r="1083" spans="1:12" x14ac:dyDescent="0.25">
      <c r="A1083" s="83">
        <v>45070</v>
      </c>
      <c r="B1083" s="80" t="s">
        <v>232</v>
      </c>
      <c r="C1083" s="80" t="s">
        <v>2301</v>
      </c>
      <c r="D1083" s="80"/>
      <c r="E1083" s="80">
        <v>68427709</v>
      </c>
      <c r="F1083" s="94">
        <v>-15000</v>
      </c>
      <c r="G1083" s="80" t="s">
        <v>72</v>
      </c>
      <c r="H1083" s="80" t="s">
        <v>73</v>
      </c>
      <c r="I1083" s="80" t="s">
        <v>1956</v>
      </c>
      <c r="J1083" s="80">
        <v>2024</v>
      </c>
      <c r="K1083" s="80" t="s">
        <v>2108</v>
      </c>
      <c r="L1083" s="80"/>
    </row>
    <row r="1084" spans="1:12" x14ac:dyDescent="0.25">
      <c r="A1084" s="83">
        <v>45070</v>
      </c>
      <c r="B1084" s="80" t="s">
        <v>2302</v>
      </c>
      <c r="C1084" s="80" t="s">
        <v>2303</v>
      </c>
      <c r="D1084" s="80"/>
      <c r="E1084" s="80">
        <v>68427709</v>
      </c>
      <c r="F1084" s="94">
        <v>0</v>
      </c>
      <c r="G1084" s="80" t="s">
        <v>72</v>
      </c>
      <c r="H1084" s="80" t="s">
        <v>73</v>
      </c>
      <c r="I1084" s="80" t="s">
        <v>92</v>
      </c>
      <c r="J1084" s="80">
        <v>2024</v>
      </c>
      <c r="K1084" s="80" t="s">
        <v>2108</v>
      </c>
      <c r="L1084" s="80" t="s">
        <v>2304</v>
      </c>
    </row>
    <row r="1085" spans="1:12" x14ac:dyDescent="0.25">
      <c r="A1085" s="83">
        <v>45070</v>
      </c>
      <c r="B1085" s="80" t="s">
        <v>2305</v>
      </c>
      <c r="C1085" s="80" t="s">
        <v>2306</v>
      </c>
      <c r="D1085" s="80"/>
      <c r="E1085" s="80">
        <v>68427709</v>
      </c>
      <c r="F1085" s="94">
        <v>70000</v>
      </c>
      <c r="G1085" s="80" t="s">
        <v>72</v>
      </c>
      <c r="H1085" s="80" t="s">
        <v>73</v>
      </c>
      <c r="I1085" s="80" t="s">
        <v>92</v>
      </c>
      <c r="J1085" s="80">
        <v>2024</v>
      </c>
      <c r="K1085" s="80" t="s">
        <v>2108</v>
      </c>
      <c r="L1085" s="80"/>
    </row>
    <row r="1086" spans="1:12" x14ac:dyDescent="0.25">
      <c r="A1086" s="83">
        <v>45070</v>
      </c>
      <c r="B1086" s="80" t="s">
        <v>735</v>
      </c>
      <c r="C1086" s="80" t="s">
        <v>2307</v>
      </c>
      <c r="D1086" s="80"/>
      <c r="E1086" s="80">
        <v>68427709</v>
      </c>
      <c r="F1086" s="94">
        <v>9000</v>
      </c>
      <c r="G1086" s="80" t="s">
        <v>72</v>
      </c>
      <c r="H1086" s="80" t="s">
        <v>73</v>
      </c>
      <c r="I1086" s="80" t="s">
        <v>1956</v>
      </c>
      <c r="J1086" s="80">
        <v>2024</v>
      </c>
      <c r="K1086" s="80" t="s">
        <v>2308</v>
      </c>
      <c r="L1086" s="80"/>
    </row>
    <row r="1087" spans="1:12" x14ac:dyDescent="0.25">
      <c r="A1087" s="83">
        <v>45082</v>
      </c>
      <c r="B1087" s="80" t="s">
        <v>2309</v>
      </c>
      <c r="C1087" s="80" t="s">
        <v>2310</v>
      </c>
      <c r="D1087" s="80"/>
      <c r="E1087" s="80">
        <v>68427709</v>
      </c>
      <c r="F1087" s="94">
        <v>-65000</v>
      </c>
      <c r="G1087" s="80" t="s">
        <v>72</v>
      </c>
      <c r="H1087" s="80" t="s">
        <v>73</v>
      </c>
      <c r="I1087" s="80" t="s">
        <v>1956</v>
      </c>
      <c r="J1087" s="80">
        <v>2024</v>
      </c>
      <c r="K1087" s="80" t="s">
        <v>1053</v>
      </c>
      <c r="L1087" s="80"/>
    </row>
    <row r="1088" spans="1:12" x14ac:dyDescent="0.25">
      <c r="A1088" s="83">
        <v>45082</v>
      </c>
      <c r="B1088" s="80" t="s">
        <v>1529</v>
      </c>
      <c r="C1088" s="80" t="s">
        <v>2311</v>
      </c>
      <c r="D1088" s="80"/>
      <c r="E1088" s="80">
        <v>68427709</v>
      </c>
      <c r="F1088" s="94">
        <v>-125000</v>
      </c>
      <c r="G1088" s="80" t="s">
        <v>72</v>
      </c>
      <c r="H1088" s="80" t="s">
        <v>73</v>
      </c>
      <c r="I1088" s="80" t="s">
        <v>1956</v>
      </c>
      <c r="J1088" s="80">
        <v>2024</v>
      </c>
      <c r="K1088" s="80" t="s">
        <v>1053</v>
      </c>
      <c r="L1088" s="80"/>
    </row>
    <row r="1089" spans="1:12" ht="12.6" customHeight="1" x14ac:dyDescent="0.25">
      <c r="A1089" s="83">
        <v>45082</v>
      </c>
      <c r="B1089" s="80" t="s">
        <v>1676</v>
      </c>
      <c r="C1089" s="80" t="s">
        <v>2312</v>
      </c>
      <c r="D1089" s="80"/>
      <c r="E1089" s="80">
        <v>68427709</v>
      </c>
      <c r="F1089" s="94">
        <v>-80000</v>
      </c>
      <c r="G1089" s="80" t="s">
        <v>72</v>
      </c>
      <c r="H1089" s="80" t="s">
        <v>73</v>
      </c>
      <c r="I1089" s="80" t="s">
        <v>1956</v>
      </c>
      <c r="J1089" s="80">
        <v>2024</v>
      </c>
      <c r="K1089" s="80" t="s">
        <v>1053</v>
      </c>
      <c r="L1089" s="80"/>
    </row>
    <row r="1090" spans="1:12" x14ac:dyDescent="0.25">
      <c r="A1090" s="83">
        <v>45082</v>
      </c>
      <c r="B1090" s="80" t="s">
        <v>2313</v>
      </c>
      <c r="C1090" s="80" t="s">
        <v>2314</v>
      </c>
      <c r="D1090" s="80"/>
      <c r="E1090" s="80">
        <v>68427709</v>
      </c>
      <c r="F1090" s="94">
        <v>-28000</v>
      </c>
      <c r="G1090" s="80" t="s">
        <v>72</v>
      </c>
      <c r="H1090" s="80" t="s">
        <v>73</v>
      </c>
      <c r="I1090" s="80" t="s">
        <v>1956</v>
      </c>
      <c r="J1090" s="80">
        <v>2024</v>
      </c>
      <c r="K1090" s="80" t="s">
        <v>1053</v>
      </c>
      <c r="L1090" s="80"/>
    </row>
    <row r="1091" spans="1:12" x14ac:dyDescent="0.25">
      <c r="A1091" s="83">
        <v>45082</v>
      </c>
      <c r="B1091" s="80" t="s">
        <v>2315</v>
      </c>
      <c r="C1091" s="80" t="s">
        <v>2316</v>
      </c>
      <c r="D1091" s="80"/>
      <c r="E1091" s="80">
        <v>68427709</v>
      </c>
      <c r="F1091" s="94">
        <v>155000</v>
      </c>
      <c r="G1091" s="80" t="s">
        <v>72</v>
      </c>
      <c r="H1091" s="80" t="s">
        <v>73</v>
      </c>
      <c r="I1091" s="80" t="s">
        <v>1956</v>
      </c>
      <c r="J1091" s="80">
        <v>2024</v>
      </c>
      <c r="K1091" s="80" t="s">
        <v>1053</v>
      </c>
      <c r="L1091" s="80"/>
    </row>
    <row r="1092" spans="1:12" x14ac:dyDescent="0.25">
      <c r="A1092" s="83">
        <v>45082</v>
      </c>
      <c r="B1092" s="80" t="s">
        <v>586</v>
      </c>
      <c r="C1092" s="80" t="s">
        <v>2317</v>
      </c>
      <c r="D1092" s="80"/>
      <c r="E1092" s="80">
        <v>68427709</v>
      </c>
      <c r="F1092" s="94">
        <v>-142000</v>
      </c>
      <c r="G1092" s="80" t="s">
        <v>72</v>
      </c>
      <c r="H1092" s="80" t="s">
        <v>73</v>
      </c>
      <c r="I1092" s="80" t="s">
        <v>1662</v>
      </c>
      <c r="J1092" s="80">
        <v>2024</v>
      </c>
      <c r="K1092" s="80" t="s">
        <v>1053</v>
      </c>
      <c r="L1092" s="80"/>
    </row>
    <row r="1093" spans="1:12" x14ac:dyDescent="0.25">
      <c r="A1093" s="83">
        <v>45082</v>
      </c>
      <c r="B1093" s="80" t="s">
        <v>2318</v>
      </c>
      <c r="C1093" s="80" t="s">
        <v>2319</v>
      </c>
      <c r="D1093" s="80"/>
      <c r="E1093" s="80">
        <v>68427709</v>
      </c>
      <c r="F1093" s="94">
        <v>35000</v>
      </c>
      <c r="G1093" s="80" t="s">
        <v>72</v>
      </c>
      <c r="H1093" s="80" t="s">
        <v>73</v>
      </c>
      <c r="I1093" s="80" t="s">
        <v>1662</v>
      </c>
      <c r="J1093" s="80">
        <v>2024</v>
      </c>
      <c r="K1093" s="80" t="s">
        <v>1053</v>
      </c>
      <c r="L1093" s="80"/>
    </row>
    <row r="1094" spans="1:12" x14ac:dyDescent="0.25">
      <c r="A1094" s="83">
        <v>45082</v>
      </c>
      <c r="B1094" s="80" t="s">
        <v>2320</v>
      </c>
      <c r="C1094" s="80" t="s">
        <v>92</v>
      </c>
      <c r="D1094" s="80"/>
      <c r="E1094" s="80">
        <v>68427709</v>
      </c>
      <c r="F1094" s="94">
        <v>12500</v>
      </c>
      <c r="G1094" s="80" t="s">
        <v>72</v>
      </c>
      <c r="H1094" s="80" t="s">
        <v>73</v>
      </c>
      <c r="I1094" s="80" t="s">
        <v>92</v>
      </c>
      <c r="J1094" s="80">
        <v>2024</v>
      </c>
      <c r="K1094" s="80" t="s">
        <v>1053</v>
      </c>
      <c r="L1094" s="80"/>
    </row>
    <row r="1095" spans="1:12" x14ac:dyDescent="0.25">
      <c r="A1095" s="83">
        <v>45082</v>
      </c>
      <c r="B1095" s="80" t="s">
        <v>1227</v>
      </c>
      <c r="C1095" s="80" t="s">
        <v>2321</v>
      </c>
      <c r="D1095" s="80"/>
      <c r="E1095" s="80">
        <v>68427709</v>
      </c>
      <c r="F1095" s="94">
        <v>100000</v>
      </c>
      <c r="G1095" s="80" t="s">
        <v>72</v>
      </c>
      <c r="H1095" s="80" t="s">
        <v>73</v>
      </c>
      <c r="I1095" s="80" t="s">
        <v>1662</v>
      </c>
      <c r="J1095" s="80">
        <v>2024</v>
      </c>
      <c r="K1095" s="80" t="s">
        <v>1053</v>
      </c>
      <c r="L1095" s="80"/>
    </row>
    <row r="1096" spans="1:12" x14ac:dyDescent="0.25">
      <c r="A1096" s="83">
        <v>45082</v>
      </c>
      <c r="B1096" s="80" t="s">
        <v>2148</v>
      </c>
      <c r="C1096" s="80"/>
      <c r="D1096" s="80"/>
      <c r="E1096" s="80">
        <v>68427719</v>
      </c>
      <c r="F1096" s="94">
        <v>52500</v>
      </c>
      <c r="G1096" s="80" t="s">
        <v>72</v>
      </c>
      <c r="H1096" s="80" t="s">
        <v>73</v>
      </c>
      <c r="I1096" s="80" t="s">
        <v>1662</v>
      </c>
      <c r="J1096" s="80">
        <v>2024</v>
      </c>
      <c r="K1096" s="80" t="s">
        <v>1885</v>
      </c>
      <c r="L1096" s="80"/>
    </row>
    <row r="1097" spans="1:12" x14ac:dyDescent="0.25">
      <c r="A1097" s="83">
        <v>45082</v>
      </c>
      <c r="B1097" s="80" t="s">
        <v>139</v>
      </c>
      <c r="C1097" s="80" t="s">
        <v>2322</v>
      </c>
      <c r="D1097" s="80"/>
      <c r="E1097" s="80">
        <v>68427719</v>
      </c>
      <c r="F1097" s="94">
        <v>-595000</v>
      </c>
      <c r="G1097" s="80" t="s">
        <v>72</v>
      </c>
      <c r="H1097" s="80" t="s">
        <v>73</v>
      </c>
      <c r="I1097" s="80" t="s">
        <v>1662</v>
      </c>
      <c r="J1097" s="80">
        <v>2024</v>
      </c>
      <c r="K1097" s="80" t="s">
        <v>1885</v>
      </c>
      <c r="L1097" s="80"/>
    </row>
    <row r="1098" spans="1:12" x14ac:dyDescent="0.25">
      <c r="A1098" s="83">
        <v>45082</v>
      </c>
      <c r="B1098" s="80" t="s">
        <v>2323</v>
      </c>
      <c r="C1098" s="80" t="s">
        <v>2324</v>
      </c>
      <c r="D1098" s="80"/>
      <c r="E1098" s="80">
        <v>68427719</v>
      </c>
      <c r="F1098" s="94">
        <v>16000</v>
      </c>
      <c r="G1098" s="80" t="s">
        <v>72</v>
      </c>
      <c r="H1098" s="80" t="s">
        <v>73</v>
      </c>
      <c r="I1098" s="80" t="s">
        <v>1662</v>
      </c>
      <c r="J1098" s="80">
        <v>2024</v>
      </c>
      <c r="K1098" s="80" t="s">
        <v>1885</v>
      </c>
      <c r="L1098" s="80"/>
    </row>
    <row r="1099" spans="1:12" x14ac:dyDescent="0.25">
      <c r="A1099" s="83">
        <v>45082</v>
      </c>
      <c r="B1099" s="80" t="s">
        <v>1864</v>
      </c>
      <c r="C1099" s="80" t="s">
        <v>2325</v>
      </c>
      <c r="D1099" s="80"/>
      <c r="E1099" s="80">
        <v>68427719</v>
      </c>
      <c r="F1099" s="94">
        <v>-45000</v>
      </c>
      <c r="G1099" s="80" t="s">
        <v>72</v>
      </c>
      <c r="H1099" s="80" t="s">
        <v>73</v>
      </c>
      <c r="I1099" s="80" t="s">
        <v>1662</v>
      </c>
      <c r="J1099" s="80">
        <v>2024</v>
      </c>
      <c r="K1099" s="80" t="s">
        <v>1885</v>
      </c>
      <c r="L1099" s="80"/>
    </row>
    <row r="1100" spans="1:12" x14ac:dyDescent="0.25">
      <c r="A1100" s="83">
        <v>45082</v>
      </c>
      <c r="B1100" s="80" t="s">
        <v>1859</v>
      </c>
      <c r="C1100" s="80" t="s">
        <v>2326</v>
      </c>
      <c r="D1100" s="80"/>
      <c r="E1100" s="80">
        <v>68427719</v>
      </c>
      <c r="F1100" s="94">
        <v>-90000</v>
      </c>
      <c r="G1100" s="80" t="s">
        <v>72</v>
      </c>
      <c r="H1100" s="80" t="s">
        <v>73</v>
      </c>
      <c r="I1100" s="80" t="s">
        <v>1662</v>
      </c>
      <c r="J1100" s="80">
        <v>2024</v>
      </c>
      <c r="K1100" s="80" t="s">
        <v>1885</v>
      </c>
      <c r="L1100" s="80"/>
    </row>
    <row r="1101" spans="1:12" x14ac:dyDescent="0.25">
      <c r="A1101" s="83">
        <v>45082</v>
      </c>
      <c r="B1101" s="80" t="s">
        <v>988</v>
      </c>
      <c r="C1101" s="80"/>
      <c r="D1101" s="80"/>
      <c r="E1101" s="80">
        <v>68427719</v>
      </c>
      <c r="F1101" s="94">
        <v>-409000</v>
      </c>
      <c r="G1101" s="80" t="s">
        <v>72</v>
      </c>
      <c r="H1101" s="80" t="s">
        <v>73</v>
      </c>
      <c r="I1101" s="80" t="s">
        <v>92</v>
      </c>
      <c r="J1101" s="80">
        <v>2024</v>
      </c>
      <c r="K1101" s="80" t="s">
        <v>1885</v>
      </c>
      <c r="L1101" s="80"/>
    </row>
    <row r="1102" spans="1:12" x14ac:dyDescent="0.25">
      <c r="A1102" s="83">
        <v>45082</v>
      </c>
      <c r="B1102" s="80" t="s">
        <v>2327</v>
      </c>
      <c r="C1102" s="80" t="s">
        <v>2328</v>
      </c>
      <c r="D1102" s="80"/>
      <c r="E1102" s="80">
        <v>68427719</v>
      </c>
      <c r="F1102" s="94">
        <v>-330000</v>
      </c>
      <c r="G1102" s="80" t="s">
        <v>72</v>
      </c>
      <c r="H1102" s="80" t="s">
        <v>73</v>
      </c>
      <c r="I1102" s="80" t="s">
        <v>92</v>
      </c>
      <c r="J1102" s="80">
        <v>2024</v>
      </c>
      <c r="K1102" s="80" t="s">
        <v>1885</v>
      </c>
      <c r="L1102" s="80"/>
    </row>
    <row r="1103" spans="1:12" ht="14.1" customHeight="1" x14ac:dyDescent="0.25">
      <c r="A1103" s="83">
        <v>45082</v>
      </c>
      <c r="B1103" s="80" t="s">
        <v>2329</v>
      </c>
      <c r="C1103" s="80" t="s">
        <v>2330</v>
      </c>
      <c r="D1103" s="80"/>
      <c r="E1103" s="80">
        <v>68427719</v>
      </c>
      <c r="F1103" s="94">
        <v>-50000</v>
      </c>
      <c r="G1103" s="80" t="s">
        <v>72</v>
      </c>
      <c r="H1103" s="80" t="s">
        <v>73</v>
      </c>
      <c r="I1103" s="80" t="s">
        <v>92</v>
      </c>
      <c r="J1103" s="80">
        <v>2024</v>
      </c>
      <c r="K1103" s="80" t="s">
        <v>1885</v>
      </c>
      <c r="L1103" s="80"/>
    </row>
    <row r="1104" spans="1:12" x14ac:dyDescent="0.25">
      <c r="A1104" s="83">
        <v>45082</v>
      </c>
      <c r="B1104" s="80" t="s">
        <v>2331</v>
      </c>
      <c r="C1104" s="80" t="s">
        <v>2332</v>
      </c>
      <c r="D1104" s="80"/>
      <c r="E1104" s="80">
        <v>68427719</v>
      </c>
      <c r="F1104" s="94">
        <v>-100000</v>
      </c>
      <c r="G1104" s="80" t="s">
        <v>72</v>
      </c>
      <c r="H1104" s="80" t="s">
        <v>73</v>
      </c>
      <c r="I1104" s="80" t="s">
        <v>92</v>
      </c>
      <c r="J1104" s="80">
        <v>2024</v>
      </c>
      <c r="K1104" s="80" t="s">
        <v>1885</v>
      </c>
      <c r="L1104" s="80"/>
    </row>
    <row r="1105" spans="1:12" x14ac:dyDescent="0.25">
      <c r="A1105" s="83">
        <v>45085</v>
      </c>
      <c r="B1105" s="80" t="s">
        <v>1188</v>
      </c>
      <c r="C1105" s="80" t="s">
        <v>1706</v>
      </c>
      <c r="D1105" s="80"/>
      <c r="E1105" s="80">
        <v>68427709</v>
      </c>
      <c r="F1105" s="94">
        <v>3000</v>
      </c>
      <c r="G1105" s="80" t="s">
        <v>72</v>
      </c>
      <c r="H1105" s="80" t="s">
        <v>73</v>
      </c>
      <c r="I1105" s="80" t="s">
        <v>1662</v>
      </c>
      <c r="J1105" s="80">
        <v>2024</v>
      </c>
      <c r="K1105" s="80" t="s">
        <v>1186</v>
      </c>
      <c r="L1105" s="80"/>
    </row>
    <row r="1106" spans="1:12" x14ac:dyDescent="0.25">
      <c r="A1106" s="83">
        <v>45085</v>
      </c>
      <c r="B1106" s="80" t="s">
        <v>1545</v>
      </c>
      <c r="C1106" s="80" t="s">
        <v>2333</v>
      </c>
      <c r="D1106" s="80"/>
      <c r="E1106" s="80">
        <v>68427709</v>
      </c>
      <c r="F1106" s="94">
        <v>26000</v>
      </c>
      <c r="G1106" s="80" t="s">
        <v>72</v>
      </c>
      <c r="H1106" s="80" t="s">
        <v>73</v>
      </c>
      <c r="I1106" s="80" t="s">
        <v>1662</v>
      </c>
      <c r="J1106" s="80">
        <v>2024</v>
      </c>
      <c r="K1106" s="80" t="s">
        <v>1186</v>
      </c>
      <c r="L1106" s="80"/>
    </row>
    <row r="1107" spans="1:12" x14ac:dyDescent="0.25">
      <c r="A1107" s="83">
        <v>45086</v>
      </c>
      <c r="B1107" s="80" t="s">
        <v>2334</v>
      </c>
      <c r="C1107" s="80" t="s">
        <v>2335</v>
      </c>
      <c r="D1107" s="80"/>
      <c r="E1107" s="80">
        <v>68427709</v>
      </c>
      <c r="F1107" s="94">
        <v>-44000</v>
      </c>
      <c r="G1107" s="80" t="s">
        <v>72</v>
      </c>
      <c r="H1107" s="80" t="s">
        <v>73</v>
      </c>
      <c r="I1107" s="80" t="s">
        <v>1662</v>
      </c>
      <c r="J1107" s="80">
        <v>2024</v>
      </c>
      <c r="K1107" s="80" t="s">
        <v>1244</v>
      </c>
      <c r="L1107" s="80"/>
    </row>
    <row r="1108" spans="1:12" x14ac:dyDescent="0.25">
      <c r="A1108" s="83">
        <v>45086</v>
      </c>
      <c r="B1108" s="80" t="s">
        <v>2336</v>
      </c>
      <c r="C1108" s="80" t="s">
        <v>2337</v>
      </c>
      <c r="D1108" s="80"/>
      <c r="E1108" s="80">
        <v>68427709</v>
      </c>
      <c r="F1108" s="94">
        <v>7000</v>
      </c>
      <c r="G1108" s="80" t="s">
        <v>72</v>
      </c>
      <c r="H1108" s="80" t="s">
        <v>73</v>
      </c>
      <c r="I1108" s="80" t="s">
        <v>1662</v>
      </c>
      <c r="J1108" s="80">
        <v>2024</v>
      </c>
      <c r="K1108" s="80" t="s">
        <v>1244</v>
      </c>
      <c r="L1108" s="80"/>
    </row>
    <row r="1109" spans="1:12" x14ac:dyDescent="0.25">
      <c r="A1109" s="83">
        <v>45086</v>
      </c>
      <c r="B1109" s="80" t="s">
        <v>2338</v>
      </c>
      <c r="C1109" s="80" t="s">
        <v>2339</v>
      </c>
      <c r="D1109" s="80"/>
      <c r="E1109" s="80">
        <v>68427709</v>
      </c>
      <c r="F1109" s="94">
        <v>30500</v>
      </c>
      <c r="G1109" s="80" t="s">
        <v>72</v>
      </c>
      <c r="H1109" s="80" t="s">
        <v>73</v>
      </c>
      <c r="I1109" s="80" t="s">
        <v>1662</v>
      </c>
      <c r="J1109" s="80">
        <v>2024</v>
      </c>
      <c r="K1109" s="80" t="s">
        <v>1244</v>
      </c>
      <c r="L1109" s="80"/>
    </row>
    <row r="1110" spans="1:12" x14ac:dyDescent="0.25">
      <c r="A1110" s="83">
        <v>45086</v>
      </c>
      <c r="B1110" t="s">
        <v>2340</v>
      </c>
      <c r="C1110" s="80"/>
      <c r="D1110" s="80"/>
      <c r="E1110" s="80">
        <v>68427709</v>
      </c>
      <c r="F1110" s="94">
        <v>76000</v>
      </c>
      <c r="G1110" s="80" t="s">
        <v>72</v>
      </c>
      <c r="H1110" s="80" t="s">
        <v>73</v>
      </c>
      <c r="I1110" s="80" t="s">
        <v>1662</v>
      </c>
      <c r="J1110" s="80">
        <v>2024</v>
      </c>
      <c r="K1110" s="80" t="s">
        <v>1244</v>
      </c>
      <c r="L1110" s="80"/>
    </row>
    <row r="1111" spans="1:12" x14ac:dyDescent="0.25">
      <c r="A1111" s="83">
        <v>45086</v>
      </c>
      <c r="B1111" s="80" t="s">
        <v>2341</v>
      </c>
      <c r="C1111" s="80" t="s">
        <v>2342</v>
      </c>
      <c r="D1111" s="80"/>
      <c r="E1111" s="80">
        <v>68427709</v>
      </c>
      <c r="F1111" s="94">
        <v>15000</v>
      </c>
      <c r="G1111" s="80" t="s">
        <v>72</v>
      </c>
      <c r="H1111" s="80" t="s">
        <v>73</v>
      </c>
      <c r="I1111" s="80" t="s">
        <v>1662</v>
      </c>
      <c r="J1111" s="80">
        <v>2024</v>
      </c>
      <c r="K1111" s="80" t="s">
        <v>1244</v>
      </c>
      <c r="L1111" s="80"/>
    </row>
    <row r="1112" spans="1:12" x14ac:dyDescent="0.25">
      <c r="A1112" s="83">
        <v>45086</v>
      </c>
      <c r="B1112" s="80" t="s">
        <v>2343</v>
      </c>
      <c r="C1112" s="80" t="s">
        <v>2344</v>
      </c>
      <c r="D1112" s="80"/>
      <c r="E1112" s="80">
        <v>68427709</v>
      </c>
      <c r="F1112" s="94">
        <v>2200</v>
      </c>
      <c r="G1112" s="80" t="s">
        <v>72</v>
      </c>
      <c r="H1112" s="80" t="s">
        <v>73</v>
      </c>
      <c r="I1112" s="80" t="s">
        <v>1662</v>
      </c>
      <c r="J1112" s="80">
        <v>2024</v>
      </c>
      <c r="K1112" s="80" t="s">
        <v>2345</v>
      </c>
      <c r="L1112" s="80"/>
    </row>
    <row r="1113" spans="1:12" x14ac:dyDescent="0.25">
      <c r="A1113" s="83">
        <v>45086</v>
      </c>
      <c r="B1113" s="80" t="s">
        <v>2346</v>
      </c>
      <c r="C1113" s="80" t="s">
        <v>2347</v>
      </c>
      <c r="D1113" s="80"/>
      <c r="E1113" s="80">
        <v>68427709</v>
      </c>
      <c r="F1113" s="94">
        <v>50000</v>
      </c>
      <c r="G1113" s="80" t="s">
        <v>72</v>
      </c>
      <c r="H1113" s="80" t="s">
        <v>73</v>
      </c>
      <c r="I1113" s="80" t="s">
        <v>1662</v>
      </c>
      <c r="J1113" s="80">
        <v>2024</v>
      </c>
      <c r="K1113" s="80" t="s">
        <v>2345</v>
      </c>
      <c r="L1113" s="80"/>
    </row>
    <row r="1114" spans="1:12" x14ac:dyDescent="0.25">
      <c r="A1114" s="83">
        <v>45086</v>
      </c>
      <c r="B1114" s="80" t="s">
        <v>1278</v>
      </c>
      <c r="C1114" s="80" t="s">
        <v>2348</v>
      </c>
      <c r="D1114" s="80"/>
      <c r="E1114" s="80">
        <v>68427709</v>
      </c>
      <c r="F1114" s="94">
        <v>0</v>
      </c>
      <c r="G1114" s="80" t="s">
        <v>72</v>
      </c>
      <c r="H1114" s="80" t="s">
        <v>73</v>
      </c>
      <c r="I1114" s="80" t="s">
        <v>92</v>
      </c>
      <c r="J1114" s="80">
        <v>2024</v>
      </c>
      <c r="K1114" s="80" t="s">
        <v>1254</v>
      </c>
      <c r="L1114" s="80" t="s">
        <v>2349</v>
      </c>
    </row>
    <row r="1115" spans="1:12" x14ac:dyDescent="0.25">
      <c r="A1115" s="83">
        <v>45086</v>
      </c>
      <c r="B1115" s="80" t="s">
        <v>2350</v>
      </c>
      <c r="C1115" s="80" t="s">
        <v>1793</v>
      </c>
      <c r="D1115" s="80"/>
      <c r="E1115" s="80">
        <v>68427709</v>
      </c>
      <c r="F1115" s="94">
        <v>45000</v>
      </c>
      <c r="G1115" s="80" t="s">
        <v>72</v>
      </c>
      <c r="H1115" s="80" t="s">
        <v>73</v>
      </c>
      <c r="I1115" s="80" t="s">
        <v>1662</v>
      </c>
      <c r="J1115" s="80">
        <v>2024</v>
      </c>
      <c r="K1115" s="80" t="s">
        <v>1254</v>
      </c>
      <c r="L1115" s="80"/>
    </row>
    <row r="1116" spans="1:12" x14ac:dyDescent="0.25">
      <c r="A1116" s="83">
        <v>45086</v>
      </c>
      <c r="B1116" s="80" t="s">
        <v>2351</v>
      </c>
      <c r="C1116" s="80" t="s">
        <v>2352</v>
      </c>
      <c r="D1116" s="80"/>
      <c r="E1116" s="80">
        <v>68427709</v>
      </c>
      <c r="F1116" s="94">
        <v>53500</v>
      </c>
      <c r="G1116" s="80" t="s">
        <v>72</v>
      </c>
      <c r="H1116" s="80" t="s">
        <v>73</v>
      </c>
      <c r="I1116" s="80" t="s">
        <v>1662</v>
      </c>
      <c r="J1116" s="80">
        <v>2024</v>
      </c>
      <c r="K1116" s="80" t="s">
        <v>1254</v>
      </c>
      <c r="L1116" s="80"/>
    </row>
    <row r="1117" spans="1:12" x14ac:dyDescent="0.25">
      <c r="A1117" s="83">
        <v>45089</v>
      </c>
      <c r="B1117" s="80" t="s">
        <v>2133</v>
      </c>
      <c r="C1117" s="80" t="s">
        <v>2353</v>
      </c>
      <c r="D1117" s="80"/>
      <c r="E1117" s="80">
        <v>68427709</v>
      </c>
      <c r="F1117" s="94">
        <v>18000</v>
      </c>
      <c r="G1117" s="80" t="s">
        <v>72</v>
      </c>
      <c r="H1117" s="80" t="s">
        <v>73</v>
      </c>
      <c r="I1117" s="80" t="s">
        <v>1662</v>
      </c>
      <c r="J1117" s="80">
        <v>2024</v>
      </c>
      <c r="K1117" s="80" t="s">
        <v>2354</v>
      </c>
      <c r="L1117" s="80"/>
    </row>
    <row r="1118" spans="1:12" x14ac:dyDescent="0.25">
      <c r="A1118" s="83">
        <v>45091</v>
      </c>
      <c r="B1118" s="80" t="s">
        <v>1582</v>
      </c>
      <c r="C1118" s="80" t="s">
        <v>2355</v>
      </c>
      <c r="D1118" s="80"/>
      <c r="E1118" s="80">
        <v>68427709</v>
      </c>
      <c r="F1118" s="94">
        <v>122000</v>
      </c>
      <c r="G1118" s="80" t="s">
        <v>72</v>
      </c>
      <c r="H1118" s="80" t="s">
        <v>73</v>
      </c>
      <c r="I1118" s="80" t="s">
        <v>1662</v>
      </c>
      <c r="J1118" s="80">
        <v>2024</v>
      </c>
      <c r="K1118" s="80" t="s">
        <v>1596</v>
      </c>
      <c r="L1118" s="80"/>
    </row>
    <row r="1119" spans="1:12" x14ac:dyDescent="0.25">
      <c r="A1119" s="83">
        <v>45091</v>
      </c>
      <c r="B1119" s="80" t="s">
        <v>2243</v>
      </c>
      <c r="C1119" s="80" t="s">
        <v>2356</v>
      </c>
      <c r="D1119" s="80"/>
      <c r="E1119" s="80">
        <v>68427709</v>
      </c>
      <c r="F1119" s="94">
        <v>2000</v>
      </c>
      <c r="G1119" s="80" t="s">
        <v>72</v>
      </c>
      <c r="H1119" s="80" t="s">
        <v>73</v>
      </c>
      <c r="I1119" s="80" t="s">
        <v>1662</v>
      </c>
      <c r="J1119" s="80">
        <v>2024</v>
      </c>
      <c r="K1119" s="80" t="s">
        <v>1596</v>
      </c>
      <c r="L1119" s="80"/>
    </row>
    <row r="1120" spans="1:12" x14ac:dyDescent="0.25">
      <c r="A1120" s="83">
        <v>45091</v>
      </c>
      <c r="B1120" s="80" t="s">
        <v>1878</v>
      </c>
      <c r="C1120" s="80" t="s">
        <v>2357</v>
      </c>
      <c r="D1120" s="80"/>
      <c r="E1120" s="80">
        <v>68427709</v>
      </c>
      <c r="F1120" s="94">
        <v>12000</v>
      </c>
      <c r="G1120" s="80" t="s">
        <v>72</v>
      </c>
      <c r="H1120" s="80" t="s">
        <v>73</v>
      </c>
      <c r="I1120" s="80" t="s">
        <v>1662</v>
      </c>
      <c r="J1120" s="80">
        <v>2024</v>
      </c>
      <c r="K1120" s="80" t="s">
        <v>1596</v>
      </c>
      <c r="L1120" s="80"/>
    </row>
    <row r="1121" spans="1:12" x14ac:dyDescent="0.25">
      <c r="A1121" s="83">
        <v>45091</v>
      </c>
      <c r="B1121" s="80" t="s">
        <v>1480</v>
      </c>
      <c r="C1121" s="80" t="s">
        <v>2358</v>
      </c>
      <c r="D1121" s="80"/>
      <c r="E1121" s="80">
        <v>68427709</v>
      </c>
      <c r="F1121" s="94">
        <v>5000</v>
      </c>
      <c r="G1121" s="80" t="s">
        <v>72</v>
      </c>
      <c r="H1121" s="80" t="s">
        <v>73</v>
      </c>
      <c r="I1121" s="80" t="s">
        <v>1662</v>
      </c>
      <c r="J1121" s="80">
        <v>2024</v>
      </c>
      <c r="K1121" s="80" t="s">
        <v>1596</v>
      </c>
      <c r="L1121" s="80"/>
    </row>
    <row r="1122" spans="1:12" x14ac:dyDescent="0.25">
      <c r="A1122" s="83">
        <v>45091</v>
      </c>
      <c r="B1122" s="80" t="s">
        <v>2246</v>
      </c>
      <c r="C1122" s="80" t="s">
        <v>2358</v>
      </c>
      <c r="D1122" s="80"/>
      <c r="E1122" s="80">
        <v>68427709</v>
      </c>
      <c r="F1122" s="94">
        <v>3000</v>
      </c>
      <c r="G1122" s="80" t="s">
        <v>72</v>
      </c>
      <c r="H1122" s="80" t="s">
        <v>73</v>
      </c>
      <c r="I1122" s="80" t="s">
        <v>1662</v>
      </c>
      <c r="J1122" s="80">
        <v>2024</v>
      </c>
      <c r="K1122" s="80" t="s">
        <v>1596</v>
      </c>
      <c r="L1122" s="80"/>
    </row>
    <row r="1123" spans="1:12" x14ac:dyDescent="0.25">
      <c r="A1123" s="83">
        <v>45091</v>
      </c>
      <c r="B1123" s="80" t="s">
        <v>1875</v>
      </c>
      <c r="C1123" s="80" t="s">
        <v>2359</v>
      </c>
      <c r="D1123" s="80"/>
      <c r="E1123" s="80">
        <v>68427709</v>
      </c>
      <c r="F1123" s="94">
        <v>-12000</v>
      </c>
      <c r="G1123" s="80" t="s">
        <v>72</v>
      </c>
      <c r="H1123" s="80" t="s">
        <v>73</v>
      </c>
      <c r="I1123" s="80" t="s">
        <v>1662</v>
      </c>
      <c r="J1123" s="80">
        <v>2024</v>
      </c>
      <c r="K1123" s="80" t="s">
        <v>1596</v>
      </c>
      <c r="L1123" s="80"/>
    </row>
    <row r="1124" spans="1:12" x14ac:dyDescent="0.25">
      <c r="A1124" s="83">
        <v>45091</v>
      </c>
      <c r="B1124" s="80" t="s">
        <v>2259</v>
      </c>
      <c r="C1124" s="80" t="s">
        <v>2360</v>
      </c>
      <c r="D1124" s="80"/>
      <c r="E1124" s="80">
        <v>68427709</v>
      </c>
      <c r="F1124" s="94">
        <v>22000</v>
      </c>
      <c r="G1124" s="80" t="s">
        <v>72</v>
      </c>
      <c r="H1124" s="80" t="s">
        <v>73</v>
      </c>
      <c r="I1124" s="80" t="s">
        <v>1662</v>
      </c>
      <c r="J1124" s="80">
        <v>2024</v>
      </c>
      <c r="K1124" s="80" t="s">
        <v>1596</v>
      </c>
      <c r="L1124" s="80"/>
    </row>
    <row r="1125" spans="1:12" x14ac:dyDescent="0.25">
      <c r="A1125" s="83">
        <v>45091</v>
      </c>
      <c r="B1125" s="80" t="s">
        <v>1691</v>
      </c>
      <c r="C1125" s="80"/>
      <c r="D1125" s="80"/>
      <c r="E1125" s="80">
        <v>68427709</v>
      </c>
      <c r="F1125" s="94">
        <v>3000</v>
      </c>
      <c r="G1125" s="80" t="s">
        <v>72</v>
      </c>
      <c r="H1125" s="80" t="s">
        <v>73</v>
      </c>
      <c r="I1125" s="80" t="s">
        <v>1662</v>
      </c>
      <c r="J1125" s="80">
        <v>2024</v>
      </c>
      <c r="K1125" s="80" t="s">
        <v>1596</v>
      </c>
      <c r="L1125" s="80"/>
    </row>
    <row r="1126" spans="1:12" x14ac:dyDescent="0.25">
      <c r="A1126" s="83">
        <v>45091</v>
      </c>
      <c r="B1126" s="80" t="s">
        <v>2361</v>
      </c>
      <c r="C1126" s="80" t="s">
        <v>2362</v>
      </c>
      <c r="D1126" s="80"/>
      <c r="E1126" s="80">
        <v>68427709</v>
      </c>
      <c r="F1126" s="94">
        <v>-40000</v>
      </c>
      <c r="G1126" s="80" t="s">
        <v>72</v>
      </c>
      <c r="H1126" s="80" t="s">
        <v>73</v>
      </c>
      <c r="I1126" s="80" t="s">
        <v>1662</v>
      </c>
      <c r="J1126" s="80">
        <v>2024</v>
      </c>
      <c r="K1126" s="80" t="s">
        <v>1596</v>
      </c>
      <c r="L1126" s="80"/>
    </row>
    <row r="1127" spans="1:12" x14ac:dyDescent="0.25">
      <c r="A1127" s="83">
        <v>45091</v>
      </c>
      <c r="B1127" s="80" t="s">
        <v>2254</v>
      </c>
      <c r="C1127" s="80"/>
      <c r="D1127" s="80"/>
      <c r="E1127" s="80">
        <v>68427709</v>
      </c>
      <c r="F1127" s="94">
        <v>3000</v>
      </c>
      <c r="G1127" s="80" t="s">
        <v>72</v>
      </c>
      <c r="H1127" s="80" t="s">
        <v>73</v>
      </c>
      <c r="I1127" s="80" t="s">
        <v>1662</v>
      </c>
      <c r="J1127" s="80">
        <v>2024</v>
      </c>
      <c r="K1127" s="80" t="s">
        <v>1596</v>
      </c>
      <c r="L1127" s="80"/>
    </row>
    <row r="1128" spans="1:12" x14ac:dyDescent="0.25">
      <c r="A1128" s="83">
        <v>45091</v>
      </c>
      <c r="B1128" s="80" t="s">
        <v>2363</v>
      </c>
      <c r="C1128" s="80" t="s">
        <v>2364</v>
      </c>
      <c r="D1128" s="80"/>
      <c r="E1128" s="80">
        <v>68427709</v>
      </c>
      <c r="F1128" s="94">
        <v>72000</v>
      </c>
      <c r="G1128" s="80" t="s">
        <v>72</v>
      </c>
      <c r="H1128" s="80" t="s">
        <v>73</v>
      </c>
      <c r="I1128" s="80" t="s">
        <v>1662</v>
      </c>
      <c r="J1128" s="80">
        <v>2024</v>
      </c>
      <c r="K1128" s="80" t="s">
        <v>1596</v>
      </c>
      <c r="L1128" s="80"/>
    </row>
    <row r="1129" spans="1:12" x14ac:dyDescent="0.25">
      <c r="A1129" s="83">
        <v>45091</v>
      </c>
      <c r="B1129" s="80" t="s">
        <v>2365</v>
      </c>
      <c r="C1129" s="80" t="s">
        <v>2366</v>
      </c>
      <c r="D1129" s="80"/>
      <c r="E1129" s="80">
        <v>68427709</v>
      </c>
      <c r="F1129" s="94">
        <v>-61000</v>
      </c>
      <c r="G1129" s="80" t="s">
        <v>72</v>
      </c>
      <c r="H1129" s="80" t="s">
        <v>73</v>
      </c>
      <c r="I1129" s="80" t="s">
        <v>1662</v>
      </c>
      <c r="J1129" s="80">
        <v>2024</v>
      </c>
      <c r="K1129" s="80" t="s">
        <v>1596</v>
      </c>
      <c r="L1129" s="80"/>
    </row>
    <row r="1130" spans="1:12" x14ac:dyDescent="0.25">
      <c r="A1130" s="83">
        <v>45091</v>
      </c>
      <c r="B1130" s="80" t="s">
        <v>2367</v>
      </c>
      <c r="C1130" s="80" t="s">
        <v>2366</v>
      </c>
      <c r="D1130" s="80"/>
      <c r="E1130" s="80">
        <v>68427709</v>
      </c>
      <c r="F1130" s="94">
        <v>78000</v>
      </c>
      <c r="G1130" s="80" t="s">
        <v>72</v>
      </c>
      <c r="H1130" s="80" t="s">
        <v>73</v>
      </c>
      <c r="I1130" s="80" t="s">
        <v>1662</v>
      </c>
      <c r="J1130" s="80">
        <v>2024</v>
      </c>
      <c r="K1130" s="80" t="s">
        <v>1596</v>
      </c>
      <c r="L1130" s="80"/>
    </row>
    <row r="1131" spans="1:12" x14ac:dyDescent="0.25">
      <c r="A1131" s="83">
        <v>45091</v>
      </c>
      <c r="B1131" s="80" t="s">
        <v>244</v>
      </c>
      <c r="C1131" s="80" t="s">
        <v>2368</v>
      </c>
      <c r="D1131" s="80"/>
      <c r="E1131" s="80">
        <v>68427709</v>
      </c>
      <c r="F1131" s="94">
        <v>0</v>
      </c>
      <c r="G1131" s="80" t="s">
        <v>72</v>
      </c>
      <c r="H1131" s="80" t="s">
        <v>73</v>
      </c>
      <c r="I1131" s="80" t="s">
        <v>1662</v>
      </c>
      <c r="J1131" s="80">
        <v>2024</v>
      </c>
      <c r="K1131" s="80" t="s">
        <v>1596</v>
      </c>
      <c r="L1131" s="80"/>
    </row>
    <row r="1132" spans="1:12" x14ac:dyDescent="0.25">
      <c r="A1132" s="83">
        <v>45091</v>
      </c>
      <c r="B1132" s="80" t="s">
        <v>727</v>
      </c>
      <c r="C1132" t="s">
        <v>2369</v>
      </c>
      <c r="D1132" s="80"/>
      <c r="E1132" s="80">
        <v>68427709</v>
      </c>
      <c r="F1132" s="94">
        <v>92000</v>
      </c>
      <c r="G1132" s="80" t="s">
        <v>72</v>
      </c>
      <c r="H1132" s="80" t="s">
        <v>73</v>
      </c>
      <c r="I1132" s="80" t="s">
        <v>1662</v>
      </c>
      <c r="J1132" s="80">
        <v>2024</v>
      </c>
      <c r="K1132" s="80" t="s">
        <v>1596</v>
      </c>
      <c r="L1132" s="80"/>
    </row>
    <row r="1133" spans="1:12" x14ac:dyDescent="0.25">
      <c r="A1133" s="83">
        <v>45091</v>
      </c>
      <c r="B1133" s="80" t="s">
        <v>2247</v>
      </c>
      <c r="C1133" s="80" t="s">
        <v>2370</v>
      </c>
      <c r="D1133" s="80"/>
      <c r="E1133" s="80">
        <v>68427709</v>
      </c>
      <c r="F1133" s="94">
        <v>40000</v>
      </c>
      <c r="G1133" s="80" t="s">
        <v>72</v>
      </c>
      <c r="H1133" s="80" t="s">
        <v>73</v>
      </c>
      <c r="I1133" s="80" t="s">
        <v>1662</v>
      </c>
      <c r="J1133" s="80">
        <v>2024</v>
      </c>
      <c r="K1133" s="80" t="s">
        <v>1596</v>
      </c>
      <c r="L1133" s="80"/>
    </row>
    <row r="1134" spans="1:12" x14ac:dyDescent="0.25">
      <c r="A1134" s="83">
        <v>45091</v>
      </c>
      <c r="B1134" s="80" t="s">
        <v>2250</v>
      </c>
      <c r="C1134" s="80"/>
      <c r="D1134" s="80"/>
      <c r="E1134" s="80">
        <v>68427709</v>
      </c>
      <c r="F1134" s="94">
        <v>10000</v>
      </c>
      <c r="G1134" s="80" t="s">
        <v>72</v>
      </c>
      <c r="H1134" s="80" t="s">
        <v>73</v>
      </c>
      <c r="I1134" s="80" t="s">
        <v>1662</v>
      </c>
      <c r="J1134" s="80">
        <v>2024</v>
      </c>
      <c r="K1134" s="80" t="s">
        <v>1596</v>
      </c>
      <c r="L1134" s="80"/>
    </row>
    <row r="1135" spans="1:12" x14ac:dyDescent="0.25">
      <c r="A1135" s="83">
        <v>45091</v>
      </c>
      <c r="B1135" s="80" t="s">
        <v>120</v>
      </c>
      <c r="C1135" s="80" t="s">
        <v>2371</v>
      </c>
      <c r="D1135" s="80"/>
      <c r="E1135" s="80">
        <v>68427709</v>
      </c>
      <c r="F1135" s="94">
        <v>-130000</v>
      </c>
      <c r="G1135" s="80" t="s">
        <v>72</v>
      </c>
      <c r="H1135" s="80" t="s">
        <v>73</v>
      </c>
      <c r="I1135" s="80" t="s">
        <v>1662</v>
      </c>
      <c r="J1135" s="80">
        <v>2024</v>
      </c>
      <c r="K1135" s="80" t="s">
        <v>1596</v>
      </c>
      <c r="L1135" s="80"/>
    </row>
    <row r="1136" spans="1:12" x14ac:dyDescent="0.25">
      <c r="A1136" s="83">
        <v>45091</v>
      </c>
      <c r="B1136" s="80" t="s">
        <v>2372</v>
      </c>
      <c r="C1136" s="80" t="s">
        <v>2373</v>
      </c>
      <c r="D1136" s="80"/>
      <c r="E1136" s="80">
        <v>68427709</v>
      </c>
      <c r="F1136" s="94">
        <v>-150000</v>
      </c>
      <c r="G1136" s="80" t="s">
        <v>72</v>
      </c>
      <c r="H1136" s="80" t="s">
        <v>73</v>
      </c>
      <c r="I1136" s="80" t="s">
        <v>1662</v>
      </c>
      <c r="J1136" s="80">
        <v>2024</v>
      </c>
      <c r="K1136" s="80" t="s">
        <v>633</v>
      </c>
      <c r="L1136" s="80"/>
    </row>
    <row r="1137" spans="1:12" x14ac:dyDescent="0.25">
      <c r="A1137" s="83">
        <v>45091</v>
      </c>
      <c r="B1137" s="153" t="s">
        <v>2374</v>
      </c>
      <c r="C1137" s="80" t="s">
        <v>2375</v>
      </c>
      <c r="D1137" s="80"/>
      <c r="E1137" s="80">
        <v>68427709</v>
      </c>
      <c r="F1137" s="94">
        <v>-285000</v>
      </c>
      <c r="G1137" s="80" t="s">
        <v>72</v>
      </c>
      <c r="H1137" s="80" t="s">
        <v>73</v>
      </c>
      <c r="I1137" s="80" t="s">
        <v>1662</v>
      </c>
      <c r="J1137" s="80">
        <v>2024</v>
      </c>
      <c r="K1137" s="80" t="s">
        <v>633</v>
      </c>
      <c r="L1137" s="80"/>
    </row>
    <row r="1138" spans="1:12" x14ac:dyDescent="0.25">
      <c r="A1138" s="83">
        <v>45091</v>
      </c>
      <c r="B1138" s="153" t="s">
        <v>2376</v>
      </c>
      <c r="C1138" s="80" t="s">
        <v>2377</v>
      </c>
      <c r="D1138" s="80"/>
      <c r="E1138" s="80">
        <v>68427709</v>
      </c>
      <c r="F1138" s="94">
        <v>23600</v>
      </c>
      <c r="G1138" s="80" t="s">
        <v>72</v>
      </c>
      <c r="H1138" s="80" t="s">
        <v>73</v>
      </c>
      <c r="I1138" s="80" t="s">
        <v>92</v>
      </c>
      <c r="J1138" s="80">
        <v>2024</v>
      </c>
      <c r="K1138" s="80" t="s">
        <v>633</v>
      </c>
      <c r="L1138" s="80"/>
    </row>
    <row r="1139" spans="1:12" x14ac:dyDescent="0.25">
      <c r="A1139" s="83">
        <v>45091</v>
      </c>
      <c r="B1139" s="80" t="s">
        <v>2153</v>
      </c>
      <c r="C1139" s="80" t="s">
        <v>2378</v>
      </c>
      <c r="D1139" s="80"/>
      <c r="E1139" s="80">
        <v>68427709</v>
      </c>
      <c r="F1139" s="94">
        <v>-99000</v>
      </c>
      <c r="G1139" s="80" t="s">
        <v>72</v>
      </c>
      <c r="H1139" s="80" t="s">
        <v>73</v>
      </c>
      <c r="I1139" s="80" t="s">
        <v>1956</v>
      </c>
      <c r="J1139" s="80">
        <v>2024</v>
      </c>
      <c r="K1139" s="80" t="s">
        <v>633</v>
      </c>
      <c r="L1139" s="80"/>
    </row>
    <row r="1140" spans="1:12" x14ac:dyDescent="0.25">
      <c r="A1140" s="83">
        <v>45091</v>
      </c>
      <c r="B1140" s="80" t="s">
        <v>2379</v>
      </c>
      <c r="C1140" s="80" t="s">
        <v>2380</v>
      </c>
      <c r="D1140" s="80"/>
      <c r="E1140" s="80">
        <v>68427709</v>
      </c>
      <c r="F1140" s="94">
        <v>376000</v>
      </c>
      <c r="G1140" s="80" t="s">
        <v>72</v>
      </c>
      <c r="H1140" s="80" t="s">
        <v>73</v>
      </c>
      <c r="I1140" s="80" t="s">
        <v>1662</v>
      </c>
      <c r="J1140" s="80">
        <v>2024</v>
      </c>
      <c r="K1140" s="80" t="s">
        <v>633</v>
      </c>
      <c r="L1140" s="80"/>
    </row>
    <row r="1141" spans="1:12" ht="15.95" customHeight="1" x14ac:dyDescent="0.25">
      <c r="A1141" s="83">
        <v>45091</v>
      </c>
      <c r="B1141" s="80" t="s">
        <v>2381</v>
      </c>
      <c r="C1141" s="80" t="s">
        <v>2382</v>
      </c>
      <c r="D1141" s="80"/>
      <c r="E1141" s="80">
        <v>68427709</v>
      </c>
      <c r="F1141" s="94">
        <v>-23200</v>
      </c>
      <c r="G1141" s="80" t="s">
        <v>72</v>
      </c>
      <c r="H1141" s="80" t="s">
        <v>73</v>
      </c>
      <c r="I1141" s="80" t="s">
        <v>1662</v>
      </c>
      <c r="J1141" s="80">
        <v>2024</v>
      </c>
      <c r="K1141" s="80" t="s">
        <v>633</v>
      </c>
      <c r="L1141" s="80"/>
    </row>
    <row r="1142" spans="1:12" x14ac:dyDescent="0.25">
      <c r="A1142" s="83">
        <v>45091</v>
      </c>
      <c r="B1142" s="80" t="s">
        <v>1762</v>
      </c>
      <c r="C1142" s="80" t="s">
        <v>2383</v>
      </c>
      <c r="D1142" s="80"/>
      <c r="E1142" s="80">
        <v>68427709</v>
      </c>
      <c r="F1142" s="94">
        <v>-40000</v>
      </c>
      <c r="G1142" s="80" t="s">
        <v>72</v>
      </c>
      <c r="H1142" s="80" t="s">
        <v>73</v>
      </c>
      <c r="I1142" s="80" t="s">
        <v>1662</v>
      </c>
      <c r="J1142" s="80">
        <v>2024</v>
      </c>
      <c r="K1142" s="80" t="s">
        <v>633</v>
      </c>
      <c r="L1142" s="80"/>
    </row>
    <row r="1143" spans="1:12" x14ac:dyDescent="0.25">
      <c r="A1143" s="83">
        <v>45091</v>
      </c>
      <c r="B1143" s="125" t="s">
        <v>2384</v>
      </c>
      <c r="C1143" s="80" t="s">
        <v>2385</v>
      </c>
      <c r="D1143" s="80"/>
      <c r="E1143" s="80">
        <v>68427709</v>
      </c>
      <c r="F1143" s="94">
        <v>77000</v>
      </c>
      <c r="G1143" s="80" t="s">
        <v>72</v>
      </c>
      <c r="H1143" s="80" t="s">
        <v>73</v>
      </c>
      <c r="I1143" s="80" t="s">
        <v>1662</v>
      </c>
      <c r="J1143" s="80">
        <v>2024</v>
      </c>
      <c r="K1143" s="80" t="s">
        <v>633</v>
      </c>
      <c r="L1143" s="80"/>
    </row>
    <row r="1144" spans="1:12" x14ac:dyDescent="0.25">
      <c r="A1144" s="83">
        <v>45091</v>
      </c>
      <c r="B1144" s="125" t="s">
        <v>2386</v>
      </c>
      <c r="C1144" s="80" t="s">
        <v>2285</v>
      </c>
      <c r="D1144" s="80"/>
      <c r="E1144" s="80">
        <v>68427709</v>
      </c>
      <c r="F1144" s="94">
        <v>-323000</v>
      </c>
      <c r="G1144" s="80" t="s">
        <v>72</v>
      </c>
      <c r="H1144" s="80" t="s">
        <v>73</v>
      </c>
      <c r="I1144" s="80" t="s">
        <v>92</v>
      </c>
      <c r="J1144" s="80">
        <v>2024</v>
      </c>
      <c r="K1144" s="80" t="s">
        <v>633</v>
      </c>
      <c r="L1144" s="80"/>
    </row>
    <row r="1145" spans="1:12" x14ac:dyDescent="0.25">
      <c r="A1145" s="83">
        <v>45091</v>
      </c>
      <c r="B1145" s="125" t="s">
        <v>2387</v>
      </c>
      <c r="C1145" s="80" t="s">
        <v>2388</v>
      </c>
      <c r="D1145" s="80"/>
      <c r="E1145" s="80">
        <v>68427709</v>
      </c>
      <c r="F1145" s="94">
        <v>-45000</v>
      </c>
      <c r="G1145" s="80" t="s">
        <v>72</v>
      </c>
      <c r="H1145" s="80" t="s">
        <v>73</v>
      </c>
      <c r="I1145" s="80" t="s">
        <v>1956</v>
      </c>
      <c r="J1145" s="80">
        <v>2024</v>
      </c>
      <c r="K1145" s="80" t="s">
        <v>633</v>
      </c>
      <c r="L1145" s="80"/>
    </row>
    <row r="1146" spans="1:12" x14ac:dyDescent="0.25">
      <c r="A1146" s="83">
        <v>45091</v>
      </c>
      <c r="B1146" s="125" t="s">
        <v>2389</v>
      </c>
      <c r="C1146" s="80" t="s">
        <v>2390</v>
      </c>
      <c r="D1146" s="80"/>
      <c r="E1146" s="80">
        <v>68427709</v>
      </c>
      <c r="F1146" s="94">
        <v>260000</v>
      </c>
      <c r="G1146" s="80" t="s">
        <v>72</v>
      </c>
      <c r="H1146" s="80" t="s">
        <v>73</v>
      </c>
      <c r="I1146" s="80" t="s">
        <v>1956</v>
      </c>
      <c r="J1146" s="80">
        <v>2024</v>
      </c>
      <c r="K1146" s="80" t="s">
        <v>633</v>
      </c>
      <c r="L1146" s="80"/>
    </row>
    <row r="1147" spans="1:12" x14ac:dyDescent="0.25">
      <c r="A1147" s="83">
        <v>45091</v>
      </c>
      <c r="B1147" s="125" t="s">
        <v>2391</v>
      </c>
      <c r="C1147" s="80" t="s">
        <v>2392</v>
      </c>
      <c r="D1147" s="80"/>
      <c r="E1147" s="80">
        <v>68427709</v>
      </c>
      <c r="F1147" s="94">
        <v>56200</v>
      </c>
      <c r="G1147" s="80" t="s">
        <v>72</v>
      </c>
      <c r="H1147" s="80" t="s">
        <v>73</v>
      </c>
      <c r="I1147" s="80" t="s">
        <v>1956</v>
      </c>
      <c r="J1147" s="80">
        <v>2024</v>
      </c>
      <c r="K1147" s="80" t="s">
        <v>633</v>
      </c>
      <c r="L1147" s="80"/>
    </row>
    <row r="1148" spans="1:12" x14ac:dyDescent="0.25">
      <c r="A1148" s="83">
        <v>45091</v>
      </c>
      <c r="B1148" s="125" t="s">
        <v>2393</v>
      </c>
      <c r="C1148" s="80" t="s">
        <v>2394</v>
      </c>
      <c r="D1148" s="80"/>
      <c r="E1148" s="80">
        <v>68427709</v>
      </c>
      <c r="F1148" s="94">
        <v>105000</v>
      </c>
      <c r="G1148" s="80" t="s">
        <v>72</v>
      </c>
      <c r="H1148" s="80" t="s">
        <v>73</v>
      </c>
      <c r="I1148" s="80" t="s">
        <v>92</v>
      </c>
      <c r="J1148" s="80">
        <v>2024</v>
      </c>
      <c r="K1148" s="80" t="s">
        <v>633</v>
      </c>
      <c r="L1148" s="80"/>
    </row>
    <row r="1149" spans="1:12" x14ac:dyDescent="0.25">
      <c r="A1149" s="83">
        <v>45091</v>
      </c>
      <c r="B1149" s="125" t="s">
        <v>2395</v>
      </c>
      <c r="C1149" s="80" t="s">
        <v>2396</v>
      </c>
      <c r="D1149" s="80"/>
      <c r="E1149" s="80">
        <v>68427709</v>
      </c>
      <c r="F1149" s="94">
        <v>105000</v>
      </c>
      <c r="G1149" s="80" t="s">
        <v>72</v>
      </c>
      <c r="H1149" s="80" t="s">
        <v>73</v>
      </c>
      <c r="I1149" s="80" t="s">
        <v>92</v>
      </c>
      <c r="J1149" s="80">
        <v>2024</v>
      </c>
      <c r="K1149" s="80" t="s">
        <v>633</v>
      </c>
      <c r="L1149" s="80"/>
    </row>
    <row r="1150" spans="1:12" x14ac:dyDescent="0.25">
      <c r="A1150" s="83">
        <v>45091</v>
      </c>
      <c r="B1150" s="125" t="s">
        <v>2397</v>
      </c>
      <c r="C1150" s="80" t="s">
        <v>2398</v>
      </c>
      <c r="D1150" s="80"/>
      <c r="E1150" s="80">
        <v>68427709</v>
      </c>
      <c r="F1150" s="94">
        <v>56200</v>
      </c>
      <c r="G1150" s="80" t="s">
        <v>72</v>
      </c>
      <c r="H1150" s="80" t="s">
        <v>73</v>
      </c>
      <c r="I1150" s="80" t="s">
        <v>1662</v>
      </c>
      <c r="J1150" s="80">
        <v>2024</v>
      </c>
      <c r="K1150" s="80" t="s">
        <v>633</v>
      </c>
      <c r="L1150" s="80"/>
    </row>
    <row r="1151" spans="1:12" x14ac:dyDescent="0.25">
      <c r="A1151" s="83">
        <v>45091</v>
      </c>
      <c r="B1151" s="125" t="s">
        <v>2399</v>
      </c>
      <c r="C1151" s="80" t="s">
        <v>2400</v>
      </c>
      <c r="D1151" s="80"/>
      <c r="E1151" s="80">
        <v>68427709</v>
      </c>
      <c r="F1151" s="94">
        <v>11250</v>
      </c>
      <c r="G1151" s="80" t="s">
        <v>72</v>
      </c>
      <c r="H1151" s="80" t="s">
        <v>73</v>
      </c>
      <c r="I1151" s="80" t="s">
        <v>1662</v>
      </c>
      <c r="J1151" s="80">
        <v>2024</v>
      </c>
      <c r="K1151" s="80" t="s">
        <v>633</v>
      </c>
      <c r="L1151" s="80"/>
    </row>
    <row r="1152" spans="1:12" x14ac:dyDescent="0.25">
      <c r="A1152" s="83">
        <v>45091</v>
      </c>
      <c r="B1152" s="80" t="s">
        <v>2401</v>
      </c>
      <c r="C1152" s="80" t="s">
        <v>2402</v>
      </c>
      <c r="D1152" s="80"/>
      <c r="E1152" s="80">
        <v>68427709</v>
      </c>
      <c r="F1152" s="94">
        <v>40800</v>
      </c>
      <c r="G1152" s="80" t="s">
        <v>72</v>
      </c>
      <c r="H1152" s="80" t="s">
        <v>73</v>
      </c>
      <c r="I1152" s="80" t="s">
        <v>1662</v>
      </c>
      <c r="J1152" s="80">
        <v>2024</v>
      </c>
      <c r="K1152" s="80" t="s">
        <v>633</v>
      </c>
      <c r="L1152" s="80"/>
    </row>
    <row r="1153" spans="1:12" x14ac:dyDescent="0.25">
      <c r="A1153" s="83">
        <v>45091</v>
      </c>
      <c r="B1153" s="80" t="s">
        <v>2403</v>
      </c>
      <c r="C1153" s="80" t="s">
        <v>2404</v>
      </c>
      <c r="D1153" s="80"/>
      <c r="E1153" s="80">
        <v>68427709</v>
      </c>
      <c r="F1153" s="94">
        <v>800</v>
      </c>
      <c r="G1153" s="80" t="s">
        <v>72</v>
      </c>
      <c r="H1153" s="80" t="s">
        <v>73</v>
      </c>
      <c r="I1153" s="80" t="s">
        <v>1662</v>
      </c>
      <c r="J1153" s="80">
        <v>2024</v>
      </c>
      <c r="K1153" s="80" t="s">
        <v>75</v>
      </c>
      <c r="L1153" s="80"/>
    </row>
    <row r="1154" spans="1:12" x14ac:dyDescent="0.25">
      <c r="A1154" s="83">
        <v>45091</v>
      </c>
      <c r="B1154" s="80" t="s">
        <v>2405</v>
      </c>
      <c r="C1154" s="80" t="s">
        <v>2404</v>
      </c>
      <c r="D1154" s="80"/>
      <c r="E1154" s="80">
        <v>68427709</v>
      </c>
      <c r="F1154" s="94">
        <v>46000</v>
      </c>
      <c r="G1154" s="80" t="s">
        <v>72</v>
      </c>
      <c r="H1154" s="80" t="s">
        <v>73</v>
      </c>
      <c r="I1154" s="80" t="s">
        <v>1662</v>
      </c>
      <c r="J1154" s="80">
        <v>2024</v>
      </c>
      <c r="K1154" s="80" t="s">
        <v>75</v>
      </c>
      <c r="L1154" s="80"/>
    </row>
    <row r="1155" spans="1:12" x14ac:dyDescent="0.25">
      <c r="A1155" s="83">
        <v>45091</v>
      </c>
      <c r="B1155" s="80" t="s">
        <v>2406</v>
      </c>
      <c r="C1155" s="80" t="s">
        <v>2404</v>
      </c>
      <c r="D1155" s="80"/>
      <c r="E1155" s="80">
        <v>68427709</v>
      </c>
      <c r="F1155" s="94">
        <v>760</v>
      </c>
      <c r="G1155" s="80" t="s">
        <v>72</v>
      </c>
      <c r="H1155" s="80" t="s">
        <v>73</v>
      </c>
      <c r="I1155" s="80" t="s">
        <v>1662</v>
      </c>
      <c r="J1155" s="80">
        <v>2024</v>
      </c>
      <c r="K1155" s="80" t="s">
        <v>75</v>
      </c>
      <c r="L1155" s="80"/>
    </row>
    <row r="1156" spans="1:12" x14ac:dyDescent="0.25">
      <c r="A1156" s="83">
        <v>45091</v>
      </c>
      <c r="B1156" s="80" t="s">
        <v>2407</v>
      </c>
      <c r="C1156" s="80" t="s">
        <v>2404</v>
      </c>
      <c r="D1156" s="80"/>
      <c r="E1156" s="80">
        <v>68427709</v>
      </c>
      <c r="F1156" s="94">
        <v>1550</v>
      </c>
      <c r="G1156" s="80" t="s">
        <v>72</v>
      </c>
      <c r="H1156" s="80" t="s">
        <v>73</v>
      </c>
      <c r="I1156" s="80" t="s">
        <v>1662</v>
      </c>
      <c r="J1156" s="80">
        <v>2024</v>
      </c>
      <c r="K1156" s="80" t="s">
        <v>75</v>
      </c>
      <c r="L1156" s="80"/>
    </row>
    <row r="1157" spans="1:12" x14ac:dyDescent="0.25">
      <c r="A1157" s="83">
        <v>45091</v>
      </c>
      <c r="B1157" s="80" t="s">
        <v>1576</v>
      </c>
      <c r="C1157" s="80" t="s">
        <v>2404</v>
      </c>
      <c r="D1157" s="80"/>
      <c r="E1157" s="80">
        <v>68427709</v>
      </c>
      <c r="F1157" s="94">
        <v>900</v>
      </c>
      <c r="G1157" s="80" t="s">
        <v>72</v>
      </c>
      <c r="H1157" s="80" t="s">
        <v>73</v>
      </c>
      <c r="I1157" s="80" t="s">
        <v>1662</v>
      </c>
      <c r="J1157" s="80">
        <v>2024</v>
      </c>
      <c r="K1157" s="80" t="s">
        <v>75</v>
      </c>
      <c r="L1157" s="80"/>
    </row>
    <row r="1158" spans="1:12" x14ac:dyDescent="0.25">
      <c r="A1158" s="83">
        <v>45091</v>
      </c>
      <c r="B1158" s="80" t="s">
        <v>2408</v>
      </c>
      <c r="C1158" s="80" t="s">
        <v>2404</v>
      </c>
      <c r="D1158" s="80"/>
      <c r="E1158" s="80">
        <v>68427709</v>
      </c>
      <c r="F1158" s="94">
        <v>2200</v>
      </c>
      <c r="G1158" s="80" t="s">
        <v>72</v>
      </c>
      <c r="H1158" s="80" t="s">
        <v>73</v>
      </c>
      <c r="I1158" s="80" t="s">
        <v>1662</v>
      </c>
      <c r="J1158" s="80">
        <v>2024</v>
      </c>
      <c r="K1158" s="80" t="s">
        <v>75</v>
      </c>
      <c r="L1158" s="80"/>
    </row>
    <row r="1159" spans="1:12" x14ac:dyDescent="0.25">
      <c r="A1159" s="83">
        <v>45091</v>
      </c>
      <c r="B1159" s="80" t="s">
        <v>2409</v>
      </c>
      <c r="C1159" s="80" t="s">
        <v>2404</v>
      </c>
      <c r="D1159" s="80"/>
      <c r="E1159" s="80">
        <v>68427709</v>
      </c>
      <c r="F1159" s="94">
        <v>8500</v>
      </c>
      <c r="G1159" s="80" t="s">
        <v>72</v>
      </c>
      <c r="H1159" s="80" t="s">
        <v>73</v>
      </c>
      <c r="I1159" s="80" t="s">
        <v>1662</v>
      </c>
      <c r="J1159" s="80">
        <v>2024</v>
      </c>
      <c r="K1159" s="80" t="s">
        <v>75</v>
      </c>
      <c r="L1159" s="80"/>
    </row>
    <row r="1160" spans="1:12" x14ac:dyDescent="0.25">
      <c r="A1160" s="83">
        <v>45092</v>
      </c>
      <c r="B1160" s="80" t="s">
        <v>2410</v>
      </c>
      <c r="C1160" s="80"/>
      <c r="D1160" s="80"/>
      <c r="E1160" s="80">
        <v>68427709</v>
      </c>
      <c r="F1160" s="94">
        <v>34700</v>
      </c>
      <c r="G1160" s="80" t="s">
        <v>72</v>
      </c>
      <c r="H1160" s="80" t="s">
        <v>73</v>
      </c>
      <c r="I1160" s="80" t="s">
        <v>1662</v>
      </c>
      <c r="J1160" s="80">
        <v>2024</v>
      </c>
      <c r="K1160" s="80" t="s">
        <v>633</v>
      </c>
      <c r="L1160" s="80"/>
    </row>
    <row r="1161" spans="1:12" x14ac:dyDescent="0.25">
      <c r="A1161" s="83">
        <v>45092</v>
      </c>
      <c r="B1161" s="80" t="s">
        <v>1246</v>
      </c>
      <c r="C1161" s="80" t="s">
        <v>2358</v>
      </c>
      <c r="D1161" s="80"/>
      <c r="E1161" s="80">
        <v>68427709</v>
      </c>
      <c r="F1161" s="94">
        <v>2000</v>
      </c>
      <c r="G1161" s="80" t="s">
        <v>72</v>
      </c>
      <c r="H1161" s="80" t="s">
        <v>73</v>
      </c>
      <c r="I1161" s="80" t="s">
        <v>1662</v>
      </c>
      <c r="J1161" s="80">
        <v>2024</v>
      </c>
      <c r="K1161" s="80" t="s">
        <v>633</v>
      </c>
      <c r="L1161" s="80"/>
    </row>
    <row r="1162" spans="1:12" x14ac:dyDescent="0.25">
      <c r="A1162" s="83">
        <v>45092</v>
      </c>
      <c r="B1162" s="80" t="s">
        <v>2411</v>
      </c>
      <c r="C1162" s="80" t="s">
        <v>2412</v>
      </c>
      <c r="D1162" s="80"/>
      <c r="E1162" s="80">
        <v>68427709</v>
      </c>
      <c r="F1162" s="94">
        <v>40000</v>
      </c>
      <c r="G1162" s="80" t="s">
        <v>72</v>
      </c>
      <c r="H1162" s="80" t="s">
        <v>73</v>
      </c>
      <c r="I1162" s="80" t="s">
        <v>92</v>
      </c>
      <c r="J1162" s="80">
        <v>2024</v>
      </c>
      <c r="K1162" s="80" t="s">
        <v>633</v>
      </c>
      <c r="L1162" s="80"/>
    </row>
    <row r="1163" spans="1:12" x14ac:dyDescent="0.25">
      <c r="A1163" s="83">
        <v>45092</v>
      </c>
      <c r="B1163" s="80" t="s">
        <v>2413</v>
      </c>
      <c r="C1163" s="80" t="s">
        <v>2414</v>
      </c>
      <c r="D1163" s="80"/>
      <c r="E1163" s="80">
        <v>68427709</v>
      </c>
      <c r="F1163" s="94">
        <v>0</v>
      </c>
      <c r="G1163" s="80" t="s">
        <v>72</v>
      </c>
      <c r="H1163" s="80" t="s">
        <v>73</v>
      </c>
      <c r="I1163" s="80" t="s">
        <v>92</v>
      </c>
      <c r="J1163" s="80">
        <v>2024</v>
      </c>
      <c r="K1163" s="80" t="s">
        <v>1752</v>
      </c>
      <c r="L1163" s="80" t="s">
        <v>2415</v>
      </c>
    </row>
    <row r="1164" spans="1:12" x14ac:dyDescent="0.25">
      <c r="A1164" s="83">
        <v>45092</v>
      </c>
      <c r="B1164" s="80" t="s">
        <v>2416</v>
      </c>
      <c r="C1164" s="80" t="s">
        <v>2417</v>
      </c>
      <c r="D1164" s="80"/>
      <c r="E1164" s="80">
        <v>68427709</v>
      </c>
      <c r="F1164" s="94">
        <v>47000</v>
      </c>
      <c r="G1164" s="80" t="s">
        <v>72</v>
      </c>
      <c r="H1164" s="80" t="s">
        <v>73</v>
      </c>
      <c r="I1164" s="80" t="s">
        <v>1662</v>
      </c>
      <c r="J1164" s="80">
        <v>2024</v>
      </c>
      <c r="K1164" s="80" t="s">
        <v>1752</v>
      </c>
      <c r="L1164" s="80"/>
    </row>
    <row r="1165" spans="1:12" x14ac:dyDescent="0.25">
      <c r="A1165" s="83">
        <v>45092</v>
      </c>
      <c r="B1165" s="80" t="s">
        <v>2418</v>
      </c>
      <c r="C1165" s="80" t="s">
        <v>2419</v>
      </c>
      <c r="D1165" s="80"/>
      <c r="E1165" s="80">
        <v>68427709</v>
      </c>
      <c r="F1165" s="94">
        <v>51000</v>
      </c>
      <c r="G1165" s="80" t="s">
        <v>72</v>
      </c>
      <c r="H1165" s="80" t="s">
        <v>73</v>
      </c>
      <c r="I1165" s="80" t="s">
        <v>1662</v>
      </c>
      <c r="J1165" s="80">
        <v>2024</v>
      </c>
      <c r="K1165" s="80" t="s">
        <v>1752</v>
      </c>
      <c r="L1165" s="80"/>
    </row>
    <row r="1166" spans="1:12" x14ac:dyDescent="0.25">
      <c r="A1166" s="83">
        <v>45092</v>
      </c>
      <c r="B1166" s="80" t="s">
        <v>1214</v>
      </c>
      <c r="C1166" s="80" t="s">
        <v>2420</v>
      </c>
      <c r="D1166" s="80"/>
      <c r="E1166" s="80">
        <v>68427709</v>
      </c>
      <c r="F1166" s="94">
        <v>99000</v>
      </c>
      <c r="G1166" s="80" t="s">
        <v>72</v>
      </c>
      <c r="H1166" s="80" t="s">
        <v>73</v>
      </c>
      <c r="I1166" s="80" t="s">
        <v>1662</v>
      </c>
      <c r="J1166" s="80">
        <v>2024</v>
      </c>
      <c r="K1166" s="80" t="s">
        <v>1752</v>
      </c>
      <c r="L1166" s="80"/>
    </row>
    <row r="1167" spans="1:12" x14ac:dyDescent="0.25">
      <c r="A1167" s="83">
        <v>45092</v>
      </c>
      <c r="B1167" s="80" t="s">
        <v>2421</v>
      </c>
      <c r="C1167" s="80" t="s">
        <v>2419</v>
      </c>
      <c r="D1167" s="80"/>
      <c r="E1167" s="80">
        <v>68427709</v>
      </c>
      <c r="F1167" s="94">
        <v>10000</v>
      </c>
      <c r="G1167" s="80" t="s">
        <v>72</v>
      </c>
      <c r="H1167" s="80" t="s">
        <v>73</v>
      </c>
      <c r="I1167" s="80" t="s">
        <v>1662</v>
      </c>
      <c r="J1167" s="80">
        <v>2024</v>
      </c>
      <c r="K1167" s="80" t="s">
        <v>1752</v>
      </c>
      <c r="L1167" s="80"/>
    </row>
    <row r="1168" spans="1:12" x14ac:dyDescent="0.25">
      <c r="A1168" s="83">
        <v>45099</v>
      </c>
      <c r="B1168" s="80" t="s">
        <v>2219</v>
      </c>
      <c r="C1168" s="80" t="s">
        <v>2422</v>
      </c>
      <c r="D1168" s="80"/>
      <c r="E1168" s="80">
        <v>68427709</v>
      </c>
      <c r="F1168" s="94">
        <v>1000</v>
      </c>
      <c r="G1168" s="80" t="s">
        <v>72</v>
      </c>
      <c r="H1168" s="80" t="s">
        <v>73</v>
      </c>
      <c r="I1168" s="80"/>
      <c r="J1168" s="80">
        <v>2024</v>
      </c>
      <c r="K1168" s="80" t="s">
        <v>1164</v>
      </c>
      <c r="L1168" s="80"/>
    </row>
    <row r="1169" spans="1:12" x14ac:dyDescent="0.25">
      <c r="A1169" s="83">
        <v>45099</v>
      </c>
      <c r="B1169" s="80" t="s">
        <v>1313</v>
      </c>
      <c r="C1169" s="80" t="s">
        <v>2423</v>
      </c>
      <c r="D1169" s="80"/>
      <c r="E1169" s="80">
        <v>68427709</v>
      </c>
      <c r="F1169" s="94">
        <v>-30000</v>
      </c>
      <c r="G1169" s="80" t="s">
        <v>72</v>
      </c>
      <c r="H1169" s="80" t="s">
        <v>73</v>
      </c>
      <c r="I1169" s="80"/>
      <c r="J1169" s="80">
        <v>2024</v>
      </c>
      <c r="K1169" s="80" t="s">
        <v>1164</v>
      </c>
      <c r="L1169" s="80"/>
    </row>
    <row r="1170" spans="1:12" x14ac:dyDescent="0.25">
      <c r="A1170" s="83">
        <v>45099</v>
      </c>
      <c r="B1170" s="80" t="s">
        <v>2424</v>
      </c>
      <c r="C1170" s="80" t="s">
        <v>2425</v>
      </c>
      <c r="D1170" s="80"/>
      <c r="E1170" s="80">
        <v>68427709</v>
      </c>
      <c r="F1170" s="94">
        <v>10000</v>
      </c>
      <c r="G1170" s="80" t="s">
        <v>72</v>
      </c>
      <c r="H1170" s="80" t="s">
        <v>73</v>
      </c>
      <c r="I1170" s="80"/>
      <c r="J1170" s="80">
        <v>2024</v>
      </c>
      <c r="K1170" s="80" t="s">
        <v>1164</v>
      </c>
      <c r="L1170" s="80" t="s">
        <v>2426</v>
      </c>
    </row>
    <row r="1171" spans="1:12" x14ac:dyDescent="0.25">
      <c r="A1171" s="83">
        <v>45099</v>
      </c>
      <c r="B1171" s="80" t="s">
        <v>2427</v>
      </c>
      <c r="C1171" s="80" t="s">
        <v>2425</v>
      </c>
      <c r="D1171" s="80"/>
      <c r="E1171" s="80">
        <v>68427709</v>
      </c>
      <c r="F1171" s="94">
        <v>15000</v>
      </c>
      <c r="G1171" s="80" t="s">
        <v>72</v>
      </c>
      <c r="H1171" s="80" t="s">
        <v>73</v>
      </c>
      <c r="I1171" s="80"/>
      <c r="J1171" s="80">
        <v>2024</v>
      </c>
      <c r="K1171" s="80" t="s">
        <v>1164</v>
      </c>
      <c r="L1171" s="80" t="s">
        <v>2426</v>
      </c>
    </row>
    <row r="1172" spans="1:12" x14ac:dyDescent="0.25">
      <c r="A1172" s="83">
        <v>45099</v>
      </c>
      <c r="B1172" s="125" t="s">
        <v>1392</v>
      </c>
      <c r="C1172" s="80" t="s">
        <v>2428</v>
      </c>
      <c r="D1172" s="80"/>
      <c r="E1172" s="80">
        <v>68427709</v>
      </c>
      <c r="F1172" s="94">
        <v>-35000</v>
      </c>
      <c r="G1172" s="80" t="s">
        <v>72</v>
      </c>
      <c r="H1172" s="80" t="s">
        <v>73</v>
      </c>
      <c r="I1172" s="80"/>
      <c r="J1172" s="80">
        <v>2024</v>
      </c>
      <c r="K1172" s="80" t="s">
        <v>1164</v>
      </c>
      <c r="L1172" s="80"/>
    </row>
    <row r="1173" spans="1:12" x14ac:dyDescent="0.25">
      <c r="A1173" s="83">
        <v>45099</v>
      </c>
      <c r="B1173" s="80" t="s">
        <v>2429</v>
      </c>
      <c r="C1173" s="80" t="s">
        <v>2430</v>
      </c>
      <c r="D1173" s="80"/>
      <c r="E1173" s="80">
        <v>68427709</v>
      </c>
      <c r="F1173" s="94">
        <v>-27000</v>
      </c>
      <c r="G1173" s="80" t="s">
        <v>72</v>
      </c>
      <c r="H1173" s="80" t="s">
        <v>73</v>
      </c>
      <c r="I1173" s="80"/>
      <c r="J1173" s="80">
        <v>2024</v>
      </c>
      <c r="K1173" s="80" t="s">
        <v>1164</v>
      </c>
      <c r="L1173" s="80"/>
    </row>
    <row r="1174" spans="1:12" ht="120" x14ac:dyDescent="0.25">
      <c r="A1174" s="83">
        <v>45099</v>
      </c>
      <c r="B1174" s="80" t="s">
        <v>2431</v>
      </c>
      <c r="C1174" s="175" t="s">
        <v>2432</v>
      </c>
      <c r="D1174" s="80"/>
      <c r="E1174" s="80">
        <v>68427709</v>
      </c>
      <c r="F1174" s="94">
        <v>250000</v>
      </c>
      <c r="G1174" s="80" t="s">
        <v>72</v>
      </c>
      <c r="H1174" s="80" t="s">
        <v>73</v>
      </c>
      <c r="I1174" s="80"/>
      <c r="J1174" s="80">
        <v>2024</v>
      </c>
      <c r="K1174" s="80" t="s">
        <v>1164</v>
      </c>
      <c r="L1174" s="80" t="s">
        <v>2426</v>
      </c>
    </row>
    <row r="1175" spans="1:12" x14ac:dyDescent="0.25">
      <c r="A1175" s="83">
        <v>45099</v>
      </c>
      <c r="B1175" s="125" t="s">
        <v>2433</v>
      </c>
      <c r="C1175" s="80" t="s">
        <v>2434</v>
      </c>
      <c r="D1175" s="80"/>
      <c r="E1175" s="80">
        <v>68427709</v>
      </c>
      <c r="F1175" s="94">
        <v>0</v>
      </c>
      <c r="G1175" s="80" t="s">
        <v>72</v>
      </c>
      <c r="H1175" s="80" t="s">
        <v>73</v>
      </c>
      <c r="I1175" s="80"/>
      <c r="J1175" s="80">
        <v>2024</v>
      </c>
      <c r="K1175" s="80" t="s">
        <v>1164</v>
      </c>
      <c r="L1175" s="80" t="s">
        <v>2426</v>
      </c>
    </row>
    <row r="1176" spans="1:12" x14ac:dyDescent="0.25">
      <c r="A1176" s="83">
        <v>45099</v>
      </c>
      <c r="B1176" s="80" t="s">
        <v>2435</v>
      </c>
      <c r="C1176" s="80" t="s">
        <v>2436</v>
      </c>
      <c r="D1176" s="80"/>
      <c r="E1176" s="80">
        <v>68427709</v>
      </c>
      <c r="F1176" s="94">
        <v>1500</v>
      </c>
      <c r="G1176" s="80" t="s">
        <v>72</v>
      </c>
      <c r="H1176" s="80" t="s">
        <v>73</v>
      </c>
      <c r="I1176" s="80"/>
      <c r="J1176" s="80">
        <v>2024</v>
      </c>
      <c r="K1176" s="80" t="s">
        <v>1164</v>
      </c>
      <c r="L1176" s="80"/>
    </row>
    <row r="1177" spans="1:12" x14ac:dyDescent="0.25">
      <c r="A1177" s="83">
        <v>45099</v>
      </c>
      <c r="B1177" s="153" t="s">
        <v>2437</v>
      </c>
      <c r="C1177" s="80" t="s">
        <v>2438</v>
      </c>
      <c r="D1177" s="80"/>
      <c r="E1177" s="80">
        <v>68427709</v>
      </c>
      <c r="F1177" s="94">
        <v>65000</v>
      </c>
      <c r="G1177" s="80" t="s">
        <v>72</v>
      </c>
      <c r="H1177" s="80" t="s">
        <v>73</v>
      </c>
      <c r="I1177" s="80"/>
      <c r="J1177" s="80">
        <v>2024</v>
      </c>
      <c r="K1177" s="80" t="s">
        <v>1164</v>
      </c>
      <c r="L1177" s="80"/>
    </row>
    <row r="1178" spans="1:12" x14ac:dyDescent="0.25">
      <c r="A1178" s="83">
        <v>45099</v>
      </c>
      <c r="B1178" s="80" t="s">
        <v>2194</v>
      </c>
      <c r="C1178" s="80" t="s">
        <v>2439</v>
      </c>
      <c r="D1178" s="80"/>
      <c r="E1178" s="80">
        <v>68427709</v>
      </c>
      <c r="F1178" s="94">
        <v>10000</v>
      </c>
      <c r="G1178" s="80" t="s">
        <v>72</v>
      </c>
      <c r="H1178" s="80" t="s">
        <v>73</v>
      </c>
      <c r="I1178" s="80"/>
      <c r="J1178" s="80">
        <v>2024</v>
      </c>
      <c r="K1178" s="80" t="s">
        <v>1164</v>
      </c>
      <c r="L1178" s="80"/>
    </row>
    <row r="1179" spans="1:12" x14ac:dyDescent="0.25">
      <c r="A1179" s="83">
        <v>45099</v>
      </c>
      <c r="B1179" s="80" t="s">
        <v>551</v>
      </c>
      <c r="C1179" s="80" t="s">
        <v>2440</v>
      </c>
      <c r="D1179" s="80"/>
      <c r="E1179" s="80">
        <v>68427709</v>
      </c>
      <c r="F1179" s="94">
        <v>300000</v>
      </c>
      <c r="G1179" s="80" t="s">
        <v>72</v>
      </c>
      <c r="H1179" s="80" t="s">
        <v>73</v>
      </c>
      <c r="I1179" s="80"/>
      <c r="J1179" s="80">
        <v>2024</v>
      </c>
      <c r="K1179" s="80" t="s">
        <v>1164</v>
      </c>
      <c r="L1179" s="80"/>
    </row>
    <row r="1180" spans="1:12" x14ac:dyDescent="0.25">
      <c r="A1180" s="83">
        <v>45099</v>
      </c>
      <c r="B1180" s="80" t="s">
        <v>2441</v>
      </c>
      <c r="C1180" s="80" t="s">
        <v>2442</v>
      </c>
      <c r="D1180" s="80"/>
      <c r="E1180" s="80">
        <v>68427709</v>
      </c>
      <c r="F1180" s="94">
        <v>150000</v>
      </c>
      <c r="G1180" s="80" t="s">
        <v>72</v>
      </c>
      <c r="H1180" s="80" t="s">
        <v>73</v>
      </c>
      <c r="I1180" s="80"/>
      <c r="J1180" s="80">
        <v>2024</v>
      </c>
      <c r="K1180" s="80" t="s">
        <v>1164</v>
      </c>
      <c r="L1180" s="80"/>
    </row>
    <row r="1181" spans="1:12" x14ac:dyDescent="0.25">
      <c r="A1181" s="83">
        <v>45099</v>
      </c>
      <c r="B1181" s="125" t="s">
        <v>1798</v>
      </c>
      <c r="C1181" s="80" t="s">
        <v>2443</v>
      </c>
      <c r="D1181" s="80"/>
      <c r="E1181" s="80">
        <v>68427709</v>
      </c>
      <c r="F1181" s="94">
        <v>60000</v>
      </c>
      <c r="G1181" s="80" t="s">
        <v>72</v>
      </c>
      <c r="H1181" s="80" t="s">
        <v>73</v>
      </c>
      <c r="I1181" s="80"/>
      <c r="J1181" s="80">
        <v>2024</v>
      </c>
      <c r="K1181" s="80" t="s">
        <v>1164</v>
      </c>
      <c r="L1181" s="80"/>
    </row>
    <row r="1182" spans="1:12" x14ac:dyDescent="0.25">
      <c r="A1182" s="83">
        <v>45099</v>
      </c>
      <c r="B1182" s="125" t="s">
        <v>1799</v>
      </c>
      <c r="C1182" s="80" t="s">
        <v>2444</v>
      </c>
      <c r="D1182" s="80"/>
      <c r="E1182" s="80">
        <v>68427709</v>
      </c>
      <c r="F1182" s="94">
        <v>-8000</v>
      </c>
      <c r="G1182" s="80" t="s">
        <v>72</v>
      </c>
      <c r="H1182" s="80" t="s">
        <v>73</v>
      </c>
      <c r="I1182" s="80"/>
      <c r="J1182" s="80">
        <v>2024</v>
      </c>
      <c r="K1182" s="80" t="s">
        <v>1164</v>
      </c>
      <c r="L1182" s="80"/>
    </row>
    <row r="1183" spans="1:12" x14ac:dyDescent="0.25">
      <c r="A1183" s="83">
        <v>45099</v>
      </c>
      <c r="B1183" s="125" t="s">
        <v>1800</v>
      </c>
      <c r="C1183" s="80" t="s">
        <v>2445</v>
      </c>
      <c r="D1183" s="80"/>
      <c r="E1183" s="80">
        <v>68427709</v>
      </c>
      <c r="F1183" s="94">
        <v>15000</v>
      </c>
      <c r="G1183" s="80" t="s">
        <v>72</v>
      </c>
      <c r="H1183" s="80" t="s">
        <v>73</v>
      </c>
      <c r="I1183" s="80"/>
      <c r="J1183" s="80">
        <v>2024</v>
      </c>
      <c r="K1183" s="80" t="s">
        <v>1164</v>
      </c>
      <c r="L1183" s="80"/>
    </row>
    <row r="1184" spans="1:12" x14ac:dyDescent="0.25">
      <c r="A1184" s="83">
        <v>45099</v>
      </c>
      <c r="B1184" s="80" t="s">
        <v>2446</v>
      </c>
      <c r="C1184" s="80" t="s">
        <v>2447</v>
      </c>
      <c r="D1184" s="80"/>
      <c r="E1184" s="80">
        <v>68427709</v>
      </c>
      <c r="F1184" s="94">
        <v>75000</v>
      </c>
      <c r="G1184" s="80" t="s">
        <v>72</v>
      </c>
      <c r="H1184" s="80" t="s">
        <v>73</v>
      </c>
      <c r="I1184" s="80"/>
      <c r="J1184" s="80">
        <v>2024</v>
      </c>
      <c r="K1184" s="80" t="s">
        <v>1164</v>
      </c>
      <c r="L1184" s="80"/>
    </row>
    <row r="1185" spans="1:12" x14ac:dyDescent="0.25">
      <c r="A1185" s="83">
        <v>45099</v>
      </c>
      <c r="B1185" s="80" t="s">
        <v>2448</v>
      </c>
      <c r="C1185" s="80" t="s">
        <v>2436</v>
      </c>
      <c r="D1185" s="80"/>
      <c r="E1185" s="80">
        <v>68427709</v>
      </c>
      <c r="F1185" s="94">
        <v>15000</v>
      </c>
      <c r="G1185" s="80" t="s">
        <v>72</v>
      </c>
      <c r="H1185" s="80" t="s">
        <v>73</v>
      </c>
      <c r="I1185" s="80"/>
      <c r="J1185" s="80">
        <v>2024</v>
      </c>
      <c r="K1185" s="80" t="s">
        <v>1164</v>
      </c>
      <c r="L1185" s="80"/>
    </row>
    <row r="1186" spans="1:12" x14ac:dyDescent="0.25">
      <c r="A1186" s="83">
        <v>45099</v>
      </c>
      <c r="B1186" s="80" t="s">
        <v>600</v>
      </c>
      <c r="C1186" s="80" t="s">
        <v>2449</v>
      </c>
      <c r="D1186" s="80"/>
      <c r="E1186" s="80">
        <v>68427709</v>
      </c>
      <c r="F1186" s="94">
        <v>-30000</v>
      </c>
      <c r="G1186" s="80" t="s">
        <v>72</v>
      </c>
      <c r="H1186" s="80" t="s">
        <v>73</v>
      </c>
      <c r="I1186" s="80"/>
      <c r="J1186" s="80">
        <v>2024</v>
      </c>
      <c r="K1186" s="80" t="s">
        <v>1164</v>
      </c>
      <c r="L1186" s="80"/>
    </row>
    <row r="1187" spans="1:12" x14ac:dyDescent="0.25">
      <c r="A1187" s="83">
        <v>45099</v>
      </c>
      <c r="B1187" s="254" t="s">
        <v>2226</v>
      </c>
      <c r="C1187" s="80" t="s">
        <v>2450</v>
      </c>
      <c r="D1187" s="80"/>
      <c r="E1187" s="80">
        <v>68427709</v>
      </c>
      <c r="F1187" s="94">
        <v>347000</v>
      </c>
      <c r="G1187" s="80" t="s">
        <v>72</v>
      </c>
      <c r="H1187" s="80" t="s">
        <v>73</v>
      </c>
      <c r="I1187" s="80"/>
      <c r="J1187" s="80">
        <v>2024</v>
      </c>
      <c r="K1187" s="80" t="s">
        <v>1164</v>
      </c>
      <c r="L1187" s="80"/>
    </row>
    <row r="1188" spans="1:12" x14ac:dyDescent="0.25">
      <c r="A1188" s="83">
        <v>45099</v>
      </c>
      <c r="B1188" s="80" t="s">
        <v>1181</v>
      </c>
      <c r="C1188" s="80" t="s">
        <v>2436</v>
      </c>
      <c r="D1188" s="80"/>
      <c r="E1188" s="80">
        <v>68427709</v>
      </c>
      <c r="F1188" s="94">
        <v>1000</v>
      </c>
      <c r="G1188" s="80" t="s">
        <v>72</v>
      </c>
      <c r="H1188" s="80" t="s">
        <v>73</v>
      </c>
      <c r="I1188" s="80"/>
      <c r="J1188" s="80">
        <v>2024</v>
      </c>
      <c r="K1188" s="80" t="s">
        <v>1164</v>
      </c>
      <c r="L1188" s="80"/>
    </row>
    <row r="1189" spans="1:12" x14ac:dyDescent="0.25">
      <c r="A1189" s="83">
        <v>45099</v>
      </c>
      <c r="B1189" s="80" t="s">
        <v>2207</v>
      </c>
      <c r="C1189" s="80" t="s">
        <v>2451</v>
      </c>
      <c r="D1189" s="80"/>
      <c r="E1189" s="80">
        <v>68427709</v>
      </c>
      <c r="F1189" s="94">
        <v>362000</v>
      </c>
      <c r="G1189" s="80" t="s">
        <v>72</v>
      </c>
      <c r="H1189" s="80" t="s">
        <v>73</v>
      </c>
      <c r="I1189" s="80"/>
      <c r="J1189" s="80">
        <v>2024</v>
      </c>
      <c r="K1189" s="80" t="s">
        <v>1164</v>
      </c>
      <c r="L1189" s="80" t="s">
        <v>2452</v>
      </c>
    </row>
    <row r="1190" spans="1:12" x14ac:dyDescent="0.25">
      <c r="A1190" s="83">
        <v>45099</v>
      </c>
      <c r="B1190" s="80" t="s">
        <v>1806</v>
      </c>
      <c r="C1190" s="80" t="s">
        <v>2436</v>
      </c>
      <c r="D1190" s="80"/>
      <c r="E1190" s="80">
        <v>68427709</v>
      </c>
      <c r="F1190" s="94">
        <v>1200</v>
      </c>
      <c r="G1190" s="80" t="s">
        <v>72</v>
      </c>
      <c r="H1190" s="80" t="s">
        <v>73</v>
      </c>
      <c r="I1190" s="80"/>
      <c r="J1190" s="80">
        <v>2024</v>
      </c>
      <c r="K1190" s="80" t="s">
        <v>1164</v>
      </c>
      <c r="L1190" s="80"/>
    </row>
    <row r="1191" spans="1:12" x14ac:dyDescent="0.25">
      <c r="A1191" s="83">
        <v>45099</v>
      </c>
      <c r="B1191" s="80" t="s">
        <v>2210</v>
      </c>
      <c r="C1191" s="80" t="s">
        <v>2436</v>
      </c>
      <c r="D1191" s="80"/>
      <c r="E1191" s="80">
        <v>68427709</v>
      </c>
      <c r="F1191" s="94">
        <v>1000</v>
      </c>
      <c r="G1191" s="80" t="s">
        <v>72</v>
      </c>
      <c r="H1191" s="80" t="s">
        <v>73</v>
      </c>
      <c r="I1191" s="80"/>
      <c r="J1191" s="80">
        <v>2024</v>
      </c>
      <c r="K1191" s="80" t="s">
        <v>1164</v>
      </c>
      <c r="L1191" s="80"/>
    </row>
    <row r="1192" spans="1:12" x14ac:dyDescent="0.25">
      <c r="A1192" s="83">
        <v>45099</v>
      </c>
      <c r="B1192" s="80" t="s">
        <v>1345</v>
      </c>
      <c r="C1192" s="80" t="s">
        <v>2436</v>
      </c>
      <c r="D1192" s="80"/>
      <c r="E1192" s="80">
        <v>68427709</v>
      </c>
      <c r="F1192" s="94">
        <v>15000</v>
      </c>
      <c r="G1192" s="80" t="s">
        <v>72</v>
      </c>
      <c r="H1192" s="80" t="s">
        <v>73</v>
      </c>
      <c r="I1192" s="80"/>
      <c r="J1192" s="80">
        <v>2024</v>
      </c>
      <c r="K1192" s="80" t="s">
        <v>1164</v>
      </c>
      <c r="L1192" s="80"/>
    </row>
    <row r="1193" spans="1:12" x14ac:dyDescent="0.25">
      <c r="A1193" s="83">
        <v>45099</v>
      </c>
      <c r="B1193" s="80" t="s">
        <v>2453</v>
      </c>
      <c r="C1193" s="80" t="s">
        <v>2454</v>
      </c>
      <c r="D1193" s="80"/>
      <c r="E1193" s="80">
        <v>68427709</v>
      </c>
      <c r="F1193" s="94">
        <v>-35000</v>
      </c>
      <c r="G1193" s="80" t="s">
        <v>72</v>
      </c>
      <c r="H1193" s="80" t="s">
        <v>73</v>
      </c>
      <c r="I1193" s="80"/>
      <c r="J1193" s="80">
        <v>2024</v>
      </c>
      <c r="K1193" s="80" t="s">
        <v>1164</v>
      </c>
      <c r="L1193" s="80"/>
    </row>
    <row r="1194" spans="1:12" x14ac:dyDescent="0.25">
      <c r="A1194" s="83">
        <v>45099</v>
      </c>
      <c r="B1194" s="80" t="s">
        <v>598</v>
      </c>
      <c r="C1194" s="80" t="s">
        <v>2455</v>
      </c>
      <c r="D1194" s="80"/>
      <c r="E1194" s="80">
        <v>68427709</v>
      </c>
      <c r="F1194" s="94">
        <v>32000</v>
      </c>
      <c r="G1194" s="80" t="s">
        <v>72</v>
      </c>
      <c r="H1194" s="80" t="s">
        <v>73</v>
      </c>
      <c r="I1194" s="80"/>
      <c r="J1194" s="80">
        <v>2024</v>
      </c>
      <c r="K1194" s="80" t="s">
        <v>1164</v>
      </c>
      <c r="L1194" s="80"/>
    </row>
    <row r="1195" spans="1:12" x14ac:dyDescent="0.25">
      <c r="A1195" s="83">
        <v>45099</v>
      </c>
      <c r="B1195" s="80" t="s">
        <v>927</v>
      </c>
      <c r="C1195" s="80" t="s">
        <v>2456</v>
      </c>
      <c r="D1195" s="80"/>
      <c r="E1195" s="80">
        <v>68427709</v>
      </c>
      <c r="F1195" s="94">
        <v>-140000</v>
      </c>
      <c r="G1195" s="80" t="s">
        <v>72</v>
      </c>
      <c r="H1195" s="80" t="s">
        <v>73</v>
      </c>
      <c r="I1195" s="80"/>
      <c r="J1195" s="80">
        <v>2024</v>
      </c>
      <c r="K1195" s="80" t="s">
        <v>1164</v>
      </c>
      <c r="L1195" s="80"/>
    </row>
    <row r="1196" spans="1:12" x14ac:dyDescent="0.25">
      <c r="A1196" s="83">
        <v>45099</v>
      </c>
      <c r="B1196" s="80" t="s">
        <v>2215</v>
      </c>
      <c r="C1196" s="80" t="s">
        <v>2457</v>
      </c>
      <c r="D1196" s="80"/>
      <c r="E1196" s="80">
        <v>68427709</v>
      </c>
      <c r="F1196" s="94">
        <v>100000</v>
      </c>
      <c r="G1196" s="80" t="s">
        <v>72</v>
      </c>
      <c r="H1196" s="80" t="s">
        <v>73</v>
      </c>
      <c r="I1196" s="80"/>
      <c r="J1196" s="80">
        <v>2024</v>
      </c>
      <c r="K1196" s="80" t="s">
        <v>1164</v>
      </c>
      <c r="L1196" s="80"/>
    </row>
    <row r="1197" spans="1:12" x14ac:dyDescent="0.25">
      <c r="A1197" s="83">
        <v>45099</v>
      </c>
      <c r="B1197" s="80" t="s">
        <v>2458</v>
      </c>
      <c r="C1197" s="80" t="s">
        <v>2459</v>
      </c>
      <c r="D1197" s="80" t="s">
        <v>1595</v>
      </c>
      <c r="E1197" s="80">
        <v>68427709</v>
      </c>
      <c r="F1197" s="94">
        <v>125000</v>
      </c>
      <c r="G1197" s="80" t="s">
        <v>72</v>
      </c>
      <c r="H1197" s="80" t="s">
        <v>73</v>
      </c>
      <c r="I1197" s="80"/>
      <c r="J1197" s="80">
        <v>2024</v>
      </c>
      <c r="K1197" s="80" t="s">
        <v>1164</v>
      </c>
      <c r="L1197" s="80"/>
    </row>
    <row r="1198" spans="1:12" x14ac:dyDescent="0.25">
      <c r="A1198" s="83">
        <v>45099</v>
      </c>
      <c r="B1198" s="80" t="s">
        <v>2460</v>
      </c>
      <c r="C1198" s="80" t="s">
        <v>2461</v>
      </c>
      <c r="D1198" s="80" t="s">
        <v>1595</v>
      </c>
      <c r="E1198" s="80">
        <v>68427709</v>
      </c>
      <c r="F1198" s="94">
        <v>125000</v>
      </c>
      <c r="G1198" s="80" t="s">
        <v>72</v>
      </c>
      <c r="H1198" s="80" t="s">
        <v>73</v>
      </c>
      <c r="I1198" s="80"/>
      <c r="J1198" s="80">
        <v>2024</v>
      </c>
      <c r="K1198" s="80" t="s">
        <v>1164</v>
      </c>
      <c r="L1198" s="80"/>
    </row>
    <row r="1199" spans="1:12" x14ac:dyDescent="0.25">
      <c r="A1199" s="83">
        <v>45099</v>
      </c>
      <c r="B1199" s="254" t="s">
        <v>2462</v>
      </c>
      <c r="C1199" s="80" t="s">
        <v>2463</v>
      </c>
      <c r="D1199" s="80" t="s">
        <v>1595</v>
      </c>
      <c r="E1199" s="80">
        <v>68427709</v>
      </c>
      <c r="F1199" s="94">
        <v>64000</v>
      </c>
      <c r="G1199" s="80" t="s">
        <v>72</v>
      </c>
      <c r="H1199" s="80" t="s">
        <v>73</v>
      </c>
      <c r="I1199" s="80"/>
      <c r="J1199" s="80">
        <v>2024</v>
      </c>
      <c r="K1199" s="80" t="s">
        <v>1164</v>
      </c>
      <c r="L1199" s="80"/>
    </row>
    <row r="1200" spans="1:12" x14ac:dyDescent="0.25">
      <c r="A1200" s="83">
        <v>45099</v>
      </c>
      <c r="B1200" s="125" t="s">
        <v>1392</v>
      </c>
      <c r="C1200" s="80" t="s">
        <v>2464</v>
      </c>
      <c r="D1200" s="80" t="s">
        <v>1595</v>
      </c>
      <c r="E1200" s="80">
        <v>68427709</v>
      </c>
      <c r="F1200" s="94">
        <v>50000</v>
      </c>
      <c r="G1200" s="80" t="s">
        <v>72</v>
      </c>
      <c r="H1200" s="80" t="s">
        <v>73</v>
      </c>
      <c r="I1200" s="80"/>
      <c r="J1200" s="80">
        <v>2024</v>
      </c>
      <c r="K1200" s="80" t="s">
        <v>1164</v>
      </c>
      <c r="L1200" s="80"/>
    </row>
    <row r="1201" spans="1:12" x14ac:dyDescent="0.25">
      <c r="A1201" s="83">
        <v>45099</v>
      </c>
      <c r="B1201" s="125" t="s">
        <v>2465</v>
      </c>
      <c r="C1201" s="80" t="s">
        <v>2466</v>
      </c>
      <c r="D1201" s="80" t="s">
        <v>1595</v>
      </c>
      <c r="E1201" s="80">
        <v>68427709</v>
      </c>
      <c r="F1201" s="94">
        <v>10000</v>
      </c>
      <c r="G1201" s="80" t="s">
        <v>72</v>
      </c>
      <c r="H1201" s="80" t="s">
        <v>73</v>
      </c>
      <c r="I1201" s="80"/>
      <c r="J1201" s="80">
        <v>2024</v>
      </c>
      <c r="K1201" s="80" t="s">
        <v>1164</v>
      </c>
      <c r="L1201" s="80"/>
    </row>
    <row r="1202" spans="1:12" x14ac:dyDescent="0.25">
      <c r="A1202" s="83">
        <v>45099</v>
      </c>
      <c r="B1202" s="80" t="s">
        <v>2467</v>
      </c>
      <c r="C1202" s="80" t="s">
        <v>2468</v>
      </c>
      <c r="D1202" s="80" t="s">
        <v>1595</v>
      </c>
      <c r="E1202" s="80">
        <v>68427709</v>
      </c>
      <c r="F1202" s="94">
        <v>12500</v>
      </c>
      <c r="G1202" s="80" t="s">
        <v>72</v>
      </c>
      <c r="H1202" s="80" t="s">
        <v>73</v>
      </c>
      <c r="I1202" s="80"/>
      <c r="J1202" s="80">
        <v>2024</v>
      </c>
      <c r="K1202" s="80" t="s">
        <v>1164</v>
      </c>
      <c r="L1202" s="80"/>
    </row>
    <row r="1203" spans="1:12" x14ac:dyDescent="0.25">
      <c r="A1203" s="140">
        <v>45099</v>
      </c>
      <c r="B1203" s="80" t="s">
        <v>2164</v>
      </c>
      <c r="C1203" s="80" t="s">
        <v>1703</v>
      </c>
      <c r="D1203" s="141"/>
      <c r="E1203" s="80">
        <v>68427709</v>
      </c>
      <c r="F1203" s="94">
        <v>5000</v>
      </c>
      <c r="G1203" s="80" t="s">
        <v>72</v>
      </c>
      <c r="H1203" s="80" t="s">
        <v>73</v>
      </c>
      <c r="I1203" s="80" t="s">
        <v>1662</v>
      </c>
      <c r="J1203" s="80">
        <v>2024</v>
      </c>
      <c r="K1203" s="80" t="s">
        <v>2290</v>
      </c>
      <c r="L1203" s="80"/>
    </row>
    <row r="1204" spans="1:12" x14ac:dyDescent="0.25">
      <c r="A1204" s="140">
        <v>45099</v>
      </c>
      <c r="B1204" s="80" t="s">
        <v>2469</v>
      </c>
      <c r="C1204" s="80" t="s">
        <v>2470</v>
      </c>
      <c r="D1204" s="141" t="s">
        <v>1595</v>
      </c>
      <c r="E1204" s="80">
        <v>68427709</v>
      </c>
      <c r="F1204" s="94">
        <v>30000</v>
      </c>
      <c r="G1204" s="80" t="s">
        <v>72</v>
      </c>
      <c r="H1204" s="80" t="s">
        <v>73</v>
      </c>
      <c r="I1204" s="80" t="s">
        <v>92</v>
      </c>
      <c r="J1204" s="80">
        <v>2024</v>
      </c>
      <c r="K1204" s="80" t="s">
        <v>2471</v>
      </c>
      <c r="L1204" s="80"/>
    </row>
    <row r="1205" spans="1:12" x14ac:dyDescent="0.25">
      <c r="A1205" s="140">
        <v>45099</v>
      </c>
      <c r="B1205" s="80" t="s">
        <v>2469</v>
      </c>
      <c r="C1205" s="80" t="s">
        <v>2472</v>
      </c>
      <c r="D1205" s="141" t="s">
        <v>1595</v>
      </c>
      <c r="E1205" s="80">
        <v>68427709</v>
      </c>
      <c r="F1205" s="94">
        <v>110000</v>
      </c>
      <c r="G1205" s="80" t="s">
        <v>72</v>
      </c>
      <c r="H1205" s="80" t="s">
        <v>73</v>
      </c>
      <c r="I1205" s="80" t="s">
        <v>92</v>
      </c>
      <c r="J1205" s="80">
        <v>2024</v>
      </c>
      <c r="K1205" s="80" t="s">
        <v>2471</v>
      </c>
      <c r="L1205" s="80"/>
    </row>
    <row r="1206" spans="1:12" x14ac:dyDescent="0.25">
      <c r="A1206" s="140">
        <v>45099</v>
      </c>
      <c r="B1206" s="80" t="s">
        <v>2469</v>
      </c>
      <c r="C1206" s="80" t="s">
        <v>2473</v>
      </c>
      <c r="D1206" s="141" t="s">
        <v>1595</v>
      </c>
      <c r="E1206" s="80">
        <v>68427709</v>
      </c>
      <c r="F1206" s="94">
        <v>162000</v>
      </c>
      <c r="G1206" s="80" t="s">
        <v>72</v>
      </c>
      <c r="H1206" s="80" t="s">
        <v>73</v>
      </c>
      <c r="I1206" s="80" t="s">
        <v>1662</v>
      </c>
      <c r="J1206" s="80">
        <v>2024</v>
      </c>
      <c r="K1206" s="80" t="s">
        <v>2471</v>
      </c>
      <c r="L1206" s="80"/>
    </row>
    <row r="1207" spans="1:12" x14ac:dyDescent="0.25">
      <c r="A1207" s="140">
        <v>45099</v>
      </c>
      <c r="B1207" s="80" t="s">
        <v>2474</v>
      </c>
      <c r="C1207" s="80" t="s">
        <v>2475</v>
      </c>
      <c r="D1207" s="141"/>
      <c r="E1207" s="80">
        <v>68427709</v>
      </c>
      <c r="F1207" s="94">
        <v>65000</v>
      </c>
      <c r="G1207" s="80" t="s">
        <v>72</v>
      </c>
      <c r="H1207" s="80" t="s">
        <v>73</v>
      </c>
      <c r="I1207" s="80" t="s">
        <v>92</v>
      </c>
      <c r="J1207" s="80">
        <v>2024</v>
      </c>
      <c r="K1207" s="80" t="s">
        <v>2124</v>
      </c>
      <c r="L1207" s="80"/>
    </row>
    <row r="1208" spans="1:12" x14ac:dyDescent="0.25">
      <c r="A1208" s="83">
        <v>45099</v>
      </c>
      <c r="B1208" s="22" t="s">
        <v>311</v>
      </c>
      <c r="C1208" s="157" t="s">
        <v>2476</v>
      </c>
      <c r="D1208" s="80"/>
      <c r="E1208" s="80">
        <v>68427709</v>
      </c>
      <c r="F1208" s="94">
        <v>250000</v>
      </c>
      <c r="G1208" s="80" t="s">
        <v>72</v>
      </c>
      <c r="H1208" s="80" t="s">
        <v>73</v>
      </c>
      <c r="I1208" s="80" t="s">
        <v>92</v>
      </c>
      <c r="J1208" s="80">
        <v>2024</v>
      </c>
      <c r="K1208" s="80" t="s">
        <v>1053</v>
      </c>
      <c r="L1208" s="80"/>
    </row>
    <row r="1209" spans="1:12" x14ac:dyDescent="0.25">
      <c r="A1209" s="83">
        <v>45103</v>
      </c>
      <c r="B1209" s="80" t="s">
        <v>2477</v>
      </c>
      <c r="C1209" s="80" t="s">
        <v>2478</v>
      </c>
      <c r="D1209" s="80"/>
      <c r="E1209" s="80">
        <v>68427709</v>
      </c>
      <c r="F1209" s="94">
        <v>-40000</v>
      </c>
      <c r="G1209" s="80" t="s">
        <v>72</v>
      </c>
      <c r="H1209" s="80" t="s">
        <v>73</v>
      </c>
      <c r="I1209" s="80" t="s">
        <v>92</v>
      </c>
      <c r="J1209" s="80">
        <v>2024</v>
      </c>
      <c r="K1209" s="80" t="s">
        <v>1053</v>
      </c>
      <c r="L1209" s="80"/>
    </row>
    <row r="1210" spans="1:12" x14ac:dyDescent="0.25">
      <c r="A1210" s="83">
        <v>45099</v>
      </c>
      <c r="B1210" s="80" t="s">
        <v>2479</v>
      </c>
      <c r="C1210" s="80" t="s">
        <v>2480</v>
      </c>
      <c r="D1210" s="80"/>
      <c r="E1210" s="80"/>
      <c r="F1210" s="94"/>
      <c r="G1210" s="80" t="s">
        <v>758</v>
      </c>
      <c r="H1210" s="80"/>
      <c r="I1210" s="80"/>
      <c r="J1210" s="80"/>
      <c r="K1210" s="80"/>
      <c r="L1210" s="80"/>
    </row>
    <row r="1211" spans="1:12" x14ac:dyDescent="0.25">
      <c r="A1211" s="83">
        <v>45104</v>
      </c>
      <c r="B1211" s="80" t="s">
        <v>1880</v>
      </c>
      <c r="C1211" s="80"/>
      <c r="D1211" s="80" t="s">
        <v>1595</v>
      </c>
      <c r="E1211" s="80">
        <v>68427709</v>
      </c>
      <c r="F1211" s="94">
        <v>42000</v>
      </c>
      <c r="G1211" s="80" t="s">
        <v>72</v>
      </c>
      <c r="H1211" s="80" t="s">
        <v>73</v>
      </c>
      <c r="I1211" s="80" t="s">
        <v>1662</v>
      </c>
      <c r="J1211" s="80">
        <v>2024</v>
      </c>
      <c r="K1211" s="80" t="s">
        <v>633</v>
      </c>
      <c r="L1211" s="80"/>
    </row>
    <row r="1212" spans="1:12" x14ac:dyDescent="0.25">
      <c r="A1212" s="83">
        <v>45105</v>
      </c>
      <c r="B1212" s="80" t="s">
        <v>2168</v>
      </c>
      <c r="C1212" s="80" t="s">
        <v>2481</v>
      </c>
      <c r="D1212" s="80"/>
      <c r="E1212" s="80">
        <v>68427709</v>
      </c>
      <c r="F1212" s="94">
        <v>-30000</v>
      </c>
      <c r="G1212" s="80" t="s">
        <v>72</v>
      </c>
      <c r="H1212" s="80" t="s">
        <v>73</v>
      </c>
      <c r="I1212" s="80"/>
      <c r="J1212" s="80">
        <v>2024</v>
      </c>
      <c r="K1212" s="80" t="s">
        <v>1053</v>
      </c>
      <c r="L1212" s="80"/>
    </row>
    <row r="1213" spans="1:12" x14ac:dyDescent="0.25">
      <c r="A1213" s="83">
        <v>45105</v>
      </c>
      <c r="B1213" s="80" t="s">
        <v>2168</v>
      </c>
      <c r="C1213" s="80" t="s">
        <v>2482</v>
      </c>
      <c r="D1213" s="80"/>
      <c r="E1213" s="80">
        <v>68427709</v>
      </c>
      <c r="F1213" s="94">
        <v>-170000</v>
      </c>
      <c r="G1213" s="80" t="s">
        <v>72</v>
      </c>
      <c r="H1213" s="80" t="s">
        <v>73</v>
      </c>
      <c r="I1213" s="80"/>
      <c r="J1213" s="80">
        <v>2024</v>
      </c>
      <c r="K1213" s="80" t="s">
        <v>1164</v>
      </c>
      <c r="L1213" s="80"/>
    </row>
    <row r="1214" spans="1:12" x14ac:dyDescent="0.25">
      <c r="A1214" s="83">
        <v>45131</v>
      </c>
      <c r="B1214" s="80" t="s">
        <v>2483</v>
      </c>
      <c r="C1214" s="80" t="s">
        <v>2484</v>
      </c>
      <c r="D1214" s="80"/>
      <c r="E1214" s="80">
        <v>68427709</v>
      </c>
      <c r="F1214" s="94">
        <v>22000</v>
      </c>
      <c r="G1214" s="80" t="s">
        <v>72</v>
      </c>
      <c r="H1214" s="80" t="s">
        <v>73</v>
      </c>
      <c r="I1214" s="80"/>
      <c r="J1214" s="80">
        <v>2024</v>
      </c>
      <c r="K1214" s="80" t="s">
        <v>1164</v>
      </c>
      <c r="L1214" s="80"/>
    </row>
    <row r="1215" spans="1:12" x14ac:dyDescent="0.25">
      <c r="A1215" s="83">
        <v>45155</v>
      </c>
      <c r="B1215" s="27" t="s">
        <v>2485</v>
      </c>
      <c r="C1215" s="80"/>
      <c r="D1215" s="80"/>
      <c r="E1215" s="80">
        <v>68427709</v>
      </c>
      <c r="F1215" s="264">
        <v>42000</v>
      </c>
      <c r="G1215" s="80" t="s">
        <v>72</v>
      </c>
      <c r="H1215" s="80" t="s">
        <v>73</v>
      </c>
      <c r="I1215" s="80" t="s">
        <v>2486</v>
      </c>
      <c r="J1215" s="80">
        <v>2024</v>
      </c>
      <c r="K1215" s="80" t="s">
        <v>1596</v>
      </c>
      <c r="L1215" s="80"/>
    </row>
    <row r="1216" spans="1:12" x14ac:dyDescent="0.25">
      <c r="A1216" s="83">
        <v>45155</v>
      </c>
      <c r="B1216" t="s">
        <v>2487</v>
      </c>
      <c r="C1216" s="80"/>
      <c r="D1216" s="80"/>
      <c r="E1216" s="80">
        <v>68427709</v>
      </c>
      <c r="F1216" s="264">
        <v>23000</v>
      </c>
      <c r="G1216" s="80" t="s">
        <v>72</v>
      </c>
      <c r="H1216" s="80" t="s">
        <v>73</v>
      </c>
      <c r="I1216" s="80" t="s">
        <v>2486</v>
      </c>
      <c r="J1216" s="80">
        <v>2024</v>
      </c>
      <c r="K1216" s="80" t="s">
        <v>1596</v>
      </c>
      <c r="L1216" s="80"/>
    </row>
    <row r="1217" spans="1:12" x14ac:dyDescent="0.25">
      <c r="A1217" s="83">
        <v>45155</v>
      </c>
      <c r="B1217" s="26" t="s">
        <v>2488</v>
      </c>
      <c r="C1217" s="80"/>
      <c r="D1217" s="80"/>
      <c r="E1217" s="80">
        <v>68427709</v>
      </c>
      <c r="F1217" s="264">
        <v>190000</v>
      </c>
      <c r="G1217" s="80" t="s">
        <v>72</v>
      </c>
      <c r="H1217" s="80" t="s">
        <v>73</v>
      </c>
      <c r="I1217" s="80" t="s">
        <v>2486</v>
      </c>
      <c r="J1217" s="80">
        <v>2024</v>
      </c>
      <c r="K1217" s="80" t="s">
        <v>1596</v>
      </c>
      <c r="L1217" s="80"/>
    </row>
    <row r="1218" spans="1:12" x14ac:dyDescent="0.25">
      <c r="A1218" s="80"/>
      <c r="B1218" s="80"/>
      <c r="C1218" s="80"/>
      <c r="D1218" s="80"/>
      <c r="E1218" s="80"/>
      <c r="F1218" s="94"/>
      <c r="G1218" s="80"/>
      <c r="H1218" s="80"/>
      <c r="I1218" s="80"/>
      <c r="J1218" s="80"/>
      <c r="K1218" s="80" t="s">
        <v>1596</v>
      </c>
      <c r="L1218" s="80"/>
    </row>
    <row r="1219" spans="1:12" x14ac:dyDescent="0.25">
      <c r="A1219" s="83">
        <v>45155</v>
      </c>
      <c r="B1219" s="80" t="s">
        <v>2489</v>
      </c>
      <c r="C1219" s="80"/>
      <c r="D1219" s="80"/>
      <c r="E1219" s="80">
        <v>68427709</v>
      </c>
      <c r="F1219" s="94">
        <v>-90000</v>
      </c>
      <c r="G1219" s="80" t="s">
        <v>72</v>
      </c>
      <c r="H1219" s="80" t="s">
        <v>73</v>
      </c>
      <c r="I1219" s="80" t="s">
        <v>2486</v>
      </c>
      <c r="J1219" s="80">
        <v>2024</v>
      </c>
      <c r="K1219" s="80" t="s">
        <v>2490</v>
      </c>
      <c r="L1219" s="80"/>
    </row>
    <row r="1220" spans="1:12" x14ac:dyDescent="0.25">
      <c r="A1220" s="83">
        <v>45163</v>
      </c>
      <c r="B1220" s="22" t="s">
        <v>2491</v>
      </c>
      <c r="C1220" s="80"/>
      <c r="D1220" s="80"/>
      <c r="E1220" s="80">
        <v>68427709</v>
      </c>
      <c r="F1220" s="264">
        <v>28000</v>
      </c>
      <c r="G1220" s="80" t="s">
        <v>72</v>
      </c>
      <c r="H1220" s="80" t="s">
        <v>73</v>
      </c>
      <c r="I1220" s="80" t="s">
        <v>92</v>
      </c>
      <c r="J1220" s="80">
        <v>2024</v>
      </c>
      <c r="K1220" s="80" t="s">
        <v>1905</v>
      </c>
      <c r="L1220" s="80"/>
    </row>
    <row r="1221" spans="1:12" x14ac:dyDescent="0.25">
      <c r="A1221" s="83">
        <v>45163</v>
      </c>
      <c r="B1221" s="22" t="s">
        <v>2492</v>
      </c>
      <c r="C1221" s="80"/>
      <c r="D1221" s="80"/>
      <c r="E1221" s="80">
        <v>68427709</v>
      </c>
      <c r="F1221" s="264">
        <v>-40000</v>
      </c>
      <c r="G1221" s="80" t="s">
        <v>72</v>
      </c>
      <c r="H1221" s="80" t="s">
        <v>73</v>
      </c>
      <c r="I1221" s="80" t="s">
        <v>92</v>
      </c>
      <c r="J1221" s="80">
        <v>2024</v>
      </c>
      <c r="K1221" s="80" t="s">
        <v>1905</v>
      </c>
      <c r="L1221" s="80"/>
    </row>
    <row r="1222" spans="1:12" x14ac:dyDescent="0.25">
      <c r="A1222" s="83">
        <v>45163</v>
      </c>
      <c r="B1222" s="22" t="s">
        <v>2493</v>
      </c>
      <c r="C1222" s="80"/>
      <c r="D1222" s="80"/>
      <c r="E1222" s="80">
        <v>68427709</v>
      </c>
      <c r="F1222" s="264">
        <v>150000</v>
      </c>
      <c r="G1222" s="80" t="s">
        <v>72</v>
      </c>
      <c r="H1222" s="80" t="s">
        <v>73</v>
      </c>
      <c r="I1222" s="80" t="s">
        <v>1662</v>
      </c>
      <c r="J1222" s="80">
        <v>2024</v>
      </c>
      <c r="K1222" s="80" t="s">
        <v>1905</v>
      </c>
      <c r="L1222" s="80"/>
    </row>
    <row r="1223" spans="1:12" x14ac:dyDescent="0.25">
      <c r="A1223" s="83">
        <v>45163</v>
      </c>
      <c r="B1223" s="80" t="s">
        <v>2494</v>
      </c>
      <c r="C1223" s="80"/>
      <c r="D1223" s="80"/>
      <c r="E1223" s="80">
        <v>68427709</v>
      </c>
      <c r="F1223" s="94">
        <v>235000</v>
      </c>
      <c r="G1223" s="80" t="s">
        <v>72</v>
      </c>
      <c r="H1223" s="80" t="s">
        <v>73</v>
      </c>
      <c r="I1223" s="80" t="s">
        <v>1662</v>
      </c>
      <c r="J1223" s="80">
        <v>2024</v>
      </c>
      <c r="K1223" s="80" t="s">
        <v>75</v>
      </c>
      <c r="L1223" s="80"/>
    </row>
    <row r="1224" spans="1:12" x14ac:dyDescent="0.25">
      <c r="A1224" s="85"/>
      <c r="B1224" s="85" t="s">
        <v>2495</v>
      </c>
      <c r="C1224" s="85"/>
      <c r="D1224" s="85"/>
      <c r="E1224" s="85"/>
      <c r="F1224" s="124"/>
      <c r="G1224" s="85"/>
      <c r="H1224" s="85"/>
      <c r="I1224" s="85"/>
      <c r="J1224" s="85"/>
      <c r="K1224" s="85"/>
      <c r="L1224" s="85"/>
    </row>
    <row r="1225" spans="1:12" x14ac:dyDescent="0.25">
      <c r="A1225" s="83">
        <v>45187</v>
      </c>
      <c r="B1225" s="80" t="s">
        <v>2496</v>
      </c>
      <c r="C1225" s="80" t="s">
        <v>2497</v>
      </c>
      <c r="D1225" s="80"/>
      <c r="E1225" s="80">
        <v>68427709</v>
      </c>
      <c r="F1225" s="94">
        <v>43200</v>
      </c>
      <c r="G1225" s="80" t="s">
        <v>758</v>
      </c>
      <c r="H1225" s="80" t="s">
        <v>73</v>
      </c>
      <c r="I1225" s="80" t="s">
        <v>1662</v>
      </c>
      <c r="J1225" s="80">
        <v>2025</v>
      </c>
      <c r="K1225" s="80" t="s">
        <v>1882</v>
      </c>
      <c r="L1225" s="80"/>
    </row>
    <row r="1226" spans="1:12" x14ac:dyDescent="0.25">
      <c r="A1226" s="83">
        <v>44942</v>
      </c>
      <c r="B1226" s="80" t="s">
        <v>2498</v>
      </c>
      <c r="C1226" s="80" t="s">
        <v>2499</v>
      </c>
      <c r="D1226" s="80"/>
      <c r="E1226" s="80">
        <v>68427709</v>
      </c>
      <c r="F1226" s="94">
        <v>0</v>
      </c>
      <c r="G1226" s="80" t="s">
        <v>758</v>
      </c>
      <c r="H1226" s="80" t="s">
        <v>73</v>
      </c>
      <c r="I1226" s="80" t="s">
        <v>1662</v>
      </c>
      <c r="J1226" s="80">
        <v>2025</v>
      </c>
      <c r="K1226" s="80" t="s">
        <v>75</v>
      </c>
      <c r="L1226" s="80"/>
    </row>
    <row r="1227" spans="1:12" x14ac:dyDescent="0.25">
      <c r="A1227" s="80"/>
      <c r="B1227" s="80"/>
      <c r="C1227" s="80"/>
      <c r="D1227" s="80"/>
      <c r="E1227" s="80"/>
      <c r="F1227" s="94"/>
      <c r="G1227" s="80"/>
      <c r="H1227" s="80"/>
      <c r="I1227" s="80"/>
      <c r="J1227" s="80"/>
      <c r="K1227" s="80"/>
      <c r="L1227" s="80"/>
    </row>
    <row r="1228" spans="1:12" x14ac:dyDescent="0.25">
      <c r="A1228" s="80"/>
      <c r="B1228" s="80"/>
      <c r="C1228" s="80"/>
      <c r="D1228" s="80"/>
      <c r="E1228" s="80"/>
      <c r="F1228" s="94"/>
      <c r="G1228" s="80"/>
      <c r="H1228" s="80"/>
      <c r="I1228" s="80"/>
      <c r="J1228" s="80"/>
      <c r="K1228" s="80"/>
      <c r="L1228" s="80"/>
    </row>
    <row r="1229" spans="1:12" x14ac:dyDescent="0.25">
      <c r="A1229" s="80"/>
      <c r="B1229" s="80"/>
      <c r="C1229" s="80"/>
      <c r="D1229" s="80"/>
      <c r="E1229" s="80"/>
      <c r="F1229" s="94"/>
      <c r="G1229" s="80"/>
      <c r="H1229" s="80"/>
      <c r="I1229" s="80"/>
      <c r="J1229" s="80"/>
      <c r="K1229" s="80"/>
      <c r="L1229" s="80"/>
    </row>
    <row r="1230" spans="1:12" x14ac:dyDescent="0.25">
      <c r="A1230" s="80"/>
      <c r="B1230" s="80"/>
      <c r="C1230" s="80"/>
      <c r="D1230" s="80"/>
      <c r="E1230" s="80"/>
      <c r="F1230" s="94"/>
      <c r="G1230" s="80"/>
      <c r="H1230" s="80"/>
      <c r="I1230" s="80"/>
      <c r="J1230" s="80"/>
      <c r="K1230" s="80"/>
      <c r="L1230" s="80"/>
    </row>
    <row r="1231" spans="1:12" x14ac:dyDescent="0.25">
      <c r="A1231" s="80"/>
      <c r="B1231" s="80"/>
      <c r="C1231" s="80"/>
      <c r="D1231" s="80"/>
      <c r="E1231" s="80"/>
      <c r="F1231" s="94"/>
      <c r="G1231" s="80"/>
      <c r="H1231" s="80"/>
      <c r="I1231" s="80"/>
      <c r="J1231" s="80"/>
      <c r="K1231" s="80"/>
      <c r="L1231" s="80"/>
    </row>
    <row r="1232" spans="1:12" x14ac:dyDescent="0.25">
      <c r="A1232" s="80"/>
      <c r="B1232" s="80"/>
      <c r="C1232" s="80"/>
      <c r="D1232" s="80"/>
      <c r="E1232" s="80"/>
      <c r="F1232" s="94"/>
      <c r="G1232" s="80"/>
      <c r="H1232" s="80"/>
      <c r="I1232" s="80"/>
      <c r="J1232" s="80"/>
      <c r="K1232" s="80"/>
      <c r="L1232" s="80"/>
    </row>
    <row r="1233" spans="1:12" x14ac:dyDescent="0.25">
      <c r="A1233" s="80"/>
      <c r="B1233" s="80"/>
      <c r="C1233" s="80"/>
      <c r="D1233" s="80"/>
      <c r="E1233" s="80"/>
      <c r="F1233" s="94"/>
      <c r="G1233" s="80"/>
      <c r="H1233" s="80"/>
      <c r="I1233" s="80"/>
      <c r="J1233" s="80"/>
      <c r="K1233" s="80"/>
      <c r="L1233" s="80"/>
    </row>
    <row r="1234" spans="1:12" x14ac:dyDescent="0.25">
      <c r="A1234" s="80"/>
      <c r="B1234" s="80"/>
      <c r="C1234" s="80"/>
      <c r="D1234" s="80"/>
      <c r="E1234" s="80"/>
      <c r="F1234" s="94"/>
      <c r="G1234" s="80"/>
      <c r="H1234" s="80"/>
      <c r="I1234" s="80"/>
      <c r="J1234" s="80"/>
      <c r="K1234" s="80"/>
      <c r="L1234" s="80"/>
    </row>
    <row r="1235" spans="1:12" x14ac:dyDescent="0.25">
      <c r="A1235" s="80"/>
      <c r="B1235" s="80"/>
      <c r="C1235" s="80"/>
      <c r="D1235" s="80"/>
      <c r="E1235" s="80"/>
      <c r="F1235" s="94"/>
      <c r="G1235" s="80"/>
      <c r="H1235" s="80"/>
      <c r="I1235" s="80"/>
      <c r="J1235" s="80"/>
      <c r="K1235" s="80"/>
      <c r="L1235" s="80"/>
    </row>
    <row r="1236" spans="1:12" x14ac:dyDescent="0.25">
      <c r="A1236" s="80"/>
      <c r="B1236" s="80"/>
      <c r="C1236" s="80"/>
      <c r="D1236" s="80"/>
      <c r="E1236" s="80"/>
      <c r="F1236" s="94"/>
      <c r="G1236" s="80"/>
      <c r="H1236" s="80"/>
      <c r="I1236" s="80"/>
      <c r="J1236" s="80"/>
      <c r="K1236" s="80"/>
      <c r="L1236" s="80"/>
    </row>
    <row r="1237" spans="1:12" x14ac:dyDescent="0.25">
      <c r="A1237" s="80"/>
      <c r="B1237" s="80"/>
      <c r="C1237" s="80"/>
      <c r="D1237" s="80"/>
      <c r="E1237" s="80"/>
      <c r="F1237" s="94"/>
      <c r="G1237" s="80"/>
      <c r="H1237" s="80"/>
      <c r="I1237" s="80"/>
      <c r="J1237" s="80"/>
      <c r="K1237" s="80"/>
      <c r="L1237" s="80"/>
    </row>
    <row r="1238" spans="1:12" x14ac:dyDescent="0.25">
      <c r="A1238" s="80"/>
      <c r="B1238" s="80"/>
      <c r="C1238" s="80"/>
      <c r="D1238" s="80"/>
      <c r="E1238" s="80"/>
      <c r="F1238" s="94"/>
      <c r="G1238" s="80"/>
      <c r="H1238" s="80"/>
      <c r="I1238" s="80"/>
      <c r="J1238" s="80"/>
      <c r="K1238" s="80"/>
      <c r="L1238" s="80"/>
    </row>
    <row r="1239" spans="1:12" x14ac:dyDescent="0.25">
      <c r="A1239" s="80"/>
      <c r="B1239" s="80"/>
      <c r="C1239" s="80"/>
      <c r="D1239" s="80"/>
      <c r="E1239" s="80"/>
      <c r="F1239" s="94"/>
      <c r="G1239" s="80"/>
      <c r="H1239" s="80"/>
      <c r="I1239" s="80"/>
      <c r="J1239" s="80"/>
      <c r="K1239" s="80"/>
      <c r="L1239" s="80"/>
    </row>
    <row r="1240" spans="1:12" x14ac:dyDescent="0.25">
      <c r="A1240" s="80"/>
      <c r="B1240" s="80"/>
      <c r="C1240" s="80"/>
      <c r="D1240" s="80"/>
      <c r="E1240" s="80"/>
      <c r="F1240" s="94"/>
      <c r="G1240" s="80"/>
      <c r="H1240" s="80"/>
      <c r="I1240" s="80"/>
      <c r="J1240" s="80"/>
      <c r="K1240" s="80"/>
      <c r="L1240" s="80"/>
    </row>
    <row r="1241" spans="1:12" x14ac:dyDescent="0.25">
      <c r="A1241" s="80"/>
      <c r="B1241" s="80"/>
      <c r="C1241" s="80"/>
      <c r="D1241" s="80"/>
      <c r="E1241" s="80"/>
      <c r="F1241" s="94"/>
      <c r="G1241" s="80"/>
      <c r="H1241" s="80"/>
      <c r="I1241" s="80"/>
      <c r="J1241" s="80"/>
      <c r="K1241" s="80"/>
      <c r="L1241" s="80"/>
    </row>
    <row r="1242" spans="1:12" x14ac:dyDescent="0.25">
      <c r="A1242" s="80"/>
      <c r="B1242" s="80"/>
      <c r="C1242" s="80"/>
      <c r="D1242" s="80"/>
      <c r="E1242" s="80"/>
      <c r="F1242" s="94"/>
      <c r="G1242" s="80"/>
      <c r="H1242" s="80"/>
      <c r="I1242" s="80"/>
      <c r="J1242" s="80"/>
      <c r="K1242" s="80"/>
      <c r="L1242" s="80"/>
    </row>
    <row r="1243" spans="1:12" x14ac:dyDescent="0.25">
      <c r="A1243" s="80"/>
      <c r="B1243" s="80"/>
      <c r="C1243" s="80"/>
      <c r="D1243" s="80"/>
      <c r="E1243" s="80"/>
      <c r="F1243" s="94"/>
      <c r="G1243" s="80"/>
      <c r="H1243" s="80"/>
      <c r="I1243" s="80"/>
      <c r="J1243" s="80"/>
      <c r="K1243" s="80"/>
      <c r="L1243" s="80"/>
    </row>
    <row r="1244" spans="1:12" x14ac:dyDescent="0.25">
      <c r="A1244" s="80"/>
      <c r="B1244" s="80"/>
      <c r="C1244" s="80"/>
      <c r="D1244" s="80"/>
      <c r="E1244" s="80"/>
      <c r="F1244" s="80"/>
      <c r="G1244" s="80"/>
      <c r="H1244" s="80"/>
      <c r="I1244" s="80"/>
      <c r="J1244" s="80"/>
      <c r="K1244" s="80"/>
      <c r="L1244" s="80"/>
    </row>
    <row r="1245" spans="1:12" x14ac:dyDescent="0.25">
      <c r="A1245" s="80"/>
      <c r="B1245" s="80"/>
      <c r="C1245" s="80"/>
      <c r="D1245" s="80"/>
      <c r="E1245" s="80"/>
      <c r="F1245" s="80"/>
      <c r="G1245" s="80"/>
      <c r="H1245" s="80"/>
      <c r="I1245" s="80"/>
      <c r="J1245" s="80"/>
      <c r="K1245" s="80"/>
      <c r="L1245" s="80"/>
    </row>
    <row r="1246" spans="1:12" x14ac:dyDescent="0.25">
      <c r="A1246" s="80"/>
      <c r="B1246" s="80"/>
      <c r="C1246" s="80"/>
      <c r="D1246" s="80"/>
      <c r="E1246" s="80"/>
      <c r="F1246" s="80"/>
      <c r="G1246" s="80"/>
      <c r="H1246" s="80"/>
      <c r="I1246" s="80"/>
      <c r="J1246" s="80"/>
      <c r="K1246" s="80"/>
      <c r="L1246" s="80"/>
    </row>
    <row r="1247" spans="1:12" x14ac:dyDescent="0.25">
      <c r="A1247" s="80"/>
      <c r="B1247" s="80"/>
      <c r="C1247" s="80"/>
      <c r="D1247" s="80"/>
      <c r="E1247" s="80"/>
      <c r="F1247" s="80"/>
      <c r="G1247" s="80"/>
      <c r="H1247" s="80"/>
      <c r="I1247" s="80"/>
      <c r="J1247" s="80"/>
      <c r="K1247" s="80"/>
      <c r="L1247" s="80"/>
    </row>
    <row r="1248" spans="1:12" x14ac:dyDescent="0.25">
      <c r="A1248" s="80"/>
      <c r="B1248" s="80"/>
      <c r="C1248" s="80"/>
      <c r="D1248" s="80"/>
      <c r="E1248" s="80"/>
      <c r="F1248" s="80"/>
      <c r="G1248" s="80"/>
      <c r="H1248" s="80"/>
      <c r="I1248" s="80"/>
      <c r="J1248" s="80"/>
      <c r="K1248" s="80"/>
      <c r="L1248" s="80"/>
    </row>
    <row r="1249" spans="1:12" x14ac:dyDescent="0.25">
      <c r="A1249" s="80"/>
      <c r="B1249" s="80"/>
      <c r="C1249" s="80"/>
      <c r="D1249" s="80"/>
      <c r="E1249" s="80"/>
      <c r="F1249" s="80"/>
      <c r="G1249" s="80"/>
      <c r="H1249" s="80"/>
      <c r="I1249" s="80"/>
      <c r="J1249" s="80"/>
      <c r="K1249" s="80"/>
      <c r="L1249" s="80"/>
    </row>
    <row r="1250" spans="1:12" x14ac:dyDescent="0.25">
      <c r="A1250" s="80"/>
      <c r="B1250" s="80"/>
      <c r="C1250" s="80"/>
      <c r="D1250" s="80"/>
      <c r="E1250" s="80"/>
      <c r="F1250" s="80"/>
      <c r="G1250" s="80"/>
      <c r="H1250" s="80"/>
      <c r="I1250" s="80"/>
      <c r="J1250" s="80"/>
      <c r="K1250" s="80"/>
      <c r="L1250" s="80"/>
    </row>
    <row r="1251" spans="1:12" x14ac:dyDescent="0.25">
      <c r="A1251" s="80"/>
      <c r="B1251" s="80"/>
      <c r="C1251" s="80"/>
      <c r="D1251" s="80"/>
      <c r="E1251" s="80"/>
      <c r="F1251" s="80"/>
      <c r="G1251" s="80"/>
      <c r="H1251" s="80"/>
      <c r="I1251" s="80"/>
      <c r="J1251" s="80"/>
      <c r="K1251" s="80"/>
      <c r="L1251" s="80"/>
    </row>
    <row r="1252" spans="1:12" x14ac:dyDescent="0.25">
      <c r="A1252" s="80"/>
      <c r="B1252" s="80"/>
      <c r="C1252" s="80"/>
      <c r="D1252" s="80"/>
      <c r="E1252" s="80"/>
      <c r="F1252" s="80"/>
      <c r="G1252" s="80"/>
      <c r="H1252" s="80"/>
      <c r="I1252" s="80"/>
      <c r="J1252" s="80"/>
      <c r="K1252" s="80"/>
      <c r="L1252" s="80"/>
    </row>
    <row r="1253" spans="1:12" x14ac:dyDescent="0.25">
      <c r="A1253" s="80"/>
      <c r="B1253" s="80"/>
      <c r="C1253" s="80"/>
      <c r="D1253" s="80"/>
      <c r="E1253" s="80"/>
      <c r="F1253" s="80"/>
      <c r="G1253" s="80"/>
      <c r="H1253" s="80"/>
      <c r="I1253" s="80"/>
      <c r="J1253" s="80"/>
      <c r="K1253" s="80"/>
      <c r="L1253" s="80"/>
    </row>
    <row r="1254" spans="1:12" x14ac:dyDescent="0.25">
      <c r="A1254" s="80"/>
      <c r="B1254" s="80"/>
      <c r="C1254" s="80"/>
      <c r="D1254" s="80"/>
      <c r="E1254" s="80"/>
      <c r="F1254" s="80"/>
      <c r="G1254" s="80"/>
      <c r="H1254" s="80"/>
      <c r="I1254" s="80"/>
      <c r="J1254" s="80"/>
      <c r="K1254" s="80"/>
      <c r="L1254" s="80"/>
    </row>
    <row r="1255" spans="1:12" x14ac:dyDescent="0.25">
      <c r="A1255" s="80"/>
      <c r="B1255" s="80"/>
      <c r="C1255" s="80"/>
      <c r="D1255" s="80"/>
      <c r="E1255" s="80"/>
      <c r="F1255" s="80"/>
      <c r="G1255" s="80"/>
      <c r="H1255" s="80"/>
      <c r="I1255" s="80"/>
      <c r="J1255" s="80"/>
      <c r="K1255" s="80"/>
      <c r="L1255" s="80"/>
    </row>
    <row r="1256" spans="1:12" x14ac:dyDescent="0.25">
      <c r="A1256" s="80"/>
      <c r="B1256" s="80"/>
      <c r="C1256" s="80"/>
      <c r="D1256" s="80"/>
      <c r="E1256" s="80"/>
      <c r="F1256" s="80"/>
      <c r="G1256" s="80"/>
      <c r="H1256" s="80"/>
      <c r="I1256" s="80"/>
      <c r="J1256" s="80"/>
      <c r="K1256" s="80"/>
      <c r="L1256" s="80"/>
    </row>
    <row r="1257" spans="1:12" x14ac:dyDescent="0.25">
      <c r="A1257" s="80"/>
      <c r="B1257" s="80"/>
      <c r="C1257" s="80"/>
      <c r="D1257" s="80"/>
      <c r="E1257" s="80"/>
      <c r="F1257" s="80"/>
      <c r="G1257" s="80"/>
      <c r="H1257" s="80"/>
      <c r="I1257" s="80"/>
      <c r="J1257" s="80"/>
      <c r="K1257" s="80"/>
      <c r="L1257" s="80"/>
    </row>
    <row r="1258" spans="1:12" x14ac:dyDescent="0.25">
      <c r="A1258" s="80"/>
      <c r="B1258" s="80"/>
      <c r="C1258" s="80"/>
      <c r="D1258" s="80"/>
      <c r="E1258" s="80"/>
      <c r="F1258" s="80"/>
      <c r="G1258" s="80"/>
      <c r="H1258" s="80"/>
      <c r="I1258" s="80"/>
      <c r="J1258" s="80"/>
      <c r="K1258" s="80"/>
      <c r="L1258" s="80"/>
    </row>
    <row r="1259" spans="1:12" x14ac:dyDescent="0.25">
      <c r="A1259" s="80"/>
      <c r="B1259" s="80"/>
      <c r="C1259" s="80"/>
      <c r="D1259" s="80"/>
      <c r="E1259" s="80"/>
      <c r="F1259" s="80"/>
      <c r="G1259" s="80"/>
      <c r="H1259" s="80"/>
      <c r="I1259" s="80"/>
      <c r="J1259" s="80"/>
      <c r="K1259" s="80"/>
      <c r="L1259" s="80"/>
    </row>
    <row r="1260" spans="1:12" x14ac:dyDescent="0.25">
      <c r="A1260" s="80"/>
      <c r="B1260" s="80"/>
      <c r="C1260" s="80"/>
      <c r="D1260" s="80"/>
      <c r="E1260" s="80"/>
      <c r="F1260" s="80"/>
      <c r="G1260" s="80"/>
      <c r="H1260" s="80"/>
      <c r="I1260" s="80"/>
      <c r="J1260" s="80"/>
      <c r="K1260" s="80"/>
      <c r="L1260" s="80"/>
    </row>
    <row r="1261" spans="1:12" x14ac:dyDescent="0.25">
      <c r="A1261" s="80"/>
      <c r="B1261" s="80"/>
      <c r="C1261" s="80"/>
      <c r="D1261" s="80"/>
      <c r="E1261" s="80"/>
      <c r="F1261" s="80"/>
      <c r="G1261" s="80"/>
      <c r="H1261" s="80"/>
      <c r="I1261" s="80"/>
      <c r="J1261" s="80"/>
      <c r="K1261" s="80"/>
      <c r="L1261" s="80"/>
    </row>
    <row r="1262" spans="1:12" x14ac:dyDescent="0.25">
      <c r="A1262" s="80"/>
      <c r="B1262" s="80"/>
      <c r="C1262" s="80"/>
      <c r="D1262" s="80"/>
      <c r="E1262" s="80"/>
      <c r="F1262" s="80"/>
      <c r="G1262" s="80"/>
      <c r="H1262" s="80"/>
      <c r="I1262" s="80"/>
      <c r="J1262" s="80"/>
      <c r="K1262" s="80"/>
      <c r="L1262" s="80"/>
    </row>
    <row r="1263" spans="1:12" x14ac:dyDescent="0.25">
      <c r="A1263" s="80"/>
      <c r="B1263" s="80"/>
      <c r="C1263" s="80"/>
      <c r="D1263" s="80"/>
      <c r="E1263" s="80"/>
      <c r="F1263" s="80"/>
      <c r="G1263" s="80"/>
      <c r="H1263" s="80"/>
      <c r="I1263" s="80"/>
      <c r="J1263" s="80"/>
      <c r="K1263" s="80"/>
      <c r="L1263" s="80"/>
    </row>
    <row r="1264" spans="1:12" x14ac:dyDescent="0.25">
      <c r="A1264" s="80"/>
      <c r="B1264" s="80"/>
      <c r="C1264" s="80"/>
      <c r="D1264" s="80"/>
      <c r="E1264" s="80"/>
      <c r="F1264" s="80"/>
      <c r="G1264" s="80"/>
      <c r="H1264" s="80"/>
      <c r="I1264" s="80"/>
      <c r="J1264" s="80"/>
      <c r="K1264" s="80"/>
      <c r="L1264" s="80"/>
    </row>
    <row r="1265" spans="1:12" x14ac:dyDescent="0.25">
      <c r="A1265" s="80"/>
      <c r="B1265" s="80"/>
      <c r="C1265" s="80"/>
      <c r="D1265" s="80"/>
      <c r="E1265" s="80"/>
      <c r="F1265" s="80"/>
      <c r="G1265" s="80"/>
      <c r="H1265" s="80"/>
      <c r="I1265" s="80"/>
      <c r="J1265" s="80"/>
      <c r="K1265" s="80"/>
      <c r="L1265" s="80"/>
    </row>
    <row r="1266" spans="1:12" x14ac:dyDescent="0.25">
      <c r="A1266" s="80"/>
      <c r="B1266" s="80"/>
      <c r="C1266" s="80"/>
      <c r="D1266" s="80"/>
      <c r="E1266" s="80"/>
      <c r="F1266" s="80"/>
      <c r="G1266" s="80"/>
      <c r="H1266" s="80"/>
      <c r="I1266" s="80"/>
      <c r="J1266" s="80"/>
      <c r="K1266" s="80"/>
      <c r="L1266" s="80"/>
    </row>
    <row r="1267" spans="1:12" x14ac:dyDescent="0.25">
      <c r="A1267" s="80"/>
      <c r="B1267" s="80"/>
      <c r="C1267" s="80"/>
      <c r="D1267" s="80"/>
      <c r="E1267" s="80"/>
      <c r="F1267" s="80"/>
      <c r="G1267" s="80"/>
      <c r="H1267" s="80"/>
      <c r="I1267" s="80"/>
      <c r="J1267" s="80"/>
      <c r="K1267" s="80"/>
      <c r="L1267" s="80"/>
    </row>
    <row r="1268" spans="1:12" x14ac:dyDescent="0.25">
      <c r="A1268" s="80"/>
      <c r="B1268" s="80"/>
      <c r="C1268" s="80"/>
      <c r="D1268" s="80"/>
      <c r="E1268" s="80"/>
      <c r="F1268" s="80"/>
      <c r="G1268" s="80"/>
      <c r="H1268" s="80"/>
      <c r="I1268" s="80"/>
      <c r="J1268" s="80"/>
      <c r="K1268" s="80"/>
      <c r="L1268" s="80"/>
    </row>
    <row r="1269" spans="1:12" x14ac:dyDescent="0.25">
      <c r="A1269" s="80"/>
      <c r="B1269" s="80"/>
      <c r="C1269" s="80"/>
      <c r="D1269" s="80"/>
      <c r="E1269" s="80"/>
      <c r="F1269" s="80"/>
      <c r="G1269" s="80"/>
      <c r="H1269" s="80"/>
      <c r="I1269" s="80"/>
      <c r="J1269" s="80"/>
      <c r="K1269" s="80"/>
      <c r="L1269" s="80"/>
    </row>
    <row r="1270" spans="1:12" x14ac:dyDescent="0.25">
      <c r="A1270" s="80"/>
      <c r="B1270" s="80"/>
      <c r="C1270" s="80"/>
      <c r="D1270" s="80"/>
      <c r="E1270" s="80"/>
      <c r="F1270" s="80"/>
      <c r="G1270" s="80"/>
      <c r="H1270" s="80"/>
      <c r="I1270" s="80"/>
      <c r="J1270" s="80"/>
      <c r="K1270" s="80"/>
      <c r="L1270" s="80"/>
    </row>
    <row r="1271" spans="1:12" x14ac:dyDescent="0.25">
      <c r="A1271" s="80"/>
      <c r="B1271" s="80"/>
      <c r="C1271" s="80"/>
      <c r="D1271" s="80"/>
      <c r="E1271" s="80"/>
      <c r="F1271" s="80"/>
      <c r="G1271" s="80"/>
      <c r="H1271" s="80"/>
      <c r="I1271" s="80"/>
      <c r="J1271" s="80"/>
      <c r="K1271" s="80"/>
      <c r="L1271" s="80"/>
    </row>
    <row r="1272" spans="1:12" x14ac:dyDescent="0.25">
      <c r="A1272" s="80"/>
      <c r="B1272" s="80"/>
      <c r="C1272" s="80"/>
      <c r="D1272" s="80"/>
      <c r="E1272" s="80"/>
      <c r="F1272" s="80"/>
      <c r="G1272" s="80"/>
      <c r="H1272" s="80"/>
      <c r="I1272" s="80"/>
      <c r="J1272" s="80"/>
      <c r="K1272" s="80"/>
      <c r="L1272" s="80"/>
    </row>
    <row r="1273" spans="1:12" x14ac:dyDescent="0.25">
      <c r="A1273" s="80"/>
      <c r="B1273" s="80"/>
      <c r="C1273" s="80"/>
      <c r="D1273" s="80"/>
      <c r="E1273" s="80"/>
      <c r="F1273" s="80"/>
      <c r="G1273" s="80"/>
      <c r="H1273" s="80"/>
      <c r="I1273" s="80"/>
      <c r="J1273" s="80"/>
      <c r="K1273" s="80"/>
      <c r="L1273" s="80"/>
    </row>
    <row r="1274" spans="1:12" x14ac:dyDescent="0.25">
      <c r="A1274" s="80"/>
      <c r="B1274" s="80"/>
      <c r="C1274" s="80"/>
      <c r="D1274" s="80"/>
      <c r="E1274" s="80"/>
      <c r="F1274" s="80"/>
      <c r="G1274" s="80"/>
      <c r="H1274" s="80"/>
      <c r="I1274" s="80"/>
      <c r="J1274" s="80"/>
      <c r="K1274" s="80"/>
      <c r="L1274" s="80"/>
    </row>
    <row r="1275" spans="1:12" x14ac:dyDescent="0.25">
      <c r="A1275" s="80"/>
      <c r="B1275" s="80"/>
      <c r="C1275" s="80"/>
      <c r="D1275" s="80"/>
      <c r="E1275" s="80"/>
      <c r="F1275" s="80"/>
      <c r="G1275" s="80"/>
      <c r="H1275" s="80"/>
      <c r="I1275" s="80"/>
      <c r="J1275" s="80"/>
      <c r="K1275" s="80"/>
      <c r="L1275" s="80"/>
    </row>
    <row r="1276" spans="1:12" x14ac:dyDescent="0.25">
      <c r="A1276" s="80"/>
      <c r="B1276" s="80"/>
      <c r="C1276" s="80"/>
      <c r="D1276" s="80"/>
      <c r="E1276" s="80"/>
      <c r="F1276" s="80"/>
      <c r="G1276" s="80"/>
      <c r="H1276" s="80"/>
      <c r="I1276" s="80"/>
      <c r="J1276" s="80"/>
      <c r="K1276" s="80"/>
      <c r="L1276" s="80"/>
    </row>
    <row r="1277" spans="1:12" x14ac:dyDescent="0.25">
      <c r="A1277" s="80"/>
      <c r="B1277" s="80"/>
      <c r="C1277" s="80"/>
      <c r="D1277" s="80"/>
      <c r="E1277" s="80"/>
      <c r="F1277" s="80"/>
      <c r="G1277" s="80"/>
      <c r="H1277" s="80"/>
      <c r="I1277" s="80"/>
      <c r="J1277" s="80"/>
      <c r="K1277" s="80"/>
      <c r="L1277" s="80"/>
    </row>
    <row r="1278" spans="1:12" x14ac:dyDescent="0.25">
      <c r="A1278" s="80"/>
      <c r="B1278" s="80"/>
      <c r="C1278" s="80"/>
      <c r="D1278" s="80"/>
      <c r="E1278" s="80"/>
      <c r="F1278" s="80"/>
      <c r="G1278" s="80"/>
      <c r="H1278" s="80"/>
      <c r="I1278" s="80"/>
      <c r="J1278" s="80"/>
      <c r="K1278" s="80"/>
      <c r="L1278" s="80"/>
    </row>
  </sheetData>
  <autoFilter ref="A1:AA1225" xr:uid="{00000000-0001-0000-0400-000000000000}"/>
  <sortState xmlns:xlrd2="http://schemas.microsoft.com/office/spreadsheetml/2017/richdata2" ref="B356:F356">
    <sortCondition descending="1" ref="B355"/>
  </sortState>
  <dataValidations disablePrompts="1" count="1">
    <dataValidation type="list" allowBlank="1" showInputMessage="1" showErrorMessage="1" sqref="I2:I198 I202 I362 I364 I368" xr:uid="{00000000-0002-0000-0400-000000000000}">
      <formula1>"Maintenance,Support,Hardware/NW,Hosting,Subscription,Other,License"</formula1>
    </dataValidation>
  </dataValidations>
  <pageMargins left="0.7" right="0.7" top="0.75" bottom="0.75" header="0.3" footer="0.3"/>
  <pageSetup orientation="portrait" r:id="rId1"/>
  <customProperties>
    <customPr name="_pios_id" r:id="rId2"/>
    <customPr name="EpmWorksheetKeyString_GUID"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filterMode="1">
    <tabColor rgb="FF92D050"/>
  </sheetPr>
  <dimension ref="A1:XFC372"/>
  <sheetViews>
    <sheetView showGridLines="0" tabSelected="1" zoomScaleNormal="100" workbookViewId="0">
      <selection activeCell="D1" sqref="D1"/>
    </sheetView>
  </sheetViews>
  <sheetFormatPr defaultColWidth="24.42578125" defaultRowHeight="15" x14ac:dyDescent="0.25"/>
  <cols>
    <col min="1" max="1" width="9" customWidth="1"/>
    <col min="2" max="2" width="12.42578125" customWidth="1"/>
    <col min="3" max="3" width="11.5703125" customWidth="1"/>
    <col min="4" max="4" width="13.5703125" customWidth="1"/>
    <col min="5" max="5" width="16.42578125" customWidth="1"/>
    <col min="6" max="6" width="19.85546875" customWidth="1"/>
    <col min="7" max="7" width="19.42578125" customWidth="1"/>
    <col min="8" max="8" width="40.140625" customWidth="1"/>
    <col min="9" max="9" width="39.42578125" customWidth="1"/>
    <col min="10" max="10" width="11.42578125" customWidth="1"/>
    <col min="11" max="11" width="12.5703125" customWidth="1"/>
    <col min="12" max="12" width="10.7109375" customWidth="1"/>
    <col min="13" max="13" width="15.5703125" style="21" customWidth="1"/>
    <col min="14" max="14" width="7.42578125" style="21" customWidth="1"/>
    <col min="15" max="15" width="9.42578125" customWidth="1"/>
    <col min="16" max="16" width="7.7109375" customWidth="1"/>
    <col min="17" max="17" width="15.5703125" customWidth="1"/>
    <col min="18" max="18" width="20.5703125" customWidth="1"/>
    <col min="19" max="19" width="10" style="1" customWidth="1"/>
    <col min="20" max="20" width="11.28515625" style="1" customWidth="1"/>
    <col min="21" max="21" width="15.42578125" style="1" customWidth="1"/>
    <col min="22" max="22" width="9.42578125" style="1" customWidth="1"/>
    <col min="23" max="23" width="11.5703125" bestFit="1" customWidth="1"/>
    <col min="24" max="24" width="76.140625" customWidth="1"/>
    <col min="26" max="26" width="10.42578125" bestFit="1" customWidth="1"/>
    <col min="27" max="27" width="17.5703125" bestFit="1" customWidth="1"/>
    <col min="28" max="28" width="13.42578125" bestFit="1" customWidth="1"/>
    <col min="29" max="29" width="9.42578125" bestFit="1" customWidth="1"/>
    <col min="30" max="30" width="48.5703125" bestFit="1" customWidth="1"/>
    <col min="31" max="31" width="9.5703125" bestFit="1" customWidth="1"/>
  </cols>
  <sheetData>
    <row r="1" spans="1:31" x14ac:dyDescent="0.25">
      <c r="A1" s="95" t="s">
        <v>64</v>
      </c>
      <c r="B1" s="30" t="s">
        <v>2500</v>
      </c>
      <c r="C1" s="30" t="s">
        <v>2501</v>
      </c>
      <c r="D1" s="4" t="s">
        <v>62</v>
      </c>
      <c r="E1" s="95" t="s">
        <v>10</v>
      </c>
      <c r="F1" s="95" t="s">
        <v>2502</v>
      </c>
      <c r="G1" s="95" t="s">
        <v>2503</v>
      </c>
      <c r="H1" s="95" t="s">
        <v>11</v>
      </c>
      <c r="I1" s="95" t="s">
        <v>2504</v>
      </c>
      <c r="J1" s="95" t="s">
        <v>2505</v>
      </c>
      <c r="K1" s="95" t="s">
        <v>2506</v>
      </c>
      <c r="L1" s="95" t="s">
        <v>2507</v>
      </c>
      <c r="M1" s="95" t="s">
        <v>2508</v>
      </c>
      <c r="N1" s="95" t="s">
        <v>2509</v>
      </c>
      <c r="O1" s="95" t="s">
        <v>2510</v>
      </c>
      <c r="P1" s="95" t="s">
        <v>2511</v>
      </c>
      <c r="Q1" s="95" t="s">
        <v>2512</v>
      </c>
      <c r="R1" s="102" t="s">
        <v>2513</v>
      </c>
      <c r="S1" s="3" t="s">
        <v>2514</v>
      </c>
      <c r="T1" s="3" t="s">
        <v>2515</v>
      </c>
      <c r="U1" s="3" t="s">
        <v>2516</v>
      </c>
      <c r="V1" s="3" t="s">
        <v>2517</v>
      </c>
      <c r="W1" s="4" t="s">
        <v>2518</v>
      </c>
      <c r="X1" s="2" t="s">
        <v>2519</v>
      </c>
      <c r="Y1" s="30" t="s">
        <v>2269</v>
      </c>
      <c r="Z1" s="30" t="s">
        <v>2520</v>
      </c>
      <c r="AA1" s="4" t="s">
        <v>2521</v>
      </c>
      <c r="AB1" s="4" t="s">
        <v>2522</v>
      </c>
      <c r="AC1" s="4" t="s">
        <v>2523</v>
      </c>
      <c r="AD1" s="4" t="s">
        <v>2524</v>
      </c>
      <c r="AE1" s="4" t="s">
        <v>2525</v>
      </c>
    </row>
    <row r="2" spans="1:31" hidden="1" x14ac:dyDescent="0.25">
      <c r="A2" t="s">
        <v>2526</v>
      </c>
      <c r="B2" t="str">
        <f t="shared" ref="B2:B62" si="0">IF(T2=U2,"No Change",IF(AND(U2&lt;&gt;0,U2&lt;T2),"Decrease",IF(AND(U2&lt;&gt;0,T2=0),"New",IF(AND(T2&lt;&gt;0,U2=0),"Decommissioned","Increase"))))</f>
        <v>No Change</v>
      </c>
      <c r="C2" t="s">
        <v>2527</v>
      </c>
      <c r="D2">
        <v>68427709</v>
      </c>
      <c r="E2" s="104" t="s">
        <v>51</v>
      </c>
      <c r="F2" s="26" t="s">
        <v>52</v>
      </c>
      <c r="G2" s="26" t="s">
        <v>42</v>
      </c>
      <c r="H2" s="26" t="s">
        <v>2528</v>
      </c>
      <c r="I2">
        <v>0</v>
      </c>
      <c r="J2" t="s">
        <v>2529</v>
      </c>
      <c r="K2" s="26">
        <v>166350</v>
      </c>
      <c r="L2" s="26" t="s">
        <v>2530</v>
      </c>
      <c r="M2" s="199">
        <v>5400945798</v>
      </c>
      <c r="N2" s="28">
        <v>10</v>
      </c>
      <c r="O2" s="26" t="s">
        <v>2531</v>
      </c>
      <c r="P2" s="26" t="s">
        <v>1841</v>
      </c>
      <c r="Q2" s="26" t="s">
        <v>2532</v>
      </c>
      <c r="R2" s="97" t="s">
        <v>2533</v>
      </c>
      <c r="S2" s="7">
        <v>175000</v>
      </c>
      <c r="T2" s="7">
        <v>175000</v>
      </c>
      <c r="U2" s="7">
        <v>175000</v>
      </c>
      <c r="V2" s="7">
        <f t="shared" ref="V2:V62" si="1">U2-T2</f>
        <v>0</v>
      </c>
      <c r="W2" s="5">
        <f t="shared" ref="W2:W32" si="2">IF(B2="New",1,IFERROR(V2/T2,0))</f>
        <v>0</v>
      </c>
      <c r="X2" s="6"/>
      <c r="Y2" s="34">
        <f>SUMPRODUCT((BIdetails!$J$5:$J$3000=M2)*(BIdetails!$K$5:$K$3000=N2)*(BIdetails!$M$5:$M$3000))</f>
        <v>0</v>
      </c>
      <c r="Z2" s="35">
        <f>IF(U2=0,"",(Y2/U2))</f>
        <v>0</v>
      </c>
      <c r="AA2" s="31" t="s">
        <v>610</v>
      </c>
      <c r="AB2" s="31" t="s">
        <v>2534</v>
      </c>
      <c r="AC2" s="31"/>
      <c r="AD2" s="31"/>
      <c r="AE2">
        <v>2040</v>
      </c>
    </row>
    <row r="3" spans="1:31" hidden="1" x14ac:dyDescent="0.25">
      <c r="A3" t="s">
        <v>2526</v>
      </c>
      <c r="B3" t="str">
        <f t="shared" si="0"/>
        <v>Increase</v>
      </c>
      <c r="D3">
        <v>68427709</v>
      </c>
      <c r="E3" s="96" t="s">
        <v>53</v>
      </c>
      <c r="F3" t="s">
        <v>54</v>
      </c>
      <c r="G3" s="98" t="s">
        <v>42</v>
      </c>
      <c r="H3" s="98" t="s">
        <v>1582</v>
      </c>
      <c r="J3" t="s">
        <v>2535</v>
      </c>
      <c r="K3">
        <v>210633</v>
      </c>
      <c r="L3" s="98" t="s">
        <v>2536</v>
      </c>
      <c r="M3" s="196">
        <v>5400949579</v>
      </c>
      <c r="N3" s="21">
        <v>10</v>
      </c>
      <c r="O3" s="98" t="s">
        <v>2531</v>
      </c>
      <c r="P3" s="98" t="s">
        <v>2537</v>
      </c>
      <c r="Q3" t="s">
        <v>2538</v>
      </c>
      <c r="R3" s="31" t="s">
        <v>2539</v>
      </c>
      <c r="S3" s="7">
        <v>360000</v>
      </c>
      <c r="T3" s="7">
        <v>360000</v>
      </c>
      <c r="U3" s="7">
        <v>482000</v>
      </c>
      <c r="V3" s="7">
        <f t="shared" si="1"/>
        <v>122000</v>
      </c>
      <c r="W3" s="5">
        <f t="shared" si="2"/>
        <v>0.33888888888888891</v>
      </c>
      <c r="X3" s="6" t="s">
        <v>2540</v>
      </c>
      <c r="Y3" s="34">
        <f>SUMPRODUCT((BIdetails!$J$5:$J$3000=M3)*(BIdetails!$K$5:$K$3000=N3)*(BIdetails!$M$5:$M$3000))</f>
        <v>0</v>
      </c>
      <c r="Z3" s="35">
        <f>IF(U3=0,"",(Y3/U3))</f>
        <v>0</v>
      </c>
      <c r="AA3" s="31" t="s">
        <v>2541</v>
      </c>
      <c r="AB3" s="31" t="s">
        <v>2542</v>
      </c>
      <c r="AC3" s="31"/>
      <c r="AD3" s="31"/>
      <c r="AE3">
        <v>3160</v>
      </c>
    </row>
    <row r="4" spans="1:31" hidden="1" x14ac:dyDescent="0.25">
      <c r="A4" t="s">
        <v>2526</v>
      </c>
      <c r="B4" t="str">
        <f t="shared" si="0"/>
        <v>Increase</v>
      </c>
      <c r="D4">
        <v>68427709</v>
      </c>
      <c r="E4" s="96" t="s">
        <v>53</v>
      </c>
      <c r="F4" t="s">
        <v>54</v>
      </c>
      <c r="G4" t="s">
        <v>42</v>
      </c>
      <c r="H4" s="26" t="s">
        <v>2243</v>
      </c>
      <c r="J4" t="s">
        <v>2543</v>
      </c>
      <c r="K4">
        <v>210633</v>
      </c>
      <c r="L4" s="98" t="s">
        <v>2544</v>
      </c>
      <c r="M4" s="196">
        <v>5400945790</v>
      </c>
      <c r="N4" s="21">
        <v>20</v>
      </c>
      <c r="O4" s="26" t="s">
        <v>2531</v>
      </c>
      <c r="P4" s="26" t="s">
        <v>2537</v>
      </c>
      <c r="Q4" t="s">
        <v>2545</v>
      </c>
      <c r="R4" s="31" t="s">
        <v>2539</v>
      </c>
      <c r="S4" s="7"/>
      <c r="T4" s="7">
        <v>24000</v>
      </c>
      <c r="U4" s="7">
        <v>26000</v>
      </c>
      <c r="V4" s="7">
        <f t="shared" si="1"/>
        <v>2000</v>
      </c>
      <c r="W4" s="5">
        <f t="shared" si="2"/>
        <v>8.3333333333333329E-2</v>
      </c>
      <c r="X4" s="126" t="s">
        <v>2358</v>
      </c>
      <c r="Y4" s="34"/>
      <c r="Z4" s="35"/>
      <c r="AA4" s="31"/>
      <c r="AB4" s="31"/>
      <c r="AC4" s="31"/>
      <c r="AD4" s="31"/>
    </row>
    <row r="5" spans="1:31" hidden="1" x14ac:dyDescent="0.25">
      <c r="A5" t="s">
        <v>2526</v>
      </c>
      <c r="B5" t="str">
        <f t="shared" si="0"/>
        <v>Increase</v>
      </c>
      <c r="C5" t="s">
        <v>2546</v>
      </c>
      <c r="D5">
        <v>68427709</v>
      </c>
      <c r="E5" s="96" t="s">
        <v>53</v>
      </c>
      <c r="F5" t="s">
        <v>54</v>
      </c>
      <c r="G5" t="s">
        <v>42</v>
      </c>
      <c r="H5" s="26" t="s">
        <v>580</v>
      </c>
      <c r="I5">
        <v>0</v>
      </c>
      <c r="J5" t="s">
        <v>2547</v>
      </c>
      <c r="K5" s="154">
        <v>197617</v>
      </c>
      <c r="L5" s="26" t="s">
        <v>2548</v>
      </c>
      <c r="M5" s="233">
        <v>5400860691</v>
      </c>
      <c r="N5" s="21">
        <v>30</v>
      </c>
      <c r="O5" s="26" t="s">
        <v>2531</v>
      </c>
      <c r="P5" s="26" t="s">
        <v>2549</v>
      </c>
      <c r="Q5" t="s">
        <v>2550</v>
      </c>
      <c r="R5" s="31" t="s">
        <v>2551</v>
      </c>
      <c r="S5" s="7">
        <v>50000</v>
      </c>
      <c r="T5" s="7">
        <v>55000</v>
      </c>
      <c r="U5" s="7">
        <v>67000</v>
      </c>
      <c r="V5" s="7">
        <f t="shared" si="1"/>
        <v>12000</v>
      </c>
      <c r="W5" s="5">
        <f t="shared" si="2"/>
        <v>0.21818181818181817</v>
      </c>
      <c r="X5" s="6" t="s">
        <v>2357</v>
      </c>
      <c r="Y5" s="34">
        <f>SUMPRODUCT((BIdetails!$J$5:$J$3000=M5)*(BIdetails!$K$5:$K$3000=N5)*(BIdetails!$M$5:$M$3000))</f>
        <v>0</v>
      </c>
      <c r="Z5" s="35">
        <f t="shared" ref="Z5:Z22" si="3">IF(U5=0,"",(Y5/U5))</f>
        <v>0</v>
      </c>
      <c r="AA5" s="31"/>
      <c r="AB5" s="31"/>
      <c r="AC5" s="31"/>
      <c r="AD5" s="31"/>
      <c r="AE5">
        <v>2920</v>
      </c>
    </row>
    <row r="6" spans="1:31" hidden="1" x14ac:dyDescent="0.25">
      <c r="A6" t="s">
        <v>2526</v>
      </c>
      <c r="B6" t="str">
        <f t="shared" si="0"/>
        <v>Increase</v>
      </c>
      <c r="D6">
        <v>68427709</v>
      </c>
      <c r="E6" s="96" t="s">
        <v>41</v>
      </c>
      <c r="F6" s="98" t="s">
        <v>57</v>
      </c>
      <c r="G6" s="98" t="s">
        <v>42</v>
      </c>
      <c r="H6" s="98" t="s">
        <v>2305</v>
      </c>
      <c r="J6" t="s">
        <v>2552</v>
      </c>
      <c r="K6">
        <v>187516</v>
      </c>
      <c r="L6" s="98" t="s">
        <v>564</v>
      </c>
      <c r="M6" s="99"/>
      <c r="N6" s="99"/>
      <c r="O6" s="98" t="s">
        <v>1696</v>
      </c>
      <c r="P6" s="26" t="s">
        <v>1696</v>
      </c>
      <c r="Q6" t="s">
        <v>2545</v>
      </c>
      <c r="R6" s="31" t="s">
        <v>2533</v>
      </c>
      <c r="S6" s="7">
        <v>30000</v>
      </c>
      <c r="T6" s="7">
        <v>30000</v>
      </c>
      <c r="U6" s="7">
        <v>100000</v>
      </c>
      <c r="V6" s="7">
        <f t="shared" si="1"/>
        <v>70000</v>
      </c>
      <c r="W6" s="5">
        <f t="shared" si="2"/>
        <v>2.3333333333333335</v>
      </c>
      <c r="X6" s="6"/>
      <c r="Y6" s="34">
        <f>SUMPRODUCT((BIdetails!$J$5:$J$3000=M6)*(BIdetails!$K$5:$K$3000=N6)*(BIdetails!$M$5:$M$3000))</f>
        <v>0</v>
      </c>
      <c r="Z6" s="35">
        <f t="shared" si="3"/>
        <v>0</v>
      </c>
      <c r="AA6" s="31"/>
      <c r="AB6" s="31"/>
      <c r="AC6" s="31"/>
      <c r="AD6" s="31"/>
      <c r="AE6">
        <v>1060</v>
      </c>
    </row>
    <row r="7" spans="1:31" hidden="1" x14ac:dyDescent="0.25">
      <c r="A7" t="s">
        <v>2526</v>
      </c>
      <c r="B7" t="str">
        <f t="shared" si="0"/>
        <v>Decrease</v>
      </c>
      <c r="C7" t="s">
        <v>2553</v>
      </c>
      <c r="D7">
        <v>68427709</v>
      </c>
      <c r="E7" s="96" t="s">
        <v>41</v>
      </c>
      <c r="F7" s="98" t="s">
        <v>57</v>
      </c>
      <c r="G7" s="98" t="s">
        <v>42</v>
      </c>
      <c r="H7" s="98" t="s">
        <v>832</v>
      </c>
      <c r="I7" t="s">
        <v>2554</v>
      </c>
      <c r="J7" t="s">
        <v>2555</v>
      </c>
      <c r="K7">
        <v>187516</v>
      </c>
      <c r="L7" s="98" t="s">
        <v>564</v>
      </c>
      <c r="M7" s="238">
        <v>5400963720</v>
      </c>
      <c r="N7" s="99">
        <v>110</v>
      </c>
      <c r="O7" s="98" t="s">
        <v>2531</v>
      </c>
      <c r="P7" s="98" t="s">
        <v>2556</v>
      </c>
      <c r="Q7" s="98" t="s">
        <v>2532</v>
      </c>
      <c r="R7" s="97" t="s">
        <v>2533</v>
      </c>
      <c r="S7" s="7">
        <v>1361000</v>
      </c>
      <c r="T7" s="7">
        <v>1361000</v>
      </c>
      <c r="U7" s="7">
        <v>1331000</v>
      </c>
      <c r="V7" s="7">
        <f t="shared" si="1"/>
        <v>-30000</v>
      </c>
      <c r="W7" s="5">
        <f t="shared" si="2"/>
        <v>-2.2042615723732551E-2</v>
      </c>
      <c r="X7" s="6" t="s">
        <v>2557</v>
      </c>
      <c r="Y7" s="34">
        <f>SUMPRODUCT((BIdetails!$J$5:$J$3000=M7)*(BIdetails!$K$5:$K$3000=N7)*(BIdetails!$M$5:$M$3000))</f>
        <v>0</v>
      </c>
      <c r="Z7" s="35">
        <f t="shared" si="3"/>
        <v>0</v>
      </c>
      <c r="AA7" s="31" t="s">
        <v>610</v>
      </c>
      <c r="AB7" s="31" t="s">
        <v>2534</v>
      </c>
      <c r="AC7" s="31" t="s">
        <v>2558</v>
      </c>
      <c r="AD7" s="31"/>
      <c r="AE7">
        <v>680</v>
      </c>
    </row>
    <row r="8" spans="1:31" ht="15.6" hidden="1" customHeight="1" x14ac:dyDescent="0.25">
      <c r="A8" t="s">
        <v>2526</v>
      </c>
      <c r="B8" t="str">
        <f t="shared" si="0"/>
        <v>No Change</v>
      </c>
      <c r="C8" t="s">
        <v>2553</v>
      </c>
      <c r="D8">
        <v>68427709</v>
      </c>
      <c r="E8" s="96" t="s">
        <v>41</v>
      </c>
      <c r="F8" s="98" t="s">
        <v>57</v>
      </c>
      <c r="G8" s="98" t="s">
        <v>42</v>
      </c>
      <c r="H8" s="98" t="s">
        <v>1446</v>
      </c>
      <c r="I8" t="s">
        <v>2554</v>
      </c>
      <c r="J8" t="s">
        <v>2555</v>
      </c>
      <c r="K8">
        <v>187516</v>
      </c>
      <c r="L8" s="98" t="s">
        <v>564</v>
      </c>
      <c r="M8" s="238">
        <v>5400963720</v>
      </c>
      <c r="N8" s="99">
        <v>70</v>
      </c>
      <c r="O8" s="98" t="s">
        <v>2531</v>
      </c>
      <c r="P8" s="98" t="s">
        <v>2556</v>
      </c>
      <c r="Q8" s="98" t="s">
        <v>2532</v>
      </c>
      <c r="R8" s="97" t="s">
        <v>2533</v>
      </c>
      <c r="S8" s="7">
        <v>500000</v>
      </c>
      <c r="T8" s="7">
        <v>650000</v>
      </c>
      <c r="U8" s="7">
        <v>650000</v>
      </c>
      <c r="V8" s="7">
        <f t="shared" si="1"/>
        <v>0</v>
      </c>
      <c r="W8" s="5">
        <f t="shared" si="2"/>
        <v>0</v>
      </c>
      <c r="X8" s="6"/>
      <c r="Y8" s="34">
        <f>SUMPRODUCT((BIdetails!$J$5:$J$3000=M8)*(BIdetails!$K$5:$K$3000=N8)*(BIdetails!$M$5:$M$3000))</f>
        <v>0</v>
      </c>
      <c r="Z8" s="35">
        <f t="shared" si="3"/>
        <v>0</v>
      </c>
      <c r="AA8" s="31" t="s">
        <v>610</v>
      </c>
      <c r="AB8" s="31" t="s">
        <v>2534</v>
      </c>
      <c r="AC8" s="31" t="s">
        <v>2558</v>
      </c>
      <c r="AD8" s="31"/>
      <c r="AE8">
        <v>690</v>
      </c>
    </row>
    <row r="9" spans="1:31" hidden="1" x14ac:dyDescent="0.25">
      <c r="A9" t="s">
        <v>2526</v>
      </c>
      <c r="B9" t="str">
        <f t="shared" si="0"/>
        <v>No Change</v>
      </c>
      <c r="C9" t="s">
        <v>2553</v>
      </c>
      <c r="D9">
        <v>68427709</v>
      </c>
      <c r="E9" s="96" t="s">
        <v>41</v>
      </c>
      <c r="F9" s="98" t="s">
        <v>57</v>
      </c>
      <c r="G9" s="98" t="s">
        <v>42</v>
      </c>
      <c r="H9" s="98" t="s">
        <v>2242</v>
      </c>
      <c r="I9" t="s">
        <v>2554</v>
      </c>
      <c r="J9" t="s">
        <v>2555</v>
      </c>
      <c r="K9">
        <v>187516</v>
      </c>
      <c r="L9" s="98" t="s">
        <v>564</v>
      </c>
      <c r="M9" s="238">
        <v>5400963720</v>
      </c>
      <c r="N9" s="21">
        <v>50</v>
      </c>
      <c r="O9" s="98" t="s">
        <v>2531</v>
      </c>
      <c r="P9" s="98" t="s">
        <v>2556</v>
      </c>
      <c r="Q9" s="98" t="s">
        <v>2532</v>
      </c>
      <c r="R9" s="97" t="s">
        <v>2533</v>
      </c>
      <c r="S9" s="7">
        <v>305000</v>
      </c>
      <c r="T9" s="7">
        <v>120000</v>
      </c>
      <c r="U9" s="7">
        <v>120000</v>
      </c>
      <c r="V9" s="7">
        <f t="shared" si="1"/>
        <v>0</v>
      </c>
      <c r="W9" s="5">
        <f t="shared" si="2"/>
        <v>0</v>
      </c>
      <c r="X9" s="6"/>
      <c r="Y9" s="34">
        <f>SUMPRODUCT((BIdetails!$J$5:$J$3000=M9)*(BIdetails!$K$5:$K$3000=N9)*(BIdetails!$M$5:$M$3000))</f>
        <v>0</v>
      </c>
      <c r="Z9" s="35">
        <f t="shared" si="3"/>
        <v>0</v>
      </c>
      <c r="AA9" s="31" t="s">
        <v>610</v>
      </c>
      <c r="AB9" s="31" t="s">
        <v>2534</v>
      </c>
      <c r="AC9" s="31" t="s">
        <v>2558</v>
      </c>
      <c r="AD9" s="31"/>
      <c r="AE9">
        <v>710</v>
      </c>
    </row>
    <row r="10" spans="1:31" hidden="1" x14ac:dyDescent="0.25">
      <c r="A10" t="s">
        <v>2526</v>
      </c>
      <c r="B10" t="str">
        <f t="shared" si="0"/>
        <v>Decrease</v>
      </c>
      <c r="C10" t="s">
        <v>2553</v>
      </c>
      <c r="D10">
        <v>68427709</v>
      </c>
      <c r="E10" s="96" t="s">
        <v>41</v>
      </c>
      <c r="F10" s="98" t="s">
        <v>57</v>
      </c>
      <c r="G10" s="98" t="s">
        <v>42</v>
      </c>
      <c r="H10" s="98" t="s">
        <v>2559</v>
      </c>
      <c r="I10" t="s">
        <v>2554</v>
      </c>
      <c r="J10" t="s">
        <v>2555</v>
      </c>
      <c r="K10">
        <v>187516</v>
      </c>
      <c r="L10" s="98" t="s">
        <v>564</v>
      </c>
      <c r="M10" s="238">
        <v>5400963720</v>
      </c>
      <c r="N10" s="99">
        <v>10</v>
      </c>
      <c r="O10" s="98" t="s">
        <v>2531</v>
      </c>
      <c r="P10" s="98" t="s">
        <v>2556</v>
      </c>
      <c r="Q10" s="98" t="s">
        <v>2532</v>
      </c>
      <c r="R10" s="97" t="s">
        <v>2533</v>
      </c>
      <c r="S10" s="7">
        <v>620000</v>
      </c>
      <c r="T10" s="7">
        <v>500000</v>
      </c>
      <c r="U10" s="7">
        <v>460000</v>
      </c>
      <c r="V10" s="7">
        <f t="shared" si="1"/>
        <v>-40000</v>
      </c>
      <c r="W10" s="5">
        <f t="shared" si="2"/>
        <v>-0.08</v>
      </c>
      <c r="X10" s="6" t="s">
        <v>2560</v>
      </c>
      <c r="Y10" s="34">
        <f>SUMPRODUCT((BIdetails!$J$5:$J$3000=M10)*(BIdetails!$K$5:$K$3000=N10)*(BIdetails!$M$5:$M$3000))</f>
        <v>0</v>
      </c>
      <c r="Z10" s="35">
        <f t="shared" si="3"/>
        <v>0</v>
      </c>
      <c r="AA10" s="31" t="s">
        <v>610</v>
      </c>
      <c r="AB10" s="31" t="s">
        <v>2534</v>
      </c>
      <c r="AC10" s="31" t="s">
        <v>2558</v>
      </c>
      <c r="AD10" s="31"/>
      <c r="AE10">
        <v>730</v>
      </c>
    </row>
    <row r="11" spans="1:31" hidden="1" x14ac:dyDescent="0.25">
      <c r="A11" t="s">
        <v>2526</v>
      </c>
      <c r="B11" t="str">
        <f t="shared" si="0"/>
        <v>No Change</v>
      </c>
      <c r="C11" t="s">
        <v>2553</v>
      </c>
      <c r="D11">
        <v>68427709</v>
      </c>
      <c r="E11" s="96" t="s">
        <v>41</v>
      </c>
      <c r="F11" s="98" t="s">
        <v>57</v>
      </c>
      <c r="G11" s="98" t="s">
        <v>42</v>
      </c>
      <c r="H11" s="98" t="s">
        <v>2561</v>
      </c>
      <c r="I11" t="s">
        <v>2554</v>
      </c>
      <c r="J11" t="s">
        <v>2555</v>
      </c>
      <c r="K11">
        <v>187516</v>
      </c>
      <c r="L11" s="98" t="s">
        <v>564</v>
      </c>
      <c r="M11" s="238">
        <v>5400963720</v>
      </c>
      <c r="N11" s="99">
        <v>40</v>
      </c>
      <c r="O11" s="98" t="s">
        <v>2531</v>
      </c>
      <c r="P11" s="98" t="s">
        <v>2556</v>
      </c>
      <c r="Q11" s="98" t="s">
        <v>2532</v>
      </c>
      <c r="R11" s="97" t="s">
        <v>2533</v>
      </c>
      <c r="S11" s="7">
        <v>675000</v>
      </c>
      <c r="T11" s="7">
        <v>675000</v>
      </c>
      <c r="U11" s="7">
        <v>675000</v>
      </c>
      <c r="V11" s="7">
        <f t="shared" si="1"/>
        <v>0</v>
      </c>
      <c r="W11" s="5">
        <f t="shared" si="2"/>
        <v>0</v>
      </c>
      <c r="X11" s="6"/>
      <c r="Y11" s="34">
        <f>SUMPRODUCT((BIdetails!$J$5:$J$3000=M11)*(BIdetails!$K$5:$K$3000=N11)*(BIdetails!$M$5:$M$3000))</f>
        <v>0</v>
      </c>
      <c r="Z11" s="35">
        <f t="shared" si="3"/>
        <v>0</v>
      </c>
      <c r="AA11" s="31" t="s">
        <v>610</v>
      </c>
      <c r="AB11" s="31" t="s">
        <v>2534</v>
      </c>
      <c r="AC11" s="31" t="s">
        <v>2558</v>
      </c>
      <c r="AD11" s="31"/>
      <c r="AE11">
        <v>750</v>
      </c>
    </row>
    <row r="12" spans="1:31" hidden="1" x14ac:dyDescent="0.25">
      <c r="A12" t="s">
        <v>2526</v>
      </c>
      <c r="B12" t="str">
        <f t="shared" si="0"/>
        <v>No Change</v>
      </c>
      <c r="C12" t="s">
        <v>2553</v>
      </c>
      <c r="D12">
        <v>68427709</v>
      </c>
      <c r="E12" s="96" t="s">
        <v>41</v>
      </c>
      <c r="F12" s="98" t="s">
        <v>57</v>
      </c>
      <c r="G12" s="98" t="s">
        <v>42</v>
      </c>
      <c r="H12" s="98" t="s">
        <v>2562</v>
      </c>
      <c r="I12" t="s">
        <v>2554</v>
      </c>
      <c r="J12" t="s">
        <v>2555</v>
      </c>
      <c r="K12">
        <v>187516</v>
      </c>
      <c r="L12" s="98" t="s">
        <v>564</v>
      </c>
      <c r="M12" s="238">
        <v>5400963720</v>
      </c>
      <c r="N12" s="99">
        <v>130</v>
      </c>
      <c r="O12" s="98" t="s">
        <v>2531</v>
      </c>
      <c r="P12" s="98" t="s">
        <v>2556</v>
      </c>
      <c r="Q12" s="98" t="s">
        <v>2532</v>
      </c>
      <c r="R12" s="97" t="s">
        <v>2533</v>
      </c>
      <c r="S12" s="7">
        <v>80000</v>
      </c>
      <c r="T12" s="7">
        <v>69000</v>
      </c>
      <c r="U12" s="7">
        <v>69000</v>
      </c>
      <c r="V12" s="7">
        <f t="shared" si="1"/>
        <v>0</v>
      </c>
      <c r="W12" s="5">
        <f t="shared" si="2"/>
        <v>0</v>
      </c>
      <c r="X12" s="6"/>
      <c r="Y12" s="34">
        <f>SUMPRODUCT((BIdetails!$J$5:$J$3000=M12)*(BIdetails!$K$5:$K$3000=N12)*(BIdetails!$M$5:$M$3000))</f>
        <v>0</v>
      </c>
      <c r="Z12" s="35">
        <f t="shared" si="3"/>
        <v>0</v>
      </c>
      <c r="AA12" s="31" t="s">
        <v>610</v>
      </c>
      <c r="AB12" s="31" t="s">
        <v>2534</v>
      </c>
      <c r="AC12" s="31" t="s">
        <v>2558</v>
      </c>
      <c r="AD12" s="31"/>
      <c r="AE12">
        <v>760</v>
      </c>
    </row>
    <row r="13" spans="1:31" hidden="1" x14ac:dyDescent="0.25">
      <c r="A13" t="s">
        <v>2526</v>
      </c>
      <c r="B13" t="str">
        <f t="shared" si="0"/>
        <v>Increase</v>
      </c>
      <c r="C13" t="s">
        <v>2553</v>
      </c>
      <c r="D13">
        <v>68427709</v>
      </c>
      <c r="E13" s="96" t="s">
        <v>41</v>
      </c>
      <c r="F13" s="98" t="s">
        <v>57</v>
      </c>
      <c r="G13" s="98" t="s">
        <v>42</v>
      </c>
      <c r="H13" s="98" t="s">
        <v>2563</v>
      </c>
      <c r="I13" t="s">
        <v>2554</v>
      </c>
      <c r="J13" t="s">
        <v>2555</v>
      </c>
      <c r="K13">
        <v>187516</v>
      </c>
      <c r="L13" s="98" t="s">
        <v>564</v>
      </c>
      <c r="M13" s="238">
        <v>5400963720</v>
      </c>
      <c r="N13" s="21">
        <v>90</v>
      </c>
      <c r="O13" s="98" t="s">
        <v>2531</v>
      </c>
      <c r="P13" s="98" t="s">
        <v>2290</v>
      </c>
      <c r="Q13" s="98" t="s">
        <v>2532</v>
      </c>
      <c r="R13" s="97" t="s">
        <v>2533</v>
      </c>
      <c r="S13" s="7">
        <v>200000</v>
      </c>
      <c r="T13" s="7">
        <v>200000</v>
      </c>
      <c r="U13" s="7">
        <v>250000</v>
      </c>
      <c r="V13" s="7">
        <f t="shared" si="1"/>
        <v>50000</v>
      </c>
      <c r="W13" s="5">
        <f t="shared" si="2"/>
        <v>0.25</v>
      </c>
      <c r="X13" s="6" t="s">
        <v>2564</v>
      </c>
      <c r="Y13" s="34">
        <f>SUMPRODUCT((BIdetails!$J$5:$J$3000=M13)*(BIdetails!$K$5:$K$3000=N13)*(BIdetails!$M$5:$M$3000))</f>
        <v>0</v>
      </c>
      <c r="Z13" s="35">
        <f t="shared" si="3"/>
        <v>0</v>
      </c>
      <c r="AA13" s="31" t="s">
        <v>610</v>
      </c>
      <c r="AB13" s="31" t="s">
        <v>2534</v>
      </c>
      <c r="AC13" s="31" t="s">
        <v>2558</v>
      </c>
      <c r="AD13" s="31"/>
      <c r="AE13">
        <v>770</v>
      </c>
    </row>
    <row r="14" spans="1:31" hidden="1" x14ac:dyDescent="0.25">
      <c r="A14" t="s">
        <v>2526</v>
      </c>
      <c r="B14" t="str">
        <f t="shared" si="0"/>
        <v>No Change</v>
      </c>
      <c r="C14" t="s">
        <v>2553</v>
      </c>
      <c r="D14">
        <v>68427709</v>
      </c>
      <c r="E14" s="96" t="s">
        <v>41</v>
      </c>
      <c r="F14" s="98" t="s">
        <v>57</v>
      </c>
      <c r="G14" s="98" t="s">
        <v>42</v>
      </c>
      <c r="H14" s="98" t="s">
        <v>2565</v>
      </c>
      <c r="I14" t="s">
        <v>2554</v>
      </c>
      <c r="J14" t="s">
        <v>2555</v>
      </c>
      <c r="K14">
        <v>187516</v>
      </c>
      <c r="L14" s="98" t="s">
        <v>564</v>
      </c>
      <c r="M14" s="238">
        <v>5400963720</v>
      </c>
      <c r="N14" s="99">
        <v>20</v>
      </c>
      <c r="O14" s="98" t="s">
        <v>2531</v>
      </c>
      <c r="P14" s="98" t="s">
        <v>2556</v>
      </c>
      <c r="Q14" s="98" t="s">
        <v>2532</v>
      </c>
      <c r="R14" s="97" t="s">
        <v>2533</v>
      </c>
      <c r="S14" s="7">
        <v>153000</v>
      </c>
      <c r="T14" s="7">
        <v>65000</v>
      </c>
      <c r="U14" s="7">
        <v>65000</v>
      </c>
      <c r="V14" s="7">
        <f t="shared" si="1"/>
        <v>0</v>
      </c>
      <c r="W14" s="5">
        <f t="shared" si="2"/>
        <v>0</v>
      </c>
      <c r="X14" s="6"/>
      <c r="Y14" s="34">
        <f>SUMPRODUCT((BIdetails!$J$5:$J$3000=M14)*(BIdetails!$K$5:$K$3000=N14)*(BIdetails!$M$5:$M$3000))</f>
        <v>0</v>
      </c>
      <c r="Z14" s="35">
        <f t="shared" si="3"/>
        <v>0</v>
      </c>
      <c r="AA14" s="31"/>
      <c r="AB14" s="31"/>
      <c r="AC14" s="31"/>
      <c r="AD14" s="31"/>
      <c r="AE14">
        <v>850</v>
      </c>
    </row>
    <row r="15" spans="1:31" hidden="1" x14ac:dyDescent="0.25">
      <c r="A15" t="s">
        <v>2526</v>
      </c>
      <c r="B15" t="str">
        <f t="shared" si="0"/>
        <v>No Change</v>
      </c>
      <c r="C15" t="s">
        <v>2553</v>
      </c>
      <c r="D15">
        <v>68427709</v>
      </c>
      <c r="E15" s="96" t="s">
        <v>41</v>
      </c>
      <c r="F15" s="98" t="s">
        <v>57</v>
      </c>
      <c r="G15" s="98" t="s">
        <v>42</v>
      </c>
      <c r="H15" s="98" t="s">
        <v>2566</v>
      </c>
      <c r="I15" t="s">
        <v>2554</v>
      </c>
      <c r="J15" t="s">
        <v>2555</v>
      </c>
      <c r="K15">
        <v>187516</v>
      </c>
      <c r="L15" s="98" t="s">
        <v>564</v>
      </c>
      <c r="M15" s="238">
        <v>5400963720</v>
      </c>
      <c r="N15" s="99">
        <v>190</v>
      </c>
      <c r="O15" s="98" t="s">
        <v>2531</v>
      </c>
      <c r="P15" s="98" t="s">
        <v>2556</v>
      </c>
      <c r="Q15" s="98" t="s">
        <v>2532</v>
      </c>
      <c r="R15" s="97" t="s">
        <v>2533</v>
      </c>
      <c r="S15" s="7">
        <v>100000</v>
      </c>
      <c r="T15" s="7">
        <v>100000</v>
      </c>
      <c r="U15" s="7">
        <v>100000</v>
      </c>
      <c r="V15" s="7">
        <f t="shared" si="1"/>
        <v>0</v>
      </c>
      <c r="W15" s="5">
        <f t="shared" si="2"/>
        <v>0</v>
      </c>
      <c r="X15" s="6"/>
      <c r="Y15" s="34">
        <f>SUMPRODUCT((BIdetails!$J$5:$J$3000=M15)*(BIdetails!$K$5:$K$3000=N15)*(BIdetails!$M$5:$M$3000))</f>
        <v>0</v>
      </c>
      <c r="Z15" s="35">
        <f t="shared" si="3"/>
        <v>0</v>
      </c>
      <c r="AA15" s="31" t="s">
        <v>610</v>
      </c>
      <c r="AB15" s="31" t="s">
        <v>2534</v>
      </c>
      <c r="AC15" s="31" t="s">
        <v>2558</v>
      </c>
      <c r="AD15" s="31"/>
      <c r="AE15">
        <v>880</v>
      </c>
    </row>
    <row r="16" spans="1:31" hidden="1" x14ac:dyDescent="0.25">
      <c r="A16" t="s">
        <v>2526</v>
      </c>
      <c r="B16" t="str">
        <f t="shared" si="0"/>
        <v>No Change</v>
      </c>
      <c r="C16" t="s">
        <v>2567</v>
      </c>
      <c r="D16">
        <v>68427709</v>
      </c>
      <c r="E16" s="96" t="s">
        <v>41</v>
      </c>
      <c r="F16" t="s">
        <v>57</v>
      </c>
      <c r="G16" t="s">
        <v>42</v>
      </c>
      <c r="H16" t="s">
        <v>2568</v>
      </c>
      <c r="I16" t="s">
        <v>2554</v>
      </c>
      <c r="J16" t="s">
        <v>2555</v>
      </c>
      <c r="K16">
        <v>187516</v>
      </c>
      <c r="L16" t="s">
        <v>564</v>
      </c>
      <c r="M16" s="228"/>
      <c r="O16" s="26" t="s">
        <v>2531</v>
      </c>
      <c r="P16" s="26" t="s">
        <v>2531</v>
      </c>
      <c r="Q16" s="26" t="s">
        <v>2532</v>
      </c>
      <c r="R16" s="31" t="s">
        <v>2533</v>
      </c>
      <c r="S16" s="7">
        <v>200000</v>
      </c>
      <c r="T16" s="7">
        <v>100000</v>
      </c>
      <c r="U16" s="7">
        <v>100000</v>
      </c>
      <c r="V16" s="7">
        <f t="shared" si="1"/>
        <v>0</v>
      </c>
      <c r="W16" s="5">
        <f t="shared" si="2"/>
        <v>0</v>
      </c>
      <c r="X16" s="6"/>
      <c r="Y16" s="34">
        <f>SUMPRODUCT((BIdetails!$J$5:$J$3000=M16)*(BIdetails!$K$5:$K$3000=N16)*(BIdetails!$M$5:$M$3000))</f>
        <v>0</v>
      </c>
      <c r="Z16" s="35">
        <f t="shared" si="3"/>
        <v>0</v>
      </c>
      <c r="AA16" s="31"/>
      <c r="AB16" s="31"/>
      <c r="AC16" s="31"/>
      <c r="AD16" s="31"/>
      <c r="AE16">
        <v>940</v>
      </c>
    </row>
    <row r="17" spans="1:31" hidden="1" x14ac:dyDescent="0.25">
      <c r="A17" t="s">
        <v>2526</v>
      </c>
      <c r="B17" t="str">
        <f t="shared" si="0"/>
        <v>No Change</v>
      </c>
      <c r="C17" t="s">
        <v>2553</v>
      </c>
      <c r="D17">
        <v>68427709</v>
      </c>
      <c r="E17" s="96" t="s">
        <v>41</v>
      </c>
      <c r="F17" s="98" t="s">
        <v>57</v>
      </c>
      <c r="G17" s="98" t="s">
        <v>42</v>
      </c>
      <c r="H17" t="s">
        <v>2569</v>
      </c>
      <c r="I17" t="s">
        <v>2554</v>
      </c>
      <c r="J17" t="s">
        <v>2555</v>
      </c>
      <c r="K17">
        <v>187516</v>
      </c>
      <c r="L17" t="s">
        <v>564</v>
      </c>
      <c r="M17" s="196">
        <v>5400963720</v>
      </c>
      <c r="N17" s="21">
        <v>140</v>
      </c>
      <c r="O17" s="26" t="s">
        <v>2531</v>
      </c>
      <c r="P17" s="26" t="s">
        <v>2531</v>
      </c>
      <c r="Q17" s="26" t="s">
        <v>2532</v>
      </c>
      <c r="R17" s="31" t="s">
        <v>2533</v>
      </c>
      <c r="S17" s="7">
        <v>284000</v>
      </c>
      <c r="T17" s="7">
        <v>305000</v>
      </c>
      <c r="U17" s="7">
        <v>305000</v>
      </c>
      <c r="V17" s="7">
        <f t="shared" si="1"/>
        <v>0</v>
      </c>
      <c r="W17" s="5">
        <f t="shared" si="2"/>
        <v>0</v>
      </c>
      <c r="X17" s="126"/>
      <c r="Y17" s="34">
        <f>SUMPRODUCT((BIdetails!$J$5:$J$3000=M17)*(BIdetails!$K$5:$K$3000=N17)*(BIdetails!$M$5:$M$3000))</f>
        <v>0</v>
      </c>
      <c r="Z17" s="35">
        <f t="shared" si="3"/>
        <v>0</v>
      </c>
      <c r="AA17" s="31"/>
      <c r="AB17" s="31"/>
      <c r="AC17" s="31"/>
      <c r="AD17" s="31"/>
      <c r="AE17">
        <v>1020</v>
      </c>
    </row>
    <row r="18" spans="1:31" hidden="1" x14ac:dyDescent="0.25">
      <c r="A18" t="s">
        <v>2570</v>
      </c>
      <c r="B18" t="str">
        <f t="shared" si="0"/>
        <v>No Change</v>
      </c>
      <c r="C18" t="s">
        <v>2553</v>
      </c>
      <c r="D18">
        <v>68427709</v>
      </c>
      <c r="E18" s="96" t="s">
        <v>41</v>
      </c>
      <c r="F18" s="98" t="s">
        <v>57</v>
      </c>
      <c r="G18" s="98" t="s">
        <v>42</v>
      </c>
      <c r="H18" t="s">
        <v>2118</v>
      </c>
      <c r="I18" t="s">
        <v>2554</v>
      </c>
      <c r="J18" t="s">
        <v>2555</v>
      </c>
      <c r="K18">
        <v>187516</v>
      </c>
      <c r="L18" t="s">
        <v>564</v>
      </c>
      <c r="M18" s="228"/>
      <c r="O18" s="26" t="s">
        <v>2531</v>
      </c>
      <c r="P18" s="26" t="s">
        <v>2571</v>
      </c>
      <c r="Q18" s="26" t="s">
        <v>2532</v>
      </c>
      <c r="R18" s="31" t="s">
        <v>2533</v>
      </c>
      <c r="S18" s="7">
        <v>50000</v>
      </c>
      <c r="T18" s="7">
        <v>0</v>
      </c>
      <c r="U18" s="7">
        <v>0</v>
      </c>
      <c r="V18" s="7">
        <f t="shared" si="1"/>
        <v>0</v>
      </c>
      <c r="W18" s="5">
        <f t="shared" si="2"/>
        <v>0</v>
      </c>
      <c r="X18" s="126"/>
      <c r="Y18" s="34">
        <f>SUMPRODUCT((BIdetails!$J$5:$J$3000=M18)*(BIdetails!$K$5:$K$3000=N18)*(BIdetails!$M$5:$M$3000))</f>
        <v>0</v>
      </c>
      <c r="Z18" s="35" t="str">
        <f t="shared" si="3"/>
        <v/>
      </c>
      <c r="AA18" s="31" t="s">
        <v>2541</v>
      </c>
      <c r="AB18" s="31" t="s">
        <v>2534</v>
      </c>
      <c r="AC18" s="31" t="s">
        <v>2572</v>
      </c>
      <c r="AD18" s="31"/>
      <c r="AE18">
        <v>1040</v>
      </c>
    </row>
    <row r="19" spans="1:31" hidden="1" x14ac:dyDescent="0.25">
      <c r="A19" t="s">
        <v>2526</v>
      </c>
      <c r="B19" t="str">
        <f t="shared" si="0"/>
        <v>No Change</v>
      </c>
      <c r="D19">
        <v>68427709</v>
      </c>
      <c r="E19" s="96" t="s">
        <v>41</v>
      </c>
      <c r="F19" s="98" t="s">
        <v>57</v>
      </c>
      <c r="G19" s="98" t="s">
        <v>42</v>
      </c>
      <c r="H19" s="98" t="s">
        <v>2573</v>
      </c>
      <c r="J19" t="s">
        <v>2555</v>
      </c>
      <c r="K19">
        <v>187516</v>
      </c>
      <c r="L19" s="98" t="s">
        <v>564</v>
      </c>
      <c r="M19" s="234">
        <v>5400965888</v>
      </c>
      <c r="N19" s="99">
        <v>10</v>
      </c>
      <c r="O19" s="98" t="s">
        <v>2531</v>
      </c>
      <c r="P19" s="26" t="s">
        <v>2531</v>
      </c>
      <c r="Q19" t="s">
        <v>2545</v>
      </c>
      <c r="R19" s="31" t="s">
        <v>2533</v>
      </c>
      <c r="S19" s="7">
        <v>128000</v>
      </c>
      <c r="T19" s="7">
        <v>128000</v>
      </c>
      <c r="U19" s="7">
        <v>128000</v>
      </c>
      <c r="V19" s="7">
        <f t="shared" si="1"/>
        <v>0</v>
      </c>
      <c r="W19" s="5">
        <f t="shared" si="2"/>
        <v>0</v>
      </c>
      <c r="X19" s="6"/>
      <c r="Y19" s="34">
        <f>SUMPRODUCT((BIdetails!$J$5:$J$3000=M19)*(BIdetails!$K$5:$K$3000=N19)*(BIdetails!$M$5:$M$3000))</f>
        <v>0</v>
      </c>
      <c r="Z19" s="35">
        <f t="shared" si="3"/>
        <v>0</v>
      </c>
      <c r="AA19" s="31" t="s">
        <v>2541</v>
      </c>
      <c r="AB19" s="31" t="s">
        <v>2534</v>
      </c>
      <c r="AC19" s="31"/>
      <c r="AD19" s="31"/>
      <c r="AE19">
        <v>1050</v>
      </c>
    </row>
    <row r="20" spans="1:31" hidden="1" x14ac:dyDescent="0.25">
      <c r="A20" t="s">
        <v>2526</v>
      </c>
      <c r="B20" t="str">
        <f t="shared" si="0"/>
        <v>No Change</v>
      </c>
      <c r="D20">
        <v>68427709</v>
      </c>
      <c r="E20" s="96" t="s">
        <v>41</v>
      </c>
      <c r="F20" s="98" t="s">
        <v>57</v>
      </c>
      <c r="G20" s="98" t="s">
        <v>42</v>
      </c>
      <c r="H20" s="26" t="s">
        <v>2574</v>
      </c>
      <c r="I20" t="s">
        <v>2554</v>
      </c>
      <c r="J20" t="s">
        <v>2555</v>
      </c>
      <c r="K20">
        <v>187516</v>
      </c>
      <c r="L20" s="26" t="s">
        <v>564</v>
      </c>
      <c r="O20" s="26" t="s">
        <v>2531</v>
      </c>
      <c r="P20" s="26" t="s">
        <v>2571</v>
      </c>
      <c r="Q20" t="s">
        <v>2532</v>
      </c>
      <c r="R20" s="31" t="s">
        <v>2533</v>
      </c>
      <c r="S20" s="7">
        <v>150000</v>
      </c>
      <c r="T20" s="7">
        <v>110000</v>
      </c>
      <c r="U20" s="7">
        <v>110000</v>
      </c>
      <c r="V20" s="7">
        <f t="shared" si="1"/>
        <v>0</v>
      </c>
      <c r="W20" s="5">
        <f t="shared" si="2"/>
        <v>0</v>
      </c>
      <c r="X20" s="126"/>
      <c r="Y20" s="34">
        <f>SUMPRODUCT((BIdetails!$J$5:$J$3000=M20)*(BIdetails!$K$5:$K$3000=N20)*(BIdetails!$M$5:$M$3000))</f>
        <v>0</v>
      </c>
      <c r="Z20" s="35">
        <f t="shared" si="3"/>
        <v>0</v>
      </c>
      <c r="AA20" s="31" t="s">
        <v>610</v>
      </c>
      <c r="AB20" s="31" t="s">
        <v>2534</v>
      </c>
      <c r="AC20" s="31" t="s">
        <v>2575</v>
      </c>
      <c r="AD20" s="31"/>
      <c r="AE20">
        <v>1080</v>
      </c>
    </row>
    <row r="21" spans="1:31" hidden="1" x14ac:dyDescent="0.25">
      <c r="A21" t="s">
        <v>2526</v>
      </c>
      <c r="B21" t="str">
        <f t="shared" si="0"/>
        <v>No Change</v>
      </c>
      <c r="D21">
        <v>68427709</v>
      </c>
      <c r="E21" s="96" t="s">
        <v>41</v>
      </c>
      <c r="F21" s="98" t="s">
        <v>57</v>
      </c>
      <c r="G21" s="98" t="s">
        <v>42</v>
      </c>
      <c r="H21" s="26" t="s">
        <v>2576</v>
      </c>
      <c r="J21" t="s">
        <v>2555</v>
      </c>
      <c r="K21">
        <v>187516</v>
      </c>
      <c r="L21" s="98" t="s">
        <v>564</v>
      </c>
      <c r="M21" s="235">
        <v>5400976834</v>
      </c>
      <c r="N21" s="21">
        <v>10</v>
      </c>
      <c r="O21" s="26" t="s">
        <v>2531</v>
      </c>
      <c r="P21" s="26" t="s">
        <v>2531</v>
      </c>
      <c r="Q21" t="s">
        <v>2545</v>
      </c>
      <c r="R21" s="31" t="s">
        <v>2533</v>
      </c>
      <c r="S21" s="7">
        <v>25000</v>
      </c>
      <c r="T21" s="7">
        <v>25000</v>
      </c>
      <c r="U21" s="7">
        <v>25000</v>
      </c>
      <c r="V21" s="7">
        <f t="shared" si="1"/>
        <v>0</v>
      </c>
      <c r="W21" s="5">
        <f t="shared" si="2"/>
        <v>0</v>
      </c>
      <c r="X21" s="126"/>
      <c r="Y21" s="34">
        <f>SUMPRODUCT((BIdetails!$J$5:$J$3000=M21)*(BIdetails!$K$5:$K$3000=N21)*(BIdetails!$M$5:$M$3000))</f>
        <v>0</v>
      </c>
      <c r="Z21" s="35">
        <f t="shared" si="3"/>
        <v>0</v>
      </c>
      <c r="AA21" s="31" t="s">
        <v>2541</v>
      </c>
      <c r="AB21" s="31" t="s">
        <v>2534</v>
      </c>
      <c r="AC21" s="31" t="s">
        <v>2575</v>
      </c>
      <c r="AD21" s="31"/>
      <c r="AE21">
        <v>1100</v>
      </c>
    </row>
    <row r="22" spans="1:31" hidden="1" x14ac:dyDescent="0.25">
      <c r="A22" t="s">
        <v>2570</v>
      </c>
      <c r="B22" t="str">
        <f t="shared" si="0"/>
        <v>No Change</v>
      </c>
      <c r="D22">
        <v>68427709</v>
      </c>
      <c r="E22" s="96" t="s">
        <v>41</v>
      </c>
      <c r="F22" s="98" t="s">
        <v>57</v>
      </c>
      <c r="G22" s="26" t="s">
        <v>42</v>
      </c>
      <c r="H22" s="26" t="s">
        <v>2577</v>
      </c>
      <c r="I22" s="26" t="s">
        <v>2554</v>
      </c>
      <c r="J22" s="26" t="s">
        <v>2555</v>
      </c>
      <c r="K22">
        <v>187516</v>
      </c>
      <c r="L22" s="98" t="s">
        <v>564</v>
      </c>
      <c r="M22" s="228"/>
      <c r="O22" s="26" t="s">
        <v>2531</v>
      </c>
      <c r="P22" s="26" t="s">
        <v>1841</v>
      </c>
      <c r="Q22" t="s">
        <v>2532</v>
      </c>
      <c r="R22" s="31" t="s">
        <v>2533</v>
      </c>
      <c r="S22" s="7">
        <v>100000</v>
      </c>
      <c r="T22" s="7">
        <v>0</v>
      </c>
      <c r="U22" s="7">
        <v>0</v>
      </c>
      <c r="V22" s="7">
        <f t="shared" si="1"/>
        <v>0</v>
      </c>
      <c r="W22" s="5">
        <f t="shared" si="2"/>
        <v>0</v>
      </c>
      <c r="X22" s="126"/>
      <c r="Y22" s="34">
        <f>SUMPRODUCT((BIdetails!$J$5:$J$3000=M22)*(BIdetails!$K$5:$K$3000=N22)*(BIdetails!$M$5:$M$3000))</f>
        <v>0</v>
      </c>
      <c r="Z22" s="35" t="str">
        <f t="shared" si="3"/>
        <v/>
      </c>
      <c r="AA22" s="31" t="s">
        <v>2541</v>
      </c>
      <c r="AB22" s="31" t="s">
        <v>2534</v>
      </c>
      <c r="AC22" s="31" t="s">
        <v>2575</v>
      </c>
      <c r="AD22" s="31"/>
      <c r="AE22">
        <v>1110</v>
      </c>
    </row>
    <row r="23" spans="1:31" hidden="1" x14ac:dyDescent="0.25">
      <c r="A23" t="s">
        <v>2526</v>
      </c>
      <c r="B23" t="str">
        <f t="shared" si="0"/>
        <v>Increase</v>
      </c>
      <c r="D23">
        <v>68427709</v>
      </c>
      <c r="E23" s="96" t="s">
        <v>41</v>
      </c>
      <c r="F23" s="98" t="s">
        <v>57</v>
      </c>
      <c r="G23" s="98" t="s">
        <v>42</v>
      </c>
      <c r="H23" s="98" t="s">
        <v>2578</v>
      </c>
      <c r="I23" t="s">
        <v>2554</v>
      </c>
      <c r="J23" t="s">
        <v>2555</v>
      </c>
      <c r="K23">
        <v>187516</v>
      </c>
      <c r="L23" s="98" t="s">
        <v>564</v>
      </c>
      <c r="M23" s="99"/>
      <c r="N23" s="99"/>
      <c r="O23" t="s">
        <v>2579</v>
      </c>
      <c r="P23" s="98" t="s">
        <v>2579</v>
      </c>
      <c r="Q23" s="260" t="s">
        <v>2532</v>
      </c>
      <c r="R23" s="97" t="s">
        <v>40</v>
      </c>
      <c r="S23" s="7"/>
      <c r="T23" s="7">
        <v>50000</v>
      </c>
      <c r="U23" s="7">
        <v>150000</v>
      </c>
      <c r="V23" s="7">
        <f t="shared" si="1"/>
        <v>100000</v>
      </c>
      <c r="W23" s="5">
        <f t="shared" si="2"/>
        <v>2</v>
      </c>
      <c r="X23" s="6" t="s">
        <v>2580</v>
      </c>
      <c r="Y23" s="34"/>
      <c r="Z23" s="35"/>
      <c r="AA23" s="31"/>
      <c r="AB23" s="31"/>
      <c r="AC23" s="31"/>
      <c r="AD23" s="31"/>
    </row>
    <row r="24" spans="1:31" hidden="1" x14ac:dyDescent="0.25">
      <c r="A24" t="s">
        <v>2526</v>
      </c>
      <c r="B24" t="str">
        <f t="shared" si="0"/>
        <v>Decrease</v>
      </c>
      <c r="C24" t="s">
        <v>2553</v>
      </c>
      <c r="D24">
        <v>68427709</v>
      </c>
      <c r="E24" s="96" t="s">
        <v>41</v>
      </c>
      <c r="F24" s="98" t="s">
        <v>57</v>
      </c>
      <c r="G24" s="98" t="s">
        <v>42</v>
      </c>
      <c r="H24" s="98" t="s">
        <v>1448</v>
      </c>
      <c r="J24" t="s">
        <v>2581</v>
      </c>
      <c r="K24">
        <v>187516</v>
      </c>
      <c r="L24" s="98" t="s">
        <v>564</v>
      </c>
      <c r="M24" s="238">
        <v>5400963720</v>
      </c>
      <c r="N24" s="99">
        <v>80</v>
      </c>
      <c r="O24" s="98" t="s">
        <v>2531</v>
      </c>
      <c r="P24" s="98" t="s">
        <v>2556</v>
      </c>
      <c r="Q24" s="98" t="s">
        <v>2545</v>
      </c>
      <c r="R24" s="97" t="s">
        <v>2533</v>
      </c>
      <c r="S24" s="7">
        <v>170000</v>
      </c>
      <c r="T24" s="7">
        <v>230000</v>
      </c>
      <c r="U24" s="7">
        <v>180000</v>
      </c>
      <c r="V24" s="7">
        <f t="shared" si="1"/>
        <v>-50000</v>
      </c>
      <c r="W24" s="5">
        <f t="shared" si="2"/>
        <v>-0.21739130434782608</v>
      </c>
      <c r="X24" s="6" t="s">
        <v>2582</v>
      </c>
      <c r="Y24" s="34">
        <f>SUMPRODUCT((BIdetails!$J$5:$J$3000=M24)*(BIdetails!$K$5:$K$3000=N24)*(BIdetails!$M$5:$M$3000))</f>
        <v>0</v>
      </c>
      <c r="Z24" s="35">
        <f t="shared" ref="Z24:Z54" si="4">IF(U24=0,"",(Y24/U24))</f>
        <v>0</v>
      </c>
      <c r="AA24" s="31" t="s">
        <v>610</v>
      </c>
      <c r="AB24" s="31" t="s">
        <v>2534</v>
      </c>
      <c r="AC24" s="31" t="s">
        <v>2558</v>
      </c>
      <c r="AD24" s="31"/>
      <c r="AE24">
        <v>700</v>
      </c>
    </row>
    <row r="25" spans="1:31" hidden="1" x14ac:dyDescent="0.25">
      <c r="A25" t="s">
        <v>2526</v>
      </c>
      <c r="B25" t="str">
        <f t="shared" si="0"/>
        <v>No Change</v>
      </c>
      <c r="C25" t="s">
        <v>2553</v>
      </c>
      <c r="D25">
        <v>68427709</v>
      </c>
      <c r="E25" s="96" t="s">
        <v>41</v>
      </c>
      <c r="F25" s="98" t="s">
        <v>57</v>
      </c>
      <c r="G25" s="98" t="s">
        <v>42</v>
      </c>
      <c r="H25" s="98" t="s">
        <v>1445</v>
      </c>
      <c r="J25" t="s">
        <v>2581</v>
      </c>
      <c r="K25">
        <v>187516</v>
      </c>
      <c r="L25" s="98" t="s">
        <v>564</v>
      </c>
      <c r="M25" s="238">
        <v>5400963720</v>
      </c>
      <c r="N25" s="21">
        <v>60</v>
      </c>
      <c r="O25" s="98" t="s">
        <v>2531</v>
      </c>
      <c r="P25" s="98" t="s">
        <v>2556</v>
      </c>
      <c r="Q25" s="98" t="s">
        <v>2545</v>
      </c>
      <c r="R25" s="97" t="s">
        <v>2533</v>
      </c>
      <c r="S25" s="7">
        <v>85000</v>
      </c>
      <c r="T25" s="7">
        <v>45000</v>
      </c>
      <c r="U25" s="7">
        <v>45000</v>
      </c>
      <c r="V25" s="7">
        <f t="shared" si="1"/>
        <v>0</v>
      </c>
      <c r="W25" s="5">
        <f t="shared" si="2"/>
        <v>0</v>
      </c>
      <c r="X25" s="6"/>
      <c r="Y25" s="34">
        <f>SUMPRODUCT((BIdetails!$J$5:$J$3000=M25)*(BIdetails!$K$5:$K$3000=N25)*(BIdetails!$M$5:$M$3000))</f>
        <v>0</v>
      </c>
      <c r="Z25" s="35">
        <f t="shared" si="4"/>
        <v>0</v>
      </c>
      <c r="AA25" s="31" t="s">
        <v>610</v>
      </c>
      <c r="AB25" s="31" t="s">
        <v>2534</v>
      </c>
      <c r="AC25" s="31" t="s">
        <v>2558</v>
      </c>
      <c r="AD25" s="31"/>
      <c r="AE25">
        <v>720</v>
      </c>
    </row>
    <row r="26" spans="1:31" hidden="1" x14ac:dyDescent="0.25">
      <c r="A26" t="s">
        <v>2526</v>
      </c>
      <c r="B26" t="str">
        <f t="shared" si="0"/>
        <v>Decrease</v>
      </c>
      <c r="C26" t="s">
        <v>2553</v>
      </c>
      <c r="D26">
        <v>68427709</v>
      </c>
      <c r="E26" s="96" t="s">
        <v>41</v>
      </c>
      <c r="F26" s="98" t="s">
        <v>57</v>
      </c>
      <c r="G26" s="98" t="s">
        <v>42</v>
      </c>
      <c r="H26" s="98" t="s">
        <v>2583</v>
      </c>
      <c r="I26">
        <v>0</v>
      </c>
      <c r="J26" t="s">
        <v>2581</v>
      </c>
      <c r="K26">
        <v>187516</v>
      </c>
      <c r="L26" s="98" t="s">
        <v>564</v>
      </c>
      <c r="M26" s="238">
        <v>5400963720</v>
      </c>
      <c r="N26" s="99">
        <v>30</v>
      </c>
      <c r="O26" s="98" t="s">
        <v>2531</v>
      </c>
      <c r="P26" s="98" t="s">
        <v>2556</v>
      </c>
      <c r="Q26" s="98" t="s">
        <v>2545</v>
      </c>
      <c r="R26" s="97" t="s">
        <v>2533</v>
      </c>
      <c r="S26" s="7">
        <v>350000</v>
      </c>
      <c r="T26" s="7">
        <v>300000</v>
      </c>
      <c r="U26" s="7">
        <v>270000</v>
      </c>
      <c r="V26" s="7">
        <f t="shared" si="1"/>
        <v>-30000</v>
      </c>
      <c r="W26" s="5">
        <f t="shared" si="2"/>
        <v>-0.1</v>
      </c>
      <c r="X26" s="6" t="s">
        <v>2584</v>
      </c>
      <c r="Y26" s="34">
        <f>SUMPRODUCT((BIdetails!$J$5:$J$3000=M26)*(BIdetails!$K$5:$K$3000=N26)*(BIdetails!$M$5:$M$3000))</f>
        <v>0</v>
      </c>
      <c r="Z26" s="35">
        <f t="shared" si="4"/>
        <v>0</v>
      </c>
      <c r="AA26" s="31" t="s">
        <v>610</v>
      </c>
      <c r="AB26" s="31" t="s">
        <v>2534</v>
      </c>
      <c r="AC26" s="31" t="s">
        <v>2558</v>
      </c>
      <c r="AD26" s="31"/>
      <c r="AE26">
        <v>740</v>
      </c>
    </row>
    <row r="27" spans="1:31" hidden="1" x14ac:dyDescent="0.25">
      <c r="A27" t="s">
        <v>2526</v>
      </c>
      <c r="B27" t="str">
        <f t="shared" si="0"/>
        <v>Decommissioned</v>
      </c>
      <c r="C27" t="s">
        <v>2553</v>
      </c>
      <c r="D27">
        <v>68427709</v>
      </c>
      <c r="E27" s="96" t="s">
        <v>41</v>
      </c>
      <c r="F27" s="98" t="s">
        <v>57</v>
      </c>
      <c r="G27" s="98" t="s">
        <v>42</v>
      </c>
      <c r="H27" t="s">
        <v>2585</v>
      </c>
      <c r="I27">
        <v>0</v>
      </c>
      <c r="J27" t="s">
        <v>2581</v>
      </c>
      <c r="K27">
        <v>187516</v>
      </c>
      <c r="L27" s="98" t="s">
        <v>564</v>
      </c>
      <c r="O27" s="98" t="s">
        <v>2531</v>
      </c>
      <c r="P27" s="98" t="s">
        <v>2531</v>
      </c>
      <c r="Q27" s="98" t="s">
        <v>2545</v>
      </c>
      <c r="R27" s="97" t="s">
        <v>2533</v>
      </c>
      <c r="S27" s="7">
        <v>80000</v>
      </c>
      <c r="T27" s="7">
        <v>80000</v>
      </c>
      <c r="U27" s="7">
        <v>0</v>
      </c>
      <c r="V27" s="7">
        <f t="shared" si="1"/>
        <v>-80000</v>
      </c>
      <c r="W27" s="5">
        <f t="shared" si="2"/>
        <v>-1</v>
      </c>
      <c r="X27" s="6" t="s">
        <v>2586</v>
      </c>
      <c r="Y27" s="34">
        <f>SUMPRODUCT((BIdetails!$J$5:$J$3000=M27)*(BIdetails!$K$5:$K$3000=N27)*(BIdetails!$M$5:$M$3000))</f>
        <v>0</v>
      </c>
      <c r="Z27" s="35" t="str">
        <f t="shared" si="4"/>
        <v/>
      </c>
      <c r="AA27" s="31" t="s">
        <v>2541</v>
      </c>
      <c r="AB27" s="31" t="s">
        <v>2534</v>
      </c>
      <c r="AC27" s="31" t="s">
        <v>2572</v>
      </c>
      <c r="AD27" s="31"/>
      <c r="AE27">
        <v>830</v>
      </c>
    </row>
    <row r="28" spans="1:31" hidden="1" x14ac:dyDescent="0.25">
      <c r="A28" t="s">
        <v>2526</v>
      </c>
      <c r="B28" t="str">
        <f t="shared" si="0"/>
        <v>Increase</v>
      </c>
      <c r="D28">
        <v>68427709</v>
      </c>
      <c r="E28" s="96" t="s">
        <v>41</v>
      </c>
      <c r="F28" s="98" t="s">
        <v>57</v>
      </c>
      <c r="G28" s="98" t="s">
        <v>42</v>
      </c>
      <c r="H28" s="98" t="s">
        <v>1689</v>
      </c>
      <c r="J28" t="s">
        <v>2581</v>
      </c>
      <c r="K28">
        <v>187516</v>
      </c>
      <c r="L28" s="98" t="s">
        <v>564</v>
      </c>
      <c r="M28" s="233">
        <v>5400963720</v>
      </c>
      <c r="N28" s="21">
        <v>60</v>
      </c>
      <c r="O28" s="98" t="s">
        <v>2531</v>
      </c>
      <c r="P28" s="98" t="s">
        <v>2280</v>
      </c>
      <c r="Q28" t="s">
        <v>2545</v>
      </c>
      <c r="R28" s="97" t="s">
        <v>2587</v>
      </c>
      <c r="S28" s="7">
        <v>260000</v>
      </c>
      <c r="T28" s="7">
        <v>260000</v>
      </c>
      <c r="U28" s="7">
        <v>300000</v>
      </c>
      <c r="V28" s="7">
        <f t="shared" si="1"/>
        <v>40000</v>
      </c>
      <c r="W28" s="5">
        <f t="shared" si="2"/>
        <v>0.15384615384615385</v>
      </c>
      <c r="X28" s="6" t="s">
        <v>2588</v>
      </c>
      <c r="Y28" s="34">
        <f>SUMPRODUCT((BIdetails!$J$5:$J$3000=M28)*(BIdetails!$K$5:$K$3000=N28)*(BIdetails!$M$5:$M$3000))</f>
        <v>0</v>
      </c>
      <c r="Z28" s="35">
        <f t="shared" si="4"/>
        <v>0</v>
      </c>
      <c r="AA28" s="31" t="s">
        <v>610</v>
      </c>
      <c r="AB28" s="31" t="s">
        <v>2534</v>
      </c>
      <c r="AC28" s="31" t="s">
        <v>2575</v>
      </c>
      <c r="AD28" s="31"/>
      <c r="AE28">
        <v>1070</v>
      </c>
    </row>
    <row r="29" spans="1:31" hidden="1" x14ac:dyDescent="0.25">
      <c r="A29" t="s">
        <v>2526</v>
      </c>
      <c r="B29" t="str">
        <f t="shared" si="0"/>
        <v>No Change</v>
      </c>
      <c r="C29" t="s">
        <v>2589</v>
      </c>
      <c r="D29">
        <v>68427709</v>
      </c>
      <c r="E29" s="96" t="s">
        <v>53</v>
      </c>
      <c r="F29" t="s">
        <v>54</v>
      </c>
      <c r="G29" t="s">
        <v>42</v>
      </c>
      <c r="H29" t="s">
        <v>430</v>
      </c>
      <c r="I29" s="171" t="s">
        <v>2590</v>
      </c>
      <c r="J29" t="s">
        <v>2591</v>
      </c>
      <c r="K29">
        <v>187516</v>
      </c>
      <c r="L29" t="s">
        <v>564</v>
      </c>
      <c r="M29" s="233">
        <v>5400945833</v>
      </c>
      <c r="N29" s="21">
        <v>10</v>
      </c>
      <c r="O29" t="s">
        <v>2531</v>
      </c>
      <c r="P29" s="26" t="s">
        <v>2290</v>
      </c>
      <c r="Q29" t="s">
        <v>2545</v>
      </c>
      <c r="R29" s="31" t="s">
        <v>2533</v>
      </c>
      <c r="S29" s="7">
        <v>73000</v>
      </c>
      <c r="T29" s="7">
        <v>80000</v>
      </c>
      <c r="U29" s="7">
        <v>80000</v>
      </c>
      <c r="V29" s="7">
        <f t="shared" si="1"/>
        <v>0</v>
      </c>
      <c r="W29" s="5">
        <f t="shared" si="2"/>
        <v>0</v>
      </c>
      <c r="X29" s="6"/>
      <c r="Y29" s="34">
        <f>SUMPRODUCT((BIdetails!$J$5:$J$3000=M29)*(BIdetails!$K$5:$K$3000=N29)*(BIdetails!$M$5:$M$3000))</f>
        <v>0</v>
      </c>
      <c r="Z29" s="35">
        <f t="shared" si="4"/>
        <v>0</v>
      </c>
      <c r="AA29" s="31"/>
      <c r="AB29" s="31"/>
      <c r="AC29" s="31"/>
      <c r="AD29" s="31"/>
      <c r="AE29">
        <v>2330</v>
      </c>
    </row>
    <row r="30" spans="1:31" hidden="1" x14ac:dyDescent="0.25">
      <c r="A30" t="s">
        <v>2526</v>
      </c>
      <c r="B30" t="str">
        <f t="shared" si="0"/>
        <v>Decrease</v>
      </c>
      <c r="C30" t="s">
        <v>2592</v>
      </c>
      <c r="D30">
        <v>68427719</v>
      </c>
      <c r="E30" s="96" t="s">
        <v>41</v>
      </c>
      <c r="F30" s="98" t="s">
        <v>57</v>
      </c>
      <c r="G30" t="s">
        <v>42</v>
      </c>
      <c r="H30" t="s">
        <v>983</v>
      </c>
      <c r="I30">
        <v>0</v>
      </c>
      <c r="J30" t="s">
        <v>2593</v>
      </c>
      <c r="K30" s="171"/>
      <c r="L30" s="178" t="s">
        <v>2594</v>
      </c>
      <c r="M30" s="238">
        <v>5400963720</v>
      </c>
      <c r="N30" s="99">
        <v>10</v>
      </c>
      <c r="O30" s="98" t="s">
        <v>2136</v>
      </c>
      <c r="P30" s="98" t="s">
        <v>2136</v>
      </c>
      <c r="Q30" t="s">
        <v>2595</v>
      </c>
      <c r="R30" s="31" t="s">
        <v>2596</v>
      </c>
      <c r="S30" s="7">
        <v>325000</v>
      </c>
      <c r="T30" s="7">
        <v>300000</v>
      </c>
      <c r="U30" s="7">
        <v>200000</v>
      </c>
      <c r="V30" s="7">
        <f t="shared" si="1"/>
        <v>-100000</v>
      </c>
      <c r="W30" s="5">
        <f t="shared" si="2"/>
        <v>-0.33333333333333331</v>
      </c>
      <c r="X30" s="6" t="s">
        <v>2597</v>
      </c>
      <c r="Y30" s="34">
        <f>SUMPRODUCT((BIdetails!$J$5:$J$3000=M30)*(BIdetails!$K$5:$K$3000=N30)*(BIdetails!$M$5:$M$3000))</f>
        <v>0</v>
      </c>
      <c r="Z30" s="35">
        <f t="shared" si="4"/>
        <v>0</v>
      </c>
      <c r="AA30" s="31" t="s">
        <v>610</v>
      </c>
      <c r="AB30" s="31" t="s">
        <v>2534</v>
      </c>
      <c r="AC30" s="31" t="s">
        <v>2558</v>
      </c>
      <c r="AD30" s="31"/>
      <c r="AE30">
        <v>920</v>
      </c>
    </row>
    <row r="31" spans="1:31" hidden="1" x14ac:dyDescent="0.25">
      <c r="A31" t="s">
        <v>2526</v>
      </c>
      <c r="B31" t="str">
        <f t="shared" si="0"/>
        <v>No Change</v>
      </c>
      <c r="C31" t="s">
        <v>2553</v>
      </c>
      <c r="D31">
        <v>68427709</v>
      </c>
      <c r="E31" s="96" t="s">
        <v>41</v>
      </c>
      <c r="F31" s="98" t="s">
        <v>57</v>
      </c>
      <c r="G31" s="98" t="s">
        <v>42</v>
      </c>
      <c r="H31" s="98" t="s">
        <v>2598</v>
      </c>
      <c r="I31">
        <v>0</v>
      </c>
      <c r="J31" t="s">
        <v>2599</v>
      </c>
      <c r="K31">
        <v>187516</v>
      </c>
      <c r="L31" s="98" t="s">
        <v>564</v>
      </c>
      <c r="M31" s="196">
        <v>5400963720</v>
      </c>
      <c r="N31" s="99">
        <v>100</v>
      </c>
      <c r="O31" s="98" t="s">
        <v>2531</v>
      </c>
      <c r="P31" s="98" t="s">
        <v>2280</v>
      </c>
      <c r="Q31" t="s">
        <v>2545</v>
      </c>
      <c r="R31" s="97" t="s">
        <v>2587</v>
      </c>
      <c r="S31" s="7">
        <v>136000</v>
      </c>
      <c r="T31" s="7">
        <v>136000</v>
      </c>
      <c r="U31" s="7">
        <v>136000</v>
      </c>
      <c r="V31" s="7">
        <f t="shared" si="1"/>
        <v>0</v>
      </c>
      <c r="W31" s="5">
        <f t="shared" si="2"/>
        <v>0</v>
      </c>
      <c r="X31" s="6"/>
      <c r="Y31" s="34">
        <f>SUMPRODUCT((BIdetails!$J$5:$J$3000=M31)*(BIdetails!$K$5:$K$3000=N31)*(BIdetails!$M$5:$M$3000))</f>
        <v>0</v>
      </c>
      <c r="Z31" s="35">
        <f t="shared" si="4"/>
        <v>0</v>
      </c>
      <c r="AA31" s="31"/>
      <c r="AB31" s="31"/>
      <c r="AC31" s="31"/>
      <c r="AD31" s="31"/>
      <c r="AE31">
        <v>900</v>
      </c>
    </row>
    <row r="32" spans="1:31" hidden="1" x14ac:dyDescent="0.25">
      <c r="A32" t="s">
        <v>2526</v>
      </c>
      <c r="B32" t="str">
        <f t="shared" si="0"/>
        <v>Decrease</v>
      </c>
      <c r="C32" t="s">
        <v>2592</v>
      </c>
      <c r="D32">
        <v>68427719</v>
      </c>
      <c r="E32" s="96" t="s">
        <v>41</v>
      </c>
      <c r="F32" s="98" t="s">
        <v>57</v>
      </c>
      <c r="G32" t="s">
        <v>42</v>
      </c>
      <c r="H32" t="s">
        <v>984</v>
      </c>
      <c r="I32">
        <v>0</v>
      </c>
      <c r="J32" t="s">
        <v>2600</v>
      </c>
      <c r="K32" s="171"/>
      <c r="L32" s="171" t="s">
        <v>2601</v>
      </c>
      <c r="O32" t="s">
        <v>2136</v>
      </c>
      <c r="P32" s="98" t="s">
        <v>2136</v>
      </c>
      <c r="Q32" t="s">
        <v>2602</v>
      </c>
      <c r="R32" s="31" t="s">
        <v>2596</v>
      </c>
      <c r="S32" s="7">
        <v>1120000</v>
      </c>
      <c r="T32" s="7">
        <v>700000</v>
      </c>
      <c r="U32" s="7">
        <v>650000</v>
      </c>
      <c r="V32" s="7">
        <f t="shared" si="1"/>
        <v>-50000</v>
      </c>
      <c r="W32" s="5">
        <f t="shared" si="2"/>
        <v>-7.1428571428571425E-2</v>
      </c>
      <c r="X32" s="6" t="s">
        <v>2603</v>
      </c>
      <c r="Y32" s="34">
        <f>SUMPRODUCT((BIdetails!$J$5:$J$3000=M32)*(BIdetails!$K$5:$K$3000=N32)*(BIdetails!$M$5:$M$3000))</f>
        <v>0</v>
      </c>
      <c r="Z32" s="35">
        <f t="shared" si="4"/>
        <v>0</v>
      </c>
      <c r="AA32" s="31"/>
      <c r="AB32" s="31"/>
      <c r="AC32" s="31"/>
      <c r="AD32" s="31"/>
      <c r="AE32">
        <v>930</v>
      </c>
    </row>
    <row r="33" spans="1:61" hidden="1" x14ac:dyDescent="0.25">
      <c r="A33" t="s">
        <v>2526</v>
      </c>
      <c r="B33" t="str">
        <f t="shared" si="0"/>
        <v>Increase</v>
      </c>
      <c r="C33" t="s">
        <v>2604</v>
      </c>
      <c r="D33">
        <v>68427709</v>
      </c>
      <c r="E33" s="96" t="s">
        <v>53</v>
      </c>
      <c r="F33" t="s">
        <v>54</v>
      </c>
      <c r="G33" t="s">
        <v>42</v>
      </c>
      <c r="H33" t="s">
        <v>2219</v>
      </c>
      <c r="I33" t="s">
        <v>2590</v>
      </c>
      <c r="J33" t="s">
        <v>2605</v>
      </c>
      <c r="K33">
        <v>187516</v>
      </c>
      <c r="L33" t="s">
        <v>564</v>
      </c>
      <c r="M33" s="233">
        <v>5400965893</v>
      </c>
      <c r="N33" s="21">
        <v>10</v>
      </c>
      <c r="O33" t="s">
        <v>2190</v>
      </c>
      <c r="P33" s="26" t="s">
        <v>2606</v>
      </c>
      <c r="Q33" t="s">
        <v>2545</v>
      </c>
      <c r="R33" s="31" t="s">
        <v>2607</v>
      </c>
      <c r="S33" s="7">
        <v>5000</v>
      </c>
      <c r="T33" s="7">
        <v>6000</v>
      </c>
      <c r="U33" s="7">
        <v>7000</v>
      </c>
      <c r="V33" s="7">
        <f t="shared" si="1"/>
        <v>1000</v>
      </c>
      <c r="W33" s="5">
        <f t="shared" ref="W33:W62" si="5">IF(B33="New",1,IFERROR(V33/T33,0))</f>
        <v>0.16666666666666666</v>
      </c>
      <c r="X33" s="6" t="s">
        <v>2608</v>
      </c>
      <c r="Y33" s="34">
        <f>SUMPRODUCT((BIdetails!$J$5:$J$3000=M33)*(BIdetails!$K$5:$K$3000=N33)*(BIdetails!$M$5:$M$3000))</f>
        <v>0</v>
      </c>
      <c r="Z33" s="35">
        <f t="shared" si="4"/>
        <v>0</v>
      </c>
      <c r="AA33" s="31"/>
      <c r="AB33" s="31"/>
      <c r="AC33" s="31"/>
      <c r="AD33" s="31"/>
      <c r="AE33">
        <v>2230</v>
      </c>
    </row>
    <row r="34" spans="1:61" hidden="1" x14ac:dyDescent="0.25">
      <c r="A34" t="s">
        <v>2526</v>
      </c>
      <c r="B34" t="str">
        <f t="shared" si="0"/>
        <v>No Change</v>
      </c>
      <c r="D34">
        <v>68427709</v>
      </c>
      <c r="E34" s="96" t="s">
        <v>41</v>
      </c>
      <c r="F34" s="98" t="s">
        <v>57</v>
      </c>
      <c r="G34" s="98" t="s">
        <v>42</v>
      </c>
      <c r="H34" s="98" t="s">
        <v>2413</v>
      </c>
      <c r="I34">
        <v>0</v>
      </c>
      <c r="J34" t="s">
        <v>2609</v>
      </c>
      <c r="K34">
        <v>187516</v>
      </c>
      <c r="L34" s="98" t="s">
        <v>564</v>
      </c>
      <c r="M34" s="238">
        <v>5400963720</v>
      </c>
      <c r="N34" s="99">
        <v>170</v>
      </c>
      <c r="O34" s="98" t="s">
        <v>2531</v>
      </c>
      <c r="P34" s="98" t="s">
        <v>1752</v>
      </c>
      <c r="Q34" s="98" t="s">
        <v>2532</v>
      </c>
      <c r="R34" s="97" t="s">
        <v>2533</v>
      </c>
      <c r="S34" s="7">
        <v>345000</v>
      </c>
      <c r="T34" s="7">
        <v>470000</v>
      </c>
      <c r="U34" s="7">
        <v>470000</v>
      </c>
      <c r="V34" s="7">
        <f t="shared" si="1"/>
        <v>0</v>
      </c>
      <c r="W34" s="5">
        <f t="shared" si="5"/>
        <v>0</v>
      </c>
      <c r="X34" s="6" t="s">
        <v>2610</v>
      </c>
      <c r="Y34" s="34">
        <f>SUMPRODUCT((BIdetails!$J$5:$J$3000=M34)*(BIdetails!$K$5:$K$3000=N34)*(BIdetails!$M$5:$M$3000))</f>
        <v>0</v>
      </c>
      <c r="Z34" s="35">
        <f t="shared" si="4"/>
        <v>0</v>
      </c>
      <c r="AA34" s="31"/>
      <c r="AB34" s="31"/>
      <c r="AC34" s="31"/>
      <c r="AD34" s="31"/>
      <c r="AE34">
        <v>840</v>
      </c>
    </row>
    <row r="35" spans="1:61" hidden="1" x14ac:dyDescent="0.25">
      <c r="A35" t="s">
        <v>2526</v>
      </c>
      <c r="B35" t="str">
        <f t="shared" si="0"/>
        <v>No Change</v>
      </c>
      <c r="C35" t="s">
        <v>2553</v>
      </c>
      <c r="D35">
        <v>68427709</v>
      </c>
      <c r="E35" s="96" t="s">
        <v>41</v>
      </c>
      <c r="F35" s="98" t="s">
        <v>57</v>
      </c>
      <c r="G35" s="98" t="s">
        <v>42</v>
      </c>
      <c r="H35" t="s">
        <v>843</v>
      </c>
      <c r="I35">
        <v>0</v>
      </c>
      <c r="J35" t="s">
        <v>2611</v>
      </c>
      <c r="K35">
        <v>187516</v>
      </c>
      <c r="L35" s="98" t="s">
        <v>564</v>
      </c>
      <c r="M35" s="196">
        <v>5400963720</v>
      </c>
      <c r="N35" s="21">
        <v>120</v>
      </c>
      <c r="O35" s="98" t="s">
        <v>2531</v>
      </c>
      <c r="P35" s="98" t="s">
        <v>2290</v>
      </c>
      <c r="Q35" s="98" t="s">
        <v>2545</v>
      </c>
      <c r="R35" s="97" t="s">
        <v>2533</v>
      </c>
      <c r="S35" s="7">
        <v>100000</v>
      </c>
      <c r="T35" s="7">
        <v>100000</v>
      </c>
      <c r="U35" s="7">
        <v>100000</v>
      </c>
      <c r="V35" s="7">
        <f t="shared" si="1"/>
        <v>0</v>
      </c>
      <c r="W35" s="5">
        <f t="shared" si="5"/>
        <v>0</v>
      </c>
      <c r="X35" s="6"/>
      <c r="Y35" s="34">
        <f>SUMPRODUCT((BIdetails!$J$5:$J$3000=M35)*(BIdetails!$K$5:$K$3000=N35)*(BIdetails!$M$5:$M$3000))</f>
        <v>0</v>
      </c>
      <c r="Z35" s="35">
        <f t="shared" si="4"/>
        <v>0</v>
      </c>
      <c r="AA35" s="31"/>
      <c r="AB35" s="31"/>
      <c r="AC35" s="31"/>
      <c r="AD35" s="31"/>
      <c r="AE35">
        <v>800</v>
      </c>
    </row>
    <row r="36" spans="1:61" hidden="1" x14ac:dyDescent="0.25">
      <c r="A36" t="s">
        <v>2526</v>
      </c>
      <c r="B36" t="str">
        <f t="shared" si="0"/>
        <v>Decrease</v>
      </c>
      <c r="C36" t="s">
        <v>2592</v>
      </c>
      <c r="D36">
        <v>68427719</v>
      </c>
      <c r="E36" s="96" t="s">
        <v>41</v>
      </c>
      <c r="F36" s="98" t="s">
        <v>57</v>
      </c>
      <c r="G36" t="s">
        <v>42</v>
      </c>
      <c r="H36" t="s">
        <v>980</v>
      </c>
      <c r="I36">
        <v>0</v>
      </c>
      <c r="J36" t="s">
        <v>2612</v>
      </c>
      <c r="K36" s="171"/>
      <c r="L36" s="178" t="s">
        <v>2594</v>
      </c>
      <c r="M36" s="229"/>
      <c r="N36" s="99"/>
      <c r="O36" s="98" t="s">
        <v>2136</v>
      </c>
      <c r="P36" s="98" t="s">
        <v>2136</v>
      </c>
      <c r="Q36" t="s">
        <v>2613</v>
      </c>
      <c r="R36" s="31" t="s">
        <v>2596</v>
      </c>
      <c r="S36" s="7">
        <v>475000</v>
      </c>
      <c r="T36" s="7">
        <v>955000</v>
      </c>
      <c r="U36" s="7">
        <v>625000</v>
      </c>
      <c r="V36" s="7">
        <f t="shared" si="1"/>
        <v>-330000</v>
      </c>
      <c r="W36" s="5">
        <f t="shared" si="5"/>
        <v>-0.34554973821989526</v>
      </c>
      <c r="X36" s="6" t="s">
        <v>2614</v>
      </c>
      <c r="Y36" s="34">
        <f>SUMPRODUCT((BIdetails!$J$5:$J$3000=M36)*(BIdetails!$K$5:$K$3000=N36)*(BIdetails!$M$5:$M$3000))</f>
        <v>0</v>
      </c>
      <c r="Z36" s="35">
        <f t="shared" si="4"/>
        <v>0</v>
      </c>
      <c r="AA36" s="31"/>
      <c r="AB36" s="31"/>
      <c r="AC36" s="31"/>
      <c r="AD36" s="31"/>
      <c r="AE36">
        <v>911</v>
      </c>
    </row>
    <row r="37" spans="1:61" hidden="1" x14ac:dyDescent="0.25">
      <c r="A37" t="s">
        <v>2526</v>
      </c>
      <c r="B37" t="str">
        <f t="shared" si="0"/>
        <v>No Change</v>
      </c>
      <c r="C37" t="s">
        <v>2553</v>
      </c>
      <c r="D37">
        <v>68427709</v>
      </c>
      <c r="E37" s="96" t="s">
        <v>41</v>
      </c>
      <c r="F37" s="98" t="s">
        <v>57</v>
      </c>
      <c r="G37" s="98" t="s">
        <v>42</v>
      </c>
      <c r="H37" t="s">
        <v>2615</v>
      </c>
      <c r="I37">
        <v>0</v>
      </c>
      <c r="J37" t="s">
        <v>2616</v>
      </c>
      <c r="K37">
        <v>187516</v>
      </c>
      <c r="L37" s="98" t="s">
        <v>564</v>
      </c>
      <c r="O37" s="98" t="s">
        <v>2531</v>
      </c>
      <c r="P37" s="26" t="s">
        <v>186</v>
      </c>
      <c r="Q37" s="98" t="s">
        <v>2550</v>
      </c>
      <c r="R37" s="98" t="s">
        <v>2551</v>
      </c>
      <c r="S37" s="7">
        <v>8000</v>
      </c>
      <c r="T37" s="7">
        <v>8000</v>
      </c>
      <c r="U37" s="7">
        <v>8000</v>
      </c>
      <c r="V37" s="7">
        <f t="shared" si="1"/>
        <v>0</v>
      </c>
      <c r="W37" s="5">
        <f t="shared" si="5"/>
        <v>0</v>
      </c>
      <c r="X37" s="6"/>
      <c r="Y37" s="34">
        <f>SUMPRODUCT((BIdetails!$J$5:$J$3000=M37)*(BIdetails!$K$5:$K$3000=N37)*(BIdetails!$M$5:$M$3000))</f>
        <v>0</v>
      </c>
      <c r="Z37" s="35">
        <f t="shared" si="4"/>
        <v>0</v>
      </c>
      <c r="AA37" s="31"/>
      <c r="AB37" s="31"/>
      <c r="AC37" s="31"/>
      <c r="AD37" s="31"/>
      <c r="AE37">
        <v>890</v>
      </c>
    </row>
    <row r="38" spans="1:61" hidden="1" x14ac:dyDescent="0.25">
      <c r="A38" t="s">
        <v>2526</v>
      </c>
      <c r="B38" t="str">
        <f t="shared" si="0"/>
        <v>Increase</v>
      </c>
      <c r="C38" t="s">
        <v>2617</v>
      </c>
      <c r="D38">
        <v>68427709</v>
      </c>
      <c r="E38" s="96" t="s">
        <v>41</v>
      </c>
      <c r="F38" t="s">
        <v>57</v>
      </c>
      <c r="G38" t="s">
        <v>42</v>
      </c>
      <c r="H38" t="s">
        <v>2618</v>
      </c>
      <c r="I38">
        <v>0</v>
      </c>
      <c r="J38" t="s">
        <v>2619</v>
      </c>
      <c r="K38">
        <v>187516</v>
      </c>
      <c r="L38" s="26" t="s">
        <v>564</v>
      </c>
      <c r="M38" s="235">
        <v>5400963720</v>
      </c>
      <c r="N38" s="21">
        <v>180</v>
      </c>
      <c r="O38" s="26" t="s">
        <v>2531</v>
      </c>
      <c r="P38" s="26" t="s">
        <v>2556</v>
      </c>
      <c r="Q38" s="26" t="s">
        <v>2532</v>
      </c>
      <c r="R38" s="31" t="s">
        <v>2533</v>
      </c>
      <c r="S38" s="7">
        <v>30000</v>
      </c>
      <c r="T38" s="7">
        <v>100000</v>
      </c>
      <c r="U38" s="7">
        <v>140000</v>
      </c>
      <c r="V38" s="7">
        <f t="shared" si="1"/>
        <v>40000</v>
      </c>
      <c r="W38" s="5">
        <f t="shared" si="5"/>
        <v>0.4</v>
      </c>
      <c r="X38" s="6" t="s">
        <v>2620</v>
      </c>
      <c r="Y38" s="34">
        <f>SUMPRODUCT((BIdetails!$J$5:$J$3000=M38)*(BIdetails!$K$5:$K$3000=N38)*(BIdetails!$M$5:$M$3000))</f>
        <v>0</v>
      </c>
      <c r="Z38" s="35">
        <f t="shared" si="4"/>
        <v>0</v>
      </c>
      <c r="AA38" s="31" t="s">
        <v>2541</v>
      </c>
      <c r="AB38" s="31" t="s">
        <v>2534</v>
      </c>
      <c r="AC38" s="31" t="s">
        <v>2575</v>
      </c>
      <c r="AD38" s="31"/>
      <c r="AE38">
        <v>970</v>
      </c>
      <c r="AG38" s="23"/>
      <c r="AH38" s="23"/>
      <c r="AI38" s="23"/>
      <c r="AJ38" s="1"/>
      <c r="AK38" s="1"/>
      <c r="AL38" s="1"/>
      <c r="AM38" s="25"/>
      <c r="AP38" s="23"/>
      <c r="AQ38" s="23"/>
      <c r="AR38" s="23"/>
      <c r="AS38" s="23"/>
      <c r="AT38" s="23"/>
      <c r="AU38" s="23"/>
      <c r="AV38" s="24"/>
      <c r="AW38" s="23"/>
      <c r="AX38" s="23"/>
      <c r="AY38" s="23"/>
      <c r="AZ38" s="1"/>
      <c r="BA38" s="1"/>
      <c r="BB38" s="1"/>
      <c r="BC38" s="25"/>
      <c r="BF38" s="23"/>
      <c r="BG38" s="23"/>
      <c r="BH38" s="23"/>
      <c r="BI38" s="23"/>
    </row>
    <row r="39" spans="1:61" hidden="1" x14ac:dyDescent="0.25">
      <c r="A39" t="s">
        <v>2526</v>
      </c>
      <c r="B39" t="str">
        <f t="shared" si="0"/>
        <v>No Change</v>
      </c>
      <c r="D39">
        <v>68427709</v>
      </c>
      <c r="E39" s="96" t="s">
        <v>41</v>
      </c>
      <c r="F39" s="98" t="s">
        <v>57</v>
      </c>
      <c r="G39" s="98" t="s">
        <v>42</v>
      </c>
      <c r="H39" s="98" t="s">
        <v>2621</v>
      </c>
      <c r="J39" s="223" t="s">
        <v>2622</v>
      </c>
      <c r="K39">
        <v>187516</v>
      </c>
      <c r="L39" s="26" t="s">
        <v>564</v>
      </c>
      <c r="M39" s="99"/>
      <c r="N39" s="99"/>
      <c r="O39" t="s">
        <v>2579</v>
      </c>
      <c r="P39" s="98" t="s">
        <v>2579</v>
      </c>
      <c r="Q39" t="s">
        <v>2545</v>
      </c>
      <c r="R39" s="97" t="s">
        <v>40</v>
      </c>
      <c r="S39" s="7"/>
      <c r="T39" s="7">
        <v>130000</v>
      </c>
      <c r="U39" s="7">
        <v>130000</v>
      </c>
      <c r="V39" s="7">
        <f t="shared" si="1"/>
        <v>0</v>
      </c>
      <c r="W39" s="5">
        <f t="shared" si="5"/>
        <v>0</v>
      </c>
      <c r="X39" s="6"/>
      <c r="Y39" s="34">
        <f>SUMPRODUCT((BIdetails!$J$5:$J$3000=M39)*(BIdetails!$K$5:$K$3000=N39)*(BIdetails!$M$5:$M$3000))</f>
        <v>0</v>
      </c>
      <c r="Z39" s="35">
        <f t="shared" si="4"/>
        <v>0</v>
      </c>
      <c r="AA39" s="31"/>
      <c r="AB39" s="31"/>
      <c r="AC39" s="31"/>
      <c r="AD39" s="31"/>
      <c r="AE39">
        <v>3450</v>
      </c>
    </row>
    <row r="40" spans="1:61" hidden="1" x14ac:dyDescent="0.25">
      <c r="A40" t="s">
        <v>2526</v>
      </c>
      <c r="B40" t="str">
        <f t="shared" si="0"/>
        <v>No Change</v>
      </c>
      <c r="D40">
        <v>68427709</v>
      </c>
      <c r="E40" s="96" t="s">
        <v>53</v>
      </c>
      <c r="F40" t="s">
        <v>54</v>
      </c>
      <c r="G40" t="s">
        <v>42</v>
      </c>
      <c r="H40" t="s">
        <v>1746</v>
      </c>
      <c r="I40" t="s">
        <v>2590</v>
      </c>
      <c r="J40" t="s">
        <v>2623</v>
      </c>
      <c r="K40" s="96">
        <v>210312</v>
      </c>
      <c r="L40" s="98" t="s">
        <v>1273</v>
      </c>
      <c r="M40">
        <v>5400935485</v>
      </c>
      <c r="N40" s="21">
        <v>10</v>
      </c>
      <c r="O40" s="26" t="s">
        <v>2531</v>
      </c>
      <c r="P40" s="26" t="s">
        <v>2290</v>
      </c>
      <c r="Q40" t="s">
        <v>2545</v>
      </c>
      <c r="R40" s="31" t="s">
        <v>2533</v>
      </c>
      <c r="S40" s="7">
        <v>130000</v>
      </c>
      <c r="T40" s="7">
        <v>100000</v>
      </c>
      <c r="U40" s="7">
        <v>100000</v>
      </c>
      <c r="V40" s="7">
        <f t="shared" si="1"/>
        <v>0</v>
      </c>
      <c r="W40" s="5">
        <f t="shared" si="5"/>
        <v>0</v>
      </c>
      <c r="X40" s="6"/>
      <c r="Y40" s="34">
        <f>SUMPRODUCT((BIdetails!$J$5:$J$3000=M40)*(BIdetails!$K$5:$K$3000=N40)*(BIdetails!$M$5:$M$3000))</f>
        <v>0</v>
      </c>
      <c r="Z40" s="35">
        <f t="shared" si="4"/>
        <v>0</v>
      </c>
      <c r="AA40" s="31" t="s">
        <v>2541</v>
      </c>
      <c r="AB40" s="31"/>
      <c r="AC40" s="31"/>
      <c r="AD40" s="31"/>
      <c r="AE40">
        <v>3110</v>
      </c>
    </row>
    <row r="41" spans="1:61" hidden="1" x14ac:dyDescent="0.25">
      <c r="A41" t="s">
        <v>2526</v>
      </c>
      <c r="B41" t="str">
        <f t="shared" si="0"/>
        <v>Decrease</v>
      </c>
      <c r="D41">
        <v>68427709</v>
      </c>
      <c r="E41" s="224" t="s">
        <v>21</v>
      </c>
      <c r="F41" t="s">
        <v>2624</v>
      </c>
      <c r="G41" t="s">
        <v>23</v>
      </c>
      <c r="H41" t="s">
        <v>1313</v>
      </c>
      <c r="I41" t="s">
        <v>2228</v>
      </c>
      <c r="J41" t="s">
        <v>2625</v>
      </c>
      <c r="K41">
        <v>187516</v>
      </c>
      <c r="L41" s="26" t="s">
        <v>564</v>
      </c>
      <c r="M41" s="233">
        <v>5400965891</v>
      </c>
      <c r="N41" s="21">
        <v>10</v>
      </c>
      <c r="O41" s="26" t="s">
        <v>2190</v>
      </c>
      <c r="P41" s="26" t="s">
        <v>2190</v>
      </c>
      <c r="Q41" t="s">
        <v>2626</v>
      </c>
      <c r="R41" s="31" t="s">
        <v>2607</v>
      </c>
      <c r="S41" s="7">
        <v>380000</v>
      </c>
      <c r="T41" s="7">
        <v>380000</v>
      </c>
      <c r="U41" s="7">
        <v>350000</v>
      </c>
      <c r="V41" s="7">
        <f t="shared" si="1"/>
        <v>-30000</v>
      </c>
      <c r="W41" s="5">
        <f t="shared" si="5"/>
        <v>-7.8947368421052627E-2</v>
      </c>
      <c r="X41" s="6" t="s">
        <v>2627</v>
      </c>
      <c r="Y41" s="34">
        <f>SUMPRODUCT((BIdetails!$J$5:$J$3000=M41)*(BIdetails!$K$5:$K$3000=N41)*(BIdetails!$M$5:$M$3000))</f>
        <v>0</v>
      </c>
      <c r="Z41" s="35">
        <f t="shared" si="4"/>
        <v>0</v>
      </c>
      <c r="AA41" s="31" t="s">
        <v>610</v>
      </c>
      <c r="AB41" s="31" t="s">
        <v>2534</v>
      </c>
      <c r="AC41" s="31" t="s">
        <v>2558</v>
      </c>
      <c r="AD41" s="31"/>
      <c r="AE41">
        <v>280</v>
      </c>
    </row>
    <row r="42" spans="1:61" hidden="1" x14ac:dyDescent="0.25">
      <c r="A42" t="s">
        <v>2526</v>
      </c>
      <c r="B42" t="str">
        <f t="shared" si="0"/>
        <v>No Change</v>
      </c>
      <c r="D42">
        <v>68427709</v>
      </c>
      <c r="E42" s="96" t="s">
        <v>36</v>
      </c>
      <c r="F42" t="s">
        <v>37</v>
      </c>
      <c r="G42" t="s">
        <v>31</v>
      </c>
      <c r="H42" t="s">
        <v>1334</v>
      </c>
      <c r="I42" t="s">
        <v>2228</v>
      </c>
      <c r="J42" t="s">
        <v>2625</v>
      </c>
      <c r="K42">
        <v>187516</v>
      </c>
      <c r="L42" t="s">
        <v>564</v>
      </c>
      <c r="O42" s="26" t="s">
        <v>2190</v>
      </c>
      <c r="P42" s="26" t="s">
        <v>2190</v>
      </c>
      <c r="Q42" t="s">
        <v>2626</v>
      </c>
      <c r="R42" s="31" t="s">
        <v>2607</v>
      </c>
      <c r="S42" s="7">
        <v>20000</v>
      </c>
      <c r="T42" s="7">
        <v>20000</v>
      </c>
      <c r="U42" s="7">
        <v>20000</v>
      </c>
      <c r="V42" s="7">
        <f t="shared" si="1"/>
        <v>0</v>
      </c>
      <c r="W42" s="5">
        <f t="shared" si="5"/>
        <v>0</v>
      </c>
      <c r="X42" s="6"/>
      <c r="Y42" s="34">
        <f>SUMPRODUCT((BIdetails!$J$5:$J$3000=M42)*(BIdetails!$K$5:$K$3000=N42)*(BIdetails!$M$5:$M$3000))</f>
        <v>0</v>
      </c>
      <c r="Z42" s="35">
        <f t="shared" si="4"/>
        <v>0</v>
      </c>
      <c r="AA42" s="31" t="s">
        <v>610</v>
      </c>
      <c r="AB42" s="31" t="s">
        <v>2534</v>
      </c>
      <c r="AC42" s="31" t="s">
        <v>2558</v>
      </c>
      <c r="AD42" s="31"/>
      <c r="AE42">
        <v>580</v>
      </c>
    </row>
    <row r="43" spans="1:61" hidden="1" x14ac:dyDescent="0.25">
      <c r="A43" t="s">
        <v>2526</v>
      </c>
      <c r="B43" t="str">
        <f t="shared" si="0"/>
        <v>Increase</v>
      </c>
      <c r="C43" t="s">
        <v>2628</v>
      </c>
      <c r="D43">
        <v>68427709</v>
      </c>
      <c r="E43" s="96" t="s">
        <v>34</v>
      </c>
      <c r="F43" t="s">
        <v>35</v>
      </c>
      <c r="G43" t="s">
        <v>31</v>
      </c>
      <c r="H43" t="s">
        <v>2629</v>
      </c>
      <c r="I43" t="s">
        <v>2630</v>
      </c>
      <c r="J43" t="s">
        <v>2631</v>
      </c>
      <c r="K43">
        <v>187516</v>
      </c>
      <c r="L43" t="s">
        <v>564</v>
      </c>
      <c r="M43" s="21">
        <v>5400847162</v>
      </c>
      <c r="N43" s="21">
        <v>10</v>
      </c>
      <c r="O43" s="26" t="s">
        <v>2190</v>
      </c>
      <c r="P43" s="26" t="s">
        <v>2190</v>
      </c>
      <c r="Q43" t="s">
        <v>2545</v>
      </c>
      <c r="R43" s="31" t="s">
        <v>2607</v>
      </c>
      <c r="S43" s="7">
        <v>40000</v>
      </c>
      <c r="T43" s="7">
        <v>40000</v>
      </c>
      <c r="U43" s="7">
        <v>50000</v>
      </c>
      <c r="V43" s="7">
        <f t="shared" si="1"/>
        <v>10000</v>
      </c>
      <c r="W43" s="5">
        <f t="shared" si="5"/>
        <v>0.25</v>
      </c>
      <c r="X43" s="262" t="s">
        <v>2632</v>
      </c>
      <c r="Y43" s="34">
        <f>SUMPRODUCT((BIdetails!$J$5:$J$3000=M43)*(BIdetails!$K$5:$K$3000=N43)*(BIdetails!$M$5:$M$3000))</f>
        <v>0</v>
      </c>
      <c r="Z43" s="35">
        <f t="shared" si="4"/>
        <v>0</v>
      </c>
      <c r="AA43" s="31" t="s">
        <v>610</v>
      </c>
      <c r="AB43" s="31" t="s">
        <v>2534</v>
      </c>
      <c r="AC43" s="31" t="s">
        <v>2558</v>
      </c>
      <c r="AD43" s="31"/>
      <c r="AE43">
        <v>440</v>
      </c>
    </row>
    <row r="44" spans="1:61" hidden="1" x14ac:dyDescent="0.25">
      <c r="A44" t="s">
        <v>2526</v>
      </c>
      <c r="B44" t="str">
        <f t="shared" si="0"/>
        <v>Increase</v>
      </c>
      <c r="C44" t="s">
        <v>2628</v>
      </c>
      <c r="D44">
        <v>68427709</v>
      </c>
      <c r="E44" s="96" t="s">
        <v>34</v>
      </c>
      <c r="F44" t="s">
        <v>35</v>
      </c>
      <c r="G44" t="s">
        <v>31</v>
      </c>
      <c r="H44" t="s">
        <v>2633</v>
      </c>
      <c r="I44" t="s">
        <v>2630</v>
      </c>
      <c r="J44" t="s">
        <v>2631</v>
      </c>
      <c r="K44">
        <v>187516</v>
      </c>
      <c r="L44" t="s">
        <v>564</v>
      </c>
      <c r="M44" s="233">
        <v>5400922661</v>
      </c>
      <c r="N44" s="21">
        <v>10</v>
      </c>
      <c r="O44" s="26" t="s">
        <v>2190</v>
      </c>
      <c r="P44" s="26" t="s">
        <v>2190</v>
      </c>
      <c r="Q44" t="s">
        <v>2545</v>
      </c>
      <c r="R44" s="31" t="s">
        <v>2607</v>
      </c>
      <c r="S44" s="7">
        <v>85000</v>
      </c>
      <c r="T44" s="7">
        <v>85000</v>
      </c>
      <c r="U44" s="7">
        <v>100000</v>
      </c>
      <c r="V44" s="7">
        <f t="shared" si="1"/>
        <v>15000</v>
      </c>
      <c r="W44" s="5">
        <f t="shared" si="5"/>
        <v>0.17647058823529413</v>
      </c>
      <c r="X44" s="262" t="s">
        <v>2632</v>
      </c>
      <c r="Y44" s="34">
        <f>SUMPRODUCT((BIdetails!$J$5:$J$3000=M44)*(BIdetails!$K$5:$K$3000=N44)*(BIdetails!$M$5:$M$3000))</f>
        <v>0</v>
      </c>
      <c r="Z44" s="35">
        <f t="shared" si="4"/>
        <v>0</v>
      </c>
      <c r="AA44" s="31" t="s">
        <v>610</v>
      </c>
      <c r="AB44" s="31" t="s">
        <v>2534</v>
      </c>
      <c r="AC44" s="31" t="s">
        <v>2558</v>
      </c>
      <c r="AD44" s="31"/>
      <c r="AE44">
        <v>500</v>
      </c>
    </row>
    <row r="45" spans="1:61" hidden="1" x14ac:dyDescent="0.25">
      <c r="A45" t="s">
        <v>2526</v>
      </c>
      <c r="B45" t="str">
        <f t="shared" si="0"/>
        <v>Decrease</v>
      </c>
      <c r="C45" t="s">
        <v>2634</v>
      </c>
      <c r="D45">
        <v>68427709</v>
      </c>
      <c r="E45" s="96" t="s">
        <v>53</v>
      </c>
      <c r="F45" t="s">
        <v>54</v>
      </c>
      <c r="G45" t="s">
        <v>42</v>
      </c>
      <c r="H45" s="26" t="s">
        <v>1392</v>
      </c>
      <c r="I45" t="s">
        <v>2630</v>
      </c>
      <c r="J45" t="s">
        <v>2631</v>
      </c>
      <c r="K45">
        <v>187516</v>
      </c>
      <c r="L45" t="s">
        <v>564</v>
      </c>
      <c r="M45">
        <v>5400847170</v>
      </c>
      <c r="N45" s="21">
        <v>10</v>
      </c>
      <c r="O45" s="26" t="s">
        <v>2190</v>
      </c>
      <c r="P45" s="26" t="s">
        <v>2190</v>
      </c>
      <c r="Q45" t="s">
        <v>2545</v>
      </c>
      <c r="R45" s="31" t="s">
        <v>2607</v>
      </c>
      <c r="S45" s="7">
        <v>95000</v>
      </c>
      <c r="T45" s="7">
        <v>95000</v>
      </c>
      <c r="U45" s="7">
        <v>60000</v>
      </c>
      <c r="V45" s="7">
        <f t="shared" si="1"/>
        <v>-35000</v>
      </c>
      <c r="W45" s="5">
        <f t="shared" si="5"/>
        <v>-0.36842105263157893</v>
      </c>
      <c r="X45" s="126" t="s">
        <v>2635</v>
      </c>
      <c r="Y45" s="34">
        <f>SUMPRODUCT((BIdetails!$J$5:$J$3000=M45)*(BIdetails!$K$5:$K$3000=N45)*(BIdetails!$M$5:$M$3000))</f>
        <v>0</v>
      </c>
      <c r="Z45" s="35">
        <f t="shared" si="4"/>
        <v>0</v>
      </c>
      <c r="AA45" s="31"/>
      <c r="AB45" s="31"/>
      <c r="AC45" s="31"/>
      <c r="AD45" s="31"/>
      <c r="AE45">
        <v>2190</v>
      </c>
    </row>
    <row r="46" spans="1:61" hidden="1" x14ac:dyDescent="0.25">
      <c r="A46" t="s">
        <v>2526</v>
      </c>
      <c r="B46" t="str">
        <f t="shared" si="0"/>
        <v>No Change</v>
      </c>
      <c r="C46" t="s">
        <v>2628</v>
      </c>
      <c r="D46">
        <v>68427709</v>
      </c>
      <c r="E46" s="96" t="s">
        <v>14</v>
      </c>
      <c r="F46" t="s">
        <v>15</v>
      </c>
      <c r="G46" t="s">
        <v>16</v>
      </c>
      <c r="H46" t="s">
        <v>2636</v>
      </c>
      <c r="I46" t="s">
        <v>2225</v>
      </c>
      <c r="J46" t="s">
        <v>2637</v>
      </c>
      <c r="K46">
        <v>187516</v>
      </c>
      <c r="L46" t="s">
        <v>564</v>
      </c>
      <c r="M46" s="21">
        <v>5400907201</v>
      </c>
      <c r="N46" s="21">
        <v>10</v>
      </c>
      <c r="O46" t="s">
        <v>2190</v>
      </c>
      <c r="P46" t="s">
        <v>2606</v>
      </c>
      <c r="Q46" t="s">
        <v>2545</v>
      </c>
      <c r="R46" s="31" t="s">
        <v>2607</v>
      </c>
      <c r="S46" s="7">
        <v>98000</v>
      </c>
      <c r="T46" s="7">
        <v>98000</v>
      </c>
      <c r="U46" s="7">
        <v>98000</v>
      </c>
      <c r="V46" s="7">
        <f t="shared" si="1"/>
        <v>0</v>
      </c>
      <c r="W46" s="5">
        <f t="shared" si="5"/>
        <v>0</v>
      </c>
      <c r="X46" s="6"/>
      <c r="Y46" s="34">
        <f>SUMPRODUCT((BIdetails!$J$5:$J$3000=M46)*(BIdetails!$K$5:$K$3000=N46)*(BIdetails!$M$5:$M$3000))</f>
        <v>0</v>
      </c>
      <c r="Z46" s="35">
        <f t="shared" si="4"/>
        <v>0</v>
      </c>
      <c r="AA46" s="31" t="s">
        <v>610</v>
      </c>
      <c r="AB46" s="31" t="s">
        <v>2534</v>
      </c>
      <c r="AC46" s="31" t="s">
        <v>2558</v>
      </c>
      <c r="AD46" s="31"/>
      <c r="AE46">
        <v>10</v>
      </c>
    </row>
    <row r="47" spans="1:61" hidden="1" x14ac:dyDescent="0.25">
      <c r="A47" t="s">
        <v>2526</v>
      </c>
      <c r="B47" t="str">
        <f t="shared" si="0"/>
        <v>Decrease</v>
      </c>
      <c r="C47" t="s">
        <v>2628</v>
      </c>
      <c r="D47">
        <v>68427709</v>
      </c>
      <c r="E47" s="96" t="s">
        <v>14</v>
      </c>
      <c r="F47" t="s">
        <v>15</v>
      </c>
      <c r="G47" t="s">
        <v>16</v>
      </c>
      <c r="H47" t="s">
        <v>2429</v>
      </c>
      <c r="I47" t="s">
        <v>2225</v>
      </c>
      <c r="J47" t="s">
        <v>2637</v>
      </c>
      <c r="K47">
        <v>187516</v>
      </c>
      <c r="L47" t="s">
        <v>564</v>
      </c>
      <c r="M47" s="21">
        <v>5400907201</v>
      </c>
      <c r="N47" s="21">
        <v>20</v>
      </c>
      <c r="O47" t="s">
        <v>2190</v>
      </c>
      <c r="P47" t="s">
        <v>2606</v>
      </c>
      <c r="Q47" t="s">
        <v>2545</v>
      </c>
      <c r="R47" s="31" t="s">
        <v>2607</v>
      </c>
      <c r="S47" s="7">
        <v>67000</v>
      </c>
      <c r="T47" s="7">
        <v>67000</v>
      </c>
      <c r="U47" s="7">
        <v>40000</v>
      </c>
      <c r="V47" s="7">
        <f t="shared" si="1"/>
        <v>-27000</v>
      </c>
      <c r="W47" s="5">
        <f t="shared" si="5"/>
        <v>-0.40298507462686567</v>
      </c>
      <c r="X47" s="6" t="s">
        <v>2638</v>
      </c>
      <c r="Y47" s="34">
        <f>SUMPRODUCT((BIdetails!$J$5:$J$3000=M47)*(BIdetails!$K$5:$K$3000=N47)*(BIdetails!$M$5:$M$3000))</f>
        <v>0</v>
      </c>
      <c r="Z47" s="35">
        <f t="shared" si="4"/>
        <v>0</v>
      </c>
      <c r="AA47" s="31" t="s">
        <v>610</v>
      </c>
      <c r="AB47" s="31" t="s">
        <v>2534</v>
      </c>
      <c r="AC47" s="31" t="s">
        <v>2558</v>
      </c>
      <c r="AD47" s="31"/>
      <c r="AE47">
        <v>10</v>
      </c>
    </row>
    <row r="48" spans="1:61" hidden="1" x14ac:dyDescent="0.25">
      <c r="A48" t="s">
        <v>2526</v>
      </c>
      <c r="B48" t="str">
        <f t="shared" si="0"/>
        <v>No Change</v>
      </c>
      <c r="C48" t="s">
        <v>2628</v>
      </c>
      <c r="D48">
        <v>68427709</v>
      </c>
      <c r="E48" s="96" t="s">
        <v>14</v>
      </c>
      <c r="F48" t="s">
        <v>15</v>
      </c>
      <c r="G48" t="s">
        <v>16</v>
      </c>
      <c r="H48" t="s">
        <v>944</v>
      </c>
      <c r="I48" t="s">
        <v>2225</v>
      </c>
      <c r="J48" t="s">
        <v>2637</v>
      </c>
      <c r="K48">
        <v>187516</v>
      </c>
      <c r="L48" t="s">
        <v>564</v>
      </c>
      <c r="M48" s="21">
        <v>5400907201</v>
      </c>
      <c r="N48" s="21">
        <v>30</v>
      </c>
      <c r="O48" t="s">
        <v>2190</v>
      </c>
      <c r="P48" t="s">
        <v>2606</v>
      </c>
      <c r="Q48" t="s">
        <v>2545</v>
      </c>
      <c r="R48" s="31" t="s">
        <v>2607</v>
      </c>
      <c r="S48" s="7">
        <v>49920</v>
      </c>
      <c r="T48" s="7">
        <v>100000</v>
      </c>
      <c r="U48" s="7">
        <v>100000</v>
      </c>
      <c r="V48" s="7">
        <f t="shared" si="1"/>
        <v>0</v>
      </c>
      <c r="W48" s="5">
        <f t="shared" si="5"/>
        <v>0</v>
      </c>
      <c r="X48" s="6"/>
      <c r="Y48" s="34">
        <f>SUMPRODUCT((BIdetails!$J$5:$J$3000=M48)*(BIdetails!$K$5:$K$3000=N48)*(BIdetails!$M$5:$M$3000))</f>
        <v>0</v>
      </c>
      <c r="Z48" s="35">
        <f t="shared" si="4"/>
        <v>0</v>
      </c>
      <c r="AA48" s="31" t="s">
        <v>610</v>
      </c>
      <c r="AB48" s="31" t="s">
        <v>2534</v>
      </c>
      <c r="AC48" s="31" t="s">
        <v>2558</v>
      </c>
      <c r="AD48" s="31"/>
      <c r="AE48">
        <v>20</v>
      </c>
    </row>
    <row r="49" spans="1:31" hidden="1" x14ac:dyDescent="0.25">
      <c r="A49" t="s">
        <v>2570</v>
      </c>
      <c r="B49" t="str">
        <f t="shared" si="0"/>
        <v>No Change</v>
      </c>
      <c r="C49" t="s">
        <v>2639</v>
      </c>
      <c r="D49">
        <v>68427709</v>
      </c>
      <c r="E49" s="96" t="s">
        <v>21</v>
      </c>
      <c r="F49" t="s">
        <v>22</v>
      </c>
      <c r="G49" t="s">
        <v>23</v>
      </c>
      <c r="H49" t="s">
        <v>1803</v>
      </c>
      <c r="I49" t="s">
        <v>2225</v>
      </c>
      <c r="J49" t="s">
        <v>2637</v>
      </c>
      <c r="K49">
        <v>187516</v>
      </c>
      <c r="L49" t="s">
        <v>564</v>
      </c>
      <c r="M49">
        <v>5400847149</v>
      </c>
      <c r="N49" s="21">
        <v>10</v>
      </c>
      <c r="O49" s="26" t="s">
        <v>2190</v>
      </c>
      <c r="P49" s="26" t="s">
        <v>2190</v>
      </c>
      <c r="Q49" t="s">
        <v>2545</v>
      </c>
      <c r="R49" s="31" t="s">
        <v>2607</v>
      </c>
      <c r="S49" s="7">
        <v>249480</v>
      </c>
      <c r="T49" s="7">
        <v>0</v>
      </c>
      <c r="U49" s="7">
        <v>0</v>
      </c>
      <c r="V49" s="7">
        <f t="shared" si="1"/>
        <v>0</v>
      </c>
      <c r="W49" s="5">
        <f t="shared" si="5"/>
        <v>0</v>
      </c>
      <c r="X49" s="6"/>
      <c r="Y49" s="34">
        <f>SUMPRODUCT((BIdetails!$J$5:$J$3000=M49)*(BIdetails!$K$5:$K$3000=N49)*(BIdetails!$M$5:$M$3000))</f>
        <v>0</v>
      </c>
      <c r="Z49" s="35" t="str">
        <f t="shared" si="4"/>
        <v/>
      </c>
      <c r="AA49" s="31"/>
      <c r="AB49" s="31"/>
      <c r="AC49" s="31"/>
      <c r="AD49" s="31"/>
      <c r="AE49">
        <v>210</v>
      </c>
    </row>
    <row r="50" spans="1:31" hidden="1" x14ac:dyDescent="0.25">
      <c r="A50" t="s">
        <v>2526</v>
      </c>
      <c r="B50" t="str">
        <f t="shared" si="0"/>
        <v>No Change</v>
      </c>
      <c r="C50" t="s">
        <v>2628</v>
      </c>
      <c r="D50">
        <v>68427709</v>
      </c>
      <c r="E50" s="96" t="s">
        <v>34</v>
      </c>
      <c r="F50" t="s">
        <v>35</v>
      </c>
      <c r="G50" t="s">
        <v>31</v>
      </c>
      <c r="H50" t="s">
        <v>2218</v>
      </c>
      <c r="I50" t="s">
        <v>2225</v>
      </c>
      <c r="J50" t="s">
        <v>2637</v>
      </c>
      <c r="K50">
        <v>187516</v>
      </c>
      <c r="L50" t="s">
        <v>564</v>
      </c>
      <c r="M50" s="21">
        <v>5400840251</v>
      </c>
      <c r="N50" s="21">
        <v>10</v>
      </c>
      <c r="O50" s="26" t="s">
        <v>2190</v>
      </c>
      <c r="P50" s="26" t="s">
        <v>2190</v>
      </c>
      <c r="Q50" t="s">
        <v>2545</v>
      </c>
      <c r="R50" s="31" t="s">
        <v>2607</v>
      </c>
      <c r="S50" s="7">
        <v>49920</v>
      </c>
      <c r="T50" s="7">
        <v>50000</v>
      </c>
      <c r="U50" s="7">
        <v>50000</v>
      </c>
      <c r="V50" s="7">
        <f t="shared" si="1"/>
        <v>0</v>
      </c>
      <c r="W50" s="5">
        <f t="shared" si="5"/>
        <v>0</v>
      </c>
      <c r="X50" s="6"/>
      <c r="Y50" s="34">
        <f>SUMPRODUCT((BIdetails!$J$5:$J$3000=M50)*(BIdetails!$K$5:$K$3000=N50)*(BIdetails!$M$5:$M$3000))</f>
        <v>0</v>
      </c>
      <c r="Z50" s="35">
        <f t="shared" si="4"/>
        <v>0</v>
      </c>
      <c r="AA50" s="31" t="s">
        <v>610</v>
      </c>
      <c r="AB50" s="31" t="s">
        <v>2534</v>
      </c>
      <c r="AC50" s="31" t="s">
        <v>2558</v>
      </c>
      <c r="AD50" s="31"/>
      <c r="AE50">
        <v>480</v>
      </c>
    </row>
    <row r="51" spans="1:31" hidden="1" x14ac:dyDescent="0.25">
      <c r="A51" t="s">
        <v>2526</v>
      </c>
      <c r="B51" t="str">
        <f t="shared" si="0"/>
        <v>Increase</v>
      </c>
      <c r="C51" t="s">
        <v>2628</v>
      </c>
      <c r="D51">
        <v>68427709</v>
      </c>
      <c r="E51" s="96" t="s">
        <v>36</v>
      </c>
      <c r="F51" t="s">
        <v>37</v>
      </c>
      <c r="G51" t="s">
        <v>31</v>
      </c>
      <c r="H51" t="s">
        <v>2640</v>
      </c>
      <c r="I51" t="s">
        <v>2225</v>
      </c>
      <c r="J51" t="s">
        <v>2637</v>
      </c>
      <c r="K51">
        <v>187516</v>
      </c>
      <c r="L51" t="s">
        <v>564</v>
      </c>
      <c r="M51" s="21">
        <v>5400739733</v>
      </c>
      <c r="N51" s="21">
        <v>10</v>
      </c>
      <c r="O51" s="26" t="s">
        <v>2190</v>
      </c>
      <c r="P51" s="26" t="s">
        <v>2190</v>
      </c>
      <c r="Q51" t="s">
        <v>2545</v>
      </c>
      <c r="R51" s="31" t="s">
        <v>2607</v>
      </c>
      <c r="S51" s="7">
        <v>28000</v>
      </c>
      <c r="T51" s="7">
        <v>28000</v>
      </c>
      <c r="U51" s="7">
        <v>50000</v>
      </c>
      <c r="V51" s="7">
        <f t="shared" si="1"/>
        <v>22000</v>
      </c>
      <c r="W51" s="5">
        <f t="shared" si="5"/>
        <v>0.7857142857142857</v>
      </c>
      <c r="X51" s="262" t="s">
        <v>2484</v>
      </c>
      <c r="Y51" s="34">
        <f>SUMPRODUCT((BIdetails!$J$5:$J$3000=M51)*(BIdetails!$K$5:$K$3000=N51)*(BIdetails!$M$5:$M$3000))</f>
        <v>0</v>
      </c>
      <c r="Z51" s="35">
        <f t="shared" si="4"/>
        <v>0</v>
      </c>
      <c r="AA51" s="31" t="s">
        <v>610</v>
      </c>
      <c r="AB51" s="31" t="s">
        <v>2534</v>
      </c>
      <c r="AC51" s="31" t="s">
        <v>2558</v>
      </c>
      <c r="AD51" s="31"/>
      <c r="AE51">
        <v>550</v>
      </c>
    </row>
    <row r="52" spans="1:31" hidden="1" x14ac:dyDescent="0.25">
      <c r="A52" t="s">
        <v>2526</v>
      </c>
      <c r="B52" t="str">
        <f t="shared" si="0"/>
        <v>No Change</v>
      </c>
      <c r="C52" t="s">
        <v>2628</v>
      </c>
      <c r="D52">
        <v>68427709</v>
      </c>
      <c r="E52" s="96" t="s">
        <v>36</v>
      </c>
      <c r="F52" t="s">
        <v>37</v>
      </c>
      <c r="G52" t="s">
        <v>31</v>
      </c>
      <c r="H52" t="s">
        <v>2641</v>
      </c>
      <c r="I52" t="s">
        <v>2225</v>
      </c>
      <c r="J52" t="s">
        <v>2637</v>
      </c>
      <c r="K52">
        <v>187516</v>
      </c>
      <c r="L52" t="s">
        <v>564</v>
      </c>
      <c r="M52" s="21">
        <v>5400725398</v>
      </c>
      <c r="N52" s="21">
        <v>10</v>
      </c>
      <c r="O52" s="26" t="s">
        <v>2190</v>
      </c>
      <c r="P52" s="26" t="s">
        <v>2190</v>
      </c>
      <c r="Q52" t="s">
        <v>2545</v>
      </c>
      <c r="R52" s="31" t="s">
        <v>2607</v>
      </c>
      <c r="S52" s="7">
        <v>49920</v>
      </c>
      <c r="T52" s="7">
        <v>49920</v>
      </c>
      <c r="U52" s="7">
        <v>49920</v>
      </c>
      <c r="V52" s="7">
        <f t="shared" si="1"/>
        <v>0</v>
      </c>
      <c r="W52" s="5">
        <f t="shared" si="5"/>
        <v>0</v>
      </c>
      <c r="X52" s="6"/>
      <c r="Y52" s="34">
        <f>SUMPRODUCT((BIdetails!$J$5:$J$3000=M52)*(BIdetails!$K$5:$K$3000=N52)*(BIdetails!$M$5:$M$3000))</f>
        <v>0</v>
      </c>
      <c r="Z52" s="35">
        <f t="shared" si="4"/>
        <v>0</v>
      </c>
      <c r="AA52" s="31" t="s">
        <v>610</v>
      </c>
      <c r="AB52" s="31" t="s">
        <v>2534</v>
      </c>
      <c r="AC52" s="31" t="s">
        <v>2558</v>
      </c>
      <c r="AD52" s="31"/>
      <c r="AE52">
        <v>560</v>
      </c>
    </row>
    <row r="53" spans="1:31" x14ac:dyDescent="0.25">
      <c r="A53" t="s">
        <v>2526</v>
      </c>
      <c r="B53" t="str">
        <f t="shared" si="0"/>
        <v>No Change</v>
      </c>
      <c r="C53" t="s">
        <v>2642</v>
      </c>
      <c r="D53">
        <v>68427709</v>
      </c>
      <c r="E53" s="96" t="s">
        <v>38</v>
      </c>
      <c r="F53" t="s">
        <v>40</v>
      </c>
      <c r="G53" t="s">
        <v>40</v>
      </c>
      <c r="H53" t="s">
        <v>942</v>
      </c>
      <c r="I53" t="s">
        <v>2225</v>
      </c>
      <c r="J53" t="s">
        <v>2637</v>
      </c>
      <c r="K53">
        <v>187516</v>
      </c>
      <c r="L53" t="s">
        <v>564</v>
      </c>
      <c r="M53" s="233">
        <v>5400881922</v>
      </c>
      <c r="N53" s="21">
        <v>10</v>
      </c>
      <c r="O53" t="s">
        <v>2579</v>
      </c>
      <c r="P53" t="s">
        <v>2579</v>
      </c>
      <c r="Q53" t="s">
        <v>2545</v>
      </c>
      <c r="R53" s="31" t="s">
        <v>40</v>
      </c>
      <c r="S53" s="7">
        <v>30000</v>
      </c>
      <c r="T53" s="7">
        <v>30000</v>
      </c>
      <c r="U53" s="7">
        <v>30000</v>
      </c>
      <c r="V53" s="7">
        <f t="shared" si="1"/>
        <v>0</v>
      </c>
      <c r="W53" s="5">
        <f t="shared" si="5"/>
        <v>0</v>
      </c>
      <c r="X53" s="6"/>
      <c r="Y53" s="34">
        <f>SUMPRODUCT((BIdetails!$J$5:$J$3000=M53)*(BIdetails!$K$5:$K$3000=N53)*(BIdetails!$M$5:$M$3000))</f>
        <v>0</v>
      </c>
      <c r="Z53" s="35">
        <f t="shared" si="4"/>
        <v>0</v>
      </c>
      <c r="AA53" s="31" t="s">
        <v>610</v>
      </c>
      <c r="AB53" s="31" t="s">
        <v>2534</v>
      </c>
      <c r="AC53" s="31" t="s">
        <v>2558</v>
      </c>
      <c r="AD53" s="31"/>
      <c r="AE53">
        <v>600</v>
      </c>
    </row>
    <row r="54" spans="1:31" x14ac:dyDescent="0.25">
      <c r="A54" t="s">
        <v>2526</v>
      </c>
      <c r="B54" t="str">
        <f t="shared" si="0"/>
        <v>No Change</v>
      </c>
      <c r="C54" t="s">
        <v>2643</v>
      </c>
      <c r="D54">
        <v>68427709</v>
      </c>
      <c r="E54" s="96" t="s">
        <v>38</v>
      </c>
      <c r="F54" t="s">
        <v>40</v>
      </c>
      <c r="G54" t="s">
        <v>40</v>
      </c>
      <c r="H54" t="s">
        <v>2644</v>
      </c>
      <c r="I54" t="s">
        <v>2225</v>
      </c>
      <c r="J54" t="s">
        <v>2637</v>
      </c>
      <c r="K54">
        <v>187516</v>
      </c>
      <c r="L54" s="26" t="s">
        <v>564</v>
      </c>
      <c r="M54" s="21">
        <v>5400805263</v>
      </c>
      <c r="N54" s="21">
        <v>10</v>
      </c>
      <c r="O54" t="s">
        <v>2579</v>
      </c>
      <c r="P54" t="s">
        <v>2579</v>
      </c>
      <c r="Q54" t="s">
        <v>2545</v>
      </c>
      <c r="R54" s="31" t="s">
        <v>40</v>
      </c>
      <c r="S54" s="7">
        <v>200000</v>
      </c>
      <c r="T54" s="7">
        <v>200000</v>
      </c>
      <c r="U54" s="7">
        <v>200000</v>
      </c>
      <c r="V54" s="7">
        <f t="shared" si="1"/>
        <v>0</v>
      </c>
      <c r="W54" s="5">
        <f t="shared" si="5"/>
        <v>0</v>
      </c>
      <c r="X54" s="6"/>
      <c r="Y54" s="34">
        <f>SUMPRODUCT((BIdetails!$J$5:$J$3000=M54)*(BIdetails!$K$5:$K$3000=N54)*(BIdetails!$M$5:$M$3000))</f>
        <v>0</v>
      </c>
      <c r="Z54" s="35">
        <f t="shared" si="4"/>
        <v>0</v>
      </c>
      <c r="AA54" s="31" t="s">
        <v>610</v>
      </c>
      <c r="AB54" s="31" t="s">
        <v>2534</v>
      </c>
      <c r="AC54" s="31" t="s">
        <v>2558</v>
      </c>
      <c r="AD54" s="31"/>
      <c r="AE54">
        <v>602</v>
      </c>
    </row>
    <row r="55" spans="1:31" ht="60" x14ac:dyDescent="0.25">
      <c r="A55" t="s">
        <v>2526</v>
      </c>
      <c r="B55" t="str">
        <f t="shared" si="0"/>
        <v>Increase</v>
      </c>
      <c r="D55">
        <v>68427709</v>
      </c>
      <c r="E55" s="96" t="s">
        <v>38</v>
      </c>
      <c r="F55" t="s">
        <v>40</v>
      </c>
      <c r="G55" s="98" t="s">
        <v>40</v>
      </c>
      <c r="H55" t="s">
        <v>2431</v>
      </c>
      <c r="I55" t="s">
        <v>2225</v>
      </c>
      <c r="J55" t="s">
        <v>2637</v>
      </c>
      <c r="K55">
        <v>187516</v>
      </c>
      <c r="L55" s="98" t="s">
        <v>564</v>
      </c>
      <c r="M55" s="99">
        <v>5400840950</v>
      </c>
      <c r="N55" s="99">
        <v>10</v>
      </c>
      <c r="O55" s="98" t="s">
        <v>2579</v>
      </c>
      <c r="P55" s="26" t="s">
        <v>2579</v>
      </c>
      <c r="Q55" t="s">
        <v>2545</v>
      </c>
      <c r="R55" s="31" t="s">
        <v>40</v>
      </c>
      <c r="S55" s="7">
        <v>156000</v>
      </c>
      <c r="T55" s="7">
        <v>229000</v>
      </c>
      <c r="U55" s="7">
        <v>479000</v>
      </c>
      <c r="V55" s="7">
        <f t="shared" si="1"/>
        <v>250000</v>
      </c>
      <c r="W55" s="5">
        <f t="shared" si="5"/>
        <v>1.0917030567685591</v>
      </c>
      <c r="X55" s="263" t="s">
        <v>2645</v>
      </c>
      <c r="Y55" s="34">
        <f>SUMPRODUCT((BIdetails!$J$5:$J$3000=M55)*(BIdetails!$K$5:$K$3000=N55)*(BIdetails!$M$5:$M$3000))</f>
        <v>0</v>
      </c>
      <c r="Z55" s="35">
        <f t="shared" ref="Z55:Z75" si="6">IF(U55=0,"",(Y55/U55))</f>
        <v>0</v>
      </c>
      <c r="AA55" s="31" t="s">
        <v>610</v>
      </c>
      <c r="AB55" s="31" t="s">
        <v>2534</v>
      </c>
      <c r="AC55" s="31" t="s">
        <v>2558</v>
      </c>
      <c r="AD55" s="31"/>
      <c r="AE55">
        <v>670</v>
      </c>
    </row>
    <row r="56" spans="1:31" x14ac:dyDescent="0.25">
      <c r="A56" t="s">
        <v>2526</v>
      </c>
      <c r="B56" t="str">
        <f t="shared" si="0"/>
        <v>No Change</v>
      </c>
      <c r="D56">
        <v>68427709</v>
      </c>
      <c r="E56" s="96" t="s">
        <v>38</v>
      </c>
      <c r="F56" t="s">
        <v>40</v>
      </c>
      <c r="G56" t="s">
        <v>40</v>
      </c>
      <c r="H56" s="26" t="s">
        <v>2433</v>
      </c>
      <c r="I56" t="s">
        <v>2225</v>
      </c>
      <c r="J56" s="227" t="s">
        <v>2637</v>
      </c>
      <c r="K56">
        <v>187516</v>
      </c>
      <c r="L56" s="98" t="s">
        <v>564</v>
      </c>
      <c r="M56" s="233">
        <v>5400912390</v>
      </c>
      <c r="O56" t="s">
        <v>2579</v>
      </c>
      <c r="P56" s="98" t="s">
        <v>2579</v>
      </c>
      <c r="Q56" s="223" t="s">
        <v>2545</v>
      </c>
      <c r="R56" s="97" t="s">
        <v>40</v>
      </c>
      <c r="S56" s="7"/>
      <c r="T56" s="7">
        <v>141000</v>
      </c>
      <c r="U56" s="7">
        <v>141000</v>
      </c>
      <c r="V56" s="7">
        <f t="shared" si="1"/>
        <v>0</v>
      </c>
      <c r="W56" s="5">
        <f t="shared" si="5"/>
        <v>0</v>
      </c>
      <c r="X56" s="262" t="s">
        <v>2646</v>
      </c>
      <c r="Y56" s="34">
        <f>SUMPRODUCT((BIdetails!$J$5:$J$3000=M56)*(BIdetails!$K$5:$K$3000=N56)*(BIdetails!$M$5:$M$3000))</f>
        <v>0</v>
      </c>
      <c r="Z56" s="35">
        <f t="shared" si="6"/>
        <v>0</v>
      </c>
      <c r="AA56" s="31"/>
      <c r="AB56" s="31"/>
      <c r="AC56" s="31"/>
      <c r="AD56" s="31"/>
      <c r="AE56">
        <v>3460</v>
      </c>
    </row>
    <row r="57" spans="1:31" hidden="1" x14ac:dyDescent="0.25">
      <c r="A57" t="s">
        <v>2526</v>
      </c>
      <c r="B57" t="str">
        <f t="shared" si="0"/>
        <v>No Change</v>
      </c>
      <c r="C57" t="s">
        <v>2553</v>
      </c>
      <c r="D57">
        <v>68427709</v>
      </c>
      <c r="E57" s="96" t="s">
        <v>41</v>
      </c>
      <c r="F57" s="98" t="s">
        <v>57</v>
      </c>
      <c r="G57" s="98" t="s">
        <v>42</v>
      </c>
      <c r="H57" t="s">
        <v>1347</v>
      </c>
      <c r="I57" t="s">
        <v>2554</v>
      </c>
      <c r="J57" t="s">
        <v>2647</v>
      </c>
      <c r="K57">
        <v>187516</v>
      </c>
      <c r="L57" s="26" t="s">
        <v>564</v>
      </c>
      <c r="M57" s="228"/>
      <c r="O57" s="26" t="s">
        <v>2531</v>
      </c>
      <c r="P57" s="26" t="s">
        <v>2556</v>
      </c>
      <c r="Q57" t="s">
        <v>2532</v>
      </c>
      <c r="R57" s="31" t="s">
        <v>2533</v>
      </c>
      <c r="S57" s="7">
        <v>100000</v>
      </c>
      <c r="T57" s="7">
        <v>50000</v>
      </c>
      <c r="U57" s="7">
        <v>50000</v>
      </c>
      <c r="V57" s="7">
        <f t="shared" si="1"/>
        <v>0</v>
      </c>
      <c r="W57" s="5">
        <f t="shared" si="5"/>
        <v>0</v>
      </c>
      <c r="X57" s="126"/>
      <c r="Y57" s="34">
        <f>SUMPRODUCT((BIdetails!$J$5:$J$3000=M57)*(BIdetails!$K$5:$K$3000=N57)*(BIdetails!$M$5:$M$3000))</f>
        <v>0</v>
      </c>
      <c r="Z57" s="35">
        <f t="shared" si="6"/>
        <v>0</v>
      </c>
      <c r="AA57" s="31" t="s">
        <v>610</v>
      </c>
      <c r="AB57" s="31" t="s">
        <v>2534</v>
      </c>
      <c r="AC57" s="31" t="s">
        <v>2558</v>
      </c>
      <c r="AD57" s="31"/>
      <c r="AE57">
        <v>950</v>
      </c>
    </row>
    <row r="58" spans="1:31" hidden="1" x14ac:dyDescent="0.25">
      <c r="A58" t="s">
        <v>2526</v>
      </c>
      <c r="B58" t="str">
        <f t="shared" si="0"/>
        <v>No Change</v>
      </c>
      <c r="D58">
        <v>68427709</v>
      </c>
      <c r="E58" s="96" t="s">
        <v>26</v>
      </c>
      <c r="F58" t="s">
        <v>27</v>
      </c>
      <c r="G58" s="26" t="s">
        <v>42</v>
      </c>
      <c r="H58" s="26" t="s">
        <v>1825</v>
      </c>
      <c r="I58" t="s">
        <v>2648</v>
      </c>
      <c r="J58" t="s">
        <v>2649</v>
      </c>
      <c r="K58">
        <v>187516</v>
      </c>
      <c r="L58" s="98" t="s">
        <v>564</v>
      </c>
      <c r="M58" s="228"/>
      <c r="O58" s="26" t="s">
        <v>2190</v>
      </c>
      <c r="P58" s="26" t="s">
        <v>2190</v>
      </c>
      <c r="Q58" t="s">
        <v>2545</v>
      </c>
      <c r="R58" s="31" t="s">
        <v>2607</v>
      </c>
      <c r="S58" s="7">
        <v>50000</v>
      </c>
      <c r="T58" s="7">
        <v>50000</v>
      </c>
      <c r="U58" s="7">
        <v>50000</v>
      </c>
      <c r="V58" s="7">
        <f t="shared" si="1"/>
        <v>0</v>
      </c>
      <c r="W58" s="5">
        <f t="shared" si="5"/>
        <v>0</v>
      </c>
      <c r="X58" s="126"/>
      <c r="Y58" s="34">
        <f>SUMPRODUCT((BIdetails!$J$5:$J$3000=M58)*(BIdetails!$K$5:$K$3000=N58)*(BIdetails!$M$5:$M$3000))</f>
        <v>0</v>
      </c>
      <c r="Z58" s="35">
        <f t="shared" si="6"/>
        <v>0</v>
      </c>
      <c r="AA58" s="31"/>
      <c r="AB58" s="31"/>
      <c r="AC58" s="31"/>
      <c r="AD58" s="31"/>
      <c r="AE58">
        <v>370</v>
      </c>
    </row>
    <row r="59" spans="1:31" hidden="1" x14ac:dyDescent="0.25">
      <c r="A59" t="s">
        <v>2526</v>
      </c>
      <c r="B59" t="str">
        <f t="shared" si="0"/>
        <v>No Change</v>
      </c>
      <c r="D59">
        <v>68427709</v>
      </c>
      <c r="E59" s="96" t="s">
        <v>26</v>
      </c>
      <c r="F59" t="s">
        <v>27</v>
      </c>
      <c r="G59" s="26" t="s">
        <v>42</v>
      </c>
      <c r="H59" s="26" t="s">
        <v>1829</v>
      </c>
      <c r="I59" t="s">
        <v>2648</v>
      </c>
      <c r="J59" t="s">
        <v>2649</v>
      </c>
      <c r="K59">
        <v>187516</v>
      </c>
      <c r="L59" s="98" t="s">
        <v>564</v>
      </c>
      <c r="M59" s="228"/>
      <c r="O59" s="26" t="s">
        <v>2190</v>
      </c>
      <c r="P59" s="26" t="s">
        <v>2190</v>
      </c>
      <c r="Q59" t="s">
        <v>2545</v>
      </c>
      <c r="R59" s="31" t="s">
        <v>2607</v>
      </c>
      <c r="S59" s="7">
        <v>80000</v>
      </c>
      <c r="T59" s="7">
        <v>80000</v>
      </c>
      <c r="U59" s="7">
        <v>80000</v>
      </c>
      <c r="V59" s="7">
        <f t="shared" si="1"/>
        <v>0</v>
      </c>
      <c r="W59" s="5">
        <f t="shared" si="5"/>
        <v>0</v>
      </c>
      <c r="X59" s="126"/>
      <c r="Y59" s="34">
        <f>SUMPRODUCT((BIdetails!$J$5:$J$3000=M59)*(BIdetails!$K$5:$K$3000=N59)*(BIdetails!$M$5:$M$3000))</f>
        <v>0</v>
      </c>
      <c r="Z59" s="35">
        <f t="shared" si="6"/>
        <v>0</v>
      </c>
      <c r="AA59" s="31" t="s">
        <v>610</v>
      </c>
      <c r="AB59" s="31" t="s">
        <v>2534</v>
      </c>
      <c r="AC59" s="31" t="s">
        <v>2558</v>
      </c>
      <c r="AD59" s="31"/>
      <c r="AE59">
        <v>380</v>
      </c>
    </row>
    <row r="60" spans="1:31" hidden="1" x14ac:dyDescent="0.25">
      <c r="A60" t="s">
        <v>2570</v>
      </c>
      <c r="B60" t="str">
        <f t="shared" si="0"/>
        <v>No Change</v>
      </c>
      <c r="D60">
        <v>68427719</v>
      </c>
      <c r="E60" s="96" t="s">
        <v>41</v>
      </c>
      <c r="F60" s="98" t="s">
        <v>57</v>
      </c>
      <c r="G60" s="26" t="s">
        <v>42</v>
      </c>
      <c r="H60" s="29" t="s">
        <v>1910</v>
      </c>
      <c r="L60" s="98" t="s">
        <v>564</v>
      </c>
      <c r="M60"/>
      <c r="O60" s="98" t="s">
        <v>2136</v>
      </c>
      <c r="P60" s="26" t="s">
        <v>2136</v>
      </c>
      <c r="Q60" t="s">
        <v>2602</v>
      </c>
      <c r="R60" s="31" t="s">
        <v>2596</v>
      </c>
      <c r="S60" s="7">
        <v>200000</v>
      </c>
      <c r="T60" s="7">
        <v>0</v>
      </c>
      <c r="U60" s="7">
        <v>0</v>
      </c>
      <c r="V60" s="7">
        <f t="shared" si="1"/>
        <v>0</v>
      </c>
      <c r="W60" s="5">
        <f t="shared" si="5"/>
        <v>0</v>
      </c>
      <c r="X60" s="126"/>
      <c r="Y60" s="34">
        <f>SUMPRODUCT((BIdetails!$J$5:$J$3000=M60)*(BIdetails!$K$5:$K$3000=N60)*(BIdetails!$M$5:$M$3000))</f>
        <v>0</v>
      </c>
      <c r="Z60" s="35" t="str">
        <f t="shared" si="6"/>
        <v/>
      </c>
      <c r="AA60" s="31"/>
      <c r="AB60" s="31"/>
      <c r="AC60" s="31"/>
      <c r="AD60" s="31"/>
      <c r="AE60">
        <v>1120</v>
      </c>
    </row>
    <row r="61" spans="1:31" hidden="1" x14ac:dyDescent="0.25">
      <c r="A61" t="s">
        <v>2526</v>
      </c>
      <c r="B61" t="str">
        <f t="shared" si="0"/>
        <v>No Change</v>
      </c>
      <c r="C61" t="s">
        <v>2628</v>
      </c>
      <c r="D61">
        <v>68427709</v>
      </c>
      <c r="E61" s="96" t="s">
        <v>41</v>
      </c>
      <c r="F61" s="98" t="s">
        <v>57</v>
      </c>
      <c r="G61" s="98" t="s">
        <v>42</v>
      </c>
      <c r="H61" t="s">
        <v>2650</v>
      </c>
      <c r="I61">
        <v>0</v>
      </c>
      <c r="J61" t="s">
        <v>2552</v>
      </c>
      <c r="K61">
        <v>187516</v>
      </c>
      <c r="L61" t="s">
        <v>2651</v>
      </c>
      <c r="M61" s="233">
        <v>5400853128</v>
      </c>
      <c r="N61" s="21">
        <v>10</v>
      </c>
      <c r="O61" s="26" t="s">
        <v>1696</v>
      </c>
      <c r="P61" s="26" t="s">
        <v>1696</v>
      </c>
      <c r="Q61" t="s">
        <v>2545</v>
      </c>
      <c r="R61" s="31" t="s">
        <v>2533</v>
      </c>
      <c r="S61" s="7">
        <v>800000</v>
      </c>
      <c r="T61" s="7">
        <v>700000</v>
      </c>
      <c r="U61" s="7">
        <v>700000</v>
      </c>
      <c r="V61" s="7">
        <f>U61-T61</f>
        <v>0</v>
      </c>
      <c r="W61" s="5">
        <f t="shared" si="5"/>
        <v>0</v>
      </c>
      <c r="X61" s="126" t="s">
        <v>2652</v>
      </c>
      <c r="Y61" s="34">
        <f>SUMPRODUCT((BIdetails!$J$5:$J$3000=M61)*(BIdetails!$K$5:$K$3000=N61)*(BIdetails!$M$5:$M$3000))</f>
        <v>0</v>
      </c>
      <c r="Z61" s="35">
        <f t="shared" si="6"/>
        <v>0</v>
      </c>
      <c r="AA61" s="31" t="s">
        <v>2541</v>
      </c>
      <c r="AB61" s="31" t="s">
        <v>2534</v>
      </c>
      <c r="AC61" s="31" t="s">
        <v>2558</v>
      </c>
      <c r="AD61" s="31"/>
      <c r="AE61">
        <v>990</v>
      </c>
    </row>
    <row r="62" spans="1:31" hidden="1" x14ac:dyDescent="0.25">
      <c r="A62" t="s">
        <v>2526</v>
      </c>
      <c r="B62" t="str">
        <f t="shared" si="0"/>
        <v>No Change</v>
      </c>
      <c r="D62">
        <v>68427709</v>
      </c>
      <c r="E62" s="96" t="s">
        <v>53</v>
      </c>
      <c r="F62" t="s">
        <v>54</v>
      </c>
      <c r="G62" t="s">
        <v>42</v>
      </c>
      <c r="H62" t="s">
        <v>2653</v>
      </c>
      <c r="I62" s="171" t="s">
        <v>2590</v>
      </c>
      <c r="J62" t="s">
        <v>2654</v>
      </c>
      <c r="K62">
        <v>187516</v>
      </c>
      <c r="L62" t="s">
        <v>2655</v>
      </c>
      <c r="M62" s="233">
        <v>5400945833</v>
      </c>
      <c r="N62" s="21">
        <v>10</v>
      </c>
      <c r="O62" s="26" t="s">
        <v>2531</v>
      </c>
      <c r="P62" s="26" t="s">
        <v>2290</v>
      </c>
      <c r="Q62" t="s">
        <v>2545</v>
      </c>
      <c r="R62" s="31" t="s">
        <v>2533</v>
      </c>
      <c r="S62" s="7">
        <v>50000</v>
      </c>
      <c r="T62" s="7">
        <v>50000</v>
      </c>
      <c r="U62" s="7">
        <v>50000</v>
      </c>
      <c r="V62" s="7">
        <f t="shared" si="1"/>
        <v>0</v>
      </c>
      <c r="W62" s="5">
        <f t="shared" si="5"/>
        <v>0</v>
      </c>
      <c r="X62" s="6"/>
      <c r="Y62" s="34">
        <f>SUMPRODUCT((BIdetails!$J$5:$J$3000=M62)*(BIdetails!$K$5:$K$3000=N62)*(BIdetails!$M$5:$M$3000))</f>
        <v>0</v>
      </c>
      <c r="Z62" s="35">
        <f t="shared" si="6"/>
        <v>0</v>
      </c>
      <c r="AA62" s="31"/>
      <c r="AB62" s="31"/>
      <c r="AC62" s="31"/>
      <c r="AD62" s="31"/>
      <c r="AE62">
        <v>3070</v>
      </c>
    </row>
    <row r="63" spans="1:31" hidden="1" x14ac:dyDescent="0.25">
      <c r="A63" t="s">
        <v>2526</v>
      </c>
      <c r="B63" t="str">
        <f t="shared" ref="B63:B124" si="7">IF(T63=U63,"No Change",IF(AND(U63&lt;&gt;0,U63&lt;T63),"Decrease",IF(AND(U63&lt;&gt;0,T63=0),"New",IF(AND(T63&lt;&gt;0,U63=0),"Decommissioned","Increase"))))</f>
        <v>No Change</v>
      </c>
      <c r="D63">
        <v>68427709</v>
      </c>
      <c r="E63" s="96" t="s">
        <v>49</v>
      </c>
      <c r="F63" s="171" t="s">
        <v>50</v>
      </c>
      <c r="G63" s="171" t="s">
        <v>42</v>
      </c>
      <c r="H63" t="s">
        <v>2656</v>
      </c>
      <c r="J63" t="s">
        <v>2657</v>
      </c>
      <c r="K63">
        <v>187516</v>
      </c>
      <c r="L63" s="98" t="s">
        <v>2658</v>
      </c>
      <c r="O63" t="s">
        <v>2531</v>
      </c>
      <c r="P63" s="98" t="s">
        <v>2280</v>
      </c>
      <c r="Q63" t="s">
        <v>2545</v>
      </c>
      <c r="R63" s="31" t="s">
        <v>2587</v>
      </c>
      <c r="S63" s="7"/>
      <c r="T63" s="7">
        <v>432000</v>
      </c>
      <c r="U63" s="7">
        <v>432000</v>
      </c>
      <c r="V63" s="7">
        <f t="shared" ref="V63:V124" si="8">U63-T63</f>
        <v>0</v>
      </c>
      <c r="W63" s="5">
        <f t="shared" ref="W63:W75" si="9">IF(B63="New",1,IFERROR(V63/T63,0))</f>
        <v>0</v>
      </c>
      <c r="X63" s="6"/>
      <c r="Y63" s="34">
        <f>SUMPRODUCT((BIdetails!$J$5:$J$3000=M63)*(BIdetails!$K$5:$K$3000=N63)*(BIdetails!$M$5:$M$3000))</f>
        <v>0</v>
      </c>
      <c r="Z63" s="35">
        <f t="shared" si="6"/>
        <v>0</v>
      </c>
      <c r="AA63" s="31"/>
      <c r="AB63" s="31"/>
      <c r="AC63" s="31"/>
      <c r="AD63" s="31"/>
      <c r="AE63">
        <v>3410</v>
      </c>
    </row>
    <row r="64" spans="1:31" hidden="1" x14ac:dyDescent="0.25">
      <c r="A64" t="s">
        <v>2526</v>
      </c>
      <c r="B64" t="str">
        <f t="shared" si="7"/>
        <v>Increase</v>
      </c>
      <c r="C64" t="s">
        <v>2659</v>
      </c>
      <c r="D64">
        <v>68427709</v>
      </c>
      <c r="E64" s="96" t="s">
        <v>49</v>
      </c>
      <c r="F64" t="s">
        <v>50</v>
      </c>
      <c r="G64" s="98" t="s">
        <v>42</v>
      </c>
      <c r="H64" s="98" t="s">
        <v>1480</v>
      </c>
      <c r="I64">
        <v>0</v>
      </c>
      <c r="J64" t="s">
        <v>1985</v>
      </c>
      <c r="K64" s="98">
        <v>115995</v>
      </c>
      <c r="L64" s="98" t="s">
        <v>2660</v>
      </c>
      <c r="M64" s="234">
        <v>5400933619</v>
      </c>
      <c r="N64" s="99">
        <v>10</v>
      </c>
      <c r="O64" s="98" t="s">
        <v>2531</v>
      </c>
      <c r="P64" s="26" t="s">
        <v>2661</v>
      </c>
      <c r="Q64" s="98" t="s">
        <v>2545</v>
      </c>
      <c r="R64" s="97" t="s">
        <v>2539</v>
      </c>
      <c r="S64" s="7">
        <v>135000</v>
      </c>
      <c r="T64" s="7">
        <v>155000</v>
      </c>
      <c r="U64" s="7">
        <v>160000</v>
      </c>
      <c r="V64" s="7">
        <f t="shared" si="8"/>
        <v>5000</v>
      </c>
      <c r="W64" s="5">
        <f t="shared" si="9"/>
        <v>3.2258064516129031E-2</v>
      </c>
      <c r="X64" s="6" t="s">
        <v>2358</v>
      </c>
      <c r="Y64" s="34">
        <f>SUMPRODUCT((BIdetails!$J$5:$J$3000=M64)*(BIdetails!$K$5:$K$3000=N64)*(BIdetails!$M$5:$M$3000))</f>
        <v>0</v>
      </c>
      <c r="Z64" s="35">
        <f t="shared" si="6"/>
        <v>0</v>
      </c>
      <c r="AA64" s="31" t="s">
        <v>610</v>
      </c>
      <c r="AB64" s="31" t="s">
        <v>2534</v>
      </c>
      <c r="AC64" s="31" t="s">
        <v>2558</v>
      </c>
      <c r="AD64" s="31"/>
      <c r="AE64">
        <v>1470</v>
      </c>
    </row>
    <row r="65" spans="1:31" hidden="1" x14ac:dyDescent="0.25">
      <c r="A65" t="s">
        <v>2526</v>
      </c>
      <c r="B65" t="str">
        <f t="shared" si="7"/>
        <v>Increase</v>
      </c>
      <c r="C65" t="s">
        <v>2662</v>
      </c>
      <c r="D65">
        <v>68427709</v>
      </c>
      <c r="E65" s="96" t="s">
        <v>49</v>
      </c>
      <c r="F65" t="s">
        <v>50</v>
      </c>
      <c r="G65" s="98" t="s">
        <v>42</v>
      </c>
      <c r="H65" s="98" t="s">
        <v>2246</v>
      </c>
      <c r="I65">
        <v>0</v>
      </c>
      <c r="J65" t="s">
        <v>1985</v>
      </c>
      <c r="K65" s="98">
        <v>115995</v>
      </c>
      <c r="L65" s="26" t="s">
        <v>2660</v>
      </c>
      <c r="M65" s="245">
        <v>5400969335</v>
      </c>
      <c r="N65" s="21">
        <v>10</v>
      </c>
      <c r="O65" s="26" t="s">
        <v>2531</v>
      </c>
      <c r="P65" s="26" t="s">
        <v>2661</v>
      </c>
      <c r="Q65" t="s">
        <v>2545</v>
      </c>
      <c r="R65" s="97" t="s">
        <v>2539</v>
      </c>
      <c r="S65" s="7">
        <v>40000</v>
      </c>
      <c r="T65" s="7">
        <v>42000</v>
      </c>
      <c r="U65" s="7">
        <v>45000</v>
      </c>
      <c r="V65" s="7">
        <f t="shared" si="8"/>
        <v>3000</v>
      </c>
      <c r="W65" s="5">
        <f t="shared" si="9"/>
        <v>7.1428571428571425E-2</v>
      </c>
      <c r="X65" s="126" t="s">
        <v>2358</v>
      </c>
      <c r="Y65" s="34">
        <f>SUMPRODUCT((BIdetails!$J$5:$J$3000=M65)*(BIdetails!$K$5:$K$3000=N65)*(BIdetails!$M$5:$M$3000))</f>
        <v>0</v>
      </c>
      <c r="Z65" s="35">
        <f t="shared" si="6"/>
        <v>0</v>
      </c>
      <c r="AA65" s="31" t="s">
        <v>2541</v>
      </c>
      <c r="AB65" s="31" t="s">
        <v>2663</v>
      </c>
      <c r="AC65" s="31" t="s">
        <v>2572</v>
      </c>
      <c r="AD65" s="31"/>
      <c r="AE65">
        <v>1480</v>
      </c>
    </row>
    <row r="66" spans="1:31" hidden="1" x14ac:dyDescent="0.25">
      <c r="A66" t="s">
        <v>2526</v>
      </c>
      <c r="B66" t="str">
        <f t="shared" si="7"/>
        <v>Decommissioned</v>
      </c>
      <c r="D66">
        <v>68427709</v>
      </c>
      <c r="E66" s="96" t="s">
        <v>53</v>
      </c>
      <c r="F66" t="s">
        <v>54</v>
      </c>
      <c r="G66" t="s">
        <v>42</v>
      </c>
      <c r="H66" t="s">
        <v>2664</v>
      </c>
      <c r="I66">
        <v>0</v>
      </c>
      <c r="J66" t="s">
        <v>2665</v>
      </c>
      <c r="K66" s="26">
        <v>193714</v>
      </c>
      <c r="L66" s="26" t="s">
        <v>2309</v>
      </c>
      <c r="M66" s="233" t="s">
        <v>2666</v>
      </c>
      <c r="O66" s="26" t="s">
        <v>2531</v>
      </c>
      <c r="P66" s="26" t="s">
        <v>2183</v>
      </c>
      <c r="Q66" t="s">
        <v>2545</v>
      </c>
      <c r="R66" s="31" t="s">
        <v>2667</v>
      </c>
      <c r="S66" s="7">
        <v>65000</v>
      </c>
      <c r="T66" s="7">
        <v>65000</v>
      </c>
      <c r="U66" s="7">
        <v>0</v>
      </c>
      <c r="V66" s="7">
        <f t="shared" si="8"/>
        <v>-65000</v>
      </c>
      <c r="W66" s="5">
        <f t="shared" si="9"/>
        <v>-1</v>
      </c>
      <c r="X66" s="6" t="s">
        <v>2668</v>
      </c>
      <c r="Y66" s="34">
        <f>SUMPRODUCT((BIdetails!$J$5:$J$3000=M66)*(BIdetails!$K$5:$K$3000=N66)*(BIdetails!$M$5:$M$3000))</f>
        <v>0</v>
      </c>
      <c r="Z66" s="35" t="str">
        <f t="shared" si="6"/>
        <v/>
      </c>
      <c r="AA66" s="31"/>
      <c r="AB66" s="31"/>
      <c r="AC66" s="31"/>
      <c r="AD66" s="31"/>
      <c r="AE66">
        <v>3020</v>
      </c>
    </row>
    <row r="67" spans="1:31" hidden="1" x14ac:dyDescent="0.25">
      <c r="A67" t="s">
        <v>2526</v>
      </c>
      <c r="B67" t="str">
        <f t="shared" si="7"/>
        <v>Increase</v>
      </c>
      <c r="D67">
        <v>68427709</v>
      </c>
      <c r="E67" s="96" t="s">
        <v>53</v>
      </c>
      <c r="F67" t="s">
        <v>54</v>
      </c>
      <c r="G67" t="s">
        <v>42</v>
      </c>
      <c r="H67" t="s">
        <v>1188</v>
      </c>
      <c r="I67">
        <v>0</v>
      </c>
      <c r="J67" t="s">
        <v>2669</v>
      </c>
      <c r="K67">
        <v>204773</v>
      </c>
      <c r="L67" t="s">
        <v>2670</v>
      </c>
      <c r="M67" s="233">
        <v>5400925018</v>
      </c>
      <c r="N67" s="21">
        <v>20</v>
      </c>
      <c r="O67" s="26" t="s">
        <v>2531</v>
      </c>
      <c r="P67" s="26" t="s">
        <v>1186</v>
      </c>
      <c r="Q67" s="223" t="s">
        <v>2671</v>
      </c>
      <c r="R67" s="31" t="s">
        <v>2672</v>
      </c>
      <c r="S67" s="7">
        <v>273840</v>
      </c>
      <c r="T67" s="7">
        <v>294000</v>
      </c>
      <c r="U67" s="7">
        <v>297000</v>
      </c>
      <c r="V67" s="7">
        <f t="shared" si="8"/>
        <v>3000</v>
      </c>
      <c r="W67" s="5">
        <f t="shared" si="9"/>
        <v>1.020408163265306E-2</v>
      </c>
      <c r="X67" s="6" t="s">
        <v>2358</v>
      </c>
      <c r="Y67" s="34">
        <f>SUMPRODUCT((BIdetails!$J$5:$J$3000=M67)*(BIdetails!$K$5:$K$3000=N67)*(BIdetails!$M$5:$M$3000))</f>
        <v>0</v>
      </c>
      <c r="Z67" s="35">
        <f t="shared" si="6"/>
        <v>0</v>
      </c>
      <c r="AA67" s="31"/>
      <c r="AB67" s="31"/>
      <c r="AC67" s="31"/>
      <c r="AD67" s="31"/>
      <c r="AE67">
        <v>3080</v>
      </c>
    </row>
    <row r="68" spans="1:31" hidden="1" x14ac:dyDescent="0.25">
      <c r="A68" t="s">
        <v>2526</v>
      </c>
      <c r="B68" t="str">
        <f t="shared" si="7"/>
        <v>Decrease</v>
      </c>
      <c r="C68" t="s">
        <v>2673</v>
      </c>
      <c r="D68">
        <v>68427709</v>
      </c>
      <c r="E68" s="96" t="s">
        <v>49</v>
      </c>
      <c r="F68" t="s">
        <v>50</v>
      </c>
      <c r="G68" s="98" t="s">
        <v>42</v>
      </c>
      <c r="H68" s="98" t="s">
        <v>1875</v>
      </c>
      <c r="I68">
        <v>0</v>
      </c>
      <c r="J68" t="s">
        <v>2674</v>
      </c>
      <c r="K68" s="98">
        <v>178449</v>
      </c>
      <c r="L68" s="98" t="s">
        <v>2675</v>
      </c>
      <c r="M68" s="196">
        <v>5400964268</v>
      </c>
      <c r="N68" s="99">
        <v>10</v>
      </c>
      <c r="O68" s="98" t="s">
        <v>2531</v>
      </c>
      <c r="P68" s="98" t="s">
        <v>186</v>
      </c>
      <c r="Q68" s="98" t="s">
        <v>2545</v>
      </c>
      <c r="R68" s="97" t="s">
        <v>2539</v>
      </c>
      <c r="S68" s="7">
        <v>52000</v>
      </c>
      <c r="T68" s="7">
        <v>52000</v>
      </c>
      <c r="U68" s="7">
        <v>40000</v>
      </c>
      <c r="V68" s="7">
        <f t="shared" si="8"/>
        <v>-12000</v>
      </c>
      <c r="W68" s="5">
        <f t="shared" si="9"/>
        <v>-0.23076923076923078</v>
      </c>
      <c r="X68" s="6" t="s">
        <v>2676</v>
      </c>
      <c r="Y68" s="34">
        <f>SUMPRODUCT((BIdetails!$J$5:$J$3000=M68)*(BIdetails!$K$5:$K$3000=N68)*(BIdetails!$M$5:$M$3000))</f>
        <v>0</v>
      </c>
      <c r="Z68" s="35">
        <f t="shared" si="6"/>
        <v>0</v>
      </c>
      <c r="AA68" s="31"/>
      <c r="AB68" s="31"/>
      <c r="AC68" s="31"/>
      <c r="AD68" s="31"/>
      <c r="AE68">
        <v>1390</v>
      </c>
    </row>
    <row r="69" spans="1:31" hidden="1" x14ac:dyDescent="0.25">
      <c r="A69" t="s">
        <v>2526</v>
      </c>
      <c r="B69" t="str">
        <f t="shared" si="7"/>
        <v>No Change</v>
      </c>
      <c r="C69" t="s">
        <v>2677</v>
      </c>
      <c r="D69">
        <v>68427709</v>
      </c>
      <c r="E69" s="96" t="s">
        <v>53</v>
      </c>
      <c r="F69" t="s">
        <v>54</v>
      </c>
      <c r="G69" t="s">
        <v>42</v>
      </c>
      <c r="H69" s="26" t="s">
        <v>2678</v>
      </c>
      <c r="I69">
        <v>0</v>
      </c>
      <c r="J69" t="s">
        <v>2058</v>
      </c>
      <c r="K69">
        <v>204571</v>
      </c>
      <c r="L69" s="26" t="s">
        <v>2679</v>
      </c>
      <c r="M69" s="237">
        <v>5400962076</v>
      </c>
      <c r="N69" s="21">
        <v>10</v>
      </c>
      <c r="O69" s="26" t="s">
        <v>2531</v>
      </c>
      <c r="P69" s="26" t="s">
        <v>2680</v>
      </c>
      <c r="Q69" s="223" t="s">
        <v>2681</v>
      </c>
      <c r="R69" s="31" t="s">
        <v>811</v>
      </c>
      <c r="S69" s="7">
        <v>300000</v>
      </c>
      <c r="T69" s="7">
        <v>380000</v>
      </c>
      <c r="U69" s="7">
        <v>380000</v>
      </c>
      <c r="V69" s="7">
        <f t="shared" si="8"/>
        <v>0</v>
      </c>
      <c r="W69" s="5">
        <f t="shared" si="9"/>
        <v>0</v>
      </c>
      <c r="X69" s="126"/>
      <c r="Y69" s="34">
        <f>SUMPRODUCT((BIdetails!$J$5:$J$3000=M69)*(BIdetails!$K$5:$K$3000=N69)*(BIdetails!$M$5:$M$3000))</f>
        <v>0</v>
      </c>
      <c r="Z69" s="35">
        <f t="shared" si="6"/>
        <v>0</v>
      </c>
      <c r="AA69" s="31" t="s">
        <v>2541</v>
      </c>
      <c r="AB69" s="31" t="s">
        <v>2663</v>
      </c>
      <c r="AC69" s="31" t="s">
        <v>2572</v>
      </c>
      <c r="AD69" s="31"/>
      <c r="AE69">
        <v>2260</v>
      </c>
    </row>
    <row r="70" spans="1:31" hidden="1" x14ac:dyDescent="0.25">
      <c r="A70" t="s">
        <v>2526</v>
      </c>
      <c r="B70" t="str">
        <f t="shared" si="7"/>
        <v>Decrease</v>
      </c>
      <c r="C70" t="s">
        <v>2682</v>
      </c>
      <c r="D70">
        <v>68427709</v>
      </c>
      <c r="E70" s="104" t="s">
        <v>53</v>
      </c>
      <c r="F70" s="26" t="s">
        <v>54</v>
      </c>
      <c r="G70" s="26" t="s">
        <v>42</v>
      </c>
      <c r="H70" s="26" t="s">
        <v>2683</v>
      </c>
      <c r="I70">
        <v>0</v>
      </c>
      <c r="J70" t="s">
        <v>2684</v>
      </c>
      <c r="K70" s="26">
        <v>168949</v>
      </c>
      <c r="L70" s="26" t="s">
        <v>2186</v>
      </c>
      <c r="M70" s="199">
        <v>5400850712</v>
      </c>
      <c r="N70" s="28">
        <v>30</v>
      </c>
      <c r="O70" s="26" t="s">
        <v>2531</v>
      </c>
      <c r="P70" s="26" t="s">
        <v>1244</v>
      </c>
      <c r="Q70" s="26" t="s">
        <v>2545</v>
      </c>
      <c r="R70" s="33" t="s">
        <v>2667</v>
      </c>
      <c r="S70" s="7">
        <v>72000</v>
      </c>
      <c r="T70" s="7">
        <v>67000</v>
      </c>
      <c r="U70" s="7">
        <v>23000</v>
      </c>
      <c r="V70" s="7">
        <f t="shared" si="8"/>
        <v>-44000</v>
      </c>
      <c r="W70" s="5">
        <f t="shared" si="9"/>
        <v>-0.65671641791044777</v>
      </c>
      <c r="X70" s="6" t="s">
        <v>2685</v>
      </c>
      <c r="Y70" s="34">
        <f>SUMPRODUCT((BIdetails!$J$5:$J$3000=M70)*(BIdetails!$K$5:$K$3000=N70)*(BIdetails!$M$5:$M$3000))</f>
        <v>0</v>
      </c>
      <c r="Z70" s="35">
        <f t="shared" si="6"/>
        <v>0</v>
      </c>
      <c r="AA70" s="31"/>
      <c r="AB70" s="31"/>
      <c r="AC70" s="31"/>
      <c r="AD70" s="31"/>
      <c r="AE70">
        <v>2460</v>
      </c>
    </row>
    <row r="71" spans="1:31" hidden="1" x14ac:dyDescent="0.25">
      <c r="A71" t="s">
        <v>2526</v>
      </c>
      <c r="B71" t="str">
        <f t="shared" si="7"/>
        <v>Decrease</v>
      </c>
      <c r="C71" t="s">
        <v>2686</v>
      </c>
      <c r="D71">
        <v>68427709</v>
      </c>
      <c r="E71" s="96" t="s">
        <v>53</v>
      </c>
      <c r="F71" t="s">
        <v>54</v>
      </c>
      <c r="G71" t="s">
        <v>42</v>
      </c>
      <c r="H71" t="s">
        <v>480</v>
      </c>
      <c r="I71" t="s">
        <v>2590</v>
      </c>
      <c r="J71" t="s">
        <v>2687</v>
      </c>
      <c r="K71" s="26">
        <v>198049</v>
      </c>
      <c r="L71" t="s">
        <v>2688</v>
      </c>
      <c r="M71" s="235">
        <v>5400867960</v>
      </c>
      <c r="N71" s="21">
        <v>30</v>
      </c>
      <c r="O71" s="26" t="s">
        <v>2531</v>
      </c>
      <c r="P71" s="26" t="s">
        <v>2689</v>
      </c>
      <c r="Q71" t="s">
        <v>2545</v>
      </c>
      <c r="R71" s="31" t="s">
        <v>2533</v>
      </c>
      <c r="S71" s="7">
        <v>120000</v>
      </c>
      <c r="T71" s="7">
        <v>120000</v>
      </c>
      <c r="U71" s="7">
        <v>30000</v>
      </c>
      <c r="V71" s="7">
        <f t="shared" si="8"/>
        <v>-90000</v>
      </c>
      <c r="W71" s="5">
        <f t="shared" si="9"/>
        <v>-0.75</v>
      </c>
      <c r="X71" s="126" t="s">
        <v>2690</v>
      </c>
      <c r="Y71" s="34">
        <f>SUMPRODUCT((BIdetails!$J$5:$J$3000=M71)*(BIdetails!$K$5:$K$3000=N71)*(BIdetails!$M$5:$M$3000))</f>
        <v>0</v>
      </c>
      <c r="Z71" s="35">
        <f t="shared" si="6"/>
        <v>0</v>
      </c>
      <c r="AA71" s="31"/>
      <c r="AB71" s="31"/>
      <c r="AC71" s="31"/>
      <c r="AD71" s="31"/>
      <c r="AE71">
        <v>2900</v>
      </c>
    </row>
    <row r="72" spans="1:31" hidden="1" x14ac:dyDescent="0.25">
      <c r="A72" t="s">
        <v>2526</v>
      </c>
      <c r="B72" t="str">
        <f t="shared" si="7"/>
        <v>Decrease</v>
      </c>
      <c r="C72" t="s">
        <v>2691</v>
      </c>
      <c r="D72">
        <v>68427719</v>
      </c>
      <c r="E72" s="96" t="s">
        <v>49</v>
      </c>
      <c r="F72" t="s">
        <v>50</v>
      </c>
      <c r="G72" t="s">
        <v>42</v>
      </c>
      <c r="H72" t="s">
        <v>988</v>
      </c>
      <c r="I72">
        <v>0</v>
      </c>
      <c r="J72" t="s">
        <v>2600</v>
      </c>
      <c r="K72">
        <v>188873</v>
      </c>
      <c r="L72" t="s">
        <v>2692</v>
      </c>
      <c r="M72" s="196">
        <v>5400962069</v>
      </c>
      <c r="N72" s="21">
        <v>10</v>
      </c>
      <c r="O72" t="s">
        <v>2136</v>
      </c>
      <c r="P72" t="s">
        <v>2136</v>
      </c>
      <c r="Q72" t="s">
        <v>2602</v>
      </c>
      <c r="R72" s="31" t="s">
        <v>2596</v>
      </c>
      <c r="S72" s="7">
        <v>1500000</v>
      </c>
      <c r="T72" s="7">
        <v>1700000</v>
      </c>
      <c r="U72" s="7">
        <v>1291000</v>
      </c>
      <c r="V72" s="7">
        <f t="shared" si="8"/>
        <v>-409000</v>
      </c>
      <c r="W72" s="5">
        <f t="shared" si="9"/>
        <v>-0.24058823529411766</v>
      </c>
      <c r="X72" s="6" t="s">
        <v>2230</v>
      </c>
      <c r="Y72" s="34">
        <f>SUMPRODUCT((BIdetails!$J$5:$J$3000=M72)*(BIdetails!$K$5:$K$3000=N72)*(BIdetails!$M$5:$M$3000))</f>
        <v>0</v>
      </c>
      <c r="Z72" s="35">
        <f t="shared" si="6"/>
        <v>0</v>
      </c>
      <c r="AA72" s="31"/>
      <c r="AB72" s="31"/>
      <c r="AC72" s="31"/>
      <c r="AD72" s="31"/>
      <c r="AE72">
        <v>1220</v>
      </c>
    </row>
    <row r="73" spans="1:31" hidden="1" x14ac:dyDescent="0.25">
      <c r="A73" t="s">
        <v>2526</v>
      </c>
      <c r="B73" t="str">
        <f t="shared" si="7"/>
        <v>Increase</v>
      </c>
      <c r="D73">
        <v>68427709</v>
      </c>
      <c r="E73" s="96" t="s">
        <v>53</v>
      </c>
      <c r="F73" t="s">
        <v>54</v>
      </c>
      <c r="G73" t="s">
        <v>42</v>
      </c>
      <c r="H73" t="s">
        <v>2336</v>
      </c>
      <c r="J73" t="s">
        <v>2693</v>
      </c>
      <c r="K73" s="98">
        <v>209152</v>
      </c>
      <c r="L73" t="s">
        <v>2694</v>
      </c>
      <c r="M73" s="233">
        <v>5400938430</v>
      </c>
      <c r="N73" s="21">
        <v>10</v>
      </c>
      <c r="O73" t="s">
        <v>2531</v>
      </c>
      <c r="P73" s="26" t="s">
        <v>1244</v>
      </c>
      <c r="Q73" t="s">
        <v>2545</v>
      </c>
      <c r="R73" s="31" t="s">
        <v>2667</v>
      </c>
      <c r="S73" s="7"/>
      <c r="T73" s="7">
        <v>150000</v>
      </c>
      <c r="U73" s="7">
        <v>157000</v>
      </c>
      <c r="V73" s="7">
        <f t="shared" si="8"/>
        <v>7000</v>
      </c>
      <c r="W73" s="5">
        <f t="shared" si="9"/>
        <v>4.6666666666666669E-2</v>
      </c>
      <c r="X73" s="6" t="s">
        <v>2695</v>
      </c>
      <c r="Y73" s="34">
        <f>SUMPRODUCT((BIdetails!$J$5:$J$3000=M73)*(BIdetails!$K$5:$K$3000=N73)*(BIdetails!$M$5:$M$3000))</f>
        <v>0</v>
      </c>
      <c r="Z73" s="35">
        <f t="shared" si="6"/>
        <v>0</v>
      </c>
      <c r="AA73" s="31"/>
      <c r="AB73" s="31"/>
      <c r="AC73" s="31"/>
      <c r="AD73" s="31"/>
      <c r="AE73">
        <v>3420</v>
      </c>
    </row>
    <row r="74" spans="1:31" hidden="1" x14ac:dyDescent="0.25">
      <c r="A74" t="s">
        <v>2570</v>
      </c>
      <c r="B74" t="str">
        <f t="shared" si="7"/>
        <v>No Change</v>
      </c>
      <c r="D74">
        <v>68427709</v>
      </c>
      <c r="E74" s="96" t="s">
        <v>53</v>
      </c>
      <c r="F74" t="s">
        <v>54</v>
      </c>
      <c r="G74" t="s">
        <v>42</v>
      </c>
      <c r="H74" t="s">
        <v>1604</v>
      </c>
      <c r="I74">
        <v>0</v>
      </c>
      <c r="J74" t="s">
        <v>2696</v>
      </c>
      <c r="K74">
        <v>198276</v>
      </c>
      <c r="L74" t="s">
        <v>2697</v>
      </c>
      <c r="M74" s="230">
        <v>5400861321</v>
      </c>
      <c r="N74" s="230">
        <v>10</v>
      </c>
      <c r="O74" t="s">
        <v>2531</v>
      </c>
      <c r="P74" s="98" t="s">
        <v>1585</v>
      </c>
      <c r="Q74" t="s">
        <v>2545</v>
      </c>
      <c r="R74" s="31" t="s">
        <v>2551</v>
      </c>
      <c r="S74" s="7">
        <v>36000</v>
      </c>
      <c r="T74" s="7">
        <v>0</v>
      </c>
      <c r="U74" s="7">
        <v>0</v>
      </c>
      <c r="V74" s="7">
        <f t="shared" si="8"/>
        <v>0</v>
      </c>
      <c r="W74" s="5">
        <f t="shared" si="9"/>
        <v>0</v>
      </c>
      <c r="X74" s="6"/>
      <c r="Y74" s="34">
        <f>SUMPRODUCT((BIdetails!$J$5:$J$3000=M74)*(BIdetails!$K$5:$K$3000=N74)*(BIdetails!$M$5:$M$3000))</f>
        <v>0</v>
      </c>
      <c r="Z74" s="35" t="str">
        <f t="shared" si="6"/>
        <v/>
      </c>
      <c r="AA74" s="31" t="s">
        <v>610</v>
      </c>
      <c r="AB74" s="31" t="s">
        <v>2534</v>
      </c>
      <c r="AC74" s="31"/>
      <c r="AD74" s="31"/>
      <c r="AE74">
        <v>2470</v>
      </c>
    </row>
    <row r="75" spans="1:31" hidden="1" x14ac:dyDescent="0.25">
      <c r="A75" t="s">
        <v>2526</v>
      </c>
      <c r="B75" t="str">
        <f t="shared" si="7"/>
        <v>Increase</v>
      </c>
      <c r="C75" t="s">
        <v>2698</v>
      </c>
      <c r="D75">
        <v>68427709</v>
      </c>
      <c r="E75" s="96" t="s">
        <v>53</v>
      </c>
      <c r="F75" t="s">
        <v>54</v>
      </c>
      <c r="G75" t="s">
        <v>42</v>
      </c>
      <c r="H75" t="s">
        <v>2699</v>
      </c>
      <c r="I75" t="s">
        <v>2590</v>
      </c>
      <c r="J75" t="s">
        <v>2700</v>
      </c>
      <c r="K75">
        <v>189448</v>
      </c>
      <c r="L75" t="s">
        <v>2701</v>
      </c>
      <c r="M75" s="233">
        <v>5400976348</v>
      </c>
      <c r="N75" s="21">
        <v>10</v>
      </c>
      <c r="O75" t="s">
        <v>2531</v>
      </c>
      <c r="P75" s="26" t="s">
        <v>2124</v>
      </c>
      <c r="Q75" t="s">
        <v>2545</v>
      </c>
      <c r="R75" s="33" t="s">
        <v>2533</v>
      </c>
      <c r="S75" s="7">
        <v>102000</v>
      </c>
      <c r="T75" s="7">
        <v>135000</v>
      </c>
      <c r="U75" s="7">
        <v>150000</v>
      </c>
      <c r="V75" s="7">
        <f t="shared" si="8"/>
        <v>15000</v>
      </c>
      <c r="W75" s="5">
        <f t="shared" si="9"/>
        <v>0.1111111111111111</v>
      </c>
      <c r="X75" s="6" t="s">
        <v>2702</v>
      </c>
      <c r="Y75" s="34">
        <f>SUMPRODUCT((BIdetails!$J$5:$J$3000=M75)*(BIdetails!$K$5:$K$3000=N75)*(BIdetails!$M$5:$M$3000))</f>
        <v>0</v>
      </c>
      <c r="Z75" s="35">
        <f t="shared" si="6"/>
        <v>0</v>
      </c>
      <c r="AA75" s="31"/>
      <c r="AB75" s="31"/>
      <c r="AC75" s="31"/>
      <c r="AD75" s="31"/>
      <c r="AE75">
        <v>2770</v>
      </c>
    </row>
    <row r="76" spans="1:31" hidden="1" x14ac:dyDescent="0.25">
      <c r="A76" t="s">
        <v>2526</v>
      </c>
      <c r="B76" t="str">
        <f t="shared" si="7"/>
        <v>Decrease</v>
      </c>
      <c r="C76" t="s">
        <v>2567</v>
      </c>
      <c r="D76">
        <v>68427709</v>
      </c>
      <c r="E76" s="96" t="s">
        <v>34</v>
      </c>
      <c r="F76" t="s">
        <v>35</v>
      </c>
      <c r="G76" t="s">
        <v>31</v>
      </c>
      <c r="H76" t="s">
        <v>1972</v>
      </c>
      <c r="J76" t="s">
        <v>1971</v>
      </c>
      <c r="K76">
        <v>120252</v>
      </c>
      <c r="L76" t="s">
        <v>420</v>
      </c>
      <c r="M76" s="233"/>
      <c r="O76" s="26" t="s">
        <v>2531</v>
      </c>
      <c r="P76" s="26" t="s">
        <v>2531</v>
      </c>
      <c r="Q76" t="s">
        <v>2545</v>
      </c>
      <c r="R76" s="31" t="s">
        <v>2607</v>
      </c>
      <c r="S76" s="7"/>
      <c r="T76" s="7">
        <v>43200</v>
      </c>
      <c r="U76" s="7">
        <v>41400</v>
      </c>
      <c r="V76" s="7">
        <f t="shared" si="8"/>
        <v>-1800</v>
      </c>
      <c r="W76" s="5">
        <f>IF(B77="New",1,IFERROR(V76/T76,0))</f>
        <v>-4.1666666666666664E-2</v>
      </c>
      <c r="X76" s="126" t="s">
        <v>2269</v>
      </c>
      <c r="Y76" s="34">
        <f>SUMPRODUCT((BIdetails!$J$5:$J$3000=M76)*(BIdetails!$K$5:$K$3000=N76)*(BIdetails!$M$5:$M$3000))</f>
        <v>0</v>
      </c>
      <c r="Z76" s="35"/>
      <c r="AA76" s="31"/>
      <c r="AB76" s="31"/>
      <c r="AC76" s="31"/>
      <c r="AD76" s="31"/>
    </row>
    <row r="77" spans="1:31" hidden="1" x14ac:dyDescent="0.25">
      <c r="A77" t="s">
        <v>2526</v>
      </c>
      <c r="B77" t="str">
        <f t="shared" si="7"/>
        <v>Decrease</v>
      </c>
      <c r="C77" t="s">
        <v>2567</v>
      </c>
      <c r="D77">
        <v>68427709</v>
      </c>
      <c r="E77" s="96" t="s">
        <v>34</v>
      </c>
      <c r="F77" t="s">
        <v>35</v>
      </c>
      <c r="G77" t="s">
        <v>31</v>
      </c>
      <c r="H77" t="s">
        <v>1974</v>
      </c>
      <c r="J77" t="s">
        <v>1973</v>
      </c>
      <c r="K77">
        <v>120252</v>
      </c>
      <c r="L77" t="s">
        <v>420</v>
      </c>
      <c r="M77" s="233"/>
      <c r="O77" s="26" t="s">
        <v>2531</v>
      </c>
      <c r="P77" s="26" t="s">
        <v>2531</v>
      </c>
      <c r="Q77" t="s">
        <v>2545</v>
      </c>
      <c r="R77" s="31" t="s">
        <v>2607</v>
      </c>
      <c r="S77" s="7"/>
      <c r="T77" s="7">
        <v>43200</v>
      </c>
      <c r="U77" s="7">
        <v>41400</v>
      </c>
      <c r="V77" s="7">
        <f t="shared" si="8"/>
        <v>-1800</v>
      </c>
      <c r="W77" s="5">
        <f t="shared" ref="W77:W135" si="10">IF(B77="New",1,IFERROR(V77/T77,0))</f>
        <v>-4.1666666666666664E-2</v>
      </c>
      <c r="X77" s="126" t="s">
        <v>2703</v>
      </c>
      <c r="Y77" s="34">
        <f>SUMPRODUCT((BIdetails!$J$5:$J$3000=M77)*(BIdetails!$K$5:$K$3000=N77)*(BIdetails!$M$5:$M$3000))</f>
        <v>0</v>
      </c>
      <c r="Z77" s="35"/>
      <c r="AA77" s="31"/>
      <c r="AB77" s="31"/>
      <c r="AC77" s="31"/>
      <c r="AD77" s="31"/>
    </row>
    <row r="78" spans="1:31" hidden="1" x14ac:dyDescent="0.25">
      <c r="A78" t="s">
        <v>2526</v>
      </c>
      <c r="B78" t="str">
        <f t="shared" si="7"/>
        <v>Decommissioned</v>
      </c>
      <c r="C78" t="s">
        <v>2567</v>
      </c>
      <c r="D78">
        <v>68427709</v>
      </c>
      <c r="E78" s="96" t="s">
        <v>34</v>
      </c>
      <c r="F78" t="s">
        <v>35</v>
      </c>
      <c r="G78" t="s">
        <v>31</v>
      </c>
      <c r="H78" t="s">
        <v>1976</v>
      </c>
      <c r="J78" t="s">
        <v>1975</v>
      </c>
      <c r="K78">
        <v>120252</v>
      </c>
      <c r="L78" t="s">
        <v>420</v>
      </c>
      <c r="M78" s="233"/>
      <c r="O78" s="26" t="s">
        <v>2531</v>
      </c>
      <c r="P78" s="26" t="s">
        <v>2531</v>
      </c>
      <c r="Q78" t="s">
        <v>2545</v>
      </c>
      <c r="R78" s="31" t="s">
        <v>2607</v>
      </c>
      <c r="S78" s="7"/>
      <c r="T78" s="7">
        <v>64800</v>
      </c>
      <c r="U78" s="7">
        <v>0</v>
      </c>
      <c r="V78" s="7">
        <f t="shared" si="8"/>
        <v>-64800</v>
      </c>
      <c r="W78" s="5">
        <f t="shared" si="10"/>
        <v>-1</v>
      </c>
      <c r="X78" s="126" t="s">
        <v>1319</v>
      </c>
      <c r="Y78" s="34">
        <f>SUMPRODUCT((BIdetails!$J$5:$J$3000=M78)*(BIdetails!$K$5:$K$3000=N78)*(BIdetails!$M$5:$M$3000))</f>
        <v>0</v>
      </c>
      <c r="Z78" s="35"/>
      <c r="AA78" s="31"/>
      <c r="AB78" s="31"/>
      <c r="AC78" s="31"/>
      <c r="AD78" s="31"/>
    </row>
    <row r="79" spans="1:31" hidden="1" x14ac:dyDescent="0.25">
      <c r="A79" t="s">
        <v>2526</v>
      </c>
      <c r="B79" t="str">
        <f t="shared" si="7"/>
        <v>Decommissioned</v>
      </c>
      <c r="C79" t="s">
        <v>2567</v>
      </c>
      <c r="D79">
        <v>68427709</v>
      </c>
      <c r="E79" s="96" t="s">
        <v>34</v>
      </c>
      <c r="F79" t="s">
        <v>35</v>
      </c>
      <c r="G79" t="s">
        <v>31</v>
      </c>
      <c r="H79" t="s">
        <v>1978</v>
      </c>
      <c r="J79" t="s">
        <v>1977</v>
      </c>
      <c r="K79">
        <v>120252</v>
      </c>
      <c r="L79" t="s">
        <v>420</v>
      </c>
      <c r="M79" s="233"/>
      <c r="O79" s="26" t="s">
        <v>2531</v>
      </c>
      <c r="P79" s="26" t="s">
        <v>2531</v>
      </c>
      <c r="Q79" t="s">
        <v>2545</v>
      </c>
      <c r="R79" s="31" t="s">
        <v>2607</v>
      </c>
      <c r="S79" s="7"/>
      <c r="T79" s="7">
        <v>21600</v>
      </c>
      <c r="U79" s="7">
        <v>0</v>
      </c>
      <c r="V79" s="7">
        <f t="shared" si="8"/>
        <v>-21600</v>
      </c>
      <c r="W79" s="5">
        <f t="shared" si="10"/>
        <v>-1</v>
      </c>
      <c r="X79" s="126" t="s">
        <v>1319</v>
      </c>
      <c r="Y79" s="34">
        <f>SUMPRODUCT((BIdetails!$J$5:$J$3000=M79)*(BIdetails!$K$5:$K$3000=N79)*(BIdetails!$M$5:$M$3000))</f>
        <v>0</v>
      </c>
      <c r="Z79" s="35"/>
      <c r="AA79" s="31"/>
      <c r="AB79" s="31"/>
      <c r="AC79" s="31"/>
      <c r="AD79" s="31"/>
    </row>
    <row r="80" spans="1:31" ht="15" hidden="1" customHeight="1" x14ac:dyDescent="0.25">
      <c r="A80" t="s">
        <v>2526</v>
      </c>
      <c r="B80" t="str">
        <f t="shared" si="7"/>
        <v>Decrease</v>
      </c>
      <c r="C80" t="s">
        <v>2567</v>
      </c>
      <c r="D80">
        <v>68427709</v>
      </c>
      <c r="E80" s="96" t="s">
        <v>34</v>
      </c>
      <c r="F80" t="s">
        <v>35</v>
      </c>
      <c r="G80" t="s">
        <v>31</v>
      </c>
      <c r="H80" t="s">
        <v>1980</v>
      </c>
      <c r="J80" t="s">
        <v>1979</v>
      </c>
      <c r="K80">
        <v>120252</v>
      </c>
      <c r="L80" t="s">
        <v>420</v>
      </c>
      <c r="M80" s="233"/>
      <c r="O80" s="26" t="s">
        <v>2531</v>
      </c>
      <c r="P80" s="26" t="s">
        <v>2531</v>
      </c>
      <c r="Q80" t="s">
        <v>2545</v>
      </c>
      <c r="R80" s="31" t="s">
        <v>2607</v>
      </c>
      <c r="S80" s="7"/>
      <c r="T80" s="7">
        <v>32400</v>
      </c>
      <c r="U80" s="7">
        <v>10400</v>
      </c>
      <c r="V80" s="7">
        <f t="shared" si="8"/>
        <v>-22000</v>
      </c>
      <c r="W80" s="5">
        <f t="shared" si="10"/>
        <v>-0.67901234567901236</v>
      </c>
      <c r="X80" s="126" t="s">
        <v>2269</v>
      </c>
      <c r="Y80" s="34">
        <f>SUMPRODUCT((BIdetails!$J$5:$J$3000=M80)*(BIdetails!$K$5:$K$3000=N80)*(BIdetails!$M$5:$M$3000))</f>
        <v>0</v>
      </c>
      <c r="Z80" s="35"/>
      <c r="AA80" s="31"/>
      <c r="AB80" s="31"/>
      <c r="AC80" s="31"/>
      <c r="AD80" s="31"/>
    </row>
    <row r="81" spans="1:30" hidden="1" x14ac:dyDescent="0.25">
      <c r="A81" t="s">
        <v>2526</v>
      </c>
      <c r="B81" t="str">
        <f t="shared" si="7"/>
        <v>Decrease</v>
      </c>
      <c r="C81" t="s">
        <v>2567</v>
      </c>
      <c r="D81">
        <v>68427709</v>
      </c>
      <c r="E81" s="96" t="s">
        <v>34</v>
      </c>
      <c r="F81" t="s">
        <v>35</v>
      </c>
      <c r="G81" t="s">
        <v>31</v>
      </c>
      <c r="H81" t="s">
        <v>1982</v>
      </c>
      <c r="J81" t="s">
        <v>1981</v>
      </c>
      <c r="K81">
        <v>120252</v>
      </c>
      <c r="L81" t="s">
        <v>420</v>
      </c>
      <c r="M81" s="233"/>
      <c r="O81" s="26" t="s">
        <v>2531</v>
      </c>
      <c r="P81" s="26" t="s">
        <v>2531</v>
      </c>
      <c r="Q81" t="s">
        <v>2545</v>
      </c>
      <c r="R81" s="31" t="s">
        <v>2607</v>
      </c>
      <c r="S81" s="7"/>
      <c r="T81" s="7">
        <v>21600</v>
      </c>
      <c r="U81" s="7">
        <v>20700</v>
      </c>
      <c r="V81" s="7">
        <f t="shared" si="8"/>
        <v>-900</v>
      </c>
      <c r="W81" s="5">
        <f t="shared" si="10"/>
        <v>-4.1666666666666664E-2</v>
      </c>
      <c r="X81" s="126" t="s">
        <v>2269</v>
      </c>
      <c r="Y81" s="34">
        <f>SUMPRODUCT((BIdetails!$J$5:$J$3000=M81)*(BIdetails!$K$5:$K$3000=N81)*(BIdetails!$M$5:$M$3000))</f>
        <v>0</v>
      </c>
      <c r="Z81" s="35"/>
      <c r="AA81" s="31"/>
      <c r="AB81" s="31"/>
      <c r="AC81" s="31"/>
      <c r="AD81" s="31"/>
    </row>
    <row r="82" spans="1:30" hidden="1" x14ac:dyDescent="0.25">
      <c r="A82" t="s">
        <v>2526</v>
      </c>
      <c r="B82" t="str">
        <f t="shared" si="7"/>
        <v>Decommissioned</v>
      </c>
      <c r="C82" t="s">
        <v>2567</v>
      </c>
      <c r="D82">
        <v>68427709</v>
      </c>
      <c r="E82" s="96" t="s">
        <v>34</v>
      </c>
      <c r="F82" t="s">
        <v>35</v>
      </c>
      <c r="G82" t="s">
        <v>31</v>
      </c>
      <c r="H82" t="s">
        <v>1984</v>
      </c>
      <c r="J82" t="s">
        <v>1983</v>
      </c>
      <c r="K82">
        <v>120252</v>
      </c>
      <c r="L82" t="s">
        <v>420</v>
      </c>
      <c r="M82" s="233"/>
      <c r="O82" s="26" t="s">
        <v>2531</v>
      </c>
      <c r="P82" s="26" t="s">
        <v>2531</v>
      </c>
      <c r="Q82" t="s">
        <v>2545</v>
      </c>
      <c r="R82" s="31" t="s">
        <v>2607</v>
      </c>
      <c r="S82" s="7"/>
      <c r="T82" s="7">
        <v>75600</v>
      </c>
      <c r="U82" s="7">
        <v>0</v>
      </c>
      <c r="V82" s="7">
        <f t="shared" si="8"/>
        <v>-75600</v>
      </c>
      <c r="W82" s="5">
        <f t="shared" si="10"/>
        <v>-1</v>
      </c>
      <c r="X82" s="126" t="s">
        <v>1319</v>
      </c>
      <c r="Y82" s="34">
        <f>SUMPRODUCT((BIdetails!$J$5:$J$3000=M82)*(BIdetails!$K$5:$K$3000=N82)*(BIdetails!$M$5:$M$3000))</f>
        <v>0</v>
      </c>
      <c r="Z82" s="35"/>
      <c r="AA82" s="31"/>
      <c r="AB82" s="31"/>
      <c r="AC82" s="31"/>
      <c r="AD82" s="31"/>
    </row>
    <row r="83" spans="1:30" hidden="1" x14ac:dyDescent="0.25">
      <c r="A83" t="s">
        <v>2526</v>
      </c>
      <c r="B83" t="str">
        <f t="shared" si="7"/>
        <v>Decrease</v>
      </c>
      <c r="C83" t="s">
        <v>2567</v>
      </c>
      <c r="D83">
        <v>68427709</v>
      </c>
      <c r="E83" s="96" t="s">
        <v>34</v>
      </c>
      <c r="F83" t="s">
        <v>35</v>
      </c>
      <c r="G83" t="s">
        <v>31</v>
      </c>
      <c r="H83" t="s">
        <v>1986</v>
      </c>
      <c r="J83" t="s">
        <v>1985</v>
      </c>
      <c r="K83">
        <v>120252</v>
      </c>
      <c r="L83" t="s">
        <v>420</v>
      </c>
      <c r="M83" s="233"/>
      <c r="O83" s="26" t="s">
        <v>2531</v>
      </c>
      <c r="P83" s="26" t="s">
        <v>2531</v>
      </c>
      <c r="Q83" t="s">
        <v>2545</v>
      </c>
      <c r="R83" s="31" t="s">
        <v>2607</v>
      </c>
      <c r="S83" s="7"/>
      <c r="T83" s="7">
        <v>64800</v>
      </c>
      <c r="U83" s="7">
        <v>62000</v>
      </c>
      <c r="V83" s="7">
        <f t="shared" si="8"/>
        <v>-2800</v>
      </c>
      <c r="W83" s="5">
        <f t="shared" si="10"/>
        <v>-4.3209876543209874E-2</v>
      </c>
      <c r="X83" s="126" t="s">
        <v>2269</v>
      </c>
      <c r="Y83" s="34">
        <f>SUMPRODUCT((BIdetails!$J$5:$J$3000=M83)*(BIdetails!$K$5:$K$3000=N83)*(BIdetails!$M$5:$M$3000))</f>
        <v>0</v>
      </c>
      <c r="Z83" s="35"/>
      <c r="AA83" s="31"/>
      <c r="AB83" s="31"/>
      <c r="AC83" s="31"/>
      <c r="AD83" s="31"/>
    </row>
    <row r="84" spans="1:30" hidden="1" x14ac:dyDescent="0.25">
      <c r="A84" t="s">
        <v>2526</v>
      </c>
      <c r="B84" t="str">
        <f t="shared" si="7"/>
        <v>Decrease</v>
      </c>
      <c r="C84" t="s">
        <v>2567</v>
      </c>
      <c r="D84">
        <v>68427709</v>
      </c>
      <c r="E84" s="96" t="s">
        <v>34</v>
      </c>
      <c r="F84" t="s">
        <v>35</v>
      </c>
      <c r="G84" t="s">
        <v>31</v>
      </c>
      <c r="H84" t="s">
        <v>1988</v>
      </c>
      <c r="J84" t="s">
        <v>1987</v>
      </c>
      <c r="K84">
        <v>120252</v>
      </c>
      <c r="L84" t="s">
        <v>420</v>
      </c>
      <c r="M84" s="233"/>
      <c r="O84" s="26" t="s">
        <v>2531</v>
      </c>
      <c r="P84" s="26" t="s">
        <v>2531</v>
      </c>
      <c r="Q84" t="s">
        <v>2545</v>
      </c>
      <c r="R84" s="31" t="s">
        <v>2607</v>
      </c>
      <c r="S84" s="7"/>
      <c r="T84" s="7">
        <v>10800</v>
      </c>
      <c r="U84" s="7">
        <v>10400</v>
      </c>
      <c r="V84" s="7">
        <f t="shared" si="8"/>
        <v>-400</v>
      </c>
      <c r="W84" s="5">
        <f t="shared" si="10"/>
        <v>-3.7037037037037035E-2</v>
      </c>
      <c r="X84" s="126" t="s">
        <v>2269</v>
      </c>
      <c r="Y84" s="34">
        <f>SUMPRODUCT((BIdetails!$J$5:$J$3000=M84)*(BIdetails!$K$5:$K$3000=N84)*(BIdetails!$M$5:$M$3000))</f>
        <v>0</v>
      </c>
      <c r="Z84" s="35"/>
      <c r="AA84" s="31"/>
      <c r="AB84" s="31"/>
      <c r="AC84" s="31"/>
      <c r="AD84" s="31"/>
    </row>
    <row r="85" spans="1:30" hidden="1" x14ac:dyDescent="0.25">
      <c r="A85" t="s">
        <v>2526</v>
      </c>
      <c r="B85" t="str">
        <f t="shared" si="7"/>
        <v>Decrease</v>
      </c>
      <c r="C85" t="s">
        <v>2567</v>
      </c>
      <c r="D85">
        <v>68427709</v>
      </c>
      <c r="E85" s="96" t="s">
        <v>34</v>
      </c>
      <c r="F85" t="s">
        <v>35</v>
      </c>
      <c r="G85" t="s">
        <v>31</v>
      </c>
      <c r="H85" t="s">
        <v>1990</v>
      </c>
      <c r="J85" t="s">
        <v>1989</v>
      </c>
      <c r="K85">
        <v>120252</v>
      </c>
      <c r="L85" t="s">
        <v>420</v>
      </c>
      <c r="M85" s="233"/>
      <c r="O85" s="26" t="s">
        <v>2531</v>
      </c>
      <c r="P85" s="26" t="s">
        <v>2531</v>
      </c>
      <c r="Q85" t="s">
        <v>2545</v>
      </c>
      <c r="R85" s="31" t="s">
        <v>2607</v>
      </c>
      <c r="S85" s="7"/>
      <c r="T85" s="7">
        <v>21600</v>
      </c>
      <c r="U85" s="7">
        <v>20700</v>
      </c>
      <c r="V85" s="7">
        <f t="shared" si="8"/>
        <v>-900</v>
      </c>
      <c r="W85" s="5">
        <f t="shared" si="10"/>
        <v>-4.1666666666666664E-2</v>
      </c>
      <c r="X85" s="126" t="s">
        <v>2269</v>
      </c>
      <c r="Y85" s="34">
        <f>SUMPRODUCT((BIdetails!$J$5:$J$3000=M85)*(BIdetails!$K$5:$K$3000=N85)*(BIdetails!$M$5:$M$3000))</f>
        <v>0</v>
      </c>
      <c r="Z85" s="35"/>
      <c r="AA85" s="31"/>
      <c r="AB85" s="31"/>
      <c r="AC85" s="31"/>
      <c r="AD85" s="31"/>
    </row>
    <row r="86" spans="1:30" hidden="1" x14ac:dyDescent="0.25">
      <c r="A86" t="s">
        <v>2526</v>
      </c>
      <c r="B86" t="str">
        <f t="shared" si="7"/>
        <v>Decrease</v>
      </c>
      <c r="C86" t="s">
        <v>2567</v>
      </c>
      <c r="D86">
        <v>68427709</v>
      </c>
      <c r="E86" s="96" t="s">
        <v>34</v>
      </c>
      <c r="F86" t="s">
        <v>35</v>
      </c>
      <c r="G86" t="s">
        <v>31</v>
      </c>
      <c r="H86" t="s">
        <v>1992</v>
      </c>
      <c r="J86" t="s">
        <v>1991</v>
      </c>
      <c r="K86">
        <v>120252</v>
      </c>
      <c r="L86" t="s">
        <v>420</v>
      </c>
      <c r="M86" s="233"/>
      <c r="O86" s="26" t="s">
        <v>2531</v>
      </c>
      <c r="P86" s="26" t="s">
        <v>2531</v>
      </c>
      <c r="Q86" t="s">
        <v>2545</v>
      </c>
      <c r="R86" s="31" t="s">
        <v>2607</v>
      </c>
      <c r="S86" s="7"/>
      <c r="T86" s="7">
        <v>32400</v>
      </c>
      <c r="U86" s="7">
        <v>31000</v>
      </c>
      <c r="V86" s="7">
        <f t="shared" si="8"/>
        <v>-1400</v>
      </c>
      <c r="W86" s="5">
        <f t="shared" si="10"/>
        <v>-4.3209876543209874E-2</v>
      </c>
      <c r="X86" s="126" t="s">
        <v>2703</v>
      </c>
      <c r="Y86" s="34">
        <f>SUMPRODUCT((BIdetails!$J$5:$J$3000=M86)*(BIdetails!$K$5:$K$3000=N86)*(BIdetails!$M$5:$M$3000))</f>
        <v>0</v>
      </c>
      <c r="Z86" s="35"/>
      <c r="AA86" s="31"/>
      <c r="AB86" s="31"/>
      <c r="AC86" s="31"/>
      <c r="AD86" s="31"/>
    </row>
    <row r="87" spans="1:30" hidden="1" x14ac:dyDescent="0.25">
      <c r="A87" t="s">
        <v>2526</v>
      </c>
      <c r="B87" t="str">
        <f t="shared" si="7"/>
        <v>Decrease</v>
      </c>
      <c r="C87" t="s">
        <v>2567</v>
      </c>
      <c r="D87">
        <v>68427709</v>
      </c>
      <c r="E87" s="96" t="s">
        <v>34</v>
      </c>
      <c r="F87" t="s">
        <v>35</v>
      </c>
      <c r="G87" t="s">
        <v>31</v>
      </c>
      <c r="H87" t="s">
        <v>1994</v>
      </c>
      <c r="J87" t="s">
        <v>1993</v>
      </c>
      <c r="K87">
        <v>120252</v>
      </c>
      <c r="L87" t="s">
        <v>420</v>
      </c>
      <c r="M87" s="233"/>
      <c r="O87" s="26" t="s">
        <v>2531</v>
      </c>
      <c r="P87" s="26" t="s">
        <v>2531</v>
      </c>
      <c r="Q87" t="s">
        <v>2545</v>
      </c>
      <c r="R87" s="31" t="s">
        <v>2607</v>
      </c>
      <c r="S87" s="7"/>
      <c r="T87" s="7">
        <v>10800</v>
      </c>
      <c r="U87" s="7">
        <v>10400</v>
      </c>
      <c r="V87" s="7">
        <f t="shared" si="8"/>
        <v>-400</v>
      </c>
      <c r="W87" s="5">
        <f t="shared" si="10"/>
        <v>-3.7037037037037035E-2</v>
      </c>
      <c r="X87" s="126" t="s">
        <v>2703</v>
      </c>
      <c r="Y87" s="34">
        <f>SUMPRODUCT((BIdetails!$J$5:$J$3000=M87)*(BIdetails!$K$5:$K$3000=N87)*(BIdetails!$M$5:$M$3000))</f>
        <v>0</v>
      </c>
      <c r="Z87" s="35"/>
      <c r="AA87" s="31"/>
      <c r="AB87" s="31"/>
      <c r="AC87" s="31"/>
      <c r="AD87" s="31"/>
    </row>
    <row r="88" spans="1:30" hidden="1" x14ac:dyDescent="0.25">
      <c r="A88" t="s">
        <v>2526</v>
      </c>
      <c r="B88" t="str">
        <f t="shared" si="7"/>
        <v>Decrease</v>
      </c>
      <c r="C88" t="s">
        <v>2567</v>
      </c>
      <c r="D88">
        <v>68427709</v>
      </c>
      <c r="E88" s="96" t="s">
        <v>34</v>
      </c>
      <c r="F88" t="s">
        <v>35</v>
      </c>
      <c r="G88" t="s">
        <v>31</v>
      </c>
      <c r="H88" t="s">
        <v>1996</v>
      </c>
      <c r="J88" t="s">
        <v>1995</v>
      </c>
      <c r="K88">
        <v>120252</v>
      </c>
      <c r="L88" t="s">
        <v>420</v>
      </c>
      <c r="M88" s="233"/>
      <c r="O88" s="26" t="s">
        <v>2531</v>
      </c>
      <c r="P88" s="26" t="s">
        <v>2531</v>
      </c>
      <c r="Q88" t="s">
        <v>2545</v>
      </c>
      <c r="R88" s="31" t="s">
        <v>2607</v>
      </c>
      <c r="S88" s="7"/>
      <c r="T88" s="7">
        <v>10800</v>
      </c>
      <c r="U88" s="7">
        <v>10400</v>
      </c>
      <c r="V88" s="7">
        <f t="shared" si="8"/>
        <v>-400</v>
      </c>
      <c r="W88" s="5">
        <f t="shared" si="10"/>
        <v>-3.7037037037037035E-2</v>
      </c>
      <c r="X88" s="126" t="s">
        <v>2703</v>
      </c>
      <c r="Y88" s="34">
        <f>SUMPRODUCT((BIdetails!$J$5:$J$3000=M88)*(BIdetails!$K$5:$K$3000=N88)*(BIdetails!$M$5:$M$3000))</f>
        <v>0</v>
      </c>
      <c r="Z88" s="35"/>
      <c r="AA88" s="31"/>
      <c r="AB88" s="31"/>
      <c r="AC88" s="31"/>
      <c r="AD88" s="31"/>
    </row>
    <row r="89" spans="1:30" hidden="1" x14ac:dyDescent="0.25">
      <c r="A89" t="s">
        <v>2526</v>
      </c>
      <c r="B89" t="str">
        <f t="shared" si="7"/>
        <v>Decrease</v>
      </c>
      <c r="C89" t="s">
        <v>2567</v>
      </c>
      <c r="D89">
        <v>68427709</v>
      </c>
      <c r="E89" s="96" t="s">
        <v>34</v>
      </c>
      <c r="F89" t="s">
        <v>35</v>
      </c>
      <c r="G89" t="s">
        <v>31</v>
      </c>
      <c r="H89" t="s">
        <v>1998</v>
      </c>
      <c r="J89" t="s">
        <v>1997</v>
      </c>
      <c r="K89">
        <v>120252</v>
      </c>
      <c r="L89" t="s">
        <v>420</v>
      </c>
      <c r="M89" s="233"/>
      <c r="O89" s="26" t="s">
        <v>2531</v>
      </c>
      <c r="P89" s="26" t="s">
        <v>2531</v>
      </c>
      <c r="Q89" t="s">
        <v>2545</v>
      </c>
      <c r="R89" s="31" t="s">
        <v>2607</v>
      </c>
      <c r="S89" s="7"/>
      <c r="T89" s="7">
        <v>21600</v>
      </c>
      <c r="U89" s="7">
        <v>20700</v>
      </c>
      <c r="V89" s="7">
        <f t="shared" si="8"/>
        <v>-900</v>
      </c>
      <c r="W89" s="5">
        <f t="shared" si="10"/>
        <v>-4.1666666666666664E-2</v>
      </c>
      <c r="X89" s="126" t="s">
        <v>2703</v>
      </c>
      <c r="Y89" s="34">
        <f>SUMPRODUCT((BIdetails!$J$5:$J$3000=M89)*(BIdetails!$K$5:$K$3000=N89)*(BIdetails!$M$5:$M$3000))</f>
        <v>0</v>
      </c>
      <c r="Z89" s="35"/>
      <c r="AA89" s="31"/>
      <c r="AB89" s="31"/>
      <c r="AC89" s="31"/>
      <c r="AD89" s="31"/>
    </row>
    <row r="90" spans="1:30" hidden="1" x14ac:dyDescent="0.25">
      <c r="A90" t="s">
        <v>2526</v>
      </c>
      <c r="B90" t="str">
        <f t="shared" si="7"/>
        <v>Decrease</v>
      </c>
      <c r="C90" t="s">
        <v>2567</v>
      </c>
      <c r="D90">
        <v>68427709</v>
      </c>
      <c r="E90" s="96" t="s">
        <v>34</v>
      </c>
      <c r="F90" t="s">
        <v>35</v>
      </c>
      <c r="G90" t="s">
        <v>31</v>
      </c>
      <c r="H90" t="s">
        <v>2000</v>
      </c>
      <c r="J90" t="s">
        <v>1999</v>
      </c>
      <c r="K90">
        <v>120252</v>
      </c>
      <c r="L90" t="s">
        <v>420</v>
      </c>
      <c r="M90" s="233"/>
      <c r="O90" s="26" t="s">
        <v>2531</v>
      </c>
      <c r="P90" s="26" t="s">
        <v>2531</v>
      </c>
      <c r="Q90" t="s">
        <v>2545</v>
      </c>
      <c r="R90" s="31" t="s">
        <v>2607</v>
      </c>
      <c r="S90" s="7"/>
      <c r="T90" s="7">
        <v>21600</v>
      </c>
      <c r="U90" s="7">
        <v>20700</v>
      </c>
      <c r="V90" s="7">
        <f t="shared" si="8"/>
        <v>-900</v>
      </c>
      <c r="W90" s="5">
        <f t="shared" si="10"/>
        <v>-4.1666666666666664E-2</v>
      </c>
      <c r="X90" s="126" t="s">
        <v>2703</v>
      </c>
      <c r="Y90" s="34">
        <f>SUMPRODUCT((BIdetails!$J$5:$J$3000=M90)*(BIdetails!$K$5:$K$3000=N90)*(BIdetails!$M$5:$M$3000))</f>
        <v>0</v>
      </c>
      <c r="Z90" s="35"/>
      <c r="AA90" s="31"/>
      <c r="AB90" s="31"/>
      <c r="AC90" s="31"/>
      <c r="AD90" s="31"/>
    </row>
    <row r="91" spans="1:30" hidden="1" x14ac:dyDescent="0.25">
      <c r="A91" t="s">
        <v>2526</v>
      </c>
      <c r="B91" t="str">
        <f t="shared" si="7"/>
        <v>Decrease</v>
      </c>
      <c r="C91" t="s">
        <v>2567</v>
      </c>
      <c r="D91">
        <v>68427709</v>
      </c>
      <c r="E91" s="96" t="s">
        <v>34</v>
      </c>
      <c r="F91" t="s">
        <v>35</v>
      </c>
      <c r="G91" t="s">
        <v>31</v>
      </c>
      <c r="H91" t="s">
        <v>2002</v>
      </c>
      <c r="J91" t="s">
        <v>2001</v>
      </c>
      <c r="K91">
        <v>120252</v>
      </c>
      <c r="L91" t="s">
        <v>420</v>
      </c>
      <c r="M91" s="233"/>
      <c r="O91" s="26" t="s">
        <v>2531</v>
      </c>
      <c r="P91" s="26" t="s">
        <v>2531</v>
      </c>
      <c r="Q91" t="s">
        <v>2545</v>
      </c>
      <c r="R91" s="31" t="s">
        <v>2607</v>
      </c>
      <c r="S91" s="7"/>
      <c r="T91" s="7">
        <v>10800</v>
      </c>
      <c r="U91" s="7">
        <v>10400</v>
      </c>
      <c r="V91" s="7">
        <f t="shared" si="8"/>
        <v>-400</v>
      </c>
      <c r="W91" s="5">
        <f t="shared" si="10"/>
        <v>-3.7037037037037035E-2</v>
      </c>
      <c r="X91" s="126" t="s">
        <v>2703</v>
      </c>
      <c r="Y91" s="34">
        <f>SUMPRODUCT((BIdetails!$J$5:$J$3000=M91)*(BIdetails!$K$5:$K$3000=N91)*(BIdetails!$M$5:$M$3000))</f>
        <v>0</v>
      </c>
      <c r="Z91" s="35"/>
      <c r="AA91" s="31"/>
      <c r="AB91" s="31"/>
      <c r="AC91" s="31"/>
      <c r="AD91" s="31"/>
    </row>
    <row r="92" spans="1:30" hidden="1" x14ac:dyDescent="0.25">
      <c r="A92" t="s">
        <v>2526</v>
      </c>
      <c r="B92" t="str">
        <f t="shared" si="7"/>
        <v>Decrease</v>
      </c>
      <c r="C92" t="s">
        <v>2567</v>
      </c>
      <c r="D92">
        <v>68427709</v>
      </c>
      <c r="E92" s="96" t="s">
        <v>34</v>
      </c>
      <c r="F92" t="s">
        <v>35</v>
      </c>
      <c r="G92" t="s">
        <v>31</v>
      </c>
      <c r="H92" t="s">
        <v>2004</v>
      </c>
      <c r="J92" t="s">
        <v>2003</v>
      </c>
      <c r="K92">
        <v>120252</v>
      </c>
      <c r="L92" t="s">
        <v>420</v>
      </c>
      <c r="M92" s="233"/>
      <c r="O92" s="26" t="s">
        <v>2531</v>
      </c>
      <c r="P92" s="26" t="s">
        <v>2531</v>
      </c>
      <c r="Q92" t="s">
        <v>2545</v>
      </c>
      <c r="R92" s="31" t="s">
        <v>2607</v>
      </c>
      <c r="S92" s="7"/>
      <c r="T92" s="7">
        <v>21600</v>
      </c>
      <c r="U92" s="7">
        <v>20700</v>
      </c>
      <c r="V92" s="7">
        <f t="shared" si="8"/>
        <v>-900</v>
      </c>
      <c r="W92" s="5">
        <f t="shared" si="10"/>
        <v>-4.1666666666666664E-2</v>
      </c>
      <c r="X92" s="126" t="s">
        <v>2703</v>
      </c>
      <c r="Y92" s="34">
        <f>SUMPRODUCT((BIdetails!$J$5:$J$3000=M92)*(BIdetails!$K$5:$K$3000=N92)*(BIdetails!$M$5:$M$3000))</f>
        <v>0</v>
      </c>
      <c r="Z92" s="35"/>
      <c r="AA92" s="31"/>
      <c r="AB92" s="31"/>
      <c r="AC92" s="31"/>
      <c r="AD92" s="31"/>
    </row>
    <row r="93" spans="1:30" hidden="1" x14ac:dyDescent="0.25">
      <c r="A93" t="s">
        <v>2526</v>
      </c>
      <c r="B93" t="str">
        <f t="shared" si="7"/>
        <v>Decrease</v>
      </c>
      <c r="C93" t="s">
        <v>2567</v>
      </c>
      <c r="D93">
        <v>68427709</v>
      </c>
      <c r="E93" s="96" t="s">
        <v>34</v>
      </c>
      <c r="F93" t="s">
        <v>35</v>
      </c>
      <c r="G93" t="s">
        <v>31</v>
      </c>
      <c r="H93" t="s">
        <v>2006</v>
      </c>
      <c r="J93" t="s">
        <v>2005</v>
      </c>
      <c r="K93">
        <v>120252</v>
      </c>
      <c r="L93" t="s">
        <v>420</v>
      </c>
      <c r="M93" s="233"/>
      <c r="O93" s="26" t="s">
        <v>2531</v>
      </c>
      <c r="P93" s="26" t="s">
        <v>2531</v>
      </c>
      <c r="Q93" t="s">
        <v>2545</v>
      </c>
      <c r="R93" s="31" t="s">
        <v>2607</v>
      </c>
      <c r="S93" s="7"/>
      <c r="T93" s="7">
        <v>21600</v>
      </c>
      <c r="U93" s="7">
        <v>20700</v>
      </c>
      <c r="V93" s="7">
        <f t="shared" si="8"/>
        <v>-900</v>
      </c>
      <c r="W93" s="5">
        <f t="shared" si="10"/>
        <v>-4.1666666666666664E-2</v>
      </c>
      <c r="X93" s="126" t="s">
        <v>2703</v>
      </c>
      <c r="Y93" s="34">
        <f>SUMPRODUCT((BIdetails!$J$5:$J$3000=M93)*(BIdetails!$K$5:$K$3000=N93)*(BIdetails!$M$5:$M$3000))</f>
        <v>0</v>
      </c>
      <c r="Z93" s="35"/>
      <c r="AA93" s="31"/>
      <c r="AB93" s="31"/>
      <c r="AC93" s="31"/>
      <c r="AD93" s="31"/>
    </row>
    <row r="94" spans="1:30" hidden="1" x14ac:dyDescent="0.25">
      <c r="A94" t="s">
        <v>2526</v>
      </c>
      <c r="B94" t="str">
        <f t="shared" si="7"/>
        <v>Decrease</v>
      </c>
      <c r="C94" t="s">
        <v>2567</v>
      </c>
      <c r="D94">
        <v>68427709</v>
      </c>
      <c r="E94" s="96" t="s">
        <v>34</v>
      </c>
      <c r="F94" t="s">
        <v>35</v>
      </c>
      <c r="G94" t="s">
        <v>31</v>
      </c>
      <c r="H94" t="s">
        <v>2008</v>
      </c>
      <c r="J94" t="s">
        <v>2007</v>
      </c>
      <c r="K94">
        <v>120252</v>
      </c>
      <c r="L94" t="s">
        <v>420</v>
      </c>
      <c r="M94" s="233"/>
      <c r="O94" s="26" t="s">
        <v>2531</v>
      </c>
      <c r="P94" s="26" t="s">
        <v>2531</v>
      </c>
      <c r="Q94" t="s">
        <v>2545</v>
      </c>
      <c r="R94" s="31" t="s">
        <v>2607</v>
      </c>
      <c r="S94" s="7"/>
      <c r="T94" s="7">
        <v>21600</v>
      </c>
      <c r="U94" s="7">
        <v>20700</v>
      </c>
      <c r="V94" s="7">
        <f t="shared" si="8"/>
        <v>-900</v>
      </c>
      <c r="W94" s="5">
        <f t="shared" si="10"/>
        <v>-4.1666666666666664E-2</v>
      </c>
      <c r="X94" s="126" t="s">
        <v>2703</v>
      </c>
      <c r="Y94" s="34">
        <f>SUMPRODUCT((BIdetails!$J$5:$J$3000=M94)*(BIdetails!$K$5:$K$3000=N94)*(BIdetails!$M$5:$M$3000))</f>
        <v>0</v>
      </c>
      <c r="Z94" s="35"/>
      <c r="AA94" s="31"/>
      <c r="AB94" s="31"/>
      <c r="AC94" s="31"/>
      <c r="AD94" s="31"/>
    </row>
    <row r="95" spans="1:30" hidden="1" x14ac:dyDescent="0.25">
      <c r="A95" t="s">
        <v>2526</v>
      </c>
      <c r="B95" t="str">
        <f t="shared" si="7"/>
        <v>Decrease</v>
      </c>
      <c r="C95" t="s">
        <v>2567</v>
      </c>
      <c r="D95">
        <v>68427709</v>
      </c>
      <c r="E95" s="96" t="s">
        <v>34</v>
      </c>
      <c r="F95" t="s">
        <v>35</v>
      </c>
      <c r="G95" t="s">
        <v>31</v>
      </c>
      <c r="H95" t="s">
        <v>2010</v>
      </c>
      <c r="J95" t="s">
        <v>2009</v>
      </c>
      <c r="K95">
        <v>120252</v>
      </c>
      <c r="L95" t="s">
        <v>420</v>
      </c>
      <c r="M95" s="233"/>
      <c r="O95" s="26" t="s">
        <v>2531</v>
      </c>
      <c r="P95" s="26" t="s">
        <v>2531</v>
      </c>
      <c r="Q95" t="s">
        <v>2545</v>
      </c>
      <c r="R95" s="31" t="s">
        <v>2607</v>
      </c>
      <c r="S95" s="7"/>
      <c r="T95" s="7">
        <v>10800</v>
      </c>
      <c r="U95" s="7">
        <v>10400</v>
      </c>
      <c r="V95" s="7">
        <f t="shared" si="8"/>
        <v>-400</v>
      </c>
      <c r="W95" s="5">
        <f t="shared" si="10"/>
        <v>-3.7037037037037035E-2</v>
      </c>
      <c r="X95" s="126" t="s">
        <v>2703</v>
      </c>
      <c r="Y95" s="34">
        <f>SUMPRODUCT((BIdetails!$J$5:$J$3000=M95)*(BIdetails!$K$5:$K$3000=N95)*(BIdetails!$M$5:$M$3000))</f>
        <v>0</v>
      </c>
      <c r="Z95" s="35"/>
      <c r="AA95" s="31"/>
      <c r="AB95" s="31"/>
      <c r="AC95" s="31"/>
      <c r="AD95" s="31"/>
    </row>
    <row r="96" spans="1:30" hidden="1" x14ac:dyDescent="0.25">
      <c r="A96" t="s">
        <v>2526</v>
      </c>
      <c r="B96" t="str">
        <f t="shared" si="7"/>
        <v>Decrease</v>
      </c>
      <c r="C96" t="s">
        <v>2567</v>
      </c>
      <c r="D96">
        <v>68427709</v>
      </c>
      <c r="E96" s="96" t="s">
        <v>34</v>
      </c>
      <c r="F96" t="s">
        <v>35</v>
      </c>
      <c r="G96" t="s">
        <v>31</v>
      </c>
      <c r="H96" t="s">
        <v>2012</v>
      </c>
      <c r="J96" t="s">
        <v>2011</v>
      </c>
      <c r="K96">
        <v>120252</v>
      </c>
      <c r="L96" t="s">
        <v>420</v>
      </c>
      <c r="M96" s="233"/>
      <c r="O96" s="26" t="s">
        <v>2531</v>
      </c>
      <c r="P96" s="26" t="s">
        <v>2531</v>
      </c>
      <c r="Q96" t="s">
        <v>2545</v>
      </c>
      <c r="R96" s="31" t="s">
        <v>2607</v>
      </c>
      <c r="S96" s="7"/>
      <c r="T96" s="7">
        <v>10800</v>
      </c>
      <c r="U96" s="7">
        <v>10400</v>
      </c>
      <c r="V96" s="7">
        <f t="shared" si="8"/>
        <v>-400</v>
      </c>
      <c r="W96" s="5">
        <f t="shared" si="10"/>
        <v>-3.7037037037037035E-2</v>
      </c>
      <c r="X96" s="126" t="s">
        <v>2703</v>
      </c>
      <c r="Y96" s="34">
        <f>SUMPRODUCT((BIdetails!$J$5:$J$3000=M96)*(BIdetails!$K$5:$K$3000=N96)*(BIdetails!$M$5:$M$3000))</f>
        <v>0</v>
      </c>
      <c r="Z96" s="35"/>
      <c r="AA96" s="31"/>
      <c r="AB96" s="31"/>
      <c r="AC96" s="31"/>
      <c r="AD96" s="31"/>
    </row>
    <row r="97" spans="1:30" hidden="1" x14ac:dyDescent="0.25">
      <c r="A97" t="s">
        <v>2526</v>
      </c>
      <c r="B97" t="str">
        <f t="shared" si="7"/>
        <v>Decrease</v>
      </c>
      <c r="C97" t="s">
        <v>2567</v>
      </c>
      <c r="D97">
        <v>68427709</v>
      </c>
      <c r="E97" s="96" t="s">
        <v>34</v>
      </c>
      <c r="F97" t="s">
        <v>35</v>
      </c>
      <c r="G97" t="s">
        <v>31</v>
      </c>
      <c r="H97" t="s">
        <v>2014</v>
      </c>
      <c r="J97" t="s">
        <v>2013</v>
      </c>
      <c r="K97">
        <v>120252</v>
      </c>
      <c r="L97" t="s">
        <v>420</v>
      </c>
      <c r="M97" s="233"/>
      <c r="O97" s="26" t="s">
        <v>2531</v>
      </c>
      <c r="P97" s="26" t="s">
        <v>2531</v>
      </c>
      <c r="Q97" t="s">
        <v>2545</v>
      </c>
      <c r="R97" s="31" t="s">
        <v>2607</v>
      </c>
      <c r="S97" s="7"/>
      <c r="T97" s="7">
        <v>10800</v>
      </c>
      <c r="U97" s="7">
        <v>10400</v>
      </c>
      <c r="V97" s="7">
        <f t="shared" si="8"/>
        <v>-400</v>
      </c>
      <c r="W97" s="5">
        <f t="shared" si="10"/>
        <v>-3.7037037037037035E-2</v>
      </c>
      <c r="X97" s="126" t="s">
        <v>2703</v>
      </c>
      <c r="Y97" s="34">
        <f>SUMPRODUCT((BIdetails!$J$5:$J$3000=M97)*(BIdetails!$K$5:$K$3000=N97)*(BIdetails!$M$5:$M$3000))</f>
        <v>0</v>
      </c>
      <c r="Z97" s="35"/>
      <c r="AA97" s="31"/>
      <c r="AB97" s="31"/>
      <c r="AC97" s="31"/>
      <c r="AD97" s="31"/>
    </row>
    <row r="98" spans="1:30" hidden="1" x14ac:dyDescent="0.25">
      <c r="A98" t="s">
        <v>2526</v>
      </c>
      <c r="B98" t="str">
        <f t="shared" si="7"/>
        <v>Decrease</v>
      </c>
      <c r="C98" t="s">
        <v>2567</v>
      </c>
      <c r="D98">
        <v>68427709</v>
      </c>
      <c r="E98" s="96" t="s">
        <v>34</v>
      </c>
      <c r="F98" t="s">
        <v>35</v>
      </c>
      <c r="G98" t="s">
        <v>31</v>
      </c>
      <c r="H98" t="s">
        <v>2016</v>
      </c>
      <c r="J98" t="s">
        <v>2015</v>
      </c>
      <c r="K98">
        <v>120252</v>
      </c>
      <c r="L98" t="s">
        <v>420</v>
      </c>
      <c r="M98" s="233"/>
      <c r="O98" s="26" t="s">
        <v>2531</v>
      </c>
      <c r="P98" s="26" t="s">
        <v>2531</v>
      </c>
      <c r="Q98" t="s">
        <v>2545</v>
      </c>
      <c r="R98" s="31" t="s">
        <v>2607</v>
      </c>
      <c r="S98" s="7"/>
      <c r="T98" s="7">
        <v>10800</v>
      </c>
      <c r="U98" s="7">
        <v>10400</v>
      </c>
      <c r="V98" s="7">
        <f t="shared" si="8"/>
        <v>-400</v>
      </c>
      <c r="W98" s="5">
        <f t="shared" si="10"/>
        <v>-3.7037037037037035E-2</v>
      </c>
      <c r="X98" s="126" t="s">
        <v>2703</v>
      </c>
      <c r="Y98" s="34">
        <f>SUMPRODUCT((BIdetails!$J$5:$J$3000=M98)*(BIdetails!$K$5:$K$3000=N98)*(BIdetails!$M$5:$M$3000))</f>
        <v>0</v>
      </c>
      <c r="Z98" s="35"/>
      <c r="AA98" s="31"/>
      <c r="AB98" s="31"/>
      <c r="AC98" s="31"/>
      <c r="AD98" s="31"/>
    </row>
    <row r="99" spans="1:30" hidden="1" x14ac:dyDescent="0.25">
      <c r="A99" t="s">
        <v>2526</v>
      </c>
      <c r="B99" t="str">
        <f t="shared" si="7"/>
        <v>Decrease</v>
      </c>
      <c r="C99" t="s">
        <v>2567</v>
      </c>
      <c r="D99">
        <v>68427709</v>
      </c>
      <c r="E99" s="96" t="s">
        <v>34</v>
      </c>
      <c r="F99" t="s">
        <v>35</v>
      </c>
      <c r="G99" t="s">
        <v>31</v>
      </c>
      <c r="H99" t="s">
        <v>2021</v>
      </c>
      <c r="J99" t="s">
        <v>2020</v>
      </c>
      <c r="K99">
        <v>120252</v>
      </c>
      <c r="L99" t="s">
        <v>420</v>
      </c>
      <c r="M99" s="233"/>
      <c r="O99" s="26" t="s">
        <v>2531</v>
      </c>
      <c r="P99" s="26" t="s">
        <v>2531</v>
      </c>
      <c r="Q99" t="s">
        <v>2545</v>
      </c>
      <c r="R99" s="31" t="s">
        <v>2607</v>
      </c>
      <c r="S99" s="7"/>
      <c r="T99" s="7">
        <v>10800</v>
      </c>
      <c r="U99" s="7">
        <v>10400</v>
      </c>
      <c r="V99" s="7">
        <f t="shared" si="8"/>
        <v>-400</v>
      </c>
      <c r="W99" s="5">
        <f t="shared" si="10"/>
        <v>-3.7037037037037035E-2</v>
      </c>
      <c r="X99" s="126" t="s">
        <v>2703</v>
      </c>
      <c r="Y99" s="34">
        <f>SUMPRODUCT((BIdetails!$J$5:$J$3000=M99)*(BIdetails!$K$5:$K$3000=N99)*(BIdetails!$M$5:$M$3000))</f>
        <v>0</v>
      </c>
      <c r="Z99" s="35"/>
      <c r="AA99" s="31"/>
      <c r="AB99" s="31"/>
      <c r="AC99" s="31"/>
      <c r="AD99" s="31"/>
    </row>
    <row r="100" spans="1:30" hidden="1" x14ac:dyDescent="0.25">
      <c r="A100" t="s">
        <v>2526</v>
      </c>
      <c r="B100" t="str">
        <f t="shared" si="7"/>
        <v>Decrease</v>
      </c>
      <c r="C100" t="s">
        <v>2567</v>
      </c>
      <c r="D100">
        <v>68427709</v>
      </c>
      <c r="E100" s="96" t="s">
        <v>34</v>
      </c>
      <c r="F100" t="s">
        <v>35</v>
      </c>
      <c r="G100" t="s">
        <v>31</v>
      </c>
      <c r="H100" t="s">
        <v>2023</v>
      </c>
      <c r="J100" t="s">
        <v>2022</v>
      </c>
      <c r="K100">
        <v>120252</v>
      </c>
      <c r="L100" t="s">
        <v>420</v>
      </c>
      <c r="M100" s="233"/>
      <c r="O100" s="26" t="s">
        <v>2531</v>
      </c>
      <c r="P100" s="26" t="s">
        <v>2531</v>
      </c>
      <c r="Q100" t="s">
        <v>2545</v>
      </c>
      <c r="R100" s="31" t="s">
        <v>2607</v>
      </c>
      <c r="S100" s="7"/>
      <c r="T100" s="7">
        <v>10800</v>
      </c>
      <c r="U100" s="7">
        <v>10400</v>
      </c>
      <c r="V100" s="7">
        <f t="shared" si="8"/>
        <v>-400</v>
      </c>
      <c r="W100" s="5">
        <f t="shared" si="10"/>
        <v>-3.7037037037037035E-2</v>
      </c>
      <c r="X100" s="126" t="s">
        <v>2703</v>
      </c>
      <c r="Y100" s="34">
        <f>SUMPRODUCT((BIdetails!$J$5:$J$3000=M100)*(BIdetails!$K$5:$K$3000=N100)*(BIdetails!$M$5:$M$3000))</f>
        <v>0</v>
      </c>
      <c r="Z100" s="35"/>
      <c r="AA100" s="31"/>
      <c r="AB100" s="31"/>
      <c r="AC100" s="31"/>
      <c r="AD100" s="31"/>
    </row>
    <row r="101" spans="1:30" hidden="1" x14ac:dyDescent="0.25">
      <c r="A101" t="s">
        <v>2526</v>
      </c>
      <c r="B101" t="str">
        <f t="shared" si="7"/>
        <v>Decrease</v>
      </c>
      <c r="C101" t="s">
        <v>2567</v>
      </c>
      <c r="D101">
        <v>68427709</v>
      </c>
      <c r="E101" s="96" t="s">
        <v>34</v>
      </c>
      <c r="F101" t="s">
        <v>35</v>
      </c>
      <c r="G101" t="s">
        <v>31</v>
      </c>
      <c r="H101" t="s">
        <v>2025</v>
      </c>
      <c r="J101" t="s">
        <v>2024</v>
      </c>
      <c r="K101">
        <v>120252</v>
      </c>
      <c r="L101" t="s">
        <v>420</v>
      </c>
      <c r="M101" s="233"/>
      <c r="O101" s="26" t="s">
        <v>2531</v>
      </c>
      <c r="P101" s="26" t="s">
        <v>2531</v>
      </c>
      <c r="Q101" t="s">
        <v>2545</v>
      </c>
      <c r="R101" s="31" t="s">
        <v>2607</v>
      </c>
      <c r="S101" s="7"/>
      <c r="T101" s="7">
        <v>21600</v>
      </c>
      <c r="U101" s="7">
        <v>20700</v>
      </c>
      <c r="V101" s="7">
        <f t="shared" si="8"/>
        <v>-900</v>
      </c>
      <c r="W101" s="5">
        <f t="shared" si="10"/>
        <v>-4.1666666666666664E-2</v>
      </c>
      <c r="X101" s="126" t="s">
        <v>2703</v>
      </c>
      <c r="Y101" s="34">
        <f>SUMPRODUCT((BIdetails!$J$5:$J$3000=M101)*(BIdetails!$K$5:$K$3000=N101)*(BIdetails!$M$5:$M$3000))</f>
        <v>0</v>
      </c>
      <c r="Z101" s="35"/>
      <c r="AA101" s="31"/>
      <c r="AB101" s="31"/>
      <c r="AC101" s="31"/>
      <c r="AD101" s="31"/>
    </row>
    <row r="102" spans="1:30" hidden="1" x14ac:dyDescent="0.25">
      <c r="A102" t="s">
        <v>2526</v>
      </c>
      <c r="B102" t="str">
        <f t="shared" si="7"/>
        <v>Decrease</v>
      </c>
      <c r="C102" t="s">
        <v>2567</v>
      </c>
      <c r="D102">
        <v>68427709</v>
      </c>
      <c r="E102" s="96" t="s">
        <v>34</v>
      </c>
      <c r="F102" t="s">
        <v>35</v>
      </c>
      <c r="G102" t="s">
        <v>31</v>
      </c>
      <c r="H102" t="s">
        <v>2027</v>
      </c>
      <c r="J102" t="s">
        <v>2026</v>
      </c>
      <c r="K102">
        <v>120252</v>
      </c>
      <c r="L102" t="s">
        <v>420</v>
      </c>
      <c r="M102" s="233"/>
      <c r="O102" s="26" t="s">
        <v>2531</v>
      </c>
      <c r="P102" s="26" t="s">
        <v>2531</v>
      </c>
      <c r="Q102" t="s">
        <v>2545</v>
      </c>
      <c r="R102" s="31" t="s">
        <v>2607</v>
      </c>
      <c r="S102" s="7"/>
      <c r="T102" s="7">
        <v>21600</v>
      </c>
      <c r="U102" s="7">
        <v>20700</v>
      </c>
      <c r="V102" s="7">
        <f t="shared" si="8"/>
        <v>-900</v>
      </c>
      <c r="W102" s="5">
        <f t="shared" si="10"/>
        <v>-4.1666666666666664E-2</v>
      </c>
      <c r="X102" s="126" t="s">
        <v>2703</v>
      </c>
      <c r="Y102" s="34">
        <f>SUMPRODUCT((BIdetails!$J$5:$J$3000=M102)*(BIdetails!$K$5:$K$3000=N102)*(BIdetails!$M$5:$M$3000))</f>
        <v>0</v>
      </c>
      <c r="Z102" s="35"/>
      <c r="AA102" s="31"/>
      <c r="AB102" s="31"/>
      <c r="AC102" s="31"/>
      <c r="AD102" s="31"/>
    </row>
    <row r="103" spans="1:30" hidden="1" x14ac:dyDescent="0.25">
      <c r="A103" t="s">
        <v>2526</v>
      </c>
      <c r="B103" t="str">
        <f t="shared" si="7"/>
        <v>Decrease</v>
      </c>
      <c r="C103" t="s">
        <v>2567</v>
      </c>
      <c r="D103">
        <v>68427709</v>
      </c>
      <c r="E103" s="96" t="s">
        <v>34</v>
      </c>
      <c r="F103" t="s">
        <v>35</v>
      </c>
      <c r="G103" t="s">
        <v>31</v>
      </c>
      <c r="H103" t="s">
        <v>2029</v>
      </c>
      <c r="J103" t="s">
        <v>2028</v>
      </c>
      <c r="K103">
        <v>120252</v>
      </c>
      <c r="L103" t="s">
        <v>420</v>
      </c>
      <c r="M103" s="233"/>
      <c r="O103" s="26" t="s">
        <v>2531</v>
      </c>
      <c r="P103" s="26" t="s">
        <v>2531</v>
      </c>
      <c r="Q103" t="s">
        <v>2545</v>
      </c>
      <c r="R103" s="31" t="s">
        <v>2607</v>
      </c>
      <c r="S103" s="7"/>
      <c r="T103" s="7">
        <v>10800</v>
      </c>
      <c r="U103" s="7">
        <v>10400</v>
      </c>
      <c r="V103" s="7">
        <f t="shared" si="8"/>
        <v>-400</v>
      </c>
      <c r="W103" s="5">
        <f t="shared" si="10"/>
        <v>-3.7037037037037035E-2</v>
      </c>
      <c r="X103" s="126" t="s">
        <v>2703</v>
      </c>
      <c r="Y103" s="34">
        <f>SUMPRODUCT((BIdetails!$J$5:$J$3000=M103)*(BIdetails!$K$5:$K$3000=N103)*(BIdetails!$M$5:$M$3000))</f>
        <v>0</v>
      </c>
      <c r="Z103" s="35"/>
      <c r="AA103" s="31"/>
      <c r="AB103" s="31"/>
      <c r="AC103" s="31"/>
      <c r="AD103" s="31"/>
    </row>
    <row r="104" spans="1:30" hidden="1" x14ac:dyDescent="0.25">
      <c r="A104" t="s">
        <v>2526</v>
      </c>
      <c r="B104" t="str">
        <f t="shared" si="7"/>
        <v>Decrease</v>
      </c>
      <c r="C104" t="s">
        <v>2567</v>
      </c>
      <c r="D104">
        <v>68427709</v>
      </c>
      <c r="E104" s="96" t="s">
        <v>34</v>
      </c>
      <c r="F104" t="s">
        <v>35</v>
      </c>
      <c r="G104" t="s">
        <v>31</v>
      </c>
      <c r="H104" t="s">
        <v>2031</v>
      </c>
      <c r="J104" t="s">
        <v>2030</v>
      </c>
      <c r="K104">
        <v>120252</v>
      </c>
      <c r="L104" t="s">
        <v>420</v>
      </c>
      <c r="M104" s="233"/>
      <c r="O104" s="26" t="s">
        <v>2531</v>
      </c>
      <c r="P104" s="26" t="s">
        <v>2531</v>
      </c>
      <c r="Q104" t="s">
        <v>2545</v>
      </c>
      <c r="R104" s="31" t="s">
        <v>2607</v>
      </c>
      <c r="S104" s="7"/>
      <c r="T104" s="7">
        <v>32400</v>
      </c>
      <c r="U104" s="7">
        <v>31000</v>
      </c>
      <c r="V104" s="7">
        <f t="shared" si="8"/>
        <v>-1400</v>
      </c>
      <c r="W104" s="5">
        <f t="shared" si="10"/>
        <v>-4.3209876543209874E-2</v>
      </c>
      <c r="X104" s="126" t="s">
        <v>2703</v>
      </c>
      <c r="Y104" s="34">
        <f>SUMPRODUCT((BIdetails!$J$5:$J$3000=M104)*(BIdetails!$K$5:$K$3000=N104)*(BIdetails!$M$5:$M$3000))</f>
        <v>0</v>
      </c>
      <c r="Z104" s="35"/>
      <c r="AA104" s="31"/>
      <c r="AB104" s="31"/>
      <c r="AC104" s="31"/>
      <c r="AD104" s="31"/>
    </row>
    <row r="105" spans="1:30" hidden="1" x14ac:dyDescent="0.25">
      <c r="A105" t="s">
        <v>2526</v>
      </c>
      <c r="B105" t="str">
        <f t="shared" si="7"/>
        <v>Decrease</v>
      </c>
      <c r="C105" t="s">
        <v>2567</v>
      </c>
      <c r="D105">
        <v>68427709</v>
      </c>
      <c r="E105" s="96" t="s">
        <v>34</v>
      </c>
      <c r="F105" t="s">
        <v>35</v>
      </c>
      <c r="G105" t="s">
        <v>31</v>
      </c>
      <c r="H105" t="s">
        <v>2033</v>
      </c>
      <c r="J105" t="s">
        <v>2032</v>
      </c>
      <c r="K105">
        <v>120252</v>
      </c>
      <c r="L105" t="s">
        <v>420</v>
      </c>
      <c r="M105" s="233"/>
      <c r="O105" s="26" t="s">
        <v>2531</v>
      </c>
      <c r="P105" s="26" t="s">
        <v>2531</v>
      </c>
      <c r="Q105" t="s">
        <v>2545</v>
      </c>
      <c r="R105" s="31" t="s">
        <v>2607</v>
      </c>
      <c r="S105" s="7"/>
      <c r="T105" s="7">
        <v>21600</v>
      </c>
      <c r="U105" s="7">
        <v>20700</v>
      </c>
      <c r="V105" s="7">
        <f t="shared" si="8"/>
        <v>-900</v>
      </c>
      <c r="W105" s="5">
        <f t="shared" si="10"/>
        <v>-4.1666666666666664E-2</v>
      </c>
      <c r="X105" s="126" t="s">
        <v>2703</v>
      </c>
      <c r="Y105" s="34">
        <f>SUMPRODUCT((BIdetails!$J$5:$J$3000=M105)*(BIdetails!$K$5:$K$3000=N105)*(BIdetails!$M$5:$M$3000))</f>
        <v>0</v>
      </c>
      <c r="Z105" s="35"/>
      <c r="AA105" s="31"/>
      <c r="AB105" s="31"/>
      <c r="AC105" s="31"/>
      <c r="AD105" s="31"/>
    </row>
    <row r="106" spans="1:30" hidden="1" x14ac:dyDescent="0.25">
      <c r="A106" t="s">
        <v>2526</v>
      </c>
      <c r="B106" t="str">
        <f t="shared" si="7"/>
        <v>Decrease</v>
      </c>
      <c r="C106" t="s">
        <v>2567</v>
      </c>
      <c r="D106">
        <v>68427709</v>
      </c>
      <c r="E106" s="96" t="s">
        <v>34</v>
      </c>
      <c r="F106" t="s">
        <v>35</v>
      </c>
      <c r="G106" t="s">
        <v>31</v>
      </c>
      <c r="H106" t="s">
        <v>2035</v>
      </c>
      <c r="J106" t="s">
        <v>2034</v>
      </c>
      <c r="K106">
        <v>120252</v>
      </c>
      <c r="L106" t="s">
        <v>420</v>
      </c>
      <c r="M106" s="233"/>
      <c r="O106" s="26" t="s">
        <v>2531</v>
      </c>
      <c r="P106" s="26" t="s">
        <v>2531</v>
      </c>
      <c r="Q106" t="s">
        <v>2545</v>
      </c>
      <c r="R106" s="31" t="s">
        <v>2607</v>
      </c>
      <c r="S106" s="7"/>
      <c r="T106" s="7">
        <v>43200</v>
      </c>
      <c r="U106" s="7">
        <v>41400</v>
      </c>
      <c r="V106" s="7">
        <f t="shared" si="8"/>
        <v>-1800</v>
      </c>
      <c r="W106" s="5">
        <f t="shared" si="10"/>
        <v>-4.1666666666666664E-2</v>
      </c>
      <c r="X106" s="126" t="s">
        <v>2703</v>
      </c>
      <c r="Y106" s="34">
        <f>SUMPRODUCT((BIdetails!$J$5:$J$3000=M106)*(BIdetails!$K$5:$K$3000=N106)*(BIdetails!$M$5:$M$3000))</f>
        <v>0</v>
      </c>
      <c r="Z106" s="35"/>
      <c r="AA106" s="31"/>
      <c r="AB106" s="31"/>
      <c r="AC106" s="31"/>
      <c r="AD106" s="31"/>
    </row>
    <row r="107" spans="1:30" hidden="1" x14ac:dyDescent="0.25">
      <c r="A107" t="s">
        <v>2526</v>
      </c>
      <c r="B107" t="str">
        <f t="shared" si="7"/>
        <v>Decrease</v>
      </c>
      <c r="C107" t="s">
        <v>2567</v>
      </c>
      <c r="D107">
        <v>68427709</v>
      </c>
      <c r="E107" s="96" t="s">
        <v>34</v>
      </c>
      <c r="F107" t="s">
        <v>35</v>
      </c>
      <c r="G107" t="s">
        <v>31</v>
      </c>
      <c r="H107" t="s">
        <v>2037</v>
      </c>
      <c r="J107" t="s">
        <v>2036</v>
      </c>
      <c r="K107">
        <v>120252</v>
      </c>
      <c r="L107" t="s">
        <v>420</v>
      </c>
      <c r="M107" s="233"/>
      <c r="O107" s="26" t="s">
        <v>2531</v>
      </c>
      <c r="P107" s="26" t="s">
        <v>2531</v>
      </c>
      <c r="Q107" s="253" t="s">
        <v>2532</v>
      </c>
      <c r="R107" s="31" t="s">
        <v>2607</v>
      </c>
      <c r="S107" s="7"/>
      <c r="T107" s="7">
        <v>10800</v>
      </c>
      <c r="U107" s="7">
        <v>10400</v>
      </c>
      <c r="V107" s="7">
        <f t="shared" si="8"/>
        <v>-400</v>
      </c>
      <c r="W107" s="5">
        <f t="shared" si="10"/>
        <v>-3.7037037037037035E-2</v>
      </c>
      <c r="X107" s="126" t="s">
        <v>2703</v>
      </c>
      <c r="Y107" s="34">
        <f>SUMPRODUCT((BIdetails!$J$5:$J$3000=M107)*(BIdetails!$K$5:$K$3000=N107)*(BIdetails!$M$5:$M$3000))</f>
        <v>0</v>
      </c>
      <c r="Z107" s="35"/>
      <c r="AA107" s="31"/>
      <c r="AB107" s="31"/>
      <c r="AC107" s="31"/>
      <c r="AD107" s="31"/>
    </row>
    <row r="108" spans="1:30" hidden="1" x14ac:dyDescent="0.25">
      <c r="A108" t="s">
        <v>2526</v>
      </c>
      <c r="B108" t="str">
        <f t="shared" si="7"/>
        <v>Decrease</v>
      </c>
      <c r="C108" t="s">
        <v>2567</v>
      </c>
      <c r="D108">
        <v>68427709</v>
      </c>
      <c r="E108" s="96" t="s">
        <v>34</v>
      </c>
      <c r="F108" t="s">
        <v>35</v>
      </c>
      <c r="G108" t="s">
        <v>31</v>
      </c>
      <c r="H108" t="s">
        <v>2039</v>
      </c>
      <c r="J108" t="s">
        <v>2038</v>
      </c>
      <c r="K108">
        <v>120252</v>
      </c>
      <c r="L108" t="s">
        <v>420</v>
      </c>
      <c r="M108" s="233"/>
      <c r="O108" s="26" t="s">
        <v>2531</v>
      </c>
      <c r="P108" s="26" t="s">
        <v>2531</v>
      </c>
      <c r="Q108" t="s">
        <v>2545</v>
      </c>
      <c r="R108" s="31" t="s">
        <v>2607</v>
      </c>
      <c r="S108" s="7"/>
      <c r="T108" s="7">
        <v>10800</v>
      </c>
      <c r="U108" s="7">
        <v>10400</v>
      </c>
      <c r="V108" s="7">
        <f t="shared" si="8"/>
        <v>-400</v>
      </c>
      <c r="W108" s="5">
        <f t="shared" si="10"/>
        <v>-3.7037037037037035E-2</v>
      </c>
      <c r="X108" s="126" t="s">
        <v>2703</v>
      </c>
      <c r="Y108" s="34">
        <f>SUMPRODUCT((BIdetails!$J$5:$J$3000=M108)*(BIdetails!$K$5:$K$3000=N108)*(BIdetails!$M$5:$M$3000))</f>
        <v>0</v>
      </c>
      <c r="Z108" s="35"/>
      <c r="AA108" s="31"/>
      <c r="AB108" s="31"/>
      <c r="AC108" s="31"/>
      <c r="AD108" s="31"/>
    </row>
    <row r="109" spans="1:30" hidden="1" x14ac:dyDescent="0.25">
      <c r="A109" t="s">
        <v>2526</v>
      </c>
      <c r="B109" t="str">
        <f t="shared" si="7"/>
        <v>Decrease</v>
      </c>
      <c r="C109" t="s">
        <v>2567</v>
      </c>
      <c r="D109">
        <v>68427709</v>
      </c>
      <c r="E109" s="96" t="s">
        <v>34</v>
      </c>
      <c r="F109" t="s">
        <v>35</v>
      </c>
      <c r="G109" t="s">
        <v>31</v>
      </c>
      <c r="H109" t="s">
        <v>2041</v>
      </c>
      <c r="J109" t="s">
        <v>2040</v>
      </c>
      <c r="K109">
        <v>120252</v>
      </c>
      <c r="L109" t="s">
        <v>420</v>
      </c>
      <c r="M109" s="233"/>
      <c r="O109" s="26" t="s">
        <v>2531</v>
      </c>
      <c r="P109" s="26" t="s">
        <v>2531</v>
      </c>
      <c r="Q109" t="s">
        <v>2545</v>
      </c>
      <c r="R109" s="31" t="s">
        <v>2607</v>
      </c>
      <c r="S109" s="7"/>
      <c r="T109" s="7">
        <v>43200</v>
      </c>
      <c r="U109" s="7">
        <v>41400</v>
      </c>
      <c r="V109" s="7">
        <f t="shared" si="8"/>
        <v>-1800</v>
      </c>
      <c r="W109" s="5">
        <f t="shared" si="10"/>
        <v>-4.1666666666666664E-2</v>
      </c>
      <c r="X109" s="126" t="s">
        <v>2703</v>
      </c>
      <c r="Y109" s="34">
        <f>SUMPRODUCT((BIdetails!$J$5:$J$3000=M109)*(BIdetails!$K$5:$K$3000=N109)*(BIdetails!$M$5:$M$3000))</f>
        <v>0</v>
      </c>
      <c r="Z109" s="35"/>
      <c r="AA109" s="31"/>
      <c r="AB109" s="31"/>
      <c r="AC109" s="31"/>
      <c r="AD109" s="31"/>
    </row>
    <row r="110" spans="1:30" hidden="1" x14ac:dyDescent="0.25">
      <c r="A110" t="s">
        <v>2526</v>
      </c>
      <c r="B110" t="str">
        <f t="shared" si="7"/>
        <v>Decrease</v>
      </c>
      <c r="C110" t="s">
        <v>2567</v>
      </c>
      <c r="D110">
        <v>68427709</v>
      </c>
      <c r="E110" s="96" t="s">
        <v>34</v>
      </c>
      <c r="F110" t="s">
        <v>35</v>
      </c>
      <c r="G110" t="s">
        <v>31</v>
      </c>
      <c r="H110" t="s">
        <v>2043</v>
      </c>
      <c r="J110" t="s">
        <v>2042</v>
      </c>
      <c r="K110">
        <v>120252</v>
      </c>
      <c r="L110" t="s">
        <v>420</v>
      </c>
      <c r="M110" s="233"/>
      <c r="O110" s="26" t="s">
        <v>2531</v>
      </c>
      <c r="P110" s="26" t="s">
        <v>2531</v>
      </c>
      <c r="Q110" t="s">
        <v>2545</v>
      </c>
      <c r="R110" s="31" t="s">
        <v>2607</v>
      </c>
      <c r="S110" s="7"/>
      <c r="T110" s="7">
        <v>108000</v>
      </c>
      <c r="U110" s="7">
        <v>103300</v>
      </c>
      <c r="V110" s="7">
        <f t="shared" si="8"/>
        <v>-4700</v>
      </c>
      <c r="W110" s="5">
        <f t="shared" si="10"/>
        <v>-4.3518518518518519E-2</v>
      </c>
      <c r="X110" s="126" t="s">
        <v>2703</v>
      </c>
      <c r="Y110" s="34">
        <f>SUMPRODUCT((BIdetails!$J$5:$J$3000=M110)*(BIdetails!$K$5:$K$3000=N110)*(BIdetails!$M$5:$M$3000))</f>
        <v>0</v>
      </c>
      <c r="Z110" s="35"/>
      <c r="AA110" s="31"/>
      <c r="AB110" s="31"/>
      <c r="AC110" s="31"/>
      <c r="AD110" s="31"/>
    </row>
    <row r="111" spans="1:30" hidden="1" x14ac:dyDescent="0.25">
      <c r="A111" t="s">
        <v>2526</v>
      </c>
      <c r="B111" t="str">
        <f t="shared" si="7"/>
        <v>Decrease</v>
      </c>
      <c r="C111" t="s">
        <v>2567</v>
      </c>
      <c r="D111">
        <v>68427709</v>
      </c>
      <c r="E111" s="96" t="s">
        <v>34</v>
      </c>
      <c r="F111" t="s">
        <v>35</v>
      </c>
      <c r="G111" t="s">
        <v>31</v>
      </c>
      <c r="H111" t="s">
        <v>2045</v>
      </c>
      <c r="J111" t="s">
        <v>2044</v>
      </c>
      <c r="K111">
        <v>120252</v>
      </c>
      <c r="L111" t="s">
        <v>420</v>
      </c>
      <c r="M111" s="233"/>
      <c r="O111" s="26" t="s">
        <v>2531</v>
      </c>
      <c r="P111" s="26" t="s">
        <v>2531</v>
      </c>
      <c r="Q111" t="s">
        <v>2545</v>
      </c>
      <c r="R111" s="31" t="s">
        <v>2607</v>
      </c>
      <c r="S111" s="7"/>
      <c r="T111" s="7">
        <v>43200</v>
      </c>
      <c r="U111" s="7">
        <v>41400</v>
      </c>
      <c r="V111" s="7">
        <f t="shared" si="8"/>
        <v>-1800</v>
      </c>
      <c r="W111" s="5">
        <f t="shared" si="10"/>
        <v>-4.1666666666666664E-2</v>
      </c>
      <c r="X111" s="126" t="s">
        <v>2703</v>
      </c>
      <c r="Y111" s="34">
        <f>SUMPRODUCT((BIdetails!$J$5:$J$3000=M111)*(BIdetails!$K$5:$K$3000=N111)*(BIdetails!$M$5:$M$3000))</f>
        <v>0</v>
      </c>
      <c r="Z111" s="35"/>
      <c r="AA111" s="31"/>
      <c r="AB111" s="31"/>
      <c r="AC111" s="31"/>
      <c r="AD111" s="31"/>
    </row>
    <row r="112" spans="1:30" hidden="1" x14ac:dyDescent="0.25">
      <c r="A112" t="s">
        <v>2526</v>
      </c>
      <c r="B112" t="str">
        <f t="shared" si="7"/>
        <v>Decrease</v>
      </c>
      <c r="C112" t="s">
        <v>2567</v>
      </c>
      <c r="D112">
        <v>68427709</v>
      </c>
      <c r="E112" s="96" t="s">
        <v>34</v>
      </c>
      <c r="F112" t="s">
        <v>35</v>
      </c>
      <c r="G112" t="s">
        <v>31</v>
      </c>
      <c r="H112" t="s">
        <v>2047</v>
      </c>
      <c r="J112" t="s">
        <v>2046</v>
      </c>
      <c r="K112">
        <v>120252</v>
      </c>
      <c r="L112" t="s">
        <v>420</v>
      </c>
      <c r="M112" s="233"/>
      <c r="O112" s="26" t="s">
        <v>2531</v>
      </c>
      <c r="P112" s="26" t="s">
        <v>2531</v>
      </c>
      <c r="Q112" t="s">
        <v>2545</v>
      </c>
      <c r="R112" s="31" t="s">
        <v>2607</v>
      </c>
      <c r="S112" s="7"/>
      <c r="T112" s="7">
        <v>10800</v>
      </c>
      <c r="U112" s="7">
        <v>10400</v>
      </c>
      <c r="V112" s="7">
        <f t="shared" si="8"/>
        <v>-400</v>
      </c>
      <c r="W112" s="5">
        <f t="shared" si="10"/>
        <v>-3.7037037037037035E-2</v>
      </c>
      <c r="X112" s="126" t="s">
        <v>2703</v>
      </c>
      <c r="Y112" s="34">
        <f>SUMPRODUCT((BIdetails!$J$5:$J$3000=M112)*(BIdetails!$K$5:$K$3000=N112)*(BIdetails!$M$5:$M$3000))</f>
        <v>0</v>
      </c>
      <c r="Z112" s="35"/>
      <c r="AA112" s="31"/>
      <c r="AB112" s="31"/>
      <c r="AC112" s="31"/>
      <c r="AD112" s="31"/>
    </row>
    <row r="113" spans="1:31" hidden="1" x14ac:dyDescent="0.25">
      <c r="A113" t="s">
        <v>2526</v>
      </c>
      <c r="B113" t="str">
        <f t="shared" si="7"/>
        <v>Decrease</v>
      </c>
      <c r="C113" t="s">
        <v>2567</v>
      </c>
      <c r="D113">
        <v>68427709</v>
      </c>
      <c r="E113" s="96" t="s">
        <v>34</v>
      </c>
      <c r="F113" t="s">
        <v>35</v>
      </c>
      <c r="G113" t="s">
        <v>31</v>
      </c>
      <c r="H113" t="s">
        <v>2049</v>
      </c>
      <c r="J113" t="s">
        <v>2048</v>
      </c>
      <c r="K113">
        <v>120252</v>
      </c>
      <c r="L113" t="s">
        <v>420</v>
      </c>
      <c r="M113" s="233"/>
      <c r="O113" s="26" t="s">
        <v>2531</v>
      </c>
      <c r="P113" s="26" t="s">
        <v>2531</v>
      </c>
      <c r="Q113" t="s">
        <v>2545</v>
      </c>
      <c r="R113" s="31" t="s">
        <v>2607</v>
      </c>
      <c r="S113" s="7"/>
      <c r="T113" s="7">
        <v>10800</v>
      </c>
      <c r="U113" s="7">
        <v>10400</v>
      </c>
      <c r="V113" s="7">
        <f t="shared" si="8"/>
        <v>-400</v>
      </c>
      <c r="W113" s="5">
        <f t="shared" si="10"/>
        <v>-3.7037037037037035E-2</v>
      </c>
      <c r="X113" s="126" t="s">
        <v>2703</v>
      </c>
      <c r="Y113" s="34">
        <f>SUMPRODUCT((BIdetails!$J$5:$J$3000=M113)*(BIdetails!$K$5:$K$3000=N113)*(BIdetails!$M$5:$M$3000))</f>
        <v>0</v>
      </c>
      <c r="Z113" s="35">
        <f t="shared" ref="Z113:Z137" si="11">IF(U113=0,"",(Y113/U113))</f>
        <v>0</v>
      </c>
      <c r="AA113" s="31"/>
      <c r="AB113" s="31"/>
      <c r="AC113" s="31"/>
      <c r="AD113" s="31"/>
      <c r="AE113">
        <v>3310</v>
      </c>
    </row>
    <row r="114" spans="1:31" hidden="1" x14ac:dyDescent="0.25">
      <c r="A114" t="s">
        <v>2526</v>
      </c>
      <c r="B114" t="str">
        <f t="shared" si="7"/>
        <v>Decrease</v>
      </c>
      <c r="C114" t="s">
        <v>2567</v>
      </c>
      <c r="D114">
        <v>68427709</v>
      </c>
      <c r="E114" s="96" t="s">
        <v>34</v>
      </c>
      <c r="F114" t="s">
        <v>35</v>
      </c>
      <c r="G114" t="s">
        <v>31</v>
      </c>
      <c r="H114" t="s">
        <v>2051</v>
      </c>
      <c r="J114" t="s">
        <v>2050</v>
      </c>
      <c r="K114">
        <v>120252</v>
      </c>
      <c r="L114" t="s">
        <v>420</v>
      </c>
      <c r="M114" s="233"/>
      <c r="O114" s="26" t="s">
        <v>2531</v>
      </c>
      <c r="P114" s="26" t="s">
        <v>2531</v>
      </c>
      <c r="Q114" t="s">
        <v>2545</v>
      </c>
      <c r="R114" s="31" t="s">
        <v>2607</v>
      </c>
      <c r="S114" s="7"/>
      <c r="T114" s="7">
        <v>32400</v>
      </c>
      <c r="U114" s="7">
        <v>31000</v>
      </c>
      <c r="V114" s="7">
        <f t="shared" si="8"/>
        <v>-1400</v>
      </c>
      <c r="W114" s="5">
        <f t="shared" si="10"/>
        <v>-4.3209876543209874E-2</v>
      </c>
      <c r="X114" s="126" t="s">
        <v>2703</v>
      </c>
      <c r="Y114" s="34">
        <f>SUMPRODUCT((BIdetails!$J$5:$J$3000=M114)*(BIdetails!$K$5:$K$3000=N114)*(BIdetails!$M$5:$M$3000))</f>
        <v>0</v>
      </c>
      <c r="Z114" s="35">
        <f t="shared" si="11"/>
        <v>0</v>
      </c>
      <c r="AA114" s="31"/>
      <c r="AB114" s="31"/>
      <c r="AC114" s="31"/>
      <c r="AD114" s="31"/>
      <c r="AE114">
        <v>3320</v>
      </c>
    </row>
    <row r="115" spans="1:31" hidden="1" x14ac:dyDescent="0.25">
      <c r="A115" t="s">
        <v>2526</v>
      </c>
      <c r="B115" t="str">
        <f t="shared" si="7"/>
        <v>Decrease</v>
      </c>
      <c r="C115" t="s">
        <v>2567</v>
      </c>
      <c r="D115">
        <v>68427709</v>
      </c>
      <c r="E115" s="96" t="s">
        <v>34</v>
      </c>
      <c r="F115" t="s">
        <v>35</v>
      </c>
      <c r="G115" t="s">
        <v>31</v>
      </c>
      <c r="H115" t="s">
        <v>2053</v>
      </c>
      <c r="J115" t="s">
        <v>2052</v>
      </c>
      <c r="K115">
        <v>120252</v>
      </c>
      <c r="L115" t="s">
        <v>420</v>
      </c>
      <c r="M115" s="233"/>
      <c r="N115" s="100"/>
      <c r="O115" s="26" t="s">
        <v>2531</v>
      </c>
      <c r="P115" s="26" t="s">
        <v>2531</v>
      </c>
      <c r="Q115" t="s">
        <v>2545</v>
      </c>
      <c r="R115" s="31" t="s">
        <v>2607</v>
      </c>
      <c r="S115" s="7"/>
      <c r="T115" s="7">
        <v>32400</v>
      </c>
      <c r="U115" s="7">
        <v>31000</v>
      </c>
      <c r="V115" s="7">
        <f t="shared" si="8"/>
        <v>-1400</v>
      </c>
      <c r="W115" s="5">
        <f t="shared" si="10"/>
        <v>-4.3209876543209874E-2</v>
      </c>
      <c r="X115" s="126" t="s">
        <v>2703</v>
      </c>
      <c r="Y115" s="34">
        <f>SUMPRODUCT((BIdetails!$J$5:$J$3000=M115)*(BIdetails!$K$5:$K$3000=N115)*(BIdetails!$M$5:$M$3000))</f>
        <v>0</v>
      </c>
      <c r="Z115" s="35">
        <f t="shared" si="11"/>
        <v>0</v>
      </c>
      <c r="AA115" s="31"/>
      <c r="AB115" s="31"/>
      <c r="AC115" s="31"/>
      <c r="AD115" s="31"/>
      <c r="AE115">
        <v>3330</v>
      </c>
    </row>
    <row r="116" spans="1:31" hidden="1" x14ac:dyDescent="0.25">
      <c r="A116" t="s">
        <v>2526</v>
      </c>
      <c r="B116" t="str">
        <f t="shared" si="7"/>
        <v>Decrease</v>
      </c>
      <c r="C116" t="s">
        <v>2567</v>
      </c>
      <c r="D116">
        <v>68427709</v>
      </c>
      <c r="E116" s="96" t="s">
        <v>34</v>
      </c>
      <c r="F116" t="s">
        <v>35</v>
      </c>
      <c r="G116" t="s">
        <v>31</v>
      </c>
      <c r="H116" t="s">
        <v>2055</v>
      </c>
      <c r="J116" t="s">
        <v>2054</v>
      </c>
      <c r="K116">
        <v>120252</v>
      </c>
      <c r="L116" t="s">
        <v>420</v>
      </c>
      <c r="M116" s="233"/>
      <c r="N116" s="99"/>
      <c r="O116" s="26" t="s">
        <v>2531</v>
      </c>
      <c r="P116" s="26" t="s">
        <v>2531</v>
      </c>
      <c r="Q116" t="s">
        <v>2545</v>
      </c>
      <c r="R116" s="31" t="s">
        <v>2607</v>
      </c>
      <c r="S116" s="7"/>
      <c r="T116" s="7">
        <v>10800</v>
      </c>
      <c r="U116" s="7">
        <v>10400</v>
      </c>
      <c r="V116" s="7">
        <f t="shared" si="8"/>
        <v>-400</v>
      </c>
      <c r="W116" s="5">
        <f t="shared" si="10"/>
        <v>-3.7037037037037035E-2</v>
      </c>
      <c r="X116" s="126" t="s">
        <v>2703</v>
      </c>
      <c r="Y116" s="34">
        <f>SUMPRODUCT((BIdetails!$J$5:$J$3000=M116)*(BIdetails!$K$5:$K$3000=N116)*(BIdetails!$M$5:$M$3000))</f>
        <v>0</v>
      </c>
      <c r="Z116" s="35">
        <f t="shared" si="11"/>
        <v>0</v>
      </c>
      <c r="AA116" s="31"/>
      <c r="AB116" s="31"/>
      <c r="AC116" s="31"/>
      <c r="AD116" s="31"/>
      <c r="AE116">
        <v>3340</v>
      </c>
    </row>
    <row r="117" spans="1:31" hidden="1" x14ac:dyDescent="0.25">
      <c r="A117" t="s">
        <v>2526</v>
      </c>
      <c r="B117" t="str">
        <f t="shared" si="7"/>
        <v>Decrease</v>
      </c>
      <c r="C117" t="s">
        <v>2567</v>
      </c>
      <c r="D117">
        <v>68427709</v>
      </c>
      <c r="E117" s="96" t="s">
        <v>34</v>
      </c>
      <c r="F117" t="s">
        <v>35</v>
      </c>
      <c r="G117" t="s">
        <v>31</v>
      </c>
      <c r="H117" t="s">
        <v>2057</v>
      </c>
      <c r="J117" t="s">
        <v>2056</v>
      </c>
      <c r="K117">
        <v>120252</v>
      </c>
      <c r="L117" t="s">
        <v>420</v>
      </c>
      <c r="M117" s="233"/>
      <c r="O117" s="26" t="s">
        <v>2531</v>
      </c>
      <c r="P117" s="26" t="s">
        <v>2531</v>
      </c>
      <c r="Q117" t="s">
        <v>2545</v>
      </c>
      <c r="R117" s="31" t="s">
        <v>2607</v>
      </c>
      <c r="S117" s="7"/>
      <c r="T117" s="7">
        <v>10800</v>
      </c>
      <c r="U117" s="7">
        <v>10400</v>
      </c>
      <c r="V117" s="7">
        <f t="shared" si="8"/>
        <v>-400</v>
      </c>
      <c r="W117" s="5">
        <f t="shared" si="10"/>
        <v>-3.7037037037037035E-2</v>
      </c>
      <c r="X117" s="126" t="s">
        <v>2703</v>
      </c>
      <c r="Y117" s="34">
        <f>SUMPRODUCT((BIdetails!$J$5:$J$3000=M117)*(BIdetails!$K$5:$K$3000=N117)*(BIdetails!$M$5:$M$3000))</f>
        <v>0</v>
      </c>
      <c r="Z117" s="35">
        <f t="shared" si="11"/>
        <v>0</v>
      </c>
      <c r="AA117" s="31"/>
      <c r="AB117" s="31"/>
      <c r="AC117" s="31"/>
      <c r="AD117" s="31"/>
      <c r="AE117">
        <v>3350</v>
      </c>
    </row>
    <row r="118" spans="1:31" hidden="1" x14ac:dyDescent="0.25">
      <c r="A118" t="s">
        <v>2526</v>
      </c>
      <c r="B118" t="str">
        <f t="shared" si="7"/>
        <v>Decrease</v>
      </c>
      <c r="C118" t="s">
        <v>2567</v>
      </c>
      <c r="D118">
        <v>68427709</v>
      </c>
      <c r="E118" s="96" t="s">
        <v>34</v>
      </c>
      <c r="F118" t="s">
        <v>35</v>
      </c>
      <c r="G118" t="s">
        <v>31</v>
      </c>
      <c r="H118" t="s">
        <v>2059</v>
      </c>
      <c r="J118" t="s">
        <v>2058</v>
      </c>
      <c r="K118">
        <v>120252</v>
      </c>
      <c r="L118" t="s">
        <v>420</v>
      </c>
      <c r="M118" s="233"/>
      <c r="O118" s="26" t="s">
        <v>2531</v>
      </c>
      <c r="P118" s="26" t="s">
        <v>2531</v>
      </c>
      <c r="Q118" t="s">
        <v>2545</v>
      </c>
      <c r="R118" s="31" t="s">
        <v>2607</v>
      </c>
      <c r="S118" s="7"/>
      <c r="T118" s="7">
        <v>21600</v>
      </c>
      <c r="U118" s="7">
        <v>20700</v>
      </c>
      <c r="V118" s="7">
        <f t="shared" si="8"/>
        <v>-900</v>
      </c>
      <c r="W118" s="5">
        <f t="shared" si="10"/>
        <v>-4.1666666666666664E-2</v>
      </c>
      <c r="X118" s="126" t="s">
        <v>2703</v>
      </c>
      <c r="Y118" s="34">
        <f>SUMPRODUCT((BIdetails!$J$5:$J$3000=M118)*(BIdetails!$K$5:$K$3000=N118)*(BIdetails!$M$5:$M$3000))</f>
        <v>0</v>
      </c>
      <c r="Z118" s="35">
        <f t="shared" si="11"/>
        <v>0</v>
      </c>
      <c r="AA118" s="31"/>
      <c r="AB118" s="31"/>
      <c r="AC118" s="31"/>
      <c r="AD118" s="31"/>
      <c r="AE118">
        <v>3360</v>
      </c>
    </row>
    <row r="119" spans="1:31" hidden="1" x14ac:dyDescent="0.25">
      <c r="A119" t="s">
        <v>2526</v>
      </c>
      <c r="B119" t="str">
        <f t="shared" si="7"/>
        <v>Decrease</v>
      </c>
      <c r="C119" t="s">
        <v>2567</v>
      </c>
      <c r="D119">
        <v>68427709</v>
      </c>
      <c r="E119" s="96" t="s">
        <v>34</v>
      </c>
      <c r="F119" t="s">
        <v>35</v>
      </c>
      <c r="G119" t="s">
        <v>31</v>
      </c>
      <c r="H119" t="s">
        <v>2061</v>
      </c>
      <c r="J119" t="s">
        <v>2060</v>
      </c>
      <c r="K119">
        <v>120252</v>
      </c>
      <c r="L119" t="s">
        <v>420</v>
      </c>
      <c r="M119" s="233"/>
      <c r="O119" s="26" t="s">
        <v>2531</v>
      </c>
      <c r="P119" s="26" t="s">
        <v>2531</v>
      </c>
      <c r="Q119" t="s">
        <v>2545</v>
      </c>
      <c r="R119" s="31" t="s">
        <v>2607</v>
      </c>
      <c r="S119" s="7"/>
      <c r="T119" s="7">
        <v>10800</v>
      </c>
      <c r="U119" s="7">
        <v>10400</v>
      </c>
      <c r="V119" s="7">
        <f t="shared" si="8"/>
        <v>-400</v>
      </c>
      <c r="W119" s="5">
        <f t="shared" si="10"/>
        <v>-3.7037037037037035E-2</v>
      </c>
      <c r="X119" s="126" t="s">
        <v>2703</v>
      </c>
      <c r="Y119" s="34">
        <f>SUMPRODUCT((BIdetails!$J$5:$J$3000=M119)*(BIdetails!$K$5:$K$3000=N119)*(BIdetails!$M$5:$M$3000))</f>
        <v>0</v>
      </c>
      <c r="Z119" s="35">
        <f t="shared" si="11"/>
        <v>0</v>
      </c>
      <c r="AA119" s="31"/>
      <c r="AB119" s="31"/>
      <c r="AC119" s="31"/>
      <c r="AD119" s="31"/>
      <c r="AE119">
        <v>3370</v>
      </c>
    </row>
    <row r="120" spans="1:31" hidden="1" x14ac:dyDescent="0.25">
      <c r="A120" t="s">
        <v>2526</v>
      </c>
      <c r="B120" t="str">
        <f t="shared" si="7"/>
        <v>Decrease</v>
      </c>
      <c r="C120" t="s">
        <v>2567</v>
      </c>
      <c r="D120">
        <v>68427709</v>
      </c>
      <c r="E120" s="96" t="s">
        <v>34</v>
      </c>
      <c r="F120" t="s">
        <v>35</v>
      </c>
      <c r="G120" t="s">
        <v>31</v>
      </c>
      <c r="H120" t="s">
        <v>2063</v>
      </c>
      <c r="J120" t="s">
        <v>2062</v>
      </c>
      <c r="K120">
        <v>120252</v>
      </c>
      <c r="L120" t="s">
        <v>420</v>
      </c>
      <c r="M120" s="233"/>
      <c r="O120" t="s">
        <v>2531</v>
      </c>
      <c r="P120" s="98" t="s">
        <v>2531</v>
      </c>
      <c r="Q120" t="s">
        <v>2545</v>
      </c>
      <c r="R120" t="s">
        <v>2607</v>
      </c>
      <c r="S120" s="7"/>
      <c r="T120" s="7">
        <v>10800</v>
      </c>
      <c r="U120" s="7">
        <v>10400</v>
      </c>
      <c r="V120" s="7">
        <f t="shared" si="8"/>
        <v>-400</v>
      </c>
      <c r="W120" s="5">
        <f t="shared" si="10"/>
        <v>-3.7037037037037035E-2</v>
      </c>
      <c r="X120" s="126" t="s">
        <v>2703</v>
      </c>
      <c r="Y120" s="34">
        <f>SUMPRODUCT((BIdetails!$J$5:$J$3000=M120)*(BIdetails!$K$5:$K$3000=N120)*(BIdetails!$M$5:$M$3000))</f>
        <v>0</v>
      </c>
      <c r="Z120" s="35">
        <f t="shared" si="11"/>
        <v>0</v>
      </c>
      <c r="AA120" s="31"/>
      <c r="AB120" s="31"/>
      <c r="AC120" s="31"/>
      <c r="AD120" s="31"/>
      <c r="AE120">
        <v>3380</v>
      </c>
    </row>
    <row r="121" spans="1:31" hidden="1" x14ac:dyDescent="0.25">
      <c r="A121" t="s">
        <v>2526</v>
      </c>
      <c r="B121" t="str">
        <f t="shared" si="7"/>
        <v>No Change</v>
      </c>
      <c r="D121">
        <v>68427709</v>
      </c>
      <c r="E121" s="96" t="s">
        <v>49</v>
      </c>
      <c r="F121" t="s">
        <v>50</v>
      </c>
      <c r="G121" t="s">
        <v>42</v>
      </c>
      <c r="H121" t="s">
        <v>2704</v>
      </c>
      <c r="I121">
        <v>0</v>
      </c>
      <c r="J121" t="s">
        <v>2705</v>
      </c>
      <c r="K121" s="98">
        <v>120252</v>
      </c>
      <c r="L121" t="s">
        <v>420</v>
      </c>
      <c r="M121" s="233">
        <v>5400963739</v>
      </c>
      <c r="N121" s="21">
        <v>10</v>
      </c>
      <c r="O121" t="s">
        <v>2531</v>
      </c>
      <c r="P121" s="98" t="s">
        <v>186</v>
      </c>
      <c r="Q121" t="s">
        <v>2545</v>
      </c>
      <c r="R121" s="31" t="s">
        <v>2551</v>
      </c>
      <c r="S121" s="7">
        <v>5300</v>
      </c>
      <c r="T121" s="7">
        <v>5300</v>
      </c>
      <c r="U121" s="7">
        <v>5300</v>
      </c>
      <c r="V121" s="7">
        <f t="shared" si="8"/>
        <v>0</v>
      </c>
      <c r="W121" s="5">
        <f t="shared" si="10"/>
        <v>0</v>
      </c>
      <c r="X121" s="40"/>
      <c r="Y121" s="34">
        <f>SUMPRODUCT((BIdetails!$J$5:$J$3000=M121)*(BIdetails!$K$5:$K$3000=N121)*(BIdetails!$M$5:$M$3000))</f>
        <v>0</v>
      </c>
      <c r="Z121" s="35">
        <f t="shared" si="11"/>
        <v>0</v>
      </c>
      <c r="AA121" s="31" t="s">
        <v>610</v>
      </c>
      <c r="AB121" s="31" t="s">
        <v>2534</v>
      </c>
      <c r="AC121" s="31" t="s">
        <v>2558</v>
      </c>
      <c r="AD121" s="31"/>
      <c r="AE121">
        <v>1210</v>
      </c>
    </row>
    <row r="122" spans="1:31" hidden="1" x14ac:dyDescent="0.25">
      <c r="A122" t="s">
        <v>2570</v>
      </c>
      <c r="B122" t="str">
        <f t="shared" si="7"/>
        <v>New</v>
      </c>
      <c r="C122" t="s">
        <v>2567</v>
      </c>
      <c r="D122">
        <v>68427709</v>
      </c>
      <c r="E122" s="96" t="s">
        <v>34</v>
      </c>
      <c r="F122" t="s">
        <v>35</v>
      </c>
      <c r="G122" t="s">
        <v>31</v>
      </c>
      <c r="H122" t="s">
        <v>2215</v>
      </c>
      <c r="I122" t="s">
        <v>2630</v>
      </c>
      <c r="J122" t="s">
        <v>2631</v>
      </c>
      <c r="K122">
        <v>120252</v>
      </c>
      <c r="L122" t="s">
        <v>420</v>
      </c>
      <c r="M122" s="196">
        <v>5400963726</v>
      </c>
      <c r="N122" s="21">
        <v>10</v>
      </c>
      <c r="O122" s="26" t="s">
        <v>2190</v>
      </c>
      <c r="P122" s="26" t="s">
        <v>2190</v>
      </c>
      <c r="Q122" t="s">
        <v>2545</v>
      </c>
      <c r="R122" s="31" t="s">
        <v>2607</v>
      </c>
      <c r="S122" s="7">
        <v>1169944</v>
      </c>
      <c r="T122" s="7">
        <v>0</v>
      </c>
      <c r="U122" s="7">
        <v>100000</v>
      </c>
      <c r="V122" s="7">
        <f t="shared" si="8"/>
        <v>100000</v>
      </c>
      <c r="W122" s="5">
        <f t="shared" si="10"/>
        <v>1</v>
      </c>
      <c r="X122" s="6" t="s">
        <v>2457</v>
      </c>
      <c r="Y122" s="34">
        <f>SUMPRODUCT((BIdetails!$J$5:$J$3000=M122)*(BIdetails!$K$5:$K$3000=N122)*(BIdetails!$M$5:$M$3000))</f>
        <v>0</v>
      </c>
      <c r="Z122" s="35">
        <f t="shared" si="11"/>
        <v>0</v>
      </c>
      <c r="AA122" s="31"/>
      <c r="AB122" s="31"/>
      <c r="AC122" s="31"/>
      <c r="AD122" s="31"/>
      <c r="AE122">
        <v>460</v>
      </c>
    </row>
    <row r="123" spans="1:31" hidden="1" x14ac:dyDescent="0.25">
      <c r="A123" t="s">
        <v>2526</v>
      </c>
      <c r="B123" t="str">
        <f t="shared" si="7"/>
        <v>Increase</v>
      </c>
      <c r="C123" t="s">
        <v>2567</v>
      </c>
      <c r="D123">
        <v>68427709</v>
      </c>
      <c r="E123" s="96" t="s">
        <v>34</v>
      </c>
      <c r="F123" t="s">
        <v>35</v>
      </c>
      <c r="G123" t="s">
        <v>31</v>
      </c>
      <c r="H123" t="s">
        <v>2435</v>
      </c>
      <c r="I123" t="s">
        <v>2630</v>
      </c>
      <c r="J123" t="s">
        <v>2631</v>
      </c>
      <c r="K123">
        <v>120252</v>
      </c>
      <c r="L123" t="s">
        <v>420</v>
      </c>
      <c r="M123" s="196">
        <v>5400963733</v>
      </c>
      <c r="N123" s="21">
        <v>10</v>
      </c>
      <c r="O123" s="26" t="s">
        <v>2190</v>
      </c>
      <c r="P123" s="26" t="s">
        <v>2190</v>
      </c>
      <c r="Q123" t="s">
        <v>2545</v>
      </c>
      <c r="R123" s="31" t="s">
        <v>2607</v>
      </c>
      <c r="S123" s="7">
        <v>60000</v>
      </c>
      <c r="T123" s="7">
        <v>60000</v>
      </c>
      <c r="U123" s="7">
        <v>61500</v>
      </c>
      <c r="V123" s="7">
        <f t="shared" si="8"/>
        <v>1500</v>
      </c>
      <c r="W123" s="5">
        <f t="shared" si="10"/>
        <v>2.5000000000000001E-2</v>
      </c>
      <c r="X123" s="6"/>
      <c r="Y123" s="34">
        <f>SUMPRODUCT((BIdetails!$J$5:$J$3000=M123)*(BIdetails!$K$5:$K$3000=N123)*(BIdetails!$M$5:$M$3000))</f>
        <v>0</v>
      </c>
      <c r="Z123" s="35">
        <f t="shared" si="11"/>
        <v>0</v>
      </c>
      <c r="AA123" s="31" t="s">
        <v>610</v>
      </c>
      <c r="AB123" s="31" t="s">
        <v>2534</v>
      </c>
      <c r="AC123" s="31" t="s">
        <v>2558</v>
      </c>
      <c r="AD123" s="31"/>
      <c r="AE123">
        <v>470</v>
      </c>
    </row>
    <row r="124" spans="1:31" hidden="1" x14ac:dyDescent="0.25">
      <c r="A124" t="s">
        <v>2526</v>
      </c>
      <c r="B124" t="str">
        <f t="shared" si="7"/>
        <v>Decommissioned</v>
      </c>
      <c r="C124" t="s">
        <v>2567</v>
      </c>
      <c r="D124">
        <v>68427709</v>
      </c>
      <c r="E124" s="96" t="s">
        <v>34</v>
      </c>
      <c r="F124" t="s">
        <v>35</v>
      </c>
      <c r="G124" t="s">
        <v>31</v>
      </c>
      <c r="H124" t="s">
        <v>2275</v>
      </c>
      <c r="I124" t="s">
        <v>2630</v>
      </c>
      <c r="J124" t="s">
        <v>2631</v>
      </c>
      <c r="K124">
        <v>120252</v>
      </c>
      <c r="L124" t="s">
        <v>420</v>
      </c>
      <c r="M124" s="233">
        <v>5400963740</v>
      </c>
      <c r="N124" s="21">
        <v>10</v>
      </c>
      <c r="O124" s="98" t="s">
        <v>2531</v>
      </c>
      <c r="P124" s="98" t="s">
        <v>2531</v>
      </c>
      <c r="Q124" t="s">
        <v>2545</v>
      </c>
      <c r="R124" s="31" t="s">
        <v>2533</v>
      </c>
      <c r="S124" s="7">
        <v>60000</v>
      </c>
      <c r="T124" s="7">
        <v>60000</v>
      </c>
      <c r="U124" s="7">
        <v>0</v>
      </c>
      <c r="V124" s="7">
        <f t="shared" si="8"/>
        <v>-60000</v>
      </c>
      <c r="W124" s="5">
        <f t="shared" si="10"/>
        <v>-1</v>
      </c>
      <c r="X124" s="6" t="s">
        <v>2706</v>
      </c>
      <c r="Y124" s="34">
        <f>SUMPRODUCT((BIdetails!$J$5:$J$3000=M124)*(BIdetails!$K$5:$K$3000=N124)*(BIdetails!$M$5:$M$3000))</f>
        <v>0</v>
      </c>
      <c r="Z124" s="35" t="str">
        <f t="shared" si="11"/>
        <v/>
      </c>
      <c r="AA124" s="31" t="s">
        <v>610</v>
      </c>
      <c r="AB124" s="31" t="s">
        <v>2534</v>
      </c>
      <c r="AC124" s="31" t="s">
        <v>2558</v>
      </c>
      <c r="AD124" s="31"/>
      <c r="AE124">
        <v>510</v>
      </c>
    </row>
    <row r="125" spans="1:31" hidden="1" x14ac:dyDescent="0.25">
      <c r="A125" t="s">
        <v>2526</v>
      </c>
      <c r="B125" t="str">
        <f t="shared" ref="B125:B175" si="12">IF(T125=U125,"No Change",IF(AND(U125&lt;&gt;0,U125&lt;T125),"Decrease",IF(AND(U125&lt;&gt;0,T125=0),"New",IF(AND(T125&lt;&gt;0,U125=0),"Decommissioned","Increase"))))</f>
        <v>No Change</v>
      </c>
      <c r="C125" t="s">
        <v>2567</v>
      </c>
      <c r="D125">
        <v>68427709</v>
      </c>
      <c r="E125" s="96" t="s">
        <v>29</v>
      </c>
      <c r="F125" t="s">
        <v>30</v>
      </c>
      <c r="G125" s="98" t="s">
        <v>31</v>
      </c>
      <c r="H125" s="98" t="s">
        <v>237</v>
      </c>
      <c r="I125" t="s">
        <v>2707</v>
      </c>
      <c r="J125" t="s">
        <v>2708</v>
      </c>
      <c r="K125" s="98">
        <v>120252</v>
      </c>
      <c r="L125" t="s">
        <v>420</v>
      </c>
      <c r="M125" s="196">
        <v>5400963736</v>
      </c>
      <c r="N125" s="37">
        <v>10</v>
      </c>
      <c r="O125" s="98" t="s">
        <v>2531</v>
      </c>
      <c r="P125" s="98" t="s">
        <v>2531</v>
      </c>
      <c r="Q125" s="98" t="s">
        <v>2532</v>
      </c>
      <c r="R125" s="97" t="s">
        <v>2533</v>
      </c>
      <c r="S125" s="7">
        <v>60000</v>
      </c>
      <c r="T125" s="7">
        <v>60000</v>
      </c>
      <c r="U125" s="7">
        <v>60000</v>
      </c>
      <c r="V125" s="7">
        <f t="shared" ref="V125:V175" si="13">U125-T125</f>
        <v>0</v>
      </c>
      <c r="W125" s="5">
        <f t="shared" si="10"/>
        <v>0</v>
      </c>
      <c r="X125" s="6"/>
      <c r="Y125" s="34">
        <f>SUMPRODUCT((BIdetails!$J$5:$J$3000=M125)*(BIdetails!$K$5:$K$3000=N125)*(BIdetails!$M$5:$M$3000))</f>
        <v>0</v>
      </c>
      <c r="Z125" s="35">
        <f t="shared" si="11"/>
        <v>0</v>
      </c>
      <c r="AA125" s="31"/>
      <c r="AB125" s="31"/>
      <c r="AC125" s="31"/>
      <c r="AD125" s="31"/>
      <c r="AE125">
        <v>400</v>
      </c>
    </row>
    <row r="126" spans="1:31" hidden="1" x14ac:dyDescent="0.25">
      <c r="A126" t="s">
        <v>2526</v>
      </c>
      <c r="B126" t="str">
        <f t="shared" si="12"/>
        <v>No Change</v>
      </c>
      <c r="C126" t="s">
        <v>2567</v>
      </c>
      <c r="D126">
        <v>68427709</v>
      </c>
      <c r="E126" s="96" t="s">
        <v>29</v>
      </c>
      <c r="F126" t="s">
        <v>30</v>
      </c>
      <c r="G126" s="98" t="s">
        <v>31</v>
      </c>
      <c r="H126" s="98" t="s">
        <v>2709</v>
      </c>
      <c r="I126" t="s">
        <v>2554</v>
      </c>
      <c r="J126" t="s">
        <v>2647</v>
      </c>
      <c r="K126" s="98">
        <v>120252</v>
      </c>
      <c r="L126" s="98" t="s">
        <v>420</v>
      </c>
      <c r="M126" s="196">
        <v>5400963730</v>
      </c>
      <c r="N126" s="99">
        <v>10</v>
      </c>
      <c r="O126" s="98" t="s">
        <v>2531</v>
      </c>
      <c r="P126" s="98" t="s">
        <v>2531</v>
      </c>
      <c r="Q126" s="98" t="s">
        <v>2532</v>
      </c>
      <c r="R126" s="97" t="s">
        <v>2533</v>
      </c>
      <c r="S126" s="7">
        <v>2100000</v>
      </c>
      <c r="T126" s="7">
        <v>2100000</v>
      </c>
      <c r="U126" s="7">
        <v>2100000</v>
      </c>
      <c r="V126" s="7">
        <f t="shared" si="13"/>
        <v>0</v>
      </c>
      <c r="W126" s="5">
        <f t="shared" si="10"/>
        <v>0</v>
      </c>
      <c r="X126" s="6"/>
      <c r="Y126" s="34">
        <f>SUMPRODUCT((BIdetails!$J$5:$J$3000=M126)*(BIdetails!$K$5:$K$3000=N126)*(BIdetails!$M$5:$M$3000))</f>
        <v>0</v>
      </c>
      <c r="Z126" s="35">
        <f t="shared" si="11"/>
        <v>0</v>
      </c>
      <c r="AA126" s="31" t="s">
        <v>610</v>
      </c>
      <c r="AB126" s="31" t="s">
        <v>2534</v>
      </c>
      <c r="AC126" s="31" t="s">
        <v>2558</v>
      </c>
      <c r="AD126" s="31"/>
      <c r="AE126">
        <v>390</v>
      </c>
    </row>
    <row r="127" spans="1:31" hidden="1" x14ac:dyDescent="0.25">
      <c r="A127" t="s">
        <v>2526</v>
      </c>
      <c r="B127" t="str">
        <f t="shared" si="12"/>
        <v>No Change</v>
      </c>
      <c r="D127">
        <v>68427709</v>
      </c>
      <c r="E127" s="96" t="s">
        <v>29</v>
      </c>
      <c r="F127" t="s">
        <v>30</v>
      </c>
      <c r="G127" s="98" t="s">
        <v>31</v>
      </c>
      <c r="H127" s="98" t="s">
        <v>2710</v>
      </c>
      <c r="I127" t="s">
        <v>2554</v>
      </c>
      <c r="J127" t="s">
        <v>2647</v>
      </c>
      <c r="K127" s="98">
        <v>120252</v>
      </c>
      <c r="L127" s="98" t="s">
        <v>420</v>
      </c>
      <c r="O127" s="26" t="s">
        <v>2531</v>
      </c>
      <c r="P127" s="26" t="s">
        <v>2571</v>
      </c>
      <c r="Q127" t="s">
        <v>2532</v>
      </c>
      <c r="R127" s="97" t="s">
        <v>2533</v>
      </c>
      <c r="S127" s="7">
        <v>100000</v>
      </c>
      <c r="T127" s="7">
        <v>100000</v>
      </c>
      <c r="U127" s="7">
        <v>100000</v>
      </c>
      <c r="V127" s="7">
        <f t="shared" si="13"/>
        <v>0</v>
      </c>
      <c r="W127" s="5">
        <f t="shared" si="10"/>
        <v>0</v>
      </c>
      <c r="X127" s="126"/>
      <c r="Y127" s="34">
        <f>SUMPRODUCT((BIdetails!$J$5:$J$3000=M127)*(BIdetails!$K$5:$K$3000=N127)*(BIdetails!$M$5:$M$3000))</f>
        <v>0</v>
      </c>
      <c r="Z127" s="35">
        <f t="shared" si="11"/>
        <v>0</v>
      </c>
      <c r="AA127" s="31"/>
      <c r="AB127" s="31"/>
      <c r="AC127" s="31"/>
      <c r="AD127" s="31"/>
      <c r="AE127">
        <v>410</v>
      </c>
    </row>
    <row r="128" spans="1:31" hidden="1" x14ac:dyDescent="0.25">
      <c r="A128" t="s">
        <v>2526</v>
      </c>
      <c r="B128" t="str">
        <f t="shared" si="12"/>
        <v>Increase</v>
      </c>
      <c r="C128" t="s">
        <v>2711</v>
      </c>
      <c r="D128">
        <v>68427709</v>
      </c>
      <c r="E128" s="96" t="s">
        <v>53</v>
      </c>
      <c r="F128" t="s">
        <v>54</v>
      </c>
      <c r="G128" s="98" t="s">
        <v>42</v>
      </c>
      <c r="H128" t="s">
        <v>2416</v>
      </c>
      <c r="I128">
        <v>0</v>
      </c>
      <c r="J128" t="s">
        <v>2609</v>
      </c>
      <c r="K128" s="26">
        <v>209478</v>
      </c>
      <c r="L128" s="26" t="s">
        <v>2712</v>
      </c>
      <c r="M128" s="235">
        <v>5400912153</v>
      </c>
      <c r="N128" s="21">
        <v>20</v>
      </c>
      <c r="O128" s="26" t="s">
        <v>2531</v>
      </c>
      <c r="P128" s="26" t="s">
        <v>1752</v>
      </c>
      <c r="Q128" s="98" t="s">
        <v>2532</v>
      </c>
      <c r="R128" s="97" t="s">
        <v>2533</v>
      </c>
      <c r="S128" s="7">
        <v>305000</v>
      </c>
      <c r="T128" s="7">
        <v>305000</v>
      </c>
      <c r="U128" s="7">
        <v>352000</v>
      </c>
      <c r="V128" s="7">
        <f t="shared" si="13"/>
        <v>47000</v>
      </c>
      <c r="W128" s="5">
        <f t="shared" si="10"/>
        <v>0.1540983606557377</v>
      </c>
      <c r="X128" s="6" t="s">
        <v>2713</v>
      </c>
      <c r="Y128" s="34">
        <f>SUMPRODUCT((BIdetails!$J$5:$J$3000=M128)*(BIdetails!$K$5:$K$3000=N128)*(BIdetails!$M$5:$M$3000))</f>
        <v>0</v>
      </c>
      <c r="Z128" s="35">
        <f t="shared" si="11"/>
        <v>0</v>
      </c>
      <c r="AA128" s="31" t="s">
        <v>2541</v>
      </c>
      <c r="AB128" s="31" t="s">
        <v>2534</v>
      </c>
      <c r="AC128" s="31"/>
      <c r="AD128" s="31"/>
      <c r="AE128">
        <v>2120</v>
      </c>
    </row>
    <row r="129" spans="1:31" hidden="1" x14ac:dyDescent="0.25">
      <c r="A129" t="s">
        <v>2526</v>
      </c>
      <c r="B129" t="str">
        <f t="shared" si="12"/>
        <v>No Change</v>
      </c>
      <c r="C129" t="s">
        <v>2714</v>
      </c>
      <c r="D129">
        <v>68427709</v>
      </c>
      <c r="E129" s="96" t="s">
        <v>53</v>
      </c>
      <c r="F129" t="s">
        <v>54</v>
      </c>
      <c r="G129" t="s">
        <v>42</v>
      </c>
      <c r="H129" t="s">
        <v>962</v>
      </c>
      <c r="I129">
        <v>0</v>
      </c>
      <c r="J129" t="s">
        <v>2609</v>
      </c>
      <c r="K129" s="26">
        <v>209478</v>
      </c>
      <c r="L129" s="26" t="s">
        <v>2712</v>
      </c>
      <c r="M129" s="233">
        <v>5400912153</v>
      </c>
      <c r="N129" s="21">
        <v>20</v>
      </c>
      <c r="O129" t="s">
        <v>2531</v>
      </c>
      <c r="P129" s="26" t="s">
        <v>1752</v>
      </c>
      <c r="Q129" s="98" t="s">
        <v>2532</v>
      </c>
      <c r="R129" s="31" t="s">
        <v>2715</v>
      </c>
      <c r="S129" s="7">
        <v>120000</v>
      </c>
      <c r="T129" s="7">
        <v>157000</v>
      </c>
      <c r="U129" s="7">
        <v>157000</v>
      </c>
      <c r="V129" s="7">
        <f t="shared" si="13"/>
        <v>0</v>
      </c>
      <c r="W129" s="5">
        <f t="shared" si="10"/>
        <v>0</v>
      </c>
      <c r="X129" s="6"/>
      <c r="Y129" s="34">
        <f>SUMPRODUCT((BIdetails!$J$5:$J$3000=M129)*(BIdetails!$K$5:$K$3000=N129)*(BIdetails!$M$5:$M$3000))</f>
        <v>0</v>
      </c>
      <c r="Z129" s="35">
        <f t="shared" si="11"/>
        <v>0</v>
      </c>
      <c r="AA129" s="31"/>
      <c r="AB129" s="31"/>
      <c r="AC129" s="31"/>
      <c r="AD129" s="31"/>
      <c r="AE129">
        <v>2410</v>
      </c>
    </row>
    <row r="130" spans="1:31" hidden="1" x14ac:dyDescent="0.25">
      <c r="A130" t="s">
        <v>2526</v>
      </c>
      <c r="B130" t="str">
        <f t="shared" si="12"/>
        <v>No Change</v>
      </c>
      <c r="D130">
        <v>68427709</v>
      </c>
      <c r="E130" s="96" t="s">
        <v>53</v>
      </c>
      <c r="F130" t="s">
        <v>54</v>
      </c>
      <c r="G130" s="98" t="s">
        <v>42</v>
      </c>
      <c r="H130" s="26" t="s">
        <v>1759</v>
      </c>
      <c r="J130" t="s">
        <v>2716</v>
      </c>
      <c r="K130" s="26">
        <v>209478</v>
      </c>
      <c r="L130" s="26" t="s">
        <v>2712</v>
      </c>
      <c r="M130" s="233">
        <v>5400917805</v>
      </c>
      <c r="N130" s="21">
        <v>20</v>
      </c>
      <c r="O130" s="26" t="s">
        <v>2531</v>
      </c>
      <c r="P130" s="26" t="s">
        <v>1752</v>
      </c>
      <c r="Q130" t="s">
        <v>2545</v>
      </c>
      <c r="R130" s="31" t="s">
        <v>2715</v>
      </c>
      <c r="S130" s="7">
        <v>160000</v>
      </c>
      <c r="T130" s="7">
        <v>160000</v>
      </c>
      <c r="U130" s="7">
        <v>160000</v>
      </c>
      <c r="V130" s="7">
        <f t="shared" si="13"/>
        <v>0</v>
      </c>
      <c r="W130" s="5">
        <f t="shared" si="10"/>
        <v>0</v>
      </c>
      <c r="X130" s="126"/>
      <c r="Y130" s="34">
        <f>SUMPRODUCT((BIdetails!$J$5:$J$3000=M130)*(BIdetails!$K$5:$K$3000=N130)*(BIdetails!$M$5:$M$3000))</f>
        <v>0</v>
      </c>
      <c r="Z130" s="35">
        <f t="shared" si="11"/>
        <v>0</v>
      </c>
      <c r="AA130" s="31"/>
      <c r="AB130" s="31"/>
      <c r="AC130" s="31"/>
      <c r="AD130" s="31"/>
      <c r="AE130">
        <v>3200</v>
      </c>
    </row>
    <row r="131" spans="1:31" hidden="1" x14ac:dyDescent="0.25">
      <c r="A131" t="s">
        <v>2526</v>
      </c>
      <c r="B131" t="str">
        <f t="shared" si="12"/>
        <v>Increase</v>
      </c>
      <c r="D131">
        <v>68427709</v>
      </c>
      <c r="E131" s="96" t="s">
        <v>53</v>
      </c>
      <c r="F131" t="s">
        <v>54</v>
      </c>
      <c r="G131" s="98" t="s">
        <v>42</v>
      </c>
      <c r="H131" s="26" t="s">
        <v>1880</v>
      </c>
      <c r="J131" t="s">
        <v>2717</v>
      </c>
      <c r="K131" s="26">
        <v>207943</v>
      </c>
      <c r="L131" s="26" t="s">
        <v>2718</v>
      </c>
      <c r="M131" s="233">
        <v>5400938329</v>
      </c>
      <c r="N131" s="21">
        <v>20</v>
      </c>
      <c r="O131" s="26" t="s">
        <v>2531</v>
      </c>
      <c r="P131" s="26" t="s">
        <v>2280</v>
      </c>
      <c r="Q131" t="s">
        <v>2550</v>
      </c>
      <c r="R131" s="31" t="s">
        <v>280</v>
      </c>
      <c r="S131" s="7">
        <v>48000</v>
      </c>
      <c r="T131" s="7">
        <v>120000</v>
      </c>
      <c r="U131" s="7">
        <v>162000</v>
      </c>
      <c r="V131" s="7">
        <f t="shared" si="13"/>
        <v>42000</v>
      </c>
      <c r="W131" s="5">
        <f t="shared" si="10"/>
        <v>0.35</v>
      </c>
      <c r="X131" s="126" t="s">
        <v>2719</v>
      </c>
      <c r="Y131" s="34">
        <f>SUMPRODUCT((BIdetails!$J$5:$J$3000=M131)*(BIdetails!$K$5:$K$3000=N131)*(BIdetails!$M$5:$M$3000))</f>
        <v>0</v>
      </c>
      <c r="Z131" s="35">
        <f t="shared" si="11"/>
        <v>0</v>
      </c>
      <c r="AA131" s="31"/>
      <c r="AB131" s="31"/>
      <c r="AC131" s="31"/>
      <c r="AD131" s="31"/>
      <c r="AE131">
        <v>3270</v>
      </c>
    </row>
    <row r="132" spans="1:31" hidden="1" x14ac:dyDescent="0.25">
      <c r="A132" t="s">
        <v>2526</v>
      </c>
      <c r="B132" t="str">
        <f t="shared" si="12"/>
        <v>No Change</v>
      </c>
      <c r="C132" t="s">
        <v>2720</v>
      </c>
      <c r="D132">
        <v>68427719</v>
      </c>
      <c r="E132" s="96" t="s">
        <v>53</v>
      </c>
      <c r="F132" t="s">
        <v>54</v>
      </c>
      <c r="G132" t="s">
        <v>42</v>
      </c>
      <c r="H132" s="29" t="s">
        <v>2721</v>
      </c>
      <c r="I132">
        <v>0</v>
      </c>
      <c r="J132" t="s">
        <v>2722</v>
      </c>
      <c r="K132">
        <v>208651</v>
      </c>
      <c r="L132" t="s">
        <v>2723</v>
      </c>
      <c r="M132" s="196">
        <v>5400940738</v>
      </c>
      <c r="N132" s="21">
        <v>10</v>
      </c>
      <c r="O132" s="26" t="s">
        <v>2531</v>
      </c>
      <c r="P132" s="26" t="s">
        <v>2124</v>
      </c>
      <c r="Q132" t="s">
        <v>2613</v>
      </c>
      <c r="R132" s="97" t="s">
        <v>2596</v>
      </c>
      <c r="S132" s="7">
        <v>20000</v>
      </c>
      <c r="T132" s="7">
        <v>23000</v>
      </c>
      <c r="U132" s="7">
        <v>23000</v>
      </c>
      <c r="V132" s="7">
        <f t="shared" si="13"/>
        <v>0</v>
      </c>
      <c r="W132" s="5">
        <f t="shared" si="10"/>
        <v>0</v>
      </c>
      <c r="X132" s="126"/>
      <c r="Y132" s="34">
        <f>SUMPRODUCT((BIdetails!$J$5:$J$3000=M132)*(BIdetails!$K$5:$K$3000=N132)*(BIdetails!$M$5:$M$3000))</f>
        <v>0</v>
      </c>
      <c r="Z132" s="35">
        <f t="shared" si="11"/>
        <v>0</v>
      </c>
      <c r="AA132" s="31"/>
      <c r="AB132" s="31"/>
      <c r="AC132" s="31"/>
      <c r="AD132" s="31"/>
      <c r="AE132">
        <v>2280</v>
      </c>
    </row>
    <row r="133" spans="1:31" hidden="1" x14ac:dyDescent="0.25">
      <c r="A133" t="s">
        <v>2526</v>
      </c>
      <c r="B133" t="str">
        <f t="shared" si="12"/>
        <v>Increase</v>
      </c>
      <c r="C133" t="s">
        <v>2724</v>
      </c>
      <c r="D133">
        <v>68427709</v>
      </c>
      <c r="E133" s="96" t="s">
        <v>53</v>
      </c>
      <c r="F133" t="s">
        <v>54</v>
      </c>
      <c r="G133" t="s">
        <v>42</v>
      </c>
      <c r="H133" t="s">
        <v>629</v>
      </c>
      <c r="I133" t="s">
        <v>2590</v>
      </c>
      <c r="J133" t="s">
        <v>2725</v>
      </c>
      <c r="K133">
        <v>198968</v>
      </c>
      <c r="L133" t="s">
        <v>2726</v>
      </c>
      <c r="M133" s="233">
        <v>5400941634</v>
      </c>
      <c r="N133" s="21">
        <v>10</v>
      </c>
      <c r="O133" s="26" t="s">
        <v>2531</v>
      </c>
      <c r="P133" s="26" t="s">
        <v>2290</v>
      </c>
      <c r="Q133" t="s">
        <v>2545</v>
      </c>
      <c r="R133" s="31" t="s">
        <v>2533</v>
      </c>
      <c r="S133" s="7">
        <v>2500</v>
      </c>
      <c r="T133" s="7">
        <v>4000</v>
      </c>
      <c r="U133" s="7">
        <v>9000</v>
      </c>
      <c r="V133" s="7">
        <f t="shared" si="13"/>
        <v>5000</v>
      </c>
      <c r="W133" s="5">
        <f t="shared" si="10"/>
        <v>1.25</v>
      </c>
      <c r="X133" s="6" t="s">
        <v>1703</v>
      </c>
      <c r="Y133" s="34">
        <f>SUMPRODUCT((BIdetails!$J$5:$J$3000=M133)*(BIdetails!$K$5:$K$3000=N133)*(BIdetails!$M$5:$M$3000))</f>
        <v>0</v>
      </c>
      <c r="Z133" s="35">
        <f t="shared" si="11"/>
        <v>0</v>
      </c>
      <c r="AA133" s="31" t="s">
        <v>2541</v>
      </c>
      <c r="AB133" s="31" t="s">
        <v>2663</v>
      </c>
      <c r="AC133" s="31" t="s">
        <v>2572</v>
      </c>
      <c r="AD133" s="31"/>
      <c r="AE133">
        <v>2200</v>
      </c>
    </row>
    <row r="134" spans="1:31" hidden="1" x14ac:dyDescent="0.25">
      <c r="A134" t="s">
        <v>2526</v>
      </c>
      <c r="B134" t="str">
        <f t="shared" si="12"/>
        <v>No Change</v>
      </c>
      <c r="C134" t="s">
        <v>2727</v>
      </c>
      <c r="D134">
        <v>68427709</v>
      </c>
      <c r="E134" s="96" t="s">
        <v>26</v>
      </c>
      <c r="F134" t="s">
        <v>27</v>
      </c>
      <c r="G134" t="s">
        <v>28</v>
      </c>
      <c r="H134" t="s">
        <v>2214</v>
      </c>
      <c r="I134" t="s">
        <v>2648</v>
      </c>
      <c r="J134" t="s">
        <v>2728</v>
      </c>
      <c r="K134">
        <v>129450</v>
      </c>
      <c r="L134" t="s">
        <v>532</v>
      </c>
      <c r="M134" s="233">
        <v>5400963872</v>
      </c>
      <c r="N134" s="21">
        <v>10</v>
      </c>
      <c r="O134" s="26" t="s">
        <v>2190</v>
      </c>
      <c r="P134" s="26" t="s">
        <v>2190</v>
      </c>
      <c r="Q134" t="s">
        <v>2545</v>
      </c>
      <c r="R134" s="31" t="s">
        <v>2607</v>
      </c>
      <c r="S134" s="7">
        <v>196800</v>
      </c>
      <c r="T134" s="7">
        <v>200000</v>
      </c>
      <c r="U134" s="7">
        <v>200000</v>
      </c>
      <c r="V134" s="7">
        <f t="shared" si="13"/>
        <v>0</v>
      </c>
      <c r="W134" s="5">
        <f t="shared" si="10"/>
        <v>0</v>
      </c>
      <c r="X134" s="6"/>
      <c r="Y134" s="34">
        <f>SUMPRODUCT((BIdetails!$J$5:$J$3000=M134)*(BIdetails!$K$5:$K$3000=N134)*(BIdetails!$M$5:$M$3000))</f>
        <v>0</v>
      </c>
      <c r="Z134" s="35">
        <f t="shared" si="11"/>
        <v>0</v>
      </c>
      <c r="AA134" s="31"/>
      <c r="AB134" s="31"/>
      <c r="AC134" s="31"/>
      <c r="AD134" s="31"/>
      <c r="AE134">
        <v>330</v>
      </c>
    </row>
    <row r="135" spans="1:31" hidden="1" x14ac:dyDescent="0.25">
      <c r="A135" t="s">
        <v>2526</v>
      </c>
      <c r="B135" t="str">
        <f t="shared" si="12"/>
        <v>No Change</v>
      </c>
      <c r="C135" t="s">
        <v>2727</v>
      </c>
      <c r="D135">
        <v>68427709</v>
      </c>
      <c r="E135" s="96" t="s">
        <v>26</v>
      </c>
      <c r="F135" t="s">
        <v>27</v>
      </c>
      <c r="G135" t="s">
        <v>28</v>
      </c>
      <c r="H135" t="s">
        <v>2729</v>
      </c>
      <c r="I135" t="s">
        <v>2648</v>
      </c>
      <c r="J135" t="s">
        <v>2728</v>
      </c>
      <c r="K135">
        <v>129450</v>
      </c>
      <c r="L135" t="s">
        <v>532</v>
      </c>
      <c r="M135" s="196">
        <v>5400963872</v>
      </c>
      <c r="N135" s="21">
        <v>10</v>
      </c>
      <c r="O135" s="26" t="s">
        <v>2190</v>
      </c>
      <c r="P135" s="26" t="s">
        <v>2190</v>
      </c>
      <c r="Q135" t="s">
        <v>2545</v>
      </c>
      <c r="R135" s="31" t="s">
        <v>2607</v>
      </c>
      <c r="S135" s="7">
        <v>24960</v>
      </c>
      <c r="T135" s="7">
        <v>24960</v>
      </c>
      <c r="U135" s="7">
        <v>24960</v>
      </c>
      <c r="V135" s="7">
        <f t="shared" si="13"/>
        <v>0</v>
      </c>
      <c r="W135" s="5">
        <f t="shared" si="10"/>
        <v>0</v>
      </c>
      <c r="X135" s="6"/>
      <c r="Y135" s="34">
        <f>SUMPRODUCT((BIdetails!$J$5:$J$3000=M135)*(BIdetails!$K$5:$K$3000=N135)*(BIdetails!$M$5:$M$3000))</f>
        <v>0</v>
      </c>
      <c r="Z135" s="35">
        <f t="shared" si="11"/>
        <v>0</v>
      </c>
      <c r="AA135" s="31" t="s">
        <v>610</v>
      </c>
      <c r="AB135" s="31" t="s">
        <v>2534</v>
      </c>
      <c r="AC135" s="31" t="s">
        <v>2558</v>
      </c>
      <c r="AD135" s="31"/>
      <c r="AE135">
        <v>340</v>
      </c>
    </row>
    <row r="136" spans="1:31" hidden="1" x14ac:dyDescent="0.25">
      <c r="A136" t="s">
        <v>2570</v>
      </c>
      <c r="B136" t="str">
        <f t="shared" si="12"/>
        <v>No Change</v>
      </c>
      <c r="C136" t="s">
        <v>2727</v>
      </c>
      <c r="D136">
        <v>68427709</v>
      </c>
      <c r="E136" s="96" t="s">
        <v>21</v>
      </c>
      <c r="F136" t="s">
        <v>2624</v>
      </c>
      <c r="G136" t="s">
        <v>23</v>
      </c>
      <c r="H136" t="s">
        <v>534</v>
      </c>
      <c r="I136" t="s">
        <v>2225</v>
      </c>
      <c r="J136" t="s">
        <v>2637</v>
      </c>
      <c r="K136">
        <v>129450</v>
      </c>
      <c r="L136" t="s">
        <v>532</v>
      </c>
      <c r="M136" s="196"/>
      <c r="N136" s="21">
        <v>10</v>
      </c>
      <c r="O136" s="26" t="s">
        <v>2190</v>
      </c>
      <c r="P136" s="26" t="s">
        <v>2190</v>
      </c>
      <c r="Q136" t="s">
        <v>2545</v>
      </c>
      <c r="R136" s="31" t="s">
        <v>2607</v>
      </c>
      <c r="S136" s="7">
        <v>150000</v>
      </c>
      <c r="T136" s="7">
        <v>0</v>
      </c>
      <c r="U136" s="7">
        <v>0</v>
      </c>
      <c r="V136" s="7">
        <f t="shared" si="13"/>
        <v>0</v>
      </c>
      <c r="W136" s="5">
        <f t="shared" ref="W136:W188" si="14">IF(B136="New",1,IFERROR(V136/T136,0))</f>
        <v>0</v>
      </c>
      <c r="X136" s="6"/>
      <c r="Y136" s="34">
        <f>SUMPRODUCT((BIdetails!$J$5:$J$3000=M136)*(BIdetails!$K$5:$K$3000=N136)*(BIdetails!$M$5:$M$3000))</f>
        <v>0</v>
      </c>
      <c r="Z136" s="35" t="str">
        <f t="shared" si="11"/>
        <v/>
      </c>
      <c r="AA136" s="31"/>
      <c r="AB136" s="31"/>
      <c r="AC136" s="31"/>
      <c r="AD136" s="31"/>
      <c r="AE136">
        <v>231</v>
      </c>
    </row>
    <row r="137" spans="1:31" hidden="1" x14ac:dyDescent="0.25">
      <c r="A137" t="s">
        <v>2570</v>
      </c>
      <c r="B137" t="str">
        <f t="shared" si="12"/>
        <v>No Change</v>
      </c>
      <c r="C137" t="s">
        <v>2727</v>
      </c>
      <c r="D137">
        <v>68427709</v>
      </c>
      <c r="E137" s="96" t="s">
        <v>21</v>
      </c>
      <c r="F137" t="s">
        <v>2624</v>
      </c>
      <c r="G137" t="s">
        <v>23</v>
      </c>
      <c r="H137" t="s">
        <v>2213</v>
      </c>
      <c r="I137" t="s">
        <v>2225</v>
      </c>
      <c r="J137" t="s">
        <v>2637</v>
      </c>
      <c r="K137">
        <v>129450</v>
      </c>
      <c r="L137" t="s">
        <v>532</v>
      </c>
      <c r="M137" s="233"/>
      <c r="N137" s="21">
        <v>10</v>
      </c>
      <c r="O137" s="26" t="s">
        <v>2190</v>
      </c>
      <c r="P137" s="26" t="s">
        <v>2190</v>
      </c>
      <c r="Q137" t="s">
        <v>2545</v>
      </c>
      <c r="R137" s="31" t="s">
        <v>2607</v>
      </c>
      <c r="S137" s="7">
        <v>250000</v>
      </c>
      <c r="T137" s="7">
        <v>0</v>
      </c>
      <c r="U137" s="7">
        <v>0</v>
      </c>
      <c r="V137" s="7">
        <f t="shared" si="13"/>
        <v>0</v>
      </c>
      <c r="W137" s="5">
        <f t="shared" si="14"/>
        <v>0</v>
      </c>
      <c r="X137" s="6"/>
      <c r="Y137" s="34">
        <f>SUMPRODUCT((BIdetails!$J$5:$J$3000=M137)*(BIdetails!$K$5:$K$3000=N137)*(BIdetails!$M$5:$M$3000))</f>
        <v>0</v>
      </c>
      <c r="Z137" s="35" t="str">
        <f t="shared" si="11"/>
        <v/>
      </c>
      <c r="AA137" s="31"/>
      <c r="AB137" s="31"/>
      <c r="AC137" s="31"/>
      <c r="AD137" s="31"/>
      <c r="AE137">
        <v>250</v>
      </c>
    </row>
    <row r="138" spans="1:31" hidden="1" x14ac:dyDescent="0.25">
      <c r="A138" t="s">
        <v>2526</v>
      </c>
      <c r="B138" t="str">
        <f t="shared" si="12"/>
        <v>Increase</v>
      </c>
      <c r="C138" t="s">
        <v>2730</v>
      </c>
      <c r="D138">
        <v>68427709</v>
      </c>
      <c r="E138" s="96" t="s">
        <v>53</v>
      </c>
      <c r="F138" t="s">
        <v>54</v>
      </c>
      <c r="G138" t="s">
        <v>42</v>
      </c>
      <c r="H138" t="s">
        <v>2259</v>
      </c>
      <c r="I138">
        <v>0</v>
      </c>
      <c r="J138" t="s">
        <v>2731</v>
      </c>
      <c r="K138">
        <v>197093</v>
      </c>
      <c r="L138" t="s">
        <v>2732</v>
      </c>
      <c r="M138" s="233">
        <v>5400912389</v>
      </c>
      <c r="N138" s="21">
        <v>20</v>
      </c>
      <c r="O138" t="s">
        <v>2531</v>
      </c>
      <c r="P138" s="26" t="s">
        <v>2549</v>
      </c>
      <c r="Q138" s="223" t="s">
        <v>2671</v>
      </c>
      <c r="R138" s="33" t="s">
        <v>2551</v>
      </c>
      <c r="S138" s="7">
        <v>99000</v>
      </c>
      <c r="T138" s="7">
        <v>177000</v>
      </c>
      <c r="U138" s="7">
        <v>199000</v>
      </c>
      <c r="V138" s="7">
        <f t="shared" si="13"/>
        <v>22000</v>
      </c>
      <c r="W138" s="5">
        <f t="shared" si="14"/>
        <v>0.12429378531073447</v>
      </c>
      <c r="X138" s="6" t="s">
        <v>2733</v>
      </c>
      <c r="Y138" s="34">
        <f>SUMPRODUCT((BIdetails!$J$5:$J$3000=M138)*(BIdetails!$K$5:$K$3000=N138)*(BIdetails!$M$5:$M$3000))</f>
        <v>0</v>
      </c>
      <c r="Z138" s="35">
        <f t="shared" ref="Z138:Z163" si="15">IF(U138=0,"",(Y138/U138))</f>
        <v>0</v>
      </c>
      <c r="AA138" s="31"/>
      <c r="AB138" s="31"/>
      <c r="AC138" s="31"/>
      <c r="AD138" s="31"/>
      <c r="AE138">
        <v>2760</v>
      </c>
    </row>
    <row r="139" spans="1:31" hidden="1" x14ac:dyDescent="0.25">
      <c r="A139" t="s">
        <v>2526</v>
      </c>
      <c r="B139" t="str">
        <f t="shared" si="12"/>
        <v>Increase</v>
      </c>
      <c r="D139">
        <v>68427709</v>
      </c>
      <c r="E139" s="96" t="s">
        <v>53</v>
      </c>
      <c r="F139" t="s">
        <v>54</v>
      </c>
      <c r="G139" s="98" t="s">
        <v>42</v>
      </c>
      <c r="H139" s="26" t="s">
        <v>1691</v>
      </c>
      <c r="J139" t="s">
        <v>1995</v>
      </c>
      <c r="K139">
        <v>167422</v>
      </c>
      <c r="L139" t="s">
        <v>2734</v>
      </c>
      <c r="M139" s="233">
        <v>5400964292</v>
      </c>
      <c r="N139" s="21">
        <v>10</v>
      </c>
      <c r="O139" s="26" t="s">
        <v>2531</v>
      </c>
      <c r="P139" s="26" t="s">
        <v>2549</v>
      </c>
      <c r="Q139" t="s">
        <v>2550</v>
      </c>
      <c r="R139" t="s">
        <v>2551</v>
      </c>
      <c r="S139" s="7">
        <v>32000</v>
      </c>
      <c r="T139" s="7">
        <v>27000</v>
      </c>
      <c r="U139" s="7">
        <v>30000</v>
      </c>
      <c r="V139" s="7">
        <f t="shared" si="13"/>
        <v>3000</v>
      </c>
      <c r="W139" s="5">
        <f t="shared" si="14"/>
        <v>0.1111111111111111</v>
      </c>
      <c r="X139" s="6" t="s">
        <v>2358</v>
      </c>
      <c r="Y139" s="34">
        <f>SUMPRODUCT((BIdetails!$J$5:$J$3000=M139)*(BIdetails!$K$5:$K$3000=N139)*(BIdetails!$M$5:$M$3000))</f>
        <v>0</v>
      </c>
      <c r="Z139" s="35">
        <f t="shared" si="15"/>
        <v>0</v>
      </c>
      <c r="AA139" s="31"/>
      <c r="AB139" s="31"/>
      <c r="AC139" s="31"/>
      <c r="AD139" s="31"/>
      <c r="AE139">
        <v>3210</v>
      </c>
    </row>
    <row r="140" spans="1:31" hidden="1" x14ac:dyDescent="0.25">
      <c r="A140" t="s">
        <v>2526</v>
      </c>
      <c r="B140" t="str">
        <f t="shared" si="12"/>
        <v>Decrease</v>
      </c>
      <c r="C140" t="s">
        <v>2735</v>
      </c>
      <c r="D140">
        <v>68427719</v>
      </c>
      <c r="E140" s="96" t="s">
        <v>49</v>
      </c>
      <c r="F140" t="s">
        <v>50</v>
      </c>
      <c r="G140" t="s">
        <v>42</v>
      </c>
      <c r="H140" t="s">
        <v>1859</v>
      </c>
      <c r="I140">
        <v>0</v>
      </c>
      <c r="J140" t="s">
        <v>2593</v>
      </c>
      <c r="K140" s="171">
        <v>193275</v>
      </c>
      <c r="L140" s="171" t="s">
        <v>2736</v>
      </c>
      <c r="M140" s="233"/>
      <c r="O140" t="s">
        <v>2136</v>
      </c>
      <c r="P140" t="s">
        <v>2136</v>
      </c>
      <c r="Q140" t="s">
        <v>2595</v>
      </c>
      <c r="R140" s="97" t="s">
        <v>2596</v>
      </c>
      <c r="S140" s="7">
        <v>372000</v>
      </c>
      <c r="T140" s="7">
        <v>352000</v>
      </c>
      <c r="U140" s="7">
        <v>262000</v>
      </c>
      <c r="V140" s="7">
        <f t="shared" si="13"/>
        <v>-90000</v>
      </c>
      <c r="W140" s="5">
        <f t="shared" si="14"/>
        <v>-0.25568181818181818</v>
      </c>
      <c r="X140" s="6" t="s">
        <v>2737</v>
      </c>
      <c r="Y140" s="34">
        <f>SUMPRODUCT((BIdetails!$J$5:$J$3000=M140)*(BIdetails!$K$5:$K$3000=N140)*(BIdetails!$M$5:$M$3000))</f>
        <v>0</v>
      </c>
      <c r="Z140" s="35">
        <f t="shared" si="15"/>
        <v>0</v>
      </c>
      <c r="AA140" s="31" t="s">
        <v>2541</v>
      </c>
      <c r="AB140" s="31" t="s">
        <v>2663</v>
      </c>
      <c r="AC140" s="31" t="s">
        <v>2572</v>
      </c>
      <c r="AD140" s="31"/>
      <c r="AE140">
        <v>1500</v>
      </c>
    </row>
    <row r="141" spans="1:31" hidden="1" x14ac:dyDescent="0.25">
      <c r="A141" t="s">
        <v>2526</v>
      </c>
      <c r="B141" t="str">
        <f t="shared" si="12"/>
        <v>No Change</v>
      </c>
      <c r="C141" t="s">
        <v>2738</v>
      </c>
      <c r="D141">
        <v>68427719</v>
      </c>
      <c r="E141" s="96" t="s">
        <v>41</v>
      </c>
      <c r="F141" s="98" t="s">
        <v>57</v>
      </c>
      <c r="G141" s="98" t="s">
        <v>42</v>
      </c>
      <c r="H141" s="98" t="s">
        <v>2739</v>
      </c>
      <c r="I141" s="98">
        <v>0</v>
      </c>
      <c r="J141" s="98" t="s">
        <v>2740</v>
      </c>
      <c r="K141" s="98">
        <v>196055</v>
      </c>
      <c r="L141" s="98" t="s">
        <v>1224</v>
      </c>
      <c r="M141" s="196">
        <v>5400965503</v>
      </c>
      <c r="N141" s="21">
        <v>10</v>
      </c>
      <c r="O141" s="98" t="s">
        <v>2531</v>
      </c>
      <c r="P141" s="98" t="s">
        <v>2136</v>
      </c>
      <c r="Q141" s="98" t="s">
        <v>2545</v>
      </c>
      <c r="R141" s="31" t="s">
        <v>2596</v>
      </c>
      <c r="S141" s="7">
        <v>150000</v>
      </c>
      <c r="T141" s="7">
        <v>165000</v>
      </c>
      <c r="U141" s="7">
        <v>165000</v>
      </c>
      <c r="V141" s="7">
        <f t="shared" si="13"/>
        <v>0</v>
      </c>
      <c r="W141" s="5">
        <f t="shared" si="14"/>
        <v>0</v>
      </c>
      <c r="X141" s="6"/>
      <c r="Y141" s="34">
        <f>SUMPRODUCT((BIdetails!$J$5:$J$3000=M141)*(BIdetails!$K$5:$K$3000=N141)*(BIdetails!$M$5:$M$3000))</f>
        <v>0</v>
      </c>
      <c r="Z141" s="35">
        <f t="shared" si="15"/>
        <v>0</v>
      </c>
      <c r="AA141" s="31"/>
      <c r="AB141" s="31"/>
      <c r="AC141" s="31"/>
      <c r="AD141" s="31"/>
      <c r="AE141">
        <v>810</v>
      </c>
    </row>
    <row r="142" spans="1:31" hidden="1" x14ac:dyDescent="0.25">
      <c r="A142" t="s">
        <v>2526</v>
      </c>
      <c r="B142" t="str">
        <f t="shared" si="12"/>
        <v>No Change</v>
      </c>
      <c r="C142" t="s">
        <v>2741</v>
      </c>
      <c r="D142">
        <v>68427709</v>
      </c>
      <c r="E142" s="96" t="s">
        <v>49</v>
      </c>
      <c r="F142" t="s">
        <v>50</v>
      </c>
      <c r="G142" t="s">
        <v>42</v>
      </c>
      <c r="H142" t="s">
        <v>2742</v>
      </c>
      <c r="I142">
        <v>0</v>
      </c>
      <c r="J142" s="196" t="s">
        <v>2743</v>
      </c>
      <c r="K142">
        <v>169060</v>
      </c>
      <c r="L142" t="s">
        <v>2744</v>
      </c>
      <c r="M142" s="233">
        <v>5400965884</v>
      </c>
      <c r="N142" s="21">
        <v>10</v>
      </c>
      <c r="O142" t="s">
        <v>2531</v>
      </c>
      <c r="P142" t="s">
        <v>1752</v>
      </c>
      <c r="Q142" t="s">
        <v>2545</v>
      </c>
      <c r="R142" s="31" t="s">
        <v>2715</v>
      </c>
      <c r="S142" s="7">
        <v>2000</v>
      </c>
      <c r="T142" s="7">
        <v>2000</v>
      </c>
      <c r="U142" s="7">
        <v>2000</v>
      </c>
      <c r="V142" s="7">
        <f t="shared" si="13"/>
        <v>0</v>
      </c>
      <c r="W142" s="5">
        <f t="shared" si="14"/>
        <v>0</v>
      </c>
      <c r="X142" s="6"/>
      <c r="Y142" s="34">
        <f>SUMPRODUCT((BIdetails!$J$5:$J$3000=M142)*(BIdetails!$K$5:$K$3000=N142)*(BIdetails!$M$5:$M$3000))</f>
        <v>0</v>
      </c>
      <c r="Z142" s="35">
        <f t="shared" si="15"/>
        <v>0</v>
      </c>
      <c r="AA142" s="31"/>
      <c r="AB142" s="31"/>
      <c r="AC142" s="31"/>
      <c r="AD142" s="31"/>
      <c r="AE142">
        <v>1180</v>
      </c>
    </row>
    <row r="143" spans="1:31" hidden="1" x14ac:dyDescent="0.25">
      <c r="A143" t="s">
        <v>2526</v>
      </c>
      <c r="B143" t="str">
        <f t="shared" si="12"/>
        <v>No Change</v>
      </c>
      <c r="D143">
        <v>68427709</v>
      </c>
      <c r="E143" s="96" t="s">
        <v>53</v>
      </c>
      <c r="F143" t="s">
        <v>54</v>
      </c>
      <c r="G143" t="s">
        <v>42</v>
      </c>
      <c r="H143" t="s">
        <v>1242</v>
      </c>
      <c r="I143">
        <v>0</v>
      </c>
      <c r="J143" t="s">
        <v>2745</v>
      </c>
      <c r="K143">
        <v>143600</v>
      </c>
      <c r="L143" s="98" t="s">
        <v>2746</v>
      </c>
      <c r="M143" s="196">
        <v>5400978055</v>
      </c>
      <c r="O143" s="26" t="s">
        <v>2531</v>
      </c>
      <c r="P143" s="26" t="s">
        <v>1244</v>
      </c>
      <c r="Q143" t="s">
        <v>2550</v>
      </c>
      <c r="R143" t="s">
        <v>2747</v>
      </c>
      <c r="S143" s="7">
        <v>45000</v>
      </c>
      <c r="T143" s="7">
        <v>45000</v>
      </c>
      <c r="U143" s="7">
        <v>45000</v>
      </c>
      <c r="V143" s="7">
        <f t="shared" si="13"/>
        <v>0</v>
      </c>
      <c r="W143" s="5">
        <f t="shared" si="14"/>
        <v>0</v>
      </c>
      <c r="X143" s="6"/>
      <c r="Y143" s="34">
        <f>SUMPRODUCT((BIdetails!$J$5:$J$3000=M143)*(BIdetails!$K$5:$K$3000=N143)*(BIdetails!$M$5:$M$3000))</f>
        <v>0</v>
      </c>
      <c r="Z143" s="35">
        <f t="shared" si="15"/>
        <v>0</v>
      </c>
      <c r="AA143" s="31"/>
      <c r="AB143" s="31"/>
      <c r="AC143" s="31"/>
      <c r="AD143" s="31"/>
      <c r="AE143">
        <v>3090</v>
      </c>
    </row>
    <row r="144" spans="1:31" hidden="1" x14ac:dyDescent="0.25">
      <c r="A144" t="s">
        <v>2526</v>
      </c>
      <c r="B144" t="str">
        <f t="shared" si="12"/>
        <v>Decrease</v>
      </c>
      <c r="D144">
        <v>68427719</v>
      </c>
      <c r="E144" s="96" t="s">
        <v>53</v>
      </c>
      <c r="F144" t="s">
        <v>54</v>
      </c>
      <c r="G144" s="98" t="s">
        <v>42</v>
      </c>
      <c r="H144" s="26" t="s">
        <v>1864</v>
      </c>
      <c r="J144" t="s">
        <v>2748</v>
      </c>
      <c r="K144" s="26">
        <v>192010</v>
      </c>
      <c r="L144" s="26" t="s">
        <v>1864</v>
      </c>
      <c r="M144" s="233">
        <v>5400922805</v>
      </c>
      <c r="N144" s="21">
        <v>10</v>
      </c>
      <c r="O144" s="26" t="s">
        <v>2136</v>
      </c>
      <c r="P144" s="26" t="s">
        <v>2136</v>
      </c>
      <c r="Q144" t="s">
        <v>2613</v>
      </c>
      <c r="R144" s="31" t="s">
        <v>2596</v>
      </c>
      <c r="S144" s="7">
        <v>105000</v>
      </c>
      <c r="T144" s="7">
        <v>105000</v>
      </c>
      <c r="U144" s="7">
        <v>60000</v>
      </c>
      <c r="V144" s="7">
        <f t="shared" si="13"/>
        <v>-45000</v>
      </c>
      <c r="W144" s="5">
        <f t="shared" si="14"/>
        <v>-0.42857142857142855</v>
      </c>
      <c r="X144" s="126" t="s">
        <v>2230</v>
      </c>
      <c r="Y144" s="34">
        <f>SUMPRODUCT((BIdetails!$J$5:$J$3000=M144)*(BIdetails!$K$5:$K$3000=N144)*(BIdetails!$M$5:$M$3000))</f>
        <v>0</v>
      </c>
      <c r="Z144" s="35">
        <f t="shared" si="15"/>
        <v>0</v>
      </c>
      <c r="AA144" s="31"/>
      <c r="AB144" s="31"/>
      <c r="AC144" s="31"/>
      <c r="AD144" s="31"/>
      <c r="AE144">
        <v>3240</v>
      </c>
    </row>
    <row r="145" spans="1:31" hidden="1" x14ac:dyDescent="0.25">
      <c r="A145" t="s">
        <v>2526</v>
      </c>
      <c r="B145" t="str">
        <f t="shared" si="12"/>
        <v>Increase</v>
      </c>
      <c r="C145" t="s">
        <v>2749</v>
      </c>
      <c r="D145">
        <v>68427709</v>
      </c>
      <c r="E145" s="96" t="s">
        <v>53</v>
      </c>
      <c r="F145" s="98" t="s">
        <v>54</v>
      </c>
      <c r="G145" s="98" t="s">
        <v>42</v>
      </c>
      <c r="H145" s="98" t="s">
        <v>2750</v>
      </c>
      <c r="I145">
        <v>0</v>
      </c>
      <c r="J145" t="s">
        <v>1977</v>
      </c>
      <c r="K145" s="98">
        <v>168291</v>
      </c>
      <c r="L145" s="98" t="s">
        <v>2751</v>
      </c>
      <c r="M145" s="196">
        <v>5400970737</v>
      </c>
      <c r="N145" s="99">
        <v>10</v>
      </c>
      <c r="O145" s="98" t="s">
        <v>2531</v>
      </c>
      <c r="P145" s="26" t="s">
        <v>1186</v>
      </c>
      <c r="Q145" s="98" t="s">
        <v>2545</v>
      </c>
      <c r="R145" s="97" t="s">
        <v>2672</v>
      </c>
      <c r="S145" s="7">
        <v>250000</v>
      </c>
      <c r="T145" s="7">
        <v>250000</v>
      </c>
      <c r="U145" s="7">
        <v>276000</v>
      </c>
      <c r="V145" s="7">
        <f t="shared" si="13"/>
        <v>26000</v>
      </c>
      <c r="W145" s="5">
        <f t="shared" si="14"/>
        <v>0.104</v>
      </c>
      <c r="X145" s="6" t="s">
        <v>2333</v>
      </c>
      <c r="Y145" s="34">
        <f>SUMPRODUCT((BIdetails!$J$5:$J$3000=M145)*(BIdetails!$K$5:$K$3000=N145)*(BIdetails!$M$5:$M$3000))</f>
        <v>0</v>
      </c>
      <c r="Z145" s="35">
        <f t="shared" si="15"/>
        <v>0</v>
      </c>
      <c r="AA145" s="31" t="s">
        <v>2541</v>
      </c>
      <c r="AB145" s="31" t="s">
        <v>2752</v>
      </c>
      <c r="AC145" s="31" t="s">
        <v>2575</v>
      </c>
      <c r="AD145" s="31"/>
      <c r="AE145">
        <v>2580</v>
      </c>
    </row>
    <row r="146" spans="1:31" hidden="1" x14ac:dyDescent="0.25">
      <c r="A146" t="s">
        <v>2526</v>
      </c>
      <c r="B146" t="str">
        <f t="shared" si="12"/>
        <v>Decommissioned</v>
      </c>
      <c r="D146">
        <v>68427709</v>
      </c>
      <c r="E146" s="96" t="s">
        <v>53</v>
      </c>
      <c r="F146" t="s">
        <v>54</v>
      </c>
      <c r="G146" s="98" t="s">
        <v>42</v>
      </c>
      <c r="H146" s="98" t="s">
        <v>1529</v>
      </c>
      <c r="J146" t="s">
        <v>2753</v>
      </c>
      <c r="K146" s="203">
        <v>205719</v>
      </c>
      <c r="L146" s="203" t="s">
        <v>1529</v>
      </c>
      <c r="M146" s="233">
        <v>5400828603</v>
      </c>
      <c r="N146" s="21">
        <v>70</v>
      </c>
      <c r="O146" s="98" t="s">
        <v>2531</v>
      </c>
      <c r="P146" s="98" t="s">
        <v>2754</v>
      </c>
      <c r="Q146" t="s">
        <v>2545</v>
      </c>
      <c r="R146" s="97" t="s">
        <v>2667</v>
      </c>
      <c r="S146" s="7">
        <v>210000</v>
      </c>
      <c r="T146" s="7">
        <v>125000</v>
      </c>
      <c r="U146" s="7">
        <v>0</v>
      </c>
      <c r="V146" s="7">
        <f t="shared" si="13"/>
        <v>-125000</v>
      </c>
      <c r="W146" s="5">
        <f t="shared" si="14"/>
        <v>-1</v>
      </c>
      <c r="X146" s="6" t="s">
        <v>2755</v>
      </c>
      <c r="Y146" s="34">
        <f>SUMPRODUCT((BIdetails!$J$5:$J$3000=M146)*(BIdetails!$K$5:$K$3000=N146)*(BIdetails!$M$5:$M$3000))</f>
        <v>0</v>
      </c>
      <c r="Z146" s="35" t="str">
        <f t="shared" si="15"/>
        <v/>
      </c>
      <c r="AA146" s="31"/>
      <c r="AB146" s="31"/>
      <c r="AC146" s="31"/>
      <c r="AD146" s="31"/>
      <c r="AE146">
        <v>3120</v>
      </c>
    </row>
    <row r="147" spans="1:31" hidden="1" x14ac:dyDescent="0.25">
      <c r="A147" t="s">
        <v>2570</v>
      </c>
      <c r="B147" t="str">
        <f t="shared" si="12"/>
        <v>No Change</v>
      </c>
      <c r="D147">
        <v>68427709</v>
      </c>
      <c r="E147" s="96" t="s">
        <v>49</v>
      </c>
      <c r="F147" t="s">
        <v>50</v>
      </c>
      <c r="G147" s="98" t="s">
        <v>42</v>
      </c>
      <c r="H147" s="98" t="s">
        <v>2185</v>
      </c>
      <c r="I147">
        <v>0</v>
      </c>
      <c r="J147" t="s">
        <v>2756</v>
      </c>
      <c r="K147" s="98">
        <v>165559</v>
      </c>
      <c r="L147" s="98" t="s">
        <v>2757</v>
      </c>
      <c r="M147" s="99">
        <v>5400903244</v>
      </c>
      <c r="N147" s="99">
        <v>10</v>
      </c>
      <c r="O147" s="98" t="s">
        <v>2531</v>
      </c>
      <c r="P147" s="98" t="s">
        <v>1244</v>
      </c>
      <c r="Q147" s="98" t="s">
        <v>2545</v>
      </c>
      <c r="R147" s="97" t="s">
        <v>2667</v>
      </c>
      <c r="S147" s="7">
        <v>70000</v>
      </c>
      <c r="T147" s="7">
        <v>0</v>
      </c>
      <c r="U147" s="7">
        <v>0</v>
      </c>
      <c r="V147" s="7">
        <f t="shared" si="13"/>
        <v>0</v>
      </c>
      <c r="W147" s="5">
        <f t="shared" si="14"/>
        <v>0</v>
      </c>
      <c r="X147" s="6"/>
      <c r="Y147" s="34">
        <f>SUMPRODUCT((BIdetails!$J$5:$J$3000=M147)*(BIdetails!$K$5:$K$3000=N147)*(BIdetails!$M$5:$M$3000))</f>
        <v>0</v>
      </c>
      <c r="Z147" s="35" t="str">
        <f t="shared" si="15"/>
        <v/>
      </c>
      <c r="AA147" s="31" t="s">
        <v>2541</v>
      </c>
      <c r="AB147" s="31" t="s">
        <v>2534</v>
      </c>
      <c r="AC147" s="31" t="s">
        <v>2575</v>
      </c>
      <c r="AD147" s="31"/>
      <c r="AE147">
        <v>1330</v>
      </c>
    </row>
    <row r="148" spans="1:31" hidden="1" x14ac:dyDescent="0.25">
      <c r="A148" t="s">
        <v>2526</v>
      </c>
      <c r="B148" t="str">
        <f t="shared" si="12"/>
        <v>No Change</v>
      </c>
      <c r="D148">
        <v>68427709</v>
      </c>
      <c r="E148" s="96" t="s">
        <v>53</v>
      </c>
      <c r="F148" t="s">
        <v>54</v>
      </c>
      <c r="G148" s="98" t="s">
        <v>42</v>
      </c>
      <c r="H148" s="26" t="s">
        <v>1679</v>
      </c>
      <c r="J148" t="s">
        <v>1680</v>
      </c>
      <c r="K148">
        <v>208269</v>
      </c>
      <c r="L148" s="98" t="s">
        <v>2758</v>
      </c>
      <c r="M148" s="233">
        <v>5400934222</v>
      </c>
      <c r="N148" s="21">
        <v>20</v>
      </c>
      <c r="O148" s="26" t="s">
        <v>2531</v>
      </c>
      <c r="P148" s="26" t="s">
        <v>1244</v>
      </c>
      <c r="Q148" t="s">
        <v>2545</v>
      </c>
      <c r="R148" s="31" t="s">
        <v>2667</v>
      </c>
      <c r="S148" s="7">
        <v>10500</v>
      </c>
      <c r="T148" s="7">
        <v>12500</v>
      </c>
      <c r="U148" s="7">
        <v>12500</v>
      </c>
      <c r="V148" s="7">
        <f t="shared" si="13"/>
        <v>0</v>
      </c>
      <c r="W148" s="5">
        <f t="shared" si="14"/>
        <v>0</v>
      </c>
      <c r="X148" s="126"/>
      <c r="Y148" s="34">
        <f>SUMPRODUCT((BIdetails!$J$5:$J$3000=M148)*(BIdetails!$K$5:$K$3000=N148)*(BIdetails!$M$5:$M$3000))</f>
        <v>0</v>
      </c>
      <c r="Z148" s="35">
        <f t="shared" si="15"/>
        <v>0</v>
      </c>
      <c r="AA148" s="31"/>
      <c r="AB148" s="31"/>
      <c r="AC148" s="31"/>
      <c r="AD148" s="31"/>
      <c r="AE148">
        <v>3280</v>
      </c>
    </row>
    <row r="149" spans="1:31" hidden="1" x14ac:dyDescent="0.25">
      <c r="A149" t="s">
        <v>2526</v>
      </c>
      <c r="B149" t="str">
        <f t="shared" si="12"/>
        <v>Decommissioned</v>
      </c>
      <c r="C149" t="s">
        <v>2759</v>
      </c>
      <c r="D149">
        <v>68427709</v>
      </c>
      <c r="E149" s="96" t="s">
        <v>53</v>
      </c>
      <c r="F149" s="26" t="s">
        <v>54</v>
      </c>
      <c r="G149" s="26" t="s">
        <v>42</v>
      </c>
      <c r="H149" s="26" t="s">
        <v>2760</v>
      </c>
      <c r="I149">
        <v>0</v>
      </c>
      <c r="J149" t="s">
        <v>2761</v>
      </c>
      <c r="K149" s="26">
        <v>193327</v>
      </c>
      <c r="L149" s="26" t="s">
        <v>2762</v>
      </c>
      <c r="M149" s="199">
        <v>5400933610</v>
      </c>
      <c r="N149" s="28">
        <v>10</v>
      </c>
      <c r="O149" s="26" t="s">
        <v>2531</v>
      </c>
      <c r="P149" s="26" t="s">
        <v>2183</v>
      </c>
      <c r="Q149" s="26" t="s">
        <v>2545</v>
      </c>
      <c r="R149" s="33" t="s">
        <v>2667</v>
      </c>
      <c r="S149" s="7">
        <v>175000</v>
      </c>
      <c r="T149" s="7">
        <v>80000</v>
      </c>
      <c r="U149" s="7">
        <v>0</v>
      </c>
      <c r="V149" s="7">
        <f t="shared" si="13"/>
        <v>-80000</v>
      </c>
      <c r="W149" s="5">
        <f t="shared" si="14"/>
        <v>-1</v>
      </c>
      <c r="X149" s="6" t="s">
        <v>2763</v>
      </c>
      <c r="Y149" s="34">
        <f>SUMPRODUCT((BIdetails!$J$5:$J$3000=M149)*(BIdetails!$K$5:$K$3000=N149)*(BIdetails!$M$5:$M$3000))</f>
        <v>0</v>
      </c>
      <c r="Z149" s="35" t="str">
        <f t="shared" si="15"/>
        <v/>
      </c>
      <c r="AA149" s="31" t="s">
        <v>2541</v>
      </c>
      <c r="AB149" s="31" t="s">
        <v>2534</v>
      </c>
      <c r="AC149" s="31" t="s">
        <v>2572</v>
      </c>
      <c r="AD149" s="31"/>
      <c r="AE149">
        <v>2590</v>
      </c>
    </row>
    <row r="150" spans="1:31" hidden="1" x14ac:dyDescent="0.25">
      <c r="A150" t="s">
        <v>2526</v>
      </c>
      <c r="B150" t="str">
        <f t="shared" si="12"/>
        <v>No Change</v>
      </c>
      <c r="C150" t="s">
        <v>2764</v>
      </c>
      <c r="D150">
        <v>68427709</v>
      </c>
      <c r="E150" s="96" t="s">
        <v>49</v>
      </c>
      <c r="F150" t="s">
        <v>50</v>
      </c>
      <c r="G150" s="26" t="s">
        <v>42</v>
      </c>
      <c r="H150" s="26" t="s">
        <v>2765</v>
      </c>
      <c r="I150">
        <v>0</v>
      </c>
      <c r="J150" t="s">
        <v>2036</v>
      </c>
      <c r="K150" s="26">
        <v>189205</v>
      </c>
      <c r="L150" s="26" t="s">
        <v>2766</v>
      </c>
      <c r="M150" s="199">
        <v>5400972388</v>
      </c>
      <c r="N150" s="28">
        <v>10</v>
      </c>
      <c r="O150" s="26" t="s">
        <v>2531</v>
      </c>
      <c r="P150" s="26" t="s">
        <v>1186</v>
      </c>
      <c r="Q150" s="253" t="s">
        <v>2532</v>
      </c>
      <c r="R150" s="33" t="s">
        <v>2672</v>
      </c>
      <c r="S150" s="7">
        <v>34000</v>
      </c>
      <c r="T150" s="7">
        <v>60000</v>
      </c>
      <c r="U150" s="7">
        <v>60000</v>
      </c>
      <c r="V150" s="7">
        <f t="shared" si="13"/>
        <v>0</v>
      </c>
      <c r="W150" s="5">
        <f t="shared" si="14"/>
        <v>0</v>
      </c>
      <c r="X150" s="6"/>
      <c r="Y150" s="34">
        <f>SUMPRODUCT((BIdetails!$J$5:$J$3000=M150)*(BIdetails!$K$5:$K$3000=N150)*(BIdetails!$M$5:$M$3000))</f>
        <v>0</v>
      </c>
      <c r="Z150" s="35">
        <f t="shared" si="15"/>
        <v>0</v>
      </c>
      <c r="AA150" s="31" t="s">
        <v>2541</v>
      </c>
      <c r="AB150" s="31" t="s">
        <v>2534</v>
      </c>
      <c r="AC150" s="31" t="s">
        <v>2572</v>
      </c>
      <c r="AD150" s="31"/>
      <c r="AE150">
        <v>1450</v>
      </c>
    </row>
    <row r="151" spans="1:31" hidden="1" x14ac:dyDescent="0.25">
      <c r="A151" t="s">
        <v>2526</v>
      </c>
      <c r="B151" t="str">
        <f t="shared" si="12"/>
        <v>No Change</v>
      </c>
      <c r="D151">
        <v>68427709</v>
      </c>
      <c r="E151" s="96" t="s">
        <v>21</v>
      </c>
      <c r="F151" t="s">
        <v>22</v>
      </c>
      <c r="G151" t="s">
        <v>23</v>
      </c>
      <c r="H151" t="s">
        <v>1837</v>
      </c>
      <c r="I151" t="s">
        <v>2225</v>
      </c>
      <c r="J151" t="s">
        <v>2637</v>
      </c>
      <c r="K151">
        <v>192928</v>
      </c>
      <c r="L151" t="s">
        <v>2767</v>
      </c>
      <c r="M151" s="233">
        <v>5400942012</v>
      </c>
      <c r="N151" s="21">
        <v>10</v>
      </c>
      <c r="O151" s="26" t="s">
        <v>2190</v>
      </c>
      <c r="P151" s="26" t="s">
        <v>2190</v>
      </c>
      <c r="Q151" t="s">
        <v>2545</v>
      </c>
      <c r="R151" s="31" t="s">
        <v>2607</v>
      </c>
      <c r="S151" s="7">
        <v>35000</v>
      </c>
      <c r="T151" s="7">
        <v>35000</v>
      </c>
      <c r="U151" s="7">
        <v>35000</v>
      </c>
      <c r="V151" s="7">
        <f t="shared" si="13"/>
        <v>0</v>
      </c>
      <c r="W151" s="5">
        <f t="shared" si="14"/>
        <v>0</v>
      </c>
      <c r="X151" s="126"/>
      <c r="Y151" s="34">
        <f>SUMPRODUCT((BIdetails!$J$5:$J$3000=M151)*(BIdetails!$K$5:$K$3000=N151)*(BIdetails!$M$5:$M$3000))</f>
        <v>0</v>
      </c>
      <c r="Z151" s="35">
        <f t="shared" si="15"/>
        <v>0</v>
      </c>
      <c r="AA151" s="31" t="s">
        <v>610</v>
      </c>
      <c r="AB151" s="31" t="s">
        <v>2534</v>
      </c>
      <c r="AC151" s="31" t="s">
        <v>2558</v>
      </c>
      <c r="AD151" s="31"/>
      <c r="AE151">
        <v>270</v>
      </c>
    </row>
    <row r="152" spans="1:31" hidden="1" x14ac:dyDescent="0.25">
      <c r="A152" t="s">
        <v>2526</v>
      </c>
      <c r="B152" t="str">
        <f t="shared" si="12"/>
        <v>No Change</v>
      </c>
      <c r="C152" t="s">
        <v>2768</v>
      </c>
      <c r="D152">
        <v>68427709</v>
      </c>
      <c r="E152" s="96" t="s">
        <v>53</v>
      </c>
      <c r="F152" t="s">
        <v>54</v>
      </c>
      <c r="G152" t="s">
        <v>42</v>
      </c>
      <c r="H152" s="26" t="s">
        <v>917</v>
      </c>
      <c r="I152">
        <v>0</v>
      </c>
      <c r="J152" t="s">
        <v>2769</v>
      </c>
      <c r="K152" s="154">
        <v>204264</v>
      </c>
      <c r="L152" s="26" t="s">
        <v>917</v>
      </c>
      <c r="M152" s="235">
        <v>5400877275</v>
      </c>
      <c r="N152" s="21">
        <v>10</v>
      </c>
      <c r="O152" s="26" t="s">
        <v>2531</v>
      </c>
      <c r="P152" s="26" t="s">
        <v>2770</v>
      </c>
      <c r="Q152" t="s">
        <v>2545</v>
      </c>
      <c r="R152" s="31" t="s">
        <v>2533</v>
      </c>
      <c r="S152" s="7">
        <v>27000</v>
      </c>
      <c r="T152" s="7">
        <v>27000</v>
      </c>
      <c r="U152" s="7">
        <v>27000</v>
      </c>
      <c r="V152" s="7">
        <f t="shared" si="13"/>
        <v>0</v>
      </c>
      <c r="W152" s="5">
        <f t="shared" si="14"/>
        <v>0</v>
      </c>
      <c r="X152" s="6"/>
      <c r="Y152" s="34">
        <f>SUMPRODUCT((BIdetails!$J$5:$J$3000=M152)*(BIdetails!$K$5:$K$3000=N152)*(BIdetails!$M$5:$M$3000))</f>
        <v>0</v>
      </c>
      <c r="Z152" s="35">
        <f t="shared" si="15"/>
        <v>0</v>
      </c>
      <c r="AA152" s="31"/>
      <c r="AB152" s="31"/>
      <c r="AC152" s="31"/>
      <c r="AD152" s="31"/>
      <c r="AE152">
        <v>2910</v>
      </c>
    </row>
    <row r="153" spans="1:31" hidden="1" x14ac:dyDescent="0.25">
      <c r="A153" t="s">
        <v>2526</v>
      </c>
      <c r="B153" t="str">
        <f t="shared" si="12"/>
        <v>Decommissioned</v>
      </c>
      <c r="C153" t="s">
        <v>2771</v>
      </c>
      <c r="D153">
        <v>68427709</v>
      </c>
      <c r="E153" s="96" t="s">
        <v>49</v>
      </c>
      <c r="F153" t="s">
        <v>50</v>
      </c>
      <c r="G153" s="98" t="s">
        <v>42</v>
      </c>
      <c r="H153" t="s">
        <v>2772</v>
      </c>
      <c r="I153">
        <v>0</v>
      </c>
      <c r="J153" t="s">
        <v>2761</v>
      </c>
      <c r="K153" s="156">
        <v>198740</v>
      </c>
      <c r="L153" s="98" t="s">
        <v>2773</v>
      </c>
      <c r="M153" s="234">
        <v>5400955238</v>
      </c>
      <c r="N153" s="99">
        <v>10</v>
      </c>
      <c r="O153" t="s">
        <v>2531</v>
      </c>
      <c r="P153" t="s">
        <v>2183</v>
      </c>
      <c r="Q153" t="s">
        <v>2545</v>
      </c>
      <c r="R153" s="97" t="s">
        <v>2667</v>
      </c>
      <c r="S153" s="7">
        <v>28000</v>
      </c>
      <c r="T153" s="7">
        <v>28000</v>
      </c>
      <c r="U153" s="7">
        <v>0</v>
      </c>
      <c r="V153" s="7">
        <f t="shared" si="13"/>
        <v>-28000</v>
      </c>
      <c r="W153" s="5">
        <f t="shared" si="14"/>
        <v>-1</v>
      </c>
      <c r="X153" s="6" t="s">
        <v>997</v>
      </c>
      <c r="Y153" s="34">
        <f>SUMPRODUCT((BIdetails!$J$5:$J$3000=M153)*(BIdetails!$K$5:$K$3000=N153)*(BIdetails!$M$5:$M$3000))</f>
        <v>0</v>
      </c>
      <c r="Z153" s="35" t="str">
        <f t="shared" si="15"/>
        <v/>
      </c>
      <c r="AA153" s="31" t="s">
        <v>2541</v>
      </c>
      <c r="AB153" s="31" t="s">
        <v>2534</v>
      </c>
      <c r="AC153" s="31" t="s">
        <v>2572</v>
      </c>
      <c r="AD153" s="31"/>
      <c r="AE153">
        <v>1530</v>
      </c>
    </row>
    <row r="154" spans="1:31" hidden="1" x14ac:dyDescent="0.25">
      <c r="A154" t="s">
        <v>2526</v>
      </c>
      <c r="B154" t="str">
        <f t="shared" si="12"/>
        <v>No Change</v>
      </c>
      <c r="D154">
        <v>68427709</v>
      </c>
      <c r="E154" s="96" t="s">
        <v>49</v>
      </c>
      <c r="F154" t="s">
        <v>50</v>
      </c>
      <c r="G154" s="98" t="s">
        <v>42</v>
      </c>
      <c r="H154" s="27" t="s">
        <v>2774</v>
      </c>
      <c r="I154">
        <v>0</v>
      </c>
      <c r="J154" t="s">
        <v>2775</v>
      </c>
      <c r="K154">
        <v>179303</v>
      </c>
      <c r="L154" s="27" t="s">
        <v>303</v>
      </c>
      <c r="M154" s="233">
        <v>5400963577</v>
      </c>
      <c r="N154" s="21">
        <v>10</v>
      </c>
      <c r="O154" s="26" t="s">
        <v>2531</v>
      </c>
      <c r="P154" t="s">
        <v>2537</v>
      </c>
      <c r="Q154" t="s">
        <v>2545</v>
      </c>
      <c r="R154" s="31" t="s">
        <v>2539</v>
      </c>
      <c r="S154" s="7">
        <v>24000</v>
      </c>
      <c r="T154" s="7">
        <v>24000</v>
      </c>
      <c r="U154" s="7">
        <v>24000</v>
      </c>
      <c r="V154" s="7">
        <f t="shared" si="13"/>
        <v>0</v>
      </c>
      <c r="W154" s="5">
        <f t="shared" si="14"/>
        <v>0</v>
      </c>
      <c r="X154" s="126"/>
      <c r="Y154" s="34">
        <f>SUMPRODUCT((BIdetails!$J$5:$J$3000=M154)*(BIdetails!$K$5:$K$3000=N154)*(BIdetails!$M$5:$M$3000))</f>
        <v>0</v>
      </c>
      <c r="Z154" s="35">
        <f t="shared" si="15"/>
        <v>0</v>
      </c>
      <c r="AA154" s="31"/>
      <c r="AB154" s="31"/>
      <c r="AC154" s="31"/>
      <c r="AD154" s="31"/>
      <c r="AE154">
        <v>1320</v>
      </c>
    </row>
    <row r="155" spans="1:31" hidden="1" x14ac:dyDescent="0.25">
      <c r="A155" t="s">
        <v>2526</v>
      </c>
      <c r="B155" t="str">
        <f t="shared" si="12"/>
        <v>Increase</v>
      </c>
      <c r="C155" t="s">
        <v>2776</v>
      </c>
      <c r="D155">
        <v>68427709</v>
      </c>
      <c r="E155" s="96" t="s">
        <v>53</v>
      </c>
      <c r="F155" t="s">
        <v>54</v>
      </c>
      <c r="G155" t="s">
        <v>42</v>
      </c>
      <c r="H155" t="s">
        <v>2157</v>
      </c>
      <c r="I155">
        <v>0</v>
      </c>
      <c r="J155" t="s">
        <v>2777</v>
      </c>
      <c r="K155">
        <v>188862</v>
      </c>
      <c r="L155" t="s">
        <v>2778</v>
      </c>
      <c r="M155" s="233">
        <v>5400964275</v>
      </c>
      <c r="N155" s="21">
        <v>10</v>
      </c>
      <c r="O155" t="s">
        <v>2531</v>
      </c>
      <c r="P155" s="26" t="s">
        <v>2280</v>
      </c>
      <c r="Q155" t="s">
        <v>2545</v>
      </c>
      <c r="R155" s="33" t="s">
        <v>2587</v>
      </c>
      <c r="S155" s="7">
        <v>278000</v>
      </c>
      <c r="T155" s="7">
        <v>298000</v>
      </c>
      <c r="U155" s="7">
        <v>307000</v>
      </c>
      <c r="V155" s="7">
        <f t="shared" si="13"/>
        <v>9000</v>
      </c>
      <c r="W155" s="5">
        <f t="shared" si="14"/>
        <v>3.0201342281879196E-2</v>
      </c>
      <c r="X155" s="6" t="s">
        <v>1706</v>
      </c>
      <c r="Y155" s="34">
        <f>SUMPRODUCT((BIdetails!$J$5:$J$3000=M155)*(BIdetails!$K$5:$K$3000=N155)*(BIdetails!$M$5:$M$3000))</f>
        <v>0</v>
      </c>
      <c r="Z155" s="35">
        <f t="shared" si="15"/>
        <v>0</v>
      </c>
      <c r="AA155" s="31"/>
      <c r="AB155" s="31"/>
      <c r="AC155" s="31"/>
      <c r="AD155" s="31"/>
      <c r="AE155">
        <v>2800</v>
      </c>
    </row>
    <row r="156" spans="1:31" hidden="1" x14ac:dyDescent="0.25">
      <c r="A156" t="s">
        <v>2526</v>
      </c>
      <c r="B156" t="str">
        <f t="shared" si="12"/>
        <v>No Change</v>
      </c>
      <c r="C156" t="s">
        <v>2779</v>
      </c>
      <c r="D156">
        <v>68427709</v>
      </c>
      <c r="E156" s="96" t="s">
        <v>53</v>
      </c>
      <c r="F156" s="26" t="s">
        <v>54</v>
      </c>
      <c r="G156" s="26" t="s">
        <v>42</v>
      </c>
      <c r="H156" s="26" t="s">
        <v>2780</v>
      </c>
      <c r="I156">
        <v>0</v>
      </c>
      <c r="J156" t="s">
        <v>2581</v>
      </c>
      <c r="K156" s="26">
        <v>166095</v>
      </c>
      <c r="L156" s="26" t="s">
        <v>2781</v>
      </c>
      <c r="M156" s="199">
        <v>5400964282</v>
      </c>
      <c r="N156" s="28">
        <v>20</v>
      </c>
      <c r="O156" s="26" t="s">
        <v>2531</v>
      </c>
      <c r="P156" s="26" t="s">
        <v>2280</v>
      </c>
      <c r="Q156" s="26" t="s">
        <v>2545</v>
      </c>
      <c r="R156" s="33" t="s">
        <v>2587</v>
      </c>
      <c r="S156" s="7">
        <v>79000</v>
      </c>
      <c r="T156" s="7">
        <v>79000</v>
      </c>
      <c r="U156" s="7">
        <v>79000</v>
      </c>
      <c r="V156" s="7">
        <f t="shared" si="13"/>
        <v>0</v>
      </c>
      <c r="W156" s="5">
        <f t="shared" si="14"/>
        <v>0</v>
      </c>
      <c r="X156" s="6"/>
      <c r="Y156" s="34">
        <f>SUMPRODUCT((BIdetails!$J$5:$J$3000=M156)*(BIdetails!$K$5:$K$3000=N156)*(BIdetails!$M$5:$M$3000))</f>
        <v>0</v>
      </c>
      <c r="Z156" s="35">
        <f t="shared" si="15"/>
        <v>0</v>
      </c>
      <c r="AA156" s="31" t="s">
        <v>2541</v>
      </c>
      <c r="AB156" s="31" t="s">
        <v>2663</v>
      </c>
      <c r="AC156" s="31" t="s">
        <v>2572</v>
      </c>
      <c r="AD156" s="31"/>
      <c r="AE156">
        <v>2640</v>
      </c>
    </row>
    <row r="157" spans="1:31" hidden="1" x14ac:dyDescent="0.25">
      <c r="A157" t="s">
        <v>2526</v>
      </c>
      <c r="B157" t="str">
        <f t="shared" si="12"/>
        <v>No Change</v>
      </c>
      <c r="C157" t="s">
        <v>2782</v>
      </c>
      <c r="D157">
        <v>68427709</v>
      </c>
      <c r="E157" s="96" t="s">
        <v>53</v>
      </c>
      <c r="F157" s="26" t="s">
        <v>54</v>
      </c>
      <c r="G157" s="26" t="s">
        <v>42</v>
      </c>
      <c r="H157" s="26" t="s">
        <v>2145</v>
      </c>
      <c r="I157">
        <v>0</v>
      </c>
      <c r="J157" t="s">
        <v>2783</v>
      </c>
      <c r="K157" s="26">
        <v>166095</v>
      </c>
      <c r="L157" s="26" t="s">
        <v>2781</v>
      </c>
      <c r="M157" s="199">
        <v>5400964282</v>
      </c>
      <c r="N157" s="28">
        <v>10</v>
      </c>
      <c r="O157" s="26" t="s">
        <v>2531</v>
      </c>
      <c r="P157" s="26" t="s">
        <v>2136</v>
      </c>
      <c r="Q157" s="26" t="s">
        <v>2545</v>
      </c>
      <c r="R157" s="33" t="s">
        <v>2596</v>
      </c>
      <c r="S157" s="7">
        <v>104000</v>
      </c>
      <c r="T157" s="7">
        <v>113000</v>
      </c>
      <c r="U157" s="7">
        <v>113000</v>
      </c>
      <c r="V157" s="7">
        <f t="shared" si="13"/>
        <v>0</v>
      </c>
      <c r="W157" s="5">
        <f t="shared" si="14"/>
        <v>0</v>
      </c>
      <c r="X157" s="6"/>
      <c r="Y157" s="34">
        <f>SUMPRODUCT((BIdetails!$J$5:$J$3000=M157)*(BIdetails!$K$5:$K$3000=N157)*(BIdetails!$M$5:$M$3000))</f>
        <v>0</v>
      </c>
      <c r="Z157" s="35">
        <f t="shared" si="15"/>
        <v>0</v>
      </c>
      <c r="AA157" s="31" t="s">
        <v>2541</v>
      </c>
      <c r="AB157" s="31" t="s">
        <v>2663</v>
      </c>
      <c r="AC157" s="31" t="s">
        <v>2572</v>
      </c>
      <c r="AD157" s="31"/>
      <c r="AE157">
        <v>2630</v>
      </c>
    </row>
    <row r="158" spans="1:31" hidden="1" x14ac:dyDescent="0.25">
      <c r="A158" t="s">
        <v>2526</v>
      </c>
      <c r="B158" t="str">
        <f t="shared" si="12"/>
        <v>No Change</v>
      </c>
      <c r="D158">
        <v>68427709</v>
      </c>
      <c r="E158" s="224" t="s">
        <v>21</v>
      </c>
      <c r="F158" t="s">
        <v>2624</v>
      </c>
      <c r="G158" t="s">
        <v>23</v>
      </c>
      <c r="H158" t="s">
        <v>1338</v>
      </c>
      <c r="I158" t="s">
        <v>2225</v>
      </c>
      <c r="J158" t="s">
        <v>2637</v>
      </c>
      <c r="L158" t="s">
        <v>1338</v>
      </c>
      <c r="M158" s="233">
        <v>5400941603</v>
      </c>
      <c r="N158" s="21">
        <v>10</v>
      </c>
      <c r="O158" s="26" t="s">
        <v>2190</v>
      </c>
      <c r="P158" s="26" t="s">
        <v>2190</v>
      </c>
      <c r="Q158" t="s">
        <v>2545</v>
      </c>
      <c r="R158" s="31" t="s">
        <v>2607</v>
      </c>
      <c r="S158" s="7">
        <v>150000</v>
      </c>
      <c r="T158" s="7">
        <v>150000</v>
      </c>
      <c r="U158" s="7">
        <v>150000</v>
      </c>
      <c r="V158" s="7">
        <f t="shared" si="13"/>
        <v>0</v>
      </c>
      <c r="W158" s="5">
        <f t="shared" si="14"/>
        <v>0</v>
      </c>
      <c r="X158" s="6"/>
      <c r="Y158" s="34">
        <f>SUMPRODUCT((BIdetails!$J$5:$J$3000=M158)*(BIdetails!$K$5:$K$3000=N158)*(BIdetails!$M$5:$M$3000))</f>
        <v>0</v>
      </c>
      <c r="Z158" s="35">
        <f t="shared" si="15"/>
        <v>0</v>
      </c>
      <c r="AA158" s="31" t="s">
        <v>610</v>
      </c>
      <c r="AB158" s="31" t="s">
        <v>2534</v>
      </c>
      <c r="AC158" s="31" t="s">
        <v>2558</v>
      </c>
      <c r="AD158" s="31"/>
      <c r="AE158">
        <v>310</v>
      </c>
    </row>
    <row r="159" spans="1:31" hidden="1" x14ac:dyDescent="0.25">
      <c r="A159" t="s">
        <v>2526</v>
      </c>
      <c r="B159" t="str">
        <f t="shared" si="12"/>
        <v>Increase</v>
      </c>
      <c r="C159" t="s">
        <v>2784</v>
      </c>
      <c r="D159">
        <v>68427709</v>
      </c>
      <c r="E159" s="103" t="s">
        <v>51</v>
      </c>
      <c r="F159" t="s">
        <v>52</v>
      </c>
      <c r="G159" t="s">
        <v>42</v>
      </c>
      <c r="H159" t="s">
        <v>2785</v>
      </c>
      <c r="I159" t="s">
        <v>2554</v>
      </c>
      <c r="J159" t="s">
        <v>2786</v>
      </c>
      <c r="K159">
        <v>205005</v>
      </c>
      <c r="L159" t="s">
        <v>2787</v>
      </c>
      <c r="M159" s="196">
        <v>5400969349</v>
      </c>
      <c r="N159" s="21">
        <v>10</v>
      </c>
      <c r="O159" t="s">
        <v>2531</v>
      </c>
      <c r="P159" s="98" t="s">
        <v>2571</v>
      </c>
      <c r="Q159" t="s">
        <v>2532</v>
      </c>
      <c r="R159" s="97" t="s">
        <v>2533</v>
      </c>
      <c r="S159" s="7">
        <v>20500</v>
      </c>
      <c r="T159" s="7">
        <v>20500</v>
      </c>
      <c r="U159" s="7">
        <v>24000</v>
      </c>
      <c r="V159" s="7">
        <f t="shared" si="13"/>
        <v>3500</v>
      </c>
      <c r="W159" s="5">
        <f t="shared" si="14"/>
        <v>0.17073170731707318</v>
      </c>
      <c r="X159" s="6" t="s">
        <v>2269</v>
      </c>
      <c r="Y159" s="34">
        <f>SUMPRODUCT((BIdetails!$J$5:$J$3000=M159)*(BIdetails!$K$5:$K$3000=N159)*(BIdetails!$M$5:$M$3000))</f>
        <v>0</v>
      </c>
      <c r="Z159" s="35">
        <f t="shared" si="15"/>
        <v>0</v>
      </c>
      <c r="AA159" s="31" t="s">
        <v>2788</v>
      </c>
      <c r="AB159" s="31" t="s">
        <v>2752</v>
      </c>
      <c r="AC159" s="31" t="s">
        <v>2575</v>
      </c>
      <c r="AD159" s="31"/>
      <c r="AE159">
        <v>1930</v>
      </c>
    </row>
    <row r="160" spans="1:31" hidden="1" x14ac:dyDescent="0.25">
      <c r="A160" t="s">
        <v>2526</v>
      </c>
      <c r="B160" t="str">
        <f t="shared" si="12"/>
        <v>Increase</v>
      </c>
      <c r="C160" t="s">
        <v>2789</v>
      </c>
      <c r="D160">
        <v>68427709</v>
      </c>
      <c r="E160" s="96" t="s">
        <v>53</v>
      </c>
      <c r="F160" t="s">
        <v>54</v>
      </c>
      <c r="G160" t="s">
        <v>42</v>
      </c>
      <c r="H160" s="26" t="s">
        <v>573</v>
      </c>
      <c r="I160">
        <v>0</v>
      </c>
      <c r="J160" t="s">
        <v>2790</v>
      </c>
      <c r="K160" s="26">
        <v>197331</v>
      </c>
      <c r="L160" s="26" t="s">
        <v>575</v>
      </c>
      <c r="M160" s="235">
        <v>5400904053</v>
      </c>
      <c r="N160" s="21">
        <v>20</v>
      </c>
      <c r="O160" s="26" t="s">
        <v>2531</v>
      </c>
      <c r="P160" s="26" t="s">
        <v>2754</v>
      </c>
      <c r="Q160" t="s">
        <v>2545</v>
      </c>
      <c r="R160" s="31" t="s">
        <v>2667</v>
      </c>
      <c r="S160" s="7">
        <v>225000</v>
      </c>
      <c r="T160" s="7">
        <v>225000</v>
      </c>
      <c r="U160" s="7">
        <v>240000</v>
      </c>
      <c r="V160" s="7">
        <f t="shared" si="13"/>
        <v>15000</v>
      </c>
      <c r="W160" s="5">
        <f t="shared" si="14"/>
        <v>6.6666666666666666E-2</v>
      </c>
      <c r="X160" s="6" t="s">
        <v>2358</v>
      </c>
      <c r="Y160" s="34">
        <f>SUMPRODUCT((BIdetails!$J$5:$J$3000=M160)*(BIdetails!$K$5:$K$3000=N160)*(BIdetails!$M$5:$M$3000))</f>
        <v>0</v>
      </c>
      <c r="Z160" s="35">
        <f t="shared" si="15"/>
        <v>0</v>
      </c>
      <c r="AA160" s="31"/>
      <c r="AB160" s="31"/>
      <c r="AC160" s="31"/>
      <c r="AD160" s="31"/>
      <c r="AE160">
        <v>2510</v>
      </c>
    </row>
    <row r="161" spans="1:31" hidden="1" x14ac:dyDescent="0.25">
      <c r="A161" t="s">
        <v>2526</v>
      </c>
      <c r="B161" t="str">
        <f t="shared" si="12"/>
        <v>Decommissioned</v>
      </c>
      <c r="C161" t="s">
        <v>2791</v>
      </c>
      <c r="D161">
        <v>68427709</v>
      </c>
      <c r="E161" s="96" t="s">
        <v>53</v>
      </c>
      <c r="F161" t="s">
        <v>54</v>
      </c>
      <c r="G161" t="s">
        <v>42</v>
      </c>
      <c r="H161" s="26" t="s">
        <v>2792</v>
      </c>
      <c r="I161" s="27">
        <v>0</v>
      </c>
      <c r="J161" t="s">
        <v>2793</v>
      </c>
      <c r="K161">
        <v>198518</v>
      </c>
      <c r="L161" s="104" t="s">
        <v>2794</v>
      </c>
      <c r="M161" s="233">
        <v>5400960787</v>
      </c>
      <c r="N161" s="21">
        <v>10</v>
      </c>
      <c r="O161" s="26" t="s">
        <v>2531</v>
      </c>
      <c r="P161" s="26" t="s">
        <v>2183</v>
      </c>
      <c r="Q161" t="s">
        <v>2545</v>
      </c>
      <c r="R161" s="31" t="s">
        <v>2667</v>
      </c>
      <c r="S161" s="7">
        <v>142000</v>
      </c>
      <c r="T161" s="7">
        <v>142000</v>
      </c>
      <c r="U161" s="7">
        <v>0</v>
      </c>
      <c r="V161" s="7">
        <f t="shared" si="13"/>
        <v>-142000</v>
      </c>
      <c r="W161" s="5">
        <f t="shared" si="14"/>
        <v>-1</v>
      </c>
      <c r="X161" s="6" t="s">
        <v>2795</v>
      </c>
      <c r="Y161" s="34">
        <f>SUMPRODUCT((BIdetails!$J$5:$J$3000=M161)*(BIdetails!$K$5:$K$3000=N161)*(BIdetails!$M$5:$M$3000))</f>
        <v>0</v>
      </c>
      <c r="Z161" s="35" t="str">
        <f t="shared" si="15"/>
        <v/>
      </c>
      <c r="AA161" s="31"/>
      <c r="AB161" s="31"/>
      <c r="AC161" s="31"/>
      <c r="AD161" s="31"/>
      <c r="AE161">
        <v>2890</v>
      </c>
    </row>
    <row r="162" spans="1:31" x14ac:dyDescent="0.25">
      <c r="A162" t="s">
        <v>2570</v>
      </c>
      <c r="B162" t="str">
        <f t="shared" si="12"/>
        <v>No Change</v>
      </c>
      <c r="C162" t="s">
        <v>2796</v>
      </c>
      <c r="D162">
        <v>68427709</v>
      </c>
      <c r="E162" s="96" t="s">
        <v>38</v>
      </c>
      <c r="F162" t="s">
        <v>40</v>
      </c>
      <c r="G162" t="s">
        <v>40</v>
      </c>
      <c r="H162" t="s">
        <v>2097</v>
      </c>
      <c r="I162" t="s">
        <v>2225</v>
      </c>
      <c r="J162" t="s">
        <v>2637</v>
      </c>
      <c r="K162">
        <v>167460</v>
      </c>
      <c r="L162" t="s">
        <v>2797</v>
      </c>
      <c r="M162" s="21">
        <v>5400743604</v>
      </c>
      <c r="N162" s="21">
        <v>20</v>
      </c>
      <c r="O162" t="s">
        <v>2579</v>
      </c>
      <c r="P162" t="s">
        <v>2579</v>
      </c>
      <c r="Q162" t="s">
        <v>2545</v>
      </c>
      <c r="R162" s="31" t="s">
        <v>40</v>
      </c>
      <c r="S162" s="7">
        <v>42000</v>
      </c>
      <c r="T162" s="7">
        <v>0</v>
      </c>
      <c r="U162" s="7">
        <v>0</v>
      </c>
      <c r="V162" s="7">
        <f t="shared" si="13"/>
        <v>0</v>
      </c>
      <c r="W162" s="5">
        <f t="shared" si="14"/>
        <v>0</v>
      </c>
      <c r="X162" s="6"/>
      <c r="Y162" s="34">
        <f>SUMPRODUCT((BIdetails!$J$5:$J$3000=M162)*(BIdetails!$K$5:$K$3000=N162)*(BIdetails!$M$5:$M$3000))</f>
        <v>0</v>
      </c>
      <c r="Z162" s="35" t="str">
        <f t="shared" si="15"/>
        <v/>
      </c>
      <c r="AA162" s="31" t="s">
        <v>610</v>
      </c>
      <c r="AB162" s="31" t="s">
        <v>2534</v>
      </c>
      <c r="AC162" s="31" t="s">
        <v>2558</v>
      </c>
      <c r="AD162" s="31"/>
      <c r="AE162">
        <v>610</v>
      </c>
    </row>
    <row r="163" spans="1:31" hidden="1" x14ac:dyDescent="0.25">
      <c r="A163" t="s">
        <v>2526</v>
      </c>
      <c r="B163" t="str">
        <f t="shared" si="12"/>
        <v>No Change</v>
      </c>
      <c r="C163" t="s">
        <v>2798</v>
      </c>
      <c r="D163">
        <v>68427709</v>
      </c>
      <c r="E163" s="96" t="s">
        <v>26</v>
      </c>
      <c r="F163" t="s">
        <v>27</v>
      </c>
      <c r="G163" t="s">
        <v>28</v>
      </c>
      <c r="H163" s="223" t="s">
        <v>2799</v>
      </c>
      <c r="I163" t="s">
        <v>2648</v>
      </c>
      <c r="J163" t="s">
        <v>2042</v>
      </c>
      <c r="K163">
        <v>192033</v>
      </c>
      <c r="L163" t="s">
        <v>2800</v>
      </c>
      <c r="M163" s="233">
        <v>5400965883</v>
      </c>
      <c r="N163" s="21">
        <v>10</v>
      </c>
      <c r="O163" s="26" t="s">
        <v>2190</v>
      </c>
      <c r="P163" s="26" t="s">
        <v>2190</v>
      </c>
      <c r="Q163" t="s">
        <v>2545</v>
      </c>
      <c r="R163" s="31" t="s">
        <v>2607</v>
      </c>
      <c r="S163" s="7">
        <v>30000</v>
      </c>
      <c r="T163" s="7">
        <v>30000</v>
      </c>
      <c r="U163" s="7">
        <v>30000</v>
      </c>
      <c r="V163" s="7">
        <f t="shared" si="13"/>
        <v>0</v>
      </c>
      <c r="W163" s="5">
        <f t="shared" si="14"/>
        <v>0</v>
      </c>
      <c r="X163" s="6"/>
      <c r="Y163" s="34">
        <f>SUMPRODUCT((BIdetails!$J$5:$J$3000=M163)*(BIdetails!$K$5:$K$3000=N163)*(BIdetails!$M$5:$M$3000))</f>
        <v>0</v>
      </c>
      <c r="Z163" s="35">
        <f t="shared" si="15"/>
        <v>0</v>
      </c>
      <c r="AA163" s="31" t="s">
        <v>610</v>
      </c>
      <c r="AB163" s="31" t="s">
        <v>2534</v>
      </c>
      <c r="AC163" s="31" t="s">
        <v>2558</v>
      </c>
      <c r="AD163" s="31"/>
      <c r="AE163">
        <v>311</v>
      </c>
    </row>
    <row r="164" spans="1:31" hidden="1" x14ac:dyDescent="0.25">
      <c r="A164" t="s">
        <v>2526</v>
      </c>
      <c r="B164" t="str">
        <f t="shared" si="12"/>
        <v>No Change</v>
      </c>
      <c r="C164" t="s">
        <v>2798</v>
      </c>
      <c r="D164">
        <v>68427709</v>
      </c>
      <c r="E164" s="96" t="s">
        <v>26</v>
      </c>
      <c r="F164" t="s">
        <v>27</v>
      </c>
      <c r="G164" t="s">
        <v>28</v>
      </c>
      <c r="H164" s="223" t="s">
        <v>2801</v>
      </c>
      <c r="I164" t="s">
        <v>2648</v>
      </c>
      <c r="J164" t="s">
        <v>2042</v>
      </c>
      <c r="K164">
        <v>192033</v>
      </c>
      <c r="L164" t="s">
        <v>2800</v>
      </c>
      <c r="M164" s="233">
        <v>5400965883</v>
      </c>
      <c r="N164" s="21">
        <v>10</v>
      </c>
      <c r="O164" s="26" t="s">
        <v>2190</v>
      </c>
      <c r="P164" s="26" t="s">
        <v>2190</v>
      </c>
      <c r="Q164" t="s">
        <v>2545</v>
      </c>
      <c r="R164" s="31" t="s">
        <v>2607</v>
      </c>
      <c r="S164" s="7">
        <v>180000</v>
      </c>
      <c r="T164" s="7">
        <v>180000</v>
      </c>
      <c r="U164" s="7">
        <v>180000</v>
      </c>
      <c r="V164" s="7">
        <f t="shared" si="13"/>
        <v>0</v>
      </c>
      <c r="W164" s="5">
        <f t="shared" si="14"/>
        <v>0</v>
      </c>
      <c r="X164" s="6"/>
      <c r="Y164" s="34">
        <f>SUMPRODUCT((BIdetails!$J$5:$J$3000=M164)*(BIdetails!$K$5:$K$3000=N164)*(BIdetails!$M$5:$M$3000))</f>
        <v>0</v>
      </c>
      <c r="Z164" s="35">
        <f t="shared" ref="Z164:Z191" si="16">IF(U164=0,"",(Y164/U164))</f>
        <v>0</v>
      </c>
      <c r="AA164" s="31" t="s">
        <v>610</v>
      </c>
      <c r="AB164" s="31" t="s">
        <v>2534</v>
      </c>
      <c r="AC164" s="31" t="s">
        <v>2558</v>
      </c>
      <c r="AD164" s="31"/>
      <c r="AE164">
        <v>320</v>
      </c>
    </row>
    <row r="165" spans="1:31" hidden="1" x14ac:dyDescent="0.25">
      <c r="A165" t="s">
        <v>2526</v>
      </c>
      <c r="B165" t="str">
        <f t="shared" si="12"/>
        <v>Increase</v>
      </c>
      <c r="D165">
        <v>68427709</v>
      </c>
      <c r="E165" s="96" t="s">
        <v>53</v>
      </c>
      <c r="F165" t="s">
        <v>54</v>
      </c>
      <c r="G165" t="s">
        <v>42</v>
      </c>
      <c r="H165" s="26" t="s">
        <v>2133</v>
      </c>
      <c r="J165" t="s">
        <v>2802</v>
      </c>
      <c r="K165" s="26">
        <v>207958</v>
      </c>
      <c r="L165" s="26" t="s">
        <v>2803</v>
      </c>
      <c r="M165" s="235">
        <v>5400971261</v>
      </c>
      <c r="N165" s="21">
        <v>10</v>
      </c>
      <c r="O165" s="26" t="s">
        <v>2531</v>
      </c>
      <c r="P165" s="26" t="s">
        <v>1841</v>
      </c>
      <c r="Q165" s="26" t="s">
        <v>2532</v>
      </c>
      <c r="R165" t="s">
        <v>2804</v>
      </c>
      <c r="S165" s="7"/>
      <c r="T165" s="7">
        <v>63000</v>
      </c>
      <c r="U165" s="7">
        <v>81000</v>
      </c>
      <c r="V165" s="7">
        <f t="shared" si="13"/>
        <v>18000</v>
      </c>
      <c r="W165" s="5">
        <f t="shared" si="14"/>
        <v>0.2857142857142857</v>
      </c>
      <c r="X165" s="126" t="s">
        <v>2353</v>
      </c>
      <c r="Y165" s="34">
        <f>SUMPRODUCT((BIdetails!$J$5:$J$3000=M165)*(BIdetails!$K$5:$K$3000=N165)*(BIdetails!$M$5:$M$3000))</f>
        <v>0</v>
      </c>
      <c r="Z165" s="35">
        <f t="shared" si="16"/>
        <v>0</v>
      </c>
      <c r="AA165" s="31"/>
      <c r="AB165" s="31"/>
      <c r="AC165" s="31"/>
      <c r="AD165" s="31"/>
      <c r="AE165">
        <v>3500</v>
      </c>
    </row>
    <row r="166" spans="1:31" hidden="1" x14ac:dyDescent="0.25">
      <c r="A166" t="s">
        <v>2526</v>
      </c>
      <c r="B166" t="str">
        <f t="shared" si="12"/>
        <v>No Change</v>
      </c>
      <c r="D166">
        <v>68427709</v>
      </c>
      <c r="E166" s="96" t="s">
        <v>53</v>
      </c>
      <c r="F166" t="s">
        <v>54</v>
      </c>
      <c r="G166" t="s">
        <v>42</v>
      </c>
      <c r="H166" t="s">
        <v>2805</v>
      </c>
      <c r="I166">
        <v>0</v>
      </c>
      <c r="J166" t="s">
        <v>2806</v>
      </c>
      <c r="K166">
        <v>204439</v>
      </c>
      <c r="L166" s="26" t="s">
        <v>2807</v>
      </c>
      <c r="M166" s="233">
        <v>5400933622</v>
      </c>
      <c r="N166" s="21">
        <v>10</v>
      </c>
      <c r="O166" s="26" t="s">
        <v>2531</v>
      </c>
      <c r="P166" s="26" t="s">
        <v>2280</v>
      </c>
      <c r="Q166" t="s">
        <v>2550</v>
      </c>
      <c r="R166" s="31" t="s">
        <v>280</v>
      </c>
      <c r="S166" s="7">
        <v>32000</v>
      </c>
      <c r="T166" s="7">
        <v>32000</v>
      </c>
      <c r="U166" s="7">
        <v>32000</v>
      </c>
      <c r="V166" s="7">
        <f t="shared" si="13"/>
        <v>0</v>
      </c>
      <c r="W166" s="5">
        <f t="shared" si="14"/>
        <v>0</v>
      </c>
      <c r="X166" s="126"/>
      <c r="Y166" s="34">
        <f>SUMPRODUCT((BIdetails!$J$5:$J$3000=M166)*(BIdetails!$K$5:$K$3000=N166)*(BIdetails!$M$5:$M$3000))</f>
        <v>0</v>
      </c>
      <c r="Z166" s="35">
        <f t="shared" si="16"/>
        <v>0</v>
      </c>
      <c r="AA166" s="31"/>
      <c r="AB166" s="31"/>
      <c r="AC166" s="31"/>
      <c r="AD166" s="31"/>
      <c r="AE166">
        <v>3010</v>
      </c>
    </row>
    <row r="167" spans="1:31" hidden="1" x14ac:dyDescent="0.25">
      <c r="A167" t="s">
        <v>2526</v>
      </c>
      <c r="B167" t="str">
        <f t="shared" si="12"/>
        <v>No Change</v>
      </c>
      <c r="C167" t="s">
        <v>2808</v>
      </c>
      <c r="D167">
        <v>68427709</v>
      </c>
      <c r="E167" s="96" t="s">
        <v>51</v>
      </c>
      <c r="F167" t="s">
        <v>52</v>
      </c>
      <c r="G167" t="s">
        <v>42</v>
      </c>
      <c r="H167" t="s">
        <v>2809</v>
      </c>
      <c r="I167">
        <v>0</v>
      </c>
      <c r="J167" t="s">
        <v>2810</v>
      </c>
      <c r="K167">
        <v>167392</v>
      </c>
      <c r="L167" t="s">
        <v>2811</v>
      </c>
      <c r="M167" s="233">
        <v>5400963357</v>
      </c>
      <c r="O167" t="s">
        <v>2531</v>
      </c>
      <c r="P167" s="98" t="s">
        <v>1841</v>
      </c>
      <c r="Q167" t="s">
        <v>2532</v>
      </c>
      <c r="R167" s="97" t="s">
        <v>2804</v>
      </c>
      <c r="S167" s="7">
        <v>125000</v>
      </c>
      <c r="T167" s="7">
        <v>82000</v>
      </c>
      <c r="U167" s="7">
        <v>82000</v>
      </c>
      <c r="V167" s="7">
        <f t="shared" si="13"/>
        <v>0</v>
      </c>
      <c r="W167" s="5">
        <f t="shared" si="14"/>
        <v>0</v>
      </c>
      <c r="X167" s="6"/>
      <c r="Y167" s="34">
        <f>SUMPRODUCT((BIdetails!$J$5:$J$3000=M167)*(BIdetails!$K$5:$K$3000=N167)*(BIdetails!$M$5:$M$3000))</f>
        <v>0</v>
      </c>
      <c r="Z167" s="35">
        <f t="shared" si="16"/>
        <v>0</v>
      </c>
      <c r="AA167" s="31" t="s">
        <v>2541</v>
      </c>
      <c r="AB167" s="31" t="s">
        <v>2663</v>
      </c>
      <c r="AC167" s="31" t="s">
        <v>2572</v>
      </c>
      <c r="AD167" s="31"/>
      <c r="AE167">
        <v>1940</v>
      </c>
    </row>
    <row r="168" spans="1:31" hidden="1" x14ac:dyDescent="0.25">
      <c r="A168" t="s">
        <v>2526</v>
      </c>
      <c r="B168" t="str">
        <f t="shared" si="12"/>
        <v>No Change</v>
      </c>
      <c r="C168" t="s">
        <v>2812</v>
      </c>
      <c r="D168">
        <v>68427709</v>
      </c>
      <c r="E168" s="96" t="s">
        <v>49</v>
      </c>
      <c r="F168" t="s">
        <v>50</v>
      </c>
      <c r="G168" t="s">
        <v>42</v>
      </c>
      <c r="H168" t="s">
        <v>2813</v>
      </c>
      <c r="I168">
        <v>0</v>
      </c>
      <c r="J168" t="s">
        <v>2814</v>
      </c>
      <c r="K168">
        <v>168378</v>
      </c>
      <c r="L168" t="s">
        <v>2815</v>
      </c>
      <c r="M168" s="196">
        <v>5400964948</v>
      </c>
      <c r="N168" s="21">
        <v>20</v>
      </c>
      <c r="O168" t="s">
        <v>2531</v>
      </c>
      <c r="P168" t="s">
        <v>2816</v>
      </c>
      <c r="Q168" t="s">
        <v>2545</v>
      </c>
      <c r="R168" s="97" t="s">
        <v>2667</v>
      </c>
      <c r="S168" s="7">
        <v>10000</v>
      </c>
      <c r="T168" s="7">
        <v>10000</v>
      </c>
      <c r="U168" s="7">
        <v>10000</v>
      </c>
      <c r="V168" s="7">
        <f t="shared" si="13"/>
        <v>0</v>
      </c>
      <c r="W168" s="5">
        <f t="shared" si="14"/>
        <v>0</v>
      </c>
      <c r="X168" s="6"/>
      <c r="Y168" s="34">
        <f>SUMPRODUCT((BIdetails!$J$5:$J$3000=M168)*(BIdetails!$K$5:$K$3000=N168)*(BIdetails!$M$5:$M$3000))</f>
        <v>0</v>
      </c>
      <c r="Z168" s="35">
        <f t="shared" si="16"/>
        <v>0</v>
      </c>
      <c r="AA168" s="31"/>
      <c r="AB168" s="31"/>
      <c r="AC168" s="31"/>
      <c r="AD168" s="31"/>
      <c r="AE168">
        <v>1340</v>
      </c>
    </row>
    <row r="169" spans="1:31" hidden="1" x14ac:dyDescent="0.25">
      <c r="A169" t="s">
        <v>2526</v>
      </c>
      <c r="B169" t="str">
        <f t="shared" si="12"/>
        <v>Increase</v>
      </c>
      <c r="C169" t="s">
        <v>2812</v>
      </c>
      <c r="D169">
        <v>68427709</v>
      </c>
      <c r="E169" s="96" t="s">
        <v>53</v>
      </c>
      <c r="F169" t="s">
        <v>54</v>
      </c>
      <c r="G169" t="s">
        <v>42</v>
      </c>
      <c r="H169" t="s">
        <v>2817</v>
      </c>
      <c r="I169">
        <v>0</v>
      </c>
      <c r="J169" t="s">
        <v>2814</v>
      </c>
      <c r="K169">
        <v>168378</v>
      </c>
      <c r="L169" t="s">
        <v>2815</v>
      </c>
      <c r="M169" s="196">
        <v>5400964948</v>
      </c>
      <c r="N169" s="21">
        <v>10</v>
      </c>
      <c r="O169" t="s">
        <v>2531</v>
      </c>
      <c r="P169" s="26" t="s">
        <v>2754</v>
      </c>
      <c r="Q169" t="s">
        <v>2545</v>
      </c>
      <c r="R169" s="33" t="s">
        <v>2667</v>
      </c>
      <c r="S169" s="7">
        <v>147000</v>
      </c>
      <c r="T169" s="7">
        <v>147000</v>
      </c>
      <c r="U169" s="7">
        <v>157000</v>
      </c>
      <c r="V169" s="7">
        <f t="shared" si="13"/>
        <v>10000</v>
      </c>
      <c r="W169" s="5">
        <f t="shared" si="14"/>
        <v>6.8027210884353748E-2</v>
      </c>
      <c r="X169" s="6" t="s">
        <v>2358</v>
      </c>
      <c r="Y169" s="34">
        <f>SUMPRODUCT((BIdetails!$J$5:$J$3000=M169)*(BIdetails!$K$5:$K$3000=N169)*(BIdetails!$M$5:$M$3000))</f>
        <v>0</v>
      </c>
      <c r="Z169" s="35">
        <f t="shared" si="16"/>
        <v>0</v>
      </c>
      <c r="AA169" s="31"/>
      <c r="AB169" s="31"/>
      <c r="AC169" s="31"/>
      <c r="AD169" s="31"/>
      <c r="AE169">
        <v>2780</v>
      </c>
    </row>
    <row r="170" spans="1:31" hidden="1" x14ac:dyDescent="0.25">
      <c r="A170" t="s">
        <v>2526</v>
      </c>
      <c r="B170" t="str">
        <f t="shared" si="12"/>
        <v>Decrease</v>
      </c>
      <c r="C170" t="s">
        <v>2818</v>
      </c>
      <c r="D170">
        <v>68427709</v>
      </c>
      <c r="E170" s="96" t="s">
        <v>49</v>
      </c>
      <c r="F170" t="s">
        <v>50</v>
      </c>
      <c r="G170" t="s">
        <v>42</v>
      </c>
      <c r="H170" t="s">
        <v>2819</v>
      </c>
      <c r="I170" t="s">
        <v>2590</v>
      </c>
      <c r="J170" t="s">
        <v>2820</v>
      </c>
      <c r="K170">
        <v>193174</v>
      </c>
      <c r="L170" t="s">
        <v>232</v>
      </c>
      <c r="M170" s="196">
        <v>5400861908</v>
      </c>
      <c r="N170" s="21">
        <v>30</v>
      </c>
      <c r="O170" t="s">
        <v>1696</v>
      </c>
      <c r="P170" s="26" t="s">
        <v>1696</v>
      </c>
      <c r="Q170" t="s">
        <v>2545</v>
      </c>
      <c r="R170" s="31" t="s">
        <v>2533</v>
      </c>
      <c r="S170" s="7">
        <v>95000</v>
      </c>
      <c r="T170" s="7">
        <v>95000</v>
      </c>
      <c r="U170" s="7">
        <v>80000</v>
      </c>
      <c r="V170" s="7">
        <f t="shared" si="13"/>
        <v>-15000</v>
      </c>
      <c r="W170" s="5">
        <f t="shared" si="14"/>
        <v>-0.15789473684210525</v>
      </c>
      <c r="X170" s="6" t="s">
        <v>2230</v>
      </c>
      <c r="Y170" s="34">
        <f>SUMPRODUCT((BIdetails!$J$5:$J$3000=M170)*(BIdetails!$K$5:$K$3000=N170)*(BIdetails!$M$5:$M$3000))</f>
        <v>0</v>
      </c>
      <c r="Z170" s="35">
        <f t="shared" si="16"/>
        <v>0</v>
      </c>
      <c r="AA170" s="31"/>
      <c r="AB170" s="31"/>
      <c r="AC170" s="31"/>
      <c r="AD170" s="31"/>
      <c r="AE170">
        <v>1130</v>
      </c>
    </row>
    <row r="171" spans="1:31" hidden="1" x14ac:dyDescent="0.25">
      <c r="A171" t="s">
        <v>2526</v>
      </c>
      <c r="B171" t="str">
        <f t="shared" si="12"/>
        <v>Increase</v>
      </c>
      <c r="C171" t="s">
        <v>2821</v>
      </c>
      <c r="D171">
        <v>68427709</v>
      </c>
      <c r="E171" s="96" t="s">
        <v>49</v>
      </c>
      <c r="F171" t="s">
        <v>50</v>
      </c>
      <c r="G171" t="s">
        <v>42</v>
      </c>
      <c r="H171" t="s">
        <v>2822</v>
      </c>
      <c r="I171" t="s">
        <v>2590</v>
      </c>
      <c r="J171" t="s">
        <v>2823</v>
      </c>
      <c r="K171">
        <v>191882</v>
      </c>
      <c r="L171" t="s">
        <v>240</v>
      </c>
      <c r="M171" s="233">
        <v>5400973263</v>
      </c>
      <c r="N171" s="21">
        <v>10</v>
      </c>
      <c r="O171" t="s">
        <v>2531</v>
      </c>
      <c r="P171" s="26" t="s">
        <v>2531</v>
      </c>
      <c r="Q171" t="s">
        <v>2545</v>
      </c>
      <c r="R171" s="31" t="s">
        <v>2533</v>
      </c>
      <c r="S171" s="7">
        <v>17500</v>
      </c>
      <c r="T171" s="7">
        <v>20000</v>
      </c>
      <c r="U171" s="7">
        <v>30000</v>
      </c>
      <c r="V171" s="7">
        <f t="shared" si="13"/>
        <v>10000</v>
      </c>
      <c r="W171" s="5">
        <f t="shared" si="14"/>
        <v>0.5</v>
      </c>
      <c r="X171" s="6" t="s">
        <v>2358</v>
      </c>
      <c r="Y171" s="34">
        <f>SUMPRODUCT((BIdetails!$J$5:$J$3000=M171)*(BIdetails!$K$5:$K$3000=N171)*(BIdetails!$M$5:$M$3000))</f>
        <v>0</v>
      </c>
      <c r="Z171" s="35">
        <f t="shared" si="16"/>
        <v>0</v>
      </c>
      <c r="AA171" s="31" t="s">
        <v>610</v>
      </c>
      <c r="AB171" s="31" t="s">
        <v>2534</v>
      </c>
      <c r="AC171" s="31" t="s">
        <v>2558</v>
      </c>
      <c r="AD171" s="31"/>
      <c r="AE171">
        <v>1170</v>
      </c>
    </row>
    <row r="172" spans="1:31" hidden="1" x14ac:dyDescent="0.25">
      <c r="A172" t="s">
        <v>2526</v>
      </c>
      <c r="B172" t="str">
        <f t="shared" si="12"/>
        <v>Increase</v>
      </c>
      <c r="C172" t="s">
        <v>2824</v>
      </c>
      <c r="D172">
        <v>68427709</v>
      </c>
      <c r="E172" s="96" t="s">
        <v>53</v>
      </c>
      <c r="F172" t="s">
        <v>54</v>
      </c>
      <c r="G172" t="s">
        <v>42</v>
      </c>
      <c r="H172" t="s">
        <v>2343</v>
      </c>
      <c r="I172">
        <v>0</v>
      </c>
      <c r="J172" t="s">
        <v>2825</v>
      </c>
      <c r="K172">
        <v>168847</v>
      </c>
      <c r="L172" t="s">
        <v>2826</v>
      </c>
      <c r="M172" s="233">
        <v>5400972348</v>
      </c>
      <c r="N172" s="21">
        <v>10</v>
      </c>
      <c r="O172" t="s">
        <v>2531</v>
      </c>
      <c r="P172" s="26" t="s">
        <v>2754</v>
      </c>
      <c r="Q172" t="s">
        <v>2545</v>
      </c>
      <c r="R172" s="33" t="s">
        <v>2667</v>
      </c>
      <c r="S172" s="7">
        <v>12100</v>
      </c>
      <c r="T172" s="7">
        <v>12100</v>
      </c>
      <c r="U172" s="7">
        <v>14300</v>
      </c>
      <c r="V172" s="7">
        <f t="shared" si="13"/>
        <v>2200</v>
      </c>
      <c r="W172" s="5">
        <f t="shared" si="14"/>
        <v>0.18181818181818182</v>
      </c>
      <c r="X172" s="6" t="s">
        <v>2358</v>
      </c>
      <c r="Y172" s="34">
        <f>SUMPRODUCT((BIdetails!$J$5:$J$3000=M172)*(BIdetails!$K$5:$K$3000=N172)*(BIdetails!$M$5:$M$3000))</f>
        <v>0</v>
      </c>
      <c r="Z172" s="35">
        <f t="shared" si="16"/>
        <v>0</v>
      </c>
      <c r="AA172" s="31"/>
      <c r="AB172" s="31"/>
      <c r="AC172" s="31"/>
      <c r="AD172" s="31"/>
      <c r="AE172">
        <v>2840</v>
      </c>
    </row>
    <row r="173" spans="1:31" hidden="1" x14ac:dyDescent="0.25">
      <c r="A173" t="s">
        <v>2526</v>
      </c>
      <c r="B173" t="str">
        <f t="shared" si="12"/>
        <v>Decrease</v>
      </c>
      <c r="D173">
        <v>68427709</v>
      </c>
      <c r="E173" s="96" t="s">
        <v>53</v>
      </c>
      <c r="F173" t="s">
        <v>54</v>
      </c>
      <c r="G173" s="98" t="s">
        <v>42</v>
      </c>
      <c r="H173" t="s">
        <v>1555</v>
      </c>
      <c r="J173" t="s">
        <v>2827</v>
      </c>
      <c r="K173" s="98">
        <v>200670</v>
      </c>
      <c r="L173" s="98" t="s">
        <v>2828</v>
      </c>
      <c r="M173" s="233">
        <v>5400910709</v>
      </c>
      <c r="N173" s="21">
        <v>10</v>
      </c>
      <c r="O173" s="98" t="s">
        <v>2531</v>
      </c>
      <c r="P173" s="98" t="s">
        <v>2549</v>
      </c>
      <c r="Q173" t="s">
        <v>2550</v>
      </c>
      <c r="R173" t="s">
        <v>2551</v>
      </c>
      <c r="S173" s="7">
        <v>310000</v>
      </c>
      <c r="T173" s="7">
        <v>450000</v>
      </c>
      <c r="U173" s="7">
        <v>410000</v>
      </c>
      <c r="V173" s="7">
        <f t="shared" si="13"/>
        <v>-40000</v>
      </c>
      <c r="W173" s="5">
        <f t="shared" si="14"/>
        <v>-8.8888888888888892E-2</v>
      </c>
      <c r="X173" s="126"/>
      <c r="Y173" s="34">
        <f>SUMPRODUCT((BIdetails!$J$5:$J$3000=M173)*(BIdetails!$K$5:$K$3000=N173)*(BIdetails!$M$5:$M$3000))</f>
        <v>0</v>
      </c>
      <c r="Z173" s="35">
        <f t="shared" si="16"/>
        <v>0</v>
      </c>
      <c r="AA173" s="31"/>
      <c r="AB173" s="31"/>
      <c r="AC173" s="31"/>
      <c r="AD173" s="31"/>
      <c r="AE173">
        <v>3140</v>
      </c>
    </row>
    <row r="174" spans="1:31" hidden="1" x14ac:dyDescent="0.25">
      <c r="A174" t="s">
        <v>2526</v>
      </c>
      <c r="B174" t="str">
        <f t="shared" si="12"/>
        <v>No Change</v>
      </c>
      <c r="C174" t="s">
        <v>2829</v>
      </c>
      <c r="D174">
        <v>68427709</v>
      </c>
      <c r="E174" s="96" t="s">
        <v>34</v>
      </c>
      <c r="F174" t="s">
        <v>35</v>
      </c>
      <c r="G174" t="s">
        <v>31</v>
      </c>
      <c r="H174" t="s">
        <v>2830</v>
      </c>
      <c r="I174" t="s">
        <v>2225</v>
      </c>
      <c r="J174" t="s">
        <v>2637</v>
      </c>
      <c r="L174" t="s">
        <v>1818</v>
      </c>
      <c r="O174" s="26" t="s">
        <v>2190</v>
      </c>
      <c r="P174" s="26" t="s">
        <v>2190</v>
      </c>
      <c r="Q174" t="s">
        <v>2545</v>
      </c>
      <c r="R174" s="31" t="s">
        <v>2607</v>
      </c>
      <c r="S174" s="7">
        <v>48544</v>
      </c>
      <c r="T174" s="7">
        <v>48544</v>
      </c>
      <c r="U174" s="7">
        <v>48544</v>
      </c>
      <c r="V174" s="7">
        <f t="shared" si="13"/>
        <v>0</v>
      </c>
      <c r="W174" s="5">
        <f t="shared" si="14"/>
        <v>0</v>
      </c>
      <c r="X174" s="6"/>
      <c r="Y174" s="34">
        <f>SUMPRODUCT((BIdetails!$J$5:$J$3000=M174)*(BIdetails!$K$5:$K$3000=N174)*(BIdetails!$M$5:$M$3000))</f>
        <v>0</v>
      </c>
      <c r="Z174" s="35">
        <f t="shared" si="16"/>
        <v>0</v>
      </c>
      <c r="AA174" s="31" t="s">
        <v>610</v>
      </c>
      <c r="AB174" s="31" t="s">
        <v>2534</v>
      </c>
      <c r="AC174" s="31" t="s">
        <v>2558</v>
      </c>
      <c r="AD174" s="31"/>
      <c r="AE174">
        <v>450</v>
      </c>
    </row>
    <row r="175" spans="1:31" hidden="1" x14ac:dyDescent="0.25">
      <c r="A175" t="s">
        <v>2526</v>
      </c>
      <c r="B175" t="str">
        <f t="shared" si="12"/>
        <v>No Change</v>
      </c>
      <c r="D175">
        <v>68427709</v>
      </c>
      <c r="E175" s="96" t="s">
        <v>36</v>
      </c>
      <c r="F175" t="s">
        <v>37</v>
      </c>
      <c r="G175" t="s">
        <v>31</v>
      </c>
      <c r="H175" t="s">
        <v>1339</v>
      </c>
      <c r="I175" t="s">
        <v>2225</v>
      </c>
      <c r="J175" t="s">
        <v>2637</v>
      </c>
      <c r="L175" t="s">
        <v>1340</v>
      </c>
      <c r="M175"/>
      <c r="O175" s="26" t="s">
        <v>2190</v>
      </c>
      <c r="P175" s="26" t="s">
        <v>2190</v>
      </c>
      <c r="Q175" t="s">
        <v>2545</v>
      </c>
      <c r="R175" s="31" t="s">
        <v>2607</v>
      </c>
      <c r="S175" s="7">
        <v>25000</v>
      </c>
      <c r="T175" s="7">
        <v>25000</v>
      </c>
      <c r="U175" s="7">
        <v>25000</v>
      </c>
      <c r="V175" s="7">
        <f t="shared" si="13"/>
        <v>0</v>
      </c>
      <c r="W175" s="5">
        <f t="shared" si="14"/>
        <v>0</v>
      </c>
      <c r="X175" s="93"/>
      <c r="Y175" s="34">
        <f>SUMPRODUCT((BIdetails!$J$5:$J$3000=M175)*(BIdetails!$K$5:$K$3000=N175)*(BIdetails!$M$5:$M$3000))</f>
        <v>0</v>
      </c>
      <c r="Z175" s="35">
        <f t="shared" si="16"/>
        <v>0</v>
      </c>
      <c r="AA175" s="31" t="s">
        <v>610</v>
      </c>
      <c r="AB175" s="31" t="s">
        <v>2534</v>
      </c>
      <c r="AC175" s="31" t="s">
        <v>2558</v>
      </c>
      <c r="AD175" s="31"/>
      <c r="AE175">
        <v>590</v>
      </c>
    </row>
    <row r="176" spans="1:31" hidden="1" x14ac:dyDescent="0.25">
      <c r="A176" t="s">
        <v>2570</v>
      </c>
      <c r="B176" t="str">
        <f t="shared" ref="B176:B232" si="17">IF(T176=U176,"No Change",IF(AND(U176&lt;&gt;0,U176&lt;T176),"Decrease",IF(AND(U176&lt;&gt;0,T176=0),"New",IF(AND(T176&lt;&gt;0,U176=0),"Decommissioned","Increase"))))</f>
        <v>No Change</v>
      </c>
      <c r="C176" t="s">
        <v>2831</v>
      </c>
      <c r="D176">
        <v>68427709</v>
      </c>
      <c r="E176" s="96" t="s">
        <v>53</v>
      </c>
      <c r="F176" t="s">
        <v>54</v>
      </c>
      <c r="G176" t="s">
        <v>42</v>
      </c>
      <c r="H176" t="s">
        <v>1743</v>
      </c>
      <c r="I176">
        <v>0</v>
      </c>
      <c r="J176" t="s">
        <v>2611</v>
      </c>
      <c r="K176" s="154">
        <v>118041</v>
      </c>
      <c r="L176" s="26" t="s">
        <v>2832</v>
      </c>
      <c r="M176" s="228">
        <v>5400796066</v>
      </c>
      <c r="N176" s="21">
        <v>10</v>
      </c>
      <c r="O176" s="26" t="s">
        <v>2531</v>
      </c>
      <c r="P176" s="26" t="s">
        <v>2290</v>
      </c>
      <c r="Q176" t="s">
        <v>2545</v>
      </c>
      <c r="R176" s="31" t="s">
        <v>2533</v>
      </c>
      <c r="S176" s="7">
        <v>10200</v>
      </c>
      <c r="T176" s="7">
        <v>0</v>
      </c>
      <c r="U176" s="7">
        <v>0</v>
      </c>
      <c r="V176" s="7">
        <f t="shared" ref="V176:V232" si="18">U176-T176</f>
        <v>0</v>
      </c>
      <c r="W176" s="5">
        <f t="shared" si="14"/>
        <v>0</v>
      </c>
      <c r="X176" s="126"/>
      <c r="Y176" s="34">
        <f>SUMPRODUCT((BIdetails!$J$5:$J$3000=M176)*(BIdetails!$K$5:$K$3000=N176)*(BIdetails!$M$5:$M$3000))</f>
        <v>0</v>
      </c>
      <c r="Z176" s="35" t="str">
        <f t="shared" si="16"/>
        <v/>
      </c>
      <c r="AA176" s="31"/>
      <c r="AB176" s="31"/>
      <c r="AC176" s="31"/>
      <c r="AD176" s="31"/>
      <c r="AE176">
        <v>2950</v>
      </c>
    </row>
    <row r="177" spans="1:31" hidden="1" x14ac:dyDescent="0.25">
      <c r="A177" t="s">
        <v>2526</v>
      </c>
      <c r="B177" t="str">
        <f t="shared" si="17"/>
        <v>No Change</v>
      </c>
      <c r="D177">
        <v>68427709</v>
      </c>
      <c r="E177" s="96" t="s">
        <v>53</v>
      </c>
      <c r="F177" t="s">
        <v>54</v>
      </c>
      <c r="G177" t="s">
        <v>42</v>
      </c>
      <c r="H177" t="s">
        <v>1927</v>
      </c>
      <c r="J177" t="s">
        <v>2833</v>
      </c>
      <c r="K177">
        <v>209378</v>
      </c>
      <c r="L177" s="98" t="s">
        <v>2834</v>
      </c>
      <c r="M177" s="233">
        <v>5400909342</v>
      </c>
      <c r="N177" s="21">
        <v>10</v>
      </c>
      <c r="O177" t="s">
        <v>2531</v>
      </c>
      <c r="P177" s="98" t="s">
        <v>186</v>
      </c>
      <c r="Q177" t="s">
        <v>2550</v>
      </c>
      <c r="R177" s="31" t="s">
        <v>2747</v>
      </c>
      <c r="S177" s="7"/>
      <c r="T177" s="7">
        <v>329000</v>
      </c>
      <c r="U177" s="7">
        <v>329000</v>
      </c>
      <c r="V177" s="7">
        <f t="shared" si="18"/>
        <v>0</v>
      </c>
      <c r="W177" s="5">
        <f t="shared" si="14"/>
        <v>0</v>
      </c>
      <c r="X177" s="6"/>
      <c r="Y177" s="34">
        <f>SUMPRODUCT((BIdetails!$J$5:$J$3000=M177)*(BIdetails!$K$5:$K$3000=N177)*(BIdetails!$M$5:$M$3000))</f>
        <v>0</v>
      </c>
      <c r="Z177" s="35">
        <f t="shared" si="16"/>
        <v>0</v>
      </c>
      <c r="AA177" s="31"/>
      <c r="AB177" s="31"/>
      <c r="AC177" s="31"/>
      <c r="AD177" s="31"/>
      <c r="AE177">
        <v>3390</v>
      </c>
    </row>
    <row r="178" spans="1:31" hidden="1" x14ac:dyDescent="0.25">
      <c r="A178" t="s">
        <v>2526</v>
      </c>
      <c r="B178" t="str">
        <f t="shared" si="17"/>
        <v>No Change</v>
      </c>
      <c r="C178" t="s">
        <v>2835</v>
      </c>
      <c r="D178">
        <v>68427709</v>
      </c>
      <c r="E178" s="96" t="s">
        <v>53</v>
      </c>
      <c r="F178" s="26" t="s">
        <v>54</v>
      </c>
      <c r="G178" s="26" t="s">
        <v>42</v>
      </c>
      <c r="H178" s="26" t="s">
        <v>2836</v>
      </c>
      <c r="I178">
        <v>0</v>
      </c>
      <c r="J178" t="s">
        <v>1981</v>
      </c>
      <c r="K178" s="26">
        <v>179246</v>
      </c>
      <c r="L178" s="26" t="s">
        <v>2837</v>
      </c>
      <c r="M178" s="199">
        <v>5400931461</v>
      </c>
      <c r="N178" s="28">
        <v>10</v>
      </c>
      <c r="O178" s="26" t="s">
        <v>2531</v>
      </c>
      <c r="P178" s="26" t="s">
        <v>186</v>
      </c>
      <c r="Q178" s="26" t="s">
        <v>2545</v>
      </c>
      <c r="R178" s="33" t="s">
        <v>2838</v>
      </c>
      <c r="S178" s="7">
        <v>16000</v>
      </c>
      <c r="T178" s="7">
        <v>16000</v>
      </c>
      <c r="U178" s="7">
        <v>16000</v>
      </c>
      <c r="V178" s="7">
        <f t="shared" si="18"/>
        <v>0</v>
      </c>
      <c r="W178" s="5">
        <f t="shared" si="14"/>
        <v>0</v>
      </c>
      <c r="X178" s="6"/>
      <c r="Y178" s="34">
        <f>SUMPRODUCT((BIdetails!$J$5:$J$3000=M178)*(BIdetails!$K$5:$K$3000=N178)*(BIdetails!$M$5:$M$3000))</f>
        <v>0</v>
      </c>
      <c r="Z178" s="35">
        <f t="shared" si="16"/>
        <v>0</v>
      </c>
      <c r="AA178" s="31"/>
      <c r="AB178" s="31"/>
      <c r="AC178" s="31"/>
      <c r="AD178" s="31"/>
      <c r="AE178">
        <v>2690</v>
      </c>
    </row>
    <row r="179" spans="1:31" hidden="1" x14ac:dyDescent="0.25">
      <c r="A179" t="s">
        <v>2526</v>
      </c>
      <c r="B179" t="str">
        <f t="shared" si="17"/>
        <v>No Change</v>
      </c>
      <c r="D179">
        <v>68427709</v>
      </c>
      <c r="E179" s="96" t="s">
        <v>53</v>
      </c>
      <c r="F179" t="s">
        <v>54</v>
      </c>
      <c r="G179" s="98" t="s">
        <v>42</v>
      </c>
      <c r="H179" s="98" t="s">
        <v>2255</v>
      </c>
      <c r="J179" t="s">
        <v>2839</v>
      </c>
      <c r="K179" s="98">
        <v>205988</v>
      </c>
      <c r="L179" s="98" t="s">
        <v>2840</v>
      </c>
      <c r="M179" s="196">
        <v>5400964251</v>
      </c>
      <c r="N179" s="21">
        <v>10</v>
      </c>
      <c r="O179" s="98" t="s">
        <v>2531</v>
      </c>
      <c r="P179" s="98" t="s">
        <v>2549</v>
      </c>
      <c r="Q179" t="s">
        <v>2550</v>
      </c>
      <c r="R179" t="s">
        <v>2551</v>
      </c>
      <c r="S179" s="7">
        <v>85000</v>
      </c>
      <c r="T179" s="7">
        <v>52000</v>
      </c>
      <c r="U179" s="7">
        <v>52000</v>
      </c>
      <c r="V179" s="7">
        <f t="shared" si="18"/>
        <v>0</v>
      </c>
      <c r="W179" s="5">
        <f t="shared" si="14"/>
        <v>0</v>
      </c>
      <c r="X179" s="6"/>
      <c r="Y179" s="34">
        <f>SUMPRODUCT((BIdetails!$J$5:$J$3000=M179)*(BIdetails!$K$5:$K$3000=N179)*(BIdetails!$M$5:$M$3000))</f>
        <v>0</v>
      </c>
      <c r="Z179" s="35">
        <f t="shared" si="16"/>
        <v>0</v>
      </c>
      <c r="AA179" s="31"/>
      <c r="AB179" s="31"/>
      <c r="AC179" s="31"/>
      <c r="AD179" s="31"/>
      <c r="AE179">
        <v>3130</v>
      </c>
    </row>
    <row r="180" spans="1:31" x14ac:dyDescent="0.25">
      <c r="A180" t="s">
        <v>2526</v>
      </c>
      <c r="B180" t="str">
        <f t="shared" si="17"/>
        <v>No Change</v>
      </c>
      <c r="C180" t="s">
        <v>2841</v>
      </c>
      <c r="D180">
        <v>68427709</v>
      </c>
      <c r="E180" s="96" t="s">
        <v>38</v>
      </c>
      <c r="F180" t="s">
        <v>40</v>
      </c>
      <c r="G180" t="s">
        <v>40</v>
      </c>
      <c r="H180" t="s">
        <v>1731</v>
      </c>
      <c r="J180" t="s">
        <v>2842</v>
      </c>
      <c r="K180" s="26">
        <v>152539</v>
      </c>
      <c r="L180" s="26" t="s">
        <v>1733</v>
      </c>
      <c r="M180" s="235">
        <v>5400922801</v>
      </c>
      <c r="N180" s="21">
        <v>20</v>
      </c>
      <c r="O180" t="s">
        <v>2579</v>
      </c>
      <c r="P180" t="s">
        <v>2579</v>
      </c>
      <c r="Q180" t="s">
        <v>2545</v>
      </c>
      <c r="R180" s="31" t="s">
        <v>40</v>
      </c>
      <c r="S180" s="7">
        <v>0</v>
      </c>
      <c r="T180" s="7">
        <v>45000</v>
      </c>
      <c r="U180" s="7">
        <v>45000</v>
      </c>
      <c r="V180" s="7">
        <f t="shared" si="18"/>
        <v>0</v>
      </c>
      <c r="W180" s="5">
        <f t="shared" si="14"/>
        <v>0</v>
      </c>
      <c r="X180" s="6"/>
      <c r="Y180" s="34">
        <f>SUMPRODUCT((BIdetails!$J$5:$J$3000=M180)*(BIdetails!$K$5:$K$3000=N180)*(BIdetails!$M$5:$M$3000))</f>
        <v>0</v>
      </c>
      <c r="Z180" s="35">
        <f t="shared" si="16"/>
        <v>0</v>
      </c>
      <c r="AA180" s="31" t="s">
        <v>610</v>
      </c>
      <c r="AB180" s="31" t="s">
        <v>2534</v>
      </c>
      <c r="AC180" s="31" t="s">
        <v>2558</v>
      </c>
      <c r="AD180" s="31"/>
      <c r="AE180">
        <v>622</v>
      </c>
    </row>
    <row r="181" spans="1:31" hidden="1" x14ac:dyDescent="0.25">
      <c r="A181" t="s">
        <v>2526</v>
      </c>
      <c r="B181" t="str">
        <f t="shared" si="17"/>
        <v>No Change</v>
      </c>
      <c r="C181" t="s">
        <v>2843</v>
      </c>
      <c r="D181">
        <v>68427709</v>
      </c>
      <c r="E181" s="96" t="s">
        <v>53</v>
      </c>
      <c r="F181" t="s">
        <v>54</v>
      </c>
      <c r="G181" s="26" t="s">
        <v>42</v>
      </c>
      <c r="H181" t="s">
        <v>544</v>
      </c>
      <c r="I181" t="s">
        <v>2590</v>
      </c>
      <c r="J181" t="s">
        <v>2844</v>
      </c>
      <c r="K181" s="26">
        <v>152539</v>
      </c>
      <c r="L181" s="26" t="s">
        <v>1733</v>
      </c>
      <c r="M181" s="196"/>
      <c r="O181" s="26" t="s">
        <v>2190</v>
      </c>
      <c r="P181" s="26" t="s">
        <v>2606</v>
      </c>
      <c r="Q181" t="s">
        <v>2545</v>
      </c>
      <c r="R181" s="31" t="s">
        <v>2607</v>
      </c>
      <c r="S181" s="7">
        <v>54000</v>
      </c>
      <c r="T181" s="7">
        <v>54000</v>
      </c>
      <c r="U181" s="7">
        <v>54000</v>
      </c>
      <c r="V181" s="7">
        <f t="shared" si="18"/>
        <v>0</v>
      </c>
      <c r="W181" s="5">
        <f t="shared" si="14"/>
        <v>0</v>
      </c>
      <c r="X181" s="22"/>
      <c r="Y181" s="34">
        <f>SUMPRODUCT((BIdetails!$J$5:$J$3000=M181)*(BIdetails!$K$5:$K$3000=N181)*(BIdetails!$M$5:$M$3000))</f>
        <v>0</v>
      </c>
      <c r="Z181" s="35">
        <f t="shared" si="16"/>
        <v>0</v>
      </c>
      <c r="AA181" s="31" t="s">
        <v>2541</v>
      </c>
      <c r="AB181" s="31" t="s">
        <v>2663</v>
      </c>
      <c r="AC181" s="31" t="s">
        <v>2572</v>
      </c>
      <c r="AD181" s="31"/>
      <c r="AE181">
        <v>2160</v>
      </c>
    </row>
    <row r="182" spans="1:31" hidden="1" x14ac:dyDescent="0.25">
      <c r="A182" t="s">
        <v>2526</v>
      </c>
      <c r="B182" t="str">
        <f t="shared" si="17"/>
        <v>No Change</v>
      </c>
      <c r="C182" t="s">
        <v>2845</v>
      </c>
      <c r="D182">
        <v>68427709</v>
      </c>
      <c r="E182" s="96" t="s">
        <v>53</v>
      </c>
      <c r="F182" t="s">
        <v>54</v>
      </c>
      <c r="G182" t="s">
        <v>42</v>
      </c>
      <c r="H182" t="s">
        <v>1822</v>
      </c>
      <c r="I182">
        <v>0</v>
      </c>
      <c r="J182" t="s">
        <v>2846</v>
      </c>
      <c r="K182">
        <v>116734</v>
      </c>
      <c r="L182" t="s">
        <v>2847</v>
      </c>
      <c r="M182" s="233">
        <v>5400945464</v>
      </c>
      <c r="N182" s="21">
        <v>10</v>
      </c>
      <c r="O182" t="s">
        <v>2190</v>
      </c>
      <c r="P182" s="26" t="s">
        <v>2606</v>
      </c>
      <c r="Q182" t="s">
        <v>2545</v>
      </c>
      <c r="R182" s="31" t="s">
        <v>2607</v>
      </c>
      <c r="S182" s="7">
        <v>200000</v>
      </c>
      <c r="T182" s="7">
        <v>200000</v>
      </c>
      <c r="U182" s="7">
        <v>200000</v>
      </c>
      <c r="V182" s="7">
        <f t="shared" si="18"/>
        <v>0</v>
      </c>
      <c r="W182" s="5">
        <f t="shared" si="14"/>
        <v>0</v>
      </c>
      <c r="X182" s="6"/>
      <c r="Y182" s="34">
        <f>SUMPRODUCT((BIdetails!$J$5:$J$3000=M182)*(BIdetails!$K$5:$K$3000=N182)*(BIdetails!$M$5:$M$3000))</f>
        <v>0</v>
      </c>
      <c r="Z182" s="35">
        <f t="shared" si="16"/>
        <v>0</v>
      </c>
      <c r="AA182" s="31"/>
      <c r="AB182" s="31"/>
      <c r="AC182" s="31"/>
      <c r="AD182" s="31"/>
      <c r="AE182">
        <v>2250</v>
      </c>
    </row>
    <row r="183" spans="1:31" hidden="1" x14ac:dyDescent="0.25">
      <c r="A183" t="s">
        <v>2526</v>
      </c>
      <c r="B183" t="str">
        <f t="shared" si="17"/>
        <v>No Change</v>
      </c>
      <c r="C183" t="s">
        <v>2848</v>
      </c>
      <c r="D183">
        <v>68427709</v>
      </c>
      <c r="E183" s="96" t="s">
        <v>53</v>
      </c>
      <c r="F183" s="26" t="s">
        <v>54</v>
      </c>
      <c r="G183" s="26" t="s">
        <v>42</v>
      </c>
      <c r="H183" s="26" t="s">
        <v>2249</v>
      </c>
      <c r="I183">
        <v>0</v>
      </c>
      <c r="J183" t="s">
        <v>2849</v>
      </c>
      <c r="K183" s="26">
        <v>127376</v>
      </c>
      <c r="L183" s="26" t="s">
        <v>2850</v>
      </c>
      <c r="M183" s="199">
        <v>5400945653</v>
      </c>
      <c r="N183" s="28">
        <v>20</v>
      </c>
      <c r="O183" s="26" t="s">
        <v>2531</v>
      </c>
      <c r="P183" s="26" t="s">
        <v>1244</v>
      </c>
      <c r="Q183" s="26" t="s">
        <v>2532</v>
      </c>
      <c r="R183" s="33" t="s">
        <v>2539</v>
      </c>
      <c r="S183" s="7">
        <v>72000</v>
      </c>
      <c r="T183" s="7">
        <v>126000</v>
      </c>
      <c r="U183" s="7">
        <v>126000</v>
      </c>
      <c r="V183" s="7">
        <f t="shared" si="18"/>
        <v>0</v>
      </c>
      <c r="W183" s="5">
        <f t="shared" si="14"/>
        <v>0</v>
      </c>
      <c r="X183" s="6"/>
      <c r="Y183" s="34">
        <f>SUMPRODUCT((BIdetails!$J$5:$J$3000=M183)*(BIdetails!$K$5:$K$3000=N183)*(BIdetails!$M$5:$M$3000))</f>
        <v>0</v>
      </c>
      <c r="Z183" s="35">
        <f t="shared" si="16"/>
        <v>0</v>
      </c>
      <c r="AA183" s="31"/>
      <c r="AB183" s="31"/>
      <c r="AC183" s="31"/>
      <c r="AD183" s="31"/>
      <c r="AE183">
        <v>2650</v>
      </c>
    </row>
    <row r="184" spans="1:31" hidden="1" x14ac:dyDescent="0.25">
      <c r="A184" t="s">
        <v>2526</v>
      </c>
      <c r="B184" t="str">
        <f t="shared" si="17"/>
        <v>No Change</v>
      </c>
      <c r="C184" t="s">
        <v>2848</v>
      </c>
      <c r="D184">
        <v>68427709</v>
      </c>
      <c r="E184" s="96" t="s">
        <v>53</v>
      </c>
      <c r="F184" s="26" t="s">
        <v>54</v>
      </c>
      <c r="G184" s="26" t="s">
        <v>42</v>
      </c>
      <c r="H184" s="26" t="s">
        <v>2851</v>
      </c>
      <c r="I184">
        <v>0</v>
      </c>
      <c r="J184" t="s">
        <v>2849</v>
      </c>
      <c r="K184" s="26">
        <v>127376</v>
      </c>
      <c r="L184" s="26" t="s">
        <v>2850</v>
      </c>
      <c r="M184" s="199">
        <v>5400945653</v>
      </c>
      <c r="N184" s="28">
        <v>10</v>
      </c>
      <c r="O184" s="26" t="s">
        <v>2531</v>
      </c>
      <c r="P184" s="26" t="s">
        <v>1244</v>
      </c>
      <c r="Q184" s="26" t="s">
        <v>2532</v>
      </c>
      <c r="R184" s="33" t="s">
        <v>2747</v>
      </c>
      <c r="S184" s="7">
        <v>36000</v>
      </c>
      <c r="T184" s="7">
        <v>36000</v>
      </c>
      <c r="U184" s="7">
        <v>36000</v>
      </c>
      <c r="V184" s="7">
        <f t="shared" si="18"/>
        <v>0</v>
      </c>
      <c r="W184" s="5">
        <f t="shared" si="14"/>
        <v>0</v>
      </c>
      <c r="X184" s="6"/>
      <c r="Y184" s="34">
        <f>SUMPRODUCT((BIdetails!$J$5:$J$3000=M184)*(BIdetails!$K$5:$K$3000=N184)*(BIdetails!$M$5:$M$3000))</f>
        <v>0</v>
      </c>
      <c r="Z184" s="35">
        <f t="shared" si="16"/>
        <v>0</v>
      </c>
      <c r="AA184" s="31" t="s">
        <v>2852</v>
      </c>
      <c r="AB184" s="31" t="s">
        <v>2534</v>
      </c>
      <c r="AC184" s="31" t="s">
        <v>2558</v>
      </c>
      <c r="AD184" s="31"/>
      <c r="AE184">
        <v>2680</v>
      </c>
    </row>
    <row r="185" spans="1:31" hidden="1" x14ac:dyDescent="0.25">
      <c r="A185" t="s">
        <v>2526</v>
      </c>
      <c r="B185" t="str">
        <f t="shared" si="17"/>
        <v>No Change</v>
      </c>
      <c r="C185" t="s">
        <v>2853</v>
      </c>
      <c r="D185">
        <v>68427709</v>
      </c>
      <c r="E185" s="96" t="s">
        <v>49</v>
      </c>
      <c r="F185" t="s">
        <v>50</v>
      </c>
      <c r="G185" s="26" t="s">
        <v>42</v>
      </c>
      <c r="H185" s="26" t="s">
        <v>2854</v>
      </c>
      <c r="I185">
        <v>0</v>
      </c>
      <c r="J185" t="s">
        <v>2034</v>
      </c>
      <c r="K185" s="26">
        <v>188831</v>
      </c>
      <c r="L185" s="26" t="s">
        <v>170</v>
      </c>
      <c r="M185" s="196">
        <v>5400976389</v>
      </c>
      <c r="N185" s="28">
        <v>10</v>
      </c>
      <c r="O185" s="26" t="s">
        <v>2531</v>
      </c>
      <c r="P185" s="26" t="s">
        <v>1244</v>
      </c>
      <c r="Q185" s="26" t="s">
        <v>2550</v>
      </c>
      <c r="R185" s="33" t="s">
        <v>2747</v>
      </c>
      <c r="S185" s="7">
        <v>200000</v>
      </c>
      <c r="T185" s="7">
        <v>200000</v>
      </c>
      <c r="U185" s="7">
        <v>200000</v>
      </c>
      <c r="V185" s="7">
        <f t="shared" si="18"/>
        <v>0</v>
      </c>
      <c r="W185" s="5">
        <f t="shared" si="14"/>
        <v>0</v>
      </c>
      <c r="X185" s="6"/>
      <c r="Y185" s="34">
        <f>SUMPRODUCT((BIdetails!$J$5:$J$3000=M185)*(BIdetails!$K$5:$K$3000=N185)*(BIdetails!$M$5:$M$3000))</f>
        <v>0</v>
      </c>
      <c r="Z185" s="35">
        <f t="shared" si="16"/>
        <v>0</v>
      </c>
      <c r="AA185" s="31" t="s">
        <v>2541</v>
      </c>
      <c r="AB185" s="31" t="s">
        <v>2534</v>
      </c>
      <c r="AC185" s="31" t="s">
        <v>2558</v>
      </c>
      <c r="AD185" s="31"/>
      <c r="AE185">
        <v>1270</v>
      </c>
    </row>
    <row r="186" spans="1:31" x14ac:dyDescent="0.25">
      <c r="A186" t="s">
        <v>2526</v>
      </c>
      <c r="B186" t="str">
        <f t="shared" si="17"/>
        <v>No Change</v>
      </c>
      <c r="D186">
        <v>68427709</v>
      </c>
      <c r="E186" s="96" t="s">
        <v>38</v>
      </c>
      <c r="F186" t="s">
        <v>40</v>
      </c>
      <c r="G186" t="s">
        <v>40</v>
      </c>
      <c r="H186" s="26" t="s">
        <v>2855</v>
      </c>
      <c r="I186" t="s">
        <v>2225</v>
      </c>
      <c r="J186" s="227" t="s">
        <v>2637</v>
      </c>
      <c r="K186" s="26"/>
      <c r="L186" t="s">
        <v>2856</v>
      </c>
      <c r="M186" s="235">
        <v>5400913325</v>
      </c>
      <c r="N186" s="21">
        <v>20</v>
      </c>
      <c r="O186" t="s">
        <v>2579</v>
      </c>
      <c r="P186" s="98" t="s">
        <v>2579</v>
      </c>
      <c r="Q186" t="s">
        <v>2545</v>
      </c>
      <c r="R186" s="97" t="s">
        <v>40</v>
      </c>
      <c r="S186" s="7"/>
      <c r="T186" s="7">
        <v>250000</v>
      </c>
      <c r="U186" s="7">
        <v>250000</v>
      </c>
      <c r="V186" s="7">
        <f t="shared" si="18"/>
        <v>0</v>
      </c>
      <c r="W186" s="5">
        <f t="shared" si="14"/>
        <v>0</v>
      </c>
      <c r="X186" s="126"/>
      <c r="Y186" s="34">
        <f>SUMPRODUCT((BIdetails!$J$5:$J$3000=M186)*(BIdetails!$K$5:$K$3000=N186)*(BIdetails!$M$5:$M$3000))</f>
        <v>0</v>
      </c>
      <c r="Z186" s="35">
        <f t="shared" si="16"/>
        <v>0</v>
      </c>
      <c r="AA186" s="31"/>
      <c r="AB186" s="31"/>
      <c r="AC186" s="31"/>
      <c r="AD186" s="31"/>
      <c r="AE186">
        <v>3480</v>
      </c>
    </row>
    <row r="187" spans="1:31" hidden="1" x14ac:dyDescent="0.25">
      <c r="A187" t="s">
        <v>2526</v>
      </c>
      <c r="B187" t="str">
        <f t="shared" si="17"/>
        <v>No Change</v>
      </c>
      <c r="C187" t="s">
        <v>2857</v>
      </c>
      <c r="D187">
        <v>68427709</v>
      </c>
      <c r="E187" s="96" t="s">
        <v>49</v>
      </c>
      <c r="F187" t="s">
        <v>50</v>
      </c>
      <c r="G187" s="98" t="s">
        <v>42</v>
      </c>
      <c r="H187" s="26" t="s">
        <v>806</v>
      </c>
      <c r="I187" t="s">
        <v>2590</v>
      </c>
      <c r="J187" t="s">
        <v>2687</v>
      </c>
      <c r="K187" s="26">
        <v>199492</v>
      </c>
      <c r="L187" s="26" t="s">
        <v>2858</v>
      </c>
      <c r="M187" s="196">
        <v>5400965878</v>
      </c>
      <c r="N187" s="21">
        <v>10</v>
      </c>
      <c r="O187" s="26" t="s">
        <v>2531</v>
      </c>
      <c r="P187" s="26" t="s">
        <v>2859</v>
      </c>
      <c r="Q187" t="s">
        <v>2545</v>
      </c>
      <c r="R187" s="31" t="s">
        <v>2533</v>
      </c>
      <c r="S187" s="7">
        <v>87000</v>
      </c>
      <c r="T187" s="7">
        <v>87000</v>
      </c>
      <c r="U187" s="7">
        <v>87000</v>
      </c>
      <c r="V187" s="7">
        <f t="shared" si="18"/>
        <v>0</v>
      </c>
      <c r="W187" s="5">
        <f t="shared" si="14"/>
        <v>0</v>
      </c>
      <c r="X187" s="126"/>
      <c r="Y187" s="34">
        <f>SUMPRODUCT((BIdetails!$J$5:$J$3000=M187)*(BIdetails!$K$5:$K$3000=N187)*(BIdetails!$M$5:$M$3000))</f>
        <v>0</v>
      </c>
      <c r="Z187" s="35">
        <f t="shared" si="16"/>
        <v>0</v>
      </c>
      <c r="AA187" s="31" t="s">
        <v>2541</v>
      </c>
      <c r="AB187" s="31" t="s">
        <v>2752</v>
      </c>
      <c r="AC187" s="31" t="s">
        <v>2575</v>
      </c>
      <c r="AD187" s="31"/>
      <c r="AE187">
        <v>1510</v>
      </c>
    </row>
    <row r="188" spans="1:31" hidden="1" x14ac:dyDescent="0.25">
      <c r="A188" t="s">
        <v>2526</v>
      </c>
      <c r="B188" t="str">
        <f t="shared" si="17"/>
        <v>No Change</v>
      </c>
      <c r="C188" t="s">
        <v>2860</v>
      </c>
      <c r="D188">
        <v>68427709</v>
      </c>
      <c r="E188" s="96" t="s">
        <v>49</v>
      </c>
      <c r="F188" s="26" t="s">
        <v>54</v>
      </c>
      <c r="G188" s="26" t="s">
        <v>42</v>
      </c>
      <c r="H188" s="26" t="s">
        <v>2861</v>
      </c>
      <c r="I188">
        <v>0</v>
      </c>
      <c r="J188" t="s">
        <v>2862</v>
      </c>
      <c r="K188" s="26">
        <v>210231</v>
      </c>
      <c r="L188" s="26" t="s">
        <v>2863</v>
      </c>
      <c r="M188" s="233">
        <v>5400963672</v>
      </c>
      <c r="N188" s="28"/>
      <c r="O188" s="26" t="s">
        <v>2531</v>
      </c>
      <c r="P188" s="26" t="s">
        <v>104</v>
      </c>
      <c r="Q188" s="26" t="s">
        <v>2545</v>
      </c>
      <c r="R188" s="33" t="s">
        <v>2533</v>
      </c>
      <c r="S188" s="7">
        <v>6000</v>
      </c>
      <c r="T188" s="7">
        <v>6000</v>
      </c>
      <c r="U188" s="7">
        <v>6000</v>
      </c>
      <c r="V188" s="7">
        <f t="shared" si="18"/>
        <v>0</v>
      </c>
      <c r="W188" s="5">
        <f t="shared" si="14"/>
        <v>0</v>
      </c>
      <c r="X188" s="6"/>
      <c r="Y188" s="34">
        <f>SUMPRODUCT((BIdetails!$J$5:$J$3000=M188)*(BIdetails!$K$5:$K$3000=N188)*(BIdetails!$M$5:$M$3000))</f>
        <v>0</v>
      </c>
      <c r="Z188" s="35">
        <f t="shared" si="16"/>
        <v>0</v>
      </c>
      <c r="AA188" s="31" t="s">
        <v>2541</v>
      </c>
      <c r="AB188" s="31" t="s">
        <v>2663</v>
      </c>
      <c r="AC188" s="31" t="s">
        <v>2572</v>
      </c>
      <c r="AD188" s="31"/>
      <c r="AE188">
        <v>2730</v>
      </c>
    </row>
    <row r="189" spans="1:31" hidden="1" x14ac:dyDescent="0.25">
      <c r="A189" t="s">
        <v>2526</v>
      </c>
      <c r="B189" t="str">
        <f t="shared" si="17"/>
        <v>No Change</v>
      </c>
      <c r="C189" t="s">
        <v>2864</v>
      </c>
      <c r="D189">
        <v>68427709</v>
      </c>
      <c r="E189" s="103" t="s">
        <v>49</v>
      </c>
      <c r="F189" s="98" t="s">
        <v>50</v>
      </c>
      <c r="G189" s="98" t="s">
        <v>42</v>
      </c>
      <c r="H189" t="s">
        <v>2865</v>
      </c>
      <c r="I189" t="s">
        <v>2554</v>
      </c>
      <c r="J189" s="27" t="s">
        <v>2555</v>
      </c>
      <c r="K189">
        <v>142582</v>
      </c>
      <c r="L189" t="s">
        <v>2866</v>
      </c>
      <c r="M189" s="233">
        <v>5400964834</v>
      </c>
      <c r="N189" s="21">
        <v>10</v>
      </c>
      <c r="O189" s="98" t="s">
        <v>2531</v>
      </c>
      <c r="P189" s="98" t="s">
        <v>2680</v>
      </c>
      <c r="Q189" s="26" t="s">
        <v>2532</v>
      </c>
      <c r="R189" s="97" t="s">
        <v>811</v>
      </c>
      <c r="S189" s="7">
        <v>1562000</v>
      </c>
      <c r="T189" s="7">
        <v>1716000</v>
      </c>
      <c r="U189" s="7">
        <v>1716000</v>
      </c>
      <c r="V189" s="7">
        <f t="shared" si="18"/>
        <v>0</v>
      </c>
      <c r="W189" s="5">
        <f t="shared" ref="W189:W244" si="19">IF(B189="New",1,IFERROR(V189/T189,0))</f>
        <v>0</v>
      </c>
      <c r="X189" s="6" t="s">
        <v>2867</v>
      </c>
      <c r="Y189" s="34">
        <f>SUMPRODUCT((BIdetails!$J$5:$J$3000=M189)*(BIdetails!$K$5:$K$3000=N189)*(BIdetails!$M$5:$M$3000))</f>
        <v>0</v>
      </c>
      <c r="Z189" s="35">
        <f t="shared" si="16"/>
        <v>0</v>
      </c>
      <c r="AA189" s="31" t="s">
        <v>2541</v>
      </c>
      <c r="AB189" s="31" t="s">
        <v>2534</v>
      </c>
      <c r="AC189" s="31" t="s">
        <v>2572</v>
      </c>
      <c r="AD189" s="31"/>
      <c r="AE189">
        <v>1580</v>
      </c>
    </row>
    <row r="190" spans="1:31" hidden="1" x14ac:dyDescent="0.25">
      <c r="A190" t="s">
        <v>2526</v>
      </c>
      <c r="B190" t="str">
        <f t="shared" si="17"/>
        <v>No Change</v>
      </c>
      <c r="C190" t="s">
        <v>2864</v>
      </c>
      <c r="D190">
        <v>68427719</v>
      </c>
      <c r="E190" s="103" t="s">
        <v>49</v>
      </c>
      <c r="F190" s="98" t="s">
        <v>50</v>
      </c>
      <c r="G190" s="98" t="s">
        <v>42</v>
      </c>
      <c r="H190" t="s">
        <v>2868</v>
      </c>
      <c r="I190">
        <v>0</v>
      </c>
      <c r="J190" t="s">
        <v>2869</v>
      </c>
      <c r="K190">
        <v>142582</v>
      </c>
      <c r="L190" s="26" t="s">
        <v>2866</v>
      </c>
      <c r="M190" s="234">
        <v>5400965832</v>
      </c>
      <c r="N190" s="99">
        <v>10</v>
      </c>
      <c r="O190" s="98" t="s">
        <v>2680</v>
      </c>
      <c r="P190" s="98" t="s">
        <v>2136</v>
      </c>
      <c r="Q190" s="98" t="s">
        <v>2613</v>
      </c>
      <c r="R190" s="97" t="s">
        <v>2596</v>
      </c>
      <c r="S190" s="7">
        <v>250000</v>
      </c>
      <c r="T190" s="7">
        <v>215000</v>
      </c>
      <c r="U190" s="7">
        <v>215000</v>
      </c>
      <c r="V190" s="7">
        <f t="shared" si="18"/>
        <v>0</v>
      </c>
      <c r="W190" s="5">
        <f t="shared" si="19"/>
        <v>0</v>
      </c>
      <c r="X190" s="6"/>
      <c r="Y190" s="34">
        <f>SUMPRODUCT((BIdetails!$J$5:$J$3000=M190)*(BIdetails!$K$5:$K$3000=N190)*(BIdetails!$M$5:$M$3000))</f>
        <v>0</v>
      </c>
      <c r="Z190" s="35">
        <f t="shared" si="16"/>
        <v>0</v>
      </c>
      <c r="AA190" s="31" t="s">
        <v>2541</v>
      </c>
      <c r="AB190" s="31" t="s">
        <v>2663</v>
      </c>
      <c r="AC190" s="31" t="s">
        <v>2572</v>
      </c>
      <c r="AD190" s="31"/>
      <c r="AE190">
        <v>1570</v>
      </c>
    </row>
    <row r="191" spans="1:31" hidden="1" x14ac:dyDescent="0.25">
      <c r="A191" t="s">
        <v>2526</v>
      </c>
      <c r="B191" t="str">
        <f t="shared" si="17"/>
        <v>Increase</v>
      </c>
      <c r="C191" t="s">
        <v>2870</v>
      </c>
      <c r="D191">
        <v>68427709</v>
      </c>
      <c r="E191" s="96" t="s">
        <v>49</v>
      </c>
      <c r="F191" t="s">
        <v>50</v>
      </c>
      <c r="G191" t="s">
        <v>42</v>
      </c>
      <c r="H191" t="s">
        <v>2491</v>
      </c>
      <c r="I191">
        <v>0</v>
      </c>
      <c r="J191" t="s">
        <v>2044</v>
      </c>
      <c r="K191">
        <v>191793</v>
      </c>
      <c r="L191" t="s">
        <v>2871</v>
      </c>
      <c r="M191" s="196">
        <v>5400898043</v>
      </c>
      <c r="N191" s="21">
        <v>10</v>
      </c>
      <c r="O191" t="s">
        <v>2531</v>
      </c>
      <c r="P191" t="s">
        <v>1905</v>
      </c>
      <c r="Q191" t="s">
        <v>2872</v>
      </c>
      <c r="R191" s="31" t="s">
        <v>2873</v>
      </c>
      <c r="S191" s="7">
        <v>320000</v>
      </c>
      <c r="T191" s="7">
        <v>280000</v>
      </c>
      <c r="U191" s="7">
        <v>308000</v>
      </c>
      <c r="V191" s="7">
        <f t="shared" si="18"/>
        <v>28000</v>
      </c>
      <c r="W191" s="5">
        <f t="shared" si="19"/>
        <v>0.1</v>
      </c>
      <c r="X191" s="6" t="s">
        <v>2874</v>
      </c>
      <c r="Y191" s="34">
        <f>SUMPRODUCT((BIdetails!$J$5:$J$3000=M191)*(BIdetails!$K$5:$K$3000=N191)*(BIdetails!$M$5:$M$3000))</f>
        <v>0</v>
      </c>
      <c r="Z191" s="35">
        <f t="shared" si="16"/>
        <v>0</v>
      </c>
      <c r="AA191" s="31"/>
      <c r="AB191" s="31"/>
      <c r="AC191" s="31"/>
      <c r="AD191" s="31"/>
      <c r="AE191">
        <v>1280</v>
      </c>
    </row>
    <row r="192" spans="1:31" hidden="1" x14ac:dyDescent="0.25">
      <c r="A192" t="s">
        <v>2526</v>
      </c>
      <c r="B192" t="str">
        <f t="shared" si="17"/>
        <v>Decrease</v>
      </c>
      <c r="C192" t="s">
        <v>2870</v>
      </c>
      <c r="D192">
        <v>68427709</v>
      </c>
      <c r="E192" s="96" t="s">
        <v>49</v>
      </c>
      <c r="F192" t="s">
        <v>50</v>
      </c>
      <c r="G192" t="s">
        <v>42</v>
      </c>
      <c r="H192" t="s">
        <v>2492</v>
      </c>
      <c r="I192">
        <v>0</v>
      </c>
      <c r="J192" t="s">
        <v>2044</v>
      </c>
      <c r="K192">
        <v>191793</v>
      </c>
      <c r="L192" t="s">
        <v>2871</v>
      </c>
      <c r="M192" s="233">
        <v>5400898043</v>
      </c>
      <c r="N192" s="21">
        <v>10</v>
      </c>
      <c r="O192" t="s">
        <v>2531</v>
      </c>
      <c r="P192" t="s">
        <v>1905</v>
      </c>
      <c r="Q192" t="s">
        <v>2872</v>
      </c>
      <c r="R192" s="31" t="s">
        <v>2873</v>
      </c>
      <c r="S192" s="7">
        <v>115000</v>
      </c>
      <c r="T192" s="7">
        <v>100000</v>
      </c>
      <c r="U192" s="7">
        <v>60000</v>
      </c>
      <c r="V192" s="7">
        <f t="shared" si="18"/>
        <v>-40000</v>
      </c>
      <c r="W192" s="5">
        <f t="shared" si="19"/>
        <v>-0.4</v>
      </c>
      <c r="X192" s="6" t="s">
        <v>2875</v>
      </c>
      <c r="Y192" s="34">
        <f>SUMPRODUCT((BIdetails!$J$5:$J$3000=M192)*(BIdetails!$K$5:$K$3000=N192)*(BIdetails!$M$5:$M$3000))</f>
        <v>0</v>
      </c>
      <c r="Z192" s="35">
        <f t="shared" ref="Z192:Z219" si="20">IF(U192=0,"",(Y192/U192))</f>
        <v>0</v>
      </c>
      <c r="AA192" s="31" t="s">
        <v>610</v>
      </c>
      <c r="AB192" s="31" t="s">
        <v>2534</v>
      </c>
      <c r="AC192" s="31" t="s">
        <v>2558</v>
      </c>
      <c r="AD192" s="31"/>
      <c r="AE192">
        <v>1290</v>
      </c>
    </row>
    <row r="193" spans="1:16383" hidden="1" x14ac:dyDescent="0.25">
      <c r="A193" t="s">
        <v>2526</v>
      </c>
      <c r="B193" t="str">
        <f t="shared" si="17"/>
        <v>Increase</v>
      </c>
      <c r="C193" t="s">
        <v>2876</v>
      </c>
      <c r="D193">
        <v>68427709</v>
      </c>
      <c r="E193" s="103" t="s">
        <v>49</v>
      </c>
      <c r="F193" s="98" t="s">
        <v>50</v>
      </c>
      <c r="G193" s="26" t="s">
        <v>42</v>
      </c>
      <c r="H193" t="s">
        <v>2493</v>
      </c>
      <c r="I193">
        <v>0</v>
      </c>
      <c r="J193" t="s">
        <v>2044</v>
      </c>
      <c r="K193">
        <v>191793</v>
      </c>
      <c r="L193" t="s">
        <v>2871</v>
      </c>
      <c r="M193" s="196">
        <v>5400904702</v>
      </c>
      <c r="N193" s="21">
        <v>10</v>
      </c>
      <c r="O193" t="s">
        <v>2531</v>
      </c>
      <c r="P193" s="26" t="s">
        <v>1905</v>
      </c>
      <c r="Q193" t="s">
        <v>2872</v>
      </c>
      <c r="R193" s="97" t="s">
        <v>2873</v>
      </c>
      <c r="S193" s="7">
        <v>152000</v>
      </c>
      <c r="T193" s="7">
        <v>152000</v>
      </c>
      <c r="U193" s="7">
        <v>302000</v>
      </c>
      <c r="V193" s="7">
        <f t="shared" si="18"/>
        <v>150000</v>
      </c>
      <c r="W193" s="5">
        <f t="shared" si="19"/>
        <v>0.98684210526315785</v>
      </c>
      <c r="X193" s="6" t="s">
        <v>2877</v>
      </c>
      <c r="Y193" s="34">
        <f>SUMPRODUCT((BIdetails!$J$5:$J$3000=M193)*(BIdetails!$K$5:$K$3000=N193)*(BIdetails!$M$5:$M$3000))</f>
        <v>0</v>
      </c>
      <c r="Z193" s="35">
        <f t="shared" si="20"/>
        <v>0</v>
      </c>
      <c r="AA193" s="31"/>
      <c r="AB193" s="31"/>
      <c r="AC193" s="31"/>
      <c r="AD193" s="31"/>
      <c r="AE193">
        <v>1550</v>
      </c>
    </row>
    <row r="194" spans="1:16383" hidden="1" x14ac:dyDescent="0.25">
      <c r="A194" t="s">
        <v>2526</v>
      </c>
      <c r="B194" t="str">
        <f t="shared" si="17"/>
        <v>Increase</v>
      </c>
      <c r="D194">
        <v>68427719</v>
      </c>
      <c r="E194" s="96" t="s">
        <v>53</v>
      </c>
      <c r="F194" t="s">
        <v>54</v>
      </c>
      <c r="G194" s="98" t="s">
        <v>42</v>
      </c>
      <c r="H194" s="26" t="s">
        <v>1870</v>
      </c>
      <c r="I194" t="s">
        <v>2590</v>
      </c>
      <c r="J194" t="s">
        <v>2878</v>
      </c>
      <c r="K194" s="26">
        <v>208176</v>
      </c>
      <c r="L194" s="26" t="s">
        <v>1870</v>
      </c>
      <c r="M194" s="235">
        <v>5400931871</v>
      </c>
      <c r="N194" s="21">
        <v>10</v>
      </c>
      <c r="O194" s="26" t="s">
        <v>2531</v>
      </c>
      <c r="P194" s="26" t="s">
        <v>2124</v>
      </c>
      <c r="Q194" t="s">
        <v>2545</v>
      </c>
      <c r="R194" s="31" t="s">
        <v>2533</v>
      </c>
      <c r="S194" s="7">
        <v>7000</v>
      </c>
      <c r="T194" s="7">
        <v>7000</v>
      </c>
      <c r="U194" s="7">
        <v>10000</v>
      </c>
      <c r="V194" s="7">
        <f t="shared" si="18"/>
        <v>3000</v>
      </c>
      <c r="W194" s="5">
        <f t="shared" si="19"/>
        <v>0.42857142857142855</v>
      </c>
      <c r="X194" s="126"/>
      <c r="Y194" s="34">
        <f>SUMPRODUCT((BIdetails!$J$5:$J$3000=M194)*(BIdetails!$K$5:$K$3000=N194)*(BIdetails!$M$5:$M$3000))</f>
        <v>0</v>
      </c>
      <c r="Z194" s="35">
        <f t="shared" si="20"/>
        <v>0</v>
      </c>
      <c r="AA194" s="31"/>
      <c r="AB194" s="31"/>
      <c r="AC194" s="31"/>
      <c r="AD194" s="31"/>
      <c r="AE194">
        <v>3260</v>
      </c>
    </row>
    <row r="195" spans="1:16383" hidden="1" x14ac:dyDescent="0.25">
      <c r="A195" t="s">
        <v>2526</v>
      </c>
      <c r="B195" t="str">
        <f t="shared" si="17"/>
        <v>No Change</v>
      </c>
      <c r="D195">
        <v>68427709</v>
      </c>
      <c r="E195" s="96" t="s">
        <v>53</v>
      </c>
      <c r="F195" t="s">
        <v>54</v>
      </c>
      <c r="G195" t="s">
        <v>42</v>
      </c>
      <c r="H195" t="s">
        <v>2220</v>
      </c>
      <c r="I195">
        <v>0</v>
      </c>
      <c r="J195" t="s">
        <v>2879</v>
      </c>
      <c r="K195">
        <v>167606</v>
      </c>
      <c r="L195" t="s">
        <v>2880</v>
      </c>
      <c r="M195" s="233">
        <v>5400973254</v>
      </c>
      <c r="N195" s="21">
        <v>10</v>
      </c>
      <c r="O195" t="s">
        <v>2190</v>
      </c>
      <c r="P195" s="26" t="s">
        <v>2606</v>
      </c>
      <c r="Q195" t="s">
        <v>2545</v>
      </c>
      <c r="R195" s="31" t="s">
        <v>2607</v>
      </c>
      <c r="S195" s="7">
        <v>16000</v>
      </c>
      <c r="T195" s="7">
        <v>25000</v>
      </c>
      <c r="U195" s="7">
        <v>25000</v>
      </c>
      <c r="V195" s="7">
        <f t="shared" si="18"/>
        <v>0</v>
      </c>
      <c r="W195" s="5">
        <f t="shared" si="19"/>
        <v>0</v>
      </c>
      <c r="X195" s="6"/>
      <c r="Y195" s="34">
        <f>SUMPRODUCT((BIdetails!$J$5:$J$3000=M195)*(BIdetails!$K$5:$K$3000=N195)*(BIdetails!$M$5:$M$3000))</f>
        <v>0</v>
      </c>
      <c r="Z195" s="35">
        <f t="shared" si="20"/>
        <v>0</v>
      </c>
      <c r="AA195" s="31"/>
      <c r="AB195" s="31"/>
      <c r="AC195" s="31"/>
      <c r="AD195" s="31"/>
      <c r="AE195">
        <v>2240</v>
      </c>
    </row>
    <row r="196" spans="1:16383" hidden="1" x14ac:dyDescent="0.25">
      <c r="A196" t="s">
        <v>2526</v>
      </c>
      <c r="B196" t="str">
        <f t="shared" si="17"/>
        <v>No Change</v>
      </c>
      <c r="C196" t="s">
        <v>2881</v>
      </c>
      <c r="D196">
        <v>68427709</v>
      </c>
      <c r="E196" s="96" t="s">
        <v>49</v>
      </c>
      <c r="F196" t="s">
        <v>50</v>
      </c>
      <c r="G196" t="s">
        <v>42</v>
      </c>
      <c r="H196" t="s">
        <v>2882</v>
      </c>
      <c r="I196" t="s">
        <v>2554</v>
      </c>
      <c r="J196" t="s">
        <v>2883</v>
      </c>
      <c r="K196">
        <v>121208</v>
      </c>
      <c r="L196" t="s">
        <v>456</v>
      </c>
      <c r="M196" s="237">
        <v>5400963582</v>
      </c>
      <c r="N196" s="230">
        <v>10</v>
      </c>
      <c r="O196" t="s">
        <v>2579</v>
      </c>
      <c r="P196" s="26" t="s">
        <v>2579</v>
      </c>
      <c r="Q196" t="s">
        <v>2532</v>
      </c>
      <c r="R196" s="31" t="s">
        <v>40</v>
      </c>
      <c r="S196" s="7">
        <v>35000</v>
      </c>
      <c r="T196" s="7">
        <v>35000</v>
      </c>
      <c r="U196" s="7">
        <v>35000</v>
      </c>
      <c r="V196" s="7">
        <f t="shared" si="18"/>
        <v>0</v>
      </c>
      <c r="W196" s="5">
        <f t="shared" si="19"/>
        <v>0</v>
      </c>
      <c r="X196" s="6"/>
      <c r="Y196" s="34">
        <f>SUMPRODUCT((BIdetails!$J$5:$J$3000=M196)*(BIdetails!$K$5:$K$3000=N196)*(BIdetails!$M$5:$M$3000))</f>
        <v>0</v>
      </c>
      <c r="Z196" s="35">
        <f t="shared" si="20"/>
        <v>0</v>
      </c>
      <c r="AA196" s="31" t="s">
        <v>2541</v>
      </c>
      <c r="AB196" s="31" t="s">
        <v>2663</v>
      </c>
      <c r="AC196" s="31" t="s">
        <v>2572</v>
      </c>
      <c r="AD196" s="31"/>
      <c r="AE196">
        <v>1141</v>
      </c>
    </row>
    <row r="197" spans="1:16383" hidden="1" x14ac:dyDescent="0.25">
      <c r="A197" t="s">
        <v>2526</v>
      </c>
      <c r="B197" t="str">
        <f t="shared" si="17"/>
        <v>No Change</v>
      </c>
      <c r="C197" t="s">
        <v>2881</v>
      </c>
      <c r="D197">
        <v>68427709</v>
      </c>
      <c r="E197" s="96" t="s">
        <v>49</v>
      </c>
      <c r="F197" t="s">
        <v>50</v>
      </c>
      <c r="G197" t="s">
        <v>42</v>
      </c>
      <c r="H197" t="s">
        <v>2884</v>
      </c>
      <c r="I197" t="s">
        <v>2554</v>
      </c>
      <c r="J197" t="s">
        <v>2883</v>
      </c>
      <c r="K197">
        <v>121208</v>
      </c>
      <c r="L197" t="s">
        <v>456</v>
      </c>
      <c r="M197" s="237">
        <v>5400972352</v>
      </c>
      <c r="N197" s="230">
        <v>10</v>
      </c>
      <c r="O197" t="s">
        <v>2579</v>
      </c>
      <c r="P197" s="26" t="s">
        <v>2579</v>
      </c>
      <c r="Q197" t="s">
        <v>2532</v>
      </c>
      <c r="R197" s="31" t="s">
        <v>40</v>
      </c>
      <c r="S197" s="7">
        <v>60000</v>
      </c>
      <c r="T197" s="7">
        <v>60000</v>
      </c>
      <c r="U197" s="7">
        <v>60000</v>
      </c>
      <c r="V197" s="7">
        <f t="shared" si="18"/>
        <v>0</v>
      </c>
      <c r="W197" s="5">
        <f t="shared" si="19"/>
        <v>0</v>
      </c>
      <c r="X197" s="6"/>
      <c r="Y197" s="34">
        <f>SUMPRODUCT((BIdetails!$J$5:$J$3000=M197)*(BIdetails!$K$5:$K$3000=N197)*(BIdetails!$M$5:$M$3000))</f>
        <v>0</v>
      </c>
      <c r="Z197" s="35">
        <f t="shared" si="20"/>
        <v>0</v>
      </c>
      <c r="AA197" s="31" t="s">
        <v>2541</v>
      </c>
      <c r="AB197" s="31" t="s">
        <v>2534</v>
      </c>
      <c r="AC197" s="31" t="s">
        <v>2575</v>
      </c>
      <c r="AD197" s="31"/>
      <c r="AE197">
        <v>1150</v>
      </c>
    </row>
    <row r="198" spans="1:16383" hidden="1" x14ac:dyDescent="0.25">
      <c r="A198" t="s">
        <v>2526</v>
      </c>
      <c r="B198" t="str">
        <f t="shared" si="17"/>
        <v>No Change</v>
      </c>
      <c r="D198">
        <v>68427719</v>
      </c>
      <c r="E198" s="96" t="s">
        <v>53</v>
      </c>
      <c r="F198" t="s">
        <v>54</v>
      </c>
      <c r="G198" s="98" t="s">
        <v>42</v>
      </c>
      <c r="H198" s="26" t="s">
        <v>1886</v>
      </c>
      <c r="J198" t="s">
        <v>2885</v>
      </c>
      <c r="K198" s="26">
        <v>210828</v>
      </c>
      <c r="L198" s="98" t="s">
        <v>2886</v>
      </c>
      <c r="M198" s="235">
        <v>5400948032</v>
      </c>
      <c r="N198" s="21">
        <v>10</v>
      </c>
      <c r="O198" s="26" t="s">
        <v>2531</v>
      </c>
      <c r="P198" s="26" t="s">
        <v>2136</v>
      </c>
      <c r="Q198" t="s">
        <v>2613</v>
      </c>
      <c r="R198" s="31" t="s">
        <v>2596</v>
      </c>
      <c r="S198" s="7">
        <v>2000</v>
      </c>
      <c r="T198" s="7">
        <v>2980</v>
      </c>
      <c r="U198" s="7">
        <v>2980</v>
      </c>
      <c r="V198" s="7">
        <f t="shared" si="18"/>
        <v>0</v>
      </c>
      <c r="W198" s="5">
        <f t="shared" si="19"/>
        <v>0</v>
      </c>
      <c r="X198" s="126"/>
      <c r="Y198" s="34">
        <f>SUMPRODUCT((BIdetails!$J$5:$J$3000=M198)*(BIdetails!$K$5:$K$3000=N198)*(BIdetails!$M$5:$M$3000))</f>
        <v>0</v>
      </c>
      <c r="Z198" s="35">
        <f t="shared" si="20"/>
        <v>0</v>
      </c>
      <c r="AA198" s="31"/>
      <c r="AB198" s="31"/>
      <c r="AC198" s="31"/>
      <c r="AD198" s="31"/>
      <c r="AE198">
        <v>3290</v>
      </c>
    </row>
    <row r="199" spans="1:16383" hidden="1" x14ac:dyDescent="0.25">
      <c r="A199" t="s">
        <v>2526</v>
      </c>
      <c r="B199" t="str">
        <f t="shared" si="17"/>
        <v>Increase</v>
      </c>
      <c r="C199" t="s">
        <v>2887</v>
      </c>
      <c r="D199">
        <v>68427709</v>
      </c>
      <c r="E199" s="96" t="s">
        <v>53</v>
      </c>
      <c r="F199" s="26" t="s">
        <v>54</v>
      </c>
      <c r="G199" s="26" t="s">
        <v>42</v>
      </c>
      <c r="H199" s="26" t="s">
        <v>2254</v>
      </c>
      <c r="I199">
        <v>0</v>
      </c>
      <c r="J199" t="s">
        <v>2888</v>
      </c>
      <c r="K199" s="26">
        <v>156247</v>
      </c>
      <c r="L199" s="26" t="s">
        <v>2889</v>
      </c>
      <c r="M199" s="199">
        <v>5400948315</v>
      </c>
      <c r="N199" s="28">
        <v>10</v>
      </c>
      <c r="O199" s="26" t="s">
        <v>2531</v>
      </c>
      <c r="P199" s="26" t="s">
        <v>186</v>
      </c>
      <c r="Q199" s="26" t="s">
        <v>2545</v>
      </c>
      <c r="R199" s="33" t="s">
        <v>2551</v>
      </c>
      <c r="S199" s="7">
        <v>28000</v>
      </c>
      <c r="T199" s="7">
        <v>30000</v>
      </c>
      <c r="U199" s="7">
        <v>33000</v>
      </c>
      <c r="V199" s="7">
        <f t="shared" si="18"/>
        <v>3000</v>
      </c>
      <c r="W199" s="5">
        <f t="shared" si="19"/>
        <v>0.1</v>
      </c>
      <c r="X199" s="6" t="s">
        <v>2358</v>
      </c>
      <c r="Y199" s="34">
        <f>SUMPRODUCT((BIdetails!$J$5:$J$3000=M199)*(BIdetails!$K$5:$K$3000=N199)*(BIdetails!$M$5:$M$3000))</f>
        <v>0</v>
      </c>
      <c r="Z199" s="35">
        <f t="shared" si="20"/>
        <v>0</v>
      </c>
      <c r="AA199" s="31"/>
      <c r="AB199" s="31"/>
      <c r="AC199" s="31"/>
      <c r="AD199" s="31"/>
      <c r="AE199">
        <v>2750</v>
      </c>
    </row>
    <row r="200" spans="1:16383" hidden="1" x14ac:dyDescent="0.25">
      <c r="A200" t="s">
        <v>2526</v>
      </c>
      <c r="B200" t="str">
        <f t="shared" si="17"/>
        <v>Decommissioned</v>
      </c>
      <c r="C200" t="s">
        <v>2890</v>
      </c>
      <c r="D200">
        <v>68427709</v>
      </c>
      <c r="E200" s="96" t="s">
        <v>53</v>
      </c>
      <c r="F200" t="s">
        <v>54</v>
      </c>
      <c r="G200" t="s">
        <v>42</v>
      </c>
      <c r="H200" t="s">
        <v>2153</v>
      </c>
      <c r="I200">
        <v>0</v>
      </c>
      <c r="J200" t="s">
        <v>2891</v>
      </c>
      <c r="K200" s="26">
        <v>197081</v>
      </c>
      <c r="L200" s="26" t="s">
        <v>349</v>
      </c>
      <c r="M200" s="196">
        <v>5400921412</v>
      </c>
      <c r="N200" s="21">
        <v>10</v>
      </c>
      <c r="O200" s="26" t="s">
        <v>2531</v>
      </c>
      <c r="P200" s="26" t="s">
        <v>2280</v>
      </c>
      <c r="Q200" t="s">
        <v>2550</v>
      </c>
      <c r="R200" s="31" t="s">
        <v>280</v>
      </c>
      <c r="S200" s="7">
        <v>99000</v>
      </c>
      <c r="T200" s="7">
        <v>99000</v>
      </c>
      <c r="U200" s="7">
        <v>0</v>
      </c>
      <c r="V200" s="7">
        <f t="shared" si="18"/>
        <v>-99000</v>
      </c>
      <c r="W200" s="5">
        <f t="shared" si="19"/>
        <v>-1</v>
      </c>
      <c r="X200" s="126" t="s">
        <v>2892</v>
      </c>
      <c r="Y200" s="34">
        <f>SUMPRODUCT((BIdetails!$J$5:$J$3000=M200)*(BIdetails!$K$5:$K$3000=N200)*(BIdetails!$M$5:$M$3000))</f>
        <v>0</v>
      </c>
      <c r="Z200" s="35" t="str">
        <f t="shared" si="20"/>
        <v/>
      </c>
      <c r="AA200" s="31" t="s">
        <v>2893</v>
      </c>
      <c r="AB200" s="31" t="s">
        <v>2534</v>
      </c>
      <c r="AC200" s="31" t="s">
        <v>2572</v>
      </c>
      <c r="AD200" s="31"/>
      <c r="AE200">
        <v>2430</v>
      </c>
    </row>
    <row r="201" spans="1:16383" hidden="1" x14ac:dyDescent="0.25">
      <c r="A201" t="s">
        <v>2526</v>
      </c>
      <c r="B201" t="str">
        <f t="shared" si="17"/>
        <v>Decommissioned</v>
      </c>
      <c r="C201" t="s">
        <v>2894</v>
      </c>
      <c r="D201">
        <v>68427709</v>
      </c>
      <c r="E201" s="96" t="s">
        <v>53</v>
      </c>
      <c r="F201" t="s">
        <v>54</v>
      </c>
      <c r="G201" t="s">
        <v>42</v>
      </c>
      <c r="H201" t="s">
        <v>2381</v>
      </c>
      <c r="I201">
        <v>0</v>
      </c>
      <c r="J201" t="s">
        <v>2895</v>
      </c>
      <c r="K201" s="26">
        <v>197081</v>
      </c>
      <c r="L201" s="26" t="s">
        <v>349</v>
      </c>
      <c r="M201" s="196">
        <v>5400921412</v>
      </c>
      <c r="N201" s="21">
        <v>20</v>
      </c>
      <c r="O201" s="26" t="s">
        <v>2531</v>
      </c>
      <c r="P201" s="26" t="s">
        <v>2280</v>
      </c>
      <c r="Q201" t="s">
        <v>2550</v>
      </c>
      <c r="R201" s="31" t="s">
        <v>280</v>
      </c>
      <c r="S201" s="7">
        <v>93200</v>
      </c>
      <c r="T201" s="7">
        <v>23200</v>
      </c>
      <c r="U201" s="7">
        <v>0</v>
      </c>
      <c r="V201" s="7">
        <f t="shared" si="18"/>
        <v>-23200</v>
      </c>
      <c r="W201" s="5">
        <f t="shared" si="19"/>
        <v>-1</v>
      </c>
      <c r="X201" s="126" t="s">
        <v>2892</v>
      </c>
      <c r="Y201" s="34">
        <f>SUMPRODUCT((BIdetails!$J$5:$J$3000=M201)*(BIdetails!$K$5:$K$3000=N201)*(BIdetails!$M$5:$M$3000))</f>
        <v>0</v>
      </c>
      <c r="Z201" s="35" t="str">
        <f t="shared" si="20"/>
        <v/>
      </c>
      <c r="AA201" s="31"/>
      <c r="AB201" s="31"/>
      <c r="AC201" s="31"/>
      <c r="AD201" s="31"/>
      <c r="AE201">
        <v>2440</v>
      </c>
    </row>
    <row r="202" spans="1:16383" x14ac:dyDescent="0.25">
      <c r="A202" t="s">
        <v>2526</v>
      </c>
      <c r="B202" t="str">
        <f t="shared" si="17"/>
        <v>No Change</v>
      </c>
      <c r="D202">
        <v>68427709</v>
      </c>
      <c r="E202" s="96" t="s">
        <v>38</v>
      </c>
      <c r="F202" t="s">
        <v>40</v>
      </c>
      <c r="G202" t="s">
        <v>40</v>
      </c>
      <c r="H202" s="26" t="s">
        <v>2091</v>
      </c>
      <c r="I202" t="s">
        <v>2225</v>
      </c>
      <c r="J202" s="227" t="s">
        <v>2637</v>
      </c>
      <c r="K202" s="26"/>
      <c r="L202" s="26" t="s">
        <v>2896</v>
      </c>
      <c r="M202" s="235">
        <v>5400978271</v>
      </c>
      <c r="O202" t="s">
        <v>2579</v>
      </c>
      <c r="P202" s="98" t="s">
        <v>2579</v>
      </c>
      <c r="Q202" t="s">
        <v>2545</v>
      </c>
      <c r="R202" s="97" t="s">
        <v>40</v>
      </c>
      <c r="S202" s="7"/>
      <c r="T202" s="7">
        <v>74000</v>
      </c>
      <c r="U202" s="7">
        <v>74000</v>
      </c>
      <c r="V202" s="7">
        <f t="shared" si="18"/>
        <v>0</v>
      </c>
      <c r="W202" s="5">
        <f t="shared" si="19"/>
        <v>0</v>
      </c>
      <c r="X202" s="126"/>
      <c r="Y202" s="34">
        <f>SUMPRODUCT((BIdetails!$J$5:$J$3000=M202)*(BIdetails!$K$5:$K$3000=N202)*(BIdetails!$M$5:$M$3000))</f>
        <v>0</v>
      </c>
      <c r="Z202" s="35">
        <f t="shared" si="20"/>
        <v>0</v>
      </c>
      <c r="AA202" s="31"/>
      <c r="AB202" s="31"/>
      <c r="AC202" s="31"/>
      <c r="AD202" s="31"/>
      <c r="AE202">
        <v>3470</v>
      </c>
      <c r="BJ202" s="23"/>
      <c r="BK202" s="23"/>
      <c r="BL202" s="24"/>
      <c r="BM202" s="23"/>
      <c r="BN202" s="23"/>
      <c r="BO202" s="23"/>
      <c r="BP202" s="1"/>
      <c r="BQ202" s="1"/>
      <c r="BR202" s="1"/>
      <c r="BS202" s="25"/>
      <c r="BV202" s="23"/>
      <c r="BW202" s="23"/>
      <c r="BX202" s="23"/>
      <c r="BY202" s="23"/>
      <c r="BZ202" s="23"/>
      <c r="CA202" s="23"/>
      <c r="CB202" s="24"/>
      <c r="CC202" s="23"/>
      <c r="CD202" s="23"/>
      <c r="CE202" s="23"/>
      <c r="CF202" s="1"/>
      <c r="CG202" s="1"/>
      <c r="CH202" s="1"/>
      <c r="CI202" s="25"/>
      <c r="CL202" s="23"/>
      <c r="CM202" s="23"/>
      <c r="CN202" s="23"/>
      <c r="CO202" s="23"/>
      <c r="CP202" s="23"/>
      <c r="CQ202" s="23"/>
      <c r="CR202" s="24"/>
      <c r="CS202" s="23"/>
      <c r="CT202" s="23"/>
      <c r="CU202" s="23"/>
      <c r="CV202" s="1"/>
      <c r="CW202" s="1"/>
      <c r="CX202" s="1"/>
      <c r="CY202" s="25"/>
      <c r="DB202" s="23"/>
      <c r="DC202" s="23"/>
      <c r="DD202" s="23"/>
      <c r="DE202" s="23"/>
      <c r="DF202" s="23"/>
      <c r="DG202" s="23"/>
      <c r="DH202" s="24"/>
      <c r="DI202" s="23"/>
      <c r="DJ202" s="23"/>
      <c r="DK202" s="23"/>
      <c r="DL202" s="1"/>
      <c r="DM202" s="1"/>
      <c r="DN202" s="1"/>
      <c r="DO202" s="25"/>
      <c r="DR202" s="23"/>
      <c r="DS202" s="23"/>
      <c r="DT202" s="23"/>
      <c r="DU202" s="23"/>
      <c r="DV202" s="23"/>
      <c r="DW202" s="23"/>
      <c r="DX202" s="24"/>
      <c r="DY202" s="23"/>
      <c r="DZ202" s="23"/>
      <c r="EA202" s="23"/>
      <c r="EB202" s="1"/>
      <c r="EC202" s="1"/>
      <c r="ED202" s="1"/>
      <c r="EE202" s="25"/>
      <c r="EH202" s="23"/>
      <c r="EI202" s="23"/>
      <c r="EJ202" s="23"/>
      <c r="EK202" s="23"/>
      <c r="EL202" s="23"/>
      <c r="EM202" s="23"/>
      <c r="EN202" s="24"/>
      <c r="EO202" s="23"/>
      <c r="EP202" s="23"/>
      <c r="EQ202" s="23"/>
      <c r="ER202" s="1"/>
      <c r="ES202" s="1"/>
      <c r="ET202" s="1"/>
      <c r="EU202" s="25"/>
      <c r="EX202" s="23"/>
      <c r="EY202" s="23"/>
      <c r="EZ202" s="23"/>
      <c r="FA202" s="23"/>
      <c r="FB202" s="23"/>
      <c r="FC202" s="23"/>
      <c r="FD202" s="24"/>
      <c r="FE202" s="23"/>
      <c r="FF202" s="23"/>
      <c r="FG202" s="23"/>
      <c r="FH202" s="1"/>
      <c r="FI202" s="1"/>
      <c r="FJ202" s="1"/>
      <c r="FK202" s="25"/>
      <c r="FN202" s="23"/>
      <c r="FO202" s="23"/>
      <c r="FP202" s="23"/>
      <c r="FQ202" s="23"/>
      <c r="FR202" s="23"/>
      <c r="FS202" s="23"/>
      <c r="FT202" s="24"/>
      <c r="FU202" s="23"/>
      <c r="FV202" s="23"/>
      <c r="FW202" s="23"/>
      <c r="FX202" s="1"/>
      <c r="FY202" s="1"/>
      <c r="FZ202" s="1"/>
      <c r="GA202" s="25"/>
      <c r="GD202" s="23"/>
      <c r="GE202" s="23"/>
      <c r="GF202" s="23"/>
      <c r="GG202" s="23"/>
      <c r="GH202" s="23"/>
      <c r="GI202" s="23"/>
      <c r="GJ202" s="24"/>
      <c r="GK202" s="23"/>
      <c r="GL202" s="23"/>
      <c r="GM202" s="23"/>
      <c r="GN202" s="1"/>
      <c r="GO202" s="1"/>
      <c r="GP202" s="1"/>
      <c r="GQ202" s="25"/>
      <c r="GT202" s="23"/>
      <c r="GU202" s="23"/>
      <c r="GV202" s="23"/>
      <c r="GW202" s="23"/>
      <c r="GX202" s="23"/>
      <c r="GY202" s="23"/>
      <c r="GZ202" s="24"/>
      <c r="HA202" s="23"/>
      <c r="HB202" s="23"/>
      <c r="HC202" s="23"/>
      <c r="HD202" s="1"/>
      <c r="HE202" s="1"/>
      <c r="HF202" s="1"/>
      <c r="HG202" s="25"/>
      <c r="HJ202" s="23"/>
      <c r="HK202" s="23"/>
      <c r="HL202" s="23"/>
      <c r="HM202" s="23"/>
      <c r="HN202" s="23"/>
      <c r="HO202" s="23"/>
      <c r="HP202" s="24"/>
      <c r="HQ202" s="23"/>
      <c r="HR202" s="23"/>
      <c r="HS202" s="23"/>
      <c r="HT202" s="1"/>
      <c r="HU202" s="1"/>
      <c r="HV202" s="1"/>
      <c r="HW202" s="25"/>
      <c r="HZ202" s="23"/>
      <c r="IA202" s="23"/>
      <c r="IB202" s="23"/>
      <c r="IC202" s="23"/>
      <c r="ID202" s="23"/>
      <c r="IE202" s="23"/>
      <c r="IF202" s="24"/>
      <c r="IG202" s="23"/>
      <c r="IH202" s="23"/>
      <c r="II202" s="23"/>
      <c r="IJ202" s="1"/>
      <c r="IK202" s="1"/>
      <c r="IL202" s="1"/>
      <c r="IM202" s="25"/>
      <c r="IP202" s="23"/>
      <c r="IQ202" s="23"/>
      <c r="IR202" s="23"/>
      <c r="IS202" s="23"/>
      <c r="IT202" s="23"/>
      <c r="IU202" s="23"/>
      <c r="IV202" s="24"/>
      <c r="IW202" s="23"/>
      <c r="IX202" s="23"/>
      <c r="IY202" s="23"/>
      <c r="IZ202" s="1"/>
      <c r="JA202" s="1"/>
      <c r="JB202" s="1"/>
      <c r="JC202" s="25"/>
      <c r="JF202" s="23"/>
      <c r="JG202" s="23"/>
      <c r="JH202" s="23"/>
      <c r="JI202" s="23"/>
      <c r="JJ202" s="23"/>
      <c r="JK202" s="23"/>
      <c r="JL202" s="24"/>
      <c r="JM202" s="23"/>
      <c r="JN202" s="23"/>
      <c r="JO202" s="23"/>
      <c r="JP202" s="1"/>
      <c r="JQ202" s="1"/>
      <c r="JR202" s="1"/>
      <c r="JS202" s="25"/>
      <c r="JV202" s="23"/>
      <c r="JW202" s="23"/>
      <c r="JX202" s="23"/>
      <c r="JY202" s="23"/>
      <c r="JZ202" s="23"/>
      <c r="KA202" s="23"/>
      <c r="KB202" s="24"/>
      <c r="KC202" s="23"/>
      <c r="KD202" s="23"/>
      <c r="KE202" s="23"/>
      <c r="KF202" s="1"/>
      <c r="KG202" s="1"/>
      <c r="KH202" s="1"/>
      <c r="KI202" s="25"/>
      <c r="KL202" s="23"/>
      <c r="KM202" s="23"/>
      <c r="KN202" s="23"/>
      <c r="KO202" s="23"/>
      <c r="KP202" s="23"/>
      <c r="KQ202" s="23"/>
      <c r="KR202" s="24"/>
      <c r="KS202" s="23"/>
      <c r="KT202" s="23"/>
      <c r="KU202" s="23"/>
      <c r="KV202" s="1"/>
      <c r="KW202" s="1"/>
      <c r="KX202" s="1"/>
      <c r="KY202" s="25"/>
      <c r="LB202" s="23"/>
      <c r="LC202" s="23"/>
      <c r="LD202" s="23"/>
      <c r="LE202" s="23"/>
      <c r="LF202" s="23"/>
      <c r="LG202" s="23"/>
      <c r="LH202" s="24"/>
      <c r="LI202" s="23"/>
      <c r="LJ202" s="23"/>
      <c r="LK202" s="23"/>
      <c r="LL202" s="1"/>
      <c r="LM202" s="1"/>
      <c r="LN202" s="1"/>
      <c r="LO202" s="25"/>
      <c r="LR202" s="23"/>
      <c r="LS202" s="23"/>
      <c r="LT202" s="23"/>
      <c r="LU202" s="23"/>
      <c r="LV202" s="23"/>
      <c r="LW202" s="23"/>
      <c r="LX202" s="24"/>
      <c r="LY202" s="23"/>
      <c r="LZ202" s="23"/>
      <c r="MA202" s="23"/>
      <c r="MB202" s="1"/>
      <c r="MC202" s="1"/>
      <c r="MD202" s="1"/>
      <c r="ME202" s="25"/>
      <c r="MH202" s="23"/>
      <c r="MI202" s="23"/>
      <c r="MJ202" s="23"/>
      <c r="MK202" s="23"/>
      <c r="ML202" s="23"/>
      <c r="MM202" s="23"/>
      <c r="MN202" s="24"/>
      <c r="MO202" s="23"/>
      <c r="MP202" s="23"/>
      <c r="MQ202" s="23"/>
      <c r="MR202" s="1"/>
      <c r="MS202" s="1"/>
      <c r="MT202" s="1"/>
      <c r="MU202" s="25"/>
      <c r="MX202" s="23"/>
      <c r="MY202" s="23"/>
      <c r="MZ202" s="23"/>
      <c r="NA202" s="23"/>
      <c r="NB202" s="23"/>
      <c r="NC202" s="23"/>
      <c r="ND202" s="24"/>
      <c r="NE202" s="23"/>
      <c r="NF202" s="23"/>
      <c r="NG202" s="23"/>
      <c r="NH202" s="1"/>
      <c r="NI202" s="1"/>
      <c r="NJ202" s="1"/>
      <c r="NK202" s="25"/>
      <c r="NN202" s="23"/>
      <c r="NO202" s="23"/>
      <c r="NP202" s="23"/>
      <c r="NQ202" s="23"/>
      <c r="NR202" s="23"/>
      <c r="NS202" s="23"/>
      <c r="NT202" s="24"/>
      <c r="NU202" s="23"/>
      <c r="NV202" s="23"/>
      <c r="NW202" s="23"/>
      <c r="NX202" s="1"/>
      <c r="NY202" s="1"/>
      <c r="NZ202" s="1"/>
      <c r="OA202" s="25"/>
      <c r="OD202" s="23"/>
      <c r="OE202" s="23"/>
      <c r="OF202" s="23"/>
      <c r="OG202" s="23"/>
      <c r="OH202" s="23"/>
      <c r="OI202" s="23"/>
      <c r="OJ202" s="24"/>
      <c r="OK202" s="23"/>
      <c r="OL202" s="23"/>
      <c r="OM202" s="23"/>
      <c r="ON202" s="1"/>
      <c r="OO202" s="1"/>
      <c r="OP202" s="1"/>
      <c r="OQ202" s="25"/>
      <c r="OT202" s="23"/>
      <c r="OU202" s="23"/>
      <c r="OV202" s="23"/>
      <c r="OW202" s="23"/>
      <c r="OX202" s="23"/>
      <c r="OY202" s="23"/>
      <c r="OZ202" s="24"/>
      <c r="PA202" s="23"/>
      <c r="PB202" s="23"/>
      <c r="PC202" s="23"/>
      <c r="PD202" s="1"/>
      <c r="PE202" s="1"/>
      <c r="PF202" s="1"/>
      <c r="PG202" s="25"/>
      <c r="PJ202" s="23"/>
      <c r="PK202" s="23"/>
      <c r="PL202" s="23"/>
      <c r="PM202" s="23"/>
      <c r="PN202" s="23"/>
      <c r="PO202" s="23"/>
      <c r="PP202" s="24"/>
      <c r="PQ202" s="23"/>
      <c r="PR202" s="23"/>
      <c r="PS202" s="23"/>
      <c r="PT202" s="1"/>
      <c r="PU202" s="1"/>
      <c r="PV202" s="1"/>
      <c r="PW202" s="25"/>
      <c r="PZ202" s="23"/>
      <c r="QA202" s="23"/>
      <c r="QB202" s="23"/>
      <c r="QC202" s="23"/>
      <c r="QD202" s="23"/>
      <c r="QE202" s="23"/>
      <c r="QF202" s="24"/>
      <c r="QG202" s="23"/>
      <c r="QH202" s="23"/>
      <c r="QI202" s="23"/>
      <c r="QJ202" s="1"/>
      <c r="QK202" s="1"/>
      <c r="QL202" s="1"/>
      <c r="QM202" s="25"/>
      <c r="QP202" s="23"/>
      <c r="QQ202" s="23"/>
      <c r="QR202" s="23"/>
      <c r="QS202" s="23"/>
      <c r="QT202" s="23"/>
      <c r="QU202" s="23"/>
      <c r="QV202" s="24"/>
      <c r="QW202" s="23"/>
      <c r="QX202" s="23"/>
      <c r="QY202" s="23"/>
      <c r="QZ202" s="1"/>
      <c r="RA202" s="1"/>
      <c r="RB202" s="1"/>
      <c r="RC202" s="25"/>
      <c r="RF202" s="23"/>
      <c r="RG202" s="23"/>
      <c r="RH202" s="23"/>
      <c r="RI202" s="23"/>
      <c r="RJ202" s="23"/>
      <c r="RK202" s="23"/>
      <c r="RL202" s="24"/>
      <c r="RM202" s="23"/>
      <c r="RN202" s="23"/>
      <c r="RO202" s="23"/>
      <c r="RP202" s="1"/>
      <c r="RQ202" s="1"/>
      <c r="RR202" s="1"/>
      <c r="RS202" s="25"/>
      <c r="RV202" s="23"/>
      <c r="RW202" s="23"/>
      <c r="RX202" s="23"/>
      <c r="RY202" s="23"/>
      <c r="RZ202" s="23"/>
      <c r="SA202" s="23"/>
      <c r="SB202" s="24"/>
      <c r="SC202" s="23"/>
      <c r="SD202" s="23"/>
      <c r="SE202" s="23"/>
      <c r="SF202" s="1"/>
      <c r="SG202" s="1"/>
      <c r="SH202" s="1"/>
      <c r="SI202" s="25"/>
      <c r="SL202" s="23"/>
      <c r="SM202" s="23"/>
      <c r="SN202" s="23"/>
      <c r="SO202" s="23"/>
      <c r="SP202" s="23"/>
      <c r="SQ202" s="23"/>
      <c r="SR202" s="24"/>
      <c r="SS202" s="23"/>
      <c r="ST202" s="23"/>
      <c r="SU202" s="23"/>
      <c r="SV202" s="1"/>
      <c r="SW202" s="1"/>
      <c r="SX202" s="1"/>
      <c r="SY202" s="25"/>
      <c r="TB202" s="23"/>
      <c r="TC202" s="23"/>
      <c r="TD202" s="23"/>
      <c r="TE202" s="23"/>
      <c r="TF202" s="23"/>
      <c r="TG202" s="23"/>
      <c r="TH202" s="24"/>
      <c r="TI202" s="23"/>
      <c r="TJ202" s="23"/>
      <c r="TK202" s="23"/>
      <c r="TL202" s="1"/>
      <c r="TM202" s="1"/>
      <c r="TN202" s="1"/>
      <c r="TO202" s="25"/>
      <c r="TR202" s="23"/>
      <c r="TS202" s="23"/>
      <c r="TT202" s="23"/>
      <c r="TU202" s="23"/>
      <c r="TV202" s="23"/>
      <c r="TW202" s="23"/>
      <c r="TX202" s="24"/>
      <c r="TY202" s="23"/>
      <c r="TZ202" s="23"/>
      <c r="UA202" s="23"/>
      <c r="UB202" s="1"/>
      <c r="UC202" s="1"/>
      <c r="UD202" s="1"/>
      <c r="UE202" s="25"/>
      <c r="UH202" s="23"/>
      <c r="UI202" s="23"/>
      <c r="UJ202" s="23"/>
      <c r="UK202" s="23"/>
      <c r="UL202" s="23"/>
      <c r="UM202" s="23"/>
      <c r="UN202" s="24"/>
      <c r="UO202" s="23"/>
      <c r="UP202" s="23"/>
      <c r="UQ202" s="23"/>
      <c r="UR202" s="1"/>
      <c r="US202" s="1"/>
      <c r="UT202" s="1"/>
      <c r="UU202" s="25"/>
      <c r="UX202" s="23"/>
      <c r="UY202" s="23"/>
      <c r="UZ202" s="23"/>
      <c r="VA202" s="23"/>
      <c r="VB202" s="23"/>
      <c r="VC202" s="23"/>
      <c r="VD202" s="24"/>
      <c r="VE202" s="23"/>
      <c r="VF202" s="23"/>
      <c r="VG202" s="23"/>
      <c r="VH202" s="1"/>
      <c r="VI202" s="1"/>
      <c r="VJ202" s="1"/>
      <c r="VK202" s="25"/>
      <c r="VN202" s="23"/>
      <c r="VO202" s="23"/>
      <c r="VP202" s="23"/>
      <c r="VQ202" s="23"/>
      <c r="VR202" s="23"/>
      <c r="VS202" s="23"/>
      <c r="VT202" s="24"/>
      <c r="VU202" s="23"/>
      <c r="VV202" s="23"/>
      <c r="VW202" s="23"/>
      <c r="VX202" s="1"/>
      <c r="VY202" s="1"/>
      <c r="VZ202" s="1"/>
      <c r="WA202" s="25"/>
      <c r="WD202" s="23"/>
      <c r="WE202" s="23"/>
      <c r="WF202" s="23"/>
      <c r="WG202" s="23"/>
      <c r="WH202" s="23"/>
      <c r="WI202" s="23"/>
      <c r="WJ202" s="24"/>
      <c r="WK202" s="23"/>
      <c r="WL202" s="23"/>
      <c r="WM202" s="23"/>
      <c r="WN202" s="1"/>
      <c r="WO202" s="1"/>
      <c r="WP202" s="1"/>
      <c r="WQ202" s="25"/>
      <c r="WT202" s="23"/>
      <c r="WU202" s="23"/>
      <c r="WV202" s="23"/>
      <c r="WW202" s="23"/>
      <c r="WX202" s="23"/>
      <c r="WY202" s="23"/>
      <c r="WZ202" s="24"/>
      <c r="XA202" s="23"/>
      <c r="XB202" s="23"/>
      <c r="XC202" s="23"/>
      <c r="XD202" s="1"/>
      <c r="XE202" s="1"/>
      <c r="XF202" s="1"/>
      <c r="XG202" s="25"/>
      <c r="XJ202" s="23"/>
      <c r="XK202" s="23"/>
      <c r="XL202" s="23"/>
      <c r="XM202" s="23"/>
      <c r="XN202" s="23"/>
      <c r="XO202" s="23"/>
      <c r="XP202" s="24"/>
      <c r="XQ202" s="23"/>
      <c r="XR202" s="23"/>
      <c r="XS202" s="23"/>
      <c r="XT202" s="1"/>
      <c r="XU202" s="1"/>
      <c r="XV202" s="1"/>
      <c r="XW202" s="25"/>
      <c r="XZ202" s="23"/>
      <c r="YA202" s="23"/>
      <c r="YB202" s="23"/>
      <c r="YC202" s="23"/>
      <c r="YD202" s="23"/>
      <c r="YE202" s="23"/>
      <c r="YF202" s="24"/>
      <c r="YG202" s="23"/>
      <c r="YH202" s="23"/>
      <c r="YI202" s="23"/>
      <c r="YJ202" s="1"/>
      <c r="YK202" s="1"/>
      <c r="YL202" s="1"/>
      <c r="YM202" s="25"/>
      <c r="YP202" s="23"/>
      <c r="YQ202" s="23"/>
      <c r="YR202" s="23"/>
      <c r="YS202" s="23"/>
      <c r="YT202" s="23"/>
      <c r="YU202" s="23"/>
      <c r="YV202" s="24"/>
      <c r="YW202" s="23"/>
      <c r="YX202" s="23"/>
      <c r="YY202" s="23"/>
      <c r="YZ202" s="1"/>
      <c r="ZA202" s="1"/>
      <c r="ZB202" s="1"/>
      <c r="ZC202" s="25"/>
      <c r="ZF202" s="23"/>
      <c r="ZG202" s="23"/>
      <c r="ZH202" s="23"/>
      <c r="ZI202" s="23"/>
      <c r="ZJ202" s="23"/>
      <c r="ZK202" s="23"/>
      <c r="ZL202" s="24"/>
      <c r="ZM202" s="23"/>
      <c r="ZN202" s="23"/>
      <c r="ZO202" s="23"/>
      <c r="ZP202" s="1"/>
      <c r="ZQ202" s="1"/>
      <c r="ZR202" s="1"/>
      <c r="ZS202" s="25"/>
      <c r="ZV202" s="23"/>
      <c r="ZW202" s="23"/>
      <c r="ZX202" s="23"/>
      <c r="ZY202" s="23"/>
      <c r="ZZ202" s="23"/>
      <c r="AAA202" s="23"/>
      <c r="AAB202" s="24"/>
      <c r="AAC202" s="23"/>
      <c r="AAD202" s="23"/>
      <c r="AAE202" s="23"/>
      <c r="AAF202" s="1"/>
      <c r="AAG202" s="1"/>
      <c r="AAH202" s="1"/>
      <c r="AAI202" s="25"/>
      <c r="AAL202" s="23"/>
      <c r="AAM202" s="23"/>
      <c r="AAN202" s="23"/>
      <c r="AAO202" s="23"/>
      <c r="AAP202" s="23"/>
      <c r="AAQ202" s="23"/>
      <c r="AAR202" s="24"/>
      <c r="AAS202" s="23"/>
      <c r="AAT202" s="23"/>
      <c r="AAU202" s="23"/>
      <c r="AAV202" s="1"/>
      <c r="AAW202" s="1"/>
      <c r="AAX202" s="1"/>
      <c r="AAY202" s="25"/>
      <c r="ABB202" s="23"/>
      <c r="ABC202" s="23"/>
      <c r="ABD202" s="23"/>
      <c r="ABE202" s="23"/>
      <c r="ABF202" s="23"/>
      <c r="ABG202" s="23"/>
      <c r="ABH202" s="24"/>
      <c r="ABI202" s="23"/>
      <c r="ABJ202" s="23"/>
      <c r="ABK202" s="23"/>
      <c r="ABL202" s="1"/>
      <c r="ABM202" s="1"/>
      <c r="ABN202" s="1"/>
      <c r="ABO202" s="25"/>
      <c r="ABR202" s="23"/>
      <c r="ABS202" s="23"/>
      <c r="ABT202" s="23"/>
      <c r="ABU202" s="23"/>
      <c r="ABV202" s="23"/>
      <c r="ABW202" s="23"/>
      <c r="ABX202" s="24"/>
      <c r="ABY202" s="23"/>
      <c r="ABZ202" s="23"/>
      <c r="ACA202" s="23"/>
      <c r="ACB202" s="1"/>
      <c r="ACC202" s="1"/>
      <c r="ACD202" s="1"/>
      <c r="ACE202" s="25"/>
      <c r="ACH202" s="23"/>
      <c r="ACI202" s="23"/>
      <c r="ACJ202" s="23"/>
      <c r="ACK202" s="23"/>
      <c r="ACL202" s="23"/>
      <c r="ACM202" s="23"/>
      <c r="ACN202" s="24"/>
      <c r="ACO202" s="23"/>
      <c r="ACP202" s="23"/>
      <c r="ACQ202" s="23"/>
      <c r="ACR202" s="1"/>
      <c r="ACS202" s="1"/>
      <c r="ACT202" s="1"/>
      <c r="ACU202" s="25"/>
      <c r="ACX202" s="23"/>
      <c r="ACY202" s="23"/>
      <c r="ACZ202" s="23"/>
      <c r="ADA202" s="23"/>
      <c r="ADB202" s="23"/>
      <c r="ADC202" s="23"/>
      <c r="ADD202" s="24"/>
      <c r="ADE202" s="23"/>
      <c r="ADF202" s="23"/>
      <c r="ADG202" s="23"/>
      <c r="ADH202" s="1"/>
      <c r="ADI202" s="1"/>
      <c r="ADJ202" s="1"/>
      <c r="ADK202" s="25"/>
      <c r="ADN202" s="23"/>
      <c r="ADO202" s="23"/>
      <c r="ADP202" s="23"/>
      <c r="ADQ202" s="23"/>
      <c r="ADR202" s="23"/>
      <c r="ADS202" s="23"/>
      <c r="ADT202" s="24"/>
      <c r="ADU202" s="23"/>
      <c r="ADV202" s="23"/>
      <c r="ADW202" s="23"/>
      <c r="ADX202" s="1"/>
      <c r="ADY202" s="1"/>
      <c r="ADZ202" s="1"/>
      <c r="AEA202" s="25"/>
      <c r="AED202" s="23"/>
      <c r="AEE202" s="23"/>
      <c r="AEF202" s="23"/>
      <c r="AEG202" s="23"/>
      <c r="AEH202" s="23"/>
      <c r="AEI202" s="23"/>
      <c r="AEJ202" s="24"/>
      <c r="AEK202" s="23"/>
      <c r="AEL202" s="23"/>
      <c r="AEM202" s="23"/>
      <c r="AEN202" s="1"/>
      <c r="AEO202" s="1"/>
      <c r="AEP202" s="1"/>
      <c r="AEQ202" s="25"/>
      <c r="AET202" s="23"/>
      <c r="AEU202" s="23"/>
      <c r="AEV202" s="23"/>
      <c r="AEW202" s="23"/>
      <c r="AEX202" s="23"/>
      <c r="AEY202" s="23"/>
      <c r="AEZ202" s="24"/>
      <c r="AFA202" s="23"/>
      <c r="AFB202" s="23"/>
      <c r="AFC202" s="23"/>
      <c r="AFD202" s="1"/>
      <c r="AFE202" s="1"/>
      <c r="AFF202" s="1"/>
      <c r="AFG202" s="25"/>
      <c r="AFJ202" s="23"/>
      <c r="AFK202" s="23"/>
      <c r="AFL202" s="23"/>
      <c r="AFM202" s="23"/>
      <c r="AFN202" s="23"/>
      <c r="AFO202" s="23"/>
      <c r="AFP202" s="24"/>
      <c r="AFQ202" s="23"/>
      <c r="AFR202" s="23"/>
      <c r="AFS202" s="23"/>
      <c r="AFT202" s="1"/>
      <c r="AFU202" s="1"/>
      <c r="AFV202" s="1"/>
      <c r="AFW202" s="25"/>
      <c r="AFZ202" s="23"/>
      <c r="AGA202" s="23"/>
      <c r="AGB202" s="23"/>
      <c r="AGC202" s="23"/>
      <c r="AGD202" s="23"/>
      <c r="AGE202" s="23"/>
      <c r="AGF202" s="24"/>
      <c r="AGG202" s="23"/>
      <c r="AGH202" s="23"/>
      <c r="AGI202" s="23"/>
      <c r="AGJ202" s="1"/>
      <c r="AGK202" s="1"/>
      <c r="AGL202" s="1"/>
      <c r="AGM202" s="25"/>
      <c r="AGP202" s="23"/>
      <c r="AGQ202" s="23"/>
      <c r="AGR202" s="23"/>
      <c r="AGS202" s="23"/>
      <c r="AGT202" s="23"/>
      <c r="AGU202" s="23"/>
      <c r="AGV202" s="24"/>
      <c r="AGW202" s="23"/>
      <c r="AGX202" s="23"/>
      <c r="AGY202" s="23"/>
      <c r="AGZ202" s="1"/>
      <c r="AHA202" s="1"/>
      <c r="AHB202" s="1"/>
      <c r="AHC202" s="25"/>
      <c r="AHF202" s="23"/>
      <c r="AHG202" s="23"/>
      <c r="AHH202" s="23"/>
      <c r="AHI202" s="23"/>
      <c r="AHJ202" s="23"/>
      <c r="AHK202" s="23"/>
      <c r="AHL202" s="24"/>
      <c r="AHM202" s="23"/>
      <c r="AHN202" s="23"/>
      <c r="AHO202" s="23"/>
      <c r="AHP202" s="1"/>
      <c r="AHQ202" s="1"/>
      <c r="AHR202" s="1"/>
      <c r="AHS202" s="25"/>
      <c r="AHV202" s="23"/>
      <c r="AHW202" s="23"/>
      <c r="AHX202" s="23"/>
      <c r="AHY202" s="23"/>
      <c r="AHZ202" s="23"/>
      <c r="AIA202" s="23"/>
      <c r="AIB202" s="24"/>
      <c r="AIC202" s="23"/>
      <c r="AID202" s="23"/>
      <c r="AIE202" s="23"/>
      <c r="AIF202" s="1"/>
      <c r="AIG202" s="1"/>
      <c r="AIH202" s="1"/>
      <c r="AII202" s="25"/>
      <c r="AIL202" s="23"/>
      <c r="AIM202" s="23"/>
      <c r="AIN202" s="23"/>
      <c r="AIO202" s="23"/>
      <c r="AIP202" s="23"/>
      <c r="AIQ202" s="23"/>
      <c r="AIR202" s="24"/>
      <c r="AIS202" s="23"/>
      <c r="AIT202" s="23"/>
      <c r="AIU202" s="23"/>
      <c r="AIV202" s="1"/>
      <c r="AIW202" s="1"/>
      <c r="AIX202" s="1"/>
      <c r="AIY202" s="25"/>
      <c r="AJB202" s="23"/>
      <c r="AJC202" s="23"/>
      <c r="AJD202" s="23"/>
      <c r="AJE202" s="23"/>
      <c r="AJF202" s="23"/>
      <c r="AJG202" s="23"/>
      <c r="AJH202" s="24"/>
      <c r="AJI202" s="23"/>
      <c r="AJJ202" s="23"/>
      <c r="AJK202" s="23"/>
      <c r="AJL202" s="1"/>
      <c r="AJM202" s="1"/>
      <c r="AJN202" s="1"/>
      <c r="AJO202" s="25"/>
      <c r="AJR202" s="23"/>
      <c r="AJS202" s="23"/>
      <c r="AJT202" s="23"/>
      <c r="AJU202" s="23"/>
      <c r="AJV202" s="23"/>
      <c r="AJW202" s="23"/>
      <c r="AJX202" s="24"/>
      <c r="AJY202" s="23"/>
      <c r="AJZ202" s="23"/>
      <c r="AKA202" s="23"/>
      <c r="AKB202" s="1"/>
      <c r="AKC202" s="1"/>
      <c r="AKD202" s="1"/>
      <c r="AKE202" s="25"/>
      <c r="AKH202" s="23"/>
      <c r="AKI202" s="23"/>
      <c r="AKJ202" s="23"/>
      <c r="AKK202" s="23"/>
      <c r="AKL202" s="23"/>
      <c r="AKM202" s="23"/>
      <c r="AKN202" s="24"/>
      <c r="AKO202" s="23"/>
      <c r="AKP202" s="23"/>
      <c r="AKQ202" s="23"/>
      <c r="AKR202" s="1"/>
      <c r="AKS202" s="1"/>
      <c r="AKT202" s="1"/>
      <c r="AKU202" s="25"/>
      <c r="AKX202" s="23"/>
      <c r="AKY202" s="23"/>
      <c r="AKZ202" s="23"/>
      <c r="ALA202" s="23"/>
      <c r="ALB202" s="23"/>
      <c r="ALC202" s="23"/>
      <c r="ALD202" s="24"/>
      <c r="ALE202" s="23"/>
      <c r="ALF202" s="23"/>
      <c r="ALG202" s="23"/>
      <c r="ALH202" s="1"/>
      <c r="ALI202" s="1"/>
      <c r="ALJ202" s="1"/>
      <c r="ALK202" s="25"/>
      <c r="ALN202" s="23"/>
      <c r="ALO202" s="23"/>
      <c r="ALP202" s="23"/>
      <c r="ALQ202" s="23"/>
      <c r="ALR202" s="23"/>
      <c r="ALS202" s="23"/>
      <c r="ALT202" s="24"/>
      <c r="ALU202" s="23"/>
      <c r="ALV202" s="23"/>
      <c r="ALW202" s="23"/>
      <c r="ALX202" s="1"/>
      <c r="ALY202" s="1"/>
      <c r="ALZ202" s="1"/>
      <c r="AMA202" s="25"/>
      <c r="AMD202" s="23"/>
      <c r="AME202" s="23"/>
      <c r="AMF202" s="23"/>
      <c r="AMG202" s="23"/>
      <c r="AMH202" s="23"/>
      <c r="AMI202" s="23"/>
      <c r="AMJ202" s="24"/>
      <c r="AMK202" s="23"/>
      <c r="AML202" s="23"/>
      <c r="AMM202" s="23"/>
      <c r="AMN202" s="1"/>
      <c r="AMO202" s="1"/>
      <c r="AMP202" s="1"/>
      <c r="AMQ202" s="25"/>
      <c r="AMT202" s="23"/>
      <c r="AMU202" s="23"/>
      <c r="AMV202" s="23"/>
      <c r="AMW202" s="23"/>
      <c r="AMX202" s="23"/>
      <c r="AMY202" s="23"/>
      <c r="AMZ202" s="24"/>
      <c r="ANA202" s="23"/>
      <c r="ANB202" s="23"/>
      <c r="ANC202" s="23"/>
      <c r="AND202" s="1"/>
      <c r="ANE202" s="1"/>
      <c r="ANF202" s="1"/>
      <c r="ANG202" s="25"/>
      <c r="ANJ202" s="23"/>
      <c r="ANK202" s="23"/>
      <c r="ANL202" s="23"/>
      <c r="ANM202" s="23"/>
      <c r="ANN202" s="23"/>
      <c r="ANO202" s="23"/>
      <c r="ANP202" s="24"/>
      <c r="ANQ202" s="23"/>
      <c r="ANR202" s="23"/>
      <c r="ANS202" s="23"/>
      <c r="ANT202" s="1"/>
      <c r="ANU202" s="1"/>
      <c r="ANV202" s="1"/>
      <c r="ANW202" s="25"/>
      <c r="ANZ202" s="23"/>
      <c r="AOA202" s="23"/>
      <c r="AOB202" s="23"/>
      <c r="AOC202" s="23"/>
      <c r="AOD202" s="23"/>
      <c r="AOE202" s="23"/>
      <c r="AOF202" s="24"/>
      <c r="AOG202" s="23"/>
      <c r="AOH202" s="23"/>
      <c r="AOI202" s="23"/>
      <c r="AOJ202" s="1"/>
      <c r="AOK202" s="1"/>
      <c r="AOL202" s="1"/>
      <c r="AOM202" s="25"/>
      <c r="AOP202" s="23"/>
      <c r="AOQ202" s="23"/>
      <c r="AOR202" s="23"/>
      <c r="AOS202" s="23"/>
      <c r="AOT202" s="23"/>
      <c r="AOU202" s="23"/>
      <c r="AOV202" s="24"/>
      <c r="AOW202" s="23"/>
      <c r="AOX202" s="23"/>
      <c r="AOY202" s="23"/>
      <c r="AOZ202" s="1"/>
      <c r="APA202" s="1"/>
      <c r="APB202" s="1"/>
      <c r="APC202" s="25"/>
      <c r="APF202" s="23"/>
      <c r="APG202" s="23"/>
      <c r="APH202" s="23"/>
      <c r="API202" s="23"/>
      <c r="APJ202" s="23"/>
      <c r="APK202" s="23"/>
      <c r="APL202" s="24"/>
      <c r="APM202" s="23"/>
      <c r="APN202" s="23"/>
      <c r="APO202" s="23"/>
      <c r="APP202" s="1"/>
      <c r="APQ202" s="1"/>
      <c r="APR202" s="1"/>
      <c r="APS202" s="25"/>
      <c r="APV202" s="23"/>
      <c r="APW202" s="23"/>
      <c r="APX202" s="23"/>
      <c r="APY202" s="23"/>
      <c r="APZ202" s="23"/>
      <c r="AQA202" s="23"/>
      <c r="AQB202" s="24"/>
      <c r="AQC202" s="23"/>
      <c r="AQD202" s="23"/>
      <c r="AQE202" s="23"/>
      <c r="AQF202" s="1"/>
      <c r="AQG202" s="1"/>
      <c r="AQH202" s="1"/>
      <c r="AQI202" s="25"/>
      <c r="AQL202" s="23"/>
      <c r="AQM202" s="23"/>
      <c r="AQN202" s="23"/>
      <c r="AQO202" s="23"/>
      <c r="AQP202" s="23"/>
      <c r="AQQ202" s="23"/>
      <c r="AQR202" s="24"/>
      <c r="AQS202" s="23"/>
      <c r="AQT202" s="23"/>
      <c r="AQU202" s="23"/>
      <c r="AQV202" s="1"/>
      <c r="AQW202" s="1"/>
      <c r="AQX202" s="1"/>
      <c r="AQY202" s="25"/>
      <c r="ARB202" s="23"/>
      <c r="ARC202" s="23"/>
      <c r="ARD202" s="23"/>
      <c r="ARE202" s="23"/>
      <c r="ARF202" s="23"/>
      <c r="ARG202" s="23"/>
      <c r="ARH202" s="24"/>
      <c r="ARI202" s="23"/>
      <c r="ARJ202" s="23"/>
      <c r="ARK202" s="23"/>
      <c r="ARL202" s="1"/>
      <c r="ARM202" s="1"/>
      <c r="ARN202" s="1"/>
      <c r="ARO202" s="25"/>
      <c r="ARR202" s="23"/>
      <c r="ARS202" s="23"/>
      <c r="ART202" s="23"/>
      <c r="ARU202" s="23"/>
      <c r="ARV202" s="23"/>
      <c r="ARW202" s="23"/>
      <c r="ARX202" s="24"/>
      <c r="ARY202" s="23"/>
      <c r="ARZ202" s="23"/>
      <c r="ASA202" s="23"/>
      <c r="ASB202" s="1"/>
      <c r="ASC202" s="1"/>
      <c r="ASD202" s="1"/>
      <c r="ASE202" s="25"/>
      <c r="ASH202" s="23"/>
      <c r="ASI202" s="23"/>
      <c r="ASJ202" s="23"/>
      <c r="ASK202" s="23"/>
      <c r="ASL202" s="23"/>
      <c r="ASM202" s="23"/>
      <c r="ASN202" s="24"/>
      <c r="ASO202" s="23"/>
      <c r="ASP202" s="23"/>
      <c r="ASQ202" s="23"/>
      <c r="ASR202" s="1"/>
      <c r="ASS202" s="1"/>
      <c r="AST202" s="1"/>
      <c r="ASU202" s="25"/>
      <c r="ASX202" s="23"/>
      <c r="ASY202" s="23"/>
      <c r="ASZ202" s="23"/>
      <c r="ATA202" s="23"/>
      <c r="ATB202" s="23"/>
      <c r="ATC202" s="23"/>
      <c r="ATD202" s="24"/>
      <c r="ATE202" s="23"/>
      <c r="ATF202" s="23"/>
      <c r="ATG202" s="23"/>
      <c r="ATH202" s="1"/>
      <c r="ATI202" s="1"/>
      <c r="ATJ202" s="1"/>
      <c r="ATK202" s="25"/>
      <c r="ATN202" s="23"/>
      <c r="ATO202" s="23"/>
      <c r="ATP202" s="23"/>
      <c r="ATQ202" s="23"/>
      <c r="ATR202" s="23"/>
      <c r="ATS202" s="23"/>
      <c r="ATT202" s="24"/>
      <c r="ATU202" s="23"/>
      <c r="ATV202" s="23"/>
      <c r="ATW202" s="23"/>
      <c r="ATX202" s="1"/>
      <c r="ATY202" s="1"/>
      <c r="ATZ202" s="1"/>
      <c r="AUA202" s="25"/>
      <c r="AUD202" s="23"/>
      <c r="AUE202" s="23"/>
      <c r="AUF202" s="23"/>
      <c r="AUG202" s="23"/>
      <c r="AUH202" s="23"/>
      <c r="AUI202" s="23"/>
      <c r="AUJ202" s="24"/>
      <c r="AUK202" s="23"/>
      <c r="AUL202" s="23"/>
      <c r="AUM202" s="23"/>
      <c r="AUN202" s="1"/>
      <c r="AUO202" s="1"/>
      <c r="AUP202" s="1"/>
      <c r="AUQ202" s="25"/>
      <c r="AUT202" s="23"/>
      <c r="AUU202" s="23"/>
      <c r="AUV202" s="23"/>
      <c r="AUW202" s="23"/>
      <c r="AUX202" s="23"/>
      <c r="AUY202" s="23"/>
      <c r="AUZ202" s="24"/>
      <c r="AVA202" s="23"/>
      <c r="AVB202" s="23"/>
      <c r="AVC202" s="23"/>
      <c r="AVD202" s="1"/>
      <c r="AVE202" s="1"/>
      <c r="AVF202" s="1"/>
      <c r="AVG202" s="25"/>
      <c r="AVJ202" s="23"/>
      <c r="AVK202" s="23"/>
      <c r="AVL202" s="23"/>
      <c r="AVM202" s="23"/>
      <c r="AVN202" s="23"/>
      <c r="AVO202" s="23"/>
      <c r="AVP202" s="24"/>
      <c r="AVQ202" s="23"/>
      <c r="AVR202" s="23"/>
      <c r="AVS202" s="23"/>
      <c r="AVT202" s="1"/>
      <c r="AVU202" s="1"/>
      <c r="AVV202" s="1"/>
      <c r="AVW202" s="25"/>
      <c r="AVZ202" s="23"/>
      <c r="AWA202" s="23"/>
      <c r="AWB202" s="23"/>
      <c r="AWC202" s="23"/>
      <c r="AWD202" s="23"/>
      <c r="AWE202" s="23"/>
      <c r="AWF202" s="24"/>
      <c r="AWG202" s="23"/>
      <c r="AWH202" s="23"/>
      <c r="AWI202" s="23"/>
      <c r="AWJ202" s="1"/>
      <c r="AWK202" s="1"/>
      <c r="AWL202" s="1"/>
      <c r="AWM202" s="25"/>
      <c r="AWP202" s="23"/>
      <c r="AWQ202" s="23"/>
      <c r="AWR202" s="23"/>
      <c r="AWS202" s="23"/>
      <c r="AWT202" s="23"/>
      <c r="AWU202" s="23"/>
      <c r="AWV202" s="24"/>
      <c r="AWW202" s="23"/>
      <c r="AWX202" s="23"/>
      <c r="AWY202" s="23"/>
      <c r="AWZ202" s="1"/>
      <c r="AXA202" s="1"/>
      <c r="AXB202" s="1"/>
      <c r="AXC202" s="25"/>
      <c r="AXF202" s="23"/>
      <c r="AXG202" s="23"/>
      <c r="AXH202" s="23"/>
      <c r="AXI202" s="23"/>
      <c r="AXJ202" s="23"/>
      <c r="AXK202" s="23"/>
      <c r="AXL202" s="24"/>
      <c r="AXM202" s="23"/>
      <c r="AXN202" s="23"/>
      <c r="AXO202" s="23"/>
      <c r="AXP202" s="1"/>
      <c r="AXQ202" s="1"/>
      <c r="AXR202" s="1"/>
      <c r="AXS202" s="25"/>
      <c r="AXV202" s="23"/>
      <c r="AXW202" s="23"/>
      <c r="AXX202" s="23"/>
      <c r="AXY202" s="23"/>
      <c r="AXZ202" s="23"/>
      <c r="AYA202" s="23"/>
      <c r="AYB202" s="24"/>
      <c r="AYC202" s="23"/>
      <c r="AYD202" s="23"/>
      <c r="AYE202" s="23"/>
      <c r="AYF202" s="1"/>
      <c r="AYG202" s="1"/>
      <c r="AYH202" s="1"/>
      <c r="AYI202" s="25"/>
      <c r="AYL202" s="23"/>
      <c r="AYM202" s="23"/>
      <c r="AYN202" s="23"/>
      <c r="AYO202" s="23"/>
      <c r="AYP202" s="23"/>
      <c r="AYQ202" s="23"/>
      <c r="AYR202" s="24"/>
      <c r="AYS202" s="23"/>
      <c r="AYT202" s="23"/>
      <c r="AYU202" s="23"/>
      <c r="AYV202" s="1"/>
      <c r="AYW202" s="1"/>
      <c r="AYX202" s="1"/>
      <c r="AYY202" s="25"/>
      <c r="AZB202" s="23"/>
      <c r="AZC202" s="23"/>
      <c r="AZD202" s="23"/>
      <c r="AZE202" s="23"/>
      <c r="AZF202" s="23"/>
      <c r="AZG202" s="23"/>
      <c r="AZH202" s="24"/>
      <c r="AZI202" s="23"/>
      <c r="AZJ202" s="23"/>
      <c r="AZK202" s="23"/>
      <c r="AZL202" s="1"/>
      <c r="AZM202" s="1"/>
      <c r="AZN202" s="1"/>
      <c r="AZO202" s="25"/>
      <c r="AZR202" s="23"/>
      <c r="AZS202" s="23"/>
      <c r="AZT202" s="23"/>
      <c r="AZU202" s="23"/>
      <c r="AZV202" s="23"/>
      <c r="AZW202" s="23"/>
      <c r="AZX202" s="24"/>
      <c r="AZY202" s="23"/>
      <c r="AZZ202" s="23"/>
      <c r="BAA202" s="23"/>
      <c r="BAB202" s="1"/>
      <c r="BAC202" s="1"/>
      <c r="BAD202" s="1"/>
      <c r="BAE202" s="25"/>
      <c r="BAH202" s="23"/>
      <c r="BAI202" s="23"/>
      <c r="BAJ202" s="23"/>
      <c r="BAK202" s="23"/>
      <c r="BAL202" s="23"/>
      <c r="BAM202" s="23"/>
      <c r="BAN202" s="24"/>
      <c r="BAO202" s="23"/>
      <c r="BAP202" s="23"/>
      <c r="BAQ202" s="23"/>
      <c r="BAR202" s="1"/>
      <c r="BAS202" s="1"/>
      <c r="BAT202" s="1"/>
      <c r="BAU202" s="25"/>
      <c r="BAX202" s="23"/>
      <c r="BAY202" s="23"/>
      <c r="BAZ202" s="23"/>
      <c r="BBA202" s="23"/>
      <c r="BBB202" s="23"/>
      <c r="BBC202" s="23"/>
      <c r="BBD202" s="24"/>
      <c r="BBE202" s="23"/>
      <c r="BBF202" s="23"/>
      <c r="BBG202" s="23"/>
      <c r="BBH202" s="1"/>
      <c r="BBI202" s="1"/>
      <c r="BBJ202" s="1"/>
      <c r="BBK202" s="25"/>
      <c r="BBN202" s="23"/>
      <c r="BBO202" s="23"/>
      <c r="BBP202" s="23"/>
      <c r="BBQ202" s="23"/>
      <c r="BBR202" s="23"/>
      <c r="BBS202" s="23"/>
      <c r="BBT202" s="24"/>
      <c r="BBU202" s="23"/>
      <c r="BBV202" s="23"/>
      <c r="BBW202" s="23"/>
      <c r="BBX202" s="1"/>
      <c r="BBY202" s="1"/>
      <c r="BBZ202" s="1"/>
      <c r="BCA202" s="25"/>
      <c r="BCD202" s="23"/>
      <c r="BCE202" s="23"/>
      <c r="BCF202" s="23"/>
      <c r="BCG202" s="23"/>
      <c r="BCH202" s="23"/>
      <c r="BCI202" s="23"/>
      <c r="BCJ202" s="24"/>
      <c r="BCK202" s="23"/>
      <c r="BCL202" s="23"/>
      <c r="BCM202" s="23"/>
      <c r="BCN202" s="1"/>
      <c r="BCO202" s="1"/>
      <c r="BCP202" s="1"/>
      <c r="BCQ202" s="25"/>
      <c r="BCT202" s="23"/>
      <c r="BCU202" s="23"/>
      <c r="BCV202" s="23"/>
      <c r="BCW202" s="23"/>
      <c r="BCX202" s="23"/>
      <c r="BCY202" s="23"/>
      <c r="BCZ202" s="24"/>
      <c r="BDA202" s="23"/>
      <c r="BDB202" s="23"/>
      <c r="BDC202" s="23"/>
      <c r="BDD202" s="1"/>
      <c r="BDE202" s="1"/>
      <c r="BDF202" s="1"/>
      <c r="BDG202" s="25"/>
      <c r="BDJ202" s="23"/>
      <c r="BDK202" s="23"/>
      <c r="BDL202" s="23"/>
      <c r="BDM202" s="23"/>
      <c r="BDN202" s="23"/>
      <c r="BDO202" s="23"/>
      <c r="BDP202" s="24"/>
      <c r="BDQ202" s="23"/>
      <c r="BDR202" s="23"/>
      <c r="BDS202" s="23"/>
      <c r="BDT202" s="1"/>
      <c r="BDU202" s="1"/>
      <c r="BDV202" s="1"/>
      <c r="BDW202" s="25"/>
      <c r="BDZ202" s="23"/>
      <c r="BEA202" s="23"/>
      <c r="BEB202" s="23"/>
      <c r="BEC202" s="23"/>
      <c r="BED202" s="23"/>
      <c r="BEE202" s="23"/>
      <c r="BEF202" s="24"/>
      <c r="BEG202" s="23"/>
      <c r="BEH202" s="23"/>
      <c r="BEI202" s="23"/>
      <c r="BEJ202" s="1"/>
      <c r="BEK202" s="1"/>
      <c r="BEL202" s="1"/>
      <c r="BEM202" s="25"/>
      <c r="BEP202" s="23"/>
      <c r="BEQ202" s="23"/>
      <c r="BER202" s="23"/>
      <c r="BES202" s="23"/>
      <c r="BET202" s="23"/>
      <c r="BEU202" s="23"/>
      <c r="BEV202" s="24"/>
      <c r="BEW202" s="23"/>
      <c r="BEX202" s="23"/>
      <c r="BEY202" s="23"/>
      <c r="BEZ202" s="1"/>
      <c r="BFA202" s="1"/>
      <c r="BFB202" s="1"/>
      <c r="BFC202" s="25"/>
      <c r="BFF202" s="23"/>
      <c r="BFG202" s="23"/>
      <c r="BFH202" s="23"/>
      <c r="BFI202" s="23"/>
      <c r="BFJ202" s="23"/>
      <c r="BFK202" s="23"/>
      <c r="BFL202" s="24"/>
      <c r="BFM202" s="23"/>
      <c r="BFN202" s="23"/>
      <c r="BFO202" s="23"/>
      <c r="BFP202" s="1"/>
      <c r="BFQ202" s="1"/>
      <c r="BFR202" s="1"/>
      <c r="BFS202" s="25"/>
      <c r="BFV202" s="23"/>
      <c r="BFW202" s="23"/>
      <c r="BFX202" s="23"/>
      <c r="BFY202" s="23"/>
      <c r="BFZ202" s="23"/>
      <c r="BGA202" s="23"/>
      <c r="BGB202" s="24"/>
      <c r="BGC202" s="23"/>
      <c r="BGD202" s="23"/>
      <c r="BGE202" s="23"/>
      <c r="BGF202" s="1"/>
      <c r="BGG202" s="1"/>
      <c r="BGH202" s="1"/>
      <c r="BGI202" s="25"/>
      <c r="BGL202" s="23"/>
      <c r="BGM202" s="23"/>
      <c r="BGN202" s="23"/>
      <c r="BGO202" s="23"/>
      <c r="BGP202" s="23"/>
      <c r="BGQ202" s="23"/>
      <c r="BGR202" s="24"/>
      <c r="BGS202" s="23"/>
      <c r="BGT202" s="23"/>
      <c r="BGU202" s="23"/>
      <c r="BGV202" s="1"/>
      <c r="BGW202" s="1"/>
      <c r="BGX202" s="1"/>
      <c r="BGY202" s="25"/>
      <c r="BHB202" s="23"/>
      <c r="BHC202" s="23"/>
      <c r="BHD202" s="23"/>
      <c r="BHE202" s="23"/>
      <c r="BHF202" s="23"/>
      <c r="BHG202" s="23"/>
      <c r="BHH202" s="24"/>
      <c r="BHI202" s="23"/>
      <c r="BHJ202" s="23"/>
      <c r="BHK202" s="23"/>
      <c r="BHL202" s="1"/>
      <c r="BHM202" s="1"/>
      <c r="BHN202" s="1"/>
      <c r="BHO202" s="25"/>
      <c r="BHR202" s="23"/>
      <c r="BHS202" s="23"/>
      <c r="BHT202" s="23"/>
      <c r="BHU202" s="23"/>
      <c r="BHV202" s="23"/>
      <c r="BHW202" s="23"/>
      <c r="BHX202" s="24"/>
      <c r="BHY202" s="23"/>
      <c r="BHZ202" s="23"/>
      <c r="BIA202" s="23"/>
      <c r="BIB202" s="1"/>
      <c r="BIC202" s="1"/>
      <c r="BID202" s="1"/>
      <c r="BIE202" s="25"/>
      <c r="BIH202" s="23"/>
      <c r="BII202" s="23"/>
      <c r="BIJ202" s="23"/>
      <c r="BIK202" s="23"/>
      <c r="BIL202" s="23"/>
      <c r="BIM202" s="23"/>
      <c r="BIN202" s="24"/>
      <c r="BIO202" s="23"/>
      <c r="BIP202" s="23"/>
      <c r="BIQ202" s="23"/>
      <c r="BIR202" s="1"/>
      <c r="BIS202" s="1"/>
      <c r="BIT202" s="1"/>
      <c r="BIU202" s="25"/>
      <c r="BIX202" s="23"/>
      <c r="BIY202" s="23"/>
      <c r="BIZ202" s="23"/>
      <c r="BJA202" s="23"/>
      <c r="BJB202" s="23"/>
      <c r="BJC202" s="23"/>
      <c r="BJD202" s="24"/>
      <c r="BJE202" s="23"/>
      <c r="BJF202" s="23"/>
      <c r="BJG202" s="23"/>
      <c r="BJH202" s="1"/>
      <c r="BJI202" s="1"/>
      <c r="BJJ202" s="1"/>
      <c r="BJK202" s="25"/>
      <c r="BJN202" s="23"/>
      <c r="BJO202" s="23"/>
      <c r="BJP202" s="23"/>
      <c r="BJQ202" s="23"/>
      <c r="BJR202" s="23"/>
      <c r="BJS202" s="23"/>
      <c r="BJT202" s="24"/>
      <c r="BJU202" s="23"/>
      <c r="BJV202" s="23"/>
      <c r="BJW202" s="23"/>
      <c r="BJX202" s="1"/>
      <c r="BJY202" s="1"/>
      <c r="BJZ202" s="1"/>
      <c r="BKA202" s="25"/>
      <c r="BKD202" s="23"/>
      <c r="BKE202" s="23"/>
      <c r="BKF202" s="23"/>
      <c r="BKG202" s="23"/>
      <c r="BKH202" s="23"/>
      <c r="BKI202" s="23"/>
      <c r="BKJ202" s="24"/>
      <c r="BKK202" s="23"/>
      <c r="BKL202" s="23"/>
      <c r="BKM202" s="23"/>
      <c r="BKN202" s="1"/>
      <c r="BKO202" s="1"/>
      <c r="BKP202" s="1"/>
      <c r="BKQ202" s="25"/>
      <c r="BKT202" s="23"/>
      <c r="BKU202" s="23"/>
      <c r="BKV202" s="23"/>
      <c r="BKW202" s="23"/>
      <c r="BKX202" s="23"/>
      <c r="BKY202" s="23"/>
      <c r="BKZ202" s="24"/>
      <c r="BLA202" s="23"/>
      <c r="BLB202" s="23"/>
      <c r="BLC202" s="23"/>
      <c r="BLD202" s="1"/>
      <c r="BLE202" s="1"/>
      <c r="BLF202" s="1"/>
      <c r="BLG202" s="25"/>
      <c r="BLJ202" s="23"/>
      <c r="BLK202" s="23"/>
      <c r="BLL202" s="23"/>
      <c r="BLM202" s="23"/>
      <c r="BLN202" s="23"/>
      <c r="BLO202" s="23"/>
      <c r="BLP202" s="24"/>
      <c r="BLQ202" s="23"/>
      <c r="BLR202" s="23"/>
      <c r="BLS202" s="23"/>
      <c r="BLT202" s="1"/>
      <c r="BLU202" s="1"/>
      <c r="BLV202" s="1"/>
      <c r="BLW202" s="25"/>
      <c r="BLZ202" s="23"/>
      <c r="BMA202" s="23"/>
      <c r="BMB202" s="23"/>
      <c r="BMC202" s="23"/>
      <c r="BMD202" s="23"/>
      <c r="BME202" s="23"/>
      <c r="BMF202" s="24"/>
      <c r="BMG202" s="23"/>
      <c r="BMH202" s="23"/>
      <c r="BMI202" s="23"/>
      <c r="BMJ202" s="1"/>
      <c r="BMK202" s="1"/>
      <c r="BML202" s="1"/>
      <c r="BMM202" s="25"/>
      <c r="BMP202" s="23"/>
      <c r="BMQ202" s="23"/>
      <c r="BMR202" s="23"/>
      <c r="BMS202" s="23"/>
      <c r="BMT202" s="23"/>
      <c r="BMU202" s="23"/>
      <c r="BMV202" s="24"/>
      <c r="BMW202" s="23"/>
      <c r="BMX202" s="23"/>
      <c r="BMY202" s="23"/>
      <c r="BMZ202" s="1"/>
      <c r="BNA202" s="1"/>
      <c r="BNB202" s="1"/>
      <c r="BNC202" s="25"/>
      <c r="BNF202" s="23"/>
      <c r="BNG202" s="23"/>
      <c r="BNH202" s="23"/>
      <c r="BNI202" s="23"/>
      <c r="BNJ202" s="23"/>
      <c r="BNK202" s="23"/>
      <c r="BNL202" s="24"/>
      <c r="BNM202" s="23"/>
      <c r="BNN202" s="23"/>
      <c r="BNO202" s="23"/>
      <c r="BNP202" s="1"/>
      <c r="BNQ202" s="1"/>
      <c r="BNR202" s="1"/>
      <c r="BNS202" s="25"/>
      <c r="BNV202" s="23"/>
      <c r="BNW202" s="23"/>
      <c r="BNX202" s="23"/>
      <c r="BNY202" s="23"/>
      <c r="BNZ202" s="23"/>
      <c r="BOA202" s="23"/>
      <c r="BOB202" s="24"/>
      <c r="BOC202" s="23"/>
      <c r="BOD202" s="23"/>
      <c r="BOE202" s="23"/>
      <c r="BOF202" s="1"/>
      <c r="BOG202" s="1"/>
      <c r="BOH202" s="1"/>
      <c r="BOI202" s="25"/>
      <c r="BOL202" s="23"/>
      <c r="BOM202" s="23"/>
      <c r="BON202" s="23"/>
      <c r="BOO202" s="23"/>
      <c r="BOP202" s="23"/>
      <c r="BOQ202" s="23"/>
      <c r="BOR202" s="24"/>
      <c r="BOS202" s="23"/>
      <c r="BOT202" s="23"/>
      <c r="BOU202" s="23"/>
      <c r="BOV202" s="1"/>
      <c r="BOW202" s="1"/>
      <c r="BOX202" s="1"/>
      <c r="BOY202" s="25"/>
      <c r="BPB202" s="23"/>
      <c r="BPC202" s="23"/>
      <c r="BPD202" s="23"/>
      <c r="BPE202" s="23"/>
      <c r="BPF202" s="23"/>
      <c r="BPG202" s="23"/>
      <c r="BPH202" s="24"/>
      <c r="BPI202" s="23"/>
      <c r="BPJ202" s="23"/>
      <c r="BPK202" s="23"/>
      <c r="BPL202" s="1"/>
      <c r="BPM202" s="1"/>
      <c r="BPN202" s="1"/>
      <c r="BPO202" s="25"/>
      <c r="BPR202" s="23"/>
      <c r="BPS202" s="23"/>
      <c r="BPT202" s="23"/>
      <c r="BPU202" s="23"/>
      <c r="BPV202" s="23"/>
      <c r="BPW202" s="23"/>
      <c r="BPX202" s="24"/>
      <c r="BPY202" s="23"/>
      <c r="BPZ202" s="23"/>
      <c r="BQA202" s="23"/>
      <c r="BQB202" s="1"/>
      <c r="BQC202" s="1"/>
      <c r="BQD202" s="1"/>
      <c r="BQE202" s="25"/>
      <c r="BQH202" s="23"/>
      <c r="BQI202" s="23"/>
      <c r="BQJ202" s="23"/>
      <c r="BQK202" s="23"/>
      <c r="BQL202" s="23"/>
      <c r="BQM202" s="23"/>
      <c r="BQN202" s="24"/>
      <c r="BQO202" s="23"/>
      <c r="BQP202" s="23"/>
      <c r="BQQ202" s="23"/>
      <c r="BQR202" s="1"/>
      <c r="BQS202" s="1"/>
      <c r="BQT202" s="1"/>
      <c r="BQU202" s="25"/>
      <c r="BQX202" s="23"/>
      <c r="BQY202" s="23"/>
      <c r="BQZ202" s="23"/>
      <c r="BRA202" s="23"/>
      <c r="BRB202" s="23"/>
      <c r="BRC202" s="23"/>
      <c r="BRD202" s="24"/>
      <c r="BRE202" s="23"/>
      <c r="BRF202" s="23"/>
      <c r="BRG202" s="23"/>
      <c r="BRH202" s="1"/>
      <c r="BRI202" s="1"/>
      <c r="BRJ202" s="1"/>
      <c r="BRK202" s="25"/>
      <c r="BRN202" s="23"/>
      <c r="BRO202" s="23"/>
      <c r="BRP202" s="23"/>
      <c r="BRQ202" s="23"/>
      <c r="BRR202" s="23"/>
      <c r="BRS202" s="23"/>
      <c r="BRT202" s="24"/>
      <c r="BRU202" s="23"/>
      <c r="BRV202" s="23"/>
      <c r="BRW202" s="23"/>
      <c r="BRX202" s="1"/>
      <c r="BRY202" s="1"/>
      <c r="BRZ202" s="1"/>
      <c r="BSA202" s="25"/>
      <c r="BSD202" s="23"/>
      <c r="BSE202" s="23"/>
      <c r="BSF202" s="23"/>
      <c r="BSG202" s="23"/>
      <c r="BSH202" s="23"/>
      <c r="BSI202" s="23"/>
      <c r="BSJ202" s="24"/>
      <c r="BSK202" s="23"/>
      <c r="BSL202" s="23"/>
      <c r="BSM202" s="23"/>
      <c r="BSN202" s="1"/>
      <c r="BSO202" s="1"/>
      <c r="BSP202" s="1"/>
      <c r="BSQ202" s="25"/>
      <c r="BST202" s="23"/>
      <c r="BSU202" s="23"/>
      <c r="BSV202" s="23"/>
      <c r="BSW202" s="23"/>
      <c r="BSX202" s="23"/>
      <c r="BSY202" s="23"/>
      <c r="BSZ202" s="24"/>
      <c r="BTA202" s="23"/>
      <c r="BTB202" s="23"/>
      <c r="BTC202" s="23"/>
      <c r="BTD202" s="1"/>
      <c r="BTE202" s="1"/>
      <c r="BTF202" s="1"/>
      <c r="BTG202" s="25"/>
      <c r="BTJ202" s="23"/>
      <c r="BTK202" s="23"/>
      <c r="BTL202" s="23"/>
      <c r="BTM202" s="23"/>
      <c r="BTN202" s="23"/>
      <c r="BTO202" s="23"/>
      <c r="BTP202" s="24"/>
      <c r="BTQ202" s="23"/>
      <c r="BTR202" s="23"/>
      <c r="BTS202" s="23"/>
      <c r="BTT202" s="1"/>
      <c r="BTU202" s="1"/>
      <c r="BTV202" s="1"/>
      <c r="BTW202" s="25"/>
      <c r="BTZ202" s="23"/>
      <c r="BUA202" s="23"/>
      <c r="BUB202" s="23"/>
      <c r="BUC202" s="23"/>
      <c r="BUD202" s="23"/>
      <c r="BUE202" s="23"/>
      <c r="BUF202" s="24"/>
      <c r="BUG202" s="23"/>
      <c r="BUH202" s="23"/>
      <c r="BUI202" s="23"/>
      <c r="BUJ202" s="1"/>
      <c r="BUK202" s="1"/>
      <c r="BUL202" s="1"/>
      <c r="BUM202" s="25"/>
      <c r="BUP202" s="23"/>
      <c r="BUQ202" s="23"/>
      <c r="BUR202" s="23"/>
      <c r="BUS202" s="23"/>
      <c r="BUT202" s="23"/>
      <c r="BUU202" s="23"/>
      <c r="BUV202" s="24"/>
      <c r="BUW202" s="23"/>
      <c r="BUX202" s="23"/>
      <c r="BUY202" s="23"/>
      <c r="BUZ202" s="1"/>
      <c r="BVA202" s="1"/>
      <c r="BVB202" s="1"/>
      <c r="BVC202" s="25"/>
      <c r="BVF202" s="23"/>
      <c r="BVG202" s="23"/>
      <c r="BVH202" s="23"/>
      <c r="BVI202" s="23"/>
      <c r="BVJ202" s="23"/>
      <c r="BVK202" s="23"/>
      <c r="BVL202" s="24"/>
      <c r="BVM202" s="23"/>
      <c r="BVN202" s="23"/>
      <c r="BVO202" s="23"/>
      <c r="BVP202" s="1"/>
      <c r="BVQ202" s="1"/>
      <c r="BVR202" s="1"/>
      <c r="BVS202" s="25"/>
      <c r="BVV202" s="23"/>
      <c r="BVW202" s="23"/>
      <c r="BVX202" s="23"/>
      <c r="BVY202" s="23"/>
      <c r="BVZ202" s="23"/>
      <c r="BWA202" s="23"/>
      <c r="BWB202" s="24"/>
      <c r="BWC202" s="23"/>
      <c r="BWD202" s="23"/>
      <c r="BWE202" s="23"/>
      <c r="BWF202" s="1"/>
      <c r="BWG202" s="1"/>
      <c r="BWH202" s="1"/>
      <c r="BWI202" s="25"/>
      <c r="BWL202" s="23"/>
      <c r="BWM202" s="23"/>
      <c r="BWN202" s="23"/>
      <c r="BWO202" s="23"/>
      <c r="BWP202" s="23"/>
      <c r="BWQ202" s="23"/>
      <c r="BWR202" s="24"/>
      <c r="BWS202" s="23"/>
      <c r="BWT202" s="23"/>
      <c r="BWU202" s="23"/>
      <c r="BWV202" s="1"/>
      <c r="BWW202" s="1"/>
      <c r="BWX202" s="1"/>
      <c r="BWY202" s="25"/>
      <c r="BXB202" s="23"/>
      <c r="BXC202" s="23"/>
      <c r="BXD202" s="23"/>
      <c r="BXE202" s="23"/>
      <c r="BXF202" s="23"/>
      <c r="BXG202" s="23"/>
      <c r="BXH202" s="24"/>
      <c r="BXI202" s="23"/>
      <c r="BXJ202" s="23"/>
      <c r="BXK202" s="23"/>
      <c r="BXL202" s="1"/>
      <c r="BXM202" s="1"/>
      <c r="BXN202" s="1"/>
      <c r="BXO202" s="25"/>
      <c r="BXR202" s="23"/>
      <c r="BXS202" s="23"/>
      <c r="BXT202" s="23"/>
      <c r="BXU202" s="23"/>
      <c r="BXV202" s="23"/>
      <c r="BXW202" s="23"/>
      <c r="BXX202" s="24"/>
      <c r="BXY202" s="23"/>
      <c r="BXZ202" s="23"/>
      <c r="BYA202" s="23"/>
      <c r="BYB202" s="1"/>
      <c r="BYC202" s="1"/>
      <c r="BYD202" s="1"/>
      <c r="BYE202" s="25"/>
      <c r="BYH202" s="23"/>
      <c r="BYI202" s="23"/>
      <c r="BYJ202" s="23"/>
      <c r="BYK202" s="23"/>
      <c r="BYL202" s="23"/>
      <c r="BYM202" s="23"/>
      <c r="BYN202" s="24"/>
      <c r="BYO202" s="23"/>
      <c r="BYP202" s="23"/>
      <c r="BYQ202" s="23"/>
      <c r="BYR202" s="1"/>
      <c r="BYS202" s="1"/>
      <c r="BYT202" s="1"/>
      <c r="BYU202" s="25"/>
      <c r="BYX202" s="23"/>
      <c r="BYY202" s="23"/>
      <c r="BYZ202" s="23"/>
      <c r="BZA202" s="23"/>
      <c r="BZB202" s="23"/>
      <c r="BZC202" s="23"/>
      <c r="BZD202" s="24"/>
      <c r="BZE202" s="23"/>
      <c r="BZF202" s="23"/>
      <c r="BZG202" s="23"/>
      <c r="BZH202" s="1"/>
      <c r="BZI202" s="1"/>
      <c r="BZJ202" s="1"/>
      <c r="BZK202" s="25"/>
      <c r="BZN202" s="23"/>
      <c r="BZO202" s="23"/>
      <c r="BZP202" s="23"/>
      <c r="BZQ202" s="23"/>
      <c r="BZR202" s="23"/>
      <c r="BZS202" s="23"/>
      <c r="BZT202" s="24"/>
      <c r="BZU202" s="23"/>
      <c r="BZV202" s="23"/>
      <c r="BZW202" s="23"/>
      <c r="BZX202" s="1"/>
      <c r="BZY202" s="1"/>
      <c r="BZZ202" s="1"/>
      <c r="CAA202" s="25"/>
      <c r="CAD202" s="23"/>
      <c r="CAE202" s="23"/>
      <c r="CAF202" s="23"/>
      <c r="CAG202" s="23"/>
      <c r="CAH202" s="23"/>
      <c r="CAI202" s="23"/>
      <c r="CAJ202" s="24"/>
      <c r="CAK202" s="23"/>
      <c r="CAL202" s="23"/>
      <c r="CAM202" s="23"/>
      <c r="CAN202" s="1"/>
      <c r="CAO202" s="1"/>
      <c r="CAP202" s="1"/>
      <c r="CAQ202" s="25"/>
      <c r="CAT202" s="23"/>
      <c r="CAU202" s="23"/>
      <c r="CAV202" s="23"/>
      <c r="CAW202" s="23"/>
      <c r="CAX202" s="23"/>
      <c r="CAY202" s="23"/>
      <c r="CAZ202" s="24"/>
      <c r="CBA202" s="23"/>
      <c r="CBB202" s="23"/>
      <c r="CBC202" s="23"/>
      <c r="CBD202" s="1"/>
      <c r="CBE202" s="1"/>
      <c r="CBF202" s="1"/>
      <c r="CBG202" s="25"/>
      <c r="CBJ202" s="23"/>
      <c r="CBK202" s="23"/>
      <c r="CBL202" s="23"/>
      <c r="CBM202" s="23"/>
      <c r="CBN202" s="23"/>
      <c r="CBO202" s="23"/>
      <c r="CBP202" s="24"/>
      <c r="CBQ202" s="23"/>
      <c r="CBR202" s="23"/>
      <c r="CBS202" s="23"/>
      <c r="CBT202" s="1"/>
      <c r="CBU202" s="1"/>
      <c r="CBV202" s="1"/>
      <c r="CBW202" s="25"/>
      <c r="CBZ202" s="23"/>
      <c r="CCA202" s="23"/>
      <c r="CCB202" s="23"/>
      <c r="CCC202" s="23"/>
      <c r="CCD202" s="23"/>
      <c r="CCE202" s="23"/>
      <c r="CCF202" s="24"/>
      <c r="CCG202" s="23"/>
      <c r="CCH202" s="23"/>
      <c r="CCI202" s="23"/>
      <c r="CCJ202" s="1"/>
      <c r="CCK202" s="1"/>
      <c r="CCL202" s="1"/>
      <c r="CCM202" s="25"/>
      <c r="CCP202" s="23"/>
      <c r="CCQ202" s="23"/>
      <c r="CCR202" s="23"/>
      <c r="CCS202" s="23"/>
      <c r="CCT202" s="23"/>
      <c r="CCU202" s="23"/>
      <c r="CCV202" s="24"/>
      <c r="CCW202" s="23"/>
      <c r="CCX202" s="23"/>
      <c r="CCY202" s="23"/>
      <c r="CCZ202" s="1"/>
      <c r="CDA202" s="1"/>
      <c r="CDB202" s="1"/>
      <c r="CDC202" s="25"/>
      <c r="CDF202" s="23"/>
      <c r="CDG202" s="23"/>
      <c r="CDH202" s="23"/>
      <c r="CDI202" s="23"/>
      <c r="CDJ202" s="23"/>
      <c r="CDK202" s="23"/>
      <c r="CDL202" s="24"/>
      <c r="CDM202" s="23"/>
      <c r="CDN202" s="23"/>
      <c r="CDO202" s="23"/>
      <c r="CDP202" s="1"/>
      <c r="CDQ202" s="1"/>
      <c r="CDR202" s="1"/>
      <c r="CDS202" s="25"/>
      <c r="CDV202" s="23"/>
      <c r="CDW202" s="23"/>
      <c r="CDX202" s="23"/>
      <c r="CDY202" s="23"/>
      <c r="CDZ202" s="23"/>
      <c r="CEA202" s="23"/>
      <c r="CEB202" s="24"/>
      <c r="CEC202" s="23"/>
      <c r="CED202" s="23"/>
      <c r="CEE202" s="23"/>
      <c r="CEF202" s="1"/>
      <c r="CEG202" s="1"/>
      <c r="CEH202" s="1"/>
      <c r="CEI202" s="25"/>
      <c r="CEL202" s="23"/>
      <c r="CEM202" s="23"/>
      <c r="CEN202" s="23"/>
      <c r="CEO202" s="23"/>
      <c r="CEP202" s="23"/>
      <c r="CEQ202" s="23"/>
      <c r="CER202" s="24"/>
      <c r="CES202" s="23"/>
      <c r="CET202" s="23"/>
      <c r="CEU202" s="23"/>
      <c r="CEV202" s="1"/>
      <c r="CEW202" s="1"/>
      <c r="CEX202" s="1"/>
      <c r="CEY202" s="25"/>
      <c r="CFB202" s="23"/>
      <c r="CFC202" s="23"/>
      <c r="CFD202" s="23"/>
      <c r="CFE202" s="23"/>
      <c r="CFF202" s="23"/>
      <c r="CFG202" s="23"/>
      <c r="CFH202" s="24"/>
      <c r="CFI202" s="23"/>
      <c r="CFJ202" s="23"/>
      <c r="CFK202" s="23"/>
      <c r="CFL202" s="1"/>
      <c r="CFM202" s="1"/>
      <c r="CFN202" s="1"/>
      <c r="CFO202" s="25"/>
      <c r="CFR202" s="23"/>
      <c r="CFS202" s="23"/>
      <c r="CFT202" s="23"/>
      <c r="CFU202" s="23"/>
      <c r="CFV202" s="23"/>
      <c r="CFW202" s="23"/>
      <c r="CFX202" s="24"/>
      <c r="CFY202" s="23"/>
      <c r="CFZ202" s="23"/>
      <c r="CGA202" s="23"/>
      <c r="CGB202" s="1"/>
      <c r="CGC202" s="1"/>
      <c r="CGD202" s="1"/>
      <c r="CGE202" s="25"/>
      <c r="CGH202" s="23"/>
      <c r="CGI202" s="23"/>
      <c r="CGJ202" s="23"/>
      <c r="CGK202" s="23"/>
      <c r="CGL202" s="23"/>
      <c r="CGM202" s="23"/>
      <c r="CGN202" s="24"/>
      <c r="CGO202" s="23"/>
      <c r="CGP202" s="23"/>
      <c r="CGQ202" s="23"/>
      <c r="CGR202" s="1"/>
      <c r="CGS202" s="1"/>
      <c r="CGT202" s="1"/>
      <c r="CGU202" s="25"/>
      <c r="CGX202" s="23"/>
      <c r="CGY202" s="23"/>
      <c r="CGZ202" s="23"/>
      <c r="CHA202" s="23"/>
      <c r="CHB202" s="23"/>
      <c r="CHC202" s="23"/>
      <c r="CHD202" s="24"/>
      <c r="CHE202" s="23"/>
      <c r="CHF202" s="23"/>
      <c r="CHG202" s="23"/>
      <c r="CHH202" s="1"/>
      <c r="CHI202" s="1"/>
      <c r="CHJ202" s="1"/>
      <c r="CHK202" s="25"/>
      <c r="CHN202" s="23"/>
      <c r="CHO202" s="23"/>
      <c r="CHP202" s="23"/>
      <c r="CHQ202" s="23"/>
      <c r="CHR202" s="23"/>
      <c r="CHS202" s="23"/>
      <c r="CHT202" s="24"/>
      <c r="CHU202" s="23"/>
      <c r="CHV202" s="23"/>
      <c r="CHW202" s="23"/>
      <c r="CHX202" s="1"/>
      <c r="CHY202" s="1"/>
      <c r="CHZ202" s="1"/>
      <c r="CIA202" s="25"/>
      <c r="CID202" s="23"/>
      <c r="CIE202" s="23"/>
      <c r="CIF202" s="23"/>
      <c r="CIG202" s="23"/>
      <c r="CIH202" s="23"/>
      <c r="CII202" s="23"/>
      <c r="CIJ202" s="24"/>
      <c r="CIK202" s="23"/>
      <c r="CIL202" s="23"/>
      <c r="CIM202" s="23"/>
      <c r="CIN202" s="1"/>
      <c r="CIO202" s="1"/>
      <c r="CIP202" s="1"/>
      <c r="CIQ202" s="25"/>
      <c r="CIT202" s="23"/>
      <c r="CIU202" s="23"/>
      <c r="CIV202" s="23"/>
      <c r="CIW202" s="23"/>
      <c r="CIX202" s="23"/>
      <c r="CIY202" s="23"/>
      <c r="CIZ202" s="24"/>
      <c r="CJA202" s="23"/>
      <c r="CJB202" s="23"/>
      <c r="CJC202" s="23"/>
      <c r="CJD202" s="1"/>
      <c r="CJE202" s="1"/>
      <c r="CJF202" s="1"/>
      <c r="CJG202" s="25"/>
      <c r="CJJ202" s="23"/>
      <c r="CJK202" s="23"/>
      <c r="CJL202" s="23"/>
      <c r="CJM202" s="23"/>
      <c r="CJN202" s="23"/>
      <c r="CJO202" s="23"/>
      <c r="CJP202" s="24"/>
      <c r="CJQ202" s="23"/>
      <c r="CJR202" s="23"/>
      <c r="CJS202" s="23"/>
      <c r="CJT202" s="1"/>
      <c r="CJU202" s="1"/>
      <c r="CJV202" s="1"/>
      <c r="CJW202" s="25"/>
      <c r="CJZ202" s="23"/>
      <c r="CKA202" s="23"/>
      <c r="CKB202" s="23"/>
      <c r="CKC202" s="23"/>
      <c r="CKD202" s="23"/>
      <c r="CKE202" s="23"/>
      <c r="CKF202" s="24"/>
      <c r="CKG202" s="23"/>
      <c r="CKH202" s="23"/>
      <c r="CKI202" s="23"/>
      <c r="CKJ202" s="1"/>
      <c r="CKK202" s="1"/>
      <c r="CKL202" s="1"/>
      <c r="CKM202" s="25"/>
      <c r="CKP202" s="23"/>
      <c r="CKQ202" s="23"/>
      <c r="CKR202" s="23"/>
      <c r="CKS202" s="23"/>
      <c r="CKT202" s="23"/>
      <c r="CKU202" s="23"/>
      <c r="CKV202" s="24"/>
      <c r="CKW202" s="23"/>
      <c r="CKX202" s="23"/>
      <c r="CKY202" s="23"/>
      <c r="CKZ202" s="1"/>
      <c r="CLA202" s="1"/>
      <c r="CLB202" s="1"/>
      <c r="CLC202" s="25"/>
      <c r="CLF202" s="23"/>
      <c r="CLG202" s="23"/>
      <c r="CLH202" s="23"/>
      <c r="CLI202" s="23"/>
      <c r="CLJ202" s="23"/>
      <c r="CLK202" s="23"/>
      <c r="CLL202" s="24"/>
      <c r="CLM202" s="23"/>
      <c r="CLN202" s="23"/>
      <c r="CLO202" s="23"/>
      <c r="CLP202" s="1"/>
      <c r="CLQ202" s="1"/>
      <c r="CLR202" s="1"/>
      <c r="CLS202" s="25"/>
      <c r="CLV202" s="23"/>
      <c r="CLW202" s="23"/>
      <c r="CLX202" s="23"/>
      <c r="CLY202" s="23"/>
      <c r="CLZ202" s="23"/>
      <c r="CMA202" s="23"/>
      <c r="CMB202" s="24"/>
      <c r="CMC202" s="23"/>
      <c r="CMD202" s="23"/>
      <c r="CME202" s="23"/>
      <c r="CMF202" s="1"/>
      <c r="CMG202" s="1"/>
      <c r="CMH202" s="1"/>
      <c r="CMI202" s="25"/>
      <c r="CML202" s="23"/>
      <c r="CMM202" s="23"/>
      <c r="CMN202" s="23"/>
      <c r="CMO202" s="23"/>
      <c r="CMP202" s="23"/>
      <c r="CMQ202" s="23"/>
      <c r="CMR202" s="24"/>
      <c r="CMS202" s="23"/>
      <c r="CMT202" s="23"/>
      <c r="CMU202" s="23"/>
      <c r="CMV202" s="1"/>
      <c r="CMW202" s="1"/>
      <c r="CMX202" s="1"/>
      <c r="CMY202" s="25"/>
      <c r="CNB202" s="23"/>
      <c r="CNC202" s="23"/>
      <c r="CND202" s="23"/>
      <c r="CNE202" s="23"/>
      <c r="CNF202" s="23"/>
      <c r="CNG202" s="23"/>
      <c r="CNH202" s="24"/>
      <c r="CNI202" s="23"/>
      <c r="CNJ202" s="23"/>
      <c r="CNK202" s="23"/>
      <c r="CNL202" s="1"/>
      <c r="CNM202" s="1"/>
      <c r="CNN202" s="1"/>
      <c r="CNO202" s="25"/>
      <c r="CNR202" s="23"/>
      <c r="CNS202" s="23"/>
      <c r="CNT202" s="23"/>
      <c r="CNU202" s="23"/>
      <c r="CNV202" s="23"/>
      <c r="CNW202" s="23"/>
      <c r="CNX202" s="24"/>
      <c r="CNY202" s="23"/>
      <c r="CNZ202" s="23"/>
      <c r="COA202" s="23"/>
      <c r="COB202" s="1"/>
      <c r="COC202" s="1"/>
      <c r="COD202" s="1"/>
      <c r="COE202" s="25"/>
      <c r="COH202" s="23"/>
      <c r="COI202" s="23"/>
      <c r="COJ202" s="23"/>
      <c r="COK202" s="23"/>
      <c r="COL202" s="23"/>
      <c r="COM202" s="23"/>
      <c r="CON202" s="24"/>
      <c r="COO202" s="23"/>
      <c r="COP202" s="23"/>
      <c r="COQ202" s="23"/>
      <c r="COR202" s="1"/>
      <c r="COS202" s="1"/>
      <c r="COT202" s="1"/>
      <c r="COU202" s="25"/>
      <c r="COX202" s="23"/>
      <c r="COY202" s="23"/>
      <c r="COZ202" s="23"/>
      <c r="CPA202" s="23"/>
      <c r="CPB202" s="23"/>
      <c r="CPC202" s="23"/>
      <c r="CPD202" s="24"/>
      <c r="CPE202" s="23"/>
      <c r="CPF202" s="23"/>
      <c r="CPG202" s="23"/>
      <c r="CPH202" s="1"/>
      <c r="CPI202" s="1"/>
      <c r="CPJ202" s="1"/>
      <c r="CPK202" s="25"/>
      <c r="CPN202" s="23"/>
      <c r="CPO202" s="23"/>
      <c r="CPP202" s="23"/>
      <c r="CPQ202" s="23"/>
      <c r="CPR202" s="23"/>
      <c r="CPS202" s="23"/>
      <c r="CPT202" s="24"/>
      <c r="CPU202" s="23"/>
      <c r="CPV202" s="23"/>
      <c r="CPW202" s="23"/>
      <c r="CPX202" s="1"/>
      <c r="CPY202" s="1"/>
      <c r="CPZ202" s="1"/>
      <c r="CQA202" s="25"/>
      <c r="CQD202" s="23"/>
      <c r="CQE202" s="23"/>
      <c r="CQF202" s="23"/>
      <c r="CQG202" s="23"/>
      <c r="CQH202" s="23"/>
      <c r="CQI202" s="23"/>
      <c r="CQJ202" s="24"/>
      <c r="CQK202" s="23"/>
      <c r="CQL202" s="23"/>
      <c r="CQM202" s="23"/>
      <c r="CQN202" s="1"/>
      <c r="CQO202" s="1"/>
      <c r="CQP202" s="1"/>
      <c r="CQQ202" s="25"/>
      <c r="CQT202" s="23"/>
      <c r="CQU202" s="23"/>
      <c r="CQV202" s="23"/>
      <c r="CQW202" s="23"/>
      <c r="CQX202" s="23"/>
      <c r="CQY202" s="23"/>
      <c r="CQZ202" s="24"/>
      <c r="CRA202" s="23"/>
      <c r="CRB202" s="23"/>
      <c r="CRC202" s="23"/>
      <c r="CRD202" s="1"/>
      <c r="CRE202" s="1"/>
      <c r="CRF202" s="1"/>
      <c r="CRG202" s="25"/>
      <c r="CRJ202" s="23"/>
      <c r="CRK202" s="23"/>
      <c r="CRL202" s="23"/>
      <c r="CRM202" s="23"/>
      <c r="CRN202" s="23"/>
      <c r="CRO202" s="23"/>
      <c r="CRP202" s="24"/>
      <c r="CRQ202" s="23"/>
      <c r="CRR202" s="23"/>
      <c r="CRS202" s="23"/>
      <c r="CRT202" s="1"/>
      <c r="CRU202" s="1"/>
      <c r="CRV202" s="1"/>
      <c r="CRW202" s="25"/>
      <c r="CRZ202" s="23"/>
      <c r="CSA202" s="23"/>
      <c r="CSB202" s="23"/>
      <c r="CSC202" s="23"/>
      <c r="CSD202" s="23"/>
      <c r="CSE202" s="23"/>
      <c r="CSF202" s="24"/>
      <c r="CSG202" s="23"/>
      <c r="CSH202" s="23"/>
      <c r="CSI202" s="23"/>
      <c r="CSJ202" s="1"/>
      <c r="CSK202" s="1"/>
      <c r="CSL202" s="1"/>
      <c r="CSM202" s="25"/>
      <c r="CSP202" s="23"/>
      <c r="CSQ202" s="23"/>
      <c r="CSR202" s="23"/>
      <c r="CSS202" s="23"/>
      <c r="CST202" s="23"/>
      <c r="CSU202" s="23"/>
      <c r="CSV202" s="24"/>
      <c r="CSW202" s="23"/>
      <c r="CSX202" s="23"/>
      <c r="CSY202" s="23"/>
      <c r="CSZ202" s="1"/>
      <c r="CTA202" s="1"/>
      <c r="CTB202" s="1"/>
      <c r="CTC202" s="25"/>
      <c r="CTF202" s="23"/>
      <c r="CTG202" s="23"/>
      <c r="CTH202" s="23"/>
      <c r="CTI202" s="23"/>
      <c r="CTJ202" s="23"/>
      <c r="CTK202" s="23"/>
      <c r="CTL202" s="24"/>
      <c r="CTM202" s="23"/>
      <c r="CTN202" s="23"/>
      <c r="CTO202" s="23"/>
      <c r="CTP202" s="1"/>
      <c r="CTQ202" s="1"/>
      <c r="CTR202" s="1"/>
      <c r="CTS202" s="25"/>
      <c r="CTV202" s="23"/>
      <c r="CTW202" s="23"/>
      <c r="CTX202" s="23"/>
      <c r="CTY202" s="23"/>
      <c r="CTZ202" s="23"/>
      <c r="CUA202" s="23"/>
      <c r="CUB202" s="24"/>
      <c r="CUC202" s="23"/>
      <c r="CUD202" s="23"/>
      <c r="CUE202" s="23"/>
      <c r="CUF202" s="1"/>
      <c r="CUG202" s="1"/>
      <c r="CUH202" s="1"/>
      <c r="CUI202" s="25"/>
      <c r="CUL202" s="23"/>
      <c r="CUM202" s="23"/>
      <c r="CUN202" s="23"/>
      <c r="CUO202" s="23"/>
      <c r="CUP202" s="23"/>
      <c r="CUQ202" s="23"/>
      <c r="CUR202" s="24"/>
      <c r="CUS202" s="23"/>
      <c r="CUT202" s="23"/>
      <c r="CUU202" s="23"/>
      <c r="CUV202" s="1"/>
      <c r="CUW202" s="1"/>
      <c r="CUX202" s="1"/>
      <c r="CUY202" s="25"/>
      <c r="CVB202" s="23"/>
      <c r="CVC202" s="23"/>
      <c r="CVD202" s="23"/>
      <c r="CVE202" s="23"/>
      <c r="CVF202" s="23"/>
      <c r="CVG202" s="23"/>
      <c r="CVH202" s="24"/>
      <c r="CVI202" s="23"/>
      <c r="CVJ202" s="23"/>
      <c r="CVK202" s="23"/>
      <c r="CVL202" s="1"/>
      <c r="CVM202" s="1"/>
      <c r="CVN202" s="1"/>
      <c r="CVO202" s="25"/>
      <c r="CVR202" s="23"/>
      <c r="CVS202" s="23"/>
      <c r="CVT202" s="23"/>
      <c r="CVU202" s="23"/>
      <c r="CVV202" s="23"/>
      <c r="CVW202" s="23"/>
      <c r="CVX202" s="24"/>
      <c r="CVY202" s="23"/>
      <c r="CVZ202" s="23"/>
      <c r="CWA202" s="23"/>
      <c r="CWB202" s="1"/>
      <c r="CWC202" s="1"/>
      <c r="CWD202" s="1"/>
      <c r="CWE202" s="25"/>
      <c r="CWH202" s="23"/>
      <c r="CWI202" s="23"/>
      <c r="CWJ202" s="23"/>
      <c r="CWK202" s="23"/>
      <c r="CWL202" s="23"/>
      <c r="CWM202" s="23"/>
      <c r="CWN202" s="24"/>
      <c r="CWO202" s="23"/>
      <c r="CWP202" s="23"/>
      <c r="CWQ202" s="23"/>
      <c r="CWR202" s="1"/>
      <c r="CWS202" s="1"/>
      <c r="CWT202" s="1"/>
      <c r="CWU202" s="25"/>
      <c r="CWX202" s="23"/>
      <c r="CWY202" s="23"/>
      <c r="CWZ202" s="23"/>
      <c r="CXA202" s="23"/>
      <c r="CXB202" s="23"/>
      <c r="CXC202" s="23"/>
      <c r="CXD202" s="24"/>
      <c r="CXE202" s="23"/>
      <c r="CXF202" s="23"/>
      <c r="CXG202" s="23"/>
      <c r="CXH202" s="1"/>
      <c r="CXI202" s="1"/>
      <c r="CXJ202" s="1"/>
      <c r="CXK202" s="25"/>
      <c r="CXN202" s="23"/>
      <c r="CXO202" s="23"/>
      <c r="CXP202" s="23"/>
      <c r="CXQ202" s="23"/>
      <c r="CXR202" s="23"/>
      <c r="CXS202" s="23"/>
      <c r="CXT202" s="24"/>
      <c r="CXU202" s="23"/>
      <c r="CXV202" s="23"/>
      <c r="CXW202" s="23"/>
      <c r="CXX202" s="1"/>
      <c r="CXY202" s="1"/>
      <c r="CXZ202" s="1"/>
      <c r="CYA202" s="25"/>
      <c r="CYD202" s="23"/>
      <c r="CYE202" s="23"/>
      <c r="CYF202" s="23"/>
      <c r="CYG202" s="23"/>
      <c r="CYH202" s="23"/>
      <c r="CYI202" s="23"/>
      <c r="CYJ202" s="24"/>
      <c r="CYK202" s="23"/>
      <c r="CYL202" s="23"/>
      <c r="CYM202" s="23"/>
      <c r="CYN202" s="1"/>
      <c r="CYO202" s="1"/>
      <c r="CYP202" s="1"/>
      <c r="CYQ202" s="25"/>
      <c r="CYT202" s="23"/>
      <c r="CYU202" s="23"/>
      <c r="CYV202" s="23"/>
      <c r="CYW202" s="23"/>
      <c r="CYX202" s="23"/>
      <c r="CYY202" s="23"/>
      <c r="CYZ202" s="24"/>
      <c r="CZA202" s="23"/>
      <c r="CZB202" s="23"/>
      <c r="CZC202" s="23"/>
      <c r="CZD202" s="1"/>
      <c r="CZE202" s="1"/>
      <c r="CZF202" s="1"/>
      <c r="CZG202" s="25"/>
      <c r="CZJ202" s="23"/>
      <c r="CZK202" s="23"/>
      <c r="CZL202" s="23"/>
      <c r="CZM202" s="23"/>
      <c r="CZN202" s="23"/>
      <c r="CZO202" s="23"/>
      <c r="CZP202" s="24"/>
      <c r="CZQ202" s="23"/>
      <c r="CZR202" s="23"/>
      <c r="CZS202" s="23"/>
      <c r="CZT202" s="1"/>
      <c r="CZU202" s="1"/>
      <c r="CZV202" s="1"/>
      <c r="CZW202" s="25"/>
      <c r="CZZ202" s="23"/>
      <c r="DAA202" s="23"/>
      <c r="DAB202" s="23"/>
      <c r="DAC202" s="23"/>
      <c r="DAD202" s="23"/>
      <c r="DAE202" s="23"/>
      <c r="DAF202" s="24"/>
      <c r="DAG202" s="23"/>
      <c r="DAH202" s="23"/>
      <c r="DAI202" s="23"/>
      <c r="DAJ202" s="1"/>
      <c r="DAK202" s="1"/>
      <c r="DAL202" s="1"/>
      <c r="DAM202" s="25"/>
      <c r="DAP202" s="23"/>
      <c r="DAQ202" s="23"/>
      <c r="DAR202" s="23"/>
      <c r="DAS202" s="23"/>
      <c r="DAT202" s="23"/>
      <c r="DAU202" s="23"/>
      <c r="DAV202" s="24"/>
      <c r="DAW202" s="23"/>
      <c r="DAX202" s="23"/>
      <c r="DAY202" s="23"/>
      <c r="DAZ202" s="1"/>
      <c r="DBA202" s="1"/>
      <c r="DBB202" s="1"/>
      <c r="DBC202" s="25"/>
      <c r="DBF202" s="23"/>
      <c r="DBG202" s="23"/>
      <c r="DBH202" s="23"/>
      <c r="DBI202" s="23"/>
      <c r="DBJ202" s="23"/>
      <c r="DBK202" s="23"/>
      <c r="DBL202" s="24"/>
      <c r="DBM202" s="23"/>
      <c r="DBN202" s="23"/>
      <c r="DBO202" s="23"/>
      <c r="DBP202" s="1"/>
      <c r="DBQ202" s="1"/>
      <c r="DBR202" s="1"/>
      <c r="DBS202" s="25"/>
      <c r="DBV202" s="23"/>
      <c r="DBW202" s="23"/>
      <c r="DBX202" s="23"/>
      <c r="DBY202" s="23"/>
      <c r="DBZ202" s="23"/>
      <c r="DCA202" s="23"/>
      <c r="DCB202" s="24"/>
      <c r="DCC202" s="23"/>
      <c r="DCD202" s="23"/>
      <c r="DCE202" s="23"/>
      <c r="DCF202" s="1"/>
      <c r="DCG202" s="1"/>
      <c r="DCH202" s="1"/>
      <c r="DCI202" s="25"/>
      <c r="DCL202" s="23"/>
      <c r="DCM202" s="23"/>
      <c r="DCN202" s="23"/>
      <c r="DCO202" s="23"/>
      <c r="DCP202" s="23"/>
      <c r="DCQ202" s="23"/>
      <c r="DCR202" s="24"/>
      <c r="DCS202" s="23"/>
      <c r="DCT202" s="23"/>
      <c r="DCU202" s="23"/>
      <c r="DCV202" s="1"/>
      <c r="DCW202" s="1"/>
      <c r="DCX202" s="1"/>
      <c r="DCY202" s="25"/>
      <c r="DDB202" s="23"/>
      <c r="DDC202" s="23"/>
      <c r="DDD202" s="23"/>
      <c r="DDE202" s="23"/>
      <c r="DDF202" s="23"/>
      <c r="DDG202" s="23"/>
      <c r="DDH202" s="24"/>
      <c r="DDI202" s="23"/>
      <c r="DDJ202" s="23"/>
      <c r="DDK202" s="23"/>
      <c r="DDL202" s="1"/>
      <c r="DDM202" s="1"/>
      <c r="DDN202" s="1"/>
      <c r="DDO202" s="25"/>
      <c r="DDR202" s="23"/>
      <c r="DDS202" s="23"/>
      <c r="DDT202" s="23"/>
      <c r="DDU202" s="23"/>
      <c r="DDV202" s="23"/>
      <c r="DDW202" s="23"/>
      <c r="DDX202" s="24"/>
      <c r="DDY202" s="23"/>
      <c r="DDZ202" s="23"/>
      <c r="DEA202" s="23"/>
      <c r="DEB202" s="1"/>
      <c r="DEC202" s="1"/>
      <c r="DED202" s="1"/>
      <c r="DEE202" s="25"/>
      <c r="DEH202" s="23"/>
      <c r="DEI202" s="23"/>
      <c r="DEJ202" s="23"/>
      <c r="DEK202" s="23"/>
      <c r="DEL202" s="23"/>
      <c r="DEM202" s="23"/>
      <c r="DEN202" s="24"/>
      <c r="DEO202" s="23"/>
      <c r="DEP202" s="23"/>
      <c r="DEQ202" s="23"/>
      <c r="DER202" s="1"/>
      <c r="DES202" s="1"/>
      <c r="DET202" s="1"/>
      <c r="DEU202" s="25"/>
      <c r="DEX202" s="23"/>
      <c r="DEY202" s="23"/>
      <c r="DEZ202" s="23"/>
      <c r="DFA202" s="23"/>
      <c r="DFB202" s="23"/>
      <c r="DFC202" s="23"/>
      <c r="DFD202" s="24"/>
      <c r="DFE202" s="23"/>
      <c r="DFF202" s="23"/>
      <c r="DFG202" s="23"/>
      <c r="DFH202" s="1"/>
      <c r="DFI202" s="1"/>
      <c r="DFJ202" s="1"/>
      <c r="DFK202" s="25"/>
      <c r="DFN202" s="23"/>
      <c r="DFO202" s="23"/>
      <c r="DFP202" s="23"/>
      <c r="DFQ202" s="23"/>
      <c r="DFR202" s="23"/>
      <c r="DFS202" s="23"/>
      <c r="DFT202" s="24"/>
      <c r="DFU202" s="23"/>
      <c r="DFV202" s="23"/>
      <c r="DFW202" s="23"/>
      <c r="DFX202" s="1"/>
      <c r="DFY202" s="1"/>
      <c r="DFZ202" s="1"/>
      <c r="DGA202" s="25"/>
      <c r="DGD202" s="23"/>
      <c r="DGE202" s="23"/>
      <c r="DGF202" s="23"/>
      <c r="DGG202" s="23"/>
      <c r="DGH202" s="23"/>
      <c r="DGI202" s="23"/>
      <c r="DGJ202" s="24"/>
      <c r="DGK202" s="23"/>
      <c r="DGL202" s="23"/>
      <c r="DGM202" s="23"/>
      <c r="DGN202" s="1"/>
      <c r="DGO202" s="1"/>
      <c r="DGP202" s="1"/>
      <c r="DGQ202" s="25"/>
      <c r="DGT202" s="23"/>
      <c r="DGU202" s="23"/>
      <c r="DGV202" s="23"/>
      <c r="DGW202" s="23"/>
      <c r="DGX202" s="23"/>
      <c r="DGY202" s="23"/>
      <c r="DGZ202" s="24"/>
      <c r="DHA202" s="23"/>
      <c r="DHB202" s="23"/>
      <c r="DHC202" s="23"/>
      <c r="DHD202" s="1"/>
      <c r="DHE202" s="1"/>
      <c r="DHF202" s="1"/>
      <c r="DHG202" s="25"/>
      <c r="DHJ202" s="23"/>
      <c r="DHK202" s="23"/>
      <c r="DHL202" s="23"/>
      <c r="DHM202" s="23"/>
      <c r="DHN202" s="23"/>
      <c r="DHO202" s="23"/>
      <c r="DHP202" s="24"/>
      <c r="DHQ202" s="23"/>
      <c r="DHR202" s="23"/>
      <c r="DHS202" s="23"/>
      <c r="DHT202" s="1"/>
      <c r="DHU202" s="1"/>
      <c r="DHV202" s="1"/>
      <c r="DHW202" s="25"/>
      <c r="DHZ202" s="23"/>
      <c r="DIA202" s="23"/>
      <c r="DIB202" s="23"/>
      <c r="DIC202" s="23"/>
      <c r="DID202" s="23"/>
      <c r="DIE202" s="23"/>
      <c r="DIF202" s="24"/>
      <c r="DIG202" s="23"/>
      <c r="DIH202" s="23"/>
      <c r="DII202" s="23"/>
      <c r="DIJ202" s="1"/>
      <c r="DIK202" s="1"/>
      <c r="DIL202" s="1"/>
      <c r="DIM202" s="25"/>
      <c r="DIP202" s="23"/>
      <c r="DIQ202" s="23"/>
      <c r="DIR202" s="23"/>
      <c r="DIS202" s="23"/>
      <c r="DIT202" s="23"/>
      <c r="DIU202" s="23"/>
      <c r="DIV202" s="24"/>
      <c r="DIW202" s="23"/>
      <c r="DIX202" s="23"/>
      <c r="DIY202" s="23"/>
      <c r="DIZ202" s="1"/>
      <c r="DJA202" s="1"/>
      <c r="DJB202" s="1"/>
      <c r="DJC202" s="25"/>
      <c r="DJF202" s="23"/>
      <c r="DJG202" s="23"/>
      <c r="DJH202" s="23"/>
      <c r="DJI202" s="23"/>
      <c r="DJJ202" s="23"/>
      <c r="DJK202" s="23"/>
      <c r="DJL202" s="24"/>
      <c r="DJM202" s="23"/>
      <c r="DJN202" s="23"/>
      <c r="DJO202" s="23"/>
      <c r="DJP202" s="1"/>
      <c r="DJQ202" s="1"/>
      <c r="DJR202" s="1"/>
      <c r="DJS202" s="25"/>
      <c r="DJV202" s="23"/>
      <c r="DJW202" s="23"/>
      <c r="DJX202" s="23"/>
      <c r="DJY202" s="23"/>
      <c r="DJZ202" s="23"/>
      <c r="DKA202" s="23"/>
      <c r="DKB202" s="24"/>
      <c r="DKC202" s="23"/>
      <c r="DKD202" s="23"/>
      <c r="DKE202" s="23"/>
      <c r="DKF202" s="1"/>
      <c r="DKG202" s="1"/>
      <c r="DKH202" s="1"/>
      <c r="DKI202" s="25"/>
      <c r="DKL202" s="23"/>
      <c r="DKM202" s="23"/>
      <c r="DKN202" s="23"/>
      <c r="DKO202" s="23"/>
      <c r="DKP202" s="23"/>
      <c r="DKQ202" s="23"/>
      <c r="DKR202" s="24"/>
      <c r="DKS202" s="23"/>
      <c r="DKT202" s="23"/>
      <c r="DKU202" s="23"/>
      <c r="DKV202" s="1"/>
      <c r="DKW202" s="1"/>
      <c r="DKX202" s="1"/>
      <c r="DKY202" s="25"/>
      <c r="DLB202" s="23"/>
      <c r="DLC202" s="23"/>
      <c r="DLD202" s="23"/>
      <c r="DLE202" s="23"/>
      <c r="DLF202" s="23"/>
      <c r="DLG202" s="23"/>
      <c r="DLH202" s="24"/>
      <c r="DLI202" s="23"/>
      <c r="DLJ202" s="23"/>
      <c r="DLK202" s="23"/>
      <c r="DLL202" s="1"/>
      <c r="DLM202" s="1"/>
      <c r="DLN202" s="1"/>
      <c r="DLO202" s="25"/>
      <c r="DLR202" s="23"/>
      <c r="DLS202" s="23"/>
      <c r="DLT202" s="23"/>
      <c r="DLU202" s="23"/>
      <c r="DLV202" s="23"/>
      <c r="DLW202" s="23"/>
      <c r="DLX202" s="24"/>
      <c r="DLY202" s="23"/>
      <c r="DLZ202" s="23"/>
      <c r="DMA202" s="23"/>
      <c r="DMB202" s="1"/>
      <c r="DMC202" s="1"/>
      <c r="DMD202" s="1"/>
      <c r="DME202" s="25"/>
      <c r="DMH202" s="23"/>
      <c r="DMI202" s="23"/>
      <c r="DMJ202" s="23"/>
      <c r="DMK202" s="23"/>
      <c r="DML202" s="23"/>
      <c r="DMM202" s="23"/>
      <c r="DMN202" s="24"/>
      <c r="DMO202" s="23"/>
      <c r="DMP202" s="23"/>
      <c r="DMQ202" s="23"/>
      <c r="DMR202" s="1"/>
      <c r="DMS202" s="1"/>
      <c r="DMT202" s="1"/>
      <c r="DMU202" s="25"/>
      <c r="DMX202" s="23"/>
      <c r="DMY202" s="23"/>
      <c r="DMZ202" s="23"/>
      <c r="DNA202" s="23"/>
      <c r="DNB202" s="23"/>
      <c r="DNC202" s="23"/>
      <c r="DND202" s="24"/>
      <c r="DNE202" s="23"/>
      <c r="DNF202" s="23"/>
      <c r="DNG202" s="23"/>
      <c r="DNH202" s="1"/>
      <c r="DNI202" s="1"/>
      <c r="DNJ202" s="1"/>
      <c r="DNK202" s="25"/>
      <c r="DNN202" s="23"/>
      <c r="DNO202" s="23"/>
      <c r="DNP202" s="23"/>
      <c r="DNQ202" s="23"/>
      <c r="DNR202" s="23"/>
      <c r="DNS202" s="23"/>
      <c r="DNT202" s="24"/>
      <c r="DNU202" s="23"/>
      <c r="DNV202" s="23"/>
      <c r="DNW202" s="23"/>
      <c r="DNX202" s="1"/>
      <c r="DNY202" s="1"/>
      <c r="DNZ202" s="1"/>
      <c r="DOA202" s="25"/>
      <c r="DOD202" s="23"/>
      <c r="DOE202" s="23"/>
      <c r="DOF202" s="23"/>
      <c r="DOG202" s="23"/>
      <c r="DOH202" s="23"/>
      <c r="DOI202" s="23"/>
      <c r="DOJ202" s="24"/>
      <c r="DOK202" s="23"/>
      <c r="DOL202" s="23"/>
      <c r="DOM202" s="23"/>
      <c r="DON202" s="1"/>
      <c r="DOO202" s="1"/>
      <c r="DOP202" s="1"/>
      <c r="DOQ202" s="25"/>
      <c r="DOT202" s="23"/>
      <c r="DOU202" s="23"/>
      <c r="DOV202" s="23"/>
      <c r="DOW202" s="23"/>
      <c r="DOX202" s="23"/>
      <c r="DOY202" s="23"/>
      <c r="DOZ202" s="24"/>
      <c r="DPA202" s="23"/>
      <c r="DPB202" s="23"/>
      <c r="DPC202" s="23"/>
      <c r="DPD202" s="1"/>
      <c r="DPE202" s="1"/>
      <c r="DPF202" s="1"/>
      <c r="DPG202" s="25"/>
      <c r="DPJ202" s="23"/>
      <c r="DPK202" s="23"/>
      <c r="DPL202" s="23"/>
      <c r="DPM202" s="23"/>
      <c r="DPN202" s="23"/>
      <c r="DPO202" s="23"/>
      <c r="DPP202" s="24"/>
      <c r="DPQ202" s="23"/>
      <c r="DPR202" s="23"/>
      <c r="DPS202" s="23"/>
      <c r="DPT202" s="1"/>
      <c r="DPU202" s="1"/>
      <c r="DPV202" s="1"/>
      <c r="DPW202" s="25"/>
      <c r="DPZ202" s="23"/>
      <c r="DQA202" s="23"/>
      <c r="DQB202" s="23"/>
      <c r="DQC202" s="23"/>
      <c r="DQD202" s="23"/>
      <c r="DQE202" s="23"/>
      <c r="DQF202" s="24"/>
      <c r="DQG202" s="23"/>
      <c r="DQH202" s="23"/>
      <c r="DQI202" s="23"/>
      <c r="DQJ202" s="1"/>
      <c r="DQK202" s="1"/>
      <c r="DQL202" s="1"/>
      <c r="DQM202" s="25"/>
      <c r="DQP202" s="23"/>
      <c r="DQQ202" s="23"/>
      <c r="DQR202" s="23"/>
      <c r="DQS202" s="23"/>
      <c r="DQT202" s="23"/>
      <c r="DQU202" s="23"/>
      <c r="DQV202" s="24"/>
      <c r="DQW202" s="23"/>
      <c r="DQX202" s="23"/>
      <c r="DQY202" s="23"/>
      <c r="DQZ202" s="1"/>
      <c r="DRA202" s="1"/>
      <c r="DRB202" s="1"/>
      <c r="DRC202" s="25"/>
      <c r="DRF202" s="23"/>
      <c r="DRG202" s="23"/>
      <c r="DRH202" s="23"/>
      <c r="DRI202" s="23"/>
      <c r="DRJ202" s="23"/>
      <c r="DRK202" s="23"/>
      <c r="DRL202" s="24"/>
      <c r="DRM202" s="23"/>
      <c r="DRN202" s="23"/>
      <c r="DRO202" s="23"/>
      <c r="DRP202" s="1"/>
      <c r="DRQ202" s="1"/>
      <c r="DRR202" s="1"/>
      <c r="DRS202" s="25"/>
      <c r="DRV202" s="23"/>
      <c r="DRW202" s="23"/>
      <c r="DRX202" s="23"/>
      <c r="DRY202" s="23"/>
      <c r="DRZ202" s="23"/>
      <c r="DSA202" s="23"/>
      <c r="DSB202" s="24"/>
      <c r="DSC202" s="23"/>
      <c r="DSD202" s="23"/>
      <c r="DSE202" s="23"/>
      <c r="DSF202" s="1"/>
      <c r="DSG202" s="1"/>
      <c r="DSH202" s="1"/>
      <c r="DSI202" s="25"/>
      <c r="DSL202" s="23"/>
      <c r="DSM202" s="23"/>
      <c r="DSN202" s="23"/>
      <c r="DSO202" s="23"/>
      <c r="DSP202" s="23"/>
      <c r="DSQ202" s="23"/>
      <c r="DSR202" s="24"/>
      <c r="DSS202" s="23"/>
      <c r="DST202" s="23"/>
      <c r="DSU202" s="23"/>
      <c r="DSV202" s="1"/>
      <c r="DSW202" s="1"/>
      <c r="DSX202" s="1"/>
      <c r="DSY202" s="25"/>
      <c r="DTB202" s="23"/>
      <c r="DTC202" s="23"/>
      <c r="DTD202" s="23"/>
      <c r="DTE202" s="23"/>
      <c r="DTF202" s="23"/>
      <c r="DTG202" s="23"/>
      <c r="DTH202" s="24"/>
      <c r="DTI202" s="23"/>
      <c r="DTJ202" s="23"/>
      <c r="DTK202" s="23"/>
      <c r="DTL202" s="1"/>
      <c r="DTM202" s="1"/>
      <c r="DTN202" s="1"/>
      <c r="DTO202" s="25"/>
      <c r="DTR202" s="23"/>
      <c r="DTS202" s="23"/>
      <c r="DTT202" s="23"/>
      <c r="DTU202" s="23"/>
      <c r="DTV202" s="23"/>
      <c r="DTW202" s="23"/>
      <c r="DTX202" s="24"/>
      <c r="DTY202" s="23"/>
      <c r="DTZ202" s="23"/>
      <c r="DUA202" s="23"/>
      <c r="DUB202" s="1"/>
      <c r="DUC202" s="1"/>
      <c r="DUD202" s="1"/>
      <c r="DUE202" s="25"/>
      <c r="DUH202" s="23"/>
      <c r="DUI202" s="23"/>
      <c r="DUJ202" s="23"/>
      <c r="DUK202" s="23"/>
      <c r="DUL202" s="23"/>
      <c r="DUM202" s="23"/>
      <c r="DUN202" s="24"/>
      <c r="DUO202" s="23"/>
      <c r="DUP202" s="23"/>
      <c r="DUQ202" s="23"/>
      <c r="DUR202" s="1"/>
      <c r="DUS202" s="1"/>
      <c r="DUT202" s="1"/>
      <c r="DUU202" s="25"/>
      <c r="DUX202" s="23"/>
      <c r="DUY202" s="23"/>
      <c r="DUZ202" s="23"/>
      <c r="DVA202" s="23"/>
      <c r="DVB202" s="23"/>
      <c r="DVC202" s="23"/>
      <c r="DVD202" s="24"/>
      <c r="DVE202" s="23"/>
      <c r="DVF202" s="23"/>
      <c r="DVG202" s="23"/>
      <c r="DVH202" s="1"/>
      <c r="DVI202" s="1"/>
      <c r="DVJ202" s="1"/>
      <c r="DVK202" s="25"/>
      <c r="DVN202" s="23"/>
      <c r="DVO202" s="23"/>
      <c r="DVP202" s="23"/>
      <c r="DVQ202" s="23"/>
      <c r="DVR202" s="23"/>
      <c r="DVS202" s="23"/>
      <c r="DVT202" s="24"/>
      <c r="DVU202" s="23"/>
      <c r="DVV202" s="23"/>
      <c r="DVW202" s="23"/>
      <c r="DVX202" s="1"/>
      <c r="DVY202" s="1"/>
      <c r="DVZ202" s="1"/>
      <c r="DWA202" s="25"/>
      <c r="DWD202" s="23"/>
      <c r="DWE202" s="23"/>
      <c r="DWF202" s="23"/>
      <c r="DWG202" s="23"/>
      <c r="DWH202" s="23"/>
      <c r="DWI202" s="23"/>
      <c r="DWJ202" s="24"/>
      <c r="DWK202" s="23"/>
      <c r="DWL202" s="23"/>
      <c r="DWM202" s="23"/>
      <c r="DWN202" s="1"/>
      <c r="DWO202" s="1"/>
      <c r="DWP202" s="1"/>
      <c r="DWQ202" s="25"/>
      <c r="DWT202" s="23"/>
      <c r="DWU202" s="23"/>
      <c r="DWV202" s="23"/>
      <c r="DWW202" s="23"/>
      <c r="DWX202" s="23"/>
      <c r="DWY202" s="23"/>
      <c r="DWZ202" s="24"/>
      <c r="DXA202" s="23"/>
      <c r="DXB202" s="23"/>
      <c r="DXC202" s="23"/>
      <c r="DXD202" s="1"/>
      <c r="DXE202" s="1"/>
      <c r="DXF202" s="1"/>
      <c r="DXG202" s="25"/>
      <c r="DXJ202" s="23"/>
      <c r="DXK202" s="23"/>
      <c r="DXL202" s="23"/>
      <c r="DXM202" s="23"/>
      <c r="DXN202" s="23"/>
      <c r="DXO202" s="23"/>
      <c r="DXP202" s="24"/>
      <c r="DXQ202" s="23"/>
      <c r="DXR202" s="23"/>
      <c r="DXS202" s="23"/>
      <c r="DXT202" s="1"/>
      <c r="DXU202" s="1"/>
      <c r="DXV202" s="1"/>
      <c r="DXW202" s="25"/>
      <c r="DXZ202" s="23"/>
      <c r="DYA202" s="23"/>
      <c r="DYB202" s="23"/>
      <c r="DYC202" s="23"/>
      <c r="DYD202" s="23"/>
      <c r="DYE202" s="23"/>
      <c r="DYF202" s="24"/>
      <c r="DYG202" s="23"/>
      <c r="DYH202" s="23"/>
      <c r="DYI202" s="23"/>
      <c r="DYJ202" s="1"/>
      <c r="DYK202" s="1"/>
      <c r="DYL202" s="1"/>
      <c r="DYM202" s="25"/>
      <c r="DYP202" s="23"/>
      <c r="DYQ202" s="23"/>
      <c r="DYR202" s="23"/>
      <c r="DYS202" s="23"/>
      <c r="DYT202" s="23"/>
      <c r="DYU202" s="23"/>
      <c r="DYV202" s="24"/>
      <c r="DYW202" s="23"/>
      <c r="DYX202" s="23"/>
      <c r="DYY202" s="23"/>
      <c r="DYZ202" s="1"/>
      <c r="DZA202" s="1"/>
      <c r="DZB202" s="1"/>
      <c r="DZC202" s="25"/>
      <c r="DZF202" s="23"/>
      <c r="DZG202" s="23"/>
      <c r="DZH202" s="23"/>
      <c r="DZI202" s="23"/>
      <c r="DZJ202" s="23"/>
      <c r="DZK202" s="23"/>
      <c r="DZL202" s="24"/>
      <c r="DZM202" s="23"/>
      <c r="DZN202" s="23"/>
      <c r="DZO202" s="23"/>
      <c r="DZP202" s="1"/>
      <c r="DZQ202" s="1"/>
      <c r="DZR202" s="1"/>
      <c r="DZS202" s="25"/>
      <c r="DZV202" s="23"/>
      <c r="DZW202" s="23"/>
      <c r="DZX202" s="23"/>
      <c r="DZY202" s="23"/>
      <c r="DZZ202" s="23"/>
      <c r="EAA202" s="23"/>
      <c r="EAB202" s="24"/>
      <c r="EAC202" s="23"/>
      <c r="EAD202" s="23"/>
      <c r="EAE202" s="23"/>
      <c r="EAF202" s="1"/>
      <c r="EAG202" s="1"/>
      <c r="EAH202" s="1"/>
      <c r="EAI202" s="25"/>
      <c r="EAL202" s="23"/>
      <c r="EAM202" s="23"/>
      <c r="EAN202" s="23"/>
      <c r="EAO202" s="23"/>
      <c r="EAP202" s="23"/>
      <c r="EAQ202" s="23"/>
      <c r="EAR202" s="24"/>
      <c r="EAS202" s="23"/>
      <c r="EAT202" s="23"/>
      <c r="EAU202" s="23"/>
      <c r="EAV202" s="1"/>
      <c r="EAW202" s="1"/>
      <c r="EAX202" s="1"/>
      <c r="EAY202" s="25"/>
      <c r="EBB202" s="23"/>
      <c r="EBC202" s="23"/>
      <c r="EBD202" s="23"/>
      <c r="EBE202" s="23"/>
      <c r="EBF202" s="23"/>
      <c r="EBG202" s="23"/>
      <c r="EBH202" s="24"/>
      <c r="EBI202" s="23"/>
      <c r="EBJ202" s="23"/>
      <c r="EBK202" s="23"/>
      <c r="EBL202" s="1"/>
      <c r="EBM202" s="1"/>
      <c r="EBN202" s="1"/>
      <c r="EBO202" s="25"/>
      <c r="EBR202" s="23"/>
      <c r="EBS202" s="23"/>
      <c r="EBT202" s="23"/>
      <c r="EBU202" s="23"/>
      <c r="EBV202" s="23"/>
      <c r="EBW202" s="23"/>
      <c r="EBX202" s="24"/>
      <c r="EBY202" s="23"/>
      <c r="EBZ202" s="23"/>
      <c r="ECA202" s="23"/>
      <c r="ECB202" s="1"/>
      <c r="ECC202" s="1"/>
      <c r="ECD202" s="1"/>
      <c r="ECE202" s="25"/>
      <c r="ECH202" s="23"/>
      <c r="ECI202" s="23"/>
      <c r="ECJ202" s="23"/>
      <c r="ECK202" s="23"/>
      <c r="ECL202" s="23"/>
      <c r="ECM202" s="23"/>
      <c r="ECN202" s="24"/>
      <c r="ECO202" s="23"/>
      <c r="ECP202" s="23"/>
      <c r="ECQ202" s="23"/>
      <c r="ECR202" s="1"/>
      <c r="ECS202" s="1"/>
      <c r="ECT202" s="1"/>
      <c r="ECU202" s="25"/>
      <c r="ECX202" s="23"/>
      <c r="ECY202" s="23"/>
      <c r="ECZ202" s="23"/>
      <c r="EDA202" s="23"/>
      <c r="EDB202" s="23"/>
      <c r="EDC202" s="23"/>
      <c r="EDD202" s="24"/>
      <c r="EDE202" s="23"/>
      <c r="EDF202" s="23"/>
      <c r="EDG202" s="23"/>
      <c r="EDH202" s="1"/>
      <c r="EDI202" s="1"/>
      <c r="EDJ202" s="1"/>
      <c r="EDK202" s="25"/>
      <c r="EDN202" s="23"/>
      <c r="EDO202" s="23"/>
      <c r="EDP202" s="23"/>
      <c r="EDQ202" s="23"/>
      <c r="EDR202" s="23"/>
      <c r="EDS202" s="23"/>
      <c r="EDT202" s="24"/>
      <c r="EDU202" s="23"/>
      <c r="EDV202" s="23"/>
      <c r="EDW202" s="23"/>
      <c r="EDX202" s="1"/>
      <c r="EDY202" s="1"/>
      <c r="EDZ202" s="1"/>
      <c r="EEA202" s="25"/>
      <c r="EED202" s="23"/>
      <c r="EEE202" s="23"/>
      <c r="EEF202" s="23"/>
      <c r="EEG202" s="23"/>
      <c r="EEH202" s="23"/>
      <c r="EEI202" s="23"/>
      <c r="EEJ202" s="24"/>
      <c r="EEK202" s="23"/>
      <c r="EEL202" s="23"/>
      <c r="EEM202" s="23"/>
      <c r="EEN202" s="1"/>
      <c r="EEO202" s="1"/>
      <c r="EEP202" s="1"/>
      <c r="EEQ202" s="25"/>
      <c r="EET202" s="23"/>
      <c r="EEU202" s="23"/>
      <c r="EEV202" s="23"/>
      <c r="EEW202" s="23"/>
      <c r="EEX202" s="23"/>
      <c r="EEY202" s="23"/>
      <c r="EEZ202" s="24"/>
      <c r="EFA202" s="23"/>
      <c r="EFB202" s="23"/>
      <c r="EFC202" s="23"/>
      <c r="EFD202" s="1"/>
      <c r="EFE202" s="1"/>
      <c r="EFF202" s="1"/>
      <c r="EFG202" s="25"/>
      <c r="EFJ202" s="23"/>
      <c r="EFK202" s="23"/>
      <c r="EFL202" s="23"/>
      <c r="EFM202" s="23"/>
      <c r="EFN202" s="23"/>
      <c r="EFO202" s="23"/>
      <c r="EFP202" s="24"/>
      <c r="EFQ202" s="23"/>
      <c r="EFR202" s="23"/>
      <c r="EFS202" s="23"/>
      <c r="EFT202" s="1"/>
      <c r="EFU202" s="1"/>
      <c r="EFV202" s="1"/>
      <c r="EFW202" s="25"/>
      <c r="EFZ202" s="23"/>
      <c r="EGA202" s="23"/>
      <c r="EGB202" s="23"/>
      <c r="EGC202" s="23"/>
      <c r="EGD202" s="23"/>
      <c r="EGE202" s="23"/>
      <c r="EGF202" s="24"/>
      <c r="EGG202" s="23"/>
      <c r="EGH202" s="23"/>
      <c r="EGI202" s="23"/>
      <c r="EGJ202" s="1"/>
      <c r="EGK202" s="1"/>
      <c r="EGL202" s="1"/>
      <c r="EGM202" s="25"/>
      <c r="EGP202" s="23"/>
      <c r="EGQ202" s="23"/>
      <c r="EGR202" s="23"/>
      <c r="EGS202" s="23"/>
      <c r="EGT202" s="23"/>
      <c r="EGU202" s="23"/>
      <c r="EGV202" s="24"/>
      <c r="EGW202" s="23"/>
      <c r="EGX202" s="23"/>
      <c r="EGY202" s="23"/>
      <c r="EGZ202" s="1"/>
      <c r="EHA202" s="1"/>
      <c r="EHB202" s="1"/>
      <c r="EHC202" s="25"/>
      <c r="EHF202" s="23"/>
      <c r="EHG202" s="23"/>
      <c r="EHH202" s="23"/>
      <c r="EHI202" s="23"/>
      <c r="EHJ202" s="23"/>
      <c r="EHK202" s="23"/>
      <c r="EHL202" s="24"/>
      <c r="EHM202" s="23"/>
      <c r="EHN202" s="23"/>
      <c r="EHO202" s="23"/>
      <c r="EHP202" s="1"/>
      <c r="EHQ202" s="1"/>
      <c r="EHR202" s="1"/>
      <c r="EHS202" s="25"/>
      <c r="EHV202" s="23"/>
      <c r="EHW202" s="23"/>
      <c r="EHX202" s="23"/>
      <c r="EHY202" s="23"/>
      <c r="EHZ202" s="23"/>
      <c r="EIA202" s="23"/>
      <c r="EIB202" s="24"/>
      <c r="EIC202" s="23"/>
      <c r="EID202" s="23"/>
      <c r="EIE202" s="23"/>
      <c r="EIF202" s="1"/>
      <c r="EIG202" s="1"/>
      <c r="EIH202" s="1"/>
      <c r="EII202" s="25"/>
      <c r="EIL202" s="23"/>
      <c r="EIM202" s="23"/>
      <c r="EIN202" s="23"/>
      <c r="EIO202" s="23"/>
      <c r="EIP202" s="23"/>
      <c r="EIQ202" s="23"/>
      <c r="EIR202" s="24"/>
      <c r="EIS202" s="23"/>
      <c r="EIT202" s="23"/>
      <c r="EIU202" s="23"/>
      <c r="EIV202" s="1"/>
      <c r="EIW202" s="1"/>
      <c r="EIX202" s="1"/>
      <c r="EIY202" s="25"/>
      <c r="EJB202" s="23"/>
      <c r="EJC202" s="23"/>
      <c r="EJD202" s="23"/>
      <c r="EJE202" s="23"/>
      <c r="EJF202" s="23"/>
      <c r="EJG202" s="23"/>
      <c r="EJH202" s="24"/>
      <c r="EJI202" s="23"/>
      <c r="EJJ202" s="23"/>
      <c r="EJK202" s="23"/>
      <c r="EJL202" s="1"/>
      <c r="EJM202" s="1"/>
      <c r="EJN202" s="1"/>
      <c r="EJO202" s="25"/>
      <c r="EJR202" s="23"/>
      <c r="EJS202" s="23"/>
      <c r="EJT202" s="23"/>
      <c r="EJU202" s="23"/>
      <c r="EJV202" s="23"/>
      <c r="EJW202" s="23"/>
      <c r="EJX202" s="24"/>
      <c r="EJY202" s="23"/>
      <c r="EJZ202" s="23"/>
      <c r="EKA202" s="23"/>
      <c r="EKB202" s="1"/>
      <c r="EKC202" s="1"/>
      <c r="EKD202" s="1"/>
      <c r="EKE202" s="25"/>
      <c r="EKH202" s="23"/>
      <c r="EKI202" s="23"/>
      <c r="EKJ202" s="23"/>
      <c r="EKK202" s="23"/>
      <c r="EKL202" s="23"/>
      <c r="EKM202" s="23"/>
      <c r="EKN202" s="24"/>
      <c r="EKO202" s="23"/>
      <c r="EKP202" s="23"/>
      <c r="EKQ202" s="23"/>
      <c r="EKR202" s="1"/>
      <c r="EKS202" s="1"/>
      <c r="EKT202" s="1"/>
      <c r="EKU202" s="25"/>
      <c r="EKX202" s="23"/>
      <c r="EKY202" s="23"/>
      <c r="EKZ202" s="23"/>
      <c r="ELA202" s="23"/>
      <c r="ELB202" s="23"/>
      <c r="ELC202" s="23"/>
      <c r="ELD202" s="24"/>
      <c r="ELE202" s="23"/>
      <c r="ELF202" s="23"/>
      <c r="ELG202" s="23"/>
      <c r="ELH202" s="1"/>
      <c r="ELI202" s="1"/>
      <c r="ELJ202" s="1"/>
      <c r="ELK202" s="25"/>
      <c r="ELN202" s="23"/>
      <c r="ELO202" s="23"/>
      <c r="ELP202" s="23"/>
      <c r="ELQ202" s="23"/>
      <c r="ELR202" s="23"/>
      <c r="ELS202" s="23"/>
      <c r="ELT202" s="24"/>
      <c r="ELU202" s="23"/>
      <c r="ELV202" s="23"/>
      <c r="ELW202" s="23"/>
      <c r="ELX202" s="1"/>
      <c r="ELY202" s="1"/>
      <c r="ELZ202" s="1"/>
      <c r="EMA202" s="25"/>
      <c r="EMD202" s="23"/>
      <c r="EME202" s="23"/>
      <c r="EMF202" s="23"/>
      <c r="EMG202" s="23"/>
      <c r="EMH202" s="23"/>
      <c r="EMI202" s="23"/>
      <c r="EMJ202" s="24"/>
      <c r="EMK202" s="23"/>
      <c r="EML202" s="23"/>
      <c r="EMM202" s="23"/>
      <c r="EMN202" s="1"/>
      <c r="EMO202" s="1"/>
      <c r="EMP202" s="1"/>
      <c r="EMQ202" s="25"/>
      <c r="EMT202" s="23"/>
      <c r="EMU202" s="23"/>
      <c r="EMV202" s="23"/>
      <c r="EMW202" s="23"/>
      <c r="EMX202" s="23"/>
      <c r="EMY202" s="23"/>
      <c r="EMZ202" s="24"/>
      <c r="ENA202" s="23"/>
      <c r="ENB202" s="23"/>
      <c r="ENC202" s="23"/>
      <c r="END202" s="1"/>
      <c r="ENE202" s="1"/>
      <c r="ENF202" s="1"/>
      <c r="ENG202" s="25"/>
      <c r="ENJ202" s="23"/>
      <c r="ENK202" s="23"/>
      <c r="ENL202" s="23"/>
      <c r="ENM202" s="23"/>
      <c r="ENN202" s="23"/>
      <c r="ENO202" s="23"/>
      <c r="ENP202" s="24"/>
      <c r="ENQ202" s="23"/>
      <c r="ENR202" s="23"/>
      <c r="ENS202" s="23"/>
      <c r="ENT202" s="1"/>
      <c r="ENU202" s="1"/>
      <c r="ENV202" s="1"/>
      <c r="ENW202" s="25"/>
      <c r="ENZ202" s="23"/>
      <c r="EOA202" s="23"/>
      <c r="EOB202" s="23"/>
      <c r="EOC202" s="23"/>
      <c r="EOD202" s="23"/>
      <c r="EOE202" s="23"/>
      <c r="EOF202" s="24"/>
      <c r="EOG202" s="23"/>
      <c r="EOH202" s="23"/>
      <c r="EOI202" s="23"/>
      <c r="EOJ202" s="1"/>
      <c r="EOK202" s="1"/>
      <c r="EOL202" s="1"/>
      <c r="EOM202" s="25"/>
      <c r="EOP202" s="23"/>
      <c r="EOQ202" s="23"/>
      <c r="EOR202" s="23"/>
      <c r="EOS202" s="23"/>
      <c r="EOT202" s="23"/>
      <c r="EOU202" s="23"/>
      <c r="EOV202" s="24"/>
      <c r="EOW202" s="23"/>
      <c r="EOX202" s="23"/>
      <c r="EOY202" s="23"/>
      <c r="EOZ202" s="1"/>
      <c r="EPA202" s="1"/>
      <c r="EPB202" s="1"/>
      <c r="EPC202" s="25"/>
      <c r="EPF202" s="23"/>
      <c r="EPG202" s="23"/>
      <c r="EPH202" s="23"/>
      <c r="EPI202" s="23"/>
      <c r="EPJ202" s="23"/>
      <c r="EPK202" s="23"/>
      <c r="EPL202" s="24"/>
      <c r="EPM202" s="23"/>
      <c r="EPN202" s="23"/>
      <c r="EPO202" s="23"/>
      <c r="EPP202" s="1"/>
      <c r="EPQ202" s="1"/>
      <c r="EPR202" s="1"/>
      <c r="EPS202" s="25"/>
      <c r="EPV202" s="23"/>
      <c r="EPW202" s="23"/>
      <c r="EPX202" s="23"/>
      <c r="EPY202" s="23"/>
      <c r="EPZ202" s="23"/>
      <c r="EQA202" s="23"/>
      <c r="EQB202" s="24"/>
      <c r="EQC202" s="23"/>
      <c r="EQD202" s="23"/>
      <c r="EQE202" s="23"/>
      <c r="EQF202" s="1"/>
      <c r="EQG202" s="1"/>
      <c r="EQH202" s="1"/>
      <c r="EQI202" s="25"/>
      <c r="EQL202" s="23"/>
      <c r="EQM202" s="23"/>
      <c r="EQN202" s="23"/>
      <c r="EQO202" s="23"/>
      <c r="EQP202" s="23"/>
      <c r="EQQ202" s="23"/>
      <c r="EQR202" s="24"/>
      <c r="EQS202" s="23"/>
      <c r="EQT202" s="23"/>
      <c r="EQU202" s="23"/>
      <c r="EQV202" s="1"/>
      <c r="EQW202" s="1"/>
      <c r="EQX202" s="1"/>
      <c r="EQY202" s="25"/>
      <c r="ERB202" s="23"/>
      <c r="ERC202" s="23"/>
      <c r="ERD202" s="23"/>
      <c r="ERE202" s="23"/>
      <c r="ERF202" s="23"/>
      <c r="ERG202" s="23"/>
      <c r="ERH202" s="24"/>
      <c r="ERI202" s="23"/>
      <c r="ERJ202" s="23"/>
      <c r="ERK202" s="23"/>
      <c r="ERL202" s="1"/>
      <c r="ERM202" s="1"/>
      <c r="ERN202" s="1"/>
      <c r="ERO202" s="25"/>
      <c r="ERR202" s="23"/>
      <c r="ERS202" s="23"/>
      <c r="ERT202" s="23"/>
      <c r="ERU202" s="23"/>
      <c r="ERV202" s="23"/>
      <c r="ERW202" s="23"/>
      <c r="ERX202" s="24"/>
      <c r="ERY202" s="23"/>
      <c r="ERZ202" s="23"/>
      <c r="ESA202" s="23"/>
      <c r="ESB202" s="1"/>
      <c r="ESC202" s="1"/>
      <c r="ESD202" s="1"/>
      <c r="ESE202" s="25"/>
      <c r="ESH202" s="23"/>
      <c r="ESI202" s="23"/>
      <c r="ESJ202" s="23"/>
      <c r="ESK202" s="23"/>
      <c r="ESL202" s="23"/>
      <c r="ESM202" s="23"/>
      <c r="ESN202" s="24"/>
      <c r="ESO202" s="23"/>
      <c r="ESP202" s="23"/>
      <c r="ESQ202" s="23"/>
      <c r="ESR202" s="1"/>
      <c r="ESS202" s="1"/>
      <c r="EST202" s="1"/>
      <c r="ESU202" s="25"/>
      <c r="ESX202" s="23"/>
      <c r="ESY202" s="23"/>
      <c r="ESZ202" s="23"/>
      <c r="ETA202" s="23"/>
      <c r="ETB202" s="23"/>
      <c r="ETC202" s="23"/>
      <c r="ETD202" s="24"/>
      <c r="ETE202" s="23"/>
      <c r="ETF202" s="23"/>
      <c r="ETG202" s="23"/>
      <c r="ETH202" s="1"/>
      <c r="ETI202" s="1"/>
      <c r="ETJ202" s="1"/>
      <c r="ETK202" s="25"/>
      <c r="ETN202" s="23"/>
      <c r="ETO202" s="23"/>
      <c r="ETP202" s="23"/>
      <c r="ETQ202" s="23"/>
      <c r="ETR202" s="23"/>
      <c r="ETS202" s="23"/>
      <c r="ETT202" s="24"/>
      <c r="ETU202" s="23"/>
      <c r="ETV202" s="23"/>
      <c r="ETW202" s="23"/>
      <c r="ETX202" s="1"/>
      <c r="ETY202" s="1"/>
      <c r="ETZ202" s="1"/>
      <c r="EUA202" s="25"/>
      <c r="EUD202" s="23"/>
      <c r="EUE202" s="23"/>
      <c r="EUF202" s="23"/>
      <c r="EUG202" s="23"/>
      <c r="EUH202" s="23"/>
      <c r="EUI202" s="23"/>
      <c r="EUJ202" s="24"/>
      <c r="EUK202" s="23"/>
      <c r="EUL202" s="23"/>
      <c r="EUM202" s="23"/>
      <c r="EUN202" s="1"/>
      <c r="EUO202" s="1"/>
      <c r="EUP202" s="1"/>
      <c r="EUQ202" s="25"/>
      <c r="EUT202" s="23"/>
      <c r="EUU202" s="23"/>
      <c r="EUV202" s="23"/>
      <c r="EUW202" s="23"/>
      <c r="EUX202" s="23"/>
      <c r="EUY202" s="23"/>
      <c r="EUZ202" s="24"/>
      <c r="EVA202" s="23"/>
      <c r="EVB202" s="23"/>
      <c r="EVC202" s="23"/>
      <c r="EVD202" s="1"/>
      <c r="EVE202" s="1"/>
      <c r="EVF202" s="1"/>
      <c r="EVG202" s="25"/>
      <c r="EVJ202" s="23"/>
      <c r="EVK202" s="23"/>
      <c r="EVL202" s="23"/>
      <c r="EVM202" s="23"/>
      <c r="EVN202" s="23"/>
      <c r="EVO202" s="23"/>
      <c r="EVP202" s="24"/>
      <c r="EVQ202" s="23"/>
      <c r="EVR202" s="23"/>
      <c r="EVS202" s="23"/>
      <c r="EVT202" s="1"/>
      <c r="EVU202" s="1"/>
      <c r="EVV202" s="1"/>
      <c r="EVW202" s="25"/>
      <c r="EVZ202" s="23"/>
      <c r="EWA202" s="23"/>
      <c r="EWB202" s="23"/>
      <c r="EWC202" s="23"/>
      <c r="EWD202" s="23"/>
      <c r="EWE202" s="23"/>
      <c r="EWF202" s="24"/>
      <c r="EWG202" s="23"/>
      <c r="EWH202" s="23"/>
      <c r="EWI202" s="23"/>
      <c r="EWJ202" s="1"/>
      <c r="EWK202" s="1"/>
      <c r="EWL202" s="1"/>
      <c r="EWM202" s="25"/>
      <c r="EWP202" s="23"/>
      <c r="EWQ202" s="23"/>
      <c r="EWR202" s="23"/>
      <c r="EWS202" s="23"/>
      <c r="EWT202" s="23"/>
      <c r="EWU202" s="23"/>
      <c r="EWV202" s="24"/>
      <c r="EWW202" s="23"/>
      <c r="EWX202" s="23"/>
      <c r="EWY202" s="23"/>
      <c r="EWZ202" s="1"/>
      <c r="EXA202" s="1"/>
      <c r="EXB202" s="1"/>
      <c r="EXC202" s="25"/>
      <c r="EXF202" s="23"/>
      <c r="EXG202" s="23"/>
      <c r="EXH202" s="23"/>
      <c r="EXI202" s="23"/>
      <c r="EXJ202" s="23"/>
      <c r="EXK202" s="23"/>
      <c r="EXL202" s="24"/>
      <c r="EXM202" s="23"/>
      <c r="EXN202" s="23"/>
      <c r="EXO202" s="23"/>
      <c r="EXP202" s="1"/>
      <c r="EXQ202" s="1"/>
      <c r="EXR202" s="1"/>
      <c r="EXS202" s="25"/>
      <c r="EXV202" s="23"/>
      <c r="EXW202" s="23"/>
      <c r="EXX202" s="23"/>
      <c r="EXY202" s="23"/>
      <c r="EXZ202" s="23"/>
      <c r="EYA202" s="23"/>
      <c r="EYB202" s="24"/>
      <c r="EYC202" s="23"/>
      <c r="EYD202" s="23"/>
      <c r="EYE202" s="23"/>
      <c r="EYF202" s="1"/>
      <c r="EYG202" s="1"/>
      <c r="EYH202" s="1"/>
      <c r="EYI202" s="25"/>
      <c r="EYL202" s="23"/>
      <c r="EYM202" s="23"/>
      <c r="EYN202" s="23"/>
      <c r="EYO202" s="23"/>
      <c r="EYP202" s="23"/>
      <c r="EYQ202" s="23"/>
      <c r="EYR202" s="24"/>
      <c r="EYS202" s="23"/>
      <c r="EYT202" s="23"/>
      <c r="EYU202" s="23"/>
      <c r="EYV202" s="1"/>
      <c r="EYW202" s="1"/>
      <c r="EYX202" s="1"/>
      <c r="EYY202" s="25"/>
      <c r="EZB202" s="23"/>
      <c r="EZC202" s="23"/>
      <c r="EZD202" s="23"/>
      <c r="EZE202" s="23"/>
      <c r="EZF202" s="23"/>
      <c r="EZG202" s="23"/>
      <c r="EZH202" s="24"/>
      <c r="EZI202" s="23"/>
      <c r="EZJ202" s="23"/>
      <c r="EZK202" s="23"/>
      <c r="EZL202" s="1"/>
      <c r="EZM202" s="1"/>
      <c r="EZN202" s="1"/>
      <c r="EZO202" s="25"/>
      <c r="EZR202" s="23"/>
      <c r="EZS202" s="23"/>
      <c r="EZT202" s="23"/>
      <c r="EZU202" s="23"/>
      <c r="EZV202" s="23"/>
      <c r="EZW202" s="23"/>
      <c r="EZX202" s="24"/>
      <c r="EZY202" s="23"/>
      <c r="EZZ202" s="23"/>
      <c r="FAA202" s="23"/>
      <c r="FAB202" s="1"/>
      <c r="FAC202" s="1"/>
      <c r="FAD202" s="1"/>
      <c r="FAE202" s="25"/>
      <c r="FAH202" s="23"/>
      <c r="FAI202" s="23"/>
      <c r="FAJ202" s="23"/>
      <c r="FAK202" s="23"/>
      <c r="FAL202" s="23"/>
      <c r="FAM202" s="23"/>
      <c r="FAN202" s="24"/>
      <c r="FAO202" s="23"/>
      <c r="FAP202" s="23"/>
      <c r="FAQ202" s="23"/>
      <c r="FAR202" s="1"/>
      <c r="FAS202" s="1"/>
      <c r="FAT202" s="1"/>
      <c r="FAU202" s="25"/>
      <c r="FAX202" s="23"/>
      <c r="FAY202" s="23"/>
      <c r="FAZ202" s="23"/>
      <c r="FBA202" s="23"/>
      <c r="FBB202" s="23"/>
      <c r="FBC202" s="23"/>
      <c r="FBD202" s="24"/>
      <c r="FBE202" s="23"/>
      <c r="FBF202" s="23"/>
      <c r="FBG202" s="23"/>
      <c r="FBH202" s="1"/>
      <c r="FBI202" s="1"/>
      <c r="FBJ202" s="1"/>
      <c r="FBK202" s="25"/>
      <c r="FBN202" s="23"/>
      <c r="FBO202" s="23"/>
      <c r="FBP202" s="23"/>
      <c r="FBQ202" s="23"/>
      <c r="FBR202" s="23"/>
      <c r="FBS202" s="23"/>
      <c r="FBT202" s="24"/>
      <c r="FBU202" s="23"/>
      <c r="FBV202" s="23"/>
      <c r="FBW202" s="23"/>
      <c r="FBX202" s="1"/>
      <c r="FBY202" s="1"/>
      <c r="FBZ202" s="1"/>
      <c r="FCA202" s="25"/>
      <c r="FCD202" s="23"/>
      <c r="FCE202" s="23"/>
      <c r="FCF202" s="23"/>
      <c r="FCG202" s="23"/>
      <c r="FCH202" s="23"/>
      <c r="FCI202" s="23"/>
      <c r="FCJ202" s="24"/>
      <c r="FCK202" s="23"/>
      <c r="FCL202" s="23"/>
      <c r="FCM202" s="23"/>
      <c r="FCN202" s="1"/>
      <c r="FCO202" s="1"/>
      <c r="FCP202" s="1"/>
      <c r="FCQ202" s="25"/>
      <c r="FCT202" s="23"/>
      <c r="FCU202" s="23"/>
      <c r="FCV202" s="23"/>
      <c r="FCW202" s="23"/>
      <c r="FCX202" s="23"/>
      <c r="FCY202" s="23"/>
      <c r="FCZ202" s="24"/>
      <c r="FDA202" s="23"/>
      <c r="FDB202" s="23"/>
      <c r="FDC202" s="23"/>
      <c r="FDD202" s="1"/>
      <c r="FDE202" s="1"/>
      <c r="FDF202" s="1"/>
      <c r="FDG202" s="25"/>
      <c r="FDJ202" s="23"/>
      <c r="FDK202" s="23"/>
      <c r="FDL202" s="23"/>
      <c r="FDM202" s="23"/>
      <c r="FDN202" s="23"/>
      <c r="FDO202" s="23"/>
      <c r="FDP202" s="24"/>
      <c r="FDQ202" s="23"/>
      <c r="FDR202" s="23"/>
      <c r="FDS202" s="23"/>
      <c r="FDT202" s="1"/>
      <c r="FDU202" s="1"/>
      <c r="FDV202" s="1"/>
      <c r="FDW202" s="25"/>
      <c r="FDZ202" s="23"/>
      <c r="FEA202" s="23"/>
      <c r="FEB202" s="23"/>
      <c r="FEC202" s="23"/>
      <c r="FED202" s="23"/>
      <c r="FEE202" s="23"/>
      <c r="FEF202" s="24"/>
      <c r="FEG202" s="23"/>
      <c r="FEH202" s="23"/>
      <c r="FEI202" s="23"/>
      <c r="FEJ202" s="1"/>
      <c r="FEK202" s="1"/>
      <c r="FEL202" s="1"/>
      <c r="FEM202" s="25"/>
      <c r="FEP202" s="23"/>
      <c r="FEQ202" s="23"/>
      <c r="FER202" s="23"/>
      <c r="FES202" s="23"/>
      <c r="FET202" s="23"/>
      <c r="FEU202" s="23"/>
      <c r="FEV202" s="24"/>
      <c r="FEW202" s="23"/>
      <c r="FEX202" s="23"/>
      <c r="FEY202" s="23"/>
      <c r="FEZ202" s="1"/>
      <c r="FFA202" s="1"/>
      <c r="FFB202" s="1"/>
      <c r="FFC202" s="25"/>
      <c r="FFF202" s="23"/>
      <c r="FFG202" s="23"/>
      <c r="FFH202" s="23"/>
      <c r="FFI202" s="23"/>
      <c r="FFJ202" s="23"/>
      <c r="FFK202" s="23"/>
      <c r="FFL202" s="24"/>
      <c r="FFM202" s="23"/>
      <c r="FFN202" s="23"/>
      <c r="FFO202" s="23"/>
      <c r="FFP202" s="1"/>
      <c r="FFQ202" s="1"/>
      <c r="FFR202" s="1"/>
      <c r="FFS202" s="25"/>
      <c r="FFV202" s="23"/>
      <c r="FFW202" s="23"/>
      <c r="FFX202" s="23"/>
      <c r="FFY202" s="23"/>
      <c r="FFZ202" s="23"/>
      <c r="FGA202" s="23"/>
      <c r="FGB202" s="24"/>
      <c r="FGC202" s="23"/>
      <c r="FGD202" s="23"/>
      <c r="FGE202" s="23"/>
      <c r="FGF202" s="1"/>
      <c r="FGG202" s="1"/>
      <c r="FGH202" s="1"/>
      <c r="FGI202" s="25"/>
      <c r="FGL202" s="23"/>
      <c r="FGM202" s="23"/>
      <c r="FGN202" s="23"/>
      <c r="FGO202" s="23"/>
      <c r="FGP202" s="23"/>
      <c r="FGQ202" s="23"/>
      <c r="FGR202" s="24"/>
      <c r="FGS202" s="23"/>
      <c r="FGT202" s="23"/>
      <c r="FGU202" s="23"/>
      <c r="FGV202" s="1"/>
      <c r="FGW202" s="1"/>
      <c r="FGX202" s="1"/>
      <c r="FGY202" s="25"/>
      <c r="FHB202" s="23"/>
      <c r="FHC202" s="23"/>
      <c r="FHD202" s="23"/>
      <c r="FHE202" s="23"/>
      <c r="FHF202" s="23"/>
      <c r="FHG202" s="23"/>
      <c r="FHH202" s="24"/>
      <c r="FHI202" s="23"/>
      <c r="FHJ202" s="23"/>
      <c r="FHK202" s="23"/>
      <c r="FHL202" s="1"/>
      <c r="FHM202" s="1"/>
      <c r="FHN202" s="1"/>
      <c r="FHO202" s="25"/>
      <c r="FHR202" s="23"/>
      <c r="FHS202" s="23"/>
      <c r="FHT202" s="23"/>
      <c r="FHU202" s="23"/>
      <c r="FHV202" s="23"/>
      <c r="FHW202" s="23"/>
      <c r="FHX202" s="24"/>
      <c r="FHY202" s="23"/>
      <c r="FHZ202" s="23"/>
      <c r="FIA202" s="23"/>
      <c r="FIB202" s="1"/>
      <c r="FIC202" s="1"/>
      <c r="FID202" s="1"/>
      <c r="FIE202" s="25"/>
      <c r="FIH202" s="23"/>
      <c r="FII202" s="23"/>
      <c r="FIJ202" s="23"/>
      <c r="FIK202" s="23"/>
      <c r="FIL202" s="23"/>
      <c r="FIM202" s="23"/>
      <c r="FIN202" s="24"/>
      <c r="FIO202" s="23"/>
      <c r="FIP202" s="23"/>
      <c r="FIQ202" s="23"/>
      <c r="FIR202" s="1"/>
      <c r="FIS202" s="1"/>
      <c r="FIT202" s="1"/>
      <c r="FIU202" s="25"/>
      <c r="FIX202" s="23"/>
      <c r="FIY202" s="23"/>
      <c r="FIZ202" s="23"/>
      <c r="FJA202" s="23"/>
      <c r="FJB202" s="23"/>
      <c r="FJC202" s="23"/>
      <c r="FJD202" s="24"/>
      <c r="FJE202" s="23"/>
      <c r="FJF202" s="23"/>
      <c r="FJG202" s="23"/>
      <c r="FJH202" s="1"/>
      <c r="FJI202" s="1"/>
      <c r="FJJ202" s="1"/>
      <c r="FJK202" s="25"/>
      <c r="FJN202" s="23"/>
      <c r="FJO202" s="23"/>
      <c r="FJP202" s="23"/>
      <c r="FJQ202" s="23"/>
      <c r="FJR202" s="23"/>
      <c r="FJS202" s="23"/>
      <c r="FJT202" s="24"/>
      <c r="FJU202" s="23"/>
      <c r="FJV202" s="23"/>
      <c r="FJW202" s="23"/>
      <c r="FJX202" s="1"/>
      <c r="FJY202" s="1"/>
      <c r="FJZ202" s="1"/>
      <c r="FKA202" s="25"/>
      <c r="FKD202" s="23"/>
      <c r="FKE202" s="23"/>
      <c r="FKF202" s="23"/>
      <c r="FKG202" s="23"/>
      <c r="FKH202" s="23"/>
      <c r="FKI202" s="23"/>
      <c r="FKJ202" s="24"/>
      <c r="FKK202" s="23"/>
      <c r="FKL202" s="23"/>
      <c r="FKM202" s="23"/>
      <c r="FKN202" s="1"/>
      <c r="FKO202" s="1"/>
      <c r="FKP202" s="1"/>
      <c r="FKQ202" s="25"/>
      <c r="FKT202" s="23"/>
      <c r="FKU202" s="23"/>
      <c r="FKV202" s="23"/>
      <c r="FKW202" s="23"/>
      <c r="FKX202" s="23"/>
      <c r="FKY202" s="23"/>
      <c r="FKZ202" s="24"/>
      <c r="FLA202" s="23"/>
      <c r="FLB202" s="23"/>
      <c r="FLC202" s="23"/>
      <c r="FLD202" s="1"/>
      <c r="FLE202" s="1"/>
      <c r="FLF202" s="1"/>
      <c r="FLG202" s="25"/>
      <c r="FLJ202" s="23"/>
      <c r="FLK202" s="23"/>
      <c r="FLL202" s="23"/>
      <c r="FLM202" s="23"/>
      <c r="FLN202" s="23"/>
      <c r="FLO202" s="23"/>
      <c r="FLP202" s="24"/>
      <c r="FLQ202" s="23"/>
      <c r="FLR202" s="23"/>
      <c r="FLS202" s="23"/>
      <c r="FLT202" s="1"/>
      <c r="FLU202" s="1"/>
      <c r="FLV202" s="1"/>
      <c r="FLW202" s="25"/>
      <c r="FLZ202" s="23"/>
      <c r="FMA202" s="23"/>
      <c r="FMB202" s="23"/>
      <c r="FMC202" s="23"/>
      <c r="FMD202" s="23"/>
      <c r="FME202" s="23"/>
      <c r="FMF202" s="24"/>
      <c r="FMG202" s="23"/>
      <c r="FMH202" s="23"/>
      <c r="FMI202" s="23"/>
      <c r="FMJ202" s="1"/>
      <c r="FMK202" s="1"/>
      <c r="FML202" s="1"/>
      <c r="FMM202" s="25"/>
      <c r="FMP202" s="23"/>
      <c r="FMQ202" s="23"/>
      <c r="FMR202" s="23"/>
      <c r="FMS202" s="23"/>
      <c r="FMT202" s="23"/>
      <c r="FMU202" s="23"/>
      <c r="FMV202" s="24"/>
      <c r="FMW202" s="23"/>
      <c r="FMX202" s="23"/>
      <c r="FMY202" s="23"/>
      <c r="FMZ202" s="1"/>
      <c r="FNA202" s="1"/>
      <c r="FNB202" s="1"/>
      <c r="FNC202" s="25"/>
      <c r="FNF202" s="23"/>
      <c r="FNG202" s="23"/>
      <c r="FNH202" s="23"/>
      <c r="FNI202" s="23"/>
      <c r="FNJ202" s="23"/>
      <c r="FNK202" s="23"/>
      <c r="FNL202" s="24"/>
      <c r="FNM202" s="23"/>
      <c r="FNN202" s="23"/>
      <c r="FNO202" s="23"/>
      <c r="FNP202" s="1"/>
      <c r="FNQ202" s="1"/>
      <c r="FNR202" s="1"/>
      <c r="FNS202" s="25"/>
      <c r="FNV202" s="23"/>
      <c r="FNW202" s="23"/>
      <c r="FNX202" s="23"/>
      <c r="FNY202" s="23"/>
      <c r="FNZ202" s="23"/>
      <c r="FOA202" s="23"/>
      <c r="FOB202" s="24"/>
      <c r="FOC202" s="23"/>
      <c r="FOD202" s="23"/>
      <c r="FOE202" s="23"/>
      <c r="FOF202" s="1"/>
      <c r="FOG202" s="1"/>
      <c r="FOH202" s="1"/>
      <c r="FOI202" s="25"/>
      <c r="FOL202" s="23"/>
      <c r="FOM202" s="23"/>
      <c r="FON202" s="23"/>
      <c r="FOO202" s="23"/>
      <c r="FOP202" s="23"/>
      <c r="FOQ202" s="23"/>
      <c r="FOR202" s="24"/>
      <c r="FOS202" s="23"/>
      <c r="FOT202" s="23"/>
      <c r="FOU202" s="23"/>
      <c r="FOV202" s="1"/>
      <c r="FOW202" s="1"/>
      <c r="FOX202" s="1"/>
      <c r="FOY202" s="25"/>
      <c r="FPB202" s="23"/>
      <c r="FPC202" s="23"/>
      <c r="FPD202" s="23"/>
      <c r="FPE202" s="23"/>
      <c r="FPF202" s="23"/>
      <c r="FPG202" s="23"/>
      <c r="FPH202" s="24"/>
      <c r="FPI202" s="23"/>
      <c r="FPJ202" s="23"/>
      <c r="FPK202" s="23"/>
      <c r="FPL202" s="1"/>
      <c r="FPM202" s="1"/>
      <c r="FPN202" s="1"/>
      <c r="FPO202" s="25"/>
      <c r="FPR202" s="23"/>
      <c r="FPS202" s="23"/>
      <c r="FPT202" s="23"/>
      <c r="FPU202" s="23"/>
      <c r="FPV202" s="23"/>
      <c r="FPW202" s="23"/>
      <c r="FPX202" s="24"/>
      <c r="FPY202" s="23"/>
      <c r="FPZ202" s="23"/>
      <c r="FQA202" s="23"/>
      <c r="FQB202" s="1"/>
      <c r="FQC202" s="1"/>
      <c r="FQD202" s="1"/>
      <c r="FQE202" s="25"/>
      <c r="FQH202" s="23"/>
      <c r="FQI202" s="23"/>
      <c r="FQJ202" s="23"/>
      <c r="FQK202" s="23"/>
      <c r="FQL202" s="23"/>
      <c r="FQM202" s="23"/>
      <c r="FQN202" s="24"/>
      <c r="FQO202" s="23"/>
      <c r="FQP202" s="23"/>
      <c r="FQQ202" s="23"/>
      <c r="FQR202" s="1"/>
      <c r="FQS202" s="1"/>
      <c r="FQT202" s="1"/>
      <c r="FQU202" s="25"/>
      <c r="FQX202" s="23"/>
      <c r="FQY202" s="23"/>
      <c r="FQZ202" s="23"/>
      <c r="FRA202" s="23"/>
      <c r="FRB202" s="23"/>
      <c r="FRC202" s="23"/>
      <c r="FRD202" s="24"/>
      <c r="FRE202" s="23"/>
      <c r="FRF202" s="23"/>
      <c r="FRG202" s="23"/>
      <c r="FRH202" s="1"/>
      <c r="FRI202" s="1"/>
      <c r="FRJ202" s="1"/>
      <c r="FRK202" s="25"/>
      <c r="FRN202" s="23"/>
      <c r="FRO202" s="23"/>
      <c r="FRP202" s="23"/>
      <c r="FRQ202" s="23"/>
      <c r="FRR202" s="23"/>
      <c r="FRS202" s="23"/>
      <c r="FRT202" s="24"/>
      <c r="FRU202" s="23"/>
      <c r="FRV202" s="23"/>
      <c r="FRW202" s="23"/>
      <c r="FRX202" s="1"/>
      <c r="FRY202" s="1"/>
      <c r="FRZ202" s="1"/>
      <c r="FSA202" s="25"/>
      <c r="FSD202" s="23"/>
      <c r="FSE202" s="23"/>
      <c r="FSF202" s="23"/>
      <c r="FSG202" s="23"/>
      <c r="FSH202" s="23"/>
      <c r="FSI202" s="23"/>
      <c r="FSJ202" s="24"/>
      <c r="FSK202" s="23"/>
      <c r="FSL202" s="23"/>
      <c r="FSM202" s="23"/>
      <c r="FSN202" s="1"/>
      <c r="FSO202" s="1"/>
      <c r="FSP202" s="1"/>
      <c r="FSQ202" s="25"/>
      <c r="FST202" s="23"/>
      <c r="FSU202" s="23"/>
      <c r="FSV202" s="23"/>
      <c r="FSW202" s="23"/>
      <c r="FSX202" s="23"/>
      <c r="FSY202" s="23"/>
      <c r="FSZ202" s="24"/>
      <c r="FTA202" s="23"/>
      <c r="FTB202" s="23"/>
      <c r="FTC202" s="23"/>
      <c r="FTD202" s="1"/>
      <c r="FTE202" s="1"/>
      <c r="FTF202" s="1"/>
      <c r="FTG202" s="25"/>
      <c r="FTJ202" s="23"/>
      <c r="FTK202" s="23"/>
      <c r="FTL202" s="23"/>
      <c r="FTM202" s="23"/>
      <c r="FTN202" s="23"/>
      <c r="FTO202" s="23"/>
      <c r="FTP202" s="24"/>
      <c r="FTQ202" s="23"/>
      <c r="FTR202" s="23"/>
      <c r="FTS202" s="23"/>
      <c r="FTT202" s="1"/>
      <c r="FTU202" s="1"/>
      <c r="FTV202" s="1"/>
      <c r="FTW202" s="25"/>
      <c r="FTZ202" s="23"/>
      <c r="FUA202" s="23"/>
      <c r="FUB202" s="23"/>
      <c r="FUC202" s="23"/>
      <c r="FUD202" s="23"/>
      <c r="FUE202" s="23"/>
      <c r="FUF202" s="24"/>
      <c r="FUG202" s="23"/>
      <c r="FUH202" s="23"/>
      <c r="FUI202" s="23"/>
      <c r="FUJ202" s="1"/>
      <c r="FUK202" s="1"/>
      <c r="FUL202" s="1"/>
      <c r="FUM202" s="25"/>
      <c r="FUP202" s="23"/>
      <c r="FUQ202" s="23"/>
      <c r="FUR202" s="23"/>
      <c r="FUS202" s="23"/>
      <c r="FUT202" s="23"/>
      <c r="FUU202" s="23"/>
      <c r="FUV202" s="24"/>
      <c r="FUW202" s="23"/>
      <c r="FUX202" s="23"/>
      <c r="FUY202" s="23"/>
      <c r="FUZ202" s="1"/>
      <c r="FVA202" s="1"/>
      <c r="FVB202" s="1"/>
      <c r="FVC202" s="25"/>
      <c r="FVF202" s="23"/>
      <c r="FVG202" s="23"/>
      <c r="FVH202" s="23"/>
      <c r="FVI202" s="23"/>
      <c r="FVJ202" s="23"/>
      <c r="FVK202" s="23"/>
      <c r="FVL202" s="24"/>
      <c r="FVM202" s="23"/>
      <c r="FVN202" s="23"/>
      <c r="FVO202" s="23"/>
      <c r="FVP202" s="1"/>
      <c r="FVQ202" s="1"/>
      <c r="FVR202" s="1"/>
      <c r="FVS202" s="25"/>
      <c r="FVV202" s="23"/>
      <c r="FVW202" s="23"/>
      <c r="FVX202" s="23"/>
      <c r="FVY202" s="23"/>
      <c r="FVZ202" s="23"/>
      <c r="FWA202" s="23"/>
      <c r="FWB202" s="24"/>
      <c r="FWC202" s="23"/>
      <c r="FWD202" s="23"/>
      <c r="FWE202" s="23"/>
      <c r="FWF202" s="1"/>
      <c r="FWG202" s="1"/>
      <c r="FWH202" s="1"/>
      <c r="FWI202" s="25"/>
      <c r="FWL202" s="23"/>
      <c r="FWM202" s="23"/>
      <c r="FWN202" s="23"/>
      <c r="FWO202" s="23"/>
      <c r="FWP202" s="23"/>
      <c r="FWQ202" s="23"/>
      <c r="FWR202" s="24"/>
      <c r="FWS202" s="23"/>
      <c r="FWT202" s="23"/>
      <c r="FWU202" s="23"/>
      <c r="FWV202" s="1"/>
      <c r="FWW202" s="1"/>
      <c r="FWX202" s="1"/>
      <c r="FWY202" s="25"/>
      <c r="FXB202" s="23"/>
      <c r="FXC202" s="23"/>
      <c r="FXD202" s="23"/>
      <c r="FXE202" s="23"/>
      <c r="FXF202" s="23"/>
      <c r="FXG202" s="23"/>
      <c r="FXH202" s="24"/>
      <c r="FXI202" s="23"/>
      <c r="FXJ202" s="23"/>
      <c r="FXK202" s="23"/>
      <c r="FXL202" s="1"/>
      <c r="FXM202" s="1"/>
      <c r="FXN202" s="1"/>
      <c r="FXO202" s="25"/>
      <c r="FXR202" s="23"/>
      <c r="FXS202" s="23"/>
      <c r="FXT202" s="23"/>
      <c r="FXU202" s="23"/>
      <c r="FXV202" s="23"/>
      <c r="FXW202" s="23"/>
      <c r="FXX202" s="24"/>
      <c r="FXY202" s="23"/>
      <c r="FXZ202" s="23"/>
      <c r="FYA202" s="23"/>
      <c r="FYB202" s="1"/>
      <c r="FYC202" s="1"/>
      <c r="FYD202" s="1"/>
      <c r="FYE202" s="25"/>
      <c r="FYH202" s="23"/>
      <c r="FYI202" s="23"/>
      <c r="FYJ202" s="23"/>
      <c r="FYK202" s="23"/>
      <c r="FYL202" s="23"/>
      <c r="FYM202" s="23"/>
      <c r="FYN202" s="24"/>
      <c r="FYO202" s="23"/>
      <c r="FYP202" s="23"/>
      <c r="FYQ202" s="23"/>
      <c r="FYR202" s="1"/>
      <c r="FYS202" s="1"/>
      <c r="FYT202" s="1"/>
      <c r="FYU202" s="25"/>
      <c r="FYX202" s="23"/>
      <c r="FYY202" s="23"/>
      <c r="FYZ202" s="23"/>
      <c r="FZA202" s="23"/>
      <c r="FZB202" s="23"/>
      <c r="FZC202" s="23"/>
      <c r="FZD202" s="24"/>
      <c r="FZE202" s="23"/>
      <c r="FZF202" s="23"/>
      <c r="FZG202" s="23"/>
      <c r="FZH202" s="1"/>
      <c r="FZI202" s="1"/>
      <c r="FZJ202" s="1"/>
      <c r="FZK202" s="25"/>
      <c r="FZN202" s="23"/>
      <c r="FZO202" s="23"/>
      <c r="FZP202" s="23"/>
      <c r="FZQ202" s="23"/>
      <c r="FZR202" s="23"/>
      <c r="FZS202" s="23"/>
      <c r="FZT202" s="24"/>
      <c r="FZU202" s="23"/>
      <c r="FZV202" s="23"/>
      <c r="FZW202" s="23"/>
      <c r="FZX202" s="1"/>
      <c r="FZY202" s="1"/>
      <c r="FZZ202" s="1"/>
      <c r="GAA202" s="25"/>
      <c r="GAD202" s="23"/>
      <c r="GAE202" s="23"/>
      <c r="GAF202" s="23"/>
      <c r="GAG202" s="23"/>
      <c r="GAH202" s="23"/>
      <c r="GAI202" s="23"/>
      <c r="GAJ202" s="24"/>
      <c r="GAK202" s="23"/>
      <c r="GAL202" s="23"/>
      <c r="GAM202" s="23"/>
      <c r="GAN202" s="1"/>
      <c r="GAO202" s="1"/>
      <c r="GAP202" s="1"/>
      <c r="GAQ202" s="25"/>
      <c r="GAT202" s="23"/>
      <c r="GAU202" s="23"/>
      <c r="GAV202" s="23"/>
      <c r="GAW202" s="23"/>
      <c r="GAX202" s="23"/>
      <c r="GAY202" s="23"/>
      <c r="GAZ202" s="24"/>
      <c r="GBA202" s="23"/>
      <c r="GBB202" s="23"/>
      <c r="GBC202" s="23"/>
      <c r="GBD202" s="1"/>
      <c r="GBE202" s="1"/>
      <c r="GBF202" s="1"/>
      <c r="GBG202" s="25"/>
      <c r="GBJ202" s="23"/>
      <c r="GBK202" s="23"/>
      <c r="GBL202" s="23"/>
      <c r="GBM202" s="23"/>
      <c r="GBN202" s="23"/>
      <c r="GBO202" s="23"/>
      <c r="GBP202" s="24"/>
      <c r="GBQ202" s="23"/>
      <c r="GBR202" s="23"/>
      <c r="GBS202" s="23"/>
      <c r="GBT202" s="1"/>
      <c r="GBU202" s="1"/>
      <c r="GBV202" s="1"/>
      <c r="GBW202" s="25"/>
      <c r="GBZ202" s="23"/>
      <c r="GCA202" s="23"/>
      <c r="GCB202" s="23"/>
      <c r="GCC202" s="23"/>
      <c r="GCD202" s="23"/>
      <c r="GCE202" s="23"/>
      <c r="GCF202" s="24"/>
      <c r="GCG202" s="23"/>
      <c r="GCH202" s="23"/>
      <c r="GCI202" s="23"/>
      <c r="GCJ202" s="1"/>
      <c r="GCK202" s="1"/>
      <c r="GCL202" s="1"/>
      <c r="GCM202" s="25"/>
      <c r="GCP202" s="23"/>
      <c r="GCQ202" s="23"/>
      <c r="GCR202" s="23"/>
      <c r="GCS202" s="23"/>
      <c r="GCT202" s="23"/>
      <c r="GCU202" s="23"/>
      <c r="GCV202" s="24"/>
      <c r="GCW202" s="23"/>
      <c r="GCX202" s="23"/>
      <c r="GCY202" s="23"/>
      <c r="GCZ202" s="1"/>
      <c r="GDA202" s="1"/>
      <c r="GDB202" s="1"/>
      <c r="GDC202" s="25"/>
      <c r="GDF202" s="23"/>
      <c r="GDG202" s="23"/>
      <c r="GDH202" s="23"/>
      <c r="GDI202" s="23"/>
      <c r="GDJ202" s="23"/>
      <c r="GDK202" s="23"/>
      <c r="GDL202" s="24"/>
      <c r="GDM202" s="23"/>
      <c r="GDN202" s="23"/>
      <c r="GDO202" s="23"/>
      <c r="GDP202" s="1"/>
      <c r="GDQ202" s="1"/>
      <c r="GDR202" s="1"/>
      <c r="GDS202" s="25"/>
      <c r="GDV202" s="23"/>
      <c r="GDW202" s="23"/>
      <c r="GDX202" s="23"/>
      <c r="GDY202" s="23"/>
      <c r="GDZ202" s="23"/>
      <c r="GEA202" s="23"/>
      <c r="GEB202" s="24"/>
      <c r="GEC202" s="23"/>
      <c r="GED202" s="23"/>
      <c r="GEE202" s="23"/>
      <c r="GEF202" s="1"/>
      <c r="GEG202" s="1"/>
      <c r="GEH202" s="1"/>
      <c r="GEI202" s="25"/>
      <c r="GEL202" s="23"/>
      <c r="GEM202" s="23"/>
      <c r="GEN202" s="23"/>
      <c r="GEO202" s="23"/>
      <c r="GEP202" s="23"/>
      <c r="GEQ202" s="23"/>
      <c r="GER202" s="24"/>
      <c r="GES202" s="23"/>
      <c r="GET202" s="23"/>
      <c r="GEU202" s="23"/>
      <c r="GEV202" s="1"/>
      <c r="GEW202" s="1"/>
      <c r="GEX202" s="1"/>
      <c r="GEY202" s="25"/>
      <c r="GFB202" s="23"/>
      <c r="GFC202" s="23"/>
      <c r="GFD202" s="23"/>
      <c r="GFE202" s="23"/>
      <c r="GFF202" s="23"/>
      <c r="GFG202" s="23"/>
      <c r="GFH202" s="24"/>
      <c r="GFI202" s="23"/>
      <c r="GFJ202" s="23"/>
      <c r="GFK202" s="23"/>
      <c r="GFL202" s="1"/>
      <c r="GFM202" s="1"/>
      <c r="GFN202" s="1"/>
      <c r="GFO202" s="25"/>
      <c r="GFR202" s="23"/>
      <c r="GFS202" s="23"/>
      <c r="GFT202" s="23"/>
      <c r="GFU202" s="23"/>
      <c r="GFV202" s="23"/>
      <c r="GFW202" s="23"/>
      <c r="GFX202" s="24"/>
      <c r="GFY202" s="23"/>
      <c r="GFZ202" s="23"/>
      <c r="GGA202" s="23"/>
      <c r="GGB202" s="1"/>
      <c r="GGC202" s="1"/>
      <c r="GGD202" s="1"/>
      <c r="GGE202" s="25"/>
      <c r="GGH202" s="23"/>
      <c r="GGI202" s="23"/>
      <c r="GGJ202" s="23"/>
      <c r="GGK202" s="23"/>
      <c r="GGL202" s="23"/>
      <c r="GGM202" s="23"/>
      <c r="GGN202" s="24"/>
      <c r="GGO202" s="23"/>
      <c r="GGP202" s="23"/>
      <c r="GGQ202" s="23"/>
      <c r="GGR202" s="1"/>
      <c r="GGS202" s="1"/>
      <c r="GGT202" s="1"/>
      <c r="GGU202" s="25"/>
      <c r="GGX202" s="23"/>
      <c r="GGY202" s="23"/>
      <c r="GGZ202" s="23"/>
      <c r="GHA202" s="23"/>
      <c r="GHB202" s="23"/>
      <c r="GHC202" s="23"/>
      <c r="GHD202" s="24"/>
      <c r="GHE202" s="23"/>
      <c r="GHF202" s="23"/>
      <c r="GHG202" s="23"/>
      <c r="GHH202" s="1"/>
      <c r="GHI202" s="1"/>
      <c r="GHJ202" s="1"/>
      <c r="GHK202" s="25"/>
      <c r="GHN202" s="23"/>
      <c r="GHO202" s="23"/>
      <c r="GHP202" s="23"/>
      <c r="GHQ202" s="23"/>
      <c r="GHR202" s="23"/>
      <c r="GHS202" s="23"/>
      <c r="GHT202" s="24"/>
      <c r="GHU202" s="23"/>
      <c r="GHV202" s="23"/>
      <c r="GHW202" s="23"/>
      <c r="GHX202" s="1"/>
      <c r="GHY202" s="1"/>
      <c r="GHZ202" s="1"/>
      <c r="GIA202" s="25"/>
      <c r="GID202" s="23"/>
      <c r="GIE202" s="23"/>
      <c r="GIF202" s="23"/>
      <c r="GIG202" s="23"/>
      <c r="GIH202" s="23"/>
      <c r="GII202" s="23"/>
      <c r="GIJ202" s="24"/>
      <c r="GIK202" s="23"/>
      <c r="GIL202" s="23"/>
      <c r="GIM202" s="23"/>
      <c r="GIN202" s="1"/>
      <c r="GIO202" s="1"/>
      <c r="GIP202" s="1"/>
      <c r="GIQ202" s="25"/>
      <c r="GIT202" s="23"/>
      <c r="GIU202" s="23"/>
      <c r="GIV202" s="23"/>
      <c r="GIW202" s="23"/>
      <c r="GIX202" s="23"/>
      <c r="GIY202" s="23"/>
      <c r="GIZ202" s="24"/>
      <c r="GJA202" s="23"/>
      <c r="GJB202" s="23"/>
      <c r="GJC202" s="23"/>
      <c r="GJD202" s="1"/>
      <c r="GJE202" s="1"/>
      <c r="GJF202" s="1"/>
      <c r="GJG202" s="25"/>
      <c r="GJJ202" s="23"/>
      <c r="GJK202" s="23"/>
      <c r="GJL202" s="23"/>
      <c r="GJM202" s="23"/>
      <c r="GJN202" s="23"/>
      <c r="GJO202" s="23"/>
      <c r="GJP202" s="24"/>
      <c r="GJQ202" s="23"/>
      <c r="GJR202" s="23"/>
      <c r="GJS202" s="23"/>
      <c r="GJT202" s="1"/>
      <c r="GJU202" s="1"/>
      <c r="GJV202" s="1"/>
      <c r="GJW202" s="25"/>
      <c r="GJZ202" s="23"/>
      <c r="GKA202" s="23"/>
      <c r="GKB202" s="23"/>
      <c r="GKC202" s="23"/>
      <c r="GKD202" s="23"/>
      <c r="GKE202" s="23"/>
      <c r="GKF202" s="24"/>
      <c r="GKG202" s="23"/>
      <c r="GKH202" s="23"/>
      <c r="GKI202" s="23"/>
      <c r="GKJ202" s="1"/>
      <c r="GKK202" s="1"/>
      <c r="GKL202" s="1"/>
      <c r="GKM202" s="25"/>
      <c r="GKP202" s="23"/>
      <c r="GKQ202" s="23"/>
      <c r="GKR202" s="23"/>
      <c r="GKS202" s="23"/>
      <c r="GKT202" s="23"/>
      <c r="GKU202" s="23"/>
      <c r="GKV202" s="24"/>
      <c r="GKW202" s="23"/>
      <c r="GKX202" s="23"/>
      <c r="GKY202" s="23"/>
      <c r="GKZ202" s="1"/>
      <c r="GLA202" s="1"/>
      <c r="GLB202" s="1"/>
      <c r="GLC202" s="25"/>
      <c r="GLF202" s="23"/>
      <c r="GLG202" s="23"/>
      <c r="GLH202" s="23"/>
      <c r="GLI202" s="23"/>
      <c r="GLJ202" s="23"/>
      <c r="GLK202" s="23"/>
      <c r="GLL202" s="24"/>
      <c r="GLM202" s="23"/>
      <c r="GLN202" s="23"/>
      <c r="GLO202" s="23"/>
      <c r="GLP202" s="1"/>
      <c r="GLQ202" s="1"/>
      <c r="GLR202" s="1"/>
      <c r="GLS202" s="25"/>
      <c r="GLV202" s="23"/>
      <c r="GLW202" s="23"/>
      <c r="GLX202" s="23"/>
      <c r="GLY202" s="23"/>
      <c r="GLZ202" s="23"/>
      <c r="GMA202" s="23"/>
      <c r="GMB202" s="24"/>
      <c r="GMC202" s="23"/>
      <c r="GMD202" s="23"/>
      <c r="GME202" s="23"/>
      <c r="GMF202" s="1"/>
      <c r="GMG202" s="1"/>
      <c r="GMH202" s="1"/>
      <c r="GMI202" s="25"/>
      <c r="GML202" s="23"/>
      <c r="GMM202" s="23"/>
      <c r="GMN202" s="23"/>
      <c r="GMO202" s="23"/>
      <c r="GMP202" s="23"/>
      <c r="GMQ202" s="23"/>
      <c r="GMR202" s="24"/>
      <c r="GMS202" s="23"/>
      <c r="GMT202" s="23"/>
      <c r="GMU202" s="23"/>
      <c r="GMV202" s="1"/>
      <c r="GMW202" s="1"/>
      <c r="GMX202" s="1"/>
      <c r="GMY202" s="25"/>
      <c r="GNB202" s="23"/>
      <c r="GNC202" s="23"/>
      <c r="GND202" s="23"/>
      <c r="GNE202" s="23"/>
      <c r="GNF202" s="23"/>
      <c r="GNG202" s="23"/>
      <c r="GNH202" s="24"/>
      <c r="GNI202" s="23"/>
      <c r="GNJ202" s="23"/>
      <c r="GNK202" s="23"/>
      <c r="GNL202" s="1"/>
      <c r="GNM202" s="1"/>
      <c r="GNN202" s="1"/>
      <c r="GNO202" s="25"/>
      <c r="GNR202" s="23"/>
      <c r="GNS202" s="23"/>
      <c r="GNT202" s="23"/>
      <c r="GNU202" s="23"/>
      <c r="GNV202" s="23"/>
      <c r="GNW202" s="23"/>
      <c r="GNX202" s="24"/>
      <c r="GNY202" s="23"/>
      <c r="GNZ202" s="23"/>
      <c r="GOA202" s="23"/>
      <c r="GOB202" s="1"/>
      <c r="GOC202" s="1"/>
      <c r="GOD202" s="1"/>
      <c r="GOE202" s="25"/>
      <c r="GOH202" s="23"/>
      <c r="GOI202" s="23"/>
      <c r="GOJ202" s="23"/>
      <c r="GOK202" s="23"/>
      <c r="GOL202" s="23"/>
      <c r="GOM202" s="23"/>
      <c r="GON202" s="24"/>
      <c r="GOO202" s="23"/>
      <c r="GOP202" s="23"/>
      <c r="GOQ202" s="23"/>
      <c r="GOR202" s="1"/>
      <c r="GOS202" s="1"/>
      <c r="GOT202" s="1"/>
      <c r="GOU202" s="25"/>
      <c r="GOX202" s="23"/>
      <c r="GOY202" s="23"/>
      <c r="GOZ202" s="23"/>
      <c r="GPA202" s="23"/>
      <c r="GPB202" s="23"/>
      <c r="GPC202" s="23"/>
      <c r="GPD202" s="24"/>
      <c r="GPE202" s="23"/>
      <c r="GPF202" s="23"/>
      <c r="GPG202" s="23"/>
      <c r="GPH202" s="1"/>
      <c r="GPI202" s="1"/>
      <c r="GPJ202" s="1"/>
      <c r="GPK202" s="25"/>
      <c r="GPN202" s="23"/>
      <c r="GPO202" s="23"/>
      <c r="GPP202" s="23"/>
      <c r="GPQ202" s="23"/>
      <c r="GPR202" s="23"/>
      <c r="GPS202" s="23"/>
      <c r="GPT202" s="24"/>
      <c r="GPU202" s="23"/>
      <c r="GPV202" s="23"/>
      <c r="GPW202" s="23"/>
      <c r="GPX202" s="1"/>
      <c r="GPY202" s="1"/>
      <c r="GPZ202" s="1"/>
      <c r="GQA202" s="25"/>
      <c r="GQD202" s="23"/>
      <c r="GQE202" s="23"/>
      <c r="GQF202" s="23"/>
      <c r="GQG202" s="23"/>
      <c r="GQH202" s="23"/>
      <c r="GQI202" s="23"/>
      <c r="GQJ202" s="24"/>
      <c r="GQK202" s="23"/>
      <c r="GQL202" s="23"/>
      <c r="GQM202" s="23"/>
      <c r="GQN202" s="1"/>
      <c r="GQO202" s="1"/>
      <c r="GQP202" s="1"/>
      <c r="GQQ202" s="25"/>
      <c r="GQT202" s="23"/>
      <c r="GQU202" s="23"/>
      <c r="GQV202" s="23"/>
      <c r="GQW202" s="23"/>
      <c r="GQX202" s="23"/>
      <c r="GQY202" s="23"/>
      <c r="GQZ202" s="24"/>
      <c r="GRA202" s="23"/>
      <c r="GRB202" s="23"/>
      <c r="GRC202" s="23"/>
      <c r="GRD202" s="1"/>
      <c r="GRE202" s="1"/>
      <c r="GRF202" s="1"/>
      <c r="GRG202" s="25"/>
      <c r="GRJ202" s="23"/>
      <c r="GRK202" s="23"/>
      <c r="GRL202" s="23"/>
      <c r="GRM202" s="23"/>
      <c r="GRN202" s="23"/>
      <c r="GRO202" s="23"/>
      <c r="GRP202" s="24"/>
      <c r="GRQ202" s="23"/>
      <c r="GRR202" s="23"/>
      <c r="GRS202" s="23"/>
      <c r="GRT202" s="1"/>
      <c r="GRU202" s="1"/>
      <c r="GRV202" s="1"/>
      <c r="GRW202" s="25"/>
      <c r="GRZ202" s="23"/>
      <c r="GSA202" s="23"/>
      <c r="GSB202" s="23"/>
      <c r="GSC202" s="23"/>
      <c r="GSD202" s="23"/>
      <c r="GSE202" s="23"/>
      <c r="GSF202" s="24"/>
      <c r="GSG202" s="23"/>
      <c r="GSH202" s="23"/>
      <c r="GSI202" s="23"/>
      <c r="GSJ202" s="1"/>
      <c r="GSK202" s="1"/>
      <c r="GSL202" s="1"/>
      <c r="GSM202" s="25"/>
      <c r="GSP202" s="23"/>
      <c r="GSQ202" s="23"/>
      <c r="GSR202" s="23"/>
      <c r="GSS202" s="23"/>
      <c r="GST202" s="23"/>
      <c r="GSU202" s="23"/>
      <c r="GSV202" s="24"/>
      <c r="GSW202" s="23"/>
      <c r="GSX202" s="23"/>
      <c r="GSY202" s="23"/>
      <c r="GSZ202" s="1"/>
      <c r="GTA202" s="1"/>
      <c r="GTB202" s="1"/>
      <c r="GTC202" s="25"/>
      <c r="GTF202" s="23"/>
      <c r="GTG202" s="23"/>
      <c r="GTH202" s="23"/>
      <c r="GTI202" s="23"/>
      <c r="GTJ202" s="23"/>
      <c r="GTK202" s="23"/>
      <c r="GTL202" s="24"/>
      <c r="GTM202" s="23"/>
      <c r="GTN202" s="23"/>
      <c r="GTO202" s="23"/>
      <c r="GTP202" s="1"/>
      <c r="GTQ202" s="1"/>
      <c r="GTR202" s="1"/>
      <c r="GTS202" s="25"/>
      <c r="GTV202" s="23"/>
      <c r="GTW202" s="23"/>
      <c r="GTX202" s="23"/>
      <c r="GTY202" s="23"/>
      <c r="GTZ202" s="23"/>
      <c r="GUA202" s="23"/>
      <c r="GUB202" s="24"/>
      <c r="GUC202" s="23"/>
      <c r="GUD202" s="23"/>
      <c r="GUE202" s="23"/>
      <c r="GUF202" s="1"/>
      <c r="GUG202" s="1"/>
      <c r="GUH202" s="1"/>
      <c r="GUI202" s="25"/>
      <c r="GUL202" s="23"/>
      <c r="GUM202" s="23"/>
      <c r="GUN202" s="23"/>
      <c r="GUO202" s="23"/>
      <c r="GUP202" s="23"/>
      <c r="GUQ202" s="23"/>
      <c r="GUR202" s="24"/>
      <c r="GUS202" s="23"/>
      <c r="GUT202" s="23"/>
      <c r="GUU202" s="23"/>
      <c r="GUV202" s="1"/>
      <c r="GUW202" s="1"/>
      <c r="GUX202" s="1"/>
      <c r="GUY202" s="25"/>
      <c r="GVB202" s="23"/>
      <c r="GVC202" s="23"/>
      <c r="GVD202" s="23"/>
      <c r="GVE202" s="23"/>
      <c r="GVF202" s="23"/>
      <c r="GVG202" s="23"/>
      <c r="GVH202" s="24"/>
      <c r="GVI202" s="23"/>
      <c r="GVJ202" s="23"/>
      <c r="GVK202" s="23"/>
      <c r="GVL202" s="1"/>
      <c r="GVM202" s="1"/>
      <c r="GVN202" s="1"/>
      <c r="GVO202" s="25"/>
      <c r="GVR202" s="23"/>
      <c r="GVS202" s="23"/>
      <c r="GVT202" s="23"/>
      <c r="GVU202" s="23"/>
      <c r="GVV202" s="23"/>
      <c r="GVW202" s="23"/>
      <c r="GVX202" s="24"/>
      <c r="GVY202" s="23"/>
      <c r="GVZ202" s="23"/>
      <c r="GWA202" s="23"/>
      <c r="GWB202" s="1"/>
      <c r="GWC202" s="1"/>
      <c r="GWD202" s="1"/>
      <c r="GWE202" s="25"/>
      <c r="GWH202" s="23"/>
      <c r="GWI202" s="23"/>
      <c r="GWJ202" s="23"/>
      <c r="GWK202" s="23"/>
      <c r="GWL202" s="23"/>
      <c r="GWM202" s="23"/>
      <c r="GWN202" s="24"/>
      <c r="GWO202" s="23"/>
      <c r="GWP202" s="23"/>
      <c r="GWQ202" s="23"/>
      <c r="GWR202" s="1"/>
      <c r="GWS202" s="1"/>
      <c r="GWT202" s="1"/>
      <c r="GWU202" s="25"/>
      <c r="GWX202" s="23"/>
      <c r="GWY202" s="23"/>
      <c r="GWZ202" s="23"/>
      <c r="GXA202" s="23"/>
      <c r="GXB202" s="23"/>
      <c r="GXC202" s="23"/>
      <c r="GXD202" s="24"/>
      <c r="GXE202" s="23"/>
      <c r="GXF202" s="23"/>
      <c r="GXG202" s="23"/>
      <c r="GXH202" s="1"/>
      <c r="GXI202" s="1"/>
      <c r="GXJ202" s="1"/>
      <c r="GXK202" s="25"/>
      <c r="GXN202" s="23"/>
      <c r="GXO202" s="23"/>
      <c r="GXP202" s="23"/>
      <c r="GXQ202" s="23"/>
      <c r="GXR202" s="23"/>
      <c r="GXS202" s="23"/>
      <c r="GXT202" s="24"/>
      <c r="GXU202" s="23"/>
      <c r="GXV202" s="23"/>
      <c r="GXW202" s="23"/>
      <c r="GXX202" s="1"/>
      <c r="GXY202" s="1"/>
      <c r="GXZ202" s="1"/>
      <c r="GYA202" s="25"/>
      <c r="GYD202" s="23"/>
      <c r="GYE202" s="23"/>
      <c r="GYF202" s="23"/>
      <c r="GYG202" s="23"/>
      <c r="GYH202" s="23"/>
      <c r="GYI202" s="23"/>
      <c r="GYJ202" s="24"/>
      <c r="GYK202" s="23"/>
      <c r="GYL202" s="23"/>
      <c r="GYM202" s="23"/>
      <c r="GYN202" s="1"/>
      <c r="GYO202" s="1"/>
      <c r="GYP202" s="1"/>
      <c r="GYQ202" s="25"/>
      <c r="GYT202" s="23"/>
      <c r="GYU202" s="23"/>
      <c r="GYV202" s="23"/>
      <c r="GYW202" s="23"/>
      <c r="GYX202" s="23"/>
      <c r="GYY202" s="23"/>
      <c r="GYZ202" s="24"/>
      <c r="GZA202" s="23"/>
      <c r="GZB202" s="23"/>
      <c r="GZC202" s="23"/>
      <c r="GZD202" s="1"/>
      <c r="GZE202" s="1"/>
      <c r="GZF202" s="1"/>
      <c r="GZG202" s="25"/>
      <c r="GZJ202" s="23"/>
      <c r="GZK202" s="23"/>
      <c r="GZL202" s="23"/>
      <c r="GZM202" s="23"/>
      <c r="GZN202" s="23"/>
      <c r="GZO202" s="23"/>
      <c r="GZP202" s="24"/>
      <c r="GZQ202" s="23"/>
      <c r="GZR202" s="23"/>
      <c r="GZS202" s="23"/>
      <c r="GZT202" s="1"/>
      <c r="GZU202" s="1"/>
      <c r="GZV202" s="1"/>
      <c r="GZW202" s="25"/>
      <c r="GZZ202" s="23"/>
      <c r="HAA202" s="23"/>
      <c r="HAB202" s="23"/>
      <c r="HAC202" s="23"/>
      <c r="HAD202" s="23"/>
      <c r="HAE202" s="23"/>
      <c r="HAF202" s="24"/>
      <c r="HAG202" s="23"/>
      <c r="HAH202" s="23"/>
      <c r="HAI202" s="23"/>
      <c r="HAJ202" s="1"/>
      <c r="HAK202" s="1"/>
      <c r="HAL202" s="1"/>
      <c r="HAM202" s="25"/>
      <c r="HAP202" s="23"/>
      <c r="HAQ202" s="23"/>
      <c r="HAR202" s="23"/>
      <c r="HAS202" s="23"/>
      <c r="HAT202" s="23"/>
      <c r="HAU202" s="23"/>
      <c r="HAV202" s="24"/>
      <c r="HAW202" s="23"/>
      <c r="HAX202" s="23"/>
      <c r="HAY202" s="23"/>
      <c r="HAZ202" s="1"/>
      <c r="HBA202" s="1"/>
      <c r="HBB202" s="1"/>
      <c r="HBC202" s="25"/>
      <c r="HBF202" s="23"/>
      <c r="HBG202" s="23"/>
      <c r="HBH202" s="23"/>
      <c r="HBI202" s="23"/>
      <c r="HBJ202" s="23"/>
      <c r="HBK202" s="23"/>
      <c r="HBL202" s="24"/>
      <c r="HBM202" s="23"/>
      <c r="HBN202" s="23"/>
      <c r="HBO202" s="23"/>
      <c r="HBP202" s="1"/>
      <c r="HBQ202" s="1"/>
      <c r="HBR202" s="1"/>
      <c r="HBS202" s="25"/>
      <c r="HBV202" s="23"/>
      <c r="HBW202" s="23"/>
      <c r="HBX202" s="23"/>
      <c r="HBY202" s="23"/>
      <c r="HBZ202" s="23"/>
      <c r="HCA202" s="23"/>
      <c r="HCB202" s="24"/>
      <c r="HCC202" s="23"/>
      <c r="HCD202" s="23"/>
      <c r="HCE202" s="23"/>
      <c r="HCF202" s="1"/>
      <c r="HCG202" s="1"/>
      <c r="HCH202" s="1"/>
      <c r="HCI202" s="25"/>
      <c r="HCL202" s="23"/>
      <c r="HCM202" s="23"/>
      <c r="HCN202" s="23"/>
      <c r="HCO202" s="23"/>
      <c r="HCP202" s="23"/>
      <c r="HCQ202" s="23"/>
      <c r="HCR202" s="24"/>
      <c r="HCS202" s="23"/>
      <c r="HCT202" s="23"/>
      <c r="HCU202" s="23"/>
      <c r="HCV202" s="1"/>
      <c r="HCW202" s="1"/>
      <c r="HCX202" s="1"/>
      <c r="HCY202" s="25"/>
      <c r="HDB202" s="23"/>
      <c r="HDC202" s="23"/>
      <c r="HDD202" s="23"/>
      <c r="HDE202" s="23"/>
      <c r="HDF202" s="23"/>
      <c r="HDG202" s="23"/>
      <c r="HDH202" s="24"/>
      <c r="HDI202" s="23"/>
      <c r="HDJ202" s="23"/>
      <c r="HDK202" s="23"/>
      <c r="HDL202" s="1"/>
      <c r="HDM202" s="1"/>
      <c r="HDN202" s="1"/>
      <c r="HDO202" s="25"/>
      <c r="HDR202" s="23"/>
      <c r="HDS202" s="23"/>
      <c r="HDT202" s="23"/>
      <c r="HDU202" s="23"/>
      <c r="HDV202" s="23"/>
      <c r="HDW202" s="23"/>
      <c r="HDX202" s="24"/>
      <c r="HDY202" s="23"/>
      <c r="HDZ202" s="23"/>
      <c r="HEA202" s="23"/>
      <c r="HEB202" s="1"/>
      <c r="HEC202" s="1"/>
      <c r="HED202" s="1"/>
      <c r="HEE202" s="25"/>
      <c r="HEH202" s="23"/>
      <c r="HEI202" s="23"/>
      <c r="HEJ202" s="23"/>
      <c r="HEK202" s="23"/>
      <c r="HEL202" s="23"/>
      <c r="HEM202" s="23"/>
      <c r="HEN202" s="24"/>
      <c r="HEO202" s="23"/>
      <c r="HEP202" s="23"/>
      <c r="HEQ202" s="23"/>
      <c r="HER202" s="1"/>
      <c r="HES202" s="1"/>
      <c r="HET202" s="1"/>
      <c r="HEU202" s="25"/>
      <c r="HEX202" s="23"/>
      <c r="HEY202" s="23"/>
      <c r="HEZ202" s="23"/>
      <c r="HFA202" s="23"/>
      <c r="HFB202" s="23"/>
      <c r="HFC202" s="23"/>
      <c r="HFD202" s="24"/>
      <c r="HFE202" s="23"/>
      <c r="HFF202" s="23"/>
      <c r="HFG202" s="23"/>
      <c r="HFH202" s="1"/>
      <c r="HFI202" s="1"/>
      <c r="HFJ202" s="1"/>
      <c r="HFK202" s="25"/>
      <c r="HFN202" s="23"/>
      <c r="HFO202" s="23"/>
      <c r="HFP202" s="23"/>
      <c r="HFQ202" s="23"/>
      <c r="HFR202" s="23"/>
      <c r="HFS202" s="23"/>
      <c r="HFT202" s="24"/>
      <c r="HFU202" s="23"/>
      <c r="HFV202" s="23"/>
      <c r="HFW202" s="23"/>
      <c r="HFX202" s="1"/>
      <c r="HFY202" s="1"/>
      <c r="HFZ202" s="1"/>
      <c r="HGA202" s="25"/>
      <c r="HGD202" s="23"/>
      <c r="HGE202" s="23"/>
      <c r="HGF202" s="23"/>
      <c r="HGG202" s="23"/>
      <c r="HGH202" s="23"/>
      <c r="HGI202" s="23"/>
      <c r="HGJ202" s="24"/>
      <c r="HGK202" s="23"/>
      <c r="HGL202" s="23"/>
      <c r="HGM202" s="23"/>
      <c r="HGN202" s="1"/>
      <c r="HGO202" s="1"/>
      <c r="HGP202" s="1"/>
      <c r="HGQ202" s="25"/>
      <c r="HGT202" s="23"/>
      <c r="HGU202" s="23"/>
      <c r="HGV202" s="23"/>
      <c r="HGW202" s="23"/>
      <c r="HGX202" s="23"/>
      <c r="HGY202" s="23"/>
      <c r="HGZ202" s="24"/>
      <c r="HHA202" s="23"/>
      <c r="HHB202" s="23"/>
      <c r="HHC202" s="23"/>
      <c r="HHD202" s="1"/>
      <c r="HHE202" s="1"/>
      <c r="HHF202" s="1"/>
      <c r="HHG202" s="25"/>
      <c r="HHJ202" s="23"/>
      <c r="HHK202" s="23"/>
      <c r="HHL202" s="23"/>
      <c r="HHM202" s="23"/>
      <c r="HHN202" s="23"/>
      <c r="HHO202" s="23"/>
      <c r="HHP202" s="24"/>
      <c r="HHQ202" s="23"/>
      <c r="HHR202" s="23"/>
      <c r="HHS202" s="23"/>
      <c r="HHT202" s="1"/>
      <c r="HHU202" s="1"/>
      <c r="HHV202" s="1"/>
      <c r="HHW202" s="25"/>
      <c r="HHZ202" s="23"/>
      <c r="HIA202" s="23"/>
      <c r="HIB202" s="23"/>
      <c r="HIC202" s="23"/>
      <c r="HID202" s="23"/>
      <c r="HIE202" s="23"/>
      <c r="HIF202" s="24"/>
      <c r="HIG202" s="23"/>
      <c r="HIH202" s="23"/>
      <c r="HII202" s="23"/>
      <c r="HIJ202" s="1"/>
      <c r="HIK202" s="1"/>
      <c r="HIL202" s="1"/>
      <c r="HIM202" s="25"/>
      <c r="HIP202" s="23"/>
      <c r="HIQ202" s="23"/>
      <c r="HIR202" s="23"/>
      <c r="HIS202" s="23"/>
      <c r="HIT202" s="23"/>
      <c r="HIU202" s="23"/>
      <c r="HIV202" s="24"/>
      <c r="HIW202" s="23"/>
      <c r="HIX202" s="23"/>
      <c r="HIY202" s="23"/>
      <c r="HIZ202" s="1"/>
      <c r="HJA202" s="1"/>
      <c r="HJB202" s="1"/>
      <c r="HJC202" s="25"/>
      <c r="HJF202" s="23"/>
      <c r="HJG202" s="23"/>
      <c r="HJH202" s="23"/>
      <c r="HJI202" s="23"/>
      <c r="HJJ202" s="23"/>
      <c r="HJK202" s="23"/>
      <c r="HJL202" s="24"/>
      <c r="HJM202" s="23"/>
      <c r="HJN202" s="23"/>
      <c r="HJO202" s="23"/>
      <c r="HJP202" s="1"/>
      <c r="HJQ202" s="1"/>
      <c r="HJR202" s="1"/>
      <c r="HJS202" s="25"/>
      <c r="HJV202" s="23"/>
      <c r="HJW202" s="23"/>
      <c r="HJX202" s="23"/>
      <c r="HJY202" s="23"/>
      <c r="HJZ202" s="23"/>
      <c r="HKA202" s="23"/>
      <c r="HKB202" s="24"/>
      <c r="HKC202" s="23"/>
      <c r="HKD202" s="23"/>
      <c r="HKE202" s="23"/>
      <c r="HKF202" s="1"/>
      <c r="HKG202" s="1"/>
      <c r="HKH202" s="1"/>
      <c r="HKI202" s="25"/>
      <c r="HKL202" s="23"/>
      <c r="HKM202" s="23"/>
      <c r="HKN202" s="23"/>
      <c r="HKO202" s="23"/>
      <c r="HKP202" s="23"/>
      <c r="HKQ202" s="23"/>
      <c r="HKR202" s="24"/>
      <c r="HKS202" s="23"/>
      <c r="HKT202" s="23"/>
      <c r="HKU202" s="23"/>
      <c r="HKV202" s="1"/>
      <c r="HKW202" s="1"/>
      <c r="HKX202" s="1"/>
      <c r="HKY202" s="25"/>
      <c r="HLB202" s="23"/>
      <c r="HLC202" s="23"/>
      <c r="HLD202" s="23"/>
      <c r="HLE202" s="23"/>
      <c r="HLF202" s="23"/>
      <c r="HLG202" s="23"/>
      <c r="HLH202" s="24"/>
      <c r="HLI202" s="23"/>
      <c r="HLJ202" s="23"/>
      <c r="HLK202" s="23"/>
      <c r="HLL202" s="1"/>
      <c r="HLM202" s="1"/>
      <c r="HLN202" s="1"/>
      <c r="HLO202" s="25"/>
      <c r="HLR202" s="23"/>
      <c r="HLS202" s="23"/>
      <c r="HLT202" s="23"/>
      <c r="HLU202" s="23"/>
      <c r="HLV202" s="23"/>
      <c r="HLW202" s="23"/>
      <c r="HLX202" s="24"/>
      <c r="HLY202" s="23"/>
      <c r="HLZ202" s="23"/>
      <c r="HMA202" s="23"/>
      <c r="HMB202" s="1"/>
      <c r="HMC202" s="1"/>
      <c r="HMD202" s="1"/>
      <c r="HME202" s="25"/>
      <c r="HMH202" s="23"/>
      <c r="HMI202" s="23"/>
      <c r="HMJ202" s="23"/>
      <c r="HMK202" s="23"/>
      <c r="HML202" s="23"/>
      <c r="HMM202" s="23"/>
      <c r="HMN202" s="24"/>
      <c r="HMO202" s="23"/>
      <c r="HMP202" s="23"/>
      <c r="HMQ202" s="23"/>
      <c r="HMR202" s="1"/>
      <c r="HMS202" s="1"/>
      <c r="HMT202" s="1"/>
      <c r="HMU202" s="25"/>
      <c r="HMX202" s="23"/>
      <c r="HMY202" s="23"/>
      <c r="HMZ202" s="23"/>
      <c r="HNA202" s="23"/>
      <c r="HNB202" s="23"/>
      <c r="HNC202" s="23"/>
      <c r="HND202" s="24"/>
      <c r="HNE202" s="23"/>
      <c r="HNF202" s="23"/>
      <c r="HNG202" s="23"/>
      <c r="HNH202" s="1"/>
      <c r="HNI202" s="1"/>
      <c r="HNJ202" s="1"/>
      <c r="HNK202" s="25"/>
      <c r="HNN202" s="23"/>
      <c r="HNO202" s="23"/>
      <c r="HNP202" s="23"/>
      <c r="HNQ202" s="23"/>
      <c r="HNR202" s="23"/>
      <c r="HNS202" s="23"/>
      <c r="HNT202" s="24"/>
      <c r="HNU202" s="23"/>
      <c r="HNV202" s="23"/>
      <c r="HNW202" s="23"/>
      <c r="HNX202" s="1"/>
      <c r="HNY202" s="1"/>
      <c r="HNZ202" s="1"/>
      <c r="HOA202" s="25"/>
      <c r="HOD202" s="23"/>
      <c r="HOE202" s="23"/>
      <c r="HOF202" s="23"/>
      <c r="HOG202" s="23"/>
      <c r="HOH202" s="23"/>
      <c r="HOI202" s="23"/>
      <c r="HOJ202" s="24"/>
      <c r="HOK202" s="23"/>
      <c r="HOL202" s="23"/>
      <c r="HOM202" s="23"/>
      <c r="HON202" s="1"/>
      <c r="HOO202" s="1"/>
      <c r="HOP202" s="1"/>
      <c r="HOQ202" s="25"/>
      <c r="HOT202" s="23"/>
      <c r="HOU202" s="23"/>
      <c r="HOV202" s="23"/>
      <c r="HOW202" s="23"/>
      <c r="HOX202" s="23"/>
      <c r="HOY202" s="23"/>
      <c r="HOZ202" s="24"/>
      <c r="HPA202" s="23"/>
      <c r="HPB202" s="23"/>
      <c r="HPC202" s="23"/>
      <c r="HPD202" s="1"/>
      <c r="HPE202" s="1"/>
      <c r="HPF202" s="1"/>
      <c r="HPG202" s="25"/>
      <c r="HPJ202" s="23"/>
      <c r="HPK202" s="23"/>
      <c r="HPL202" s="23"/>
      <c r="HPM202" s="23"/>
      <c r="HPN202" s="23"/>
      <c r="HPO202" s="23"/>
      <c r="HPP202" s="24"/>
      <c r="HPQ202" s="23"/>
      <c r="HPR202" s="23"/>
      <c r="HPS202" s="23"/>
      <c r="HPT202" s="1"/>
      <c r="HPU202" s="1"/>
      <c r="HPV202" s="1"/>
      <c r="HPW202" s="25"/>
      <c r="HPZ202" s="23"/>
      <c r="HQA202" s="23"/>
      <c r="HQB202" s="23"/>
      <c r="HQC202" s="23"/>
      <c r="HQD202" s="23"/>
      <c r="HQE202" s="23"/>
      <c r="HQF202" s="24"/>
      <c r="HQG202" s="23"/>
      <c r="HQH202" s="23"/>
      <c r="HQI202" s="23"/>
      <c r="HQJ202" s="1"/>
      <c r="HQK202" s="1"/>
      <c r="HQL202" s="1"/>
      <c r="HQM202" s="25"/>
      <c r="HQP202" s="23"/>
      <c r="HQQ202" s="23"/>
      <c r="HQR202" s="23"/>
      <c r="HQS202" s="23"/>
      <c r="HQT202" s="23"/>
      <c r="HQU202" s="23"/>
      <c r="HQV202" s="24"/>
      <c r="HQW202" s="23"/>
      <c r="HQX202" s="23"/>
      <c r="HQY202" s="23"/>
      <c r="HQZ202" s="1"/>
      <c r="HRA202" s="1"/>
      <c r="HRB202" s="1"/>
      <c r="HRC202" s="25"/>
      <c r="HRF202" s="23"/>
      <c r="HRG202" s="23"/>
      <c r="HRH202" s="23"/>
      <c r="HRI202" s="23"/>
      <c r="HRJ202" s="23"/>
      <c r="HRK202" s="23"/>
      <c r="HRL202" s="24"/>
      <c r="HRM202" s="23"/>
      <c r="HRN202" s="23"/>
      <c r="HRO202" s="23"/>
      <c r="HRP202" s="1"/>
      <c r="HRQ202" s="1"/>
      <c r="HRR202" s="1"/>
      <c r="HRS202" s="25"/>
      <c r="HRV202" s="23"/>
      <c r="HRW202" s="23"/>
      <c r="HRX202" s="23"/>
      <c r="HRY202" s="23"/>
      <c r="HRZ202" s="23"/>
      <c r="HSA202" s="23"/>
      <c r="HSB202" s="24"/>
      <c r="HSC202" s="23"/>
      <c r="HSD202" s="23"/>
      <c r="HSE202" s="23"/>
      <c r="HSF202" s="1"/>
      <c r="HSG202" s="1"/>
      <c r="HSH202" s="1"/>
      <c r="HSI202" s="25"/>
      <c r="HSL202" s="23"/>
      <c r="HSM202" s="23"/>
      <c r="HSN202" s="23"/>
      <c r="HSO202" s="23"/>
      <c r="HSP202" s="23"/>
      <c r="HSQ202" s="23"/>
      <c r="HSR202" s="24"/>
      <c r="HSS202" s="23"/>
      <c r="HST202" s="23"/>
      <c r="HSU202" s="23"/>
      <c r="HSV202" s="1"/>
      <c r="HSW202" s="1"/>
      <c r="HSX202" s="1"/>
      <c r="HSY202" s="25"/>
      <c r="HTB202" s="23"/>
      <c r="HTC202" s="23"/>
      <c r="HTD202" s="23"/>
      <c r="HTE202" s="23"/>
      <c r="HTF202" s="23"/>
      <c r="HTG202" s="23"/>
      <c r="HTH202" s="24"/>
      <c r="HTI202" s="23"/>
      <c r="HTJ202" s="23"/>
      <c r="HTK202" s="23"/>
      <c r="HTL202" s="1"/>
      <c r="HTM202" s="1"/>
      <c r="HTN202" s="1"/>
      <c r="HTO202" s="25"/>
      <c r="HTR202" s="23"/>
      <c r="HTS202" s="23"/>
      <c r="HTT202" s="23"/>
      <c r="HTU202" s="23"/>
      <c r="HTV202" s="23"/>
      <c r="HTW202" s="23"/>
      <c r="HTX202" s="24"/>
      <c r="HTY202" s="23"/>
      <c r="HTZ202" s="23"/>
      <c r="HUA202" s="23"/>
      <c r="HUB202" s="1"/>
      <c r="HUC202" s="1"/>
      <c r="HUD202" s="1"/>
      <c r="HUE202" s="25"/>
      <c r="HUH202" s="23"/>
      <c r="HUI202" s="23"/>
      <c r="HUJ202" s="23"/>
      <c r="HUK202" s="23"/>
      <c r="HUL202" s="23"/>
      <c r="HUM202" s="23"/>
      <c r="HUN202" s="24"/>
      <c r="HUO202" s="23"/>
      <c r="HUP202" s="23"/>
      <c r="HUQ202" s="23"/>
      <c r="HUR202" s="1"/>
      <c r="HUS202" s="1"/>
      <c r="HUT202" s="1"/>
      <c r="HUU202" s="25"/>
      <c r="HUX202" s="23"/>
      <c r="HUY202" s="23"/>
      <c r="HUZ202" s="23"/>
      <c r="HVA202" s="23"/>
      <c r="HVB202" s="23"/>
      <c r="HVC202" s="23"/>
      <c r="HVD202" s="24"/>
      <c r="HVE202" s="23"/>
      <c r="HVF202" s="23"/>
      <c r="HVG202" s="23"/>
      <c r="HVH202" s="1"/>
      <c r="HVI202" s="1"/>
      <c r="HVJ202" s="1"/>
      <c r="HVK202" s="25"/>
      <c r="HVN202" s="23"/>
      <c r="HVO202" s="23"/>
      <c r="HVP202" s="23"/>
      <c r="HVQ202" s="23"/>
      <c r="HVR202" s="23"/>
      <c r="HVS202" s="23"/>
      <c r="HVT202" s="24"/>
      <c r="HVU202" s="23"/>
      <c r="HVV202" s="23"/>
      <c r="HVW202" s="23"/>
      <c r="HVX202" s="1"/>
      <c r="HVY202" s="1"/>
      <c r="HVZ202" s="1"/>
      <c r="HWA202" s="25"/>
      <c r="HWD202" s="23"/>
      <c r="HWE202" s="23"/>
      <c r="HWF202" s="23"/>
      <c r="HWG202" s="23"/>
      <c r="HWH202" s="23"/>
      <c r="HWI202" s="23"/>
      <c r="HWJ202" s="24"/>
      <c r="HWK202" s="23"/>
      <c r="HWL202" s="23"/>
      <c r="HWM202" s="23"/>
      <c r="HWN202" s="1"/>
      <c r="HWO202" s="1"/>
      <c r="HWP202" s="1"/>
      <c r="HWQ202" s="25"/>
      <c r="HWT202" s="23"/>
      <c r="HWU202" s="23"/>
      <c r="HWV202" s="23"/>
      <c r="HWW202" s="23"/>
      <c r="HWX202" s="23"/>
      <c r="HWY202" s="23"/>
      <c r="HWZ202" s="24"/>
      <c r="HXA202" s="23"/>
      <c r="HXB202" s="23"/>
      <c r="HXC202" s="23"/>
      <c r="HXD202" s="1"/>
      <c r="HXE202" s="1"/>
      <c r="HXF202" s="1"/>
      <c r="HXG202" s="25"/>
      <c r="HXJ202" s="23"/>
      <c r="HXK202" s="23"/>
      <c r="HXL202" s="23"/>
      <c r="HXM202" s="23"/>
      <c r="HXN202" s="23"/>
      <c r="HXO202" s="23"/>
      <c r="HXP202" s="24"/>
      <c r="HXQ202" s="23"/>
      <c r="HXR202" s="23"/>
      <c r="HXS202" s="23"/>
      <c r="HXT202" s="1"/>
      <c r="HXU202" s="1"/>
      <c r="HXV202" s="1"/>
      <c r="HXW202" s="25"/>
      <c r="HXZ202" s="23"/>
      <c r="HYA202" s="23"/>
      <c r="HYB202" s="23"/>
      <c r="HYC202" s="23"/>
      <c r="HYD202" s="23"/>
      <c r="HYE202" s="23"/>
      <c r="HYF202" s="24"/>
      <c r="HYG202" s="23"/>
      <c r="HYH202" s="23"/>
      <c r="HYI202" s="23"/>
      <c r="HYJ202" s="1"/>
      <c r="HYK202" s="1"/>
      <c r="HYL202" s="1"/>
      <c r="HYM202" s="25"/>
      <c r="HYP202" s="23"/>
      <c r="HYQ202" s="23"/>
      <c r="HYR202" s="23"/>
      <c r="HYS202" s="23"/>
      <c r="HYT202" s="23"/>
      <c r="HYU202" s="23"/>
      <c r="HYV202" s="24"/>
      <c r="HYW202" s="23"/>
      <c r="HYX202" s="23"/>
      <c r="HYY202" s="23"/>
      <c r="HYZ202" s="1"/>
      <c r="HZA202" s="1"/>
      <c r="HZB202" s="1"/>
      <c r="HZC202" s="25"/>
      <c r="HZF202" s="23"/>
      <c r="HZG202" s="23"/>
      <c r="HZH202" s="23"/>
      <c r="HZI202" s="23"/>
      <c r="HZJ202" s="23"/>
      <c r="HZK202" s="23"/>
      <c r="HZL202" s="24"/>
      <c r="HZM202" s="23"/>
      <c r="HZN202" s="23"/>
      <c r="HZO202" s="23"/>
      <c r="HZP202" s="1"/>
      <c r="HZQ202" s="1"/>
      <c r="HZR202" s="1"/>
      <c r="HZS202" s="25"/>
      <c r="HZV202" s="23"/>
      <c r="HZW202" s="23"/>
      <c r="HZX202" s="23"/>
      <c r="HZY202" s="23"/>
      <c r="HZZ202" s="23"/>
      <c r="IAA202" s="23"/>
      <c r="IAB202" s="24"/>
      <c r="IAC202" s="23"/>
      <c r="IAD202" s="23"/>
      <c r="IAE202" s="23"/>
      <c r="IAF202" s="1"/>
      <c r="IAG202" s="1"/>
      <c r="IAH202" s="1"/>
      <c r="IAI202" s="25"/>
      <c r="IAL202" s="23"/>
      <c r="IAM202" s="23"/>
      <c r="IAN202" s="23"/>
      <c r="IAO202" s="23"/>
      <c r="IAP202" s="23"/>
      <c r="IAQ202" s="23"/>
      <c r="IAR202" s="24"/>
      <c r="IAS202" s="23"/>
      <c r="IAT202" s="23"/>
      <c r="IAU202" s="23"/>
      <c r="IAV202" s="1"/>
      <c r="IAW202" s="1"/>
      <c r="IAX202" s="1"/>
      <c r="IAY202" s="25"/>
      <c r="IBB202" s="23"/>
      <c r="IBC202" s="23"/>
      <c r="IBD202" s="23"/>
      <c r="IBE202" s="23"/>
      <c r="IBF202" s="23"/>
      <c r="IBG202" s="23"/>
      <c r="IBH202" s="24"/>
      <c r="IBI202" s="23"/>
      <c r="IBJ202" s="23"/>
      <c r="IBK202" s="23"/>
      <c r="IBL202" s="1"/>
      <c r="IBM202" s="1"/>
      <c r="IBN202" s="1"/>
      <c r="IBO202" s="25"/>
      <c r="IBR202" s="23"/>
      <c r="IBS202" s="23"/>
      <c r="IBT202" s="23"/>
      <c r="IBU202" s="23"/>
      <c r="IBV202" s="23"/>
      <c r="IBW202" s="23"/>
      <c r="IBX202" s="24"/>
      <c r="IBY202" s="23"/>
      <c r="IBZ202" s="23"/>
      <c r="ICA202" s="23"/>
      <c r="ICB202" s="1"/>
      <c r="ICC202" s="1"/>
      <c r="ICD202" s="1"/>
      <c r="ICE202" s="25"/>
      <c r="ICH202" s="23"/>
      <c r="ICI202" s="23"/>
      <c r="ICJ202" s="23"/>
      <c r="ICK202" s="23"/>
      <c r="ICL202" s="23"/>
      <c r="ICM202" s="23"/>
      <c r="ICN202" s="24"/>
      <c r="ICO202" s="23"/>
      <c r="ICP202" s="23"/>
      <c r="ICQ202" s="23"/>
      <c r="ICR202" s="1"/>
      <c r="ICS202" s="1"/>
      <c r="ICT202" s="1"/>
      <c r="ICU202" s="25"/>
      <c r="ICX202" s="23"/>
      <c r="ICY202" s="23"/>
      <c r="ICZ202" s="23"/>
      <c r="IDA202" s="23"/>
      <c r="IDB202" s="23"/>
      <c r="IDC202" s="23"/>
      <c r="IDD202" s="24"/>
      <c r="IDE202" s="23"/>
      <c r="IDF202" s="23"/>
      <c r="IDG202" s="23"/>
      <c r="IDH202" s="1"/>
      <c r="IDI202" s="1"/>
      <c r="IDJ202" s="1"/>
      <c r="IDK202" s="25"/>
      <c r="IDN202" s="23"/>
      <c r="IDO202" s="23"/>
      <c r="IDP202" s="23"/>
      <c r="IDQ202" s="23"/>
      <c r="IDR202" s="23"/>
      <c r="IDS202" s="23"/>
      <c r="IDT202" s="24"/>
      <c r="IDU202" s="23"/>
      <c r="IDV202" s="23"/>
      <c r="IDW202" s="23"/>
      <c r="IDX202" s="1"/>
      <c r="IDY202" s="1"/>
      <c r="IDZ202" s="1"/>
      <c r="IEA202" s="25"/>
      <c r="IED202" s="23"/>
      <c r="IEE202" s="23"/>
      <c r="IEF202" s="23"/>
      <c r="IEG202" s="23"/>
      <c r="IEH202" s="23"/>
      <c r="IEI202" s="23"/>
      <c r="IEJ202" s="24"/>
      <c r="IEK202" s="23"/>
      <c r="IEL202" s="23"/>
      <c r="IEM202" s="23"/>
      <c r="IEN202" s="1"/>
      <c r="IEO202" s="1"/>
      <c r="IEP202" s="1"/>
      <c r="IEQ202" s="25"/>
      <c r="IET202" s="23"/>
      <c r="IEU202" s="23"/>
      <c r="IEV202" s="23"/>
      <c r="IEW202" s="23"/>
      <c r="IEX202" s="23"/>
      <c r="IEY202" s="23"/>
      <c r="IEZ202" s="24"/>
      <c r="IFA202" s="23"/>
      <c r="IFB202" s="23"/>
      <c r="IFC202" s="23"/>
      <c r="IFD202" s="1"/>
      <c r="IFE202" s="1"/>
      <c r="IFF202" s="1"/>
      <c r="IFG202" s="25"/>
      <c r="IFJ202" s="23"/>
      <c r="IFK202" s="23"/>
      <c r="IFL202" s="23"/>
      <c r="IFM202" s="23"/>
      <c r="IFN202" s="23"/>
      <c r="IFO202" s="23"/>
      <c r="IFP202" s="24"/>
      <c r="IFQ202" s="23"/>
      <c r="IFR202" s="23"/>
      <c r="IFS202" s="23"/>
      <c r="IFT202" s="1"/>
      <c r="IFU202" s="1"/>
      <c r="IFV202" s="1"/>
      <c r="IFW202" s="25"/>
      <c r="IFZ202" s="23"/>
      <c r="IGA202" s="23"/>
      <c r="IGB202" s="23"/>
      <c r="IGC202" s="23"/>
      <c r="IGD202" s="23"/>
      <c r="IGE202" s="23"/>
      <c r="IGF202" s="24"/>
      <c r="IGG202" s="23"/>
      <c r="IGH202" s="23"/>
      <c r="IGI202" s="23"/>
      <c r="IGJ202" s="1"/>
      <c r="IGK202" s="1"/>
      <c r="IGL202" s="1"/>
      <c r="IGM202" s="25"/>
      <c r="IGP202" s="23"/>
      <c r="IGQ202" s="23"/>
      <c r="IGR202" s="23"/>
      <c r="IGS202" s="23"/>
      <c r="IGT202" s="23"/>
      <c r="IGU202" s="23"/>
      <c r="IGV202" s="24"/>
      <c r="IGW202" s="23"/>
      <c r="IGX202" s="23"/>
      <c r="IGY202" s="23"/>
      <c r="IGZ202" s="1"/>
      <c r="IHA202" s="1"/>
      <c r="IHB202" s="1"/>
      <c r="IHC202" s="25"/>
      <c r="IHF202" s="23"/>
      <c r="IHG202" s="23"/>
      <c r="IHH202" s="23"/>
      <c r="IHI202" s="23"/>
      <c r="IHJ202" s="23"/>
      <c r="IHK202" s="23"/>
      <c r="IHL202" s="24"/>
      <c r="IHM202" s="23"/>
      <c r="IHN202" s="23"/>
      <c r="IHO202" s="23"/>
      <c r="IHP202" s="1"/>
      <c r="IHQ202" s="1"/>
      <c r="IHR202" s="1"/>
      <c r="IHS202" s="25"/>
      <c r="IHV202" s="23"/>
      <c r="IHW202" s="23"/>
      <c r="IHX202" s="23"/>
      <c r="IHY202" s="23"/>
      <c r="IHZ202" s="23"/>
      <c r="IIA202" s="23"/>
      <c r="IIB202" s="24"/>
      <c r="IIC202" s="23"/>
      <c r="IID202" s="23"/>
      <c r="IIE202" s="23"/>
      <c r="IIF202" s="1"/>
      <c r="IIG202" s="1"/>
      <c r="IIH202" s="1"/>
      <c r="III202" s="25"/>
      <c r="IIL202" s="23"/>
      <c r="IIM202" s="23"/>
      <c r="IIN202" s="23"/>
      <c r="IIO202" s="23"/>
      <c r="IIP202" s="23"/>
      <c r="IIQ202" s="23"/>
      <c r="IIR202" s="24"/>
      <c r="IIS202" s="23"/>
      <c r="IIT202" s="23"/>
      <c r="IIU202" s="23"/>
      <c r="IIV202" s="1"/>
      <c r="IIW202" s="1"/>
      <c r="IIX202" s="1"/>
      <c r="IIY202" s="25"/>
      <c r="IJB202" s="23"/>
      <c r="IJC202" s="23"/>
      <c r="IJD202" s="23"/>
      <c r="IJE202" s="23"/>
      <c r="IJF202" s="23"/>
      <c r="IJG202" s="23"/>
      <c r="IJH202" s="24"/>
      <c r="IJI202" s="23"/>
      <c r="IJJ202" s="23"/>
      <c r="IJK202" s="23"/>
      <c r="IJL202" s="1"/>
      <c r="IJM202" s="1"/>
      <c r="IJN202" s="1"/>
      <c r="IJO202" s="25"/>
      <c r="IJR202" s="23"/>
      <c r="IJS202" s="23"/>
      <c r="IJT202" s="23"/>
      <c r="IJU202" s="23"/>
      <c r="IJV202" s="23"/>
      <c r="IJW202" s="23"/>
      <c r="IJX202" s="24"/>
      <c r="IJY202" s="23"/>
      <c r="IJZ202" s="23"/>
      <c r="IKA202" s="23"/>
      <c r="IKB202" s="1"/>
      <c r="IKC202" s="1"/>
      <c r="IKD202" s="1"/>
      <c r="IKE202" s="25"/>
      <c r="IKH202" s="23"/>
      <c r="IKI202" s="23"/>
      <c r="IKJ202" s="23"/>
      <c r="IKK202" s="23"/>
      <c r="IKL202" s="23"/>
      <c r="IKM202" s="23"/>
      <c r="IKN202" s="24"/>
      <c r="IKO202" s="23"/>
      <c r="IKP202" s="23"/>
      <c r="IKQ202" s="23"/>
      <c r="IKR202" s="1"/>
      <c r="IKS202" s="1"/>
      <c r="IKT202" s="1"/>
      <c r="IKU202" s="25"/>
      <c r="IKX202" s="23"/>
      <c r="IKY202" s="23"/>
      <c r="IKZ202" s="23"/>
      <c r="ILA202" s="23"/>
      <c r="ILB202" s="23"/>
      <c r="ILC202" s="23"/>
      <c r="ILD202" s="24"/>
      <c r="ILE202" s="23"/>
      <c r="ILF202" s="23"/>
      <c r="ILG202" s="23"/>
      <c r="ILH202" s="1"/>
      <c r="ILI202" s="1"/>
      <c r="ILJ202" s="1"/>
      <c r="ILK202" s="25"/>
      <c r="ILN202" s="23"/>
      <c r="ILO202" s="23"/>
      <c r="ILP202" s="23"/>
      <c r="ILQ202" s="23"/>
      <c r="ILR202" s="23"/>
      <c r="ILS202" s="23"/>
      <c r="ILT202" s="24"/>
      <c r="ILU202" s="23"/>
      <c r="ILV202" s="23"/>
      <c r="ILW202" s="23"/>
      <c r="ILX202" s="1"/>
      <c r="ILY202" s="1"/>
      <c r="ILZ202" s="1"/>
      <c r="IMA202" s="25"/>
      <c r="IMD202" s="23"/>
      <c r="IME202" s="23"/>
      <c r="IMF202" s="23"/>
      <c r="IMG202" s="23"/>
      <c r="IMH202" s="23"/>
      <c r="IMI202" s="23"/>
      <c r="IMJ202" s="24"/>
      <c r="IMK202" s="23"/>
      <c r="IML202" s="23"/>
      <c r="IMM202" s="23"/>
      <c r="IMN202" s="1"/>
      <c r="IMO202" s="1"/>
      <c r="IMP202" s="1"/>
      <c r="IMQ202" s="25"/>
      <c r="IMT202" s="23"/>
      <c r="IMU202" s="23"/>
      <c r="IMV202" s="23"/>
      <c r="IMW202" s="23"/>
      <c r="IMX202" s="23"/>
      <c r="IMY202" s="23"/>
      <c r="IMZ202" s="24"/>
      <c r="INA202" s="23"/>
      <c r="INB202" s="23"/>
      <c r="INC202" s="23"/>
      <c r="IND202" s="1"/>
      <c r="INE202" s="1"/>
      <c r="INF202" s="1"/>
      <c r="ING202" s="25"/>
      <c r="INJ202" s="23"/>
      <c r="INK202" s="23"/>
      <c r="INL202" s="23"/>
      <c r="INM202" s="23"/>
      <c r="INN202" s="23"/>
      <c r="INO202" s="23"/>
      <c r="INP202" s="24"/>
      <c r="INQ202" s="23"/>
      <c r="INR202" s="23"/>
      <c r="INS202" s="23"/>
      <c r="INT202" s="1"/>
      <c r="INU202" s="1"/>
      <c r="INV202" s="1"/>
      <c r="INW202" s="25"/>
      <c r="INZ202" s="23"/>
      <c r="IOA202" s="23"/>
      <c r="IOB202" s="23"/>
      <c r="IOC202" s="23"/>
      <c r="IOD202" s="23"/>
      <c r="IOE202" s="23"/>
      <c r="IOF202" s="24"/>
      <c r="IOG202" s="23"/>
      <c r="IOH202" s="23"/>
      <c r="IOI202" s="23"/>
      <c r="IOJ202" s="1"/>
      <c r="IOK202" s="1"/>
      <c r="IOL202" s="1"/>
      <c r="IOM202" s="25"/>
      <c r="IOP202" s="23"/>
      <c r="IOQ202" s="23"/>
      <c r="IOR202" s="23"/>
      <c r="IOS202" s="23"/>
      <c r="IOT202" s="23"/>
      <c r="IOU202" s="23"/>
      <c r="IOV202" s="24"/>
      <c r="IOW202" s="23"/>
      <c r="IOX202" s="23"/>
      <c r="IOY202" s="23"/>
      <c r="IOZ202" s="1"/>
      <c r="IPA202" s="1"/>
      <c r="IPB202" s="1"/>
      <c r="IPC202" s="25"/>
      <c r="IPF202" s="23"/>
      <c r="IPG202" s="23"/>
      <c r="IPH202" s="23"/>
      <c r="IPI202" s="23"/>
      <c r="IPJ202" s="23"/>
      <c r="IPK202" s="23"/>
      <c r="IPL202" s="24"/>
      <c r="IPM202" s="23"/>
      <c r="IPN202" s="23"/>
      <c r="IPO202" s="23"/>
      <c r="IPP202" s="1"/>
      <c r="IPQ202" s="1"/>
      <c r="IPR202" s="1"/>
      <c r="IPS202" s="25"/>
      <c r="IPV202" s="23"/>
      <c r="IPW202" s="23"/>
      <c r="IPX202" s="23"/>
      <c r="IPY202" s="23"/>
      <c r="IPZ202" s="23"/>
      <c r="IQA202" s="23"/>
      <c r="IQB202" s="24"/>
      <c r="IQC202" s="23"/>
      <c r="IQD202" s="23"/>
      <c r="IQE202" s="23"/>
      <c r="IQF202" s="1"/>
      <c r="IQG202" s="1"/>
      <c r="IQH202" s="1"/>
      <c r="IQI202" s="25"/>
      <c r="IQL202" s="23"/>
      <c r="IQM202" s="23"/>
      <c r="IQN202" s="23"/>
      <c r="IQO202" s="23"/>
      <c r="IQP202" s="23"/>
      <c r="IQQ202" s="23"/>
      <c r="IQR202" s="24"/>
      <c r="IQS202" s="23"/>
      <c r="IQT202" s="23"/>
      <c r="IQU202" s="23"/>
      <c r="IQV202" s="1"/>
      <c r="IQW202" s="1"/>
      <c r="IQX202" s="1"/>
      <c r="IQY202" s="25"/>
      <c r="IRB202" s="23"/>
      <c r="IRC202" s="23"/>
      <c r="IRD202" s="23"/>
      <c r="IRE202" s="23"/>
      <c r="IRF202" s="23"/>
      <c r="IRG202" s="23"/>
      <c r="IRH202" s="24"/>
      <c r="IRI202" s="23"/>
      <c r="IRJ202" s="23"/>
      <c r="IRK202" s="23"/>
      <c r="IRL202" s="1"/>
      <c r="IRM202" s="1"/>
      <c r="IRN202" s="1"/>
      <c r="IRO202" s="25"/>
      <c r="IRR202" s="23"/>
      <c r="IRS202" s="23"/>
      <c r="IRT202" s="23"/>
      <c r="IRU202" s="23"/>
      <c r="IRV202" s="23"/>
      <c r="IRW202" s="23"/>
      <c r="IRX202" s="24"/>
      <c r="IRY202" s="23"/>
      <c r="IRZ202" s="23"/>
      <c r="ISA202" s="23"/>
      <c r="ISB202" s="1"/>
      <c r="ISC202" s="1"/>
      <c r="ISD202" s="1"/>
      <c r="ISE202" s="25"/>
      <c r="ISH202" s="23"/>
      <c r="ISI202" s="23"/>
      <c r="ISJ202" s="23"/>
      <c r="ISK202" s="23"/>
      <c r="ISL202" s="23"/>
      <c r="ISM202" s="23"/>
      <c r="ISN202" s="24"/>
      <c r="ISO202" s="23"/>
      <c r="ISP202" s="23"/>
      <c r="ISQ202" s="23"/>
      <c r="ISR202" s="1"/>
      <c r="ISS202" s="1"/>
      <c r="IST202" s="1"/>
      <c r="ISU202" s="25"/>
      <c r="ISX202" s="23"/>
      <c r="ISY202" s="23"/>
      <c r="ISZ202" s="23"/>
      <c r="ITA202" s="23"/>
      <c r="ITB202" s="23"/>
      <c r="ITC202" s="23"/>
      <c r="ITD202" s="24"/>
      <c r="ITE202" s="23"/>
      <c r="ITF202" s="23"/>
      <c r="ITG202" s="23"/>
      <c r="ITH202" s="1"/>
      <c r="ITI202" s="1"/>
      <c r="ITJ202" s="1"/>
      <c r="ITK202" s="25"/>
      <c r="ITN202" s="23"/>
      <c r="ITO202" s="23"/>
      <c r="ITP202" s="23"/>
      <c r="ITQ202" s="23"/>
      <c r="ITR202" s="23"/>
      <c r="ITS202" s="23"/>
      <c r="ITT202" s="24"/>
      <c r="ITU202" s="23"/>
      <c r="ITV202" s="23"/>
      <c r="ITW202" s="23"/>
      <c r="ITX202" s="1"/>
      <c r="ITY202" s="1"/>
      <c r="ITZ202" s="1"/>
      <c r="IUA202" s="25"/>
      <c r="IUD202" s="23"/>
      <c r="IUE202" s="23"/>
      <c r="IUF202" s="23"/>
      <c r="IUG202" s="23"/>
      <c r="IUH202" s="23"/>
      <c r="IUI202" s="23"/>
      <c r="IUJ202" s="24"/>
      <c r="IUK202" s="23"/>
      <c r="IUL202" s="23"/>
      <c r="IUM202" s="23"/>
      <c r="IUN202" s="1"/>
      <c r="IUO202" s="1"/>
      <c r="IUP202" s="1"/>
      <c r="IUQ202" s="25"/>
      <c r="IUT202" s="23"/>
      <c r="IUU202" s="23"/>
      <c r="IUV202" s="23"/>
      <c r="IUW202" s="23"/>
      <c r="IUX202" s="23"/>
      <c r="IUY202" s="23"/>
      <c r="IUZ202" s="24"/>
      <c r="IVA202" s="23"/>
      <c r="IVB202" s="23"/>
      <c r="IVC202" s="23"/>
      <c r="IVD202" s="1"/>
      <c r="IVE202" s="1"/>
      <c r="IVF202" s="1"/>
      <c r="IVG202" s="25"/>
      <c r="IVJ202" s="23"/>
      <c r="IVK202" s="23"/>
      <c r="IVL202" s="23"/>
      <c r="IVM202" s="23"/>
      <c r="IVN202" s="23"/>
      <c r="IVO202" s="23"/>
      <c r="IVP202" s="24"/>
      <c r="IVQ202" s="23"/>
      <c r="IVR202" s="23"/>
      <c r="IVS202" s="23"/>
      <c r="IVT202" s="1"/>
      <c r="IVU202" s="1"/>
      <c r="IVV202" s="1"/>
      <c r="IVW202" s="25"/>
      <c r="IVZ202" s="23"/>
      <c r="IWA202" s="23"/>
      <c r="IWB202" s="23"/>
      <c r="IWC202" s="23"/>
      <c r="IWD202" s="23"/>
      <c r="IWE202" s="23"/>
      <c r="IWF202" s="24"/>
      <c r="IWG202" s="23"/>
      <c r="IWH202" s="23"/>
      <c r="IWI202" s="23"/>
      <c r="IWJ202" s="1"/>
      <c r="IWK202" s="1"/>
      <c r="IWL202" s="1"/>
      <c r="IWM202" s="25"/>
      <c r="IWP202" s="23"/>
      <c r="IWQ202" s="23"/>
      <c r="IWR202" s="23"/>
      <c r="IWS202" s="23"/>
      <c r="IWT202" s="23"/>
      <c r="IWU202" s="23"/>
      <c r="IWV202" s="24"/>
      <c r="IWW202" s="23"/>
      <c r="IWX202" s="23"/>
      <c r="IWY202" s="23"/>
      <c r="IWZ202" s="1"/>
      <c r="IXA202" s="1"/>
      <c r="IXB202" s="1"/>
      <c r="IXC202" s="25"/>
      <c r="IXF202" s="23"/>
      <c r="IXG202" s="23"/>
      <c r="IXH202" s="23"/>
      <c r="IXI202" s="23"/>
      <c r="IXJ202" s="23"/>
      <c r="IXK202" s="23"/>
      <c r="IXL202" s="24"/>
      <c r="IXM202" s="23"/>
      <c r="IXN202" s="23"/>
      <c r="IXO202" s="23"/>
      <c r="IXP202" s="1"/>
      <c r="IXQ202" s="1"/>
      <c r="IXR202" s="1"/>
      <c r="IXS202" s="25"/>
      <c r="IXV202" s="23"/>
      <c r="IXW202" s="23"/>
      <c r="IXX202" s="23"/>
      <c r="IXY202" s="23"/>
      <c r="IXZ202" s="23"/>
      <c r="IYA202" s="23"/>
      <c r="IYB202" s="24"/>
      <c r="IYC202" s="23"/>
      <c r="IYD202" s="23"/>
      <c r="IYE202" s="23"/>
      <c r="IYF202" s="1"/>
      <c r="IYG202" s="1"/>
      <c r="IYH202" s="1"/>
      <c r="IYI202" s="25"/>
      <c r="IYL202" s="23"/>
      <c r="IYM202" s="23"/>
      <c r="IYN202" s="23"/>
      <c r="IYO202" s="23"/>
      <c r="IYP202" s="23"/>
      <c r="IYQ202" s="23"/>
      <c r="IYR202" s="24"/>
      <c r="IYS202" s="23"/>
      <c r="IYT202" s="23"/>
      <c r="IYU202" s="23"/>
      <c r="IYV202" s="1"/>
      <c r="IYW202" s="1"/>
      <c r="IYX202" s="1"/>
      <c r="IYY202" s="25"/>
      <c r="IZB202" s="23"/>
      <c r="IZC202" s="23"/>
      <c r="IZD202" s="23"/>
      <c r="IZE202" s="23"/>
      <c r="IZF202" s="23"/>
      <c r="IZG202" s="23"/>
      <c r="IZH202" s="24"/>
      <c r="IZI202" s="23"/>
      <c r="IZJ202" s="23"/>
      <c r="IZK202" s="23"/>
      <c r="IZL202" s="1"/>
      <c r="IZM202" s="1"/>
      <c r="IZN202" s="1"/>
      <c r="IZO202" s="25"/>
      <c r="IZR202" s="23"/>
      <c r="IZS202" s="23"/>
      <c r="IZT202" s="23"/>
      <c r="IZU202" s="23"/>
      <c r="IZV202" s="23"/>
      <c r="IZW202" s="23"/>
      <c r="IZX202" s="24"/>
      <c r="IZY202" s="23"/>
      <c r="IZZ202" s="23"/>
      <c r="JAA202" s="23"/>
      <c r="JAB202" s="1"/>
      <c r="JAC202" s="1"/>
      <c r="JAD202" s="1"/>
      <c r="JAE202" s="25"/>
      <c r="JAH202" s="23"/>
      <c r="JAI202" s="23"/>
      <c r="JAJ202" s="23"/>
      <c r="JAK202" s="23"/>
      <c r="JAL202" s="23"/>
      <c r="JAM202" s="23"/>
      <c r="JAN202" s="24"/>
      <c r="JAO202" s="23"/>
      <c r="JAP202" s="23"/>
      <c r="JAQ202" s="23"/>
      <c r="JAR202" s="1"/>
      <c r="JAS202" s="1"/>
      <c r="JAT202" s="1"/>
      <c r="JAU202" s="25"/>
      <c r="JAX202" s="23"/>
      <c r="JAY202" s="23"/>
      <c r="JAZ202" s="23"/>
      <c r="JBA202" s="23"/>
      <c r="JBB202" s="23"/>
      <c r="JBC202" s="23"/>
      <c r="JBD202" s="24"/>
      <c r="JBE202" s="23"/>
      <c r="JBF202" s="23"/>
      <c r="JBG202" s="23"/>
      <c r="JBH202" s="1"/>
      <c r="JBI202" s="1"/>
      <c r="JBJ202" s="1"/>
      <c r="JBK202" s="25"/>
      <c r="JBN202" s="23"/>
      <c r="JBO202" s="23"/>
      <c r="JBP202" s="23"/>
      <c r="JBQ202" s="23"/>
      <c r="JBR202" s="23"/>
      <c r="JBS202" s="23"/>
      <c r="JBT202" s="24"/>
      <c r="JBU202" s="23"/>
      <c r="JBV202" s="23"/>
      <c r="JBW202" s="23"/>
      <c r="JBX202" s="1"/>
      <c r="JBY202" s="1"/>
      <c r="JBZ202" s="1"/>
      <c r="JCA202" s="25"/>
      <c r="JCD202" s="23"/>
      <c r="JCE202" s="23"/>
      <c r="JCF202" s="23"/>
      <c r="JCG202" s="23"/>
      <c r="JCH202" s="23"/>
      <c r="JCI202" s="23"/>
      <c r="JCJ202" s="24"/>
      <c r="JCK202" s="23"/>
      <c r="JCL202" s="23"/>
      <c r="JCM202" s="23"/>
      <c r="JCN202" s="1"/>
      <c r="JCO202" s="1"/>
      <c r="JCP202" s="1"/>
      <c r="JCQ202" s="25"/>
      <c r="JCT202" s="23"/>
      <c r="JCU202" s="23"/>
      <c r="JCV202" s="23"/>
      <c r="JCW202" s="23"/>
      <c r="JCX202" s="23"/>
      <c r="JCY202" s="23"/>
      <c r="JCZ202" s="24"/>
      <c r="JDA202" s="23"/>
      <c r="JDB202" s="23"/>
      <c r="JDC202" s="23"/>
      <c r="JDD202" s="1"/>
      <c r="JDE202" s="1"/>
      <c r="JDF202" s="1"/>
      <c r="JDG202" s="25"/>
      <c r="JDJ202" s="23"/>
      <c r="JDK202" s="23"/>
      <c r="JDL202" s="23"/>
      <c r="JDM202" s="23"/>
      <c r="JDN202" s="23"/>
      <c r="JDO202" s="23"/>
      <c r="JDP202" s="24"/>
      <c r="JDQ202" s="23"/>
      <c r="JDR202" s="23"/>
      <c r="JDS202" s="23"/>
      <c r="JDT202" s="1"/>
      <c r="JDU202" s="1"/>
      <c r="JDV202" s="1"/>
      <c r="JDW202" s="25"/>
      <c r="JDZ202" s="23"/>
      <c r="JEA202" s="23"/>
      <c r="JEB202" s="23"/>
      <c r="JEC202" s="23"/>
      <c r="JED202" s="23"/>
      <c r="JEE202" s="23"/>
      <c r="JEF202" s="24"/>
      <c r="JEG202" s="23"/>
      <c r="JEH202" s="23"/>
      <c r="JEI202" s="23"/>
      <c r="JEJ202" s="1"/>
      <c r="JEK202" s="1"/>
      <c r="JEL202" s="1"/>
      <c r="JEM202" s="25"/>
      <c r="JEP202" s="23"/>
      <c r="JEQ202" s="23"/>
      <c r="JER202" s="23"/>
      <c r="JES202" s="23"/>
      <c r="JET202" s="23"/>
      <c r="JEU202" s="23"/>
      <c r="JEV202" s="24"/>
      <c r="JEW202" s="23"/>
      <c r="JEX202" s="23"/>
      <c r="JEY202" s="23"/>
      <c r="JEZ202" s="1"/>
      <c r="JFA202" s="1"/>
      <c r="JFB202" s="1"/>
      <c r="JFC202" s="25"/>
      <c r="JFF202" s="23"/>
      <c r="JFG202" s="23"/>
      <c r="JFH202" s="23"/>
      <c r="JFI202" s="23"/>
      <c r="JFJ202" s="23"/>
      <c r="JFK202" s="23"/>
      <c r="JFL202" s="24"/>
      <c r="JFM202" s="23"/>
      <c r="JFN202" s="23"/>
      <c r="JFO202" s="23"/>
      <c r="JFP202" s="1"/>
      <c r="JFQ202" s="1"/>
      <c r="JFR202" s="1"/>
      <c r="JFS202" s="25"/>
      <c r="JFV202" s="23"/>
      <c r="JFW202" s="23"/>
      <c r="JFX202" s="23"/>
      <c r="JFY202" s="23"/>
      <c r="JFZ202" s="23"/>
      <c r="JGA202" s="23"/>
      <c r="JGB202" s="24"/>
      <c r="JGC202" s="23"/>
      <c r="JGD202" s="23"/>
      <c r="JGE202" s="23"/>
      <c r="JGF202" s="1"/>
      <c r="JGG202" s="1"/>
      <c r="JGH202" s="1"/>
      <c r="JGI202" s="25"/>
      <c r="JGL202" s="23"/>
      <c r="JGM202" s="23"/>
      <c r="JGN202" s="23"/>
      <c r="JGO202" s="23"/>
      <c r="JGP202" s="23"/>
      <c r="JGQ202" s="23"/>
      <c r="JGR202" s="24"/>
      <c r="JGS202" s="23"/>
      <c r="JGT202" s="23"/>
      <c r="JGU202" s="23"/>
      <c r="JGV202" s="1"/>
      <c r="JGW202" s="1"/>
      <c r="JGX202" s="1"/>
      <c r="JGY202" s="25"/>
      <c r="JHB202" s="23"/>
      <c r="JHC202" s="23"/>
      <c r="JHD202" s="23"/>
      <c r="JHE202" s="23"/>
      <c r="JHF202" s="23"/>
      <c r="JHG202" s="23"/>
      <c r="JHH202" s="24"/>
      <c r="JHI202" s="23"/>
      <c r="JHJ202" s="23"/>
      <c r="JHK202" s="23"/>
      <c r="JHL202" s="1"/>
      <c r="JHM202" s="1"/>
      <c r="JHN202" s="1"/>
      <c r="JHO202" s="25"/>
      <c r="JHR202" s="23"/>
      <c r="JHS202" s="23"/>
      <c r="JHT202" s="23"/>
      <c r="JHU202" s="23"/>
      <c r="JHV202" s="23"/>
      <c r="JHW202" s="23"/>
      <c r="JHX202" s="24"/>
      <c r="JHY202" s="23"/>
      <c r="JHZ202" s="23"/>
      <c r="JIA202" s="23"/>
      <c r="JIB202" s="1"/>
      <c r="JIC202" s="1"/>
      <c r="JID202" s="1"/>
      <c r="JIE202" s="25"/>
      <c r="JIH202" s="23"/>
      <c r="JII202" s="23"/>
      <c r="JIJ202" s="23"/>
      <c r="JIK202" s="23"/>
      <c r="JIL202" s="23"/>
      <c r="JIM202" s="23"/>
      <c r="JIN202" s="24"/>
      <c r="JIO202" s="23"/>
      <c r="JIP202" s="23"/>
      <c r="JIQ202" s="23"/>
      <c r="JIR202" s="1"/>
      <c r="JIS202" s="1"/>
      <c r="JIT202" s="1"/>
      <c r="JIU202" s="25"/>
      <c r="JIX202" s="23"/>
      <c r="JIY202" s="23"/>
      <c r="JIZ202" s="23"/>
      <c r="JJA202" s="23"/>
      <c r="JJB202" s="23"/>
      <c r="JJC202" s="23"/>
      <c r="JJD202" s="24"/>
      <c r="JJE202" s="23"/>
      <c r="JJF202" s="23"/>
      <c r="JJG202" s="23"/>
      <c r="JJH202" s="1"/>
      <c r="JJI202" s="1"/>
      <c r="JJJ202" s="1"/>
      <c r="JJK202" s="25"/>
      <c r="JJN202" s="23"/>
      <c r="JJO202" s="23"/>
      <c r="JJP202" s="23"/>
      <c r="JJQ202" s="23"/>
      <c r="JJR202" s="23"/>
      <c r="JJS202" s="23"/>
      <c r="JJT202" s="24"/>
      <c r="JJU202" s="23"/>
      <c r="JJV202" s="23"/>
      <c r="JJW202" s="23"/>
      <c r="JJX202" s="1"/>
      <c r="JJY202" s="1"/>
      <c r="JJZ202" s="1"/>
      <c r="JKA202" s="25"/>
      <c r="JKD202" s="23"/>
      <c r="JKE202" s="23"/>
      <c r="JKF202" s="23"/>
      <c r="JKG202" s="23"/>
      <c r="JKH202" s="23"/>
      <c r="JKI202" s="23"/>
      <c r="JKJ202" s="24"/>
      <c r="JKK202" s="23"/>
      <c r="JKL202" s="23"/>
      <c r="JKM202" s="23"/>
      <c r="JKN202" s="1"/>
      <c r="JKO202" s="1"/>
      <c r="JKP202" s="1"/>
      <c r="JKQ202" s="25"/>
      <c r="JKT202" s="23"/>
      <c r="JKU202" s="23"/>
      <c r="JKV202" s="23"/>
      <c r="JKW202" s="23"/>
      <c r="JKX202" s="23"/>
      <c r="JKY202" s="23"/>
      <c r="JKZ202" s="24"/>
      <c r="JLA202" s="23"/>
      <c r="JLB202" s="23"/>
      <c r="JLC202" s="23"/>
      <c r="JLD202" s="1"/>
      <c r="JLE202" s="1"/>
      <c r="JLF202" s="1"/>
      <c r="JLG202" s="25"/>
      <c r="JLJ202" s="23"/>
      <c r="JLK202" s="23"/>
      <c r="JLL202" s="23"/>
      <c r="JLM202" s="23"/>
      <c r="JLN202" s="23"/>
      <c r="JLO202" s="23"/>
      <c r="JLP202" s="24"/>
      <c r="JLQ202" s="23"/>
      <c r="JLR202" s="23"/>
      <c r="JLS202" s="23"/>
      <c r="JLT202" s="1"/>
      <c r="JLU202" s="1"/>
      <c r="JLV202" s="1"/>
      <c r="JLW202" s="25"/>
      <c r="JLZ202" s="23"/>
      <c r="JMA202" s="23"/>
      <c r="JMB202" s="23"/>
      <c r="JMC202" s="23"/>
      <c r="JMD202" s="23"/>
      <c r="JME202" s="23"/>
      <c r="JMF202" s="24"/>
      <c r="JMG202" s="23"/>
      <c r="JMH202" s="23"/>
      <c r="JMI202" s="23"/>
      <c r="JMJ202" s="1"/>
      <c r="JMK202" s="1"/>
      <c r="JML202" s="1"/>
      <c r="JMM202" s="25"/>
      <c r="JMP202" s="23"/>
      <c r="JMQ202" s="23"/>
      <c r="JMR202" s="23"/>
      <c r="JMS202" s="23"/>
      <c r="JMT202" s="23"/>
      <c r="JMU202" s="23"/>
      <c r="JMV202" s="24"/>
      <c r="JMW202" s="23"/>
      <c r="JMX202" s="23"/>
      <c r="JMY202" s="23"/>
      <c r="JMZ202" s="1"/>
      <c r="JNA202" s="1"/>
      <c r="JNB202" s="1"/>
      <c r="JNC202" s="25"/>
      <c r="JNF202" s="23"/>
      <c r="JNG202" s="23"/>
      <c r="JNH202" s="23"/>
      <c r="JNI202" s="23"/>
      <c r="JNJ202" s="23"/>
      <c r="JNK202" s="23"/>
      <c r="JNL202" s="24"/>
      <c r="JNM202" s="23"/>
      <c r="JNN202" s="23"/>
      <c r="JNO202" s="23"/>
      <c r="JNP202" s="1"/>
      <c r="JNQ202" s="1"/>
      <c r="JNR202" s="1"/>
      <c r="JNS202" s="25"/>
      <c r="JNV202" s="23"/>
      <c r="JNW202" s="23"/>
      <c r="JNX202" s="23"/>
      <c r="JNY202" s="23"/>
      <c r="JNZ202" s="23"/>
      <c r="JOA202" s="23"/>
      <c r="JOB202" s="24"/>
      <c r="JOC202" s="23"/>
      <c r="JOD202" s="23"/>
      <c r="JOE202" s="23"/>
      <c r="JOF202" s="1"/>
      <c r="JOG202" s="1"/>
      <c r="JOH202" s="1"/>
      <c r="JOI202" s="25"/>
      <c r="JOL202" s="23"/>
      <c r="JOM202" s="23"/>
      <c r="JON202" s="23"/>
      <c r="JOO202" s="23"/>
      <c r="JOP202" s="23"/>
      <c r="JOQ202" s="23"/>
      <c r="JOR202" s="24"/>
      <c r="JOS202" s="23"/>
      <c r="JOT202" s="23"/>
      <c r="JOU202" s="23"/>
      <c r="JOV202" s="1"/>
      <c r="JOW202" s="1"/>
      <c r="JOX202" s="1"/>
      <c r="JOY202" s="25"/>
      <c r="JPB202" s="23"/>
      <c r="JPC202" s="23"/>
      <c r="JPD202" s="23"/>
      <c r="JPE202" s="23"/>
      <c r="JPF202" s="23"/>
      <c r="JPG202" s="23"/>
      <c r="JPH202" s="24"/>
      <c r="JPI202" s="23"/>
      <c r="JPJ202" s="23"/>
      <c r="JPK202" s="23"/>
      <c r="JPL202" s="1"/>
      <c r="JPM202" s="1"/>
      <c r="JPN202" s="1"/>
      <c r="JPO202" s="25"/>
      <c r="JPR202" s="23"/>
      <c r="JPS202" s="23"/>
      <c r="JPT202" s="23"/>
      <c r="JPU202" s="23"/>
      <c r="JPV202" s="23"/>
      <c r="JPW202" s="23"/>
      <c r="JPX202" s="24"/>
      <c r="JPY202" s="23"/>
      <c r="JPZ202" s="23"/>
      <c r="JQA202" s="23"/>
      <c r="JQB202" s="1"/>
      <c r="JQC202" s="1"/>
      <c r="JQD202" s="1"/>
      <c r="JQE202" s="25"/>
      <c r="JQH202" s="23"/>
      <c r="JQI202" s="23"/>
      <c r="JQJ202" s="23"/>
      <c r="JQK202" s="23"/>
      <c r="JQL202" s="23"/>
      <c r="JQM202" s="23"/>
      <c r="JQN202" s="24"/>
      <c r="JQO202" s="23"/>
      <c r="JQP202" s="23"/>
      <c r="JQQ202" s="23"/>
      <c r="JQR202" s="1"/>
      <c r="JQS202" s="1"/>
      <c r="JQT202" s="1"/>
      <c r="JQU202" s="25"/>
      <c r="JQX202" s="23"/>
      <c r="JQY202" s="23"/>
      <c r="JQZ202" s="23"/>
      <c r="JRA202" s="23"/>
      <c r="JRB202" s="23"/>
      <c r="JRC202" s="23"/>
      <c r="JRD202" s="24"/>
      <c r="JRE202" s="23"/>
      <c r="JRF202" s="23"/>
      <c r="JRG202" s="23"/>
      <c r="JRH202" s="1"/>
      <c r="JRI202" s="1"/>
      <c r="JRJ202" s="1"/>
      <c r="JRK202" s="25"/>
      <c r="JRN202" s="23"/>
      <c r="JRO202" s="23"/>
      <c r="JRP202" s="23"/>
      <c r="JRQ202" s="23"/>
      <c r="JRR202" s="23"/>
      <c r="JRS202" s="23"/>
      <c r="JRT202" s="24"/>
      <c r="JRU202" s="23"/>
      <c r="JRV202" s="23"/>
      <c r="JRW202" s="23"/>
      <c r="JRX202" s="1"/>
      <c r="JRY202" s="1"/>
      <c r="JRZ202" s="1"/>
      <c r="JSA202" s="25"/>
      <c r="JSD202" s="23"/>
      <c r="JSE202" s="23"/>
      <c r="JSF202" s="23"/>
      <c r="JSG202" s="23"/>
      <c r="JSH202" s="23"/>
      <c r="JSI202" s="23"/>
      <c r="JSJ202" s="24"/>
      <c r="JSK202" s="23"/>
      <c r="JSL202" s="23"/>
      <c r="JSM202" s="23"/>
      <c r="JSN202" s="1"/>
      <c r="JSO202" s="1"/>
      <c r="JSP202" s="1"/>
      <c r="JSQ202" s="25"/>
      <c r="JST202" s="23"/>
      <c r="JSU202" s="23"/>
      <c r="JSV202" s="23"/>
      <c r="JSW202" s="23"/>
      <c r="JSX202" s="23"/>
      <c r="JSY202" s="23"/>
      <c r="JSZ202" s="24"/>
      <c r="JTA202" s="23"/>
      <c r="JTB202" s="23"/>
      <c r="JTC202" s="23"/>
      <c r="JTD202" s="1"/>
      <c r="JTE202" s="1"/>
      <c r="JTF202" s="1"/>
      <c r="JTG202" s="25"/>
      <c r="JTJ202" s="23"/>
      <c r="JTK202" s="23"/>
      <c r="JTL202" s="23"/>
      <c r="JTM202" s="23"/>
      <c r="JTN202" s="23"/>
      <c r="JTO202" s="23"/>
      <c r="JTP202" s="24"/>
      <c r="JTQ202" s="23"/>
      <c r="JTR202" s="23"/>
      <c r="JTS202" s="23"/>
      <c r="JTT202" s="1"/>
      <c r="JTU202" s="1"/>
      <c r="JTV202" s="1"/>
      <c r="JTW202" s="25"/>
      <c r="JTZ202" s="23"/>
      <c r="JUA202" s="23"/>
      <c r="JUB202" s="23"/>
      <c r="JUC202" s="23"/>
      <c r="JUD202" s="23"/>
      <c r="JUE202" s="23"/>
      <c r="JUF202" s="24"/>
      <c r="JUG202" s="23"/>
      <c r="JUH202" s="23"/>
      <c r="JUI202" s="23"/>
      <c r="JUJ202" s="1"/>
      <c r="JUK202" s="1"/>
      <c r="JUL202" s="1"/>
      <c r="JUM202" s="25"/>
      <c r="JUP202" s="23"/>
      <c r="JUQ202" s="23"/>
      <c r="JUR202" s="23"/>
      <c r="JUS202" s="23"/>
      <c r="JUT202" s="23"/>
      <c r="JUU202" s="23"/>
      <c r="JUV202" s="24"/>
      <c r="JUW202" s="23"/>
      <c r="JUX202" s="23"/>
      <c r="JUY202" s="23"/>
      <c r="JUZ202" s="1"/>
      <c r="JVA202" s="1"/>
      <c r="JVB202" s="1"/>
      <c r="JVC202" s="25"/>
      <c r="JVF202" s="23"/>
      <c r="JVG202" s="23"/>
      <c r="JVH202" s="23"/>
      <c r="JVI202" s="23"/>
      <c r="JVJ202" s="23"/>
      <c r="JVK202" s="23"/>
      <c r="JVL202" s="24"/>
      <c r="JVM202" s="23"/>
      <c r="JVN202" s="23"/>
      <c r="JVO202" s="23"/>
      <c r="JVP202" s="1"/>
      <c r="JVQ202" s="1"/>
      <c r="JVR202" s="1"/>
      <c r="JVS202" s="25"/>
      <c r="JVV202" s="23"/>
      <c r="JVW202" s="23"/>
      <c r="JVX202" s="23"/>
      <c r="JVY202" s="23"/>
      <c r="JVZ202" s="23"/>
      <c r="JWA202" s="23"/>
      <c r="JWB202" s="24"/>
      <c r="JWC202" s="23"/>
      <c r="JWD202" s="23"/>
      <c r="JWE202" s="23"/>
      <c r="JWF202" s="1"/>
      <c r="JWG202" s="1"/>
      <c r="JWH202" s="1"/>
      <c r="JWI202" s="25"/>
      <c r="JWL202" s="23"/>
      <c r="JWM202" s="23"/>
      <c r="JWN202" s="23"/>
      <c r="JWO202" s="23"/>
      <c r="JWP202" s="23"/>
      <c r="JWQ202" s="23"/>
      <c r="JWR202" s="24"/>
      <c r="JWS202" s="23"/>
      <c r="JWT202" s="23"/>
      <c r="JWU202" s="23"/>
      <c r="JWV202" s="1"/>
      <c r="JWW202" s="1"/>
      <c r="JWX202" s="1"/>
      <c r="JWY202" s="25"/>
      <c r="JXB202" s="23"/>
      <c r="JXC202" s="23"/>
      <c r="JXD202" s="23"/>
      <c r="JXE202" s="23"/>
      <c r="JXF202" s="23"/>
      <c r="JXG202" s="23"/>
      <c r="JXH202" s="24"/>
      <c r="JXI202" s="23"/>
      <c r="JXJ202" s="23"/>
      <c r="JXK202" s="23"/>
      <c r="JXL202" s="1"/>
      <c r="JXM202" s="1"/>
      <c r="JXN202" s="1"/>
      <c r="JXO202" s="25"/>
      <c r="JXR202" s="23"/>
      <c r="JXS202" s="23"/>
      <c r="JXT202" s="23"/>
      <c r="JXU202" s="23"/>
      <c r="JXV202" s="23"/>
      <c r="JXW202" s="23"/>
      <c r="JXX202" s="24"/>
      <c r="JXY202" s="23"/>
      <c r="JXZ202" s="23"/>
      <c r="JYA202" s="23"/>
      <c r="JYB202" s="1"/>
      <c r="JYC202" s="1"/>
      <c r="JYD202" s="1"/>
      <c r="JYE202" s="25"/>
      <c r="JYH202" s="23"/>
      <c r="JYI202" s="23"/>
      <c r="JYJ202" s="23"/>
      <c r="JYK202" s="23"/>
      <c r="JYL202" s="23"/>
      <c r="JYM202" s="23"/>
      <c r="JYN202" s="24"/>
      <c r="JYO202" s="23"/>
      <c r="JYP202" s="23"/>
      <c r="JYQ202" s="23"/>
      <c r="JYR202" s="1"/>
      <c r="JYS202" s="1"/>
      <c r="JYT202" s="1"/>
      <c r="JYU202" s="25"/>
      <c r="JYX202" s="23"/>
      <c r="JYY202" s="23"/>
      <c r="JYZ202" s="23"/>
      <c r="JZA202" s="23"/>
      <c r="JZB202" s="23"/>
      <c r="JZC202" s="23"/>
      <c r="JZD202" s="24"/>
      <c r="JZE202" s="23"/>
      <c r="JZF202" s="23"/>
      <c r="JZG202" s="23"/>
      <c r="JZH202" s="1"/>
      <c r="JZI202" s="1"/>
      <c r="JZJ202" s="1"/>
      <c r="JZK202" s="25"/>
      <c r="JZN202" s="23"/>
      <c r="JZO202" s="23"/>
      <c r="JZP202" s="23"/>
      <c r="JZQ202" s="23"/>
      <c r="JZR202" s="23"/>
      <c r="JZS202" s="23"/>
      <c r="JZT202" s="24"/>
      <c r="JZU202" s="23"/>
      <c r="JZV202" s="23"/>
      <c r="JZW202" s="23"/>
      <c r="JZX202" s="1"/>
      <c r="JZY202" s="1"/>
      <c r="JZZ202" s="1"/>
      <c r="KAA202" s="25"/>
      <c r="KAD202" s="23"/>
      <c r="KAE202" s="23"/>
      <c r="KAF202" s="23"/>
      <c r="KAG202" s="23"/>
      <c r="KAH202" s="23"/>
      <c r="KAI202" s="23"/>
      <c r="KAJ202" s="24"/>
      <c r="KAK202" s="23"/>
      <c r="KAL202" s="23"/>
      <c r="KAM202" s="23"/>
      <c r="KAN202" s="1"/>
      <c r="KAO202" s="1"/>
      <c r="KAP202" s="1"/>
      <c r="KAQ202" s="25"/>
      <c r="KAT202" s="23"/>
      <c r="KAU202" s="23"/>
      <c r="KAV202" s="23"/>
      <c r="KAW202" s="23"/>
      <c r="KAX202" s="23"/>
      <c r="KAY202" s="23"/>
      <c r="KAZ202" s="24"/>
      <c r="KBA202" s="23"/>
      <c r="KBB202" s="23"/>
      <c r="KBC202" s="23"/>
      <c r="KBD202" s="1"/>
      <c r="KBE202" s="1"/>
      <c r="KBF202" s="1"/>
      <c r="KBG202" s="25"/>
      <c r="KBJ202" s="23"/>
      <c r="KBK202" s="23"/>
      <c r="KBL202" s="23"/>
      <c r="KBM202" s="23"/>
      <c r="KBN202" s="23"/>
      <c r="KBO202" s="23"/>
      <c r="KBP202" s="24"/>
      <c r="KBQ202" s="23"/>
      <c r="KBR202" s="23"/>
      <c r="KBS202" s="23"/>
      <c r="KBT202" s="1"/>
      <c r="KBU202" s="1"/>
      <c r="KBV202" s="1"/>
      <c r="KBW202" s="25"/>
      <c r="KBZ202" s="23"/>
      <c r="KCA202" s="23"/>
      <c r="KCB202" s="23"/>
      <c r="KCC202" s="23"/>
      <c r="KCD202" s="23"/>
      <c r="KCE202" s="23"/>
      <c r="KCF202" s="24"/>
      <c r="KCG202" s="23"/>
      <c r="KCH202" s="23"/>
      <c r="KCI202" s="23"/>
      <c r="KCJ202" s="1"/>
      <c r="KCK202" s="1"/>
      <c r="KCL202" s="1"/>
      <c r="KCM202" s="25"/>
      <c r="KCP202" s="23"/>
      <c r="KCQ202" s="23"/>
      <c r="KCR202" s="23"/>
      <c r="KCS202" s="23"/>
      <c r="KCT202" s="23"/>
      <c r="KCU202" s="23"/>
      <c r="KCV202" s="24"/>
      <c r="KCW202" s="23"/>
      <c r="KCX202" s="23"/>
      <c r="KCY202" s="23"/>
      <c r="KCZ202" s="1"/>
      <c r="KDA202" s="1"/>
      <c r="KDB202" s="1"/>
      <c r="KDC202" s="25"/>
      <c r="KDF202" s="23"/>
      <c r="KDG202" s="23"/>
      <c r="KDH202" s="23"/>
      <c r="KDI202" s="23"/>
      <c r="KDJ202" s="23"/>
      <c r="KDK202" s="23"/>
      <c r="KDL202" s="24"/>
      <c r="KDM202" s="23"/>
      <c r="KDN202" s="23"/>
      <c r="KDO202" s="23"/>
      <c r="KDP202" s="1"/>
      <c r="KDQ202" s="1"/>
      <c r="KDR202" s="1"/>
      <c r="KDS202" s="25"/>
      <c r="KDV202" s="23"/>
      <c r="KDW202" s="23"/>
      <c r="KDX202" s="23"/>
      <c r="KDY202" s="23"/>
      <c r="KDZ202" s="23"/>
      <c r="KEA202" s="23"/>
      <c r="KEB202" s="24"/>
      <c r="KEC202" s="23"/>
      <c r="KED202" s="23"/>
      <c r="KEE202" s="23"/>
      <c r="KEF202" s="1"/>
      <c r="KEG202" s="1"/>
      <c r="KEH202" s="1"/>
      <c r="KEI202" s="25"/>
      <c r="KEL202" s="23"/>
      <c r="KEM202" s="23"/>
      <c r="KEN202" s="23"/>
      <c r="KEO202" s="23"/>
      <c r="KEP202" s="23"/>
      <c r="KEQ202" s="23"/>
      <c r="KER202" s="24"/>
      <c r="KES202" s="23"/>
      <c r="KET202" s="23"/>
      <c r="KEU202" s="23"/>
      <c r="KEV202" s="1"/>
      <c r="KEW202" s="1"/>
      <c r="KEX202" s="1"/>
      <c r="KEY202" s="25"/>
      <c r="KFB202" s="23"/>
      <c r="KFC202" s="23"/>
      <c r="KFD202" s="23"/>
      <c r="KFE202" s="23"/>
      <c r="KFF202" s="23"/>
      <c r="KFG202" s="23"/>
      <c r="KFH202" s="24"/>
      <c r="KFI202" s="23"/>
      <c r="KFJ202" s="23"/>
      <c r="KFK202" s="23"/>
      <c r="KFL202" s="1"/>
      <c r="KFM202" s="1"/>
      <c r="KFN202" s="1"/>
      <c r="KFO202" s="25"/>
      <c r="KFR202" s="23"/>
      <c r="KFS202" s="23"/>
      <c r="KFT202" s="23"/>
      <c r="KFU202" s="23"/>
      <c r="KFV202" s="23"/>
      <c r="KFW202" s="23"/>
      <c r="KFX202" s="24"/>
      <c r="KFY202" s="23"/>
      <c r="KFZ202" s="23"/>
      <c r="KGA202" s="23"/>
      <c r="KGB202" s="1"/>
      <c r="KGC202" s="1"/>
      <c r="KGD202" s="1"/>
      <c r="KGE202" s="25"/>
      <c r="KGH202" s="23"/>
      <c r="KGI202" s="23"/>
      <c r="KGJ202" s="23"/>
      <c r="KGK202" s="23"/>
      <c r="KGL202" s="23"/>
      <c r="KGM202" s="23"/>
      <c r="KGN202" s="24"/>
      <c r="KGO202" s="23"/>
      <c r="KGP202" s="23"/>
      <c r="KGQ202" s="23"/>
      <c r="KGR202" s="1"/>
      <c r="KGS202" s="1"/>
      <c r="KGT202" s="1"/>
      <c r="KGU202" s="25"/>
      <c r="KGX202" s="23"/>
      <c r="KGY202" s="23"/>
      <c r="KGZ202" s="23"/>
      <c r="KHA202" s="23"/>
      <c r="KHB202" s="23"/>
      <c r="KHC202" s="23"/>
      <c r="KHD202" s="24"/>
      <c r="KHE202" s="23"/>
      <c r="KHF202" s="23"/>
      <c r="KHG202" s="23"/>
      <c r="KHH202" s="1"/>
      <c r="KHI202" s="1"/>
      <c r="KHJ202" s="1"/>
      <c r="KHK202" s="25"/>
      <c r="KHN202" s="23"/>
      <c r="KHO202" s="23"/>
      <c r="KHP202" s="23"/>
      <c r="KHQ202" s="23"/>
      <c r="KHR202" s="23"/>
      <c r="KHS202" s="23"/>
      <c r="KHT202" s="24"/>
      <c r="KHU202" s="23"/>
      <c r="KHV202" s="23"/>
      <c r="KHW202" s="23"/>
      <c r="KHX202" s="1"/>
      <c r="KHY202" s="1"/>
      <c r="KHZ202" s="1"/>
      <c r="KIA202" s="25"/>
      <c r="KID202" s="23"/>
      <c r="KIE202" s="23"/>
      <c r="KIF202" s="23"/>
      <c r="KIG202" s="23"/>
      <c r="KIH202" s="23"/>
      <c r="KII202" s="23"/>
      <c r="KIJ202" s="24"/>
      <c r="KIK202" s="23"/>
      <c r="KIL202" s="23"/>
      <c r="KIM202" s="23"/>
      <c r="KIN202" s="1"/>
      <c r="KIO202" s="1"/>
      <c r="KIP202" s="1"/>
      <c r="KIQ202" s="25"/>
      <c r="KIT202" s="23"/>
      <c r="KIU202" s="23"/>
      <c r="KIV202" s="23"/>
      <c r="KIW202" s="23"/>
      <c r="KIX202" s="23"/>
      <c r="KIY202" s="23"/>
      <c r="KIZ202" s="24"/>
      <c r="KJA202" s="23"/>
      <c r="KJB202" s="23"/>
      <c r="KJC202" s="23"/>
      <c r="KJD202" s="1"/>
      <c r="KJE202" s="1"/>
      <c r="KJF202" s="1"/>
      <c r="KJG202" s="25"/>
      <c r="KJJ202" s="23"/>
      <c r="KJK202" s="23"/>
      <c r="KJL202" s="23"/>
      <c r="KJM202" s="23"/>
      <c r="KJN202" s="23"/>
      <c r="KJO202" s="23"/>
      <c r="KJP202" s="24"/>
      <c r="KJQ202" s="23"/>
      <c r="KJR202" s="23"/>
      <c r="KJS202" s="23"/>
      <c r="KJT202" s="1"/>
      <c r="KJU202" s="1"/>
      <c r="KJV202" s="1"/>
      <c r="KJW202" s="25"/>
      <c r="KJZ202" s="23"/>
      <c r="KKA202" s="23"/>
      <c r="KKB202" s="23"/>
      <c r="KKC202" s="23"/>
      <c r="KKD202" s="23"/>
      <c r="KKE202" s="23"/>
      <c r="KKF202" s="24"/>
      <c r="KKG202" s="23"/>
      <c r="KKH202" s="23"/>
      <c r="KKI202" s="23"/>
      <c r="KKJ202" s="1"/>
      <c r="KKK202" s="1"/>
      <c r="KKL202" s="1"/>
      <c r="KKM202" s="25"/>
      <c r="KKP202" s="23"/>
      <c r="KKQ202" s="23"/>
      <c r="KKR202" s="23"/>
      <c r="KKS202" s="23"/>
      <c r="KKT202" s="23"/>
      <c r="KKU202" s="23"/>
      <c r="KKV202" s="24"/>
      <c r="KKW202" s="23"/>
      <c r="KKX202" s="23"/>
      <c r="KKY202" s="23"/>
      <c r="KKZ202" s="1"/>
      <c r="KLA202" s="1"/>
      <c r="KLB202" s="1"/>
      <c r="KLC202" s="25"/>
      <c r="KLF202" s="23"/>
      <c r="KLG202" s="23"/>
      <c r="KLH202" s="23"/>
      <c r="KLI202" s="23"/>
      <c r="KLJ202" s="23"/>
      <c r="KLK202" s="23"/>
      <c r="KLL202" s="24"/>
      <c r="KLM202" s="23"/>
      <c r="KLN202" s="23"/>
      <c r="KLO202" s="23"/>
      <c r="KLP202" s="1"/>
      <c r="KLQ202" s="1"/>
      <c r="KLR202" s="1"/>
      <c r="KLS202" s="25"/>
      <c r="KLV202" s="23"/>
      <c r="KLW202" s="23"/>
      <c r="KLX202" s="23"/>
      <c r="KLY202" s="23"/>
      <c r="KLZ202" s="23"/>
      <c r="KMA202" s="23"/>
      <c r="KMB202" s="24"/>
      <c r="KMC202" s="23"/>
      <c r="KMD202" s="23"/>
      <c r="KME202" s="23"/>
      <c r="KMF202" s="1"/>
      <c r="KMG202" s="1"/>
      <c r="KMH202" s="1"/>
      <c r="KMI202" s="25"/>
      <c r="KML202" s="23"/>
      <c r="KMM202" s="23"/>
      <c r="KMN202" s="23"/>
      <c r="KMO202" s="23"/>
      <c r="KMP202" s="23"/>
      <c r="KMQ202" s="23"/>
      <c r="KMR202" s="24"/>
      <c r="KMS202" s="23"/>
      <c r="KMT202" s="23"/>
      <c r="KMU202" s="23"/>
      <c r="KMV202" s="1"/>
      <c r="KMW202" s="1"/>
      <c r="KMX202" s="1"/>
      <c r="KMY202" s="25"/>
      <c r="KNB202" s="23"/>
      <c r="KNC202" s="23"/>
      <c r="KND202" s="23"/>
      <c r="KNE202" s="23"/>
      <c r="KNF202" s="23"/>
      <c r="KNG202" s="23"/>
      <c r="KNH202" s="24"/>
      <c r="KNI202" s="23"/>
      <c r="KNJ202" s="23"/>
      <c r="KNK202" s="23"/>
      <c r="KNL202" s="1"/>
      <c r="KNM202" s="1"/>
      <c r="KNN202" s="1"/>
      <c r="KNO202" s="25"/>
      <c r="KNR202" s="23"/>
      <c r="KNS202" s="23"/>
      <c r="KNT202" s="23"/>
      <c r="KNU202" s="23"/>
      <c r="KNV202" s="23"/>
      <c r="KNW202" s="23"/>
      <c r="KNX202" s="24"/>
      <c r="KNY202" s="23"/>
      <c r="KNZ202" s="23"/>
      <c r="KOA202" s="23"/>
      <c r="KOB202" s="1"/>
      <c r="KOC202" s="1"/>
      <c r="KOD202" s="1"/>
      <c r="KOE202" s="25"/>
      <c r="KOH202" s="23"/>
      <c r="KOI202" s="23"/>
      <c r="KOJ202" s="23"/>
      <c r="KOK202" s="23"/>
      <c r="KOL202" s="23"/>
      <c r="KOM202" s="23"/>
      <c r="KON202" s="24"/>
      <c r="KOO202" s="23"/>
      <c r="KOP202" s="23"/>
      <c r="KOQ202" s="23"/>
      <c r="KOR202" s="1"/>
      <c r="KOS202" s="1"/>
      <c r="KOT202" s="1"/>
      <c r="KOU202" s="25"/>
      <c r="KOX202" s="23"/>
      <c r="KOY202" s="23"/>
      <c r="KOZ202" s="23"/>
      <c r="KPA202" s="23"/>
      <c r="KPB202" s="23"/>
      <c r="KPC202" s="23"/>
      <c r="KPD202" s="24"/>
      <c r="KPE202" s="23"/>
      <c r="KPF202" s="23"/>
      <c r="KPG202" s="23"/>
      <c r="KPH202" s="1"/>
      <c r="KPI202" s="1"/>
      <c r="KPJ202" s="1"/>
      <c r="KPK202" s="25"/>
      <c r="KPN202" s="23"/>
      <c r="KPO202" s="23"/>
      <c r="KPP202" s="23"/>
      <c r="KPQ202" s="23"/>
      <c r="KPR202" s="23"/>
      <c r="KPS202" s="23"/>
      <c r="KPT202" s="24"/>
      <c r="KPU202" s="23"/>
      <c r="KPV202" s="23"/>
      <c r="KPW202" s="23"/>
      <c r="KPX202" s="1"/>
      <c r="KPY202" s="1"/>
      <c r="KPZ202" s="1"/>
      <c r="KQA202" s="25"/>
      <c r="KQD202" s="23"/>
      <c r="KQE202" s="23"/>
      <c r="KQF202" s="23"/>
      <c r="KQG202" s="23"/>
      <c r="KQH202" s="23"/>
      <c r="KQI202" s="23"/>
      <c r="KQJ202" s="24"/>
      <c r="KQK202" s="23"/>
      <c r="KQL202" s="23"/>
      <c r="KQM202" s="23"/>
      <c r="KQN202" s="1"/>
      <c r="KQO202" s="1"/>
      <c r="KQP202" s="1"/>
      <c r="KQQ202" s="25"/>
      <c r="KQT202" s="23"/>
      <c r="KQU202" s="23"/>
      <c r="KQV202" s="23"/>
      <c r="KQW202" s="23"/>
      <c r="KQX202" s="23"/>
      <c r="KQY202" s="23"/>
      <c r="KQZ202" s="24"/>
      <c r="KRA202" s="23"/>
      <c r="KRB202" s="23"/>
      <c r="KRC202" s="23"/>
      <c r="KRD202" s="1"/>
      <c r="KRE202" s="1"/>
      <c r="KRF202" s="1"/>
      <c r="KRG202" s="25"/>
      <c r="KRJ202" s="23"/>
      <c r="KRK202" s="23"/>
      <c r="KRL202" s="23"/>
      <c r="KRM202" s="23"/>
      <c r="KRN202" s="23"/>
      <c r="KRO202" s="23"/>
      <c r="KRP202" s="24"/>
      <c r="KRQ202" s="23"/>
      <c r="KRR202" s="23"/>
      <c r="KRS202" s="23"/>
      <c r="KRT202" s="1"/>
      <c r="KRU202" s="1"/>
      <c r="KRV202" s="1"/>
      <c r="KRW202" s="25"/>
      <c r="KRZ202" s="23"/>
      <c r="KSA202" s="23"/>
      <c r="KSB202" s="23"/>
      <c r="KSC202" s="23"/>
      <c r="KSD202" s="23"/>
      <c r="KSE202" s="23"/>
      <c r="KSF202" s="24"/>
      <c r="KSG202" s="23"/>
      <c r="KSH202" s="23"/>
      <c r="KSI202" s="23"/>
      <c r="KSJ202" s="1"/>
      <c r="KSK202" s="1"/>
      <c r="KSL202" s="1"/>
      <c r="KSM202" s="25"/>
      <c r="KSP202" s="23"/>
      <c r="KSQ202" s="23"/>
      <c r="KSR202" s="23"/>
      <c r="KSS202" s="23"/>
      <c r="KST202" s="23"/>
      <c r="KSU202" s="23"/>
      <c r="KSV202" s="24"/>
      <c r="KSW202" s="23"/>
      <c r="KSX202" s="23"/>
      <c r="KSY202" s="23"/>
      <c r="KSZ202" s="1"/>
      <c r="KTA202" s="1"/>
      <c r="KTB202" s="1"/>
      <c r="KTC202" s="25"/>
      <c r="KTF202" s="23"/>
      <c r="KTG202" s="23"/>
      <c r="KTH202" s="23"/>
      <c r="KTI202" s="23"/>
      <c r="KTJ202" s="23"/>
      <c r="KTK202" s="23"/>
      <c r="KTL202" s="24"/>
      <c r="KTM202" s="23"/>
      <c r="KTN202" s="23"/>
      <c r="KTO202" s="23"/>
      <c r="KTP202" s="1"/>
      <c r="KTQ202" s="1"/>
      <c r="KTR202" s="1"/>
      <c r="KTS202" s="25"/>
      <c r="KTV202" s="23"/>
      <c r="KTW202" s="23"/>
      <c r="KTX202" s="23"/>
      <c r="KTY202" s="23"/>
      <c r="KTZ202" s="23"/>
      <c r="KUA202" s="23"/>
      <c r="KUB202" s="24"/>
      <c r="KUC202" s="23"/>
      <c r="KUD202" s="23"/>
      <c r="KUE202" s="23"/>
      <c r="KUF202" s="1"/>
      <c r="KUG202" s="1"/>
      <c r="KUH202" s="1"/>
      <c r="KUI202" s="25"/>
      <c r="KUL202" s="23"/>
      <c r="KUM202" s="23"/>
      <c r="KUN202" s="23"/>
      <c r="KUO202" s="23"/>
      <c r="KUP202" s="23"/>
      <c r="KUQ202" s="23"/>
      <c r="KUR202" s="24"/>
      <c r="KUS202" s="23"/>
      <c r="KUT202" s="23"/>
      <c r="KUU202" s="23"/>
      <c r="KUV202" s="1"/>
      <c r="KUW202" s="1"/>
      <c r="KUX202" s="1"/>
      <c r="KUY202" s="25"/>
      <c r="KVB202" s="23"/>
      <c r="KVC202" s="23"/>
      <c r="KVD202" s="23"/>
      <c r="KVE202" s="23"/>
      <c r="KVF202" s="23"/>
      <c r="KVG202" s="23"/>
      <c r="KVH202" s="24"/>
      <c r="KVI202" s="23"/>
      <c r="KVJ202" s="23"/>
      <c r="KVK202" s="23"/>
      <c r="KVL202" s="1"/>
      <c r="KVM202" s="1"/>
      <c r="KVN202" s="1"/>
      <c r="KVO202" s="25"/>
      <c r="KVR202" s="23"/>
      <c r="KVS202" s="23"/>
      <c r="KVT202" s="23"/>
      <c r="KVU202" s="23"/>
      <c r="KVV202" s="23"/>
      <c r="KVW202" s="23"/>
      <c r="KVX202" s="24"/>
      <c r="KVY202" s="23"/>
      <c r="KVZ202" s="23"/>
      <c r="KWA202" s="23"/>
      <c r="KWB202" s="1"/>
      <c r="KWC202" s="1"/>
      <c r="KWD202" s="1"/>
      <c r="KWE202" s="25"/>
      <c r="KWH202" s="23"/>
      <c r="KWI202" s="23"/>
      <c r="KWJ202" s="23"/>
      <c r="KWK202" s="23"/>
      <c r="KWL202" s="23"/>
      <c r="KWM202" s="23"/>
      <c r="KWN202" s="24"/>
      <c r="KWO202" s="23"/>
      <c r="KWP202" s="23"/>
      <c r="KWQ202" s="23"/>
      <c r="KWR202" s="1"/>
      <c r="KWS202" s="1"/>
      <c r="KWT202" s="1"/>
      <c r="KWU202" s="25"/>
      <c r="KWX202" s="23"/>
      <c r="KWY202" s="23"/>
      <c r="KWZ202" s="23"/>
      <c r="KXA202" s="23"/>
      <c r="KXB202" s="23"/>
      <c r="KXC202" s="23"/>
      <c r="KXD202" s="24"/>
      <c r="KXE202" s="23"/>
      <c r="KXF202" s="23"/>
      <c r="KXG202" s="23"/>
      <c r="KXH202" s="1"/>
      <c r="KXI202" s="1"/>
      <c r="KXJ202" s="1"/>
      <c r="KXK202" s="25"/>
      <c r="KXN202" s="23"/>
      <c r="KXO202" s="23"/>
      <c r="KXP202" s="23"/>
      <c r="KXQ202" s="23"/>
      <c r="KXR202" s="23"/>
      <c r="KXS202" s="23"/>
      <c r="KXT202" s="24"/>
      <c r="KXU202" s="23"/>
      <c r="KXV202" s="23"/>
      <c r="KXW202" s="23"/>
      <c r="KXX202" s="1"/>
      <c r="KXY202" s="1"/>
      <c r="KXZ202" s="1"/>
      <c r="KYA202" s="25"/>
      <c r="KYD202" s="23"/>
      <c r="KYE202" s="23"/>
      <c r="KYF202" s="23"/>
      <c r="KYG202" s="23"/>
      <c r="KYH202" s="23"/>
      <c r="KYI202" s="23"/>
      <c r="KYJ202" s="24"/>
      <c r="KYK202" s="23"/>
      <c r="KYL202" s="23"/>
      <c r="KYM202" s="23"/>
      <c r="KYN202" s="1"/>
      <c r="KYO202" s="1"/>
      <c r="KYP202" s="1"/>
      <c r="KYQ202" s="25"/>
      <c r="KYT202" s="23"/>
      <c r="KYU202" s="23"/>
      <c r="KYV202" s="23"/>
      <c r="KYW202" s="23"/>
      <c r="KYX202" s="23"/>
      <c r="KYY202" s="23"/>
      <c r="KYZ202" s="24"/>
      <c r="KZA202" s="23"/>
      <c r="KZB202" s="23"/>
      <c r="KZC202" s="23"/>
      <c r="KZD202" s="1"/>
      <c r="KZE202" s="1"/>
      <c r="KZF202" s="1"/>
      <c r="KZG202" s="25"/>
      <c r="KZJ202" s="23"/>
      <c r="KZK202" s="23"/>
      <c r="KZL202" s="23"/>
      <c r="KZM202" s="23"/>
      <c r="KZN202" s="23"/>
      <c r="KZO202" s="23"/>
      <c r="KZP202" s="24"/>
      <c r="KZQ202" s="23"/>
      <c r="KZR202" s="23"/>
      <c r="KZS202" s="23"/>
      <c r="KZT202" s="1"/>
      <c r="KZU202" s="1"/>
      <c r="KZV202" s="1"/>
      <c r="KZW202" s="25"/>
      <c r="KZZ202" s="23"/>
      <c r="LAA202" s="23"/>
      <c r="LAB202" s="23"/>
      <c r="LAC202" s="23"/>
      <c r="LAD202" s="23"/>
      <c r="LAE202" s="23"/>
      <c r="LAF202" s="24"/>
      <c r="LAG202" s="23"/>
      <c r="LAH202" s="23"/>
      <c r="LAI202" s="23"/>
      <c r="LAJ202" s="1"/>
      <c r="LAK202" s="1"/>
      <c r="LAL202" s="1"/>
      <c r="LAM202" s="25"/>
      <c r="LAP202" s="23"/>
      <c r="LAQ202" s="23"/>
      <c r="LAR202" s="23"/>
      <c r="LAS202" s="23"/>
      <c r="LAT202" s="23"/>
      <c r="LAU202" s="23"/>
      <c r="LAV202" s="24"/>
      <c r="LAW202" s="23"/>
      <c r="LAX202" s="23"/>
      <c r="LAY202" s="23"/>
      <c r="LAZ202" s="1"/>
      <c r="LBA202" s="1"/>
      <c r="LBB202" s="1"/>
      <c r="LBC202" s="25"/>
      <c r="LBF202" s="23"/>
      <c r="LBG202" s="23"/>
      <c r="LBH202" s="23"/>
      <c r="LBI202" s="23"/>
      <c r="LBJ202" s="23"/>
      <c r="LBK202" s="23"/>
      <c r="LBL202" s="24"/>
      <c r="LBM202" s="23"/>
      <c r="LBN202" s="23"/>
      <c r="LBO202" s="23"/>
      <c r="LBP202" s="1"/>
      <c r="LBQ202" s="1"/>
      <c r="LBR202" s="1"/>
      <c r="LBS202" s="25"/>
      <c r="LBV202" s="23"/>
      <c r="LBW202" s="23"/>
      <c r="LBX202" s="23"/>
      <c r="LBY202" s="23"/>
      <c r="LBZ202" s="23"/>
      <c r="LCA202" s="23"/>
      <c r="LCB202" s="24"/>
      <c r="LCC202" s="23"/>
      <c r="LCD202" s="23"/>
      <c r="LCE202" s="23"/>
      <c r="LCF202" s="1"/>
      <c r="LCG202" s="1"/>
      <c r="LCH202" s="1"/>
      <c r="LCI202" s="25"/>
      <c r="LCL202" s="23"/>
      <c r="LCM202" s="23"/>
      <c r="LCN202" s="23"/>
      <c r="LCO202" s="23"/>
      <c r="LCP202" s="23"/>
      <c r="LCQ202" s="23"/>
      <c r="LCR202" s="24"/>
      <c r="LCS202" s="23"/>
      <c r="LCT202" s="23"/>
      <c r="LCU202" s="23"/>
      <c r="LCV202" s="1"/>
      <c r="LCW202" s="1"/>
      <c r="LCX202" s="1"/>
      <c r="LCY202" s="25"/>
      <c r="LDB202" s="23"/>
      <c r="LDC202" s="23"/>
      <c r="LDD202" s="23"/>
      <c r="LDE202" s="23"/>
      <c r="LDF202" s="23"/>
      <c r="LDG202" s="23"/>
      <c r="LDH202" s="24"/>
      <c r="LDI202" s="23"/>
      <c r="LDJ202" s="23"/>
      <c r="LDK202" s="23"/>
      <c r="LDL202" s="1"/>
      <c r="LDM202" s="1"/>
      <c r="LDN202" s="1"/>
      <c r="LDO202" s="25"/>
      <c r="LDR202" s="23"/>
      <c r="LDS202" s="23"/>
      <c r="LDT202" s="23"/>
      <c r="LDU202" s="23"/>
      <c r="LDV202" s="23"/>
      <c r="LDW202" s="23"/>
      <c r="LDX202" s="24"/>
      <c r="LDY202" s="23"/>
      <c r="LDZ202" s="23"/>
      <c r="LEA202" s="23"/>
      <c r="LEB202" s="1"/>
      <c r="LEC202" s="1"/>
      <c r="LED202" s="1"/>
      <c r="LEE202" s="25"/>
      <c r="LEH202" s="23"/>
      <c r="LEI202" s="23"/>
      <c r="LEJ202" s="23"/>
      <c r="LEK202" s="23"/>
      <c r="LEL202" s="23"/>
      <c r="LEM202" s="23"/>
      <c r="LEN202" s="24"/>
      <c r="LEO202" s="23"/>
      <c r="LEP202" s="23"/>
      <c r="LEQ202" s="23"/>
      <c r="LER202" s="1"/>
      <c r="LES202" s="1"/>
      <c r="LET202" s="1"/>
      <c r="LEU202" s="25"/>
      <c r="LEX202" s="23"/>
      <c r="LEY202" s="23"/>
      <c r="LEZ202" s="23"/>
      <c r="LFA202" s="23"/>
      <c r="LFB202" s="23"/>
      <c r="LFC202" s="23"/>
      <c r="LFD202" s="24"/>
      <c r="LFE202" s="23"/>
      <c r="LFF202" s="23"/>
      <c r="LFG202" s="23"/>
      <c r="LFH202" s="1"/>
      <c r="LFI202" s="1"/>
      <c r="LFJ202" s="1"/>
      <c r="LFK202" s="25"/>
      <c r="LFN202" s="23"/>
      <c r="LFO202" s="23"/>
      <c r="LFP202" s="23"/>
      <c r="LFQ202" s="23"/>
      <c r="LFR202" s="23"/>
      <c r="LFS202" s="23"/>
      <c r="LFT202" s="24"/>
      <c r="LFU202" s="23"/>
      <c r="LFV202" s="23"/>
      <c r="LFW202" s="23"/>
      <c r="LFX202" s="1"/>
      <c r="LFY202" s="1"/>
      <c r="LFZ202" s="1"/>
      <c r="LGA202" s="25"/>
      <c r="LGD202" s="23"/>
      <c r="LGE202" s="23"/>
      <c r="LGF202" s="23"/>
      <c r="LGG202" s="23"/>
      <c r="LGH202" s="23"/>
      <c r="LGI202" s="23"/>
      <c r="LGJ202" s="24"/>
      <c r="LGK202" s="23"/>
      <c r="LGL202" s="23"/>
      <c r="LGM202" s="23"/>
      <c r="LGN202" s="1"/>
      <c r="LGO202" s="1"/>
      <c r="LGP202" s="1"/>
      <c r="LGQ202" s="25"/>
      <c r="LGT202" s="23"/>
      <c r="LGU202" s="23"/>
      <c r="LGV202" s="23"/>
      <c r="LGW202" s="23"/>
      <c r="LGX202" s="23"/>
      <c r="LGY202" s="23"/>
      <c r="LGZ202" s="24"/>
      <c r="LHA202" s="23"/>
      <c r="LHB202" s="23"/>
      <c r="LHC202" s="23"/>
      <c r="LHD202" s="1"/>
      <c r="LHE202" s="1"/>
      <c r="LHF202" s="1"/>
      <c r="LHG202" s="25"/>
      <c r="LHJ202" s="23"/>
      <c r="LHK202" s="23"/>
      <c r="LHL202" s="23"/>
      <c r="LHM202" s="23"/>
      <c r="LHN202" s="23"/>
      <c r="LHO202" s="23"/>
      <c r="LHP202" s="24"/>
      <c r="LHQ202" s="23"/>
      <c r="LHR202" s="23"/>
      <c r="LHS202" s="23"/>
      <c r="LHT202" s="1"/>
      <c r="LHU202" s="1"/>
      <c r="LHV202" s="1"/>
      <c r="LHW202" s="25"/>
      <c r="LHZ202" s="23"/>
      <c r="LIA202" s="23"/>
      <c r="LIB202" s="23"/>
      <c r="LIC202" s="23"/>
      <c r="LID202" s="23"/>
      <c r="LIE202" s="23"/>
      <c r="LIF202" s="24"/>
      <c r="LIG202" s="23"/>
      <c r="LIH202" s="23"/>
      <c r="LII202" s="23"/>
      <c r="LIJ202" s="1"/>
      <c r="LIK202" s="1"/>
      <c r="LIL202" s="1"/>
      <c r="LIM202" s="25"/>
      <c r="LIP202" s="23"/>
      <c r="LIQ202" s="23"/>
      <c r="LIR202" s="23"/>
      <c r="LIS202" s="23"/>
      <c r="LIT202" s="23"/>
      <c r="LIU202" s="23"/>
      <c r="LIV202" s="24"/>
      <c r="LIW202" s="23"/>
      <c r="LIX202" s="23"/>
      <c r="LIY202" s="23"/>
      <c r="LIZ202" s="1"/>
      <c r="LJA202" s="1"/>
      <c r="LJB202" s="1"/>
      <c r="LJC202" s="25"/>
      <c r="LJF202" s="23"/>
      <c r="LJG202" s="23"/>
      <c r="LJH202" s="23"/>
      <c r="LJI202" s="23"/>
      <c r="LJJ202" s="23"/>
      <c r="LJK202" s="23"/>
      <c r="LJL202" s="24"/>
      <c r="LJM202" s="23"/>
      <c r="LJN202" s="23"/>
      <c r="LJO202" s="23"/>
      <c r="LJP202" s="1"/>
      <c r="LJQ202" s="1"/>
      <c r="LJR202" s="1"/>
      <c r="LJS202" s="25"/>
      <c r="LJV202" s="23"/>
      <c r="LJW202" s="23"/>
      <c r="LJX202" s="23"/>
      <c r="LJY202" s="23"/>
      <c r="LJZ202" s="23"/>
      <c r="LKA202" s="23"/>
      <c r="LKB202" s="24"/>
      <c r="LKC202" s="23"/>
      <c r="LKD202" s="23"/>
      <c r="LKE202" s="23"/>
      <c r="LKF202" s="1"/>
      <c r="LKG202" s="1"/>
      <c r="LKH202" s="1"/>
      <c r="LKI202" s="25"/>
      <c r="LKL202" s="23"/>
      <c r="LKM202" s="23"/>
      <c r="LKN202" s="23"/>
      <c r="LKO202" s="23"/>
      <c r="LKP202" s="23"/>
      <c r="LKQ202" s="23"/>
      <c r="LKR202" s="24"/>
      <c r="LKS202" s="23"/>
      <c r="LKT202" s="23"/>
      <c r="LKU202" s="23"/>
      <c r="LKV202" s="1"/>
      <c r="LKW202" s="1"/>
      <c r="LKX202" s="1"/>
      <c r="LKY202" s="25"/>
      <c r="LLB202" s="23"/>
      <c r="LLC202" s="23"/>
      <c r="LLD202" s="23"/>
      <c r="LLE202" s="23"/>
      <c r="LLF202" s="23"/>
      <c r="LLG202" s="23"/>
      <c r="LLH202" s="24"/>
      <c r="LLI202" s="23"/>
      <c r="LLJ202" s="23"/>
      <c r="LLK202" s="23"/>
      <c r="LLL202" s="1"/>
      <c r="LLM202" s="1"/>
      <c r="LLN202" s="1"/>
      <c r="LLO202" s="25"/>
      <c r="LLR202" s="23"/>
      <c r="LLS202" s="23"/>
      <c r="LLT202" s="23"/>
      <c r="LLU202" s="23"/>
      <c r="LLV202" s="23"/>
      <c r="LLW202" s="23"/>
      <c r="LLX202" s="24"/>
      <c r="LLY202" s="23"/>
      <c r="LLZ202" s="23"/>
      <c r="LMA202" s="23"/>
      <c r="LMB202" s="1"/>
      <c r="LMC202" s="1"/>
      <c r="LMD202" s="1"/>
      <c r="LME202" s="25"/>
      <c r="LMH202" s="23"/>
      <c r="LMI202" s="23"/>
      <c r="LMJ202" s="23"/>
      <c r="LMK202" s="23"/>
      <c r="LML202" s="23"/>
      <c r="LMM202" s="23"/>
      <c r="LMN202" s="24"/>
      <c r="LMO202" s="23"/>
      <c r="LMP202" s="23"/>
      <c r="LMQ202" s="23"/>
      <c r="LMR202" s="1"/>
      <c r="LMS202" s="1"/>
      <c r="LMT202" s="1"/>
      <c r="LMU202" s="25"/>
      <c r="LMX202" s="23"/>
      <c r="LMY202" s="23"/>
      <c r="LMZ202" s="23"/>
      <c r="LNA202" s="23"/>
      <c r="LNB202" s="23"/>
      <c r="LNC202" s="23"/>
      <c r="LND202" s="24"/>
      <c r="LNE202" s="23"/>
      <c r="LNF202" s="23"/>
      <c r="LNG202" s="23"/>
      <c r="LNH202" s="1"/>
      <c r="LNI202" s="1"/>
      <c r="LNJ202" s="1"/>
      <c r="LNK202" s="25"/>
      <c r="LNN202" s="23"/>
      <c r="LNO202" s="23"/>
      <c r="LNP202" s="23"/>
      <c r="LNQ202" s="23"/>
      <c r="LNR202" s="23"/>
      <c r="LNS202" s="23"/>
      <c r="LNT202" s="24"/>
      <c r="LNU202" s="23"/>
      <c r="LNV202" s="23"/>
      <c r="LNW202" s="23"/>
      <c r="LNX202" s="1"/>
      <c r="LNY202" s="1"/>
      <c r="LNZ202" s="1"/>
      <c r="LOA202" s="25"/>
      <c r="LOD202" s="23"/>
      <c r="LOE202" s="23"/>
      <c r="LOF202" s="23"/>
      <c r="LOG202" s="23"/>
      <c r="LOH202" s="23"/>
      <c r="LOI202" s="23"/>
      <c r="LOJ202" s="24"/>
      <c r="LOK202" s="23"/>
      <c r="LOL202" s="23"/>
      <c r="LOM202" s="23"/>
      <c r="LON202" s="1"/>
      <c r="LOO202" s="1"/>
      <c r="LOP202" s="1"/>
      <c r="LOQ202" s="25"/>
      <c r="LOT202" s="23"/>
      <c r="LOU202" s="23"/>
      <c r="LOV202" s="23"/>
      <c r="LOW202" s="23"/>
      <c r="LOX202" s="23"/>
      <c r="LOY202" s="23"/>
      <c r="LOZ202" s="24"/>
      <c r="LPA202" s="23"/>
      <c r="LPB202" s="23"/>
      <c r="LPC202" s="23"/>
      <c r="LPD202" s="1"/>
      <c r="LPE202" s="1"/>
      <c r="LPF202" s="1"/>
      <c r="LPG202" s="25"/>
      <c r="LPJ202" s="23"/>
      <c r="LPK202" s="23"/>
      <c r="LPL202" s="23"/>
      <c r="LPM202" s="23"/>
      <c r="LPN202" s="23"/>
      <c r="LPO202" s="23"/>
      <c r="LPP202" s="24"/>
      <c r="LPQ202" s="23"/>
      <c r="LPR202" s="23"/>
      <c r="LPS202" s="23"/>
      <c r="LPT202" s="1"/>
      <c r="LPU202" s="1"/>
      <c r="LPV202" s="1"/>
      <c r="LPW202" s="25"/>
      <c r="LPZ202" s="23"/>
      <c r="LQA202" s="23"/>
      <c r="LQB202" s="23"/>
      <c r="LQC202" s="23"/>
      <c r="LQD202" s="23"/>
      <c r="LQE202" s="23"/>
      <c r="LQF202" s="24"/>
      <c r="LQG202" s="23"/>
      <c r="LQH202" s="23"/>
      <c r="LQI202" s="23"/>
      <c r="LQJ202" s="1"/>
      <c r="LQK202" s="1"/>
      <c r="LQL202" s="1"/>
      <c r="LQM202" s="25"/>
      <c r="LQP202" s="23"/>
      <c r="LQQ202" s="23"/>
      <c r="LQR202" s="23"/>
      <c r="LQS202" s="23"/>
      <c r="LQT202" s="23"/>
      <c r="LQU202" s="23"/>
      <c r="LQV202" s="24"/>
      <c r="LQW202" s="23"/>
      <c r="LQX202" s="23"/>
      <c r="LQY202" s="23"/>
      <c r="LQZ202" s="1"/>
      <c r="LRA202" s="1"/>
      <c r="LRB202" s="1"/>
      <c r="LRC202" s="25"/>
      <c r="LRF202" s="23"/>
      <c r="LRG202" s="23"/>
      <c r="LRH202" s="23"/>
      <c r="LRI202" s="23"/>
      <c r="LRJ202" s="23"/>
      <c r="LRK202" s="23"/>
      <c r="LRL202" s="24"/>
      <c r="LRM202" s="23"/>
      <c r="LRN202" s="23"/>
      <c r="LRO202" s="23"/>
      <c r="LRP202" s="1"/>
      <c r="LRQ202" s="1"/>
      <c r="LRR202" s="1"/>
      <c r="LRS202" s="25"/>
      <c r="LRV202" s="23"/>
      <c r="LRW202" s="23"/>
      <c r="LRX202" s="23"/>
      <c r="LRY202" s="23"/>
      <c r="LRZ202" s="23"/>
      <c r="LSA202" s="23"/>
      <c r="LSB202" s="24"/>
      <c r="LSC202" s="23"/>
      <c r="LSD202" s="23"/>
      <c r="LSE202" s="23"/>
      <c r="LSF202" s="1"/>
      <c r="LSG202" s="1"/>
      <c r="LSH202" s="1"/>
      <c r="LSI202" s="25"/>
      <c r="LSL202" s="23"/>
      <c r="LSM202" s="23"/>
      <c r="LSN202" s="23"/>
      <c r="LSO202" s="23"/>
      <c r="LSP202" s="23"/>
      <c r="LSQ202" s="23"/>
      <c r="LSR202" s="24"/>
      <c r="LSS202" s="23"/>
      <c r="LST202" s="23"/>
      <c r="LSU202" s="23"/>
      <c r="LSV202" s="1"/>
      <c r="LSW202" s="1"/>
      <c r="LSX202" s="1"/>
      <c r="LSY202" s="25"/>
      <c r="LTB202" s="23"/>
      <c r="LTC202" s="23"/>
      <c r="LTD202" s="23"/>
      <c r="LTE202" s="23"/>
      <c r="LTF202" s="23"/>
      <c r="LTG202" s="23"/>
      <c r="LTH202" s="24"/>
      <c r="LTI202" s="23"/>
      <c r="LTJ202" s="23"/>
      <c r="LTK202" s="23"/>
      <c r="LTL202" s="1"/>
      <c r="LTM202" s="1"/>
      <c r="LTN202" s="1"/>
      <c r="LTO202" s="25"/>
      <c r="LTR202" s="23"/>
      <c r="LTS202" s="23"/>
      <c r="LTT202" s="23"/>
      <c r="LTU202" s="23"/>
      <c r="LTV202" s="23"/>
      <c r="LTW202" s="23"/>
      <c r="LTX202" s="24"/>
      <c r="LTY202" s="23"/>
      <c r="LTZ202" s="23"/>
      <c r="LUA202" s="23"/>
      <c r="LUB202" s="1"/>
      <c r="LUC202" s="1"/>
      <c r="LUD202" s="1"/>
      <c r="LUE202" s="25"/>
      <c r="LUH202" s="23"/>
      <c r="LUI202" s="23"/>
      <c r="LUJ202" s="23"/>
      <c r="LUK202" s="23"/>
      <c r="LUL202" s="23"/>
      <c r="LUM202" s="23"/>
      <c r="LUN202" s="24"/>
      <c r="LUO202" s="23"/>
      <c r="LUP202" s="23"/>
      <c r="LUQ202" s="23"/>
      <c r="LUR202" s="1"/>
      <c r="LUS202" s="1"/>
      <c r="LUT202" s="1"/>
      <c r="LUU202" s="25"/>
      <c r="LUX202" s="23"/>
      <c r="LUY202" s="23"/>
      <c r="LUZ202" s="23"/>
      <c r="LVA202" s="23"/>
      <c r="LVB202" s="23"/>
      <c r="LVC202" s="23"/>
      <c r="LVD202" s="24"/>
      <c r="LVE202" s="23"/>
      <c r="LVF202" s="23"/>
      <c r="LVG202" s="23"/>
      <c r="LVH202" s="1"/>
      <c r="LVI202" s="1"/>
      <c r="LVJ202" s="1"/>
      <c r="LVK202" s="25"/>
      <c r="LVN202" s="23"/>
      <c r="LVO202" s="23"/>
      <c r="LVP202" s="23"/>
      <c r="LVQ202" s="23"/>
      <c r="LVR202" s="23"/>
      <c r="LVS202" s="23"/>
      <c r="LVT202" s="24"/>
      <c r="LVU202" s="23"/>
      <c r="LVV202" s="23"/>
      <c r="LVW202" s="23"/>
      <c r="LVX202" s="1"/>
      <c r="LVY202" s="1"/>
      <c r="LVZ202" s="1"/>
      <c r="LWA202" s="25"/>
      <c r="LWD202" s="23"/>
      <c r="LWE202" s="23"/>
      <c r="LWF202" s="23"/>
      <c r="LWG202" s="23"/>
      <c r="LWH202" s="23"/>
      <c r="LWI202" s="23"/>
      <c r="LWJ202" s="24"/>
      <c r="LWK202" s="23"/>
      <c r="LWL202" s="23"/>
      <c r="LWM202" s="23"/>
      <c r="LWN202" s="1"/>
      <c r="LWO202" s="1"/>
      <c r="LWP202" s="1"/>
      <c r="LWQ202" s="25"/>
      <c r="LWT202" s="23"/>
      <c r="LWU202" s="23"/>
      <c r="LWV202" s="23"/>
      <c r="LWW202" s="23"/>
      <c r="LWX202" s="23"/>
      <c r="LWY202" s="23"/>
      <c r="LWZ202" s="24"/>
      <c r="LXA202" s="23"/>
      <c r="LXB202" s="23"/>
      <c r="LXC202" s="23"/>
      <c r="LXD202" s="1"/>
      <c r="LXE202" s="1"/>
      <c r="LXF202" s="1"/>
      <c r="LXG202" s="25"/>
      <c r="LXJ202" s="23"/>
      <c r="LXK202" s="23"/>
      <c r="LXL202" s="23"/>
      <c r="LXM202" s="23"/>
      <c r="LXN202" s="23"/>
      <c r="LXO202" s="23"/>
      <c r="LXP202" s="24"/>
      <c r="LXQ202" s="23"/>
      <c r="LXR202" s="23"/>
      <c r="LXS202" s="23"/>
      <c r="LXT202" s="1"/>
      <c r="LXU202" s="1"/>
      <c r="LXV202" s="1"/>
      <c r="LXW202" s="25"/>
      <c r="LXZ202" s="23"/>
      <c r="LYA202" s="23"/>
      <c r="LYB202" s="23"/>
      <c r="LYC202" s="23"/>
      <c r="LYD202" s="23"/>
      <c r="LYE202" s="23"/>
      <c r="LYF202" s="24"/>
      <c r="LYG202" s="23"/>
      <c r="LYH202" s="23"/>
      <c r="LYI202" s="23"/>
      <c r="LYJ202" s="1"/>
      <c r="LYK202" s="1"/>
      <c r="LYL202" s="1"/>
      <c r="LYM202" s="25"/>
      <c r="LYP202" s="23"/>
      <c r="LYQ202" s="23"/>
      <c r="LYR202" s="23"/>
      <c r="LYS202" s="23"/>
      <c r="LYT202" s="23"/>
      <c r="LYU202" s="23"/>
      <c r="LYV202" s="24"/>
      <c r="LYW202" s="23"/>
      <c r="LYX202" s="23"/>
      <c r="LYY202" s="23"/>
      <c r="LYZ202" s="1"/>
      <c r="LZA202" s="1"/>
      <c r="LZB202" s="1"/>
      <c r="LZC202" s="25"/>
      <c r="LZF202" s="23"/>
      <c r="LZG202" s="23"/>
      <c r="LZH202" s="23"/>
      <c r="LZI202" s="23"/>
      <c r="LZJ202" s="23"/>
      <c r="LZK202" s="23"/>
      <c r="LZL202" s="24"/>
      <c r="LZM202" s="23"/>
      <c r="LZN202" s="23"/>
      <c r="LZO202" s="23"/>
      <c r="LZP202" s="1"/>
      <c r="LZQ202" s="1"/>
      <c r="LZR202" s="1"/>
      <c r="LZS202" s="25"/>
      <c r="LZV202" s="23"/>
      <c r="LZW202" s="23"/>
      <c r="LZX202" s="23"/>
      <c r="LZY202" s="23"/>
      <c r="LZZ202" s="23"/>
      <c r="MAA202" s="23"/>
      <c r="MAB202" s="24"/>
      <c r="MAC202" s="23"/>
      <c r="MAD202" s="23"/>
      <c r="MAE202" s="23"/>
      <c r="MAF202" s="1"/>
      <c r="MAG202" s="1"/>
      <c r="MAH202" s="1"/>
      <c r="MAI202" s="25"/>
      <c r="MAL202" s="23"/>
      <c r="MAM202" s="23"/>
      <c r="MAN202" s="23"/>
      <c r="MAO202" s="23"/>
      <c r="MAP202" s="23"/>
      <c r="MAQ202" s="23"/>
      <c r="MAR202" s="24"/>
      <c r="MAS202" s="23"/>
      <c r="MAT202" s="23"/>
      <c r="MAU202" s="23"/>
      <c r="MAV202" s="1"/>
      <c r="MAW202" s="1"/>
      <c r="MAX202" s="1"/>
      <c r="MAY202" s="25"/>
      <c r="MBB202" s="23"/>
      <c r="MBC202" s="23"/>
      <c r="MBD202" s="23"/>
      <c r="MBE202" s="23"/>
      <c r="MBF202" s="23"/>
      <c r="MBG202" s="23"/>
      <c r="MBH202" s="24"/>
      <c r="MBI202" s="23"/>
      <c r="MBJ202" s="23"/>
      <c r="MBK202" s="23"/>
      <c r="MBL202" s="1"/>
      <c r="MBM202" s="1"/>
      <c r="MBN202" s="1"/>
      <c r="MBO202" s="25"/>
      <c r="MBR202" s="23"/>
      <c r="MBS202" s="23"/>
      <c r="MBT202" s="23"/>
      <c r="MBU202" s="23"/>
      <c r="MBV202" s="23"/>
      <c r="MBW202" s="23"/>
      <c r="MBX202" s="24"/>
      <c r="MBY202" s="23"/>
      <c r="MBZ202" s="23"/>
      <c r="MCA202" s="23"/>
      <c r="MCB202" s="1"/>
      <c r="MCC202" s="1"/>
      <c r="MCD202" s="1"/>
      <c r="MCE202" s="25"/>
      <c r="MCH202" s="23"/>
      <c r="MCI202" s="23"/>
      <c r="MCJ202" s="23"/>
      <c r="MCK202" s="23"/>
      <c r="MCL202" s="23"/>
      <c r="MCM202" s="23"/>
      <c r="MCN202" s="24"/>
      <c r="MCO202" s="23"/>
      <c r="MCP202" s="23"/>
      <c r="MCQ202" s="23"/>
      <c r="MCR202" s="1"/>
      <c r="MCS202" s="1"/>
      <c r="MCT202" s="1"/>
      <c r="MCU202" s="25"/>
      <c r="MCX202" s="23"/>
      <c r="MCY202" s="23"/>
      <c r="MCZ202" s="23"/>
      <c r="MDA202" s="23"/>
      <c r="MDB202" s="23"/>
      <c r="MDC202" s="23"/>
      <c r="MDD202" s="24"/>
      <c r="MDE202" s="23"/>
      <c r="MDF202" s="23"/>
      <c r="MDG202" s="23"/>
      <c r="MDH202" s="1"/>
      <c r="MDI202" s="1"/>
      <c r="MDJ202" s="1"/>
      <c r="MDK202" s="25"/>
      <c r="MDN202" s="23"/>
      <c r="MDO202" s="23"/>
      <c r="MDP202" s="23"/>
      <c r="MDQ202" s="23"/>
      <c r="MDR202" s="23"/>
      <c r="MDS202" s="23"/>
      <c r="MDT202" s="24"/>
      <c r="MDU202" s="23"/>
      <c r="MDV202" s="23"/>
      <c r="MDW202" s="23"/>
      <c r="MDX202" s="1"/>
      <c r="MDY202" s="1"/>
      <c r="MDZ202" s="1"/>
      <c r="MEA202" s="25"/>
      <c r="MED202" s="23"/>
      <c r="MEE202" s="23"/>
      <c r="MEF202" s="23"/>
      <c r="MEG202" s="23"/>
      <c r="MEH202" s="23"/>
      <c r="MEI202" s="23"/>
      <c r="MEJ202" s="24"/>
      <c r="MEK202" s="23"/>
      <c r="MEL202" s="23"/>
      <c r="MEM202" s="23"/>
      <c r="MEN202" s="1"/>
      <c r="MEO202" s="1"/>
      <c r="MEP202" s="1"/>
      <c r="MEQ202" s="25"/>
      <c r="MET202" s="23"/>
      <c r="MEU202" s="23"/>
      <c r="MEV202" s="23"/>
      <c r="MEW202" s="23"/>
      <c r="MEX202" s="23"/>
      <c r="MEY202" s="23"/>
      <c r="MEZ202" s="24"/>
      <c r="MFA202" s="23"/>
      <c r="MFB202" s="23"/>
      <c r="MFC202" s="23"/>
      <c r="MFD202" s="1"/>
      <c r="MFE202" s="1"/>
      <c r="MFF202" s="1"/>
      <c r="MFG202" s="25"/>
      <c r="MFJ202" s="23"/>
      <c r="MFK202" s="23"/>
      <c r="MFL202" s="23"/>
      <c r="MFM202" s="23"/>
      <c r="MFN202" s="23"/>
      <c r="MFO202" s="23"/>
      <c r="MFP202" s="24"/>
      <c r="MFQ202" s="23"/>
      <c r="MFR202" s="23"/>
      <c r="MFS202" s="23"/>
      <c r="MFT202" s="1"/>
      <c r="MFU202" s="1"/>
      <c r="MFV202" s="1"/>
      <c r="MFW202" s="25"/>
      <c r="MFZ202" s="23"/>
      <c r="MGA202" s="23"/>
      <c r="MGB202" s="23"/>
      <c r="MGC202" s="23"/>
      <c r="MGD202" s="23"/>
      <c r="MGE202" s="23"/>
      <c r="MGF202" s="24"/>
      <c r="MGG202" s="23"/>
      <c r="MGH202" s="23"/>
      <c r="MGI202" s="23"/>
      <c r="MGJ202" s="1"/>
      <c r="MGK202" s="1"/>
      <c r="MGL202" s="1"/>
      <c r="MGM202" s="25"/>
      <c r="MGP202" s="23"/>
      <c r="MGQ202" s="23"/>
      <c r="MGR202" s="23"/>
      <c r="MGS202" s="23"/>
      <c r="MGT202" s="23"/>
      <c r="MGU202" s="23"/>
      <c r="MGV202" s="24"/>
      <c r="MGW202" s="23"/>
      <c r="MGX202" s="23"/>
      <c r="MGY202" s="23"/>
      <c r="MGZ202" s="1"/>
      <c r="MHA202" s="1"/>
      <c r="MHB202" s="1"/>
      <c r="MHC202" s="25"/>
      <c r="MHF202" s="23"/>
      <c r="MHG202" s="23"/>
      <c r="MHH202" s="23"/>
      <c r="MHI202" s="23"/>
      <c r="MHJ202" s="23"/>
      <c r="MHK202" s="23"/>
      <c r="MHL202" s="24"/>
      <c r="MHM202" s="23"/>
      <c r="MHN202" s="23"/>
      <c r="MHO202" s="23"/>
      <c r="MHP202" s="1"/>
      <c r="MHQ202" s="1"/>
      <c r="MHR202" s="1"/>
      <c r="MHS202" s="25"/>
      <c r="MHV202" s="23"/>
      <c r="MHW202" s="23"/>
      <c r="MHX202" s="23"/>
      <c r="MHY202" s="23"/>
      <c r="MHZ202" s="23"/>
      <c r="MIA202" s="23"/>
      <c r="MIB202" s="24"/>
      <c r="MIC202" s="23"/>
      <c r="MID202" s="23"/>
      <c r="MIE202" s="23"/>
      <c r="MIF202" s="1"/>
      <c r="MIG202" s="1"/>
      <c r="MIH202" s="1"/>
      <c r="MII202" s="25"/>
      <c r="MIL202" s="23"/>
      <c r="MIM202" s="23"/>
      <c r="MIN202" s="23"/>
      <c r="MIO202" s="23"/>
      <c r="MIP202" s="23"/>
      <c r="MIQ202" s="23"/>
      <c r="MIR202" s="24"/>
      <c r="MIS202" s="23"/>
      <c r="MIT202" s="23"/>
      <c r="MIU202" s="23"/>
      <c r="MIV202" s="1"/>
      <c r="MIW202" s="1"/>
      <c r="MIX202" s="1"/>
      <c r="MIY202" s="25"/>
      <c r="MJB202" s="23"/>
      <c r="MJC202" s="23"/>
      <c r="MJD202" s="23"/>
      <c r="MJE202" s="23"/>
      <c r="MJF202" s="23"/>
      <c r="MJG202" s="23"/>
      <c r="MJH202" s="24"/>
      <c r="MJI202" s="23"/>
      <c r="MJJ202" s="23"/>
      <c r="MJK202" s="23"/>
      <c r="MJL202" s="1"/>
      <c r="MJM202" s="1"/>
      <c r="MJN202" s="1"/>
      <c r="MJO202" s="25"/>
      <c r="MJR202" s="23"/>
      <c r="MJS202" s="23"/>
      <c r="MJT202" s="23"/>
      <c r="MJU202" s="23"/>
      <c r="MJV202" s="23"/>
      <c r="MJW202" s="23"/>
      <c r="MJX202" s="24"/>
      <c r="MJY202" s="23"/>
      <c r="MJZ202" s="23"/>
      <c r="MKA202" s="23"/>
      <c r="MKB202" s="1"/>
      <c r="MKC202" s="1"/>
      <c r="MKD202" s="1"/>
      <c r="MKE202" s="25"/>
      <c r="MKH202" s="23"/>
      <c r="MKI202" s="23"/>
      <c r="MKJ202" s="23"/>
      <c r="MKK202" s="23"/>
      <c r="MKL202" s="23"/>
      <c r="MKM202" s="23"/>
      <c r="MKN202" s="24"/>
      <c r="MKO202" s="23"/>
      <c r="MKP202" s="23"/>
      <c r="MKQ202" s="23"/>
      <c r="MKR202" s="1"/>
      <c r="MKS202" s="1"/>
      <c r="MKT202" s="1"/>
      <c r="MKU202" s="25"/>
      <c r="MKX202" s="23"/>
      <c r="MKY202" s="23"/>
      <c r="MKZ202" s="23"/>
      <c r="MLA202" s="23"/>
      <c r="MLB202" s="23"/>
      <c r="MLC202" s="23"/>
      <c r="MLD202" s="24"/>
      <c r="MLE202" s="23"/>
      <c r="MLF202" s="23"/>
      <c r="MLG202" s="23"/>
      <c r="MLH202" s="1"/>
      <c r="MLI202" s="1"/>
      <c r="MLJ202" s="1"/>
      <c r="MLK202" s="25"/>
      <c r="MLN202" s="23"/>
      <c r="MLO202" s="23"/>
      <c r="MLP202" s="23"/>
      <c r="MLQ202" s="23"/>
      <c r="MLR202" s="23"/>
      <c r="MLS202" s="23"/>
      <c r="MLT202" s="24"/>
      <c r="MLU202" s="23"/>
      <c r="MLV202" s="23"/>
      <c r="MLW202" s="23"/>
      <c r="MLX202" s="1"/>
      <c r="MLY202" s="1"/>
      <c r="MLZ202" s="1"/>
      <c r="MMA202" s="25"/>
      <c r="MMD202" s="23"/>
      <c r="MME202" s="23"/>
      <c r="MMF202" s="23"/>
      <c r="MMG202" s="23"/>
      <c r="MMH202" s="23"/>
      <c r="MMI202" s="23"/>
      <c r="MMJ202" s="24"/>
      <c r="MMK202" s="23"/>
      <c r="MML202" s="23"/>
      <c r="MMM202" s="23"/>
      <c r="MMN202" s="1"/>
      <c r="MMO202" s="1"/>
      <c r="MMP202" s="1"/>
      <c r="MMQ202" s="25"/>
      <c r="MMT202" s="23"/>
      <c r="MMU202" s="23"/>
      <c r="MMV202" s="23"/>
      <c r="MMW202" s="23"/>
      <c r="MMX202" s="23"/>
      <c r="MMY202" s="23"/>
      <c r="MMZ202" s="24"/>
      <c r="MNA202" s="23"/>
      <c r="MNB202" s="23"/>
      <c r="MNC202" s="23"/>
      <c r="MND202" s="1"/>
      <c r="MNE202" s="1"/>
      <c r="MNF202" s="1"/>
      <c r="MNG202" s="25"/>
      <c r="MNJ202" s="23"/>
      <c r="MNK202" s="23"/>
      <c r="MNL202" s="23"/>
      <c r="MNM202" s="23"/>
      <c r="MNN202" s="23"/>
      <c r="MNO202" s="23"/>
      <c r="MNP202" s="24"/>
      <c r="MNQ202" s="23"/>
      <c r="MNR202" s="23"/>
      <c r="MNS202" s="23"/>
      <c r="MNT202" s="1"/>
      <c r="MNU202" s="1"/>
      <c r="MNV202" s="1"/>
      <c r="MNW202" s="25"/>
      <c r="MNZ202" s="23"/>
      <c r="MOA202" s="23"/>
      <c r="MOB202" s="23"/>
      <c r="MOC202" s="23"/>
      <c r="MOD202" s="23"/>
      <c r="MOE202" s="23"/>
      <c r="MOF202" s="24"/>
      <c r="MOG202" s="23"/>
      <c r="MOH202" s="23"/>
      <c r="MOI202" s="23"/>
      <c r="MOJ202" s="1"/>
      <c r="MOK202" s="1"/>
      <c r="MOL202" s="1"/>
      <c r="MOM202" s="25"/>
      <c r="MOP202" s="23"/>
      <c r="MOQ202" s="23"/>
      <c r="MOR202" s="23"/>
      <c r="MOS202" s="23"/>
      <c r="MOT202" s="23"/>
      <c r="MOU202" s="23"/>
      <c r="MOV202" s="24"/>
      <c r="MOW202" s="23"/>
      <c r="MOX202" s="23"/>
      <c r="MOY202" s="23"/>
      <c r="MOZ202" s="1"/>
      <c r="MPA202" s="1"/>
      <c r="MPB202" s="1"/>
      <c r="MPC202" s="25"/>
      <c r="MPF202" s="23"/>
      <c r="MPG202" s="23"/>
      <c r="MPH202" s="23"/>
      <c r="MPI202" s="23"/>
      <c r="MPJ202" s="23"/>
      <c r="MPK202" s="23"/>
      <c r="MPL202" s="24"/>
      <c r="MPM202" s="23"/>
      <c r="MPN202" s="23"/>
      <c r="MPO202" s="23"/>
      <c r="MPP202" s="1"/>
      <c r="MPQ202" s="1"/>
      <c r="MPR202" s="1"/>
      <c r="MPS202" s="25"/>
      <c r="MPV202" s="23"/>
      <c r="MPW202" s="23"/>
      <c r="MPX202" s="23"/>
      <c r="MPY202" s="23"/>
      <c r="MPZ202" s="23"/>
      <c r="MQA202" s="23"/>
      <c r="MQB202" s="24"/>
      <c r="MQC202" s="23"/>
      <c r="MQD202" s="23"/>
      <c r="MQE202" s="23"/>
      <c r="MQF202" s="1"/>
      <c r="MQG202" s="1"/>
      <c r="MQH202" s="1"/>
      <c r="MQI202" s="25"/>
      <c r="MQL202" s="23"/>
      <c r="MQM202" s="23"/>
      <c r="MQN202" s="23"/>
      <c r="MQO202" s="23"/>
      <c r="MQP202" s="23"/>
      <c r="MQQ202" s="23"/>
      <c r="MQR202" s="24"/>
      <c r="MQS202" s="23"/>
      <c r="MQT202" s="23"/>
      <c r="MQU202" s="23"/>
      <c r="MQV202" s="1"/>
      <c r="MQW202" s="1"/>
      <c r="MQX202" s="1"/>
      <c r="MQY202" s="25"/>
      <c r="MRB202" s="23"/>
      <c r="MRC202" s="23"/>
      <c r="MRD202" s="23"/>
      <c r="MRE202" s="23"/>
      <c r="MRF202" s="23"/>
      <c r="MRG202" s="23"/>
      <c r="MRH202" s="24"/>
      <c r="MRI202" s="23"/>
      <c r="MRJ202" s="23"/>
      <c r="MRK202" s="23"/>
      <c r="MRL202" s="1"/>
      <c r="MRM202" s="1"/>
      <c r="MRN202" s="1"/>
      <c r="MRO202" s="25"/>
      <c r="MRR202" s="23"/>
      <c r="MRS202" s="23"/>
      <c r="MRT202" s="23"/>
      <c r="MRU202" s="23"/>
      <c r="MRV202" s="23"/>
      <c r="MRW202" s="23"/>
      <c r="MRX202" s="24"/>
      <c r="MRY202" s="23"/>
      <c r="MRZ202" s="23"/>
      <c r="MSA202" s="23"/>
      <c r="MSB202" s="1"/>
      <c r="MSC202" s="1"/>
      <c r="MSD202" s="1"/>
      <c r="MSE202" s="25"/>
      <c r="MSH202" s="23"/>
      <c r="MSI202" s="23"/>
      <c r="MSJ202" s="23"/>
      <c r="MSK202" s="23"/>
      <c r="MSL202" s="23"/>
      <c r="MSM202" s="23"/>
      <c r="MSN202" s="24"/>
      <c r="MSO202" s="23"/>
      <c r="MSP202" s="23"/>
      <c r="MSQ202" s="23"/>
      <c r="MSR202" s="1"/>
      <c r="MSS202" s="1"/>
      <c r="MST202" s="1"/>
      <c r="MSU202" s="25"/>
      <c r="MSX202" s="23"/>
      <c r="MSY202" s="23"/>
      <c r="MSZ202" s="23"/>
      <c r="MTA202" s="23"/>
      <c r="MTB202" s="23"/>
      <c r="MTC202" s="23"/>
      <c r="MTD202" s="24"/>
      <c r="MTE202" s="23"/>
      <c r="MTF202" s="23"/>
      <c r="MTG202" s="23"/>
      <c r="MTH202" s="1"/>
      <c r="MTI202" s="1"/>
      <c r="MTJ202" s="1"/>
      <c r="MTK202" s="25"/>
      <c r="MTN202" s="23"/>
      <c r="MTO202" s="23"/>
      <c r="MTP202" s="23"/>
      <c r="MTQ202" s="23"/>
      <c r="MTR202" s="23"/>
      <c r="MTS202" s="23"/>
      <c r="MTT202" s="24"/>
      <c r="MTU202" s="23"/>
      <c r="MTV202" s="23"/>
      <c r="MTW202" s="23"/>
      <c r="MTX202" s="1"/>
      <c r="MTY202" s="1"/>
      <c r="MTZ202" s="1"/>
      <c r="MUA202" s="25"/>
      <c r="MUD202" s="23"/>
      <c r="MUE202" s="23"/>
      <c r="MUF202" s="23"/>
      <c r="MUG202" s="23"/>
      <c r="MUH202" s="23"/>
      <c r="MUI202" s="23"/>
      <c r="MUJ202" s="24"/>
      <c r="MUK202" s="23"/>
      <c r="MUL202" s="23"/>
      <c r="MUM202" s="23"/>
      <c r="MUN202" s="1"/>
      <c r="MUO202" s="1"/>
      <c r="MUP202" s="1"/>
      <c r="MUQ202" s="25"/>
      <c r="MUT202" s="23"/>
      <c r="MUU202" s="23"/>
      <c r="MUV202" s="23"/>
      <c r="MUW202" s="23"/>
      <c r="MUX202" s="23"/>
      <c r="MUY202" s="23"/>
      <c r="MUZ202" s="24"/>
      <c r="MVA202" s="23"/>
      <c r="MVB202" s="23"/>
      <c r="MVC202" s="23"/>
      <c r="MVD202" s="1"/>
      <c r="MVE202" s="1"/>
      <c r="MVF202" s="1"/>
      <c r="MVG202" s="25"/>
      <c r="MVJ202" s="23"/>
      <c r="MVK202" s="23"/>
      <c r="MVL202" s="23"/>
      <c r="MVM202" s="23"/>
      <c r="MVN202" s="23"/>
      <c r="MVO202" s="23"/>
      <c r="MVP202" s="24"/>
      <c r="MVQ202" s="23"/>
      <c r="MVR202" s="23"/>
      <c r="MVS202" s="23"/>
      <c r="MVT202" s="1"/>
      <c r="MVU202" s="1"/>
      <c r="MVV202" s="1"/>
      <c r="MVW202" s="25"/>
      <c r="MVZ202" s="23"/>
      <c r="MWA202" s="23"/>
      <c r="MWB202" s="23"/>
      <c r="MWC202" s="23"/>
      <c r="MWD202" s="23"/>
      <c r="MWE202" s="23"/>
      <c r="MWF202" s="24"/>
      <c r="MWG202" s="23"/>
      <c r="MWH202" s="23"/>
      <c r="MWI202" s="23"/>
      <c r="MWJ202" s="1"/>
      <c r="MWK202" s="1"/>
      <c r="MWL202" s="1"/>
      <c r="MWM202" s="25"/>
      <c r="MWP202" s="23"/>
      <c r="MWQ202" s="23"/>
      <c r="MWR202" s="23"/>
      <c r="MWS202" s="23"/>
      <c r="MWT202" s="23"/>
      <c r="MWU202" s="23"/>
      <c r="MWV202" s="24"/>
      <c r="MWW202" s="23"/>
      <c r="MWX202" s="23"/>
      <c r="MWY202" s="23"/>
      <c r="MWZ202" s="1"/>
      <c r="MXA202" s="1"/>
      <c r="MXB202" s="1"/>
      <c r="MXC202" s="25"/>
      <c r="MXF202" s="23"/>
      <c r="MXG202" s="23"/>
      <c r="MXH202" s="23"/>
      <c r="MXI202" s="23"/>
      <c r="MXJ202" s="23"/>
      <c r="MXK202" s="23"/>
      <c r="MXL202" s="24"/>
      <c r="MXM202" s="23"/>
      <c r="MXN202" s="23"/>
      <c r="MXO202" s="23"/>
      <c r="MXP202" s="1"/>
      <c r="MXQ202" s="1"/>
      <c r="MXR202" s="1"/>
      <c r="MXS202" s="25"/>
      <c r="MXV202" s="23"/>
      <c r="MXW202" s="23"/>
      <c r="MXX202" s="23"/>
      <c r="MXY202" s="23"/>
      <c r="MXZ202" s="23"/>
      <c r="MYA202" s="23"/>
      <c r="MYB202" s="24"/>
      <c r="MYC202" s="23"/>
      <c r="MYD202" s="23"/>
      <c r="MYE202" s="23"/>
      <c r="MYF202" s="1"/>
      <c r="MYG202" s="1"/>
      <c r="MYH202" s="1"/>
      <c r="MYI202" s="25"/>
      <c r="MYL202" s="23"/>
      <c r="MYM202" s="23"/>
      <c r="MYN202" s="23"/>
      <c r="MYO202" s="23"/>
      <c r="MYP202" s="23"/>
      <c r="MYQ202" s="23"/>
      <c r="MYR202" s="24"/>
      <c r="MYS202" s="23"/>
      <c r="MYT202" s="23"/>
      <c r="MYU202" s="23"/>
      <c r="MYV202" s="1"/>
      <c r="MYW202" s="1"/>
      <c r="MYX202" s="1"/>
      <c r="MYY202" s="25"/>
      <c r="MZB202" s="23"/>
      <c r="MZC202" s="23"/>
      <c r="MZD202" s="23"/>
      <c r="MZE202" s="23"/>
      <c r="MZF202" s="23"/>
      <c r="MZG202" s="23"/>
      <c r="MZH202" s="24"/>
      <c r="MZI202" s="23"/>
      <c r="MZJ202" s="23"/>
      <c r="MZK202" s="23"/>
      <c r="MZL202" s="1"/>
      <c r="MZM202" s="1"/>
      <c r="MZN202" s="1"/>
      <c r="MZO202" s="25"/>
      <c r="MZR202" s="23"/>
      <c r="MZS202" s="23"/>
      <c r="MZT202" s="23"/>
      <c r="MZU202" s="23"/>
      <c r="MZV202" s="23"/>
      <c r="MZW202" s="23"/>
      <c r="MZX202" s="24"/>
      <c r="MZY202" s="23"/>
      <c r="MZZ202" s="23"/>
      <c r="NAA202" s="23"/>
      <c r="NAB202" s="1"/>
      <c r="NAC202" s="1"/>
      <c r="NAD202" s="1"/>
      <c r="NAE202" s="25"/>
      <c r="NAH202" s="23"/>
      <c r="NAI202" s="23"/>
      <c r="NAJ202" s="23"/>
      <c r="NAK202" s="23"/>
      <c r="NAL202" s="23"/>
      <c r="NAM202" s="23"/>
      <c r="NAN202" s="24"/>
      <c r="NAO202" s="23"/>
      <c r="NAP202" s="23"/>
      <c r="NAQ202" s="23"/>
      <c r="NAR202" s="1"/>
      <c r="NAS202" s="1"/>
      <c r="NAT202" s="1"/>
      <c r="NAU202" s="25"/>
      <c r="NAX202" s="23"/>
      <c r="NAY202" s="23"/>
      <c r="NAZ202" s="23"/>
      <c r="NBA202" s="23"/>
      <c r="NBB202" s="23"/>
      <c r="NBC202" s="23"/>
      <c r="NBD202" s="24"/>
      <c r="NBE202" s="23"/>
      <c r="NBF202" s="23"/>
      <c r="NBG202" s="23"/>
      <c r="NBH202" s="1"/>
      <c r="NBI202" s="1"/>
      <c r="NBJ202" s="1"/>
      <c r="NBK202" s="25"/>
      <c r="NBN202" s="23"/>
      <c r="NBO202" s="23"/>
      <c r="NBP202" s="23"/>
      <c r="NBQ202" s="23"/>
      <c r="NBR202" s="23"/>
      <c r="NBS202" s="23"/>
      <c r="NBT202" s="24"/>
      <c r="NBU202" s="23"/>
      <c r="NBV202" s="23"/>
      <c r="NBW202" s="23"/>
      <c r="NBX202" s="1"/>
      <c r="NBY202" s="1"/>
      <c r="NBZ202" s="1"/>
      <c r="NCA202" s="25"/>
      <c r="NCD202" s="23"/>
      <c r="NCE202" s="23"/>
      <c r="NCF202" s="23"/>
      <c r="NCG202" s="23"/>
      <c r="NCH202" s="23"/>
      <c r="NCI202" s="23"/>
      <c r="NCJ202" s="24"/>
      <c r="NCK202" s="23"/>
      <c r="NCL202" s="23"/>
      <c r="NCM202" s="23"/>
      <c r="NCN202" s="1"/>
      <c r="NCO202" s="1"/>
      <c r="NCP202" s="1"/>
      <c r="NCQ202" s="25"/>
      <c r="NCT202" s="23"/>
      <c r="NCU202" s="23"/>
      <c r="NCV202" s="23"/>
      <c r="NCW202" s="23"/>
      <c r="NCX202" s="23"/>
      <c r="NCY202" s="23"/>
      <c r="NCZ202" s="24"/>
      <c r="NDA202" s="23"/>
      <c r="NDB202" s="23"/>
      <c r="NDC202" s="23"/>
      <c r="NDD202" s="1"/>
      <c r="NDE202" s="1"/>
      <c r="NDF202" s="1"/>
      <c r="NDG202" s="25"/>
      <c r="NDJ202" s="23"/>
      <c r="NDK202" s="23"/>
      <c r="NDL202" s="23"/>
      <c r="NDM202" s="23"/>
      <c r="NDN202" s="23"/>
      <c r="NDO202" s="23"/>
      <c r="NDP202" s="24"/>
      <c r="NDQ202" s="23"/>
      <c r="NDR202" s="23"/>
      <c r="NDS202" s="23"/>
      <c r="NDT202" s="1"/>
      <c r="NDU202" s="1"/>
      <c r="NDV202" s="1"/>
      <c r="NDW202" s="25"/>
      <c r="NDZ202" s="23"/>
      <c r="NEA202" s="23"/>
      <c r="NEB202" s="23"/>
      <c r="NEC202" s="23"/>
      <c r="NED202" s="23"/>
      <c r="NEE202" s="23"/>
      <c r="NEF202" s="24"/>
      <c r="NEG202" s="23"/>
      <c r="NEH202" s="23"/>
      <c r="NEI202" s="23"/>
      <c r="NEJ202" s="1"/>
      <c r="NEK202" s="1"/>
      <c r="NEL202" s="1"/>
      <c r="NEM202" s="25"/>
      <c r="NEP202" s="23"/>
      <c r="NEQ202" s="23"/>
      <c r="NER202" s="23"/>
      <c r="NES202" s="23"/>
      <c r="NET202" s="23"/>
      <c r="NEU202" s="23"/>
      <c r="NEV202" s="24"/>
      <c r="NEW202" s="23"/>
      <c r="NEX202" s="23"/>
      <c r="NEY202" s="23"/>
      <c r="NEZ202" s="1"/>
      <c r="NFA202" s="1"/>
      <c r="NFB202" s="1"/>
      <c r="NFC202" s="25"/>
      <c r="NFF202" s="23"/>
      <c r="NFG202" s="23"/>
      <c r="NFH202" s="23"/>
      <c r="NFI202" s="23"/>
      <c r="NFJ202" s="23"/>
      <c r="NFK202" s="23"/>
      <c r="NFL202" s="24"/>
      <c r="NFM202" s="23"/>
      <c r="NFN202" s="23"/>
      <c r="NFO202" s="23"/>
      <c r="NFP202" s="1"/>
      <c r="NFQ202" s="1"/>
      <c r="NFR202" s="1"/>
      <c r="NFS202" s="25"/>
      <c r="NFV202" s="23"/>
      <c r="NFW202" s="23"/>
      <c r="NFX202" s="23"/>
      <c r="NFY202" s="23"/>
      <c r="NFZ202" s="23"/>
      <c r="NGA202" s="23"/>
      <c r="NGB202" s="24"/>
      <c r="NGC202" s="23"/>
      <c r="NGD202" s="23"/>
      <c r="NGE202" s="23"/>
      <c r="NGF202" s="1"/>
      <c r="NGG202" s="1"/>
      <c r="NGH202" s="1"/>
      <c r="NGI202" s="25"/>
      <c r="NGL202" s="23"/>
      <c r="NGM202" s="23"/>
      <c r="NGN202" s="23"/>
      <c r="NGO202" s="23"/>
      <c r="NGP202" s="23"/>
      <c r="NGQ202" s="23"/>
      <c r="NGR202" s="24"/>
      <c r="NGS202" s="23"/>
      <c r="NGT202" s="23"/>
      <c r="NGU202" s="23"/>
      <c r="NGV202" s="1"/>
      <c r="NGW202" s="1"/>
      <c r="NGX202" s="1"/>
      <c r="NGY202" s="25"/>
      <c r="NHB202" s="23"/>
      <c r="NHC202" s="23"/>
      <c r="NHD202" s="23"/>
      <c r="NHE202" s="23"/>
      <c r="NHF202" s="23"/>
      <c r="NHG202" s="23"/>
      <c r="NHH202" s="24"/>
      <c r="NHI202" s="23"/>
      <c r="NHJ202" s="23"/>
      <c r="NHK202" s="23"/>
      <c r="NHL202" s="1"/>
      <c r="NHM202" s="1"/>
      <c r="NHN202" s="1"/>
      <c r="NHO202" s="25"/>
      <c r="NHR202" s="23"/>
      <c r="NHS202" s="23"/>
      <c r="NHT202" s="23"/>
      <c r="NHU202" s="23"/>
      <c r="NHV202" s="23"/>
      <c r="NHW202" s="23"/>
      <c r="NHX202" s="24"/>
      <c r="NHY202" s="23"/>
      <c r="NHZ202" s="23"/>
      <c r="NIA202" s="23"/>
      <c r="NIB202" s="1"/>
      <c r="NIC202" s="1"/>
      <c r="NID202" s="1"/>
      <c r="NIE202" s="25"/>
      <c r="NIH202" s="23"/>
      <c r="NII202" s="23"/>
      <c r="NIJ202" s="23"/>
      <c r="NIK202" s="23"/>
      <c r="NIL202" s="23"/>
      <c r="NIM202" s="23"/>
      <c r="NIN202" s="24"/>
      <c r="NIO202" s="23"/>
      <c r="NIP202" s="23"/>
      <c r="NIQ202" s="23"/>
      <c r="NIR202" s="1"/>
      <c r="NIS202" s="1"/>
      <c r="NIT202" s="1"/>
      <c r="NIU202" s="25"/>
      <c r="NIX202" s="23"/>
      <c r="NIY202" s="23"/>
      <c r="NIZ202" s="23"/>
      <c r="NJA202" s="23"/>
      <c r="NJB202" s="23"/>
      <c r="NJC202" s="23"/>
      <c r="NJD202" s="24"/>
      <c r="NJE202" s="23"/>
      <c r="NJF202" s="23"/>
      <c r="NJG202" s="23"/>
      <c r="NJH202" s="1"/>
      <c r="NJI202" s="1"/>
      <c r="NJJ202" s="1"/>
      <c r="NJK202" s="25"/>
      <c r="NJN202" s="23"/>
      <c r="NJO202" s="23"/>
      <c r="NJP202" s="23"/>
      <c r="NJQ202" s="23"/>
      <c r="NJR202" s="23"/>
      <c r="NJS202" s="23"/>
      <c r="NJT202" s="24"/>
      <c r="NJU202" s="23"/>
      <c r="NJV202" s="23"/>
      <c r="NJW202" s="23"/>
      <c r="NJX202" s="1"/>
      <c r="NJY202" s="1"/>
      <c r="NJZ202" s="1"/>
      <c r="NKA202" s="25"/>
      <c r="NKD202" s="23"/>
      <c r="NKE202" s="23"/>
      <c r="NKF202" s="23"/>
      <c r="NKG202" s="23"/>
      <c r="NKH202" s="23"/>
      <c r="NKI202" s="23"/>
      <c r="NKJ202" s="24"/>
      <c r="NKK202" s="23"/>
      <c r="NKL202" s="23"/>
      <c r="NKM202" s="23"/>
      <c r="NKN202" s="1"/>
      <c r="NKO202" s="1"/>
      <c r="NKP202" s="1"/>
      <c r="NKQ202" s="25"/>
      <c r="NKT202" s="23"/>
      <c r="NKU202" s="23"/>
      <c r="NKV202" s="23"/>
      <c r="NKW202" s="23"/>
      <c r="NKX202" s="23"/>
      <c r="NKY202" s="23"/>
      <c r="NKZ202" s="24"/>
      <c r="NLA202" s="23"/>
      <c r="NLB202" s="23"/>
      <c r="NLC202" s="23"/>
      <c r="NLD202" s="1"/>
      <c r="NLE202" s="1"/>
      <c r="NLF202" s="1"/>
      <c r="NLG202" s="25"/>
      <c r="NLJ202" s="23"/>
      <c r="NLK202" s="23"/>
      <c r="NLL202" s="23"/>
      <c r="NLM202" s="23"/>
      <c r="NLN202" s="23"/>
      <c r="NLO202" s="23"/>
      <c r="NLP202" s="24"/>
      <c r="NLQ202" s="23"/>
      <c r="NLR202" s="23"/>
      <c r="NLS202" s="23"/>
      <c r="NLT202" s="1"/>
      <c r="NLU202" s="1"/>
      <c r="NLV202" s="1"/>
      <c r="NLW202" s="25"/>
      <c r="NLZ202" s="23"/>
      <c r="NMA202" s="23"/>
      <c r="NMB202" s="23"/>
      <c r="NMC202" s="23"/>
      <c r="NMD202" s="23"/>
      <c r="NME202" s="23"/>
      <c r="NMF202" s="24"/>
      <c r="NMG202" s="23"/>
      <c r="NMH202" s="23"/>
      <c r="NMI202" s="23"/>
      <c r="NMJ202" s="1"/>
      <c r="NMK202" s="1"/>
      <c r="NML202" s="1"/>
      <c r="NMM202" s="25"/>
      <c r="NMP202" s="23"/>
      <c r="NMQ202" s="23"/>
      <c r="NMR202" s="23"/>
      <c r="NMS202" s="23"/>
      <c r="NMT202" s="23"/>
      <c r="NMU202" s="23"/>
      <c r="NMV202" s="24"/>
      <c r="NMW202" s="23"/>
      <c r="NMX202" s="23"/>
      <c r="NMY202" s="23"/>
      <c r="NMZ202" s="1"/>
      <c r="NNA202" s="1"/>
      <c r="NNB202" s="1"/>
      <c r="NNC202" s="25"/>
      <c r="NNF202" s="23"/>
      <c r="NNG202" s="23"/>
      <c r="NNH202" s="23"/>
      <c r="NNI202" s="23"/>
      <c r="NNJ202" s="23"/>
      <c r="NNK202" s="23"/>
      <c r="NNL202" s="24"/>
      <c r="NNM202" s="23"/>
      <c r="NNN202" s="23"/>
      <c r="NNO202" s="23"/>
      <c r="NNP202" s="1"/>
      <c r="NNQ202" s="1"/>
      <c r="NNR202" s="1"/>
      <c r="NNS202" s="25"/>
      <c r="NNV202" s="23"/>
      <c r="NNW202" s="23"/>
      <c r="NNX202" s="23"/>
      <c r="NNY202" s="23"/>
      <c r="NNZ202" s="23"/>
      <c r="NOA202" s="23"/>
      <c r="NOB202" s="24"/>
      <c r="NOC202" s="23"/>
      <c r="NOD202" s="23"/>
      <c r="NOE202" s="23"/>
      <c r="NOF202" s="1"/>
      <c r="NOG202" s="1"/>
      <c r="NOH202" s="1"/>
      <c r="NOI202" s="25"/>
      <c r="NOL202" s="23"/>
      <c r="NOM202" s="23"/>
      <c r="NON202" s="23"/>
      <c r="NOO202" s="23"/>
      <c r="NOP202" s="23"/>
      <c r="NOQ202" s="23"/>
      <c r="NOR202" s="24"/>
      <c r="NOS202" s="23"/>
      <c r="NOT202" s="23"/>
      <c r="NOU202" s="23"/>
      <c r="NOV202" s="1"/>
      <c r="NOW202" s="1"/>
      <c r="NOX202" s="1"/>
      <c r="NOY202" s="25"/>
      <c r="NPB202" s="23"/>
      <c r="NPC202" s="23"/>
      <c r="NPD202" s="23"/>
      <c r="NPE202" s="23"/>
      <c r="NPF202" s="23"/>
      <c r="NPG202" s="23"/>
      <c r="NPH202" s="24"/>
      <c r="NPI202" s="23"/>
      <c r="NPJ202" s="23"/>
      <c r="NPK202" s="23"/>
      <c r="NPL202" s="1"/>
      <c r="NPM202" s="1"/>
      <c r="NPN202" s="1"/>
      <c r="NPO202" s="25"/>
      <c r="NPR202" s="23"/>
      <c r="NPS202" s="23"/>
      <c r="NPT202" s="23"/>
      <c r="NPU202" s="23"/>
      <c r="NPV202" s="23"/>
      <c r="NPW202" s="23"/>
      <c r="NPX202" s="24"/>
      <c r="NPY202" s="23"/>
      <c r="NPZ202" s="23"/>
      <c r="NQA202" s="23"/>
      <c r="NQB202" s="1"/>
      <c r="NQC202" s="1"/>
      <c r="NQD202" s="1"/>
      <c r="NQE202" s="25"/>
      <c r="NQH202" s="23"/>
      <c r="NQI202" s="23"/>
      <c r="NQJ202" s="23"/>
      <c r="NQK202" s="23"/>
      <c r="NQL202" s="23"/>
      <c r="NQM202" s="23"/>
      <c r="NQN202" s="24"/>
      <c r="NQO202" s="23"/>
      <c r="NQP202" s="23"/>
      <c r="NQQ202" s="23"/>
      <c r="NQR202" s="1"/>
      <c r="NQS202" s="1"/>
      <c r="NQT202" s="1"/>
      <c r="NQU202" s="25"/>
      <c r="NQX202" s="23"/>
      <c r="NQY202" s="23"/>
      <c r="NQZ202" s="23"/>
      <c r="NRA202" s="23"/>
      <c r="NRB202" s="23"/>
      <c r="NRC202" s="23"/>
      <c r="NRD202" s="24"/>
      <c r="NRE202" s="23"/>
      <c r="NRF202" s="23"/>
      <c r="NRG202" s="23"/>
      <c r="NRH202" s="1"/>
      <c r="NRI202" s="1"/>
      <c r="NRJ202" s="1"/>
      <c r="NRK202" s="25"/>
      <c r="NRN202" s="23"/>
      <c r="NRO202" s="23"/>
      <c r="NRP202" s="23"/>
      <c r="NRQ202" s="23"/>
      <c r="NRR202" s="23"/>
      <c r="NRS202" s="23"/>
      <c r="NRT202" s="24"/>
      <c r="NRU202" s="23"/>
      <c r="NRV202" s="23"/>
      <c r="NRW202" s="23"/>
      <c r="NRX202" s="1"/>
      <c r="NRY202" s="1"/>
      <c r="NRZ202" s="1"/>
      <c r="NSA202" s="25"/>
      <c r="NSD202" s="23"/>
      <c r="NSE202" s="23"/>
      <c r="NSF202" s="23"/>
      <c r="NSG202" s="23"/>
      <c r="NSH202" s="23"/>
      <c r="NSI202" s="23"/>
      <c r="NSJ202" s="24"/>
      <c r="NSK202" s="23"/>
      <c r="NSL202" s="23"/>
      <c r="NSM202" s="23"/>
      <c r="NSN202" s="1"/>
      <c r="NSO202" s="1"/>
      <c r="NSP202" s="1"/>
      <c r="NSQ202" s="25"/>
      <c r="NST202" s="23"/>
      <c r="NSU202" s="23"/>
      <c r="NSV202" s="23"/>
      <c r="NSW202" s="23"/>
      <c r="NSX202" s="23"/>
      <c r="NSY202" s="23"/>
      <c r="NSZ202" s="24"/>
      <c r="NTA202" s="23"/>
      <c r="NTB202" s="23"/>
      <c r="NTC202" s="23"/>
      <c r="NTD202" s="1"/>
      <c r="NTE202" s="1"/>
      <c r="NTF202" s="1"/>
      <c r="NTG202" s="25"/>
      <c r="NTJ202" s="23"/>
      <c r="NTK202" s="23"/>
      <c r="NTL202" s="23"/>
      <c r="NTM202" s="23"/>
      <c r="NTN202" s="23"/>
      <c r="NTO202" s="23"/>
      <c r="NTP202" s="24"/>
      <c r="NTQ202" s="23"/>
      <c r="NTR202" s="23"/>
      <c r="NTS202" s="23"/>
      <c r="NTT202" s="1"/>
      <c r="NTU202" s="1"/>
      <c r="NTV202" s="1"/>
      <c r="NTW202" s="25"/>
      <c r="NTZ202" s="23"/>
      <c r="NUA202" s="23"/>
      <c r="NUB202" s="23"/>
      <c r="NUC202" s="23"/>
      <c r="NUD202" s="23"/>
      <c r="NUE202" s="23"/>
      <c r="NUF202" s="24"/>
      <c r="NUG202" s="23"/>
      <c r="NUH202" s="23"/>
      <c r="NUI202" s="23"/>
      <c r="NUJ202" s="1"/>
      <c r="NUK202" s="1"/>
      <c r="NUL202" s="1"/>
      <c r="NUM202" s="25"/>
      <c r="NUP202" s="23"/>
      <c r="NUQ202" s="23"/>
      <c r="NUR202" s="23"/>
      <c r="NUS202" s="23"/>
      <c r="NUT202" s="23"/>
      <c r="NUU202" s="23"/>
      <c r="NUV202" s="24"/>
      <c r="NUW202" s="23"/>
      <c r="NUX202" s="23"/>
      <c r="NUY202" s="23"/>
      <c r="NUZ202" s="1"/>
      <c r="NVA202" s="1"/>
      <c r="NVB202" s="1"/>
      <c r="NVC202" s="25"/>
      <c r="NVF202" s="23"/>
      <c r="NVG202" s="23"/>
      <c r="NVH202" s="23"/>
      <c r="NVI202" s="23"/>
      <c r="NVJ202" s="23"/>
      <c r="NVK202" s="23"/>
      <c r="NVL202" s="24"/>
      <c r="NVM202" s="23"/>
      <c r="NVN202" s="23"/>
      <c r="NVO202" s="23"/>
      <c r="NVP202" s="1"/>
      <c r="NVQ202" s="1"/>
      <c r="NVR202" s="1"/>
      <c r="NVS202" s="25"/>
      <c r="NVV202" s="23"/>
      <c r="NVW202" s="23"/>
      <c r="NVX202" s="23"/>
      <c r="NVY202" s="23"/>
      <c r="NVZ202" s="23"/>
      <c r="NWA202" s="23"/>
      <c r="NWB202" s="24"/>
      <c r="NWC202" s="23"/>
      <c r="NWD202" s="23"/>
      <c r="NWE202" s="23"/>
      <c r="NWF202" s="1"/>
      <c r="NWG202" s="1"/>
      <c r="NWH202" s="1"/>
      <c r="NWI202" s="25"/>
      <c r="NWL202" s="23"/>
      <c r="NWM202" s="23"/>
      <c r="NWN202" s="23"/>
      <c r="NWO202" s="23"/>
      <c r="NWP202" s="23"/>
      <c r="NWQ202" s="23"/>
      <c r="NWR202" s="24"/>
      <c r="NWS202" s="23"/>
      <c r="NWT202" s="23"/>
      <c r="NWU202" s="23"/>
      <c r="NWV202" s="1"/>
      <c r="NWW202" s="1"/>
      <c r="NWX202" s="1"/>
      <c r="NWY202" s="25"/>
      <c r="NXB202" s="23"/>
      <c r="NXC202" s="23"/>
      <c r="NXD202" s="23"/>
      <c r="NXE202" s="23"/>
      <c r="NXF202" s="23"/>
      <c r="NXG202" s="23"/>
      <c r="NXH202" s="24"/>
      <c r="NXI202" s="23"/>
      <c r="NXJ202" s="23"/>
      <c r="NXK202" s="23"/>
      <c r="NXL202" s="1"/>
      <c r="NXM202" s="1"/>
      <c r="NXN202" s="1"/>
      <c r="NXO202" s="25"/>
      <c r="NXR202" s="23"/>
      <c r="NXS202" s="23"/>
      <c r="NXT202" s="23"/>
      <c r="NXU202" s="23"/>
      <c r="NXV202" s="23"/>
      <c r="NXW202" s="23"/>
      <c r="NXX202" s="24"/>
      <c r="NXY202" s="23"/>
      <c r="NXZ202" s="23"/>
      <c r="NYA202" s="23"/>
      <c r="NYB202" s="1"/>
      <c r="NYC202" s="1"/>
      <c r="NYD202" s="1"/>
      <c r="NYE202" s="25"/>
      <c r="NYH202" s="23"/>
      <c r="NYI202" s="23"/>
      <c r="NYJ202" s="23"/>
      <c r="NYK202" s="23"/>
      <c r="NYL202" s="23"/>
      <c r="NYM202" s="23"/>
      <c r="NYN202" s="24"/>
      <c r="NYO202" s="23"/>
      <c r="NYP202" s="23"/>
      <c r="NYQ202" s="23"/>
      <c r="NYR202" s="1"/>
      <c r="NYS202" s="1"/>
      <c r="NYT202" s="1"/>
      <c r="NYU202" s="25"/>
      <c r="NYX202" s="23"/>
      <c r="NYY202" s="23"/>
      <c r="NYZ202" s="23"/>
      <c r="NZA202" s="23"/>
      <c r="NZB202" s="23"/>
      <c r="NZC202" s="23"/>
      <c r="NZD202" s="24"/>
      <c r="NZE202" s="23"/>
      <c r="NZF202" s="23"/>
      <c r="NZG202" s="23"/>
      <c r="NZH202" s="1"/>
      <c r="NZI202" s="1"/>
      <c r="NZJ202" s="1"/>
      <c r="NZK202" s="25"/>
      <c r="NZN202" s="23"/>
      <c r="NZO202" s="23"/>
      <c r="NZP202" s="23"/>
      <c r="NZQ202" s="23"/>
      <c r="NZR202" s="23"/>
      <c r="NZS202" s="23"/>
      <c r="NZT202" s="24"/>
      <c r="NZU202" s="23"/>
      <c r="NZV202" s="23"/>
      <c r="NZW202" s="23"/>
      <c r="NZX202" s="1"/>
      <c r="NZY202" s="1"/>
      <c r="NZZ202" s="1"/>
      <c r="OAA202" s="25"/>
      <c r="OAD202" s="23"/>
      <c r="OAE202" s="23"/>
      <c r="OAF202" s="23"/>
      <c r="OAG202" s="23"/>
      <c r="OAH202" s="23"/>
      <c r="OAI202" s="23"/>
      <c r="OAJ202" s="24"/>
      <c r="OAK202" s="23"/>
      <c r="OAL202" s="23"/>
      <c r="OAM202" s="23"/>
      <c r="OAN202" s="1"/>
      <c r="OAO202" s="1"/>
      <c r="OAP202" s="1"/>
      <c r="OAQ202" s="25"/>
      <c r="OAT202" s="23"/>
      <c r="OAU202" s="23"/>
      <c r="OAV202" s="23"/>
      <c r="OAW202" s="23"/>
      <c r="OAX202" s="23"/>
      <c r="OAY202" s="23"/>
      <c r="OAZ202" s="24"/>
      <c r="OBA202" s="23"/>
      <c r="OBB202" s="23"/>
      <c r="OBC202" s="23"/>
      <c r="OBD202" s="1"/>
      <c r="OBE202" s="1"/>
      <c r="OBF202" s="1"/>
      <c r="OBG202" s="25"/>
      <c r="OBJ202" s="23"/>
      <c r="OBK202" s="23"/>
      <c r="OBL202" s="23"/>
      <c r="OBM202" s="23"/>
      <c r="OBN202" s="23"/>
      <c r="OBO202" s="23"/>
      <c r="OBP202" s="24"/>
      <c r="OBQ202" s="23"/>
      <c r="OBR202" s="23"/>
      <c r="OBS202" s="23"/>
      <c r="OBT202" s="1"/>
      <c r="OBU202" s="1"/>
      <c r="OBV202" s="1"/>
      <c r="OBW202" s="25"/>
      <c r="OBZ202" s="23"/>
      <c r="OCA202" s="23"/>
      <c r="OCB202" s="23"/>
      <c r="OCC202" s="23"/>
      <c r="OCD202" s="23"/>
      <c r="OCE202" s="23"/>
      <c r="OCF202" s="24"/>
      <c r="OCG202" s="23"/>
      <c r="OCH202" s="23"/>
      <c r="OCI202" s="23"/>
      <c r="OCJ202" s="1"/>
      <c r="OCK202" s="1"/>
      <c r="OCL202" s="1"/>
      <c r="OCM202" s="25"/>
      <c r="OCP202" s="23"/>
      <c r="OCQ202" s="23"/>
      <c r="OCR202" s="23"/>
      <c r="OCS202" s="23"/>
      <c r="OCT202" s="23"/>
      <c r="OCU202" s="23"/>
      <c r="OCV202" s="24"/>
      <c r="OCW202" s="23"/>
      <c r="OCX202" s="23"/>
      <c r="OCY202" s="23"/>
      <c r="OCZ202" s="1"/>
      <c r="ODA202" s="1"/>
      <c r="ODB202" s="1"/>
      <c r="ODC202" s="25"/>
      <c r="ODF202" s="23"/>
      <c r="ODG202" s="23"/>
      <c r="ODH202" s="23"/>
      <c r="ODI202" s="23"/>
      <c r="ODJ202" s="23"/>
      <c r="ODK202" s="23"/>
      <c r="ODL202" s="24"/>
      <c r="ODM202" s="23"/>
      <c r="ODN202" s="23"/>
      <c r="ODO202" s="23"/>
      <c r="ODP202" s="1"/>
      <c r="ODQ202" s="1"/>
      <c r="ODR202" s="1"/>
      <c r="ODS202" s="25"/>
      <c r="ODV202" s="23"/>
      <c r="ODW202" s="23"/>
      <c r="ODX202" s="23"/>
      <c r="ODY202" s="23"/>
      <c r="ODZ202" s="23"/>
      <c r="OEA202" s="23"/>
      <c r="OEB202" s="24"/>
      <c r="OEC202" s="23"/>
      <c r="OED202" s="23"/>
      <c r="OEE202" s="23"/>
      <c r="OEF202" s="1"/>
      <c r="OEG202" s="1"/>
      <c r="OEH202" s="1"/>
      <c r="OEI202" s="25"/>
      <c r="OEL202" s="23"/>
      <c r="OEM202" s="23"/>
      <c r="OEN202" s="23"/>
      <c r="OEO202" s="23"/>
      <c r="OEP202" s="23"/>
      <c r="OEQ202" s="23"/>
      <c r="OER202" s="24"/>
      <c r="OES202" s="23"/>
      <c r="OET202" s="23"/>
      <c r="OEU202" s="23"/>
      <c r="OEV202" s="1"/>
      <c r="OEW202" s="1"/>
      <c r="OEX202" s="1"/>
      <c r="OEY202" s="25"/>
      <c r="OFB202" s="23"/>
      <c r="OFC202" s="23"/>
      <c r="OFD202" s="23"/>
      <c r="OFE202" s="23"/>
      <c r="OFF202" s="23"/>
      <c r="OFG202" s="23"/>
      <c r="OFH202" s="24"/>
      <c r="OFI202" s="23"/>
      <c r="OFJ202" s="23"/>
      <c r="OFK202" s="23"/>
      <c r="OFL202" s="1"/>
      <c r="OFM202" s="1"/>
      <c r="OFN202" s="1"/>
      <c r="OFO202" s="25"/>
      <c r="OFR202" s="23"/>
      <c r="OFS202" s="23"/>
      <c r="OFT202" s="23"/>
      <c r="OFU202" s="23"/>
      <c r="OFV202" s="23"/>
      <c r="OFW202" s="23"/>
      <c r="OFX202" s="24"/>
      <c r="OFY202" s="23"/>
      <c r="OFZ202" s="23"/>
      <c r="OGA202" s="23"/>
      <c r="OGB202" s="1"/>
      <c r="OGC202" s="1"/>
      <c r="OGD202" s="1"/>
      <c r="OGE202" s="25"/>
      <c r="OGH202" s="23"/>
      <c r="OGI202" s="23"/>
      <c r="OGJ202" s="23"/>
      <c r="OGK202" s="23"/>
      <c r="OGL202" s="23"/>
      <c r="OGM202" s="23"/>
      <c r="OGN202" s="24"/>
      <c r="OGO202" s="23"/>
      <c r="OGP202" s="23"/>
      <c r="OGQ202" s="23"/>
      <c r="OGR202" s="1"/>
      <c r="OGS202" s="1"/>
      <c r="OGT202" s="1"/>
      <c r="OGU202" s="25"/>
      <c r="OGX202" s="23"/>
      <c r="OGY202" s="23"/>
      <c r="OGZ202" s="23"/>
      <c r="OHA202" s="23"/>
      <c r="OHB202" s="23"/>
      <c r="OHC202" s="23"/>
      <c r="OHD202" s="24"/>
      <c r="OHE202" s="23"/>
      <c r="OHF202" s="23"/>
      <c r="OHG202" s="23"/>
      <c r="OHH202" s="1"/>
      <c r="OHI202" s="1"/>
      <c r="OHJ202" s="1"/>
      <c r="OHK202" s="25"/>
      <c r="OHN202" s="23"/>
      <c r="OHO202" s="23"/>
      <c r="OHP202" s="23"/>
      <c r="OHQ202" s="23"/>
      <c r="OHR202" s="23"/>
      <c r="OHS202" s="23"/>
      <c r="OHT202" s="24"/>
      <c r="OHU202" s="23"/>
      <c r="OHV202" s="23"/>
      <c r="OHW202" s="23"/>
      <c r="OHX202" s="1"/>
      <c r="OHY202" s="1"/>
      <c r="OHZ202" s="1"/>
      <c r="OIA202" s="25"/>
      <c r="OID202" s="23"/>
      <c r="OIE202" s="23"/>
      <c r="OIF202" s="23"/>
      <c r="OIG202" s="23"/>
      <c r="OIH202" s="23"/>
      <c r="OII202" s="23"/>
      <c r="OIJ202" s="24"/>
      <c r="OIK202" s="23"/>
      <c r="OIL202" s="23"/>
      <c r="OIM202" s="23"/>
      <c r="OIN202" s="1"/>
      <c r="OIO202" s="1"/>
      <c r="OIP202" s="1"/>
      <c r="OIQ202" s="25"/>
      <c r="OIT202" s="23"/>
      <c r="OIU202" s="23"/>
      <c r="OIV202" s="23"/>
      <c r="OIW202" s="23"/>
      <c r="OIX202" s="23"/>
      <c r="OIY202" s="23"/>
      <c r="OIZ202" s="24"/>
      <c r="OJA202" s="23"/>
      <c r="OJB202" s="23"/>
      <c r="OJC202" s="23"/>
      <c r="OJD202" s="1"/>
      <c r="OJE202" s="1"/>
      <c r="OJF202" s="1"/>
      <c r="OJG202" s="25"/>
      <c r="OJJ202" s="23"/>
      <c r="OJK202" s="23"/>
      <c r="OJL202" s="23"/>
      <c r="OJM202" s="23"/>
      <c r="OJN202" s="23"/>
      <c r="OJO202" s="23"/>
      <c r="OJP202" s="24"/>
      <c r="OJQ202" s="23"/>
      <c r="OJR202" s="23"/>
      <c r="OJS202" s="23"/>
      <c r="OJT202" s="1"/>
      <c r="OJU202" s="1"/>
      <c r="OJV202" s="1"/>
      <c r="OJW202" s="25"/>
      <c r="OJZ202" s="23"/>
      <c r="OKA202" s="23"/>
      <c r="OKB202" s="23"/>
      <c r="OKC202" s="23"/>
      <c r="OKD202" s="23"/>
      <c r="OKE202" s="23"/>
      <c r="OKF202" s="24"/>
      <c r="OKG202" s="23"/>
      <c r="OKH202" s="23"/>
      <c r="OKI202" s="23"/>
      <c r="OKJ202" s="1"/>
      <c r="OKK202" s="1"/>
      <c r="OKL202" s="1"/>
      <c r="OKM202" s="25"/>
      <c r="OKP202" s="23"/>
      <c r="OKQ202" s="23"/>
      <c r="OKR202" s="23"/>
      <c r="OKS202" s="23"/>
      <c r="OKT202" s="23"/>
      <c r="OKU202" s="23"/>
      <c r="OKV202" s="24"/>
      <c r="OKW202" s="23"/>
      <c r="OKX202" s="23"/>
      <c r="OKY202" s="23"/>
      <c r="OKZ202" s="1"/>
      <c r="OLA202" s="1"/>
      <c r="OLB202" s="1"/>
      <c r="OLC202" s="25"/>
      <c r="OLF202" s="23"/>
      <c r="OLG202" s="23"/>
      <c r="OLH202" s="23"/>
      <c r="OLI202" s="23"/>
      <c r="OLJ202" s="23"/>
      <c r="OLK202" s="23"/>
      <c r="OLL202" s="24"/>
      <c r="OLM202" s="23"/>
      <c r="OLN202" s="23"/>
      <c r="OLO202" s="23"/>
      <c r="OLP202" s="1"/>
      <c r="OLQ202" s="1"/>
      <c r="OLR202" s="1"/>
      <c r="OLS202" s="25"/>
      <c r="OLV202" s="23"/>
      <c r="OLW202" s="23"/>
      <c r="OLX202" s="23"/>
      <c r="OLY202" s="23"/>
      <c r="OLZ202" s="23"/>
      <c r="OMA202" s="23"/>
      <c r="OMB202" s="24"/>
      <c r="OMC202" s="23"/>
      <c r="OMD202" s="23"/>
      <c r="OME202" s="23"/>
      <c r="OMF202" s="1"/>
      <c r="OMG202" s="1"/>
      <c r="OMH202" s="1"/>
      <c r="OMI202" s="25"/>
      <c r="OML202" s="23"/>
      <c r="OMM202" s="23"/>
      <c r="OMN202" s="23"/>
      <c r="OMO202" s="23"/>
      <c r="OMP202" s="23"/>
      <c r="OMQ202" s="23"/>
      <c r="OMR202" s="24"/>
      <c r="OMS202" s="23"/>
      <c r="OMT202" s="23"/>
      <c r="OMU202" s="23"/>
      <c r="OMV202" s="1"/>
      <c r="OMW202" s="1"/>
      <c r="OMX202" s="1"/>
      <c r="OMY202" s="25"/>
      <c r="ONB202" s="23"/>
      <c r="ONC202" s="23"/>
      <c r="OND202" s="23"/>
      <c r="ONE202" s="23"/>
      <c r="ONF202" s="23"/>
      <c r="ONG202" s="23"/>
      <c r="ONH202" s="24"/>
      <c r="ONI202" s="23"/>
      <c r="ONJ202" s="23"/>
      <c r="ONK202" s="23"/>
      <c r="ONL202" s="1"/>
      <c r="ONM202" s="1"/>
      <c r="ONN202" s="1"/>
      <c r="ONO202" s="25"/>
      <c r="ONR202" s="23"/>
      <c r="ONS202" s="23"/>
      <c r="ONT202" s="23"/>
      <c r="ONU202" s="23"/>
      <c r="ONV202" s="23"/>
      <c r="ONW202" s="23"/>
      <c r="ONX202" s="24"/>
      <c r="ONY202" s="23"/>
      <c r="ONZ202" s="23"/>
      <c r="OOA202" s="23"/>
      <c r="OOB202" s="1"/>
      <c r="OOC202" s="1"/>
      <c r="OOD202" s="1"/>
      <c r="OOE202" s="25"/>
      <c r="OOH202" s="23"/>
      <c r="OOI202" s="23"/>
      <c r="OOJ202" s="23"/>
      <c r="OOK202" s="23"/>
      <c r="OOL202" s="23"/>
      <c r="OOM202" s="23"/>
      <c r="OON202" s="24"/>
      <c r="OOO202" s="23"/>
      <c r="OOP202" s="23"/>
      <c r="OOQ202" s="23"/>
      <c r="OOR202" s="1"/>
      <c r="OOS202" s="1"/>
      <c r="OOT202" s="1"/>
      <c r="OOU202" s="25"/>
      <c r="OOX202" s="23"/>
      <c r="OOY202" s="23"/>
      <c r="OOZ202" s="23"/>
      <c r="OPA202" s="23"/>
      <c r="OPB202" s="23"/>
      <c r="OPC202" s="23"/>
      <c r="OPD202" s="24"/>
      <c r="OPE202" s="23"/>
      <c r="OPF202" s="23"/>
      <c r="OPG202" s="23"/>
      <c r="OPH202" s="1"/>
      <c r="OPI202" s="1"/>
      <c r="OPJ202" s="1"/>
      <c r="OPK202" s="25"/>
      <c r="OPN202" s="23"/>
      <c r="OPO202" s="23"/>
      <c r="OPP202" s="23"/>
      <c r="OPQ202" s="23"/>
      <c r="OPR202" s="23"/>
      <c r="OPS202" s="23"/>
      <c r="OPT202" s="24"/>
      <c r="OPU202" s="23"/>
      <c r="OPV202" s="23"/>
      <c r="OPW202" s="23"/>
      <c r="OPX202" s="1"/>
      <c r="OPY202" s="1"/>
      <c r="OPZ202" s="1"/>
      <c r="OQA202" s="25"/>
      <c r="OQD202" s="23"/>
      <c r="OQE202" s="23"/>
      <c r="OQF202" s="23"/>
      <c r="OQG202" s="23"/>
      <c r="OQH202" s="23"/>
      <c r="OQI202" s="23"/>
      <c r="OQJ202" s="24"/>
      <c r="OQK202" s="23"/>
      <c r="OQL202" s="23"/>
      <c r="OQM202" s="23"/>
      <c r="OQN202" s="1"/>
      <c r="OQO202" s="1"/>
      <c r="OQP202" s="1"/>
      <c r="OQQ202" s="25"/>
      <c r="OQT202" s="23"/>
      <c r="OQU202" s="23"/>
      <c r="OQV202" s="23"/>
      <c r="OQW202" s="23"/>
      <c r="OQX202" s="23"/>
      <c r="OQY202" s="23"/>
      <c r="OQZ202" s="24"/>
      <c r="ORA202" s="23"/>
      <c r="ORB202" s="23"/>
      <c r="ORC202" s="23"/>
      <c r="ORD202" s="1"/>
      <c r="ORE202" s="1"/>
      <c r="ORF202" s="1"/>
      <c r="ORG202" s="25"/>
      <c r="ORJ202" s="23"/>
      <c r="ORK202" s="23"/>
      <c r="ORL202" s="23"/>
      <c r="ORM202" s="23"/>
      <c r="ORN202" s="23"/>
      <c r="ORO202" s="23"/>
      <c r="ORP202" s="24"/>
      <c r="ORQ202" s="23"/>
      <c r="ORR202" s="23"/>
      <c r="ORS202" s="23"/>
      <c r="ORT202" s="1"/>
      <c r="ORU202" s="1"/>
      <c r="ORV202" s="1"/>
      <c r="ORW202" s="25"/>
      <c r="ORZ202" s="23"/>
      <c r="OSA202" s="23"/>
      <c r="OSB202" s="23"/>
      <c r="OSC202" s="23"/>
      <c r="OSD202" s="23"/>
      <c r="OSE202" s="23"/>
      <c r="OSF202" s="24"/>
      <c r="OSG202" s="23"/>
      <c r="OSH202" s="23"/>
      <c r="OSI202" s="23"/>
      <c r="OSJ202" s="1"/>
      <c r="OSK202" s="1"/>
      <c r="OSL202" s="1"/>
      <c r="OSM202" s="25"/>
      <c r="OSP202" s="23"/>
      <c r="OSQ202" s="23"/>
      <c r="OSR202" s="23"/>
      <c r="OSS202" s="23"/>
      <c r="OST202" s="23"/>
      <c r="OSU202" s="23"/>
      <c r="OSV202" s="24"/>
      <c r="OSW202" s="23"/>
      <c r="OSX202" s="23"/>
      <c r="OSY202" s="23"/>
      <c r="OSZ202" s="1"/>
      <c r="OTA202" s="1"/>
      <c r="OTB202" s="1"/>
      <c r="OTC202" s="25"/>
      <c r="OTF202" s="23"/>
      <c r="OTG202" s="23"/>
      <c r="OTH202" s="23"/>
      <c r="OTI202" s="23"/>
      <c r="OTJ202" s="23"/>
      <c r="OTK202" s="23"/>
      <c r="OTL202" s="24"/>
      <c r="OTM202" s="23"/>
      <c r="OTN202" s="23"/>
      <c r="OTO202" s="23"/>
      <c r="OTP202" s="1"/>
      <c r="OTQ202" s="1"/>
      <c r="OTR202" s="1"/>
      <c r="OTS202" s="25"/>
      <c r="OTV202" s="23"/>
      <c r="OTW202" s="23"/>
      <c r="OTX202" s="23"/>
      <c r="OTY202" s="23"/>
      <c r="OTZ202" s="23"/>
      <c r="OUA202" s="23"/>
      <c r="OUB202" s="24"/>
      <c r="OUC202" s="23"/>
      <c r="OUD202" s="23"/>
      <c r="OUE202" s="23"/>
      <c r="OUF202" s="1"/>
      <c r="OUG202" s="1"/>
      <c r="OUH202" s="1"/>
      <c r="OUI202" s="25"/>
      <c r="OUL202" s="23"/>
      <c r="OUM202" s="23"/>
      <c r="OUN202" s="23"/>
      <c r="OUO202" s="23"/>
      <c r="OUP202" s="23"/>
      <c r="OUQ202" s="23"/>
      <c r="OUR202" s="24"/>
      <c r="OUS202" s="23"/>
      <c r="OUT202" s="23"/>
      <c r="OUU202" s="23"/>
      <c r="OUV202" s="1"/>
      <c r="OUW202" s="1"/>
      <c r="OUX202" s="1"/>
      <c r="OUY202" s="25"/>
      <c r="OVB202" s="23"/>
      <c r="OVC202" s="23"/>
      <c r="OVD202" s="23"/>
      <c r="OVE202" s="23"/>
      <c r="OVF202" s="23"/>
      <c r="OVG202" s="23"/>
      <c r="OVH202" s="24"/>
      <c r="OVI202" s="23"/>
      <c r="OVJ202" s="23"/>
      <c r="OVK202" s="23"/>
      <c r="OVL202" s="1"/>
      <c r="OVM202" s="1"/>
      <c r="OVN202" s="1"/>
      <c r="OVO202" s="25"/>
      <c r="OVR202" s="23"/>
      <c r="OVS202" s="23"/>
      <c r="OVT202" s="23"/>
      <c r="OVU202" s="23"/>
      <c r="OVV202" s="23"/>
      <c r="OVW202" s="23"/>
      <c r="OVX202" s="24"/>
      <c r="OVY202" s="23"/>
      <c r="OVZ202" s="23"/>
      <c r="OWA202" s="23"/>
      <c r="OWB202" s="1"/>
      <c r="OWC202" s="1"/>
      <c r="OWD202" s="1"/>
      <c r="OWE202" s="25"/>
      <c r="OWH202" s="23"/>
      <c r="OWI202" s="23"/>
      <c r="OWJ202" s="23"/>
      <c r="OWK202" s="23"/>
      <c r="OWL202" s="23"/>
      <c r="OWM202" s="23"/>
      <c r="OWN202" s="24"/>
      <c r="OWO202" s="23"/>
      <c r="OWP202" s="23"/>
      <c r="OWQ202" s="23"/>
      <c r="OWR202" s="1"/>
      <c r="OWS202" s="1"/>
      <c r="OWT202" s="1"/>
      <c r="OWU202" s="25"/>
      <c r="OWX202" s="23"/>
      <c r="OWY202" s="23"/>
      <c r="OWZ202" s="23"/>
      <c r="OXA202" s="23"/>
      <c r="OXB202" s="23"/>
      <c r="OXC202" s="23"/>
      <c r="OXD202" s="24"/>
      <c r="OXE202" s="23"/>
      <c r="OXF202" s="23"/>
      <c r="OXG202" s="23"/>
      <c r="OXH202" s="1"/>
      <c r="OXI202" s="1"/>
      <c r="OXJ202" s="1"/>
      <c r="OXK202" s="25"/>
      <c r="OXN202" s="23"/>
      <c r="OXO202" s="23"/>
      <c r="OXP202" s="23"/>
      <c r="OXQ202" s="23"/>
      <c r="OXR202" s="23"/>
      <c r="OXS202" s="23"/>
      <c r="OXT202" s="24"/>
      <c r="OXU202" s="23"/>
      <c r="OXV202" s="23"/>
      <c r="OXW202" s="23"/>
      <c r="OXX202" s="1"/>
      <c r="OXY202" s="1"/>
      <c r="OXZ202" s="1"/>
      <c r="OYA202" s="25"/>
      <c r="OYD202" s="23"/>
      <c r="OYE202" s="23"/>
      <c r="OYF202" s="23"/>
      <c r="OYG202" s="23"/>
      <c r="OYH202" s="23"/>
      <c r="OYI202" s="23"/>
      <c r="OYJ202" s="24"/>
      <c r="OYK202" s="23"/>
      <c r="OYL202" s="23"/>
      <c r="OYM202" s="23"/>
      <c r="OYN202" s="1"/>
      <c r="OYO202" s="1"/>
      <c r="OYP202" s="1"/>
      <c r="OYQ202" s="25"/>
      <c r="OYT202" s="23"/>
      <c r="OYU202" s="23"/>
      <c r="OYV202" s="23"/>
      <c r="OYW202" s="23"/>
      <c r="OYX202" s="23"/>
      <c r="OYY202" s="23"/>
      <c r="OYZ202" s="24"/>
      <c r="OZA202" s="23"/>
      <c r="OZB202" s="23"/>
      <c r="OZC202" s="23"/>
      <c r="OZD202" s="1"/>
      <c r="OZE202" s="1"/>
      <c r="OZF202" s="1"/>
      <c r="OZG202" s="25"/>
      <c r="OZJ202" s="23"/>
      <c r="OZK202" s="23"/>
      <c r="OZL202" s="23"/>
      <c r="OZM202" s="23"/>
      <c r="OZN202" s="23"/>
      <c r="OZO202" s="23"/>
      <c r="OZP202" s="24"/>
      <c r="OZQ202" s="23"/>
      <c r="OZR202" s="23"/>
      <c r="OZS202" s="23"/>
      <c r="OZT202" s="1"/>
      <c r="OZU202" s="1"/>
      <c r="OZV202" s="1"/>
      <c r="OZW202" s="25"/>
      <c r="OZZ202" s="23"/>
      <c r="PAA202" s="23"/>
      <c r="PAB202" s="23"/>
      <c r="PAC202" s="23"/>
      <c r="PAD202" s="23"/>
      <c r="PAE202" s="23"/>
      <c r="PAF202" s="24"/>
      <c r="PAG202" s="23"/>
      <c r="PAH202" s="23"/>
      <c r="PAI202" s="23"/>
      <c r="PAJ202" s="1"/>
      <c r="PAK202" s="1"/>
      <c r="PAL202" s="1"/>
      <c r="PAM202" s="25"/>
      <c r="PAP202" s="23"/>
      <c r="PAQ202" s="23"/>
      <c r="PAR202" s="23"/>
      <c r="PAS202" s="23"/>
      <c r="PAT202" s="23"/>
      <c r="PAU202" s="23"/>
      <c r="PAV202" s="24"/>
      <c r="PAW202" s="23"/>
      <c r="PAX202" s="23"/>
      <c r="PAY202" s="23"/>
      <c r="PAZ202" s="1"/>
      <c r="PBA202" s="1"/>
      <c r="PBB202" s="1"/>
      <c r="PBC202" s="25"/>
      <c r="PBF202" s="23"/>
      <c r="PBG202" s="23"/>
      <c r="PBH202" s="23"/>
      <c r="PBI202" s="23"/>
      <c r="PBJ202" s="23"/>
      <c r="PBK202" s="23"/>
      <c r="PBL202" s="24"/>
      <c r="PBM202" s="23"/>
      <c r="PBN202" s="23"/>
      <c r="PBO202" s="23"/>
      <c r="PBP202" s="1"/>
      <c r="PBQ202" s="1"/>
      <c r="PBR202" s="1"/>
      <c r="PBS202" s="25"/>
      <c r="PBV202" s="23"/>
      <c r="PBW202" s="23"/>
      <c r="PBX202" s="23"/>
      <c r="PBY202" s="23"/>
      <c r="PBZ202" s="23"/>
      <c r="PCA202" s="23"/>
      <c r="PCB202" s="24"/>
      <c r="PCC202" s="23"/>
      <c r="PCD202" s="23"/>
      <c r="PCE202" s="23"/>
      <c r="PCF202" s="1"/>
      <c r="PCG202" s="1"/>
      <c r="PCH202" s="1"/>
      <c r="PCI202" s="25"/>
      <c r="PCL202" s="23"/>
      <c r="PCM202" s="23"/>
      <c r="PCN202" s="23"/>
      <c r="PCO202" s="23"/>
      <c r="PCP202" s="23"/>
      <c r="PCQ202" s="23"/>
      <c r="PCR202" s="24"/>
      <c r="PCS202" s="23"/>
      <c r="PCT202" s="23"/>
      <c r="PCU202" s="23"/>
      <c r="PCV202" s="1"/>
      <c r="PCW202" s="1"/>
      <c r="PCX202" s="1"/>
      <c r="PCY202" s="25"/>
      <c r="PDB202" s="23"/>
      <c r="PDC202" s="23"/>
      <c r="PDD202" s="23"/>
      <c r="PDE202" s="23"/>
      <c r="PDF202" s="23"/>
      <c r="PDG202" s="23"/>
      <c r="PDH202" s="24"/>
      <c r="PDI202" s="23"/>
      <c r="PDJ202" s="23"/>
      <c r="PDK202" s="23"/>
      <c r="PDL202" s="1"/>
      <c r="PDM202" s="1"/>
      <c r="PDN202" s="1"/>
      <c r="PDO202" s="25"/>
      <c r="PDR202" s="23"/>
      <c r="PDS202" s="23"/>
      <c r="PDT202" s="23"/>
      <c r="PDU202" s="23"/>
      <c r="PDV202" s="23"/>
      <c r="PDW202" s="23"/>
      <c r="PDX202" s="24"/>
      <c r="PDY202" s="23"/>
      <c r="PDZ202" s="23"/>
      <c r="PEA202" s="23"/>
      <c r="PEB202" s="1"/>
      <c r="PEC202" s="1"/>
      <c r="PED202" s="1"/>
      <c r="PEE202" s="25"/>
      <c r="PEH202" s="23"/>
      <c r="PEI202" s="23"/>
      <c r="PEJ202" s="23"/>
      <c r="PEK202" s="23"/>
      <c r="PEL202" s="23"/>
      <c r="PEM202" s="23"/>
      <c r="PEN202" s="24"/>
      <c r="PEO202" s="23"/>
      <c r="PEP202" s="23"/>
      <c r="PEQ202" s="23"/>
      <c r="PER202" s="1"/>
      <c r="PES202" s="1"/>
      <c r="PET202" s="1"/>
      <c r="PEU202" s="25"/>
      <c r="PEX202" s="23"/>
      <c r="PEY202" s="23"/>
      <c r="PEZ202" s="23"/>
      <c r="PFA202" s="23"/>
      <c r="PFB202" s="23"/>
      <c r="PFC202" s="23"/>
      <c r="PFD202" s="24"/>
      <c r="PFE202" s="23"/>
      <c r="PFF202" s="23"/>
      <c r="PFG202" s="23"/>
      <c r="PFH202" s="1"/>
      <c r="PFI202" s="1"/>
      <c r="PFJ202" s="1"/>
      <c r="PFK202" s="25"/>
      <c r="PFN202" s="23"/>
      <c r="PFO202" s="23"/>
      <c r="PFP202" s="23"/>
      <c r="PFQ202" s="23"/>
      <c r="PFR202" s="23"/>
      <c r="PFS202" s="23"/>
      <c r="PFT202" s="24"/>
      <c r="PFU202" s="23"/>
      <c r="PFV202" s="23"/>
      <c r="PFW202" s="23"/>
      <c r="PFX202" s="1"/>
      <c r="PFY202" s="1"/>
      <c r="PFZ202" s="1"/>
      <c r="PGA202" s="25"/>
      <c r="PGD202" s="23"/>
      <c r="PGE202" s="23"/>
      <c r="PGF202" s="23"/>
      <c r="PGG202" s="23"/>
      <c r="PGH202" s="23"/>
      <c r="PGI202" s="23"/>
      <c r="PGJ202" s="24"/>
      <c r="PGK202" s="23"/>
      <c r="PGL202" s="23"/>
      <c r="PGM202" s="23"/>
      <c r="PGN202" s="1"/>
      <c r="PGO202" s="1"/>
      <c r="PGP202" s="1"/>
      <c r="PGQ202" s="25"/>
      <c r="PGT202" s="23"/>
      <c r="PGU202" s="23"/>
      <c r="PGV202" s="23"/>
      <c r="PGW202" s="23"/>
      <c r="PGX202" s="23"/>
      <c r="PGY202" s="23"/>
      <c r="PGZ202" s="24"/>
      <c r="PHA202" s="23"/>
      <c r="PHB202" s="23"/>
      <c r="PHC202" s="23"/>
      <c r="PHD202" s="1"/>
      <c r="PHE202" s="1"/>
      <c r="PHF202" s="1"/>
      <c r="PHG202" s="25"/>
      <c r="PHJ202" s="23"/>
      <c r="PHK202" s="23"/>
      <c r="PHL202" s="23"/>
      <c r="PHM202" s="23"/>
      <c r="PHN202" s="23"/>
      <c r="PHO202" s="23"/>
      <c r="PHP202" s="24"/>
      <c r="PHQ202" s="23"/>
      <c r="PHR202" s="23"/>
      <c r="PHS202" s="23"/>
      <c r="PHT202" s="1"/>
      <c r="PHU202" s="1"/>
      <c r="PHV202" s="1"/>
      <c r="PHW202" s="25"/>
      <c r="PHZ202" s="23"/>
      <c r="PIA202" s="23"/>
      <c r="PIB202" s="23"/>
      <c r="PIC202" s="23"/>
      <c r="PID202" s="23"/>
      <c r="PIE202" s="23"/>
      <c r="PIF202" s="24"/>
      <c r="PIG202" s="23"/>
      <c r="PIH202" s="23"/>
      <c r="PII202" s="23"/>
      <c r="PIJ202" s="1"/>
      <c r="PIK202" s="1"/>
      <c r="PIL202" s="1"/>
      <c r="PIM202" s="25"/>
      <c r="PIP202" s="23"/>
      <c r="PIQ202" s="23"/>
      <c r="PIR202" s="23"/>
      <c r="PIS202" s="23"/>
      <c r="PIT202" s="23"/>
      <c r="PIU202" s="23"/>
      <c r="PIV202" s="24"/>
      <c r="PIW202" s="23"/>
      <c r="PIX202" s="23"/>
      <c r="PIY202" s="23"/>
      <c r="PIZ202" s="1"/>
      <c r="PJA202" s="1"/>
      <c r="PJB202" s="1"/>
      <c r="PJC202" s="25"/>
      <c r="PJF202" s="23"/>
      <c r="PJG202" s="23"/>
      <c r="PJH202" s="23"/>
      <c r="PJI202" s="23"/>
      <c r="PJJ202" s="23"/>
      <c r="PJK202" s="23"/>
      <c r="PJL202" s="24"/>
      <c r="PJM202" s="23"/>
      <c r="PJN202" s="23"/>
      <c r="PJO202" s="23"/>
      <c r="PJP202" s="1"/>
      <c r="PJQ202" s="1"/>
      <c r="PJR202" s="1"/>
      <c r="PJS202" s="25"/>
      <c r="PJV202" s="23"/>
      <c r="PJW202" s="23"/>
      <c r="PJX202" s="23"/>
      <c r="PJY202" s="23"/>
      <c r="PJZ202" s="23"/>
      <c r="PKA202" s="23"/>
      <c r="PKB202" s="24"/>
      <c r="PKC202" s="23"/>
      <c r="PKD202" s="23"/>
      <c r="PKE202" s="23"/>
      <c r="PKF202" s="1"/>
      <c r="PKG202" s="1"/>
      <c r="PKH202" s="1"/>
      <c r="PKI202" s="25"/>
      <c r="PKL202" s="23"/>
      <c r="PKM202" s="23"/>
      <c r="PKN202" s="23"/>
      <c r="PKO202" s="23"/>
      <c r="PKP202" s="23"/>
      <c r="PKQ202" s="23"/>
      <c r="PKR202" s="24"/>
      <c r="PKS202" s="23"/>
      <c r="PKT202" s="23"/>
      <c r="PKU202" s="23"/>
      <c r="PKV202" s="1"/>
      <c r="PKW202" s="1"/>
      <c r="PKX202" s="1"/>
      <c r="PKY202" s="25"/>
      <c r="PLB202" s="23"/>
      <c r="PLC202" s="23"/>
      <c r="PLD202" s="23"/>
      <c r="PLE202" s="23"/>
      <c r="PLF202" s="23"/>
      <c r="PLG202" s="23"/>
      <c r="PLH202" s="24"/>
      <c r="PLI202" s="23"/>
      <c r="PLJ202" s="23"/>
      <c r="PLK202" s="23"/>
      <c r="PLL202" s="1"/>
      <c r="PLM202" s="1"/>
      <c r="PLN202" s="1"/>
      <c r="PLO202" s="25"/>
      <c r="PLR202" s="23"/>
      <c r="PLS202" s="23"/>
      <c r="PLT202" s="23"/>
      <c r="PLU202" s="23"/>
      <c r="PLV202" s="23"/>
      <c r="PLW202" s="23"/>
      <c r="PLX202" s="24"/>
      <c r="PLY202" s="23"/>
      <c r="PLZ202" s="23"/>
      <c r="PMA202" s="23"/>
      <c r="PMB202" s="1"/>
      <c r="PMC202" s="1"/>
      <c r="PMD202" s="1"/>
      <c r="PME202" s="25"/>
      <c r="PMH202" s="23"/>
      <c r="PMI202" s="23"/>
      <c r="PMJ202" s="23"/>
      <c r="PMK202" s="23"/>
      <c r="PML202" s="23"/>
      <c r="PMM202" s="23"/>
      <c r="PMN202" s="24"/>
      <c r="PMO202" s="23"/>
      <c r="PMP202" s="23"/>
      <c r="PMQ202" s="23"/>
      <c r="PMR202" s="1"/>
      <c r="PMS202" s="1"/>
      <c r="PMT202" s="1"/>
      <c r="PMU202" s="25"/>
      <c r="PMX202" s="23"/>
      <c r="PMY202" s="23"/>
      <c r="PMZ202" s="23"/>
      <c r="PNA202" s="23"/>
      <c r="PNB202" s="23"/>
      <c r="PNC202" s="23"/>
      <c r="PND202" s="24"/>
      <c r="PNE202" s="23"/>
      <c r="PNF202" s="23"/>
      <c r="PNG202" s="23"/>
      <c r="PNH202" s="1"/>
      <c r="PNI202" s="1"/>
      <c r="PNJ202" s="1"/>
      <c r="PNK202" s="25"/>
      <c r="PNN202" s="23"/>
      <c r="PNO202" s="23"/>
      <c r="PNP202" s="23"/>
      <c r="PNQ202" s="23"/>
      <c r="PNR202" s="23"/>
      <c r="PNS202" s="23"/>
      <c r="PNT202" s="24"/>
      <c r="PNU202" s="23"/>
      <c r="PNV202" s="23"/>
      <c r="PNW202" s="23"/>
      <c r="PNX202" s="1"/>
      <c r="PNY202" s="1"/>
      <c r="PNZ202" s="1"/>
      <c r="POA202" s="25"/>
      <c r="POD202" s="23"/>
      <c r="POE202" s="23"/>
      <c r="POF202" s="23"/>
      <c r="POG202" s="23"/>
      <c r="POH202" s="23"/>
      <c r="POI202" s="23"/>
      <c r="POJ202" s="24"/>
      <c r="POK202" s="23"/>
      <c r="POL202" s="23"/>
      <c r="POM202" s="23"/>
      <c r="PON202" s="1"/>
      <c r="POO202" s="1"/>
      <c r="POP202" s="1"/>
      <c r="POQ202" s="25"/>
      <c r="POT202" s="23"/>
      <c r="POU202" s="23"/>
      <c r="POV202" s="23"/>
      <c r="POW202" s="23"/>
      <c r="POX202" s="23"/>
      <c r="POY202" s="23"/>
      <c r="POZ202" s="24"/>
      <c r="PPA202" s="23"/>
      <c r="PPB202" s="23"/>
      <c r="PPC202" s="23"/>
      <c r="PPD202" s="1"/>
      <c r="PPE202" s="1"/>
      <c r="PPF202" s="1"/>
      <c r="PPG202" s="25"/>
      <c r="PPJ202" s="23"/>
      <c r="PPK202" s="23"/>
      <c r="PPL202" s="23"/>
      <c r="PPM202" s="23"/>
      <c r="PPN202" s="23"/>
      <c r="PPO202" s="23"/>
      <c r="PPP202" s="24"/>
      <c r="PPQ202" s="23"/>
      <c r="PPR202" s="23"/>
      <c r="PPS202" s="23"/>
      <c r="PPT202" s="1"/>
      <c r="PPU202" s="1"/>
      <c r="PPV202" s="1"/>
      <c r="PPW202" s="25"/>
      <c r="PPZ202" s="23"/>
      <c r="PQA202" s="23"/>
      <c r="PQB202" s="23"/>
      <c r="PQC202" s="23"/>
      <c r="PQD202" s="23"/>
      <c r="PQE202" s="23"/>
      <c r="PQF202" s="24"/>
      <c r="PQG202" s="23"/>
      <c r="PQH202" s="23"/>
      <c r="PQI202" s="23"/>
      <c r="PQJ202" s="1"/>
      <c r="PQK202" s="1"/>
      <c r="PQL202" s="1"/>
      <c r="PQM202" s="25"/>
      <c r="PQP202" s="23"/>
      <c r="PQQ202" s="23"/>
      <c r="PQR202" s="23"/>
      <c r="PQS202" s="23"/>
      <c r="PQT202" s="23"/>
      <c r="PQU202" s="23"/>
      <c r="PQV202" s="24"/>
      <c r="PQW202" s="23"/>
      <c r="PQX202" s="23"/>
      <c r="PQY202" s="23"/>
      <c r="PQZ202" s="1"/>
      <c r="PRA202" s="1"/>
      <c r="PRB202" s="1"/>
      <c r="PRC202" s="25"/>
      <c r="PRF202" s="23"/>
      <c r="PRG202" s="23"/>
      <c r="PRH202" s="23"/>
      <c r="PRI202" s="23"/>
      <c r="PRJ202" s="23"/>
      <c r="PRK202" s="23"/>
      <c r="PRL202" s="24"/>
      <c r="PRM202" s="23"/>
      <c r="PRN202" s="23"/>
      <c r="PRO202" s="23"/>
      <c r="PRP202" s="1"/>
      <c r="PRQ202" s="1"/>
      <c r="PRR202" s="1"/>
      <c r="PRS202" s="25"/>
      <c r="PRV202" s="23"/>
      <c r="PRW202" s="23"/>
      <c r="PRX202" s="23"/>
      <c r="PRY202" s="23"/>
      <c r="PRZ202" s="23"/>
      <c r="PSA202" s="23"/>
      <c r="PSB202" s="24"/>
      <c r="PSC202" s="23"/>
      <c r="PSD202" s="23"/>
      <c r="PSE202" s="23"/>
      <c r="PSF202" s="1"/>
      <c r="PSG202" s="1"/>
      <c r="PSH202" s="1"/>
      <c r="PSI202" s="25"/>
      <c r="PSL202" s="23"/>
      <c r="PSM202" s="23"/>
      <c r="PSN202" s="23"/>
      <c r="PSO202" s="23"/>
      <c r="PSP202" s="23"/>
      <c r="PSQ202" s="23"/>
      <c r="PSR202" s="24"/>
      <c r="PSS202" s="23"/>
      <c r="PST202" s="23"/>
      <c r="PSU202" s="23"/>
      <c r="PSV202" s="1"/>
      <c r="PSW202" s="1"/>
      <c r="PSX202" s="1"/>
      <c r="PSY202" s="25"/>
      <c r="PTB202" s="23"/>
      <c r="PTC202" s="23"/>
      <c r="PTD202" s="23"/>
      <c r="PTE202" s="23"/>
      <c r="PTF202" s="23"/>
      <c r="PTG202" s="23"/>
      <c r="PTH202" s="24"/>
      <c r="PTI202" s="23"/>
      <c r="PTJ202" s="23"/>
      <c r="PTK202" s="23"/>
      <c r="PTL202" s="1"/>
      <c r="PTM202" s="1"/>
      <c r="PTN202" s="1"/>
      <c r="PTO202" s="25"/>
      <c r="PTR202" s="23"/>
      <c r="PTS202" s="23"/>
      <c r="PTT202" s="23"/>
      <c r="PTU202" s="23"/>
      <c r="PTV202" s="23"/>
      <c r="PTW202" s="23"/>
      <c r="PTX202" s="24"/>
      <c r="PTY202" s="23"/>
      <c r="PTZ202" s="23"/>
      <c r="PUA202" s="23"/>
      <c r="PUB202" s="1"/>
      <c r="PUC202" s="1"/>
      <c r="PUD202" s="1"/>
      <c r="PUE202" s="25"/>
      <c r="PUH202" s="23"/>
      <c r="PUI202" s="23"/>
      <c r="PUJ202" s="23"/>
      <c r="PUK202" s="23"/>
      <c r="PUL202" s="23"/>
      <c r="PUM202" s="23"/>
      <c r="PUN202" s="24"/>
      <c r="PUO202" s="23"/>
      <c r="PUP202" s="23"/>
      <c r="PUQ202" s="23"/>
      <c r="PUR202" s="1"/>
      <c r="PUS202" s="1"/>
      <c r="PUT202" s="1"/>
      <c r="PUU202" s="25"/>
      <c r="PUX202" s="23"/>
      <c r="PUY202" s="23"/>
      <c r="PUZ202" s="23"/>
      <c r="PVA202" s="23"/>
      <c r="PVB202" s="23"/>
      <c r="PVC202" s="23"/>
      <c r="PVD202" s="24"/>
      <c r="PVE202" s="23"/>
      <c r="PVF202" s="23"/>
      <c r="PVG202" s="23"/>
      <c r="PVH202" s="1"/>
      <c r="PVI202" s="1"/>
      <c r="PVJ202" s="1"/>
      <c r="PVK202" s="25"/>
      <c r="PVN202" s="23"/>
      <c r="PVO202" s="23"/>
      <c r="PVP202" s="23"/>
      <c r="PVQ202" s="23"/>
      <c r="PVR202" s="23"/>
      <c r="PVS202" s="23"/>
      <c r="PVT202" s="24"/>
      <c r="PVU202" s="23"/>
      <c r="PVV202" s="23"/>
      <c r="PVW202" s="23"/>
      <c r="PVX202" s="1"/>
      <c r="PVY202" s="1"/>
      <c r="PVZ202" s="1"/>
      <c r="PWA202" s="25"/>
      <c r="PWD202" s="23"/>
      <c r="PWE202" s="23"/>
      <c r="PWF202" s="23"/>
      <c r="PWG202" s="23"/>
      <c r="PWH202" s="23"/>
      <c r="PWI202" s="23"/>
      <c r="PWJ202" s="24"/>
      <c r="PWK202" s="23"/>
      <c r="PWL202" s="23"/>
      <c r="PWM202" s="23"/>
      <c r="PWN202" s="1"/>
      <c r="PWO202" s="1"/>
      <c r="PWP202" s="1"/>
      <c r="PWQ202" s="25"/>
      <c r="PWT202" s="23"/>
      <c r="PWU202" s="23"/>
      <c r="PWV202" s="23"/>
      <c r="PWW202" s="23"/>
      <c r="PWX202" s="23"/>
      <c r="PWY202" s="23"/>
      <c r="PWZ202" s="24"/>
      <c r="PXA202" s="23"/>
      <c r="PXB202" s="23"/>
      <c r="PXC202" s="23"/>
      <c r="PXD202" s="1"/>
      <c r="PXE202" s="1"/>
      <c r="PXF202" s="1"/>
      <c r="PXG202" s="25"/>
      <c r="PXJ202" s="23"/>
      <c r="PXK202" s="23"/>
      <c r="PXL202" s="23"/>
      <c r="PXM202" s="23"/>
      <c r="PXN202" s="23"/>
      <c r="PXO202" s="23"/>
      <c r="PXP202" s="24"/>
      <c r="PXQ202" s="23"/>
      <c r="PXR202" s="23"/>
      <c r="PXS202" s="23"/>
      <c r="PXT202" s="1"/>
      <c r="PXU202" s="1"/>
      <c r="PXV202" s="1"/>
      <c r="PXW202" s="25"/>
      <c r="PXZ202" s="23"/>
      <c r="PYA202" s="23"/>
      <c r="PYB202" s="23"/>
      <c r="PYC202" s="23"/>
      <c r="PYD202" s="23"/>
      <c r="PYE202" s="23"/>
      <c r="PYF202" s="24"/>
      <c r="PYG202" s="23"/>
      <c r="PYH202" s="23"/>
      <c r="PYI202" s="23"/>
      <c r="PYJ202" s="1"/>
      <c r="PYK202" s="1"/>
      <c r="PYL202" s="1"/>
      <c r="PYM202" s="25"/>
      <c r="PYP202" s="23"/>
      <c r="PYQ202" s="23"/>
      <c r="PYR202" s="23"/>
      <c r="PYS202" s="23"/>
      <c r="PYT202" s="23"/>
      <c r="PYU202" s="23"/>
      <c r="PYV202" s="24"/>
      <c r="PYW202" s="23"/>
      <c r="PYX202" s="23"/>
      <c r="PYY202" s="23"/>
      <c r="PYZ202" s="1"/>
      <c r="PZA202" s="1"/>
      <c r="PZB202" s="1"/>
      <c r="PZC202" s="25"/>
      <c r="PZF202" s="23"/>
      <c r="PZG202" s="23"/>
      <c r="PZH202" s="23"/>
      <c r="PZI202" s="23"/>
      <c r="PZJ202" s="23"/>
      <c r="PZK202" s="23"/>
      <c r="PZL202" s="24"/>
      <c r="PZM202" s="23"/>
      <c r="PZN202" s="23"/>
      <c r="PZO202" s="23"/>
      <c r="PZP202" s="1"/>
      <c r="PZQ202" s="1"/>
      <c r="PZR202" s="1"/>
      <c r="PZS202" s="25"/>
      <c r="PZV202" s="23"/>
      <c r="PZW202" s="23"/>
      <c r="PZX202" s="23"/>
      <c r="PZY202" s="23"/>
      <c r="PZZ202" s="23"/>
      <c r="QAA202" s="23"/>
      <c r="QAB202" s="24"/>
      <c r="QAC202" s="23"/>
      <c r="QAD202" s="23"/>
      <c r="QAE202" s="23"/>
      <c r="QAF202" s="1"/>
      <c r="QAG202" s="1"/>
      <c r="QAH202" s="1"/>
      <c r="QAI202" s="25"/>
      <c r="QAL202" s="23"/>
      <c r="QAM202" s="23"/>
      <c r="QAN202" s="23"/>
      <c r="QAO202" s="23"/>
      <c r="QAP202" s="23"/>
      <c r="QAQ202" s="23"/>
      <c r="QAR202" s="24"/>
      <c r="QAS202" s="23"/>
      <c r="QAT202" s="23"/>
      <c r="QAU202" s="23"/>
      <c r="QAV202" s="1"/>
      <c r="QAW202" s="1"/>
      <c r="QAX202" s="1"/>
      <c r="QAY202" s="25"/>
      <c r="QBB202" s="23"/>
      <c r="QBC202" s="23"/>
      <c r="QBD202" s="23"/>
      <c r="QBE202" s="23"/>
      <c r="QBF202" s="23"/>
      <c r="QBG202" s="23"/>
      <c r="QBH202" s="24"/>
      <c r="QBI202" s="23"/>
      <c r="QBJ202" s="23"/>
      <c r="QBK202" s="23"/>
      <c r="QBL202" s="1"/>
      <c r="QBM202" s="1"/>
      <c r="QBN202" s="1"/>
      <c r="QBO202" s="25"/>
      <c r="QBR202" s="23"/>
      <c r="QBS202" s="23"/>
      <c r="QBT202" s="23"/>
      <c r="QBU202" s="23"/>
      <c r="QBV202" s="23"/>
      <c r="QBW202" s="23"/>
      <c r="QBX202" s="24"/>
      <c r="QBY202" s="23"/>
      <c r="QBZ202" s="23"/>
      <c r="QCA202" s="23"/>
      <c r="QCB202" s="1"/>
      <c r="QCC202" s="1"/>
      <c r="QCD202" s="1"/>
      <c r="QCE202" s="25"/>
      <c r="QCH202" s="23"/>
      <c r="QCI202" s="23"/>
      <c r="QCJ202" s="23"/>
      <c r="QCK202" s="23"/>
      <c r="QCL202" s="23"/>
      <c r="QCM202" s="23"/>
      <c r="QCN202" s="24"/>
      <c r="QCO202" s="23"/>
      <c r="QCP202" s="23"/>
      <c r="QCQ202" s="23"/>
      <c r="QCR202" s="1"/>
      <c r="QCS202" s="1"/>
      <c r="QCT202" s="1"/>
      <c r="QCU202" s="25"/>
      <c r="QCX202" s="23"/>
      <c r="QCY202" s="23"/>
      <c r="QCZ202" s="23"/>
      <c r="QDA202" s="23"/>
      <c r="QDB202" s="23"/>
      <c r="QDC202" s="23"/>
      <c r="QDD202" s="24"/>
      <c r="QDE202" s="23"/>
      <c r="QDF202" s="23"/>
      <c r="QDG202" s="23"/>
      <c r="QDH202" s="1"/>
      <c r="QDI202" s="1"/>
      <c r="QDJ202" s="1"/>
      <c r="QDK202" s="25"/>
      <c r="QDN202" s="23"/>
      <c r="QDO202" s="23"/>
      <c r="QDP202" s="23"/>
      <c r="QDQ202" s="23"/>
      <c r="QDR202" s="23"/>
      <c r="QDS202" s="23"/>
      <c r="QDT202" s="24"/>
      <c r="QDU202" s="23"/>
      <c r="QDV202" s="23"/>
      <c r="QDW202" s="23"/>
      <c r="QDX202" s="1"/>
      <c r="QDY202" s="1"/>
      <c r="QDZ202" s="1"/>
      <c r="QEA202" s="25"/>
      <c r="QED202" s="23"/>
      <c r="QEE202" s="23"/>
      <c r="QEF202" s="23"/>
      <c r="QEG202" s="23"/>
      <c r="QEH202" s="23"/>
      <c r="QEI202" s="23"/>
      <c r="QEJ202" s="24"/>
      <c r="QEK202" s="23"/>
      <c r="QEL202" s="23"/>
      <c r="QEM202" s="23"/>
      <c r="QEN202" s="1"/>
      <c r="QEO202" s="1"/>
      <c r="QEP202" s="1"/>
      <c r="QEQ202" s="25"/>
      <c r="QET202" s="23"/>
      <c r="QEU202" s="23"/>
      <c r="QEV202" s="23"/>
      <c r="QEW202" s="23"/>
      <c r="QEX202" s="23"/>
      <c r="QEY202" s="23"/>
      <c r="QEZ202" s="24"/>
      <c r="QFA202" s="23"/>
      <c r="QFB202" s="23"/>
      <c r="QFC202" s="23"/>
      <c r="QFD202" s="1"/>
      <c r="QFE202" s="1"/>
      <c r="QFF202" s="1"/>
      <c r="QFG202" s="25"/>
      <c r="QFJ202" s="23"/>
      <c r="QFK202" s="23"/>
      <c r="QFL202" s="23"/>
      <c r="QFM202" s="23"/>
      <c r="QFN202" s="23"/>
      <c r="QFO202" s="23"/>
      <c r="QFP202" s="24"/>
      <c r="QFQ202" s="23"/>
      <c r="QFR202" s="23"/>
      <c r="QFS202" s="23"/>
      <c r="QFT202" s="1"/>
      <c r="QFU202" s="1"/>
      <c r="QFV202" s="1"/>
      <c r="QFW202" s="25"/>
      <c r="QFZ202" s="23"/>
      <c r="QGA202" s="23"/>
      <c r="QGB202" s="23"/>
      <c r="QGC202" s="23"/>
      <c r="QGD202" s="23"/>
      <c r="QGE202" s="23"/>
      <c r="QGF202" s="24"/>
      <c r="QGG202" s="23"/>
      <c r="QGH202" s="23"/>
      <c r="QGI202" s="23"/>
      <c r="QGJ202" s="1"/>
      <c r="QGK202" s="1"/>
      <c r="QGL202" s="1"/>
      <c r="QGM202" s="25"/>
      <c r="QGP202" s="23"/>
      <c r="QGQ202" s="23"/>
      <c r="QGR202" s="23"/>
      <c r="QGS202" s="23"/>
      <c r="QGT202" s="23"/>
      <c r="QGU202" s="23"/>
      <c r="QGV202" s="24"/>
      <c r="QGW202" s="23"/>
      <c r="QGX202" s="23"/>
      <c r="QGY202" s="23"/>
      <c r="QGZ202" s="1"/>
      <c r="QHA202" s="1"/>
      <c r="QHB202" s="1"/>
      <c r="QHC202" s="25"/>
      <c r="QHF202" s="23"/>
      <c r="QHG202" s="23"/>
      <c r="QHH202" s="23"/>
      <c r="QHI202" s="23"/>
      <c r="QHJ202" s="23"/>
      <c r="QHK202" s="23"/>
      <c r="QHL202" s="24"/>
      <c r="QHM202" s="23"/>
      <c r="QHN202" s="23"/>
      <c r="QHO202" s="23"/>
      <c r="QHP202" s="1"/>
      <c r="QHQ202" s="1"/>
      <c r="QHR202" s="1"/>
      <c r="QHS202" s="25"/>
      <c r="QHV202" s="23"/>
      <c r="QHW202" s="23"/>
      <c r="QHX202" s="23"/>
      <c r="QHY202" s="23"/>
      <c r="QHZ202" s="23"/>
      <c r="QIA202" s="23"/>
      <c r="QIB202" s="24"/>
      <c r="QIC202" s="23"/>
      <c r="QID202" s="23"/>
      <c r="QIE202" s="23"/>
      <c r="QIF202" s="1"/>
      <c r="QIG202" s="1"/>
      <c r="QIH202" s="1"/>
      <c r="QII202" s="25"/>
      <c r="QIL202" s="23"/>
      <c r="QIM202" s="23"/>
      <c r="QIN202" s="23"/>
      <c r="QIO202" s="23"/>
      <c r="QIP202" s="23"/>
      <c r="QIQ202" s="23"/>
      <c r="QIR202" s="24"/>
      <c r="QIS202" s="23"/>
      <c r="QIT202" s="23"/>
      <c r="QIU202" s="23"/>
      <c r="QIV202" s="1"/>
      <c r="QIW202" s="1"/>
      <c r="QIX202" s="1"/>
      <c r="QIY202" s="25"/>
      <c r="QJB202" s="23"/>
      <c r="QJC202" s="23"/>
      <c r="QJD202" s="23"/>
      <c r="QJE202" s="23"/>
      <c r="QJF202" s="23"/>
      <c r="QJG202" s="23"/>
      <c r="QJH202" s="24"/>
      <c r="QJI202" s="23"/>
      <c r="QJJ202" s="23"/>
      <c r="QJK202" s="23"/>
      <c r="QJL202" s="1"/>
      <c r="QJM202" s="1"/>
      <c r="QJN202" s="1"/>
      <c r="QJO202" s="25"/>
      <c r="QJR202" s="23"/>
      <c r="QJS202" s="23"/>
      <c r="QJT202" s="23"/>
      <c r="QJU202" s="23"/>
      <c r="QJV202" s="23"/>
      <c r="QJW202" s="23"/>
      <c r="QJX202" s="24"/>
      <c r="QJY202" s="23"/>
      <c r="QJZ202" s="23"/>
      <c r="QKA202" s="23"/>
      <c r="QKB202" s="1"/>
      <c r="QKC202" s="1"/>
      <c r="QKD202" s="1"/>
      <c r="QKE202" s="25"/>
      <c r="QKH202" s="23"/>
      <c r="QKI202" s="23"/>
      <c r="QKJ202" s="23"/>
      <c r="QKK202" s="23"/>
      <c r="QKL202" s="23"/>
      <c r="QKM202" s="23"/>
      <c r="QKN202" s="24"/>
      <c r="QKO202" s="23"/>
      <c r="QKP202" s="23"/>
      <c r="QKQ202" s="23"/>
      <c r="QKR202" s="1"/>
      <c r="QKS202" s="1"/>
      <c r="QKT202" s="1"/>
      <c r="QKU202" s="25"/>
      <c r="QKX202" s="23"/>
      <c r="QKY202" s="23"/>
      <c r="QKZ202" s="23"/>
      <c r="QLA202" s="23"/>
      <c r="QLB202" s="23"/>
      <c r="QLC202" s="23"/>
      <c r="QLD202" s="24"/>
      <c r="QLE202" s="23"/>
      <c r="QLF202" s="23"/>
      <c r="QLG202" s="23"/>
      <c r="QLH202" s="1"/>
      <c r="QLI202" s="1"/>
      <c r="QLJ202" s="1"/>
      <c r="QLK202" s="25"/>
      <c r="QLN202" s="23"/>
      <c r="QLO202" s="23"/>
      <c r="QLP202" s="23"/>
      <c r="QLQ202" s="23"/>
      <c r="QLR202" s="23"/>
      <c r="QLS202" s="23"/>
      <c r="QLT202" s="24"/>
      <c r="QLU202" s="23"/>
      <c r="QLV202" s="23"/>
      <c r="QLW202" s="23"/>
      <c r="QLX202" s="1"/>
      <c r="QLY202" s="1"/>
      <c r="QLZ202" s="1"/>
      <c r="QMA202" s="25"/>
      <c r="QMD202" s="23"/>
      <c r="QME202" s="23"/>
      <c r="QMF202" s="23"/>
      <c r="QMG202" s="23"/>
      <c r="QMH202" s="23"/>
      <c r="QMI202" s="23"/>
      <c r="QMJ202" s="24"/>
      <c r="QMK202" s="23"/>
      <c r="QML202" s="23"/>
      <c r="QMM202" s="23"/>
      <c r="QMN202" s="1"/>
      <c r="QMO202" s="1"/>
      <c r="QMP202" s="1"/>
      <c r="QMQ202" s="25"/>
      <c r="QMT202" s="23"/>
      <c r="QMU202" s="23"/>
      <c r="QMV202" s="23"/>
      <c r="QMW202" s="23"/>
      <c r="QMX202" s="23"/>
      <c r="QMY202" s="23"/>
      <c r="QMZ202" s="24"/>
      <c r="QNA202" s="23"/>
      <c r="QNB202" s="23"/>
      <c r="QNC202" s="23"/>
      <c r="QND202" s="1"/>
      <c r="QNE202" s="1"/>
      <c r="QNF202" s="1"/>
      <c r="QNG202" s="25"/>
      <c r="QNJ202" s="23"/>
      <c r="QNK202" s="23"/>
      <c r="QNL202" s="23"/>
      <c r="QNM202" s="23"/>
      <c r="QNN202" s="23"/>
      <c r="QNO202" s="23"/>
      <c r="QNP202" s="24"/>
      <c r="QNQ202" s="23"/>
      <c r="QNR202" s="23"/>
      <c r="QNS202" s="23"/>
      <c r="QNT202" s="1"/>
      <c r="QNU202" s="1"/>
      <c r="QNV202" s="1"/>
      <c r="QNW202" s="25"/>
      <c r="QNZ202" s="23"/>
      <c r="QOA202" s="23"/>
      <c r="QOB202" s="23"/>
      <c r="QOC202" s="23"/>
      <c r="QOD202" s="23"/>
      <c r="QOE202" s="23"/>
      <c r="QOF202" s="24"/>
      <c r="QOG202" s="23"/>
      <c r="QOH202" s="23"/>
      <c r="QOI202" s="23"/>
      <c r="QOJ202" s="1"/>
      <c r="QOK202" s="1"/>
      <c r="QOL202" s="1"/>
      <c r="QOM202" s="25"/>
      <c r="QOP202" s="23"/>
      <c r="QOQ202" s="23"/>
      <c r="QOR202" s="23"/>
      <c r="QOS202" s="23"/>
      <c r="QOT202" s="23"/>
      <c r="QOU202" s="23"/>
      <c r="QOV202" s="24"/>
      <c r="QOW202" s="23"/>
      <c r="QOX202" s="23"/>
      <c r="QOY202" s="23"/>
      <c r="QOZ202" s="1"/>
      <c r="QPA202" s="1"/>
      <c r="QPB202" s="1"/>
      <c r="QPC202" s="25"/>
      <c r="QPF202" s="23"/>
      <c r="QPG202" s="23"/>
      <c r="QPH202" s="23"/>
      <c r="QPI202" s="23"/>
      <c r="QPJ202" s="23"/>
      <c r="QPK202" s="23"/>
      <c r="QPL202" s="24"/>
      <c r="QPM202" s="23"/>
      <c r="QPN202" s="23"/>
      <c r="QPO202" s="23"/>
      <c r="QPP202" s="1"/>
      <c r="QPQ202" s="1"/>
      <c r="QPR202" s="1"/>
      <c r="QPS202" s="25"/>
      <c r="QPV202" s="23"/>
      <c r="QPW202" s="23"/>
      <c r="QPX202" s="23"/>
      <c r="QPY202" s="23"/>
      <c r="QPZ202" s="23"/>
      <c r="QQA202" s="23"/>
      <c r="QQB202" s="24"/>
      <c r="QQC202" s="23"/>
      <c r="QQD202" s="23"/>
      <c r="QQE202" s="23"/>
      <c r="QQF202" s="1"/>
      <c r="QQG202" s="1"/>
      <c r="QQH202" s="1"/>
      <c r="QQI202" s="25"/>
      <c r="QQL202" s="23"/>
      <c r="QQM202" s="23"/>
      <c r="QQN202" s="23"/>
      <c r="QQO202" s="23"/>
      <c r="QQP202" s="23"/>
      <c r="QQQ202" s="23"/>
      <c r="QQR202" s="24"/>
      <c r="QQS202" s="23"/>
      <c r="QQT202" s="23"/>
      <c r="QQU202" s="23"/>
      <c r="QQV202" s="1"/>
      <c r="QQW202" s="1"/>
      <c r="QQX202" s="1"/>
      <c r="QQY202" s="25"/>
      <c r="QRB202" s="23"/>
      <c r="QRC202" s="23"/>
      <c r="QRD202" s="23"/>
      <c r="QRE202" s="23"/>
      <c r="QRF202" s="23"/>
      <c r="QRG202" s="23"/>
      <c r="QRH202" s="24"/>
      <c r="QRI202" s="23"/>
      <c r="QRJ202" s="23"/>
      <c r="QRK202" s="23"/>
      <c r="QRL202" s="1"/>
      <c r="QRM202" s="1"/>
      <c r="QRN202" s="1"/>
      <c r="QRO202" s="25"/>
      <c r="QRR202" s="23"/>
      <c r="QRS202" s="23"/>
      <c r="QRT202" s="23"/>
      <c r="QRU202" s="23"/>
      <c r="QRV202" s="23"/>
      <c r="QRW202" s="23"/>
      <c r="QRX202" s="24"/>
      <c r="QRY202" s="23"/>
      <c r="QRZ202" s="23"/>
      <c r="QSA202" s="23"/>
      <c r="QSB202" s="1"/>
      <c r="QSC202" s="1"/>
      <c r="QSD202" s="1"/>
      <c r="QSE202" s="25"/>
      <c r="QSH202" s="23"/>
      <c r="QSI202" s="23"/>
      <c r="QSJ202" s="23"/>
      <c r="QSK202" s="23"/>
      <c r="QSL202" s="23"/>
      <c r="QSM202" s="23"/>
      <c r="QSN202" s="24"/>
      <c r="QSO202" s="23"/>
      <c r="QSP202" s="23"/>
      <c r="QSQ202" s="23"/>
      <c r="QSR202" s="1"/>
      <c r="QSS202" s="1"/>
      <c r="QST202" s="1"/>
      <c r="QSU202" s="25"/>
      <c r="QSX202" s="23"/>
      <c r="QSY202" s="23"/>
      <c r="QSZ202" s="23"/>
      <c r="QTA202" s="23"/>
      <c r="QTB202" s="23"/>
      <c r="QTC202" s="23"/>
      <c r="QTD202" s="24"/>
      <c r="QTE202" s="23"/>
      <c r="QTF202" s="23"/>
      <c r="QTG202" s="23"/>
      <c r="QTH202" s="1"/>
      <c r="QTI202" s="1"/>
      <c r="QTJ202" s="1"/>
      <c r="QTK202" s="25"/>
      <c r="QTN202" s="23"/>
      <c r="QTO202" s="23"/>
      <c r="QTP202" s="23"/>
      <c r="QTQ202" s="23"/>
      <c r="QTR202" s="23"/>
      <c r="QTS202" s="23"/>
      <c r="QTT202" s="24"/>
      <c r="QTU202" s="23"/>
      <c r="QTV202" s="23"/>
      <c r="QTW202" s="23"/>
      <c r="QTX202" s="1"/>
      <c r="QTY202" s="1"/>
      <c r="QTZ202" s="1"/>
      <c r="QUA202" s="25"/>
      <c r="QUD202" s="23"/>
      <c r="QUE202" s="23"/>
      <c r="QUF202" s="23"/>
      <c r="QUG202" s="23"/>
      <c r="QUH202" s="23"/>
      <c r="QUI202" s="23"/>
      <c r="QUJ202" s="24"/>
      <c r="QUK202" s="23"/>
      <c r="QUL202" s="23"/>
      <c r="QUM202" s="23"/>
      <c r="QUN202" s="1"/>
      <c r="QUO202" s="1"/>
      <c r="QUP202" s="1"/>
      <c r="QUQ202" s="25"/>
      <c r="QUT202" s="23"/>
      <c r="QUU202" s="23"/>
      <c r="QUV202" s="23"/>
      <c r="QUW202" s="23"/>
      <c r="QUX202" s="23"/>
      <c r="QUY202" s="23"/>
      <c r="QUZ202" s="24"/>
      <c r="QVA202" s="23"/>
      <c r="QVB202" s="23"/>
      <c r="QVC202" s="23"/>
      <c r="QVD202" s="1"/>
      <c r="QVE202" s="1"/>
      <c r="QVF202" s="1"/>
      <c r="QVG202" s="25"/>
      <c r="QVJ202" s="23"/>
      <c r="QVK202" s="23"/>
      <c r="QVL202" s="23"/>
      <c r="QVM202" s="23"/>
      <c r="QVN202" s="23"/>
      <c r="QVO202" s="23"/>
      <c r="QVP202" s="24"/>
      <c r="QVQ202" s="23"/>
      <c r="QVR202" s="23"/>
      <c r="QVS202" s="23"/>
      <c r="QVT202" s="1"/>
      <c r="QVU202" s="1"/>
      <c r="QVV202" s="1"/>
      <c r="QVW202" s="25"/>
      <c r="QVZ202" s="23"/>
      <c r="QWA202" s="23"/>
      <c r="QWB202" s="23"/>
      <c r="QWC202" s="23"/>
      <c r="QWD202" s="23"/>
      <c r="QWE202" s="23"/>
      <c r="QWF202" s="24"/>
      <c r="QWG202" s="23"/>
      <c r="QWH202" s="23"/>
      <c r="QWI202" s="23"/>
      <c r="QWJ202" s="1"/>
      <c r="QWK202" s="1"/>
      <c r="QWL202" s="1"/>
      <c r="QWM202" s="25"/>
      <c r="QWP202" s="23"/>
      <c r="QWQ202" s="23"/>
      <c r="QWR202" s="23"/>
      <c r="QWS202" s="23"/>
      <c r="QWT202" s="23"/>
      <c r="QWU202" s="23"/>
      <c r="QWV202" s="24"/>
      <c r="QWW202" s="23"/>
      <c r="QWX202" s="23"/>
      <c r="QWY202" s="23"/>
      <c r="QWZ202" s="1"/>
      <c r="QXA202" s="1"/>
      <c r="QXB202" s="1"/>
      <c r="QXC202" s="25"/>
      <c r="QXF202" s="23"/>
      <c r="QXG202" s="23"/>
      <c r="QXH202" s="23"/>
      <c r="QXI202" s="23"/>
      <c r="QXJ202" s="23"/>
      <c r="QXK202" s="23"/>
      <c r="QXL202" s="24"/>
      <c r="QXM202" s="23"/>
      <c r="QXN202" s="23"/>
      <c r="QXO202" s="23"/>
      <c r="QXP202" s="1"/>
      <c r="QXQ202" s="1"/>
      <c r="QXR202" s="1"/>
      <c r="QXS202" s="25"/>
      <c r="QXV202" s="23"/>
      <c r="QXW202" s="23"/>
      <c r="QXX202" s="23"/>
      <c r="QXY202" s="23"/>
      <c r="QXZ202" s="23"/>
      <c r="QYA202" s="23"/>
      <c r="QYB202" s="24"/>
      <c r="QYC202" s="23"/>
      <c r="QYD202" s="23"/>
      <c r="QYE202" s="23"/>
      <c r="QYF202" s="1"/>
      <c r="QYG202" s="1"/>
      <c r="QYH202" s="1"/>
      <c r="QYI202" s="25"/>
      <c r="QYL202" s="23"/>
      <c r="QYM202" s="23"/>
      <c r="QYN202" s="23"/>
      <c r="QYO202" s="23"/>
      <c r="QYP202" s="23"/>
      <c r="QYQ202" s="23"/>
      <c r="QYR202" s="24"/>
      <c r="QYS202" s="23"/>
      <c r="QYT202" s="23"/>
      <c r="QYU202" s="23"/>
      <c r="QYV202" s="1"/>
      <c r="QYW202" s="1"/>
      <c r="QYX202" s="1"/>
      <c r="QYY202" s="25"/>
      <c r="QZB202" s="23"/>
      <c r="QZC202" s="23"/>
      <c r="QZD202" s="23"/>
      <c r="QZE202" s="23"/>
      <c r="QZF202" s="23"/>
      <c r="QZG202" s="23"/>
      <c r="QZH202" s="24"/>
      <c r="QZI202" s="23"/>
      <c r="QZJ202" s="23"/>
      <c r="QZK202" s="23"/>
      <c r="QZL202" s="1"/>
      <c r="QZM202" s="1"/>
      <c r="QZN202" s="1"/>
      <c r="QZO202" s="25"/>
      <c r="QZR202" s="23"/>
      <c r="QZS202" s="23"/>
      <c r="QZT202" s="23"/>
      <c r="QZU202" s="23"/>
      <c r="QZV202" s="23"/>
      <c r="QZW202" s="23"/>
      <c r="QZX202" s="24"/>
      <c r="QZY202" s="23"/>
      <c r="QZZ202" s="23"/>
      <c r="RAA202" s="23"/>
      <c r="RAB202" s="1"/>
      <c r="RAC202" s="1"/>
      <c r="RAD202" s="1"/>
      <c r="RAE202" s="25"/>
      <c r="RAH202" s="23"/>
      <c r="RAI202" s="23"/>
      <c r="RAJ202" s="23"/>
      <c r="RAK202" s="23"/>
      <c r="RAL202" s="23"/>
      <c r="RAM202" s="23"/>
      <c r="RAN202" s="24"/>
      <c r="RAO202" s="23"/>
      <c r="RAP202" s="23"/>
      <c r="RAQ202" s="23"/>
      <c r="RAR202" s="1"/>
      <c r="RAS202" s="1"/>
      <c r="RAT202" s="1"/>
      <c r="RAU202" s="25"/>
      <c r="RAX202" s="23"/>
      <c r="RAY202" s="23"/>
      <c r="RAZ202" s="23"/>
      <c r="RBA202" s="23"/>
      <c r="RBB202" s="23"/>
      <c r="RBC202" s="23"/>
      <c r="RBD202" s="24"/>
      <c r="RBE202" s="23"/>
      <c r="RBF202" s="23"/>
      <c r="RBG202" s="23"/>
      <c r="RBH202" s="1"/>
      <c r="RBI202" s="1"/>
      <c r="RBJ202" s="1"/>
      <c r="RBK202" s="25"/>
      <c r="RBN202" s="23"/>
      <c r="RBO202" s="23"/>
      <c r="RBP202" s="23"/>
      <c r="RBQ202" s="23"/>
      <c r="RBR202" s="23"/>
      <c r="RBS202" s="23"/>
      <c r="RBT202" s="24"/>
      <c r="RBU202" s="23"/>
      <c r="RBV202" s="23"/>
      <c r="RBW202" s="23"/>
      <c r="RBX202" s="1"/>
      <c r="RBY202" s="1"/>
      <c r="RBZ202" s="1"/>
      <c r="RCA202" s="25"/>
      <c r="RCD202" s="23"/>
      <c r="RCE202" s="23"/>
      <c r="RCF202" s="23"/>
      <c r="RCG202" s="23"/>
      <c r="RCH202" s="23"/>
      <c r="RCI202" s="23"/>
      <c r="RCJ202" s="24"/>
      <c r="RCK202" s="23"/>
      <c r="RCL202" s="23"/>
      <c r="RCM202" s="23"/>
      <c r="RCN202" s="1"/>
      <c r="RCO202" s="1"/>
      <c r="RCP202" s="1"/>
      <c r="RCQ202" s="25"/>
      <c r="RCT202" s="23"/>
      <c r="RCU202" s="23"/>
      <c r="RCV202" s="23"/>
      <c r="RCW202" s="23"/>
      <c r="RCX202" s="23"/>
      <c r="RCY202" s="23"/>
      <c r="RCZ202" s="24"/>
      <c r="RDA202" s="23"/>
      <c r="RDB202" s="23"/>
      <c r="RDC202" s="23"/>
      <c r="RDD202" s="1"/>
      <c r="RDE202" s="1"/>
      <c r="RDF202" s="1"/>
      <c r="RDG202" s="25"/>
      <c r="RDJ202" s="23"/>
      <c r="RDK202" s="23"/>
      <c r="RDL202" s="23"/>
      <c r="RDM202" s="23"/>
      <c r="RDN202" s="23"/>
      <c r="RDO202" s="23"/>
      <c r="RDP202" s="24"/>
      <c r="RDQ202" s="23"/>
      <c r="RDR202" s="23"/>
      <c r="RDS202" s="23"/>
      <c r="RDT202" s="1"/>
      <c r="RDU202" s="1"/>
      <c r="RDV202" s="1"/>
      <c r="RDW202" s="25"/>
      <c r="RDZ202" s="23"/>
      <c r="REA202" s="23"/>
      <c r="REB202" s="23"/>
      <c r="REC202" s="23"/>
      <c r="RED202" s="23"/>
      <c r="REE202" s="23"/>
      <c r="REF202" s="24"/>
      <c r="REG202" s="23"/>
      <c r="REH202" s="23"/>
      <c r="REI202" s="23"/>
      <c r="REJ202" s="1"/>
      <c r="REK202" s="1"/>
      <c r="REL202" s="1"/>
      <c r="REM202" s="25"/>
      <c r="REP202" s="23"/>
      <c r="REQ202" s="23"/>
      <c r="RER202" s="23"/>
      <c r="RES202" s="23"/>
      <c r="RET202" s="23"/>
      <c r="REU202" s="23"/>
      <c r="REV202" s="24"/>
      <c r="REW202" s="23"/>
      <c r="REX202" s="23"/>
      <c r="REY202" s="23"/>
      <c r="REZ202" s="1"/>
      <c r="RFA202" s="1"/>
      <c r="RFB202" s="1"/>
      <c r="RFC202" s="25"/>
      <c r="RFF202" s="23"/>
      <c r="RFG202" s="23"/>
      <c r="RFH202" s="23"/>
      <c r="RFI202" s="23"/>
      <c r="RFJ202" s="23"/>
      <c r="RFK202" s="23"/>
      <c r="RFL202" s="24"/>
      <c r="RFM202" s="23"/>
      <c r="RFN202" s="23"/>
      <c r="RFO202" s="23"/>
      <c r="RFP202" s="1"/>
      <c r="RFQ202" s="1"/>
      <c r="RFR202" s="1"/>
      <c r="RFS202" s="25"/>
      <c r="RFV202" s="23"/>
      <c r="RFW202" s="23"/>
      <c r="RFX202" s="23"/>
      <c r="RFY202" s="23"/>
      <c r="RFZ202" s="23"/>
      <c r="RGA202" s="23"/>
      <c r="RGB202" s="24"/>
      <c r="RGC202" s="23"/>
      <c r="RGD202" s="23"/>
      <c r="RGE202" s="23"/>
      <c r="RGF202" s="1"/>
      <c r="RGG202" s="1"/>
      <c r="RGH202" s="1"/>
      <c r="RGI202" s="25"/>
      <c r="RGL202" s="23"/>
      <c r="RGM202" s="23"/>
      <c r="RGN202" s="23"/>
      <c r="RGO202" s="23"/>
      <c r="RGP202" s="23"/>
      <c r="RGQ202" s="23"/>
      <c r="RGR202" s="24"/>
      <c r="RGS202" s="23"/>
      <c r="RGT202" s="23"/>
      <c r="RGU202" s="23"/>
      <c r="RGV202" s="1"/>
      <c r="RGW202" s="1"/>
      <c r="RGX202" s="1"/>
      <c r="RGY202" s="25"/>
      <c r="RHB202" s="23"/>
      <c r="RHC202" s="23"/>
      <c r="RHD202" s="23"/>
      <c r="RHE202" s="23"/>
      <c r="RHF202" s="23"/>
      <c r="RHG202" s="23"/>
      <c r="RHH202" s="24"/>
      <c r="RHI202" s="23"/>
      <c r="RHJ202" s="23"/>
      <c r="RHK202" s="23"/>
      <c r="RHL202" s="1"/>
      <c r="RHM202" s="1"/>
      <c r="RHN202" s="1"/>
      <c r="RHO202" s="25"/>
      <c r="RHR202" s="23"/>
      <c r="RHS202" s="23"/>
      <c r="RHT202" s="23"/>
      <c r="RHU202" s="23"/>
      <c r="RHV202" s="23"/>
      <c r="RHW202" s="23"/>
      <c r="RHX202" s="24"/>
      <c r="RHY202" s="23"/>
      <c r="RHZ202" s="23"/>
      <c r="RIA202" s="23"/>
      <c r="RIB202" s="1"/>
      <c r="RIC202" s="1"/>
      <c r="RID202" s="1"/>
      <c r="RIE202" s="25"/>
      <c r="RIH202" s="23"/>
      <c r="RII202" s="23"/>
      <c r="RIJ202" s="23"/>
      <c r="RIK202" s="23"/>
      <c r="RIL202" s="23"/>
      <c r="RIM202" s="23"/>
      <c r="RIN202" s="24"/>
      <c r="RIO202" s="23"/>
      <c r="RIP202" s="23"/>
      <c r="RIQ202" s="23"/>
      <c r="RIR202" s="1"/>
      <c r="RIS202" s="1"/>
      <c r="RIT202" s="1"/>
      <c r="RIU202" s="25"/>
      <c r="RIX202" s="23"/>
      <c r="RIY202" s="23"/>
      <c r="RIZ202" s="23"/>
      <c r="RJA202" s="23"/>
      <c r="RJB202" s="23"/>
      <c r="RJC202" s="23"/>
      <c r="RJD202" s="24"/>
      <c r="RJE202" s="23"/>
      <c r="RJF202" s="23"/>
      <c r="RJG202" s="23"/>
      <c r="RJH202" s="1"/>
      <c r="RJI202" s="1"/>
      <c r="RJJ202" s="1"/>
      <c r="RJK202" s="25"/>
      <c r="RJN202" s="23"/>
      <c r="RJO202" s="23"/>
      <c r="RJP202" s="23"/>
      <c r="RJQ202" s="23"/>
      <c r="RJR202" s="23"/>
      <c r="RJS202" s="23"/>
      <c r="RJT202" s="24"/>
      <c r="RJU202" s="23"/>
      <c r="RJV202" s="23"/>
      <c r="RJW202" s="23"/>
      <c r="RJX202" s="1"/>
      <c r="RJY202" s="1"/>
      <c r="RJZ202" s="1"/>
      <c r="RKA202" s="25"/>
      <c r="RKD202" s="23"/>
      <c r="RKE202" s="23"/>
      <c r="RKF202" s="23"/>
      <c r="RKG202" s="23"/>
      <c r="RKH202" s="23"/>
      <c r="RKI202" s="23"/>
      <c r="RKJ202" s="24"/>
      <c r="RKK202" s="23"/>
      <c r="RKL202" s="23"/>
      <c r="RKM202" s="23"/>
      <c r="RKN202" s="1"/>
      <c r="RKO202" s="1"/>
      <c r="RKP202" s="1"/>
      <c r="RKQ202" s="25"/>
      <c r="RKT202" s="23"/>
      <c r="RKU202" s="23"/>
      <c r="RKV202" s="23"/>
      <c r="RKW202" s="23"/>
      <c r="RKX202" s="23"/>
      <c r="RKY202" s="23"/>
      <c r="RKZ202" s="24"/>
      <c r="RLA202" s="23"/>
      <c r="RLB202" s="23"/>
      <c r="RLC202" s="23"/>
      <c r="RLD202" s="1"/>
      <c r="RLE202" s="1"/>
      <c r="RLF202" s="1"/>
      <c r="RLG202" s="25"/>
      <c r="RLJ202" s="23"/>
      <c r="RLK202" s="23"/>
      <c r="RLL202" s="23"/>
      <c r="RLM202" s="23"/>
      <c r="RLN202" s="23"/>
      <c r="RLO202" s="23"/>
      <c r="RLP202" s="24"/>
      <c r="RLQ202" s="23"/>
      <c r="RLR202" s="23"/>
      <c r="RLS202" s="23"/>
      <c r="RLT202" s="1"/>
      <c r="RLU202" s="1"/>
      <c r="RLV202" s="1"/>
      <c r="RLW202" s="25"/>
      <c r="RLZ202" s="23"/>
      <c r="RMA202" s="23"/>
      <c r="RMB202" s="23"/>
      <c r="RMC202" s="23"/>
      <c r="RMD202" s="23"/>
      <c r="RME202" s="23"/>
      <c r="RMF202" s="24"/>
      <c r="RMG202" s="23"/>
      <c r="RMH202" s="23"/>
      <c r="RMI202" s="23"/>
      <c r="RMJ202" s="1"/>
      <c r="RMK202" s="1"/>
      <c r="RML202" s="1"/>
      <c r="RMM202" s="25"/>
      <c r="RMP202" s="23"/>
      <c r="RMQ202" s="23"/>
      <c r="RMR202" s="23"/>
      <c r="RMS202" s="23"/>
      <c r="RMT202" s="23"/>
      <c r="RMU202" s="23"/>
      <c r="RMV202" s="24"/>
      <c r="RMW202" s="23"/>
      <c r="RMX202" s="23"/>
      <c r="RMY202" s="23"/>
      <c r="RMZ202" s="1"/>
      <c r="RNA202" s="1"/>
      <c r="RNB202" s="1"/>
      <c r="RNC202" s="25"/>
      <c r="RNF202" s="23"/>
      <c r="RNG202" s="23"/>
      <c r="RNH202" s="23"/>
      <c r="RNI202" s="23"/>
      <c r="RNJ202" s="23"/>
      <c r="RNK202" s="23"/>
      <c r="RNL202" s="24"/>
      <c r="RNM202" s="23"/>
      <c r="RNN202" s="23"/>
      <c r="RNO202" s="23"/>
      <c r="RNP202" s="1"/>
      <c r="RNQ202" s="1"/>
      <c r="RNR202" s="1"/>
      <c r="RNS202" s="25"/>
      <c r="RNV202" s="23"/>
      <c r="RNW202" s="23"/>
      <c r="RNX202" s="23"/>
      <c r="RNY202" s="23"/>
      <c r="RNZ202" s="23"/>
      <c r="ROA202" s="23"/>
      <c r="ROB202" s="24"/>
      <c r="ROC202" s="23"/>
      <c r="ROD202" s="23"/>
      <c r="ROE202" s="23"/>
      <c r="ROF202" s="1"/>
      <c r="ROG202" s="1"/>
      <c r="ROH202" s="1"/>
      <c r="ROI202" s="25"/>
      <c r="ROL202" s="23"/>
      <c r="ROM202" s="23"/>
      <c r="RON202" s="23"/>
      <c r="ROO202" s="23"/>
      <c r="ROP202" s="23"/>
      <c r="ROQ202" s="23"/>
      <c r="ROR202" s="24"/>
      <c r="ROS202" s="23"/>
      <c r="ROT202" s="23"/>
      <c r="ROU202" s="23"/>
      <c r="ROV202" s="1"/>
      <c r="ROW202" s="1"/>
      <c r="ROX202" s="1"/>
      <c r="ROY202" s="25"/>
      <c r="RPB202" s="23"/>
      <c r="RPC202" s="23"/>
      <c r="RPD202" s="23"/>
      <c r="RPE202" s="23"/>
      <c r="RPF202" s="23"/>
      <c r="RPG202" s="23"/>
      <c r="RPH202" s="24"/>
      <c r="RPI202" s="23"/>
      <c r="RPJ202" s="23"/>
      <c r="RPK202" s="23"/>
      <c r="RPL202" s="1"/>
      <c r="RPM202" s="1"/>
      <c r="RPN202" s="1"/>
      <c r="RPO202" s="25"/>
      <c r="RPR202" s="23"/>
      <c r="RPS202" s="23"/>
      <c r="RPT202" s="23"/>
      <c r="RPU202" s="23"/>
      <c r="RPV202" s="23"/>
      <c r="RPW202" s="23"/>
      <c r="RPX202" s="24"/>
      <c r="RPY202" s="23"/>
      <c r="RPZ202" s="23"/>
      <c r="RQA202" s="23"/>
      <c r="RQB202" s="1"/>
      <c r="RQC202" s="1"/>
      <c r="RQD202" s="1"/>
      <c r="RQE202" s="25"/>
      <c r="RQH202" s="23"/>
      <c r="RQI202" s="23"/>
      <c r="RQJ202" s="23"/>
      <c r="RQK202" s="23"/>
      <c r="RQL202" s="23"/>
      <c r="RQM202" s="23"/>
      <c r="RQN202" s="24"/>
      <c r="RQO202" s="23"/>
      <c r="RQP202" s="23"/>
      <c r="RQQ202" s="23"/>
      <c r="RQR202" s="1"/>
      <c r="RQS202" s="1"/>
      <c r="RQT202" s="1"/>
      <c r="RQU202" s="25"/>
      <c r="RQX202" s="23"/>
      <c r="RQY202" s="23"/>
      <c r="RQZ202" s="23"/>
      <c r="RRA202" s="23"/>
      <c r="RRB202" s="23"/>
      <c r="RRC202" s="23"/>
      <c r="RRD202" s="24"/>
      <c r="RRE202" s="23"/>
      <c r="RRF202" s="23"/>
      <c r="RRG202" s="23"/>
      <c r="RRH202" s="1"/>
      <c r="RRI202" s="1"/>
      <c r="RRJ202" s="1"/>
      <c r="RRK202" s="25"/>
      <c r="RRN202" s="23"/>
      <c r="RRO202" s="23"/>
      <c r="RRP202" s="23"/>
      <c r="RRQ202" s="23"/>
      <c r="RRR202" s="23"/>
      <c r="RRS202" s="23"/>
      <c r="RRT202" s="24"/>
      <c r="RRU202" s="23"/>
      <c r="RRV202" s="23"/>
      <c r="RRW202" s="23"/>
      <c r="RRX202" s="1"/>
      <c r="RRY202" s="1"/>
      <c r="RRZ202" s="1"/>
      <c r="RSA202" s="25"/>
      <c r="RSD202" s="23"/>
      <c r="RSE202" s="23"/>
      <c r="RSF202" s="23"/>
      <c r="RSG202" s="23"/>
      <c r="RSH202" s="23"/>
      <c r="RSI202" s="23"/>
      <c r="RSJ202" s="24"/>
      <c r="RSK202" s="23"/>
      <c r="RSL202" s="23"/>
      <c r="RSM202" s="23"/>
      <c r="RSN202" s="1"/>
      <c r="RSO202" s="1"/>
      <c r="RSP202" s="1"/>
      <c r="RSQ202" s="25"/>
      <c r="RST202" s="23"/>
      <c r="RSU202" s="23"/>
      <c r="RSV202" s="23"/>
      <c r="RSW202" s="23"/>
      <c r="RSX202" s="23"/>
      <c r="RSY202" s="23"/>
      <c r="RSZ202" s="24"/>
      <c r="RTA202" s="23"/>
      <c r="RTB202" s="23"/>
      <c r="RTC202" s="23"/>
      <c r="RTD202" s="1"/>
      <c r="RTE202" s="1"/>
      <c r="RTF202" s="1"/>
      <c r="RTG202" s="25"/>
      <c r="RTJ202" s="23"/>
      <c r="RTK202" s="23"/>
      <c r="RTL202" s="23"/>
      <c r="RTM202" s="23"/>
      <c r="RTN202" s="23"/>
      <c r="RTO202" s="23"/>
      <c r="RTP202" s="24"/>
      <c r="RTQ202" s="23"/>
      <c r="RTR202" s="23"/>
      <c r="RTS202" s="23"/>
      <c r="RTT202" s="1"/>
      <c r="RTU202" s="1"/>
      <c r="RTV202" s="1"/>
      <c r="RTW202" s="25"/>
      <c r="RTZ202" s="23"/>
      <c r="RUA202" s="23"/>
      <c r="RUB202" s="23"/>
      <c r="RUC202" s="23"/>
      <c r="RUD202" s="23"/>
      <c r="RUE202" s="23"/>
      <c r="RUF202" s="24"/>
      <c r="RUG202" s="23"/>
      <c r="RUH202" s="23"/>
      <c r="RUI202" s="23"/>
      <c r="RUJ202" s="1"/>
      <c r="RUK202" s="1"/>
      <c r="RUL202" s="1"/>
      <c r="RUM202" s="25"/>
      <c r="RUP202" s="23"/>
      <c r="RUQ202" s="23"/>
      <c r="RUR202" s="23"/>
      <c r="RUS202" s="23"/>
      <c r="RUT202" s="23"/>
      <c r="RUU202" s="23"/>
      <c r="RUV202" s="24"/>
      <c r="RUW202" s="23"/>
      <c r="RUX202" s="23"/>
      <c r="RUY202" s="23"/>
      <c r="RUZ202" s="1"/>
      <c r="RVA202" s="1"/>
      <c r="RVB202" s="1"/>
      <c r="RVC202" s="25"/>
      <c r="RVF202" s="23"/>
      <c r="RVG202" s="23"/>
      <c r="RVH202" s="23"/>
      <c r="RVI202" s="23"/>
      <c r="RVJ202" s="23"/>
      <c r="RVK202" s="23"/>
      <c r="RVL202" s="24"/>
      <c r="RVM202" s="23"/>
      <c r="RVN202" s="23"/>
      <c r="RVO202" s="23"/>
      <c r="RVP202" s="1"/>
      <c r="RVQ202" s="1"/>
      <c r="RVR202" s="1"/>
      <c r="RVS202" s="25"/>
      <c r="RVV202" s="23"/>
      <c r="RVW202" s="23"/>
      <c r="RVX202" s="23"/>
      <c r="RVY202" s="23"/>
      <c r="RVZ202" s="23"/>
      <c r="RWA202" s="23"/>
      <c r="RWB202" s="24"/>
      <c r="RWC202" s="23"/>
      <c r="RWD202" s="23"/>
      <c r="RWE202" s="23"/>
      <c r="RWF202" s="1"/>
      <c r="RWG202" s="1"/>
      <c r="RWH202" s="1"/>
      <c r="RWI202" s="25"/>
      <c r="RWL202" s="23"/>
      <c r="RWM202" s="23"/>
      <c r="RWN202" s="23"/>
      <c r="RWO202" s="23"/>
      <c r="RWP202" s="23"/>
      <c r="RWQ202" s="23"/>
      <c r="RWR202" s="24"/>
      <c r="RWS202" s="23"/>
      <c r="RWT202" s="23"/>
      <c r="RWU202" s="23"/>
      <c r="RWV202" s="1"/>
      <c r="RWW202" s="1"/>
      <c r="RWX202" s="1"/>
      <c r="RWY202" s="25"/>
      <c r="RXB202" s="23"/>
      <c r="RXC202" s="23"/>
      <c r="RXD202" s="23"/>
      <c r="RXE202" s="23"/>
      <c r="RXF202" s="23"/>
      <c r="RXG202" s="23"/>
      <c r="RXH202" s="24"/>
      <c r="RXI202" s="23"/>
      <c r="RXJ202" s="23"/>
      <c r="RXK202" s="23"/>
      <c r="RXL202" s="1"/>
      <c r="RXM202" s="1"/>
      <c r="RXN202" s="1"/>
      <c r="RXO202" s="25"/>
      <c r="RXR202" s="23"/>
      <c r="RXS202" s="23"/>
      <c r="RXT202" s="23"/>
      <c r="RXU202" s="23"/>
      <c r="RXV202" s="23"/>
      <c r="RXW202" s="23"/>
      <c r="RXX202" s="24"/>
      <c r="RXY202" s="23"/>
      <c r="RXZ202" s="23"/>
      <c r="RYA202" s="23"/>
      <c r="RYB202" s="1"/>
      <c r="RYC202" s="1"/>
      <c r="RYD202" s="1"/>
      <c r="RYE202" s="25"/>
      <c r="RYH202" s="23"/>
      <c r="RYI202" s="23"/>
      <c r="RYJ202" s="23"/>
      <c r="RYK202" s="23"/>
      <c r="RYL202" s="23"/>
      <c r="RYM202" s="23"/>
      <c r="RYN202" s="24"/>
      <c r="RYO202" s="23"/>
      <c r="RYP202" s="23"/>
      <c r="RYQ202" s="23"/>
      <c r="RYR202" s="1"/>
      <c r="RYS202" s="1"/>
      <c r="RYT202" s="1"/>
      <c r="RYU202" s="25"/>
      <c r="RYX202" s="23"/>
      <c r="RYY202" s="23"/>
      <c r="RYZ202" s="23"/>
      <c r="RZA202" s="23"/>
      <c r="RZB202" s="23"/>
      <c r="RZC202" s="23"/>
      <c r="RZD202" s="24"/>
      <c r="RZE202" s="23"/>
      <c r="RZF202" s="23"/>
      <c r="RZG202" s="23"/>
      <c r="RZH202" s="1"/>
      <c r="RZI202" s="1"/>
      <c r="RZJ202" s="1"/>
      <c r="RZK202" s="25"/>
      <c r="RZN202" s="23"/>
      <c r="RZO202" s="23"/>
      <c r="RZP202" s="23"/>
      <c r="RZQ202" s="23"/>
      <c r="RZR202" s="23"/>
      <c r="RZS202" s="23"/>
      <c r="RZT202" s="24"/>
      <c r="RZU202" s="23"/>
      <c r="RZV202" s="23"/>
      <c r="RZW202" s="23"/>
      <c r="RZX202" s="1"/>
      <c r="RZY202" s="1"/>
      <c r="RZZ202" s="1"/>
      <c r="SAA202" s="25"/>
      <c r="SAD202" s="23"/>
      <c r="SAE202" s="23"/>
      <c r="SAF202" s="23"/>
      <c r="SAG202" s="23"/>
      <c r="SAH202" s="23"/>
      <c r="SAI202" s="23"/>
      <c r="SAJ202" s="24"/>
      <c r="SAK202" s="23"/>
      <c r="SAL202" s="23"/>
      <c r="SAM202" s="23"/>
      <c r="SAN202" s="1"/>
      <c r="SAO202" s="1"/>
      <c r="SAP202" s="1"/>
      <c r="SAQ202" s="25"/>
      <c r="SAT202" s="23"/>
      <c r="SAU202" s="23"/>
      <c r="SAV202" s="23"/>
      <c r="SAW202" s="23"/>
      <c r="SAX202" s="23"/>
      <c r="SAY202" s="23"/>
      <c r="SAZ202" s="24"/>
      <c r="SBA202" s="23"/>
      <c r="SBB202" s="23"/>
      <c r="SBC202" s="23"/>
      <c r="SBD202" s="1"/>
      <c r="SBE202" s="1"/>
      <c r="SBF202" s="1"/>
      <c r="SBG202" s="25"/>
      <c r="SBJ202" s="23"/>
      <c r="SBK202" s="23"/>
      <c r="SBL202" s="23"/>
      <c r="SBM202" s="23"/>
      <c r="SBN202" s="23"/>
      <c r="SBO202" s="23"/>
      <c r="SBP202" s="24"/>
      <c r="SBQ202" s="23"/>
      <c r="SBR202" s="23"/>
      <c r="SBS202" s="23"/>
      <c r="SBT202" s="1"/>
      <c r="SBU202" s="1"/>
      <c r="SBV202" s="1"/>
      <c r="SBW202" s="25"/>
      <c r="SBZ202" s="23"/>
      <c r="SCA202" s="23"/>
      <c r="SCB202" s="23"/>
      <c r="SCC202" s="23"/>
      <c r="SCD202" s="23"/>
      <c r="SCE202" s="23"/>
      <c r="SCF202" s="24"/>
      <c r="SCG202" s="23"/>
      <c r="SCH202" s="23"/>
      <c r="SCI202" s="23"/>
      <c r="SCJ202" s="1"/>
      <c r="SCK202" s="1"/>
      <c r="SCL202" s="1"/>
      <c r="SCM202" s="25"/>
      <c r="SCP202" s="23"/>
      <c r="SCQ202" s="23"/>
      <c r="SCR202" s="23"/>
      <c r="SCS202" s="23"/>
      <c r="SCT202" s="23"/>
      <c r="SCU202" s="23"/>
      <c r="SCV202" s="24"/>
      <c r="SCW202" s="23"/>
      <c r="SCX202" s="23"/>
      <c r="SCY202" s="23"/>
      <c r="SCZ202" s="1"/>
      <c r="SDA202" s="1"/>
      <c r="SDB202" s="1"/>
      <c r="SDC202" s="25"/>
      <c r="SDF202" s="23"/>
      <c r="SDG202" s="23"/>
      <c r="SDH202" s="23"/>
      <c r="SDI202" s="23"/>
      <c r="SDJ202" s="23"/>
      <c r="SDK202" s="23"/>
      <c r="SDL202" s="24"/>
      <c r="SDM202" s="23"/>
      <c r="SDN202" s="23"/>
      <c r="SDO202" s="23"/>
      <c r="SDP202" s="1"/>
      <c r="SDQ202" s="1"/>
      <c r="SDR202" s="1"/>
      <c r="SDS202" s="25"/>
      <c r="SDV202" s="23"/>
      <c r="SDW202" s="23"/>
      <c r="SDX202" s="23"/>
      <c r="SDY202" s="23"/>
      <c r="SDZ202" s="23"/>
      <c r="SEA202" s="23"/>
      <c r="SEB202" s="24"/>
      <c r="SEC202" s="23"/>
      <c r="SED202" s="23"/>
      <c r="SEE202" s="23"/>
      <c r="SEF202" s="1"/>
      <c r="SEG202" s="1"/>
      <c r="SEH202" s="1"/>
      <c r="SEI202" s="25"/>
      <c r="SEL202" s="23"/>
      <c r="SEM202" s="23"/>
      <c r="SEN202" s="23"/>
      <c r="SEO202" s="23"/>
      <c r="SEP202" s="23"/>
      <c r="SEQ202" s="23"/>
      <c r="SER202" s="24"/>
      <c r="SES202" s="23"/>
      <c r="SET202" s="23"/>
      <c r="SEU202" s="23"/>
      <c r="SEV202" s="1"/>
      <c r="SEW202" s="1"/>
      <c r="SEX202" s="1"/>
      <c r="SEY202" s="25"/>
      <c r="SFB202" s="23"/>
      <c r="SFC202" s="23"/>
      <c r="SFD202" s="23"/>
      <c r="SFE202" s="23"/>
      <c r="SFF202" s="23"/>
      <c r="SFG202" s="23"/>
      <c r="SFH202" s="24"/>
      <c r="SFI202" s="23"/>
      <c r="SFJ202" s="23"/>
      <c r="SFK202" s="23"/>
      <c r="SFL202" s="1"/>
      <c r="SFM202" s="1"/>
      <c r="SFN202" s="1"/>
      <c r="SFO202" s="25"/>
      <c r="SFR202" s="23"/>
      <c r="SFS202" s="23"/>
      <c r="SFT202" s="23"/>
      <c r="SFU202" s="23"/>
      <c r="SFV202" s="23"/>
      <c r="SFW202" s="23"/>
      <c r="SFX202" s="24"/>
      <c r="SFY202" s="23"/>
      <c r="SFZ202" s="23"/>
      <c r="SGA202" s="23"/>
      <c r="SGB202" s="1"/>
      <c r="SGC202" s="1"/>
      <c r="SGD202" s="1"/>
      <c r="SGE202" s="25"/>
      <c r="SGH202" s="23"/>
      <c r="SGI202" s="23"/>
      <c r="SGJ202" s="23"/>
      <c r="SGK202" s="23"/>
      <c r="SGL202" s="23"/>
      <c r="SGM202" s="23"/>
      <c r="SGN202" s="24"/>
      <c r="SGO202" s="23"/>
      <c r="SGP202" s="23"/>
      <c r="SGQ202" s="23"/>
      <c r="SGR202" s="1"/>
      <c r="SGS202" s="1"/>
      <c r="SGT202" s="1"/>
      <c r="SGU202" s="25"/>
      <c r="SGX202" s="23"/>
      <c r="SGY202" s="23"/>
      <c r="SGZ202" s="23"/>
      <c r="SHA202" s="23"/>
      <c r="SHB202" s="23"/>
      <c r="SHC202" s="23"/>
      <c r="SHD202" s="24"/>
      <c r="SHE202" s="23"/>
      <c r="SHF202" s="23"/>
      <c r="SHG202" s="23"/>
      <c r="SHH202" s="1"/>
      <c r="SHI202" s="1"/>
      <c r="SHJ202" s="1"/>
      <c r="SHK202" s="25"/>
      <c r="SHN202" s="23"/>
      <c r="SHO202" s="23"/>
      <c r="SHP202" s="23"/>
      <c r="SHQ202" s="23"/>
      <c r="SHR202" s="23"/>
      <c r="SHS202" s="23"/>
      <c r="SHT202" s="24"/>
      <c r="SHU202" s="23"/>
      <c r="SHV202" s="23"/>
      <c r="SHW202" s="23"/>
      <c r="SHX202" s="1"/>
      <c r="SHY202" s="1"/>
      <c r="SHZ202" s="1"/>
      <c r="SIA202" s="25"/>
      <c r="SID202" s="23"/>
      <c r="SIE202" s="23"/>
      <c r="SIF202" s="23"/>
      <c r="SIG202" s="23"/>
      <c r="SIH202" s="23"/>
      <c r="SII202" s="23"/>
      <c r="SIJ202" s="24"/>
      <c r="SIK202" s="23"/>
      <c r="SIL202" s="23"/>
      <c r="SIM202" s="23"/>
      <c r="SIN202" s="1"/>
      <c r="SIO202" s="1"/>
      <c r="SIP202" s="1"/>
      <c r="SIQ202" s="25"/>
      <c r="SIT202" s="23"/>
      <c r="SIU202" s="23"/>
      <c r="SIV202" s="23"/>
      <c r="SIW202" s="23"/>
      <c r="SIX202" s="23"/>
      <c r="SIY202" s="23"/>
      <c r="SIZ202" s="24"/>
      <c r="SJA202" s="23"/>
      <c r="SJB202" s="23"/>
      <c r="SJC202" s="23"/>
      <c r="SJD202" s="1"/>
      <c r="SJE202" s="1"/>
      <c r="SJF202" s="1"/>
      <c r="SJG202" s="25"/>
      <c r="SJJ202" s="23"/>
      <c r="SJK202" s="23"/>
      <c r="SJL202" s="23"/>
      <c r="SJM202" s="23"/>
      <c r="SJN202" s="23"/>
      <c r="SJO202" s="23"/>
      <c r="SJP202" s="24"/>
      <c r="SJQ202" s="23"/>
      <c r="SJR202" s="23"/>
      <c r="SJS202" s="23"/>
      <c r="SJT202" s="1"/>
      <c r="SJU202" s="1"/>
      <c r="SJV202" s="1"/>
      <c r="SJW202" s="25"/>
      <c r="SJZ202" s="23"/>
      <c r="SKA202" s="23"/>
      <c r="SKB202" s="23"/>
      <c r="SKC202" s="23"/>
      <c r="SKD202" s="23"/>
      <c r="SKE202" s="23"/>
      <c r="SKF202" s="24"/>
      <c r="SKG202" s="23"/>
      <c r="SKH202" s="23"/>
      <c r="SKI202" s="23"/>
      <c r="SKJ202" s="1"/>
      <c r="SKK202" s="1"/>
      <c r="SKL202" s="1"/>
      <c r="SKM202" s="25"/>
      <c r="SKP202" s="23"/>
      <c r="SKQ202" s="23"/>
      <c r="SKR202" s="23"/>
      <c r="SKS202" s="23"/>
      <c r="SKT202" s="23"/>
      <c r="SKU202" s="23"/>
      <c r="SKV202" s="24"/>
      <c r="SKW202" s="23"/>
      <c r="SKX202" s="23"/>
      <c r="SKY202" s="23"/>
      <c r="SKZ202" s="1"/>
      <c r="SLA202" s="1"/>
      <c r="SLB202" s="1"/>
      <c r="SLC202" s="25"/>
      <c r="SLF202" s="23"/>
      <c r="SLG202" s="23"/>
      <c r="SLH202" s="23"/>
      <c r="SLI202" s="23"/>
      <c r="SLJ202" s="23"/>
      <c r="SLK202" s="23"/>
      <c r="SLL202" s="24"/>
      <c r="SLM202" s="23"/>
      <c r="SLN202" s="23"/>
      <c r="SLO202" s="23"/>
      <c r="SLP202" s="1"/>
      <c r="SLQ202" s="1"/>
      <c r="SLR202" s="1"/>
      <c r="SLS202" s="25"/>
      <c r="SLV202" s="23"/>
      <c r="SLW202" s="23"/>
      <c r="SLX202" s="23"/>
      <c r="SLY202" s="23"/>
      <c r="SLZ202" s="23"/>
      <c r="SMA202" s="23"/>
      <c r="SMB202" s="24"/>
      <c r="SMC202" s="23"/>
      <c r="SMD202" s="23"/>
      <c r="SME202" s="23"/>
      <c r="SMF202" s="1"/>
      <c r="SMG202" s="1"/>
      <c r="SMH202" s="1"/>
      <c r="SMI202" s="25"/>
      <c r="SML202" s="23"/>
      <c r="SMM202" s="23"/>
      <c r="SMN202" s="23"/>
      <c r="SMO202" s="23"/>
      <c r="SMP202" s="23"/>
      <c r="SMQ202" s="23"/>
      <c r="SMR202" s="24"/>
      <c r="SMS202" s="23"/>
      <c r="SMT202" s="23"/>
      <c r="SMU202" s="23"/>
      <c r="SMV202" s="1"/>
      <c r="SMW202" s="1"/>
      <c r="SMX202" s="1"/>
      <c r="SMY202" s="25"/>
      <c r="SNB202" s="23"/>
      <c r="SNC202" s="23"/>
      <c r="SND202" s="23"/>
      <c r="SNE202" s="23"/>
      <c r="SNF202" s="23"/>
      <c r="SNG202" s="23"/>
      <c r="SNH202" s="24"/>
      <c r="SNI202" s="23"/>
      <c r="SNJ202" s="23"/>
      <c r="SNK202" s="23"/>
      <c r="SNL202" s="1"/>
      <c r="SNM202" s="1"/>
      <c r="SNN202" s="1"/>
      <c r="SNO202" s="25"/>
      <c r="SNR202" s="23"/>
      <c r="SNS202" s="23"/>
      <c r="SNT202" s="23"/>
      <c r="SNU202" s="23"/>
      <c r="SNV202" s="23"/>
      <c r="SNW202" s="23"/>
      <c r="SNX202" s="24"/>
      <c r="SNY202" s="23"/>
      <c r="SNZ202" s="23"/>
      <c r="SOA202" s="23"/>
      <c r="SOB202" s="1"/>
      <c r="SOC202" s="1"/>
      <c r="SOD202" s="1"/>
      <c r="SOE202" s="25"/>
      <c r="SOH202" s="23"/>
      <c r="SOI202" s="23"/>
      <c r="SOJ202" s="23"/>
      <c r="SOK202" s="23"/>
      <c r="SOL202" s="23"/>
      <c r="SOM202" s="23"/>
      <c r="SON202" s="24"/>
      <c r="SOO202" s="23"/>
      <c r="SOP202" s="23"/>
      <c r="SOQ202" s="23"/>
      <c r="SOR202" s="1"/>
      <c r="SOS202" s="1"/>
      <c r="SOT202" s="1"/>
      <c r="SOU202" s="25"/>
      <c r="SOX202" s="23"/>
      <c r="SOY202" s="23"/>
      <c r="SOZ202" s="23"/>
      <c r="SPA202" s="23"/>
      <c r="SPB202" s="23"/>
      <c r="SPC202" s="23"/>
      <c r="SPD202" s="24"/>
      <c r="SPE202" s="23"/>
      <c r="SPF202" s="23"/>
      <c r="SPG202" s="23"/>
      <c r="SPH202" s="1"/>
      <c r="SPI202" s="1"/>
      <c r="SPJ202" s="1"/>
      <c r="SPK202" s="25"/>
      <c r="SPN202" s="23"/>
      <c r="SPO202" s="23"/>
      <c r="SPP202" s="23"/>
      <c r="SPQ202" s="23"/>
      <c r="SPR202" s="23"/>
      <c r="SPS202" s="23"/>
      <c r="SPT202" s="24"/>
      <c r="SPU202" s="23"/>
      <c r="SPV202" s="23"/>
      <c r="SPW202" s="23"/>
      <c r="SPX202" s="1"/>
      <c r="SPY202" s="1"/>
      <c r="SPZ202" s="1"/>
      <c r="SQA202" s="25"/>
      <c r="SQD202" s="23"/>
      <c r="SQE202" s="23"/>
      <c r="SQF202" s="23"/>
      <c r="SQG202" s="23"/>
      <c r="SQH202" s="23"/>
      <c r="SQI202" s="23"/>
      <c r="SQJ202" s="24"/>
      <c r="SQK202" s="23"/>
      <c r="SQL202" s="23"/>
      <c r="SQM202" s="23"/>
      <c r="SQN202" s="1"/>
      <c r="SQO202" s="1"/>
      <c r="SQP202" s="1"/>
      <c r="SQQ202" s="25"/>
      <c r="SQT202" s="23"/>
      <c r="SQU202" s="23"/>
      <c r="SQV202" s="23"/>
      <c r="SQW202" s="23"/>
      <c r="SQX202" s="23"/>
      <c r="SQY202" s="23"/>
      <c r="SQZ202" s="24"/>
      <c r="SRA202" s="23"/>
      <c r="SRB202" s="23"/>
      <c r="SRC202" s="23"/>
      <c r="SRD202" s="1"/>
      <c r="SRE202" s="1"/>
      <c r="SRF202" s="1"/>
      <c r="SRG202" s="25"/>
      <c r="SRJ202" s="23"/>
      <c r="SRK202" s="23"/>
      <c r="SRL202" s="23"/>
      <c r="SRM202" s="23"/>
      <c r="SRN202" s="23"/>
      <c r="SRO202" s="23"/>
      <c r="SRP202" s="24"/>
      <c r="SRQ202" s="23"/>
      <c r="SRR202" s="23"/>
      <c r="SRS202" s="23"/>
      <c r="SRT202" s="1"/>
      <c r="SRU202" s="1"/>
      <c r="SRV202" s="1"/>
      <c r="SRW202" s="25"/>
      <c r="SRZ202" s="23"/>
      <c r="SSA202" s="23"/>
      <c r="SSB202" s="23"/>
      <c r="SSC202" s="23"/>
      <c r="SSD202" s="23"/>
      <c r="SSE202" s="23"/>
      <c r="SSF202" s="24"/>
      <c r="SSG202" s="23"/>
      <c r="SSH202" s="23"/>
      <c r="SSI202" s="23"/>
      <c r="SSJ202" s="1"/>
      <c r="SSK202" s="1"/>
      <c r="SSL202" s="1"/>
      <c r="SSM202" s="25"/>
      <c r="SSP202" s="23"/>
      <c r="SSQ202" s="23"/>
      <c r="SSR202" s="23"/>
      <c r="SSS202" s="23"/>
      <c r="SST202" s="23"/>
      <c r="SSU202" s="23"/>
      <c r="SSV202" s="24"/>
      <c r="SSW202" s="23"/>
      <c r="SSX202" s="23"/>
      <c r="SSY202" s="23"/>
      <c r="SSZ202" s="1"/>
      <c r="STA202" s="1"/>
      <c r="STB202" s="1"/>
      <c r="STC202" s="25"/>
      <c r="STF202" s="23"/>
      <c r="STG202" s="23"/>
      <c r="STH202" s="23"/>
      <c r="STI202" s="23"/>
      <c r="STJ202" s="23"/>
      <c r="STK202" s="23"/>
      <c r="STL202" s="24"/>
      <c r="STM202" s="23"/>
      <c r="STN202" s="23"/>
      <c r="STO202" s="23"/>
      <c r="STP202" s="1"/>
      <c r="STQ202" s="1"/>
      <c r="STR202" s="1"/>
      <c r="STS202" s="25"/>
      <c r="STV202" s="23"/>
      <c r="STW202" s="23"/>
      <c r="STX202" s="23"/>
      <c r="STY202" s="23"/>
      <c r="STZ202" s="23"/>
      <c r="SUA202" s="23"/>
      <c r="SUB202" s="24"/>
      <c r="SUC202" s="23"/>
      <c r="SUD202" s="23"/>
      <c r="SUE202" s="23"/>
      <c r="SUF202" s="1"/>
      <c r="SUG202" s="1"/>
      <c r="SUH202" s="1"/>
      <c r="SUI202" s="25"/>
      <c r="SUL202" s="23"/>
      <c r="SUM202" s="23"/>
      <c r="SUN202" s="23"/>
      <c r="SUO202" s="23"/>
      <c r="SUP202" s="23"/>
      <c r="SUQ202" s="23"/>
      <c r="SUR202" s="24"/>
      <c r="SUS202" s="23"/>
      <c r="SUT202" s="23"/>
      <c r="SUU202" s="23"/>
      <c r="SUV202" s="1"/>
      <c r="SUW202" s="1"/>
      <c r="SUX202" s="1"/>
      <c r="SUY202" s="25"/>
      <c r="SVB202" s="23"/>
      <c r="SVC202" s="23"/>
      <c r="SVD202" s="23"/>
      <c r="SVE202" s="23"/>
      <c r="SVF202" s="23"/>
      <c r="SVG202" s="23"/>
      <c r="SVH202" s="24"/>
      <c r="SVI202" s="23"/>
      <c r="SVJ202" s="23"/>
      <c r="SVK202" s="23"/>
      <c r="SVL202" s="1"/>
      <c r="SVM202" s="1"/>
      <c r="SVN202" s="1"/>
      <c r="SVO202" s="25"/>
      <c r="SVR202" s="23"/>
      <c r="SVS202" s="23"/>
      <c r="SVT202" s="23"/>
      <c r="SVU202" s="23"/>
      <c r="SVV202" s="23"/>
      <c r="SVW202" s="23"/>
      <c r="SVX202" s="24"/>
      <c r="SVY202" s="23"/>
      <c r="SVZ202" s="23"/>
      <c r="SWA202" s="23"/>
      <c r="SWB202" s="1"/>
      <c r="SWC202" s="1"/>
      <c r="SWD202" s="1"/>
      <c r="SWE202" s="25"/>
      <c r="SWH202" s="23"/>
      <c r="SWI202" s="23"/>
      <c r="SWJ202" s="23"/>
      <c r="SWK202" s="23"/>
      <c r="SWL202" s="23"/>
      <c r="SWM202" s="23"/>
      <c r="SWN202" s="24"/>
      <c r="SWO202" s="23"/>
      <c r="SWP202" s="23"/>
      <c r="SWQ202" s="23"/>
      <c r="SWR202" s="1"/>
      <c r="SWS202" s="1"/>
      <c r="SWT202" s="1"/>
      <c r="SWU202" s="25"/>
      <c r="SWX202" s="23"/>
      <c r="SWY202" s="23"/>
      <c r="SWZ202" s="23"/>
      <c r="SXA202" s="23"/>
      <c r="SXB202" s="23"/>
      <c r="SXC202" s="23"/>
      <c r="SXD202" s="24"/>
      <c r="SXE202" s="23"/>
      <c r="SXF202" s="23"/>
      <c r="SXG202" s="23"/>
      <c r="SXH202" s="1"/>
      <c r="SXI202" s="1"/>
      <c r="SXJ202" s="1"/>
      <c r="SXK202" s="25"/>
      <c r="SXN202" s="23"/>
      <c r="SXO202" s="23"/>
      <c r="SXP202" s="23"/>
      <c r="SXQ202" s="23"/>
      <c r="SXR202" s="23"/>
      <c r="SXS202" s="23"/>
      <c r="SXT202" s="24"/>
      <c r="SXU202" s="23"/>
      <c r="SXV202" s="23"/>
      <c r="SXW202" s="23"/>
      <c r="SXX202" s="1"/>
      <c r="SXY202" s="1"/>
      <c r="SXZ202" s="1"/>
      <c r="SYA202" s="25"/>
      <c r="SYD202" s="23"/>
      <c r="SYE202" s="23"/>
      <c r="SYF202" s="23"/>
      <c r="SYG202" s="23"/>
      <c r="SYH202" s="23"/>
      <c r="SYI202" s="23"/>
      <c r="SYJ202" s="24"/>
      <c r="SYK202" s="23"/>
      <c r="SYL202" s="23"/>
      <c r="SYM202" s="23"/>
      <c r="SYN202" s="1"/>
      <c r="SYO202" s="1"/>
      <c r="SYP202" s="1"/>
      <c r="SYQ202" s="25"/>
      <c r="SYT202" s="23"/>
      <c r="SYU202" s="23"/>
      <c r="SYV202" s="23"/>
      <c r="SYW202" s="23"/>
      <c r="SYX202" s="23"/>
      <c r="SYY202" s="23"/>
      <c r="SYZ202" s="24"/>
      <c r="SZA202" s="23"/>
      <c r="SZB202" s="23"/>
      <c r="SZC202" s="23"/>
      <c r="SZD202" s="1"/>
      <c r="SZE202" s="1"/>
      <c r="SZF202" s="1"/>
      <c r="SZG202" s="25"/>
      <c r="SZJ202" s="23"/>
      <c r="SZK202" s="23"/>
      <c r="SZL202" s="23"/>
      <c r="SZM202" s="23"/>
      <c r="SZN202" s="23"/>
      <c r="SZO202" s="23"/>
      <c r="SZP202" s="24"/>
      <c r="SZQ202" s="23"/>
      <c r="SZR202" s="23"/>
      <c r="SZS202" s="23"/>
      <c r="SZT202" s="1"/>
      <c r="SZU202" s="1"/>
      <c r="SZV202" s="1"/>
      <c r="SZW202" s="25"/>
      <c r="SZZ202" s="23"/>
      <c r="TAA202" s="23"/>
      <c r="TAB202" s="23"/>
      <c r="TAC202" s="23"/>
      <c r="TAD202" s="23"/>
      <c r="TAE202" s="23"/>
      <c r="TAF202" s="24"/>
      <c r="TAG202" s="23"/>
      <c r="TAH202" s="23"/>
      <c r="TAI202" s="23"/>
      <c r="TAJ202" s="1"/>
      <c r="TAK202" s="1"/>
      <c r="TAL202" s="1"/>
      <c r="TAM202" s="25"/>
      <c r="TAP202" s="23"/>
      <c r="TAQ202" s="23"/>
      <c r="TAR202" s="23"/>
      <c r="TAS202" s="23"/>
      <c r="TAT202" s="23"/>
      <c r="TAU202" s="23"/>
      <c r="TAV202" s="24"/>
      <c r="TAW202" s="23"/>
      <c r="TAX202" s="23"/>
      <c r="TAY202" s="23"/>
      <c r="TAZ202" s="1"/>
      <c r="TBA202" s="1"/>
      <c r="TBB202" s="1"/>
      <c r="TBC202" s="25"/>
      <c r="TBF202" s="23"/>
      <c r="TBG202" s="23"/>
      <c r="TBH202" s="23"/>
      <c r="TBI202" s="23"/>
      <c r="TBJ202" s="23"/>
      <c r="TBK202" s="23"/>
      <c r="TBL202" s="24"/>
      <c r="TBM202" s="23"/>
      <c r="TBN202" s="23"/>
      <c r="TBO202" s="23"/>
      <c r="TBP202" s="1"/>
      <c r="TBQ202" s="1"/>
      <c r="TBR202" s="1"/>
      <c r="TBS202" s="25"/>
      <c r="TBV202" s="23"/>
      <c r="TBW202" s="23"/>
      <c r="TBX202" s="23"/>
      <c r="TBY202" s="23"/>
      <c r="TBZ202" s="23"/>
      <c r="TCA202" s="23"/>
      <c r="TCB202" s="24"/>
      <c r="TCC202" s="23"/>
      <c r="TCD202" s="23"/>
      <c r="TCE202" s="23"/>
      <c r="TCF202" s="1"/>
      <c r="TCG202" s="1"/>
      <c r="TCH202" s="1"/>
      <c r="TCI202" s="25"/>
      <c r="TCL202" s="23"/>
      <c r="TCM202" s="23"/>
      <c r="TCN202" s="23"/>
      <c r="TCO202" s="23"/>
      <c r="TCP202" s="23"/>
      <c r="TCQ202" s="23"/>
      <c r="TCR202" s="24"/>
      <c r="TCS202" s="23"/>
      <c r="TCT202" s="23"/>
      <c r="TCU202" s="23"/>
      <c r="TCV202" s="1"/>
      <c r="TCW202" s="1"/>
      <c r="TCX202" s="1"/>
      <c r="TCY202" s="25"/>
      <c r="TDB202" s="23"/>
      <c r="TDC202" s="23"/>
      <c r="TDD202" s="23"/>
      <c r="TDE202" s="23"/>
      <c r="TDF202" s="23"/>
      <c r="TDG202" s="23"/>
      <c r="TDH202" s="24"/>
      <c r="TDI202" s="23"/>
      <c r="TDJ202" s="23"/>
      <c r="TDK202" s="23"/>
      <c r="TDL202" s="1"/>
      <c r="TDM202" s="1"/>
      <c r="TDN202" s="1"/>
      <c r="TDO202" s="25"/>
      <c r="TDR202" s="23"/>
      <c r="TDS202" s="23"/>
      <c r="TDT202" s="23"/>
      <c r="TDU202" s="23"/>
      <c r="TDV202" s="23"/>
      <c r="TDW202" s="23"/>
      <c r="TDX202" s="24"/>
      <c r="TDY202" s="23"/>
      <c r="TDZ202" s="23"/>
      <c r="TEA202" s="23"/>
      <c r="TEB202" s="1"/>
      <c r="TEC202" s="1"/>
      <c r="TED202" s="1"/>
      <c r="TEE202" s="25"/>
      <c r="TEH202" s="23"/>
      <c r="TEI202" s="23"/>
      <c r="TEJ202" s="23"/>
      <c r="TEK202" s="23"/>
      <c r="TEL202" s="23"/>
      <c r="TEM202" s="23"/>
      <c r="TEN202" s="24"/>
      <c r="TEO202" s="23"/>
      <c r="TEP202" s="23"/>
      <c r="TEQ202" s="23"/>
      <c r="TER202" s="1"/>
      <c r="TES202" s="1"/>
      <c r="TET202" s="1"/>
      <c r="TEU202" s="25"/>
      <c r="TEX202" s="23"/>
      <c r="TEY202" s="23"/>
      <c r="TEZ202" s="23"/>
      <c r="TFA202" s="23"/>
      <c r="TFB202" s="23"/>
      <c r="TFC202" s="23"/>
      <c r="TFD202" s="24"/>
      <c r="TFE202" s="23"/>
      <c r="TFF202" s="23"/>
      <c r="TFG202" s="23"/>
      <c r="TFH202" s="1"/>
      <c r="TFI202" s="1"/>
      <c r="TFJ202" s="1"/>
      <c r="TFK202" s="25"/>
      <c r="TFN202" s="23"/>
      <c r="TFO202" s="23"/>
      <c r="TFP202" s="23"/>
      <c r="TFQ202" s="23"/>
      <c r="TFR202" s="23"/>
      <c r="TFS202" s="23"/>
      <c r="TFT202" s="24"/>
      <c r="TFU202" s="23"/>
      <c r="TFV202" s="23"/>
      <c r="TFW202" s="23"/>
      <c r="TFX202" s="1"/>
      <c r="TFY202" s="1"/>
      <c r="TFZ202" s="1"/>
      <c r="TGA202" s="25"/>
      <c r="TGD202" s="23"/>
      <c r="TGE202" s="23"/>
      <c r="TGF202" s="23"/>
      <c r="TGG202" s="23"/>
      <c r="TGH202" s="23"/>
      <c r="TGI202" s="23"/>
      <c r="TGJ202" s="24"/>
      <c r="TGK202" s="23"/>
      <c r="TGL202" s="23"/>
      <c r="TGM202" s="23"/>
      <c r="TGN202" s="1"/>
      <c r="TGO202" s="1"/>
      <c r="TGP202" s="1"/>
      <c r="TGQ202" s="25"/>
      <c r="TGT202" s="23"/>
      <c r="TGU202" s="23"/>
      <c r="TGV202" s="23"/>
      <c r="TGW202" s="23"/>
      <c r="TGX202" s="23"/>
      <c r="TGY202" s="23"/>
      <c r="TGZ202" s="24"/>
      <c r="THA202" s="23"/>
      <c r="THB202" s="23"/>
      <c r="THC202" s="23"/>
      <c r="THD202" s="1"/>
      <c r="THE202" s="1"/>
      <c r="THF202" s="1"/>
      <c r="THG202" s="25"/>
      <c r="THJ202" s="23"/>
      <c r="THK202" s="23"/>
      <c r="THL202" s="23"/>
      <c r="THM202" s="23"/>
      <c r="THN202" s="23"/>
      <c r="THO202" s="23"/>
      <c r="THP202" s="24"/>
      <c r="THQ202" s="23"/>
      <c r="THR202" s="23"/>
      <c r="THS202" s="23"/>
      <c r="THT202" s="1"/>
      <c r="THU202" s="1"/>
      <c r="THV202" s="1"/>
      <c r="THW202" s="25"/>
      <c r="THZ202" s="23"/>
      <c r="TIA202" s="23"/>
      <c r="TIB202" s="23"/>
      <c r="TIC202" s="23"/>
      <c r="TID202" s="23"/>
      <c r="TIE202" s="23"/>
      <c r="TIF202" s="24"/>
      <c r="TIG202" s="23"/>
      <c r="TIH202" s="23"/>
      <c r="TII202" s="23"/>
      <c r="TIJ202" s="1"/>
      <c r="TIK202" s="1"/>
      <c r="TIL202" s="1"/>
      <c r="TIM202" s="25"/>
      <c r="TIP202" s="23"/>
      <c r="TIQ202" s="23"/>
      <c r="TIR202" s="23"/>
      <c r="TIS202" s="23"/>
      <c r="TIT202" s="23"/>
      <c r="TIU202" s="23"/>
      <c r="TIV202" s="24"/>
      <c r="TIW202" s="23"/>
      <c r="TIX202" s="23"/>
      <c r="TIY202" s="23"/>
      <c r="TIZ202" s="1"/>
      <c r="TJA202" s="1"/>
      <c r="TJB202" s="1"/>
      <c r="TJC202" s="25"/>
      <c r="TJF202" s="23"/>
      <c r="TJG202" s="23"/>
      <c r="TJH202" s="23"/>
      <c r="TJI202" s="23"/>
      <c r="TJJ202" s="23"/>
      <c r="TJK202" s="23"/>
      <c r="TJL202" s="24"/>
      <c r="TJM202" s="23"/>
      <c r="TJN202" s="23"/>
      <c r="TJO202" s="23"/>
      <c r="TJP202" s="1"/>
      <c r="TJQ202" s="1"/>
      <c r="TJR202" s="1"/>
      <c r="TJS202" s="25"/>
      <c r="TJV202" s="23"/>
      <c r="TJW202" s="23"/>
      <c r="TJX202" s="23"/>
      <c r="TJY202" s="23"/>
      <c r="TJZ202" s="23"/>
      <c r="TKA202" s="23"/>
      <c r="TKB202" s="24"/>
      <c r="TKC202" s="23"/>
      <c r="TKD202" s="23"/>
      <c r="TKE202" s="23"/>
      <c r="TKF202" s="1"/>
      <c r="TKG202" s="1"/>
      <c r="TKH202" s="1"/>
      <c r="TKI202" s="25"/>
      <c r="TKL202" s="23"/>
      <c r="TKM202" s="23"/>
      <c r="TKN202" s="23"/>
      <c r="TKO202" s="23"/>
      <c r="TKP202" s="23"/>
      <c r="TKQ202" s="23"/>
      <c r="TKR202" s="24"/>
      <c r="TKS202" s="23"/>
      <c r="TKT202" s="23"/>
      <c r="TKU202" s="23"/>
      <c r="TKV202" s="1"/>
      <c r="TKW202" s="1"/>
      <c r="TKX202" s="1"/>
      <c r="TKY202" s="25"/>
      <c r="TLB202" s="23"/>
      <c r="TLC202" s="23"/>
      <c r="TLD202" s="23"/>
      <c r="TLE202" s="23"/>
      <c r="TLF202" s="23"/>
      <c r="TLG202" s="23"/>
      <c r="TLH202" s="24"/>
      <c r="TLI202" s="23"/>
      <c r="TLJ202" s="23"/>
      <c r="TLK202" s="23"/>
      <c r="TLL202" s="1"/>
      <c r="TLM202" s="1"/>
      <c r="TLN202" s="1"/>
      <c r="TLO202" s="25"/>
      <c r="TLR202" s="23"/>
      <c r="TLS202" s="23"/>
      <c r="TLT202" s="23"/>
      <c r="TLU202" s="23"/>
      <c r="TLV202" s="23"/>
      <c r="TLW202" s="23"/>
      <c r="TLX202" s="24"/>
      <c r="TLY202" s="23"/>
      <c r="TLZ202" s="23"/>
      <c r="TMA202" s="23"/>
      <c r="TMB202" s="1"/>
      <c r="TMC202" s="1"/>
      <c r="TMD202" s="1"/>
      <c r="TME202" s="25"/>
      <c r="TMH202" s="23"/>
      <c r="TMI202" s="23"/>
      <c r="TMJ202" s="23"/>
      <c r="TMK202" s="23"/>
      <c r="TML202" s="23"/>
      <c r="TMM202" s="23"/>
      <c r="TMN202" s="24"/>
      <c r="TMO202" s="23"/>
      <c r="TMP202" s="23"/>
      <c r="TMQ202" s="23"/>
      <c r="TMR202" s="1"/>
      <c r="TMS202" s="1"/>
      <c r="TMT202" s="1"/>
      <c r="TMU202" s="25"/>
      <c r="TMX202" s="23"/>
      <c r="TMY202" s="23"/>
      <c r="TMZ202" s="23"/>
      <c r="TNA202" s="23"/>
      <c r="TNB202" s="23"/>
      <c r="TNC202" s="23"/>
      <c r="TND202" s="24"/>
      <c r="TNE202" s="23"/>
      <c r="TNF202" s="23"/>
      <c r="TNG202" s="23"/>
      <c r="TNH202" s="1"/>
      <c r="TNI202" s="1"/>
      <c r="TNJ202" s="1"/>
      <c r="TNK202" s="25"/>
      <c r="TNN202" s="23"/>
      <c r="TNO202" s="23"/>
      <c r="TNP202" s="23"/>
      <c r="TNQ202" s="23"/>
      <c r="TNR202" s="23"/>
      <c r="TNS202" s="23"/>
      <c r="TNT202" s="24"/>
      <c r="TNU202" s="23"/>
      <c r="TNV202" s="23"/>
      <c r="TNW202" s="23"/>
      <c r="TNX202" s="1"/>
      <c r="TNY202" s="1"/>
      <c r="TNZ202" s="1"/>
      <c r="TOA202" s="25"/>
      <c r="TOD202" s="23"/>
      <c r="TOE202" s="23"/>
      <c r="TOF202" s="23"/>
      <c r="TOG202" s="23"/>
      <c r="TOH202" s="23"/>
      <c r="TOI202" s="23"/>
      <c r="TOJ202" s="24"/>
      <c r="TOK202" s="23"/>
      <c r="TOL202" s="23"/>
      <c r="TOM202" s="23"/>
      <c r="TON202" s="1"/>
      <c r="TOO202" s="1"/>
      <c r="TOP202" s="1"/>
      <c r="TOQ202" s="25"/>
      <c r="TOT202" s="23"/>
      <c r="TOU202" s="23"/>
      <c r="TOV202" s="23"/>
      <c r="TOW202" s="23"/>
      <c r="TOX202" s="23"/>
      <c r="TOY202" s="23"/>
      <c r="TOZ202" s="24"/>
      <c r="TPA202" s="23"/>
      <c r="TPB202" s="23"/>
      <c r="TPC202" s="23"/>
      <c r="TPD202" s="1"/>
      <c r="TPE202" s="1"/>
      <c r="TPF202" s="1"/>
      <c r="TPG202" s="25"/>
      <c r="TPJ202" s="23"/>
      <c r="TPK202" s="23"/>
      <c r="TPL202" s="23"/>
      <c r="TPM202" s="23"/>
      <c r="TPN202" s="23"/>
      <c r="TPO202" s="23"/>
      <c r="TPP202" s="24"/>
      <c r="TPQ202" s="23"/>
      <c r="TPR202" s="23"/>
      <c r="TPS202" s="23"/>
      <c r="TPT202" s="1"/>
      <c r="TPU202" s="1"/>
      <c r="TPV202" s="1"/>
      <c r="TPW202" s="25"/>
      <c r="TPZ202" s="23"/>
      <c r="TQA202" s="23"/>
      <c r="TQB202" s="23"/>
      <c r="TQC202" s="23"/>
      <c r="TQD202" s="23"/>
      <c r="TQE202" s="23"/>
      <c r="TQF202" s="24"/>
      <c r="TQG202" s="23"/>
      <c r="TQH202" s="23"/>
      <c r="TQI202" s="23"/>
      <c r="TQJ202" s="1"/>
      <c r="TQK202" s="1"/>
      <c r="TQL202" s="1"/>
      <c r="TQM202" s="25"/>
      <c r="TQP202" s="23"/>
      <c r="TQQ202" s="23"/>
      <c r="TQR202" s="23"/>
      <c r="TQS202" s="23"/>
      <c r="TQT202" s="23"/>
      <c r="TQU202" s="23"/>
      <c r="TQV202" s="24"/>
      <c r="TQW202" s="23"/>
      <c r="TQX202" s="23"/>
      <c r="TQY202" s="23"/>
      <c r="TQZ202" s="1"/>
      <c r="TRA202" s="1"/>
      <c r="TRB202" s="1"/>
      <c r="TRC202" s="25"/>
      <c r="TRF202" s="23"/>
      <c r="TRG202" s="23"/>
      <c r="TRH202" s="23"/>
      <c r="TRI202" s="23"/>
      <c r="TRJ202" s="23"/>
      <c r="TRK202" s="23"/>
      <c r="TRL202" s="24"/>
      <c r="TRM202" s="23"/>
      <c r="TRN202" s="23"/>
      <c r="TRO202" s="23"/>
      <c r="TRP202" s="1"/>
      <c r="TRQ202" s="1"/>
      <c r="TRR202" s="1"/>
      <c r="TRS202" s="25"/>
      <c r="TRV202" s="23"/>
      <c r="TRW202" s="23"/>
      <c r="TRX202" s="23"/>
      <c r="TRY202" s="23"/>
      <c r="TRZ202" s="23"/>
      <c r="TSA202" s="23"/>
      <c r="TSB202" s="24"/>
      <c r="TSC202" s="23"/>
      <c r="TSD202" s="23"/>
      <c r="TSE202" s="23"/>
      <c r="TSF202" s="1"/>
      <c r="TSG202" s="1"/>
      <c r="TSH202" s="1"/>
      <c r="TSI202" s="25"/>
      <c r="TSL202" s="23"/>
      <c r="TSM202" s="23"/>
      <c r="TSN202" s="23"/>
      <c r="TSO202" s="23"/>
      <c r="TSP202" s="23"/>
      <c r="TSQ202" s="23"/>
      <c r="TSR202" s="24"/>
      <c r="TSS202" s="23"/>
      <c r="TST202" s="23"/>
      <c r="TSU202" s="23"/>
      <c r="TSV202" s="1"/>
      <c r="TSW202" s="1"/>
      <c r="TSX202" s="1"/>
      <c r="TSY202" s="25"/>
      <c r="TTB202" s="23"/>
      <c r="TTC202" s="23"/>
      <c r="TTD202" s="23"/>
      <c r="TTE202" s="23"/>
      <c r="TTF202" s="23"/>
      <c r="TTG202" s="23"/>
      <c r="TTH202" s="24"/>
      <c r="TTI202" s="23"/>
      <c r="TTJ202" s="23"/>
      <c r="TTK202" s="23"/>
      <c r="TTL202" s="1"/>
      <c r="TTM202" s="1"/>
      <c r="TTN202" s="1"/>
      <c r="TTO202" s="25"/>
      <c r="TTR202" s="23"/>
      <c r="TTS202" s="23"/>
      <c r="TTT202" s="23"/>
      <c r="TTU202" s="23"/>
      <c r="TTV202" s="23"/>
      <c r="TTW202" s="23"/>
      <c r="TTX202" s="24"/>
      <c r="TTY202" s="23"/>
      <c r="TTZ202" s="23"/>
      <c r="TUA202" s="23"/>
      <c r="TUB202" s="1"/>
      <c r="TUC202" s="1"/>
      <c r="TUD202" s="1"/>
      <c r="TUE202" s="25"/>
      <c r="TUH202" s="23"/>
      <c r="TUI202" s="23"/>
      <c r="TUJ202" s="23"/>
      <c r="TUK202" s="23"/>
      <c r="TUL202" s="23"/>
      <c r="TUM202" s="23"/>
      <c r="TUN202" s="24"/>
      <c r="TUO202" s="23"/>
      <c r="TUP202" s="23"/>
      <c r="TUQ202" s="23"/>
      <c r="TUR202" s="1"/>
      <c r="TUS202" s="1"/>
      <c r="TUT202" s="1"/>
      <c r="TUU202" s="25"/>
      <c r="TUX202" s="23"/>
      <c r="TUY202" s="23"/>
      <c r="TUZ202" s="23"/>
      <c r="TVA202" s="23"/>
      <c r="TVB202" s="23"/>
      <c r="TVC202" s="23"/>
      <c r="TVD202" s="24"/>
      <c r="TVE202" s="23"/>
      <c r="TVF202" s="23"/>
      <c r="TVG202" s="23"/>
      <c r="TVH202" s="1"/>
      <c r="TVI202" s="1"/>
      <c r="TVJ202" s="1"/>
      <c r="TVK202" s="25"/>
      <c r="TVN202" s="23"/>
      <c r="TVO202" s="23"/>
      <c r="TVP202" s="23"/>
      <c r="TVQ202" s="23"/>
      <c r="TVR202" s="23"/>
      <c r="TVS202" s="23"/>
      <c r="TVT202" s="24"/>
      <c r="TVU202" s="23"/>
      <c r="TVV202" s="23"/>
      <c r="TVW202" s="23"/>
      <c r="TVX202" s="1"/>
      <c r="TVY202" s="1"/>
      <c r="TVZ202" s="1"/>
      <c r="TWA202" s="25"/>
      <c r="TWD202" s="23"/>
      <c r="TWE202" s="23"/>
      <c r="TWF202" s="23"/>
      <c r="TWG202" s="23"/>
      <c r="TWH202" s="23"/>
      <c r="TWI202" s="23"/>
      <c r="TWJ202" s="24"/>
      <c r="TWK202" s="23"/>
      <c r="TWL202" s="23"/>
      <c r="TWM202" s="23"/>
      <c r="TWN202" s="1"/>
      <c r="TWO202" s="1"/>
      <c r="TWP202" s="1"/>
      <c r="TWQ202" s="25"/>
      <c r="TWT202" s="23"/>
      <c r="TWU202" s="23"/>
      <c r="TWV202" s="23"/>
      <c r="TWW202" s="23"/>
      <c r="TWX202" s="23"/>
      <c r="TWY202" s="23"/>
      <c r="TWZ202" s="24"/>
      <c r="TXA202" s="23"/>
      <c r="TXB202" s="23"/>
      <c r="TXC202" s="23"/>
      <c r="TXD202" s="1"/>
      <c r="TXE202" s="1"/>
      <c r="TXF202" s="1"/>
      <c r="TXG202" s="25"/>
      <c r="TXJ202" s="23"/>
      <c r="TXK202" s="23"/>
      <c r="TXL202" s="23"/>
      <c r="TXM202" s="23"/>
      <c r="TXN202" s="23"/>
      <c r="TXO202" s="23"/>
      <c r="TXP202" s="24"/>
      <c r="TXQ202" s="23"/>
      <c r="TXR202" s="23"/>
      <c r="TXS202" s="23"/>
      <c r="TXT202" s="1"/>
      <c r="TXU202" s="1"/>
      <c r="TXV202" s="1"/>
      <c r="TXW202" s="25"/>
      <c r="TXZ202" s="23"/>
      <c r="TYA202" s="23"/>
      <c r="TYB202" s="23"/>
      <c r="TYC202" s="23"/>
      <c r="TYD202" s="23"/>
      <c r="TYE202" s="23"/>
      <c r="TYF202" s="24"/>
      <c r="TYG202" s="23"/>
      <c r="TYH202" s="23"/>
      <c r="TYI202" s="23"/>
      <c r="TYJ202" s="1"/>
      <c r="TYK202" s="1"/>
      <c r="TYL202" s="1"/>
      <c r="TYM202" s="25"/>
      <c r="TYP202" s="23"/>
      <c r="TYQ202" s="23"/>
      <c r="TYR202" s="23"/>
      <c r="TYS202" s="23"/>
      <c r="TYT202" s="23"/>
      <c r="TYU202" s="23"/>
      <c r="TYV202" s="24"/>
      <c r="TYW202" s="23"/>
      <c r="TYX202" s="23"/>
      <c r="TYY202" s="23"/>
      <c r="TYZ202" s="1"/>
      <c r="TZA202" s="1"/>
      <c r="TZB202" s="1"/>
      <c r="TZC202" s="25"/>
      <c r="TZF202" s="23"/>
      <c r="TZG202" s="23"/>
      <c r="TZH202" s="23"/>
      <c r="TZI202" s="23"/>
      <c r="TZJ202" s="23"/>
      <c r="TZK202" s="23"/>
      <c r="TZL202" s="24"/>
      <c r="TZM202" s="23"/>
      <c r="TZN202" s="23"/>
      <c r="TZO202" s="23"/>
      <c r="TZP202" s="1"/>
      <c r="TZQ202" s="1"/>
      <c r="TZR202" s="1"/>
      <c r="TZS202" s="25"/>
      <c r="TZV202" s="23"/>
      <c r="TZW202" s="23"/>
      <c r="TZX202" s="23"/>
      <c r="TZY202" s="23"/>
      <c r="TZZ202" s="23"/>
      <c r="UAA202" s="23"/>
      <c r="UAB202" s="24"/>
      <c r="UAC202" s="23"/>
      <c r="UAD202" s="23"/>
      <c r="UAE202" s="23"/>
      <c r="UAF202" s="1"/>
      <c r="UAG202" s="1"/>
      <c r="UAH202" s="1"/>
      <c r="UAI202" s="25"/>
      <c r="UAL202" s="23"/>
      <c r="UAM202" s="23"/>
      <c r="UAN202" s="23"/>
      <c r="UAO202" s="23"/>
      <c r="UAP202" s="23"/>
      <c r="UAQ202" s="23"/>
      <c r="UAR202" s="24"/>
      <c r="UAS202" s="23"/>
      <c r="UAT202" s="23"/>
      <c r="UAU202" s="23"/>
      <c r="UAV202" s="1"/>
      <c r="UAW202" s="1"/>
      <c r="UAX202" s="1"/>
      <c r="UAY202" s="25"/>
      <c r="UBB202" s="23"/>
      <c r="UBC202" s="23"/>
      <c r="UBD202" s="23"/>
      <c r="UBE202" s="23"/>
      <c r="UBF202" s="23"/>
      <c r="UBG202" s="23"/>
      <c r="UBH202" s="24"/>
      <c r="UBI202" s="23"/>
      <c r="UBJ202" s="23"/>
      <c r="UBK202" s="23"/>
      <c r="UBL202" s="1"/>
      <c r="UBM202" s="1"/>
      <c r="UBN202" s="1"/>
      <c r="UBO202" s="25"/>
      <c r="UBR202" s="23"/>
      <c r="UBS202" s="23"/>
      <c r="UBT202" s="23"/>
      <c r="UBU202" s="23"/>
      <c r="UBV202" s="23"/>
      <c r="UBW202" s="23"/>
      <c r="UBX202" s="24"/>
      <c r="UBY202" s="23"/>
      <c r="UBZ202" s="23"/>
      <c r="UCA202" s="23"/>
      <c r="UCB202" s="1"/>
      <c r="UCC202" s="1"/>
      <c r="UCD202" s="1"/>
      <c r="UCE202" s="25"/>
      <c r="UCH202" s="23"/>
      <c r="UCI202" s="23"/>
      <c r="UCJ202" s="23"/>
      <c r="UCK202" s="23"/>
      <c r="UCL202" s="23"/>
      <c r="UCM202" s="23"/>
      <c r="UCN202" s="24"/>
      <c r="UCO202" s="23"/>
      <c r="UCP202" s="23"/>
      <c r="UCQ202" s="23"/>
      <c r="UCR202" s="1"/>
      <c r="UCS202" s="1"/>
      <c r="UCT202" s="1"/>
      <c r="UCU202" s="25"/>
      <c r="UCX202" s="23"/>
      <c r="UCY202" s="23"/>
      <c r="UCZ202" s="23"/>
      <c r="UDA202" s="23"/>
      <c r="UDB202" s="23"/>
      <c r="UDC202" s="23"/>
      <c r="UDD202" s="24"/>
      <c r="UDE202" s="23"/>
      <c r="UDF202" s="23"/>
      <c r="UDG202" s="23"/>
      <c r="UDH202" s="1"/>
      <c r="UDI202" s="1"/>
      <c r="UDJ202" s="1"/>
      <c r="UDK202" s="25"/>
      <c r="UDN202" s="23"/>
      <c r="UDO202" s="23"/>
      <c r="UDP202" s="23"/>
      <c r="UDQ202" s="23"/>
      <c r="UDR202" s="23"/>
      <c r="UDS202" s="23"/>
      <c r="UDT202" s="24"/>
      <c r="UDU202" s="23"/>
      <c r="UDV202" s="23"/>
      <c r="UDW202" s="23"/>
      <c r="UDX202" s="1"/>
      <c r="UDY202" s="1"/>
      <c r="UDZ202" s="1"/>
      <c r="UEA202" s="25"/>
      <c r="UED202" s="23"/>
      <c r="UEE202" s="23"/>
      <c r="UEF202" s="23"/>
      <c r="UEG202" s="23"/>
      <c r="UEH202" s="23"/>
      <c r="UEI202" s="23"/>
      <c r="UEJ202" s="24"/>
      <c r="UEK202" s="23"/>
      <c r="UEL202" s="23"/>
      <c r="UEM202" s="23"/>
      <c r="UEN202" s="1"/>
      <c r="UEO202" s="1"/>
      <c r="UEP202" s="1"/>
      <c r="UEQ202" s="25"/>
      <c r="UET202" s="23"/>
      <c r="UEU202" s="23"/>
      <c r="UEV202" s="23"/>
      <c r="UEW202" s="23"/>
      <c r="UEX202" s="23"/>
      <c r="UEY202" s="23"/>
      <c r="UEZ202" s="24"/>
      <c r="UFA202" s="23"/>
      <c r="UFB202" s="23"/>
      <c r="UFC202" s="23"/>
      <c r="UFD202" s="1"/>
      <c r="UFE202" s="1"/>
      <c r="UFF202" s="1"/>
      <c r="UFG202" s="25"/>
      <c r="UFJ202" s="23"/>
      <c r="UFK202" s="23"/>
      <c r="UFL202" s="23"/>
      <c r="UFM202" s="23"/>
      <c r="UFN202" s="23"/>
      <c r="UFO202" s="23"/>
      <c r="UFP202" s="24"/>
      <c r="UFQ202" s="23"/>
      <c r="UFR202" s="23"/>
      <c r="UFS202" s="23"/>
      <c r="UFT202" s="1"/>
      <c r="UFU202" s="1"/>
      <c r="UFV202" s="1"/>
      <c r="UFW202" s="25"/>
      <c r="UFZ202" s="23"/>
      <c r="UGA202" s="23"/>
      <c r="UGB202" s="23"/>
      <c r="UGC202" s="23"/>
      <c r="UGD202" s="23"/>
      <c r="UGE202" s="23"/>
      <c r="UGF202" s="24"/>
      <c r="UGG202" s="23"/>
      <c r="UGH202" s="23"/>
      <c r="UGI202" s="23"/>
      <c r="UGJ202" s="1"/>
      <c r="UGK202" s="1"/>
      <c r="UGL202" s="1"/>
      <c r="UGM202" s="25"/>
      <c r="UGP202" s="23"/>
      <c r="UGQ202" s="23"/>
      <c r="UGR202" s="23"/>
      <c r="UGS202" s="23"/>
      <c r="UGT202" s="23"/>
      <c r="UGU202" s="23"/>
      <c r="UGV202" s="24"/>
      <c r="UGW202" s="23"/>
      <c r="UGX202" s="23"/>
      <c r="UGY202" s="23"/>
      <c r="UGZ202" s="1"/>
      <c r="UHA202" s="1"/>
      <c r="UHB202" s="1"/>
      <c r="UHC202" s="25"/>
      <c r="UHF202" s="23"/>
      <c r="UHG202" s="23"/>
      <c r="UHH202" s="23"/>
      <c r="UHI202" s="23"/>
      <c r="UHJ202" s="23"/>
      <c r="UHK202" s="23"/>
      <c r="UHL202" s="24"/>
      <c r="UHM202" s="23"/>
      <c r="UHN202" s="23"/>
      <c r="UHO202" s="23"/>
      <c r="UHP202" s="1"/>
      <c r="UHQ202" s="1"/>
      <c r="UHR202" s="1"/>
      <c r="UHS202" s="25"/>
      <c r="UHV202" s="23"/>
      <c r="UHW202" s="23"/>
      <c r="UHX202" s="23"/>
      <c r="UHY202" s="23"/>
      <c r="UHZ202" s="23"/>
      <c r="UIA202" s="23"/>
      <c r="UIB202" s="24"/>
      <c r="UIC202" s="23"/>
      <c r="UID202" s="23"/>
      <c r="UIE202" s="23"/>
      <c r="UIF202" s="1"/>
      <c r="UIG202" s="1"/>
      <c r="UIH202" s="1"/>
      <c r="UII202" s="25"/>
      <c r="UIL202" s="23"/>
      <c r="UIM202" s="23"/>
      <c r="UIN202" s="23"/>
      <c r="UIO202" s="23"/>
      <c r="UIP202" s="23"/>
      <c r="UIQ202" s="23"/>
      <c r="UIR202" s="24"/>
      <c r="UIS202" s="23"/>
      <c r="UIT202" s="23"/>
      <c r="UIU202" s="23"/>
      <c r="UIV202" s="1"/>
      <c r="UIW202" s="1"/>
      <c r="UIX202" s="1"/>
      <c r="UIY202" s="25"/>
      <c r="UJB202" s="23"/>
      <c r="UJC202" s="23"/>
      <c r="UJD202" s="23"/>
      <c r="UJE202" s="23"/>
      <c r="UJF202" s="23"/>
      <c r="UJG202" s="23"/>
      <c r="UJH202" s="24"/>
      <c r="UJI202" s="23"/>
      <c r="UJJ202" s="23"/>
      <c r="UJK202" s="23"/>
      <c r="UJL202" s="1"/>
      <c r="UJM202" s="1"/>
      <c r="UJN202" s="1"/>
      <c r="UJO202" s="25"/>
      <c r="UJR202" s="23"/>
      <c r="UJS202" s="23"/>
      <c r="UJT202" s="23"/>
      <c r="UJU202" s="23"/>
      <c r="UJV202" s="23"/>
      <c r="UJW202" s="23"/>
      <c r="UJX202" s="24"/>
      <c r="UJY202" s="23"/>
      <c r="UJZ202" s="23"/>
      <c r="UKA202" s="23"/>
      <c r="UKB202" s="1"/>
      <c r="UKC202" s="1"/>
      <c r="UKD202" s="1"/>
      <c r="UKE202" s="25"/>
      <c r="UKH202" s="23"/>
      <c r="UKI202" s="23"/>
      <c r="UKJ202" s="23"/>
      <c r="UKK202" s="23"/>
      <c r="UKL202" s="23"/>
      <c r="UKM202" s="23"/>
      <c r="UKN202" s="24"/>
      <c r="UKO202" s="23"/>
      <c r="UKP202" s="23"/>
      <c r="UKQ202" s="23"/>
      <c r="UKR202" s="1"/>
      <c r="UKS202" s="1"/>
      <c r="UKT202" s="1"/>
      <c r="UKU202" s="25"/>
      <c r="UKX202" s="23"/>
      <c r="UKY202" s="23"/>
      <c r="UKZ202" s="23"/>
      <c r="ULA202" s="23"/>
      <c r="ULB202" s="23"/>
      <c r="ULC202" s="23"/>
      <c r="ULD202" s="24"/>
      <c r="ULE202" s="23"/>
      <c r="ULF202" s="23"/>
      <c r="ULG202" s="23"/>
      <c r="ULH202" s="1"/>
      <c r="ULI202" s="1"/>
      <c r="ULJ202" s="1"/>
      <c r="ULK202" s="25"/>
      <c r="ULN202" s="23"/>
      <c r="ULO202" s="23"/>
      <c r="ULP202" s="23"/>
      <c r="ULQ202" s="23"/>
      <c r="ULR202" s="23"/>
      <c r="ULS202" s="23"/>
      <c r="ULT202" s="24"/>
      <c r="ULU202" s="23"/>
      <c r="ULV202" s="23"/>
      <c r="ULW202" s="23"/>
      <c r="ULX202" s="1"/>
      <c r="ULY202" s="1"/>
      <c r="ULZ202" s="1"/>
      <c r="UMA202" s="25"/>
      <c r="UMD202" s="23"/>
      <c r="UME202" s="23"/>
      <c r="UMF202" s="23"/>
      <c r="UMG202" s="23"/>
      <c r="UMH202" s="23"/>
      <c r="UMI202" s="23"/>
      <c r="UMJ202" s="24"/>
      <c r="UMK202" s="23"/>
      <c r="UML202" s="23"/>
      <c r="UMM202" s="23"/>
      <c r="UMN202" s="1"/>
      <c r="UMO202" s="1"/>
      <c r="UMP202" s="1"/>
      <c r="UMQ202" s="25"/>
      <c r="UMT202" s="23"/>
      <c r="UMU202" s="23"/>
      <c r="UMV202" s="23"/>
      <c r="UMW202" s="23"/>
      <c r="UMX202" s="23"/>
      <c r="UMY202" s="23"/>
      <c r="UMZ202" s="24"/>
      <c r="UNA202" s="23"/>
      <c r="UNB202" s="23"/>
      <c r="UNC202" s="23"/>
      <c r="UND202" s="1"/>
      <c r="UNE202" s="1"/>
      <c r="UNF202" s="1"/>
      <c r="UNG202" s="25"/>
      <c r="UNJ202" s="23"/>
      <c r="UNK202" s="23"/>
      <c r="UNL202" s="23"/>
      <c r="UNM202" s="23"/>
      <c r="UNN202" s="23"/>
      <c r="UNO202" s="23"/>
      <c r="UNP202" s="24"/>
      <c r="UNQ202" s="23"/>
      <c r="UNR202" s="23"/>
      <c r="UNS202" s="23"/>
      <c r="UNT202" s="1"/>
      <c r="UNU202" s="1"/>
      <c r="UNV202" s="1"/>
      <c r="UNW202" s="25"/>
      <c r="UNZ202" s="23"/>
      <c r="UOA202" s="23"/>
      <c r="UOB202" s="23"/>
      <c r="UOC202" s="23"/>
      <c r="UOD202" s="23"/>
      <c r="UOE202" s="23"/>
      <c r="UOF202" s="24"/>
      <c r="UOG202" s="23"/>
      <c r="UOH202" s="23"/>
      <c r="UOI202" s="23"/>
      <c r="UOJ202" s="1"/>
      <c r="UOK202" s="1"/>
      <c r="UOL202" s="1"/>
      <c r="UOM202" s="25"/>
      <c r="UOP202" s="23"/>
      <c r="UOQ202" s="23"/>
      <c r="UOR202" s="23"/>
      <c r="UOS202" s="23"/>
      <c r="UOT202" s="23"/>
      <c r="UOU202" s="23"/>
      <c r="UOV202" s="24"/>
      <c r="UOW202" s="23"/>
      <c r="UOX202" s="23"/>
      <c r="UOY202" s="23"/>
      <c r="UOZ202" s="1"/>
      <c r="UPA202" s="1"/>
      <c r="UPB202" s="1"/>
      <c r="UPC202" s="25"/>
      <c r="UPF202" s="23"/>
      <c r="UPG202" s="23"/>
      <c r="UPH202" s="23"/>
      <c r="UPI202" s="23"/>
      <c r="UPJ202" s="23"/>
      <c r="UPK202" s="23"/>
      <c r="UPL202" s="24"/>
      <c r="UPM202" s="23"/>
      <c r="UPN202" s="23"/>
      <c r="UPO202" s="23"/>
      <c r="UPP202" s="1"/>
      <c r="UPQ202" s="1"/>
      <c r="UPR202" s="1"/>
      <c r="UPS202" s="25"/>
      <c r="UPV202" s="23"/>
      <c r="UPW202" s="23"/>
      <c r="UPX202" s="23"/>
      <c r="UPY202" s="23"/>
      <c r="UPZ202" s="23"/>
      <c r="UQA202" s="23"/>
      <c r="UQB202" s="24"/>
      <c r="UQC202" s="23"/>
      <c r="UQD202" s="23"/>
      <c r="UQE202" s="23"/>
      <c r="UQF202" s="1"/>
      <c r="UQG202" s="1"/>
      <c r="UQH202" s="1"/>
      <c r="UQI202" s="25"/>
      <c r="UQL202" s="23"/>
      <c r="UQM202" s="23"/>
      <c r="UQN202" s="23"/>
      <c r="UQO202" s="23"/>
      <c r="UQP202" s="23"/>
      <c r="UQQ202" s="23"/>
      <c r="UQR202" s="24"/>
      <c r="UQS202" s="23"/>
      <c r="UQT202" s="23"/>
      <c r="UQU202" s="23"/>
      <c r="UQV202" s="1"/>
      <c r="UQW202" s="1"/>
      <c r="UQX202" s="1"/>
      <c r="UQY202" s="25"/>
      <c r="URB202" s="23"/>
      <c r="URC202" s="23"/>
      <c r="URD202" s="23"/>
      <c r="URE202" s="23"/>
      <c r="URF202" s="23"/>
      <c r="URG202" s="23"/>
      <c r="URH202" s="24"/>
      <c r="URI202" s="23"/>
      <c r="URJ202" s="23"/>
      <c r="URK202" s="23"/>
      <c r="URL202" s="1"/>
      <c r="URM202" s="1"/>
      <c r="URN202" s="1"/>
      <c r="URO202" s="25"/>
      <c r="URR202" s="23"/>
      <c r="URS202" s="23"/>
      <c r="URT202" s="23"/>
      <c r="URU202" s="23"/>
      <c r="URV202" s="23"/>
      <c r="URW202" s="23"/>
      <c r="URX202" s="24"/>
      <c r="URY202" s="23"/>
      <c r="URZ202" s="23"/>
      <c r="USA202" s="23"/>
      <c r="USB202" s="1"/>
      <c r="USC202" s="1"/>
      <c r="USD202" s="1"/>
      <c r="USE202" s="25"/>
      <c r="USH202" s="23"/>
      <c r="USI202" s="23"/>
      <c r="USJ202" s="23"/>
      <c r="USK202" s="23"/>
      <c r="USL202" s="23"/>
      <c r="USM202" s="23"/>
      <c r="USN202" s="24"/>
      <c r="USO202" s="23"/>
      <c r="USP202" s="23"/>
      <c r="USQ202" s="23"/>
      <c r="USR202" s="1"/>
      <c r="USS202" s="1"/>
      <c r="UST202" s="1"/>
      <c r="USU202" s="25"/>
      <c r="USX202" s="23"/>
      <c r="USY202" s="23"/>
      <c r="USZ202" s="23"/>
      <c r="UTA202" s="23"/>
      <c r="UTB202" s="23"/>
      <c r="UTC202" s="23"/>
      <c r="UTD202" s="24"/>
      <c r="UTE202" s="23"/>
      <c r="UTF202" s="23"/>
      <c r="UTG202" s="23"/>
      <c r="UTH202" s="1"/>
      <c r="UTI202" s="1"/>
      <c r="UTJ202" s="1"/>
      <c r="UTK202" s="25"/>
      <c r="UTN202" s="23"/>
      <c r="UTO202" s="23"/>
      <c r="UTP202" s="23"/>
      <c r="UTQ202" s="23"/>
      <c r="UTR202" s="23"/>
      <c r="UTS202" s="23"/>
      <c r="UTT202" s="24"/>
      <c r="UTU202" s="23"/>
      <c r="UTV202" s="23"/>
      <c r="UTW202" s="23"/>
      <c r="UTX202" s="1"/>
      <c r="UTY202" s="1"/>
      <c r="UTZ202" s="1"/>
      <c r="UUA202" s="25"/>
      <c r="UUD202" s="23"/>
      <c r="UUE202" s="23"/>
      <c r="UUF202" s="23"/>
      <c r="UUG202" s="23"/>
      <c r="UUH202" s="23"/>
      <c r="UUI202" s="23"/>
      <c r="UUJ202" s="24"/>
      <c r="UUK202" s="23"/>
      <c r="UUL202" s="23"/>
      <c r="UUM202" s="23"/>
      <c r="UUN202" s="1"/>
      <c r="UUO202" s="1"/>
      <c r="UUP202" s="1"/>
      <c r="UUQ202" s="25"/>
      <c r="UUT202" s="23"/>
      <c r="UUU202" s="23"/>
      <c r="UUV202" s="23"/>
      <c r="UUW202" s="23"/>
      <c r="UUX202" s="23"/>
      <c r="UUY202" s="23"/>
      <c r="UUZ202" s="24"/>
      <c r="UVA202" s="23"/>
      <c r="UVB202" s="23"/>
      <c r="UVC202" s="23"/>
      <c r="UVD202" s="1"/>
      <c r="UVE202" s="1"/>
      <c r="UVF202" s="1"/>
      <c r="UVG202" s="25"/>
      <c r="UVJ202" s="23"/>
      <c r="UVK202" s="23"/>
      <c r="UVL202" s="23"/>
      <c r="UVM202" s="23"/>
      <c r="UVN202" s="23"/>
      <c r="UVO202" s="23"/>
      <c r="UVP202" s="24"/>
      <c r="UVQ202" s="23"/>
      <c r="UVR202" s="23"/>
      <c r="UVS202" s="23"/>
      <c r="UVT202" s="1"/>
      <c r="UVU202" s="1"/>
      <c r="UVV202" s="1"/>
      <c r="UVW202" s="25"/>
      <c r="UVZ202" s="23"/>
      <c r="UWA202" s="23"/>
      <c r="UWB202" s="23"/>
      <c r="UWC202" s="23"/>
      <c r="UWD202" s="23"/>
      <c r="UWE202" s="23"/>
      <c r="UWF202" s="24"/>
      <c r="UWG202" s="23"/>
      <c r="UWH202" s="23"/>
      <c r="UWI202" s="23"/>
      <c r="UWJ202" s="1"/>
      <c r="UWK202" s="1"/>
      <c r="UWL202" s="1"/>
      <c r="UWM202" s="25"/>
      <c r="UWP202" s="23"/>
      <c r="UWQ202" s="23"/>
      <c r="UWR202" s="23"/>
      <c r="UWS202" s="23"/>
      <c r="UWT202" s="23"/>
      <c r="UWU202" s="23"/>
      <c r="UWV202" s="24"/>
      <c r="UWW202" s="23"/>
      <c r="UWX202" s="23"/>
      <c r="UWY202" s="23"/>
      <c r="UWZ202" s="1"/>
      <c r="UXA202" s="1"/>
      <c r="UXB202" s="1"/>
      <c r="UXC202" s="25"/>
      <c r="UXF202" s="23"/>
      <c r="UXG202" s="23"/>
      <c r="UXH202" s="23"/>
      <c r="UXI202" s="23"/>
      <c r="UXJ202" s="23"/>
      <c r="UXK202" s="23"/>
      <c r="UXL202" s="24"/>
      <c r="UXM202" s="23"/>
      <c r="UXN202" s="23"/>
      <c r="UXO202" s="23"/>
      <c r="UXP202" s="1"/>
      <c r="UXQ202" s="1"/>
      <c r="UXR202" s="1"/>
      <c r="UXS202" s="25"/>
      <c r="UXV202" s="23"/>
      <c r="UXW202" s="23"/>
      <c r="UXX202" s="23"/>
      <c r="UXY202" s="23"/>
      <c r="UXZ202" s="23"/>
      <c r="UYA202" s="23"/>
      <c r="UYB202" s="24"/>
      <c r="UYC202" s="23"/>
      <c r="UYD202" s="23"/>
      <c r="UYE202" s="23"/>
      <c r="UYF202" s="1"/>
      <c r="UYG202" s="1"/>
      <c r="UYH202" s="1"/>
      <c r="UYI202" s="25"/>
      <c r="UYL202" s="23"/>
      <c r="UYM202" s="23"/>
      <c r="UYN202" s="23"/>
      <c r="UYO202" s="23"/>
      <c r="UYP202" s="23"/>
      <c r="UYQ202" s="23"/>
      <c r="UYR202" s="24"/>
      <c r="UYS202" s="23"/>
      <c r="UYT202" s="23"/>
      <c r="UYU202" s="23"/>
      <c r="UYV202" s="1"/>
      <c r="UYW202" s="1"/>
      <c r="UYX202" s="1"/>
      <c r="UYY202" s="25"/>
      <c r="UZB202" s="23"/>
      <c r="UZC202" s="23"/>
      <c r="UZD202" s="23"/>
      <c r="UZE202" s="23"/>
      <c r="UZF202" s="23"/>
      <c r="UZG202" s="23"/>
      <c r="UZH202" s="24"/>
      <c r="UZI202" s="23"/>
      <c r="UZJ202" s="23"/>
      <c r="UZK202" s="23"/>
      <c r="UZL202" s="1"/>
      <c r="UZM202" s="1"/>
      <c r="UZN202" s="1"/>
      <c r="UZO202" s="25"/>
      <c r="UZR202" s="23"/>
      <c r="UZS202" s="23"/>
      <c r="UZT202" s="23"/>
      <c r="UZU202" s="23"/>
      <c r="UZV202" s="23"/>
      <c r="UZW202" s="23"/>
      <c r="UZX202" s="24"/>
      <c r="UZY202" s="23"/>
      <c r="UZZ202" s="23"/>
      <c r="VAA202" s="23"/>
      <c r="VAB202" s="1"/>
      <c r="VAC202" s="1"/>
      <c r="VAD202" s="1"/>
      <c r="VAE202" s="25"/>
      <c r="VAH202" s="23"/>
      <c r="VAI202" s="23"/>
      <c r="VAJ202" s="23"/>
      <c r="VAK202" s="23"/>
      <c r="VAL202" s="23"/>
      <c r="VAM202" s="23"/>
      <c r="VAN202" s="24"/>
      <c r="VAO202" s="23"/>
      <c r="VAP202" s="23"/>
      <c r="VAQ202" s="23"/>
      <c r="VAR202" s="1"/>
      <c r="VAS202" s="1"/>
      <c r="VAT202" s="1"/>
      <c r="VAU202" s="25"/>
      <c r="VAX202" s="23"/>
      <c r="VAY202" s="23"/>
      <c r="VAZ202" s="23"/>
      <c r="VBA202" s="23"/>
      <c r="VBB202" s="23"/>
      <c r="VBC202" s="23"/>
      <c r="VBD202" s="24"/>
      <c r="VBE202" s="23"/>
      <c r="VBF202" s="23"/>
      <c r="VBG202" s="23"/>
      <c r="VBH202" s="1"/>
      <c r="VBI202" s="1"/>
      <c r="VBJ202" s="1"/>
      <c r="VBK202" s="25"/>
      <c r="VBN202" s="23"/>
      <c r="VBO202" s="23"/>
      <c r="VBP202" s="23"/>
      <c r="VBQ202" s="23"/>
      <c r="VBR202" s="23"/>
      <c r="VBS202" s="23"/>
      <c r="VBT202" s="24"/>
      <c r="VBU202" s="23"/>
      <c r="VBV202" s="23"/>
      <c r="VBW202" s="23"/>
      <c r="VBX202" s="1"/>
      <c r="VBY202" s="1"/>
      <c r="VBZ202" s="1"/>
      <c r="VCA202" s="25"/>
      <c r="VCD202" s="23"/>
      <c r="VCE202" s="23"/>
      <c r="VCF202" s="23"/>
      <c r="VCG202" s="23"/>
      <c r="VCH202" s="23"/>
      <c r="VCI202" s="23"/>
      <c r="VCJ202" s="24"/>
      <c r="VCK202" s="23"/>
      <c r="VCL202" s="23"/>
      <c r="VCM202" s="23"/>
      <c r="VCN202" s="1"/>
      <c r="VCO202" s="1"/>
      <c r="VCP202" s="1"/>
      <c r="VCQ202" s="25"/>
      <c r="VCT202" s="23"/>
      <c r="VCU202" s="23"/>
      <c r="VCV202" s="23"/>
      <c r="VCW202" s="23"/>
      <c r="VCX202" s="23"/>
      <c r="VCY202" s="23"/>
      <c r="VCZ202" s="24"/>
      <c r="VDA202" s="23"/>
      <c r="VDB202" s="23"/>
      <c r="VDC202" s="23"/>
      <c r="VDD202" s="1"/>
      <c r="VDE202" s="1"/>
      <c r="VDF202" s="1"/>
      <c r="VDG202" s="25"/>
      <c r="VDJ202" s="23"/>
      <c r="VDK202" s="23"/>
      <c r="VDL202" s="23"/>
      <c r="VDM202" s="23"/>
      <c r="VDN202" s="23"/>
      <c r="VDO202" s="23"/>
      <c r="VDP202" s="24"/>
      <c r="VDQ202" s="23"/>
      <c r="VDR202" s="23"/>
      <c r="VDS202" s="23"/>
      <c r="VDT202" s="1"/>
      <c r="VDU202" s="1"/>
      <c r="VDV202" s="1"/>
      <c r="VDW202" s="25"/>
      <c r="VDZ202" s="23"/>
      <c r="VEA202" s="23"/>
      <c r="VEB202" s="23"/>
      <c r="VEC202" s="23"/>
      <c r="VED202" s="23"/>
      <c r="VEE202" s="23"/>
      <c r="VEF202" s="24"/>
      <c r="VEG202" s="23"/>
      <c r="VEH202" s="23"/>
      <c r="VEI202" s="23"/>
      <c r="VEJ202" s="1"/>
      <c r="VEK202" s="1"/>
      <c r="VEL202" s="1"/>
      <c r="VEM202" s="25"/>
      <c r="VEP202" s="23"/>
      <c r="VEQ202" s="23"/>
      <c r="VER202" s="23"/>
      <c r="VES202" s="23"/>
      <c r="VET202" s="23"/>
      <c r="VEU202" s="23"/>
      <c r="VEV202" s="24"/>
      <c r="VEW202" s="23"/>
      <c r="VEX202" s="23"/>
      <c r="VEY202" s="23"/>
      <c r="VEZ202" s="1"/>
      <c r="VFA202" s="1"/>
      <c r="VFB202" s="1"/>
      <c r="VFC202" s="25"/>
      <c r="VFF202" s="23"/>
      <c r="VFG202" s="23"/>
      <c r="VFH202" s="23"/>
      <c r="VFI202" s="23"/>
      <c r="VFJ202" s="23"/>
      <c r="VFK202" s="23"/>
      <c r="VFL202" s="24"/>
      <c r="VFM202" s="23"/>
      <c r="VFN202" s="23"/>
      <c r="VFO202" s="23"/>
      <c r="VFP202" s="1"/>
      <c r="VFQ202" s="1"/>
      <c r="VFR202" s="1"/>
      <c r="VFS202" s="25"/>
      <c r="VFV202" s="23"/>
      <c r="VFW202" s="23"/>
      <c r="VFX202" s="23"/>
      <c r="VFY202" s="23"/>
      <c r="VFZ202" s="23"/>
      <c r="VGA202" s="23"/>
      <c r="VGB202" s="24"/>
      <c r="VGC202" s="23"/>
      <c r="VGD202" s="23"/>
      <c r="VGE202" s="23"/>
      <c r="VGF202" s="1"/>
      <c r="VGG202" s="1"/>
      <c r="VGH202" s="1"/>
      <c r="VGI202" s="25"/>
      <c r="VGL202" s="23"/>
      <c r="VGM202" s="23"/>
      <c r="VGN202" s="23"/>
      <c r="VGO202" s="23"/>
      <c r="VGP202" s="23"/>
      <c r="VGQ202" s="23"/>
      <c r="VGR202" s="24"/>
      <c r="VGS202" s="23"/>
      <c r="VGT202" s="23"/>
      <c r="VGU202" s="23"/>
      <c r="VGV202" s="1"/>
      <c r="VGW202" s="1"/>
      <c r="VGX202" s="1"/>
      <c r="VGY202" s="25"/>
      <c r="VHB202" s="23"/>
      <c r="VHC202" s="23"/>
      <c r="VHD202" s="23"/>
      <c r="VHE202" s="23"/>
      <c r="VHF202" s="23"/>
      <c r="VHG202" s="23"/>
      <c r="VHH202" s="24"/>
      <c r="VHI202" s="23"/>
      <c r="VHJ202" s="23"/>
      <c r="VHK202" s="23"/>
      <c r="VHL202" s="1"/>
      <c r="VHM202" s="1"/>
      <c r="VHN202" s="1"/>
      <c r="VHO202" s="25"/>
      <c r="VHR202" s="23"/>
      <c r="VHS202" s="23"/>
      <c r="VHT202" s="23"/>
      <c r="VHU202" s="23"/>
      <c r="VHV202" s="23"/>
      <c r="VHW202" s="23"/>
      <c r="VHX202" s="24"/>
      <c r="VHY202" s="23"/>
      <c r="VHZ202" s="23"/>
      <c r="VIA202" s="23"/>
      <c r="VIB202" s="1"/>
      <c r="VIC202" s="1"/>
      <c r="VID202" s="1"/>
      <c r="VIE202" s="25"/>
      <c r="VIH202" s="23"/>
      <c r="VII202" s="23"/>
      <c r="VIJ202" s="23"/>
      <c r="VIK202" s="23"/>
      <c r="VIL202" s="23"/>
      <c r="VIM202" s="23"/>
      <c r="VIN202" s="24"/>
      <c r="VIO202" s="23"/>
      <c r="VIP202" s="23"/>
      <c r="VIQ202" s="23"/>
      <c r="VIR202" s="1"/>
      <c r="VIS202" s="1"/>
      <c r="VIT202" s="1"/>
      <c r="VIU202" s="25"/>
      <c r="VIX202" s="23"/>
      <c r="VIY202" s="23"/>
      <c r="VIZ202" s="23"/>
      <c r="VJA202" s="23"/>
      <c r="VJB202" s="23"/>
      <c r="VJC202" s="23"/>
      <c r="VJD202" s="24"/>
      <c r="VJE202" s="23"/>
      <c r="VJF202" s="23"/>
      <c r="VJG202" s="23"/>
      <c r="VJH202" s="1"/>
      <c r="VJI202" s="1"/>
      <c r="VJJ202" s="1"/>
      <c r="VJK202" s="25"/>
      <c r="VJN202" s="23"/>
      <c r="VJO202" s="23"/>
      <c r="VJP202" s="23"/>
      <c r="VJQ202" s="23"/>
      <c r="VJR202" s="23"/>
      <c r="VJS202" s="23"/>
      <c r="VJT202" s="24"/>
      <c r="VJU202" s="23"/>
      <c r="VJV202" s="23"/>
      <c r="VJW202" s="23"/>
      <c r="VJX202" s="1"/>
      <c r="VJY202" s="1"/>
      <c r="VJZ202" s="1"/>
      <c r="VKA202" s="25"/>
      <c r="VKD202" s="23"/>
      <c r="VKE202" s="23"/>
      <c r="VKF202" s="23"/>
      <c r="VKG202" s="23"/>
      <c r="VKH202" s="23"/>
      <c r="VKI202" s="23"/>
      <c r="VKJ202" s="24"/>
      <c r="VKK202" s="23"/>
      <c r="VKL202" s="23"/>
      <c r="VKM202" s="23"/>
      <c r="VKN202" s="1"/>
      <c r="VKO202" s="1"/>
      <c r="VKP202" s="1"/>
      <c r="VKQ202" s="25"/>
      <c r="VKT202" s="23"/>
      <c r="VKU202" s="23"/>
      <c r="VKV202" s="23"/>
      <c r="VKW202" s="23"/>
      <c r="VKX202" s="23"/>
      <c r="VKY202" s="23"/>
      <c r="VKZ202" s="24"/>
      <c r="VLA202" s="23"/>
      <c r="VLB202" s="23"/>
      <c r="VLC202" s="23"/>
      <c r="VLD202" s="1"/>
      <c r="VLE202" s="1"/>
      <c r="VLF202" s="1"/>
      <c r="VLG202" s="25"/>
      <c r="VLJ202" s="23"/>
      <c r="VLK202" s="23"/>
      <c r="VLL202" s="23"/>
      <c r="VLM202" s="23"/>
      <c r="VLN202" s="23"/>
      <c r="VLO202" s="23"/>
      <c r="VLP202" s="24"/>
      <c r="VLQ202" s="23"/>
      <c r="VLR202" s="23"/>
      <c r="VLS202" s="23"/>
      <c r="VLT202" s="1"/>
      <c r="VLU202" s="1"/>
      <c r="VLV202" s="1"/>
      <c r="VLW202" s="25"/>
      <c r="VLZ202" s="23"/>
      <c r="VMA202" s="23"/>
      <c r="VMB202" s="23"/>
      <c r="VMC202" s="23"/>
      <c r="VMD202" s="23"/>
      <c r="VME202" s="23"/>
      <c r="VMF202" s="24"/>
      <c r="VMG202" s="23"/>
      <c r="VMH202" s="23"/>
      <c r="VMI202" s="23"/>
      <c r="VMJ202" s="1"/>
      <c r="VMK202" s="1"/>
      <c r="VML202" s="1"/>
      <c r="VMM202" s="25"/>
      <c r="VMP202" s="23"/>
      <c r="VMQ202" s="23"/>
      <c r="VMR202" s="23"/>
      <c r="VMS202" s="23"/>
      <c r="VMT202" s="23"/>
      <c r="VMU202" s="23"/>
      <c r="VMV202" s="24"/>
      <c r="VMW202" s="23"/>
      <c r="VMX202" s="23"/>
      <c r="VMY202" s="23"/>
      <c r="VMZ202" s="1"/>
      <c r="VNA202" s="1"/>
      <c r="VNB202" s="1"/>
      <c r="VNC202" s="25"/>
      <c r="VNF202" s="23"/>
      <c r="VNG202" s="23"/>
      <c r="VNH202" s="23"/>
      <c r="VNI202" s="23"/>
      <c r="VNJ202" s="23"/>
      <c r="VNK202" s="23"/>
      <c r="VNL202" s="24"/>
      <c r="VNM202" s="23"/>
      <c r="VNN202" s="23"/>
      <c r="VNO202" s="23"/>
      <c r="VNP202" s="1"/>
      <c r="VNQ202" s="1"/>
      <c r="VNR202" s="1"/>
      <c r="VNS202" s="25"/>
      <c r="VNV202" s="23"/>
      <c r="VNW202" s="23"/>
      <c r="VNX202" s="23"/>
      <c r="VNY202" s="23"/>
      <c r="VNZ202" s="23"/>
      <c r="VOA202" s="23"/>
      <c r="VOB202" s="24"/>
      <c r="VOC202" s="23"/>
      <c r="VOD202" s="23"/>
      <c r="VOE202" s="23"/>
      <c r="VOF202" s="1"/>
      <c r="VOG202" s="1"/>
      <c r="VOH202" s="1"/>
      <c r="VOI202" s="25"/>
      <c r="VOL202" s="23"/>
      <c r="VOM202" s="23"/>
      <c r="VON202" s="23"/>
      <c r="VOO202" s="23"/>
      <c r="VOP202" s="23"/>
      <c r="VOQ202" s="23"/>
      <c r="VOR202" s="24"/>
      <c r="VOS202" s="23"/>
      <c r="VOT202" s="23"/>
      <c r="VOU202" s="23"/>
      <c r="VOV202" s="1"/>
      <c r="VOW202" s="1"/>
      <c r="VOX202" s="1"/>
      <c r="VOY202" s="25"/>
      <c r="VPB202" s="23"/>
      <c r="VPC202" s="23"/>
      <c r="VPD202" s="23"/>
      <c r="VPE202" s="23"/>
      <c r="VPF202" s="23"/>
      <c r="VPG202" s="23"/>
      <c r="VPH202" s="24"/>
      <c r="VPI202" s="23"/>
      <c r="VPJ202" s="23"/>
      <c r="VPK202" s="23"/>
      <c r="VPL202" s="1"/>
      <c r="VPM202" s="1"/>
      <c r="VPN202" s="1"/>
      <c r="VPO202" s="25"/>
      <c r="VPR202" s="23"/>
      <c r="VPS202" s="23"/>
      <c r="VPT202" s="23"/>
      <c r="VPU202" s="23"/>
      <c r="VPV202" s="23"/>
      <c r="VPW202" s="23"/>
      <c r="VPX202" s="24"/>
      <c r="VPY202" s="23"/>
      <c r="VPZ202" s="23"/>
      <c r="VQA202" s="23"/>
      <c r="VQB202" s="1"/>
      <c r="VQC202" s="1"/>
      <c r="VQD202" s="1"/>
      <c r="VQE202" s="25"/>
      <c r="VQH202" s="23"/>
      <c r="VQI202" s="23"/>
      <c r="VQJ202" s="23"/>
      <c r="VQK202" s="23"/>
      <c r="VQL202" s="23"/>
      <c r="VQM202" s="23"/>
      <c r="VQN202" s="24"/>
      <c r="VQO202" s="23"/>
      <c r="VQP202" s="23"/>
      <c r="VQQ202" s="23"/>
      <c r="VQR202" s="1"/>
      <c r="VQS202" s="1"/>
      <c r="VQT202" s="1"/>
      <c r="VQU202" s="25"/>
      <c r="VQX202" s="23"/>
      <c r="VQY202" s="23"/>
      <c r="VQZ202" s="23"/>
      <c r="VRA202" s="23"/>
      <c r="VRB202" s="23"/>
      <c r="VRC202" s="23"/>
      <c r="VRD202" s="24"/>
      <c r="VRE202" s="23"/>
      <c r="VRF202" s="23"/>
      <c r="VRG202" s="23"/>
      <c r="VRH202" s="1"/>
      <c r="VRI202" s="1"/>
      <c r="VRJ202" s="1"/>
      <c r="VRK202" s="25"/>
      <c r="VRN202" s="23"/>
      <c r="VRO202" s="23"/>
      <c r="VRP202" s="23"/>
      <c r="VRQ202" s="23"/>
      <c r="VRR202" s="23"/>
      <c r="VRS202" s="23"/>
      <c r="VRT202" s="24"/>
      <c r="VRU202" s="23"/>
      <c r="VRV202" s="23"/>
      <c r="VRW202" s="23"/>
      <c r="VRX202" s="1"/>
      <c r="VRY202" s="1"/>
      <c r="VRZ202" s="1"/>
      <c r="VSA202" s="25"/>
      <c r="VSD202" s="23"/>
      <c r="VSE202" s="23"/>
      <c r="VSF202" s="23"/>
      <c r="VSG202" s="23"/>
      <c r="VSH202" s="23"/>
      <c r="VSI202" s="23"/>
      <c r="VSJ202" s="24"/>
      <c r="VSK202" s="23"/>
      <c r="VSL202" s="23"/>
      <c r="VSM202" s="23"/>
      <c r="VSN202" s="1"/>
      <c r="VSO202" s="1"/>
      <c r="VSP202" s="1"/>
      <c r="VSQ202" s="25"/>
      <c r="VST202" s="23"/>
      <c r="VSU202" s="23"/>
      <c r="VSV202" s="23"/>
      <c r="VSW202" s="23"/>
      <c r="VSX202" s="23"/>
      <c r="VSY202" s="23"/>
      <c r="VSZ202" s="24"/>
      <c r="VTA202" s="23"/>
      <c r="VTB202" s="23"/>
      <c r="VTC202" s="23"/>
      <c r="VTD202" s="1"/>
      <c r="VTE202" s="1"/>
      <c r="VTF202" s="1"/>
      <c r="VTG202" s="25"/>
      <c r="VTJ202" s="23"/>
      <c r="VTK202" s="23"/>
      <c r="VTL202" s="23"/>
      <c r="VTM202" s="23"/>
      <c r="VTN202" s="23"/>
      <c r="VTO202" s="23"/>
      <c r="VTP202" s="24"/>
      <c r="VTQ202" s="23"/>
      <c r="VTR202" s="23"/>
      <c r="VTS202" s="23"/>
      <c r="VTT202" s="1"/>
      <c r="VTU202" s="1"/>
      <c r="VTV202" s="1"/>
      <c r="VTW202" s="25"/>
      <c r="VTZ202" s="23"/>
      <c r="VUA202" s="23"/>
      <c r="VUB202" s="23"/>
      <c r="VUC202" s="23"/>
      <c r="VUD202" s="23"/>
      <c r="VUE202" s="23"/>
      <c r="VUF202" s="24"/>
      <c r="VUG202" s="23"/>
      <c r="VUH202" s="23"/>
      <c r="VUI202" s="23"/>
      <c r="VUJ202" s="1"/>
      <c r="VUK202" s="1"/>
      <c r="VUL202" s="1"/>
      <c r="VUM202" s="25"/>
      <c r="VUP202" s="23"/>
      <c r="VUQ202" s="23"/>
      <c r="VUR202" s="23"/>
      <c r="VUS202" s="23"/>
      <c r="VUT202" s="23"/>
      <c r="VUU202" s="23"/>
      <c r="VUV202" s="24"/>
      <c r="VUW202" s="23"/>
      <c r="VUX202" s="23"/>
      <c r="VUY202" s="23"/>
      <c r="VUZ202" s="1"/>
      <c r="VVA202" s="1"/>
      <c r="VVB202" s="1"/>
      <c r="VVC202" s="25"/>
      <c r="VVF202" s="23"/>
      <c r="VVG202" s="23"/>
      <c r="VVH202" s="23"/>
      <c r="VVI202" s="23"/>
      <c r="VVJ202" s="23"/>
      <c r="VVK202" s="23"/>
      <c r="VVL202" s="24"/>
      <c r="VVM202" s="23"/>
      <c r="VVN202" s="23"/>
      <c r="VVO202" s="23"/>
      <c r="VVP202" s="1"/>
      <c r="VVQ202" s="1"/>
      <c r="VVR202" s="1"/>
      <c r="VVS202" s="25"/>
      <c r="VVV202" s="23"/>
      <c r="VVW202" s="23"/>
      <c r="VVX202" s="23"/>
      <c r="VVY202" s="23"/>
      <c r="VVZ202" s="23"/>
      <c r="VWA202" s="23"/>
      <c r="VWB202" s="24"/>
      <c r="VWC202" s="23"/>
      <c r="VWD202" s="23"/>
      <c r="VWE202" s="23"/>
      <c r="VWF202" s="1"/>
      <c r="VWG202" s="1"/>
      <c r="VWH202" s="1"/>
      <c r="VWI202" s="25"/>
      <c r="VWL202" s="23"/>
      <c r="VWM202" s="23"/>
      <c r="VWN202" s="23"/>
      <c r="VWO202" s="23"/>
      <c r="VWP202" s="23"/>
      <c r="VWQ202" s="23"/>
      <c r="VWR202" s="24"/>
      <c r="VWS202" s="23"/>
      <c r="VWT202" s="23"/>
      <c r="VWU202" s="23"/>
      <c r="VWV202" s="1"/>
      <c r="VWW202" s="1"/>
      <c r="VWX202" s="1"/>
      <c r="VWY202" s="25"/>
      <c r="VXB202" s="23"/>
      <c r="VXC202" s="23"/>
      <c r="VXD202" s="23"/>
      <c r="VXE202" s="23"/>
      <c r="VXF202" s="23"/>
      <c r="VXG202" s="23"/>
      <c r="VXH202" s="24"/>
      <c r="VXI202" s="23"/>
      <c r="VXJ202" s="23"/>
      <c r="VXK202" s="23"/>
      <c r="VXL202" s="1"/>
      <c r="VXM202" s="1"/>
      <c r="VXN202" s="1"/>
      <c r="VXO202" s="25"/>
      <c r="VXR202" s="23"/>
      <c r="VXS202" s="23"/>
      <c r="VXT202" s="23"/>
      <c r="VXU202" s="23"/>
      <c r="VXV202" s="23"/>
      <c r="VXW202" s="23"/>
      <c r="VXX202" s="24"/>
      <c r="VXY202" s="23"/>
      <c r="VXZ202" s="23"/>
      <c r="VYA202" s="23"/>
      <c r="VYB202" s="1"/>
      <c r="VYC202" s="1"/>
      <c r="VYD202" s="1"/>
      <c r="VYE202" s="25"/>
      <c r="VYH202" s="23"/>
      <c r="VYI202" s="23"/>
      <c r="VYJ202" s="23"/>
      <c r="VYK202" s="23"/>
      <c r="VYL202" s="23"/>
      <c r="VYM202" s="23"/>
      <c r="VYN202" s="24"/>
      <c r="VYO202" s="23"/>
      <c r="VYP202" s="23"/>
      <c r="VYQ202" s="23"/>
      <c r="VYR202" s="1"/>
      <c r="VYS202" s="1"/>
      <c r="VYT202" s="1"/>
      <c r="VYU202" s="25"/>
      <c r="VYX202" s="23"/>
      <c r="VYY202" s="23"/>
      <c r="VYZ202" s="23"/>
      <c r="VZA202" s="23"/>
      <c r="VZB202" s="23"/>
      <c r="VZC202" s="23"/>
      <c r="VZD202" s="24"/>
      <c r="VZE202" s="23"/>
      <c r="VZF202" s="23"/>
      <c r="VZG202" s="23"/>
      <c r="VZH202" s="1"/>
      <c r="VZI202" s="1"/>
      <c r="VZJ202" s="1"/>
      <c r="VZK202" s="25"/>
      <c r="VZN202" s="23"/>
      <c r="VZO202" s="23"/>
      <c r="VZP202" s="23"/>
      <c r="VZQ202" s="23"/>
      <c r="VZR202" s="23"/>
      <c r="VZS202" s="23"/>
      <c r="VZT202" s="24"/>
      <c r="VZU202" s="23"/>
      <c r="VZV202" s="23"/>
      <c r="VZW202" s="23"/>
      <c r="VZX202" s="1"/>
      <c r="VZY202" s="1"/>
      <c r="VZZ202" s="1"/>
      <c r="WAA202" s="25"/>
      <c r="WAD202" s="23"/>
      <c r="WAE202" s="23"/>
      <c r="WAF202" s="23"/>
      <c r="WAG202" s="23"/>
      <c r="WAH202" s="23"/>
      <c r="WAI202" s="23"/>
      <c r="WAJ202" s="24"/>
      <c r="WAK202" s="23"/>
      <c r="WAL202" s="23"/>
      <c r="WAM202" s="23"/>
      <c r="WAN202" s="1"/>
      <c r="WAO202" s="1"/>
      <c r="WAP202" s="1"/>
      <c r="WAQ202" s="25"/>
      <c r="WAT202" s="23"/>
      <c r="WAU202" s="23"/>
      <c r="WAV202" s="23"/>
      <c r="WAW202" s="23"/>
      <c r="WAX202" s="23"/>
      <c r="WAY202" s="23"/>
      <c r="WAZ202" s="24"/>
      <c r="WBA202" s="23"/>
      <c r="WBB202" s="23"/>
      <c r="WBC202" s="23"/>
      <c r="WBD202" s="1"/>
      <c r="WBE202" s="1"/>
      <c r="WBF202" s="1"/>
      <c r="WBG202" s="25"/>
      <c r="WBJ202" s="23"/>
      <c r="WBK202" s="23"/>
      <c r="WBL202" s="23"/>
      <c r="WBM202" s="23"/>
      <c r="WBN202" s="23"/>
      <c r="WBO202" s="23"/>
      <c r="WBP202" s="24"/>
      <c r="WBQ202" s="23"/>
      <c r="WBR202" s="23"/>
      <c r="WBS202" s="23"/>
      <c r="WBT202" s="1"/>
      <c r="WBU202" s="1"/>
      <c r="WBV202" s="1"/>
      <c r="WBW202" s="25"/>
      <c r="WBZ202" s="23"/>
      <c r="WCA202" s="23"/>
      <c r="WCB202" s="23"/>
      <c r="WCC202" s="23"/>
      <c r="WCD202" s="23"/>
      <c r="WCE202" s="23"/>
      <c r="WCF202" s="24"/>
      <c r="WCG202" s="23"/>
      <c r="WCH202" s="23"/>
      <c r="WCI202" s="23"/>
      <c r="WCJ202" s="1"/>
      <c r="WCK202" s="1"/>
      <c r="WCL202" s="1"/>
      <c r="WCM202" s="25"/>
      <c r="WCP202" s="23"/>
      <c r="WCQ202" s="23"/>
      <c r="WCR202" s="23"/>
      <c r="WCS202" s="23"/>
      <c r="WCT202" s="23"/>
      <c r="WCU202" s="23"/>
      <c r="WCV202" s="24"/>
      <c r="WCW202" s="23"/>
      <c r="WCX202" s="23"/>
      <c r="WCY202" s="23"/>
      <c r="WCZ202" s="1"/>
      <c r="WDA202" s="1"/>
      <c r="WDB202" s="1"/>
      <c r="WDC202" s="25"/>
      <c r="WDF202" s="23"/>
      <c r="WDG202" s="23"/>
      <c r="WDH202" s="23"/>
      <c r="WDI202" s="23"/>
      <c r="WDJ202" s="23"/>
      <c r="WDK202" s="23"/>
      <c r="WDL202" s="24"/>
      <c r="WDM202" s="23"/>
      <c r="WDN202" s="23"/>
      <c r="WDO202" s="23"/>
      <c r="WDP202" s="1"/>
      <c r="WDQ202" s="1"/>
      <c r="WDR202" s="1"/>
      <c r="WDS202" s="25"/>
      <c r="WDV202" s="23"/>
      <c r="WDW202" s="23"/>
      <c r="WDX202" s="23"/>
      <c r="WDY202" s="23"/>
      <c r="WDZ202" s="23"/>
      <c r="WEA202" s="23"/>
      <c r="WEB202" s="24"/>
      <c r="WEC202" s="23"/>
      <c r="WED202" s="23"/>
      <c r="WEE202" s="23"/>
      <c r="WEF202" s="1"/>
      <c r="WEG202" s="1"/>
      <c r="WEH202" s="1"/>
      <c r="WEI202" s="25"/>
      <c r="WEL202" s="23"/>
      <c r="WEM202" s="23"/>
      <c r="WEN202" s="23"/>
      <c r="WEO202" s="23"/>
      <c r="WEP202" s="23"/>
      <c r="WEQ202" s="23"/>
      <c r="WER202" s="24"/>
      <c r="WES202" s="23"/>
      <c r="WET202" s="23"/>
      <c r="WEU202" s="23"/>
      <c r="WEV202" s="1"/>
      <c r="WEW202" s="1"/>
      <c r="WEX202" s="1"/>
      <c r="WEY202" s="25"/>
      <c r="WFB202" s="23"/>
      <c r="WFC202" s="23"/>
      <c r="WFD202" s="23"/>
      <c r="WFE202" s="23"/>
      <c r="WFF202" s="23"/>
      <c r="WFG202" s="23"/>
      <c r="WFH202" s="24"/>
      <c r="WFI202" s="23"/>
      <c r="WFJ202" s="23"/>
      <c r="WFK202" s="23"/>
      <c r="WFL202" s="1"/>
      <c r="WFM202" s="1"/>
      <c r="WFN202" s="1"/>
      <c r="WFO202" s="25"/>
      <c r="WFR202" s="23"/>
      <c r="WFS202" s="23"/>
      <c r="WFT202" s="23"/>
      <c r="WFU202" s="23"/>
      <c r="WFV202" s="23"/>
      <c r="WFW202" s="23"/>
      <c r="WFX202" s="24"/>
      <c r="WFY202" s="23"/>
      <c r="WFZ202" s="23"/>
      <c r="WGA202" s="23"/>
      <c r="WGB202" s="1"/>
      <c r="WGC202" s="1"/>
      <c r="WGD202" s="1"/>
      <c r="WGE202" s="25"/>
      <c r="WGH202" s="23"/>
      <c r="WGI202" s="23"/>
      <c r="WGJ202" s="23"/>
      <c r="WGK202" s="23"/>
      <c r="WGL202" s="23"/>
      <c r="WGM202" s="23"/>
      <c r="WGN202" s="24"/>
      <c r="WGO202" s="23"/>
      <c r="WGP202" s="23"/>
      <c r="WGQ202" s="23"/>
      <c r="WGR202" s="1"/>
      <c r="WGS202" s="1"/>
      <c r="WGT202" s="1"/>
      <c r="WGU202" s="25"/>
      <c r="WGX202" s="23"/>
      <c r="WGY202" s="23"/>
      <c r="WGZ202" s="23"/>
      <c r="WHA202" s="23"/>
      <c r="WHB202" s="23"/>
      <c r="WHC202" s="23"/>
      <c r="WHD202" s="24"/>
      <c r="WHE202" s="23"/>
      <c r="WHF202" s="23"/>
      <c r="WHG202" s="23"/>
      <c r="WHH202" s="1"/>
      <c r="WHI202" s="1"/>
      <c r="WHJ202" s="1"/>
      <c r="WHK202" s="25"/>
      <c r="WHN202" s="23"/>
      <c r="WHO202" s="23"/>
      <c r="WHP202" s="23"/>
      <c r="WHQ202" s="23"/>
      <c r="WHR202" s="23"/>
      <c r="WHS202" s="23"/>
      <c r="WHT202" s="24"/>
      <c r="WHU202" s="23"/>
      <c r="WHV202" s="23"/>
      <c r="WHW202" s="23"/>
      <c r="WHX202" s="1"/>
      <c r="WHY202" s="1"/>
      <c r="WHZ202" s="1"/>
      <c r="WIA202" s="25"/>
      <c r="WID202" s="23"/>
      <c r="WIE202" s="23"/>
      <c r="WIF202" s="23"/>
      <c r="WIG202" s="23"/>
      <c r="WIH202" s="23"/>
      <c r="WII202" s="23"/>
      <c r="WIJ202" s="24"/>
      <c r="WIK202" s="23"/>
      <c r="WIL202" s="23"/>
      <c r="WIM202" s="23"/>
      <c r="WIN202" s="1"/>
      <c r="WIO202" s="1"/>
      <c r="WIP202" s="1"/>
      <c r="WIQ202" s="25"/>
      <c r="WIT202" s="23"/>
      <c r="WIU202" s="23"/>
      <c r="WIV202" s="23"/>
      <c r="WIW202" s="23"/>
      <c r="WIX202" s="23"/>
      <c r="WIY202" s="23"/>
      <c r="WIZ202" s="24"/>
      <c r="WJA202" s="23"/>
      <c r="WJB202" s="23"/>
      <c r="WJC202" s="23"/>
      <c r="WJD202" s="1"/>
      <c r="WJE202" s="1"/>
      <c r="WJF202" s="1"/>
      <c r="WJG202" s="25"/>
      <c r="WJJ202" s="23"/>
      <c r="WJK202" s="23"/>
      <c r="WJL202" s="23"/>
      <c r="WJM202" s="23"/>
      <c r="WJN202" s="23"/>
      <c r="WJO202" s="23"/>
      <c r="WJP202" s="24"/>
      <c r="WJQ202" s="23"/>
      <c r="WJR202" s="23"/>
      <c r="WJS202" s="23"/>
      <c r="WJT202" s="1"/>
      <c r="WJU202" s="1"/>
      <c r="WJV202" s="1"/>
      <c r="WJW202" s="25"/>
      <c r="WJZ202" s="23"/>
      <c r="WKA202" s="23"/>
      <c r="WKB202" s="23"/>
      <c r="WKC202" s="23"/>
      <c r="WKD202" s="23"/>
      <c r="WKE202" s="23"/>
      <c r="WKF202" s="24"/>
      <c r="WKG202" s="23"/>
      <c r="WKH202" s="23"/>
      <c r="WKI202" s="23"/>
      <c r="WKJ202" s="1"/>
      <c r="WKK202" s="1"/>
      <c r="WKL202" s="1"/>
      <c r="WKM202" s="25"/>
      <c r="WKP202" s="23"/>
      <c r="WKQ202" s="23"/>
      <c r="WKR202" s="23"/>
      <c r="WKS202" s="23"/>
      <c r="WKT202" s="23"/>
      <c r="WKU202" s="23"/>
      <c r="WKV202" s="24"/>
      <c r="WKW202" s="23"/>
      <c r="WKX202" s="23"/>
      <c r="WKY202" s="23"/>
      <c r="WKZ202" s="1"/>
      <c r="WLA202" s="1"/>
      <c r="WLB202" s="1"/>
      <c r="WLC202" s="25"/>
      <c r="WLF202" s="23"/>
      <c r="WLG202" s="23"/>
      <c r="WLH202" s="23"/>
      <c r="WLI202" s="23"/>
      <c r="WLJ202" s="23"/>
      <c r="WLK202" s="23"/>
      <c r="WLL202" s="24"/>
      <c r="WLM202" s="23"/>
      <c r="WLN202" s="23"/>
      <c r="WLO202" s="23"/>
      <c r="WLP202" s="1"/>
      <c r="WLQ202" s="1"/>
      <c r="WLR202" s="1"/>
      <c r="WLS202" s="25"/>
      <c r="WLV202" s="23"/>
      <c r="WLW202" s="23"/>
      <c r="WLX202" s="23"/>
      <c r="WLY202" s="23"/>
      <c r="WLZ202" s="23"/>
      <c r="WMA202" s="23"/>
      <c r="WMB202" s="24"/>
      <c r="WMC202" s="23"/>
      <c r="WMD202" s="23"/>
      <c r="WME202" s="23"/>
      <c r="WMF202" s="1"/>
      <c r="WMG202" s="1"/>
      <c r="WMH202" s="1"/>
      <c r="WMI202" s="25"/>
      <c r="WML202" s="23"/>
      <c r="WMM202" s="23"/>
      <c r="WMN202" s="23"/>
      <c r="WMO202" s="23"/>
      <c r="WMP202" s="23"/>
      <c r="WMQ202" s="23"/>
      <c r="WMR202" s="24"/>
      <c r="WMS202" s="23"/>
      <c r="WMT202" s="23"/>
      <c r="WMU202" s="23"/>
      <c r="WMV202" s="1"/>
      <c r="WMW202" s="1"/>
      <c r="WMX202" s="1"/>
      <c r="WMY202" s="25"/>
      <c r="WNB202" s="23"/>
      <c r="WNC202" s="23"/>
      <c r="WND202" s="23"/>
      <c r="WNE202" s="23"/>
      <c r="WNF202" s="23"/>
      <c r="WNG202" s="23"/>
      <c r="WNH202" s="24"/>
      <c r="WNI202" s="23"/>
      <c r="WNJ202" s="23"/>
      <c r="WNK202" s="23"/>
      <c r="WNL202" s="1"/>
      <c r="WNM202" s="1"/>
      <c r="WNN202" s="1"/>
      <c r="WNO202" s="25"/>
      <c r="WNR202" s="23"/>
      <c r="WNS202" s="23"/>
      <c r="WNT202" s="23"/>
      <c r="WNU202" s="23"/>
      <c r="WNV202" s="23"/>
      <c r="WNW202" s="23"/>
      <c r="WNX202" s="24"/>
      <c r="WNY202" s="23"/>
      <c r="WNZ202" s="23"/>
      <c r="WOA202" s="23"/>
      <c r="WOB202" s="1"/>
      <c r="WOC202" s="1"/>
      <c r="WOD202" s="1"/>
      <c r="WOE202" s="25"/>
      <c r="WOH202" s="23"/>
      <c r="WOI202" s="23"/>
      <c r="WOJ202" s="23"/>
      <c r="WOK202" s="23"/>
      <c r="WOL202" s="23"/>
      <c r="WOM202" s="23"/>
      <c r="WON202" s="24"/>
      <c r="WOO202" s="23"/>
      <c r="WOP202" s="23"/>
      <c r="WOQ202" s="23"/>
      <c r="WOR202" s="1"/>
      <c r="WOS202" s="1"/>
      <c r="WOT202" s="1"/>
      <c r="WOU202" s="25"/>
      <c r="WOX202" s="23"/>
      <c r="WOY202" s="23"/>
      <c r="WOZ202" s="23"/>
      <c r="WPA202" s="23"/>
      <c r="WPB202" s="23"/>
      <c r="WPC202" s="23"/>
      <c r="WPD202" s="24"/>
      <c r="WPE202" s="23"/>
      <c r="WPF202" s="23"/>
      <c r="WPG202" s="23"/>
      <c r="WPH202" s="1"/>
      <c r="WPI202" s="1"/>
      <c r="WPJ202" s="1"/>
      <c r="WPK202" s="25"/>
      <c r="WPN202" s="23"/>
      <c r="WPO202" s="23"/>
      <c r="WPP202" s="23"/>
      <c r="WPQ202" s="23"/>
      <c r="WPR202" s="23"/>
      <c r="WPS202" s="23"/>
      <c r="WPT202" s="24"/>
      <c r="WPU202" s="23"/>
      <c r="WPV202" s="23"/>
      <c r="WPW202" s="23"/>
      <c r="WPX202" s="1"/>
      <c r="WPY202" s="1"/>
      <c r="WPZ202" s="1"/>
      <c r="WQA202" s="25"/>
      <c r="WQD202" s="23"/>
      <c r="WQE202" s="23"/>
      <c r="WQF202" s="23"/>
      <c r="WQG202" s="23"/>
      <c r="WQH202" s="23"/>
      <c r="WQI202" s="23"/>
      <c r="WQJ202" s="24"/>
      <c r="WQK202" s="23"/>
      <c r="WQL202" s="23"/>
      <c r="WQM202" s="23"/>
      <c r="WQN202" s="1"/>
      <c r="WQO202" s="1"/>
      <c r="WQP202" s="1"/>
      <c r="WQQ202" s="25"/>
      <c r="WQT202" s="23"/>
      <c r="WQU202" s="23"/>
      <c r="WQV202" s="23"/>
      <c r="WQW202" s="23"/>
      <c r="WQX202" s="23"/>
      <c r="WQY202" s="23"/>
      <c r="WQZ202" s="24"/>
      <c r="WRA202" s="23"/>
      <c r="WRB202" s="23"/>
      <c r="WRC202" s="23"/>
      <c r="WRD202" s="1"/>
      <c r="WRE202" s="1"/>
      <c r="WRF202" s="1"/>
      <c r="WRG202" s="25"/>
      <c r="WRJ202" s="23"/>
      <c r="WRK202" s="23"/>
      <c r="WRL202" s="23"/>
      <c r="WRM202" s="23"/>
      <c r="WRN202" s="23"/>
      <c r="WRO202" s="23"/>
      <c r="WRP202" s="24"/>
      <c r="WRQ202" s="23"/>
      <c r="WRR202" s="23"/>
      <c r="WRS202" s="23"/>
      <c r="WRT202" s="1"/>
      <c r="WRU202" s="1"/>
      <c r="WRV202" s="1"/>
      <c r="WRW202" s="25"/>
      <c r="WRZ202" s="23"/>
      <c r="WSA202" s="23"/>
      <c r="WSB202" s="23"/>
      <c r="WSC202" s="23"/>
      <c r="WSD202" s="23"/>
      <c r="WSE202" s="23"/>
      <c r="WSF202" s="24"/>
      <c r="WSG202" s="23"/>
      <c r="WSH202" s="23"/>
      <c r="WSI202" s="23"/>
      <c r="WSJ202" s="1"/>
      <c r="WSK202" s="1"/>
      <c r="WSL202" s="1"/>
      <c r="WSM202" s="25"/>
      <c r="WSP202" s="23"/>
      <c r="WSQ202" s="23"/>
      <c r="WSR202" s="23"/>
      <c r="WSS202" s="23"/>
      <c r="WST202" s="23"/>
      <c r="WSU202" s="23"/>
      <c r="WSV202" s="24"/>
      <c r="WSW202" s="23"/>
      <c r="WSX202" s="23"/>
      <c r="WSY202" s="23"/>
      <c r="WSZ202" s="1"/>
      <c r="WTA202" s="1"/>
      <c r="WTB202" s="1"/>
      <c r="WTC202" s="25"/>
      <c r="WTF202" s="23"/>
      <c r="WTG202" s="23"/>
      <c r="WTH202" s="23"/>
      <c r="WTI202" s="23"/>
      <c r="WTJ202" s="23"/>
      <c r="WTK202" s="23"/>
      <c r="WTL202" s="24"/>
      <c r="WTM202" s="23"/>
      <c r="WTN202" s="23"/>
      <c r="WTO202" s="23"/>
      <c r="WTP202" s="1"/>
      <c r="WTQ202" s="1"/>
      <c r="WTR202" s="1"/>
      <c r="WTS202" s="25"/>
      <c r="WTV202" s="23"/>
      <c r="WTW202" s="23"/>
      <c r="WTX202" s="23"/>
      <c r="WTY202" s="23"/>
      <c r="WTZ202" s="23"/>
      <c r="WUA202" s="23"/>
      <c r="WUB202" s="24"/>
      <c r="WUC202" s="23"/>
      <c r="WUD202" s="23"/>
      <c r="WUE202" s="23"/>
      <c r="WUF202" s="1"/>
      <c r="WUG202" s="1"/>
      <c r="WUH202" s="1"/>
      <c r="WUI202" s="25"/>
      <c r="WUL202" s="23"/>
      <c r="WUM202" s="23"/>
      <c r="WUN202" s="23"/>
      <c r="WUO202" s="23"/>
      <c r="WUP202" s="23"/>
      <c r="WUQ202" s="23"/>
      <c r="WUR202" s="24"/>
      <c r="WUS202" s="23"/>
      <c r="WUT202" s="23"/>
      <c r="WUU202" s="23"/>
      <c r="WUV202" s="1"/>
      <c r="WUW202" s="1"/>
      <c r="WUX202" s="1"/>
      <c r="WUY202" s="25"/>
      <c r="WVB202" s="23"/>
      <c r="WVC202" s="23"/>
      <c r="WVD202" s="23"/>
      <c r="WVE202" s="23"/>
      <c r="WVF202" s="23"/>
      <c r="WVG202" s="23"/>
      <c r="WVH202" s="24"/>
      <c r="WVI202" s="23"/>
      <c r="WVJ202" s="23"/>
      <c r="WVK202" s="23"/>
      <c r="WVL202" s="1"/>
      <c r="WVM202" s="1"/>
      <c r="WVN202" s="1"/>
      <c r="WVO202" s="25"/>
      <c r="WVR202" s="23"/>
      <c r="WVS202" s="23"/>
      <c r="WVT202" s="23"/>
      <c r="WVU202" s="23"/>
      <c r="WVV202" s="23"/>
      <c r="WVW202" s="23"/>
      <c r="WVX202" s="24"/>
      <c r="WVY202" s="23"/>
      <c r="WVZ202" s="23"/>
      <c r="WWA202" s="23"/>
      <c r="WWB202" s="1"/>
      <c r="WWC202" s="1"/>
      <c r="WWD202" s="1"/>
      <c r="WWE202" s="25"/>
      <c r="WWH202" s="23"/>
      <c r="WWI202" s="23"/>
      <c r="WWJ202" s="23"/>
      <c r="WWK202" s="23"/>
      <c r="WWL202" s="23"/>
      <c r="WWM202" s="23"/>
      <c r="WWN202" s="24"/>
      <c r="WWO202" s="23"/>
      <c r="WWP202" s="23"/>
      <c r="WWQ202" s="23"/>
      <c r="WWR202" s="1"/>
      <c r="WWS202" s="1"/>
      <c r="WWT202" s="1"/>
      <c r="WWU202" s="25"/>
      <c r="WWX202" s="23"/>
      <c r="WWY202" s="23"/>
      <c r="WWZ202" s="23"/>
      <c r="WXA202" s="23"/>
      <c r="WXB202" s="23"/>
      <c r="WXC202" s="23"/>
      <c r="WXD202" s="24"/>
      <c r="WXE202" s="23"/>
      <c r="WXF202" s="23"/>
      <c r="WXG202" s="23"/>
      <c r="WXH202" s="1"/>
      <c r="WXI202" s="1"/>
      <c r="WXJ202" s="1"/>
      <c r="WXK202" s="25"/>
      <c r="WXN202" s="23"/>
      <c r="WXO202" s="23"/>
      <c r="WXP202" s="23"/>
      <c r="WXQ202" s="23"/>
      <c r="WXR202" s="23"/>
      <c r="WXS202" s="23"/>
      <c r="WXT202" s="24"/>
      <c r="WXU202" s="23"/>
      <c r="WXV202" s="23"/>
      <c r="WXW202" s="23"/>
      <c r="WXX202" s="1"/>
      <c r="WXY202" s="1"/>
      <c r="WXZ202" s="1"/>
      <c r="WYA202" s="25"/>
      <c r="WYD202" s="23"/>
      <c r="WYE202" s="23"/>
      <c r="WYF202" s="23"/>
      <c r="WYG202" s="23"/>
      <c r="WYH202" s="23"/>
      <c r="WYI202" s="23"/>
      <c r="WYJ202" s="24"/>
      <c r="WYK202" s="23"/>
      <c r="WYL202" s="23"/>
      <c r="WYM202" s="23"/>
      <c r="WYN202" s="1"/>
      <c r="WYO202" s="1"/>
      <c r="WYP202" s="1"/>
      <c r="WYQ202" s="25"/>
      <c r="WYT202" s="23"/>
      <c r="WYU202" s="23"/>
      <c r="WYV202" s="23"/>
      <c r="WYW202" s="23"/>
      <c r="WYX202" s="23"/>
      <c r="WYY202" s="23"/>
      <c r="WYZ202" s="24"/>
      <c r="WZA202" s="23"/>
      <c r="WZB202" s="23"/>
      <c r="WZC202" s="23"/>
      <c r="WZD202" s="1"/>
      <c r="WZE202" s="1"/>
      <c r="WZF202" s="1"/>
      <c r="WZG202" s="25"/>
      <c r="WZJ202" s="23"/>
      <c r="WZK202" s="23"/>
      <c r="WZL202" s="23"/>
      <c r="WZM202" s="23"/>
      <c r="WZN202" s="23"/>
      <c r="WZO202" s="23"/>
      <c r="WZP202" s="24"/>
      <c r="WZQ202" s="23"/>
      <c r="WZR202" s="23"/>
      <c r="WZS202" s="23"/>
      <c r="WZT202" s="1"/>
      <c r="WZU202" s="1"/>
      <c r="WZV202" s="1"/>
      <c r="WZW202" s="25"/>
      <c r="WZZ202" s="23"/>
      <c r="XAA202" s="23"/>
      <c r="XAB202" s="23"/>
      <c r="XAC202" s="23"/>
      <c r="XAD202" s="23"/>
      <c r="XAE202" s="23"/>
      <c r="XAF202" s="24"/>
      <c r="XAG202" s="23"/>
      <c r="XAH202" s="23"/>
      <c r="XAI202" s="23"/>
      <c r="XAJ202" s="1"/>
      <c r="XAK202" s="1"/>
      <c r="XAL202" s="1"/>
      <c r="XAM202" s="25"/>
      <c r="XAP202" s="23"/>
      <c r="XAQ202" s="23"/>
      <c r="XAR202" s="23"/>
      <c r="XAS202" s="23"/>
      <c r="XAT202" s="23"/>
      <c r="XAU202" s="23"/>
      <c r="XAV202" s="24"/>
      <c r="XAW202" s="23"/>
      <c r="XAX202" s="23"/>
      <c r="XAY202" s="23"/>
      <c r="XAZ202" s="1"/>
      <c r="XBA202" s="1"/>
      <c r="XBB202" s="1"/>
      <c r="XBC202" s="25"/>
      <c r="XBF202" s="23"/>
      <c r="XBG202" s="23"/>
      <c r="XBH202" s="23"/>
      <c r="XBI202" s="23"/>
      <c r="XBJ202" s="23"/>
      <c r="XBK202" s="23"/>
      <c r="XBL202" s="24"/>
      <c r="XBM202" s="23"/>
      <c r="XBN202" s="23"/>
      <c r="XBO202" s="23"/>
      <c r="XBP202" s="1"/>
      <c r="XBQ202" s="1"/>
      <c r="XBR202" s="1"/>
      <c r="XBS202" s="25"/>
      <c r="XBV202" s="23"/>
      <c r="XBW202" s="23"/>
      <c r="XBX202" s="23"/>
      <c r="XBY202" s="23"/>
      <c r="XBZ202" s="23"/>
      <c r="XCA202" s="23"/>
      <c r="XCB202" s="24"/>
      <c r="XCC202" s="23"/>
      <c r="XCD202" s="23"/>
      <c r="XCE202" s="23"/>
      <c r="XCF202" s="1"/>
      <c r="XCG202" s="1"/>
      <c r="XCH202" s="1"/>
      <c r="XCI202" s="25"/>
      <c r="XCL202" s="23"/>
      <c r="XCM202" s="23"/>
      <c r="XCN202" s="23"/>
      <c r="XCO202" s="23"/>
      <c r="XCP202" s="23"/>
      <c r="XCQ202" s="23"/>
      <c r="XCR202" s="24"/>
      <c r="XCS202" s="23"/>
      <c r="XCT202" s="23"/>
      <c r="XCU202" s="23"/>
      <c r="XCV202" s="1"/>
      <c r="XCW202" s="1"/>
      <c r="XCX202" s="1"/>
      <c r="XCY202" s="25"/>
      <c r="XDB202" s="23"/>
      <c r="XDC202" s="23"/>
      <c r="XDD202" s="23"/>
      <c r="XDE202" s="23"/>
      <c r="XDF202" s="23"/>
      <c r="XDG202" s="23"/>
      <c r="XDH202" s="24"/>
      <c r="XDI202" s="23"/>
      <c r="XDJ202" s="23"/>
      <c r="XDK202" s="23"/>
      <c r="XDL202" s="1"/>
      <c r="XDM202" s="1"/>
      <c r="XDN202" s="1"/>
      <c r="XDO202" s="25"/>
      <c r="XDR202" s="23"/>
      <c r="XDS202" s="23"/>
      <c r="XDT202" s="23"/>
      <c r="XDU202" s="23"/>
      <c r="XDV202" s="23"/>
      <c r="XDW202" s="23"/>
      <c r="XDX202" s="24"/>
      <c r="XDY202" s="23"/>
      <c r="XDZ202" s="23"/>
      <c r="XEA202" s="23"/>
      <c r="XEB202" s="1"/>
      <c r="XEC202" s="1"/>
      <c r="XED202" s="1"/>
      <c r="XEE202" s="25"/>
      <c r="XEH202" s="23"/>
      <c r="XEI202" s="23"/>
      <c r="XEJ202" s="23"/>
      <c r="XEK202" s="23"/>
      <c r="XEL202" s="23"/>
      <c r="XEM202" s="23"/>
      <c r="XEN202" s="24"/>
      <c r="XEO202" s="23"/>
      <c r="XEP202" s="23"/>
      <c r="XEQ202" s="23"/>
      <c r="XER202" s="1"/>
      <c r="XES202" s="1"/>
      <c r="XET202" s="1"/>
      <c r="XEU202" s="25"/>
      <c r="XEX202" s="23"/>
      <c r="XEY202" s="23"/>
      <c r="XEZ202" s="23"/>
      <c r="XFA202" s="23"/>
      <c r="XFB202" s="23"/>
      <c r="XFC202" s="23"/>
    </row>
    <row r="203" spans="1:16383" hidden="1" x14ac:dyDescent="0.25">
      <c r="A203" t="s">
        <v>2526</v>
      </c>
      <c r="B203" t="str">
        <f t="shared" si="17"/>
        <v>No Change</v>
      </c>
      <c r="C203" t="s">
        <v>2897</v>
      </c>
      <c r="D203">
        <v>68427709</v>
      </c>
      <c r="E203" s="96" t="s">
        <v>53</v>
      </c>
      <c r="F203" s="26" t="s">
        <v>54</v>
      </c>
      <c r="G203" s="26" t="s">
        <v>42</v>
      </c>
      <c r="H203" s="26" t="s">
        <v>2898</v>
      </c>
      <c r="I203">
        <v>0</v>
      </c>
      <c r="J203" t="s">
        <v>2899</v>
      </c>
      <c r="K203" s="26">
        <v>166023</v>
      </c>
      <c r="L203" s="26" t="s">
        <v>2900</v>
      </c>
      <c r="M203" s="199">
        <v>5400963275</v>
      </c>
      <c r="N203" s="28">
        <v>10</v>
      </c>
      <c r="O203" s="26" t="s">
        <v>2531</v>
      </c>
      <c r="P203" s="26" t="s">
        <v>2689</v>
      </c>
      <c r="Q203" s="26" t="s">
        <v>2532</v>
      </c>
      <c r="R203" s="33" t="s">
        <v>2672</v>
      </c>
      <c r="S203" s="7">
        <v>14000</v>
      </c>
      <c r="T203" s="7">
        <v>14000</v>
      </c>
      <c r="U203" s="7">
        <v>14000</v>
      </c>
      <c r="V203" s="7">
        <f t="shared" si="18"/>
        <v>0</v>
      </c>
      <c r="W203" s="5">
        <f t="shared" si="19"/>
        <v>0</v>
      </c>
      <c r="X203" s="6"/>
      <c r="Y203" s="34">
        <f>SUMPRODUCT((BIdetails!$J$5:$J$3000=M203)*(BIdetails!$K$5:$K$3000=N203)*(BIdetails!$M$5:$M$3000))</f>
        <v>0</v>
      </c>
      <c r="Z203" s="35">
        <f t="shared" si="20"/>
        <v>0</v>
      </c>
      <c r="AA203" s="31"/>
      <c r="AB203" s="31"/>
      <c r="AC203" s="31"/>
      <c r="AD203" s="31"/>
      <c r="AE203">
        <v>2700</v>
      </c>
    </row>
    <row r="204" spans="1:16383" hidden="1" x14ac:dyDescent="0.25">
      <c r="A204" t="s">
        <v>2526</v>
      </c>
      <c r="B204" t="str">
        <f t="shared" si="17"/>
        <v>Increase</v>
      </c>
      <c r="D204">
        <v>68427709</v>
      </c>
      <c r="E204" s="96" t="s">
        <v>53</v>
      </c>
      <c r="F204" t="s">
        <v>54</v>
      </c>
      <c r="G204" s="98" t="s">
        <v>42</v>
      </c>
      <c r="H204" s="26" t="s">
        <v>2384</v>
      </c>
      <c r="J204" t="s">
        <v>2901</v>
      </c>
      <c r="K204" s="26">
        <v>208526</v>
      </c>
      <c r="L204" s="26" t="s">
        <v>2902</v>
      </c>
      <c r="M204" s="233">
        <v>5400948082</v>
      </c>
      <c r="N204" s="21">
        <v>10</v>
      </c>
      <c r="O204" s="26" t="s">
        <v>2531</v>
      </c>
      <c r="P204" s="26" t="s">
        <v>2280</v>
      </c>
      <c r="Q204" t="s">
        <v>2550</v>
      </c>
      <c r="R204" s="31" t="s">
        <v>280</v>
      </c>
      <c r="S204" s="7">
        <v>23000</v>
      </c>
      <c r="T204" s="7">
        <v>25000</v>
      </c>
      <c r="U204" s="7">
        <v>102000</v>
      </c>
      <c r="V204" s="7">
        <f t="shared" si="18"/>
        <v>77000</v>
      </c>
      <c r="W204" s="5">
        <f t="shared" si="19"/>
        <v>3.08</v>
      </c>
      <c r="X204" t="s">
        <v>2903</v>
      </c>
      <c r="Y204" s="34">
        <f>SUMPRODUCT((BIdetails!$J$5:$J$3000=M204)*(BIdetails!$K$5:$K$3000=N204)*(BIdetails!$M$5:$M$3000))</f>
        <v>0</v>
      </c>
      <c r="Z204" s="35">
        <f t="shared" si="20"/>
        <v>0</v>
      </c>
      <c r="AA204" s="31"/>
      <c r="AB204" s="31"/>
      <c r="AC204" s="31"/>
      <c r="AD204" s="31"/>
      <c r="AE204">
        <v>3220</v>
      </c>
    </row>
    <row r="205" spans="1:16383" hidden="1" x14ac:dyDescent="0.25">
      <c r="A205" t="s">
        <v>2526</v>
      </c>
      <c r="B205" t="str">
        <f t="shared" si="17"/>
        <v>Increase</v>
      </c>
      <c r="C205" t="s">
        <v>2904</v>
      </c>
      <c r="D205">
        <v>68427709</v>
      </c>
      <c r="E205" s="96" t="s">
        <v>49</v>
      </c>
      <c r="F205" t="s">
        <v>20</v>
      </c>
      <c r="G205" t="s">
        <v>16</v>
      </c>
      <c r="H205" s="98" t="s">
        <v>2437</v>
      </c>
      <c r="I205">
        <v>0</v>
      </c>
      <c r="J205" s="223" t="s">
        <v>2869</v>
      </c>
      <c r="K205">
        <v>166304</v>
      </c>
      <c r="L205" s="98" t="s">
        <v>517</v>
      </c>
      <c r="M205" s="196">
        <v>5400878308</v>
      </c>
      <c r="N205" s="99">
        <v>20</v>
      </c>
      <c r="O205" s="98" t="s">
        <v>2190</v>
      </c>
      <c r="P205" s="26" t="s">
        <v>2190</v>
      </c>
      <c r="Q205" t="s">
        <v>2545</v>
      </c>
      <c r="R205" s="97" t="s">
        <v>2607</v>
      </c>
      <c r="S205" s="7">
        <v>170000</v>
      </c>
      <c r="T205" s="7">
        <v>170000</v>
      </c>
      <c r="U205" s="7">
        <v>235000</v>
      </c>
      <c r="V205" s="7">
        <f t="shared" si="18"/>
        <v>65000</v>
      </c>
      <c r="W205" s="5">
        <f t="shared" si="19"/>
        <v>0.38235294117647056</v>
      </c>
      <c r="X205" s="6" t="s">
        <v>2269</v>
      </c>
      <c r="Y205" s="34">
        <f>SUMPRODUCT((BIdetails!$J$5:$J$3000=M205)*(BIdetails!$K$5:$K$3000=N205)*(BIdetails!$M$5:$M$3000))</f>
        <v>0</v>
      </c>
      <c r="Z205" s="35">
        <f t="shared" si="20"/>
        <v>0</v>
      </c>
      <c r="AA205" s="31" t="s">
        <v>2541</v>
      </c>
      <c r="AB205" s="31" t="s">
        <v>2534</v>
      </c>
      <c r="AC205" s="31" t="s">
        <v>2572</v>
      </c>
      <c r="AD205" s="31"/>
      <c r="AE205">
        <v>1620</v>
      </c>
    </row>
    <row r="206" spans="1:16383" hidden="1" x14ac:dyDescent="0.25">
      <c r="A206" t="s">
        <v>2526</v>
      </c>
      <c r="B206" t="str">
        <f t="shared" si="17"/>
        <v>Decommissioned</v>
      </c>
      <c r="C206" t="s">
        <v>2904</v>
      </c>
      <c r="D206">
        <v>68427709</v>
      </c>
      <c r="E206" s="96" t="s">
        <v>19</v>
      </c>
      <c r="F206" t="s">
        <v>20</v>
      </c>
      <c r="G206" t="s">
        <v>16</v>
      </c>
      <c r="H206" t="s">
        <v>2372</v>
      </c>
      <c r="J206" t="s">
        <v>2891</v>
      </c>
      <c r="K206">
        <v>166304</v>
      </c>
      <c r="L206" s="26" t="s">
        <v>517</v>
      </c>
      <c r="M206" s="196">
        <v>5400878308</v>
      </c>
      <c r="N206" s="21">
        <v>20</v>
      </c>
      <c r="O206" s="26" t="s">
        <v>2190</v>
      </c>
      <c r="P206" s="26" t="s">
        <v>2190</v>
      </c>
      <c r="Q206" t="s">
        <v>2550</v>
      </c>
      <c r="R206" s="31" t="s">
        <v>280</v>
      </c>
      <c r="S206" s="7">
        <v>150000</v>
      </c>
      <c r="T206" s="7">
        <v>150000</v>
      </c>
      <c r="U206" s="7">
        <v>0</v>
      </c>
      <c r="V206" s="7">
        <f t="shared" si="18"/>
        <v>-150000</v>
      </c>
      <c r="W206" s="5">
        <f t="shared" si="19"/>
        <v>-1</v>
      </c>
      <c r="X206" s="31" t="s">
        <v>2373</v>
      </c>
      <c r="Y206" s="34">
        <f>SUMPRODUCT((BIdetails!$J$5:$J$3000=M206)*(BIdetails!$K$5:$K$3000=N206)*(BIdetails!$M$5:$M$3000))</f>
        <v>0</v>
      </c>
      <c r="Z206" s="35" t="str">
        <f t="shared" si="20"/>
        <v/>
      </c>
      <c r="AA206" s="31" t="s">
        <v>2541</v>
      </c>
      <c r="AB206" s="31" t="s">
        <v>2534</v>
      </c>
      <c r="AC206" s="31" t="s">
        <v>2572</v>
      </c>
      <c r="AD206" s="31"/>
      <c r="AE206">
        <v>90</v>
      </c>
    </row>
    <row r="207" spans="1:16383" hidden="1" x14ac:dyDescent="0.25">
      <c r="A207" t="s">
        <v>2526</v>
      </c>
      <c r="B207" t="str">
        <f t="shared" si="17"/>
        <v>Increase</v>
      </c>
      <c r="C207" t="s">
        <v>2904</v>
      </c>
      <c r="D207">
        <v>68427709</v>
      </c>
      <c r="E207" s="96" t="s">
        <v>19</v>
      </c>
      <c r="F207" t="s">
        <v>20</v>
      </c>
      <c r="G207" t="s">
        <v>16</v>
      </c>
      <c r="H207" t="s">
        <v>1792</v>
      </c>
      <c r="I207" t="s">
        <v>2225</v>
      </c>
      <c r="J207" s="182" t="s">
        <v>2905</v>
      </c>
      <c r="K207">
        <v>166304</v>
      </c>
      <c r="L207" s="26" t="s">
        <v>517</v>
      </c>
      <c r="M207" s="196">
        <v>5400878308</v>
      </c>
      <c r="N207" s="21">
        <v>20</v>
      </c>
      <c r="O207" s="26" t="s">
        <v>2190</v>
      </c>
      <c r="P207" s="26" t="s">
        <v>2680</v>
      </c>
      <c r="Q207" t="s">
        <v>2545</v>
      </c>
      <c r="R207" s="31" t="s">
        <v>2607</v>
      </c>
      <c r="S207" s="7">
        <v>232000</v>
      </c>
      <c r="T207" s="7">
        <v>140000</v>
      </c>
      <c r="U207" s="7">
        <v>185000</v>
      </c>
      <c r="V207" s="7">
        <f t="shared" si="18"/>
        <v>45000</v>
      </c>
      <c r="W207" s="5">
        <f t="shared" si="19"/>
        <v>0.32142857142857145</v>
      </c>
      <c r="X207" s="6" t="s">
        <v>2906</v>
      </c>
      <c r="Y207" s="34">
        <f>SUMPRODUCT((BIdetails!$J$5:$J$3000=M207)*(BIdetails!$K$5:$K$3000=N207)*(BIdetails!$M$5:$M$3000))</f>
        <v>0</v>
      </c>
      <c r="Z207" s="35">
        <f t="shared" si="20"/>
        <v>0</v>
      </c>
      <c r="AA207" s="31" t="s">
        <v>2893</v>
      </c>
      <c r="AB207" s="31" t="s">
        <v>2534</v>
      </c>
      <c r="AC207" s="31" t="s">
        <v>2572</v>
      </c>
      <c r="AD207" s="31"/>
      <c r="AE207">
        <v>80</v>
      </c>
    </row>
    <row r="208" spans="1:16383" hidden="1" x14ac:dyDescent="0.25">
      <c r="A208" t="s">
        <v>2526</v>
      </c>
      <c r="B208" t="str">
        <f t="shared" si="17"/>
        <v>Increase</v>
      </c>
      <c r="C208" t="s">
        <v>2907</v>
      </c>
      <c r="D208">
        <v>68427709</v>
      </c>
      <c r="E208" s="96" t="s">
        <v>53</v>
      </c>
      <c r="F208" t="s">
        <v>54</v>
      </c>
      <c r="G208" t="s">
        <v>42</v>
      </c>
      <c r="H208" s="26" t="s">
        <v>2908</v>
      </c>
      <c r="I208">
        <v>0</v>
      </c>
      <c r="J208" t="s">
        <v>2909</v>
      </c>
      <c r="K208">
        <v>166304</v>
      </c>
      <c r="L208" s="26" t="s">
        <v>517</v>
      </c>
      <c r="M208" s="196">
        <v>5400878308</v>
      </c>
      <c r="N208" s="21">
        <v>10</v>
      </c>
      <c r="O208" s="26" t="s">
        <v>2680</v>
      </c>
      <c r="P208" s="26" t="s">
        <v>2680</v>
      </c>
      <c r="Q208" t="s">
        <v>2545</v>
      </c>
      <c r="R208" s="31" t="s">
        <v>811</v>
      </c>
      <c r="S208" s="7">
        <v>145000</v>
      </c>
      <c r="T208" s="7">
        <v>84000</v>
      </c>
      <c r="U208" s="7">
        <v>137500</v>
      </c>
      <c r="V208" s="7">
        <f t="shared" si="18"/>
        <v>53500</v>
      </c>
      <c r="W208" s="5">
        <f t="shared" si="19"/>
        <v>0.63690476190476186</v>
      </c>
      <c r="X208" s="126" t="s">
        <v>2910</v>
      </c>
      <c r="Y208" s="34">
        <f>SUMPRODUCT((BIdetails!$J$5:$J$3000=M208)*(BIdetails!$K$5:$K$3000=N208)*(BIdetails!$M$5:$M$3000))</f>
        <v>0</v>
      </c>
      <c r="Z208" s="35">
        <f t="shared" si="20"/>
        <v>0</v>
      </c>
      <c r="AA208" s="31"/>
      <c r="AB208" s="31"/>
      <c r="AC208" s="31"/>
      <c r="AD208" s="31"/>
      <c r="AE208">
        <v>2300</v>
      </c>
    </row>
    <row r="209" spans="1:31" hidden="1" x14ac:dyDescent="0.25">
      <c r="A209" t="s">
        <v>2526</v>
      </c>
      <c r="B209" t="str">
        <f t="shared" si="17"/>
        <v>Increase</v>
      </c>
      <c r="C209" t="s">
        <v>2904</v>
      </c>
      <c r="D209">
        <v>68427709</v>
      </c>
      <c r="E209" s="96" t="s">
        <v>19</v>
      </c>
      <c r="F209" t="s">
        <v>20</v>
      </c>
      <c r="G209" t="s">
        <v>16</v>
      </c>
      <c r="H209" t="s">
        <v>2194</v>
      </c>
      <c r="I209" t="s">
        <v>2225</v>
      </c>
      <c r="J209" t="s">
        <v>2740</v>
      </c>
      <c r="K209">
        <v>166304</v>
      </c>
      <c r="L209" s="26" t="s">
        <v>517</v>
      </c>
      <c r="M209" s="196">
        <v>5400878308</v>
      </c>
      <c r="N209" s="21">
        <v>20</v>
      </c>
      <c r="O209" s="26" t="s">
        <v>2190</v>
      </c>
      <c r="P209" s="26" t="s">
        <v>2190</v>
      </c>
      <c r="Q209" t="s">
        <v>2545</v>
      </c>
      <c r="R209" s="31" t="s">
        <v>2607</v>
      </c>
      <c r="S209" s="7">
        <v>104000</v>
      </c>
      <c r="T209" s="7">
        <v>100000</v>
      </c>
      <c r="U209" s="7">
        <v>110000</v>
      </c>
      <c r="V209" s="7">
        <f t="shared" si="18"/>
        <v>10000</v>
      </c>
      <c r="W209" s="5">
        <f t="shared" si="19"/>
        <v>0.1</v>
      </c>
      <c r="X209" s="40" t="s">
        <v>1793</v>
      </c>
      <c r="Y209" s="34">
        <f>SUMPRODUCT((BIdetails!$J$5:$J$3000=M209)*(BIdetails!$K$5:$K$3000=N209)*(BIdetails!$M$5:$M$3000))</f>
        <v>0</v>
      </c>
      <c r="Z209" s="35">
        <f t="shared" si="20"/>
        <v>0</v>
      </c>
      <c r="AA209" s="31"/>
      <c r="AB209" s="31"/>
      <c r="AC209" s="31"/>
      <c r="AD209" s="31"/>
      <c r="AE209">
        <v>60</v>
      </c>
    </row>
    <row r="210" spans="1:31" hidden="1" x14ac:dyDescent="0.25">
      <c r="A210" t="s">
        <v>2526</v>
      </c>
      <c r="B210" t="str">
        <f t="shared" si="17"/>
        <v>No Change</v>
      </c>
      <c r="C210" t="s">
        <v>2904</v>
      </c>
      <c r="D210">
        <v>68427709</v>
      </c>
      <c r="E210" s="96" t="s">
        <v>19</v>
      </c>
      <c r="F210" t="s">
        <v>20</v>
      </c>
      <c r="G210" t="s">
        <v>16</v>
      </c>
      <c r="H210" t="s">
        <v>2196</v>
      </c>
      <c r="I210" t="s">
        <v>2225</v>
      </c>
      <c r="J210" t="s">
        <v>2783</v>
      </c>
      <c r="K210">
        <v>166304</v>
      </c>
      <c r="L210" s="26" t="s">
        <v>517</v>
      </c>
      <c r="M210" s="196">
        <v>5400878308</v>
      </c>
      <c r="N210" s="21">
        <v>20</v>
      </c>
      <c r="O210" s="26" t="s">
        <v>2190</v>
      </c>
      <c r="P210" s="26" t="s">
        <v>2190</v>
      </c>
      <c r="Q210" t="s">
        <v>2545</v>
      </c>
      <c r="R210" s="31" t="s">
        <v>2607</v>
      </c>
      <c r="S210" s="7">
        <v>150000</v>
      </c>
      <c r="T210" s="7">
        <v>170000</v>
      </c>
      <c r="U210" s="7">
        <v>170000</v>
      </c>
      <c r="V210" s="7">
        <f t="shared" si="18"/>
        <v>0</v>
      </c>
      <c r="W210" s="5">
        <f t="shared" si="19"/>
        <v>0</v>
      </c>
      <c r="X210" s="6"/>
      <c r="Y210" s="34">
        <f>SUMPRODUCT((BIdetails!$J$5:$J$3000=M210)*(BIdetails!$K$5:$K$3000=N210)*(BIdetails!$M$5:$M$3000))</f>
        <v>0</v>
      </c>
      <c r="Z210" s="35">
        <f t="shared" si="20"/>
        <v>0</v>
      </c>
      <c r="AA210" s="31"/>
      <c r="AB210" s="31"/>
      <c r="AC210" s="31"/>
      <c r="AD210" s="31"/>
      <c r="AE210">
        <v>70</v>
      </c>
    </row>
    <row r="211" spans="1:31" hidden="1" x14ac:dyDescent="0.25">
      <c r="A211" t="s">
        <v>2526</v>
      </c>
      <c r="B211" t="str">
        <f t="shared" si="17"/>
        <v>No Change</v>
      </c>
      <c r="C211" t="s">
        <v>2911</v>
      </c>
      <c r="D211">
        <v>68427709</v>
      </c>
      <c r="E211" s="96" t="s">
        <v>19</v>
      </c>
      <c r="F211" t="s">
        <v>20</v>
      </c>
      <c r="G211" t="s">
        <v>16</v>
      </c>
      <c r="H211" t="s">
        <v>552</v>
      </c>
      <c r="I211" t="s">
        <v>2225</v>
      </c>
      <c r="J211" t="s">
        <v>2637</v>
      </c>
      <c r="K211">
        <v>166304</v>
      </c>
      <c r="L211" s="26" t="s">
        <v>517</v>
      </c>
      <c r="M211" s="196">
        <v>5400878308</v>
      </c>
      <c r="N211" s="21">
        <v>30</v>
      </c>
      <c r="O211" s="26" t="s">
        <v>2190</v>
      </c>
      <c r="P211" s="26" t="s">
        <v>2190</v>
      </c>
      <c r="Q211" t="s">
        <v>2545</v>
      </c>
      <c r="R211" s="31" t="s">
        <v>2607</v>
      </c>
      <c r="S211" s="7">
        <v>245000</v>
      </c>
      <c r="T211" s="7">
        <v>275000</v>
      </c>
      <c r="U211" s="7">
        <v>275000</v>
      </c>
      <c r="V211" s="7">
        <f t="shared" si="18"/>
        <v>0</v>
      </c>
      <c r="W211" s="5">
        <f t="shared" si="19"/>
        <v>0</v>
      </c>
      <c r="X211" s="6"/>
      <c r="Y211" s="34">
        <f>SUMPRODUCT((BIdetails!$J$5:$J$3000=M211)*(BIdetails!$K$5:$K$3000=N211)*(BIdetails!$M$5:$M$3000))</f>
        <v>0</v>
      </c>
      <c r="Z211" s="35">
        <f t="shared" si="20"/>
        <v>0</v>
      </c>
      <c r="AA211" s="31"/>
      <c r="AB211" s="31"/>
      <c r="AC211" s="31"/>
      <c r="AD211" s="31"/>
      <c r="AE211">
        <v>21</v>
      </c>
    </row>
    <row r="212" spans="1:31" hidden="1" x14ac:dyDescent="0.25">
      <c r="A212" t="s">
        <v>2526</v>
      </c>
      <c r="B212" t="str">
        <f t="shared" si="17"/>
        <v>Increase</v>
      </c>
      <c r="C212" t="s">
        <v>2907</v>
      </c>
      <c r="D212">
        <v>68427709</v>
      </c>
      <c r="E212" s="96" t="s">
        <v>19</v>
      </c>
      <c r="F212" t="s">
        <v>20</v>
      </c>
      <c r="G212" t="s">
        <v>16</v>
      </c>
      <c r="H212" t="s">
        <v>551</v>
      </c>
      <c r="I212" t="s">
        <v>2225</v>
      </c>
      <c r="J212" t="s">
        <v>2637</v>
      </c>
      <c r="K212">
        <v>166304</v>
      </c>
      <c r="L212" s="26" t="s">
        <v>517</v>
      </c>
      <c r="M212" s="196">
        <v>5400878308</v>
      </c>
      <c r="N212" s="21">
        <v>10</v>
      </c>
      <c r="O212" s="26" t="s">
        <v>2190</v>
      </c>
      <c r="P212" s="26" t="s">
        <v>2190</v>
      </c>
      <c r="Q212" t="s">
        <v>2545</v>
      </c>
      <c r="R212" s="31" t="s">
        <v>2607</v>
      </c>
      <c r="S212" s="7">
        <v>4200000</v>
      </c>
      <c r="T212" s="7">
        <v>4200000</v>
      </c>
      <c r="U212" s="7">
        <v>4500000</v>
      </c>
      <c r="V212" s="7">
        <f t="shared" si="18"/>
        <v>300000</v>
      </c>
      <c r="W212" s="5">
        <f t="shared" si="19"/>
        <v>7.1428571428571425E-2</v>
      </c>
      <c r="X212" s="6" t="s">
        <v>2912</v>
      </c>
      <c r="Y212" s="34">
        <f>SUMPRODUCT((BIdetails!$J$5:$J$3000=M212)*(BIdetails!$K$5:$K$3000=N212)*(BIdetails!$M$5:$M$3000))</f>
        <v>0</v>
      </c>
      <c r="Z212" s="35">
        <f t="shared" si="20"/>
        <v>0</v>
      </c>
      <c r="AA212" s="31" t="s">
        <v>610</v>
      </c>
      <c r="AB212" s="31" t="s">
        <v>2534</v>
      </c>
      <c r="AC212" s="31" t="s">
        <v>2558</v>
      </c>
      <c r="AD212" s="31"/>
      <c r="AE212">
        <v>30</v>
      </c>
    </row>
    <row r="213" spans="1:31" hidden="1" x14ac:dyDescent="0.25">
      <c r="A213" t="s">
        <v>2526</v>
      </c>
      <c r="B213" t="str">
        <f t="shared" si="17"/>
        <v>No Change</v>
      </c>
      <c r="C213" t="s">
        <v>2904</v>
      </c>
      <c r="D213">
        <v>68427709</v>
      </c>
      <c r="E213" s="96" t="s">
        <v>19</v>
      </c>
      <c r="F213" t="s">
        <v>20</v>
      </c>
      <c r="G213" t="s">
        <v>16</v>
      </c>
      <c r="H213" t="s">
        <v>1789</v>
      </c>
      <c r="I213" t="s">
        <v>2225</v>
      </c>
      <c r="J213" t="s">
        <v>2637</v>
      </c>
      <c r="K213">
        <v>166304</v>
      </c>
      <c r="L213" s="26" t="s">
        <v>517</v>
      </c>
      <c r="M213" s="196">
        <v>5400878308</v>
      </c>
      <c r="N213" s="21">
        <v>20</v>
      </c>
      <c r="O213" s="26" t="s">
        <v>2190</v>
      </c>
      <c r="P213" s="26" t="s">
        <v>2190</v>
      </c>
      <c r="Q213" t="s">
        <v>2545</v>
      </c>
      <c r="R213" s="31" t="s">
        <v>2607</v>
      </c>
      <c r="S213" s="7">
        <v>1125000</v>
      </c>
      <c r="T213" s="7">
        <v>1250000</v>
      </c>
      <c r="U213" s="7">
        <v>1250000</v>
      </c>
      <c r="V213" s="7">
        <f t="shared" si="18"/>
        <v>0</v>
      </c>
      <c r="W213" s="5">
        <f t="shared" si="19"/>
        <v>0</v>
      </c>
      <c r="X213" s="6"/>
      <c r="Y213" s="34">
        <f>SUMPRODUCT((BIdetails!$J$5:$J$3000=M213)*(BIdetails!$K$5:$K$3000=N213)*(BIdetails!$M$5:$M$3000))</f>
        <v>0</v>
      </c>
      <c r="Z213" s="35">
        <f t="shared" si="20"/>
        <v>0</v>
      </c>
      <c r="AA213" s="31" t="s">
        <v>610</v>
      </c>
      <c r="AB213" s="31" t="s">
        <v>2752</v>
      </c>
      <c r="AC213" s="31" t="s">
        <v>2575</v>
      </c>
      <c r="AD213" s="31"/>
      <c r="AE213">
        <v>40</v>
      </c>
    </row>
    <row r="214" spans="1:31" hidden="1" x14ac:dyDescent="0.25">
      <c r="A214" t="s">
        <v>2526</v>
      </c>
      <c r="B214" t="str">
        <f t="shared" si="17"/>
        <v>Decrease</v>
      </c>
      <c r="C214" t="s">
        <v>2904</v>
      </c>
      <c r="D214">
        <v>68427709</v>
      </c>
      <c r="E214" s="96" t="s">
        <v>19</v>
      </c>
      <c r="F214" t="s">
        <v>20</v>
      </c>
      <c r="G214" t="s">
        <v>16</v>
      </c>
      <c r="H214" t="s">
        <v>2193</v>
      </c>
      <c r="I214" t="s">
        <v>2225</v>
      </c>
      <c r="J214" t="s">
        <v>2637</v>
      </c>
      <c r="K214">
        <v>166304</v>
      </c>
      <c r="L214" s="26" t="s">
        <v>517</v>
      </c>
      <c r="M214" s="196">
        <v>5400878308</v>
      </c>
      <c r="N214" s="21">
        <v>20</v>
      </c>
      <c r="O214" s="26" t="s">
        <v>2190</v>
      </c>
      <c r="P214" s="26" t="s">
        <v>2190</v>
      </c>
      <c r="Q214" t="s">
        <v>2545</v>
      </c>
      <c r="R214" s="31" t="s">
        <v>2607</v>
      </c>
      <c r="S214" s="7">
        <v>650000</v>
      </c>
      <c r="T214" s="7">
        <v>600000</v>
      </c>
      <c r="U214" s="7">
        <v>430000</v>
      </c>
      <c r="V214" s="7">
        <f t="shared" si="18"/>
        <v>-170000</v>
      </c>
      <c r="W214" s="5">
        <f t="shared" si="19"/>
        <v>-0.28333333333333333</v>
      </c>
      <c r="X214" s="6"/>
      <c r="Y214" s="34">
        <f>SUMPRODUCT((BIdetails!$J$5:$J$3000=M214)*(BIdetails!$K$5:$K$3000=N214)*(BIdetails!$M$5:$M$3000))</f>
        <v>0</v>
      </c>
      <c r="Z214" s="35">
        <f t="shared" si="20"/>
        <v>0</v>
      </c>
      <c r="AA214" s="31"/>
      <c r="AB214" s="31"/>
      <c r="AC214" s="31"/>
      <c r="AD214" s="31"/>
      <c r="AE214">
        <v>50</v>
      </c>
    </row>
    <row r="215" spans="1:31" hidden="1" x14ac:dyDescent="0.25">
      <c r="A215" t="s">
        <v>2526</v>
      </c>
      <c r="B215" t="str">
        <f t="shared" si="17"/>
        <v>Increase</v>
      </c>
      <c r="C215" t="s">
        <v>2913</v>
      </c>
      <c r="D215">
        <v>68427709</v>
      </c>
      <c r="E215" s="96" t="s">
        <v>19</v>
      </c>
      <c r="F215" t="s">
        <v>20</v>
      </c>
      <c r="G215" t="s">
        <v>16</v>
      </c>
      <c r="H215" t="s">
        <v>546</v>
      </c>
      <c r="I215" t="s">
        <v>2225</v>
      </c>
      <c r="J215" t="s">
        <v>2637</v>
      </c>
      <c r="K215">
        <v>166304</v>
      </c>
      <c r="L215" s="26" t="s">
        <v>517</v>
      </c>
      <c r="M215" s="235">
        <v>5400811249</v>
      </c>
      <c r="N215" s="21">
        <v>20</v>
      </c>
      <c r="O215" s="26" t="s">
        <v>2190</v>
      </c>
      <c r="P215" s="26" t="s">
        <v>2606</v>
      </c>
      <c r="Q215" t="s">
        <v>2545</v>
      </c>
      <c r="R215" s="31" t="s">
        <v>2607</v>
      </c>
      <c r="S215" s="7">
        <v>200000</v>
      </c>
      <c r="T215" s="7">
        <v>300000</v>
      </c>
      <c r="U215" s="7">
        <v>450000</v>
      </c>
      <c r="V215" s="7">
        <f t="shared" si="18"/>
        <v>150000</v>
      </c>
      <c r="W215" s="5">
        <f t="shared" si="19"/>
        <v>0.5</v>
      </c>
      <c r="X215" s="6" t="s">
        <v>2914</v>
      </c>
      <c r="Y215" s="34">
        <f>SUMPRODUCT((BIdetails!$J$5:$J$3000=M215)*(BIdetails!$K$5:$K$3000=N215)*(BIdetails!$M$5:$M$3000))</f>
        <v>0</v>
      </c>
      <c r="Z215" s="35">
        <f t="shared" si="20"/>
        <v>0</v>
      </c>
      <c r="AA215" s="31"/>
      <c r="AB215" s="31"/>
      <c r="AC215" s="31"/>
      <c r="AD215" s="31"/>
      <c r="AE215">
        <v>100</v>
      </c>
    </row>
    <row r="216" spans="1:31" hidden="1" x14ac:dyDescent="0.25">
      <c r="A216" t="s">
        <v>2526</v>
      </c>
      <c r="B216" t="str">
        <f t="shared" si="17"/>
        <v>No Change</v>
      </c>
      <c r="D216">
        <v>68427709</v>
      </c>
      <c r="E216" s="96" t="s">
        <v>19</v>
      </c>
      <c r="F216" t="s">
        <v>20</v>
      </c>
      <c r="G216" t="s">
        <v>16</v>
      </c>
      <c r="H216" s="26" t="s">
        <v>1794</v>
      </c>
      <c r="I216" t="s">
        <v>2225</v>
      </c>
      <c r="J216" t="s">
        <v>2637</v>
      </c>
      <c r="K216">
        <v>166304</v>
      </c>
      <c r="L216" s="26" t="s">
        <v>517</v>
      </c>
      <c r="M216" s="196">
        <v>5400878308</v>
      </c>
      <c r="N216" s="21">
        <v>20</v>
      </c>
      <c r="O216" s="26" t="s">
        <v>2190</v>
      </c>
      <c r="P216" s="26" t="s">
        <v>2190</v>
      </c>
      <c r="Q216" t="s">
        <v>2545</v>
      </c>
      <c r="R216" s="31" t="s">
        <v>2607</v>
      </c>
      <c r="S216" s="7">
        <v>7800</v>
      </c>
      <c r="T216" s="7">
        <v>8000</v>
      </c>
      <c r="U216" s="7">
        <v>8000</v>
      </c>
      <c r="V216" s="7">
        <f t="shared" si="18"/>
        <v>0</v>
      </c>
      <c r="W216" s="5">
        <f t="shared" si="19"/>
        <v>0</v>
      </c>
      <c r="X216" s="22"/>
      <c r="Y216" s="34">
        <f>SUMPRODUCT((BIdetails!$J$5:$J$3000=M216)*(BIdetails!$K$5:$K$3000=N216)*(BIdetails!$M$5:$M$3000))</f>
        <v>0</v>
      </c>
      <c r="Z216" s="35">
        <f t="shared" si="20"/>
        <v>0</v>
      </c>
      <c r="AA216" s="31"/>
      <c r="AB216" s="31"/>
      <c r="AC216" s="31"/>
      <c r="AD216" s="31"/>
      <c r="AE216">
        <v>120</v>
      </c>
    </row>
    <row r="217" spans="1:31" hidden="1" x14ac:dyDescent="0.25">
      <c r="A217" t="s">
        <v>2526</v>
      </c>
      <c r="B217" t="str">
        <f t="shared" si="17"/>
        <v>Increase</v>
      </c>
      <c r="D217">
        <v>68427709</v>
      </c>
      <c r="E217" s="96" t="s">
        <v>19</v>
      </c>
      <c r="F217" t="s">
        <v>20</v>
      </c>
      <c r="G217" t="s">
        <v>16</v>
      </c>
      <c r="H217" s="26" t="s">
        <v>1798</v>
      </c>
      <c r="I217" t="s">
        <v>2225</v>
      </c>
      <c r="J217" t="s">
        <v>2637</v>
      </c>
      <c r="K217">
        <v>166304</v>
      </c>
      <c r="L217" s="26" t="s">
        <v>517</v>
      </c>
      <c r="M217" s="196">
        <v>5400878308</v>
      </c>
      <c r="N217" s="21">
        <v>20</v>
      </c>
      <c r="O217" s="26" t="s">
        <v>2190</v>
      </c>
      <c r="P217" s="26" t="s">
        <v>2190</v>
      </c>
      <c r="Q217" t="s">
        <v>2545</v>
      </c>
      <c r="R217" s="31" t="s">
        <v>2607</v>
      </c>
      <c r="S217" s="7">
        <v>10000</v>
      </c>
      <c r="T217" s="7">
        <v>30000</v>
      </c>
      <c r="U217" s="7">
        <v>90000</v>
      </c>
      <c r="V217" s="7">
        <f t="shared" si="18"/>
        <v>60000</v>
      </c>
      <c r="W217" s="5">
        <f t="shared" si="19"/>
        <v>2</v>
      </c>
      <c r="X217" s="126" t="s">
        <v>1793</v>
      </c>
      <c r="Y217" s="34">
        <f>SUMPRODUCT((BIdetails!$J$5:$J$3000=M217)*(BIdetails!$K$5:$K$3000=N217)*(BIdetails!$M$5:$M$3000))</f>
        <v>0</v>
      </c>
      <c r="Z217" s="35">
        <f t="shared" si="20"/>
        <v>0</v>
      </c>
      <c r="AA217" s="31" t="s">
        <v>2852</v>
      </c>
      <c r="AB217" s="31" t="s">
        <v>2534</v>
      </c>
      <c r="AC217" s="31" t="s">
        <v>2572</v>
      </c>
      <c r="AD217" s="31"/>
      <c r="AE217">
        <v>130</v>
      </c>
    </row>
    <row r="218" spans="1:31" ht="15" hidden="1" customHeight="1" x14ac:dyDescent="0.25">
      <c r="A218" t="s">
        <v>2526</v>
      </c>
      <c r="B218" t="str">
        <f t="shared" si="17"/>
        <v>Decrease</v>
      </c>
      <c r="D218">
        <v>68427709</v>
      </c>
      <c r="E218" s="96" t="s">
        <v>19</v>
      </c>
      <c r="F218" t="s">
        <v>20</v>
      </c>
      <c r="G218" t="s">
        <v>16</v>
      </c>
      <c r="H218" s="26" t="s">
        <v>1799</v>
      </c>
      <c r="I218" t="s">
        <v>2225</v>
      </c>
      <c r="J218" t="s">
        <v>2637</v>
      </c>
      <c r="K218">
        <v>166304</v>
      </c>
      <c r="L218" s="26" t="s">
        <v>517</v>
      </c>
      <c r="M218" s="196">
        <v>5400878308</v>
      </c>
      <c r="N218" s="21">
        <v>20</v>
      </c>
      <c r="O218" s="26" t="s">
        <v>2190</v>
      </c>
      <c r="P218" s="26" t="s">
        <v>2190</v>
      </c>
      <c r="Q218" t="s">
        <v>2545</v>
      </c>
      <c r="R218" s="31" t="s">
        <v>2607</v>
      </c>
      <c r="S218" s="7">
        <v>133900</v>
      </c>
      <c r="T218" s="7">
        <v>133000</v>
      </c>
      <c r="U218" s="7">
        <v>125000</v>
      </c>
      <c r="V218" s="7">
        <f t="shared" si="18"/>
        <v>-8000</v>
      </c>
      <c r="W218" s="5">
        <f t="shared" si="19"/>
        <v>-6.0150375939849621E-2</v>
      </c>
      <c r="X218" s="22" t="s">
        <v>1793</v>
      </c>
      <c r="Y218" s="34">
        <f>SUMPRODUCT((BIdetails!$J$5:$J$3000=M218)*(BIdetails!$K$5:$K$3000=N218)*(BIdetails!$M$5:$M$3000))</f>
        <v>0</v>
      </c>
      <c r="Z218" s="35">
        <f t="shared" si="20"/>
        <v>0</v>
      </c>
      <c r="AA218" s="31"/>
      <c r="AB218" s="31"/>
      <c r="AC218" s="31"/>
      <c r="AD218" s="31"/>
      <c r="AE218">
        <v>140</v>
      </c>
    </row>
    <row r="219" spans="1:31" hidden="1" x14ac:dyDescent="0.25">
      <c r="A219" t="s">
        <v>2526</v>
      </c>
      <c r="B219" t="str">
        <f t="shared" si="17"/>
        <v>Increase</v>
      </c>
      <c r="D219">
        <v>68427709</v>
      </c>
      <c r="E219" s="96" t="s">
        <v>19</v>
      </c>
      <c r="F219" t="s">
        <v>20</v>
      </c>
      <c r="G219" t="s">
        <v>16</v>
      </c>
      <c r="H219" s="26" t="s">
        <v>1800</v>
      </c>
      <c r="I219" t="s">
        <v>2225</v>
      </c>
      <c r="J219" t="s">
        <v>2637</v>
      </c>
      <c r="K219">
        <v>166304</v>
      </c>
      <c r="L219" s="26" t="s">
        <v>517</v>
      </c>
      <c r="M219" s="196">
        <v>5400878308</v>
      </c>
      <c r="N219" s="21">
        <v>20</v>
      </c>
      <c r="O219" s="26" t="s">
        <v>2190</v>
      </c>
      <c r="P219" s="26" t="s">
        <v>2190</v>
      </c>
      <c r="Q219" t="s">
        <v>2545</v>
      </c>
      <c r="R219" s="31" t="s">
        <v>2607</v>
      </c>
      <c r="S219" s="7">
        <v>12000</v>
      </c>
      <c r="T219" s="7">
        <v>165000</v>
      </c>
      <c r="U219" s="7">
        <v>180000</v>
      </c>
      <c r="V219" s="7">
        <f t="shared" si="18"/>
        <v>15000</v>
      </c>
      <c r="W219" s="5">
        <f t="shared" si="19"/>
        <v>9.0909090909090912E-2</v>
      </c>
      <c r="X219" s="22" t="s">
        <v>1793</v>
      </c>
      <c r="Y219" s="34">
        <f>SUMPRODUCT((BIdetails!$J$5:$J$3000=M219)*(BIdetails!$K$5:$K$3000=N219)*(BIdetails!$M$5:$M$3000))</f>
        <v>0</v>
      </c>
      <c r="Z219" s="35">
        <f t="shared" si="20"/>
        <v>0</v>
      </c>
      <c r="AA219" s="31" t="s">
        <v>610</v>
      </c>
      <c r="AB219" s="31" t="s">
        <v>2534</v>
      </c>
      <c r="AC219" s="31"/>
      <c r="AD219" s="31"/>
      <c r="AE219">
        <v>150</v>
      </c>
    </row>
    <row r="220" spans="1:31" hidden="1" x14ac:dyDescent="0.25">
      <c r="A220" t="s">
        <v>2526</v>
      </c>
      <c r="B220" t="str">
        <f t="shared" si="17"/>
        <v>Increase</v>
      </c>
      <c r="D220">
        <v>68427709</v>
      </c>
      <c r="E220" s="96" t="s">
        <v>19</v>
      </c>
      <c r="F220" t="s">
        <v>20</v>
      </c>
      <c r="G220" s="96" t="s">
        <v>16</v>
      </c>
      <c r="H220" t="s">
        <v>2446</v>
      </c>
      <c r="I220" t="s">
        <v>2225</v>
      </c>
      <c r="J220" t="s">
        <v>2637</v>
      </c>
      <c r="K220">
        <v>166304</v>
      </c>
      <c r="L220" t="s">
        <v>517</v>
      </c>
      <c r="M220"/>
      <c r="O220" s="26" t="s">
        <v>2190</v>
      </c>
      <c r="P220" s="26" t="s">
        <v>2190</v>
      </c>
      <c r="Q220" t="s">
        <v>2545</v>
      </c>
      <c r="R220" s="31" t="s">
        <v>2607</v>
      </c>
      <c r="S220" s="7"/>
      <c r="T220" s="7">
        <v>50000</v>
      </c>
      <c r="U220" s="7">
        <v>125000</v>
      </c>
      <c r="V220" s="7">
        <f t="shared" si="18"/>
        <v>75000</v>
      </c>
      <c r="W220" s="5">
        <f t="shared" si="19"/>
        <v>1.5</v>
      </c>
      <c r="X220" s="22" t="s">
        <v>2915</v>
      </c>
      <c r="Y220" s="34"/>
      <c r="Z220" s="35"/>
      <c r="AA220" s="31"/>
      <c r="AB220" s="31"/>
      <c r="AC220" s="31"/>
      <c r="AD220" s="31"/>
    </row>
    <row r="221" spans="1:31" hidden="1" x14ac:dyDescent="0.25">
      <c r="A221" t="s">
        <v>2526</v>
      </c>
      <c r="B221" t="str">
        <f t="shared" si="17"/>
        <v>No Change</v>
      </c>
      <c r="D221">
        <v>68427709</v>
      </c>
      <c r="E221" s="96" t="s">
        <v>53</v>
      </c>
      <c r="F221" t="s">
        <v>54</v>
      </c>
      <c r="G221" s="98" t="s">
        <v>42</v>
      </c>
      <c r="H221" s="26" t="s">
        <v>2916</v>
      </c>
      <c r="J221" t="s">
        <v>2917</v>
      </c>
      <c r="K221" s="26">
        <v>166304</v>
      </c>
      <c r="L221" s="26" t="s">
        <v>2918</v>
      </c>
      <c r="M221" s="196">
        <v>5400878308</v>
      </c>
      <c r="N221" s="21">
        <v>20</v>
      </c>
      <c r="O221" s="26" t="s">
        <v>2190</v>
      </c>
      <c r="P221" s="26" t="s">
        <v>2190</v>
      </c>
      <c r="Q221" t="s">
        <v>2545</v>
      </c>
      <c r="R221" s="31" t="s">
        <v>2607</v>
      </c>
      <c r="S221" s="7">
        <v>7000</v>
      </c>
      <c r="T221" s="7">
        <v>7000</v>
      </c>
      <c r="U221" s="7">
        <v>7000</v>
      </c>
      <c r="V221" s="7">
        <f t="shared" si="18"/>
        <v>0</v>
      </c>
      <c r="W221" s="5">
        <f t="shared" si="19"/>
        <v>0</v>
      </c>
      <c r="X221" s="22"/>
      <c r="Y221" s="34">
        <f>SUMPRODUCT((BIdetails!$J$5:$J$3000=M221)*(BIdetails!$K$5:$K$3000=N221)*(BIdetails!$M$5:$M$3000))</f>
        <v>0</v>
      </c>
      <c r="Z221" s="35">
        <f t="shared" ref="Z221:Z235" si="21">IF(U221=0,"",(Y221/U221))</f>
        <v>0</v>
      </c>
      <c r="AA221" s="31"/>
      <c r="AB221" s="31"/>
      <c r="AC221" s="31"/>
      <c r="AD221" s="31"/>
      <c r="AE221">
        <v>3230</v>
      </c>
    </row>
    <row r="222" spans="1:31" hidden="1" x14ac:dyDescent="0.25">
      <c r="A222" t="s">
        <v>2526</v>
      </c>
      <c r="B222" t="str">
        <f t="shared" si="17"/>
        <v>No Change</v>
      </c>
      <c r="D222">
        <v>68427709</v>
      </c>
      <c r="E222" s="96" t="s">
        <v>53</v>
      </c>
      <c r="F222" t="s">
        <v>54</v>
      </c>
      <c r="G222" t="s">
        <v>42</v>
      </c>
      <c r="H222" t="s">
        <v>870</v>
      </c>
      <c r="I222">
        <v>0</v>
      </c>
      <c r="J222" t="s">
        <v>2919</v>
      </c>
      <c r="K222">
        <v>123087</v>
      </c>
      <c r="L222" t="s">
        <v>2920</v>
      </c>
      <c r="M222" s="233">
        <v>5400938327</v>
      </c>
      <c r="N222" s="21">
        <v>10</v>
      </c>
      <c r="O222" t="s">
        <v>2531</v>
      </c>
      <c r="P222" s="26" t="s">
        <v>2549</v>
      </c>
      <c r="Q222" t="s">
        <v>2545</v>
      </c>
      <c r="R222" s="31" t="s">
        <v>2539</v>
      </c>
      <c r="S222" s="7">
        <v>43000</v>
      </c>
      <c r="T222" s="7">
        <v>50000</v>
      </c>
      <c r="U222" s="7">
        <v>50000</v>
      </c>
      <c r="V222" s="7">
        <f t="shared" si="18"/>
        <v>0</v>
      </c>
      <c r="W222" s="5">
        <f t="shared" si="19"/>
        <v>0</v>
      </c>
      <c r="X222" s="40"/>
      <c r="Y222" s="34">
        <f>SUMPRODUCT((BIdetails!$J$5:$J$3000=M222)*(BIdetails!$K$5:$K$3000=N222)*(BIdetails!$M$5:$M$3000))</f>
        <v>0</v>
      </c>
      <c r="Z222" s="35">
        <f t="shared" si="21"/>
        <v>0</v>
      </c>
      <c r="AA222" s="31" t="s">
        <v>2541</v>
      </c>
      <c r="AB222" s="31" t="s">
        <v>2534</v>
      </c>
      <c r="AC222" s="31"/>
      <c r="AD222" s="31"/>
      <c r="AE222">
        <v>2340</v>
      </c>
    </row>
    <row r="223" spans="1:31" hidden="1" x14ac:dyDescent="0.25">
      <c r="A223" t="s">
        <v>2526</v>
      </c>
      <c r="B223" t="str">
        <f t="shared" si="17"/>
        <v>No Change</v>
      </c>
      <c r="D223">
        <v>68427709</v>
      </c>
      <c r="E223" s="96" t="s">
        <v>53</v>
      </c>
      <c r="F223" t="s">
        <v>54</v>
      </c>
      <c r="G223" t="s">
        <v>42</v>
      </c>
      <c r="H223" s="98" t="s">
        <v>1957</v>
      </c>
      <c r="J223" t="s">
        <v>2921</v>
      </c>
      <c r="K223" s="98">
        <v>209658</v>
      </c>
      <c r="L223" s="98" t="s">
        <v>2922</v>
      </c>
      <c r="M223" s="246">
        <v>5400973272</v>
      </c>
      <c r="N223" s="100" t="s">
        <v>2923</v>
      </c>
      <c r="O223" t="s">
        <v>2531</v>
      </c>
      <c r="P223" s="98" t="s">
        <v>2754</v>
      </c>
      <c r="Q223" t="s">
        <v>2545</v>
      </c>
      <c r="R223" s="31" t="s">
        <v>2667</v>
      </c>
      <c r="S223" s="7"/>
      <c r="T223" s="7">
        <v>15000</v>
      </c>
      <c r="U223" s="7">
        <v>15000</v>
      </c>
      <c r="V223" s="7">
        <f t="shared" si="18"/>
        <v>0</v>
      </c>
      <c r="W223" s="5">
        <f t="shared" si="19"/>
        <v>0</v>
      </c>
      <c r="X223" s="40"/>
      <c r="Y223" s="34">
        <f>SUMPRODUCT((BIdetails!$J$5:$J$3000=M223)*(BIdetails!$K$5:$K$3000=N223)*(BIdetails!$M$5:$M$3000))</f>
        <v>0</v>
      </c>
      <c r="Z223" s="35">
        <f t="shared" si="21"/>
        <v>0</v>
      </c>
      <c r="AA223" s="31"/>
      <c r="AB223" s="31"/>
      <c r="AC223" s="31"/>
      <c r="AD223" s="31"/>
      <c r="AE223">
        <v>3430</v>
      </c>
    </row>
    <row r="224" spans="1:31" hidden="1" x14ac:dyDescent="0.25">
      <c r="A224" t="s">
        <v>2526</v>
      </c>
      <c r="B224" t="str">
        <f t="shared" si="17"/>
        <v>Decommissioned</v>
      </c>
      <c r="D224">
        <v>68427709</v>
      </c>
      <c r="E224" s="96" t="s">
        <v>53</v>
      </c>
      <c r="F224" t="s">
        <v>54</v>
      </c>
      <c r="G224" t="s">
        <v>42</v>
      </c>
      <c r="H224" t="s">
        <v>1762</v>
      </c>
      <c r="I224">
        <v>0</v>
      </c>
      <c r="J224" t="s">
        <v>2924</v>
      </c>
      <c r="K224">
        <v>203848</v>
      </c>
      <c r="L224" s="26" t="s">
        <v>2925</v>
      </c>
      <c r="M224" s="233">
        <v>5400960806</v>
      </c>
      <c r="N224" s="21">
        <v>10</v>
      </c>
      <c r="O224" s="26" t="s">
        <v>2531</v>
      </c>
      <c r="P224" s="26" t="s">
        <v>2280</v>
      </c>
      <c r="Q224" t="s">
        <v>2550</v>
      </c>
      <c r="R224" t="s">
        <v>280</v>
      </c>
      <c r="S224" s="7">
        <v>60000</v>
      </c>
      <c r="T224" s="7">
        <v>40000</v>
      </c>
      <c r="U224" s="7">
        <v>0</v>
      </c>
      <c r="V224" s="7">
        <f t="shared" si="18"/>
        <v>-40000</v>
      </c>
      <c r="W224" s="5">
        <f t="shared" si="19"/>
        <v>-1</v>
      </c>
      <c r="X224" s="40" t="s">
        <v>2892</v>
      </c>
      <c r="Y224" s="34">
        <f>SUMPRODUCT((BIdetails!$J$5:$J$3000=M224)*(BIdetails!$K$5:$K$3000=N224)*(BIdetails!$M$5:$M$3000))</f>
        <v>0</v>
      </c>
      <c r="Z224" s="35" t="str">
        <f t="shared" si="21"/>
        <v/>
      </c>
      <c r="AA224" s="31"/>
      <c r="AB224" s="31"/>
      <c r="AC224" s="31"/>
      <c r="AD224" s="31"/>
      <c r="AE224">
        <v>3050</v>
      </c>
    </row>
    <row r="225" spans="1:31" hidden="1" x14ac:dyDescent="0.25">
      <c r="A225" t="s">
        <v>2526</v>
      </c>
      <c r="B225" t="str">
        <f t="shared" si="17"/>
        <v>No Change</v>
      </c>
      <c r="C225" t="s">
        <v>2926</v>
      </c>
      <c r="D225">
        <v>68427709</v>
      </c>
      <c r="E225" s="96" t="s">
        <v>49</v>
      </c>
      <c r="F225" t="s">
        <v>50</v>
      </c>
      <c r="G225" t="s">
        <v>42</v>
      </c>
      <c r="H225" t="s">
        <v>2927</v>
      </c>
      <c r="I225">
        <v>0</v>
      </c>
      <c r="J225" t="s">
        <v>2928</v>
      </c>
      <c r="K225">
        <v>169089</v>
      </c>
      <c r="L225" t="s">
        <v>2929</v>
      </c>
      <c r="M225" s="196">
        <v>5400953527</v>
      </c>
      <c r="N225" s="230">
        <v>10</v>
      </c>
      <c r="O225" t="s">
        <v>2531</v>
      </c>
      <c r="P225" t="s">
        <v>186</v>
      </c>
      <c r="Q225" t="s">
        <v>2545</v>
      </c>
      <c r="R225" s="97" t="s">
        <v>2539</v>
      </c>
      <c r="S225" s="7">
        <v>37000</v>
      </c>
      <c r="T225" s="7">
        <v>37000</v>
      </c>
      <c r="U225" s="7">
        <v>37000</v>
      </c>
      <c r="V225" s="7">
        <f t="shared" si="18"/>
        <v>0</v>
      </c>
      <c r="W225" s="5">
        <f t="shared" si="19"/>
        <v>0</v>
      </c>
      <c r="X225" s="40"/>
      <c r="Y225" s="34">
        <f>SUMPRODUCT((BIdetails!$J$5:$J$3000=M225)*(BIdetails!$K$5:$K$3000=N225)*(BIdetails!$M$5:$M$3000))</f>
        <v>0</v>
      </c>
      <c r="Z225" s="35">
        <f t="shared" si="21"/>
        <v>0</v>
      </c>
      <c r="AA225" s="31" t="s">
        <v>2541</v>
      </c>
      <c r="AB225" s="31" t="s">
        <v>2663</v>
      </c>
      <c r="AC225" s="31" t="s">
        <v>2572</v>
      </c>
      <c r="AD225" s="31"/>
      <c r="AE225">
        <v>1440</v>
      </c>
    </row>
    <row r="226" spans="1:31" hidden="1" x14ac:dyDescent="0.25">
      <c r="A226" t="s">
        <v>2526</v>
      </c>
      <c r="B226" t="str">
        <f t="shared" si="17"/>
        <v>No Change</v>
      </c>
      <c r="C226" t="s">
        <v>2930</v>
      </c>
      <c r="D226">
        <v>68427709</v>
      </c>
      <c r="E226" s="96" t="s">
        <v>51</v>
      </c>
      <c r="F226" t="s">
        <v>52</v>
      </c>
      <c r="G226" t="s">
        <v>42</v>
      </c>
      <c r="H226" t="s">
        <v>2931</v>
      </c>
      <c r="I226" t="s">
        <v>2554</v>
      </c>
      <c r="J226" t="s">
        <v>2555</v>
      </c>
      <c r="K226">
        <v>168933</v>
      </c>
      <c r="L226" t="s">
        <v>2932</v>
      </c>
      <c r="M226" s="233" t="s">
        <v>2666</v>
      </c>
      <c r="O226" t="s">
        <v>2531</v>
      </c>
      <c r="P226" s="26" t="s">
        <v>2933</v>
      </c>
      <c r="Q226" t="s">
        <v>2532</v>
      </c>
      <c r="R226" s="97" t="s">
        <v>2533</v>
      </c>
      <c r="S226" s="7">
        <v>28000</v>
      </c>
      <c r="T226" s="7">
        <v>28000</v>
      </c>
      <c r="U226" s="7">
        <v>28000</v>
      </c>
      <c r="V226" s="7">
        <f t="shared" si="18"/>
        <v>0</v>
      </c>
      <c r="W226" s="5">
        <f t="shared" si="19"/>
        <v>0</v>
      </c>
      <c r="X226" s="40"/>
      <c r="Y226" s="34">
        <f>SUMPRODUCT((BIdetails!$J$5:$J$3000=M226)*(BIdetails!$K$5:$K$3000=N226)*(BIdetails!$M$5:$M$3000))</f>
        <v>0</v>
      </c>
      <c r="Z226" s="35">
        <f t="shared" si="21"/>
        <v>0</v>
      </c>
      <c r="AA226" s="31" t="s">
        <v>2541</v>
      </c>
      <c r="AB226" s="31" t="s">
        <v>2663</v>
      </c>
      <c r="AC226" s="31" t="s">
        <v>2572</v>
      </c>
      <c r="AD226" s="31"/>
      <c r="AE226">
        <v>1630</v>
      </c>
    </row>
    <row r="227" spans="1:31" hidden="1" x14ac:dyDescent="0.25">
      <c r="A227" t="s">
        <v>2526</v>
      </c>
      <c r="B227" t="str">
        <f t="shared" si="17"/>
        <v>Increase</v>
      </c>
      <c r="C227" t="s">
        <v>2930</v>
      </c>
      <c r="D227">
        <v>68427709</v>
      </c>
      <c r="E227" s="96" t="s">
        <v>51</v>
      </c>
      <c r="F227" t="s">
        <v>52</v>
      </c>
      <c r="G227" t="s">
        <v>42</v>
      </c>
      <c r="H227" t="s">
        <v>2934</v>
      </c>
      <c r="I227">
        <v>0</v>
      </c>
      <c r="J227" t="s">
        <v>2032</v>
      </c>
      <c r="K227">
        <v>168933</v>
      </c>
      <c r="L227" t="s">
        <v>2932</v>
      </c>
      <c r="M227" s="233">
        <v>5400960169</v>
      </c>
      <c r="N227" s="21">
        <v>10</v>
      </c>
      <c r="O227" t="s">
        <v>2531</v>
      </c>
      <c r="P227" s="26" t="s">
        <v>2531</v>
      </c>
      <c r="Q227" t="s">
        <v>2532</v>
      </c>
      <c r="R227" s="97" t="s">
        <v>2533</v>
      </c>
      <c r="S227" s="7">
        <v>165000</v>
      </c>
      <c r="T227" s="7">
        <v>165000</v>
      </c>
      <c r="U227" s="7">
        <v>235000</v>
      </c>
      <c r="V227" s="7">
        <f t="shared" si="18"/>
        <v>70000</v>
      </c>
      <c r="W227" s="5">
        <f t="shared" si="19"/>
        <v>0.42424242424242425</v>
      </c>
      <c r="X227" s="40" t="s">
        <v>2935</v>
      </c>
      <c r="Y227" s="34">
        <f>SUMPRODUCT((BIdetails!$J$5:$J$3000=M227)*(BIdetails!$K$5:$K$3000=N227)*(BIdetails!$M$5:$M$3000))</f>
        <v>0</v>
      </c>
      <c r="Z227" s="35">
        <f t="shared" si="21"/>
        <v>0</v>
      </c>
      <c r="AA227" s="31" t="s">
        <v>2541</v>
      </c>
      <c r="AB227" s="31" t="s">
        <v>2663</v>
      </c>
      <c r="AC227" s="31" t="s">
        <v>2572</v>
      </c>
      <c r="AD227" s="31"/>
      <c r="AE227">
        <v>1870</v>
      </c>
    </row>
    <row r="228" spans="1:31" hidden="1" x14ac:dyDescent="0.25">
      <c r="A228" t="s">
        <v>2526</v>
      </c>
      <c r="B228" t="str">
        <f t="shared" si="17"/>
        <v>Increase</v>
      </c>
      <c r="C228" t="s">
        <v>2936</v>
      </c>
      <c r="D228">
        <v>68427709</v>
      </c>
      <c r="E228" s="96" t="s">
        <v>49</v>
      </c>
      <c r="F228" t="s">
        <v>50</v>
      </c>
      <c r="G228" s="98" t="s">
        <v>42</v>
      </c>
      <c r="H228" s="98" t="s">
        <v>2418</v>
      </c>
      <c r="J228" s="223" t="s">
        <v>2937</v>
      </c>
      <c r="K228" s="98">
        <v>168933</v>
      </c>
      <c r="L228" s="98" t="s">
        <v>1819</v>
      </c>
      <c r="M228" s="234">
        <v>5400963483</v>
      </c>
      <c r="N228" s="99"/>
      <c r="O228" s="98" t="s">
        <v>2531</v>
      </c>
      <c r="P228" s="98" t="s">
        <v>1752</v>
      </c>
      <c r="Q228" t="s">
        <v>2545</v>
      </c>
      <c r="R228" s="97" t="s">
        <v>2715</v>
      </c>
      <c r="S228" s="7">
        <v>195000</v>
      </c>
      <c r="T228" s="7">
        <v>230000</v>
      </c>
      <c r="U228" s="7">
        <v>281000</v>
      </c>
      <c r="V228" s="7">
        <f t="shared" si="18"/>
        <v>51000</v>
      </c>
      <c r="W228" s="5">
        <f t="shared" si="19"/>
        <v>0.22173913043478261</v>
      </c>
      <c r="X228" s="6" t="s">
        <v>2938</v>
      </c>
      <c r="Y228" s="34">
        <f>SUMPRODUCT((BIdetails!$J$5:$J$3000=M228)*(BIdetails!$K$5:$K$3000=N228)*(BIdetails!$M$5:$M$3000))</f>
        <v>0</v>
      </c>
      <c r="Z228" s="35">
        <f t="shared" si="21"/>
        <v>0</v>
      </c>
      <c r="AA228" s="31" t="s">
        <v>2541</v>
      </c>
      <c r="AB228" s="31" t="s">
        <v>2663</v>
      </c>
      <c r="AC228" s="31" t="s">
        <v>2572</v>
      </c>
      <c r="AD228" s="31"/>
      <c r="AE228">
        <v>1490</v>
      </c>
    </row>
    <row r="229" spans="1:31" hidden="1" x14ac:dyDescent="0.25">
      <c r="A229" t="s">
        <v>2526</v>
      </c>
      <c r="B229" t="str">
        <f t="shared" si="17"/>
        <v>Increase</v>
      </c>
      <c r="C229" t="s">
        <v>2939</v>
      </c>
      <c r="D229">
        <v>68427709</v>
      </c>
      <c r="E229" s="96" t="s">
        <v>49</v>
      </c>
      <c r="F229" t="s">
        <v>50</v>
      </c>
      <c r="G229" t="s">
        <v>42</v>
      </c>
      <c r="H229" t="s">
        <v>2403</v>
      </c>
      <c r="I229" t="s">
        <v>2554</v>
      </c>
      <c r="J229" t="s">
        <v>2555</v>
      </c>
      <c r="K229">
        <v>118054</v>
      </c>
      <c r="L229" t="s">
        <v>861</v>
      </c>
      <c r="M229" s="233">
        <v>5400932650</v>
      </c>
      <c r="N229" s="21">
        <v>10</v>
      </c>
      <c r="O229" t="s">
        <v>2531</v>
      </c>
      <c r="P229" t="s">
        <v>2531</v>
      </c>
      <c r="Q229" t="s">
        <v>2532</v>
      </c>
      <c r="R229" s="31" t="s">
        <v>2533</v>
      </c>
      <c r="S229" s="7">
        <v>6300</v>
      </c>
      <c r="T229" s="7">
        <v>6300</v>
      </c>
      <c r="U229" s="7">
        <v>7100</v>
      </c>
      <c r="V229" s="7">
        <f t="shared" si="18"/>
        <v>800</v>
      </c>
      <c r="W229" s="5">
        <f t="shared" si="19"/>
        <v>0.12698412698412698</v>
      </c>
      <c r="X229" s="40" t="s">
        <v>2358</v>
      </c>
      <c r="Y229" s="34">
        <f>SUMPRODUCT((BIdetails!$J$5:$J$3000=M229)*(BIdetails!$K$5:$K$3000=N229)*(BIdetails!$M$5:$M$3000))</f>
        <v>0</v>
      </c>
      <c r="Z229" s="35">
        <f t="shared" si="21"/>
        <v>0</v>
      </c>
      <c r="AA229" s="31" t="s">
        <v>610</v>
      </c>
      <c r="AB229" s="31" t="s">
        <v>2534</v>
      </c>
      <c r="AC229" s="31"/>
      <c r="AD229" s="31"/>
      <c r="AE229">
        <v>1161</v>
      </c>
    </row>
    <row r="230" spans="1:31" hidden="1" x14ac:dyDescent="0.25">
      <c r="A230" t="s">
        <v>2526</v>
      </c>
      <c r="B230" t="str">
        <f t="shared" si="17"/>
        <v>Increase</v>
      </c>
      <c r="C230" t="s">
        <v>2940</v>
      </c>
      <c r="D230">
        <v>68427709</v>
      </c>
      <c r="E230" s="103" t="s">
        <v>51</v>
      </c>
      <c r="F230" s="98" t="s">
        <v>52</v>
      </c>
      <c r="G230" s="98" t="s">
        <v>42</v>
      </c>
      <c r="H230" s="98" t="s">
        <v>2405</v>
      </c>
      <c r="I230" t="s">
        <v>2554</v>
      </c>
      <c r="J230" t="s">
        <v>2555</v>
      </c>
      <c r="K230" s="98">
        <v>118054</v>
      </c>
      <c r="L230" s="98" t="s">
        <v>861</v>
      </c>
      <c r="M230" s="234">
        <v>5400932652</v>
      </c>
      <c r="N230" s="99">
        <v>10</v>
      </c>
      <c r="O230" s="98" t="s">
        <v>2531</v>
      </c>
      <c r="P230" s="26" t="s">
        <v>2531</v>
      </c>
      <c r="Q230" s="98" t="s">
        <v>2532</v>
      </c>
      <c r="R230" s="97" t="s">
        <v>2533</v>
      </c>
      <c r="S230" s="7">
        <v>369640</v>
      </c>
      <c r="T230" s="7">
        <v>369640</v>
      </c>
      <c r="U230" s="7">
        <v>415640</v>
      </c>
      <c r="V230" s="7">
        <f t="shared" si="18"/>
        <v>46000</v>
      </c>
      <c r="W230" s="5">
        <f t="shared" si="19"/>
        <v>0.12444540634130505</v>
      </c>
      <c r="X230" s="40" t="s">
        <v>2358</v>
      </c>
      <c r="Y230" s="34">
        <f>SUMPRODUCT((BIdetails!$J$5:$J$3000=M230)*(BIdetails!$K$5:$K$3000=N230)*(BIdetails!$M$5:$M$3000))</f>
        <v>0</v>
      </c>
      <c r="Z230" s="35">
        <f t="shared" si="21"/>
        <v>0</v>
      </c>
      <c r="AA230" s="31" t="s">
        <v>2541</v>
      </c>
      <c r="AB230" s="31" t="s">
        <v>2534</v>
      </c>
      <c r="AC230" s="31" t="s">
        <v>2572</v>
      </c>
      <c r="AD230" s="31"/>
      <c r="AE230">
        <v>1890</v>
      </c>
    </row>
    <row r="231" spans="1:31" hidden="1" x14ac:dyDescent="0.25">
      <c r="A231" t="s">
        <v>2526</v>
      </c>
      <c r="B231" t="str">
        <f t="shared" si="17"/>
        <v>Increase</v>
      </c>
      <c r="C231" t="s">
        <v>2941</v>
      </c>
      <c r="D231">
        <v>68427709</v>
      </c>
      <c r="E231" s="103" t="s">
        <v>51</v>
      </c>
      <c r="F231" s="98" t="s">
        <v>52</v>
      </c>
      <c r="G231" s="98" t="s">
        <v>42</v>
      </c>
      <c r="H231" s="98" t="s">
        <v>2406</v>
      </c>
      <c r="I231" t="s">
        <v>2554</v>
      </c>
      <c r="J231" t="s">
        <v>2555</v>
      </c>
      <c r="K231" s="98">
        <v>118054</v>
      </c>
      <c r="L231" s="98" t="s">
        <v>861</v>
      </c>
      <c r="M231" s="234">
        <v>5400919657</v>
      </c>
      <c r="N231" s="99">
        <v>10</v>
      </c>
      <c r="O231" s="98" t="s">
        <v>2531</v>
      </c>
      <c r="P231" s="98" t="s">
        <v>2531</v>
      </c>
      <c r="Q231" t="s">
        <v>2532</v>
      </c>
      <c r="R231" s="97" t="s">
        <v>2533</v>
      </c>
      <c r="S231" s="7">
        <v>5380</v>
      </c>
      <c r="T231" s="7">
        <v>5380</v>
      </c>
      <c r="U231" s="7">
        <v>6140</v>
      </c>
      <c r="V231" s="7">
        <f t="shared" si="18"/>
        <v>760</v>
      </c>
      <c r="W231" s="5">
        <f t="shared" si="19"/>
        <v>0.14126394052044611</v>
      </c>
      <c r="X231" s="40" t="s">
        <v>2358</v>
      </c>
      <c r="Y231" s="34">
        <f>SUMPRODUCT((BIdetails!$J$5:$J$3000=M231)*(BIdetails!$K$5:$K$3000=N231)*(BIdetails!$M$5:$M$3000))</f>
        <v>0</v>
      </c>
      <c r="Z231" s="35">
        <f t="shared" si="21"/>
        <v>0</v>
      </c>
      <c r="AA231" s="31" t="s">
        <v>2893</v>
      </c>
      <c r="AB231" s="31" t="s">
        <v>2663</v>
      </c>
      <c r="AC231" s="31" t="s">
        <v>2572</v>
      </c>
      <c r="AD231" s="31"/>
      <c r="AE231">
        <v>2000</v>
      </c>
    </row>
    <row r="232" spans="1:31" hidden="1" x14ac:dyDescent="0.25">
      <c r="A232" t="s">
        <v>2526</v>
      </c>
      <c r="B232" t="str">
        <f t="shared" si="17"/>
        <v>Increase</v>
      </c>
      <c r="C232" t="s">
        <v>2942</v>
      </c>
      <c r="D232">
        <v>68427709</v>
      </c>
      <c r="E232" s="103" t="s">
        <v>51</v>
      </c>
      <c r="F232" s="98" t="s">
        <v>52</v>
      </c>
      <c r="G232" s="98" t="s">
        <v>42</v>
      </c>
      <c r="H232" s="98" t="s">
        <v>2407</v>
      </c>
      <c r="I232" t="s">
        <v>2554</v>
      </c>
      <c r="J232" s="171" t="s">
        <v>2555</v>
      </c>
      <c r="K232" s="98">
        <v>118054</v>
      </c>
      <c r="L232" s="98" t="s">
        <v>861</v>
      </c>
      <c r="M232" s="234">
        <v>5400930314</v>
      </c>
      <c r="N232" s="99">
        <v>10</v>
      </c>
      <c r="O232" s="98" t="s">
        <v>2531</v>
      </c>
      <c r="P232" s="98" t="s">
        <v>2531</v>
      </c>
      <c r="Q232" t="s">
        <v>2532</v>
      </c>
      <c r="R232" s="97" t="s">
        <v>2533</v>
      </c>
      <c r="S232" s="7">
        <v>12780</v>
      </c>
      <c r="T232" s="7">
        <v>12780</v>
      </c>
      <c r="U232" s="7">
        <v>13930</v>
      </c>
      <c r="V232" s="7">
        <f t="shared" si="18"/>
        <v>1150</v>
      </c>
      <c r="W232" s="5">
        <f t="shared" si="19"/>
        <v>8.9984350547730824E-2</v>
      </c>
      <c r="X232" s="40" t="s">
        <v>2358</v>
      </c>
      <c r="Y232" s="34">
        <f>SUMPRODUCT((BIdetails!$J$5:$J$3000=M232)*(BIdetails!$K$5:$K$3000=N232)*(BIdetails!$M$5:$M$3000))</f>
        <v>0</v>
      </c>
      <c r="Z232" s="35">
        <f t="shared" si="21"/>
        <v>0</v>
      </c>
      <c r="AA232" s="31"/>
      <c r="AB232" s="31"/>
      <c r="AC232" s="31"/>
      <c r="AD232" s="31"/>
      <c r="AE232">
        <v>2010</v>
      </c>
    </row>
    <row r="233" spans="1:31" hidden="1" x14ac:dyDescent="0.25">
      <c r="A233" t="s">
        <v>2526</v>
      </c>
      <c r="B233" t="str">
        <f t="shared" ref="B233:B292" si="22">IF(T233=U233,"No Change",IF(AND(U233&lt;&gt;0,U233&lt;T233),"Decrease",IF(AND(U233&lt;&gt;0,T233=0),"New",IF(AND(T233&lt;&gt;0,U233=0),"Decommissioned","Increase"))))</f>
        <v>Increase</v>
      </c>
      <c r="D233">
        <v>68427709</v>
      </c>
      <c r="E233" s="103" t="s">
        <v>51</v>
      </c>
      <c r="F233" s="98" t="s">
        <v>52</v>
      </c>
      <c r="G233" s="98" t="s">
        <v>42</v>
      </c>
      <c r="H233" s="98" t="s">
        <v>1576</v>
      </c>
      <c r="I233" t="s">
        <v>2554</v>
      </c>
      <c r="J233" t="s">
        <v>2555</v>
      </c>
      <c r="K233" s="98">
        <v>118054</v>
      </c>
      <c r="L233" s="98" t="s">
        <v>861</v>
      </c>
      <c r="M233" s="234">
        <v>5400940722</v>
      </c>
      <c r="N233" s="99">
        <v>10</v>
      </c>
      <c r="O233" s="98" t="s">
        <v>2531</v>
      </c>
      <c r="P233" s="98" t="s">
        <v>2531</v>
      </c>
      <c r="Q233" t="s">
        <v>2532</v>
      </c>
      <c r="R233" s="97" t="s">
        <v>2533</v>
      </c>
      <c r="S233" s="7">
        <v>900</v>
      </c>
      <c r="T233" s="7">
        <v>900</v>
      </c>
      <c r="U233" s="7">
        <v>1800</v>
      </c>
      <c r="V233" s="7">
        <f t="shared" ref="V233:V292" si="23">U233-T233</f>
        <v>900</v>
      </c>
      <c r="W233" s="5">
        <f t="shared" si="19"/>
        <v>1</v>
      </c>
      <c r="X233" s="40" t="s">
        <v>2358</v>
      </c>
      <c r="Y233" s="34">
        <f>SUMPRODUCT((BIdetails!$J$5:$J$3000=M233)*(BIdetails!$K$5:$K$3000=N233)*(BIdetails!$M$5:$M$3000))</f>
        <v>0</v>
      </c>
      <c r="Z233" s="35">
        <f t="shared" si="21"/>
        <v>0</v>
      </c>
      <c r="AA233" s="31"/>
      <c r="AB233" s="31"/>
      <c r="AC233" s="31"/>
      <c r="AD233" s="31"/>
      <c r="AE233">
        <v>2090</v>
      </c>
    </row>
    <row r="234" spans="1:31" hidden="1" x14ac:dyDescent="0.25">
      <c r="A234" t="s">
        <v>2526</v>
      </c>
      <c r="B234" t="str">
        <f t="shared" si="22"/>
        <v>Increase</v>
      </c>
      <c r="C234" t="s">
        <v>2943</v>
      </c>
      <c r="D234">
        <v>68427709</v>
      </c>
      <c r="E234" s="103" t="s">
        <v>53</v>
      </c>
      <c r="F234" s="98" t="s">
        <v>54</v>
      </c>
      <c r="G234" s="98" t="s">
        <v>42</v>
      </c>
      <c r="H234" s="98" t="s">
        <v>2408</v>
      </c>
      <c r="J234" t="s">
        <v>2944</v>
      </c>
      <c r="K234" s="98">
        <v>118054</v>
      </c>
      <c r="L234" s="98" t="s">
        <v>861</v>
      </c>
      <c r="M234" s="234">
        <v>5400944829</v>
      </c>
      <c r="N234" s="99">
        <v>10</v>
      </c>
      <c r="O234" s="98" t="s">
        <v>2531</v>
      </c>
      <c r="P234" s="26" t="s">
        <v>2531</v>
      </c>
      <c r="Q234" s="98" t="s">
        <v>2545</v>
      </c>
      <c r="R234" s="97" t="s">
        <v>2533</v>
      </c>
      <c r="S234" s="7">
        <v>27800</v>
      </c>
      <c r="T234" s="7">
        <v>27800</v>
      </c>
      <c r="U234" s="7">
        <v>30000</v>
      </c>
      <c r="V234" s="7">
        <f t="shared" si="23"/>
        <v>2200</v>
      </c>
      <c r="W234" s="5">
        <f t="shared" si="19"/>
        <v>7.9136690647482008E-2</v>
      </c>
      <c r="X234" s="40" t="s">
        <v>2358</v>
      </c>
      <c r="Y234" s="34">
        <f>SUMPRODUCT((BIdetails!$J$5:$J$3000=M234)*(BIdetails!$K$5:$K$3000=N234)*(BIdetails!$M$5:$M$3000))</f>
        <v>0</v>
      </c>
      <c r="Z234" s="35">
        <f t="shared" si="21"/>
        <v>0</v>
      </c>
      <c r="AA234" s="31" t="s">
        <v>2541</v>
      </c>
      <c r="AB234" s="31" t="s">
        <v>2663</v>
      </c>
      <c r="AC234" s="31"/>
      <c r="AD234" s="31"/>
      <c r="AE234">
        <v>2450</v>
      </c>
    </row>
    <row r="235" spans="1:31" hidden="1" x14ac:dyDescent="0.25">
      <c r="A235" t="s">
        <v>2526</v>
      </c>
      <c r="B235" t="str">
        <f t="shared" si="22"/>
        <v>Increase</v>
      </c>
      <c r="C235" t="s">
        <v>2945</v>
      </c>
      <c r="D235">
        <v>68427709</v>
      </c>
      <c r="E235" s="103" t="s">
        <v>51</v>
      </c>
      <c r="F235" s="98" t="s">
        <v>52</v>
      </c>
      <c r="G235" s="98" t="s">
        <v>42</v>
      </c>
      <c r="H235" s="98" t="s">
        <v>2409</v>
      </c>
      <c r="I235" t="s">
        <v>2554</v>
      </c>
      <c r="J235" s="225" t="s">
        <v>2946</v>
      </c>
      <c r="K235" s="98">
        <v>118054</v>
      </c>
      <c r="L235" s="98" t="s">
        <v>861</v>
      </c>
      <c r="M235" s="234">
        <v>5400973983</v>
      </c>
      <c r="N235" s="99">
        <v>10</v>
      </c>
      <c r="O235" s="98" t="s">
        <v>2531</v>
      </c>
      <c r="P235" s="98" t="s">
        <v>2531</v>
      </c>
      <c r="Q235" t="s">
        <v>2532</v>
      </c>
      <c r="R235" s="97" t="s">
        <v>2533</v>
      </c>
      <c r="S235" s="7">
        <v>61500</v>
      </c>
      <c r="T235" s="7">
        <v>61500</v>
      </c>
      <c r="U235" s="7">
        <v>70000</v>
      </c>
      <c r="V235" s="7">
        <f t="shared" si="23"/>
        <v>8500</v>
      </c>
      <c r="W235" s="5">
        <f t="shared" si="19"/>
        <v>0.13821138211382114</v>
      </c>
      <c r="X235" s="40" t="s">
        <v>2358</v>
      </c>
      <c r="Y235" s="34">
        <f>SUMPRODUCT((BIdetails!$J$5:$J$3000=M235)*(BIdetails!$K$5:$K$3000=N235)*(BIdetails!$M$5:$M$3000))</f>
        <v>0</v>
      </c>
      <c r="Z235" s="35">
        <f t="shared" si="21"/>
        <v>0</v>
      </c>
      <c r="AA235" s="31" t="s">
        <v>2541</v>
      </c>
      <c r="AB235" s="31" t="s">
        <v>2663</v>
      </c>
      <c r="AC235" s="31" t="s">
        <v>2572</v>
      </c>
      <c r="AD235" s="31"/>
      <c r="AE235">
        <v>1980</v>
      </c>
    </row>
    <row r="236" spans="1:31" hidden="1" x14ac:dyDescent="0.25">
      <c r="A236" t="s">
        <v>2526</v>
      </c>
      <c r="B236" t="str">
        <f t="shared" si="22"/>
        <v>No Change</v>
      </c>
      <c r="D236">
        <v>68427709</v>
      </c>
      <c r="E236" s="96" t="s">
        <v>53</v>
      </c>
      <c r="F236" t="s">
        <v>54</v>
      </c>
      <c r="G236" s="96" t="s">
        <v>42</v>
      </c>
      <c r="H236" t="s">
        <v>1469</v>
      </c>
      <c r="I236" t="s">
        <v>2225</v>
      </c>
      <c r="J236" t="s">
        <v>2637</v>
      </c>
      <c r="K236">
        <v>118054</v>
      </c>
      <c r="L236" t="s">
        <v>861</v>
      </c>
      <c r="M236"/>
      <c r="O236" s="26" t="s">
        <v>2190</v>
      </c>
      <c r="P236" s="26" t="s">
        <v>2190</v>
      </c>
      <c r="Q236" t="s">
        <v>2545</v>
      </c>
      <c r="R236" s="31" t="s">
        <v>2607</v>
      </c>
      <c r="S236" s="7"/>
      <c r="T236" s="7">
        <v>75000</v>
      </c>
      <c r="U236" s="7">
        <v>75000</v>
      </c>
      <c r="V236" s="7">
        <f t="shared" si="23"/>
        <v>0</v>
      </c>
      <c r="W236" s="5">
        <f t="shared" si="19"/>
        <v>0</v>
      </c>
      <c r="X236" s="22"/>
      <c r="Y236" s="34"/>
      <c r="Z236" s="35"/>
      <c r="AA236" s="31"/>
      <c r="AB236" s="31"/>
      <c r="AC236" s="31"/>
      <c r="AD236" s="31"/>
    </row>
    <row r="237" spans="1:31" hidden="1" x14ac:dyDescent="0.25">
      <c r="A237" t="s">
        <v>2526</v>
      </c>
      <c r="B237" t="str">
        <f t="shared" si="22"/>
        <v>Increase</v>
      </c>
      <c r="C237" t="s">
        <v>2727</v>
      </c>
      <c r="D237">
        <v>68427709</v>
      </c>
      <c r="E237" s="96" t="s">
        <v>21</v>
      </c>
      <c r="F237" t="s">
        <v>2624</v>
      </c>
      <c r="G237" t="s">
        <v>23</v>
      </c>
      <c r="H237" t="s">
        <v>2947</v>
      </c>
      <c r="I237" t="s">
        <v>2225</v>
      </c>
      <c r="J237" t="s">
        <v>2948</v>
      </c>
      <c r="K237" s="26">
        <v>196653</v>
      </c>
      <c r="L237" t="s">
        <v>1776</v>
      </c>
      <c r="M237" s="196">
        <v>5400964787</v>
      </c>
      <c r="O237" t="s">
        <v>2190</v>
      </c>
      <c r="P237" t="s">
        <v>2190</v>
      </c>
      <c r="Q237" t="s">
        <v>2545</v>
      </c>
      <c r="R237" s="31" t="s">
        <v>2607</v>
      </c>
      <c r="S237" s="7">
        <v>790000</v>
      </c>
      <c r="T237" s="7">
        <v>790000</v>
      </c>
      <c r="U237" s="7">
        <v>805000</v>
      </c>
      <c r="V237" s="7">
        <f t="shared" si="23"/>
        <v>15000</v>
      </c>
      <c r="W237" s="5">
        <f t="shared" si="19"/>
        <v>1.8987341772151899E-2</v>
      </c>
      <c r="X237" s="40" t="s">
        <v>2436</v>
      </c>
      <c r="Y237" s="34">
        <f>SUMPRODUCT((BIdetails!$J$5:$J$3000=M237)*(BIdetails!$K$5:$K$3000=N237)*(BIdetails!$M$5:$M$3000))</f>
        <v>0</v>
      </c>
      <c r="Z237" s="35">
        <f>IF(U237=0,"",(Y237/U237))</f>
        <v>0</v>
      </c>
      <c r="AA237" s="31"/>
      <c r="AB237" s="31"/>
      <c r="AC237" s="31"/>
      <c r="AD237" s="31"/>
      <c r="AE237">
        <v>180</v>
      </c>
    </row>
    <row r="238" spans="1:31" hidden="1" x14ac:dyDescent="0.25">
      <c r="A238" t="s">
        <v>2526</v>
      </c>
      <c r="B238" t="str">
        <f t="shared" si="22"/>
        <v>Decrease</v>
      </c>
      <c r="D238">
        <v>68427709</v>
      </c>
      <c r="E238" s="96" t="s">
        <v>21</v>
      </c>
      <c r="F238" t="s">
        <v>2624</v>
      </c>
      <c r="G238" t="s">
        <v>23</v>
      </c>
      <c r="H238" t="s">
        <v>600</v>
      </c>
      <c r="I238" t="s">
        <v>2228</v>
      </c>
      <c r="J238" t="s">
        <v>2625</v>
      </c>
      <c r="K238" s="26">
        <v>196653</v>
      </c>
      <c r="L238" t="s">
        <v>1776</v>
      </c>
      <c r="M238" s="196">
        <v>5400964787</v>
      </c>
      <c r="N238" s="21">
        <v>10</v>
      </c>
      <c r="O238" t="s">
        <v>2190</v>
      </c>
      <c r="P238" t="s">
        <v>2190</v>
      </c>
      <c r="Q238" t="s">
        <v>2626</v>
      </c>
      <c r="R238" s="31" t="s">
        <v>2607</v>
      </c>
      <c r="S238" s="7">
        <v>50000</v>
      </c>
      <c r="T238" s="7">
        <v>130000</v>
      </c>
      <c r="U238" s="7">
        <v>100000</v>
      </c>
      <c r="V238" s="7">
        <f t="shared" si="23"/>
        <v>-30000</v>
      </c>
      <c r="W238" s="5">
        <f t="shared" si="19"/>
        <v>-0.23076923076923078</v>
      </c>
      <c r="X238" s="40"/>
      <c r="Y238" s="34">
        <f>SUMPRODUCT((BIdetails!$J$5:$J$3000=M238)*(BIdetails!$K$5:$K$3000=N238)*(BIdetails!$M$5:$M$3000))</f>
        <v>0</v>
      </c>
      <c r="Z238" s="35">
        <f>IF(U238=0,"",(Y238/U238))</f>
        <v>0</v>
      </c>
      <c r="AA238" s="31" t="s">
        <v>610</v>
      </c>
      <c r="AB238" s="31" t="s">
        <v>2534</v>
      </c>
      <c r="AC238" s="31"/>
      <c r="AD238" s="31"/>
      <c r="AE238">
        <v>170</v>
      </c>
    </row>
    <row r="239" spans="1:31" hidden="1" x14ac:dyDescent="0.25">
      <c r="A239" t="s">
        <v>2526</v>
      </c>
      <c r="B239" t="str">
        <f t="shared" si="22"/>
        <v>New</v>
      </c>
      <c r="D239">
        <v>68427709</v>
      </c>
      <c r="E239" s="96" t="s">
        <v>21</v>
      </c>
      <c r="F239" t="s">
        <v>2624</v>
      </c>
      <c r="G239" t="s">
        <v>23</v>
      </c>
      <c r="H239" t="s">
        <v>2226</v>
      </c>
      <c r="I239" t="s">
        <v>2228</v>
      </c>
      <c r="J239" t="s">
        <v>2625</v>
      </c>
      <c r="K239">
        <v>196653</v>
      </c>
      <c r="L239" t="s">
        <v>1776</v>
      </c>
      <c r="M239" s="196"/>
      <c r="O239" s="26" t="s">
        <v>2190</v>
      </c>
      <c r="P239" s="26" t="s">
        <v>2190</v>
      </c>
      <c r="Q239" t="s">
        <v>2626</v>
      </c>
      <c r="R239" s="31" t="s">
        <v>2607</v>
      </c>
      <c r="S239" s="7"/>
      <c r="T239" s="7">
        <v>0</v>
      </c>
      <c r="U239" s="7">
        <v>347000</v>
      </c>
      <c r="V239" s="7">
        <f t="shared" si="23"/>
        <v>347000</v>
      </c>
      <c r="W239" s="5">
        <f t="shared" si="19"/>
        <v>1</v>
      </c>
      <c r="X239" s="22" t="s">
        <v>2227</v>
      </c>
      <c r="Y239" s="34"/>
      <c r="Z239" s="35"/>
      <c r="AA239" s="31"/>
      <c r="AB239" s="31"/>
      <c r="AC239" s="31"/>
      <c r="AD239" s="31"/>
    </row>
    <row r="240" spans="1:31" hidden="1" x14ac:dyDescent="0.25">
      <c r="A240" t="s">
        <v>2526</v>
      </c>
      <c r="B240" t="str">
        <f t="shared" si="22"/>
        <v>Increase</v>
      </c>
      <c r="C240" t="s">
        <v>2727</v>
      </c>
      <c r="D240">
        <v>68427709</v>
      </c>
      <c r="E240" s="96" t="s">
        <v>21</v>
      </c>
      <c r="F240" t="s">
        <v>2624</v>
      </c>
      <c r="G240" t="s">
        <v>23</v>
      </c>
      <c r="H240" t="s">
        <v>1181</v>
      </c>
      <c r="I240" t="s">
        <v>2225</v>
      </c>
      <c r="J240" t="s">
        <v>2637</v>
      </c>
      <c r="K240" s="26">
        <v>196653</v>
      </c>
      <c r="L240" t="s">
        <v>1776</v>
      </c>
      <c r="M240" s="196">
        <v>5400964787</v>
      </c>
      <c r="N240" s="21">
        <v>10</v>
      </c>
      <c r="O240" t="s">
        <v>2190</v>
      </c>
      <c r="P240" t="s">
        <v>2190</v>
      </c>
      <c r="Q240" t="s">
        <v>2545</v>
      </c>
      <c r="R240" s="31" t="s">
        <v>2607</v>
      </c>
      <c r="S240" s="7">
        <v>50000</v>
      </c>
      <c r="T240" s="7">
        <v>45000</v>
      </c>
      <c r="U240" s="7">
        <v>46000</v>
      </c>
      <c r="V240" s="7">
        <f t="shared" si="23"/>
        <v>1000</v>
      </c>
      <c r="W240" s="5">
        <f t="shared" si="19"/>
        <v>2.2222222222222223E-2</v>
      </c>
      <c r="X240" s="40" t="s">
        <v>2436</v>
      </c>
      <c r="Y240" s="34">
        <f>SUMPRODUCT((BIdetails!$J$5:$J$3000=M240)*(BIdetails!$K$5:$K$3000=N240)*(BIdetails!$M$5:$M$3000))</f>
        <v>0</v>
      </c>
      <c r="Z240" s="35">
        <f t="shared" ref="Z240:Z261" si="24">IF(U240=0,"",(Y240/U240))</f>
        <v>0</v>
      </c>
      <c r="AA240" s="31"/>
      <c r="AB240" s="31"/>
      <c r="AC240" s="31"/>
      <c r="AD240" s="31"/>
      <c r="AE240">
        <v>200</v>
      </c>
    </row>
    <row r="241" spans="1:31" hidden="1" x14ac:dyDescent="0.25">
      <c r="A241" t="s">
        <v>2526</v>
      </c>
      <c r="B241" t="str">
        <f t="shared" si="22"/>
        <v>Increase</v>
      </c>
      <c r="C241" t="s">
        <v>2949</v>
      </c>
      <c r="D241">
        <v>68427709</v>
      </c>
      <c r="E241" s="96" t="s">
        <v>21</v>
      </c>
      <c r="F241" t="s">
        <v>2624</v>
      </c>
      <c r="G241" t="s">
        <v>23</v>
      </c>
      <c r="H241" t="s">
        <v>2207</v>
      </c>
      <c r="I241" t="s">
        <v>2225</v>
      </c>
      <c r="J241" t="s">
        <v>2637</v>
      </c>
      <c r="K241" s="26">
        <v>196653</v>
      </c>
      <c r="L241" t="s">
        <v>1776</v>
      </c>
      <c r="M241" s="233">
        <v>5400964783</v>
      </c>
      <c r="N241" s="21">
        <v>10</v>
      </c>
      <c r="O241" s="26" t="s">
        <v>2190</v>
      </c>
      <c r="P241" s="26" t="s">
        <v>2190</v>
      </c>
      <c r="Q241" t="s">
        <v>2545</v>
      </c>
      <c r="R241" s="31" t="s">
        <v>2607</v>
      </c>
      <c r="S241" s="7">
        <v>3750000</v>
      </c>
      <c r="T241" s="7">
        <v>3972000</v>
      </c>
      <c r="U241" s="7">
        <v>4334000</v>
      </c>
      <c r="V241" s="7">
        <f t="shared" si="23"/>
        <v>362000</v>
      </c>
      <c r="W241" s="5">
        <f t="shared" si="19"/>
        <v>9.1137965760322251E-2</v>
      </c>
      <c r="X241" s="22" t="s">
        <v>2950</v>
      </c>
      <c r="Y241" s="34">
        <f>SUMPRODUCT((BIdetails!$J$5:$J$3000=M241)*(BIdetails!$K$5:$K$3000=N241)*(BIdetails!$M$5:$M$3000))</f>
        <v>0</v>
      </c>
      <c r="Z241" s="35">
        <f t="shared" si="24"/>
        <v>0</v>
      </c>
      <c r="AA241" s="31"/>
      <c r="AB241" s="31"/>
      <c r="AC241" s="31"/>
      <c r="AD241" s="31"/>
      <c r="AE241">
        <v>220</v>
      </c>
    </row>
    <row r="242" spans="1:31" hidden="1" x14ac:dyDescent="0.25">
      <c r="A242" t="s">
        <v>2526</v>
      </c>
      <c r="B242" t="str">
        <f t="shared" si="22"/>
        <v>Increase</v>
      </c>
      <c r="C242" t="s">
        <v>2727</v>
      </c>
      <c r="D242">
        <v>68427709</v>
      </c>
      <c r="E242" s="96" t="s">
        <v>21</v>
      </c>
      <c r="F242" t="s">
        <v>2624</v>
      </c>
      <c r="G242" t="s">
        <v>23</v>
      </c>
      <c r="H242" t="s">
        <v>1806</v>
      </c>
      <c r="I242" t="s">
        <v>2225</v>
      </c>
      <c r="J242" t="s">
        <v>2637</v>
      </c>
      <c r="K242">
        <v>129450</v>
      </c>
      <c r="L242" s="223" t="s">
        <v>1776</v>
      </c>
      <c r="M242" s="196">
        <v>5400964790</v>
      </c>
      <c r="N242" s="21">
        <v>10</v>
      </c>
      <c r="O242" s="26" t="s">
        <v>2190</v>
      </c>
      <c r="P242" s="26" t="s">
        <v>2190</v>
      </c>
      <c r="Q242" t="s">
        <v>2545</v>
      </c>
      <c r="R242" s="31" t="s">
        <v>2607</v>
      </c>
      <c r="S242" s="7">
        <v>48960</v>
      </c>
      <c r="T242" s="7">
        <v>60000</v>
      </c>
      <c r="U242" s="7">
        <v>61200</v>
      </c>
      <c r="V242" s="7">
        <f t="shared" si="23"/>
        <v>1200</v>
      </c>
      <c r="W242" s="5">
        <f t="shared" si="19"/>
        <v>0.02</v>
      </c>
      <c r="X242" s="40" t="s">
        <v>2436</v>
      </c>
      <c r="Y242" s="34">
        <f>SUMPRODUCT((BIdetails!$J$5:$J$3000=M242)*(BIdetails!$K$5:$K$3000=N242)*(BIdetails!$M$5:$M$3000))</f>
        <v>0</v>
      </c>
      <c r="Z242" s="35">
        <f t="shared" si="24"/>
        <v>0</v>
      </c>
      <c r="AA242" s="31"/>
      <c r="AB242" s="31"/>
      <c r="AC242" s="31"/>
      <c r="AD242" s="31"/>
      <c r="AE242">
        <v>221</v>
      </c>
    </row>
    <row r="243" spans="1:31" hidden="1" x14ac:dyDescent="0.25">
      <c r="A243" t="s">
        <v>2526</v>
      </c>
      <c r="B243" t="str">
        <f t="shared" si="22"/>
        <v>Increase</v>
      </c>
      <c r="C243" t="s">
        <v>2727</v>
      </c>
      <c r="D243">
        <v>68427709</v>
      </c>
      <c r="E243" s="96" t="s">
        <v>21</v>
      </c>
      <c r="F243" t="s">
        <v>2624</v>
      </c>
      <c r="G243" t="s">
        <v>23</v>
      </c>
      <c r="H243" t="s">
        <v>2210</v>
      </c>
      <c r="I243" t="s">
        <v>2225</v>
      </c>
      <c r="J243" t="s">
        <v>2637</v>
      </c>
      <c r="K243">
        <v>129450</v>
      </c>
      <c r="L243" s="223" t="s">
        <v>1776</v>
      </c>
      <c r="M243" s="196">
        <v>5400964790</v>
      </c>
      <c r="N243" s="21">
        <v>10</v>
      </c>
      <c r="O243" s="26" t="s">
        <v>2190</v>
      </c>
      <c r="P243" s="26" t="s">
        <v>2190</v>
      </c>
      <c r="Q243" t="s">
        <v>2545</v>
      </c>
      <c r="R243" s="31" t="s">
        <v>2607</v>
      </c>
      <c r="S243" s="7">
        <v>61200</v>
      </c>
      <c r="T243" s="7">
        <v>50000</v>
      </c>
      <c r="U243" s="7">
        <v>51000</v>
      </c>
      <c r="V243" s="7">
        <f t="shared" si="23"/>
        <v>1000</v>
      </c>
      <c r="W243" s="5">
        <f t="shared" si="19"/>
        <v>0.02</v>
      </c>
      <c r="X243" s="40" t="s">
        <v>2436</v>
      </c>
      <c r="Y243" s="34">
        <f>SUMPRODUCT((BIdetails!$J$5:$J$3000=M243)*(BIdetails!$K$5:$K$3000=N243)*(BIdetails!$M$5:$M$3000))</f>
        <v>0</v>
      </c>
      <c r="Z243" s="35">
        <f t="shared" si="24"/>
        <v>0</v>
      </c>
      <c r="AA243" s="31"/>
      <c r="AB243" s="31"/>
      <c r="AC243" s="31"/>
      <c r="AD243" s="31"/>
      <c r="AE243">
        <v>230</v>
      </c>
    </row>
    <row r="244" spans="1:31" hidden="1" x14ac:dyDescent="0.25">
      <c r="A244" t="s">
        <v>2526</v>
      </c>
      <c r="B244" t="str">
        <f t="shared" si="22"/>
        <v>Increase</v>
      </c>
      <c r="C244" t="s">
        <v>2727</v>
      </c>
      <c r="D244">
        <v>68427709</v>
      </c>
      <c r="E244" s="96" t="s">
        <v>21</v>
      </c>
      <c r="F244" t="s">
        <v>2624</v>
      </c>
      <c r="G244" t="s">
        <v>23</v>
      </c>
      <c r="H244" t="s">
        <v>1345</v>
      </c>
      <c r="I244" t="s">
        <v>2225</v>
      </c>
      <c r="J244" t="s">
        <v>2637</v>
      </c>
      <c r="K244">
        <v>196653</v>
      </c>
      <c r="L244" t="s">
        <v>1776</v>
      </c>
      <c r="M244" s="196">
        <v>5400964785</v>
      </c>
      <c r="N244" s="21">
        <v>10</v>
      </c>
      <c r="O244" s="26" t="s">
        <v>2190</v>
      </c>
      <c r="P244" s="26" t="s">
        <v>2190</v>
      </c>
      <c r="Q244" t="s">
        <v>2545</v>
      </c>
      <c r="R244" s="31" t="s">
        <v>2607</v>
      </c>
      <c r="S244" s="7">
        <v>700000</v>
      </c>
      <c r="T244" s="7">
        <v>650000</v>
      </c>
      <c r="U244" s="7">
        <v>665000</v>
      </c>
      <c r="V244" s="7">
        <f t="shared" si="23"/>
        <v>15000</v>
      </c>
      <c r="W244" s="5">
        <f t="shared" si="19"/>
        <v>2.3076923076923078E-2</v>
      </c>
      <c r="X244" s="40" t="s">
        <v>2436</v>
      </c>
      <c r="Y244" s="34">
        <f>SUMPRODUCT((BIdetails!$J$5:$J$3000=M244)*(BIdetails!$K$5:$K$3000=N244)*(BIdetails!$M$5:$M$3000))</f>
        <v>0</v>
      </c>
      <c r="Z244" s="35">
        <f t="shared" si="24"/>
        <v>0</v>
      </c>
      <c r="AA244" s="31"/>
      <c r="AB244" s="31"/>
      <c r="AC244" s="31"/>
      <c r="AD244" s="31"/>
      <c r="AE244">
        <v>240</v>
      </c>
    </row>
    <row r="245" spans="1:31" hidden="1" x14ac:dyDescent="0.25">
      <c r="A245" t="s">
        <v>2526</v>
      </c>
      <c r="B245" t="str">
        <f t="shared" si="22"/>
        <v>Increase</v>
      </c>
      <c r="C245" t="s">
        <v>2951</v>
      </c>
      <c r="D245">
        <v>68427719</v>
      </c>
      <c r="E245" s="96" t="s">
        <v>53</v>
      </c>
      <c r="F245" t="s">
        <v>54</v>
      </c>
      <c r="G245" s="26" t="s">
        <v>42</v>
      </c>
      <c r="H245" t="s">
        <v>672</v>
      </c>
      <c r="I245">
        <v>0</v>
      </c>
      <c r="J245" t="s">
        <v>2952</v>
      </c>
      <c r="K245">
        <v>199977</v>
      </c>
      <c r="L245" s="26" t="s">
        <v>2953</v>
      </c>
      <c r="M245" s="234">
        <v>5400976352</v>
      </c>
      <c r="N245" s="99">
        <v>10</v>
      </c>
      <c r="O245" s="26" t="s">
        <v>2531</v>
      </c>
      <c r="P245" s="26" t="s">
        <v>2124</v>
      </c>
      <c r="Q245" s="98" t="s">
        <v>2613</v>
      </c>
      <c r="R245" s="97" t="s">
        <v>2596</v>
      </c>
      <c r="S245" s="7">
        <v>52000</v>
      </c>
      <c r="T245" s="7">
        <v>60000</v>
      </c>
      <c r="U245" s="7">
        <v>100000</v>
      </c>
      <c r="V245" s="7">
        <f t="shared" si="23"/>
        <v>40000</v>
      </c>
      <c r="W245" s="5">
        <f t="shared" ref="W245:W306" si="25">IF(B245="New",1,IFERROR(V245/T245,0))</f>
        <v>0.66666666666666663</v>
      </c>
      <c r="X245" s="40" t="s">
        <v>2358</v>
      </c>
      <c r="Y245" s="34">
        <f>SUMPRODUCT((BIdetails!$J$5:$J$3000=M245)*(BIdetails!$K$5:$K$3000=N245)*(BIdetails!$M$5:$M$3000))</f>
        <v>0</v>
      </c>
      <c r="Z245" s="35">
        <f t="shared" si="24"/>
        <v>0</v>
      </c>
      <c r="AA245" s="31"/>
      <c r="AB245" s="31"/>
      <c r="AC245" s="31"/>
      <c r="AD245" s="31"/>
      <c r="AE245">
        <v>2140</v>
      </c>
    </row>
    <row r="246" spans="1:31" hidden="1" x14ac:dyDescent="0.25">
      <c r="A246" t="s">
        <v>2526</v>
      </c>
      <c r="B246" t="str">
        <f t="shared" si="22"/>
        <v>Increase</v>
      </c>
      <c r="C246" t="s">
        <v>2954</v>
      </c>
      <c r="D246">
        <v>68427709</v>
      </c>
      <c r="E246" s="96" t="s">
        <v>53</v>
      </c>
      <c r="F246" s="98" t="s">
        <v>54</v>
      </c>
      <c r="G246" s="98" t="s">
        <v>42</v>
      </c>
      <c r="H246" s="98" t="s">
        <v>2363</v>
      </c>
      <c r="I246">
        <v>0</v>
      </c>
      <c r="J246" t="s">
        <v>2616</v>
      </c>
      <c r="K246" s="98">
        <v>181895</v>
      </c>
      <c r="L246" s="98" t="s">
        <v>2955</v>
      </c>
      <c r="M246" s="234">
        <v>5400966895</v>
      </c>
      <c r="N246" s="99">
        <v>10</v>
      </c>
      <c r="O246" s="98" t="s">
        <v>2531</v>
      </c>
      <c r="P246" s="26" t="s">
        <v>186</v>
      </c>
      <c r="Q246" s="98" t="s">
        <v>2550</v>
      </c>
      <c r="R246" s="97" t="s">
        <v>2551</v>
      </c>
      <c r="S246" s="7">
        <v>360000</v>
      </c>
      <c r="T246" s="7">
        <v>360000</v>
      </c>
      <c r="U246" s="7">
        <v>432000</v>
      </c>
      <c r="V246" s="7">
        <f t="shared" si="23"/>
        <v>72000</v>
      </c>
      <c r="W246" s="5">
        <f t="shared" si="25"/>
        <v>0.2</v>
      </c>
      <c r="X246" s="40" t="s">
        <v>2956</v>
      </c>
      <c r="Y246" s="34">
        <f>SUMPRODUCT((BIdetails!$J$5:$J$3000=M246)*(BIdetails!$K$5:$K$3000=N246)*(BIdetails!$M$5:$M$3000))</f>
        <v>0</v>
      </c>
      <c r="Z246" s="35">
        <f t="shared" si="24"/>
        <v>0</v>
      </c>
      <c r="AA246" s="31" t="s">
        <v>2852</v>
      </c>
      <c r="AB246" s="31" t="s">
        <v>2663</v>
      </c>
      <c r="AC246" s="31" t="s">
        <v>2572</v>
      </c>
      <c r="AD246" s="31"/>
      <c r="AE246">
        <v>2600</v>
      </c>
    </row>
    <row r="247" spans="1:31" hidden="1" x14ac:dyDescent="0.25">
      <c r="A247" t="s">
        <v>2526</v>
      </c>
      <c r="B247" t="str">
        <f t="shared" si="22"/>
        <v>Decrease</v>
      </c>
      <c r="D247">
        <v>68427709</v>
      </c>
      <c r="E247" s="96" t="s">
        <v>53</v>
      </c>
      <c r="F247" t="s">
        <v>54</v>
      </c>
      <c r="G247" s="98" t="s">
        <v>42</v>
      </c>
      <c r="H247" s="98" t="s">
        <v>2957</v>
      </c>
      <c r="J247" t="s">
        <v>2958</v>
      </c>
      <c r="K247" s="98">
        <v>181895</v>
      </c>
      <c r="L247" s="98" t="s">
        <v>2955</v>
      </c>
      <c r="M247" s="233">
        <v>5400816292</v>
      </c>
      <c r="N247" s="21">
        <v>40</v>
      </c>
      <c r="O247" s="98" t="s">
        <v>2531</v>
      </c>
      <c r="P247" s="26" t="s">
        <v>186</v>
      </c>
      <c r="Q247" t="s">
        <v>2550</v>
      </c>
      <c r="R247" t="s">
        <v>2551</v>
      </c>
      <c r="S247" s="7">
        <v>219000</v>
      </c>
      <c r="T247" s="7">
        <v>219000</v>
      </c>
      <c r="U247" s="7">
        <v>158000</v>
      </c>
      <c r="V247" s="7">
        <f t="shared" si="23"/>
        <v>-61000</v>
      </c>
      <c r="W247" s="5">
        <f t="shared" si="25"/>
        <v>-0.27853881278538811</v>
      </c>
      <c r="X247" s="40" t="s">
        <v>2959</v>
      </c>
      <c r="Y247" s="34">
        <f>SUMPRODUCT((BIdetails!$J$5:$J$3000=M247)*(BIdetails!$K$5:$K$3000=N247)*(BIdetails!$M$5:$M$3000))</f>
        <v>0</v>
      </c>
      <c r="Z247" s="35">
        <f t="shared" si="24"/>
        <v>0</v>
      </c>
      <c r="AA247" s="31"/>
      <c r="AB247" s="31"/>
      <c r="AC247" s="31"/>
      <c r="AD247" s="31"/>
      <c r="AE247">
        <v>3150</v>
      </c>
    </row>
    <row r="248" spans="1:31" hidden="1" x14ac:dyDescent="0.25">
      <c r="A248" t="s">
        <v>2526</v>
      </c>
      <c r="B248" t="str">
        <f t="shared" si="22"/>
        <v>No Change</v>
      </c>
      <c r="C248" t="s">
        <v>2960</v>
      </c>
      <c r="D248">
        <v>68427709</v>
      </c>
      <c r="E248" s="96" t="s">
        <v>53</v>
      </c>
      <c r="F248" t="s">
        <v>54</v>
      </c>
      <c r="G248" t="s">
        <v>42</v>
      </c>
      <c r="H248" t="s">
        <v>2961</v>
      </c>
      <c r="I248" t="s">
        <v>2590</v>
      </c>
      <c r="J248" t="s">
        <v>2962</v>
      </c>
      <c r="K248" s="98">
        <v>203647</v>
      </c>
      <c r="L248" s="98" t="s">
        <v>2963</v>
      </c>
      <c r="M248" s="233">
        <v>5400940618</v>
      </c>
      <c r="N248" s="21">
        <v>10</v>
      </c>
      <c r="O248" s="26" t="s">
        <v>2531</v>
      </c>
      <c r="P248" s="26" t="s">
        <v>2964</v>
      </c>
      <c r="Q248" t="s">
        <v>2545</v>
      </c>
      <c r="R248" s="31" t="s">
        <v>2533</v>
      </c>
      <c r="S248" s="7">
        <v>176000</v>
      </c>
      <c r="T248" s="7">
        <v>176000</v>
      </c>
      <c r="U248" s="7">
        <v>176000</v>
      </c>
      <c r="V248" s="7">
        <f t="shared" si="23"/>
        <v>0</v>
      </c>
      <c r="W248" s="5">
        <f t="shared" si="25"/>
        <v>0</v>
      </c>
      <c r="X248" s="40"/>
      <c r="Y248" s="34">
        <f>SUMPRODUCT((BIdetails!$J$5:$J$3000=M248)*(BIdetails!$K$5:$K$3000=N248)*(BIdetails!$M$5:$M$3000))</f>
        <v>0</v>
      </c>
      <c r="Z248" s="35">
        <f t="shared" si="24"/>
        <v>0</v>
      </c>
      <c r="AA248" s="31"/>
      <c r="AB248" s="31"/>
      <c r="AC248" s="31"/>
      <c r="AD248" s="31"/>
      <c r="AE248">
        <v>3000</v>
      </c>
    </row>
    <row r="249" spans="1:31" hidden="1" x14ac:dyDescent="0.25">
      <c r="A249" t="s">
        <v>2526</v>
      </c>
      <c r="B249" t="str">
        <f t="shared" si="22"/>
        <v>No Change</v>
      </c>
      <c r="C249" t="s">
        <v>2965</v>
      </c>
      <c r="D249">
        <v>68427709</v>
      </c>
      <c r="E249" s="96" t="s">
        <v>53</v>
      </c>
      <c r="F249" t="s">
        <v>54</v>
      </c>
      <c r="G249" t="s">
        <v>42</v>
      </c>
      <c r="H249" t="s">
        <v>2966</v>
      </c>
      <c r="I249">
        <v>0</v>
      </c>
      <c r="J249" t="s">
        <v>2552</v>
      </c>
      <c r="K249">
        <v>199582</v>
      </c>
      <c r="L249" s="26" t="s">
        <v>2967</v>
      </c>
      <c r="M249" s="233">
        <v>5400937409</v>
      </c>
      <c r="N249" s="21">
        <v>20</v>
      </c>
      <c r="O249" t="s">
        <v>2531</v>
      </c>
      <c r="P249" s="26" t="s">
        <v>2531</v>
      </c>
      <c r="Q249" t="s">
        <v>2545</v>
      </c>
      <c r="R249" s="31" t="s">
        <v>2533</v>
      </c>
      <c r="S249" s="7">
        <v>66000</v>
      </c>
      <c r="T249" s="7">
        <v>66000</v>
      </c>
      <c r="U249" s="7">
        <v>66000</v>
      </c>
      <c r="V249" s="7">
        <f t="shared" si="23"/>
        <v>0</v>
      </c>
      <c r="W249" s="5">
        <f t="shared" si="25"/>
        <v>0</v>
      </c>
      <c r="X249" s="40"/>
      <c r="Y249" s="34">
        <f>SUMPRODUCT((BIdetails!$J$5:$J$3000=M249)*(BIdetails!$K$5:$K$3000=N249)*(BIdetails!$M$5:$M$3000))</f>
        <v>0</v>
      </c>
      <c r="Z249" s="35">
        <f t="shared" si="24"/>
        <v>0</v>
      </c>
      <c r="AA249" s="31"/>
      <c r="AB249" s="31"/>
      <c r="AC249" s="31"/>
      <c r="AD249" s="31"/>
      <c r="AE249">
        <v>2360</v>
      </c>
    </row>
    <row r="250" spans="1:31" hidden="1" x14ac:dyDescent="0.25">
      <c r="A250" t="s">
        <v>2526</v>
      </c>
      <c r="B250" t="str">
        <f t="shared" si="22"/>
        <v>No Change</v>
      </c>
      <c r="D250">
        <v>68427709</v>
      </c>
      <c r="E250" s="96" t="s">
        <v>53</v>
      </c>
      <c r="F250" t="s">
        <v>54</v>
      </c>
      <c r="G250" t="s">
        <v>42</v>
      </c>
      <c r="H250" t="s">
        <v>2968</v>
      </c>
      <c r="I250" s="171" t="s">
        <v>2590</v>
      </c>
      <c r="J250" t="s">
        <v>2969</v>
      </c>
      <c r="K250">
        <v>199582</v>
      </c>
      <c r="L250" s="26" t="s">
        <v>2967</v>
      </c>
      <c r="M250" s="233">
        <v>5400960316</v>
      </c>
      <c r="N250" s="21">
        <v>10</v>
      </c>
      <c r="O250" s="26" t="s">
        <v>2531</v>
      </c>
      <c r="P250" s="26" t="s">
        <v>2531</v>
      </c>
      <c r="Q250" t="s">
        <v>2545</v>
      </c>
      <c r="R250" s="31" t="s">
        <v>2533</v>
      </c>
      <c r="S250" s="7">
        <v>40000</v>
      </c>
      <c r="T250" s="7">
        <v>40000</v>
      </c>
      <c r="U250" s="7">
        <v>40000</v>
      </c>
      <c r="V250" s="7">
        <f t="shared" si="23"/>
        <v>0</v>
      </c>
      <c r="W250" s="5">
        <f t="shared" si="25"/>
        <v>0</v>
      </c>
      <c r="X250" s="40"/>
      <c r="Y250" s="34">
        <f>SUMPRODUCT((BIdetails!$J$5:$J$3000=M250)*(BIdetails!$K$5:$K$3000=N250)*(BIdetails!$M$5:$M$3000))</f>
        <v>0</v>
      </c>
      <c r="Z250" s="35">
        <f t="shared" si="24"/>
        <v>0</v>
      </c>
      <c r="AA250" s="31"/>
      <c r="AB250" s="31"/>
      <c r="AC250" s="31"/>
      <c r="AD250" s="31"/>
      <c r="AE250">
        <v>3060</v>
      </c>
    </row>
    <row r="251" spans="1:31" hidden="1" x14ac:dyDescent="0.25">
      <c r="A251" t="s">
        <v>2526</v>
      </c>
      <c r="B251" t="str">
        <f t="shared" si="22"/>
        <v>Decommissioned</v>
      </c>
      <c r="D251">
        <v>68427709</v>
      </c>
      <c r="E251" s="96" t="s">
        <v>49</v>
      </c>
      <c r="F251" s="98" t="s">
        <v>50</v>
      </c>
      <c r="G251" s="98" t="s">
        <v>42</v>
      </c>
      <c r="H251" s="98" t="s">
        <v>2374</v>
      </c>
      <c r="I251">
        <v>0</v>
      </c>
      <c r="J251" t="s">
        <v>2891</v>
      </c>
      <c r="K251" s="98">
        <v>205476</v>
      </c>
      <c r="L251" s="98" t="s">
        <v>1377</v>
      </c>
      <c r="M251" s="234">
        <v>5400938319</v>
      </c>
      <c r="N251" s="99">
        <v>10</v>
      </c>
      <c r="O251" s="98" t="s">
        <v>2531</v>
      </c>
      <c r="P251" s="26" t="s">
        <v>2280</v>
      </c>
      <c r="Q251" s="98" t="s">
        <v>2550</v>
      </c>
      <c r="R251" s="97" t="s">
        <v>280</v>
      </c>
      <c r="S251" s="7">
        <v>269000</v>
      </c>
      <c r="T251" s="7">
        <v>285000</v>
      </c>
      <c r="U251" s="7">
        <v>0</v>
      </c>
      <c r="V251" s="7">
        <f t="shared" si="23"/>
        <v>-285000</v>
      </c>
      <c r="W251" s="5">
        <f t="shared" si="25"/>
        <v>-1</v>
      </c>
      <c r="X251" s="40" t="s">
        <v>2970</v>
      </c>
      <c r="Y251" s="34">
        <f>SUMPRODUCT((BIdetails!$J$5:$J$3000=M251)*(BIdetails!$K$5:$K$3000=N251)*(BIdetails!$M$5:$M$3000))</f>
        <v>0</v>
      </c>
      <c r="Z251" s="35" t="str">
        <f t="shared" si="24"/>
        <v/>
      </c>
      <c r="AA251" s="31" t="s">
        <v>2541</v>
      </c>
      <c r="AB251" s="31" t="s">
        <v>2663</v>
      </c>
      <c r="AC251" s="31" t="s">
        <v>2572</v>
      </c>
      <c r="AD251" s="31"/>
      <c r="AE251">
        <v>1600</v>
      </c>
    </row>
    <row r="252" spans="1:31" hidden="1" x14ac:dyDescent="0.25">
      <c r="A252" t="s">
        <v>2526</v>
      </c>
      <c r="B252" t="str">
        <f t="shared" si="22"/>
        <v>Decrease</v>
      </c>
      <c r="C252" t="s">
        <v>2971</v>
      </c>
      <c r="D252">
        <v>68427709</v>
      </c>
      <c r="E252" s="96" t="s">
        <v>53</v>
      </c>
      <c r="F252" t="s">
        <v>54</v>
      </c>
      <c r="G252" t="s">
        <v>42</v>
      </c>
      <c r="H252" s="26" t="s">
        <v>2972</v>
      </c>
      <c r="I252">
        <v>0</v>
      </c>
      <c r="J252" t="s">
        <v>2050</v>
      </c>
      <c r="K252" s="154">
        <v>172149</v>
      </c>
      <c r="L252" s="26" t="s">
        <v>2973</v>
      </c>
      <c r="M252" s="235">
        <v>5400963576</v>
      </c>
      <c r="N252" s="21">
        <v>10</v>
      </c>
      <c r="O252" s="26" t="s">
        <v>2531</v>
      </c>
      <c r="P252" s="26" t="s">
        <v>1585</v>
      </c>
      <c r="Q252" t="s">
        <v>2545</v>
      </c>
      <c r="R252" s="31" t="s">
        <v>2539</v>
      </c>
      <c r="S252" s="7">
        <v>49000</v>
      </c>
      <c r="T252" s="7">
        <v>49000</v>
      </c>
      <c r="U252" s="7">
        <v>39000</v>
      </c>
      <c r="V252" s="7">
        <f t="shared" si="23"/>
        <v>-10000</v>
      </c>
      <c r="W252" s="5">
        <f t="shared" si="25"/>
        <v>-0.20408163265306123</v>
      </c>
      <c r="X252" s="22" t="s">
        <v>2974</v>
      </c>
      <c r="Y252" s="34">
        <f>SUMPRODUCT((BIdetails!$J$5:$J$3000=M252)*(BIdetails!$K$5:$K$3000=N252)*(BIdetails!$M$5:$M$3000))</f>
        <v>0</v>
      </c>
      <c r="Z252" s="35">
        <f t="shared" si="24"/>
        <v>0</v>
      </c>
      <c r="AA252" s="31"/>
      <c r="AB252" s="31"/>
      <c r="AC252" s="31"/>
      <c r="AD252" s="31"/>
      <c r="AE252">
        <v>2930</v>
      </c>
    </row>
    <row r="253" spans="1:31" hidden="1" x14ac:dyDescent="0.25">
      <c r="A253" t="s">
        <v>2526</v>
      </c>
      <c r="B253" t="str">
        <f t="shared" si="22"/>
        <v>No Change</v>
      </c>
      <c r="D253">
        <v>68427709</v>
      </c>
      <c r="E253" s="96" t="s">
        <v>53</v>
      </c>
      <c r="F253" t="s">
        <v>54</v>
      </c>
      <c r="G253" t="s">
        <v>42</v>
      </c>
      <c r="H253" t="s">
        <v>1152</v>
      </c>
      <c r="I253" s="171" t="s">
        <v>2590</v>
      </c>
      <c r="J253" t="s">
        <v>2975</v>
      </c>
      <c r="K253">
        <v>203475</v>
      </c>
      <c r="L253" s="26" t="s">
        <v>1152</v>
      </c>
      <c r="M253" s="233">
        <v>5400960153</v>
      </c>
      <c r="N253" s="21">
        <v>10</v>
      </c>
      <c r="O253" s="26" t="s">
        <v>2531</v>
      </c>
      <c r="P253" s="26" t="s">
        <v>2290</v>
      </c>
      <c r="Q253" t="s">
        <v>2545</v>
      </c>
      <c r="R253" s="31" t="s">
        <v>2533</v>
      </c>
      <c r="S253" s="7">
        <v>35000</v>
      </c>
      <c r="T253" s="7">
        <v>35000</v>
      </c>
      <c r="U253" s="7">
        <v>35000</v>
      </c>
      <c r="V253" s="7">
        <f t="shared" si="23"/>
        <v>0</v>
      </c>
      <c r="W253" s="5">
        <f t="shared" si="25"/>
        <v>0</v>
      </c>
      <c r="X253" s="40"/>
      <c r="Y253" s="34">
        <f>SUMPRODUCT((BIdetails!$J$5:$J$3000=M253)*(BIdetails!$K$5:$K$3000=N253)*(BIdetails!$M$5:$M$3000))</f>
        <v>0</v>
      </c>
      <c r="Z253" s="35">
        <f t="shared" si="24"/>
        <v>0</v>
      </c>
      <c r="AA253" s="31"/>
      <c r="AB253" s="31"/>
      <c r="AC253" s="31"/>
      <c r="AD253" s="31"/>
      <c r="AE253">
        <v>3030</v>
      </c>
    </row>
    <row r="254" spans="1:31" hidden="1" x14ac:dyDescent="0.25">
      <c r="A254" t="s">
        <v>2526</v>
      </c>
      <c r="B254" t="str">
        <f t="shared" si="22"/>
        <v>No Change</v>
      </c>
      <c r="C254" t="s">
        <v>2976</v>
      </c>
      <c r="D254">
        <v>68427709</v>
      </c>
      <c r="E254" s="96" t="s">
        <v>53</v>
      </c>
      <c r="F254" t="s">
        <v>54</v>
      </c>
      <c r="G254" t="s">
        <v>42</v>
      </c>
      <c r="H254" t="s">
        <v>2977</v>
      </c>
      <c r="I254" t="s">
        <v>2590</v>
      </c>
      <c r="J254" t="s">
        <v>2978</v>
      </c>
      <c r="K254">
        <v>165943</v>
      </c>
      <c r="L254" t="s">
        <v>2979</v>
      </c>
      <c r="M254" s="196">
        <v>5400967982</v>
      </c>
      <c r="N254" s="21">
        <v>10</v>
      </c>
      <c r="O254" t="s">
        <v>2190</v>
      </c>
      <c r="P254" s="26" t="s">
        <v>2190</v>
      </c>
      <c r="Q254" t="s">
        <v>2545</v>
      </c>
      <c r="R254" s="31" t="s">
        <v>2607</v>
      </c>
      <c r="S254" s="7">
        <v>20000</v>
      </c>
      <c r="T254" s="7">
        <v>20000</v>
      </c>
      <c r="U254" s="7">
        <v>20000</v>
      </c>
      <c r="V254" s="7">
        <f t="shared" si="23"/>
        <v>0</v>
      </c>
      <c r="W254" s="5">
        <f t="shared" si="25"/>
        <v>0</v>
      </c>
      <c r="X254" s="40"/>
      <c r="Y254" s="34">
        <f>SUMPRODUCT((BIdetails!$J$5:$J$3000=M254)*(BIdetails!$K$5:$K$3000=N254)*(BIdetails!$M$5:$M$3000))</f>
        <v>0</v>
      </c>
      <c r="Z254" s="35">
        <f t="shared" si="24"/>
        <v>0</v>
      </c>
      <c r="AA254" s="31"/>
      <c r="AB254" s="31"/>
      <c r="AC254" s="31"/>
      <c r="AD254" s="31"/>
      <c r="AE254">
        <v>2180</v>
      </c>
    </row>
    <row r="255" spans="1:31" hidden="1" x14ac:dyDescent="0.25">
      <c r="A255" t="s">
        <v>2526</v>
      </c>
      <c r="B255" t="str">
        <f t="shared" si="22"/>
        <v>No Change</v>
      </c>
      <c r="C255" t="s">
        <v>2980</v>
      </c>
      <c r="D255">
        <v>68427709</v>
      </c>
      <c r="E255" s="96" t="s">
        <v>53</v>
      </c>
      <c r="F255" t="s">
        <v>54</v>
      </c>
      <c r="G255" t="s">
        <v>42</v>
      </c>
      <c r="H255" t="s">
        <v>2981</v>
      </c>
      <c r="I255" t="s">
        <v>2590</v>
      </c>
      <c r="J255" t="s">
        <v>2982</v>
      </c>
      <c r="K255">
        <v>192268</v>
      </c>
      <c r="L255" t="s">
        <v>2983</v>
      </c>
      <c r="M255" s="233">
        <v>5400864541</v>
      </c>
      <c r="N255" s="21">
        <v>20</v>
      </c>
      <c r="O255" t="s">
        <v>2579</v>
      </c>
      <c r="P255" s="26" t="s">
        <v>2579</v>
      </c>
      <c r="Q255" t="s">
        <v>2545</v>
      </c>
      <c r="R255" s="31" t="s">
        <v>40</v>
      </c>
      <c r="S255" s="7">
        <v>10700</v>
      </c>
      <c r="T255" s="7">
        <v>10700</v>
      </c>
      <c r="U255" s="7">
        <v>10700</v>
      </c>
      <c r="V255" s="7">
        <f t="shared" si="23"/>
        <v>0</v>
      </c>
      <c r="W255" s="5">
        <f t="shared" si="25"/>
        <v>0</v>
      </c>
      <c r="X255" s="40"/>
      <c r="Y255" s="34">
        <f>SUMPRODUCT((BIdetails!$J$5:$J$3000=M255)*(BIdetails!$K$5:$K$3000=N255)*(BIdetails!$M$5:$M$3000))</f>
        <v>0</v>
      </c>
      <c r="Z255" s="35">
        <f t="shared" si="24"/>
        <v>0</v>
      </c>
      <c r="AA255" s="31" t="s">
        <v>2541</v>
      </c>
      <c r="AB255" s="31" t="s">
        <v>2663</v>
      </c>
      <c r="AC255" s="31"/>
      <c r="AD255" s="31"/>
      <c r="AE255">
        <v>2310</v>
      </c>
    </row>
    <row r="256" spans="1:31" x14ac:dyDescent="0.25">
      <c r="A256" t="s">
        <v>2526</v>
      </c>
      <c r="B256" t="str">
        <f t="shared" si="22"/>
        <v>No Change</v>
      </c>
      <c r="D256">
        <v>68427709</v>
      </c>
      <c r="E256" s="96" t="s">
        <v>38</v>
      </c>
      <c r="F256" t="s">
        <v>40</v>
      </c>
      <c r="G256" t="s">
        <v>40</v>
      </c>
      <c r="H256" s="26" t="s">
        <v>2095</v>
      </c>
      <c r="I256" s="223" t="s">
        <v>2554</v>
      </c>
      <c r="J256" t="s">
        <v>2984</v>
      </c>
      <c r="K256" s="26"/>
      <c r="L256" s="26" t="s">
        <v>2095</v>
      </c>
      <c r="M256" s="235">
        <v>5400978265</v>
      </c>
      <c r="O256" t="s">
        <v>2579</v>
      </c>
      <c r="P256" s="98" t="s">
        <v>2579</v>
      </c>
      <c r="Q256" t="s">
        <v>2532</v>
      </c>
      <c r="R256" s="97" t="s">
        <v>40</v>
      </c>
      <c r="S256" s="7"/>
      <c r="T256" s="7">
        <v>85000</v>
      </c>
      <c r="U256" s="7">
        <v>85000</v>
      </c>
      <c r="V256" s="7">
        <f t="shared" si="23"/>
        <v>0</v>
      </c>
      <c r="W256" s="5">
        <f t="shared" si="25"/>
        <v>0</v>
      </c>
      <c r="X256" s="22"/>
      <c r="Y256" s="34">
        <f>SUMPRODUCT((BIdetails!$J$5:$J$3000=M256)*(BIdetails!$K$5:$K$3000=N256)*(BIdetails!$M$5:$M$3000))</f>
        <v>0</v>
      </c>
      <c r="Z256" s="35">
        <f t="shared" si="24"/>
        <v>0</v>
      </c>
      <c r="AA256" s="31"/>
      <c r="AB256" s="31"/>
      <c r="AC256" s="31"/>
      <c r="AD256" s="31"/>
      <c r="AE256">
        <v>3490</v>
      </c>
    </row>
    <row r="257" spans="1:31" hidden="1" x14ac:dyDescent="0.25">
      <c r="A257" t="s">
        <v>2570</v>
      </c>
      <c r="B257" t="str">
        <f t="shared" si="22"/>
        <v>No Change</v>
      </c>
      <c r="C257" t="s">
        <v>2985</v>
      </c>
      <c r="D257">
        <v>68427709</v>
      </c>
      <c r="E257" s="96" t="s">
        <v>53</v>
      </c>
      <c r="F257" s="26" t="s">
        <v>54</v>
      </c>
      <c r="G257" s="26" t="s">
        <v>42</v>
      </c>
      <c r="H257" s="26" t="s">
        <v>2986</v>
      </c>
      <c r="I257">
        <v>0</v>
      </c>
      <c r="J257" t="s">
        <v>2987</v>
      </c>
      <c r="K257" s="26">
        <v>188084</v>
      </c>
      <c r="L257" s="26" t="s">
        <v>2988</v>
      </c>
      <c r="M257" s="21" t="s">
        <v>2989</v>
      </c>
      <c r="N257" s="28"/>
      <c r="O257" s="26" t="s">
        <v>2531</v>
      </c>
      <c r="P257" s="26" t="s">
        <v>186</v>
      </c>
      <c r="Q257" s="26" t="s">
        <v>2545</v>
      </c>
      <c r="R257" s="206" t="s">
        <v>2747</v>
      </c>
      <c r="S257" s="7">
        <v>25000</v>
      </c>
      <c r="T257" s="7">
        <v>0</v>
      </c>
      <c r="U257" s="7">
        <v>0</v>
      </c>
      <c r="V257" s="7">
        <f t="shared" si="23"/>
        <v>0</v>
      </c>
      <c r="W257" s="5">
        <f t="shared" si="25"/>
        <v>0</v>
      </c>
      <c r="X257" s="22"/>
      <c r="Y257" s="34">
        <f>SUMPRODUCT((BIdetails!$J$5:$J$3000=M257)*(BIdetails!$K$5:$K$3000=N257)*(BIdetails!$M$5:$M$3000))</f>
        <v>0</v>
      </c>
      <c r="Z257" s="35" t="str">
        <f t="shared" si="24"/>
        <v/>
      </c>
      <c r="AA257" s="31"/>
      <c r="AB257" s="31"/>
      <c r="AC257" s="31"/>
      <c r="AD257" s="31"/>
      <c r="AE257">
        <v>2670</v>
      </c>
    </row>
    <row r="258" spans="1:31" hidden="1" x14ac:dyDescent="0.25">
      <c r="A258" t="s">
        <v>2570</v>
      </c>
      <c r="B258" t="str">
        <f t="shared" si="22"/>
        <v>No Change</v>
      </c>
      <c r="C258" t="s">
        <v>2985</v>
      </c>
      <c r="D258">
        <v>68427709</v>
      </c>
      <c r="E258" s="96" t="s">
        <v>53</v>
      </c>
      <c r="F258" t="s">
        <v>54</v>
      </c>
      <c r="G258" t="s">
        <v>42</v>
      </c>
      <c r="H258" t="s">
        <v>1504</v>
      </c>
      <c r="I258">
        <v>0</v>
      </c>
      <c r="J258" t="s">
        <v>2990</v>
      </c>
      <c r="K258" s="26">
        <v>193708</v>
      </c>
      <c r="L258" s="26" t="s">
        <v>2988</v>
      </c>
      <c r="M258">
        <v>5400864515</v>
      </c>
      <c r="N258" s="21">
        <v>10</v>
      </c>
      <c r="O258" s="26" t="s">
        <v>2531</v>
      </c>
      <c r="P258" s="26" t="s">
        <v>186</v>
      </c>
      <c r="Q258" t="s">
        <v>2545</v>
      </c>
      <c r="R258" s="31" t="s">
        <v>2551</v>
      </c>
      <c r="S258" s="7">
        <v>27000</v>
      </c>
      <c r="T258" s="7">
        <v>0</v>
      </c>
      <c r="U258" s="7">
        <v>0</v>
      </c>
      <c r="V258" s="7">
        <f t="shared" si="23"/>
        <v>0</v>
      </c>
      <c r="W258" s="5">
        <f t="shared" si="25"/>
        <v>0</v>
      </c>
      <c r="X258" s="40"/>
      <c r="Y258" s="34">
        <f>SUMPRODUCT((BIdetails!$J$5:$J$3000=M258)*(BIdetails!$K$5:$K$3000=N258)*(BIdetails!$M$5:$M$3000))</f>
        <v>0</v>
      </c>
      <c r="Z258" s="35" t="str">
        <f t="shared" si="24"/>
        <v/>
      </c>
      <c r="AA258" s="31"/>
      <c r="AB258" s="31"/>
      <c r="AC258" s="31"/>
      <c r="AD258" s="31"/>
      <c r="AE258">
        <v>2960</v>
      </c>
    </row>
    <row r="259" spans="1:31" x14ac:dyDescent="0.25">
      <c r="A259" t="s">
        <v>2526</v>
      </c>
      <c r="B259" t="str">
        <f t="shared" si="22"/>
        <v>No Change</v>
      </c>
      <c r="D259">
        <v>68427709</v>
      </c>
      <c r="E259" s="96" t="s">
        <v>38</v>
      </c>
      <c r="F259" t="s">
        <v>40</v>
      </c>
      <c r="G259" t="s">
        <v>40</v>
      </c>
      <c r="H259" t="s">
        <v>911</v>
      </c>
      <c r="I259" t="s">
        <v>2225</v>
      </c>
      <c r="J259" t="s">
        <v>2637</v>
      </c>
      <c r="K259">
        <v>181508</v>
      </c>
      <c r="L259" t="s">
        <v>2991</v>
      </c>
      <c r="M259" s="233">
        <v>5400973344</v>
      </c>
      <c r="N259" s="21">
        <v>10</v>
      </c>
      <c r="O259" t="s">
        <v>2579</v>
      </c>
      <c r="P259" t="s">
        <v>2579</v>
      </c>
      <c r="Q259" t="s">
        <v>2545</v>
      </c>
      <c r="R259" s="31" t="s">
        <v>40</v>
      </c>
      <c r="S259" s="7">
        <v>50000</v>
      </c>
      <c r="T259" s="7">
        <v>50000</v>
      </c>
      <c r="U259" s="7">
        <v>50000</v>
      </c>
      <c r="V259" s="7">
        <f t="shared" si="23"/>
        <v>0</v>
      </c>
      <c r="W259" s="5">
        <f t="shared" si="25"/>
        <v>0</v>
      </c>
      <c r="X259" s="40"/>
      <c r="Y259" s="34">
        <f>SUMPRODUCT((BIdetails!$J$5:$J$3000=M259)*(BIdetails!$K$5:$K$3000=N259)*(BIdetails!$M$5:$M$3000))</f>
        <v>0</v>
      </c>
      <c r="Z259" s="35">
        <f t="shared" si="24"/>
        <v>0</v>
      </c>
      <c r="AA259" s="31" t="s">
        <v>610</v>
      </c>
      <c r="AB259" s="31" t="s">
        <v>2534</v>
      </c>
      <c r="AC259" s="31" t="s">
        <v>2558</v>
      </c>
      <c r="AD259" s="31"/>
      <c r="AE259">
        <v>621</v>
      </c>
    </row>
    <row r="260" spans="1:31" hidden="1" x14ac:dyDescent="0.25">
      <c r="A260" t="s">
        <v>2570</v>
      </c>
      <c r="B260" t="str">
        <f t="shared" si="22"/>
        <v>No Change</v>
      </c>
      <c r="C260" t="s">
        <v>2992</v>
      </c>
      <c r="D260">
        <v>68427709</v>
      </c>
      <c r="E260" s="96" t="s">
        <v>53</v>
      </c>
      <c r="F260" s="26" t="s">
        <v>54</v>
      </c>
      <c r="G260" s="26" t="s">
        <v>42</v>
      </c>
      <c r="H260" s="26" t="s">
        <v>2993</v>
      </c>
      <c r="I260">
        <v>0</v>
      </c>
      <c r="J260" t="s">
        <v>1991</v>
      </c>
      <c r="K260" s="26">
        <v>167129</v>
      </c>
      <c r="L260" s="26" t="s">
        <v>2994</v>
      </c>
      <c r="M260" s="28">
        <v>5400864555</v>
      </c>
      <c r="N260" s="28">
        <v>10</v>
      </c>
      <c r="O260" s="26" t="s">
        <v>2531</v>
      </c>
      <c r="P260" s="26" t="s">
        <v>2680</v>
      </c>
      <c r="Q260" s="26" t="s">
        <v>2545</v>
      </c>
      <c r="R260" s="33" t="s">
        <v>811</v>
      </c>
      <c r="S260" s="7">
        <v>36000</v>
      </c>
      <c r="T260" s="7">
        <v>0</v>
      </c>
      <c r="U260" s="7">
        <v>0</v>
      </c>
      <c r="V260" s="7">
        <f t="shared" si="23"/>
        <v>0</v>
      </c>
      <c r="W260" s="5">
        <f t="shared" si="25"/>
        <v>0</v>
      </c>
      <c r="X260" s="40"/>
      <c r="Y260" s="34">
        <f>SUMPRODUCT((BIdetails!$J$5:$J$3000=M260)*(BIdetails!$K$5:$K$3000=N260)*(BIdetails!$M$5:$M$3000))</f>
        <v>0</v>
      </c>
      <c r="Z260" s="35" t="str">
        <f t="shared" si="24"/>
        <v/>
      </c>
      <c r="AA260" s="31"/>
      <c r="AB260" s="31"/>
      <c r="AC260" s="31"/>
      <c r="AD260" s="31"/>
      <c r="AE260">
        <v>2740</v>
      </c>
    </row>
    <row r="261" spans="1:31" hidden="1" x14ac:dyDescent="0.25">
      <c r="A261" t="s">
        <v>2526</v>
      </c>
      <c r="B261" t="str">
        <f t="shared" si="22"/>
        <v>Decrease</v>
      </c>
      <c r="C261" t="s">
        <v>2995</v>
      </c>
      <c r="D261">
        <v>68427709</v>
      </c>
      <c r="E261" s="96" t="s">
        <v>26</v>
      </c>
      <c r="F261" t="s">
        <v>27</v>
      </c>
      <c r="G261" t="s">
        <v>28</v>
      </c>
      <c r="H261" t="s">
        <v>2453</v>
      </c>
      <c r="I261" t="s">
        <v>2648</v>
      </c>
      <c r="J261" s="182" t="s">
        <v>2996</v>
      </c>
      <c r="K261">
        <v>168422</v>
      </c>
      <c r="L261" t="s">
        <v>2997</v>
      </c>
      <c r="M261" s="233">
        <v>5400960037</v>
      </c>
      <c r="N261" s="21">
        <v>10</v>
      </c>
      <c r="O261" s="26" t="s">
        <v>2190</v>
      </c>
      <c r="P261" s="26" t="s">
        <v>2190</v>
      </c>
      <c r="Q261" t="s">
        <v>2545</v>
      </c>
      <c r="R261" s="31" t="s">
        <v>2607</v>
      </c>
      <c r="S261" s="7">
        <v>70000</v>
      </c>
      <c r="T261" s="7">
        <v>70000</v>
      </c>
      <c r="U261" s="7">
        <v>35000</v>
      </c>
      <c r="V261" s="7">
        <f t="shared" si="23"/>
        <v>-35000</v>
      </c>
      <c r="W261" s="5">
        <f t="shared" si="25"/>
        <v>-0.5</v>
      </c>
      <c r="X261" s="40" t="s">
        <v>2998</v>
      </c>
      <c r="Y261" s="34">
        <f>SUMPRODUCT((BIdetails!$J$5:$J$3000=M261)*(BIdetails!$K$5:$K$3000=N261)*(BIdetails!$M$5:$M$3000))</f>
        <v>0</v>
      </c>
      <c r="Z261" s="35">
        <f t="shared" si="24"/>
        <v>0</v>
      </c>
      <c r="AA261" s="31"/>
      <c r="AB261" s="31"/>
      <c r="AC261" s="31"/>
      <c r="AD261" s="31"/>
      <c r="AE261">
        <v>360</v>
      </c>
    </row>
    <row r="262" spans="1:31" hidden="1" x14ac:dyDescent="0.25">
      <c r="A262" t="s">
        <v>2526</v>
      </c>
      <c r="B262" t="str">
        <f t="shared" si="22"/>
        <v>No Change</v>
      </c>
      <c r="D262">
        <v>68427709</v>
      </c>
      <c r="E262" s="96" t="s">
        <v>21</v>
      </c>
      <c r="F262" t="s">
        <v>2624</v>
      </c>
      <c r="G262" t="s">
        <v>23</v>
      </c>
      <c r="H262" t="s">
        <v>2223</v>
      </c>
      <c r="I262" t="s">
        <v>2225</v>
      </c>
      <c r="J262" t="s">
        <v>2637</v>
      </c>
      <c r="L262" t="s">
        <v>2999</v>
      </c>
      <c r="M262" s="196">
        <v>5400964245</v>
      </c>
      <c r="N262" s="21">
        <v>10</v>
      </c>
      <c r="O262" s="26" t="s">
        <v>2190</v>
      </c>
      <c r="P262" s="26" t="s">
        <v>2190</v>
      </c>
      <c r="Q262" t="s">
        <v>2545</v>
      </c>
      <c r="R262" s="31" t="s">
        <v>2607</v>
      </c>
      <c r="S262" s="7"/>
      <c r="T262" s="7">
        <v>2500</v>
      </c>
      <c r="U262" s="7">
        <v>2500</v>
      </c>
      <c r="V262" s="7">
        <f t="shared" si="23"/>
        <v>0</v>
      </c>
      <c r="W262" s="5">
        <f t="shared" si="25"/>
        <v>0</v>
      </c>
      <c r="X262" s="22"/>
      <c r="Y262" s="34"/>
      <c r="Z262" s="35"/>
      <c r="AA262" s="31"/>
      <c r="AB262" s="31"/>
      <c r="AC262" s="31"/>
      <c r="AD262" s="31"/>
    </row>
    <row r="263" spans="1:31" hidden="1" x14ac:dyDescent="0.25">
      <c r="A263" t="s">
        <v>2526</v>
      </c>
      <c r="B263" t="str">
        <f t="shared" si="22"/>
        <v>No Change</v>
      </c>
      <c r="D263">
        <v>68427709</v>
      </c>
      <c r="E263" s="96" t="s">
        <v>53</v>
      </c>
      <c r="F263" t="s">
        <v>54</v>
      </c>
      <c r="G263" t="s">
        <v>42</v>
      </c>
      <c r="H263" t="s">
        <v>3000</v>
      </c>
      <c r="J263" t="s">
        <v>3001</v>
      </c>
      <c r="K263">
        <v>209341</v>
      </c>
      <c r="L263" s="98" t="s">
        <v>3002</v>
      </c>
      <c r="M263" s="196">
        <v>5400915466</v>
      </c>
      <c r="N263" s="21">
        <v>20</v>
      </c>
      <c r="O263" s="26" t="s">
        <v>2531</v>
      </c>
      <c r="P263" s="26" t="s">
        <v>1752</v>
      </c>
      <c r="Q263" t="s">
        <v>2545</v>
      </c>
      <c r="R263" s="31" t="s">
        <v>2715</v>
      </c>
      <c r="S263" s="7"/>
      <c r="T263" s="7">
        <v>24000</v>
      </c>
      <c r="U263" s="7">
        <v>24000</v>
      </c>
      <c r="V263" s="7">
        <f t="shared" si="23"/>
        <v>0</v>
      </c>
      <c r="W263" s="5">
        <f t="shared" si="25"/>
        <v>0</v>
      </c>
      <c r="X263" s="22"/>
      <c r="Y263" s="34"/>
      <c r="Z263" s="35"/>
      <c r="AA263" s="31"/>
      <c r="AB263" s="31"/>
      <c r="AC263" s="31"/>
      <c r="AD263" s="31"/>
    </row>
    <row r="264" spans="1:31" hidden="1" x14ac:dyDescent="0.25">
      <c r="A264" t="s">
        <v>2526</v>
      </c>
      <c r="B264" t="str">
        <f t="shared" si="22"/>
        <v>Increase</v>
      </c>
      <c r="C264" t="s">
        <v>3003</v>
      </c>
      <c r="D264">
        <v>68427709</v>
      </c>
      <c r="E264" s="96" t="s">
        <v>49</v>
      </c>
      <c r="F264" t="s">
        <v>50</v>
      </c>
      <c r="G264" t="s">
        <v>42</v>
      </c>
      <c r="H264" t="s">
        <v>2410</v>
      </c>
      <c r="I264">
        <v>0</v>
      </c>
      <c r="J264" t="s">
        <v>2599</v>
      </c>
      <c r="K264">
        <v>193275</v>
      </c>
      <c r="L264" t="s">
        <v>139</v>
      </c>
      <c r="M264" s="233">
        <v>5400972346</v>
      </c>
      <c r="N264" s="21">
        <v>10</v>
      </c>
      <c r="O264" t="s">
        <v>2531</v>
      </c>
      <c r="P264" t="s">
        <v>2280</v>
      </c>
      <c r="Q264" t="s">
        <v>2545</v>
      </c>
      <c r="R264" s="31" t="s">
        <v>2587</v>
      </c>
      <c r="S264" s="7">
        <v>280300</v>
      </c>
      <c r="T264" s="7">
        <v>298300</v>
      </c>
      <c r="U264" s="7">
        <v>333000</v>
      </c>
      <c r="V264" s="7">
        <f t="shared" si="23"/>
        <v>34700</v>
      </c>
      <c r="W264" s="5">
        <f t="shared" si="25"/>
        <v>0.11632584646329198</v>
      </c>
      <c r="X264" s="22" t="s">
        <v>2974</v>
      </c>
      <c r="Y264" s="34">
        <f>SUMPRODUCT((BIdetails!$J$5:$J$3000=M264)*(BIdetails!$K$5:$K$3000=N264)*(BIdetails!$M$5:$M$3000))</f>
        <v>0</v>
      </c>
      <c r="Z264" s="35">
        <f t="shared" ref="Z264:Z297" si="26">IF(U264=0,"",(Y264/U264))</f>
        <v>0</v>
      </c>
      <c r="AA264" s="31" t="s">
        <v>610</v>
      </c>
      <c r="AB264" s="31" t="s">
        <v>2534</v>
      </c>
      <c r="AC264" s="31" t="s">
        <v>2558</v>
      </c>
      <c r="AD264" s="31"/>
      <c r="AE264">
        <v>1250</v>
      </c>
    </row>
    <row r="265" spans="1:31" hidden="1" x14ac:dyDescent="0.25">
      <c r="A265" t="s">
        <v>2570</v>
      </c>
      <c r="B265" t="str">
        <f t="shared" si="22"/>
        <v>No Change</v>
      </c>
      <c r="C265" t="s">
        <v>3003</v>
      </c>
      <c r="D265">
        <v>68427709</v>
      </c>
      <c r="E265" s="96" t="s">
        <v>49</v>
      </c>
      <c r="F265" t="s">
        <v>50</v>
      </c>
      <c r="G265" t="s">
        <v>42</v>
      </c>
      <c r="H265" t="s">
        <v>1857</v>
      </c>
      <c r="I265">
        <v>0</v>
      </c>
      <c r="J265" t="s">
        <v>3004</v>
      </c>
      <c r="K265">
        <v>193275</v>
      </c>
      <c r="L265" t="s">
        <v>139</v>
      </c>
      <c r="M265" s="21">
        <v>5400788740</v>
      </c>
      <c r="N265" s="21">
        <v>30</v>
      </c>
      <c r="O265" t="s">
        <v>2531</v>
      </c>
      <c r="P265" t="s">
        <v>2136</v>
      </c>
      <c r="Q265" t="s">
        <v>2545</v>
      </c>
      <c r="R265" s="31" t="s">
        <v>2596</v>
      </c>
      <c r="S265" s="7">
        <v>124000</v>
      </c>
      <c r="T265" s="7">
        <v>0</v>
      </c>
      <c r="U265" s="7">
        <v>0</v>
      </c>
      <c r="V265" s="7">
        <f t="shared" si="23"/>
        <v>0</v>
      </c>
      <c r="W265" s="5">
        <f t="shared" si="25"/>
        <v>0</v>
      </c>
      <c r="X265" s="22"/>
      <c r="Y265" s="34">
        <f>SUMPRODUCT((BIdetails!$J$5:$J$3000=M265)*(BIdetails!$K$5:$K$3000=N265)*(BIdetails!$M$5:$M$3000))</f>
        <v>0</v>
      </c>
      <c r="Z265" s="35" t="str">
        <f t="shared" si="26"/>
        <v/>
      </c>
      <c r="AA265" s="31" t="s">
        <v>2541</v>
      </c>
      <c r="AB265" s="31" t="s">
        <v>2534</v>
      </c>
      <c r="AC265" s="31" t="s">
        <v>2575</v>
      </c>
      <c r="AD265" s="31"/>
      <c r="AE265">
        <v>1260</v>
      </c>
    </row>
    <row r="266" spans="1:31" hidden="1" x14ac:dyDescent="0.25">
      <c r="A266" t="s">
        <v>2526</v>
      </c>
      <c r="B266" t="str">
        <f t="shared" si="22"/>
        <v>Decrease</v>
      </c>
      <c r="C266" t="s">
        <v>3003</v>
      </c>
      <c r="D266">
        <v>68427719</v>
      </c>
      <c r="E266" s="96" t="s">
        <v>49</v>
      </c>
      <c r="F266" t="s">
        <v>50</v>
      </c>
      <c r="G266" t="s">
        <v>42</v>
      </c>
      <c r="H266" t="s">
        <v>2141</v>
      </c>
      <c r="I266">
        <v>0</v>
      </c>
      <c r="J266" t="s">
        <v>2612</v>
      </c>
      <c r="K266">
        <v>193275</v>
      </c>
      <c r="L266" t="s">
        <v>2736</v>
      </c>
      <c r="M266" s="196">
        <v>5400972346</v>
      </c>
      <c r="N266" s="21">
        <v>10</v>
      </c>
      <c r="O266" t="s">
        <v>2136</v>
      </c>
      <c r="P266" t="s">
        <v>2136</v>
      </c>
      <c r="Q266" t="s">
        <v>2613</v>
      </c>
      <c r="R266" s="31" t="s">
        <v>2596</v>
      </c>
      <c r="S266" s="7">
        <v>2775000</v>
      </c>
      <c r="T266" s="7">
        <v>2915000</v>
      </c>
      <c r="U266" s="7">
        <v>2320000</v>
      </c>
      <c r="V266" s="7">
        <f t="shared" si="23"/>
        <v>-595000</v>
      </c>
      <c r="W266" s="5">
        <f t="shared" si="25"/>
        <v>-0.20411663807890223</v>
      </c>
      <c r="X266" s="40" t="s">
        <v>2230</v>
      </c>
      <c r="Y266" s="34">
        <f>SUMPRODUCT((BIdetails!$J$5:$J$3000=M266)*(BIdetails!$K$5:$K$3000=N266)*(BIdetails!$M$5:$M$3000))</f>
        <v>0</v>
      </c>
      <c r="Z266" s="35">
        <f t="shared" si="26"/>
        <v>0</v>
      </c>
      <c r="AA266" s="31"/>
      <c r="AB266" s="31"/>
      <c r="AC266" s="31"/>
      <c r="AD266" s="31"/>
      <c r="AE266">
        <v>1230</v>
      </c>
    </row>
    <row r="267" spans="1:31" x14ac:dyDescent="0.25">
      <c r="A267" t="s">
        <v>2526</v>
      </c>
      <c r="B267" t="str">
        <f t="shared" si="22"/>
        <v>No Change</v>
      </c>
      <c r="C267" t="s">
        <v>3005</v>
      </c>
      <c r="D267">
        <v>68427709</v>
      </c>
      <c r="E267" s="96" t="s">
        <v>38</v>
      </c>
      <c r="F267" t="s">
        <v>40</v>
      </c>
      <c r="G267" t="s">
        <v>42</v>
      </c>
      <c r="H267" t="s">
        <v>452</v>
      </c>
      <c r="I267" t="s">
        <v>2225</v>
      </c>
      <c r="J267" t="s">
        <v>2637</v>
      </c>
      <c r="K267" s="101">
        <v>195870</v>
      </c>
      <c r="L267" t="s">
        <v>3006</v>
      </c>
      <c r="M267" s="248">
        <v>5400969346</v>
      </c>
      <c r="N267" s="21">
        <v>10</v>
      </c>
      <c r="O267" t="s">
        <v>2579</v>
      </c>
      <c r="P267" s="26" t="s">
        <v>2579</v>
      </c>
      <c r="Q267" t="s">
        <v>2545</v>
      </c>
      <c r="R267" s="31" t="s">
        <v>40</v>
      </c>
      <c r="S267" s="7">
        <v>60000</v>
      </c>
      <c r="T267" s="7">
        <v>80000</v>
      </c>
      <c r="U267" s="7">
        <v>80000</v>
      </c>
      <c r="V267" s="7">
        <f t="shared" si="23"/>
        <v>0</v>
      </c>
      <c r="W267" s="5">
        <f t="shared" si="25"/>
        <v>0</v>
      </c>
      <c r="X267" s="40"/>
      <c r="Y267" s="34">
        <f>SUMPRODUCT((BIdetails!$J$5:$J$3000=M267)*(BIdetails!$K$5:$K$3000=N267)*(BIdetails!$M$5:$M$3000))</f>
        <v>0</v>
      </c>
      <c r="Z267" s="35">
        <f t="shared" si="26"/>
        <v>0</v>
      </c>
      <c r="AA267" s="31" t="s">
        <v>610</v>
      </c>
      <c r="AB267" s="31" t="s">
        <v>2534</v>
      </c>
      <c r="AC267" s="31" t="s">
        <v>2558</v>
      </c>
      <c r="AD267" s="31"/>
      <c r="AE267">
        <v>640</v>
      </c>
    </row>
    <row r="268" spans="1:31" ht="14.1" hidden="1" customHeight="1" x14ac:dyDescent="0.25">
      <c r="A268" t="s">
        <v>2526</v>
      </c>
      <c r="B268" t="str">
        <f t="shared" si="22"/>
        <v>Increase</v>
      </c>
      <c r="C268" t="s">
        <v>3007</v>
      </c>
      <c r="D268">
        <v>68427709</v>
      </c>
      <c r="E268" s="104" t="s">
        <v>51</v>
      </c>
      <c r="F268" s="26" t="s">
        <v>52</v>
      </c>
      <c r="G268" s="26" t="s">
        <v>42</v>
      </c>
      <c r="H268" s="26" t="s">
        <v>3008</v>
      </c>
      <c r="I268" t="s">
        <v>2554</v>
      </c>
      <c r="J268" t="s">
        <v>2555</v>
      </c>
      <c r="K268" s="26">
        <v>117570</v>
      </c>
      <c r="L268" s="26" t="s">
        <v>396</v>
      </c>
      <c r="M268" s="236">
        <v>5400963513</v>
      </c>
      <c r="N268" s="28">
        <v>10</v>
      </c>
      <c r="O268" s="26" t="s">
        <v>2531</v>
      </c>
      <c r="P268" s="26" t="s">
        <v>2531</v>
      </c>
      <c r="Q268" s="26" t="s">
        <v>2532</v>
      </c>
      <c r="R268" s="97" t="s">
        <v>2533</v>
      </c>
      <c r="S268" s="7">
        <v>997165</v>
      </c>
      <c r="T268" s="7">
        <v>997165</v>
      </c>
      <c r="U268" s="7">
        <v>1232165</v>
      </c>
      <c r="V268" s="7">
        <f t="shared" si="23"/>
        <v>235000</v>
      </c>
      <c r="W268" s="5">
        <f t="shared" si="25"/>
        <v>0.23566811911769867</v>
      </c>
      <c r="X268" s="40"/>
      <c r="Y268" s="34">
        <f>SUMPRODUCT((BIdetails!$J$5:$J$3000=M268)*(BIdetails!$K$5:$K$3000=N268)*(BIdetails!$M$5:$M$3000))</f>
        <v>0</v>
      </c>
      <c r="Z268" s="35">
        <f t="shared" si="26"/>
        <v>0</v>
      </c>
      <c r="AA268" s="31" t="s">
        <v>2541</v>
      </c>
      <c r="AB268" s="31" t="s">
        <v>2534</v>
      </c>
      <c r="AC268" s="31" t="s">
        <v>2572</v>
      </c>
      <c r="AD268" s="31"/>
      <c r="AE268">
        <v>1660</v>
      </c>
    </row>
    <row r="269" spans="1:31" hidden="1" x14ac:dyDescent="0.25">
      <c r="A269" t="s">
        <v>2526</v>
      </c>
      <c r="B269" t="str">
        <f t="shared" si="22"/>
        <v>No Change</v>
      </c>
      <c r="C269" t="s">
        <v>3007</v>
      </c>
      <c r="D269">
        <v>68427709</v>
      </c>
      <c r="E269" s="104" t="s">
        <v>51</v>
      </c>
      <c r="F269" s="26" t="s">
        <v>52</v>
      </c>
      <c r="G269" s="26" t="s">
        <v>42</v>
      </c>
      <c r="H269" s="26" t="s">
        <v>3009</v>
      </c>
      <c r="I269" t="s">
        <v>2554</v>
      </c>
      <c r="J269" t="s">
        <v>2555</v>
      </c>
      <c r="K269" s="26">
        <v>117570</v>
      </c>
      <c r="L269" s="26" t="s">
        <v>396</v>
      </c>
      <c r="M269" s="236">
        <v>5400963513</v>
      </c>
      <c r="N269" s="28">
        <v>60</v>
      </c>
      <c r="O269" s="26" t="s">
        <v>2531</v>
      </c>
      <c r="P269" s="26" t="s">
        <v>2531</v>
      </c>
      <c r="Q269" s="26" t="s">
        <v>2532</v>
      </c>
      <c r="R269" s="97" t="s">
        <v>2533</v>
      </c>
      <c r="S269" s="7">
        <v>145587</v>
      </c>
      <c r="T269" s="7">
        <v>145587</v>
      </c>
      <c r="U269" s="7">
        <v>145587</v>
      </c>
      <c r="V269" s="7">
        <f t="shared" si="23"/>
        <v>0</v>
      </c>
      <c r="W269" s="5">
        <f t="shared" si="25"/>
        <v>0</v>
      </c>
      <c r="X269" s="40"/>
      <c r="Y269" s="34">
        <f>SUMPRODUCT((BIdetails!$J$5:$J$3000=M269)*(BIdetails!$K$5:$K$3000=N269)*(BIdetails!$M$5:$M$3000))</f>
        <v>0</v>
      </c>
      <c r="Z269" s="35">
        <f t="shared" si="26"/>
        <v>0</v>
      </c>
      <c r="AA269" s="31" t="s">
        <v>2541</v>
      </c>
      <c r="AB269" s="31" t="s">
        <v>2663</v>
      </c>
      <c r="AC269" s="31" t="s">
        <v>2572</v>
      </c>
      <c r="AD269" s="31"/>
      <c r="AE269">
        <v>1710</v>
      </c>
    </row>
    <row r="270" spans="1:31" hidden="1" x14ac:dyDescent="0.25">
      <c r="A270" t="s">
        <v>2526</v>
      </c>
      <c r="B270" t="str">
        <f t="shared" si="22"/>
        <v>No Change</v>
      </c>
      <c r="C270" t="s">
        <v>3007</v>
      </c>
      <c r="D270">
        <v>68427709</v>
      </c>
      <c r="E270" s="104" t="s">
        <v>51</v>
      </c>
      <c r="F270" s="26" t="s">
        <v>52</v>
      </c>
      <c r="G270" s="26" t="s">
        <v>42</v>
      </c>
      <c r="H270" s="26" t="s">
        <v>3010</v>
      </c>
      <c r="I270" t="s">
        <v>2554</v>
      </c>
      <c r="J270" t="s">
        <v>2555</v>
      </c>
      <c r="K270" s="26">
        <v>117570</v>
      </c>
      <c r="L270" s="26" t="s">
        <v>396</v>
      </c>
      <c r="M270" s="236">
        <v>5400963513</v>
      </c>
      <c r="N270" s="28">
        <v>70</v>
      </c>
      <c r="O270" s="26" t="s">
        <v>2531</v>
      </c>
      <c r="P270" s="26" t="s">
        <v>2531</v>
      </c>
      <c r="Q270" s="26" t="s">
        <v>2532</v>
      </c>
      <c r="R270" s="97" t="s">
        <v>2533</v>
      </c>
      <c r="S270" s="7">
        <v>1253</v>
      </c>
      <c r="T270" s="7">
        <v>1253</v>
      </c>
      <c r="U270" s="7">
        <v>1253</v>
      </c>
      <c r="V270" s="7">
        <f t="shared" si="23"/>
        <v>0</v>
      </c>
      <c r="W270" s="5">
        <f t="shared" si="25"/>
        <v>0</v>
      </c>
      <c r="X270" s="40"/>
      <c r="Y270" s="34">
        <f>SUMPRODUCT((BIdetails!$J$5:$J$3000=M270)*(BIdetails!$K$5:$K$3000=N270)*(BIdetails!$M$5:$M$3000))</f>
        <v>0</v>
      </c>
      <c r="Z270" s="35">
        <f t="shared" si="26"/>
        <v>0</v>
      </c>
      <c r="AA270" s="31" t="s">
        <v>2541</v>
      </c>
      <c r="AB270" s="31" t="s">
        <v>2534</v>
      </c>
      <c r="AC270" s="31" t="s">
        <v>2575</v>
      </c>
      <c r="AD270" s="31"/>
      <c r="AE270">
        <v>1720</v>
      </c>
    </row>
    <row r="271" spans="1:31" hidden="1" x14ac:dyDescent="0.25">
      <c r="A271" t="s">
        <v>2526</v>
      </c>
      <c r="B271" t="str">
        <f t="shared" si="22"/>
        <v>No Change</v>
      </c>
      <c r="C271" t="s">
        <v>3007</v>
      </c>
      <c r="D271">
        <v>68427709</v>
      </c>
      <c r="E271" s="104" t="s">
        <v>51</v>
      </c>
      <c r="F271" s="26" t="s">
        <v>52</v>
      </c>
      <c r="G271" s="26" t="s">
        <v>42</v>
      </c>
      <c r="H271" s="26" t="s">
        <v>3011</v>
      </c>
      <c r="I271" t="s">
        <v>2554</v>
      </c>
      <c r="J271" t="s">
        <v>2555</v>
      </c>
      <c r="K271" s="26">
        <v>117570</v>
      </c>
      <c r="L271" s="26" t="s">
        <v>396</v>
      </c>
      <c r="M271" s="236">
        <v>5400963513</v>
      </c>
      <c r="N271" s="28">
        <v>80</v>
      </c>
      <c r="O271" s="26" t="s">
        <v>2531</v>
      </c>
      <c r="P271" s="26" t="s">
        <v>2531</v>
      </c>
      <c r="Q271" s="26" t="s">
        <v>2532</v>
      </c>
      <c r="R271" s="97" t="s">
        <v>2533</v>
      </c>
      <c r="S271" s="7">
        <v>18273</v>
      </c>
      <c r="T271" s="7">
        <v>18273</v>
      </c>
      <c r="U271" s="7">
        <v>18273</v>
      </c>
      <c r="V271" s="7">
        <f t="shared" si="23"/>
        <v>0</v>
      </c>
      <c r="W271" s="5">
        <f t="shared" si="25"/>
        <v>0</v>
      </c>
      <c r="X271" s="40"/>
      <c r="Y271" s="34">
        <f>SUMPRODUCT((BIdetails!$J$5:$J$3000=M271)*(BIdetails!$K$5:$K$3000=N271)*(BIdetails!$M$5:$M$3000))</f>
        <v>0</v>
      </c>
      <c r="Z271" s="35">
        <f t="shared" si="26"/>
        <v>0</v>
      </c>
      <c r="AA271" s="31" t="s">
        <v>2541</v>
      </c>
      <c r="AB271" s="31" t="s">
        <v>2663</v>
      </c>
      <c r="AC271" s="31" t="s">
        <v>2572</v>
      </c>
      <c r="AD271" s="31"/>
      <c r="AE271">
        <v>1730</v>
      </c>
    </row>
    <row r="272" spans="1:31" hidden="1" x14ac:dyDescent="0.25">
      <c r="A272" t="s">
        <v>2526</v>
      </c>
      <c r="B272" t="str">
        <f t="shared" si="22"/>
        <v>No Change</v>
      </c>
      <c r="C272" t="s">
        <v>3007</v>
      </c>
      <c r="D272">
        <v>68427709</v>
      </c>
      <c r="E272" s="104" t="s">
        <v>51</v>
      </c>
      <c r="F272" s="26" t="s">
        <v>52</v>
      </c>
      <c r="G272" s="26" t="s">
        <v>42</v>
      </c>
      <c r="H272" s="26" t="s">
        <v>3012</v>
      </c>
      <c r="I272" t="s">
        <v>2554</v>
      </c>
      <c r="J272" t="s">
        <v>2555</v>
      </c>
      <c r="K272" s="26">
        <v>117570</v>
      </c>
      <c r="L272" s="26" t="s">
        <v>396</v>
      </c>
      <c r="M272" s="236">
        <v>5400963513</v>
      </c>
      <c r="N272" s="28">
        <v>90</v>
      </c>
      <c r="O272" s="26" t="s">
        <v>2531</v>
      </c>
      <c r="P272" s="26" t="s">
        <v>2531</v>
      </c>
      <c r="Q272" s="26" t="s">
        <v>2532</v>
      </c>
      <c r="R272" s="97" t="s">
        <v>2533</v>
      </c>
      <c r="S272" s="7">
        <v>26059</v>
      </c>
      <c r="T272" s="7">
        <v>26059</v>
      </c>
      <c r="U272" s="7">
        <v>26059</v>
      </c>
      <c r="V272" s="7">
        <f t="shared" si="23"/>
        <v>0</v>
      </c>
      <c r="W272" s="5">
        <f t="shared" si="25"/>
        <v>0</v>
      </c>
      <c r="X272" s="40"/>
      <c r="Y272" s="34">
        <f>SUMPRODUCT((BIdetails!$J$5:$J$3000=M272)*(BIdetails!$K$5:$K$3000=N272)*(BIdetails!$M$5:$M$3000))</f>
        <v>0</v>
      </c>
      <c r="Z272" s="35">
        <f t="shared" si="26"/>
        <v>0</v>
      </c>
      <c r="AA272" s="31" t="s">
        <v>610</v>
      </c>
      <c r="AB272" s="31" t="s">
        <v>2534</v>
      </c>
      <c r="AC272" s="31" t="s">
        <v>2558</v>
      </c>
      <c r="AD272" s="31"/>
      <c r="AE272">
        <v>1740</v>
      </c>
    </row>
    <row r="273" spans="1:31" hidden="1" x14ac:dyDescent="0.25">
      <c r="A273" t="s">
        <v>2526</v>
      </c>
      <c r="B273" t="str">
        <f t="shared" si="22"/>
        <v>No Change</v>
      </c>
      <c r="C273" t="s">
        <v>3007</v>
      </c>
      <c r="D273">
        <v>68427709</v>
      </c>
      <c r="E273" s="104" t="s">
        <v>51</v>
      </c>
      <c r="F273" s="26" t="s">
        <v>52</v>
      </c>
      <c r="G273" s="26" t="s">
        <v>42</v>
      </c>
      <c r="H273" s="26" t="s">
        <v>3013</v>
      </c>
      <c r="I273" t="s">
        <v>2554</v>
      </c>
      <c r="J273" t="s">
        <v>2555</v>
      </c>
      <c r="K273" s="26">
        <v>117570</v>
      </c>
      <c r="L273" s="26" t="s">
        <v>396</v>
      </c>
      <c r="M273" s="236">
        <v>5400963513</v>
      </c>
      <c r="N273" s="28">
        <v>100</v>
      </c>
      <c r="O273" s="26" t="s">
        <v>2531</v>
      </c>
      <c r="P273" s="26" t="s">
        <v>2531</v>
      </c>
      <c r="Q273" s="26" t="s">
        <v>2532</v>
      </c>
      <c r="R273" s="97" t="s">
        <v>2533</v>
      </c>
      <c r="S273" s="7">
        <v>5892</v>
      </c>
      <c r="T273" s="7">
        <v>5892</v>
      </c>
      <c r="U273" s="7">
        <v>5892</v>
      </c>
      <c r="V273" s="7">
        <f t="shared" si="23"/>
        <v>0</v>
      </c>
      <c r="W273" s="5">
        <f t="shared" si="25"/>
        <v>0</v>
      </c>
      <c r="X273" s="40"/>
      <c r="Y273" s="34">
        <f>SUMPRODUCT((BIdetails!$J$5:$J$3000=M273)*(BIdetails!$K$5:$K$3000=N273)*(BIdetails!$M$5:$M$3000))</f>
        <v>0</v>
      </c>
      <c r="Z273" s="35">
        <f t="shared" si="26"/>
        <v>0</v>
      </c>
      <c r="AA273" s="31" t="s">
        <v>610</v>
      </c>
      <c r="AB273" s="31" t="s">
        <v>2534</v>
      </c>
      <c r="AC273" s="31" t="s">
        <v>2558</v>
      </c>
      <c r="AD273" s="31"/>
      <c r="AE273">
        <v>1750</v>
      </c>
    </row>
    <row r="274" spans="1:31" ht="14.1" hidden="1" customHeight="1" x14ac:dyDescent="0.25">
      <c r="A274" t="s">
        <v>2526</v>
      </c>
      <c r="B274" t="str">
        <f t="shared" si="22"/>
        <v>No Change</v>
      </c>
      <c r="C274" t="s">
        <v>3007</v>
      </c>
      <c r="D274">
        <v>68427709</v>
      </c>
      <c r="E274" s="104" t="s">
        <v>51</v>
      </c>
      <c r="F274" s="26" t="s">
        <v>52</v>
      </c>
      <c r="G274" s="26" t="s">
        <v>42</v>
      </c>
      <c r="H274" s="26" t="s">
        <v>3014</v>
      </c>
      <c r="I274" t="s">
        <v>2554</v>
      </c>
      <c r="J274" t="s">
        <v>2555</v>
      </c>
      <c r="K274" s="26">
        <v>117570</v>
      </c>
      <c r="L274" s="26" t="s">
        <v>396</v>
      </c>
      <c r="M274" s="236">
        <v>5400963513</v>
      </c>
      <c r="N274" s="28">
        <v>110</v>
      </c>
      <c r="O274" s="26" t="s">
        <v>2531</v>
      </c>
      <c r="P274" s="26" t="s">
        <v>2531</v>
      </c>
      <c r="Q274" s="26" t="s">
        <v>2532</v>
      </c>
      <c r="R274" s="97" t="s">
        <v>2533</v>
      </c>
      <c r="S274" s="7">
        <v>1266493</v>
      </c>
      <c r="T274" s="7">
        <v>1266493</v>
      </c>
      <c r="U274" s="7">
        <v>1266493</v>
      </c>
      <c r="V274" s="7">
        <f t="shared" si="23"/>
        <v>0</v>
      </c>
      <c r="W274" s="5">
        <f t="shared" si="25"/>
        <v>0</v>
      </c>
      <c r="X274" s="40"/>
      <c r="Y274" s="34">
        <f>SUMPRODUCT((BIdetails!$J$5:$J$3000=M274)*(BIdetails!$K$5:$K$3000=N274)*(BIdetails!$M$5:$M$3000))</f>
        <v>0</v>
      </c>
      <c r="Z274" s="35">
        <f t="shared" si="26"/>
        <v>0</v>
      </c>
      <c r="AA274" s="31" t="s">
        <v>2541</v>
      </c>
      <c r="AB274" s="31" t="s">
        <v>2663</v>
      </c>
      <c r="AC274" s="31" t="s">
        <v>2572</v>
      </c>
      <c r="AD274" s="31"/>
      <c r="AE274">
        <v>1760</v>
      </c>
    </row>
    <row r="275" spans="1:31" hidden="1" x14ac:dyDescent="0.25">
      <c r="A275" t="s">
        <v>2526</v>
      </c>
      <c r="B275" t="str">
        <f t="shared" si="22"/>
        <v>Increase</v>
      </c>
      <c r="C275" t="s">
        <v>3007</v>
      </c>
      <c r="D275">
        <v>68427709</v>
      </c>
      <c r="E275" s="104" t="s">
        <v>51</v>
      </c>
      <c r="F275" s="26" t="s">
        <v>52</v>
      </c>
      <c r="G275" s="26" t="s">
        <v>42</v>
      </c>
      <c r="H275" s="259" t="s">
        <v>3015</v>
      </c>
      <c r="I275" t="s">
        <v>2554</v>
      </c>
      <c r="J275" t="s">
        <v>2555</v>
      </c>
      <c r="K275" s="26">
        <v>117570</v>
      </c>
      <c r="L275" s="26" t="s">
        <v>396</v>
      </c>
      <c r="M275" s="236">
        <v>5400963513</v>
      </c>
      <c r="N275" s="28">
        <v>120</v>
      </c>
      <c r="O275" s="26" t="s">
        <v>2531</v>
      </c>
      <c r="P275" s="26" t="s">
        <v>2531</v>
      </c>
      <c r="Q275" s="26" t="s">
        <v>2532</v>
      </c>
      <c r="R275" s="97" t="s">
        <v>2533</v>
      </c>
      <c r="S275" s="7">
        <v>20263</v>
      </c>
      <c r="T275" s="7">
        <v>20263</v>
      </c>
      <c r="U275" s="7">
        <v>75263</v>
      </c>
      <c r="V275" s="7">
        <f t="shared" si="23"/>
        <v>55000</v>
      </c>
      <c r="W275" s="5">
        <f t="shared" si="25"/>
        <v>2.7143068647288162</v>
      </c>
      <c r="X275" s="40"/>
      <c r="Y275" s="34">
        <f>SUMPRODUCT((BIdetails!$J$5:$J$3000=M275)*(BIdetails!$K$5:$K$3000=N275)*(BIdetails!$M$5:$M$3000))</f>
        <v>0</v>
      </c>
      <c r="Z275" s="35">
        <f t="shared" si="26"/>
        <v>0</v>
      </c>
      <c r="AA275" s="31" t="s">
        <v>2541</v>
      </c>
      <c r="AB275" s="31" t="s">
        <v>2663</v>
      </c>
      <c r="AC275" s="31" t="s">
        <v>2572</v>
      </c>
      <c r="AD275" s="31"/>
      <c r="AE275">
        <v>1770</v>
      </c>
    </row>
    <row r="276" spans="1:31" hidden="1" x14ac:dyDescent="0.25">
      <c r="A276" t="s">
        <v>2526</v>
      </c>
      <c r="B276" t="str">
        <f t="shared" si="22"/>
        <v>No Change</v>
      </c>
      <c r="C276" t="s">
        <v>3007</v>
      </c>
      <c r="D276">
        <v>68427709</v>
      </c>
      <c r="E276" s="104" t="s">
        <v>51</v>
      </c>
      <c r="F276" s="26" t="s">
        <v>52</v>
      </c>
      <c r="G276" s="26" t="s">
        <v>42</v>
      </c>
      <c r="H276" s="26" t="s">
        <v>3016</v>
      </c>
      <c r="I276" t="s">
        <v>2554</v>
      </c>
      <c r="J276" t="s">
        <v>2555</v>
      </c>
      <c r="K276" s="26">
        <v>117570</v>
      </c>
      <c r="L276" s="26" t="s">
        <v>396</v>
      </c>
      <c r="M276" s="236">
        <v>5400963513</v>
      </c>
      <c r="N276" s="28">
        <v>130</v>
      </c>
      <c r="O276" s="26" t="s">
        <v>2531</v>
      </c>
      <c r="P276" s="26" t="s">
        <v>2531</v>
      </c>
      <c r="Q276" s="26" t="s">
        <v>2532</v>
      </c>
      <c r="R276" s="97" t="s">
        <v>2533</v>
      </c>
      <c r="S276" s="7">
        <v>958152</v>
      </c>
      <c r="T276" s="7">
        <v>958152</v>
      </c>
      <c r="U276" s="7">
        <v>958152</v>
      </c>
      <c r="V276" s="7">
        <f t="shared" si="23"/>
        <v>0</v>
      </c>
      <c r="W276" s="5">
        <f t="shared" si="25"/>
        <v>0</v>
      </c>
      <c r="X276" s="40"/>
      <c r="Y276" s="34">
        <f>SUMPRODUCT((BIdetails!$J$5:$J$3000=M276)*(BIdetails!$K$5:$K$3000=N276)*(BIdetails!$M$5:$M$3000))</f>
        <v>0</v>
      </c>
      <c r="Z276" s="35">
        <f t="shared" si="26"/>
        <v>0</v>
      </c>
      <c r="AA276" s="31" t="s">
        <v>2541</v>
      </c>
      <c r="AB276" s="31" t="s">
        <v>2663</v>
      </c>
      <c r="AC276" s="31" t="s">
        <v>2572</v>
      </c>
      <c r="AD276" s="31"/>
      <c r="AE276">
        <v>1780</v>
      </c>
    </row>
    <row r="277" spans="1:31" hidden="1" x14ac:dyDescent="0.25">
      <c r="A277" t="s">
        <v>2526</v>
      </c>
      <c r="B277" t="str">
        <f t="shared" si="22"/>
        <v>No Change</v>
      </c>
      <c r="C277" t="s">
        <v>3007</v>
      </c>
      <c r="D277">
        <v>68427709</v>
      </c>
      <c r="E277" s="104" t="s">
        <v>51</v>
      </c>
      <c r="F277" s="26" t="s">
        <v>52</v>
      </c>
      <c r="G277" s="26" t="s">
        <v>42</v>
      </c>
      <c r="H277" s="26" t="s">
        <v>3017</v>
      </c>
      <c r="I277" t="s">
        <v>2554</v>
      </c>
      <c r="J277" t="s">
        <v>2555</v>
      </c>
      <c r="K277" s="26">
        <v>117570</v>
      </c>
      <c r="L277" s="26" t="s">
        <v>396</v>
      </c>
      <c r="M277" s="236">
        <v>5400963513</v>
      </c>
      <c r="N277" s="28">
        <v>140</v>
      </c>
      <c r="O277" s="26" t="s">
        <v>2531</v>
      </c>
      <c r="P277" s="26" t="s">
        <v>2531</v>
      </c>
      <c r="Q277" s="26" t="s">
        <v>2532</v>
      </c>
      <c r="R277" s="97" t="s">
        <v>2533</v>
      </c>
      <c r="S277" s="7">
        <v>110084</v>
      </c>
      <c r="T277" s="7">
        <v>110084</v>
      </c>
      <c r="U277" s="7">
        <v>110084</v>
      </c>
      <c r="V277" s="7">
        <f t="shared" si="23"/>
        <v>0</v>
      </c>
      <c r="W277" s="5">
        <f t="shared" si="25"/>
        <v>0</v>
      </c>
      <c r="X277" s="40"/>
      <c r="Y277" s="34">
        <f>SUMPRODUCT((BIdetails!$J$5:$J$3000=M277)*(BIdetails!$K$5:$K$3000=N277)*(BIdetails!$M$5:$M$3000))</f>
        <v>0</v>
      </c>
      <c r="Z277" s="35">
        <f t="shared" si="26"/>
        <v>0</v>
      </c>
      <c r="AA277" s="31" t="s">
        <v>2541</v>
      </c>
      <c r="AB277" s="31" t="s">
        <v>2663</v>
      </c>
      <c r="AC277" s="31" t="s">
        <v>2572</v>
      </c>
      <c r="AD277" s="31"/>
      <c r="AE277">
        <v>1790</v>
      </c>
    </row>
    <row r="278" spans="1:31" hidden="1" x14ac:dyDescent="0.25">
      <c r="A278" t="s">
        <v>2526</v>
      </c>
      <c r="B278" t="str">
        <f t="shared" si="22"/>
        <v>No Change</v>
      </c>
      <c r="C278" t="s">
        <v>3007</v>
      </c>
      <c r="D278">
        <v>68427709</v>
      </c>
      <c r="E278" s="96" t="s">
        <v>51</v>
      </c>
      <c r="F278" t="s">
        <v>52</v>
      </c>
      <c r="G278" t="s">
        <v>42</v>
      </c>
      <c r="H278" s="26" t="s">
        <v>3018</v>
      </c>
      <c r="I278" t="s">
        <v>2554</v>
      </c>
      <c r="J278" t="s">
        <v>2555</v>
      </c>
      <c r="K278" s="26">
        <v>117570</v>
      </c>
      <c r="L278" s="26" t="s">
        <v>396</v>
      </c>
      <c r="M278" s="236">
        <v>5400963513</v>
      </c>
      <c r="N278" s="28">
        <v>150</v>
      </c>
      <c r="O278" s="26" t="s">
        <v>2531</v>
      </c>
      <c r="P278" s="26" t="s">
        <v>2531</v>
      </c>
      <c r="Q278" s="26" t="s">
        <v>2532</v>
      </c>
      <c r="R278" s="97" t="s">
        <v>2533</v>
      </c>
      <c r="S278" s="7">
        <v>240000</v>
      </c>
      <c r="T278" s="7">
        <v>240000</v>
      </c>
      <c r="U278" s="7">
        <v>240000</v>
      </c>
      <c r="V278" s="7">
        <f t="shared" si="23"/>
        <v>0</v>
      </c>
      <c r="W278" s="5">
        <f t="shared" si="25"/>
        <v>0</v>
      </c>
      <c r="X278" s="40"/>
      <c r="Y278" s="34">
        <f>SUMPRODUCT((BIdetails!$J$5:$J$3000=M278)*(BIdetails!$K$5:$K$3000=N278)*(BIdetails!$M$5:$M$3000))</f>
        <v>0</v>
      </c>
      <c r="Z278" s="35">
        <f t="shared" si="26"/>
        <v>0</v>
      </c>
      <c r="AA278" s="31" t="s">
        <v>2541</v>
      </c>
      <c r="AB278" s="31" t="s">
        <v>2663</v>
      </c>
      <c r="AC278" s="31" t="s">
        <v>2572</v>
      </c>
      <c r="AD278" s="31"/>
      <c r="AE278">
        <v>1800</v>
      </c>
    </row>
    <row r="279" spans="1:31" hidden="1" x14ac:dyDescent="0.25">
      <c r="A279" t="s">
        <v>2526</v>
      </c>
      <c r="B279" t="str">
        <f t="shared" si="22"/>
        <v>No Change</v>
      </c>
      <c r="C279" t="s">
        <v>3007</v>
      </c>
      <c r="D279">
        <v>68427709</v>
      </c>
      <c r="E279" s="104" t="s">
        <v>51</v>
      </c>
      <c r="F279" s="26" t="s">
        <v>52</v>
      </c>
      <c r="G279" s="26" t="s">
        <v>42</v>
      </c>
      <c r="H279" s="26" t="s">
        <v>3019</v>
      </c>
      <c r="I279" t="s">
        <v>2554</v>
      </c>
      <c r="J279" t="s">
        <v>2555</v>
      </c>
      <c r="K279" s="26">
        <v>117570</v>
      </c>
      <c r="L279" s="26" t="s">
        <v>396</v>
      </c>
      <c r="M279" s="236">
        <v>5400963513</v>
      </c>
      <c r="N279" s="28">
        <v>160</v>
      </c>
      <c r="O279" s="26" t="s">
        <v>2531</v>
      </c>
      <c r="P279" s="26" t="s">
        <v>2531</v>
      </c>
      <c r="Q279" s="26" t="s">
        <v>2532</v>
      </c>
      <c r="R279" s="97" t="s">
        <v>2533</v>
      </c>
      <c r="S279" s="7">
        <v>365000</v>
      </c>
      <c r="T279" s="7">
        <v>365000</v>
      </c>
      <c r="U279" s="7">
        <v>365000</v>
      </c>
      <c r="V279" s="7">
        <f t="shared" si="23"/>
        <v>0</v>
      </c>
      <c r="W279" s="5">
        <f t="shared" si="25"/>
        <v>0</v>
      </c>
      <c r="X279" s="40"/>
      <c r="Y279" s="34">
        <f>SUMPRODUCT((BIdetails!$J$5:$J$3000=M279)*(BIdetails!$K$5:$K$3000=N279)*(BIdetails!$M$5:$M$3000))</f>
        <v>0</v>
      </c>
      <c r="Z279" s="35">
        <f t="shared" si="26"/>
        <v>0</v>
      </c>
      <c r="AA279" s="31" t="s">
        <v>2541</v>
      </c>
      <c r="AB279" s="31" t="s">
        <v>2663</v>
      </c>
      <c r="AC279" s="31" t="s">
        <v>2572</v>
      </c>
      <c r="AD279" s="31"/>
      <c r="AE279">
        <v>1810</v>
      </c>
    </row>
    <row r="280" spans="1:31" hidden="1" x14ac:dyDescent="0.25">
      <c r="A280" t="s">
        <v>2526</v>
      </c>
      <c r="B280" t="str">
        <f t="shared" si="22"/>
        <v>No Change</v>
      </c>
      <c r="C280" t="s">
        <v>3007</v>
      </c>
      <c r="D280">
        <v>68427709</v>
      </c>
      <c r="E280" s="104" t="s">
        <v>51</v>
      </c>
      <c r="F280" s="26" t="s">
        <v>52</v>
      </c>
      <c r="G280" s="26" t="s">
        <v>42</v>
      </c>
      <c r="H280" s="26" t="s">
        <v>3020</v>
      </c>
      <c r="I280" t="s">
        <v>2554</v>
      </c>
      <c r="J280" t="s">
        <v>2555</v>
      </c>
      <c r="K280" s="26">
        <v>117570</v>
      </c>
      <c r="L280" s="26" t="s">
        <v>396</v>
      </c>
      <c r="M280" s="236">
        <v>5400963513</v>
      </c>
      <c r="N280" s="21">
        <v>170</v>
      </c>
      <c r="O280" s="26" t="s">
        <v>2531</v>
      </c>
      <c r="P280" s="26" t="s">
        <v>2531</v>
      </c>
      <c r="Q280" s="26" t="s">
        <v>2532</v>
      </c>
      <c r="R280" s="97" t="s">
        <v>2533</v>
      </c>
      <c r="S280" s="7">
        <v>164000</v>
      </c>
      <c r="T280" s="7">
        <v>164000</v>
      </c>
      <c r="U280" s="7">
        <v>164000</v>
      </c>
      <c r="V280" s="7">
        <f t="shared" si="23"/>
        <v>0</v>
      </c>
      <c r="W280" s="5">
        <f t="shared" si="25"/>
        <v>0</v>
      </c>
      <c r="X280" s="40"/>
      <c r="Y280" s="34">
        <f>SUMPRODUCT((BIdetails!$J$5:$J$3000=M280)*(BIdetails!$K$5:$K$3000=N280)*(BIdetails!$M$5:$M$3000))</f>
        <v>0</v>
      </c>
      <c r="Z280" s="35">
        <f t="shared" si="26"/>
        <v>0</v>
      </c>
      <c r="AA280" s="31" t="s">
        <v>2541</v>
      </c>
      <c r="AB280" s="31" t="s">
        <v>2663</v>
      </c>
      <c r="AC280" s="31" t="s">
        <v>2572</v>
      </c>
      <c r="AD280" s="31"/>
      <c r="AE280">
        <v>1820</v>
      </c>
    </row>
    <row r="281" spans="1:31" hidden="1" x14ac:dyDescent="0.25">
      <c r="A281" t="s">
        <v>2526</v>
      </c>
      <c r="B281" t="str">
        <f t="shared" si="22"/>
        <v>No Change</v>
      </c>
      <c r="C281" t="s">
        <v>3007</v>
      </c>
      <c r="D281">
        <v>68427709</v>
      </c>
      <c r="E281" s="104" t="s">
        <v>51</v>
      </c>
      <c r="F281" s="26" t="s">
        <v>52</v>
      </c>
      <c r="G281" t="s">
        <v>42</v>
      </c>
      <c r="H281" t="s">
        <v>3021</v>
      </c>
      <c r="I281" t="s">
        <v>2554</v>
      </c>
      <c r="J281" t="s">
        <v>2555</v>
      </c>
      <c r="K281">
        <v>117570</v>
      </c>
      <c r="L281" s="26" t="s">
        <v>396</v>
      </c>
      <c r="M281" s="236">
        <v>5400963513</v>
      </c>
      <c r="N281" s="28">
        <v>220</v>
      </c>
      <c r="O281" s="26" t="s">
        <v>2531</v>
      </c>
      <c r="P281" s="26" t="s">
        <v>2531</v>
      </c>
      <c r="Q281" t="s">
        <v>2532</v>
      </c>
      <c r="R281" s="97" t="s">
        <v>2533</v>
      </c>
      <c r="S281" s="7">
        <v>18700</v>
      </c>
      <c r="T281" s="7">
        <v>18700</v>
      </c>
      <c r="U281" s="7">
        <v>18700</v>
      </c>
      <c r="V281" s="7">
        <f t="shared" si="23"/>
        <v>0</v>
      </c>
      <c r="W281" s="5">
        <f t="shared" si="25"/>
        <v>0</v>
      </c>
      <c r="X281" s="40"/>
      <c r="Y281" s="34">
        <f>SUMPRODUCT((BIdetails!$J$5:$J$3000=M281)*(BIdetails!$K$5:$K$3000=N281)*(BIdetails!$M$5:$M$3000))</f>
        <v>0</v>
      </c>
      <c r="Z281" s="35">
        <f t="shared" si="26"/>
        <v>0</v>
      </c>
      <c r="AA281" s="31" t="s">
        <v>2541</v>
      </c>
      <c r="AB281" s="31" t="s">
        <v>2663</v>
      </c>
      <c r="AC281" s="31" t="s">
        <v>2572</v>
      </c>
      <c r="AD281" s="31"/>
      <c r="AE281">
        <v>1860</v>
      </c>
    </row>
    <row r="282" spans="1:31" hidden="1" x14ac:dyDescent="0.25">
      <c r="A282" t="s">
        <v>2526</v>
      </c>
      <c r="B282" t="str">
        <f t="shared" si="22"/>
        <v>No Change</v>
      </c>
      <c r="C282" t="s">
        <v>3022</v>
      </c>
      <c r="D282">
        <v>68427709</v>
      </c>
      <c r="E282" s="104" t="s">
        <v>51</v>
      </c>
      <c r="F282" s="26" t="s">
        <v>52</v>
      </c>
      <c r="G282" s="26" t="s">
        <v>42</v>
      </c>
      <c r="H282" s="26" t="s">
        <v>3023</v>
      </c>
      <c r="I282" t="s">
        <v>2554</v>
      </c>
      <c r="J282" t="s">
        <v>2555</v>
      </c>
      <c r="K282" s="26">
        <v>117570</v>
      </c>
      <c r="L282" s="26" t="s">
        <v>396</v>
      </c>
      <c r="M282" s="199">
        <v>5400904056</v>
      </c>
      <c r="N282" s="28">
        <v>10</v>
      </c>
      <c r="O282" s="26" t="s">
        <v>2531</v>
      </c>
      <c r="P282" s="26" t="s">
        <v>2531</v>
      </c>
      <c r="Q282" s="26" t="s">
        <v>2532</v>
      </c>
      <c r="R282" s="97" t="s">
        <v>2533</v>
      </c>
      <c r="S282" s="7">
        <v>237000</v>
      </c>
      <c r="T282" s="7">
        <v>237000</v>
      </c>
      <c r="U282" s="7">
        <v>237000</v>
      </c>
      <c r="V282" s="7">
        <f t="shared" si="23"/>
        <v>0</v>
      </c>
      <c r="W282" s="5">
        <f t="shared" si="25"/>
        <v>0</v>
      </c>
      <c r="X282" s="40"/>
      <c r="Y282" s="34">
        <f>SUMPRODUCT((BIdetails!$J$5:$J$3000=M282)*(BIdetails!$K$5:$K$3000=N282)*(BIdetails!$M$5:$M$3000))</f>
        <v>0</v>
      </c>
      <c r="Z282" s="35">
        <f t="shared" si="26"/>
        <v>0</v>
      </c>
      <c r="AA282" s="31" t="s">
        <v>2541</v>
      </c>
      <c r="AB282" s="31" t="s">
        <v>2534</v>
      </c>
      <c r="AC282" s="31" t="s">
        <v>2572</v>
      </c>
      <c r="AD282" s="31"/>
      <c r="AE282">
        <v>1880</v>
      </c>
    </row>
    <row r="283" spans="1:31" hidden="1" x14ac:dyDescent="0.25">
      <c r="A283" t="s">
        <v>2526</v>
      </c>
      <c r="B283" t="str">
        <f t="shared" si="22"/>
        <v>No Change</v>
      </c>
      <c r="D283">
        <v>68427709</v>
      </c>
      <c r="E283" s="104" t="s">
        <v>51</v>
      </c>
      <c r="F283" s="26" t="s">
        <v>52</v>
      </c>
      <c r="G283" s="26" t="s">
        <v>42</v>
      </c>
      <c r="H283" s="26" t="s">
        <v>1622</v>
      </c>
      <c r="I283" t="s">
        <v>2554</v>
      </c>
      <c r="J283" t="s">
        <v>2555</v>
      </c>
      <c r="K283" s="26">
        <v>117570</v>
      </c>
      <c r="L283" s="26" t="s">
        <v>396</v>
      </c>
      <c r="M283" s="235">
        <v>5400963513</v>
      </c>
      <c r="N283" s="21">
        <v>230</v>
      </c>
      <c r="O283" s="26" t="s">
        <v>2531</v>
      </c>
      <c r="P283" s="98" t="s">
        <v>2531</v>
      </c>
      <c r="Q283" s="26" t="s">
        <v>2532</v>
      </c>
      <c r="R283" s="97" t="s">
        <v>2533</v>
      </c>
      <c r="S283" s="7">
        <v>10000</v>
      </c>
      <c r="T283" s="7">
        <v>10000</v>
      </c>
      <c r="U283" s="7">
        <v>10000</v>
      </c>
      <c r="V283" s="7">
        <f t="shared" si="23"/>
        <v>0</v>
      </c>
      <c r="W283" s="5">
        <f t="shared" si="25"/>
        <v>0</v>
      </c>
      <c r="X283" s="22"/>
      <c r="Y283" s="34">
        <f>SUMPRODUCT((BIdetails!$J$5:$J$3000=M283)*(BIdetails!$K$5:$K$3000=N283)*(BIdetails!$M$5:$M$3000))</f>
        <v>0</v>
      </c>
      <c r="Z283" s="35">
        <f t="shared" si="26"/>
        <v>0</v>
      </c>
      <c r="AA283" s="31" t="s">
        <v>2541</v>
      </c>
      <c r="AB283" s="31" t="s">
        <v>2534</v>
      </c>
      <c r="AC283" s="31" t="s">
        <v>2558</v>
      </c>
      <c r="AD283" s="31"/>
      <c r="AE283">
        <v>2080</v>
      </c>
    </row>
    <row r="284" spans="1:31" hidden="1" x14ac:dyDescent="0.25">
      <c r="A284" t="s">
        <v>2526</v>
      </c>
      <c r="B284" t="str">
        <f t="shared" si="22"/>
        <v>No Change</v>
      </c>
      <c r="D284">
        <v>68427709</v>
      </c>
      <c r="E284" s="104" t="s">
        <v>51</v>
      </c>
      <c r="F284" s="26" t="s">
        <v>52</v>
      </c>
      <c r="G284" s="26" t="s">
        <v>42</v>
      </c>
      <c r="H284" s="26" t="s">
        <v>3024</v>
      </c>
      <c r="I284" t="s">
        <v>2554</v>
      </c>
      <c r="J284" t="s">
        <v>2555</v>
      </c>
      <c r="K284">
        <v>117570</v>
      </c>
      <c r="L284" t="s">
        <v>396</v>
      </c>
      <c r="M284" s="235">
        <v>5400963513</v>
      </c>
      <c r="N284" s="21">
        <v>240</v>
      </c>
      <c r="O284" s="26" t="s">
        <v>2531</v>
      </c>
      <c r="P284" s="26" t="s">
        <v>2531</v>
      </c>
      <c r="Q284" t="s">
        <v>2532</v>
      </c>
      <c r="R284" s="97" t="s">
        <v>2533</v>
      </c>
      <c r="S284" s="7">
        <v>21250</v>
      </c>
      <c r="T284" s="7">
        <v>21250</v>
      </c>
      <c r="U284" s="7">
        <v>21250</v>
      </c>
      <c r="V284" s="7">
        <f t="shared" si="23"/>
        <v>0</v>
      </c>
      <c r="W284" s="5">
        <f t="shared" si="25"/>
        <v>0</v>
      </c>
      <c r="X284" s="22"/>
      <c r="Y284" s="34">
        <f>SUMPRODUCT((BIdetails!$J$5:$J$3000=M284)*(BIdetails!$K$5:$K$3000=N284)*(BIdetails!$M$5:$M$3000))</f>
        <v>0</v>
      </c>
      <c r="Z284" s="35">
        <f t="shared" si="26"/>
        <v>0</v>
      </c>
      <c r="AA284" s="31" t="s">
        <v>2852</v>
      </c>
      <c r="AB284" s="31" t="s">
        <v>2534</v>
      </c>
      <c r="AC284" s="31"/>
      <c r="AD284" s="31"/>
      <c r="AE284">
        <v>2100</v>
      </c>
    </row>
    <row r="285" spans="1:31" hidden="1" x14ac:dyDescent="0.25">
      <c r="A285" t="s">
        <v>2526</v>
      </c>
      <c r="B285" t="str">
        <f t="shared" si="22"/>
        <v>No Change</v>
      </c>
      <c r="D285">
        <v>68427709</v>
      </c>
      <c r="E285" s="104" t="s">
        <v>51</v>
      </c>
      <c r="F285" s="26" t="s">
        <v>52</v>
      </c>
      <c r="G285" s="26" t="s">
        <v>42</v>
      </c>
      <c r="H285" s="26" t="s">
        <v>1590</v>
      </c>
      <c r="I285" t="s">
        <v>2554</v>
      </c>
      <c r="J285" t="s">
        <v>2555</v>
      </c>
      <c r="K285">
        <v>117570</v>
      </c>
      <c r="L285" t="s">
        <v>396</v>
      </c>
      <c r="M285" s="235">
        <v>5400963495</v>
      </c>
      <c r="N285" s="21">
        <v>10</v>
      </c>
      <c r="O285" s="26" t="s">
        <v>2531</v>
      </c>
      <c r="P285" s="26" t="s">
        <v>2531</v>
      </c>
      <c r="Q285" t="s">
        <v>2532</v>
      </c>
      <c r="R285" s="97" t="s">
        <v>2533</v>
      </c>
      <c r="S285" s="7">
        <v>29000</v>
      </c>
      <c r="T285" s="7">
        <v>29000</v>
      </c>
      <c r="U285" s="7">
        <v>29000</v>
      </c>
      <c r="V285" s="7">
        <f t="shared" si="23"/>
        <v>0</v>
      </c>
      <c r="W285" s="5">
        <f t="shared" si="25"/>
        <v>0</v>
      </c>
      <c r="X285" s="22"/>
      <c r="Y285" s="34">
        <f>SUMPRODUCT((BIdetails!$J$5:$J$3000=M285)*(BIdetails!$K$5:$K$3000=N285)*(BIdetails!$M$5:$M$3000))</f>
        <v>0</v>
      </c>
      <c r="Z285" s="35">
        <f t="shared" si="26"/>
        <v>0</v>
      </c>
      <c r="AA285" s="31"/>
      <c r="AB285" s="31"/>
      <c r="AC285" s="31"/>
      <c r="AD285" s="31"/>
      <c r="AE285">
        <v>2110</v>
      </c>
    </row>
    <row r="286" spans="1:31" hidden="1" x14ac:dyDescent="0.25">
      <c r="A286" t="s">
        <v>2526</v>
      </c>
      <c r="B286" t="str">
        <f t="shared" si="22"/>
        <v>No Change</v>
      </c>
      <c r="C286" t="s">
        <v>3007</v>
      </c>
      <c r="D286">
        <v>68427709</v>
      </c>
      <c r="E286" s="104" t="s">
        <v>51</v>
      </c>
      <c r="F286" s="26" t="s">
        <v>52</v>
      </c>
      <c r="G286" s="26" t="s">
        <v>42</v>
      </c>
      <c r="H286" s="26" t="s">
        <v>3025</v>
      </c>
      <c r="I286" t="s">
        <v>2554</v>
      </c>
      <c r="J286" t="s">
        <v>3026</v>
      </c>
      <c r="K286" s="26">
        <v>117570</v>
      </c>
      <c r="L286" s="26" t="s">
        <v>396</v>
      </c>
      <c r="M286" s="236">
        <v>5400963513</v>
      </c>
      <c r="N286" s="28">
        <v>40</v>
      </c>
      <c r="O286" s="26" t="s">
        <v>2531</v>
      </c>
      <c r="P286" s="26" t="s">
        <v>2531</v>
      </c>
      <c r="Q286" s="26" t="s">
        <v>2532</v>
      </c>
      <c r="R286" s="97" t="s">
        <v>2533</v>
      </c>
      <c r="S286" s="7">
        <v>125272</v>
      </c>
      <c r="T286" s="7">
        <v>125272</v>
      </c>
      <c r="U286" s="7">
        <v>125272</v>
      </c>
      <c r="V286" s="7">
        <f t="shared" si="23"/>
        <v>0</v>
      </c>
      <c r="W286" s="5">
        <f t="shared" si="25"/>
        <v>0</v>
      </c>
      <c r="X286" s="22"/>
      <c r="Y286" s="34">
        <f>SUMPRODUCT((BIdetails!$J$5:$J$3000=M286)*(BIdetails!$K$5:$K$3000=N286)*(BIdetails!$M$5:$M$3000))</f>
        <v>0</v>
      </c>
      <c r="Z286" s="35">
        <f t="shared" si="26"/>
        <v>0</v>
      </c>
      <c r="AA286" s="31" t="s">
        <v>2541</v>
      </c>
      <c r="AB286" s="31" t="s">
        <v>2663</v>
      </c>
      <c r="AC286" s="31" t="s">
        <v>2572</v>
      </c>
      <c r="AD286" s="31"/>
      <c r="AE286">
        <v>1690</v>
      </c>
    </row>
    <row r="287" spans="1:31" hidden="1" x14ac:dyDescent="0.25">
      <c r="A287" t="s">
        <v>2526</v>
      </c>
      <c r="B287" t="str">
        <f t="shared" si="22"/>
        <v>No Change</v>
      </c>
      <c r="C287" t="s">
        <v>3007</v>
      </c>
      <c r="D287">
        <v>68427709</v>
      </c>
      <c r="E287" s="104" t="s">
        <v>51</v>
      </c>
      <c r="F287" s="26" t="s">
        <v>52</v>
      </c>
      <c r="G287" s="26" t="s">
        <v>42</v>
      </c>
      <c r="H287" s="26" t="s">
        <v>3027</v>
      </c>
      <c r="I287" t="s">
        <v>2554</v>
      </c>
      <c r="J287" s="26" t="s">
        <v>3028</v>
      </c>
      <c r="K287" s="26">
        <v>117570</v>
      </c>
      <c r="L287" s="26" t="s">
        <v>396</v>
      </c>
      <c r="M287" s="236">
        <v>5400963513</v>
      </c>
      <c r="N287" s="28">
        <v>50</v>
      </c>
      <c r="O287" s="26" t="s">
        <v>2531</v>
      </c>
      <c r="P287" s="26" t="s">
        <v>2531</v>
      </c>
      <c r="Q287" s="26" t="s">
        <v>2532</v>
      </c>
      <c r="R287" s="97" t="s">
        <v>2533</v>
      </c>
      <c r="S287" s="7">
        <v>61486</v>
      </c>
      <c r="T287" s="7">
        <v>61486</v>
      </c>
      <c r="U287" s="7">
        <v>61486</v>
      </c>
      <c r="V287" s="7">
        <f t="shared" si="23"/>
        <v>0</v>
      </c>
      <c r="W287" s="5">
        <f t="shared" si="25"/>
        <v>0</v>
      </c>
      <c r="X287" s="40"/>
      <c r="Y287" s="34">
        <f>SUMPRODUCT((BIdetails!$J$5:$J$3000=M287)*(BIdetails!$K$5:$K$3000=N287)*(BIdetails!$M$5:$M$3000))</f>
        <v>0</v>
      </c>
      <c r="Z287" s="35">
        <f t="shared" si="26"/>
        <v>0</v>
      </c>
      <c r="AA287" s="31" t="s">
        <v>2541</v>
      </c>
      <c r="AB287" s="31" t="s">
        <v>2663</v>
      </c>
      <c r="AC287" s="31" t="s">
        <v>2572</v>
      </c>
      <c r="AD287" s="31"/>
      <c r="AE287">
        <v>1700</v>
      </c>
    </row>
    <row r="288" spans="1:31" hidden="1" x14ac:dyDescent="0.25">
      <c r="A288" t="s">
        <v>2526</v>
      </c>
      <c r="B288" t="str">
        <f t="shared" si="22"/>
        <v>No Change</v>
      </c>
      <c r="C288" t="s">
        <v>3007</v>
      </c>
      <c r="D288">
        <v>68427709</v>
      </c>
      <c r="E288" s="104" t="s">
        <v>51</v>
      </c>
      <c r="F288" s="26" t="s">
        <v>52</v>
      </c>
      <c r="G288" s="26" t="s">
        <v>42</v>
      </c>
      <c r="H288" s="26" t="s">
        <v>3029</v>
      </c>
      <c r="I288" t="s">
        <v>2554</v>
      </c>
      <c r="J288" t="s">
        <v>3030</v>
      </c>
      <c r="K288" s="26">
        <v>117570</v>
      </c>
      <c r="L288" s="26" t="s">
        <v>396</v>
      </c>
      <c r="M288" s="236">
        <v>5400963513</v>
      </c>
      <c r="N288" s="21">
        <v>190</v>
      </c>
      <c r="O288" s="26" t="s">
        <v>2531</v>
      </c>
      <c r="P288" s="26" t="s">
        <v>2531</v>
      </c>
      <c r="Q288" s="26" t="s">
        <v>2532</v>
      </c>
      <c r="R288" s="97" t="s">
        <v>2533</v>
      </c>
      <c r="S288" s="7">
        <v>1000</v>
      </c>
      <c r="T288" s="7">
        <v>1000</v>
      </c>
      <c r="U288" s="7">
        <v>1000</v>
      </c>
      <c r="V288" s="7">
        <f t="shared" si="23"/>
        <v>0</v>
      </c>
      <c r="W288" s="5">
        <f t="shared" si="25"/>
        <v>0</v>
      </c>
      <c r="X288" s="40"/>
      <c r="Y288" s="34">
        <f>SUMPRODUCT((BIdetails!$J$5:$J$3000=M288)*(BIdetails!$K$5:$K$3000=N288)*(BIdetails!$M$5:$M$3000))</f>
        <v>0</v>
      </c>
      <c r="Z288" s="35">
        <f t="shared" si="26"/>
        <v>0</v>
      </c>
      <c r="AA288" s="31" t="s">
        <v>2541</v>
      </c>
      <c r="AB288" s="31" t="s">
        <v>2534</v>
      </c>
      <c r="AC288" s="31" t="s">
        <v>2572</v>
      </c>
      <c r="AD288" s="31"/>
      <c r="AE288">
        <v>1830</v>
      </c>
    </row>
    <row r="289" spans="1:31" hidden="1" x14ac:dyDescent="0.25">
      <c r="A289" t="s">
        <v>2526</v>
      </c>
      <c r="B289" t="str">
        <f t="shared" si="22"/>
        <v>No Change</v>
      </c>
      <c r="C289" t="s">
        <v>3031</v>
      </c>
      <c r="D289">
        <v>68427709</v>
      </c>
      <c r="E289" s="104" t="s">
        <v>51</v>
      </c>
      <c r="F289" s="26" t="s">
        <v>52</v>
      </c>
      <c r="G289" s="26" t="s">
        <v>42</v>
      </c>
      <c r="H289" s="26" t="s">
        <v>1260</v>
      </c>
      <c r="I289" t="s">
        <v>2554</v>
      </c>
      <c r="J289" t="s">
        <v>3030</v>
      </c>
      <c r="K289" s="26">
        <v>117570</v>
      </c>
      <c r="L289" s="26" t="s">
        <v>396</v>
      </c>
      <c r="M289" s="196">
        <v>5400963494</v>
      </c>
      <c r="N289" s="21">
        <v>10</v>
      </c>
      <c r="O289" s="26" t="s">
        <v>2531</v>
      </c>
      <c r="P289" s="26" t="s">
        <v>2680</v>
      </c>
      <c r="Q289" s="26" t="s">
        <v>2532</v>
      </c>
      <c r="R289" s="97" t="s">
        <v>811</v>
      </c>
      <c r="S289" s="7">
        <v>95000</v>
      </c>
      <c r="T289" s="7">
        <v>95000</v>
      </c>
      <c r="U289" s="7">
        <v>95000</v>
      </c>
      <c r="V289" s="7">
        <f t="shared" si="23"/>
        <v>0</v>
      </c>
      <c r="W289" s="5">
        <f t="shared" si="25"/>
        <v>0</v>
      </c>
      <c r="X289" s="22"/>
      <c r="Y289" s="34">
        <f>SUMPRODUCT((BIdetails!$J$5:$J$3000=M289)*(BIdetails!$K$5:$K$3000=N289)*(BIdetails!$M$5:$M$3000))</f>
        <v>0</v>
      </c>
      <c r="Z289" s="35">
        <f t="shared" si="26"/>
        <v>0</v>
      </c>
      <c r="AA289" s="31"/>
      <c r="AB289" s="31"/>
      <c r="AC289" s="31"/>
      <c r="AD289" s="31"/>
      <c r="AE289">
        <v>1970</v>
      </c>
    </row>
    <row r="290" spans="1:31" hidden="1" x14ac:dyDescent="0.25">
      <c r="A290" t="s">
        <v>2526</v>
      </c>
      <c r="B290" t="str">
        <f t="shared" si="22"/>
        <v>No Change</v>
      </c>
      <c r="C290" t="s">
        <v>3007</v>
      </c>
      <c r="D290">
        <v>68427709</v>
      </c>
      <c r="E290" s="104" t="s">
        <v>51</v>
      </c>
      <c r="F290" s="26" t="s">
        <v>52</v>
      </c>
      <c r="G290" s="26" t="s">
        <v>42</v>
      </c>
      <c r="H290" s="26" t="s">
        <v>3032</v>
      </c>
      <c r="I290" t="s">
        <v>2554</v>
      </c>
      <c r="J290" s="26" t="s">
        <v>3033</v>
      </c>
      <c r="K290" s="26">
        <v>117570</v>
      </c>
      <c r="L290" s="26" t="s">
        <v>396</v>
      </c>
      <c r="M290" s="236">
        <v>5400963513</v>
      </c>
      <c r="N290" s="28">
        <v>20</v>
      </c>
      <c r="O290" s="26" t="s">
        <v>2531</v>
      </c>
      <c r="P290" s="26" t="s">
        <v>2531</v>
      </c>
      <c r="Q290" s="26" t="s">
        <v>2532</v>
      </c>
      <c r="R290" s="97" t="s">
        <v>2533</v>
      </c>
      <c r="S290" s="7">
        <v>15961</v>
      </c>
      <c r="T290" s="7">
        <v>15961</v>
      </c>
      <c r="U290" s="7">
        <v>15961</v>
      </c>
      <c r="V290" s="7">
        <f t="shared" si="23"/>
        <v>0</v>
      </c>
      <c r="W290" s="5">
        <f t="shared" si="25"/>
        <v>0</v>
      </c>
      <c r="X290" s="40"/>
      <c r="Y290" s="34">
        <f>SUMPRODUCT((BIdetails!$J$5:$J$3000=M290)*(BIdetails!$K$5:$K$3000=N290)*(BIdetails!$M$5:$M$3000))</f>
        <v>0</v>
      </c>
      <c r="Z290" s="35">
        <f t="shared" si="26"/>
        <v>0</v>
      </c>
      <c r="AA290" s="31" t="s">
        <v>2541</v>
      </c>
      <c r="AB290" s="31" t="s">
        <v>2663</v>
      </c>
      <c r="AC290" s="31" t="s">
        <v>2572</v>
      </c>
      <c r="AD290" s="31"/>
      <c r="AE290">
        <v>1670</v>
      </c>
    </row>
    <row r="291" spans="1:31" hidden="1" x14ac:dyDescent="0.25">
      <c r="A291" t="s">
        <v>2526</v>
      </c>
      <c r="B291" t="str">
        <f t="shared" si="22"/>
        <v>No Change</v>
      </c>
      <c r="D291">
        <v>68427709</v>
      </c>
      <c r="E291" s="104" t="s">
        <v>51</v>
      </c>
      <c r="F291" s="26" t="s">
        <v>52</v>
      </c>
      <c r="G291" s="26" t="s">
        <v>42</v>
      </c>
      <c r="H291" s="26" t="s">
        <v>3034</v>
      </c>
      <c r="I291" t="s">
        <v>2554</v>
      </c>
      <c r="J291" t="s">
        <v>2883</v>
      </c>
      <c r="K291" s="26">
        <v>117570</v>
      </c>
      <c r="L291" s="26" t="s">
        <v>396</v>
      </c>
      <c r="M291" s="236">
        <v>5400963513</v>
      </c>
      <c r="N291" s="28">
        <v>30</v>
      </c>
      <c r="O291" s="26" t="s">
        <v>2531</v>
      </c>
      <c r="P291" s="26" t="s">
        <v>2531</v>
      </c>
      <c r="Q291" s="26" t="s">
        <v>2532</v>
      </c>
      <c r="R291" s="97" t="s">
        <v>2533</v>
      </c>
      <c r="S291" s="7">
        <v>65148</v>
      </c>
      <c r="T291" s="7">
        <v>65148</v>
      </c>
      <c r="U291" s="7">
        <v>65148</v>
      </c>
      <c r="V291" s="7">
        <f t="shared" si="23"/>
        <v>0</v>
      </c>
      <c r="W291" s="5">
        <f t="shared" si="25"/>
        <v>0</v>
      </c>
      <c r="X291" s="40"/>
      <c r="Y291" s="34">
        <f>SUMPRODUCT((BIdetails!$J$5:$J$3000=M291)*(BIdetails!$K$5:$K$3000=N291)*(BIdetails!$M$5:$M$3000))</f>
        <v>0</v>
      </c>
      <c r="Z291" s="35">
        <f t="shared" si="26"/>
        <v>0</v>
      </c>
      <c r="AA291" s="31" t="s">
        <v>2541</v>
      </c>
      <c r="AB291" s="31" t="s">
        <v>2663</v>
      </c>
      <c r="AC291" s="31" t="s">
        <v>2572</v>
      </c>
      <c r="AD291" s="31"/>
      <c r="AE291">
        <v>1680</v>
      </c>
    </row>
    <row r="292" spans="1:31" hidden="1" x14ac:dyDescent="0.25">
      <c r="A292" t="s">
        <v>2526</v>
      </c>
      <c r="B292" t="str">
        <f t="shared" si="22"/>
        <v>No Change</v>
      </c>
      <c r="C292" t="s">
        <v>3035</v>
      </c>
      <c r="D292">
        <v>68427709</v>
      </c>
      <c r="E292" s="96" t="s">
        <v>51</v>
      </c>
      <c r="F292" t="s">
        <v>52</v>
      </c>
      <c r="G292" t="s">
        <v>42</v>
      </c>
      <c r="H292" t="s">
        <v>3036</v>
      </c>
      <c r="I292">
        <v>0</v>
      </c>
      <c r="J292" t="s">
        <v>3037</v>
      </c>
      <c r="K292">
        <v>117570</v>
      </c>
      <c r="L292" t="s">
        <v>396</v>
      </c>
      <c r="M292" s="196">
        <v>5400841057</v>
      </c>
      <c r="N292" s="21">
        <v>30</v>
      </c>
      <c r="O292" t="s">
        <v>2531</v>
      </c>
      <c r="P292" s="98" t="s">
        <v>1905</v>
      </c>
      <c r="Q292" s="223" t="s">
        <v>2532</v>
      </c>
      <c r="R292" s="97" t="s">
        <v>2873</v>
      </c>
      <c r="S292" s="7">
        <v>405000</v>
      </c>
      <c r="T292" s="7">
        <v>455000</v>
      </c>
      <c r="U292" s="7">
        <v>455000</v>
      </c>
      <c r="V292" s="7">
        <f t="shared" si="23"/>
        <v>0</v>
      </c>
      <c r="W292" s="5">
        <f t="shared" si="25"/>
        <v>0</v>
      </c>
      <c r="X292" s="40"/>
      <c r="Y292" s="34">
        <f>SUMPRODUCT((BIdetails!$J$5:$J$3000=M292)*(BIdetails!$K$5:$K$3000=N292)*(BIdetails!$M$5:$M$3000))</f>
        <v>0</v>
      </c>
      <c r="Z292" s="35">
        <f t="shared" si="26"/>
        <v>0</v>
      </c>
      <c r="AA292" s="31"/>
      <c r="AB292" s="31"/>
      <c r="AC292" s="31"/>
      <c r="AD292" s="31"/>
      <c r="AE292">
        <v>1950</v>
      </c>
    </row>
    <row r="293" spans="1:31" hidden="1" x14ac:dyDescent="0.25">
      <c r="A293" t="s">
        <v>2526</v>
      </c>
      <c r="B293" t="str">
        <f t="shared" ref="B293:B332" si="27">IF(T293=U293,"No Change",IF(AND(U293&lt;&gt;0,U293&lt;T293),"Decrease",IF(AND(U293&lt;&gt;0,T293=0),"New",IF(AND(T293&lt;&gt;0,U293=0),"Decommissioned","Increase"))))</f>
        <v>No Change</v>
      </c>
      <c r="C293" t="s">
        <v>3038</v>
      </c>
      <c r="D293">
        <v>68427709</v>
      </c>
      <c r="E293" s="96" t="s">
        <v>51</v>
      </c>
      <c r="F293" t="s">
        <v>52</v>
      </c>
      <c r="G293" t="s">
        <v>42</v>
      </c>
      <c r="H293" t="s">
        <v>244</v>
      </c>
      <c r="I293">
        <v>0</v>
      </c>
      <c r="J293" t="s">
        <v>3039</v>
      </c>
      <c r="K293">
        <v>117570</v>
      </c>
      <c r="L293" t="s">
        <v>396</v>
      </c>
      <c r="M293" s="196">
        <v>5400880684</v>
      </c>
      <c r="N293" s="230">
        <v>10</v>
      </c>
      <c r="O293" t="s">
        <v>2531</v>
      </c>
      <c r="P293" s="26" t="s">
        <v>3040</v>
      </c>
      <c r="Q293" t="s">
        <v>2550</v>
      </c>
      <c r="R293" t="s">
        <v>3041</v>
      </c>
      <c r="S293" s="7">
        <v>300000</v>
      </c>
      <c r="T293" s="7">
        <v>130000</v>
      </c>
      <c r="U293" s="7">
        <v>130000</v>
      </c>
      <c r="V293" s="7">
        <f t="shared" ref="V293:V359" si="28">U293-T293</f>
        <v>0</v>
      </c>
      <c r="W293" s="5">
        <f t="shared" si="25"/>
        <v>0</v>
      </c>
      <c r="X293" s="40"/>
      <c r="Y293" s="34">
        <f>SUMPRODUCT((BIdetails!$J$5:$J$3000=M293)*(BIdetails!$K$5:$K$3000=N293)*(BIdetails!$M$5:$M$3000))</f>
        <v>0</v>
      </c>
      <c r="Z293" s="35">
        <f t="shared" si="26"/>
        <v>0</v>
      </c>
      <c r="AA293" s="31" t="s">
        <v>2852</v>
      </c>
      <c r="AB293" s="31" t="s">
        <v>2752</v>
      </c>
      <c r="AC293" s="31"/>
      <c r="AD293" s="31"/>
      <c r="AE293">
        <v>2050</v>
      </c>
    </row>
    <row r="294" spans="1:31" hidden="1" x14ac:dyDescent="0.25">
      <c r="A294" t="s">
        <v>2526</v>
      </c>
      <c r="B294" t="str">
        <f t="shared" si="27"/>
        <v>No Change</v>
      </c>
      <c r="C294" t="s">
        <v>3042</v>
      </c>
      <c r="D294">
        <v>68427709</v>
      </c>
      <c r="E294" s="96" t="s">
        <v>53</v>
      </c>
      <c r="F294" s="26" t="s">
        <v>54</v>
      </c>
      <c r="G294" s="26" t="s">
        <v>42</v>
      </c>
      <c r="H294" s="26" t="s">
        <v>216</v>
      </c>
      <c r="I294" t="s">
        <v>2554</v>
      </c>
      <c r="J294" t="s">
        <v>3043</v>
      </c>
      <c r="K294" s="26">
        <v>117570</v>
      </c>
      <c r="L294" s="26" t="s">
        <v>396</v>
      </c>
      <c r="M294" s="236">
        <v>5400963513</v>
      </c>
      <c r="N294" s="28">
        <v>170</v>
      </c>
      <c r="O294" s="26" t="s">
        <v>2531</v>
      </c>
      <c r="P294" s="26" t="s">
        <v>2680</v>
      </c>
      <c r="Q294" s="26" t="s">
        <v>2532</v>
      </c>
      <c r="R294" s="33" t="s">
        <v>811</v>
      </c>
      <c r="S294" s="7">
        <v>11000</v>
      </c>
      <c r="T294" s="7">
        <v>11000</v>
      </c>
      <c r="U294" s="7">
        <v>11000</v>
      </c>
      <c r="V294" s="7">
        <f t="shared" si="28"/>
        <v>0</v>
      </c>
      <c r="W294" s="5">
        <f t="shared" si="25"/>
        <v>0</v>
      </c>
      <c r="X294" s="40"/>
      <c r="Y294" s="34">
        <f>SUMPRODUCT((BIdetails!$J$5:$J$3000=M294)*(BIdetails!$K$5:$K$3000=N294)*(BIdetails!$M$5:$M$3000))</f>
        <v>0</v>
      </c>
      <c r="Z294" s="35">
        <f t="shared" si="26"/>
        <v>0</v>
      </c>
      <c r="AA294" s="31" t="s">
        <v>2541</v>
      </c>
      <c r="AB294" s="31" t="s">
        <v>2534</v>
      </c>
      <c r="AC294" s="31"/>
      <c r="AD294" s="31"/>
      <c r="AE294">
        <v>2500</v>
      </c>
    </row>
    <row r="295" spans="1:31" hidden="1" x14ac:dyDescent="0.25">
      <c r="A295" t="s">
        <v>2526</v>
      </c>
      <c r="B295" t="str">
        <f t="shared" si="27"/>
        <v>No Change</v>
      </c>
      <c r="C295" t="s">
        <v>3007</v>
      </c>
      <c r="D295">
        <v>68427709</v>
      </c>
      <c r="E295" s="104" t="s">
        <v>51</v>
      </c>
      <c r="F295" s="26" t="s">
        <v>52</v>
      </c>
      <c r="G295" s="26" t="s">
        <v>42</v>
      </c>
      <c r="H295" t="s">
        <v>3044</v>
      </c>
      <c r="I295" t="s">
        <v>2554</v>
      </c>
      <c r="J295" t="s">
        <v>3045</v>
      </c>
      <c r="K295">
        <v>117570</v>
      </c>
      <c r="L295" t="s">
        <v>396</v>
      </c>
      <c r="M295" s="236">
        <v>5400963513</v>
      </c>
      <c r="N295" s="21">
        <v>210</v>
      </c>
      <c r="O295" t="s">
        <v>2531</v>
      </c>
      <c r="P295" s="26" t="s">
        <v>2531</v>
      </c>
      <c r="Q295" t="s">
        <v>2532</v>
      </c>
      <c r="R295" s="97" t="s">
        <v>2533</v>
      </c>
      <c r="S295" s="7">
        <v>219000</v>
      </c>
      <c r="T295" s="7">
        <v>219000</v>
      </c>
      <c r="U295" s="7">
        <v>219000</v>
      </c>
      <c r="V295" s="7">
        <f t="shared" si="28"/>
        <v>0</v>
      </c>
      <c r="W295" s="5">
        <f t="shared" si="25"/>
        <v>0</v>
      </c>
      <c r="X295" s="40"/>
      <c r="Y295" s="34">
        <f>SUMPRODUCT((BIdetails!$J$5:$J$3000=M295)*(BIdetails!$K$5:$K$3000=N295)*(BIdetails!$M$5:$M$3000))</f>
        <v>0</v>
      </c>
      <c r="Z295" s="35">
        <f t="shared" si="26"/>
        <v>0</v>
      </c>
      <c r="AA295" s="31" t="s">
        <v>2541</v>
      </c>
      <c r="AB295" s="31" t="s">
        <v>2534</v>
      </c>
      <c r="AC295" s="31" t="s">
        <v>2572</v>
      </c>
      <c r="AD295" s="31"/>
      <c r="AE295">
        <v>1850</v>
      </c>
    </row>
    <row r="296" spans="1:31" hidden="1" x14ac:dyDescent="0.25">
      <c r="A296" t="s">
        <v>2526</v>
      </c>
      <c r="B296" t="str">
        <f t="shared" si="27"/>
        <v>Increase</v>
      </c>
      <c r="C296" t="s">
        <v>3046</v>
      </c>
      <c r="D296">
        <v>68427709</v>
      </c>
      <c r="E296" s="96" t="s">
        <v>53</v>
      </c>
      <c r="F296" t="s">
        <v>54</v>
      </c>
      <c r="G296" t="s">
        <v>42</v>
      </c>
      <c r="H296" t="s">
        <v>3047</v>
      </c>
      <c r="I296">
        <v>0</v>
      </c>
      <c r="J296" t="s">
        <v>2619</v>
      </c>
      <c r="K296">
        <v>117570</v>
      </c>
      <c r="L296" t="s">
        <v>396</v>
      </c>
      <c r="M296" s="233">
        <v>5400913334</v>
      </c>
      <c r="N296" s="21">
        <v>10</v>
      </c>
      <c r="O296" t="s">
        <v>2531</v>
      </c>
      <c r="P296" s="26" t="s">
        <v>2183</v>
      </c>
      <c r="Q296" s="26" t="s">
        <v>2532</v>
      </c>
      <c r="R296" s="31" t="s">
        <v>2667</v>
      </c>
      <c r="S296" s="7">
        <v>462000</v>
      </c>
      <c r="T296" s="7">
        <v>462000</v>
      </c>
      <c r="U296" s="7">
        <v>562000</v>
      </c>
      <c r="V296" s="7">
        <f t="shared" si="28"/>
        <v>100000</v>
      </c>
      <c r="W296" s="5">
        <f t="shared" si="25"/>
        <v>0.21645021645021645</v>
      </c>
      <c r="X296" s="40" t="s">
        <v>3048</v>
      </c>
      <c r="Y296" s="34">
        <f>SUMPRODUCT((BIdetails!$J$5:$J$3000=M296)*(BIdetails!$K$5:$K$3000=N296)*(BIdetails!$M$5:$M$3000))</f>
        <v>0</v>
      </c>
      <c r="Z296" s="183">
        <f t="shared" si="26"/>
        <v>0</v>
      </c>
      <c r="AA296" s="31"/>
      <c r="AB296" s="31"/>
      <c r="AC296" s="31"/>
      <c r="AD296" s="31"/>
      <c r="AE296">
        <v>2400</v>
      </c>
    </row>
    <row r="297" spans="1:31" hidden="1" x14ac:dyDescent="0.25">
      <c r="A297" t="s">
        <v>2570</v>
      </c>
      <c r="B297" t="str">
        <f t="shared" si="27"/>
        <v>No Change</v>
      </c>
      <c r="C297" t="s">
        <v>3049</v>
      </c>
      <c r="D297">
        <v>68427709</v>
      </c>
      <c r="E297" s="96" t="s">
        <v>53</v>
      </c>
      <c r="F297" s="26" t="s">
        <v>54</v>
      </c>
      <c r="G297" s="26" t="s">
        <v>42</v>
      </c>
      <c r="H297" s="26" t="s">
        <v>3050</v>
      </c>
      <c r="I297">
        <v>0</v>
      </c>
      <c r="J297" t="s">
        <v>2987</v>
      </c>
      <c r="K297" s="26">
        <v>117571</v>
      </c>
      <c r="L297" s="26" t="s">
        <v>1468</v>
      </c>
      <c r="M297" s="28">
        <v>5400870267</v>
      </c>
      <c r="N297" s="28">
        <v>10</v>
      </c>
      <c r="O297" s="26" t="s">
        <v>2531</v>
      </c>
      <c r="P297" s="26" t="s">
        <v>186</v>
      </c>
      <c r="Q297" s="26" t="s">
        <v>2545</v>
      </c>
      <c r="R297" s="206" t="s">
        <v>2747</v>
      </c>
      <c r="S297" s="7">
        <v>37000</v>
      </c>
      <c r="T297" s="7">
        <v>0</v>
      </c>
      <c r="U297" s="7">
        <v>0</v>
      </c>
      <c r="V297" s="7">
        <f t="shared" si="28"/>
        <v>0</v>
      </c>
      <c r="W297" s="5">
        <f t="shared" si="25"/>
        <v>0</v>
      </c>
      <c r="X297" s="22"/>
      <c r="Y297" s="34">
        <f>SUMPRODUCT((BIdetails!$J$5:$J$3000=M297)*(BIdetails!$K$5:$K$3000=N297)*(BIdetails!$M$5:$M$3000))</f>
        <v>0</v>
      </c>
      <c r="Z297" s="35" t="str">
        <f t="shared" si="26"/>
        <v/>
      </c>
      <c r="AA297" s="31" t="s">
        <v>2541</v>
      </c>
      <c r="AB297" s="31" t="s">
        <v>2534</v>
      </c>
      <c r="AC297" s="31" t="s">
        <v>2572</v>
      </c>
      <c r="AD297" s="31"/>
      <c r="AE297">
        <v>2660</v>
      </c>
    </row>
    <row r="298" spans="1:31" hidden="1" x14ac:dyDescent="0.25">
      <c r="A298" t="s">
        <v>2526</v>
      </c>
      <c r="B298" t="str">
        <f t="shared" si="27"/>
        <v>Decrease</v>
      </c>
      <c r="D298">
        <v>68427709</v>
      </c>
      <c r="E298" s="96" t="s">
        <v>53</v>
      </c>
      <c r="F298" t="s">
        <v>54</v>
      </c>
      <c r="G298" t="s">
        <v>42</v>
      </c>
      <c r="H298" s="26" t="s">
        <v>2387</v>
      </c>
      <c r="J298" t="s">
        <v>3051</v>
      </c>
      <c r="K298" s="26">
        <v>209836</v>
      </c>
      <c r="L298" s="26" t="s">
        <v>3052</v>
      </c>
      <c r="M298" s="235">
        <v>5400975296</v>
      </c>
      <c r="N298" s="21">
        <v>10</v>
      </c>
      <c r="O298" s="26" t="s">
        <v>2531</v>
      </c>
      <c r="P298" s="26" t="s">
        <v>2280</v>
      </c>
      <c r="Q298" t="s">
        <v>2545</v>
      </c>
      <c r="R298" s="31" t="s">
        <v>280</v>
      </c>
      <c r="S298" s="7"/>
      <c r="T298" s="7">
        <v>115000</v>
      </c>
      <c r="U298" s="7">
        <v>70000</v>
      </c>
      <c r="V298" s="7">
        <f t="shared" si="28"/>
        <v>-45000</v>
      </c>
      <c r="W298" s="5">
        <f t="shared" si="25"/>
        <v>-0.39130434782608697</v>
      </c>
      <c r="X298" s="22" t="s">
        <v>2388</v>
      </c>
      <c r="Y298" s="34"/>
      <c r="Z298" s="35"/>
      <c r="AA298" s="31"/>
      <c r="AB298" s="31"/>
      <c r="AC298" s="31"/>
      <c r="AD298" s="31"/>
    </row>
    <row r="299" spans="1:31" hidden="1" x14ac:dyDescent="0.25">
      <c r="A299" t="s">
        <v>2526</v>
      </c>
      <c r="B299" t="str">
        <f t="shared" si="27"/>
        <v>Increase</v>
      </c>
      <c r="C299" t="s">
        <v>3053</v>
      </c>
      <c r="D299">
        <v>68427709</v>
      </c>
      <c r="E299" s="96" t="s">
        <v>49</v>
      </c>
      <c r="F299" t="s">
        <v>50</v>
      </c>
      <c r="G299" s="98" t="s">
        <v>42</v>
      </c>
      <c r="H299" t="s">
        <v>598</v>
      </c>
      <c r="I299">
        <v>0</v>
      </c>
      <c r="J299" s="98" t="s">
        <v>2622</v>
      </c>
      <c r="K299">
        <v>198668</v>
      </c>
      <c r="L299" t="s">
        <v>3054</v>
      </c>
      <c r="M299" s="196">
        <v>5400958294</v>
      </c>
      <c r="N299" s="21">
        <v>10</v>
      </c>
      <c r="O299" s="26" t="s">
        <v>2579</v>
      </c>
      <c r="P299" s="26" t="s">
        <v>2579</v>
      </c>
      <c r="Q299" t="s">
        <v>2545</v>
      </c>
      <c r="R299" s="31" t="s">
        <v>40</v>
      </c>
      <c r="S299" s="7">
        <v>300000</v>
      </c>
      <c r="T299" s="7">
        <v>330000</v>
      </c>
      <c r="U299" s="7">
        <v>362000</v>
      </c>
      <c r="V299" s="7">
        <f t="shared" si="28"/>
        <v>32000</v>
      </c>
      <c r="W299" s="5">
        <f t="shared" si="25"/>
        <v>9.696969696969697E-2</v>
      </c>
      <c r="X299" s="40" t="s">
        <v>2358</v>
      </c>
      <c r="Y299" s="34">
        <f>SUMPRODUCT((BIdetails!$J$5:$J$3000=M299)*(BIdetails!$K$5:$K$3000=N299)*(BIdetails!$M$5:$M$3000))</f>
        <v>0</v>
      </c>
      <c r="Z299" s="35">
        <f t="shared" ref="Z299:Z307" si="29">IF(U299=0,"",(Y299/U299))</f>
        <v>0</v>
      </c>
      <c r="AA299" s="31" t="s">
        <v>2541</v>
      </c>
      <c r="AB299" s="31" t="s">
        <v>2663</v>
      </c>
      <c r="AC299" s="31" t="s">
        <v>2572</v>
      </c>
      <c r="AD299" s="31"/>
      <c r="AE299">
        <v>1520</v>
      </c>
    </row>
    <row r="300" spans="1:31" hidden="1" x14ac:dyDescent="0.25">
      <c r="A300" t="s">
        <v>2526</v>
      </c>
      <c r="B300" t="str">
        <f t="shared" si="27"/>
        <v>No Change</v>
      </c>
      <c r="C300" t="s">
        <v>3055</v>
      </c>
      <c r="D300">
        <v>68427709</v>
      </c>
      <c r="E300" s="103" t="s">
        <v>51</v>
      </c>
      <c r="F300" s="98" t="s">
        <v>52</v>
      </c>
      <c r="G300" s="98" t="s">
        <v>42</v>
      </c>
      <c r="H300" s="98" t="s">
        <v>3056</v>
      </c>
      <c r="I300">
        <v>0</v>
      </c>
      <c r="J300" t="s">
        <v>3057</v>
      </c>
      <c r="K300" s="98">
        <v>124905</v>
      </c>
      <c r="L300" s="98" t="s">
        <v>422</v>
      </c>
      <c r="M300" s="234">
        <v>5400948322</v>
      </c>
      <c r="N300" s="99">
        <v>10</v>
      </c>
      <c r="O300" s="98" t="s">
        <v>2531</v>
      </c>
      <c r="P300" s="98" t="s">
        <v>1752</v>
      </c>
      <c r="Q300" s="98" t="s">
        <v>2532</v>
      </c>
      <c r="R300" s="97" t="s">
        <v>2715</v>
      </c>
      <c r="S300" s="7">
        <v>210000</v>
      </c>
      <c r="T300" s="7">
        <v>120000</v>
      </c>
      <c r="U300" s="7">
        <v>120000</v>
      </c>
      <c r="V300" s="7">
        <f t="shared" si="28"/>
        <v>0</v>
      </c>
      <c r="W300" s="5">
        <f t="shared" si="25"/>
        <v>0</v>
      </c>
      <c r="X300" s="22"/>
      <c r="Y300" s="34">
        <f>SUMPRODUCT((BIdetails!$J$5:$J$3000=M300)*(BIdetails!$K$5:$K$3000=N300)*(BIdetails!$M$5:$M$3000))</f>
        <v>0</v>
      </c>
      <c r="Z300" s="35">
        <f t="shared" si="29"/>
        <v>0</v>
      </c>
      <c r="AA300" s="31" t="s">
        <v>2541</v>
      </c>
      <c r="AB300" s="31" t="s">
        <v>2663</v>
      </c>
      <c r="AC300" s="31" t="s">
        <v>2572</v>
      </c>
      <c r="AD300" s="31"/>
      <c r="AE300">
        <v>1900</v>
      </c>
    </row>
    <row r="301" spans="1:31" hidden="1" x14ac:dyDescent="0.25">
      <c r="A301" t="s">
        <v>2526</v>
      </c>
      <c r="B301" t="str">
        <f t="shared" si="27"/>
        <v>Increase</v>
      </c>
      <c r="C301" t="s">
        <v>3055</v>
      </c>
      <c r="D301">
        <v>68427709</v>
      </c>
      <c r="E301" s="103" t="s">
        <v>51</v>
      </c>
      <c r="F301" s="98" t="s">
        <v>52</v>
      </c>
      <c r="G301" s="98" t="s">
        <v>42</v>
      </c>
      <c r="H301" s="98" t="s">
        <v>1214</v>
      </c>
      <c r="I301">
        <v>0</v>
      </c>
      <c r="J301" t="s">
        <v>3057</v>
      </c>
      <c r="K301" s="98">
        <v>151290</v>
      </c>
      <c r="L301" s="98" t="s">
        <v>422</v>
      </c>
      <c r="M301" s="234">
        <v>5400965494</v>
      </c>
      <c r="N301" s="99">
        <v>10</v>
      </c>
      <c r="O301" s="98" t="s">
        <v>2531</v>
      </c>
      <c r="P301" s="98" t="s">
        <v>1752</v>
      </c>
      <c r="Q301" s="98" t="s">
        <v>2532</v>
      </c>
      <c r="R301" s="97" t="s">
        <v>2715</v>
      </c>
      <c r="S301" s="7">
        <v>200000</v>
      </c>
      <c r="T301" s="7">
        <v>125000</v>
      </c>
      <c r="U301" s="7">
        <v>224000</v>
      </c>
      <c r="V301" s="7">
        <f t="shared" si="28"/>
        <v>99000</v>
      </c>
      <c r="W301" s="5">
        <f t="shared" si="25"/>
        <v>0.79200000000000004</v>
      </c>
      <c r="X301" s="22" t="s">
        <v>3058</v>
      </c>
      <c r="Y301" s="34">
        <f>SUMPRODUCT((BIdetails!$J$5:$J$3000=M301)*(BIdetails!$K$5:$K$3000=N301)*(BIdetails!$M$5:$M$3000))</f>
        <v>0</v>
      </c>
      <c r="Z301" s="35">
        <f t="shared" si="29"/>
        <v>0</v>
      </c>
      <c r="AA301" s="31" t="s">
        <v>2541</v>
      </c>
      <c r="AB301" s="31" t="s">
        <v>2663</v>
      </c>
      <c r="AC301" s="31" t="s">
        <v>2572</v>
      </c>
      <c r="AD301" s="31"/>
      <c r="AE301">
        <v>1920</v>
      </c>
    </row>
    <row r="302" spans="1:31" hidden="1" x14ac:dyDescent="0.25">
      <c r="A302" t="s">
        <v>2526</v>
      </c>
      <c r="B302" t="str">
        <f t="shared" si="27"/>
        <v>No Change</v>
      </c>
      <c r="D302">
        <v>68427709</v>
      </c>
      <c r="E302" s="96" t="s">
        <v>53</v>
      </c>
      <c r="F302" t="s">
        <v>54</v>
      </c>
      <c r="G302" t="s">
        <v>42</v>
      </c>
      <c r="H302" t="s">
        <v>1963</v>
      </c>
      <c r="I302" t="s">
        <v>2590</v>
      </c>
      <c r="J302" s="227" t="s">
        <v>3059</v>
      </c>
      <c r="K302">
        <v>209507</v>
      </c>
      <c r="L302" t="s">
        <v>3060</v>
      </c>
      <c r="M302" s="233">
        <v>5400933615</v>
      </c>
      <c r="N302" s="21">
        <v>10</v>
      </c>
      <c r="O302" t="s">
        <v>2531</v>
      </c>
      <c r="P302" s="98" t="s">
        <v>2290</v>
      </c>
      <c r="Q302" t="s">
        <v>2545</v>
      </c>
      <c r="R302" s="31" t="s">
        <v>2533</v>
      </c>
      <c r="S302" s="7"/>
      <c r="T302" s="7">
        <v>14000</v>
      </c>
      <c r="U302" s="7">
        <v>14000</v>
      </c>
      <c r="V302" s="7">
        <f t="shared" si="28"/>
        <v>0</v>
      </c>
      <c r="W302" s="5">
        <f t="shared" si="25"/>
        <v>0</v>
      </c>
      <c r="X302" s="40"/>
      <c r="Y302" s="34">
        <f>SUMPRODUCT((BIdetails!$J$5:$J$3000=M302)*(BIdetails!$K$5:$K$3000=N302)*(BIdetails!$M$5:$M$3000))</f>
        <v>0</v>
      </c>
      <c r="Z302" s="35">
        <f t="shared" si="29"/>
        <v>0</v>
      </c>
      <c r="AA302" s="31"/>
      <c r="AB302" s="31"/>
      <c r="AC302" s="31"/>
      <c r="AD302" s="31"/>
      <c r="AE302">
        <v>3440</v>
      </c>
    </row>
    <row r="303" spans="1:31" hidden="1" x14ac:dyDescent="0.25">
      <c r="A303" t="s">
        <v>2526</v>
      </c>
      <c r="B303" t="str">
        <f t="shared" si="27"/>
        <v>Increase</v>
      </c>
      <c r="C303" t="s">
        <v>3061</v>
      </c>
      <c r="D303">
        <v>68427709</v>
      </c>
      <c r="E303" s="96" t="s">
        <v>53</v>
      </c>
      <c r="F303" t="s">
        <v>54</v>
      </c>
      <c r="G303" t="s">
        <v>42</v>
      </c>
      <c r="H303" t="s">
        <v>714</v>
      </c>
      <c r="I303" t="s">
        <v>2590</v>
      </c>
      <c r="J303" t="s">
        <v>2552</v>
      </c>
      <c r="K303">
        <v>187876</v>
      </c>
      <c r="L303" t="s">
        <v>3062</v>
      </c>
      <c r="M303" s="233">
        <v>5400941303</v>
      </c>
      <c r="N303" s="21">
        <v>10</v>
      </c>
      <c r="O303" t="s">
        <v>1696</v>
      </c>
      <c r="P303" s="26" t="s">
        <v>1696</v>
      </c>
      <c r="Q303" t="s">
        <v>2545</v>
      </c>
      <c r="R303" s="31" t="s">
        <v>2533</v>
      </c>
      <c r="S303" s="7">
        <v>650000</v>
      </c>
      <c r="T303" s="7">
        <v>700000</v>
      </c>
      <c r="U303" s="7">
        <v>750000</v>
      </c>
      <c r="V303" s="7">
        <f t="shared" si="28"/>
        <v>50000</v>
      </c>
      <c r="W303" s="5">
        <f t="shared" si="25"/>
        <v>7.1428571428571425E-2</v>
      </c>
      <c r="X303" s="22" t="s">
        <v>1703</v>
      </c>
      <c r="Y303" s="34">
        <f>SUMPRODUCT((BIdetails!$J$5:$J$3000=M303)*(BIdetails!$K$5:$K$3000=N303)*(BIdetails!$M$5:$M$3000))</f>
        <v>0</v>
      </c>
      <c r="Z303" s="35">
        <f t="shared" si="29"/>
        <v>0</v>
      </c>
      <c r="AA303" s="31"/>
      <c r="AB303" s="31"/>
      <c r="AC303" s="31"/>
      <c r="AD303" s="31"/>
      <c r="AE303">
        <v>2270</v>
      </c>
    </row>
    <row r="304" spans="1:31" hidden="1" x14ac:dyDescent="0.25">
      <c r="A304" t="s">
        <v>2526</v>
      </c>
      <c r="B304" t="str">
        <f t="shared" si="27"/>
        <v>No Change</v>
      </c>
      <c r="D304">
        <v>68427719</v>
      </c>
      <c r="E304" s="96" t="s">
        <v>53</v>
      </c>
      <c r="F304" t="s">
        <v>54</v>
      </c>
      <c r="G304" t="s">
        <v>42</v>
      </c>
      <c r="H304" t="s">
        <v>1092</v>
      </c>
      <c r="I304">
        <v>0</v>
      </c>
      <c r="J304" t="s">
        <v>3063</v>
      </c>
      <c r="K304">
        <v>201096</v>
      </c>
      <c r="L304" t="s">
        <v>1092</v>
      </c>
      <c r="M304" s="196">
        <v>5400921449</v>
      </c>
      <c r="N304" s="21">
        <v>10</v>
      </c>
      <c r="O304" s="26" t="s">
        <v>2531</v>
      </c>
      <c r="P304" s="26" t="s">
        <v>2136</v>
      </c>
      <c r="Q304" t="s">
        <v>2545</v>
      </c>
      <c r="R304" s="31" t="s">
        <v>2596</v>
      </c>
      <c r="S304" s="7">
        <v>24000</v>
      </c>
      <c r="T304" s="7">
        <v>24000</v>
      </c>
      <c r="U304" s="7">
        <v>24000</v>
      </c>
      <c r="V304" s="7">
        <f t="shared" si="28"/>
        <v>0</v>
      </c>
      <c r="W304" s="5">
        <f t="shared" si="25"/>
        <v>0</v>
      </c>
      <c r="X304" s="40"/>
      <c r="Y304" s="34">
        <f>SUMPRODUCT((BIdetails!$J$5:$J$3000=M304)*(BIdetails!$K$5:$K$3000=N304)*(BIdetails!$M$5:$M$3000))</f>
        <v>0</v>
      </c>
      <c r="Z304" s="35">
        <f t="shared" si="29"/>
        <v>0</v>
      </c>
      <c r="AA304" s="31"/>
      <c r="AB304" s="31"/>
      <c r="AC304" s="31"/>
      <c r="AD304" s="31"/>
      <c r="AE304">
        <v>3030</v>
      </c>
    </row>
    <row r="305" spans="1:31" hidden="1" x14ac:dyDescent="0.25">
      <c r="A305" t="s">
        <v>2526</v>
      </c>
      <c r="B305" t="str">
        <f t="shared" si="27"/>
        <v>No Change</v>
      </c>
      <c r="C305" t="s">
        <v>3064</v>
      </c>
      <c r="D305">
        <v>68427709</v>
      </c>
      <c r="E305" s="104" t="s">
        <v>53</v>
      </c>
      <c r="F305" s="26" t="s">
        <v>54</v>
      </c>
      <c r="G305" s="26" t="s">
        <v>42</v>
      </c>
      <c r="H305" t="s">
        <v>3065</v>
      </c>
      <c r="I305" t="s">
        <v>2554</v>
      </c>
      <c r="J305" s="26" t="s">
        <v>3066</v>
      </c>
      <c r="K305" s="154">
        <v>193309</v>
      </c>
      <c r="L305" s="26" t="s">
        <v>3067</v>
      </c>
      <c r="M305" s="199">
        <v>5400932251</v>
      </c>
      <c r="N305" s="28">
        <v>10</v>
      </c>
      <c r="O305" s="26" t="s">
        <v>2531</v>
      </c>
      <c r="P305" s="26" t="s">
        <v>2531</v>
      </c>
      <c r="Q305" s="26" t="s">
        <v>2532</v>
      </c>
      <c r="R305" s="33" t="s">
        <v>2533</v>
      </c>
      <c r="S305" s="7">
        <v>2000</v>
      </c>
      <c r="T305" s="7">
        <v>2000</v>
      </c>
      <c r="U305" s="7">
        <v>2000</v>
      </c>
      <c r="V305" s="7">
        <f t="shared" si="28"/>
        <v>0</v>
      </c>
      <c r="W305" s="5">
        <f t="shared" si="25"/>
        <v>0</v>
      </c>
      <c r="X305" s="40"/>
      <c r="Y305" s="34">
        <f>SUMPRODUCT((BIdetails!$J$5:$J$3000=M305)*(BIdetails!$K$5:$K$3000=N305)*(BIdetails!$M$5:$M$3000))</f>
        <v>0</v>
      </c>
      <c r="Z305" s="35">
        <f t="shared" si="29"/>
        <v>0</v>
      </c>
      <c r="AA305" s="31"/>
      <c r="AB305" s="31"/>
      <c r="AC305" s="31"/>
      <c r="AD305" s="31"/>
      <c r="AE305">
        <v>2830</v>
      </c>
    </row>
    <row r="306" spans="1:31" hidden="1" x14ac:dyDescent="0.25">
      <c r="A306" t="s">
        <v>2526</v>
      </c>
      <c r="B306" t="str">
        <f t="shared" si="27"/>
        <v>No Change</v>
      </c>
      <c r="D306">
        <v>68427709</v>
      </c>
      <c r="E306" s="96" t="s">
        <v>53</v>
      </c>
      <c r="F306" t="s">
        <v>54</v>
      </c>
      <c r="G306" t="s">
        <v>42</v>
      </c>
      <c r="H306" t="s">
        <v>1948</v>
      </c>
      <c r="J306" t="s">
        <v>2657</v>
      </c>
      <c r="K306" s="26">
        <v>208280</v>
      </c>
      <c r="L306" t="s">
        <v>3068</v>
      </c>
      <c r="M306" s="233">
        <v>5400958319</v>
      </c>
      <c r="N306" s="21">
        <v>10</v>
      </c>
      <c r="O306" t="s">
        <v>2531</v>
      </c>
      <c r="P306" s="98" t="s">
        <v>2280</v>
      </c>
      <c r="Q306" t="s">
        <v>2545</v>
      </c>
      <c r="R306" s="31" t="s">
        <v>2587</v>
      </c>
      <c r="S306" s="7"/>
      <c r="T306" s="7">
        <v>290000</v>
      </c>
      <c r="U306" s="7">
        <v>290000</v>
      </c>
      <c r="V306" s="7">
        <f t="shared" si="28"/>
        <v>0</v>
      </c>
      <c r="W306" s="5">
        <f t="shared" si="25"/>
        <v>0</v>
      </c>
      <c r="X306" s="40"/>
      <c r="Y306" s="34">
        <f>SUMPRODUCT((BIdetails!$J$5:$J$3000=M306)*(BIdetails!$K$5:$K$3000=N306)*(BIdetails!$M$5:$M$3000))</f>
        <v>0</v>
      </c>
      <c r="Z306" s="35">
        <f t="shared" si="29"/>
        <v>0</v>
      </c>
      <c r="AA306" s="31"/>
      <c r="AB306" s="31"/>
      <c r="AC306" s="31"/>
      <c r="AD306" s="31"/>
      <c r="AE306">
        <v>3400</v>
      </c>
    </row>
    <row r="307" spans="1:31" hidden="1" x14ac:dyDescent="0.25">
      <c r="A307" t="s">
        <v>2526</v>
      </c>
      <c r="B307" t="str">
        <f t="shared" si="27"/>
        <v>No Change</v>
      </c>
      <c r="C307" t="s">
        <v>3069</v>
      </c>
      <c r="D307">
        <v>68427709</v>
      </c>
      <c r="E307" s="96" t="s">
        <v>53</v>
      </c>
      <c r="F307" t="s">
        <v>54</v>
      </c>
      <c r="G307" t="s">
        <v>42</v>
      </c>
      <c r="H307" s="26" t="s">
        <v>3070</v>
      </c>
      <c r="I307">
        <v>0</v>
      </c>
      <c r="J307" t="s">
        <v>3071</v>
      </c>
      <c r="K307" s="26">
        <v>197078</v>
      </c>
      <c r="L307" s="26" t="s">
        <v>3070</v>
      </c>
      <c r="M307" s="233">
        <v>5400871022</v>
      </c>
      <c r="N307" s="21">
        <v>30</v>
      </c>
      <c r="O307" s="26" t="s">
        <v>2531</v>
      </c>
      <c r="P307" s="26" t="s">
        <v>2183</v>
      </c>
      <c r="Q307" t="s">
        <v>2545</v>
      </c>
      <c r="R307" s="31" t="s">
        <v>2667</v>
      </c>
      <c r="S307" s="7">
        <v>135000</v>
      </c>
      <c r="T307" s="7">
        <v>135000</v>
      </c>
      <c r="U307" s="7">
        <v>135000</v>
      </c>
      <c r="V307" s="7">
        <f t="shared" si="28"/>
        <v>0</v>
      </c>
      <c r="W307" s="5">
        <f t="shared" ref="W307:W329" si="30">IF(B307="New",1,IFERROR(V307/T307,0))</f>
        <v>0</v>
      </c>
      <c r="X307" s="40"/>
      <c r="Y307" s="34">
        <f>SUMPRODUCT((BIdetails!$J$5:$J$3000=M307)*(BIdetails!$K$5:$K$3000=N307)*(BIdetails!$M$5:$M$3000))</f>
        <v>0</v>
      </c>
      <c r="Z307" s="35">
        <f t="shared" si="29"/>
        <v>0</v>
      </c>
      <c r="AA307" s="31"/>
      <c r="AB307" s="31"/>
      <c r="AC307" s="31"/>
      <c r="AD307" s="31"/>
      <c r="AE307">
        <v>2530</v>
      </c>
    </row>
    <row r="308" spans="1:31" hidden="1" x14ac:dyDescent="0.25">
      <c r="A308" t="s">
        <v>2526</v>
      </c>
      <c r="B308" t="str">
        <f t="shared" si="27"/>
        <v>Increase</v>
      </c>
      <c r="D308">
        <v>68427709</v>
      </c>
      <c r="E308" s="96" t="s">
        <v>53</v>
      </c>
      <c r="F308" t="s">
        <v>54</v>
      </c>
      <c r="G308" t="s">
        <v>42</v>
      </c>
      <c r="H308" t="s">
        <v>2421</v>
      </c>
      <c r="J308" t="s">
        <v>3072</v>
      </c>
      <c r="K308">
        <v>211753</v>
      </c>
      <c r="L308" t="s">
        <v>3073</v>
      </c>
      <c r="M308" s="196">
        <v>5400976828</v>
      </c>
      <c r="N308" s="21">
        <v>10</v>
      </c>
      <c r="O308" s="26" t="s">
        <v>2531</v>
      </c>
      <c r="P308" s="26" t="s">
        <v>1752</v>
      </c>
      <c r="Q308" t="s">
        <v>2545</v>
      </c>
      <c r="R308" s="31" t="s">
        <v>2715</v>
      </c>
      <c r="S308" s="7"/>
      <c r="T308" s="7">
        <v>60000</v>
      </c>
      <c r="U308" s="7">
        <v>70000</v>
      </c>
      <c r="V308" s="7">
        <f t="shared" si="28"/>
        <v>10000</v>
      </c>
      <c r="W308" s="5">
        <f t="shared" si="30"/>
        <v>0.16666666666666666</v>
      </c>
      <c r="X308" s="22" t="s">
        <v>2358</v>
      </c>
      <c r="Y308" s="34"/>
      <c r="Z308" s="35"/>
      <c r="AA308" s="31"/>
      <c r="AB308" s="31"/>
      <c r="AC308" s="31"/>
      <c r="AD308" s="31"/>
    </row>
    <row r="309" spans="1:31" hidden="1" x14ac:dyDescent="0.25">
      <c r="A309" t="s">
        <v>2570</v>
      </c>
      <c r="B309" t="str">
        <f t="shared" si="27"/>
        <v>No Change</v>
      </c>
      <c r="D309">
        <v>68427709</v>
      </c>
      <c r="E309" s="96" t="s">
        <v>53</v>
      </c>
      <c r="F309" t="s">
        <v>54</v>
      </c>
      <c r="G309" s="98" t="s">
        <v>42</v>
      </c>
      <c r="H309" s="26" t="s">
        <v>1867</v>
      </c>
      <c r="J309" t="s">
        <v>3074</v>
      </c>
      <c r="K309" s="197">
        <v>209276</v>
      </c>
      <c r="L309" s="197" t="s">
        <v>3075</v>
      </c>
      <c r="M309" s="228" t="s">
        <v>2666</v>
      </c>
      <c r="O309" s="26" t="s">
        <v>2136</v>
      </c>
      <c r="P309" s="26" t="s">
        <v>2136</v>
      </c>
      <c r="Q309" t="s">
        <v>2545</v>
      </c>
      <c r="R309" s="31" t="s">
        <v>2596</v>
      </c>
      <c r="S309" s="7">
        <v>1000</v>
      </c>
      <c r="T309" s="7">
        <v>0</v>
      </c>
      <c r="U309" s="7">
        <v>0</v>
      </c>
      <c r="V309" s="7">
        <f t="shared" si="28"/>
        <v>0</v>
      </c>
      <c r="W309" s="5">
        <f t="shared" si="30"/>
        <v>0</v>
      </c>
      <c r="X309" s="22"/>
      <c r="Y309" s="34">
        <f>SUMPRODUCT((BIdetails!$J$5:$J$3000=M309)*(BIdetails!$K$5:$K$3000=N309)*(BIdetails!$M$5:$M$3000))</f>
        <v>0</v>
      </c>
      <c r="Z309" s="35" t="str">
        <f t="shared" ref="Z309:Z329" si="31">IF(U309=0,"",(Y309/U309))</f>
        <v/>
      </c>
      <c r="AA309" s="31"/>
      <c r="AB309" s="31"/>
      <c r="AC309" s="31"/>
      <c r="AD309" s="31"/>
      <c r="AE309">
        <v>3250</v>
      </c>
    </row>
    <row r="310" spans="1:31" hidden="1" x14ac:dyDescent="0.25">
      <c r="A310" t="s">
        <v>2526</v>
      </c>
      <c r="B310" t="str">
        <f t="shared" si="27"/>
        <v>Increase</v>
      </c>
      <c r="C310" t="s">
        <v>3076</v>
      </c>
      <c r="D310">
        <v>68427709</v>
      </c>
      <c r="E310" s="96" t="s">
        <v>53</v>
      </c>
      <c r="F310" t="s">
        <v>54</v>
      </c>
      <c r="G310" t="s">
        <v>42</v>
      </c>
      <c r="H310" t="s">
        <v>727</v>
      </c>
      <c r="I310">
        <v>0</v>
      </c>
      <c r="J310" t="s">
        <v>1973</v>
      </c>
      <c r="K310">
        <v>136544</v>
      </c>
      <c r="L310" t="s">
        <v>165</v>
      </c>
      <c r="M310" s="233">
        <v>5400963575</v>
      </c>
      <c r="N310" s="21">
        <v>10</v>
      </c>
      <c r="O310" t="s">
        <v>2531</v>
      </c>
      <c r="P310" s="26" t="s">
        <v>186</v>
      </c>
      <c r="Q310" t="s">
        <v>2545</v>
      </c>
      <c r="R310" s="97" t="s">
        <v>2551</v>
      </c>
      <c r="S310" s="7">
        <v>132000</v>
      </c>
      <c r="T310" s="7">
        <v>143000</v>
      </c>
      <c r="U310" s="7">
        <v>235000</v>
      </c>
      <c r="V310" s="7">
        <f t="shared" si="28"/>
        <v>92000</v>
      </c>
      <c r="W310" s="5">
        <f t="shared" si="30"/>
        <v>0.64335664335664333</v>
      </c>
      <c r="X310" s="40" t="s">
        <v>3077</v>
      </c>
      <c r="Y310" s="34">
        <f>SUMPRODUCT((BIdetails!$J$5:$J$3000=M310)*(BIdetails!$K$5:$K$3000=N310)*(BIdetails!$M$5:$M$3000))</f>
        <v>0</v>
      </c>
      <c r="Z310" s="35">
        <f t="shared" si="31"/>
        <v>0</v>
      </c>
      <c r="AA310" s="31"/>
      <c r="AB310" s="31"/>
      <c r="AC310" s="31"/>
      <c r="AD310" s="31"/>
      <c r="AE310">
        <v>2540</v>
      </c>
    </row>
    <row r="311" spans="1:31" hidden="1" x14ac:dyDescent="0.25">
      <c r="A311" t="s">
        <v>2526</v>
      </c>
      <c r="B311" t="str">
        <f t="shared" si="27"/>
        <v>Increase</v>
      </c>
      <c r="C311" t="s">
        <v>3042</v>
      </c>
      <c r="D311">
        <v>68427709</v>
      </c>
      <c r="E311" s="96" t="s">
        <v>53</v>
      </c>
      <c r="F311" t="s">
        <v>54</v>
      </c>
      <c r="G311" t="s">
        <v>42</v>
      </c>
      <c r="H311" t="s">
        <v>2247</v>
      </c>
      <c r="I311">
        <v>0</v>
      </c>
      <c r="J311" t="s">
        <v>3078</v>
      </c>
      <c r="K311" s="26">
        <v>181857</v>
      </c>
      <c r="L311" t="s">
        <v>3079</v>
      </c>
      <c r="M311" s="233">
        <v>5400975417</v>
      </c>
      <c r="N311" s="21">
        <v>10</v>
      </c>
      <c r="O311" t="s">
        <v>2531</v>
      </c>
      <c r="P311" s="26" t="s">
        <v>186</v>
      </c>
      <c r="Q311" t="s">
        <v>2545</v>
      </c>
      <c r="R311" s="31" t="s">
        <v>2551</v>
      </c>
      <c r="S311" s="7">
        <v>39000</v>
      </c>
      <c r="T311" s="7">
        <v>64000</v>
      </c>
      <c r="U311" s="7">
        <v>104000</v>
      </c>
      <c r="V311" s="7">
        <f t="shared" si="28"/>
        <v>40000</v>
      </c>
      <c r="W311" s="5">
        <f t="shared" si="30"/>
        <v>0.625</v>
      </c>
      <c r="X311" s="22" t="s">
        <v>1706</v>
      </c>
      <c r="Y311" s="34">
        <f>SUMPRODUCT((BIdetails!$J$5:$J$3000=M311)*(BIdetails!$K$5:$K$3000=N311)*(BIdetails!$M$5:$M$3000))</f>
        <v>0</v>
      </c>
      <c r="Z311" s="35">
        <f t="shared" si="31"/>
        <v>0</v>
      </c>
      <c r="AA311" s="31"/>
      <c r="AB311" s="31"/>
      <c r="AC311" s="31"/>
      <c r="AD311" s="31"/>
      <c r="AE311">
        <v>2490</v>
      </c>
    </row>
    <row r="312" spans="1:31" hidden="1" x14ac:dyDescent="0.25">
      <c r="A312" t="s">
        <v>2526</v>
      </c>
      <c r="B312" t="str">
        <f t="shared" si="27"/>
        <v>No Change</v>
      </c>
      <c r="C312" t="s">
        <v>3080</v>
      </c>
      <c r="D312">
        <v>68427709</v>
      </c>
      <c r="E312" s="96" t="s">
        <v>53</v>
      </c>
      <c r="F312" t="s">
        <v>54</v>
      </c>
      <c r="G312" t="s">
        <v>42</v>
      </c>
      <c r="H312" t="s">
        <v>3081</v>
      </c>
      <c r="I312">
        <v>0</v>
      </c>
      <c r="J312" t="s">
        <v>3082</v>
      </c>
      <c r="K312">
        <v>209546</v>
      </c>
      <c r="L312" t="s">
        <v>3083</v>
      </c>
      <c r="M312" s="196">
        <v>5400914770</v>
      </c>
      <c r="N312" s="21">
        <v>10</v>
      </c>
      <c r="O312" t="s">
        <v>2531</v>
      </c>
      <c r="P312" s="26" t="s">
        <v>1841</v>
      </c>
      <c r="Q312" s="26" t="s">
        <v>2532</v>
      </c>
      <c r="R312" s="31" t="s">
        <v>2804</v>
      </c>
      <c r="S312" s="7">
        <v>10000</v>
      </c>
      <c r="T312" s="7">
        <v>10000</v>
      </c>
      <c r="U312" s="7">
        <v>10000</v>
      </c>
      <c r="V312" s="7">
        <f t="shared" si="28"/>
        <v>0</v>
      </c>
      <c r="W312" s="5">
        <f t="shared" si="30"/>
        <v>0</v>
      </c>
      <c r="X312" s="40"/>
      <c r="Y312" s="34">
        <f>SUMPRODUCT((BIdetails!$J$5:$J$3000=M312)*(BIdetails!$K$5:$K$3000=N312)*(BIdetails!$M$5:$M$3000))</f>
        <v>0</v>
      </c>
      <c r="Z312" s="35">
        <f t="shared" si="31"/>
        <v>0</v>
      </c>
      <c r="AA312" s="31" t="s">
        <v>2541</v>
      </c>
      <c r="AB312" s="31" t="s">
        <v>2534</v>
      </c>
      <c r="AC312" s="31" t="s">
        <v>2572</v>
      </c>
      <c r="AD312" s="31"/>
      <c r="AE312">
        <v>2370</v>
      </c>
    </row>
    <row r="313" spans="1:31" hidden="1" x14ac:dyDescent="0.25">
      <c r="A313" t="s">
        <v>2526</v>
      </c>
      <c r="B313" t="str">
        <f t="shared" si="27"/>
        <v>No Change</v>
      </c>
      <c r="C313" t="s">
        <v>3084</v>
      </c>
      <c r="D313">
        <v>68427709</v>
      </c>
      <c r="E313" s="96" t="s">
        <v>49</v>
      </c>
      <c r="F313" t="s">
        <v>50</v>
      </c>
      <c r="G313" s="98" t="s">
        <v>42</v>
      </c>
      <c r="H313" s="98" t="s">
        <v>3085</v>
      </c>
      <c r="I313" t="s">
        <v>2554</v>
      </c>
      <c r="J313" t="s">
        <v>3026</v>
      </c>
      <c r="K313" s="98">
        <v>167557</v>
      </c>
      <c r="L313" s="98" t="s">
        <v>1064</v>
      </c>
      <c r="M313" s="234">
        <v>5400963358</v>
      </c>
      <c r="N313" s="99">
        <v>10</v>
      </c>
      <c r="O313" s="98" t="s">
        <v>2531</v>
      </c>
      <c r="P313" s="98" t="s">
        <v>2680</v>
      </c>
      <c r="Q313" s="98" t="s">
        <v>2532</v>
      </c>
      <c r="R313" s="97" t="s">
        <v>811</v>
      </c>
      <c r="S313" s="7">
        <v>70000</v>
      </c>
      <c r="T313" s="7">
        <v>70000</v>
      </c>
      <c r="U313" s="7">
        <v>70000</v>
      </c>
      <c r="V313" s="7">
        <f t="shared" si="28"/>
        <v>0</v>
      </c>
      <c r="W313" s="5">
        <f t="shared" si="30"/>
        <v>0</v>
      </c>
      <c r="X313" s="40"/>
      <c r="Y313" s="34">
        <f>SUMPRODUCT((BIdetails!$J$5:$J$3000=M313)*(BIdetails!$K$5:$K$3000=N313)*(BIdetails!$M$5:$M$3000))</f>
        <v>0</v>
      </c>
      <c r="Z313" s="35">
        <f t="shared" si="31"/>
        <v>0</v>
      </c>
      <c r="AA313" s="31" t="s">
        <v>2541</v>
      </c>
      <c r="AB313" s="31" t="s">
        <v>2534</v>
      </c>
      <c r="AC313" s="31" t="s">
        <v>2575</v>
      </c>
      <c r="AD313" s="31"/>
      <c r="AE313">
        <v>1300</v>
      </c>
    </row>
    <row r="314" spans="1:31" hidden="1" x14ac:dyDescent="0.25">
      <c r="A314" t="s">
        <v>2526</v>
      </c>
      <c r="B314" t="str">
        <f t="shared" si="27"/>
        <v>Increase</v>
      </c>
      <c r="C314" t="s">
        <v>3086</v>
      </c>
      <c r="D314">
        <v>68427709</v>
      </c>
      <c r="E314" s="103" t="s">
        <v>49</v>
      </c>
      <c r="F314" s="98" t="s">
        <v>50</v>
      </c>
      <c r="G314" s="26" t="s">
        <v>42</v>
      </c>
      <c r="H314" s="26" t="s">
        <v>2250</v>
      </c>
      <c r="I314">
        <v>0</v>
      </c>
      <c r="J314" t="s">
        <v>3087</v>
      </c>
      <c r="K314" s="154">
        <v>192202</v>
      </c>
      <c r="L314" s="26" t="s">
        <v>3088</v>
      </c>
      <c r="M314" s="233">
        <v>5400918354</v>
      </c>
      <c r="N314" s="21">
        <v>10</v>
      </c>
      <c r="O314" s="26" t="s">
        <v>2531</v>
      </c>
      <c r="P314" s="26" t="s">
        <v>2549</v>
      </c>
      <c r="Q314" t="s">
        <v>2545</v>
      </c>
      <c r="R314" s="31" t="s">
        <v>2551</v>
      </c>
      <c r="S314" s="7">
        <v>230000</v>
      </c>
      <c r="T314" s="7">
        <v>155000</v>
      </c>
      <c r="U314" s="7">
        <v>165000</v>
      </c>
      <c r="V314" s="7">
        <f t="shared" si="28"/>
        <v>10000</v>
      </c>
      <c r="W314" s="5">
        <f t="shared" si="30"/>
        <v>6.4516129032258063E-2</v>
      </c>
      <c r="X314" s="22"/>
      <c r="Y314" s="34">
        <f>SUMPRODUCT((BIdetails!$J$5:$J$3000=M314)*(BIdetails!$K$5:$K$3000=N314)*(BIdetails!$M$5:$M$3000))</f>
        <v>0</v>
      </c>
      <c r="Z314" s="35">
        <f t="shared" si="31"/>
        <v>0</v>
      </c>
      <c r="AA314" s="31" t="s">
        <v>2541</v>
      </c>
      <c r="AB314" s="31" t="s">
        <v>2663</v>
      </c>
      <c r="AC314" s="31" t="s">
        <v>2572</v>
      </c>
      <c r="AD314" s="31"/>
      <c r="AE314">
        <v>1560</v>
      </c>
    </row>
    <row r="315" spans="1:31" hidden="1" x14ac:dyDescent="0.25">
      <c r="A315" t="s">
        <v>2526</v>
      </c>
      <c r="B315" t="str">
        <f t="shared" si="27"/>
        <v>Decommissioned</v>
      </c>
      <c r="C315" t="s">
        <v>3086</v>
      </c>
      <c r="D315">
        <v>68427709</v>
      </c>
      <c r="E315" s="96" t="s">
        <v>53</v>
      </c>
      <c r="F315" s="26" t="s">
        <v>54</v>
      </c>
      <c r="G315" s="26" t="s">
        <v>42</v>
      </c>
      <c r="H315" s="26" t="s">
        <v>120</v>
      </c>
      <c r="I315">
        <v>0</v>
      </c>
      <c r="J315" t="s">
        <v>3087</v>
      </c>
      <c r="K315" s="26">
        <v>169113</v>
      </c>
      <c r="L315" s="26" t="s">
        <v>3089</v>
      </c>
      <c r="M315" s="199">
        <v>5400918353</v>
      </c>
      <c r="N315" s="28">
        <v>10</v>
      </c>
      <c r="O315" s="26" t="s">
        <v>2531</v>
      </c>
      <c r="P315" s="26" t="s">
        <v>3090</v>
      </c>
      <c r="Q315" s="26" t="s">
        <v>2545</v>
      </c>
      <c r="R315" s="33" t="s">
        <v>2539</v>
      </c>
      <c r="S315" s="7">
        <v>12000</v>
      </c>
      <c r="T315" s="7">
        <v>130000</v>
      </c>
      <c r="U315" s="7">
        <v>0</v>
      </c>
      <c r="V315" s="7">
        <f t="shared" si="28"/>
        <v>-130000</v>
      </c>
      <c r="W315" s="5">
        <f t="shared" si="30"/>
        <v>-1</v>
      </c>
      <c r="X315" s="40" t="s">
        <v>1319</v>
      </c>
      <c r="Y315" s="34">
        <f>SUMPRODUCT((BIdetails!$J$5:$J$3000=M315)*(BIdetails!$K$5:$K$3000=N315)*(BIdetails!$M$5:$M$3000))</f>
        <v>0</v>
      </c>
      <c r="Z315" s="35" t="str">
        <f t="shared" si="31"/>
        <v/>
      </c>
      <c r="AA315" s="31"/>
      <c r="AB315" s="31"/>
      <c r="AC315" s="31"/>
      <c r="AD315" s="31"/>
      <c r="AE315">
        <v>2560</v>
      </c>
    </row>
    <row r="316" spans="1:31" hidden="1" x14ac:dyDescent="0.25">
      <c r="A316" t="s">
        <v>2526</v>
      </c>
      <c r="B316" t="str">
        <f t="shared" si="27"/>
        <v>Increase</v>
      </c>
      <c r="D316">
        <v>68427709</v>
      </c>
      <c r="E316" s="96" t="s">
        <v>49</v>
      </c>
      <c r="F316" s="98" t="s">
        <v>50</v>
      </c>
      <c r="G316" s="98" t="s">
        <v>42</v>
      </c>
      <c r="H316" s="98" t="s">
        <v>2376</v>
      </c>
      <c r="I316">
        <v>0</v>
      </c>
      <c r="J316" t="s">
        <v>2891</v>
      </c>
      <c r="K316" s="26">
        <v>196742</v>
      </c>
      <c r="L316" s="98" t="s">
        <v>1381</v>
      </c>
      <c r="M316" s="234">
        <v>5400965900</v>
      </c>
      <c r="N316" s="99">
        <v>30</v>
      </c>
      <c r="O316" s="98" t="s">
        <v>2531</v>
      </c>
      <c r="P316" s="26" t="s">
        <v>2280</v>
      </c>
      <c r="Q316" s="98" t="s">
        <v>2550</v>
      </c>
      <c r="R316" s="97" t="s">
        <v>280</v>
      </c>
      <c r="S316" s="7">
        <v>55000</v>
      </c>
      <c r="T316" s="7">
        <v>25000</v>
      </c>
      <c r="U316" s="7">
        <v>48600</v>
      </c>
      <c r="V316" s="7">
        <f t="shared" si="28"/>
        <v>23600</v>
      </c>
      <c r="W316" s="5">
        <f t="shared" si="30"/>
        <v>0.94399999999999995</v>
      </c>
      <c r="X316" s="40" t="s">
        <v>3091</v>
      </c>
      <c r="Y316" s="34">
        <f>SUMPRODUCT((BIdetails!$J$5:$J$3000=M316)*(BIdetails!$K$5:$K$3000=N316)*(BIdetails!$M$5:$M$3000))</f>
        <v>0</v>
      </c>
      <c r="Z316" s="35">
        <f t="shared" si="31"/>
        <v>0</v>
      </c>
      <c r="AA316" s="31" t="s">
        <v>2541</v>
      </c>
      <c r="AB316" s="31" t="s">
        <v>2663</v>
      </c>
      <c r="AC316" s="31" t="s">
        <v>2572</v>
      </c>
      <c r="AD316" s="31"/>
      <c r="AE316">
        <v>1610</v>
      </c>
    </row>
    <row r="317" spans="1:31" hidden="1" x14ac:dyDescent="0.25">
      <c r="A317" t="s">
        <v>2526</v>
      </c>
      <c r="B317" t="str">
        <f t="shared" si="27"/>
        <v>No Change</v>
      </c>
      <c r="C317" t="s">
        <v>3092</v>
      </c>
      <c r="D317">
        <v>68427709</v>
      </c>
      <c r="E317" s="96" t="s">
        <v>49</v>
      </c>
      <c r="F317" t="s">
        <v>50</v>
      </c>
      <c r="G317" t="s">
        <v>42</v>
      </c>
      <c r="H317" t="s">
        <v>933</v>
      </c>
      <c r="I317">
        <v>0</v>
      </c>
      <c r="J317" t="s">
        <v>2040</v>
      </c>
      <c r="K317">
        <v>189203</v>
      </c>
      <c r="L317" t="s">
        <v>1707</v>
      </c>
      <c r="M317" s="233">
        <v>5400904915</v>
      </c>
      <c r="N317" s="21">
        <v>10</v>
      </c>
      <c r="O317" t="s">
        <v>2579</v>
      </c>
      <c r="P317" s="26" t="s">
        <v>2579</v>
      </c>
      <c r="Q317" t="s">
        <v>2545</v>
      </c>
      <c r="R317" s="31" t="s">
        <v>40</v>
      </c>
      <c r="S317" s="7">
        <v>310000</v>
      </c>
      <c r="T317" s="7">
        <v>310000</v>
      </c>
      <c r="U317" s="7">
        <v>310000</v>
      </c>
      <c r="V317" s="7">
        <f t="shared" si="28"/>
        <v>0</v>
      </c>
      <c r="W317" s="5">
        <f t="shared" si="30"/>
        <v>0</v>
      </c>
      <c r="X317" s="40"/>
      <c r="Y317" s="34">
        <f>SUMPRODUCT((BIdetails!$J$5:$J$3000=M317)*(BIdetails!$K$5:$K$3000=N317)*(BIdetails!$M$5:$M$3000))</f>
        <v>0</v>
      </c>
      <c r="Z317" s="35">
        <f t="shared" si="31"/>
        <v>0</v>
      </c>
      <c r="AA317" s="31" t="s">
        <v>2541</v>
      </c>
      <c r="AB317" s="31" t="s">
        <v>2534</v>
      </c>
      <c r="AC317" s="31" t="s">
        <v>2572</v>
      </c>
      <c r="AD317" s="31"/>
      <c r="AE317">
        <v>1160</v>
      </c>
    </row>
    <row r="318" spans="1:31" hidden="1" x14ac:dyDescent="0.25">
      <c r="A318" t="s">
        <v>2526</v>
      </c>
      <c r="B318" t="str">
        <f t="shared" si="27"/>
        <v>No Change</v>
      </c>
      <c r="C318" t="s">
        <v>3092</v>
      </c>
      <c r="D318">
        <v>68427709</v>
      </c>
      <c r="E318" s="96" t="s">
        <v>53</v>
      </c>
      <c r="F318" t="s">
        <v>54</v>
      </c>
      <c r="G318" t="s">
        <v>42</v>
      </c>
      <c r="H318" t="s">
        <v>3093</v>
      </c>
      <c r="I318" t="s">
        <v>2590</v>
      </c>
      <c r="J318" t="s">
        <v>2040</v>
      </c>
      <c r="K318">
        <v>189203</v>
      </c>
      <c r="L318" t="s">
        <v>1707</v>
      </c>
      <c r="M318" s="233">
        <v>5400904915</v>
      </c>
      <c r="N318" s="21">
        <v>10</v>
      </c>
      <c r="O318" t="s">
        <v>2579</v>
      </c>
      <c r="P318" s="26" t="s">
        <v>2579</v>
      </c>
      <c r="Q318" t="s">
        <v>2545</v>
      </c>
      <c r="R318" s="31" t="s">
        <v>40</v>
      </c>
      <c r="S318" s="7">
        <v>82000</v>
      </c>
      <c r="T318" s="7">
        <v>82000</v>
      </c>
      <c r="U318" s="7">
        <v>82000</v>
      </c>
      <c r="V318" s="7">
        <f t="shared" si="28"/>
        <v>0</v>
      </c>
      <c r="W318" s="5">
        <f t="shared" si="30"/>
        <v>0</v>
      </c>
      <c r="X318" s="40"/>
      <c r="Y318" s="34">
        <f>SUMPRODUCT((BIdetails!$J$5:$J$3000=M318)*(BIdetails!$K$5:$K$3000=N318)*(BIdetails!$M$5:$M$3000))</f>
        <v>0</v>
      </c>
      <c r="Z318" s="35">
        <f t="shared" si="31"/>
        <v>0</v>
      </c>
      <c r="AA318" s="31"/>
      <c r="AB318" s="31"/>
      <c r="AC318" s="31"/>
      <c r="AD318" s="31"/>
      <c r="AE318">
        <v>2320</v>
      </c>
    </row>
    <row r="319" spans="1:31" hidden="1" x14ac:dyDescent="0.25">
      <c r="A319" t="s">
        <v>2526</v>
      </c>
      <c r="B319" t="str">
        <f t="shared" si="27"/>
        <v>Increase</v>
      </c>
      <c r="D319">
        <v>68427719</v>
      </c>
      <c r="E319" s="96" t="s">
        <v>53</v>
      </c>
      <c r="F319" t="s">
        <v>54</v>
      </c>
      <c r="G319" t="s">
        <v>42</v>
      </c>
      <c r="H319" s="26" t="s">
        <v>2148</v>
      </c>
      <c r="J319" t="s">
        <v>3094</v>
      </c>
      <c r="K319" s="26"/>
      <c r="L319" s="26" t="s">
        <v>2148</v>
      </c>
      <c r="M319" s="233">
        <v>5400938326</v>
      </c>
      <c r="O319" s="26" t="s">
        <v>2136</v>
      </c>
      <c r="P319" s="26" t="s">
        <v>3095</v>
      </c>
      <c r="Q319" t="s">
        <v>2545</v>
      </c>
      <c r="R319" s="31" t="s">
        <v>2596</v>
      </c>
      <c r="S319" s="7"/>
      <c r="T319" s="7">
        <v>92500</v>
      </c>
      <c r="U319" s="7">
        <v>145000</v>
      </c>
      <c r="V319" s="7">
        <f t="shared" si="28"/>
        <v>52500</v>
      </c>
      <c r="W319" s="5">
        <f t="shared" si="30"/>
        <v>0.56756756756756754</v>
      </c>
      <c r="X319" s="22"/>
      <c r="Y319" s="34">
        <f>SUMPRODUCT((BIdetails!$J$5:$J$3000=M319)*(BIdetails!$K$5:$K$3000=N319)*(BIdetails!$M$5:$M$3000))</f>
        <v>0</v>
      </c>
      <c r="Z319" s="35">
        <f t="shared" si="31"/>
        <v>0</v>
      </c>
      <c r="AA319" s="31"/>
      <c r="AB319" s="31"/>
      <c r="AC319" s="31"/>
      <c r="AD319" s="31"/>
    </row>
    <row r="320" spans="1:31" hidden="1" x14ac:dyDescent="0.25">
      <c r="A320" t="s">
        <v>2526</v>
      </c>
      <c r="B320" t="str">
        <f t="shared" si="27"/>
        <v>Increase</v>
      </c>
      <c r="C320" t="s">
        <v>3096</v>
      </c>
      <c r="D320">
        <v>68427709</v>
      </c>
      <c r="E320" s="96" t="s">
        <v>53</v>
      </c>
      <c r="F320" s="26" t="s">
        <v>54</v>
      </c>
      <c r="G320" s="26" t="s">
        <v>42</v>
      </c>
      <c r="H320" s="26" t="s">
        <v>735</v>
      </c>
      <c r="I320">
        <v>0</v>
      </c>
      <c r="J320" t="s">
        <v>3097</v>
      </c>
      <c r="K320">
        <v>188518</v>
      </c>
      <c r="L320" t="s">
        <v>3098</v>
      </c>
      <c r="M320" s="199">
        <v>5400938331</v>
      </c>
      <c r="N320" s="28">
        <v>20</v>
      </c>
      <c r="O320" s="26" t="s">
        <v>2531</v>
      </c>
      <c r="P320" s="26" t="s">
        <v>3099</v>
      </c>
      <c r="Q320" s="26" t="s">
        <v>2545</v>
      </c>
      <c r="R320" s="33" t="s">
        <v>2672</v>
      </c>
      <c r="S320" s="7">
        <v>88000</v>
      </c>
      <c r="T320" s="7">
        <v>102000</v>
      </c>
      <c r="U320" s="7">
        <v>111000</v>
      </c>
      <c r="V320" s="7">
        <f t="shared" si="28"/>
        <v>9000</v>
      </c>
      <c r="W320" s="5">
        <f t="shared" si="30"/>
        <v>8.8235294117647065E-2</v>
      </c>
      <c r="X320" s="40" t="s">
        <v>3100</v>
      </c>
      <c r="Y320" s="34">
        <f>SUMPRODUCT((BIdetails!$J$5:$J$3000=M320)*(BIdetails!$K$5:$K$3000=N320)*(BIdetails!$M$5:$M$3000))</f>
        <v>0</v>
      </c>
      <c r="Z320" s="35">
        <f t="shared" si="31"/>
        <v>0</v>
      </c>
      <c r="AA320" s="31"/>
      <c r="AB320" s="31"/>
      <c r="AC320" s="31"/>
      <c r="AD320" s="31"/>
      <c r="AE320">
        <v>2720</v>
      </c>
    </row>
    <row r="321" spans="1:31" ht="15" hidden="1" customHeight="1" x14ac:dyDescent="0.25">
      <c r="A321" t="s">
        <v>2526</v>
      </c>
      <c r="B321" t="str">
        <f t="shared" si="27"/>
        <v>No Change</v>
      </c>
      <c r="C321" t="s">
        <v>3101</v>
      </c>
      <c r="D321">
        <v>68427709</v>
      </c>
      <c r="E321" s="96" t="s">
        <v>49</v>
      </c>
      <c r="F321" t="s">
        <v>50</v>
      </c>
      <c r="G321" t="s">
        <v>42</v>
      </c>
      <c r="H321" t="s">
        <v>3102</v>
      </c>
      <c r="I321">
        <v>0</v>
      </c>
      <c r="J321" t="s">
        <v>3103</v>
      </c>
      <c r="K321">
        <v>121566</v>
      </c>
      <c r="L321" t="s">
        <v>3104</v>
      </c>
      <c r="M321" s="233">
        <v>5400938324</v>
      </c>
      <c r="N321" s="21">
        <v>10</v>
      </c>
      <c r="O321" t="s">
        <v>2531</v>
      </c>
      <c r="P321" t="s">
        <v>1244</v>
      </c>
      <c r="Q321" t="s">
        <v>2545</v>
      </c>
      <c r="R321" s="97" t="s">
        <v>2667</v>
      </c>
      <c r="S321" s="7">
        <v>33000</v>
      </c>
      <c r="T321" s="7">
        <v>33000</v>
      </c>
      <c r="U321" s="7">
        <v>33000</v>
      </c>
      <c r="V321" s="7">
        <f t="shared" si="28"/>
        <v>0</v>
      </c>
      <c r="W321" s="5">
        <f t="shared" si="30"/>
        <v>0</v>
      </c>
      <c r="X321" s="40"/>
      <c r="Y321" s="34">
        <f>SUMPRODUCT((BIdetails!$J$5:$J$3000=M321)*(BIdetails!$K$5:$K$3000=N321)*(BIdetails!$M$5:$M$3000))</f>
        <v>0</v>
      </c>
      <c r="Z321" s="35">
        <f t="shared" si="31"/>
        <v>0</v>
      </c>
      <c r="AA321" s="31" t="s">
        <v>2541</v>
      </c>
      <c r="AB321" s="31" t="s">
        <v>2534</v>
      </c>
      <c r="AC321" s="31" t="s">
        <v>2575</v>
      </c>
      <c r="AD321" s="31"/>
      <c r="AE321">
        <v>1380</v>
      </c>
    </row>
    <row r="322" spans="1:31" hidden="1" x14ac:dyDescent="0.25">
      <c r="A322" t="s">
        <v>2526</v>
      </c>
      <c r="B322" t="str">
        <f t="shared" si="27"/>
        <v>No Change</v>
      </c>
      <c r="C322" t="s">
        <v>3105</v>
      </c>
      <c r="D322">
        <v>68427709</v>
      </c>
      <c r="E322" s="96" t="s">
        <v>49</v>
      </c>
      <c r="F322" t="s">
        <v>50</v>
      </c>
      <c r="G322" s="98" t="s">
        <v>42</v>
      </c>
      <c r="H322" s="98" t="s">
        <v>3106</v>
      </c>
      <c r="I322">
        <v>0</v>
      </c>
      <c r="J322" t="s">
        <v>2032</v>
      </c>
      <c r="K322" s="98">
        <v>165589</v>
      </c>
      <c r="L322" s="98" t="s">
        <v>3107</v>
      </c>
      <c r="M322" s="234">
        <v>5400960789</v>
      </c>
      <c r="N322" s="99">
        <v>10</v>
      </c>
      <c r="O322" s="98" t="s">
        <v>2531</v>
      </c>
      <c r="P322" s="98" t="s">
        <v>2571</v>
      </c>
      <c r="Q322" t="s">
        <v>2532</v>
      </c>
      <c r="R322" s="97" t="s">
        <v>2533</v>
      </c>
      <c r="S322" s="7">
        <v>85000</v>
      </c>
      <c r="T322" s="7">
        <v>85000</v>
      </c>
      <c r="U322" s="7">
        <v>85000</v>
      </c>
      <c r="V322" s="7">
        <f t="shared" si="28"/>
        <v>0</v>
      </c>
      <c r="W322" s="5">
        <f t="shared" si="30"/>
        <v>0</v>
      </c>
      <c r="X322" s="40"/>
      <c r="Y322" s="34">
        <f>SUMPRODUCT((BIdetails!$J$5:$J$3000=M322)*(BIdetails!$K$5:$K$3000=N322)*(BIdetails!$M$5:$M$3000))</f>
        <v>0</v>
      </c>
      <c r="Z322" s="35">
        <f t="shared" si="31"/>
        <v>0</v>
      </c>
      <c r="AA322" s="31" t="s">
        <v>610</v>
      </c>
      <c r="AB322" s="31" t="s">
        <v>2534</v>
      </c>
      <c r="AC322" s="31" t="s">
        <v>2558</v>
      </c>
      <c r="AD322" s="31"/>
      <c r="AE322">
        <v>1360</v>
      </c>
    </row>
    <row r="323" spans="1:31" hidden="1" x14ac:dyDescent="0.25">
      <c r="A323" t="s">
        <v>2526</v>
      </c>
      <c r="B323" t="str">
        <f t="shared" si="27"/>
        <v>Increase</v>
      </c>
      <c r="D323">
        <v>68427709</v>
      </c>
      <c r="E323" s="96" t="s">
        <v>53</v>
      </c>
      <c r="F323" t="s">
        <v>54</v>
      </c>
      <c r="G323" t="s">
        <v>42</v>
      </c>
      <c r="H323" t="s">
        <v>1246</v>
      </c>
      <c r="I323">
        <v>0</v>
      </c>
      <c r="J323" t="s">
        <v>3108</v>
      </c>
      <c r="K323">
        <v>208499</v>
      </c>
      <c r="L323" t="s">
        <v>3109</v>
      </c>
      <c r="M323" s="233">
        <v>5400939240</v>
      </c>
      <c r="N323" s="21">
        <v>10</v>
      </c>
      <c r="O323" s="26" t="s">
        <v>2531</v>
      </c>
      <c r="P323" s="26" t="s">
        <v>2280</v>
      </c>
      <c r="Q323" t="s">
        <v>2545</v>
      </c>
      <c r="R323" s="31" t="s">
        <v>2587</v>
      </c>
      <c r="S323" s="7">
        <v>30000</v>
      </c>
      <c r="T323" s="7">
        <v>23000</v>
      </c>
      <c r="U323" s="7">
        <v>25000</v>
      </c>
      <c r="V323" s="7">
        <f t="shared" si="28"/>
        <v>2000</v>
      </c>
      <c r="W323" s="5">
        <f t="shared" si="30"/>
        <v>8.6956521739130432E-2</v>
      </c>
      <c r="X323" s="40" t="s">
        <v>2358</v>
      </c>
      <c r="Y323" s="34">
        <f>SUMPRODUCT((BIdetails!$J$5:$J$3000=M323)*(BIdetails!$K$5:$K$3000=N323)*(BIdetails!$M$5:$M$3000))</f>
        <v>0</v>
      </c>
      <c r="Z323" s="35">
        <f t="shared" si="31"/>
        <v>0</v>
      </c>
      <c r="AA323" s="31"/>
      <c r="AB323" s="31"/>
      <c r="AC323" s="31"/>
      <c r="AD323" s="31"/>
      <c r="AE323">
        <v>3100</v>
      </c>
    </row>
    <row r="324" spans="1:31" hidden="1" x14ac:dyDescent="0.25">
      <c r="A324" t="s">
        <v>2526</v>
      </c>
      <c r="B324" t="str">
        <f t="shared" si="27"/>
        <v>No Change</v>
      </c>
      <c r="C324" t="s">
        <v>3110</v>
      </c>
      <c r="D324">
        <v>68427709</v>
      </c>
      <c r="E324" s="96" t="s">
        <v>53</v>
      </c>
      <c r="F324" t="s">
        <v>54</v>
      </c>
      <c r="G324" t="s">
        <v>42</v>
      </c>
      <c r="H324" t="s">
        <v>3111</v>
      </c>
      <c r="I324">
        <v>0</v>
      </c>
      <c r="J324" t="s">
        <v>1979</v>
      </c>
      <c r="K324">
        <v>199680</v>
      </c>
      <c r="L324" t="s">
        <v>90</v>
      </c>
      <c r="M324" s="233">
        <v>5400963580</v>
      </c>
      <c r="N324" s="21">
        <v>10</v>
      </c>
      <c r="O324" t="s">
        <v>2531</v>
      </c>
      <c r="P324" s="26" t="s">
        <v>2549</v>
      </c>
      <c r="Q324" t="s">
        <v>2545</v>
      </c>
      <c r="R324" s="33" t="s">
        <v>2551</v>
      </c>
      <c r="S324" s="7">
        <v>98000</v>
      </c>
      <c r="T324" s="7">
        <v>103000</v>
      </c>
      <c r="U324" s="7">
        <v>103000</v>
      </c>
      <c r="V324" s="7">
        <f t="shared" si="28"/>
        <v>0</v>
      </c>
      <c r="W324" s="5">
        <f t="shared" si="30"/>
        <v>0</v>
      </c>
      <c r="X324" s="40"/>
      <c r="Y324" s="34">
        <f>SUMPRODUCT((BIdetails!$J$5:$J$3000=M324)*(BIdetails!$K$5:$K$3000=N324)*(BIdetails!$M$5:$M$3000))</f>
        <v>0</v>
      </c>
      <c r="Z324" s="35">
        <f t="shared" si="31"/>
        <v>0</v>
      </c>
      <c r="AA324" s="31"/>
      <c r="AB324" s="31"/>
      <c r="AC324" s="31"/>
      <c r="AD324" s="31"/>
      <c r="AE324">
        <v>2880</v>
      </c>
    </row>
    <row r="325" spans="1:31" x14ac:dyDescent="0.25">
      <c r="A325" t="s">
        <v>2526</v>
      </c>
      <c r="B325" t="str">
        <f t="shared" si="27"/>
        <v>Decommissioned</v>
      </c>
      <c r="C325" t="s">
        <v>3112</v>
      </c>
      <c r="D325">
        <v>68427709</v>
      </c>
      <c r="E325" s="96" t="s">
        <v>38</v>
      </c>
      <c r="F325" t="s">
        <v>40</v>
      </c>
      <c r="G325" t="s">
        <v>40</v>
      </c>
      <c r="H325" t="s">
        <v>927</v>
      </c>
      <c r="J325" t="s">
        <v>2552</v>
      </c>
      <c r="K325" s="26"/>
      <c r="L325" s="26"/>
      <c r="M325" s="228" t="s">
        <v>2666</v>
      </c>
      <c r="O325" t="s">
        <v>2579</v>
      </c>
      <c r="P325" t="s">
        <v>2579</v>
      </c>
      <c r="Q325" t="s">
        <v>2545</v>
      </c>
      <c r="R325" s="31" t="s">
        <v>40</v>
      </c>
      <c r="S325" s="7">
        <v>55000</v>
      </c>
      <c r="T325" s="7">
        <v>140000</v>
      </c>
      <c r="U325" s="7">
        <v>0</v>
      </c>
      <c r="V325" s="7">
        <f t="shared" si="28"/>
        <v>-140000</v>
      </c>
      <c r="W325" s="5">
        <f t="shared" si="30"/>
        <v>-1</v>
      </c>
      <c r="X325" s="40" t="s">
        <v>3479</v>
      </c>
      <c r="Y325" s="34">
        <f>SUMPRODUCT((BIdetails!$J$5:$J$3000=M325)*(BIdetails!$K$5:$K$3000=N325)*(BIdetails!$M$5:$M$3000))</f>
        <v>0</v>
      </c>
      <c r="Z325" s="35" t="str">
        <f t="shared" si="31"/>
        <v/>
      </c>
      <c r="AA325" s="31" t="s">
        <v>610</v>
      </c>
      <c r="AB325" s="31" t="s">
        <v>2534</v>
      </c>
      <c r="AC325" s="31" t="s">
        <v>2558</v>
      </c>
      <c r="AD325" s="31"/>
      <c r="AE325">
        <v>630</v>
      </c>
    </row>
    <row r="326" spans="1:31" hidden="1" x14ac:dyDescent="0.25">
      <c r="A326" t="s">
        <v>2526</v>
      </c>
      <c r="B326" t="str">
        <f t="shared" si="27"/>
        <v>Increase</v>
      </c>
      <c r="D326">
        <v>68427709</v>
      </c>
      <c r="E326" s="96" t="s">
        <v>53</v>
      </c>
      <c r="F326" t="s">
        <v>54</v>
      </c>
      <c r="G326" s="98" t="s">
        <v>42</v>
      </c>
      <c r="H326" s="98" t="s">
        <v>3113</v>
      </c>
      <c r="J326" t="s">
        <v>3114</v>
      </c>
      <c r="K326" s="171"/>
      <c r="L326" s="178"/>
      <c r="M326" s="233" t="s">
        <v>2666</v>
      </c>
      <c r="O326" s="98" t="s">
        <v>2531</v>
      </c>
      <c r="P326" s="98" t="s">
        <v>2537</v>
      </c>
      <c r="Q326" t="s">
        <v>2538</v>
      </c>
      <c r="R326" s="31" t="s">
        <v>2539</v>
      </c>
      <c r="S326" s="7">
        <v>20000</v>
      </c>
      <c r="T326" s="7">
        <v>20000</v>
      </c>
      <c r="U326" s="7">
        <v>50000</v>
      </c>
      <c r="V326" s="7">
        <f t="shared" si="28"/>
        <v>30000</v>
      </c>
      <c r="W326" s="5">
        <f t="shared" si="30"/>
        <v>1.5</v>
      </c>
      <c r="X326" s="40"/>
      <c r="Y326" s="34">
        <f>SUMPRODUCT((BIdetails!$J$5:$J$3000=M326)*(BIdetails!$K$5:$K$3000=N326)*(BIdetails!$M$5:$M$3000))</f>
        <v>0</v>
      </c>
      <c r="Z326" s="35">
        <f t="shared" si="31"/>
        <v>0</v>
      </c>
      <c r="AA326" s="31"/>
      <c r="AB326" s="31"/>
      <c r="AC326" s="31"/>
      <c r="AD326" s="31"/>
      <c r="AE326">
        <v>3180</v>
      </c>
    </row>
    <row r="327" spans="1:31" hidden="1" x14ac:dyDescent="0.25">
      <c r="A327" t="s">
        <v>2526</v>
      </c>
      <c r="B327" t="str">
        <f t="shared" si="27"/>
        <v>Decommissioned</v>
      </c>
      <c r="D327">
        <v>68427709</v>
      </c>
      <c r="E327" s="96" t="s">
        <v>41</v>
      </c>
      <c r="F327" s="98" t="s">
        <v>57</v>
      </c>
      <c r="G327" s="98" t="s">
        <v>42</v>
      </c>
      <c r="H327" s="26" t="s">
        <v>2386</v>
      </c>
      <c r="J327" t="s">
        <v>2891</v>
      </c>
      <c r="K327" s="26"/>
      <c r="L327" s="26"/>
      <c r="M327" s="228"/>
      <c r="O327" s="26" t="s">
        <v>2531</v>
      </c>
      <c r="P327" s="26" t="s">
        <v>2280</v>
      </c>
      <c r="Q327" t="s">
        <v>2550</v>
      </c>
      <c r="R327" s="31" t="s">
        <v>280</v>
      </c>
      <c r="S327" s="7"/>
      <c r="T327" s="7">
        <v>323000</v>
      </c>
      <c r="U327" s="7">
        <v>0</v>
      </c>
      <c r="V327" s="7">
        <f t="shared" si="28"/>
        <v>-323000</v>
      </c>
      <c r="W327" s="5">
        <f t="shared" si="30"/>
        <v>-1</v>
      </c>
      <c r="X327" s="22" t="s">
        <v>3115</v>
      </c>
      <c r="Y327" s="34">
        <f>SUMPRODUCT((BIdetails!$J$5:$J$3000=M327)*(BIdetails!$K$5:$K$3000=N327)*(BIdetails!$M$5:$M$3000))</f>
        <v>0</v>
      </c>
      <c r="Z327" s="35" t="str">
        <f t="shared" si="31"/>
        <v/>
      </c>
      <c r="AA327" s="31"/>
      <c r="AB327" s="31"/>
      <c r="AC327" s="31"/>
      <c r="AD327" s="31"/>
    </row>
    <row r="328" spans="1:31" hidden="1" x14ac:dyDescent="0.25">
      <c r="A328" t="s">
        <v>2526</v>
      </c>
      <c r="B328" t="str">
        <f t="shared" si="27"/>
        <v>No Change</v>
      </c>
      <c r="D328">
        <v>68427709</v>
      </c>
      <c r="E328" s="96" t="s">
        <v>53</v>
      </c>
      <c r="F328" t="s">
        <v>54</v>
      </c>
      <c r="G328" s="98" t="s">
        <v>42</v>
      </c>
      <c r="H328" s="98" t="s">
        <v>3116</v>
      </c>
      <c r="J328" t="s">
        <v>3117</v>
      </c>
      <c r="K328" s="171"/>
      <c r="L328" s="178"/>
      <c r="M328" s="233" t="s">
        <v>2666</v>
      </c>
      <c r="O328" s="98" t="s">
        <v>2531</v>
      </c>
      <c r="P328" s="98" t="s">
        <v>2537</v>
      </c>
      <c r="Q328" t="s">
        <v>2538</v>
      </c>
      <c r="R328" s="31" t="s">
        <v>2539</v>
      </c>
      <c r="S328" s="7">
        <v>40000</v>
      </c>
      <c r="T328" s="7">
        <v>40000</v>
      </c>
      <c r="U328" s="7">
        <v>40000</v>
      </c>
      <c r="V328" s="7">
        <f t="shared" si="28"/>
        <v>0</v>
      </c>
      <c r="W328" s="5">
        <f t="shared" si="30"/>
        <v>0</v>
      </c>
      <c r="X328" s="40"/>
      <c r="Y328" s="34">
        <f>SUMPRODUCT((BIdetails!$J$5:$J$3000=M328)*(BIdetails!$K$5:$K$3000=N328)*(BIdetails!$M$5:$M$3000))</f>
        <v>0</v>
      </c>
      <c r="Z328" s="35">
        <f t="shared" si="31"/>
        <v>0</v>
      </c>
      <c r="AA328" s="31"/>
      <c r="AB328" s="31"/>
      <c r="AC328" s="31"/>
      <c r="AD328" s="31"/>
      <c r="AE328">
        <v>3190</v>
      </c>
    </row>
    <row r="329" spans="1:31" x14ac:dyDescent="0.25">
      <c r="A329" t="s">
        <v>2526</v>
      </c>
      <c r="B329" t="str">
        <f t="shared" si="27"/>
        <v>No Change</v>
      </c>
      <c r="D329">
        <v>68427709</v>
      </c>
      <c r="E329" s="96" t="s">
        <v>38</v>
      </c>
      <c r="F329" t="s">
        <v>40</v>
      </c>
      <c r="G329" t="s">
        <v>40</v>
      </c>
      <c r="H329" t="s">
        <v>1512</v>
      </c>
      <c r="I329" t="s">
        <v>2225</v>
      </c>
      <c r="J329" t="s">
        <v>2637</v>
      </c>
      <c r="K329" s="26"/>
      <c r="L329" s="26"/>
      <c r="M329" s="228"/>
      <c r="O329" t="s">
        <v>2579</v>
      </c>
      <c r="P329" t="s">
        <v>2579</v>
      </c>
      <c r="Q329" t="s">
        <v>2545</v>
      </c>
      <c r="R329" s="31" t="s">
        <v>40</v>
      </c>
      <c r="S329" s="7">
        <v>50000</v>
      </c>
      <c r="T329" s="7">
        <v>70000</v>
      </c>
      <c r="U329" s="7">
        <v>70000</v>
      </c>
      <c r="V329" s="7">
        <f t="shared" si="28"/>
        <v>0</v>
      </c>
      <c r="W329" s="5">
        <f t="shared" si="30"/>
        <v>0</v>
      </c>
      <c r="X329" s="40"/>
      <c r="Y329" s="34">
        <f>SUMPRODUCT((BIdetails!$J$5:$J$3000=M329)*(BIdetails!$K$5:$K$3000=N329)*(BIdetails!$M$5:$M$3000))</f>
        <v>0</v>
      </c>
      <c r="Z329" s="35">
        <f t="shared" si="31"/>
        <v>0</v>
      </c>
      <c r="AA329" s="31" t="s">
        <v>610</v>
      </c>
      <c r="AB329" s="31" t="s">
        <v>2534</v>
      </c>
      <c r="AC329" s="31" t="s">
        <v>2558</v>
      </c>
      <c r="AD329" s="31"/>
      <c r="AE329">
        <v>603</v>
      </c>
    </row>
    <row r="330" spans="1:31" hidden="1" x14ac:dyDescent="0.25">
      <c r="A330" t="s">
        <v>2526</v>
      </c>
      <c r="B330" t="str">
        <f t="shared" si="27"/>
        <v>New</v>
      </c>
      <c r="D330">
        <v>68427709</v>
      </c>
      <c r="E330" s="96" t="s">
        <v>53</v>
      </c>
      <c r="F330" t="s">
        <v>54</v>
      </c>
      <c r="G330" t="s">
        <v>42</v>
      </c>
      <c r="H330" s="98" t="s">
        <v>3118</v>
      </c>
      <c r="J330" t="s">
        <v>3119</v>
      </c>
      <c r="K330" s="171"/>
      <c r="L330" s="171"/>
      <c r="M330"/>
      <c r="O330" s="26" t="s">
        <v>2531</v>
      </c>
      <c r="P330" s="26"/>
      <c r="Q330" t="s">
        <v>2545</v>
      </c>
      <c r="R330" s="31" t="s">
        <v>2667</v>
      </c>
      <c r="S330" s="7"/>
      <c r="T330" s="7"/>
      <c r="U330" s="7">
        <v>155000</v>
      </c>
      <c r="V330" s="7">
        <f t="shared" si="28"/>
        <v>155000</v>
      </c>
      <c r="W330" s="5"/>
      <c r="X330" s="22" t="s">
        <v>3120</v>
      </c>
      <c r="Y330" s="34"/>
      <c r="Z330" s="35"/>
      <c r="AA330" s="31"/>
      <c r="AB330" s="31"/>
      <c r="AC330" s="31"/>
      <c r="AD330" s="31"/>
    </row>
    <row r="331" spans="1:31" hidden="1" x14ac:dyDescent="0.25">
      <c r="A331" t="s">
        <v>2526</v>
      </c>
      <c r="B331" t="str">
        <f t="shared" si="27"/>
        <v>New</v>
      </c>
      <c r="D331">
        <v>68427709</v>
      </c>
      <c r="E331" s="96" t="s">
        <v>53</v>
      </c>
      <c r="F331" t="s">
        <v>54</v>
      </c>
      <c r="G331" t="s">
        <v>42</v>
      </c>
      <c r="H331" s="98" t="s">
        <v>2318</v>
      </c>
      <c r="J331" t="s">
        <v>3121</v>
      </c>
      <c r="K331" s="171"/>
      <c r="L331" s="171"/>
      <c r="M331"/>
      <c r="O331" s="26" t="s">
        <v>2531</v>
      </c>
      <c r="P331" s="26"/>
      <c r="Q331" t="s">
        <v>2545</v>
      </c>
      <c r="R331" s="31" t="s">
        <v>2667</v>
      </c>
      <c r="S331" s="7"/>
      <c r="T331" s="7"/>
      <c r="U331" s="7">
        <v>35000</v>
      </c>
      <c r="V331" s="7">
        <f t="shared" si="28"/>
        <v>35000</v>
      </c>
      <c r="W331" s="5"/>
      <c r="X331" s="255" t="s">
        <v>3122</v>
      </c>
      <c r="Y331" s="34"/>
      <c r="Z331" s="35"/>
      <c r="AA331" s="31"/>
      <c r="AB331" s="31"/>
      <c r="AC331" s="31"/>
      <c r="AD331" s="31"/>
    </row>
    <row r="332" spans="1:31" hidden="1" x14ac:dyDescent="0.25">
      <c r="A332" t="s">
        <v>2526</v>
      </c>
      <c r="B332" t="str">
        <f t="shared" si="27"/>
        <v>New</v>
      </c>
      <c r="D332">
        <v>68427709</v>
      </c>
      <c r="E332" s="96" t="s">
        <v>49</v>
      </c>
      <c r="F332" t="s">
        <v>50</v>
      </c>
      <c r="G332" t="s">
        <v>42</v>
      </c>
      <c r="H332" s="98" t="s">
        <v>3123</v>
      </c>
      <c r="J332" t="s">
        <v>3121</v>
      </c>
      <c r="K332" s="171"/>
      <c r="L332" s="171"/>
      <c r="M332" s="228"/>
      <c r="O332" s="26" t="s">
        <v>2531</v>
      </c>
      <c r="P332" s="26"/>
      <c r="Q332" t="s">
        <v>2545</v>
      </c>
      <c r="R332" s="31" t="s">
        <v>2667</v>
      </c>
      <c r="S332" s="7"/>
      <c r="T332" s="7"/>
      <c r="U332" s="7">
        <v>12500</v>
      </c>
      <c r="V332" s="7">
        <f t="shared" si="28"/>
        <v>12500</v>
      </c>
      <c r="W332" s="5"/>
      <c r="X332" s="255" t="s">
        <v>3122</v>
      </c>
      <c r="Y332" s="34"/>
      <c r="Z332" s="35"/>
      <c r="AA332" s="31"/>
      <c r="AB332" s="31"/>
      <c r="AC332" s="31"/>
      <c r="AD332" s="31"/>
    </row>
    <row r="333" spans="1:31" hidden="1" x14ac:dyDescent="0.25">
      <c r="A333" t="s">
        <v>2526</v>
      </c>
      <c r="B333" t="str">
        <f t="shared" ref="B333" si="32">IF(T333=U333,"No Change",IF(AND(U333&lt;&gt;0,U333&lt;T333),"Decrease",IF(AND(U333&lt;&gt;0,T333=0),"New",IF(AND(T333&lt;&gt;0,U333=0),"Decommissioned","Increase"))))</f>
        <v>New</v>
      </c>
      <c r="D333">
        <v>68427719</v>
      </c>
      <c r="E333" s="96" t="s">
        <v>53</v>
      </c>
      <c r="F333" t="s">
        <v>54</v>
      </c>
      <c r="G333" t="s">
        <v>42</v>
      </c>
      <c r="H333" s="26" t="s">
        <v>2323</v>
      </c>
      <c r="J333" t="s">
        <v>3124</v>
      </c>
      <c r="K333" s="26"/>
      <c r="L333" s="26"/>
      <c r="M333" s="228"/>
      <c r="O333" s="26" t="s">
        <v>2136</v>
      </c>
      <c r="P333" s="26" t="s">
        <v>2136</v>
      </c>
      <c r="Q333" t="s">
        <v>2613</v>
      </c>
      <c r="R333" s="31" t="s">
        <v>2596</v>
      </c>
      <c r="S333" s="7"/>
      <c r="T333" s="7"/>
      <c r="U333" s="7">
        <v>16000</v>
      </c>
      <c r="V333" s="7">
        <f t="shared" si="28"/>
        <v>16000</v>
      </c>
      <c r="W333" s="5"/>
      <c r="X333" s="242" t="s">
        <v>2324</v>
      </c>
      <c r="Y333" s="34"/>
      <c r="Z333" s="35"/>
      <c r="AA333" s="31"/>
      <c r="AB333" s="31"/>
      <c r="AC333" s="31"/>
      <c r="AD333" s="31"/>
    </row>
    <row r="334" spans="1:31" hidden="1" x14ac:dyDescent="0.25">
      <c r="A334" t="s">
        <v>2526</v>
      </c>
      <c r="B334" t="str">
        <f t="shared" ref="B334:B336" si="33">IF(T334=U334,"No Change",IF(AND(U334&lt;&gt;0,U334&lt;T334),"Decrease",IF(AND(U334&lt;&gt;0,T334=0),"New",IF(AND(T334&lt;&gt;0,U334=0),"Decommissioned","Increase"))))</f>
        <v>New</v>
      </c>
      <c r="D334">
        <v>68427709</v>
      </c>
      <c r="E334" s="96" t="s">
        <v>53</v>
      </c>
      <c r="F334" t="s">
        <v>54</v>
      </c>
      <c r="G334" t="s">
        <v>42</v>
      </c>
      <c r="H334" s="26" t="s">
        <v>3125</v>
      </c>
      <c r="J334" s="26" t="s">
        <v>3126</v>
      </c>
      <c r="K334" s="26">
        <v>117547</v>
      </c>
      <c r="L334" s="253"/>
      <c r="M334" s="228"/>
      <c r="O334" s="26" t="s">
        <v>2531</v>
      </c>
      <c r="P334" s="26" t="s">
        <v>1244</v>
      </c>
      <c r="Q334" t="s">
        <v>2545</v>
      </c>
      <c r="R334" s="31" t="s">
        <v>2667</v>
      </c>
      <c r="S334" s="7"/>
      <c r="T334" s="7"/>
      <c r="U334" s="7">
        <v>30500</v>
      </c>
      <c r="V334" s="7">
        <f t="shared" si="28"/>
        <v>30500</v>
      </c>
      <c r="W334" s="5"/>
      <c r="X334" s="242" t="s">
        <v>3127</v>
      </c>
      <c r="Y334" s="34"/>
      <c r="Z334" s="35"/>
      <c r="AA334" s="31"/>
      <c r="AB334" s="31"/>
      <c r="AC334" s="31"/>
      <c r="AD334" s="31"/>
    </row>
    <row r="335" spans="1:31" hidden="1" x14ac:dyDescent="0.25">
      <c r="A335" t="s">
        <v>2526</v>
      </c>
      <c r="B335" t="str">
        <f t="shared" si="33"/>
        <v>New</v>
      </c>
      <c r="D335">
        <v>68427709</v>
      </c>
      <c r="E335" s="96" t="s">
        <v>53</v>
      </c>
      <c r="F335" t="s">
        <v>54</v>
      </c>
      <c r="G335" t="s">
        <v>42</v>
      </c>
      <c r="H335" s="26" t="s">
        <v>3128</v>
      </c>
      <c r="J335" t="s">
        <v>3129</v>
      </c>
      <c r="K335">
        <v>199582</v>
      </c>
      <c r="L335" s="26" t="s">
        <v>2967</v>
      </c>
      <c r="M335" s="228"/>
      <c r="O335" s="26" t="s">
        <v>2531</v>
      </c>
      <c r="P335" s="26" t="s">
        <v>1244</v>
      </c>
      <c r="Q335" t="s">
        <v>2550</v>
      </c>
      <c r="R335" s="31" t="s">
        <v>2551</v>
      </c>
      <c r="S335" s="7"/>
      <c r="T335" s="7"/>
      <c r="U335" s="7">
        <v>76000</v>
      </c>
      <c r="V335" s="7">
        <f t="shared" si="28"/>
        <v>76000</v>
      </c>
      <c r="W335" s="5"/>
      <c r="X335" s="22" t="s">
        <v>3130</v>
      </c>
      <c r="Y335" s="34"/>
      <c r="Z335" s="35"/>
      <c r="AA335" s="31"/>
      <c r="AB335" s="31"/>
      <c r="AC335" s="31"/>
      <c r="AD335" s="31"/>
    </row>
    <row r="336" spans="1:31" hidden="1" x14ac:dyDescent="0.25">
      <c r="A336" t="s">
        <v>2526</v>
      </c>
      <c r="B336" t="str">
        <f t="shared" si="33"/>
        <v>New</v>
      </c>
      <c r="D336">
        <v>68427709</v>
      </c>
      <c r="E336" s="257" t="s">
        <v>19</v>
      </c>
      <c r="F336" s="171" t="s">
        <v>20</v>
      </c>
      <c r="G336" s="171" t="s">
        <v>16</v>
      </c>
      <c r="H336" s="26" t="s">
        <v>3131</v>
      </c>
      <c r="J336" t="s">
        <v>3132</v>
      </c>
      <c r="K336">
        <v>166304</v>
      </c>
      <c r="L336" s="26" t="s">
        <v>517</v>
      </c>
      <c r="M336" s="228"/>
      <c r="O336" s="26" t="s">
        <v>2190</v>
      </c>
      <c r="P336" s="26" t="s">
        <v>2754</v>
      </c>
      <c r="Q336" t="s">
        <v>2545</v>
      </c>
      <c r="R336" s="31" t="s">
        <v>2667</v>
      </c>
      <c r="S336" s="7"/>
      <c r="T336" s="7"/>
      <c r="U336" s="7">
        <v>50000</v>
      </c>
      <c r="V336" s="7">
        <f t="shared" si="28"/>
        <v>50000</v>
      </c>
      <c r="W336" s="5"/>
      <c r="X336" s="22"/>
      <c r="Y336" s="34"/>
      <c r="Z336" s="35"/>
      <c r="AA336" s="31"/>
      <c r="AB336" s="31"/>
      <c r="AC336" s="31"/>
      <c r="AD336" s="31"/>
    </row>
    <row r="337" spans="1:30" hidden="1" x14ac:dyDescent="0.25">
      <c r="A337" t="s">
        <v>2526</v>
      </c>
      <c r="B337" t="str">
        <f t="shared" ref="B337" si="34">IF(T337=U337,"No Change",IF(AND(U337&lt;&gt;0,U337&lt;T337),"Decrease",IF(AND(U337&lt;&gt;0,T337=0),"New",IF(AND(T337&lt;&gt;0,U337=0),"Decommissioned","Increase"))))</f>
        <v>New</v>
      </c>
      <c r="D337">
        <v>68427709</v>
      </c>
      <c r="E337" s="96" t="s">
        <v>53</v>
      </c>
      <c r="F337" t="s">
        <v>54</v>
      </c>
      <c r="G337" s="98" t="s">
        <v>42</v>
      </c>
      <c r="H337" s="26" t="s">
        <v>2367</v>
      </c>
      <c r="J337" t="s">
        <v>2958</v>
      </c>
      <c r="K337" s="98">
        <v>181895</v>
      </c>
      <c r="L337" s="98" t="s">
        <v>2955</v>
      </c>
      <c r="M337" s="228"/>
      <c r="O337" s="98" t="s">
        <v>2531</v>
      </c>
      <c r="P337" s="26" t="s">
        <v>3133</v>
      </c>
      <c r="Q337" t="s">
        <v>2545</v>
      </c>
      <c r="R337" s="31" t="s">
        <v>2551</v>
      </c>
      <c r="S337" s="7"/>
      <c r="T337" s="7"/>
      <c r="U337" s="7">
        <v>78000</v>
      </c>
      <c r="V337" s="7">
        <f t="shared" si="28"/>
        <v>78000</v>
      </c>
      <c r="W337" s="5"/>
      <c r="X337" s="22"/>
      <c r="Y337" s="34"/>
      <c r="Z337" s="35"/>
      <c r="AA337" s="31"/>
      <c r="AB337" s="31"/>
      <c r="AC337" s="31"/>
      <c r="AD337" s="31"/>
    </row>
    <row r="338" spans="1:30" hidden="1" x14ac:dyDescent="0.25">
      <c r="A338" t="s">
        <v>2526</v>
      </c>
      <c r="B338" t="str">
        <f t="shared" ref="B338" si="35">IF(T338=U338,"No Change",IF(AND(U338&lt;&gt;0,U338&lt;T338),"Decrease",IF(AND(U338&lt;&gt;0,T338=0),"New",IF(AND(T338&lt;&gt;0,U338=0),"Decommissioned","Increase"))))</f>
        <v>New</v>
      </c>
      <c r="D338">
        <v>68427709</v>
      </c>
      <c r="E338" s="96" t="s">
        <v>53</v>
      </c>
      <c r="F338" t="s">
        <v>54</v>
      </c>
      <c r="G338" s="98" t="s">
        <v>42</v>
      </c>
      <c r="H338" s="26" t="s">
        <v>3134</v>
      </c>
      <c r="J338" t="s">
        <v>2895</v>
      </c>
      <c r="K338">
        <v>193275</v>
      </c>
      <c r="L338" t="s">
        <v>2736</v>
      </c>
      <c r="M338" s="228"/>
      <c r="O338" s="98" t="s">
        <v>2531</v>
      </c>
      <c r="P338" s="26" t="s">
        <v>2280</v>
      </c>
      <c r="Q338" t="s">
        <v>2550</v>
      </c>
      <c r="R338" s="31" t="s">
        <v>280</v>
      </c>
      <c r="S338" s="7"/>
      <c r="T338" s="7"/>
      <c r="U338" s="7">
        <v>260000</v>
      </c>
      <c r="V338" s="7">
        <f t="shared" si="28"/>
        <v>260000</v>
      </c>
      <c r="W338" s="5"/>
      <c r="X338" s="22" t="s">
        <v>3135</v>
      </c>
      <c r="Y338" s="34"/>
      <c r="Z338" s="35"/>
      <c r="AA338" s="31"/>
      <c r="AB338" s="31"/>
      <c r="AC338" s="31"/>
      <c r="AD338" s="31"/>
    </row>
    <row r="339" spans="1:30" hidden="1" x14ac:dyDescent="0.25">
      <c r="A339" t="s">
        <v>2526</v>
      </c>
      <c r="B339" t="str">
        <f t="shared" ref="B339:B343" si="36">IF(T339=U339,"No Change",IF(AND(U339&lt;&gt;0,U339&lt;T339),"Decrease",IF(AND(U339&lt;&gt;0,T339=0),"New",IF(AND(T339&lt;&gt;0,U339=0),"Decommissioned","Increase"))))</f>
        <v>New</v>
      </c>
      <c r="D339">
        <v>68427709</v>
      </c>
      <c r="E339" s="96" t="s">
        <v>53</v>
      </c>
      <c r="F339" t="s">
        <v>54</v>
      </c>
      <c r="G339" s="98" t="s">
        <v>42</v>
      </c>
      <c r="H339" s="26" t="s">
        <v>3136</v>
      </c>
      <c r="J339" t="s">
        <v>3137</v>
      </c>
      <c r="K339" s="178"/>
      <c r="L339" s="178"/>
      <c r="M339" s="228"/>
      <c r="O339" s="98" t="s">
        <v>2531</v>
      </c>
      <c r="P339" s="26" t="s">
        <v>2280</v>
      </c>
      <c r="Q339" s="223" t="s">
        <v>2545</v>
      </c>
      <c r="R339" s="31" t="s">
        <v>280</v>
      </c>
      <c r="S339" s="7"/>
      <c r="T339" s="7"/>
      <c r="U339" s="7">
        <v>56200</v>
      </c>
      <c r="V339" s="7">
        <f t="shared" si="28"/>
        <v>56200</v>
      </c>
      <c r="W339" s="5"/>
      <c r="X339" s="22" t="s">
        <v>3138</v>
      </c>
      <c r="Y339" s="34"/>
      <c r="Z339" s="35"/>
      <c r="AA339" s="31"/>
      <c r="AB339" s="31"/>
      <c r="AC339" s="31"/>
      <c r="AD339" s="31"/>
    </row>
    <row r="340" spans="1:30" hidden="1" x14ac:dyDescent="0.25">
      <c r="A340" t="s">
        <v>2526</v>
      </c>
      <c r="B340" t="str">
        <f t="shared" si="36"/>
        <v>New</v>
      </c>
      <c r="D340">
        <v>68427709</v>
      </c>
      <c r="E340" s="96" t="s">
        <v>49</v>
      </c>
      <c r="F340" t="s">
        <v>50</v>
      </c>
      <c r="G340" t="s">
        <v>42</v>
      </c>
      <c r="H340" s="26" t="s">
        <v>2393</v>
      </c>
      <c r="J340" t="s">
        <v>3139</v>
      </c>
      <c r="K340" s="178"/>
      <c r="L340" s="98" t="s">
        <v>3140</v>
      </c>
      <c r="M340" s="228"/>
      <c r="O340" s="98" t="s">
        <v>2531</v>
      </c>
      <c r="P340" s="26" t="s">
        <v>2280</v>
      </c>
      <c r="Q340" t="s">
        <v>2545</v>
      </c>
      <c r="R340" s="31" t="s">
        <v>2587</v>
      </c>
      <c r="S340" s="7"/>
      <c r="T340" s="256"/>
      <c r="U340" s="7">
        <v>105000</v>
      </c>
      <c r="V340" s="7">
        <f t="shared" si="28"/>
        <v>105000</v>
      </c>
      <c r="W340" s="5"/>
      <c r="X340" s="22"/>
      <c r="Y340" s="34"/>
      <c r="Z340" s="35"/>
      <c r="AA340" s="31"/>
      <c r="AB340" s="31"/>
      <c r="AC340" s="31"/>
      <c r="AD340" s="31"/>
    </row>
    <row r="341" spans="1:30" hidden="1" x14ac:dyDescent="0.25">
      <c r="A341" t="s">
        <v>2526</v>
      </c>
      <c r="B341" t="str">
        <f t="shared" si="36"/>
        <v>New</v>
      </c>
      <c r="D341">
        <v>68427709</v>
      </c>
      <c r="E341" s="96" t="s">
        <v>49</v>
      </c>
      <c r="F341" t="s">
        <v>50</v>
      </c>
      <c r="G341" t="s">
        <v>42</v>
      </c>
      <c r="H341" s="26" t="s">
        <v>2395</v>
      </c>
      <c r="J341" t="s">
        <v>3139</v>
      </c>
      <c r="K341" s="178"/>
      <c r="L341" s="98" t="s">
        <v>3140</v>
      </c>
      <c r="M341" s="228"/>
      <c r="O341" s="98" t="s">
        <v>2531</v>
      </c>
      <c r="P341" s="26" t="s">
        <v>2280</v>
      </c>
      <c r="Q341" t="s">
        <v>2550</v>
      </c>
      <c r="R341" s="31" t="s">
        <v>280</v>
      </c>
      <c r="S341" s="7"/>
      <c r="T341" s="256"/>
      <c r="U341" s="7">
        <v>105000</v>
      </c>
      <c r="V341" s="7">
        <f t="shared" si="28"/>
        <v>105000</v>
      </c>
      <c r="W341" s="5"/>
      <c r="X341" s="22"/>
      <c r="Y341" s="34"/>
      <c r="Z341" s="35"/>
      <c r="AA341" s="31"/>
      <c r="AB341" s="31"/>
      <c r="AC341" s="31"/>
      <c r="AD341" s="31"/>
    </row>
    <row r="342" spans="1:30" ht="14.1" hidden="1" customHeight="1" x14ac:dyDescent="0.25">
      <c r="A342" t="s">
        <v>2526</v>
      </c>
      <c r="B342" t="str">
        <f t="shared" si="36"/>
        <v>New</v>
      </c>
      <c r="D342">
        <v>68427709</v>
      </c>
      <c r="E342" s="96" t="s">
        <v>53</v>
      </c>
      <c r="F342" t="s">
        <v>54</v>
      </c>
      <c r="G342" s="98" t="s">
        <v>42</v>
      </c>
      <c r="H342" s="26" t="s">
        <v>2397</v>
      </c>
      <c r="J342" t="s">
        <v>3139</v>
      </c>
      <c r="K342" s="178"/>
      <c r="L342" s="178"/>
      <c r="M342" s="228"/>
      <c r="O342" s="98" t="s">
        <v>2531</v>
      </c>
      <c r="P342" s="26" t="s">
        <v>2280</v>
      </c>
      <c r="Q342" t="s">
        <v>2545</v>
      </c>
      <c r="R342" s="31" t="s">
        <v>2587</v>
      </c>
      <c r="S342" s="7"/>
      <c r="T342" s="256"/>
      <c r="U342" s="7">
        <v>56200</v>
      </c>
      <c r="V342" s="7">
        <f t="shared" si="28"/>
        <v>56200</v>
      </c>
      <c r="W342" s="5"/>
      <c r="X342" s="22"/>
      <c r="Y342" s="34"/>
      <c r="Z342" s="35"/>
      <c r="AA342" s="31"/>
      <c r="AB342" s="31"/>
      <c r="AC342" s="31"/>
      <c r="AD342" s="31"/>
    </row>
    <row r="343" spans="1:30" hidden="1" x14ac:dyDescent="0.25">
      <c r="A343" t="s">
        <v>2526</v>
      </c>
      <c r="B343" t="str">
        <f t="shared" si="36"/>
        <v>New</v>
      </c>
      <c r="D343">
        <v>68427709</v>
      </c>
      <c r="E343" s="257" t="s">
        <v>19</v>
      </c>
      <c r="F343" s="171" t="s">
        <v>20</v>
      </c>
      <c r="G343" s="171" t="s">
        <v>16</v>
      </c>
      <c r="H343" s="26" t="s">
        <v>3141</v>
      </c>
      <c r="J343" t="s">
        <v>3142</v>
      </c>
      <c r="K343">
        <v>166304</v>
      </c>
      <c r="L343" s="26" t="s">
        <v>517</v>
      </c>
      <c r="M343" s="228"/>
      <c r="O343" s="98" t="s">
        <v>2190</v>
      </c>
      <c r="P343" s="26" t="s">
        <v>2280</v>
      </c>
      <c r="Q343" t="s">
        <v>2550</v>
      </c>
      <c r="R343" s="31" t="s">
        <v>280</v>
      </c>
      <c r="S343" s="7"/>
      <c r="T343" s="7"/>
      <c r="U343" s="7">
        <v>40800</v>
      </c>
      <c r="V343" s="7">
        <f t="shared" si="28"/>
        <v>40800</v>
      </c>
      <c r="W343" s="5"/>
      <c r="X343" s="22"/>
      <c r="Y343" s="34"/>
      <c r="Z343" s="35"/>
      <c r="AA343" s="31"/>
      <c r="AB343" s="31"/>
      <c r="AC343" s="31"/>
      <c r="AD343" s="31"/>
    </row>
    <row r="344" spans="1:30" hidden="1" x14ac:dyDescent="0.25">
      <c r="A344" t="s">
        <v>2526</v>
      </c>
      <c r="B344" t="str">
        <f t="shared" ref="B344:B346" si="37">IF(T344=U344,"No Change",IF(AND(U344&lt;&gt;0,U344&lt;T344),"Decrease",IF(AND(U344&lt;&gt;0,T344=0),"New",IF(AND(T344&lt;&gt;0,U344=0),"Decommissioned","Increase"))))</f>
        <v>New</v>
      </c>
      <c r="D344">
        <v>68427709</v>
      </c>
      <c r="E344" s="257" t="s">
        <v>19</v>
      </c>
      <c r="F344" s="171" t="s">
        <v>20</v>
      </c>
      <c r="G344" s="98" t="s">
        <v>42</v>
      </c>
      <c r="H344" t="s">
        <v>3143</v>
      </c>
      <c r="J344" t="s">
        <v>2891</v>
      </c>
      <c r="K344">
        <v>166304</v>
      </c>
      <c r="L344" s="26" t="s">
        <v>517</v>
      </c>
      <c r="M344" s="228"/>
      <c r="O344" s="98" t="s">
        <v>2190</v>
      </c>
      <c r="P344" s="26" t="s">
        <v>2280</v>
      </c>
      <c r="Q344" t="s">
        <v>2550</v>
      </c>
      <c r="R344" s="31" t="s">
        <v>280</v>
      </c>
      <c r="S344" s="7"/>
      <c r="T344" s="7"/>
      <c r="U344" s="7">
        <v>376000</v>
      </c>
      <c r="V344" s="7">
        <f t="shared" si="28"/>
        <v>376000</v>
      </c>
      <c r="W344" s="5"/>
      <c r="X344" s="22" t="s">
        <v>3144</v>
      </c>
      <c r="Y344" s="34"/>
      <c r="Z344" s="35"/>
      <c r="AA344" s="31"/>
      <c r="AB344" s="31"/>
      <c r="AC344" s="31"/>
      <c r="AD344" s="31"/>
    </row>
    <row r="345" spans="1:30" hidden="1" x14ac:dyDescent="0.25">
      <c r="A345" t="s">
        <v>2526</v>
      </c>
      <c r="B345" t="str">
        <f t="shared" si="37"/>
        <v>New</v>
      </c>
      <c r="D345">
        <v>68427709</v>
      </c>
      <c r="E345" s="96" t="s">
        <v>41</v>
      </c>
      <c r="F345" s="98" t="s">
        <v>57</v>
      </c>
      <c r="G345" s="98" t="s">
        <v>42</v>
      </c>
      <c r="H345" s="26" t="s">
        <v>3145</v>
      </c>
      <c r="I345" s="26" t="s">
        <v>2590</v>
      </c>
      <c r="K345">
        <v>187516</v>
      </c>
      <c r="L345" s="98" t="s">
        <v>564</v>
      </c>
      <c r="M345" s="228"/>
      <c r="O345" s="98" t="s">
        <v>2531</v>
      </c>
      <c r="P345" s="26" t="s">
        <v>2556</v>
      </c>
      <c r="Q345" t="s">
        <v>2545</v>
      </c>
      <c r="R345" s="31" t="s">
        <v>2533</v>
      </c>
      <c r="S345" s="7"/>
      <c r="T345" s="7"/>
      <c r="U345" s="7">
        <v>65000</v>
      </c>
      <c r="V345" s="7">
        <f t="shared" si="28"/>
        <v>65000</v>
      </c>
      <c r="W345" s="5"/>
      <c r="X345" s="22" t="s">
        <v>3146</v>
      </c>
      <c r="Y345" s="34"/>
      <c r="Z345" s="35"/>
      <c r="AA345" s="31"/>
      <c r="AB345" s="31"/>
      <c r="AC345" s="31"/>
      <c r="AD345" s="31"/>
    </row>
    <row r="346" spans="1:30" hidden="1" x14ac:dyDescent="0.25">
      <c r="A346" t="s">
        <v>2526</v>
      </c>
      <c r="B346" t="str">
        <f t="shared" si="37"/>
        <v>New</v>
      </c>
      <c r="D346">
        <v>68427709</v>
      </c>
      <c r="E346" s="96" t="s">
        <v>41</v>
      </c>
      <c r="F346" s="98" t="s">
        <v>57</v>
      </c>
      <c r="G346" s="98" t="s">
        <v>42</v>
      </c>
      <c r="H346" t="s">
        <v>2476</v>
      </c>
      <c r="I346" t="s">
        <v>2554</v>
      </c>
      <c r="J346" s="228" t="s">
        <v>2555</v>
      </c>
      <c r="K346">
        <v>187516</v>
      </c>
      <c r="L346" s="98" t="s">
        <v>564</v>
      </c>
      <c r="M346" s="228"/>
      <c r="O346" s="98" t="s">
        <v>2531</v>
      </c>
      <c r="P346" s="26" t="s">
        <v>2556</v>
      </c>
      <c r="Q346" s="98" t="s">
        <v>2532</v>
      </c>
      <c r="R346" s="31" t="s">
        <v>2533</v>
      </c>
      <c r="S346" s="7"/>
      <c r="T346" s="7"/>
      <c r="U346" s="7">
        <v>250000</v>
      </c>
      <c r="V346" s="7">
        <f t="shared" si="28"/>
        <v>250000</v>
      </c>
      <c r="W346" s="5"/>
      <c r="X346" s="22" t="s">
        <v>3147</v>
      </c>
      <c r="Y346" s="34"/>
      <c r="Z346" s="35"/>
      <c r="AA346" s="31"/>
      <c r="AB346" s="31"/>
      <c r="AC346" s="31"/>
      <c r="AD346" s="31"/>
    </row>
    <row r="347" spans="1:30" hidden="1" x14ac:dyDescent="0.25">
      <c r="A347" t="s">
        <v>2526</v>
      </c>
      <c r="B347" t="str">
        <f t="shared" ref="B347" si="38">IF(T347=U347,"No Change",IF(AND(U347&lt;&gt;0,U347&lt;T347),"Decrease",IF(AND(U347&lt;&gt;0,T347=0),"New",IF(AND(T347&lt;&gt;0,U347=0),"Decommissioned","Increase"))))</f>
        <v>New</v>
      </c>
      <c r="D347">
        <v>68427709</v>
      </c>
      <c r="E347" s="96" t="s">
        <v>41</v>
      </c>
      <c r="F347" s="98" t="s">
        <v>57</v>
      </c>
      <c r="G347" s="98" t="s">
        <v>42</v>
      </c>
      <c r="H347" s="26" t="s">
        <v>3148</v>
      </c>
      <c r="I347" t="s">
        <v>2554</v>
      </c>
      <c r="J347" s="228" t="s">
        <v>3037</v>
      </c>
      <c r="K347">
        <v>187516</v>
      </c>
      <c r="L347" s="98" t="s">
        <v>564</v>
      </c>
      <c r="M347" s="228"/>
      <c r="O347" s="98" t="s">
        <v>2531</v>
      </c>
      <c r="P347" s="26" t="s">
        <v>2556</v>
      </c>
      <c r="Q347" s="171" t="s">
        <v>2532</v>
      </c>
      <c r="R347" s="31" t="s">
        <v>2533</v>
      </c>
      <c r="S347" s="7"/>
      <c r="T347" s="7"/>
      <c r="U347" s="7">
        <v>65000</v>
      </c>
      <c r="V347" s="7">
        <f t="shared" si="28"/>
        <v>65000</v>
      </c>
      <c r="W347" s="5"/>
      <c r="X347" s="22" t="s">
        <v>3149</v>
      </c>
      <c r="Y347" s="34"/>
      <c r="Z347" s="35"/>
      <c r="AA347" s="31"/>
      <c r="AB347" s="31"/>
      <c r="AC347" s="31"/>
      <c r="AD347" s="31"/>
    </row>
    <row r="348" spans="1:30" hidden="1" x14ac:dyDescent="0.25">
      <c r="A348" t="s">
        <v>2526</v>
      </c>
      <c r="B348" t="str">
        <f t="shared" ref="B348:B349" si="39">IF(T348=U348,"No Change",IF(AND(U348&lt;&gt;0,U348&lt;T348),"Decrease",IF(AND(U348&lt;&gt;0,T348=0),"New",IF(AND(T348&lt;&gt;0,U348=0),"Decommissioned","Increase"))))</f>
        <v>New</v>
      </c>
      <c r="D348">
        <v>68427709</v>
      </c>
      <c r="E348" s="96" t="s">
        <v>49</v>
      </c>
      <c r="F348" t="s">
        <v>50</v>
      </c>
      <c r="G348" s="98" t="s">
        <v>42</v>
      </c>
      <c r="H348" s="26" t="s">
        <v>3150</v>
      </c>
      <c r="J348" t="s">
        <v>3114</v>
      </c>
      <c r="K348" s="171"/>
      <c r="L348" s="253"/>
      <c r="M348" s="228"/>
      <c r="O348" s="98" t="s">
        <v>2531</v>
      </c>
      <c r="P348" s="26" t="s">
        <v>1585</v>
      </c>
      <c r="Q348" t="s">
        <v>2538</v>
      </c>
      <c r="R348" s="31" t="s">
        <v>2539</v>
      </c>
      <c r="S348" s="7"/>
      <c r="T348" s="7"/>
      <c r="U348" s="7">
        <v>110000</v>
      </c>
      <c r="V348" s="7">
        <f t="shared" si="28"/>
        <v>110000</v>
      </c>
      <c r="W348" s="5"/>
      <c r="X348" s="22" t="s">
        <v>3151</v>
      </c>
      <c r="Y348" s="34"/>
      <c r="Z348" s="35"/>
      <c r="AA348" s="31"/>
      <c r="AB348" s="31"/>
      <c r="AC348" s="31"/>
      <c r="AD348" s="31"/>
    </row>
    <row r="349" spans="1:30" hidden="1" x14ac:dyDescent="0.25">
      <c r="A349" t="s">
        <v>2526</v>
      </c>
      <c r="B349" t="str">
        <f t="shared" si="39"/>
        <v>New</v>
      </c>
      <c r="D349">
        <v>68427709</v>
      </c>
      <c r="E349" s="96" t="s">
        <v>53</v>
      </c>
      <c r="F349" t="s">
        <v>54</v>
      </c>
      <c r="G349" s="98" t="s">
        <v>42</v>
      </c>
      <c r="H349" s="26" t="s">
        <v>3152</v>
      </c>
      <c r="J349" t="s">
        <v>3114</v>
      </c>
      <c r="K349" s="171"/>
      <c r="L349" s="253"/>
      <c r="M349" s="228"/>
      <c r="O349" s="98" t="s">
        <v>2531</v>
      </c>
      <c r="P349" s="26" t="s">
        <v>1585</v>
      </c>
      <c r="Q349" t="s">
        <v>2538</v>
      </c>
      <c r="R349" s="31" t="s">
        <v>2539</v>
      </c>
      <c r="S349" s="7"/>
      <c r="T349" s="7"/>
      <c r="U349" s="7">
        <v>162000</v>
      </c>
      <c r="V349" s="7">
        <f t="shared" si="28"/>
        <v>162000</v>
      </c>
      <c r="W349" s="5"/>
      <c r="X349" s="22" t="s">
        <v>3151</v>
      </c>
      <c r="Y349" s="34"/>
      <c r="Z349" s="35"/>
      <c r="AA349" s="31"/>
      <c r="AB349" s="31"/>
      <c r="AC349" s="31"/>
      <c r="AD349" s="31"/>
    </row>
    <row r="350" spans="1:30" hidden="1" x14ac:dyDescent="0.25">
      <c r="A350" t="s">
        <v>2526</v>
      </c>
      <c r="B350" t="str">
        <f t="shared" ref="B350:B356" si="40">IF(T350=U350,"No Change",IF(AND(U350&lt;&gt;0,U350&lt;T350),"Decrease",IF(AND(U350&lt;&gt;0,T350=0),"New",IF(AND(T350&lt;&gt;0,U350=0),"Decommissioned","Increase"))))</f>
        <v>New</v>
      </c>
      <c r="D350">
        <v>68427709</v>
      </c>
      <c r="E350" s="96" t="s">
        <v>53</v>
      </c>
      <c r="F350" t="s">
        <v>54</v>
      </c>
      <c r="G350" s="98" t="s">
        <v>42</v>
      </c>
      <c r="H350" s="26" t="s">
        <v>3153</v>
      </c>
      <c r="J350" t="s">
        <v>3154</v>
      </c>
      <c r="K350" s="171"/>
      <c r="L350" s="253"/>
      <c r="M350" s="228"/>
      <c r="O350" s="98" t="s">
        <v>2531</v>
      </c>
      <c r="P350" s="26" t="s">
        <v>2280</v>
      </c>
      <c r="Q350" t="s">
        <v>2550</v>
      </c>
      <c r="R350" s="31" t="s">
        <v>280</v>
      </c>
      <c r="S350" s="7"/>
      <c r="T350" s="7"/>
      <c r="U350" s="7">
        <v>11250</v>
      </c>
      <c r="V350" s="7">
        <f t="shared" si="28"/>
        <v>11250</v>
      </c>
      <c r="W350" s="5"/>
      <c r="X350" s="22"/>
      <c r="Y350" s="34"/>
      <c r="Z350" s="35"/>
      <c r="AA350" s="31"/>
      <c r="AB350" s="31"/>
      <c r="AC350" s="31"/>
      <c r="AD350" s="31"/>
    </row>
    <row r="351" spans="1:30" hidden="1" x14ac:dyDescent="0.25">
      <c r="A351" t="s">
        <v>2526</v>
      </c>
      <c r="B351" t="str">
        <f t="shared" si="40"/>
        <v>New</v>
      </c>
      <c r="D351">
        <v>68427709</v>
      </c>
      <c r="E351" s="96" t="s">
        <v>34</v>
      </c>
      <c r="F351" t="s">
        <v>35</v>
      </c>
      <c r="G351" s="98" t="s">
        <v>31</v>
      </c>
      <c r="H351" s="26" t="s">
        <v>2458</v>
      </c>
      <c r="I351" t="s">
        <v>2630</v>
      </c>
      <c r="J351" t="s">
        <v>2631</v>
      </c>
      <c r="K351">
        <v>187516</v>
      </c>
      <c r="L351" t="s">
        <v>564</v>
      </c>
      <c r="M351" s="228"/>
      <c r="O351" s="98" t="s">
        <v>2190</v>
      </c>
      <c r="P351" s="26" t="s">
        <v>2190</v>
      </c>
      <c r="Q351" t="s">
        <v>2545</v>
      </c>
      <c r="R351" s="31" t="s">
        <v>2607</v>
      </c>
      <c r="S351" s="7"/>
      <c r="T351" s="7"/>
      <c r="U351" s="7">
        <v>125000</v>
      </c>
      <c r="V351" s="7">
        <f t="shared" si="28"/>
        <v>125000</v>
      </c>
      <c r="W351" s="5"/>
      <c r="X351" s="22" t="s">
        <v>2459</v>
      </c>
      <c r="Y351" s="34"/>
      <c r="Z351" s="35"/>
      <c r="AA351" s="31"/>
      <c r="AB351" s="31"/>
      <c r="AC351" s="31"/>
      <c r="AD351" s="31"/>
    </row>
    <row r="352" spans="1:30" hidden="1" x14ac:dyDescent="0.25">
      <c r="A352" t="s">
        <v>2526</v>
      </c>
      <c r="B352" t="str">
        <f t="shared" si="40"/>
        <v>New</v>
      </c>
      <c r="D352">
        <v>68427709</v>
      </c>
      <c r="E352" s="96" t="s">
        <v>34</v>
      </c>
      <c r="F352" t="s">
        <v>35</v>
      </c>
      <c r="G352" s="98" t="s">
        <v>31</v>
      </c>
      <c r="H352" s="26" t="s">
        <v>2460</v>
      </c>
      <c r="I352" t="s">
        <v>2630</v>
      </c>
      <c r="J352" t="s">
        <v>2631</v>
      </c>
      <c r="K352">
        <v>187516</v>
      </c>
      <c r="L352" t="s">
        <v>564</v>
      </c>
      <c r="M352" s="228"/>
      <c r="O352" s="98" t="s">
        <v>2190</v>
      </c>
      <c r="P352" s="26" t="s">
        <v>2190</v>
      </c>
      <c r="Q352" t="s">
        <v>2545</v>
      </c>
      <c r="R352" s="31" t="s">
        <v>2607</v>
      </c>
      <c r="S352" s="7"/>
      <c r="T352" s="7"/>
      <c r="U352" s="7">
        <v>125000</v>
      </c>
      <c r="V352" s="7">
        <f t="shared" si="28"/>
        <v>125000</v>
      </c>
      <c r="W352" s="5"/>
      <c r="X352" s="22" t="s">
        <v>2461</v>
      </c>
      <c r="Y352" s="34"/>
      <c r="Z352" s="35"/>
      <c r="AA352" s="31"/>
      <c r="AB352" s="31"/>
      <c r="AC352" s="31"/>
      <c r="AD352" s="31"/>
    </row>
    <row r="353" spans="1:32" hidden="1" x14ac:dyDescent="0.25">
      <c r="A353" t="s">
        <v>2526</v>
      </c>
      <c r="B353" t="str">
        <f t="shared" si="40"/>
        <v>New</v>
      </c>
      <c r="D353">
        <v>68427709</v>
      </c>
      <c r="E353" s="96" t="s">
        <v>14</v>
      </c>
      <c r="F353" t="s">
        <v>15</v>
      </c>
      <c r="G353" s="98" t="s">
        <v>16</v>
      </c>
      <c r="H353" s="26" t="s">
        <v>2462</v>
      </c>
      <c r="I353" t="s">
        <v>2225</v>
      </c>
      <c r="J353" t="s">
        <v>2637</v>
      </c>
      <c r="K353">
        <v>187516</v>
      </c>
      <c r="L353" t="s">
        <v>564</v>
      </c>
      <c r="M353" s="228"/>
      <c r="O353" s="98" t="s">
        <v>2190</v>
      </c>
      <c r="P353" s="26" t="s">
        <v>2190</v>
      </c>
      <c r="Q353" t="s">
        <v>2545</v>
      </c>
      <c r="R353" s="31" t="s">
        <v>2607</v>
      </c>
      <c r="S353" s="7"/>
      <c r="T353" s="7"/>
      <c r="U353" s="7">
        <v>64000</v>
      </c>
      <c r="V353" s="7">
        <f t="shared" si="28"/>
        <v>64000</v>
      </c>
      <c r="W353" s="5"/>
      <c r="X353" s="22" t="s">
        <v>2463</v>
      </c>
      <c r="Y353" s="34"/>
      <c r="Z353" s="35"/>
      <c r="AA353" s="31"/>
      <c r="AB353" s="31"/>
      <c r="AC353" s="31"/>
      <c r="AD353" s="31"/>
    </row>
    <row r="354" spans="1:32" hidden="1" x14ac:dyDescent="0.25">
      <c r="A354" t="s">
        <v>2526</v>
      </c>
      <c r="B354" t="str">
        <f t="shared" si="40"/>
        <v>New</v>
      </c>
      <c r="D354">
        <v>68427709</v>
      </c>
      <c r="E354" s="96" t="s">
        <v>36</v>
      </c>
      <c r="F354" t="s">
        <v>37</v>
      </c>
      <c r="G354" s="98" t="s">
        <v>31</v>
      </c>
      <c r="H354" s="26" t="s">
        <v>1392</v>
      </c>
      <c r="I354" t="s">
        <v>2228</v>
      </c>
      <c r="J354" t="s">
        <v>2625</v>
      </c>
      <c r="K354">
        <v>187516</v>
      </c>
      <c r="L354" t="s">
        <v>564</v>
      </c>
      <c r="M354" s="228"/>
      <c r="O354" s="98" t="s">
        <v>2190</v>
      </c>
      <c r="P354" s="26" t="s">
        <v>2190</v>
      </c>
      <c r="Q354" t="s">
        <v>2626</v>
      </c>
      <c r="R354" s="31" t="s">
        <v>2607</v>
      </c>
      <c r="S354" s="7"/>
      <c r="T354" s="7"/>
      <c r="U354" s="7">
        <v>50000</v>
      </c>
      <c r="V354" s="7">
        <f t="shared" si="28"/>
        <v>50000</v>
      </c>
      <c r="W354" s="5"/>
      <c r="X354" s="22" t="s">
        <v>2464</v>
      </c>
      <c r="Y354" s="34"/>
      <c r="Z354" s="35"/>
      <c r="AA354" s="31"/>
      <c r="AB354" s="31"/>
      <c r="AC354" s="31"/>
      <c r="AD354" s="31"/>
    </row>
    <row r="355" spans="1:32" hidden="1" x14ac:dyDescent="0.25">
      <c r="A355" t="s">
        <v>2526</v>
      </c>
      <c r="B355" t="str">
        <f t="shared" si="40"/>
        <v>New</v>
      </c>
      <c r="D355">
        <v>68427709</v>
      </c>
      <c r="E355" s="96" t="s">
        <v>36</v>
      </c>
      <c r="F355" t="s">
        <v>37</v>
      </c>
      <c r="G355" s="98" t="s">
        <v>31</v>
      </c>
      <c r="H355" s="26" t="s">
        <v>2465</v>
      </c>
      <c r="I355" t="s">
        <v>2228</v>
      </c>
      <c r="J355" t="s">
        <v>2625</v>
      </c>
      <c r="K355">
        <v>187516</v>
      </c>
      <c r="L355" t="s">
        <v>564</v>
      </c>
      <c r="M355" s="228"/>
      <c r="O355" s="98" t="s">
        <v>2190</v>
      </c>
      <c r="P355" s="26" t="s">
        <v>2190</v>
      </c>
      <c r="Q355" t="s">
        <v>2626</v>
      </c>
      <c r="R355" s="31" t="s">
        <v>2607</v>
      </c>
      <c r="S355" s="7"/>
      <c r="T355" s="7"/>
      <c r="U355" s="7">
        <v>10000</v>
      </c>
      <c r="V355" s="7">
        <f t="shared" si="28"/>
        <v>10000</v>
      </c>
      <c r="W355" s="5"/>
      <c r="X355" s="22" t="s">
        <v>2466</v>
      </c>
      <c r="Y355" s="34"/>
      <c r="Z355" s="35"/>
      <c r="AA355" s="31"/>
      <c r="AB355" s="31"/>
      <c r="AC355" s="31"/>
      <c r="AD355" s="31"/>
    </row>
    <row r="356" spans="1:32" hidden="1" x14ac:dyDescent="0.25">
      <c r="A356" t="s">
        <v>2526</v>
      </c>
      <c r="B356" t="str">
        <f t="shared" si="40"/>
        <v>New</v>
      </c>
      <c r="D356">
        <v>68427709</v>
      </c>
      <c r="E356" s="96" t="s">
        <v>36</v>
      </c>
      <c r="F356" t="s">
        <v>37</v>
      </c>
      <c r="G356" s="98" t="s">
        <v>31</v>
      </c>
      <c r="H356" s="26" t="s">
        <v>2467</v>
      </c>
      <c r="I356" t="s">
        <v>2228</v>
      </c>
      <c r="J356" t="s">
        <v>2625</v>
      </c>
      <c r="K356">
        <v>187516</v>
      </c>
      <c r="L356" t="s">
        <v>564</v>
      </c>
      <c r="M356" s="228"/>
      <c r="O356" s="98" t="s">
        <v>2190</v>
      </c>
      <c r="P356" s="26" t="s">
        <v>2190</v>
      </c>
      <c r="Q356" t="s">
        <v>2626</v>
      </c>
      <c r="R356" s="31" t="s">
        <v>2607</v>
      </c>
      <c r="S356" s="7"/>
      <c r="T356" s="7"/>
      <c r="U356" s="7">
        <v>12500</v>
      </c>
      <c r="V356" s="7">
        <f t="shared" si="28"/>
        <v>12500</v>
      </c>
      <c r="W356" s="5"/>
      <c r="X356" s="22" t="s">
        <v>2468</v>
      </c>
      <c r="Y356" s="34"/>
      <c r="Z356" s="35"/>
      <c r="AA356" s="31"/>
      <c r="AB356" s="31"/>
      <c r="AC356" s="31"/>
      <c r="AD356" s="31"/>
    </row>
    <row r="357" spans="1:32" hidden="1" x14ac:dyDescent="0.25">
      <c r="A357" t="s">
        <v>2526</v>
      </c>
      <c r="B357" t="str">
        <f t="shared" ref="B357:B359" si="41">IF(T357=U357,"No Change",IF(AND(U357&lt;&gt;0,U357&lt;T357),"Decrease",IF(AND(U357&lt;&gt;0,T357=0),"New",IF(AND(T357&lt;&gt;0,U357=0),"Decommissioned","Increase"))))</f>
        <v>New</v>
      </c>
      <c r="D357">
        <v>68427709</v>
      </c>
      <c r="E357" s="96"/>
      <c r="G357" s="98"/>
      <c r="H357" s="27" t="s">
        <v>2485</v>
      </c>
      <c r="M357" s="228"/>
      <c r="O357" s="98" t="s">
        <v>2531</v>
      </c>
      <c r="P357" s="26" t="s">
        <v>2661</v>
      </c>
      <c r="Q357" t="s">
        <v>2626</v>
      </c>
      <c r="R357" s="31" t="s">
        <v>2539</v>
      </c>
      <c r="S357" s="7"/>
      <c r="T357" s="7"/>
      <c r="U357" s="7">
        <v>42000</v>
      </c>
      <c r="V357" s="7">
        <f t="shared" si="28"/>
        <v>42000</v>
      </c>
      <c r="W357" s="5"/>
      <c r="X357" s="22" t="s">
        <v>3155</v>
      </c>
      <c r="Y357" s="34"/>
      <c r="Z357" s="35"/>
      <c r="AA357" s="31"/>
      <c r="AB357" s="31"/>
      <c r="AC357" s="31"/>
      <c r="AD357" s="31"/>
    </row>
    <row r="358" spans="1:32" hidden="1" x14ac:dyDescent="0.25">
      <c r="A358" t="s">
        <v>2526</v>
      </c>
      <c r="B358" t="str">
        <f t="shared" si="41"/>
        <v>New</v>
      </c>
      <c r="D358">
        <v>68427709</v>
      </c>
      <c r="E358" s="96"/>
      <c r="G358" s="98"/>
      <c r="H358" t="s">
        <v>2487</v>
      </c>
      <c r="L358" s="26"/>
      <c r="M358" s="228"/>
      <c r="O358" s="98" t="s">
        <v>2531</v>
      </c>
      <c r="P358" s="26" t="s">
        <v>2537</v>
      </c>
      <c r="Q358" t="s">
        <v>2538</v>
      </c>
      <c r="R358" s="31" t="s">
        <v>2539</v>
      </c>
      <c r="S358" s="7"/>
      <c r="T358" s="7"/>
      <c r="U358" s="7">
        <v>23000</v>
      </c>
      <c r="V358" s="7">
        <f t="shared" si="28"/>
        <v>23000</v>
      </c>
      <c r="W358" s="5"/>
      <c r="X358" s="22" t="s">
        <v>3156</v>
      </c>
      <c r="Y358" s="34"/>
      <c r="Z358" s="35"/>
      <c r="AA358" s="31"/>
      <c r="AB358" s="31"/>
      <c r="AC358" s="31"/>
      <c r="AD358" s="31"/>
    </row>
    <row r="359" spans="1:32" hidden="1" x14ac:dyDescent="0.25">
      <c r="A359" t="s">
        <v>2526</v>
      </c>
      <c r="B359" t="str">
        <f t="shared" si="41"/>
        <v>New</v>
      </c>
      <c r="D359">
        <v>68427709</v>
      </c>
      <c r="E359" s="96"/>
      <c r="G359" s="98"/>
      <c r="H359" s="26" t="s">
        <v>2488</v>
      </c>
      <c r="L359" s="26"/>
      <c r="M359" s="228"/>
      <c r="O359" s="98" t="s">
        <v>2531</v>
      </c>
      <c r="P359" s="26" t="s">
        <v>2537</v>
      </c>
      <c r="Q359" t="s">
        <v>2538</v>
      </c>
      <c r="R359" s="31" t="s">
        <v>2539</v>
      </c>
      <c r="S359" s="7"/>
      <c r="T359" s="7"/>
      <c r="U359" s="7">
        <v>190000</v>
      </c>
      <c r="V359" s="7">
        <f t="shared" si="28"/>
        <v>190000</v>
      </c>
      <c r="W359" s="5"/>
      <c r="X359" s="22" t="s">
        <v>3157</v>
      </c>
      <c r="Y359" s="34"/>
      <c r="Z359" s="35"/>
      <c r="AA359" s="31"/>
      <c r="AB359" s="31"/>
      <c r="AC359" s="31"/>
      <c r="AD359" s="31"/>
    </row>
    <row r="360" spans="1:32" x14ac:dyDescent="0.25">
      <c r="E360" s="96"/>
      <c r="G360" s="98"/>
      <c r="H360" s="26"/>
      <c r="L360" s="26"/>
      <c r="M360" s="228"/>
      <c r="O360" s="98"/>
      <c r="P360" s="26"/>
      <c r="R360" s="31"/>
      <c r="S360" s="7"/>
      <c r="T360" s="7"/>
      <c r="U360" s="7"/>
      <c r="V360" s="7"/>
      <c r="W360" s="5"/>
      <c r="X360" s="22"/>
      <c r="Y360" s="34"/>
      <c r="Z360" s="35"/>
      <c r="AA360" s="31"/>
      <c r="AB360" s="31"/>
      <c r="AC360" s="31"/>
      <c r="AD360" s="31"/>
    </row>
    <row r="361" spans="1:32" x14ac:dyDescent="0.25">
      <c r="E361" s="96"/>
      <c r="G361" s="98"/>
      <c r="H361" s="26"/>
      <c r="L361" s="26"/>
      <c r="M361" s="228"/>
      <c r="O361" s="98"/>
      <c r="P361" s="26"/>
      <c r="R361" s="31"/>
      <c r="S361" s="7"/>
      <c r="T361" s="7"/>
      <c r="U361" s="7"/>
      <c r="V361" s="7"/>
      <c r="W361" s="5"/>
      <c r="X361" s="22"/>
      <c r="Y361" s="34"/>
      <c r="Z361" s="35"/>
      <c r="AA361" s="31"/>
      <c r="AB361" s="31"/>
      <c r="AC361" s="31"/>
      <c r="AD361" s="31"/>
    </row>
    <row r="362" spans="1:32" x14ac:dyDescent="0.25">
      <c r="E362" s="96"/>
      <c r="G362" s="98"/>
      <c r="H362" s="26"/>
      <c r="L362" s="26"/>
      <c r="M362" s="228"/>
      <c r="O362" s="98"/>
      <c r="P362" s="26"/>
      <c r="R362" s="31"/>
      <c r="S362" s="7"/>
      <c r="T362" s="7"/>
      <c r="U362" s="7"/>
      <c r="V362" s="7"/>
      <c r="W362" s="5"/>
      <c r="X362" s="22"/>
      <c r="Y362" s="34"/>
      <c r="Z362" s="35"/>
      <c r="AA362" s="31"/>
      <c r="AB362" s="31"/>
      <c r="AC362" s="31"/>
      <c r="AD362" s="31"/>
    </row>
    <row r="363" spans="1:32" x14ac:dyDescent="0.25">
      <c r="K363" s="26"/>
      <c r="L363" s="26"/>
      <c r="M363" s="228"/>
      <c r="O363" s="26"/>
      <c r="P363" s="26"/>
      <c r="R363" s="31"/>
      <c r="S363" s="7"/>
      <c r="T363" s="7"/>
      <c r="U363" s="7"/>
      <c r="V363" s="7"/>
      <c r="W363" s="5"/>
      <c r="X363" s="22"/>
      <c r="Y363" s="34"/>
      <c r="Z363" s="35"/>
      <c r="AA363" s="31"/>
      <c r="AB363" s="31"/>
      <c r="AC363" s="31"/>
      <c r="AD363" s="31"/>
    </row>
    <row r="364" spans="1:32" s="9" customFormat="1" x14ac:dyDescent="0.25">
      <c r="A364" s="105"/>
      <c r="B364" s="105"/>
      <c r="C364" s="105"/>
      <c r="D364" s="105"/>
      <c r="E364" s="105"/>
      <c r="F364" s="105"/>
      <c r="G364" s="105"/>
      <c r="H364" s="105"/>
      <c r="I364" s="105"/>
      <c r="J364" s="105"/>
      <c r="K364" s="105"/>
      <c r="L364" s="105"/>
      <c r="M364" s="232"/>
      <c r="N364" s="232"/>
      <c r="O364" s="105"/>
      <c r="P364" s="105"/>
      <c r="Q364" s="105"/>
      <c r="R364" s="105"/>
      <c r="S364" s="8">
        <f>SUM(S2:S329)</f>
        <v>55069326</v>
      </c>
      <c r="T364" s="8">
        <f>SUM(T2:T330)</f>
        <v>57476942</v>
      </c>
      <c r="U364" s="8">
        <f>SUM(U2:U359)</f>
        <v>59805102</v>
      </c>
      <c r="V364" s="8">
        <f>U364-T364</f>
        <v>2328160</v>
      </c>
      <c r="W364" s="122">
        <f>IF(B364="New",1,IFERROR(V364/T364,0))</f>
        <v>4.0505982381595737E-2</v>
      </c>
      <c r="X364" s="166"/>
      <c r="Y364" s="8">
        <f>SUM(Y2:Y303)</f>
        <v>0</v>
      </c>
      <c r="Z364" s="35">
        <f>IF(U364=0,"",(Y364/U364))</f>
        <v>0</v>
      </c>
      <c r="AE364"/>
      <c r="AF364"/>
    </row>
    <row r="365" spans="1:32" x14ac:dyDescent="0.25">
      <c r="H365" s="26"/>
      <c r="I365" s="26"/>
      <c r="J365" s="26"/>
      <c r="K365" s="27"/>
      <c r="L365" s="26"/>
      <c r="M365" s="28"/>
      <c r="N365" s="28"/>
      <c r="Y365" s="41"/>
    </row>
    <row r="366" spans="1:32" x14ac:dyDescent="0.25">
      <c r="H366" s="27"/>
      <c r="I366" s="27"/>
      <c r="J366" s="27"/>
      <c r="K366" s="27"/>
      <c r="L366" s="27"/>
      <c r="M366" s="231"/>
      <c r="N366" s="231"/>
      <c r="S366"/>
      <c r="T366"/>
      <c r="U366"/>
    </row>
    <row r="367" spans="1:32" x14ac:dyDescent="0.25">
      <c r="H367" s="27"/>
      <c r="I367" s="27"/>
      <c r="J367" s="27"/>
      <c r="K367" s="27"/>
      <c r="L367" s="27"/>
      <c r="M367" s="231"/>
      <c r="N367" s="231"/>
      <c r="S367"/>
      <c r="T367"/>
      <c r="U367"/>
      <c r="V367" s="1">
        <f>V364-550000</f>
        <v>1778160</v>
      </c>
      <c r="X367" s="222"/>
    </row>
    <row r="368" spans="1:32" x14ac:dyDescent="0.25">
      <c r="H368" s="29" t="s">
        <v>3158</v>
      </c>
      <c r="I368" s="29"/>
      <c r="J368" s="29"/>
      <c r="S368"/>
      <c r="T368"/>
      <c r="U368"/>
      <c r="W368" s="1"/>
    </row>
    <row r="369" spans="8:22" x14ac:dyDescent="0.25">
      <c r="H369" s="29"/>
      <c r="I369" s="29"/>
      <c r="J369" s="29"/>
      <c r="L369" s="29"/>
      <c r="M369" s="230"/>
      <c r="N369" s="230"/>
    </row>
    <row r="370" spans="8:22" x14ac:dyDescent="0.25">
      <c r="H370" s="27"/>
      <c r="I370" s="27"/>
      <c r="J370" s="27"/>
      <c r="L370" s="27"/>
    </row>
    <row r="372" spans="8:22" x14ac:dyDescent="0.25">
      <c r="V372" s="1">
        <f>V364-2269060</f>
        <v>59100</v>
      </c>
    </row>
  </sheetData>
  <autoFilter ref="A1:XFC359" xr:uid="{00000000-0001-0000-0500-000000000000}">
    <filterColumn colId="4">
      <filters>
        <filter val="485073034"/>
      </filters>
    </filterColumn>
  </autoFilter>
  <sortState xmlns:xlrd2="http://schemas.microsoft.com/office/spreadsheetml/2017/richdata2" ref="A2:X319">
    <sortCondition ref="E2:E319"/>
  </sortState>
  <phoneticPr fontId="23" type="noConversion"/>
  <dataValidations disablePrompts="1" count="4">
    <dataValidation type="list" allowBlank="1" showInputMessage="1" showErrorMessage="1" sqref="AO201 BE201 BU201 CK201 DA201 DQ201 EG201 EW201 FM201 GC201 GS201 HI201 HY201 IO201 JE201 JU201 KK201 LA201 LQ201 MG201 MW201 NM201 OC201 OS201 PI201 PY201 QO201 RE201 RU201 SK201 TA201 TQ201 UG201 UW201 VM201 WC201 WS201 XI201 XY201 YO201 ZE201 ZU201 AAK201 ABA201 ABQ201 ACG201 ACW201 ADM201 AEC201 AES201 AFI201 AFY201 AGO201 AHE201 AHU201 AIK201 AJA201 AJQ201 AKG201 AKW201 ALM201 AMC201 AMS201 ANI201 ANY201 AOO201 APE201 APU201 AQK201 ARA201 ARQ201 ASG201 ASW201 ATM201 AUC201 AUS201 AVI201 AVY201 AWO201 AXE201 AXU201 AYK201 AZA201 AZQ201 BAG201 BAW201 BBM201 BCC201 BCS201 BDI201 BDY201 BEO201 BFE201 BFU201 BGK201 BHA201 BHQ201 BIG201 BIW201 BJM201 BKC201 BKS201 BLI201 BLY201 BMO201 BNE201 BNU201 BOK201 BPA201 BPQ201 BQG201 BQW201 BRM201 BSC201 BSS201 BTI201 BTY201 BUO201 BVE201 BVU201 BWK201 BXA201 BXQ201 BYG201 BYW201 BZM201 CAC201 CAS201 CBI201 CBY201 CCO201 CDE201 CDU201 CEK201 CFA201 CFQ201 CGG201 CGW201 CHM201 CIC201 CIS201 CJI201 CJY201 CKO201 CLE201 CLU201 CMK201 CNA201 CNQ201 COG201 COW201 CPM201 CQC201 CQS201 CRI201 CRY201 CSO201 CTE201 CTU201 CUK201 CVA201 CVQ201 CWG201 CWW201 CXM201 CYC201 CYS201 CZI201 CZY201 DAO201 DBE201 DBU201 DCK201 DDA201 DDQ201 DEG201 DEW201 DFM201 DGC201 DGS201 DHI201 DHY201 DIO201 DJE201 DJU201 DKK201 DLA201 DLQ201 DMG201 DMW201 DNM201 DOC201 DOS201 DPI201 DPY201 DQO201 DRE201 DRU201 DSK201 DTA201 DTQ201 DUG201 DUW201 DVM201 DWC201 DWS201 DXI201 DXY201 DYO201 DZE201 DZU201 EAK201 EBA201 EBQ201 ECG201 ECW201 EDM201 EEC201 EES201 EFI201 EFY201 EGO201 EHE201 EHU201 EIK201 EJA201 EJQ201 EKG201 EKW201 ELM201 EMC201 EMS201 ENI201 ENY201 EOO201 EPE201 EPU201 EQK201 ERA201 ERQ201 ESG201 ESW201 ETM201 EUC201 EUS201 EVI201 EVY201 EWO201 EXE201 EXU201 EYK201 EZA201 EZQ201 FAG201 FAW201 FBM201 FCC201 FCS201 FDI201 FDY201 FEO201 FFE201 FFU201 FGK201 FHA201 FHQ201 FIG201 FIW201 FJM201 FKC201 FKS201 FLI201 FLY201 FMO201 FNE201 FNU201 FOK201 FPA201 FPQ201 FQG201 FQW201 FRM201 FSC201 FSS201 FTI201 FTY201 FUO201 FVE201 FVU201 FWK201 FXA201 FXQ201 FYG201 FYW201 FZM201 GAC201 GAS201 GBI201 GBY201 GCO201 GDE201 GDU201 GEK201 GFA201 GFQ201 GGG201 GGW201 GHM201 GIC201 GIS201 GJI201 GJY201 GKO201 GLE201 GLU201 GMK201 GNA201 GNQ201 GOG201 GOW201 GPM201 GQC201 GQS201 GRI201 GRY201 GSO201 GTE201 GTU201 GUK201 GVA201 GVQ201 GWG201 GWW201 GXM201 GYC201 GYS201 GZI201 GZY201 HAO201 HBE201 HBU201 HCK201 HDA201 HDQ201 HEG201 HEW201 HFM201 HGC201 HGS201 HHI201 HHY201 HIO201 HJE201 HJU201 HKK201 HLA201 HLQ201 HMG201 HMW201 HNM201 HOC201 HOS201 HPI201 HPY201 HQO201 HRE201 HRU201 HSK201 HTA201 HTQ201 HUG201 HUW201 HVM201 HWC201 HWS201 HXI201 HXY201 HYO201 HZE201 HZU201 IAK201 IBA201 IBQ201 ICG201 ICW201 IDM201 IEC201 IES201 IFI201 IFY201 IGO201 IHE201 IHU201 IIK201 IJA201 IJQ201 IKG201 IKW201 ILM201 IMC201 IMS201 INI201 INY201 IOO201 IPE201 IPU201 IQK201 IRA201 IRQ201 ISG201 ISW201 ITM201 IUC201 IUS201 IVI201 IVY201 IWO201 IXE201 IXU201 IYK201 IZA201 IZQ201 JAG201 JAW201 JBM201 JCC201 JCS201 JDI201 JDY201 JEO201 JFE201 JFU201 JGK201 JHA201 JHQ201 JIG201 JIW201 JJM201 JKC201 JKS201 JLI201 JLY201 JMO201 JNE201 JNU201 JOK201 JPA201 JPQ201 JQG201 JQW201 JRM201 JSC201 JSS201 JTI201 JTY201 JUO201 JVE201 JVU201 JWK201 JXA201 JXQ201 JYG201 JYW201 JZM201 KAC201 KAS201 KBI201 KBY201 KCO201 KDE201 KDU201 KEK201 KFA201 KFQ201 KGG201 KGW201 KHM201 KIC201 KIS201 KJI201 KJY201 KKO201 KLE201 KLU201 KMK201 KNA201 KNQ201 KOG201 KOW201 KPM201 KQC201 KQS201 KRI201 KRY201 KSO201 KTE201 KTU201 KUK201 KVA201 KVQ201 KWG201 KWW201 KXM201 KYC201 KYS201 KZI201 KZY201 LAO201 LBE201 LBU201 LCK201 LDA201 LDQ201 LEG201 LEW201 LFM201 LGC201 LGS201 LHI201 LHY201 LIO201 LJE201 LJU201 LKK201 LLA201 LLQ201 LMG201 LMW201 LNM201 LOC201 LOS201 LPI201 LPY201 LQO201 LRE201 LRU201 LSK201 LTA201 LTQ201 LUG201 LUW201 LVM201 LWC201 LWS201 LXI201 LXY201 LYO201 LZE201 LZU201 MAK201 MBA201 MBQ201 MCG201 MCW201 MDM201 MEC201 MES201 MFI201 MFY201 MGO201 MHE201 MHU201 MIK201 MJA201 MJQ201 MKG201 MKW201 MLM201 MMC201 MMS201 MNI201 MNY201 MOO201 MPE201 MPU201 MQK201 MRA201 MRQ201 MSG201 MSW201 MTM201 MUC201 MUS201 MVI201 MVY201 MWO201 MXE201 MXU201 MYK201 MZA201 MZQ201 NAG201 NAW201 NBM201 NCC201 NCS201 NDI201 NDY201 NEO201 NFE201 NFU201 NGK201 NHA201 NHQ201 NIG201 NIW201 NJM201 NKC201 NKS201 NLI201 NLY201 NMO201 NNE201 NNU201 NOK201 NPA201 NPQ201 NQG201 NQW201 NRM201 NSC201 NSS201 NTI201 NTY201 NUO201 NVE201 NVU201 NWK201 NXA201 NXQ201 NYG201 NYW201 NZM201 OAC201 OAS201 OBI201 OBY201 OCO201 ODE201 ODU201 OEK201 OFA201 OFQ201 OGG201 OGW201 OHM201 OIC201 OIS201 OJI201 OJY201 OKO201 OLE201 OLU201 OMK201 ONA201 ONQ201 OOG201 OOW201 OPM201 OQC201 OQS201 ORI201 ORY201 OSO201 OTE201 OTU201 OUK201 OVA201 OVQ201 OWG201 OWW201 OXM201 OYC201 OYS201 OZI201 OZY201 PAO201 PBE201 PBU201 PCK201 PDA201 PDQ201 PEG201 PEW201 PFM201 PGC201 PGS201 PHI201 PHY201 PIO201 PJE201 PJU201 PKK201 PLA201 PLQ201 PMG201 PMW201 PNM201 POC201 POS201 PPI201 PPY201 PQO201 PRE201 PRU201 PSK201 PTA201 PTQ201 PUG201 PUW201 PVM201 PWC201 PWS201 PXI201 PXY201 PYO201 PZE201 PZU201 QAK201 QBA201 QBQ201 QCG201 QCW201 QDM201 QEC201 QES201 QFI201 QFY201 QGO201 QHE201 QHU201 QIK201 QJA201 QJQ201 QKG201 QKW201 QLM201 QMC201 QMS201 QNI201 QNY201 QOO201 QPE201 QPU201 QQK201 QRA201 QRQ201 QSG201 QSW201 QTM201 QUC201 QUS201 QVI201 QVY201 QWO201 QXE201 QXU201 QYK201 QZA201 QZQ201 RAG201 RAW201 RBM201 RCC201 RCS201 RDI201 RDY201 REO201 RFE201 RFU201 RGK201 RHA201 RHQ201 RIG201 RIW201 RJM201 RKC201 RKS201 RLI201 RLY201 RMO201 RNE201 RNU201 ROK201 RPA201 RPQ201 RQG201 RQW201 RRM201 RSC201 RSS201 RTI201 RTY201 RUO201 RVE201 RVU201 RWK201 RXA201 RXQ201 RYG201 RYW201 RZM201 SAC201 SAS201 SBI201 SBY201 SCO201 SDE201 SDU201 SEK201 SFA201 SFQ201 SGG201 SGW201 SHM201 SIC201 SIS201 SJI201 SJY201 SKO201 SLE201 SLU201 SMK201 SNA201 SNQ201 SOG201 SOW201 SPM201 SQC201 SQS201 SRI201 SRY201 SSO201 STE201 STU201 SUK201 SVA201 SVQ201 SWG201 SWW201 SXM201 SYC201 SYS201 SZI201 SZY201 TAO201 TBE201 TBU201 TCK201 TDA201 TDQ201 TEG201 TEW201 TFM201 TGC201 TGS201 THI201 THY201 TIO201 TJE201 TJU201 TKK201 TLA201 TLQ201 TMG201 TMW201 TNM201 TOC201 TOS201 TPI201 TPY201 TQO201 TRE201 TRU201 TSK201 TTA201 TTQ201 TUG201 TUW201 TVM201 TWC201 TWS201 TXI201 TXY201 TYO201 TZE201 TZU201 UAK201 UBA201 UBQ201 UCG201 UCW201 UDM201 UEC201 UES201 UFI201 UFY201 UGO201 UHE201 UHU201 UIK201 UJA201 UJQ201 UKG201 UKW201 ULM201 UMC201 UMS201 UNI201 UNY201 UOO201 UPE201 UPU201 UQK201 URA201 URQ201 USG201 USW201 UTM201 UUC201 UUS201 UVI201 UVY201 UWO201 UXE201 UXU201 UYK201 UZA201 UZQ201 VAG201 VAW201 VBM201 VCC201 VCS201 VDI201 VDY201 VEO201 VFE201 VFU201 VGK201 VHA201 VHQ201 VIG201 VIW201 VJM201 VKC201 VKS201 VLI201 VLY201 VMO201 VNE201 VNU201 VOK201 VPA201 VPQ201 VQG201 VQW201 VRM201 VSC201 VSS201 VTI201 VTY201 VUO201 VVE201 VVU201 VWK201 VXA201 VXQ201 VYG201 VYW201 VZM201 WAC201 WAS201 WBI201 WBY201 WCO201 WDE201 WDU201 WEK201 WFA201 WFQ201 WGG201 WGW201 WHM201 WIC201 WIS201 WJI201 WJY201 WKO201 WLE201 WLU201 WMK201 WNA201 WNQ201 WOG201 WOW201 WPM201 WQC201 WQS201 WRI201 WRY201 WSO201 WTE201 WTU201 WUK201 WVA201 WVQ201 WWG201 WWW201 WXM201 WYC201 WYS201 WZI201 WZY201 XAO201 XBE201 XBU201 XCK201 XDA201 XDQ201 XEG201 XEW201" xr:uid="{00000000-0002-0000-0500-000000000000}">
      <formula1>INv_SCHEDULE</formula1>
    </dataValidation>
    <dataValidation type="list" allowBlank="1" showInputMessage="1" showErrorMessage="1" sqref="AA2:AA363" xr:uid="{4D371A4A-D91B-4BD6-9F81-21D2C78287D9}">
      <formula1>"Monthly,Quarterly,Half-Year,Yearly,2-Year,3-Year"</formula1>
    </dataValidation>
    <dataValidation type="list" allowBlank="1" showInputMessage="1" showErrorMessage="1" sqref="AC2:AC363" xr:uid="{48EDF670-C37C-4A8B-8F26-37896D979EE4}">
      <formula1>"Post,Pre,Spot"</formula1>
    </dataValidation>
    <dataValidation type="list" allowBlank="1" showInputMessage="1" showErrorMessage="1" sqref="AB2:AB363" xr:uid="{D8159216-16BA-4EAD-94A5-B1459D7645E9}">
      <formula1>"GR,GR Without Invoice,Pre paid"</formula1>
    </dataValidation>
  </dataValidations>
  <hyperlinks>
    <hyperlink ref="J144" r:id="rId1" display="https://eur03.safelinks.protection.outlook.com/?url=https%3A%2F%2Fjde.service-now.com%2Fcmdb_ci_appl.do%3Fsys_id%3D76ba32c3db53dbc0c83f81cc0b9619e4%26sysparm_record_target%3Dcmdb_ci_appl%26sysparm_record_row%3D1%26sysparm_record_rows%3D48%26sysparm_record_list%3Dsys_class_name%253Dcmdb_ci_appl%255Ename%253E%253Dwebs%255EORDERBYname&amp;data=04%7C01%7CLieke.Koers%40JDEcoffee.com%7Ca721be8a6c204b32a5c208d950fcc16d%7C22d30701ec5e4bdcba4fb9234053b0a9%7C1%7C0%7C637629868765051768%7CUnknown%7CTWFpbGZsb3d8eyJWIjoiMC4wLjAwMDAiLCJQIjoiV2luMzIiLCJBTiI6Ik1haWwiLCJXVCI6Mn0%3D%7C1000&amp;sdata=LcgCp0NdvQSxiuC%2FKSc%2FfT%2Blwm%2FXH2izP40%2FJLxubyk%3D&amp;reserved=0" xr:uid="{55E873DD-FFC0-49BE-98FC-FF2690C48724}"/>
  </hyperlinks>
  <pageMargins left="0.7" right="0.7" top="0.75" bottom="0.75" header="0.3" footer="0.3"/>
  <pageSetup paperSize="9" orientation="portrait" r:id="rId2"/>
  <customProperties>
    <customPr name="_pios_id" r:id="rId3"/>
    <customPr name="EpmWorksheetKeyString_GUID" r:id="rId4"/>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30"/>
  <sheetViews>
    <sheetView workbookViewId="0">
      <selection activeCell="M6" sqref="M6"/>
    </sheetView>
  </sheetViews>
  <sheetFormatPr defaultRowHeight="15" x14ac:dyDescent="0.25"/>
  <cols>
    <col min="1" max="1" width="14.5703125" bestFit="1" customWidth="1"/>
    <col min="3" max="3" width="16.5703125" customWidth="1"/>
    <col min="6" max="6" width="15.5703125" customWidth="1"/>
    <col min="11" max="11" width="13.5703125" bestFit="1" customWidth="1"/>
    <col min="12" max="12" width="15.42578125" bestFit="1" customWidth="1"/>
    <col min="14" max="14" width="13.5703125" customWidth="1"/>
  </cols>
  <sheetData>
    <row r="1" spans="1:14" ht="30.75" thickBot="1" x14ac:dyDescent="0.3">
      <c r="A1" s="18" t="s">
        <v>2521</v>
      </c>
      <c r="B1" s="19" t="s">
        <v>2523</v>
      </c>
      <c r="C1" s="20" t="s">
        <v>3159</v>
      </c>
      <c r="F1" s="39" t="s">
        <v>3160</v>
      </c>
      <c r="G1" s="39" t="s">
        <v>3161</v>
      </c>
      <c r="H1" s="39" t="s">
        <v>3162</v>
      </c>
      <c r="K1" s="39" t="s">
        <v>2510</v>
      </c>
      <c r="L1" s="39" t="s">
        <v>3163</v>
      </c>
      <c r="N1" s="39" t="s">
        <v>3163</v>
      </c>
    </row>
    <row r="2" spans="1:14" x14ac:dyDescent="0.25">
      <c r="A2" s="10" t="s">
        <v>2541</v>
      </c>
      <c r="B2" s="11" t="s">
        <v>2572</v>
      </c>
      <c r="C2" s="12" t="s">
        <v>2534</v>
      </c>
      <c r="F2" t="s">
        <v>3164</v>
      </c>
      <c r="G2" t="s">
        <v>3165</v>
      </c>
      <c r="H2" t="s">
        <v>3166</v>
      </c>
      <c r="K2" t="s">
        <v>2190</v>
      </c>
      <c r="L2" t="s">
        <v>3167</v>
      </c>
      <c r="N2" t="s">
        <v>3167</v>
      </c>
    </row>
    <row r="3" spans="1:14" x14ac:dyDescent="0.25">
      <c r="A3" s="13" t="s">
        <v>610</v>
      </c>
      <c r="B3" t="s">
        <v>2575</v>
      </c>
      <c r="C3" s="14" t="s">
        <v>2663</v>
      </c>
      <c r="K3" t="s">
        <v>2579</v>
      </c>
      <c r="L3" t="s">
        <v>40</v>
      </c>
      <c r="N3" t="s">
        <v>40</v>
      </c>
    </row>
    <row r="4" spans="1:14" x14ac:dyDescent="0.25">
      <c r="A4" s="13" t="s">
        <v>2893</v>
      </c>
      <c r="B4" t="s">
        <v>2558</v>
      </c>
      <c r="C4" s="14" t="s">
        <v>3168</v>
      </c>
      <c r="K4" t="s">
        <v>2606</v>
      </c>
      <c r="L4" t="s">
        <v>3167</v>
      </c>
      <c r="N4" t="s">
        <v>811</v>
      </c>
    </row>
    <row r="5" spans="1:14" x14ac:dyDescent="0.25">
      <c r="A5" s="13" t="s">
        <v>2788</v>
      </c>
      <c r="C5" s="14" t="s">
        <v>2752</v>
      </c>
      <c r="K5" t="s">
        <v>2680</v>
      </c>
      <c r="L5" t="s">
        <v>811</v>
      </c>
      <c r="N5" t="s">
        <v>2533</v>
      </c>
    </row>
    <row r="6" spans="1:14" ht="15.75" thickBot="1" x14ac:dyDescent="0.3">
      <c r="A6" s="15"/>
      <c r="B6" s="16"/>
      <c r="C6" s="17"/>
      <c r="K6" t="s">
        <v>2531</v>
      </c>
      <c r="L6" t="s">
        <v>2533</v>
      </c>
      <c r="N6" t="s">
        <v>3169</v>
      </c>
    </row>
    <row r="7" spans="1:14" x14ac:dyDescent="0.25">
      <c r="K7" t="s">
        <v>3170</v>
      </c>
      <c r="L7" t="s">
        <v>2533</v>
      </c>
      <c r="N7" t="s">
        <v>2715</v>
      </c>
    </row>
    <row r="8" spans="1:14" x14ac:dyDescent="0.25">
      <c r="K8" t="s">
        <v>2136</v>
      </c>
      <c r="L8" t="s">
        <v>3169</v>
      </c>
      <c r="N8" t="s">
        <v>3171</v>
      </c>
    </row>
    <row r="9" spans="1:14" x14ac:dyDescent="0.25">
      <c r="K9" t="s">
        <v>1752</v>
      </c>
      <c r="L9" t="s">
        <v>2715</v>
      </c>
      <c r="N9" t="s">
        <v>3172</v>
      </c>
    </row>
    <row r="10" spans="1:14" x14ac:dyDescent="0.25">
      <c r="K10" t="s">
        <v>2537</v>
      </c>
      <c r="L10" t="s">
        <v>3171</v>
      </c>
      <c r="N10" t="s">
        <v>2672</v>
      </c>
    </row>
    <row r="11" spans="1:14" x14ac:dyDescent="0.25">
      <c r="K11" t="s">
        <v>3173</v>
      </c>
      <c r="L11" t="s">
        <v>3172</v>
      </c>
      <c r="N11" t="s">
        <v>3174</v>
      </c>
    </row>
    <row r="12" spans="1:14" x14ac:dyDescent="0.25">
      <c r="K12" t="s">
        <v>1696</v>
      </c>
      <c r="L12" t="s">
        <v>2533</v>
      </c>
      <c r="N12" t="s">
        <v>3175</v>
      </c>
    </row>
    <row r="13" spans="1:14" x14ac:dyDescent="0.25">
      <c r="K13" t="s">
        <v>138</v>
      </c>
      <c r="L13" t="s">
        <v>2672</v>
      </c>
      <c r="N13" t="s">
        <v>2873</v>
      </c>
    </row>
    <row r="14" spans="1:14" x14ac:dyDescent="0.25">
      <c r="K14" t="s">
        <v>3176</v>
      </c>
      <c r="L14" t="s">
        <v>3174</v>
      </c>
      <c r="N14" t="s">
        <v>2804</v>
      </c>
    </row>
    <row r="15" spans="1:14" x14ac:dyDescent="0.25">
      <c r="K15" t="s">
        <v>2571</v>
      </c>
      <c r="L15" t="s">
        <v>2533</v>
      </c>
    </row>
    <row r="16" spans="1:14" x14ac:dyDescent="0.25">
      <c r="K16" t="s">
        <v>1585</v>
      </c>
      <c r="L16" t="s">
        <v>3171</v>
      </c>
    </row>
    <row r="17" spans="11:12" x14ac:dyDescent="0.25">
      <c r="K17" t="s">
        <v>1244</v>
      </c>
      <c r="L17" t="s">
        <v>3175</v>
      </c>
    </row>
    <row r="18" spans="11:12" x14ac:dyDescent="0.25">
      <c r="K18" t="s">
        <v>1905</v>
      </c>
      <c r="L18" t="s">
        <v>2873</v>
      </c>
    </row>
    <row r="19" spans="11:12" x14ac:dyDescent="0.25">
      <c r="K19" t="s">
        <v>2816</v>
      </c>
      <c r="L19" t="s">
        <v>3174</v>
      </c>
    </row>
    <row r="20" spans="11:12" x14ac:dyDescent="0.25">
      <c r="K20" t="s">
        <v>186</v>
      </c>
      <c r="L20" t="s">
        <v>3171</v>
      </c>
    </row>
    <row r="21" spans="11:12" x14ac:dyDescent="0.25">
      <c r="K21" t="s">
        <v>3177</v>
      </c>
      <c r="L21" t="s">
        <v>3171</v>
      </c>
    </row>
    <row r="22" spans="11:12" x14ac:dyDescent="0.25">
      <c r="K22" t="s">
        <v>2859</v>
      </c>
      <c r="L22" t="s">
        <v>2672</v>
      </c>
    </row>
    <row r="23" spans="11:12" x14ac:dyDescent="0.25">
      <c r="K23" t="s">
        <v>1841</v>
      </c>
      <c r="L23" t="s">
        <v>2804</v>
      </c>
    </row>
    <row r="24" spans="11:12" x14ac:dyDescent="0.25">
      <c r="K24" t="s">
        <v>3178</v>
      </c>
      <c r="L24" t="s">
        <v>2533</v>
      </c>
    </row>
    <row r="25" spans="11:12" x14ac:dyDescent="0.25">
      <c r="K25" t="s">
        <v>2280</v>
      </c>
      <c r="L25" t="s">
        <v>3172</v>
      </c>
    </row>
    <row r="26" spans="11:12" x14ac:dyDescent="0.25">
      <c r="K26" t="s">
        <v>3179</v>
      </c>
      <c r="L26" t="s">
        <v>3172</v>
      </c>
    </row>
    <row r="27" spans="11:12" x14ac:dyDescent="0.25">
      <c r="K27" t="s">
        <v>104</v>
      </c>
      <c r="L27" t="s">
        <v>2533</v>
      </c>
    </row>
    <row r="28" spans="11:12" x14ac:dyDescent="0.25">
      <c r="K28" t="s">
        <v>2770</v>
      </c>
      <c r="L28" t="s">
        <v>2533</v>
      </c>
    </row>
    <row r="29" spans="11:12" x14ac:dyDescent="0.25">
      <c r="K29" t="s">
        <v>3180</v>
      </c>
      <c r="L29" t="s">
        <v>2533</v>
      </c>
    </row>
    <row r="30" spans="11:12" x14ac:dyDescent="0.25">
      <c r="K30" t="s">
        <v>2124</v>
      </c>
      <c r="L30" t="s">
        <v>2533</v>
      </c>
    </row>
  </sheetData>
  <pageMargins left="0.7" right="0.7" top="0.75" bottom="0.75" header="0.3" footer="0.3"/>
  <pageSetup paperSize="9" orientation="portrait" r:id="rId1"/>
  <customProperties>
    <customPr name="_pios_id" r:id="rId2"/>
    <customPr name="EpmWorksheetKeyString_GUID"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1736"/>
  <sheetViews>
    <sheetView topLeftCell="B1" zoomScale="80" zoomScaleNormal="80" workbookViewId="0">
      <selection activeCell="E368" sqref="E368"/>
    </sheetView>
  </sheetViews>
  <sheetFormatPr defaultRowHeight="15" x14ac:dyDescent="0.25"/>
  <cols>
    <col min="1" max="1" width="19.85546875" bestFit="1" customWidth="1"/>
    <col min="2" max="2" width="6.42578125" bestFit="1" customWidth="1"/>
    <col min="3" max="3" width="12.42578125" bestFit="1" customWidth="1"/>
    <col min="4" max="4" width="16.85546875" bestFit="1" customWidth="1"/>
    <col min="5" max="5" width="11.140625" bestFit="1" customWidth="1"/>
    <col min="6" max="6" width="31.5703125" bestFit="1" customWidth="1"/>
    <col min="7" max="7" width="7.85546875" bestFit="1" customWidth="1"/>
    <col min="8" max="8" width="29.42578125" bestFit="1" customWidth="1"/>
    <col min="9" max="9" width="19.140625" bestFit="1" customWidth="1"/>
    <col min="10" max="10" width="15.5703125" bestFit="1" customWidth="1"/>
    <col min="11" max="11" width="18.42578125" bestFit="1" customWidth="1"/>
    <col min="12" max="12" width="48.140625" bestFit="1" customWidth="1"/>
    <col min="13" max="13" width="19.140625" bestFit="1" customWidth="1"/>
    <col min="14" max="19" width="16.85546875" bestFit="1" customWidth="1"/>
    <col min="20" max="20" width="17" bestFit="1" customWidth="1"/>
    <col min="21" max="21" width="12" bestFit="1" customWidth="1"/>
    <col min="22" max="22" width="14.42578125" bestFit="1" customWidth="1"/>
    <col min="23" max="26" width="12" bestFit="1" customWidth="1"/>
    <col min="27" max="27" width="18.42578125" bestFit="1" customWidth="1"/>
    <col min="28" max="28" width="16.5703125" bestFit="1" customWidth="1"/>
    <col min="29" max="29" width="12.5703125" bestFit="1" customWidth="1"/>
    <col min="30" max="30" width="13.42578125" bestFit="1" customWidth="1"/>
    <col min="31" max="31" width="16.5703125" bestFit="1" customWidth="1"/>
    <col min="32" max="32" width="12.5703125" bestFit="1" customWidth="1"/>
    <col min="33" max="33" width="13.42578125" bestFit="1" customWidth="1"/>
    <col min="34" max="34" width="12" bestFit="1" customWidth="1"/>
    <col min="35" max="35" width="14.42578125" bestFit="1" customWidth="1"/>
    <col min="36" max="39" width="12" bestFit="1" customWidth="1"/>
    <col min="40" max="40" width="18.42578125" bestFit="1" customWidth="1"/>
    <col min="41" max="41" width="16.5703125" bestFit="1" customWidth="1"/>
    <col min="42" max="42" width="12.5703125" bestFit="1" customWidth="1"/>
    <col min="43" max="43" width="13.42578125" bestFit="1" customWidth="1"/>
    <col min="44" max="44" width="16.5703125" bestFit="1" customWidth="1"/>
    <col min="45" max="45" width="14.42578125" bestFit="1" customWidth="1"/>
    <col min="46" max="46" width="13.42578125" bestFit="1" customWidth="1"/>
    <col min="47" max="47" width="12" bestFit="1" customWidth="1"/>
    <col min="48" max="48" width="14.42578125" bestFit="1" customWidth="1"/>
    <col min="49" max="52" width="12" bestFit="1" customWidth="1"/>
    <col min="53" max="53" width="18.42578125" bestFit="1" customWidth="1"/>
    <col min="54" max="54" width="16.5703125" bestFit="1" customWidth="1"/>
    <col min="55" max="55" width="12.5703125" bestFit="1" customWidth="1"/>
    <col min="56" max="56" width="13.42578125" bestFit="1" customWidth="1"/>
    <col min="57" max="57" width="16.5703125" bestFit="1" customWidth="1"/>
    <col min="58" max="59" width="13.42578125" bestFit="1" customWidth="1"/>
  </cols>
  <sheetData>
    <row r="1" spans="1:1" x14ac:dyDescent="0.25">
      <c r="A1" s="258" t="s">
        <v>58</v>
      </c>
    </row>
    <row r="1736" spans="12:12" x14ac:dyDescent="0.25">
      <c r="L1736" s="168"/>
    </row>
  </sheetData>
  <autoFilter ref="A3:Q1106" xr:uid="{00000000-0001-0000-0700-000000000000}"/>
  <pageMargins left="0.7" right="0.7" top="0.75" bottom="0.75" header="0.3" footer="0.3"/>
  <pageSetup orientation="portrait" r:id="rId1"/>
  <customProperties>
    <customPr name="_pios_id" r:id="rId2"/>
    <customPr name="CofWorksheetType" r:id="rId3"/>
    <customPr name="EpmWorksheetKeyString_GUID"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Convert">
                <anchor>
                  <from>
                    <xdr:col>0</xdr:col>
                    <xdr:colOff>1000125</xdr:colOff>
                    <xdr:row>0</xdr:row>
                    <xdr:rowOff>66675</xdr:rowOff>
                  </from>
                  <to>
                    <xdr:col>2</xdr:col>
                    <xdr:colOff>333375</xdr:colOff>
                    <xdr:row>1</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K1000"/>
  <sheetViews>
    <sheetView zoomScale="86" zoomScaleNormal="86" workbookViewId="0">
      <pane ySplit="1" topLeftCell="A2" activePane="bottomLeft" state="frozen"/>
      <selection activeCell="G25" sqref="G25"/>
      <selection pane="bottomLeft" activeCell="C18" sqref="C18"/>
    </sheetView>
  </sheetViews>
  <sheetFormatPr defaultRowHeight="15" x14ac:dyDescent="0.25"/>
  <cols>
    <col min="1" max="1" width="10.42578125" bestFit="1" customWidth="1"/>
    <col min="2" max="2" width="35.5703125" bestFit="1" customWidth="1"/>
    <col min="3" max="3" width="12.5703125" bestFit="1" customWidth="1"/>
    <col min="4" max="5" width="12.5703125" customWidth="1"/>
    <col min="6" max="6" width="16.5703125" bestFit="1" customWidth="1"/>
    <col min="7" max="7" width="16.5703125" customWidth="1"/>
    <col min="11" max="11" width="15.42578125" customWidth="1"/>
    <col min="12" max="12" width="12.5703125" bestFit="1" customWidth="1"/>
    <col min="13" max="13" width="16.5703125" customWidth="1"/>
    <col min="14" max="14" width="12.5703125" bestFit="1" customWidth="1"/>
    <col min="15" max="15" width="14" customWidth="1"/>
  </cols>
  <sheetData>
    <row r="1" spans="1:11" x14ac:dyDescent="0.25">
      <c r="A1" s="36" t="s">
        <v>2507</v>
      </c>
      <c r="B1" s="36" t="s">
        <v>3181</v>
      </c>
      <c r="C1" s="36" t="s">
        <v>2508</v>
      </c>
      <c r="D1" s="36" t="s">
        <v>3182</v>
      </c>
      <c r="E1" s="36" t="s">
        <v>3183</v>
      </c>
      <c r="F1" s="36" t="s">
        <v>3184</v>
      </c>
      <c r="G1" s="36" t="s">
        <v>3185</v>
      </c>
      <c r="K1" s="89" t="s">
        <v>3185</v>
      </c>
    </row>
    <row r="2" spans="1:11" x14ac:dyDescent="0.25">
      <c r="A2">
        <f>BIdetails!G5</f>
        <v>0</v>
      </c>
      <c r="B2">
        <f>BIdetails!H5</f>
        <v>0</v>
      </c>
      <c r="C2">
        <f>BIdetails!J5</f>
        <v>0</v>
      </c>
      <c r="D2">
        <f>BIdetails!K5</f>
        <v>0</v>
      </c>
      <c r="E2" s="168">
        <f>BIdetails!M5</f>
        <v>0</v>
      </c>
      <c r="F2" t="e">
        <f>IF(ISERROR(IF(OR(C2="#",C2=0),"",VLOOKUP(C2,'AOP24'!M:M,1,0))),"Not Found",VLOOKUP(C2,'AOP24'!M:M,1,0))</f>
        <v>#N/A</v>
      </c>
      <c r="G2" t="e">
        <f>IF(NOT(ISERROR(VLOOKUP(C2,$K$2:$K$50,1,0))),"Y",VLOOKUP(C2,$K$2:$K$50,1,0))</f>
        <v>#N/A</v>
      </c>
      <c r="K2" s="65"/>
    </row>
    <row r="3" spans="1:11" x14ac:dyDescent="0.25">
      <c r="A3">
        <f>BIdetails!G6</f>
        <v>0</v>
      </c>
      <c r="B3">
        <f>BIdetails!H6</f>
        <v>0</v>
      </c>
      <c r="C3">
        <f>BIdetails!J6</f>
        <v>0</v>
      </c>
      <c r="D3">
        <f>BIdetails!K6</f>
        <v>0</v>
      </c>
      <c r="E3" s="168">
        <f>BIdetails!M6</f>
        <v>0</v>
      </c>
      <c r="F3" t="e">
        <f>IF(ISERROR(IF(OR(C3="#",C3=0),"",VLOOKUP(C3,'AOP24'!M:M,1,0))),"Not Found",VLOOKUP(C3,'AOP24'!M:M,1,0))</f>
        <v>#N/A</v>
      </c>
      <c r="G3" t="e">
        <f t="shared" ref="G3:G66" si="0">IF(NOT(ISERROR(VLOOKUP(C3,$K$2:$K$50,1,0))),"Y",VLOOKUP(C3,$K$2:$K$50,1,0))</f>
        <v>#N/A</v>
      </c>
      <c r="K3" s="65"/>
    </row>
    <row r="4" spans="1:11" x14ac:dyDescent="0.25">
      <c r="A4">
        <f>BIdetails!G7</f>
        <v>0</v>
      </c>
      <c r="B4">
        <f>BIdetails!H7</f>
        <v>0</v>
      </c>
      <c r="C4">
        <f>BIdetails!J7</f>
        <v>0</v>
      </c>
      <c r="D4">
        <f>BIdetails!K7</f>
        <v>0</v>
      </c>
      <c r="E4" s="168">
        <f>BIdetails!M7</f>
        <v>0</v>
      </c>
      <c r="F4" t="e">
        <f>IF(ISERROR(IF(OR(C4="#",C4=0),"",VLOOKUP(C4,'AOP24'!M:M,1,0))),"Not Found",VLOOKUP(C4,'AOP24'!M:M,1,0))</f>
        <v>#N/A</v>
      </c>
      <c r="G4" t="e">
        <f t="shared" si="0"/>
        <v>#N/A</v>
      </c>
      <c r="K4" s="65"/>
    </row>
    <row r="5" spans="1:11" x14ac:dyDescent="0.25">
      <c r="A5">
        <f>BIdetails!G8</f>
        <v>0</v>
      </c>
      <c r="B5">
        <f>BIdetails!H8</f>
        <v>0</v>
      </c>
      <c r="C5">
        <f>BIdetails!J8</f>
        <v>0</v>
      </c>
      <c r="D5">
        <f>BIdetails!K8</f>
        <v>0</v>
      </c>
      <c r="E5" s="168">
        <f>BIdetails!M8</f>
        <v>0</v>
      </c>
      <c r="F5" t="e">
        <f>IF(ISERROR(IF(OR(C5="#",C5=0),"",VLOOKUP(C5,'AOP24'!M:M,1,0))),"Not Found",VLOOKUP(C5,'AOP24'!M:M,1,0))</f>
        <v>#N/A</v>
      </c>
      <c r="G5" t="e">
        <f t="shared" si="0"/>
        <v>#N/A</v>
      </c>
      <c r="K5" s="65"/>
    </row>
    <row r="6" spans="1:11" x14ac:dyDescent="0.25">
      <c r="A6">
        <f>BIdetails!G9</f>
        <v>0</v>
      </c>
      <c r="B6">
        <f>BIdetails!H9</f>
        <v>0</v>
      </c>
      <c r="C6">
        <f>BIdetails!J9</f>
        <v>0</v>
      </c>
      <c r="D6">
        <f>BIdetails!K9</f>
        <v>0</v>
      </c>
      <c r="E6" s="168">
        <f>BIdetails!M9</f>
        <v>0</v>
      </c>
      <c r="F6" t="e">
        <f>IF(ISERROR(IF(OR(C6="#",C6=0),"",VLOOKUP(C6,'AOP24'!M:M,1,0))),"Not Found",VLOOKUP(C6,'AOP24'!M:M,1,0))</f>
        <v>#N/A</v>
      </c>
      <c r="G6" t="e">
        <f t="shared" si="0"/>
        <v>#N/A</v>
      </c>
      <c r="K6" s="65"/>
    </row>
    <row r="7" spans="1:11" x14ac:dyDescent="0.25">
      <c r="A7">
        <f>BIdetails!G10</f>
        <v>0</v>
      </c>
      <c r="B7">
        <f>BIdetails!H10</f>
        <v>0</v>
      </c>
      <c r="C7">
        <f>BIdetails!J10</f>
        <v>0</v>
      </c>
      <c r="D7">
        <f>BIdetails!K10</f>
        <v>0</v>
      </c>
      <c r="E7" s="168">
        <f>BIdetails!M10</f>
        <v>0</v>
      </c>
      <c r="F7" t="e">
        <f>IF(ISERROR(IF(OR(C7="#",C7=0),"",VLOOKUP(C7,'AOP24'!M:M,1,0))),"Not Found",VLOOKUP(C7,'AOP24'!M:M,1,0))</f>
        <v>#N/A</v>
      </c>
      <c r="G7" t="e">
        <f t="shared" si="0"/>
        <v>#N/A</v>
      </c>
      <c r="K7" s="65"/>
    </row>
    <row r="8" spans="1:11" x14ac:dyDescent="0.25">
      <c r="A8">
        <f>BIdetails!G11</f>
        <v>0</v>
      </c>
      <c r="B8">
        <f>BIdetails!H11</f>
        <v>0</v>
      </c>
      <c r="C8">
        <f>BIdetails!J11</f>
        <v>0</v>
      </c>
      <c r="D8">
        <f>BIdetails!K11</f>
        <v>0</v>
      </c>
      <c r="E8" s="168">
        <f>BIdetails!M11</f>
        <v>0</v>
      </c>
      <c r="F8" t="e">
        <f>IF(ISERROR(IF(OR(C8="#",C8=0),"",VLOOKUP(C8,'AOP24'!M:M,1,0))),"Not Found",VLOOKUP(C8,'AOP24'!M:M,1,0))</f>
        <v>#N/A</v>
      </c>
      <c r="G8" t="e">
        <f t="shared" si="0"/>
        <v>#N/A</v>
      </c>
      <c r="K8" s="65"/>
    </row>
    <row r="9" spans="1:11" x14ac:dyDescent="0.25">
      <c r="A9">
        <f>BIdetails!G12</f>
        <v>0</v>
      </c>
      <c r="B9">
        <f>BIdetails!H12</f>
        <v>0</v>
      </c>
      <c r="C9">
        <f>BIdetails!J12</f>
        <v>0</v>
      </c>
      <c r="D9">
        <f>BIdetails!K12</f>
        <v>0</v>
      </c>
      <c r="E9" s="168">
        <f>BIdetails!M12</f>
        <v>0</v>
      </c>
      <c r="F9" t="e">
        <f>IF(ISERROR(IF(OR(C9="#",C9=0),"",VLOOKUP(C9,'AOP24'!M:M,1,0))),"Not Found",VLOOKUP(C9,'AOP24'!M:M,1,0))</f>
        <v>#N/A</v>
      </c>
      <c r="G9" t="e">
        <f t="shared" si="0"/>
        <v>#N/A</v>
      </c>
      <c r="K9" s="65"/>
    </row>
    <row r="10" spans="1:11" x14ac:dyDescent="0.25">
      <c r="A10">
        <f>BIdetails!G13</f>
        <v>0</v>
      </c>
      <c r="B10">
        <f>BIdetails!H13</f>
        <v>0</v>
      </c>
      <c r="C10">
        <f>BIdetails!J13</f>
        <v>0</v>
      </c>
      <c r="D10">
        <f>BIdetails!K13</f>
        <v>0</v>
      </c>
      <c r="E10" s="168">
        <f>BIdetails!M13</f>
        <v>0</v>
      </c>
      <c r="F10" t="e">
        <f>IF(ISERROR(IF(OR(C10="#",C10=0),"",VLOOKUP(C10,'AOP24'!M:M,1,0))),"Not Found",VLOOKUP(C10,'AOP24'!M:M,1,0))</f>
        <v>#N/A</v>
      </c>
      <c r="G10" t="e">
        <f t="shared" si="0"/>
        <v>#N/A</v>
      </c>
      <c r="K10" s="65"/>
    </row>
    <row r="11" spans="1:11" x14ac:dyDescent="0.25">
      <c r="A11">
        <f>BIdetails!G14</f>
        <v>0</v>
      </c>
      <c r="B11">
        <f>BIdetails!H14</f>
        <v>0</v>
      </c>
      <c r="C11">
        <f>BIdetails!J14</f>
        <v>0</v>
      </c>
      <c r="D11">
        <f>BIdetails!K14</f>
        <v>0</v>
      </c>
      <c r="E11" s="168">
        <f>BIdetails!M14</f>
        <v>0</v>
      </c>
      <c r="F11" t="e">
        <f>IF(ISERROR(IF(OR(C11="#",C11=0),"",VLOOKUP(C11,'AOP24'!M:M,1,0))),"Not Found",VLOOKUP(C11,'AOP24'!M:M,1,0))</f>
        <v>#N/A</v>
      </c>
      <c r="G11" t="e">
        <f t="shared" si="0"/>
        <v>#N/A</v>
      </c>
      <c r="K11" s="65"/>
    </row>
    <row r="12" spans="1:11" x14ac:dyDescent="0.25">
      <c r="A12">
        <f>BIdetails!G15</f>
        <v>0</v>
      </c>
      <c r="B12">
        <f>BIdetails!H15</f>
        <v>0</v>
      </c>
      <c r="C12">
        <f>BIdetails!J15</f>
        <v>0</v>
      </c>
      <c r="D12">
        <f>BIdetails!K15</f>
        <v>0</v>
      </c>
      <c r="E12" s="168">
        <f>BIdetails!M15</f>
        <v>0</v>
      </c>
      <c r="F12" t="e">
        <f>IF(ISERROR(IF(OR(C12="#",C12=0),"",VLOOKUP(C12,'AOP24'!M:M,1,0))),"Not Found",VLOOKUP(C12,'AOP24'!M:M,1,0))</f>
        <v>#N/A</v>
      </c>
      <c r="G12" t="e">
        <f t="shared" si="0"/>
        <v>#N/A</v>
      </c>
      <c r="K12" s="65"/>
    </row>
    <row r="13" spans="1:11" x14ac:dyDescent="0.25">
      <c r="A13">
        <f>BIdetails!G16</f>
        <v>0</v>
      </c>
      <c r="B13">
        <f>BIdetails!H16</f>
        <v>0</v>
      </c>
      <c r="C13">
        <f>BIdetails!J16</f>
        <v>0</v>
      </c>
      <c r="D13">
        <f>BIdetails!K16</f>
        <v>0</v>
      </c>
      <c r="E13" s="168">
        <f>BIdetails!M16</f>
        <v>0</v>
      </c>
      <c r="F13" t="e">
        <f>IF(ISERROR(IF(OR(C13="#",C13=0),"",VLOOKUP(C13,'AOP24'!M:M,1,0))),"Not Found",VLOOKUP(C13,'AOP24'!M:M,1,0))</f>
        <v>#N/A</v>
      </c>
      <c r="G13" t="e">
        <f t="shared" si="0"/>
        <v>#N/A</v>
      </c>
      <c r="K13" s="65"/>
    </row>
    <row r="14" spans="1:11" x14ac:dyDescent="0.25">
      <c r="A14">
        <f>BIdetails!G17</f>
        <v>0</v>
      </c>
      <c r="B14">
        <f>BIdetails!H17</f>
        <v>0</v>
      </c>
      <c r="C14">
        <f>BIdetails!J17</f>
        <v>0</v>
      </c>
      <c r="D14">
        <f>BIdetails!K17</f>
        <v>0</v>
      </c>
      <c r="E14" s="168">
        <f>BIdetails!M17</f>
        <v>0</v>
      </c>
      <c r="F14" t="e">
        <f>IF(ISERROR(IF(OR(C14="#",C14=0),"",VLOOKUP(C14,'AOP24'!M:M,1,0))),"Not Found",VLOOKUP(C14,'AOP24'!M:M,1,0))</f>
        <v>#N/A</v>
      </c>
      <c r="G14" t="e">
        <f t="shared" si="0"/>
        <v>#N/A</v>
      </c>
      <c r="K14" s="65"/>
    </row>
    <row r="15" spans="1:11" x14ac:dyDescent="0.25">
      <c r="A15">
        <f>BIdetails!G18</f>
        <v>0</v>
      </c>
      <c r="B15">
        <f>BIdetails!H18</f>
        <v>0</v>
      </c>
      <c r="C15">
        <f>BIdetails!J18</f>
        <v>0</v>
      </c>
      <c r="D15">
        <f>BIdetails!K18</f>
        <v>0</v>
      </c>
      <c r="E15" s="168">
        <f>BIdetails!M18</f>
        <v>0</v>
      </c>
      <c r="F15" t="e">
        <f>IF(ISERROR(IF(OR(C15="#",C15=0),"",VLOOKUP(C15,'AOP24'!M:M,1,0))),"Not Found",VLOOKUP(C15,'AOP24'!M:M,1,0))</f>
        <v>#N/A</v>
      </c>
      <c r="G15" t="e">
        <f t="shared" si="0"/>
        <v>#N/A</v>
      </c>
      <c r="K15" s="65"/>
    </row>
    <row r="16" spans="1:11" x14ac:dyDescent="0.25">
      <c r="A16">
        <f>BIdetails!G19</f>
        <v>0</v>
      </c>
      <c r="B16">
        <f>BIdetails!H19</f>
        <v>0</v>
      </c>
      <c r="C16">
        <f>BIdetails!J19</f>
        <v>0</v>
      </c>
      <c r="D16">
        <f>BIdetails!K19</f>
        <v>0</v>
      </c>
      <c r="E16" s="168">
        <f>BIdetails!M19</f>
        <v>0</v>
      </c>
      <c r="F16" t="e">
        <f>IF(ISERROR(IF(OR(C16="#",C16=0),"",VLOOKUP(C16,'AOP24'!M:M,1,0))),"Not Found",VLOOKUP(C16,'AOP24'!M:M,1,0))</f>
        <v>#N/A</v>
      </c>
      <c r="G16" t="e">
        <f t="shared" si="0"/>
        <v>#N/A</v>
      </c>
      <c r="K16" s="65"/>
    </row>
    <row r="17" spans="1:11" x14ac:dyDescent="0.25">
      <c r="A17">
        <f>BIdetails!G20</f>
        <v>0</v>
      </c>
      <c r="B17">
        <f>BIdetails!H20</f>
        <v>0</v>
      </c>
      <c r="C17">
        <f>BIdetails!J20</f>
        <v>0</v>
      </c>
      <c r="D17">
        <f>BIdetails!K20</f>
        <v>0</v>
      </c>
      <c r="E17" s="168">
        <f>BIdetails!M20</f>
        <v>0</v>
      </c>
      <c r="F17" t="e">
        <f>IF(ISERROR(IF(OR(C17="#",C17=0),"",VLOOKUP(C17,'AOP24'!M:M,1,0))),"Not Found",VLOOKUP(C17,'AOP24'!M:M,1,0))</f>
        <v>#N/A</v>
      </c>
      <c r="G17" t="e">
        <f t="shared" si="0"/>
        <v>#N/A</v>
      </c>
      <c r="K17" s="65"/>
    </row>
    <row r="18" spans="1:11" x14ac:dyDescent="0.25">
      <c r="A18">
        <f>BIdetails!G21</f>
        <v>0</v>
      </c>
      <c r="B18">
        <f>BIdetails!H21</f>
        <v>0</v>
      </c>
      <c r="C18">
        <f>BIdetails!J21</f>
        <v>0</v>
      </c>
      <c r="D18">
        <f>BIdetails!K21</f>
        <v>0</v>
      </c>
      <c r="E18" s="168">
        <f>BIdetails!M21</f>
        <v>0</v>
      </c>
      <c r="F18" t="e">
        <f>IF(ISERROR(IF(OR(C18="#",C18=0),"",VLOOKUP(C18,'AOP24'!M:M,1,0))),"Not Found",VLOOKUP(C18,'AOP24'!M:M,1,0))</f>
        <v>#N/A</v>
      </c>
      <c r="G18" t="e">
        <f t="shared" si="0"/>
        <v>#N/A</v>
      </c>
      <c r="K18" s="65"/>
    </row>
    <row r="19" spans="1:11" x14ac:dyDescent="0.25">
      <c r="A19">
        <f>BIdetails!G22</f>
        <v>0</v>
      </c>
      <c r="B19">
        <f>BIdetails!H22</f>
        <v>0</v>
      </c>
      <c r="C19">
        <f>BIdetails!J22</f>
        <v>0</v>
      </c>
      <c r="D19">
        <f>BIdetails!K22</f>
        <v>0</v>
      </c>
      <c r="E19" s="168">
        <f>BIdetails!M22</f>
        <v>0</v>
      </c>
      <c r="F19" t="e">
        <f>IF(ISERROR(IF(OR(C19="#",C19=0),"",VLOOKUP(C19,'AOP24'!M:M,1,0))),"Not Found",VLOOKUP(C19,'AOP24'!M:M,1,0))</f>
        <v>#N/A</v>
      </c>
      <c r="G19" t="e">
        <f t="shared" si="0"/>
        <v>#N/A</v>
      </c>
      <c r="K19" s="65"/>
    </row>
    <row r="20" spans="1:11" x14ac:dyDescent="0.25">
      <c r="A20">
        <f>BIdetails!G23</f>
        <v>0</v>
      </c>
      <c r="B20">
        <f>BIdetails!H23</f>
        <v>0</v>
      </c>
      <c r="C20">
        <f>BIdetails!J23</f>
        <v>0</v>
      </c>
      <c r="D20">
        <f>BIdetails!K23</f>
        <v>0</v>
      </c>
      <c r="E20" s="168">
        <f>BIdetails!M23</f>
        <v>0</v>
      </c>
      <c r="F20" t="e">
        <f>IF(ISERROR(IF(OR(C20="#",C20=0),"",VLOOKUP(C20,'AOP24'!M:M,1,0))),"Not Found",VLOOKUP(C20,'AOP24'!M:M,1,0))</f>
        <v>#N/A</v>
      </c>
      <c r="G20" t="e">
        <f t="shared" si="0"/>
        <v>#N/A</v>
      </c>
      <c r="K20" s="65"/>
    </row>
    <row r="21" spans="1:11" x14ac:dyDescent="0.25">
      <c r="A21">
        <f>BIdetails!G24</f>
        <v>0</v>
      </c>
      <c r="B21">
        <f>BIdetails!H24</f>
        <v>0</v>
      </c>
      <c r="C21">
        <f>BIdetails!J24</f>
        <v>0</v>
      </c>
      <c r="D21">
        <f>BIdetails!K24</f>
        <v>0</v>
      </c>
      <c r="E21" s="168">
        <f>BIdetails!M24</f>
        <v>0</v>
      </c>
      <c r="F21" t="e">
        <f>IF(ISERROR(IF(OR(C21="#",C21=0),"",VLOOKUP(C21,'AOP24'!M:M,1,0))),"Not Found",VLOOKUP(C21,'AOP24'!M:M,1,0))</f>
        <v>#N/A</v>
      </c>
      <c r="G21" t="e">
        <f t="shared" si="0"/>
        <v>#N/A</v>
      </c>
      <c r="K21" s="65"/>
    </row>
    <row r="22" spans="1:11" x14ac:dyDescent="0.25">
      <c r="A22">
        <f>BIdetails!G25</f>
        <v>0</v>
      </c>
      <c r="B22">
        <f>BIdetails!H25</f>
        <v>0</v>
      </c>
      <c r="C22">
        <f>BIdetails!J25</f>
        <v>0</v>
      </c>
      <c r="D22">
        <f>BIdetails!K25</f>
        <v>0</v>
      </c>
      <c r="E22" s="168">
        <f>BIdetails!M25</f>
        <v>0</v>
      </c>
      <c r="F22" t="e">
        <f>IF(ISERROR(IF(OR(C22="#",C22=0),"",VLOOKUP(C22,'AOP24'!M:M,1,0))),"Not Found",VLOOKUP(C22,'AOP24'!M:M,1,0))</f>
        <v>#N/A</v>
      </c>
      <c r="G22" t="e">
        <f t="shared" si="0"/>
        <v>#N/A</v>
      </c>
      <c r="K22" s="65"/>
    </row>
    <row r="23" spans="1:11" x14ac:dyDescent="0.25">
      <c r="A23">
        <f>BIdetails!G26</f>
        <v>0</v>
      </c>
      <c r="B23">
        <f>BIdetails!H26</f>
        <v>0</v>
      </c>
      <c r="C23">
        <f>BIdetails!J26</f>
        <v>0</v>
      </c>
      <c r="D23">
        <f>BIdetails!K26</f>
        <v>0</v>
      </c>
      <c r="E23" s="168">
        <f>BIdetails!M26</f>
        <v>0</v>
      </c>
      <c r="F23" t="e">
        <f>IF(ISERROR(IF(OR(C23="#",C23=0),"",VLOOKUP(C23,'AOP24'!M:M,1,0))),"Not Found",VLOOKUP(C23,'AOP24'!M:M,1,0))</f>
        <v>#N/A</v>
      </c>
      <c r="G23" t="e">
        <f t="shared" si="0"/>
        <v>#N/A</v>
      </c>
      <c r="K23" s="65"/>
    </row>
    <row r="24" spans="1:11" x14ac:dyDescent="0.25">
      <c r="A24">
        <f>BIdetails!G27</f>
        <v>0</v>
      </c>
      <c r="B24">
        <f>BIdetails!H27</f>
        <v>0</v>
      </c>
      <c r="C24">
        <f>BIdetails!J27</f>
        <v>0</v>
      </c>
      <c r="D24">
        <f>BIdetails!K27</f>
        <v>0</v>
      </c>
      <c r="E24" s="168">
        <f>BIdetails!M27</f>
        <v>0</v>
      </c>
      <c r="F24" t="e">
        <f>IF(ISERROR(IF(OR(C24="#",C24=0),"",VLOOKUP(C24,'AOP24'!M:M,1,0))),"Not Found",VLOOKUP(C24,'AOP24'!M:M,1,0))</f>
        <v>#N/A</v>
      </c>
      <c r="G24" t="e">
        <f t="shared" si="0"/>
        <v>#N/A</v>
      </c>
      <c r="K24" s="65"/>
    </row>
    <row r="25" spans="1:11" x14ac:dyDescent="0.25">
      <c r="A25">
        <f>BIdetails!G28</f>
        <v>0</v>
      </c>
      <c r="B25">
        <f>BIdetails!H28</f>
        <v>0</v>
      </c>
      <c r="C25">
        <f>BIdetails!J28</f>
        <v>0</v>
      </c>
      <c r="D25">
        <f>BIdetails!K28</f>
        <v>0</v>
      </c>
      <c r="E25" s="168">
        <f>BIdetails!M28</f>
        <v>0</v>
      </c>
      <c r="F25" t="e">
        <f>IF(ISERROR(IF(OR(C25="#",C25=0),"",VLOOKUP(C25,'AOP24'!M:M,1,0))),"Not Found",VLOOKUP(C25,'AOP24'!M:M,1,0))</f>
        <v>#N/A</v>
      </c>
      <c r="G25" t="e">
        <f t="shared" si="0"/>
        <v>#N/A</v>
      </c>
      <c r="K25" s="65"/>
    </row>
    <row r="26" spans="1:11" x14ac:dyDescent="0.25">
      <c r="A26">
        <f>BIdetails!G29</f>
        <v>0</v>
      </c>
      <c r="B26">
        <f>BIdetails!H29</f>
        <v>0</v>
      </c>
      <c r="C26">
        <f>BIdetails!J29</f>
        <v>0</v>
      </c>
      <c r="D26">
        <f>BIdetails!K29</f>
        <v>0</v>
      </c>
      <c r="E26" s="168">
        <f>BIdetails!M29</f>
        <v>0</v>
      </c>
      <c r="F26" t="e">
        <f>IF(ISERROR(IF(OR(C26="#",C26=0),"",VLOOKUP(C26,'AOP24'!M:M,1,0))),"Not Found",VLOOKUP(C26,'AOP24'!M:M,1,0))</f>
        <v>#N/A</v>
      </c>
      <c r="G26" t="e">
        <f t="shared" si="0"/>
        <v>#N/A</v>
      </c>
      <c r="K26" s="65"/>
    </row>
    <row r="27" spans="1:11" x14ac:dyDescent="0.25">
      <c r="A27">
        <f>BIdetails!G30</f>
        <v>0</v>
      </c>
      <c r="B27">
        <f>BIdetails!H30</f>
        <v>0</v>
      </c>
      <c r="C27">
        <f>BIdetails!J30</f>
        <v>0</v>
      </c>
      <c r="D27">
        <f>BIdetails!K30</f>
        <v>0</v>
      </c>
      <c r="E27" s="168">
        <f>BIdetails!M30</f>
        <v>0</v>
      </c>
      <c r="F27" t="e">
        <f>IF(ISERROR(IF(OR(C27="#",C27=0),"",VLOOKUP(C27,'AOP24'!M:M,1,0))),"Not Found",VLOOKUP(C27,'AOP24'!M:M,1,0))</f>
        <v>#N/A</v>
      </c>
      <c r="G27" t="e">
        <f t="shared" si="0"/>
        <v>#N/A</v>
      </c>
      <c r="K27" s="65"/>
    </row>
    <row r="28" spans="1:11" x14ac:dyDescent="0.25">
      <c r="A28">
        <f>BIdetails!G31</f>
        <v>0</v>
      </c>
      <c r="B28">
        <f>BIdetails!H31</f>
        <v>0</v>
      </c>
      <c r="C28">
        <f>BIdetails!J31</f>
        <v>0</v>
      </c>
      <c r="D28">
        <f>BIdetails!K31</f>
        <v>0</v>
      </c>
      <c r="E28" s="168">
        <f>BIdetails!M31</f>
        <v>0</v>
      </c>
      <c r="F28" t="e">
        <f>IF(ISERROR(IF(OR(C28="#",C28=0),"",VLOOKUP(C28,'AOP24'!M:M,1,0))),"Not Found",VLOOKUP(C28,'AOP24'!M:M,1,0))</f>
        <v>#N/A</v>
      </c>
      <c r="G28" t="e">
        <f t="shared" si="0"/>
        <v>#N/A</v>
      </c>
      <c r="K28" s="65"/>
    </row>
    <row r="29" spans="1:11" x14ac:dyDescent="0.25">
      <c r="A29">
        <f>BIdetails!G32</f>
        <v>0</v>
      </c>
      <c r="B29">
        <f>BIdetails!H32</f>
        <v>0</v>
      </c>
      <c r="C29">
        <f>BIdetails!J32</f>
        <v>0</v>
      </c>
      <c r="D29">
        <f>BIdetails!K32</f>
        <v>0</v>
      </c>
      <c r="E29" s="168">
        <f>BIdetails!M32</f>
        <v>0</v>
      </c>
      <c r="F29" t="e">
        <f>IF(ISERROR(IF(OR(C29="#",C29=0),"",VLOOKUP(C29,'AOP24'!M:M,1,0))),"Not Found",VLOOKUP(C29,'AOP24'!M:M,1,0))</f>
        <v>#N/A</v>
      </c>
      <c r="G29" t="e">
        <f t="shared" si="0"/>
        <v>#N/A</v>
      </c>
      <c r="K29" s="65"/>
    </row>
    <row r="30" spans="1:11" x14ac:dyDescent="0.25">
      <c r="A30">
        <f>BIdetails!G33</f>
        <v>0</v>
      </c>
      <c r="B30">
        <f>BIdetails!H33</f>
        <v>0</v>
      </c>
      <c r="C30">
        <f>BIdetails!J33</f>
        <v>0</v>
      </c>
      <c r="D30">
        <f>BIdetails!K33</f>
        <v>0</v>
      </c>
      <c r="E30" s="168">
        <f>BIdetails!M33</f>
        <v>0</v>
      </c>
      <c r="F30" t="e">
        <f>IF(ISERROR(IF(OR(C30="#",C30=0),"",VLOOKUP(C30,'AOP24'!M:M,1,0))),"Not Found",VLOOKUP(C30,'AOP24'!M:M,1,0))</f>
        <v>#N/A</v>
      </c>
      <c r="G30" t="e">
        <f t="shared" si="0"/>
        <v>#N/A</v>
      </c>
      <c r="K30" s="65"/>
    </row>
    <row r="31" spans="1:11" x14ac:dyDescent="0.25">
      <c r="A31">
        <f>BIdetails!G34</f>
        <v>0</v>
      </c>
      <c r="B31">
        <f>BIdetails!H34</f>
        <v>0</v>
      </c>
      <c r="C31">
        <f>BIdetails!J34</f>
        <v>0</v>
      </c>
      <c r="D31">
        <f>BIdetails!K34</f>
        <v>0</v>
      </c>
      <c r="E31" s="168">
        <f>BIdetails!M34</f>
        <v>0</v>
      </c>
      <c r="F31" t="e">
        <f>IF(ISERROR(IF(OR(C31="#",C31=0),"",VLOOKUP(C31,'AOP24'!M:M,1,0))),"Not Found",VLOOKUP(C31,'AOP24'!M:M,1,0))</f>
        <v>#N/A</v>
      </c>
      <c r="G31" t="e">
        <f t="shared" si="0"/>
        <v>#N/A</v>
      </c>
      <c r="K31" s="65"/>
    </row>
    <row r="32" spans="1:11" x14ac:dyDescent="0.25">
      <c r="A32">
        <f>BIdetails!G35</f>
        <v>0</v>
      </c>
      <c r="B32">
        <f>BIdetails!H35</f>
        <v>0</v>
      </c>
      <c r="C32">
        <f>BIdetails!J35</f>
        <v>0</v>
      </c>
      <c r="D32">
        <f>BIdetails!K35</f>
        <v>0</v>
      </c>
      <c r="E32" s="168">
        <f>BIdetails!M35</f>
        <v>0</v>
      </c>
      <c r="F32" t="e">
        <f>IF(ISERROR(IF(OR(C32="#",C32=0),"",VLOOKUP(C32,'AOP24'!M:M,1,0))),"Not Found",VLOOKUP(C32,'AOP24'!M:M,1,0))</f>
        <v>#N/A</v>
      </c>
      <c r="G32" t="e">
        <f t="shared" si="0"/>
        <v>#N/A</v>
      </c>
      <c r="K32" s="65"/>
    </row>
    <row r="33" spans="1:11" x14ac:dyDescent="0.25">
      <c r="A33">
        <f>BIdetails!G36</f>
        <v>0</v>
      </c>
      <c r="B33">
        <f>BIdetails!H36</f>
        <v>0</v>
      </c>
      <c r="C33">
        <f>BIdetails!J36</f>
        <v>0</v>
      </c>
      <c r="D33">
        <f>BIdetails!K36</f>
        <v>0</v>
      </c>
      <c r="E33" s="168">
        <f>BIdetails!M36</f>
        <v>0</v>
      </c>
      <c r="F33" t="e">
        <f>IF(ISERROR(IF(OR(C33="#",C33=0),"",VLOOKUP(C33,'AOP24'!M:M,1,0))),"Not Found",VLOOKUP(C33,'AOP24'!M:M,1,0))</f>
        <v>#N/A</v>
      </c>
      <c r="G33" t="e">
        <f t="shared" si="0"/>
        <v>#N/A</v>
      </c>
      <c r="K33" s="65"/>
    </row>
    <row r="34" spans="1:11" x14ac:dyDescent="0.25">
      <c r="A34">
        <f>BIdetails!G37</f>
        <v>0</v>
      </c>
      <c r="B34">
        <f>BIdetails!H37</f>
        <v>0</v>
      </c>
      <c r="C34">
        <f>BIdetails!J37</f>
        <v>0</v>
      </c>
      <c r="D34">
        <f>BIdetails!K37</f>
        <v>0</v>
      </c>
      <c r="E34" s="168">
        <f>BIdetails!M37</f>
        <v>0</v>
      </c>
      <c r="F34" t="e">
        <f>IF(ISERROR(IF(OR(C34="#",C34=0),"",VLOOKUP(C34,'AOP24'!M:M,1,0))),"Not Found",VLOOKUP(C34,'AOP24'!M:M,1,0))</f>
        <v>#N/A</v>
      </c>
      <c r="G34" t="e">
        <f t="shared" si="0"/>
        <v>#N/A</v>
      </c>
      <c r="K34" s="65"/>
    </row>
    <row r="35" spans="1:11" x14ac:dyDescent="0.25">
      <c r="A35">
        <f>BIdetails!G38</f>
        <v>0</v>
      </c>
      <c r="B35">
        <f>BIdetails!H38</f>
        <v>0</v>
      </c>
      <c r="C35">
        <f>BIdetails!J38</f>
        <v>0</v>
      </c>
      <c r="D35">
        <f>BIdetails!K38</f>
        <v>0</v>
      </c>
      <c r="E35" s="168">
        <f>BIdetails!M38</f>
        <v>0</v>
      </c>
      <c r="F35" t="e">
        <f>IF(ISERROR(IF(OR(C35="#",C35=0),"",VLOOKUP(C35,'AOP24'!M:M,1,0))),"Not Found",VLOOKUP(C35,'AOP24'!M:M,1,0))</f>
        <v>#N/A</v>
      </c>
      <c r="G35" t="e">
        <f t="shared" si="0"/>
        <v>#N/A</v>
      </c>
      <c r="K35" s="65"/>
    </row>
    <row r="36" spans="1:11" x14ac:dyDescent="0.25">
      <c r="A36">
        <f>BIdetails!G39</f>
        <v>0</v>
      </c>
      <c r="B36">
        <f>BIdetails!H39</f>
        <v>0</v>
      </c>
      <c r="C36">
        <f>BIdetails!J39</f>
        <v>0</v>
      </c>
      <c r="D36">
        <f>BIdetails!K39</f>
        <v>0</v>
      </c>
      <c r="E36" s="168">
        <f>BIdetails!M39</f>
        <v>0</v>
      </c>
      <c r="F36" t="e">
        <f>IF(ISERROR(IF(OR(C36="#",C36=0),"",VLOOKUP(C36,'AOP24'!M:M,1,0))),"Not Found",VLOOKUP(C36,'AOP24'!M:M,1,0))</f>
        <v>#N/A</v>
      </c>
      <c r="G36" t="e">
        <f t="shared" si="0"/>
        <v>#N/A</v>
      </c>
      <c r="K36" s="65"/>
    </row>
    <row r="37" spans="1:11" x14ac:dyDescent="0.25">
      <c r="A37">
        <f>BIdetails!G40</f>
        <v>0</v>
      </c>
      <c r="B37">
        <f>BIdetails!H40</f>
        <v>0</v>
      </c>
      <c r="C37">
        <f>BIdetails!J40</f>
        <v>0</v>
      </c>
      <c r="D37">
        <f>BIdetails!K40</f>
        <v>0</v>
      </c>
      <c r="E37" s="168">
        <f>BIdetails!M40</f>
        <v>0</v>
      </c>
      <c r="F37" t="e">
        <f>IF(ISERROR(IF(OR(C37="#",C37=0),"",VLOOKUP(C37,'AOP24'!M:M,1,0))),"Not Found",VLOOKUP(C37,'AOP24'!M:M,1,0))</f>
        <v>#N/A</v>
      </c>
      <c r="G37" t="e">
        <f t="shared" si="0"/>
        <v>#N/A</v>
      </c>
      <c r="K37" s="65"/>
    </row>
    <row r="38" spans="1:11" x14ac:dyDescent="0.25">
      <c r="A38">
        <f>BIdetails!G41</f>
        <v>0</v>
      </c>
      <c r="B38">
        <f>BIdetails!H41</f>
        <v>0</v>
      </c>
      <c r="C38">
        <f>BIdetails!J41</f>
        <v>0</v>
      </c>
      <c r="D38">
        <f>BIdetails!K41</f>
        <v>0</v>
      </c>
      <c r="E38" s="168">
        <f>BIdetails!M41</f>
        <v>0</v>
      </c>
      <c r="F38" t="e">
        <f>IF(ISERROR(IF(OR(C38="#",C38=0),"",VLOOKUP(C38,'AOP24'!M:M,1,0))),"Not Found",VLOOKUP(C38,'AOP24'!M:M,1,0))</f>
        <v>#N/A</v>
      </c>
      <c r="G38" t="e">
        <f t="shared" si="0"/>
        <v>#N/A</v>
      </c>
      <c r="K38" s="65"/>
    </row>
    <row r="39" spans="1:11" x14ac:dyDescent="0.25">
      <c r="A39">
        <f>BIdetails!G42</f>
        <v>0</v>
      </c>
      <c r="B39">
        <f>BIdetails!H42</f>
        <v>0</v>
      </c>
      <c r="C39">
        <f>BIdetails!J42</f>
        <v>0</v>
      </c>
      <c r="D39">
        <f>BIdetails!K42</f>
        <v>0</v>
      </c>
      <c r="E39" s="168">
        <f>BIdetails!M42</f>
        <v>0</v>
      </c>
      <c r="F39" t="e">
        <f>IF(ISERROR(IF(OR(C39="#",C39=0),"",VLOOKUP(C39,'AOP24'!M:M,1,0))),"Not Found",VLOOKUP(C39,'AOP24'!M:M,1,0))</f>
        <v>#N/A</v>
      </c>
      <c r="G39" t="e">
        <f t="shared" si="0"/>
        <v>#N/A</v>
      </c>
      <c r="K39" s="65"/>
    </row>
    <row r="40" spans="1:11" x14ac:dyDescent="0.25">
      <c r="A40">
        <f>BIdetails!G43</f>
        <v>0</v>
      </c>
      <c r="B40">
        <f>BIdetails!H43</f>
        <v>0</v>
      </c>
      <c r="C40">
        <f>BIdetails!J43</f>
        <v>0</v>
      </c>
      <c r="D40">
        <f>BIdetails!K43</f>
        <v>0</v>
      </c>
      <c r="E40" s="168">
        <f>BIdetails!M43</f>
        <v>0</v>
      </c>
      <c r="F40" t="e">
        <f>IF(ISERROR(IF(OR(C40="#",C40=0),"",VLOOKUP(C40,'AOP24'!M:M,1,0))),"Not Found",VLOOKUP(C40,'AOP24'!M:M,1,0))</f>
        <v>#N/A</v>
      </c>
      <c r="G40" t="e">
        <f t="shared" si="0"/>
        <v>#N/A</v>
      </c>
      <c r="K40" s="65"/>
    </row>
    <row r="41" spans="1:11" x14ac:dyDescent="0.25">
      <c r="A41">
        <f>BIdetails!G44</f>
        <v>0</v>
      </c>
      <c r="B41">
        <f>BIdetails!H44</f>
        <v>0</v>
      </c>
      <c r="C41">
        <f>BIdetails!J44</f>
        <v>0</v>
      </c>
      <c r="D41">
        <f>BIdetails!K44</f>
        <v>0</v>
      </c>
      <c r="E41" s="168">
        <f>BIdetails!M44</f>
        <v>0</v>
      </c>
      <c r="F41" t="e">
        <f>IF(ISERROR(IF(OR(C41="#",C41=0),"",VLOOKUP(C41,'AOP24'!M:M,1,0))),"Not Found",VLOOKUP(C41,'AOP24'!M:M,1,0))</f>
        <v>#N/A</v>
      </c>
      <c r="G41" t="e">
        <f t="shared" si="0"/>
        <v>#N/A</v>
      </c>
      <c r="K41" s="65"/>
    </row>
    <row r="42" spans="1:11" x14ac:dyDescent="0.25">
      <c r="A42">
        <f>BIdetails!G45</f>
        <v>0</v>
      </c>
      <c r="B42">
        <f>BIdetails!H45</f>
        <v>0</v>
      </c>
      <c r="C42">
        <f>BIdetails!J45</f>
        <v>0</v>
      </c>
      <c r="D42">
        <f>BIdetails!K45</f>
        <v>0</v>
      </c>
      <c r="E42" s="168">
        <f>BIdetails!M45</f>
        <v>0</v>
      </c>
      <c r="F42" t="e">
        <f>IF(ISERROR(IF(OR(C42="#",C42=0),"",VLOOKUP(C42,'AOP24'!M:M,1,0))),"Not Found",VLOOKUP(C42,'AOP24'!M:M,1,0))</f>
        <v>#N/A</v>
      </c>
      <c r="G42" t="e">
        <f t="shared" si="0"/>
        <v>#N/A</v>
      </c>
      <c r="K42" s="65"/>
    </row>
    <row r="43" spans="1:11" x14ac:dyDescent="0.25">
      <c r="A43">
        <f>BIdetails!G46</f>
        <v>0</v>
      </c>
      <c r="B43">
        <f>BIdetails!H46</f>
        <v>0</v>
      </c>
      <c r="C43">
        <f>BIdetails!J46</f>
        <v>0</v>
      </c>
      <c r="D43">
        <f>BIdetails!K46</f>
        <v>0</v>
      </c>
      <c r="E43" s="168">
        <f>BIdetails!M46</f>
        <v>0</v>
      </c>
      <c r="F43" t="e">
        <f>IF(ISERROR(IF(OR(C43="#",C43=0),"",VLOOKUP(C43,'AOP24'!M:M,1,0))),"Not Found",VLOOKUP(C43,'AOP24'!M:M,1,0))</f>
        <v>#N/A</v>
      </c>
      <c r="G43" t="e">
        <f t="shared" si="0"/>
        <v>#N/A</v>
      </c>
      <c r="K43" s="65"/>
    </row>
    <row r="44" spans="1:11" x14ac:dyDescent="0.25">
      <c r="A44">
        <f>BIdetails!G47</f>
        <v>0</v>
      </c>
      <c r="B44">
        <f>BIdetails!H47</f>
        <v>0</v>
      </c>
      <c r="C44">
        <f>BIdetails!J47</f>
        <v>0</v>
      </c>
      <c r="D44">
        <f>BIdetails!K47</f>
        <v>0</v>
      </c>
      <c r="E44" s="168">
        <f>BIdetails!M47</f>
        <v>0</v>
      </c>
      <c r="F44" t="e">
        <f>IF(ISERROR(IF(OR(C44="#",C44=0),"",VLOOKUP(C44,'AOP24'!M:M,1,0))),"Not Found",VLOOKUP(C44,'AOP24'!M:M,1,0))</f>
        <v>#N/A</v>
      </c>
      <c r="G44" t="e">
        <f t="shared" si="0"/>
        <v>#N/A</v>
      </c>
      <c r="K44" s="65"/>
    </row>
    <row r="45" spans="1:11" x14ac:dyDescent="0.25">
      <c r="A45">
        <f>BIdetails!G48</f>
        <v>0</v>
      </c>
      <c r="B45">
        <f>BIdetails!H48</f>
        <v>0</v>
      </c>
      <c r="C45">
        <f>BIdetails!J48</f>
        <v>0</v>
      </c>
      <c r="D45">
        <f>BIdetails!K48</f>
        <v>0</v>
      </c>
      <c r="E45" s="168">
        <f>BIdetails!M48</f>
        <v>0</v>
      </c>
      <c r="F45" t="e">
        <f>IF(ISERROR(IF(OR(C45="#",C45=0),"",VLOOKUP(C45,'AOP24'!M:M,1,0))),"Not Found",VLOOKUP(C45,'AOP24'!M:M,1,0))</f>
        <v>#N/A</v>
      </c>
      <c r="G45" t="e">
        <f t="shared" si="0"/>
        <v>#N/A</v>
      </c>
      <c r="K45" s="65"/>
    </row>
    <row r="46" spans="1:11" x14ac:dyDescent="0.25">
      <c r="A46">
        <f>BIdetails!G49</f>
        <v>0</v>
      </c>
      <c r="B46">
        <f>BIdetails!H49</f>
        <v>0</v>
      </c>
      <c r="C46">
        <f>BIdetails!J49</f>
        <v>0</v>
      </c>
      <c r="D46">
        <f>BIdetails!K49</f>
        <v>0</v>
      </c>
      <c r="E46" s="168">
        <f>BIdetails!M49</f>
        <v>0</v>
      </c>
      <c r="F46" t="e">
        <f>IF(ISERROR(IF(OR(C46="#",C46=0),"",VLOOKUP(C46,'AOP24'!M:M,1,0))),"Not Found",VLOOKUP(C46,'AOP24'!M:M,1,0))</f>
        <v>#N/A</v>
      </c>
      <c r="G46" t="e">
        <f t="shared" si="0"/>
        <v>#N/A</v>
      </c>
      <c r="K46" s="65"/>
    </row>
    <row r="47" spans="1:11" x14ac:dyDescent="0.25">
      <c r="A47">
        <f>BIdetails!G50</f>
        <v>0</v>
      </c>
      <c r="B47">
        <f>BIdetails!H50</f>
        <v>0</v>
      </c>
      <c r="C47">
        <f>BIdetails!J50</f>
        <v>0</v>
      </c>
      <c r="D47">
        <f>BIdetails!K50</f>
        <v>0</v>
      </c>
      <c r="E47" s="168">
        <f>BIdetails!M50</f>
        <v>0</v>
      </c>
      <c r="F47" t="e">
        <f>IF(ISERROR(IF(OR(C47="#",C47=0),"",VLOOKUP(C47,'AOP24'!M:M,1,0))),"Not Found",VLOOKUP(C47,'AOP24'!M:M,1,0))</f>
        <v>#N/A</v>
      </c>
      <c r="G47" t="e">
        <f t="shared" si="0"/>
        <v>#N/A</v>
      </c>
      <c r="K47" s="65"/>
    </row>
    <row r="48" spans="1:11" x14ac:dyDescent="0.25">
      <c r="A48">
        <f>BIdetails!G51</f>
        <v>0</v>
      </c>
      <c r="B48">
        <f>BIdetails!H51</f>
        <v>0</v>
      </c>
      <c r="C48">
        <f>BIdetails!J51</f>
        <v>0</v>
      </c>
      <c r="D48">
        <f>BIdetails!K51</f>
        <v>0</v>
      </c>
      <c r="E48" s="168">
        <f>BIdetails!M51</f>
        <v>0</v>
      </c>
      <c r="F48" t="e">
        <f>IF(ISERROR(IF(OR(C48="#",C48=0),"",VLOOKUP(C48,'AOP24'!M:M,1,0))),"Not Found",VLOOKUP(C48,'AOP24'!M:M,1,0))</f>
        <v>#N/A</v>
      </c>
      <c r="G48" t="e">
        <f t="shared" si="0"/>
        <v>#N/A</v>
      </c>
      <c r="K48" s="65"/>
    </row>
    <row r="49" spans="1:11" x14ac:dyDescent="0.25">
      <c r="A49">
        <f>BIdetails!G52</f>
        <v>0</v>
      </c>
      <c r="B49">
        <f>BIdetails!H52</f>
        <v>0</v>
      </c>
      <c r="C49">
        <f>BIdetails!J52</f>
        <v>0</v>
      </c>
      <c r="D49">
        <f>BIdetails!K52</f>
        <v>0</v>
      </c>
      <c r="E49" s="168">
        <f>BIdetails!M52</f>
        <v>0</v>
      </c>
      <c r="F49" t="e">
        <f>IF(ISERROR(IF(OR(C49="#",C49=0),"",VLOOKUP(C49,'AOP24'!M:M,1,0))),"Not Found",VLOOKUP(C49,'AOP24'!M:M,1,0))</f>
        <v>#N/A</v>
      </c>
      <c r="G49" t="e">
        <f t="shared" si="0"/>
        <v>#N/A</v>
      </c>
      <c r="K49" s="65"/>
    </row>
    <row r="50" spans="1:11" ht="15.75" thickBot="1" x14ac:dyDescent="0.3">
      <c r="A50">
        <f>BIdetails!G53</f>
        <v>0</v>
      </c>
      <c r="B50">
        <f>BIdetails!H53</f>
        <v>0</v>
      </c>
      <c r="C50">
        <f>BIdetails!J53</f>
        <v>0</v>
      </c>
      <c r="D50">
        <f>BIdetails!K53</f>
        <v>0</v>
      </c>
      <c r="E50" s="168">
        <f>BIdetails!M53</f>
        <v>0</v>
      </c>
      <c r="F50" t="e">
        <f>IF(ISERROR(IF(OR(C50="#",C50=0),"",VLOOKUP(C50,'AOP24'!M:M,1,0))),"Not Found",VLOOKUP(C50,'AOP24'!M:M,1,0))</f>
        <v>#N/A</v>
      </c>
      <c r="G50" t="e">
        <f t="shared" si="0"/>
        <v>#N/A</v>
      </c>
      <c r="K50" s="54"/>
    </row>
    <row r="51" spans="1:11" x14ac:dyDescent="0.25">
      <c r="A51">
        <f>BIdetails!G54</f>
        <v>0</v>
      </c>
      <c r="B51">
        <f>BIdetails!H54</f>
        <v>0</v>
      </c>
      <c r="C51">
        <f>BIdetails!J54</f>
        <v>0</v>
      </c>
      <c r="D51">
        <f>BIdetails!K54</f>
        <v>0</v>
      </c>
      <c r="E51" s="168">
        <f>BIdetails!M54</f>
        <v>0</v>
      </c>
      <c r="F51" t="e">
        <f>IF(ISERROR(IF(OR(C51="#",C51=0),"",VLOOKUP(C51,'AOP24'!M:M,1,0))),"Not Found",VLOOKUP(C51,'AOP24'!M:M,1,0))</f>
        <v>#N/A</v>
      </c>
      <c r="G51" t="e">
        <f t="shared" si="0"/>
        <v>#N/A</v>
      </c>
    </row>
    <row r="52" spans="1:11" x14ac:dyDescent="0.25">
      <c r="A52">
        <f>BIdetails!G55</f>
        <v>0</v>
      </c>
      <c r="B52">
        <f>BIdetails!H55</f>
        <v>0</v>
      </c>
      <c r="C52">
        <f>BIdetails!J55</f>
        <v>0</v>
      </c>
      <c r="D52">
        <f>BIdetails!K55</f>
        <v>0</v>
      </c>
      <c r="E52" s="168">
        <f>BIdetails!M55</f>
        <v>0</v>
      </c>
      <c r="F52" t="e">
        <f>IF(ISERROR(IF(OR(C52="#",C52=0),"",VLOOKUP(C52,'AOP24'!M:M,1,0))),"Not Found",VLOOKUP(C52,'AOP24'!M:M,1,0))</f>
        <v>#N/A</v>
      </c>
      <c r="G52" t="e">
        <f t="shared" si="0"/>
        <v>#N/A</v>
      </c>
    </row>
    <row r="53" spans="1:11" x14ac:dyDescent="0.25">
      <c r="A53">
        <f>BIdetails!G56</f>
        <v>0</v>
      </c>
      <c r="B53">
        <f>BIdetails!H56</f>
        <v>0</v>
      </c>
      <c r="C53">
        <f>BIdetails!J56</f>
        <v>0</v>
      </c>
      <c r="D53">
        <f>BIdetails!K56</f>
        <v>0</v>
      </c>
      <c r="E53" s="168">
        <f>BIdetails!M56</f>
        <v>0</v>
      </c>
      <c r="F53" t="e">
        <f>IF(ISERROR(IF(OR(C53="#",C53=0),"",VLOOKUP(C53,'AOP24'!M:M,1,0))),"Not Found",VLOOKUP(C53,'AOP24'!M:M,1,0))</f>
        <v>#N/A</v>
      </c>
      <c r="G53" t="e">
        <f t="shared" si="0"/>
        <v>#N/A</v>
      </c>
    </row>
    <row r="54" spans="1:11" x14ac:dyDescent="0.25">
      <c r="A54">
        <f>BIdetails!G57</f>
        <v>0</v>
      </c>
      <c r="B54">
        <f>BIdetails!H57</f>
        <v>0</v>
      </c>
      <c r="C54">
        <f>BIdetails!J57</f>
        <v>0</v>
      </c>
      <c r="D54">
        <f>BIdetails!K57</f>
        <v>0</v>
      </c>
      <c r="E54" s="168">
        <f>BIdetails!M57</f>
        <v>0</v>
      </c>
      <c r="F54" t="e">
        <f>IF(ISERROR(IF(OR(C54="#",C54=0),"",VLOOKUP(C54,'AOP24'!M:M,1,0))),"Not Found",VLOOKUP(C54,'AOP24'!M:M,1,0))</f>
        <v>#N/A</v>
      </c>
      <c r="G54" t="e">
        <f t="shared" si="0"/>
        <v>#N/A</v>
      </c>
    </row>
    <row r="55" spans="1:11" x14ac:dyDescent="0.25">
      <c r="A55">
        <f>BIdetails!G58</f>
        <v>0</v>
      </c>
      <c r="B55">
        <f>BIdetails!H58</f>
        <v>0</v>
      </c>
      <c r="C55">
        <f>BIdetails!J58</f>
        <v>0</v>
      </c>
      <c r="D55">
        <f>BIdetails!K58</f>
        <v>0</v>
      </c>
      <c r="E55" s="168">
        <f>BIdetails!M58</f>
        <v>0</v>
      </c>
      <c r="F55" t="e">
        <f>IF(ISERROR(IF(OR(C55="#",C55=0),"",VLOOKUP(C55,'AOP24'!M:M,1,0))),"Not Found",VLOOKUP(C55,'AOP24'!M:M,1,0))</f>
        <v>#N/A</v>
      </c>
      <c r="G55" t="e">
        <f t="shared" si="0"/>
        <v>#N/A</v>
      </c>
    </row>
    <row r="56" spans="1:11" x14ac:dyDescent="0.25">
      <c r="A56">
        <f>BIdetails!G59</f>
        <v>0</v>
      </c>
      <c r="B56">
        <f>BIdetails!H59</f>
        <v>0</v>
      </c>
      <c r="C56">
        <f>BIdetails!J59</f>
        <v>0</v>
      </c>
      <c r="D56">
        <f>BIdetails!K59</f>
        <v>0</v>
      </c>
      <c r="E56" s="168">
        <f>BIdetails!M59</f>
        <v>0</v>
      </c>
      <c r="F56" t="e">
        <f>IF(ISERROR(IF(OR(C56="#",C56=0),"",VLOOKUP(C56,'AOP24'!M:M,1,0))),"Not Found",VLOOKUP(C56,'AOP24'!M:M,1,0))</f>
        <v>#N/A</v>
      </c>
      <c r="G56" t="e">
        <f t="shared" si="0"/>
        <v>#N/A</v>
      </c>
    </row>
    <row r="57" spans="1:11" x14ac:dyDescent="0.25">
      <c r="A57">
        <f>BIdetails!G60</f>
        <v>0</v>
      </c>
      <c r="B57">
        <f>BIdetails!H60</f>
        <v>0</v>
      </c>
      <c r="C57">
        <f>BIdetails!J60</f>
        <v>0</v>
      </c>
      <c r="D57">
        <f>BIdetails!K60</f>
        <v>0</v>
      </c>
      <c r="E57" s="168">
        <f>BIdetails!M60</f>
        <v>0</v>
      </c>
      <c r="F57" t="e">
        <f>IF(ISERROR(IF(OR(C57="#",C57=0),"",VLOOKUP(C57,'AOP24'!M:M,1,0))),"Not Found",VLOOKUP(C57,'AOP24'!M:M,1,0))</f>
        <v>#N/A</v>
      </c>
      <c r="G57" t="e">
        <f t="shared" si="0"/>
        <v>#N/A</v>
      </c>
    </row>
    <row r="58" spans="1:11" x14ac:dyDescent="0.25">
      <c r="A58">
        <f>BIdetails!G61</f>
        <v>0</v>
      </c>
      <c r="B58">
        <f>BIdetails!H61</f>
        <v>0</v>
      </c>
      <c r="C58">
        <f>BIdetails!J61</f>
        <v>0</v>
      </c>
      <c r="D58">
        <f>BIdetails!K61</f>
        <v>0</v>
      </c>
      <c r="E58" s="168">
        <f>BIdetails!M61</f>
        <v>0</v>
      </c>
      <c r="F58" t="e">
        <f>IF(ISERROR(IF(OR(C58="#",C58=0),"",VLOOKUP(C58,'AOP24'!M:M,1,0))),"Not Found",VLOOKUP(C58,'AOP24'!M:M,1,0))</f>
        <v>#N/A</v>
      </c>
      <c r="G58" t="e">
        <f t="shared" si="0"/>
        <v>#N/A</v>
      </c>
    </row>
    <row r="59" spans="1:11" x14ac:dyDescent="0.25">
      <c r="A59">
        <f>BIdetails!G62</f>
        <v>0</v>
      </c>
      <c r="B59">
        <f>BIdetails!H62</f>
        <v>0</v>
      </c>
      <c r="C59">
        <f>BIdetails!J62</f>
        <v>0</v>
      </c>
      <c r="D59">
        <f>BIdetails!K62</f>
        <v>0</v>
      </c>
      <c r="E59" s="168">
        <f>BIdetails!M62</f>
        <v>0</v>
      </c>
      <c r="F59" t="e">
        <f>IF(ISERROR(IF(OR(C59="#",C59=0),"",VLOOKUP(C59,'AOP24'!M:M,1,0))),"Not Found",VLOOKUP(C59,'AOP24'!M:M,1,0))</f>
        <v>#N/A</v>
      </c>
      <c r="G59" t="e">
        <f t="shared" si="0"/>
        <v>#N/A</v>
      </c>
    </row>
    <row r="60" spans="1:11" x14ac:dyDescent="0.25">
      <c r="A60">
        <f>BIdetails!G63</f>
        <v>0</v>
      </c>
      <c r="B60">
        <f>BIdetails!H63</f>
        <v>0</v>
      </c>
      <c r="C60">
        <f>BIdetails!J63</f>
        <v>0</v>
      </c>
      <c r="D60">
        <f>BIdetails!K63</f>
        <v>0</v>
      </c>
      <c r="E60" s="168">
        <f>BIdetails!M63</f>
        <v>0</v>
      </c>
      <c r="F60" t="e">
        <f>IF(ISERROR(IF(OR(C60="#",C60=0),"",VLOOKUP(C60,'AOP24'!M:M,1,0))),"Not Found",VLOOKUP(C60,'AOP24'!M:M,1,0))</f>
        <v>#N/A</v>
      </c>
      <c r="G60" t="e">
        <f t="shared" si="0"/>
        <v>#N/A</v>
      </c>
    </row>
    <row r="61" spans="1:11" x14ac:dyDescent="0.25">
      <c r="A61">
        <f>BIdetails!G64</f>
        <v>0</v>
      </c>
      <c r="B61">
        <f>BIdetails!H64</f>
        <v>0</v>
      </c>
      <c r="C61">
        <f>BIdetails!J64</f>
        <v>0</v>
      </c>
      <c r="D61">
        <f>BIdetails!K64</f>
        <v>0</v>
      </c>
      <c r="E61" s="168">
        <f>BIdetails!M64</f>
        <v>0</v>
      </c>
      <c r="F61" t="e">
        <f>IF(ISERROR(IF(OR(C61="#",C61=0),"",VLOOKUP(C61,'AOP24'!M:M,1,0))),"Not Found",VLOOKUP(C61,'AOP24'!M:M,1,0))</f>
        <v>#N/A</v>
      </c>
      <c r="G61" t="e">
        <f t="shared" si="0"/>
        <v>#N/A</v>
      </c>
    </row>
    <row r="62" spans="1:11" x14ac:dyDescent="0.25">
      <c r="A62">
        <f>BIdetails!G65</f>
        <v>0</v>
      </c>
      <c r="B62">
        <f>BIdetails!H65</f>
        <v>0</v>
      </c>
      <c r="C62">
        <f>BIdetails!J65</f>
        <v>0</v>
      </c>
      <c r="D62">
        <f>BIdetails!K65</f>
        <v>0</v>
      </c>
      <c r="E62" s="168">
        <f>BIdetails!M65</f>
        <v>0</v>
      </c>
      <c r="F62" t="e">
        <f>IF(ISERROR(IF(OR(C62="#",C62=0),"",VLOOKUP(C62,'AOP24'!M:M,1,0))),"Not Found",VLOOKUP(C62,'AOP24'!M:M,1,0))</f>
        <v>#N/A</v>
      </c>
      <c r="G62" t="e">
        <f t="shared" si="0"/>
        <v>#N/A</v>
      </c>
    </row>
    <row r="63" spans="1:11" x14ac:dyDescent="0.25">
      <c r="A63">
        <f>BIdetails!G66</f>
        <v>0</v>
      </c>
      <c r="B63">
        <f>BIdetails!H66</f>
        <v>0</v>
      </c>
      <c r="C63">
        <f>BIdetails!J66</f>
        <v>0</v>
      </c>
      <c r="D63">
        <f>BIdetails!K66</f>
        <v>0</v>
      </c>
      <c r="E63" s="168">
        <f>BIdetails!M66</f>
        <v>0</v>
      </c>
      <c r="F63" t="e">
        <f>IF(ISERROR(IF(OR(C63="#",C63=0),"",VLOOKUP(C63,'AOP24'!M:M,1,0))),"Not Found",VLOOKUP(C63,'AOP24'!M:M,1,0))</f>
        <v>#N/A</v>
      </c>
      <c r="G63" t="e">
        <f t="shared" si="0"/>
        <v>#N/A</v>
      </c>
    </row>
    <row r="64" spans="1:11" x14ac:dyDescent="0.25">
      <c r="A64">
        <f>BIdetails!G67</f>
        <v>0</v>
      </c>
      <c r="B64">
        <f>BIdetails!H67</f>
        <v>0</v>
      </c>
      <c r="C64">
        <f>BIdetails!J67</f>
        <v>0</v>
      </c>
      <c r="D64">
        <f>BIdetails!K67</f>
        <v>0</v>
      </c>
      <c r="E64" s="168">
        <f>BIdetails!M67</f>
        <v>0</v>
      </c>
      <c r="F64" t="e">
        <f>IF(ISERROR(IF(OR(C64="#",C64=0),"",VLOOKUP(C64,'AOP24'!M:M,1,0))),"Not Found",VLOOKUP(C64,'AOP24'!M:M,1,0))</f>
        <v>#N/A</v>
      </c>
      <c r="G64" t="e">
        <f t="shared" si="0"/>
        <v>#N/A</v>
      </c>
    </row>
    <row r="65" spans="1:7" x14ac:dyDescent="0.25">
      <c r="A65">
        <f>BIdetails!G68</f>
        <v>0</v>
      </c>
      <c r="B65">
        <f>BIdetails!H68</f>
        <v>0</v>
      </c>
      <c r="C65">
        <f>BIdetails!J68</f>
        <v>0</v>
      </c>
      <c r="D65">
        <f>BIdetails!K68</f>
        <v>0</v>
      </c>
      <c r="E65" s="168">
        <f>BIdetails!M68</f>
        <v>0</v>
      </c>
      <c r="F65" t="e">
        <f>IF(ISERROR(IF(OR(C65="#",C65=0),"",VLOOKUP(C65,'AOP24'!M:M,1,0))),"Not Found",VLOOKUP(C65,'AOP24'!M:M,1,0))</f>
        <v>#N/A</v>
      </c>
      <c r="G65" t="e">
        <f t="shared" si="0"/>
        <v>#N/A</v>
      </c>
    </row>
    <row r="66" spans="1:7" x14ac:dyDescent="0.25">
      <c r="A66">
        <f>BIdetails!G69</f>
        <v>0</v>
      </c>
      <c r="B66">
        <f>BIdetails!H69</f>
        <v>0</v>
      </c>
      <c r="C66">
        <f>BIdetails!J69</f>
        <v>0</v>
      </c>
      <c r="D66">
        <f>BIdetails!K69</f>
        <v>0</v>
      </c>
      <c r="E66" s="168">
        <f>BIdetails!M69</f>
        <v>0</v>
      </c>
      <c r="F66" t="e">
        <f>IF(ISERROR(IF(OR(C66="#",C66=0),"",VLOOKUP(C66,'AOP24'!M:M,1,0))),"Not Found",VLOOKUP(C66,'AOP24'!M:M,1,0))</f>
        <v>#N/A</v>
      </c>
      <c r="G66" t="e">
        <f t="shared" si="0"/>
        <v>#N/A</v>
      </c>
    </row>
    <row r="67" spans="1:7" x14ac:dyDescent="0.25">
      <c r="A67">
        <f>BIdetails!G70</f>
        <v>0</v>
      </c>
      <c r="B67">
        <f>BIdetails!H70</f>
        <v>0</v>
      </c>
      <c r="C67">
        <f>BIdetails!J70</f>
        <v>0</v>
      </c>
      <c r="D67">
        <f>BIdetails!K70</f>
        <v>0</v>
      </c>
      <c r="E67" s="168">
        <f>BIdetails!M70</f>
        <v>0</v>
      </c>
      <c r="F67" t="e">
        <f>IF(ISERROR(IF(OR(C67="#",C67=0),"",VLOOKUP(C67,'AOP24'!M:M,1,0))),"Not Found",VLOOKUP(C67,'AOP24'!M:M,1,0))</f>
        <v>#N/A</v>
      </c>
      <c r="G67" t="e">
        <f t="shared" ref="G67:G130" si="1">IF(NOT(ISERROR(VLOOKUP(C67,$K$2:$K$50,1,0))),"Y",VLOOKUP(C67,$K$2:$K$50,1,0))</f>
        <v>#N/A</v>
      </c>
    </row>
    <row r="68" spans="1:7" x14ac:dyDescent="0.25">
      <c r="A68">
        <f>BIdetails!G71</f>
        <v>0</v>
      </c>
      <c r="B68">
        <f>BIdetails!H71</f>
        <v>0</v>
      </c>
      <c r="C68">
        <f>BIdetails!J71</f>
        <v>0</v>
      </c>
      <c r="D68">
        <f>BIdetails!K71</f>
        <v>0</v>
      </c>
      <c r="E68" s="168">
        <f>BIdetails!M71</f>
        <v>0</v>
      </c>
      <c r="F68" t="e">
        <f>IF(ISERROR(IF(OR(C68="#",C68=0),"",VLOOKUP(C68,'AOP24'!M:M,1,0))),"Not Found",VLOOKUP(C68,'AOP24'!M:M,1,0))</f>
        <v>#N/A</v>
      </c>
      <c r="G68" t="e">
        <f t="shared" si="1"/>
        <v>#N/A</v>
      </c>
    </row>
    <row r="69" spans="1:7" x14ac:dyDescent="0.25">
      <c r="A69">
        <f>BIdetails!G72</f>
        <v>0</v>
      </c>
      <c r="B69">
        <f>BIdetails!H72</f>
        <v>0</v>
      </c>
      <c r="C69">
        <f>BIdetails!J72</f>
        <v>0</v>
      </c>
      <c r="D69">
        <f>BIdetails!K72</f>
        <v>0</v>
      </c>
      <c r="E69" s="168">
        <f>BIdetails!M72</f>
        <v>0</v>
      </c>
      <c r="F69" t="e">
        <f>IF(ISERROR(IF(OR(C69="#",C69=0),"",VLOOKUP(C69,'AOP24'!M:M,1,0))),"Not Found",VLOOKUP(C69,'AOP24'!M:M,1,0))</f>
        <v>#N/A</v>
      </c>
      <c r="G69" t="e">
        <f t="shared" si="1"/>
        <v>#N/A</v>
      </c>
    </row>
    <row r="70" spans="1:7" x14ac:dyDescent="0.25">
      <c r="A70">
        <f>BIdetails!G73</f>
        <v>0</v>
      </c>
      <c r="B70">
        <f>BIdetails!H73</f>
        <v>0</v>
      </c>
      <c r="C70">
        <f>BIdetails!J73</f>
        <v>0</v>
      </c>
      <c r="D70">
        <f>BIdetails!K73</f>
        <v>0</v>
      </c>
      <c r="E70" s="168">
        <f>BIdetails!M73</f>
        <v>0</v>
      </c>
      <c r="F70" t="e">
        <f>IF(ISERROR(IF(OR(C70="#",C70=0),"",VLOOKUP(C70,'AOP24'!M:M,1,0))),"Not Found",VLOOKUP(C70,'AOP24'!M:M,1,0))</f>
        <v>#N/A</v>
      </c>
      <c r="G70" t="e">
        <f t="shared" si="1"/>
        <v>#N/A</v>
      </c>
    </row>
    <row r="71" spans="1:7" x14ac:dyDescent="0.25">
      <c r="A71">
        <f>BIdetails!G74</f>
        <v>0</v>
      </c>
      <c r="B71">
        <f>BIdetails!H74</f>
        <v>0</v>
      </c>
      <c r="C71">
        <f>BIdetails!J74</f>
        <v>0</v>
      </c>
      <c r="D71">
        <f>BIdetails!K74</f>
        <v>0</v>
      </c>
      <c r="E71" s="168">
        <f>BIdetails!M74</f>
        <v>0</v>
      </c>
      <c r="F71" t="e">
        <f>IF(ISERROR(IF(OR(C71="#",C71=0),"",VLOOKUP(C71,'AOP24'!M:M,1,0))),"Not Found",VLOOKUP(C71,'AOP24'!M:M,1,0))</f>
        <v>#N/A</v>
      </c>
      <c r="G71" t="e">
        <f t="shared" si="1"/>
        <v>#N/A</v>
      </c>
    </row>
    <row r="72" spans="1:7" x14ac:dyDescent="0.25">
      <c r="A72">
        <f>BIdetails!G75</f>
        <v>0</v>
      </c>
      <c r="B72">
        <f>BIdetails!H75</f>
        <v>0</v>
      </c>
      <c r="C72">
        <f>BIdetails!J75</f>
        <v>0</v>
      </c>
      <c r="D72">
        <f>BIdetails!K75</f>
        <v>0</v>
      </c>
      <c r="E72" s="168">
        <f>BIdetails!M75</f>
        <v>0</v>
      </c>
      <c r="F72" t="e">
        <f>IF(ISERROR(IF(OR(C72="#",C72=0),"",VLOOKUP(C72,'AOP24'!M:M,1,0))),"Not Found",VLOOKUP(C72,'AOP24'!M:M,1,0))</f>
        <v>#N/A</v>
      </c>
      <c r="G72" t="e">
        <f t="shared" si="1"/>
        <v>#N/A</v>
      </c>
    </row>
    <row r="73" spans="1:7" x14ac:dyDescent="0.25">
      <c r="A73">
        <f>BIdetails!G76</f>
        <v>0</v>
      </c>
      <c r="B73">
        <f>BIdetails!H76</f>
        <v>0</v>
      </c>
      <c r="C73">
        <f>BIdetails!J76</f>
        <v>0</v>
      </c>
      <c r="D73">
        <f>BIdetails!K76</f>
        <v>0</v>
      </c>
      <c r="E73" s="168">
        <f>BIdetails!M76</f>
        <v>0</v>
      </c>
      <c r="F73" t="e">
        <f>IF(ISERROR(IF(OR(C73="#",C73=0),"",VLOOKUP(C73,'AOP24'!M:M,1,0))),"Not Found",VLOOKUP(C73,'AOP24'!M:M,1,0))</f>
        <v>#N/A</v>
      </c>
      <c r="G73" t="e">
        <f t="shared" si="1"/>
        <v>#N/A</v>
      </c>
    </row>
    <row r="74" spans="1:7" x14ac:dyDescent="0.25">
      <c r="A74">
        <f>BIdetails!G77</f>
        <v>0</v>
      </c>
      <c r="B74">
        <f>BIdetails!H77</f>
        <v>0</v>
      </c>
      <c r="C74">
        <f>BIdetails!J77</f>
        <v>0</v>
      </c>
      <c r="D74">
        <f>BIdetails!K77</f>
        <v>0</v>
      </c>
      <c r="E74" s="168">
        <f>BIdetails!M77</f>
        <v>0</v>
      </c>
      <c r="F74" t="e">
        <f>IF(ISERROR(IF(OR(C74="#",C74=0),"",VLOOKUP(C74,'AOP24'!M:M,1,0))),"Not Found",VLOOKUP(C74,'AOP24'!M:M,1,0))</f>
        <v>#N/A</v>
      </c>
      <c r="G74" t="e">
        <f t="shared" si="1"/>
        <v>#N/A</v>
      </c>
    </row>
    <row r="75" spans="1:7" x14ac:dyDescent="0.25">
      <c r="A75">
        <f>BIdetails!G78</f>
        <v>0</v>
      </c>
      <c r="B75">
        <f>BIdetails!H78</f>
        <v>0</v>
      </c>
      <c r="C75">
        <f>BIdetails!J78</f>
        <v>0</v>
      </c>
      <c r="D75">
        <f>BIdetails!K78</f>
        <v>0</v>
      </c>
      <c r="E75" s="168">
        <f>BIdetails!M78</f>
        <v>0</v>
      </c>
      <c r="F75" t="e">
        <f>IF(ISERROR(IF(OR(C75="#",C75=0),"",VLOOKUP(C75,'AOP24'!M:M,1,0))),"Not Found",VLOOKUP(C75,'AOP24'!M:M,1,0))</f>
        <v>#N/A</v>
      </c>
      <c r="G75" t="e">
        <f t="shared" si="1"/>
        <v>#N/A</v>
      </c>
    </row>
    <row r="76" spans="1:7" x14ac:dyDescent="0.25">
      <c r="A76">
        <f>BIdetails!G79</f>
        <v>0</v>
      </c>
      <c r="B76">
        <f>BIdetails!H79</f>
        <v>0</v>
      </c>
      <c r="C76">
        <f>BIdetails!J79</f>
        <v>0</v>
      </c>
      <c r="D76">
        <f>BIdetails!K79</f>
        <v>0</v>
      </c>
      <c r="E76" s="168">
        <f>BIdetails!M79</f>
        <v>0</v>
      </c>
      <c r="F76" t="e">
        <f>IF(ISERROR(IF(OR(C76="#",C76=0),"",VLOOKUP(C76,'AOP24'!M:M,1,0))),"Not Found",VLOOKUP(C76,'AOP24'!M:M,1,0))</f>
        <v>#N/A</v>
      </c>
      <c r="G76" t="e">
        <f t="shared" si="1"/>
        <v>#N/A</v>
      </c>
    </row>
    <row r="77" spans="1:7" x14ac:dyDescent="0.25">
      <c r="A77">
        <f>BIdetails!G80</f>
        <v>0</v>
      </c>
      <c r="B77">
        <f>BIdetails!H80</f>
        <v>0</v>
      </c>
      <c r="C77">
        <f>BIdetails!J80</f>
        <v>0</v>
      </c>
      <c r="D77">
        <f>BIdetails!K80</f>
        <v>0</v>
      </c>
      <c r="E77" s="168">
        <f>BIdetails!M80</f>
        <v>0</v>
      </c>
      <c r="F77" t="e">
        <f>IF(ISERROR(IF(OR(C77="#",C77=0),"",VLOOKUP(C77,'AOP24'!M:M,1,0))),"Not Found",VLOOKUP(C77,'AOP24'!M:M,1,0))</f>
        <v>#N/A</v>
      </c>
      <c r="G77" t="e">
        <f t="shared" si="1"/>
        <v>#N/A</v>
      </c>
    </row>
    <row r="78" spans="1:7" x14ac:dyDescent="0.25">
      <c r="A78">
        <f>BIdetails!G81</f>
        <v>0</v>
      </c>
      <c r="B78">
        <f>BIdetails!H81</f>
        <v>0</v>
      </c>
      <c r="C78">
        <f>BIdetails!J81</f>
        <v>0</v>
      </c>
      <c r="D78">
        <f>BIdetails!K81</f>
        <v>0</v>
      </c>
      <c r="E78" s="168">
        <f>BIdetails!M81</f>
        <v>0</v>
      </c>
      <c r="F78" t="e">
        <f>IF(ISERROR(IF(OR(C78="#",C78=0),"",VLOOKUP(C78,'AOP24'!M:M,1,0))),"Not Found",VLOOKUP(C78,'AOP24'!M:M,1,0))</f>
        <v>#N/A</v>
      </c>
      <c r="G78" t="e">
        <f t="shared" si="1"/>
        <v>#N/A</v>
      </c>
    </row>
    <row r="79" spans="1:7" x14ac:dyDescent="0.25">
      <c r="A79">
        <f>BIdetails!G82</f>
        <v>0</v>
      </c>
      <c r="B79">
        <f>BIdetails!H82</f>
        <v>0</v>
      </c>
      <c r="C79">
        <f>BIdetails!J82</f>
        <v>0</v>
      </c>
      <c r="D79">
        <f>BIdetails!K82</f>
        <v>0</v>
      </c>
      <c r="E79" s="168">
        <f>BIdetails!M82</f>
        <v>0</v>
      </c>
      <c r="F79" t="e">
        <f>IF(ISERROR(IF(OR(C79="#",C79=0),"",VLOOKUP(C79,'AOP24'!M:M,1,0))),"Not Found",VLOOKUP(C79,'AOP24'!M:M,1,0))</f>
        <v>#N/A</v>
      </c>
      <c r="G79" t="e">
        <f t="shared" si="1"/>
        <v>#N/A</v>
      </c>
    </row>
    <row r="80" spans="1:7" x14ac:dyDescent="0.25">
      <c r="A80">
        <f>BIdetails!G83</f>
        <v>0</v>
      </c>
      <c r="B80">
        <f>BIdetails!H83</f>
        <v>0</v>
      </c>
      <c r="C80">
        <f>BIdetails!J83</f>
        <v>0</v>
      </c>
      <c r="D80">
        <f>BIdetails!K83</f>
        <v>0</v>
      </c>
      <c r="E80" s="168">
        <f>BIdetails!M83</f>
        <v>0</v>
      </c>
      <c r="F80" t="e">
        <f>IF(ISERROR(IF(OR(C80="#",C80=0),"",VLOOKUP(C80,'AOP24'!M:M,1,0))),"Not Found",VLOOKUP(C80,'AOP24'!M:M,1,0))</f>
        <v>#N/A</v>
      </c>
      <c r="G80" t="e">
        <f t="shared" si="1"/>
        <v>#N/A</v>
      </c>
    </row>
    <row r="81" spans="1:7" x14ac:dyDescent="0.25">
      <c r="A81">
        <f>BIdetails!G84</f>
        <v>0</v>
      </c>
      <c r="B81">
        <f>BIdetails!H84</f>
        <v>0</v>
      </c>
      <c r="C81">
        <f>BIdetails!J84</f>
        <v>0</v>
      </c>
      <c r="D81">
        <f>BIdetails!K84</f>
        <v>0</v>
      </c>
      <c r="E81" s="168">
        <f>BIdetails!M84</f>
        <v>0</v>
      </c>
      <c r="F81" t="e">
        <f>IF(ISERROR(IF(OR(C81="#",C81=0),"",VLOOKUP(C81,'AOP24'!M:M,1,0))),"Not Found",VLOOKUP(C81,'AOP24'!M:M,1,0))</f>
        <v>#N/A</v>
      </c>
      <c r="G81" t="e">
        <f t="shared" si="1"/>
        <v>#N/A</v>
      </c>
    </row>
    <row r="82" spans="1:7" x14ac:dyDescent="0.25">
      <c r="A82">
        <f>BIdetails!G85</f>
        <v>0</v>
      </c>
      <c r="B82">
        <f>BIdetails!H85</f>
        <v>0</v>
      </c>
      <c r="C82">
        <f>BIdetails!J85</f>
        <v>0</v>
      </c>
      <c r="D82">
        <f>BIdetails!K85</f>
        <v>0</v>
      </c>
      <c r="E82" s="168">
        <f>BIdetails!M85</f>
        <v>0</v>
      </c>
      <c r="F82" t="e">
        <f>IF(ISERROR(IF(OR(C82="#",C82=0),"",VLOOKUP(C82,'AOP24'!M:M,1,0))),"Not Found",VLOOKUP(C82,'AOP24'!M:M,1,0))</f>
        <v>#N/A</v>
      </c>
      <c r="G82" t="e">
        <f t="shared" si="1"/>
        <v>#N/A</v>
      </c>
    </row>
    <row r="83" spans="1:7" x14ac:dyDescent="0.25">
      <c r="A83">
        <f>BIdetails!G86</f>
        <v>0</v>
      </c>
      <c r="B83">
        <f>BIdetails!H86</f>
        <v>0</v>
      </c>
      <c r="C83">
        <f>BIdetails!J86</f>
        <v>0</v>
      </c>
      <c r="D83">
        <f>BIdetails!K86</f>
        <v>0</v>
      </c>
      <c r="E83" s="168">
        <f>BIdetails!M86</f>
        <v>0</v>
      </c>
      <c r="F83" t="e">
        <f>IF(ISERROR(IF(OR(C83="#",C83=0),"",VLOOKUP(C83,'AOP24'!M:M,1,0))),"Not Found",VLOOKUP(C83,'AOP24'!M:M,1,0))</f>
        <v>#N/A</v>
      </c>
      <c r="G83" t="e">
        <f t="shared" si="1"/>
        <v>#N/A</v>
      </c>
    </row>
    <row r="84" spans="1:7" x14ac:dyDescent="0.25">
      <c r="A84">
        <f>BIdetails!G87</f>
        <v>0</v>
      </c>
      <c r="B84">
        <f>BIdetails!H87</f>
        <v>0</v>
      </c>
      <c r="C84">
        <f>BIdetails!J87</f>
        <v>0</v>
      </c>
      <c r="D84">
        <f>BIdetails!K87</f>
        <v>0</v>
      </c>
      <c r="E84" s="168">
        <f>BIdetails!M87</f>
        <v>0</v>
      </c>
      <c r="F84" t="e">
        <f>IF(ISERROR(IF(OR(C84="#",C84=0),"",VLOOKUP(C84,'AOP24'!M:M,1,0))),"Not Found",VLOOKUP(C84,'AOP24'!M:M,1,0))</f>
        <v>#N/A</v>
      </c>
      <c r="G84" t="e">
        <f t="shared" si="1"/>
        <v>#N/A</v>
      </c>
    </row>
    <row r="85" spans="1:7" x14ac:dyDescent="0.25">
      <c r="A85">
        <f>BIdetails!G88</f>
        <v>0</v>
      </c>
      <c r="B85">
        <f>BIdetails!H88</f>
        <v>0</v>
      </c>
      <c r="C85">
        <f>BIdetails!J88</f>
        <v>0</v>
      </c>
      <c r="D85">
        <f>BIdetails!K88</f>
        <v>0</v>
      </c>
      <c r="E85" s="168">
        <f>BIdetails!M88</f>
        <v>0</v>
      </c>
      <c r="F85" t="e">
        <f>IF(ISERROR(IF(OR(C85="#",C85=0),"",VLOOKUP(C85,'AOP24'!M:M,1,0))),"Not Found",VLOOKUP(C85,'AOP24'!M:M,1,0))</f>
        <v>#N/A</v>
      </c>
      <c r="G85" t="e">
        <f t="shared" si="1"/>
        <v>#N/A</v>
      </c>
    </row>
    <row r="86" spans="1:7" x14ac:dyDescent="0.25">
      <c r="A86">
        <f>BIdetails!G89</f>
        <v>0</v>
      </c>
      <c r="B86">
        <f>BIdetails!H89</f>
        <v>0</v>
      </c>
      <c r="C86">
        <f>BIdetails!J89</f>
        <v>0</v>
      </c>
      <c r="D86">
        <f>BIdetails!K89</f>
        <v>0</v>
      </c>
      <c r="E86" s="168">
        <f>BIdetails!M89</f>
        <v>0</v>
      </c>
      <c r="F86" t="e">
        <f>IF(ISERROR(IF(OR(C86="#",C86=0),"",VLOOKUP(C86,'AOP24'!M:M,1,0))),"Not Found",VLOOKUP(C86,'AOP24'!M:M,1,0))</f>
        <v>#N/A</v>
      </c>
      <c r="G86" t="e">
        <f t="shared" si="1"/>
        <v>#N/A</v>
      </c>
    </row>
    <row r="87" spans="1:7" x14ac:dyDescent="0.25">
      <c r="A87">
        <f>BIdetails!G90</f>
        <v>0</v>
      </c>
      <c r="B87">
        <f>BIdetails!H90</f>
        <v>0</v>
      </c>
      <c r="C87">
        <f>BIdetails!J90</f>
        <v>0</v>
      </c>
      <c r="D87">
        <f>BIdetails!K90</f>
        <v>0</v>
      </c>
      <c r="E87" s="168">
        <f>BIdetails!M90</f>
        <v>0</v>
      </c>
      <c r="F87" t="e">
        <f>IF(ISERROR(IF(OR(C87="#",C87=0),"",VLOOKUP(C87,'AOP24'!M:M,1,0))),"Not Found",VLOOKUP(C87,'AOP24'!M:M,1,0))</f>
        <v>#N/A</v>
      </c>
      <c r="G87" t="e">
        <f t="shared" si="1"/>
        <v>#N/A</v>
      </c>
    </row>
    <row r="88" spans="1:7" x14ac:dyDescent="0.25">
      <c r="A88">
        <f>BIdetails!G91</f>
        <v>0</v>
      </c>
      <c r="B88">
        <f>BIdetails!H91</f>
        <v>0</v>
      </c>
      <c r="C88">
        <f>BIdetails!J91</f>
        <v>0</v>
      </c>
      <c r="D88">
        <f>BIdetails!K91</f>
        <v>0</v>
      </c>
      <c r="E88" s="168">
        <f>BIdetails!M91</f>
        <v>0</v>
      </c>
      <c r="F88" t="e">
        <f>IF(ISERROR(IF(OR(C88="#",C88=0),"",VLOOKUP(C88,'AOP24'!M:M,1,0))),"Not Found",VLOOKUP(C88,'AOP24'!M:M,1,0))</f>
        <v>#N/A</v>
      </c>
      <c r="G88" t="e">
        <f t="shared" si="1"/>
        <v>#N/A</v>
      </c>
    </row>
    <row r="89" spans="1:7" x14ac:dyDescent="0.25">
      <c r="A89">
        <f>BIdetails!G92</f>
        <v>0</v>
      </c>
      <c r="B89">
        <f>BIdetails!H92</f>
        <v>0</v>
      </c>
      <c r="C89">
        <f>BIdetails!J92</f>
        <v>0</v>
      </c>
      <c r="D89">
        <f>BIdetails!K92</f>
        <v>0</v>
      </c>
      <c r="E89" s="168">
        <f>BIdetails!M92</f>
        <v>0</v>
      </c>
      <c r="F89" t="e">
        <f>IF(ISERROR(IF(OR(C89="#",C89=0),"",VLOOKUP(C89,'AOP24'!M:M,1,0))),"Not Found",VLOOKUP(C89,'AOP24'!M:M,1,0))</f>
        <v>#N/A</v>
      </c>
      <c r="G89" t="e">
        <f t="shared" si="1"/>
        <v>#N/A</v>
      </c>
    </row>
    <row r="90" spans="1:7" x14ac:dyDescent="0.25">
      <c r="A90">
        <f>BIdetails!G93</f>
        <v>0</v>
      </c>
      <c r="B90">
        <f>BIdetails!H93</f>
        <v>0</v>
      </c>
      <c r="C90">
        <f>BIdetails!J93</f>
        <v>0</v>
      </c>
      <c r="D90">
        <f>BIdetails!K93</f>
        <v>0</v>
      </c>
      <c r="E90" s="168">
        <f>BIdetails!M93</f>
        <v>0</v>
      </c>
      <c r="F90" t="e">
        <f>IF(ISERROR(IF(OR(C90="#",C90=0),"",VLOOKUP(C90,'AOP24'!M:M,1,0))),"Not Found",VLOOKUP(C90,'AOP24'!M:M,1,0))</f>
        <v>#N/A</v>
      </c>
      <c r="G90" t="e">
        <f t="shared" si="1"/>
        <v>#N/A</v>
      </c>
    </row>
    <row r="91" spans="1:7" x14ac:dyDescent="0.25">
      <c r="A91">
        <f>BIdetails!G94</f>
        <v>0</v>
      </c>
      <c r="B91">
        <f>BIdetails!H94</f>
        <v>0</v>
      </c>
      <c r="C91">
        <f>BIdetails!J94</f>
        <v>0</v>
      </c>
      <c r="D91">
        <f>BIdetails!K94</f>
        <v>0</v>
      </c>
      <c r="E91" s="168">
        <f>BIdetails!M94</f>
        <v>0</v>
      </c>
      <c r="F91" t="e">
        <f>IF(ISERROR(IF(OR(C91="#",C91=0),"",VLOOKUP(C91,'AOP24'!M:M,1,0))),"Not Found",VLOOKUP(C91,'AOP24'!M:M,1,0))</f>
        <v>#N/A</v>
      </c>
      <c r="G91" t="e">
        <f t="shared" si="1"/>
        <v>#N/A</v>
      </c>
    </row>
    <row r="92" spans="1:7" x14ac:dyDescent="0.25">
      <c r="A92">
        <f>BIdetails!G95</f>
        <v>0</v>
      </c>
      <c r="B92">
        <f>BIdetails!H95</f>
        <v>0</v>
      </c>
      <c r="C92">
        <f>BIdetails!J95</f>
        <v>0</v>
      </c>
      <c r="D92">
        <f>BIdetails!K95</f>
        <v>0</v>
      </c>
      <c r="E92" s="168">
        <f>BIdetails!M95</f>
        <v>0</v>
      </c>
      <c r="F92" t="e">
        <f>IF(ISERROR(IF(OR(C92="#",C92=0),"",VLOOKUP(C92,'AOP24'!M:M,1,0))),"Not Found",VLOOKUP(C92,'AOP24'!M:M,1,0))</f>
        <v>#N/A</v>
      </c>
      <c r="G92" t="e">
        <f t="shared" si="1"/>
        <v>#N/A</v>
      </c>
    </row>
    <row r="93" spans="1:7" x14ac:dyDescent="0.25">
      <c r="A93">
        <f>BIdetails!G96</f>
        <v>0</v>
      </c>
      <c r="B93">
        <f>BIdetails!H96</f>
        <v>0</v>
      </c>
      <c r="C93">
        <f>BIdetails!J96</f>
        <v>0</v>
      </c>
      <c r="D93">
        <f>BIdetails!K96</f>
        <v>0</v>
      </c>
      <c r="E93" s="168">
        <f>BIdetails!M96</f>
        <v>0</v>
      </c>
      <c r="F93" t="e">
        <f>IF(ISERROR(IF(OR(C93="#",C93=0),"",VLOOKUP(C93,'AOP24'!M:M,1,0))),"Not Found",VLOOKUP(C93,'AOP24'!M:M,1,0))</f>
        <v>#N/A</v>
      </c>
      <c r="G93" t="e">
        <f t="shared" si="1"/>
        <v>#N/A</v>
      </c>
    </row>
    <row r="94" spans="1:7" x14ac:dyDescent="0.25">
      <c r="A94">
        <f>BIdetails!G97</f>
        <v>0</v>
      </c>
      <c r="B94">
        <f>BIdetails!H97</f>
        <v>0</v>
      </c>
      <c r="C94">
        <f>BIdetails!J97</f>
        <v>0</v>
      </c>
      <c r="D94">
        <f>BIdetails!K97</f>
        <v>0</v>
      </c>
      <c r="E94" s="168">
        <f>BIdetails!M97</f>
        <v>0</v>
      </c>
      <c r="F94" t="e">
        <f>IF(ISERROR(IF(OR(C94="#",C94=0),"",VLOOKUP(C94,'AOP24'!M:M,1,0))),"Not Found",VLOOKUP(C94,'AOP24'!M:M,1,0))</f>
        <v>#N/A</v>
      </c>
      <c r="G94" t="e">
        <f t="shared" si="1"/>
        <v>#N/A</v>
      </c>
    </row>
    <row r="95" spans="1:7" x14ac:dyDescent="0.25">
      <c r="A95">
        <f>BIdetails!G98</f>
        <v>0</v>
      </c>
      <c r="B95">
        <f>BIdetails!H98</f>
        <v>0</v>
      </c>
      <c r="C95">
        <f>BIdetails!J98</f>
        <v>0</v>
      </c>
      <c r="D95">
        <f>BIdetails!K98</f>
        <v>0</v>
      </c>
      <c r="E95" s="168">
        <f>BIdetails!M98</f>
        <v>0</v>
      </c>
      <c r="F95" t="e">
        <f>IF(ISERROR(IF(OR(C95="#",C95=0),"",VLOOKUP(C95,'AOP24'!M:M,1,0))),"Not Found",VLOOKUP(C95,'AOP24'!M:M,1,0))</f>
        <v>#N/A</v>
      </c>
      <c r="G95" t="e">
        <f t="shared" si="1"/>
        <v>#N/A</v>
      </c>
    </row>
    <row r="96" spans="1:7" x14ac:dyDescent="0.25">
      <c r="A96">
        <f>BIdetails!G99</f>
        <v>0</v>
      </c>
      <c r="B96">
        <f>BIdetails!H99</f>
        <v>0</v>
      </c>
      <c r="C96">
        <f>BIdetails!J99</f>
        <v>0</v>
      </c>
      <c r="D96">
        <f>BIdetails!K99</f>
        <v>0</v>
      </c>
      <c r="E96" s="168">
        <f>BIdetails!M99</f>
        <v>0</v>
      </c>
      <c r="F96" t="e">
        <f>IF(ISERROR(IF(OR(C96="#",C96=0),"",VLOOKUP(C96,'AOP24'!M:M,1,0))),"Not Found",VLOOKUP(C96,'AOP24'!M:M,1,0))</f>
        <v>#N/A</v>
      </c>
      <c r="G96" t="e">
        <f t="shared" si="1"/>
        <v>#N/A</v>
      </c>
    </row>
    <row r="97" spans="1:7" x14ac:dyDescent="0.25">
      <c r="A97">
        <f>BIdetails!G100</f>
        <v>0</v>
      </c>
      <c r="B97">
        <f>BIdetails!H100</f>
        <v>0</v>
      </c>
      <c r="C97">
        <f>BIdetails!J100</f>
        <v>0</v>
      </c>
      <c r="D97">
        <f>BIdetails!K100</f>
        <v>0</v>
      </c>
      <c r="E97" s="168">
        <f>BIdetails!M100</f>
        <v>0</v>
      </c>
      <c r="F97" t="e">
        <f>IF(ISERROR(IF(OR(C97="#",C97=0),"",VLOOKUP(C97,'AOP24'!M:M,1,0))),"Not Found",VLOOKUP(C97,'AOP24'!M:M,1,0))</f>
        <v>#N/A</v>
      </c>
      <c r="G97" t="e">
        <f t="shared" si="1"/>
        <v>#N/A</v>
      </c>
    </row>
    <row r="98" spans="1:7" x14ac:dyDescent="0.25">
      <c r="A98">
        <f>BIdetails!G101</f>
        <v>0</v>
      </c>
      <c r="B98">
        <f>BIdetails!H101</f>
        <v>0</v>
      </c>
      <c r="C98">
        <f>BIdetails!J101</f>
        <v>0</v>
      </c>
      <c r="D98">
        <f>BIdetails!K101</f>
        <v>0</v>
      </c>
      <c r="E98" s="168">
        <f>BIdetails!M101</f>
        <v>0</v>
      </c>
      <c r="F98" t="e">
        <f>IF(ISERROR(IF(OR(C98="#",C98=0),"",VLOOKUP(C98,'AOP24'!M:M,1,0))),"Not Found",VLOOKUP(C98,'AOP24'!M:M,1,0))</f>
        <v>#N/A</v>
      </c>
      <c r="G98" t="e">
        <f t="shared" si="1"/>
        <v>#N/A</v>
      </c>
    </row>
    <row r="99" spans="1:7" x14ac:dyDescent="0.25">
      <c r="A99">
        <f>BIdetails!G102</f>
        <v>0</v>
      </c>
      <c r="B99">
        <f>BIdetails!H102</f>
        <v>0</v>
      </c>
      <c r="C99">
        <f>BIdetails!J102</f>
        <v>0</v>
      </c>
      <c r="D99">
        <f>BIdetails!K102</f>
        <v>0</v>
      </c>
      <c r="E99" s="168">
        <f>BIdetails!M102</f>
        <v>0</v>
      </c>
      <c r="F99" t="e">
        <f>IF(ISERROR(IF(OR(C99="#",C99=0),"",VLOOKUP(C99,'AOP24'!M:M,1,0))),"Not Found",VLOOKUP(C99,'AOP24'!M:M,1,0))</f>
        <v>#N/A</v>
      </c>
      <c r="G99" t="e">
        <f t="shared" si="1"/>
        <v>#N/A</v>
      </c>
    </row>
    <row r="100" spans="1:7" x14ac:dyDescent="0.25">
      <c r="A100">
        <f>BIdetails!G103</f>
        <v>0</v>
      </c>
      <c r="B100">
        <f>BIdetails!H103</f>
        <v>0</v>
      </c>
      <c r="C100">
        <f>BIdetails!J103</f>
        <v>0</v>
      </c>
      <c r="D100">
        <f>BIdetails!K103</f>
        <v>0</v>
      </c>
      <c r="E100" s="168">
        <f>BIdetails!M103</f>
        <v>0</v>
      </c>
      <c r="F100" t="e">
        <f>IF(ISERROR(IF(OR(C100="#",C100=0),"",VLOOKUP(C100,'AOP24'!M:M,1,0))),"Not Found",VLOOKUP(C100,'AOP24'!M:M,1,0))</f>
        <v>#N/A</v>
      </c>
      <c r="G100" t="e">
        <f t="shared" si="1"/>
        <v>#N/A</v>
      </c>
    </row>
    <row r="101" spans="1:7" x14ac:dyDescent="0.25">
      <c r="A101">
        <f>BIdetails!G104</f>
        <v>0</v>
      </c>
      <c r="B101">
        <f>BIdetails!H104</f>
        <v>0</v>
      </c>
      <c r="C101">
        <f>BIdetails!J104</f>
        <v>0</v>
      </c>
      <c r="D101">
        <f>BIdetails!K104</f>
        <v>0</v>
      </c>
      <c r="E101" s="168">
        <f>BIdetails!M104</f>
        <v>0</v>
      </c>
      <c r="F101" t="e">
        <f>IF(ISERROR(IF(OR(C101="#",C101=0),"",VLOOKUP(C101,'AOP24'!M:M,1,0))),"Not Found",VLOOKUP(C101,'AOP24'!M:M,1,0))</f>
        <v>#N/A</v>
      </c>
      <c r="G101" t="e">
        <f t="shared" si="1"/>
        <v>#N/A</v>
      </c>
    </row>
    <row r="102" spans="1:7" x14ac:dyDescent="0.25">
      <c r="A102">
        <f>BIdetails!G105</f>
        <v>0</v>
      </c>
      <c r="B102">
        <f>BIdetails!H105</f>
        <v>0</v>
      </c>
      <c r="C102">
        <f>BIdetails!J105</f>
        <v>0</v>
      </c>
      <c r="D102">
        <f>BIdetails!K105</f>
        <v>0</v>
      </c>
      <c r="E102" s="168">
        <f>BIdetails!M105</f>
        <v>0</v>
      </c>
      <c r="F102" t="e">
        <f>IF(ISERROR(IF(OR(C102="#",C102=0),"",VLOOKUP(C102,'AOP24'!M:M,1,0))),"Not Found",VLOOKUP(C102,'AOP24'!M:M,1,0))</f>
        <v>#N/A</v>
      </c>
      <c r="G102" t="e">
        <f t="shared" si="1"/>
        <v>#N/A</v>
      </c>
    </row>
    <row r="103" spans="1:7" x14ac:dyDescent="0.25">
      <c r="A103">
        <f>BIdetails!G106</f>
        <v>0</v>
      </c>
      <c r="B103">
        <f>BIdetails!H106</f>
        <v>0</v>
      </c>
      <c r="C103">
        <f>BIdetails!J106</f>
        <v>0</v>
      </c>
      <c r="D103">
        <f>BIdetails!K106</f>
        <v>0</v>
      </c>
      <c r="E103" s="168">
        <f>BIdetails!M106</f>
        <v>0</v>
      </c>
      <c r="F103" t="e">
        <f>IF(ISERROR(IF(OR(C103="#",C103=0),"",VLOOKUP(C103,'AOP24'!M:M,1,0))),"Not Found",VLOOKUP(C103,'AOP24'!M:M,1,0))</f>
        <v>#N/A</v>
      </c>
      <c r="G103" t="e">
        <f t="shared" si="1"/>
        <v>#N/A</v>
      </c>
    </row>
    <row r="104" spans="1:7" x14ac:dyDescent="0.25">
      <c r="A104">
        <f>BIdetails!G107</f>
        <v>0</v>
      </c>
      <c r="B104">
        <f>BIdetails!H107</f>
        <v>0</v>
      </c>
      <c r="C104">
        <f>BIdetails!J107</f>
        <v>0</v>
      </c>
      <c r="D104">
        <f>BIdetails!K107</f>
        <v>0</v>
      </c>
      <c r="E104" s="168">
        <f>BIdetails!M107</f>
        <v>0</v>
      </c>
      <c r="F104" t="e">
        <f>IF(ISERROR(IF(OR(C104="#",C104=0),"",VLOOKUP(C104,'AOP24'!M:M,1,0))),"Not Found",VLOOKUP(C104,'AOP24'!M:M,1,0))</f>
        <v>#N/A</v>
      </c>
      <c r="G104" t="e">
        <f t="shared" si="1"/>
        <v>#N/A</v>
      </c>
    </row>
    <row r="105" spans="1:7" x14ac:dyDescent="0.25">
      <c r="A105">
        <f>BIdetails!G108</f>
        <v>0</v>
      </c>
      <c r="B105">
        <f>BIdetails!H108</f>
        <v>0</v>
      </c>
      <c r="C105">
        <f>BIdetails!J108</f>
        <v>0</v>
      </c>
      <c r="D105">
        <f>BIdetails!K108</f>
        <v>0</v>
      </c>
      <c r="E105" s="168">
        <f>BIdetails!M108</f>
        <v>0</v>
      </c>
      <c r="F105" t="e">
        <f>IF(ISERROR(IF(OR(C105="#",C105=0),"",VLOOKUP(C105,'AOP24'!M:M,1,0))),"Not Found",VLOOKUP(C105,'AOP24'!M:M,1,0))</f>
        <v>#N/A</v>
      </c>
      <c r="G105" t="e">
        <f t="shared" si="1"/>
        <v>#N/A</v>
      </c>
    </row>
    <row r="106" spans="1:7" x14ac:dyDescent="0.25">
      <c r="A106">
        <f>BIdetails!G109</f>
        <v>0</v>
      </c>
      <c r="B106">
        <f>BIdetails!H109</f>
        <v>0</v>
      </c>
      <c r="C106">
        <f>BIdetails!J109</f>
        <v>0</v>
      </c>
      <c r="D106">
        <f>BIdetails!K109</f>
        <v>0</v>
      </c>
      <c r="E106" s="168">
        <f>BIdetails!M109</f>
        <v>0</v>
      </c>
      <c r="F106" t="e">
        <f>IF(ISERROR(IF(OR(C106="#",C106=0),"",VLOOKUP(C106,'AOP24'!M:M,1,0))),"Not Found",VLOOKUP(C106,'AOP24'!M:M,1,0))</f>
        <v>#N/A</v>
      </c>
      <c r="G106" t="e">
        <f t="shared" si="1"/>
        <v>#N/A</v>
      </c>
    </row>
    <row r="107" spans="1:7" x14ac:dyDescent="0.25">
      <c r="A107">
        <f>BIdetails!G110</f>
        <v>0</v>
      </c>
      <c r="B107">
        <f>BIdetails!H110</f>
        <v>0</v>
      </c>
      <c r="C107">
        <f>BIdetails!J110</f>
        <v>0</v>
      </c>
      <c r="D107">
        <f>BIdetails!K110</f>
        <v>0</v>
      </c>
      <c r="E107" s="168">
        <f>BIdetails!M110</f>
        <v>0</v>
      </c>
      <c r="F107" t="e">
        <f>IF(ISERROR(IF(OR(C107="#",C107=0),"",VLOOKUP(C107,'AOP24'!M:M,1,0))),"Not Found",VLOOKUP(C107,'AOP24'!M:M,1,0))</f>
        <v>#N/A</v>
      </c>
      <c r="G107" t="e">
        <f t="shared" si="1"/>
        <v>#N/A</v>
      </c>
    </row>
    <row r="108" spans="1:7" x14ac:dyDescent="0.25">
      <c r="A108">
        <f>BIdetails!G111</f>
        <v>0</v>
      </c>
      <c r="B108">
        <f>BIdetails!H111</f>
        <v>0</v>
      </c>
      <c r="C108">
        <f>BIdetails!J111</f>
        <v>0</v>
      </c>
      <c r="D108">
        <f>BIdetails!K111</f>
        <v>0</v>
      </c>
      <c r="E108" s="168">
        <f>BIdetails!M111</f>
        <v>0</v>
      </c>
      <c r="F108" t="e">
        <f>IF(ISERROR(IF(OR(C108="#",C108=0),"",VLOOKUP(C108,'AOP24'!M:M,1,0))),"Not Found",VLOOKUP(C108,'AOP24'!M:M,1,0))</f>
        <v>#N/A</v>
      </c>
      <c r="G108" t="e">
        <f t="shared" si="1"/>
        <v>#N/A</v>
      </c>
    </row>
    <row r="109" spans="1:7" x14ac:dyDescent="0.25">
      <c r="A109">
        <f>BIdetails!G112</f>
        <v>0</v>
      </c>
      <c r="B109">
        <f>BIdetails!H112</f>
        <v>0</v>
      </c>
      <c r="C109">
        <f>BIdetails!J112</f>
        <v>0</v>
      </c>
      <c r="D109">
        <f>BIdetails!K112</f>
        <v>0</v>
      </c>
      <c r="E109" s="168">
        <f>BIdetails!M112</f>
        <v>0</v>
      </c>
      <c r="F109" t="e">
        <f>IF(ISERROR(IF(OR(C109="#",C109=0),"",VLOOKUP(C109,'AOP24'!M:M,1,0))),"Not Found",VLOOKUP(C109,'AOP24'!M:M,1,0))</f>
        <v>#N/A</v>
      </c>
      <c r="G109" t="e">
        <f t="shared" si="1"/>
        <v>#N/A</v>
      </c>
    </row>
    <row r="110" spans="1:7" x14ac:dyDescent="0.25">
      <c r="A110">
        <f>BIdetails!G113</f>
        <v>0</v>
      </c>
      <c r="B110">
        <f>BIdetails!H113</f>
        <v>0</v>
      </c>
      <c r="C110">
        <f>BIdetails!J113</f>
        <v>0</v>
      </c>
      <c r="D110">
        <f>BIdetails!K113</f>
        <v>0</v>
      </c>
      <c r="E110" s="168">
        <f>BIdetails!M113</f>
        <v>0</v>
      </c>
      <c r="F110" t="e">
        <f>IF(ISERROR(IF(OR(C110="#",C110=0),"",VLOOKUP(C110,'AOP24'!M:M,1,0))),"Not Found",VLOOKUP(C110,'AOP24'!M:M,1,0))</f>
        <v>#N/A</v>
      </c>
      <c r="G110" t="e">
        <f t="shared" si="1"/>
        <v>#N/A</v>
      </c>
    </row>
    <row r="111" spans="1:7" x14ac:dyDescent="0.25">
      <c r="A111">
        <f>BIdetails!G114</f>
        <v>0</v>
      </c>
      <c r="B111">
        <f>BIdetails!H114</f>
        <v>0</v>
      </c>
      <c r="C111">
        <f>BIdetails!J114</f>
        <v>0</v>
      </c>
      <c r="D111">
        <f>BIdetails!K114</f>
        <v>0</v>
      </c>
      <c r="E111" s="168">
        <f>BIdetails!M114</f>
        <v>0</v>
      </c>
      <c r="F111" t="e">
        <f>IF(ISERROR(IF(OR(C111="#",C111=0),"",VLOOKUP(C111,'AOP24'!M:M,1,0))),"Not Found",VLOOKUP(C111,'AOP24'!M:M,1,0))</f>
        <v>#N/A</v>
      </c>
      <c r="G111" t="e">
        <f t="shared" si="1"/>
        <v>#N/A</v>
      </c>
    </row>
    <row r="112" spans="1:7" x14ac:dyDescent="0.25">
      <c r="A112">
        <f>BIdetails!G115</f>
        <v>0</v>
      </c>
      <c r="B112">
        <f>BIdetails!H115</f>
        <v>0</v>
      </c>
      <c r="C112">
        <f>BIdetails!J115</f>
        <v>0</v>
      </c>
      <c r="D112">
        <f>BIdetails!K115</f>
        <v>0</v>
      </c>
      <c r="E112" s="168">
        <f>BIdetails!M115</f>
        <v>0</v>
      </c>
      <c r="F112" t="e">
        <f>IF(ISERROR(IF(OR(C112="#",C112=0),"",VLOOKUP(C112,'AOP24'!M:M,1,0))),"Not Found",VLOOKUP(C112,'AOP24'!M:M,1,0))</f>
        <v>#N/A</v>
      </c>
      <c r="G112" t="e">
        <f t="shared" si="1"/>
        <v>#N/A</v>
      </c>
    </row>
    <row r="113" spans="1:7" x14ac:dyDescent="0.25">
      <c r="A113">
        <f>BIdetails!G116</f>
        <v>0</v>
      </c>
      <c r="B113">
        <f>BIdetails!H116</f>
        <v>0</v>
      </c>
      <c r="C113">
        <f>BIdetails!J116</f>
        <v>0</v>
      </c>
      <c r="D113">
        <f>BIdetails!K116</f>
        <v>0</v>
      </c>
      <c r="E113" s="168">
        <f>BIdetails!M116</f>
        <v>0</v>
      </c>
      <c r="F113" t="e">
        <f>IF(ISERROR(IF(OR(C113="#",C113=0),"",VLOOKUP(C113,'AOP24'!M:M,1,0))),"Not Found",VLOOKUP(C113,'AOP24'!M:M,1,0))</f>
        <v>#N/A</v>
      </c>
      <c r="G113" t="e">
        <f t="shared" si="1"/>
        <v>#N/A</v>
      </c>
    </row>
    <row r="114" spans="1:7" x14ac:dyDescent="0.25">
      <c r="A114">
        <f>BIdetails!G117</f>
        <v>0</v>
      </c>
      <c r="B114">
        <f>BIdetails!H117</f>
        <v>0</v>
      </c>
      <c r="C114">
        <f>BIdetails!J117</f>
        <v>0</v>
      </c>
      <c r="D114">
        <f>BIdetails!K117</f>
        <v>0</v>
      </c>
      <c r="E114" s="168">
        <f>BIdetails!M117</f>
        <v>0</v>
      </c>
      <c r="F114" t="e">
        <f>IF(ISERROR(IF(OR(C114="#",C114=0),"",VLOOKUP(C114,'AOP24'!M:M,1,0))),"Not Found",VLOOKUP(C114,'AOP24'!M:M,1,0))</f>
        <v>#N/A</v>
      </c>
      <c r="G114" t="e">
        <f t="shared" si="1"/>
        <v>#N/A</v>
      </c>
    </row>
    <row r="115" spans="1:7" x14ac:dyDescent="0.25">
      <c r="A115">
        <f>BIdetails!G118</f>
        <v>0</v>
      </c>
      <c r="B115">
        <f>BIdetails!H118</f>
        <v>0</v>
      </c>
      <c r="C115">
        <f>BIdetails!J118</f>
        <v>0</v>
      </c>
      <c r="D115">
        <f>BIdetails!K118</f>
        <v>0</v>
      </c>
      <c r="E115" s="168">
        <f>BIdetails!M118</f>
        <v>0</v>
      </c>
      <c r="F115" t="e">
        <f>IF(ISERROR(IF(OR(C115="#",C115=0),"",VLOOKUP(C115,'AOP24'!M:M,1,0))),"Not Found",VLOOKUP(C115,'AOP24'!M:M,1,0))</f>
        <v>#N/A</v>
      </c>
      <c r="G115" t="e">
        <f t="shared" si="1"/>
        <v>#N/A</v>
      </c>
    </row>
    <row r="116" spans="1:7" x14ac:dyDescent="0.25">
      <c r="A116">
        <f>BIdetails!G119</f>
        <v>0</v>
      </c>
      <c r="B116">
        <f>BIdetails!H119</f>
        <v>0</v>
      </c>
      <c r="C116">
        <f>BIdetails!J119</f>
        <v>0</v>
      </c>
      <c r="D116">
        <f>BIdetails!K119</f>
        <v>0</v>
      </c>
      <c r="E116" s="168">
        <f>BIdetails!M119</f>
        <v>0</v>
      </c>
      <c r="F116" t="e">
        <f>IF(ISERROR(IF(OR(C116="#",C116=0),"",VLOOKUP(C116,'AOP24'!M:M,1,0))),"Not Found",VLOOKUP(C116,'AOP24'!M:M,1,0))</f>
        <v>#N/A</v>
      </c>
      <c r="G116" t="e">
        <f t="shared" si="1"/>
        <v>#N/A</v>
      </c>
    </row>
    <row r="117" spans="1:7" x14ac:dyDescent="0.25">
      <c r="A117">
        <f>BIdetails!G120</f>
        <v>0</v>
      </c>
      <c r="B117">
        <f>BIdetails!H120</f>
        <v>0</v>
      </c>
      <c r="C117">
        <f>BIdetails!J120</f>
        <v>0</v>
      </c>
      <c r="D117">
        <f>BIdetails!K120</f>
        <v>0</v>
      </c>
      <c r="E117" s="168">
        <f>BIdetails!M120</f>
        <v>0</v>
      </c>
      <c r="F117" t="e">
        <f>IF(ISERROR(IF(OR(C117="#",C117=0),"",VLOOKUP(C117,'AOP24'!M:M,1,0))),"Not Found",VLOOKUP(C117,'AOP24'!M:M,1,0))</f>
        <v>#N/A</v>
      </c>
      <c r="G117" t="e">
        <f t="shared" si="1"/>
        <v>#N/A</v>
      </c>
    </row>
    <row r="118" spans="1:7" x14ac:dyDescent="0.25">
      <c r="A118">
        <f>BIdetails!G121</f>
        <v>0</v>
      </c>
      <c r="B118">
        <f>BIdetails!H121</f>
        <v>0</v>
      </c>
      <c r="C118">
        <f>BIdetails!J121</f>
        <v>0</v>
      </c>
      <c r="D118">
        <f>BIdetails!K121</f>
        <v>0</v>
      </c>
      <c r="E118" s="168">
        <f>BIdetails!M121</f>
        <v>0</v>
      </c>
      <c r="F118" t="e">
        <f>IF(ISERROR(IF(OR(C118="#",C118=0),"",VLOOKUP(C118,'AOP24'!M:M,1,0))),"Not Found",VLOOKUP(C118,'AOP24'!M:M,1,0))</f>
        <v>#N/A</v>
      </c>
      <c r="G118" t="e">
        <f t="shared" si="1"/>
        <v>#N/A</v>
      </c>
    </row>
    <row r="119" spans="1:7" x14ac:dyDescent="0.25">
      <c r="A119">
        <f>BIdetails!G122</f>
        <v>0</v>
      </c>
      <c r="B119">
        <f>BIdetails!H122</f>
        <v>0</v>
      </c>
      <c r="C119">
        <f>BIdetails!J122</f>
        <v>0</v>
      </c>
      <c r="D119">
        <f>BIdetails!K122</f>
        <v>0</v>
      </c>
      <c r="E119" s="168">
        <f>BIdetails!M122</f>
        <v>0</v>
      </c>
      <c r="F119" t="e">
        <f>IF(ISERROR(IF(OR(C119="#",C119=0),"",VLOOKUP(C119,'AOP24'!M:M,1,0))),"Not Found",VLOOKUP(C119,'AOP24'!M:M,1,0))</f>
        <v>#N/A</v>
      </c>
      <c r="G119" t="e">
        <f t="shared" si="1"/>
        <v>#N/A</v>
      </c>
    </row>
    <row r="120" spans="1:7" x14ac:dyDescent="0.25">
      <c r="A120">
        <f>BIdetails!G123</f>
        <v>0</v>
      </c>
      <c r="B120">
        <f>BIdetails!H123</f>
        <v>0</v>
      </c>
      <c r="C120">
        <f>BIdetails!J123</f>
        <v>0</v>
      </c>
      <c r="D120">
        <f>BIdetails!K123</f>
        <v>0</v>
      </c>
      <c r="E120" s="168">
        <f>BIdetails!M123</f>
        <v>0</v>
      </c>
      <c r="F120" t="e">
        <f>IF(ISERROR(IF(OR(C120="#",C120=0),"",VLOOKUP(C120,'AOP24'!M:M,1,0))),"Not Found",VLOOKUP(C120,'AOP24'!M:M,1,0))</f>
        <v>#N/A</v>
      </c>
      <c r="G120" t="e">
        <f t="shared" si="1"/>
        <v>#N/A</v>
      </c>
    </row>
    <row r="121" spans="1:7" x14ac:dyDescent="0.25">
      <c r="A121">
        <f>BIdetails!G124</f>
        <v>0</v>
      </c>
      <c r="B121">
        <f>BIdetails!H124</f>
        <v>0</v>
      </c>
      <c r="C121">
        <f>BIdetails!J124</f>
        <v>0</v>
      </c>
      <c r="D121">
        <f>BIdetails!K124</f>
        <v>0</v>
      </c>
      <c r="E121" s="168">
        <f>BIdetails!M124</f>
        <v>0</v>
      </c>
      <c r="F121" t="e">
        <f>IF(ISERROR(IF(OR(C121="#",C121=0),"",VLOOKUP(C121,'AOP24'!M:M,1,0))),"Not Found",VLOOKUP(C121,'AOP24'!M:M,1,0))</f>
        <v>#N/A</v>
      </c>
      <c r="G121" t="e">
        <f t="shared" si="1"/>
        <v>#N/A</v>
      </c>
    </row>
    <row r="122" spans="1:7" x14ac:dyDescent="0.25">
      <c r="A122">
        <f>BIdetails!G125</f>
        <v>0</v>
      </c>
      <c r="B122">
        <f>BIdetails!H125</f>
        <v>0</v>
      </c>
      <c r="C122">
        <f>BIdetails!J125</f>
        <v>0</v>
      </c>
      <c r="D122">
        <f>BIdetails!K125</f>
        <v>0</v>
      </c>
      <c r="E122" s="168">
        <f>BIdetails!M125</f>
        <v>0</v>
      </c>
      <c r="F122" t="e">
        <f>IF(ISERROR(IF(OR(C122="#",C122=0),"",VLOOKUP(C122,'AOP24'!M:M,1,0))),"Not Found",VLOOKUP(C122,'AOP24'!M:M,1,0))</f>
        <v>#N/A</v>
      </c>
      <c r="G122" t="e">
        <f t="shared" si="1"/>
        <v>#N/A</v>
      </c>
    </row>
    <row r="123" spans="1:7" x14ac:dyDescent="0.25">
      <c r="A123">
        <f>BIdetails!G126</f>
        <v>0</v>
      </c>
      <c r="B123">
        <f>BIdetails!H126</f>
        <v>0</v>
      </c>
      <c r="C123">
        <f>BIdetails!J126</f>
        <v>0</v>
      </c>
      <c r="D123">
        <f>BIdetails!K126</f>
        <v>0</v>
      </c>
      <c r="E123" s="168">
        <f>BIdetails!M126</f>
        <v>0</v>
      </c>
      <c r="F123" t="e">
        <f>IF(ISERROR(IF(OR(C123="#",C123=0),"",VLOOKUP(C123,'AOP24'!M:M,1,0))),"Not Found",VLOOKUP(C123,'AOP24'!M:M,1,0))</f>
        <v>#N/A</v>
      </c>
      <c r="G123" t="e">
        <f t="shared" si="1"/>
        <v>#N/A</v>
      </c>
    </row>
    <row r="124" spans="1:7" x14ac:dyDescent="0.25">
      <c r="A124">
        <f>BIdetails!G127</f>
        <v>0</v>
      </c>
      <c r="B124">
        <f>BIdetails!H127</f>
        <v>0</v>
      </c>
      <c r="C124">
        <f>BIdetails!J127</f>
        <v>0</v>
      </c>
      <c r="D124">
        <f>BIdetails!K127</f>
        <v>0</v>
      </c>
      <c r="E124" s="168">
        <f>BIdetails!M127</f>
        <v>0</v>
      </c>
      <c r="F124" t="e">
        <f>IF(ISERROR(IF(OR(C124="#",C124=0),"",VLOOKUP(C124,'AOP24'!M:M,1,0))),"Not Found",VLOOKUP(C124,'AOP24'!M:M,1,0))</f>
        <v>#N/A</v>
      </c>
      <c r="G124" t="e">
        <f t="shared" si="1"/>
        <v>#N/A</v>
      </c>
    </row>
    <row r="125" spans="1:7" x14ac:dyDescent="0.25">
      <c r="A125">
        <f>BIdetails!G128</f>
        <v>0</v>
      </c>
      <c r="B125">
        <f>BIdetails!H128</f>
        <v>0</v>
      </c>
      <c r="C125">
        <f>BIdetails!J128</f>
        <v>0</v>
      </c>
      <c r="D125">
        <f>BIdetails!K128</f>
        <v>0</v>
      </c>
      <c r="E125" s="168">
        <f>BIdetails!M128</f>
        <v>0</v>
      </c>
      <c r="F125" t="e">
        <f>IF(ISERROR(IF(OR(C125="#",C125=0),"",VLOOKUP(C125,'AOP24'!M:M,1,0))),"Not Found",VLOOKUP(C125,'AOP24'!M:M,1,0))</f>
        <v>#N/A</v>
      </c>
      <c r="G125" t="e">
        <f t="shared" si="1"/>
        <v>#N/A</v>
      </c>
    </row>
    <row r="126" spans="1:7" x14ac:dyDescent="0.25">
      <c r="A126">
        <f>BIdetails!G129</f>
        <v>0</v>
      </c>
      <c r="B126">
        <f>BIdetails!H129</f>
        <v>0</v>
      </c>
      <c r="C126">
        <f>BIdetails!J129</f>
        <v>0</v>
      </c>
      <c r="D126">
        <f>BIdetails!K129</f>
        <v>0</v>
      </c>
      <c r="E126" s="168">
        <f>BIdetails!M129</f>
        <v>0</v>
      </c>
      <c r="F126" t="e">
        <f>IF(ISERROR(IF(OR(C126="#",C126=0),"",VLOOKUP(C126,'AOP24'!M:M,1,0))),"Not Found",VLOOKUP(C126,'AOP24'!M:M,1,0))</f>
        <v>#N/A</v>
      </c>
      <c r="G126" t="e">
        <f t="shared" si="1"/>
        <v>#N/A</v>
      </c>
    </row>
    <row r="127" spans="1:7" x14ac:dyDescent="0.25">
      <c r="A127">
        <f>BIdetails!G130</f>
        <v>0</v>
      </c>
      <c r="B127">
        <f>BIdetails!H130</f>
        <v>0</v>
      </c>
      <c r="C127">
        <f>BIdetails!J130</f>
        <v>0</v>
      </c>
      <c r="D127">
        <f>BIdetails!K130</f>
        <v>0</v>
      </c>
      <c r="E127" s="168">
        <f>BIdetails!M130</f>
        <v>0</v>
      </c>
      <c r="F127" t="e">
        <f>IF(ISERROR(IF(OR(C127="#",C127=0),"",VLOOKUP(C127,'AOP24'!M:M,1,0))),"Not Found",VLOOKUP(C127,'AOP24'!M:M,1,0))</f>
        <v>#N/A</v>
      </c>
      <c r="G127" t="e">
        <f t="shared" si="1"/>
        <v>#N/A</v>
      </c>
    </row>
    <row r="128" spans="1:7" x14ac:dyDescent="0.25">
      <c r="A128">
        <f>BIdetails!G131</f>
        <v>0</v>
      </c>
      <c r="B128">
        <f>BIdetails!H131</f>
        <v>0</v>
      </c>
      <c r="C128">
        <f>BIdetails!J131</f>
        <v>0</v>
      </c>
      <c r="D128">
        <f>BIdetails!K131</f>
        <v>0</v>
      </c>
      <c r="E128" s="168">
        <f>BIdetails!M131</f>
        <v>0</v>
      </c>
      <c r="F128" t="e">
        <f>IF(ISERROR(IF(OR(C128="#",C128=0),"",VLOOKUP(C128,'AOP24'!M:M,1,0))),"Not Found",VLOOKUP(C128,'AOP24'!M:M,1,0))</f>
        <v>#N/A</v>
      </c>
      <c r="G128" t="e">
        <f t="shared" si="1"/>
        <v>#N/A</v>
      </c>
    </row>
    <row r="129" spans="1:7" x14ac:dyDescent="0.25">
      <c r="A129">
        <f>BIdetails!G132</f>
        <v>0</v>
      </c>
      <c r="B129">
        <f>BIdetails!H132</f>
        <v>0</v>
      </c>
      <c r="C129">
        <f>BIdetails!J132</f>
        <v>0</v>
      </c>
      <c r="D129">
        <f>BIdetails!K132</f>
        <v>0</v>
      </c>
      <c r="E129" s="168">
        <f>BIdetails!M132</f>
        <v>0</v>
      </c>
      <c r="F129" t="e">
        <f>IF(ISERROR(IF(OR(C129="#",C129=0),"",VLOOKUP(C129,'AOP24'!M:M,1,0))),"Not Found",VLOOKUP(C129,'AOP24'!M:M,1,0))</f>
        <v>#N/A</v>
      </c>
      <c r="G129" t="e">
        <f t="shared" si="1"/>
        <v>#N/A</v>
      </c>
    </row>
    <row r="130" spans="1:7" x14ac:dyDescent="0.25">
      <c r="A130">
        <f>BIdetails!G133</f>
        <v>0</v>
      </c>
      <c r="B130">
        <f>BIdetails!H133</f>
        <v>0</v>
      </c>
      <c r="C130">
        <f>BIdetails!J133</f>
        <v>0</v>
      </c>
      <c r="D130">
        <f>BIdetails!K133</f>
        <v>0</v>
      </c>
      <c r="E130" s="168">
        <f>BIdetails!M133</f>
        <v>0</v>
      </c>
      <c r="F130" t="e">
        <f>IF(ISERROR(IF(OR(C130="#",C130=0),"",VLOOKUP(C130,'AOP24'!M:M,1,0))),"Not Found",VLOOKUP(C130,'AOP24'!M:M,1,0))</f>
        <v>#N/A</v>
      </c>
      <c r="G130" t="e">
        <f t="shared" si="1"/>
        <v>#N/A</v>
      </c>
    </row>
    <row r="131" spans="1:7" x14ac:dyDescent="0.25">
      <c r="A131">
        <f>BIdetails!G134</f>
        <v>0</v>
      </c>
      <c r="B131">
        <f>BIdetails!H134</f>
        <v>0</v>
      </c>
      <c r="C131">
        <f>BIdetails!J134</f>
        <v>0</v>
      </c>
      <c r="D131">
        <f>BIdetails!K134</f>
        <v>0</v>
      </c>
      <c r="E131" s="168">
        <f>BIdetails!M134</f>
        <v>0</v>
      </c>
      <c r="F131" t="e">
        <f>IF(ISERROR(IF(OR(C131="#",C131=0),"",VLOOKUP(C131,'AOP24'!M:M,1,0))),"Not Found",VLOOKUP(C131,'AOP24'!M:M,1,0))</f>
        <v>#N/A</v>
      </c>
      <c r="G131" t="e">
        <f t="shared" ref="G131:G194" si="2">IF(NOT(ISERROR(VLOOKUP(C131,$K$2:$K$50,1,0))),"Y",VLOOKUP(C131,$K$2:$K$50,1,0))</f>
        <v>#N/A</v>
      </c>
    </row>
    <row r="132" spans="1:7" x14ac:dyDescent="0.25">
      <c r="A132">
        <f>BIdetails!G135</f>
        <v>0</v>
      </c>
      <c r="B132">
        <f>BIdetails!H135</f>
        <v>0</v>
      </c>
      <c r="C132">
        <f>BIdetails!J135</f>
        <v>0</v>
      </c>
      <c r="D132">
        <f>BIdetails!K135</f>
        <v>0</v>
      </c>
      <c r="E132" s="168">
        <f>BIdetails!M135</f>
        <v>0</v>
      </c>
      <c r="F132" t="e">
        <f>IF(ISERROR(IF(OR(C132="#",C132=0),"",VLOOKUP(C132,'AOP24'!M:M,1,0))),"Not Found",VLOOKUP(C132,'AOP24'!M:M,1,0))</f>
        <v>#N/A</v>
      </c>
      <c r="G132" t="e">
        <f t="shared" si="2"/>
        <v>#N/A</v>
      </c>
    </row>
    <row r="133" spans="1:7" x14ac:dyDescent="0.25">
      <c r="A133">
        <f>BIdetails!G136</f>
        <v>0</v>
      </c>
      <c r="B133">
        <f>BIdetails!H136</f>
        <v>0</v>
      </c>
      <c r="C133">
        <f>BIdetails!J136</f>
        <v>0</v>
      </c>
      <c r="D133">
        <f>BIdetails!K136</f>
        <v>0</v>
      </c>
      <c r="E133" s="168">
        <f>BIdetails!M136</f>
        <v>0</v>
      </c>
      <c r="F133" t="e">
        <f>IF(ISERROR(IF(OR(C133="#",C133=0),"",VLOOKUP(C133,'AOP24'!M:M,1,0))),"Not Found",VLOOKUP(C133,'AOP24'!M:M,1,0))</f>
        <v>#N/A</v>
      </c>
      <c r="G133" t="e">
        <f t="shared" si="2"/>
        <v>#N/A</v>
      </c>
    </row>
    <row r="134" spans="1:7" x14ac:dyDescent="0.25">
      <c r="A134">
        <f>BIdetails!G137</f>
        <v>0</v>
      </c>
      <c r="B134">
        <f>BIdetails!H137</f>
        <v>0</v>
      </c>
      <c r="C134">
        <f>BIdetails!J137</f>
        <v>0</v>
      </c>
      <c r="D134">
        <f>BIdetails!K137</f>
        <v>0</v>
      </c>
      <c r="E134" s="168">
        <f>BIdetails!M137</f>
        <v>0</v>
      </c>
      <c r="F134" t="e">
        <f>IF(ISERROR(IF(OR(C134="#",C134=0),"",VLOOKUP(C134,'AOP24'!M:M,1,0))),"Not Found",VLOOKUP(C134,'AOP24'!M:M,1,0))</f>
        <v>#N/A</v>
      </c>
      <c r="G134" t="e">
        <f t="shared" si="2"/>
        <v>#N/A</v>
      </c>
    </row>
    <row r="135" spans="1:7" x14ac:dyDescent="0.25">
      <c r="A135">
        <f>BIdetails!G138</f>
        <v>0</v>
      </c>
      <c r="B135">
        <f>BIdetails!H138</f>
        <v>0</v>
      </c>
      <c r="C135">
        <f>BIdetails!J138</f>
        <v>0</v>
      </c>
      <c r="D135">
        <f>BIdetails!K138</f>
        <v>0</v>
      </c>
      <c r="E135" s="168">
        <f>BIdetails!M138</f>
        <v>0</v>
      </c>
      <c r="F135" t="e">
        <f>IF(ISERROR(IF(OR(C135="#",C135=0),"",VLOOKUP(C135,'AOP24'!M:M,1,0))),"Not Found",VLOOKUP(C135,'AOP24'!M:M,1,0))</f>
        <v>#N/A</v>
      </c>
      <c r="G135" t="e">
        <f t="shared" si="2"/>
        <v>#N/A</v>
      </c>
    </row>
    <row r="136" spans="1:7" x14ac:dyDescent="0.25">
      <c r="A136">
        <f>BIdetails!G139</f>
        <v>0</v>
      </c>
      <c r="B136">
        <f>BIdetails!H139</f>
        <v>0</v>
      </c>
      <c r="C136">
        <f>BIdetails!J139</f>
        <v>0</v>
      </c>
      <c r="D136">
        <f>BIdetails!K139</f>
        <v>0</v>
      </c>
      <c r="E136" s="168">
        <f>BIdetails!M139</f>
        <v>0</v>
      </c>
      <c r="F136" t="e">
        <f>IF(ISERROR(IF(OR(C136="#",C136=0),"",VLOOKUP(C136,'AOP24'!M:M,1,0))),"Not Found",VLOOKUP(C136,'AOP24'!M:M,1,0))</f>
        <v>#N/A</v>
      </c>
      <c r="G136" t="e">
        <f t="shared" si="2"/>
        <v>#N/A</v>
      </c>
    </row>
    <row r="137" spans="1:7" x14ac:dyDescent="0.25">
      <c r="A137">
        <f>BIdetails!G140</f>
        <v>0</v>
      </c>
      <c r="B137">
        <f>BIdetails!H140</f>
        <v>0</v>
      </c>
      <c r="C137">
        <f>BIdetails!J140</f>
        <v>0</v>
      </c>
      <c r="D137">
        <f>BIdetails!K140</f>
        <v>0</v>
      </c>
      <c r="E137" s="168">
        <f>BIdetails!M140</f>
        <v>0</v>
      </c>
      <c r="F137" t="e">
        <f>IF(ISERROR(IF(OR(C137="#",C137=0),"",VLOOKUP(C137,'AOP24'!M:M,1,0))),"Not Found",VLOOKUP(C137,'AOP24'!M:M,1,0))</f>
        <v>#N/A</v>
      </c>
      <c r="G137" t="e">
        <f t="shared" si="2"/>
        <v>#N/A</v>
      </c>
    </row>
    <row r="138" spans="1:7" x14ac:dyDescent="0.25">
      <c r="A138">
        <f>BIdetails!G141</f>
        <v>0</v>
      </c>
      <c r="B138">
        <f>BIdetails!H141</f>
        <v>0</v>
      </c>
      <c r="C138">
        <f>BIdetails!J141</f>
        <v>0</v>
      </c>
      <c r="D138">
        <f>BIdetails!K141</f>
        <v>0</v>
      </c>
      <c r="E138" s="168">
        <f>BIdetails!M141</f>
        <v>0</v>
      </c>
      <c r="F138" t="e">
        <f>IF(ISERROR(IF(OR(C138="#",C138=0),"",VLOOKUP(C138,'AOP24'!M:M,1,0))),"Not Found",VLOOKUP(C138,'AOP24'!M:M,1,0))</f>
        <v>#N/A</v>
      </c>
      <c r="G138" t="e">
        <f t="shared" si="2"/>
        <v>#N/A</v>
      </c>
    </row>
    <row r="139" spans="1:7" x14ac:dyDescent="0.25">
      <c r="A139">
        <f>BIdetails!G142</f>
        <v>0</v>
      </c>
      <c r="B139">
        <f>BIdetails!H142</f>
        <v>0</v>
      </c>
      <c r="C139">
        <f>BIdetails!J142</f>
        <v>0</v>
      </c>
      <c r="D139">
        <f>BIdetails!K142</f>
        <v>0</v>
      </c>
      <c r="E139" s="168">
        <f>BIdetails!M142</f>
        <v>0</v>
      </c>
      <c r="F139" t="e">
        <f>IF(ISERROR(IF(OR(C139="#",C139=0),"",VLOOKUP(C139,'AOP24'!M:M,1,0))),"Not Found",VLOOKUP(C139,'AOP24'!M:M,1,0))</f>
        <v>#N/A</v>
      </c>
      <c r="G139" t="e">
        <f t="shared" si="2"/>
        <v>#N/A</v>
      </c>
    </row>
    <row r="140" spans="1:7" x14ac:dyDescent="0.25">
      <c r="A140">
        <f>BIdetails!G143</f>
        <v>0</v>
      </c>
      <c r="B140">
        <f>BIdetails!H143</f>
        <v>0</v>
      </c>
      <c r="C140">
        <f>BIdetails!J143</f>
        <v>0</v>
      </c>
      <c r="D140">
        <f>BIdetails!K143</f>
        <v>0</v>
      </c>
      <c r="E140" s="168">
        <f>BIdetails!M143</f>
        <v>0</v>
      </c>
      <c r="F140" t="e">
        <f>IF(ISERROR(IF(OR(C140="#",C140=0),"",VLOOKUP(C140,'AOP24'!M:M,1,0))),"Not Found",VLOOKUP(C140,'AOP24'!M:M,1,0))</f>
        <v>#N/A</v>
      </c>
      <c r="G140" t="e">
        <f t="shared" si="2"/>
        <v>#N/A</v>
      </c>
    </row>
    <row r="141" spans="1:7" x14ac:dyDescent="0.25">
      <c r="A141">
        <f>BIdetails!G144</f>
        <v>0</v>
      </c>
      <c r="B141">
        <f>BIdetails!H144</f>
        <v>0</v>
      </c>
      <c r="C141">
        <f>BIdetails!J144</f>
        <v>0</v>
      </c>
      <c r="D141">
        <f>BIdetails!K144</f>
        <v>0</v>
      </c>
      <c r="E141" s="168">
        <f>BIdetails!M144</f>
        <v>0</v>
      </c>
      <c r="F141" t="e">
        <f>IF(ISERROR(IF(OR(C141="#",C141=0),"",VLOOKUP(C141,'AOP24'!M:M,1,0))),"Not Found",VLOOKUP(C141,'AOP24'!M:M,1,0))</f>
        <v>#N/A</v>
      </c>
      <c r="G141" t="e">
        <f t="shared" si="2"/>
        <v>#N/A</v>
      </c>
    </row>
    <row r="142" spans="1:7" x14ac:dyDescent="0.25">
      <c r="A142">
        <f>BIdetails!G145</f>
        <v>0</v>
      </c>
      <c r="B142">
        <f>BIdetails!H145</f>
        <v>0</v>
      </c>
      <c r="C142">
        <f>BIdetails!J145</f>
        <v>0</v>
      </c>
      <c r="D142">
        <f>BIdetails!K145</f>
        <v>0</v>
      </c>
      <c r="E142" s="168">
        <f>BIdetails!M145</f>
        <v>0</v>
      </c>
      <c r="F142" t="e">
        <f>IF(ISERROR(IF(OR(C142="#",C142=0),"",VLOOKUP(C142,'AOP24'!M:M,1,0))),"Not Found",VLOOKUP(C142,'AOP24'!M:M,1,0))</f>
        <v>#N/A</v>
      </c>
      <c r="G142" t="e">
        <f t="shared" si="2"/>
        <v>#N/A</v>
      </c>
    </row>
    <row r="143" spans="1:7" x14ac:dyDescent="0.25">
      <c r="A143">
        <f>BIdetails!G146</f>
        <v>0</v>
      </c>
      <c r="B143">
        <f>BIdetails!H146</f>
        <v>0</v>
      </c>
      <c r="C143">
        <f>BIdetails!J146</f>
        <v>0</v>
      </c>
      <c r="D143">
        <f>BIdetails!K146</f>
        <v>0</v>
      </c>
      <c r="E143" s="168">
        <f>BIdetails!M146</f>
        <v>0</v>
      </c>
      <c r="F143" t="e">
        <f>IF(ISERROR(IF(OR(C143="#",C143=0),"",VLOOKUP(C143,'AOP24'!M:M,1,0))),"Not Found",VLOOKUP(C143,'AOP24'!M:M,1,0))</f>
        <v>#N/A</v>
      </c>
      <c r="G143" t="e">
        <f t="shared" si="2"/>
        <v>#N/A</v>
      </c>
    </row>
    <row r="144" spans="1:7" x14ac:dyDescent="0.25">
      <c r="A144">
        <f>BIdetails!G147</f>
        <v>0</v>
      </c>
      <c r="B144">
        <f>BIdetails!H147</f>
        <v>0</v>
      </c>
      <c r="C144">
        <f>BIdetails!J147</f>
        <v>0</v>
      </c>
      <c r="D144">
        <f>BIdetails!K147</f>
        <v>0</v>
      </c>
      <c r="E144" s="168">
        <f>BIdetails!M147</f>
        <v>0</v>
      </c>
      <c r="F144" t="e">
        <f>IF(ISERROR(IF(OR(C144="#",C144=0),"",VLOOKUP(C144,'AOP24'!M:M,1,0))),"Not Found",VLOOKUP(C144,'AOP24'!M:M,1,0))</f>
        <v>#N/A</v>
      </c>
      <c r="G144" t="e">
        <f t="shared" si="2"/>
        <v>#N/A</v>
      </c>
    </row>
    <row r="145" spans="1:7" x14ac:dyDescent="0.25">
      <c r="A145">
        <f>BIdetails!G148</f>
        <v>0</v>
      </c>
      <c r="B145">
        <f>BIdetails!H148</f>
        <v>0</v>
      </c>
      <c r="C145">
        <f>BIdetails!J148</f>
        <v>0</v>
      </c>
      <c r="D145">
        <f>BIdetails!K148</f>
        <v>0</v>
      </c>
      <c r="E145" s="168">
        <f>BIdetails!M148</f>
        <v>0</v>
      </c>
      <c r="F145" t="e">
        <f>IF(ISERROR(IF(OR(C145="#",C145=0),"",VLOOKUP(C145,'AOP24'!M:M,1,0))),"Not Found",VLOOKUP(C145,'AOP24'!M:M,1,0))</f>
        <v>#N/A</v>
      </c>
      <c r="G145" t="e">
        <f t="shared" si="2"/>
        <v>#N/A</v>
      </c>
    </row>
    <row r="146" spans="1:7" x14ac:dyDescent="0.25">
      <c r="A146">
        <f>BIdetails!G149</f>
        <v>0</v>
      </c>
      <c r="B146">
        <f>BIdetails!H149</f>
        <v>0</v>
      </c>
      <c r="C146">
        <f>BIdetails!J149</f>
        <v>0</v>
      </c>
      <c r="D146">
        <f>BIdetails!K149</f>
        <v>0</v>
      </c>
      <c r="E146" s="168">
        <f>BIdetails!M149</f>
        <v>0</v>
      </c>
      <c r="F146" t="e">
        <f>IF(ISERROR(IF(OR(C146="#",C146=0),"",VLOOKUP(C146,'AOP24'!M:M,1,0))),"Not Found",VLOOKUP(C146,'AOP24'!M:M,1,0))</f>
        <v>#N/A</v>
      </c>
      <c r="G146" t="e">
        <f t="shared" si="2"/>
        <v>#N/A</v>
      </c>
    </row>
    <row r="147" spans="1:7" x14ac:dyDescent="0.25">
      <c r="A147">
        <f>BIdetails!G150</f>
        <v>0</v>
      </c>
      <c r="B147">
        <f>BIdetails!H150</f>
        <v>0</v>
      </c>
      <c r="C147">
        <f>BIdetails!J150</f>
        <v>0</v>
      </c>
      <c r="D147">
        <f>BIdetails!K150</f>
        <v>0</v>
      </c>
      <c r="E147" s="168">
        <f>BIdetails!M150</f>
        <v>0</v>
      </c>
      <c r="F147" t="e">
        <f>IF(ISERROR(IF(OR(C147="#",C147=0),"",VLOOKUP(C147,'AOP24'!M:M,1,0))),"Not Found",VLOOKUP(C147,'AOP24'!M:M,1,0))</f>
        <v>#N/A</v>
      </c>
      <c r="G147" t="e">
        <f t="shared" si="2"/>
        <v>#N/A</v>
      </c>
    </row>
    <row r="148" spans="1:7" x14ac:dyDescent="0.25">
      <c r="A148">
        <f>BIdetails!G151</f>
        <v>0</v>
      </c>
      <c r="B148">
        <f>BIdetails!H151</f>
        <v>0</v>
      </c>
      <c r="C148">
        <f>BIdetails!J151</f>
        <v>0</v>
      </c>
      <c r="D148">
        <f>BIdetails!K151</f>
        <v>0</v>
      </c>
      <c r="E148" s="168">
        <f>BIdetails!M151</f>
        <v>0</v>
      </c>
      <c r="F148" t="e">
        <f>IF(ISERROR(IF(OR(C148="#",C148=0),"",VLOOKUP(C148,'AOP24'!M:M,1,0))),"Not Found",VLOOKUP(C148,'AOP24'!M:M,1,0))</f>
        <v>#N/A</v>
      </c>
      <c r="G148" t="e">
        <f t="shared" si="2"/>
        <v>#N/A</v>
      </c>
    </row>
    <row r="149" spans="1:7" x14ac:dyDescent="0.25">
      <c r="A149">
        <f>BIdetails!G152</f>
        <v>0</v>
      </c>
      <c r="B149">
        <f>BIdetails!H152</f>
        <v>0</v>
      </c>
      <c r="C149">
        <f>BIdetails!J152</f>
        <v>0</v>
      </c>
      <c r="D149">
        <f>BIdetails!K152</f>
        <v>0</v>
      </c>
      <c r="E149" s="168">
        <f>BIdetails!M152</f>
        <v>0</v>
      </c>
      <c r="F149" t="e">
        <f>IF(ISERROR(IF(OR(C149="#",C149=0),"",VLOOKUP(C149,'AOP24'!M:M,1,0))),"Not Found",VLOOKUP(C149,'AOP24'!M:M,1,0))</f>
        <v>#N/A</v>
      </c>
      <c r="G149" t="e">
        <f t="shared" si="2"/>
        <v>#N/A</v>
      </c>
    </row>
    <row r="150" spans="1:7" x14ac:dyDescent="0.25">
      <c r="A150">
        <f>BIdetails!G153</f>
        <v>0</v>
      </c>
      <c r="B150">
        <f>BIdetails!H153</f>
        <v>0</v>
      </c>
      <c r="C150">
        <f>BIdetails!J153</f>
        <v>0</v>
      </c>
      <c r="D150">
        <f>BIdetails!K153</f>
        <v>0</v>
      </c>
      <c r="E150" s="168">
        <f>BIdetails!M153</f>
        <v>0</v>
      </c>
      <c r="F150" t="e">
        <f>IF(ISERROR(IF(OR(C150="#",C150=0),"",VLOOKUP(C150,'AOP24'!M:M,1,0))),"Not Found",VLOOKUP(C150,'AOP24'!M:M,1,0))</f>
        <v>#N/A</v>
      </c>
      <c r="G150" t="e">
        <f t="shared" si="2"/>
        <v>#N/A</v>
      </c>
    </row>
    <row r="151" spans="1:7" x14ac:dyDescent="0.25">
      <c r="A151">
        <f>BIdetails!G154</f>
        <v>0</v>
      </c>
      <c r="B151">
        <f>BIdetails!H154</f>
        <v>0</v>
      </c>
      <c r="C151">
        <f>BIdetails!J154</f>
        <v>0</v>
      </c>
      <c r="D151">
        <f>BIdetails!K154</f>
        <v>0</v>
      </c>
      <c r="E151" s="168">
        <f>BIdetails!M154</f>
        <v>0</v>
      </c>
      <c r="F151" t="e">
        <f>IF(ISERROR(IF(OR(C151="#",C151=0),"",VLOOKUP(C151,'AOP24'!M:M,1,0))),"Not Found",VLOOKUP(C151,'AOP24'!M:M,1,0))</f>
        <v>#N/A</v>
      </c>
      <c r="G151" t="e">
        <f t="shared" si="2"/>
        <v>#N/A</v>
      </c>
    </row>
    <row r="152" spans="1:7" x14ac:dyDescent="0.25">
      <c r="A152">
        <f>BIdetails!G155</f>
        <v>0</v>
      </c>
      <c r="B152">
        <f>BIdetails!H155</f>
        <v>0</v>
      </c>
      <c r="C152">
        <f>BIdetails!J155</f>
        <v>0</v>
      </c>
      <c r="D152">
        <f>BIdetails!K155</f>
        <v>0</v>
      </c>
      <c r="E152" s="168">
        <f>BIdetails!M155</f>
        <v>0</v>
      </c>
      <c r="F152" t="e">
        <f>IF(ISERROR(IF(OR(C152="#",C152=0),"",VLOOKUP(C152,'AOP24'!M:M,1,0))),"Not Found",VLOOKUP(C152,'AOP24'!M:M,1,0))</f>
        <v>#N/A</v>
      </c>
      <c r="G152" t="e">
        <f t="shared" si="2"/>
        <v>#N/A</v>
      </c>
    </row>
    <row r="153" spans="1:7" x14ac:dyDescent="0.25">
      <c r="A153">
        <f>BIdetails!G156</f>
        <v>0</v>
      </c>
      <c r="B153">
        <f>BIdetails!H156</f>
        <v>0</v>
      </c>
      <c r="C153">
        <f>BIdetails!J156</f>
        <v>0</v>
      </c>
      <c r="D153">
        <f>BIdetails!K156</f>
        <v>0</v>
      </c>
      <c r="E153" s="168">
        <f>BIdetails!M156</f>
        <v>0</v>
      </c>
      <c r="F153" t="e">
        <f>IF(ISERROR(IF(OR(C153="#",C153=0),"",VLOOKUP(C153,'AOP24'!M:M,1,0))),"Not Found",VLOOKUP(C153,'AOP24'!M:M,1,0))</f>
        <v>#N/A</v>
      </c>
      <c r="G153" t="e">
        <f t="shared" si="2"/>
        <v>#N/A</v>
      </c>
    </row>
    <row r="154" spans="1:7" x14ac:dyDescent="0.25">
      <c r="A154">
        <f>BIdetails!G157</f>
        <v>0</v>
      </c>
      <c r="B154">
        <f>BIdetails!H157</f>
        <v>0</v>
      </c>
      <c r="C154">
        <f>BIdetails!J157</f>
        <v>0</v>
      </c>
      <c r="D154">
        <f>BIdetails!K157</f>
        <v>0</v>
      </c>
      <c r="E154" s="168">
        <f>BIdetails!M157</f>
        <v>0</v>
      </c>
      <c r="F154" t="e">
        <f>IF(ISERROR(IF(OR(C154="#",C154=0),"",VLOOKUP(C154,'AOP24'!M:M,1,0))),"Not Found",VLOOKUP(C154,'AOP24'!M:M,1,0))</f>
        <v>#N/A</v>
      </c>
      <c r="G154" t="e">
        <f t="shared" si="2"/>
        <v>#N/A</v>
      </c>
    </row>
    <row r="155" spans="1:7" x14ac:dyDescent="0.25">
      <c r="A155">
        <f>BIdetails!G158</f>
        <v>0</v>
      </c>
      <c r="B155">
        <f>BIdetails!H158</f>
        <v>0</v>
      </c>
      <c r="C155">
        <f>BIdetails!J158</f>
        <v>0</v>
      </c>
      <c r="D155">
        <f>BIdetails!K158</f>
        <v>0</v>
      </c>
      <c r="E155" s="168">
        <f>BIdetails!M158</f>
        <v>0</v>
      </c>
      <c r="F155" t="e">
        <f>IF(ISERROR(IF(OR(C155="#",C155=0),"",VLOOKUP(C155,'AOP24'!M:M,1,0))),"Not Found",VLOOKUP(C155,'AOP24'!M:M,1,0))</f>
        <v>#N/A</v>
      </c>
      <c r="G155" t="e">
        <f t="shared" si="2"/>
        <v>#N/A</v>
      </c>
    </row>
    <row r="156" spans="1:7" x14ac:dyDescent="0.25">
      <c r="A156">
        <f>BIdetails!G159</f>
        <v>0</v>
      </c>
      <c r="B156">
        <f>BIdetails!H159</f>
        <v>0</v>
      </c>
      <c r="C156">
        <f>BIdetails!J159</f>
        <v>0</v>
      </c>
      <c r="D156">
        <f>BIdetails!K159</f>
        <v>0</v>
      </c>
      <c r="E156" s="168">
        <f>BIdetails!M159</f>
        <v>0</v>
      </c>
      <c r="F156" t="e">
        <f>IF(ISERROR(IF(OR(C156="#",C156=0),"",VLOOKUP(C156,'AOP24'!M:M,1,0))),"Not Found",VLOOKUP(C156,'AOP24'!M:M,1,0))</f>
        <v>#N/A</v>
      </c>
      <c r="G156" t="e">
        <f t="shared" si="2"/>
        <v>#N/A</v>
      </c>
    </row>
    <row r="157" spans="1:7" x14ac:dyDescent="0.25">
      <c r="A157">
        <f>BIdetails!G160</f>
        <v>0</v>
      </c>
      <c r="B157">
        <f>BIdetails!H160</f>
        <v>0</v>
      </c>
      <c r="C157">
        <f>BIdetails!J160</f>
        <v>0</v>
      </c>
      <c r="D157">
        <f>BIdetails!K160</f>
        <v>0</v>
      </c>
      <c r="E157" s="168">
        <f>BIdetails!M160</f>
        <v>0</v>
      </c>
      <c r="F157" t="e">
        <f>IF(ISERROR(IF(OR(C157="#",C157=0),"",VLOOKUP(C157,'AOP24'!M:M,1,0))),"Not Found",VLOOKUP(C157,'AOP24'!M:M,1,0))</f>
        <v>#N/A</v>
      </c>
      <c r="G157" t="e">
        <f t="shared" si="2"/>
        <v>#N/A</v>
      </c>
    </row>
    <row r="158" spans="1:7" x14ac:dyDescent="0.25">
      <c r="A158">
        <f>BIdetails!G161</f>
        <v>0</v>
      </c>
      <c r="B158">
        <f>BIdetails!H161</f>
        <v>0</v>
      </c>
      <c r="C158">
        <f>BIdetails!J161</f>
        <v>0</v>
      </c>
      <c r="D158">
        <f>BIdetails!K161</f>
        <v>0</v>
      </c>
      <c r="E158" s="168">
        <f>BIdetails!M161</f>
        <v>0</v>
      </c>
      <c r="F158" t="e">
        <f>IF(ISERROR(IF(OR(C158="#",C158=0),"",VLOOKUP(C158,'AOP24'!M:M,1,0))),"Not Found",VLOOKUP(C158,'AOP24'!M:M,1,0))</f>
        <v>#N/A</v>
      </c>
      <c r="G158" t="e">
        <f t="shared" si="2"/>
        <v>#N/A</v>
      </c>
    </row>
    <row r="159" spans="1:7" x14ac:dyDescent="0.25">
      <c r="A159">
        <f>BIdetails!G162</f>
        <v>0</v>
      </c>
      <c r="B159">
        <f>BIdetails!H162</f>
        <v>0</v>
      </c>
      <c r="C159">
        <f>BIdetails!J162</f>
        <v>0</v>
      </c>
      <c r="D159">
        <f>BIdetails!K162</f>
        <v>0</v>
      </c>
      <c r="E159" s="168">
        <f>BIdetails!M162</f>
        <v>0</v>
      </c>
      <c r="F159" t="e">
        <f>IF(ISERROR(IF(OR(C159="#",C159=0),"",VLOOKUP(C159,'AOP24'!M:M,1,0))),"Not Found",VLOOKUP(C159,'AOP24'!M:M,1,0))</f>
        <v>#N/A</v>
      </c>
      <c r="G159" t="e">
        <f t="shared" si="2"/>
        <v>#N/A</v>
      </c>
    </row>
    <row r="160" spans="1:7" x14ac:dyDescent="0.25">
      <c r="A160">
        <f>BIdetails!G163</f>
        <v>0</v>
      </c>
      <c r="B160">
        <f>BIdetails!H163</f>
        <v>0</v>
      </c>
      <c r="C160">
        <f>BIdetails!J163</f>
        <v>0</v>
      </c>
      <c r="D160">
        <f>BIdetails!K163</f>
        <v>0</v>
      </c>
      <c r="E160" s="168">
        <f>BIdetails!M163</f>
        <v>0</v>
      </c>
      <c r="F160" t="e">
        <f>IF(ISERROR(IF(OR(C160="#",C160=0),"",VLOOKUP(C160,'AOP24'!M:M,1,0))),"Not Found",VLOOKUP(C160,'AOP24'!M:M,1,0))</f>
        <v>#N/A</v>
      </c>
      <c r="G160" t="e">
        <f t="shared" si="2"/>
        <v>#N/A</v>
      </c>
    </row>
    <row r="161" spans="1:7" x14ac:dyDescent="0.25">
      <c r="A161">
        <f>BIdetails!G164</f>
        <v>0</v>
      </c>
      <c r="B161">
        <f>BIdetails!H164</f>
        <v>0</v>
      </c>
      <c r="C161">
        <f>BIdetails!J164</f>
        <v>0</v>
      </c>
      <c r="D161">
        <f>BIdetails!K164</f>
        <v>0</v>
      </c>
      <c r="E161" s="168">
        <f>BIdetails!M164</f>
        <v>0</v>
      </c>
      <c r="F161" t="e">
        <f>IF(ISERROR(IF(OR(C161="#",C161=0),"",VLOOKUP(C161,'AOP24'!M:M,1,0))),"Not Found",VLOOKUP(C161,'AOP24'!M:M,1,0))</f>
        <v>#N/A</v>
      </c>
      <c r="G161" t="e">
        <f t="shared" si="2"/>
        <v>#N/A</v>
      </c>
    </row>
    <row r="162" spans="1:7" x14ac:dyDescent="0.25">
      <c r="A162">
        <f>BIdetails!G165</f>
        <v>0</v>
      </c>
      <c r="B162">
        <f>BIdetails!H165</f>
        <v>0</v>
      </c>
      <c r="C162">
        <f>BIdetails!J165</f>
        <v>0</v>
      </c>
      <c r="D162">
        <f>BIdetails!K165</f>
        <v>0</v>
      </c>
      <c r="E162" s="168">
        <f>BIdetails!M165</f>
        <v>0</v>
      </c>
      <c r="F162" t="e">
        <f>IF(ISERROR(IF(OR(C162="#",C162=0),"",VLOOKUP(C162,'AOP24'!M:M,1,0))),"Not Found",VLOOKUP(C162,'AOP24'!M:M,1,0))</f>
        <v>#N/A</v>
      </c>
      <c r="G162" t="e">
        <f t="shared" si="2"/>
        <v>#N/A</v>
      </c>
    </row>
    <row r="163" spans="1:7" x14ac:dyDescent="0.25">
      <c r="A163">
        <f>BIdetails!G166</f>
        <v>0</v>
      </c>
      <c r="B163">
        <f>BIdetails!H166</f>
        <v>0</v>
      </c>
      <c r="C163">
        <f>BIdetails!J166</f>
        <v>0</v>
      </c>
      <c r="D163">
        <f>BIdetails!K166</f>
        <v>0</v>
      </c>
      <c r="E163" s="168">
        <f>BIdetails!M166</f>
        <v>0</v>
      </c>
      <c r="F163" t="e">
        <f>IF(ISERROR(IF(OR(C163="#",C163=0),"",VLOOKUP(C163,'AOP24'!M:M,1,0))),"Not Found",VLOOKUP(C163,'AOP24'!M:M,1,0))</f>
        <v>#N/A</v>
      </c>
      <c r="G163" t="e">
        <f t="shared" si="2"/>
        <v>#N/A</v>
      </c>
    </row>
    <row r="164" spans="1:7" x14ac:dyDescent="0.25">
      <c r="A164">
        <f>BIdetails!G167</f>
        <v>0</v>
      </c>
      <c r="B164">
        <f>BIdetails!H167</f>
        <v>0</v>
      </c>
      <c r="C164">
        <f>BIdetails!J167</f>
        <v>0</v>
      </c>
      <c r="D164">
        <f>BIdetails!K167</f>
        <v>0</v>
      </c>
      <c r="E164" s="168">
        <f>BIdetails!M167</f>
        <v>0</v>
      </c>
      <c r="F164" t="e">
        <f>IF(ISERROR(IF(OR(C164="#",C164=0),"",VLOOKUP(C164,'AOP24'!M:M,1,0))),"Not Found",VLOOKUP(C164,'AOP24'!M:M,1,0))</f>
        <v>#N/A</v>
      </c>
      <c r="G164" t="e">
        <f t="shared" si="2"/>
        <v>#N/A</v>
      </c>
    </row>
    <row r="165" spans="1:7" x14ac:dyDescent="0.25">
      <c r="A165">
        <f>BIdetails!G168</f>
        <v>0</v>
      </c>
      <c r="B165">
        <f>BIdetails!H168</f>
        <v>0</v>
      </c>
      <c r="C165">
        <f>BIdetails!J168</f>
        <v>0</v>
      </c>
      <c r="D165">
        <f>BIdetails!K168</f>
        <v>0</v>
      </c>
      <c r="E165" s="168">
        <f>BIdetails!M168</f>
        <v>0</v>
      </c>
      <c r="F165" t="e">
        <f>IF(ISERROR(IF(OR(C165="#",C165=0),"",VLOOKUP(C165,'AOP24'!M:M,1,0))),"Not Found",VLOOKUP(C165,'AOP24'!M:M,1,0))</f>
        <v>#N/A</v>
      </c>
      <c r="G165" t="e">
        <f t="shared" si="2"/>
        <v>#N/A</v>
      </c>
    </row>
    <row r="166" spans="1:7" x14ac:dyDescent="0.25">
      <c r="A166">
        <f>BIdetails!G169</f>
        <v>0</v>
      </c>
      <c r="B166">
        <f>BIdetails!H169</f>
        <v>0</v>
      </c>
      <c r="C166">
        <f>BIdetails!J169</f>
        <v>0</v>
      </c>
      <c r="D166">
        <f>BIdetails!K169</f>
        <v>0</v>
      </c>
      <c r="E166" s="168">
        <f>BIdetails!M169</f>
        <v>0</v>
      </c>
      <c r="F166" t="e">
        <f>IF(ISERROR(IF(OR(C166="#",C166=0),"",VLOOKUP(C166,'AOP24'!M:M,1,0))),"Not Found",VLOOKUP(C166,'AOP24'!M:M,1,0))</f>
        <v>#N/A</v>
      </c>
      <c r="G166" t="e">
        <f t="shared" si="2"/>
        <v>#N/A</v>
      </c>
    </row>
    <row r="167" spans="1:7" x14ac:dyDescent="0.25">
      <c r="A167">
        <f>BIdetails!G170</f>
        <v>0</v>
      </c>
      <c r="B167">
        <f>BIdetails!H170</f>
        <v>0</v>
      </c>
      <c r="C167">
        <f>BIdetails!J170</f>
        <v>0</v>
      </c>
      <c r="D167">
        <f>BIdetails!K170</f>
        <v>0</v>
      </c>
      <c r="E167" s="168">
        <f>BIdetails!M170</f>
        <v>0</v>
      </c>
      <c r="F167" t="e">
        <f>IF(ISERROR(IF(OR(C167="#",C167=0),"",VLOOKUP(C167,'AOP24'!M:M,1,0))),"Not Found",VLOOKUP(C167,'AOP24'!M:M,1,0))</f>
        <v>#N/A</v>
      </c>
      <c r="G167" t="e">
        <f t="shared" si="2"/>
        <v>#N/A</v>
      </c>
    </row>
    <row r="168" spans="1:7" x14ac:dyDescent="0.25">
      <c r="A168">
        <f>BIdetails!G171</f>
        <v>0</v>
      </c>
      <c r="B168">
        <f>BIdetails!H171</f>
        <v>0</v>
      </c>
      <c r="C168">
        <f>BIdetails!J171</f>
        <v>0</v>
      </c>
      <c r="D168">
        <f>BIdetails!K171</f>
        <v>0</v>
      </c>
      <c r="E168" s="168">
        <f>BIdetails!M171</f>
        <v>0</v>
      </c>
      <c r="F168" t="e">
        <f>IF(ISERROR(IF(OR(C168="#",C168=0),"",VLOOKUP(C168,'AOP24'!M:M,1,0))),"Not Found",VLOOKUP(C168,'AOP24'!M:M,1,0))</f>
        <v>#N/A</v>
      </c>
      <c r="G168" t="e">
        <f t="shared" si="2"/>
        <v>#N/A</v>
      </c>
    </row>
    <row r="169" spans="1:7" x14ac:dyDescent="0.25">
      <c r="A169">
        <f>BIdetails!G172</f>
        <v>0</v>
      </c>
      <c r="B169">
        <f>BIdetails!H172</f>
        <v>0</v>
      </c>
      <c r="C169">
        <f>BIdetails!J172</f>
        <v>0</v>
      </c>
      <c r="D169">
        <f>BIdetails!K172</f>
        <v>0</v>
      </c>
      <c r="E169" s="168">
        <f>BIdetails!M172</f>
        <v>0</v>
      </c>
      <c r="F169" t="e">
        <f>IF(ISERROR(IF(OR(C169="#",C169=0),"",VLOOKUP(C169,'AOP24'!M:M,1,0))),"Not Found",VLOOKUP(C169,'AOP24'!M:M,1,0))</f>
        <v>#N/A</v>
      </c>
      <c r="G169" t="e">
        <f t="shared" si="2"/>
        <v>#N/A</v>
      </c>
    </row>
    <row r="170" spans="1:7" x14ac:dyDescent="0.25">
      <c r="A170">
        <f>BIdetails!G173</f>
        <v>0</v>
      </c>
      <c r="B170">
        <f>BIdetails!H173</f>
        <v>0</v>
      </c>
      <c r="C170">
        <f>BIdetails!J173</f>
        <v>0</v>
      </c>
      <c r="D170">
        <f>BIdetails!K173</f>
        <v>0</v>
      </c>
      <c r="E170" s="168">
        <f>BIdetails!M173</f>
        <v>0</v>
      </c>
      <c r="F170" t="e">
        <f>IF(ISERROR(IF(OR(C170="#",C170=0),"",VLOOKUP(C170,'AOP24'!M:M,1,0))),"Not Found",VLOOKUP(C170,'AOP24'!M:M,1,0))</f>
        <v>#N/A</v>
      </c>
      <c r="G170" t="e">
        <f t="shared" si="2"/>
        <v>#N/A</v>
      </c>
    </row>
    <row r="171" spans="1:7" x14ac:dyDescent="0.25">
      <c r="A171">
        <f>BIdetails!G174</f>
        <v>0</v>
      </c>
      <c r="B171">
        <f>BIdetails!H174</f>
        <v>0</v>
      </c>
      <c r="C171">
        <f>BIdetails!J174</f>
        <v>0</v>
      </c>
      <c r="D171">
        <f>BIdetails!K174</f>
        <v>0</v>
      </c>
      <c r="E171" s="168">
        <f>BIdetails!M174</f>
        <v>0</v>
      </c>
      <c r="F171" t="e">
        <f>IF(ISERROR(IF(OR(C171="#",C171=0),"",VLOOKUP(C171,'AOP24'!M:M,1,0))),"Not Found",VLOOKUP(C171,'AOP24'!M:M,1,0))</f>
        <v>#N/A</v>
      </c>
      <c r="G171" t="e">
        <f t="shared" si="2"/>
        <v>#N/A</v>
      </c>
    </row>
    <row r="172" spans="1:7" x14ac:dyDescent="0.25">
      <c r="A172">
        <f>BIdetails!G175</f>
        <v>0</v>
      </c>
      <c r="B172">
        <f>BIdetails!H175</f>
        <v>0</v>
      </c>
      <c r="C172">
        <f>BIdetails!J175</f>
        <v>0</v>
      </c>
      <c r="D172">
        <f>BIdetails!K175</f>
        <v>0</v>
      </c>
      <c r="E172" s="168">
        <f>BIdetails!M175</f>
        <v>0</v>
      </c>
      <c r="F172" t="e">
        <f>IF(ISERROR(IF(OR(C172="#",C172=0),"",VLOOKUP(C172,'AOP24'!M:M,1,0))),"Not Found",VLOOKUP(C172,'AOP24'!M:M,1,0))</f>
        <v>#N/A</v>
      </c>
      <c r="G172" t="e">
        <f t="shared" si="2"/>
        <v>#N/A</v>
      </c>
    </row>
    <row r="173" spans="1:7" x14ac:dyDescent="0.25">
      <c r="A173">
        <f>BIdetails!G176</f>
        <v>0</v>
      </c>
      <c r="B173">
        <f>BIdetails!H176</f>
        <v>0</v>
      </c>
      <c r="C173">
        <f>BIdetails!J176</f>
        <v>0</v>
      </c>
      <c r="D173">
        <f>BIdetails!K176</f>
        <v>0</v>
      </c>
      <c r="E173" s="168">
        <f>BIdetails!M176</f>
        <v>0</v>
      </c>
      <c r="F173" t="e">
        <f>IF(ISERROR(IF(OR(C173="#",C173=0),"",VLOOKUP(C173,'AOP24'!M:M,1,0))),"Not Found",VLOOKUP(C173,'AOP24'!M:M,1,0))</f>
        <v>#N/A</v>
      </c>
      <c r="G173" t="e">
        <f t="shared" si="2"/>
        <v>#N/A</v>
      </c>
    </row>
    <row r="174" spans="1:7" x14ac:dyDescent="0.25">
      <c r="A174">
        <f>BIdetails!G177</f>
        <v>0</v>
      </c>
      <c r="B174">
        <f>BIdetails!H177</f>
        <v>0</v>
      </c>
      <c r="C174">
        <f>BIdetails!J177</f>
        <v>0</v>
      </c>
      <c r="D174">
        <f>BIdetails!K177</f>
        <v>0</v>
      </c>
      <c r="E174" s="168">
        <f>BIdetails!M177</f>
        <v>0</v>
      </c>
      <c r="F174" t="e">
        <f>IF(ISERROR(IF(OR(C174="#",C174=0),"",VLOOKUP(C174,'AOP24'!M:M,1,0))),"Not Found",VLOOKUP(C174,'AOP24'!M:M,1,0))</f>
        <v>#N/A</v>
      </c>
      <c r="G174" t="e">
        <f t="shared" si="2"/>
        <v>#N/A</v>
      </c>
    </row>
    <row r="175" spans="1:7" x14ac:dyDescent="0.25">
      <c r="A175">
        <f>BIdetails!G178</f>
        <v>0</v>
      </c>
      <c r="B175">
        <f>BIdetails!H178</f>
        <v>0</v>
      </c>
      <c r="C175">
        <f>BIdetails!J178</f>
        <v>0</v>
      </c>
      <c r="D175">
        <f>BIdetails!K178</f>
        <v>0</v>
      </c>
      <c r="E175" s="168">
        <f>BIdetails!M178</f>
        <v>0</v>
      </c>
      <c r="F175" t="e">
        <f>IF(ISERROR(IF(OR(C175="#",C175=0),"",VLOOKUP(C175,'AOP24'!M:M,1,0))),"Not Found",VLOOKUP(C175,'AOP24'!M:M,1,0))</f>
        <v>#N/A</v>
      </c>
      <c r="G175" t="e">
        <f t="shared" si="2"/>
        <v>#N/A</v>
      </c>
    </row>
    <row r="176" spans="1:7" x14ac:dyDescent="0.25">
      <c r="A176">
        <f>BIdetails!G179</f>
        <v>0</v>
      </c>
      <c r="B176">
        <f>BIdetails!H179</f>
        <v>0</v>
      </c>
      <c r="C176">
        <f>BIdetails!J179</f>
        <v>0</v>
      </c>
      <c r="D176">
        <f>BIdetails!K179</f>
        <v>0</v>
      </c>
      <c r="E176" s="168">
        <f>BIdetails!M179</f>
        <v>0</v>
      </c>
      <c r="F176" t="e">
        <f>IF(ISERROR(IF(OR(C176="#",C176=0),"",VLOOKUP(C176,'AOP24'!M:M,1,0))),"Not Found",VLOOKUP(C176,'AOP24'!M:M,1,0))</f>
        <v>#N/A</v>
      </c>
      <c r="G176" t="e">
        <f t="shared" si="2"/>
        <v>#N/A</v>
      </c>
    </row>
    <row r="177" spans="1:7" x14ac:dyDescent="0.25">
      <c r="A177">
        <f>BIdetails!G180</f>
        <v>0</v>
      </c>
      <c r="B177">
        <f>BIdetails!H180</f>
        <v>0</v>
      </c>
      <c r="C177">
        <f>BIdetails!J180</f>
        <v>0</v>
      </c>
      <c r="D177">
        <f>BIdetails!K180</f>
        <v>0</v>
      </c>
      <c r="E177" s="168">
        <f>BIdetails!M180</f>
        <v>0</v>
      </c>
      <c r="F177" t="e">
        <f>IF(ISERROR(IF(OR(C177="#",C177=0),"",VLOOKUP(C177,'AOP24'!M:M,1,0))),"Not Found",VLOOKUP(C177,'AOP24'!M:M,1,0))</f>
        <v>#N/A</v>
      </c>
      <c r="G177" t="e">
        <f t="shared" si="2"/>
        <v>#N/A</v>
      </c>
    </row>
    <row r="178" spans="1:7" x14ac:dyDescent="0.25">
      <c r="A178">
        <f>BIdetails!G181</f>
        <v>0</v>
      </c>
      <c r="B178">
        <f>BIdetails!H181</f>
        <v>0</v>
      </c>
      <c r="C178">
        <f>BIdetails!J181</f>
        <v>0</v>
      </c>
      <c r="D178">
        <f>BIdetails!K181</f>
        <v>0</v>
      </c>
      <c r="E178" s="168">
        <f>BIdetails!M181</f>
        <v>0</v>
      </c>
      <c r="F178" t="e">
        <f>IF(ISERROR(IF(OR(C178="#",C178=0),"",VLOOKUP(C178,'AOP24'!M:M,1,0))),"Not Found",VLOOKUP(C178,'AOP24'!M:M,1,0))</f>
        <v>#N/A</v>
      </c>
      <c r="G178" t="e">
        <f t="shared" si="2"/>
        <v>#N/A</v>
      </c>
    </row>
    <row r="179" spans="1:7" x14ac:dyDescent="0.25">
      <c r="A179">
        <f>BIdetails!G182</f>
        <v>0</v>
      </c>
      <c r="B179">
        <f>BIdetails!H182</f>
        <v>0</v>
      </c>
      <c r="C179">
        <f>BIdetails!J182</f>
        <v>0</v>
      </c>
      <c r="D179">
        <f>BIdetails!K182</f>
        <v>0</v>
      </c>
      <c r="E179" s="168">
        <f>BIdetails!M182</f>
        <v>0</v>
      </c>
      <c r="F179" t="e">
        <f>IF(ISERROR(IF(OR(C179="#",C179=0),"",VLOOKUP(C179,'AOP24'!M:M,1,0))),"Not Found",VLOOKUP(C179,'AOP24'!M:M,1,0))</f>
        <v>#N/A</v>
      </c>
      <c r="G179" t="e">
        <f t="shared" si="2"/>
        <v>#N/A</v>
      </c>
    </row>
    <row r="180" spans="1:7" x14ac:dyDescent="0.25">
      <c r="A180">
        <f>BIdetails!G183</f>
        <v>0</v>
      </c>
      <c r="B180">
        <f>BIdetails!H183</f>
        <v>0</v>
      </c>
      <c r="C180">
        <f>BIdetails!J183</f>
        <v>0</v>
      </c>
      <c r="D180">
        <f>BIdetails!K183</f>
        <v>0</v>
      </c>
      <c r="E180" s="168">
        <f>BIdetails!M183</f>
        <v>0</v>
      </c>
      <c r="F180" t="e">
        <f>IF(ISERROR(IF(OR(C180="#",C180=0),"",VLOOKUP(C180,'AOP24'!M:M,1,0))),"Not Found",VLOOKUP(C180,'AOP24'!M:M,1,0))</f>
        <v>#N/A</v>
      </c>
      <c r="G180" t="e">
        <f t="shared" si="2"/>
        <v>#N/A</v>
      </c>
    </row>
    <row r="181" spans="1:7" x14ac:dyDescent="0.25">
      <c r="A181">
        <f>BIdetails!G184</f>
        <v>0</v>
      </c>
      <c r="B181">
        <f>BIdetails!H184</f>
        <v>0</v>
      </c>
      <c r="C181">
        <f>BIdetails!J184</f>
        <v>0</v>
      </c>
      <c r="D181">
        <f>BIdetails!K184</f>
        <v>0</v>
      </c>
      <c r="E181" s="168">
        <f>BIdetails!M184</f>
        <v>0</v>
      </c>
      <c r="F181" t="e">
        <f>IF(ISERROR(IF(OR(C181="#",C181=0),"",VLOOKUP(C181,'AOP24'!M:M,1,0))),"Not Found",VLOOKUP(C181,'AOP24'!M:M,1,0))</f>
        <v>#N/A</v>
      </c>
      <c r="G181" t="e">
        <f t="shared" si="2"/>
        <v>#N/A</v>
      </c>
    </row>
    <row r="182" spans="1:7" x14ac:dyDescent="0.25">
      <c r="A182">
        <f>BIdetails!G185</f>
        <v>0</v>
      </c>
      <c r="B182">
        <f>BIdetails!H185</f>
        <v>0</v>
      </c>
      <c r="C182">
        <f>BIdetails!J185</f>
        <v>0</v>
      </c>
      <c r="D182">
        <f>BIdetails!K185</f>
        <v>0</v>
      </c>
      <c r="E182" s="168">
        <f>BIdetails!M185</f>
        <v>0</v>
      </c>
      <c r="F182" t="e">
        <f>IF(ISERROR(IF(OR(C182="#",C182=0),"",VLOOKUP(C182,'AOP24'!M:M,1,0))),"Not Found",VLOOKUP(C182,'AOP24'!M:M,1,0))</f>
        <v>#N/A</v>
      </c>
      <c r="G182" t="e">
        <f t="shared" si="2"/>
        <v>#N/A</v>
      </c>
    </row>
    <row r="183" spans="1:7" x14ac:dyDescent="0.25">
      <c r="A183">
        <f>BIdetails!G186</f>
        <v>0</v>
      </c>
      <c r="B183">
        <f>BIdetails!H186</f>
        <v>0</v>
      </c>
      <c r="C183">
        <f>BIdetails!J186</f>
        <v>0</v>
      </c>
      <c r="D183">
        <f>BIdetails!K186</f>
        <v>0</v>
      </c>
      <c r="E183" s="168">
        <f>BIdetails!M186</f>
        <v>0</v>
      </c>
      <c r="F183" t="e">
        <f>IF(ISERROR(IF(OR(C183="#",C183=0),"",VLOOKUP(C183,'AOP24'!M:M,1,0))),"Not Found",VLOOKUP(C183,'AOP24'!M:M,1,0))</f>
        <v>#N/A</v>
      </c>
      <c r="G183" t="e">
        <f t="shared" si="2"/>
        <v>#N/A</v>
      </c>
    </row>
    <row r="184" spans="1:7" x14ac:dyDescent="0.25">
      <c r="A184">
        <f>BIdetails!G187</f>
        <v>0</v>
      </c>
      <c r="B184">
        <f>BIdetails!H187</f>
        <v>0</v>
      </c>
      <c r="C184">
        <f>BIdetails!J187</f>
        <v>0</v>
      </c>
      <c r="D184">
        <f>BIdetails!K187</f>
        <v>0</v>
      </c>
      <c r="E184" s="168">
        <f>BIdetails!M187</f>
        <v>0</v>
      </c>
      <c r="F184" t="e">
        <f>IF(ISERROR(IF(OR(C184="#",C184=0),"",VLOOKUP(C184,'AOP24'!M:M,1,0))),"Not Found",VLOOKUP(C184,'AOP24'!M:M,1,0))</f>
        <v>#N/A</v>
      </c>
      <c r="G184" t="e">
        <f t="shared" si="2"/>
        <v>#N/A</v>
      </c>
    </row>
    <row r="185" spans="1:7" x14ac:dyDescent="0.25">
      <c r="A185">
        <f>BIdetails!G188</f>
        <v>0</v>
      </c>
      <c r="B185">
        <f>BIdetails!H188</f>
        <v>0</v>
      </c>
      <c r="C185">
        <f>BIdetails!J188</f>
        <v>0</v>
      </c>
      <c r="D185">
        <f>BIdetails!K188</f>
        <v>0</v>
      </c>
      <c r="E185" s="168">
        <f>BIdetails!M188</f>
        <v>0</v>
      </c>
      <c r="F185" t="e">
        <f>IF(ISERROR(IF(OR(C185="#",C185=0),"",VLOOKUP(C185,'AOP24'!M:M,1,0))),"Not Found",VLOOKUP(C185,'AOP24'!M:M,1,0))</f>
        <v>#N/A</v>
      </c>
      <c r="G185" t="e">
        <f t="shared" si="2"/>
        <v>#N/A</v>
      </c>
    </row>
    <row r="186" spans="1:7" x14ac:dyDescent="0.25">
      <c r="A186">
        <f>BIdetails!G189</f>
        <v>0</v>
      </c>
      <c r="B186">
        <f>BIdetails!H189</f>
        <v>0</v>
      </c>
      <c r="C186">
        <f>BIdetails!J189</f>
        <v>0</v>
      </c>
      <c r="D186">
        <f>BIdetails!K189</f>
        <v>0</v>
      </c>
      <c r="E186" s="168">
        <f>BIdetails!M189</f>
        <v>0</v>
      </c>
      <c r="F186" t="e">
        <f>IF(ISERROR(IF(OR(C186="#",C186=0),"",VLOOKUP(C186,'AOP24'!M:M,1,0))),"Not Found",VLOOKUP(C186,'AOP24'!M:M,1,0))</f>
        <v>#N/A</v>
      </c>
      <c r="G186" t="e">
        <f t="shared" si="2"/>
        <v>#N/A</v>
      </c>
    </row>
    <row r="187" spans="1:7" x14ac:dyDescent="0.25">
      <c r="A187">
        <f>BIdetails!G190</f>
        <v>0</v>
      </c>
      <c r="B187">
        <f>BIdetails!H190</f>
        <v>0</v>
      </c>
      <c r="C187">
        <f>BIdetails!J190</f>
        <v>0</v>
      </c>
      <c r="D187">
        <f>BIdetails!K190</f>
        <v>0</v>
      </c>
      <c r="E187" s="168">
        <f>BIdetails!M190</f>
        <v>0</v>
      </c>
      <c r="F187" t="e">
        <f>IF(ISERROR(IF(OR(C187="#",C187=0),"",VLOOKUP(C187,'AOP24'!M:M,1,0))),"Not Found",VLOOKUP(C187,'AOP24'!M:M,1,0))</f>
        <v>#N/A</v>
      </c>
      <c r="G187" t="e">
        <f t="shared" si="2"/>
        <v>#N/A</v>
      </c>
    </row>
    <row r="188" spans="1:7" x14ac:dyDescent="0.25">
      <c r="A188">
        <f>BIdetails!G191</f>
        <v>0</v>
      </c>
      <c r="B188">
        <f>BIdetails!H191</f>
        <v>0</v>
      </c>
      <c r="C188">
        <f>BIdetails!J191</f>
        <v>0</v>
      </c>
      <c r="D188">
        <f>BIdetails!K191</f>
        <v>0</v>
      </c>
      <c r="E188" s="168">
        <f>BIdetails!M191</f>
        <v>0</v>
      </c>
      <c r="F188" t="e">
        <f>IF(ISERROR(IF(OR(C188="#",C188=0),"",VLOOKUP(C188,'AOP24'!M:M,1,0))),"Not Found",VLOOKUP(C188,'AOP24'!M:M,1,0))</f>
        <v>#N/A</v>
      </c>
      <c r="G188" t="e">
        <f t="shared" si="2"/>
        <v>#N/A</v>
      </c>
    </row>
    <row r="189" spans="1:7" x14ac:dyDescent="0.25">
      <c r="A189">
        <f>BIdetails!G192</f>
        <v>0</v>
      </c>
      <c r="B189">
        <f>BIdetails!H192</f>
        <v>0</v>
      </c>
      <c r="C189">
        <f>BIdetails!J192</f>
        <v>0</v>
      </c>
      <c r="D189">
        <f>BIdetails!K192</f>
        <v>0</v>
      </c>
      <c r="E189" s="168">
        <f>BIdetails!M192</f>
        <v>0</v>
      </c>
      <c r="F189" t="e">
        <f>IF(ISERROR(IF(OR(C189="#",C189=0),"",VLOOKUP(C189,'AOP24'!M:M,1,0))),"Not Found",VLOOKUP(C189,'AOP24'!M:M,1,0))</f>
        <v>#N/A</v>
      </c>
      <c r="G189" t="e">
        <f t="shared" si="2"/>
        <v>#N/A</v>
      </c>
    </row>
    <row r="190" spans="1:7" x14ac:dyDescent="0.25">
      <c r="A190">
        <f>BIdetails!G193</f>
        <v>0</v>
      </c>
      <c r="B190">
        <f>BIdetails!H193</f>
        <v>0</v>
      </c>
      <c r="C190">
        <f>BIdetails!J193</f>
        <v>0</v>
      </c>
      <c r="D190">
        <f>BIdetails!K193</f>
        <v>0</v>
      </c>
      <c r="E190" s="168">
        <f>BIdetails!M193</f>
        <v>0</v>
      </c>
      <c r="F190" t="e">
        <f>IF(ISERROR(IF(OR(C190="#",C190=0),"",VLOOKUP(C190,'AOP24'!M:M,1,0))),"Not Found",VLOOKUP(C190,'AOP24'!M:M,1,0))</f>
        <v>#N/A</v>
      </c>
      <c r="G190" t="e">
        <f t="shared" si="2"/>
        <v>#N/A</v>
      </c>
    </row>
    <row r="191" spans="1:7" x14ac:dyDescent="0.25">
      <c r="A191">
        <f>BIdetails!G194</f>
        <v>0</v>
      </c>
      <c r="B191">
        <f>BIdetails!H194</f>
        <v>0</v>
      </c>
      <c r="C191">
        <f>BIdetails!J194</f>
        <v>0</v>
      </c>
      <c r="D191">
        <f>BIdetails!K194</f>
        <v>0</v>
      </c>
      <c r="E191" s="168">
        <f>BIdetails!M194</f>
        <v>0</v>
      </c>
      <c r="F191" t="e">
        <f>IF(ISERROR(IF(OR(C191="#",C191=0),"",VLOOKUP(C191,'AOP24'!M:M,1,0))),"Not Found",VLOOKUP(C191,'AOP24'!M:M,1,0))</f>
        <v>#N/A</v>
      </c>
      <c r="G191" t="e">
        <f t="shared" si="2"/>
        <v>#N/A</v>
      </c>
    </row>
    <row r="192" spans="1:7" x14ac:dyDescent="0.25">
      <c r="A192">
        <f>BIdetails!G195</f>
        <v>0</v>
      </c>
      <c r="B192">
        <f>BIdetails!H195</f>
        <v>0</v>
      </c>
      <c r="C192">
        <f>BIdetails!J195</f>
        <v>0</v>
      </c>
      <c r="D192">
        <f>BIdetails!K195</f>
        <v>0</v>
      </c>
      <c r="E192" s="168">
        <f>BIdetails!M195</f>
        <v>0</v>
      </c>
      <c r="F192" t="e">
        <f>IF(ISERROR(IF(OR(C192="#",C192=0),"",VLOOKUP(C192,'AOP24'!M:M,1,0))),"Not Found",VLOOKUP(C192,'AOP24'!M:M,1,0))</f>
        <v>#N/A</v>
      </c>
      <c r="G192" t="e">
        <f t="shared" si="2"/>
        <v>#N/A</v>
      </c>
    </row>
    <row r="193" spans="1:7" x14ac:dyDescent="0.25">
      <c r="A193">
        <f>BIdetails!G196</f>
        <v>0</v>
      </c>
      <c r="B193">
        <f>BIdetails!H196</f>
        <v>0</v>
      </c>
      <c r="C193">
        <f>BIdetails!J196</f>
        <v>0</v>
      </c>
      <c r="D193">
        <f>BIdetails!K196</f>
        <v>0</v>
      </c>
      <c r="E193" s="168">
        <f>BIdetails!M196</f>
        <v>0</v>
      </c>
      <c r="F193" t="e">
        <f>IF(ISERROR(IF(OR(C193="#",C193=0),"",VLOOKUP(C193,'AOP24'!M:M,1,0))),"Not Found",VLOOKUP(C193,'AOP24'!M:M,1,0))</f>
        <v>#N/A</v>
      </c>
      <c r="G193" t="e">
        <f t="shared" si="2"/>
        <v>#N/A</v>
      </c>
    </row>
    <row r="194" spans="1:7" x14ac:dyDescent="0.25">
      <c r="A194">
        <f>BIdetails!G197</f>
        <v>0</v>
      </c>
      <c r="B194">
        <f>BIdetails!H197</f>
        <v>0</v>
      </c>
      <c r="C194">
        <f>BIdetails!J197</f>
        <v>0</v>
      </c>
      <c r="D194">
        <f>BIdetails!K197</f>
        <v>0</v>
      </c>
      <c r="E194" s="168">
        <f>BIdetails!M197</f>
        <v>0</v>
      </c>
      <c r="F194" t="e">
        <f>IF(ISERROR(IF(OR(C194="#",C194=0),"",VLOOKUP(C194,'AOP24'!M:M,1,0))),"Not Found",VLOOKUP(C194,'AOP24'!M:M,1,0))</f>
        <v>#N/A</v>
      </c>
      <c r="G194" t="e">
        <f t="shared" si="2"/>
        <v>#N/A</v>
      </c>
    </row>
    <row r="195" spans="1:7" x14ac:dyDescent="0.25">
      <c r="A195">
        <f>BIdetails!G198</f>
        <v>0</v>
      </c>
      <c r="B195">
        <f>BIdetails!H198</f>
        <v>0</v>
      </c>
      <c r="C195">
        <f>BIdetails!J198</f>
        <v>0</v>
      </c>
      <c r="D195">
        <f>BIdetails!K198</f>
        <v>0</v>
      </c>
      <c r="E195" s="168">
        <f>BIdetails!M198</f>
        <v>0</v>
      </c>
      <c r="F195" t="e">
        <f>IF(ISERROR(IF(OR(C195="#",C195=0),"",VLOOKUP(C195,'AOP24'!M:M,1,0))),"Not Found",VLOOKUP(C195,'AOP24'!M:M,1,0))</f>
        <v>#N/A</v>
      </c>
      <c r="G195" t="e">
        <f t="shared" ref="G195:G258" si="3">IF(NOT(ISERROR(VLOOKUP(C195,$K$2:$K$50,1,0))),"Y",VLOOKUP(C195,$K$2:$K$50,1,0))</f>
        <v>#N/A</v>
      </c>
    </row>
    <row r="196" spans="1:7" x14ac:dyDescent="0.25">
      <c r="A196">
        <f>BIdetails!G199</f>
        <v>0</v>
      </c>
      <c r="B196">
        <f>BIdetails!H199</f>
        <v>0</v>
      </c>
      <c r="C196">
        <f>BIdetails!J199</f>
        <v>0</v>
      </c>
      <c r="D196">
        <f>BIdetails!K199</f>
        <v>0</v>
      </c>
      <c r="E196" s="168">
        <f>BIdetails!M199</f>
        <v>0</v>
      </c>
      <c r="F196" t="e">
        <f>IF(ISERROR(IF(OR(C196="#",C196=0),"",VLOOKUP(C196,'AOP24'!M:M,1,0))),"Not Found",VLOOKUP(C196,'AOP24'!M:M,1,0))</f>
        <v>#N/A</v>
      </c>
      <c r="G196" t="e">
        <f t="shared" si="3"/>
        <v>#N/A</v>
      </c>
    </row>
    <row r="197" spans="1:7" x14ac:dyDescent="0.25">
      <c r="A197">
        <f>BIdetails!G200</f>
        <v>0</v>
      </c>
      <c r="B197">
        <f>BIdetails!H200</f>
        <v>0</v>
      </c>
      <c r="C197">
        <f>BIdetails!J200</f>
        <v>0</v>
      </c>
      <c r="D197">
        <f>BIdetails!K200</f>
        <v>0</v>
      </c>
      <c r="E197" s="168">
        <f>BIdetails!M200</f>
        <v>0</v>
      </c>
      <c r="F197" t="e">
        <f>IF(ISERROR(IF(OR(C197="#",C197=0),"",VLOOKUP(C197,'AOP24'!M:M,1,0))),"Not Found",VLOOKUP(C197,'AOP24'!M:M,1,0))</f>
        <v>#N/A</v>
      </c>
      <c r="G197" t="e">
        <f t="shared" si="3"/>
        <v>#N/A</v>
      </c>
    </row>
    <row r="198" spans="1:7" x14ac:dyDescent="0.25">
      <c r="A198">
        <f>BIdetails!G201</f>
        <v>0</v>
      </c>
      <c r="B198">
        <f>BIdetails!H201</f>
        <v>0</v>
      </c>
      <c r="C198">
        <f>BIdetails!J201</f>
        <v>0</v>
      </c>
      <c r="D198">
        <f>BIdetails!K201</f>
        <v>0</v>
      </c>
      <c r="E198" s="168">
        <f>BIdetails!M201</f>
        <v>0</v>
      </c>
      <c r="F198" t="e">
        <f>IF(ISERROR(IF(OR(C198="#",C198=0),"",VLOOKUP(C198,'AOP24'!M:M,1,0))),"Not Found",VLOOKUP(C198,'AOP24'!M:M,1,0))</f>
        <v>#N/A</v>
      </c>
      <c r="G198" t="e">
        <f t="shared" si="3"/>
        <v>#N/A</v>
      </c>
    </row>
    <row r="199" spans="1:7" x14ac:dyDescent="0.25">
      <c r="A199">
        <f>BIdetails!G202</f>
        <v>0</v>
      </c>
      <c r="B199">
        <f>BIdetails!H202</f>
        <v>0</v>
      </c>
      <c r="C199">
        <f>BIdetails!J202</f>
        <v>0</v>
      </c>
      <c r="D199">
        <f>BIdetails!K202</f>
        <v>0</v>
      </c>
      <c r="E199" s="168">
        <f>BIdetails!M202</f>
        <v>0</v>
      </c>
      <c r="F199" t="e">
        <f>IF(ISERROR(IF(OR(C199="#",C199=0),"",VLOOKUP(C199,'AOP24'!M:M,1,0))),"Not Found",VLOOKUP(C199,'AOP24'!M:M,1,0))</f>
        <v>#N/A</v>
      </c>
      <c r="G199" t="e">
        <f t="shared" si="3"/>
        <v>#N/A</v>
      </c>
    </row>
    <row r="200" spans="1:7" x14ac:dyDescent="0.25">
      <c r="A200">
        <f>BIdetails!G203</f>
        <v>0</v>
      </c>
      <c r="B200">
        <f>BIdetails!H203</f>
        <v>0</v>
      </c>
      <c r="C200">
        <f>BIdetails!J203</f>
        <v>0</v>
      </c>
      <c r="D200">
        <f>BIdetails!K203</f>
        <v>0</v>
      </c>
      <c r="E200" s="168">
        <f>BIdetails!M203</f>
        <v>0</v>
      </c>
      <c r="F200" t="e">
        <f>IF(ISERROR(IF(OR(C200="#",C200=0),"",VLOOKUP(C200,'AOP24'!M:M,1,0))),"Not Found",VLOOKUP(C200,'AOP24'!M:M,1,0))</f>
        <v>#N/A</v>
      </c>
      <c r="G200" t="e">
        <f t="shared" si="3"/>
        <v>#N/A</v>
      </c>
    </row>
    <row r="201" spans="1:7" x14ac:dyDescent="0.25">
      <c r="A201">
        <f>BIdetails!G204</f>
        <v>0</v>
      </c>
      <c r="B201">
        <f>BIdetails!H204</f>
        <v>0</v>
      </c>
      <c r="C201">
        <f>BIdetails!J204</f>
        <v>0</v>
      </c>
      <c r="D201">
        <f>BIdetails!K204</f>
        <v>0</v>
      </c>
      <c r="E201" s="168">
        <f>BIdetails!M204</f>
        <v>0</v>
      </c>
      <c r="F201" t="e">
        <f>IF(ISERROR(IF(OR(C201="#",C201=0),"",VLOOKUP(C201,'AOP24'!M:M,1,0))),"Not Found",VLOOKUP(C201,'AOP24'!M:M,1,0))</f>
        <v>#N/A</v>
      </c>
      <c r="G201" t="e">
        <f t="shared" si="3"/>
        <v>#N/A</v>
      </c>
    </row>
    <row r="202" spans="1:7" x14ac:dyDescent="0.25">
      <c r="A202">
        <f>BIdetails!G205</f>
        <v>0</v>
      </c>
      <c r="B202">
        <f>BIdetails!H205</f>
        <v>0</v>
      </c>
      <c r="C202">
        <f>BIdetails!J205</f>
        <v>0</v>
      </c>
      <c r="D202">
        <f>BIdetails!K205</f>
        <v>0</v>
      </c>
      <c r="E202" s="168">
        <f>BIdetails!M205</f>
        <v>0</v>
      </c>
      <c r="F202" t="e">
        <f>IF(ISERROR(IF(OR(C202="#",C202=0),"",VLOOKUP(C202,'AOP24'!M:M,1,0))),"Not Found",VLOOKUP(C202,'AOP24'!M:M,1,0))</f>
        <v>#N/A</v>
      </c>
      <c r="G202" t="e">
        <f t="shared" si="3"/>
        <v>#N/A</v>
      </c>
    </row>
    <row r="203" spans="1:7" x14ac:dyDescent="0.25">
      <c r="A203">
        <f>BIdetails!G206</f>
        <v>0</v>
      </c>
      <c r="B203">
        <f>BIdetails!H206</f>
        <v>0</v>
      </c>
      <c r="C203">
        <f>BIdetails!J206</f>
        <v>0</v>
      </c>
      <c r="D203">
        <f>BIdetails!K206</f>
        <v>0</v>
      </c>
      <c r="E203" s="168">
        <f>BIdetails!M206</f>
        <v>0</v>
      </c>
      <c r="F203" t="e">
        <f>IF(ISERROR(IF(OR(C203="#",C203=0),"",VLOOKUP(C203,'AOP24'!M:M,1,0))),"Not Found",VLOOKUP(C203,'AOP24'!M:M,1,0))</f>
        <v>#N/A</v>
      </c>
      <c r="G203" t="e">
        <f t="shared" si="3"/>
        <v>#N/A</v>
      </c>
    </row>
    <row r="204" spans="1:7" x14ac:dyDescent="0.25">
      <c r="A204">
        <f>BIdetails!G207</f>
        <v>0</v>
      </c>
      <c r="B204">
        <f>BIdetails!H207</f>
        <v>0</v>
      </c>
      <c r="C204">
        <f>BIdetails!J207</f>
        <v>0</v>
      </c>
      <c r="D204">
        <f>BIdetails!K207</f>
        <v>0</v>
      </c>
      <c r="E204" s="168">
        <f>BIdetails!M207</f>
        <v>0</v>
      </c>
      <c r="F204" t="e">
        <f>IF(ISERROR(IF(OR(C204="#",C204=0),"",VLOOKUP(C204,'AOP24'!M:M,1,0))),"Not Found",VLOOKUP(C204,'AOP24'!M:M,1,0))</f>
        <v>#N/A</v>
      </c>
      <c r="G204" t="e">
        <f t="shared" si="3"/>
        <v>#N/A</v>
      </c>
    </row>
    <row r="205" spans="1:7" x14ac:dyDescent="0.25">
      <c r="A205">
        <f>BIdetails!G208</f>
        <v>0</v>
      </c>
      <c r="B205">
        <f>BIdetails!H208</f>
        <v>0</v>
      </c>
      <c r="C205">
        <f>BIdetails!J208</f>
        <v>0</v>
      </c>
      <c r="D205">
        <f>BIdetails!K208</f>
        <v>0</v>
      </c>
      <c r="E205" s="168">
        <f>BIdetails!M208</f>
        <v>0</v>
      </c>
      <c r="F205" t="e">
        <f>IF(ISERROR(IF(OR(C205="#",C205=0),"",VLOOKUP(C205,'AOP24'!M:M,1,0))),"Not Found",VLOOKUP(C205,'AOP24'!M:M,1,0))</f>
        <v>#N/A</v>
      </c>
      <c r="G205" t="e">
        <f t="shared" si="3"/>
        <v>#N/A</v>
      </c>
    </row>
    <row r="206" spans="1:7" x14ac:dyDescent="0.25">
      <c r="A206">
        <f>BIdetails!G209</f>
        <v>0</v>
      </c>
      <c r="B206">
        <f>BIdetails!H209</f>
        <v>0</v>
      </c>
      <c r="C206">
        <f>BIdetails!J209</f>
        <v>0</v>
      </c>
      <c r="D206">
        <f>BIdetails!K209</f>
        <v>0</v>
      </c>
      <c r="E206" s="168">
        <f>BIdetails!M209</f>
        <v>0</v>
      </c>
      <c r="F206" t="e">
        <f>IF(ISERROR(IF(OR(C206="#",C206=0),"",VLOOKUP(C206,'AOP24'!M:M,1,0))),"Not Found",VLOOKUP(C206,'AOP24'!M:M,1,0))</f>
        <v>#N/A</v>
      </c>
      <c r="G206" t="e">
        <f t="shared" si="3"/>
        <v>#N/A</v>
      </c>
    </row>
    <row r="207" spans="1:7" x14ac:dyDescent="0.25">
      <c r="A207">
        <f>BIdetails!G210</f>
        <v>0</v>
      </c>
      <c r="B207">
        <f>BIdetails!H210</f>
        <v>0</v>
      </c>
      <c r="C207">
        <f>BIdetails!J210</f>
        <v>0</v>
      </c>
      <c r="D207">
        <f>BIdetails!K210</f>
        <v>0</v>
      </c>
      <c r="E207" s="168">
        <f>BIdetails!M210</f>
        <v>0</v>
      </c>
      <c r="F207" t="e">
        <f>IF(ISERROR(IF(OR(C207="#",C207=0),"",VLOOKUP(C207,'AOP24'!M:M,1,0))),"Not Found",VLOOKUP(C207,'AOP24'!M:M,1,0))</f>
        <v>#N/A</v>
      </c>
      <c r="G207" t="e">
        <f t="shared" si="3"/>
        <v>#N/A</v>
      </c>
    </row>
    <row r="208" spans="1:7" x14ac:dyDescent="0.25">
      <c r="A208">
        <f>BIdetails!G211</f>
        <v>0</v>
      </c>
      <c r="B208">
        <f>BIdetails!H211</f>
        <v>0</v>
      </c>
      <c r="C208">
        <f>BIdetails!J211</f>
        <v>0</v>
      </c>
      <c r="D208">
        <f>BIdetails!K211</f>
        <v>0</v>
      </c>
      <c r="E208" s="168">
        <f>BIdetails!M211</f>
        <v>0</v>
      </c>
      <c r="F208" t="e">
        <f>IF(ISERROR(IF(OR(C208="#",C208=0),"",VLOOKUP(C208,'AOP24'!M:M,1,0))),"Not Found",VLOOKUP(C208,'AOP24'!M:M,1,0))</f>
        <v>#N/A</v>
      </c>
      <c r="G208" t="e">
        <f t="shared" si="3"/>
        <v>#N/A</v>
      </c>
    </row>
    <row r="209" spans="1:7" x14ac:dyDescent="0.25">
      <c r="A209">
        <f>BIdetails!G212</f>
        <v>0</v>
      </c>
      <c r="B209">
        <f>BIdetails!H212</f>
        <v>0</v>
      </c>
      <c r="C209">
        <f>BIdetails!J212</f>
        <v>0</v>
      </c>
      <c r="D209">
        <f>BIdetails!K212</f>
        <v>0</v>
      </c>
      <c r="E209" s="168">
        <f>BIdetails!M212</f>
        <v>0</v>
      </c>
      <c r="F209" t="e">
        <f>IF(ISERROR(IF(OR(C209="#",C209=0),"",VLOOKUP(C209,'AOP24'!M:M,1,0))),"Not Found",VLOOKUP(C209,'AOP24'!M:M,1,0))</f>
        <v>#N/A</v>
      </c>
      <c r="G209" t="e">
        <f t="shared" si="3"/>
        <v>#N/A</v>
      </c>
    </row>
    <row r="210" spans="1:7" x14ac:dyDescent="0.25">
      <c r="A210">
        <f>BIdetails!G213</f>
        <v>0</v>
      </c>
      <c r="B210">
        <f>BIdetails!H213</f>
        <v>0</v>
      </c>
      <c r="C210">
        <f>BIdetails!J213</f>
        <v>0</v>
      </c>
      <c r="D210">
        <f>BIdetails!K213</f>
        <v>0</v>
      </c>
      <c r="E210" s="168">
        <f>BIdetails!M213</f>
        <v>0</v>
      </c>
      <c r="F210" t="e">
        <f>IF(ISERROR(IF(OR(C210="#",C210=0),"",VLOOKUP(C210,'AOP24'!M:M,1,0))),"Not Found",VLOOKUP(C210,'AOP24'!M:M,1,0))</f>
        <v>#N/A</v>
      </c>
      <c r="G210" t="e">
        <f t="shared" si="3"/>
        <v>#N/A</v>
      </c>
    </row>
    <row r="211" spans="1:7" x14ac:dyDescent="0.25">
      <c r="A211">
        <f>BIdetails!G214</f>
        <v>0</v>
      </c>
      <c r="B211">
        <f>BIdetails!H214</f>
        <v>0</v>
      </c>
      <c r="C211">
        <f>BIdetails!J214</f>
        <v>0</v>
      </c>
      <c r="D211">
        <f>BIdetails!K214</f>
        <v>0</v>
      </c>
      <c r="E211" s="168">
        <f>BIdetails!M214</f>
        <v>0</v>
      </c>
      <c r="F211" t="e">
        <f>IF(ISERROR(IF(OR(C211="#",C211=0),"",VLOOKUP(C211,'AOP24'!M:M,1,0))),"Not Found",VLOOKUP(C211,'AOP24'!M:M,1,0))</f>
        <v>#N/A</v>
      </c>
      <c r="G211" t="e">
        <f t="shared" si="3"/>
        <v>#N/A</v>
      </c>
    </row>
    <row r="212" spans="1:7" x14ac:dyDescent="0.25">
      <c r="A212">
        <f>BIdetails!G215</f>
        <v>0</v>
      </c>
      <c r="B212">
        <f>BIdetails!H215</f>
        <v>0</v>
      </c>
      <c r="C212">
        <f>BIdetails!J215</f>
        <v>0</v>
      </c>
      <c r="D212">
        <f>BIdetails!K215</f>
        <v>0</v>
      </c>
      <c r="E212" s="168">
        <f>BIdetails!M215</f>
        <v>0</v>
      </c>
      <c r="F212" t="e">
        <f>IF(ISERROR(IF(OR(C212="#",C212=0),"",VLOOKUP(C212,'AOP24'!M:M,1,0))),"Not Found",VLOOKUP(C212,'AOP24'!M:M,1,0))</f>
        <v>#N/A</v>
      </c>
      <c r="G212" t="e">
        <f t="shared" si="3"/>
        <v>#N/A</v>
      </c>
    </row>
    <row r="213" spans="1:7" x14ac:dyDescent="0.25">
      <c r="A213">
        <f>BIdetails!G216</f>
        <v>0</v>
      </c>
      <c r="B213">
        <f>BIdetails!H216</f>
        <v>0</v>
      </c>
      <c r="C213">
        <f>BIdetails!J216</f>
        <v>0</v>
      </c>
      <c r="D213">
        <f>BIdetails!K216</f>
        <v>0</v>
      </c>
      <c r="E213" s="168">
        <f>BIdetails!M216</f>
        <v>0</v>
      </c>
      <c r="F213" t="e">
        <f>IF(ISERROR(IF(OR(C213="#",C213=0),"",VLOOKUP(C213,'AOP24'!M:M,1,0))),"Not Found",VLOOKUP(C213,'AOP24'!M:M,1,0))</f>
        <v>#N/A</v>
      </c>
      <c r="G213" t="e">
        <f t="shared" si="3"/>
        <v>#N/A</v>
      </c>
    </row>
    <row r="214" spans="1:7" x14ac:dyDescent="0.25">
      <c r="A214">
        <f>BIdetails!G217</f>
        <v>0</v>
      </c>
      <c r="B214">
        <f>BIdetails!H217</f>
        <v>0</v>
      </c>
      <c r="C214">
        <f>BIdetails!J217</f>
        <v>0</v>
      </c>
      <c r="D214">
        <f>BIdetails!K217</f>
        <v>0</v>
      </c>
      <c r="E214" s="168">
        <f>BIdetails!M217</f>
        <v>0</v>
      </c>
      <c r="F214" t="e">
        <f>IF(ISERROR(IF(OR(C214="#",C214=0),"",VLOOKUP(C214,'AOP24'!M:M,1,0))),"Not Found",VLOOKUP(C214,'AOP24'!M:M,1,0))</f>
        <v>#N/A</v>
      </c>
      <c r="G214" t="e">
        <f t="shared" si="3"/>
        <v>#N/A</v>
      </c>
    </row>
    <row r="215" spans="1:7" x14ac:dyDescent="0.25">
      <c r="A215">
        <f>BIdetails!G218</f>
        <v>0</v>
      </c>
      <c r="B215">
        <f>BIdetails!H218</f>
        <v>0</v>
      </c>
      <c r="C215">
        <f>BIdetails!J218</f>
        <v>0</v>
      </c>
      <c r="D215">
        <f>BIdetails!K218</f>
        <v>0</v>
      </c>
      <c r="E215" s="168">
        <f>BIdetails!M218</f>
        <v>0</v>
      </c>
      <c r="F215" t="e">
        <f>IF(ISERROR(IF(OR(C215="#",C215=0),"",VLOOKUP(C215,'AOP24'!M:M,1,0))),"Not Found",VLOOKUP(C215,'AOP24'!M:M,1,0))</f>
        <v>#N/A</v>
      </c>
      <c r="G215" t="e">
        <f t="shared" si="3"/>
        <v>#N/A</v>
      </c>
    </row>
    <row r="216" spans="1:7" x14ac:dyDescent="0.25">
      <c r="A216">
        <f>BIdetails!G219</f>
        <v>0</v>
      </c>
      <c r="B216">
        <f>BIdetails!H219</f>
        <v>0</v>
      </c>
      <c r="C216">
        <f>BIdetails!J219</f>
        <v>0</v>
      </c>
      <c r="D216">
        <f>BIdetails!K219</f>
        <v>0</v>
      </c>
      <c r="E216" s="168">
        <f>BIdetails!M219</f>
        <v>0</v>
      </c>
      <c r="F216" t="e">
        <f>IF(ISERROR(IF(OR(C216="#",C216=0),"",VLOOKUP(C216,'AOP24'!M:M,1,0))),"Not Found",VLOOKUP(C216,'AOP24'!M:M,1,0))</f>
        <v>#N/A</v>
      </c>
      <c r="G216" t="e">
        <f t="shared" si="3"/>
        <v>#N/A</v>
      </c>
    </row>
    <row r="217" spans="1:7" x14ac:dyDescent="0.25">
      <c r="A217">
        <f>BIdetails!G220</f>
        <v>0</v>
      </c>
      <c r="B217">
        <f>BIdetails!H220</f>
        <v>0</v>
      </c>
      <c r="C217">
        <f>BIdetails!J220</f>
        <v>0</v>
      </c>
      <c r="D217">
        <f>BIdetails!K220</f>
        <v>0</v>
      </c>
      <c r="E217" s="168">
        <f>BIdetails!M220</f>
        <v>0</v>
      </c>
      <c r="F217" t="e">
        <f>IF(ISERROR(IF(OR(C217="#",C217=0),"",VLOOKUP(C217,'AOP24'!M:M,1,0))),"Not Found",VLOOKUP(C217,'AOP24'!M:M,1,0))</f>
        <v>#N/A</v>
      </c>
      <c r="G217" t="e">
        <f t="shared" si="3"/>
        <v>#N/A</v>
      </c>
    </row>
    <row r="218" spans="1:7" x14ac:dyDescent="0.25">
      <c r="A218">
        <f>BIdetails!G221</f>
        <v>0</v>
      </c>
      <c r="B218">
        <f>BIdetails!H221</f>
        <v>0</v>
      </c>
      <c r="C218">
        <f>BIdetails!J221</f>
        <v>0</v>
      </c>
      <c r="D218">
        <f>BIdetails!K221</f>
        <v>0</v>
      </c>
      <c r="E218" s="168">
        <f>BIdetails!M221</f>
        <v>0</v>
      </c>
      <c r="F218" t="e">
        <f>IF(ISERROR(IF(OR(C218="#",C218=0),"",VLOOKUP(C218,'AOP24'!M:M,1,0))),"Not Found",VLOOKUP(C218,'AOP24'!M:M,1,0))</f>
        <v>#N/A</v>
      </c>
      <c r="G218" t="e">
        <f t="shared" si="3"/>
        <v>#N/A</v>
      </c>
    </row>
    <row r="219" spans="1:7" x14ac:dyDescent="0.25">
      <c r="A219">
        <f>BIdetails!G222</f>
        <v>0</v>
      </c>
      <c r="B219">
        <f>BIdetails!H222</f>
        <v>0</v>
      </c>
      <c r="C219">
        <f>BIdetails!J222</f>
        <v>0</v>
      </c>
      <c r="D219">
        <f>BIdetails!K222</f>
        <v>0</v>
      </c>
      <c r="E219" s="168">
        <f>BIdetails!M222</f>
        <v>0</v>
      </c>
      <c r="F219" t="e">
        <f>IF(ISERROR(IF(OR(C219="#",C219=0),"",VLOOKUP(C219,'AOP24'!M:M,1,0))),"Not Found",VLOOKUP(C219,'AOP24'!M:M,1,0))</f>
        <v>#N/A</v>
      </c>
      <c r="G219" t="e">
        <f t="shared" si="3"/>
        <v>#N/A</v>
      </c>
    </row>
    <row r="220" spans="1:7" x14ac:dyDescent="0.25">
      <c r="A220">
        <f>BIdetails!G223</f>
        <v>0</v>
      </c>
      <c r="B220">
        <f>BIdetails!H223</f>
        <v>0</v>
      </c>
      <c r="C220">
        <f>BIdetails!J223</f>
        <v>0</v>
      </c>
      <c r="D220">
        <f>BIdetails!K223</f>
        <v>0</v>
      </c>
      <c r="E220" s="168">
        <f>BIdetails!M223</f>
        <v>0</v>
      </c>
      <c r="F220" t="e">
        <f>IF(ISERROR(IF(OR(C220="#",C220=0),"",VLOOKUP(C220,'AOP24'!M:M,1,0))),"Not Found",VLOOKUP(C220,'AOP24'!M:M,1,0))</f>
        <v>#N/A</v>
      </c>
      <c r="G220" t="e">
        <f t="shared" si="3"/>
        <v>#N/A</v>
      </c>
    </row>
    <row r="221" spans="1:7" x14ac:dyDescent="0.25">
      <c r="A221">
        <f>BIdetails!G224</f>
        <v>0</v>
      </c>
      <c r="B221">
        <f>BIdetails!H224</f>
        <v>0</v>
      </c>
      <c r="C221">
        <f>BIdetails!J224</f>
        <v>0</v>
      </c>
      <c r="D221">
        <f>BIdetails!K224</f>
        <v>0</v>
      </c>
      <c r="E221" s="168">
        <f>BIdetails!M224</f>
        <v>0</v>
      </c>
      <c r="F221" t="e">
        <f>IF(ISERROR(IF(OR(C221="#",C221=0),"",VLOOKUP(C221,'AOP24'!M:M,1,0))),"Not Found",VLOOKUP(C221,'AOP24'!M:M,1,0))</f>
        <v>#N/A</v>
      </c>
      <c r="G221" t="e">
        <f t="shared" si="3"/>
        <v>#N/A</v>
      </c>
    </row>
    <row r="222" spans="1:7" x14ac:dyDescent="0.25">
      <c r="A222">
        <f>BIdetails!G225</f>
        <v>0</v>
      </c>
      <c r="B222">
        <f>BIdetails!H225</f>
        <v>0</v>
      </c>
      <c r="C222">
        <f>BIdetails!J225</f>
        <v>0</v>
      </c>
      <c r="D222">
        <f>BIdetails!K225</f>
        <v>0</v>
      </c>
      <c r="E222" s="168">
        <f>BIdetails!M225</f>
        <v>0</v>
      </c>
      <c r="F222" t="e">
        <f>IF(ISERROR(IF(OR(C222="#",C222=0),"",VLOOKUP(C222,'AOP24'!M:M,1,0))),"Not Found",VLOOKUP(C222,'AOP24'!M:M,1,0))</f>
        <v>#N/A</v>
      </c>
      <c r="G222" t="e">
        <f t="shared" si="3"/>
        <v>#N/A</v>
      </c>
    </row>
    <row r="223" spans="1:7" x14ac:dyDescent="0.25">
      <c r="A223">
        <f>BIdetails!G226</f>
        <v>0</v>
      </c>
      <c r="B223">
        <f>BIdetails!H226</f>
        <v>0</v>
      </c>
      <c r="C223">
        <f>BIdetails!J226</f>
        <v>0</v>
      </c>
      <c r="D223">
        <f>BIdetails!K226</f>
        <v>0</v>
      </c>
      <c r="E223" s="168">
        <f>BIdetails!M226</f>
        <v>0</v>
      </c>
      <c r="F223" t="e">
        <f>IF(ISERROR(IF(OR(C223="#",C223=0),"",VLOOKUP(C223,'AOP24'!M:M,1,0))),"Not Found",VLOOKUP(C223,'AOP24'!M:M,1,0))</f>
        <v>#N/A</v>
      </c>
      <c r="G223" t="e">
        <f t="shared" si="3"/>
        <v>#N/A</v>
      </c>
    </row>
    <row r="224" spans="1:7" x14ac:dyDescent="0.25">
      <c r="A224">
        <f>BIdetails!G227</f>
        <v>0</v>
      </c>
      <c r="B224">
        <f>BIdetails!H227</f>
        <v>0</v>
      </c>
      <c r="C224">
        <f>BIdetails!J227</f>
        <v>0</v>
      </c>
      <c r="D224">
        <f>BIdetails!K227</f>
        <v>0</v>
      </c>
      <c r="E224" s="168">
        <f>BIdetails!M227</f>
        <v>0</v>
      </c>
      <c r="F224" t="e">
        <f>IF(ISERROR(IF(OR(C224="#",C224=0),"",VLOOKUP(C224,'AOP24'!M:M,1,0))),"Not Found",VLOOKUP(C224,'AOP24'!M:M,1,0))</f>
        <v>#N/A</v>
      </c>
      <c r="G224" t="e">
        <f t="shared" si="3"/>
        <v>#N/A</v>
      </c>
    </row>
    <row r="225" spans="1:7" x14ac:dyDescent="0.25">
      <c r="A225">
        <f>BIdetails!G228</f>
        <v>0</v>
      </c>
      <c r="B225">
        <f>BIdetails!H228</f>
        <v>0</v>
      </c>
      <c r="C225">
        <f>BIdetails!J228</f>
        <v>0</v>
      </c>
      <c r="D225">
        <f>BIdetails!K228</f>
        <v>0</v>
      </c>
      <c r="E225" s="168">
        <f>BIdetails!M228</f>
        <v>0</v>
      </c>
      <c r="F225" t="e">
        <f>IF(ISERROR(IF(OR(C225="#",C225=0),"",VLOOKUP(C225,'AOP24'!M:M,1,0))),"Not Found",VLOOKUP(C225,'AOP24'!M:M,1,0))</f>
        <v>#N/A</v>
      </c>
      <c r="G225" t="e">
        <f t="shared" si="3"/>
        <v>#N/A</v>
      </c>
    </row>
    <row r="226" spans="1:7" x14ac:dyDescent="0.25">
      <c r="A226">
        <f>BIdetails!G229</f>
        <v>0</v>
      </c>
      <c r="B226">
        <f>BIdetails!H229</f>
        <v>0</v>
      </c>
      <c r="C226">
        <f>BIdetails!J229</f>
        <v>0</v>
      </c>
      <c r="D226">
        <f>BIdetails!K229</f>
        <v>0</v>
      </c>
      <c r="E226" s="168">
        <f>BIdetails!M229</f>
        <v>0</v>
      </c>
      <c r="F226" t="e">
        <f>IF(ISERROR(IF(OR(C226="#",C226=0),"",VLOOKUP(C226,'AOP24'!M:M,1,0))),"Not Found",VLOOKUP(C226,'AOP24'!M:M,1,0))</f>
        <v>#N/A</v>
      </c>
      <c r="G226" t="e">
        <f t="shared" si="3"/>
        <v>#N/A</v>
      </c>
    </row>
    <row r="227" spans="1:7" x14ac:dyDescent="0.25">
      <c r="A227">
        <f>BIdetails!G230</f>
        <v>0</v>
      </c>
      <c r="B227">
        <f>BIdetails!H230</f>
        <v>0</v>
      </c>
      <c r="C227">
        <f>BIdetails!J230</f>
        <v>0</v>
      </c>
      <c r="D227">
        <f>BIdetails!K230</f>
        <v>0</v>
      </c>
      <c r="E227" s="168">
        <f>BIdetails!M230</f>
        <v>0</v>
      </c>
      <c r="F227" t="e">
        <f>IF(ISERROR(IF(OR(C227="#",C227=0),"",VLOOKUP(C227,'AOP24'!M:M,1,0))),"Not Found",VLOOKUP(C227,'AOP24'!M:M,1,0))</f>
        <v>#N/A</v>
      </c>
      <c r="G227" t="e">
        <f t="shared" si="3"/>
        <v>#N/A</v>
      </c>
    </row>
    <row r="228" spans="1:7" x14ac:dyDescent="0.25">
      <c r="A228">
        <f>BIdetails!G231</f>
        <v>0</v>
      </c>
      <c r="B228">
        <f>BIdetails!H231</f>
        <v>0</v>
      </c>
      <c r="C228">
        <f>BIdetails!J231</f>
        <v>0</v>
      </c>
      <c r="D228">
        <f>BIdetails!K231</f>
        <v>0</v>
      </c>
      <c r="E228" s="168">
        <f>BIdetails!M231</f>
        <v>0</v>
      </c>
      <c r="F228" t="e">
        <f>IF(ISERROR(IF(OR(C228="#",C228=0),"",VLOOKUP(C228,'AOP24'!M:M,1,0))),"Not Found",VLOOKUP(C228,'AOP24'!M:M,1,0))</f>
        <v>#N/A</v>
      </c>
      <c r="G228" t="e">
        <f t="shared" si="3"/>
        <v>#N/A</v>
      </c>
    </row>
    <row r="229" spans="1:7" x14ac:dyDescent="0.25">
      <c r="A229">
        <f>BIdetails!G232</f>
        <v>0</v>
      </c>
      <c r="B229">
        <f>BIdetails!H232</f>
        <v>0</v>
      </c>
      <c r="C229">
        <f>BIdetails!J232</f>
        <v>0</v>
      </c>
      <c r="D229">
        <f>BIdetails!K232</f>
        <v>0</v>
      </c>
      <c r="E229" s="168">
        <f>BIdetails!M232</f>
        <v>0</v>
      </c>
      <c r="F229" t="e">
        <f>IF(ISERROR(IF(OR(C229="#",C229=0),"",VLOOKUP(C229,'AOP24'!M:M,1,0))),"Not Found",VLOOKUP(C229,'AOP24'!M:M,1,0))</f>
        <v>#N/A</v>
      </c>
      <c r="G229" t="e">
        <f t="shared" si="3"/>
        <v>#N/A</v>
      </c>
    </row>
    <row r="230" spans="1:7" x14ac:dyDescent="0.25">
      <c r="A230">
        <f>BIdetails!G233</f>
        <v>0</v>
      </c>
      <c r="B230">
        <f>BIdetails!H233</f>
        <v>0</v>
      </c>
      <c r="C230">
        <f>BIdetails!J233</f>
        <v>0</v>
      </c>
      <c r="D230">
        <f>BIdetails!K233</f>
        <v>0</v>
      </c>
      <c r="E230" s="168">
        <f>BIdetails!M233</f>
        <v>0</v>
      </c>
      <c r="F230" t="e">
        <f>IF(ISERROR(IF(OR(C230="#",C230=0),"",VLOOKUP(C230,'AOP24'!M:M,1,0))),"Not Found",VLOOKUP(C230,'AOP24'!M:M,1,0))</f>
        <v>#N/A</v>
      </c>
      <c r="G230" t="e">
        <f t="shared" si="3"/>
        <v>#N/A</v>
      </c>
    </row>
    <row r="231" spans="1:7" x14ac:dyDescent="0.25">
      <c r="A231">
        <f>BIdetails!G234</f>
        <v>0</v>
      </c>
      <c r="B231">
        <f>BIdetails!H234</f>
        <v>0</v>
      </c>
      <c r="C231">
        <f>BIdetails!J234</f>
        <v>0</v>
      </c>
      <c r="D231">
        <f>BIdetails!K234</f>
        <v>0</v>
      </c>
      <c r="E231" s="168">
        <f>BIdetails!M234</f>
        <v>0</v>
      </c>
      <c r="F231" t="e">
        <f>IF(ISERROR(IF(OR(C231="#",C231=0),"",VLOOKUP(C231,'AOP24'!M:M,1,0))),"Not Found",VLOOKUP(C231,'AOP24'!M:M,1,0))</f>
        <v>#N/A</v>
      </c>
      <c r="G231" t="e">
        <f t="shared" si="3"/>
        <v>#N/A</v>
      </c>
    </row>
    <row r="232" spans="1:7" x14ac:dyDescent="0.25">
      <c r="A232">
        <f>BIdetails!G235</f>
        <v>0</v>
      </c>
      <c r="B232">
        <f>BIdetails!H235</f>
        <v>0</v>
      </c>
      <c r="C232">
        <f>BIdetails!J235</f>
        <v>0</v>
      </c>
      <c r="D232">
        <f>BIdetails!K235</f>
        <v>0</v>
      </c>
      <c r="E232" s="168">
        <f>BIdetails!M235</f>
        <v>0</v>
      </c>
      <c r="F232" t="e">
        <f>IF(ISERROR(IF(OR(C232="#",C232=0),"",VLOOKUP(C232,'AOP24'!M:M,1,0))),"Not Found",VLOOKUP(C232,'AOP24'!M:M,1,0))</f>
        <v>#N/A</v>
      </c>
      <c r="G232" t="e">
        <f t="shared" si="3"/>
        <v>#N/A</v>
      </c>
    </row>
    <row r="233" spans="1:7" x14ac:dyDescent="0.25">
      <c r="A233">
        <f>BIdetails!G236</f>
        <v>0</v>
      </c>
      <c r="B233">
        <f>BIdetails!H236</f>
        <v>0</v>
      </c>
      <c r="C233">
        <f>BIdetails!J236</f>
        <v>0</v>
      </c>
      <c r="D233">
        <f>BIdetails!K236</f>
        <v>0</v>
      </c>
      <c r="E233" s="168">
        <f>BIdetails!M236</f>
        <v>0</v>
      </c>
      <c r="F233" t="e">
        <f>IF(ISERROR(IF(OR(C233="#",C233=0),"",VLOOKUP(C233,'AOP24'!M:M,1,0))),"Not Found",VLOOKUP(C233,'AOP24'!M:M,1,0))</f>
        <v>#N/A</v>
      </c>
      <c r="G233" t="e">
        <f t="shared" si="3"/>
        <v>#N/A</v>
      </c>
    </row>
    <row r="234" spans="1:7" x14ac:dyDescent="0.25">
      <c r="A234">
        <f>BIdetails!G237</f>
        <v>0</v>
      </c>
      <c r="B234">
        <f>BIdetails!H237</f>
        <v>0</v>
      </c>
      <c r="C234">
        <f>BIdetails!J237</f>
        <v>0</v>
      </c>
      <c r="D234">
        <f>BIdetails!K237</f>
        <v>0</v>
      </c>
      <c r="E234" s="168">
        <f>BIdetails!M237</f>
        <v>0</v>
      </c>
      <c r="F234" t="e">
        <f>IF(ISERROR(IF(OR(C234="#",C234=0),"",VLOOKUP(C234,'AOP24'!M:M,1,0))),"Not Found",VLOOKUP(C234,'AOP24'!M:M,1,0))</f>
        <v>#N/A</v>
      </c>
      <c r="G234" t="e">
        <f t="shared" si="3"/>
        <v>#N/A</v>
      </c>
    </row>
    <row r="235" spans="1:7" x14ac:dyDescent="0.25">
      <c r="A235">
        <f>BIdetails!G238</f>
        <v>0</v>
      </c>
      <c r="B235">
        <f>BIdetails!H238</f>
        <v>0</v>
      </c>
      <c r="C235">
        <f>BIdetails!J238</f>
        <v>0</v>
      </c>
      <c r="D235">
        <f>BIdetails!K238</f>
        <v>0</v>
      </c>
      <c r="E235" s="168">
        <f>BIdetails!M238</f>
        <v>0</v>
      </c>
      <c r="F235" t="e">
        <f>IF(ISERROR(IF(OR(C235="#",C235=0),"",VLOOKUP(C235,'AOP24'!M:M,1,0))),"Not Found",VLOOKUP(C235,'AOP24'!M:M,1,0))</f>
        <v>#N/A</v>
      </c>
      <c r="G235" t="e">
        <f t="shared" si="3"/>
        <v>#N/A</v>
      </c>
    </row>
    <row r="236" spans="1:7" x14ac:dyDescent="0.25">
      <c r="A236">
        <f>BIdetails!G239</f>
        <v>0</v>
      </c>
      <c r="B236">
        <f>BIdetails!H239</f>
        <v>0</v>
      </c>
      <c r="C236">
        <f>BIdetails!J239</f>
        <v>0</v>
      </c>
      <c r="D236">
        <f>BIdetails!K239</f>
        <v>0</v>
      </c>
      <c r="E236" s="168">
        <f>BIdetails!M239</f>
        <v>0</v>
      </c>
      <c r="F236" t="e">
        <f>IF(ISERROR(IF(OR(C236="#",C236=0),"",VLOOKUP(C236,'AOP24'!M:M,1,0))),"Not Found",VLOOKUP(C236,'AOP24'!M:M,1,0))</f>
        <v>#N/A</v>
      </c>
      <c r="G236" t="e">
        <f t="shared" si="3"/>
        <v>#N/A</v>
      </c>
    </row>
    <row r="237" spans="1:7" x14ac:dyDescent="0.25">
      <c r="A237">
        <f>BIdetails!G240</f>
        <v>0</v>
      </c>
      <c r="B237">
        <f>BIdetails!H240</f>
        <v>0</v>
      </c>
      <c r="C237">
        <f>BIdetails!J240</f>
        <v>0</v>
      </c>
      <c r="D237">
        <f>BIdetails!K240</f>
        <v>0</v>
      </c>
      <c r="E237" s="168">
        <f>BIdetails!M240</f>
        <v>0</v>
      </c>
      <c r="F237" t="e">
        <f>IF(ISERROR(IF(OR(C237="#",C237=0),"",VLOOKUP(C237,'AOP24'!M:M,1,0))),"Not Found",VLOOKUP(C237,'AOP24'!M:M,1,0))</f>
        <v>#N/A</v>
      </c>
      <c r="G237" t="e">
        <f t="shared" si="3"/>
        <v>#N/A</v>
      </c>
    </row>
    <row r="238" spans="1:7" x14ac:dyDescent="0.25">
      <c r="A238">
        <f>BIdetails!G241</f>
        <v>0</v>
      </c>
      <c r="B238">
        <f>BIdetails!H241</f>
        <v>0</v>
      </c>
      <c r="C238">
        <f>BIdetails!J241</f>
        <v>0</v>
      </c>
      <c r="D238">
        <f>BIdetails!K241</f>
        <v>0</v>
      </c>
      <c r="E238" s="168">
        <f>BIdetails!M241</f>
        <v>0</v>
      </c>
      <c r="F238" t="e">
        <f>IF(ISERROR(IF(OR(C238="#",C238=0),"",VLOOKUP(C238,'AOP24'!M:M,1,0))),"Not Found",VLOOKUP(C238,'AOP24'!M:M,1,0))</f>
        <v>#N/A</v>
      </c>
      <c r="G238" t="e">
        <f t="shared" si="3"/>
        <v>#N/A</v>
      </c>
    </row>
    <row r="239" spans="1:7" x14ac:dyDescent="0.25">
      <c r="A239">
        <f>BIdetails!G242</f>
        <v>0</v>
      </c>
      <c r="B239">
        <f>BIdetails!H242</f>
        <v>0</v>
      </c>
      <c r="C239">
        <f>BIdetails!J242</f>
        <v>0</v>
      </c>
      <c r="D239">
        <f>BIdetails!K242</f>
        <v>0</v>
      </c>
      <c r="E239" s="168">
        <f>BIdetails!M242</f>
        <v>0</v>
      </c>
      <c r="F239" t="e">
        <f>IF(ISERROR(IF(OR(C239="#",C239=0),"",VLOOKUP(C239,'AOP24'!M:M,1,0))),"Not Found",VLOOKUP(C239,'AOP24'!M:M,1,0))</f>
        <v>#N/A</v>
      </c>
      <c r="G239" t="e">
        <f t="shared" si="3"/>
        <v>#N/A</v>
      </c>
    </row>
    <row r="240" spans="1:7" x14ac:dyDescent="0.25">
      <c r="A240">
        <f>BIdetails!G243</f>
        <v>0</v>
      </c>
      <c r="B240">
        <f>BIdetails!H243</f>
        <v>0</v>
      </c>
      <c r="C240">
        <f>BIdetails!J243</f>
        <v>0</v>
      </c>
      <c r="D240">
        <f>BIdetails!K243</f>
        <v>0</v>
      </c>
      <c r="E240" s="168">
        <f>BIdetails!M243</f>
        <v>0</v>
      </c>
      <c r="F240" t="e">
        <f>IF(ISERROR(IF(OR(C240="#",C240=0),"",VLOOKUP(C240,'AOP24'!M:M,1,0))),"Not Found",VLOOKUP(C240,'AOP24'!M:M,1,0))</f>
        <v>#N/A</v>
      </c>
      <c r="G240" t="e">
        <f t="shared" si="3"/>
        <v>#N/A</v>
      </c>
    </row>
    <row r="241" spans="1:7" x14ac:dyDescent="0.25">
      <c r="A241">
        <f>BIdetails!G244</f>
        <v>0</v>
      </c>
      <c r="B241">
        <f>BIdetails!H244</f>
        <v>0</v>
      </c>
      <c r="C241">
        <f>BIdetails!J244</f>
        <v>0</v>
      </c>
      <c r="D241">
        <f>BIdetails!K244</f>
        <v>0</v>
      </c>
      <c r="E241" s="168">
        <f>BIdetails!M244</f>
        <v>0</v>
      </c>
      <c r="F241" t="e">
        <f>IF(ISERROR(IF(OR(C241="#",C241=0),"",VLOOKUP(C241,'AOP24'!M:M,1,0))),"Not Found",VLOOKUP(C241,'AOP24'!M:M,1,0))</f>
        <v>#N/A</v>
      </c>
      <c r="G241" t="e">
        <f t="shared" si="3"/>
        <v>#N/A</v>
      </c>
    </row>
    <row r="242" spans="1:7" x14ac:dyDescent="0.25">
      <c r="A242">
        <f>BIdetails!G245</f>
        <v>0</v>
      </c>
      <c r="B242">
        <f>BIdetails!H245</f>
        <v>0</v>
      </c>
      <c r="C242">
        <f>BIdetails!J245</f>
        <v>0</v>
      </c>
      <c r="D242">
        <f>BIdetails!K245</f>
        <v>0</v>
      </c>
      <c r="E242" s="168">
        <f>BIdetails!M245</f>
        <v>0</v>
      </c>
      <c r="F242" t="e">
        <f>IF(ISERROR(IF(OR(C242="#",C242=0),"",VLOOKUP(C242,'AOP24'!M:M,1,0))),"Not Found",VLOOKUP(C242,'AOP24'!M:M,1,0))</f>
        <v>#N/A</v>
      </c>
      <c r="G242" t="e">
        <f t="shared" si="3"/>
        <v>#N/A</v>
      </c>
    </row>
    <row r="243" spans="1:7" x14ac:dyDescent="0.25">
      <c r="A243">
        <f>BIdetails!G246</f>
        <v>0</v>
      </c>
      <c r="B243">
        <f>BIdetails!H246</f>
        <v>0</v>
      </c>
      <c r="C243">
        <f>BIdetails!J246</f>
        <v>0</v>
      </c>
      <c r="D243">
        <f>BIdetails!K246</f>
        <v>0</v>
      </c>
      <c r="E243" s="168">
        <f>BIdetails!M246</f>
        <v>0</v>
      </c>
      <c r="F243" t="e">
        <f>IF(ISERROR(IF(OR(C243="#",C243=0),"",VLOOKUP(C243,'AOP24'!M:M,1,0))),"Not Found",VLOOKUP(C243,'AOP24'!M:M,1,0))</f>
        <v>#N/A</v>
      </c>
      <c r="G243" t="e">
        <f t="shared" si="3"/>
        <v>#N/A</v>
      </c>
    </row>
    <row r="244" spans="1:7" x14ac:dyDescent="0.25">
      <c r="A244">
        <f>BIdetails!G247</f>
        <v>0</v>
      </c>
      <c r="B244">
        <f>BIdetails!H247</f>
        <v>0</v>
      </c>
      <c r="C244">
        <f>BIdetails!J247</f>
        <v>0</v>
      </c>
      <c r="D244">
        <f>BIdetails!K247</f>
        <v>0</v>
      </c>
      <c r="E244" s="168">
        <f>BIdetails!M247</f>
        <v>0</v>
      </c>
      <c r="F244" t="e">
        <f>IF(ISERROR(IF(OR(C244="#",C244=0),"",VLOOKUP(C244,'AOP24'!M:M,1,0))),"Not Found",VLOOKUP(C244,'AOP24'!M:M,1,0))</f>
        <v>#N/A</v>
      </c>
      <c r="G244" t="e">
        <f t="shared" si="3"/>
        <v>#N/A</v>
      </c>
    </row>
    <row r="245" spans="1:7" x14ac:dyDescent="0.25">
      <c r="A245">
        <f>BIdetails!G248</f>
        <v>0</v>
      </c>
      <c r="B245">
        <f>BIdetails!H248</f>
        <v>0</v>
      </c>
      <c r="C245">
        <f>BIdetails!J248</f>
        <v>0</v>
      </c>
      <c r="D245">
        <f>BIdetails!K248</f>
        <v>0</v>
      </c>
      <c r="E245" s="168">
        <f>BIdetails!M248</f>
        <v>0</v>
      </c>
      <c r="F245" t="e">
        <f>IF(ISERROR(IF(OR(C245="#",C245=0),"",VLOOKUP(C245,'AOP24'!M:M,1,0))),"Not Found",VLOOKUP(C245,'AOP24'!M:M,1,0))</f>
        <v>#N/A</v>
      </c>
      <c r="G245" t="e">
        <f t="shared" si="3"/>
        <v>#N/A</v>
      </c>
    </row>
    <row r="246" spans="1:7" x14ac:dyDescent="0.25">
      <c r="A246">
        <f>BIdetails!G249</f>
        <v>0</v>
      </c>
      <c r="B246">
        <f>BIdetails!H249</f>
        <v>0</v>
      </c>
      <c r="C246">
        <f>BIdetails!J249</f>
        <v>0</v>
      </c>
      <c r="D246">
        <f>BIdetails!K249</f>
        <v>0</v>
      </c>
      <c r="E246" s="168">
        <f>BIdetails!M249</f>
        <v>0</v>
      </c>
      <c r="F246" t="e">
        <f>IF(ISERROR(IF(OR(C246="#",C246=0),"",VLOOKUP(C246,'AOP24'!M:M,1,0))),"Not Found",VLOOKUP(C246,'AOP24'!M:M,1,0))</f>
        <v>#N/A</v>
      </c>
      <c r="G246" t="e">
        <f t="shared" si="3"/>
        <v>#N/A</v>
      </c>
    </row>
    <row r="247" spans="1:7" x14ac:dyDescent="0.25">
      <c r="A247">
        <f>BIdetails!G250</f>
        <v>0</v>
      </c>
      <c r="B247">
        <f>BIdetails!H250</f>
        <v>0</v>
      </c>
      <c r="C247">
        <f>BIdetails!J250</f>
        <v>0</v>
      </c>
      <c r="D247">
        <f>BIdetails!K250</f>
        <v>0</v>
      </c>
      <c r="E247" s="168">
        <f>BIdetails!M250</f>
        <v>0</v>
      </c>
      <c r="F247" t="e">
        <f>IF(ISERROR(IF(OR(C247="#",C247=0),"",VLOOKUP(C247,'AOP24'!M:M,1,0))),"Not Found",VLOOKUP(C247,'AOP24'!M:M,1,0))</f>
        <v>#N/A</v>
      </c>
      <c r="G247" t="e">
        <f t="shared" si="3"/>
        <v>#N/A</v>
      </c>
    </row>
    <row r="248" spans="1:7" x14ac:dyDescent="0.25">
      <c r="A248">
        <f>BIdetails!G251</f>
        <v>0</v>
      </c>
      <c r="B248">
        <f>BIdetails!H251</f>
        <v>0</v>
      </c>
      <c r="C248">
        <f>BIdetails!J251</f>
        <v>0</v>
      </c>
      <c r="D248">
        <f>BIdetails!K251</f>
        <v>0</v>
      </c>
      <c r="E248" s="168">
        <f>BIdetails!M251</f>
        <v>0</v>
      </c>
      <c r="F248" t="e">
        <f>IF(ISERROR(IF(OR(C248="#",C248=0),"",VLOOKUP(C248,'AOP24'!M:M,1,0))),"Not Found",VLOOKUP(C248,'AOP24'!M:M,1,0))</f>
        <v>#N/A</v>
      </c>
      <c r="G248" t="e">
        <f t="shared" si="3"/>
        <v>#N/A</v>
      </c>
    </row>
    <row r="249" spans="1:7" x14ac:dyDescent="0.25">
      <c r="A249">
        <f>BIdetails!G252</f>
        <v>0</v>
      </c>
      <c r="B249">
        <f>BIdetails!H252</f>
        <v>0</v>
      </c>
      <c r="C249">
        <f>BIdetails!J252</f>
        <v>0</v>
      </c>
      <c r="D249">
        <f>BIdetails!K252</f>
        <v>0</v>
      </c>
      <c r="E249" s="168">
        <f>BIdetails!M252</f>
        <v>0</v>
      </c>
      <c r="F249" t="e">
        <f>IF(ISERROR(IF(OR(C249="#",C249=0),"",VLOOKUP(C249,'AOP24'!M:M,1,0))),"Not Found",VLOOKUP(C249,'AOP24'!M:M,1,0))</f>
        <v>#N/A</v>
      </c>
      <c r="G249" t="e">
        <f t="shared" si="3"/>
        <v>#N/A</v>
      </c>
    </row>
    <row r="250" spans="1:7" x14ac:dyDescent="0.25">
      <c r="A250">
        <f>BIdetails!G253</f>
        <v>0</v>
      </c>
      <c r="B250">
        <f>BIdetails!H253</f>
        <v>0</v>
      </c>
      <c r="C250">
        <f>BIdetails!J253</f>
        <v>0</v>
      </c>
      <c r="D250">
        <f>BIdetails!K253</f>
        <v>0</v>
      </c>
      <c r="E250" s="168">
        <f>BIdetails!M253</f>
        <v>0</v>
      </c>
      <c r="F250" t="e">
        <f>IF(ISERROR(IF(OR(C250="#",C250=0),"",VLOOKUP(C250,'AOP24'!M:M,1,0))),"Not Found",VLOOKUP(C250,'AOP24'!M:M,1,0))</f>
        <v>#N/A</v>
      </c>
      <c r="G250" t="e">
        <f t="shared" si="3"/>
        <v>#N/A</v>
      </c>
    </row>
    <row r="251" spans="1:7" x14ac:dyDescent="0.25">
      <c r="A251">
        <f>BIdetails!G254</f>
        <v>0</v>
      </c>
      <c r="B251">
        <f>BIdetails!H254</f>
        <v>0</v>
      </c>
      <c r="C251">
        <f>BIdetails!J254</f>
        <v>0</v>
      </c>
      <c r="D251">
        <f>BIdetails!K254</f>
        <v>0</v>
      </c>
      <c r="E251" s="168">
        <f>BIdetails!M254</f>
        <v>0</v>
      </c>
      <c r="F251" t="e">
        <f>IF(ISERROR(IF(OR(C251="#",C251=0),"",VLOOKUP(C251,'AOP24'!M:M,1,0))),"Not Found",VLOOKUP(C251,'AOP24'!M:M,1,0))</f>
        <v>#N/A</v>
      </c>
      <c r="G251" t="e">
        <f t="shared" si="3"/>
        <v>#N/A</v>
      </c>
    </row>
    <row r="252" spans="1:7" x14ac:dyDescent="0.25">
      <c r="A252">
        <f>BIdetails!G255</f>
        <v>0</v>
      </c>
      <c r="B252">
        <f>BIdetails!H255</f>
        <v>0</v>
      </c>
      <c r="C252">
        <f>BIdetails!J255</f>
        <v>0</v>
      </c>
      <c r="D252">
        <f>BIdetails!K255</f>
        <v>0</v>
      </c>
      <c r="E252" s="168">
        <f>BIdetails!M255</f>
        <v>0</v>
      </c>
      <c r="F252" t="e">
        <f>IF(ISERROR(IF(OR(C252="#",C252=0),"",VLOOKUP(C252,'AOP24'!M:M,1,0))),"Not Found",VLOOKUP(C252,'AOP24'!M:M,1,0))</f>
        <v>#N/A</v>
      </c>
      <c r="G252" t="e">
        <f t="shared" si="3"/>
        <v>#N/A</v>
      </c>
    </row>
    <row r="253" spans="1:7" x14ac:dyDescent="0.25">
      <c r="A253">
        <f>BIdetails!G256</f>
        <v>0</v>
      </c>
      <c r="B253">
        <f>BIdetails!H256</f>
        <v>0</v>
      </c>
      <c r="C253">
        <f>BIdetails!J256</f>
        <v>0</v>
      </c>
      <c r="D253">
        <f>BIdetails!K256</f>
        <v>0</v>
      </c>
      <c r="E253" s="168">
        <f>BIdetails!M256</f>
        <v>0</v>
      </c>
      <c r="F253" t="e">
        <f>IF(ISERROR(IF(OR(C253="#",C253=0),"",VLOOKUP(C253,'AOP24'!M:M,1,0))),"Not Found",VLOOKUP(C253,'AOP24'!M:M,1,0))</f>
        <v>#N/A</v>
      </c>
      <c r="G253" t="e">
        <f t="shared" si="3"/>
        <v>#N/A</v>
      </c>
    </row>
    <row r="254" spans="1:7" x14ac:dyDescent="0.25">
      <c r="A254">
        <f>BIdetails!G257</f>
        <v>0</v>
      </c>
      <c r="B254">
        <f>BIdetails!H257</f>
        <v>0</v>
      </c>
      <c r="C254">
        <f>BIdetails!J257</f>
        <v>0</v>
      </c>
      <c r="D254">
        <f>BIdetails!K257</f>
        <v>0</v>
      </c>
      <c r="E254" s="168">
        <f>BIdetails!M257</f>
        <v>0</v>
      </c>
      <c r="F254" t="e">
        <f>IF(ISERROR(IF(OR(C254="#",C254=0),"",VLOOKUP(C254,'AOP24'!M:M,1,0))),"Not Found",VLOOKUP(C254,'AOP24'!M:M,1,0))</f>
        <v>#N/A</v>
      </c>
      <c r="G254" t="e">
        <f t="shared" si="3"/>
        <v>#N/A</v>
      </c>
    </row>
    <row r="255" spans="1:7" x14ac:dyDescent="0.25">
      <c r="A255">
        <f>BIdetails!G258</f>
        <v>0</v>
      </c>
      <c r="B255">
        <f>BIdetails!H258</f>
        <v>0</v>
      </c>
      <c r="C255">
        <f>BIdetails!J258</f>
        <v>0</v>
      </c>
      <c r="D255">
        <f>BIdetails!K258</f>
        <v>0</v>
      </c>
      <c r="E255" s="168">
        <f>BIdetails!M258</f>
        <v>0</v>
      </c>
      <c r="F255" t="e">
        <f>IF(ISERROR(IF(OR(C255="#",C255=0),"",VLOOKUP(C255,'AOP24'!M:M,1,0))),"Not Found",VLOOKUP(C255,'AOP24'!M:M,1,0))</f>
        <v>#N/A</v>
      </c>
      <c r="G255" t="e">
        <f t="shared" si="3"/>
        <v>#N/A</v>
      </c>
    </row>
    <row r="256" spans="1:7" x14ac:dyDescent="0.25">
      <c r="A256">
        <f>BIdetails!G259</f>
        <v>0</v>
      </c>
      <c r="B256">
        <f>BIdetails!H259</f>
        <v>0</v>
      </c>
      <c r="C256">
        <f>BIdetails!J259</f>
        <v>0</v>
      </c>
      <c r="D256">
        <f>BIdetails!K259</f>
        <v>0</v>
      </c>
      <c r="E256" s="168">
        <f>BIdetails!M259</f>
        <v>0</v>
      </c>
      <c r="F256" t="e">
        <f>IF(ISERROR(IF(OR(C256="#",C256=0),"",VLOOKUP(C256,'AOP24'!M:M,1,0))),"Not Found",VLOOKUP(C256,'AOP24'!M:M,1,0))</f>
        <v>#N/A</v>
      </c>
      <c r="G256" t="e">
        <f t="shared" si="3"/>
        <v>#N/A</v>
      </c>
    </row>
    <row r="257" spans="1:7" x14ac:dyDescent="0.25">
      <c r="A257">
        <f>BIdetails!G260</f>
        <v>0</v>
      </c>
      <c r="B257">
        <f>BIdetails!H260</f>
        <v>0</v>
      </c>
      <c r="C257">
        <f>BIdetails!J260</f>
        <v>0</v>
      </c>
      <c r="D257">
        <f>BIdetails!K260</f>
        <v>0</v>
      </c>
      <c r="E257" s="168">
        <f>BIdetails!M260</f>
        <v>0</v>
      </c>
      <c r="F257" t="e">
        <f>IF(ISERROR(IF(OR(C257="#",C257=0),"",VLOOKUP(C257,'AOP24'!M:M,1,0))),"Not Found",VLOOKUP(C257,'AOP24'!M:M,1,0))</f>
        <v>#N/A</v>
      </c>
      <c r="G257" t="e">
        <f t="shared" si="3"/>
        <v>#N/A</v>
      </c>
    </row>
    <row r="258" spans="1:7" x14ac:dyDescent="0.25">
      <c r="A258">
        <f>BIdetails!G261</f>
        <v>0</v>
      </c>
      <c r="B258">
        <f>BIdetails!H261</f>
        <v>0</v>
      </c>
      <c r="C258">
        <f>BIdetails!J261</f>
        <v>0</v>
      </c>
      <c r="D258">
        <f>BIdetails!K261</f>
        <v>0</v>
      </c>
      <c r="E258" s="168">
        <f>BIdetails!M261</f>
        <v>0</v>
      </c>
      <c r="F258" t="e">
        <f>IF(ISERROR(IF(OR(C258="#",C258=0),"",VLOOKUP(C258,'AOP24'!M:M,1,0))),"Not Found",VLOOKUP(C258,'AOP24'!M:M,1,0))</f>
        <v>#N/A</v>
      </c>
      <c r="G258" t="e">
        <f t="shared" si="3"/>
        <v>#N/A</v>
      </c>
    </row>
    <row r="259" spans="1:7" x14ac:dyDescent="0.25">
      <c r="A259">
        <f>BIdetails!G262</f>
        <v>0</v>
      </c>
      <c r="B259">
        <f>BIdetails!H262</f>
        <v>0</v>
      </c>
      <c r="C259">
        <f>BIdetails!J262</f>
        <v>0</v>
      </c>
      <c r="D259">
        <f>BIdetails!K262</f>
        <v>0</v>
      </c>
      <c r="E259" s="168">
        <f>BIdetails!M262</f>
        <v>0</v>
      </c>
      <c r="F259" t="e">
        <f>IF(ISERROR(IF(OR(C259="#",C259=0),"",VLOOKUP(C259,'AOP24'!M:M,1,0))),"Not Found",VLOOKUP(C259,'AOP24'!M:M,1,0))</f>
        <v>#N/A</v>
      </c>
      <c r="G259" t="e">
        <f t="shared" ref="G259:G322" si="4">IF(NOT(ISERROR(VLOOKUP(C259,$K$2:$K$50,1,0))),"Y",VLOOKUP(C259,$K$2:$K$50,1,0))</f>
        <v>#N/A</v>
      </c>
    </row>
    <row r="260" spans="1:7" x14ac:dyDescent="0.25">
      <c r="A260">
        <f>BIdetails!G263</f>
        <v>0</v>
      </c>
      <c r="B260">
        <f>BIdetails!H263</f>
        <v>0</v>
      </c>
      <c r="C260">
        <f>BIdetails!J263</f>
        <v>0</v>
      </c>
      <c r="D260">
        <f>BIdetails!K263</f>
        <v>0</v>
      </c>
      <c r="E260" s="168">
        <f>BIdetails!M263</f>
        <v>0</v>
      </c>
      <c r="F260" t="e">
        <f>IF(ISERROR(IF(OR(C260="#",C260=0),"",VLOOKUP(C260,'AOP24'!M:M,1,0))),"Not Found",VLOOKUP(C260,'AOP24'!M:M,1,0))</f>
        <v>#N/A</v>
      </c>
      <c r="G260" t="e">
        <f t="shared" si="4"/>
        <v>#N/A</v>
      </c>
    </row>
    <row r="261" spans="1:7" x14ac:dyDescent="0.25">
      <c r="A261">
        <f>BIdetails!G264</f>
        <v>0</v>
      </c>
      <c r="B261">
        <f>BIdetails!H264</f>
        <v>0</v>
      </c>
      <c r="C261">
        <f>BIdetails!J264</f>
        <v>0</v>
      </c>
      <c r="D261">
        <f>BIdetails!K264</f>
        <v>0</v>
      </c>
      <c r="E261" s="168">
        <f>BIdetails!M264</f>
        <v>0</v>
      </c>
      <c r="F261" t="e">
        <f>IF(ISERROR(IF(OR(C261="#",C261=0),"",VLOOKUP(C261,'AOP24'!M:M,1,0))),"Not Found",VLOOKUP(C261,'AOP24'!M:M,1,0))</f>
        <v>#N/A</v>
      </c>
      <c r="G261" t="e">
        <f t="shared" si="4"/>
        <v>#N/A</v>
      </c>
    </row>
    <row r="262" spans="1:7" x14ac:dyDescent="0.25">
      <c r="A262">
        <f>BIdetails!G265</f>
        <v>0</v>
      </c>
      <c r="B262">
        <f>BIdetails!H265</f>
        <v>0</v>
      </c>
      <c r="C262">
        <f>BIdetails!J265</f>
        <v>0</v>
      </c>
      <c r="D262">
        <f>BIdetails!K265</f>
        <v>0</v>
      </c>
      <c r="E262" s="168">
        <f>BIdetails!M265</f>
        <v>0</v>
      </c>
      <c r="F262" t="e">
        <f>IF(ISERROR(IF(OR(C262="#",C262=0),"",VLOOKUP(C262,'AOP24'!M:M,1,0))),"Not Found",VLOOKUP(C262,'AOP24'!M:M,1,0))</f>
        <v>#N/A</v>
      </c>
      <c r="G262" t="e">
        <f t="shared" si="4"/>
        <v>#N/A</v>
      </c>
    </row>
    <row r="263" spans="1:7" x14ac:dyDescent="0.25">
      <c r="A263">
        <f>BIdetails!G266</f>
        <v>0</v>
      </c>
      <c r="B263">
        <f>BIdetails!H266</f>
        <v>0</v>
      </c>
      <c r="C263">
        <f>BIdetails!J266</f>
        <v>0</v>
      </c>
      <c r="D263">
        <f>BIdetails!K266</f>
        <v>0</v>
      </c>
      <c r="E263" s="168">
        <f>BIdetails!M266</f>
        <v>0</v>
      </c>
      <c r="F263" t="e">
        <f>IF(ISERROR(IF(OR(C263="#",C263=0),"",VLOOKUP(C263,'AOP24'!M:M,1,0))),"Not Found",VLOOKUP(C263,'AOP24'!M:M,1,0))</f>
        <v>#N/A</v>
      </c>
      <c r="G263" t="e">
        <f t="shared" si="4"/>
        <v>#N/A</v>
      </c>
    </row>
    <row r="264" spans="1:7" x14ac:dyDescent="0.25">
      <c r="A264">
        <f>BIdetails!G267</f>
        <v>0</v>
      </c>
      <c r="B264">
        <f>BIdetails!H267</f>
        <v>0</v>
      </c>
      <c r="C264">
        <f>BIdetails!J267</f>
        <v>0</v>
      </c>
      <c r="D264">
        <f>BIdetails!K267</f>
        <v>0</v>
      </c>
      <c r="E264" s="168">
        <f>BIdetails!M267</f>
        <v>0</v>
      </c>
      <c r="F264" t="e">
        <f>IF(ISERROR(IF(OR(C264="#",C264=0),"",VLOOKUP(C264,'AOP24'!M:M,1,0))),"Not Found",VLOOKUP(C264,'AOP24'!M:M,1,0))</f>
        <v>#N/A</v>
      </c>
      <c r="G264" t="e">
        <f t="shared" si="4"/>
        <v>#N/A</v>
      </c>
    </row>
    <row r="265" spans="1:7" x14ac:dyDescent="0.25">
      <c r="A265">
        <f>BIdetails!G268</f>
        <v>0</v>
      </c>
      <c r="B265">
        <f>BIdetails!H268</f>
        <v>0</v>
      </c>
      <c r="C265">
        <f>BIdetails!J268</f>
        <v>0</v>
      </c>
      <c r="D265">
        <f>BIdetails!K268</f>
        <v>0</v>
      </c>
      <c r="E265" s="168">
        <f>BIdetails!M268</f>
        <v>0</v>
      </c>
      <c r="F265" t="e">
        <f>IF(ISERROR(IF(OR(C265="#",C265=0),"",VLOOKUP(C265,'AOP24'!M:M,1,0))),"Not Found",VLOOKUP(C265,'AOP24'!M:M,1,0))</f>
        <v>#N/A</v>
      </c>
      <c r="G265" t="e">
        <f t="shared" si="4"/>
        <v>#N/A</v>
      </c>
    </row>
    <row r="266" spans="1:7" x14ac:dyDescent="0.25">
      <c r="A266">
        <f>BIdetails!G269</f>
        <v>0</v>
      </c>
      <c r="B266">
        <f>BIdetails!H269</f>
        <v>0</v>
      </c>
      <c r="C266">
        <f>BIdetails!J269</f>
        <v>0</v>
      </c>
      <c r="D266">
        <f>BIdetails!K269</f>
        <v>0</v>
      </c>
      <c r="E266" s="168">
        <f>BIdetails!M269</f>
        <v>0</v>
      </c>
      <c r="F266" t="e">
        <f>IF(ISERROR(IF(OR(C266="#",C266=0),"",VLOOKUP(C266,'AOP24'!M:M,1,0))),"Not Found",VLOOKUP(C266,'AOP24'!M:M,1,0))</f>
        <v>#N/A</v>
      </c>
      <c r="G266" t="e">
        <f t="shared" si="4"/>
        <v>#N/A</v>
      </c>
    </row>
    <row r="267" spans="1:7" x14ac:dyDescent="0.25">
      <c r="A267">
        <f>BIdetails!G270</f>
        <v>0</v>
      </c>
      <c r="B267">
        <f>BIdetails!H270</f>
        <v>0</v>
      </c>
      <c r="C267">
        <f>BIdetails!J270</f>
        <v>0</v>
      </c>
      <c r="D267">
        <f>BIdetails!K270</f>
        <v>0</v>
      </c>
      <c r="E267" s="168">
        <f>BIdetails!M270</f>
        <v>0</v>
      </c>
      <c r="F267" t="e">
        <f>IF(ISERROR(IF(OR(C267="#",C267=0),"",VLOOKUP(C267,'AOP24'!M:M,1,0))),"Not Found",VLOOKUP(C267,'AOP24'!M:M,1,0))</f>
        <v>#N/A</v>
      </c>
      <c r="G267" t="e">
        <f t="shared" si="4"/>
        <v>#N/A</v>
      </c>
    </row>
    <row r="268" spans="1:7" x14ac:dyDescent="0.25">
      <c r="A268">
        <f>BIdetails!G271</f>
        <v>0</v>
      </c>
      <c r="B268">
        <f>BIdetails!H271</f>
        <v>0</v>
      </c>
      <c r="C268">
        <f>BIdetails!J271</f>
        <v>0</v>
      </c>
      <c r="D268">
        <f>BIdetails!K271</f>
        <v>0</v>
      </c>
      <c r="E268" s="168">
        <f>BIdetails!M271</f>
        <v>0</v>
      </c>
      <c r="F268" t="e">
        <f>IF(ISERROR(IF(OR(C268="#",C268=0),"",VLOOKUP(C268,'AOP24'!M:M,1,0))),"Not Found",VLOOKUP(C268,'AOP24'!M:M,1,0))</f>
        <v>#N/A</v>
      </c>
      <c r="G268" t="e">
        <f t="shared" si="4"/>
        <v>#N/A</v>
      </c>
    </row>
    <row r="269" spans="1:7" x14ac:dyDescent="0.25">
      <c r="A269">
        <f>BIdetails!G272</f>
        <v>0</v>
      </c>
      <c r="B269">
        <f>BIdetails!H272</f>
        <v>0</v>
      </c>
      <c r="C269">
        <f>BIdetails!J272</f>
        <v>0</v>
      </c>
      <c r="D269">
        <f>BIdetails!K272</f>
        <v>0</v>
      </c>
      <c r="E269" s="168">
        <f>BIdetails!M272</f>
        <v>0</v>
      </c>
      <c r="F269" t="e">
        <f>IF(ISERROR(IF(OR(C269="#",C269=0),"",VLOOKUP(C269,'AOP24'!M:M,1,0))),"Not Found",VLOOKUP(C269,'AOP24'!M:M,1,0))</f>
        <v>#N/A</v>
      </c>
      <c r="G269" t="e">
        <f t="shared" si="4"/>
        <v>#N/A</v>
      </c>
    </row>
    <row r="270" spans="1:7" x14ac:dyDescent="0.25">
      <c r="A270">
        <f>BIdetails!G273</f>
        <v>0</v>
      </c>
      <c r="B270">
        <f>BIdetails!H273</f>
        <v>0</v>
      </c>
      <c r="C270">
        <f>BIdetails!J273</f>
        <v>0</v>
      </c>
      <c r="D270">
        <f>BIdetails!K273</f>
        <v>0</v>
      </c>
      <c r="E270" s="168">
        <f>BIdetails!M273</f>
        <v>0</v>
      </c>
      <c r="F270" t="e">
        <f>IF(ISERROR(IF(OR(C270="#",C270=0),"",VLOOKUP(C270,'AOP24'!M:M,1,0))),"Not Found",VLOOKUP(C270,'AOP24'!M:M,1,0))</f>
        <v>#N/A</v>
      </c>
      <c r="G270" t="e">
        <f t="shared" si="4"/>
        <v>#N/A</v>
      </c>
    </row>
    <row r="271" spans="1:7" x14ac:dyDescent="0.25">
      <c r="A271">
        <f>BIdetails!G274</f>
        <v>0</v>
      </c>
      <c r="B271">
        <f>BIdetails!H274</f>
        <v>0</v>
      </c>
      <c r="C271">
        <f>BIdetails!J274</f>
        <v>0</v>
      </c>
      <c r="D271">
        <f>BIdetails!K274</f>
        <v>0</v>
      </c>
      <c r="E271" s="168">
        <f>BIdetails!M274</f>
        <v>0</v>
      </c>
      <c r="F271" t="e">
        <f>IF(ISERROR(IF(OR(C271="#",C271=0),"",VLOOKUP(C271,'AOP24'!M:M,1,0))),"Not Found",VLOOKUP(C271,'AOP24'!M:M,1,0))</f>
        <v>#N/A</v>
      </c>
      <c r="G271" t="e">
        <f t="shared" si="4"/>
        <v>#N/A</v>
      </c>
    </row>
    <row r="272" spans="1:7" x14ac:dyDescent="0.25">
      <c r="A272">
        <f>BIdetails!G275</f>
        <v>0</v>
      </c>
      <c r="B272">
        <f>BIdetails!H275</f>
        <v>0</v>
      </c>
      <c r="C272">
        <f>BIdetails!J275</f>
        <v>0</v>
      </c>
      <c r="D272">
        <f>BIdetails!K275</f>
        <v>0</v>
      </c>
      <c r="E272" s="168">
        <f>BIdetails!M275</f>
        <v>0</v>
      </c>
      <c r="F272" t="e">
        <f>IF(ISERROR(IF(OR(C272="#",C272=0),"",VLOOKUP(C272,'AOP24'!M:M,1,0))),"Not Found",VLOOKUP(C272,'AOP24'!M:M,1,0))</f>
        <v>#N/A</v>
      </c>
      <c r="G272" t="e">
        <f t="shared" si="4"/>
        <v>#N/A</v>
      </c>
    </row>
    <row r="273" spans="1:7" x14ac:dyDescent="0.25">
      <c r="A273">
        <f>BIdetails!G276</f>
        <v>0</v>
      </c>
      <c r="B273">
        <f>BIdetails!H276</f>
        <v>0</v>
      </c>
      <c r="C273">
        <f>BIdetails!J276</f>
        <v>0</v>
      </c>
      <c r="D273">
        <f>BIdetails!K276</f>
        <v>0</v>
      </c>
      <c r="E273" s="168">
        <f>BIdetails!M276</f>
        <v>0</v>
      </c>
      <c r="F273" t="e">
        <f>IF(ISERROR(IF(OR(C273="#",C273=0),"",VLOOKUP(C273,'AOP24'!M:M,1,0))),"Not Found",VLOOKUP(C273,'AOP24'!M:M,1,0))</f>
        <v>#N/A</v>
      </c>
      <c r="G273" t="e">
        <f t="shared" si="4"/>
        <v>#N/A</v>
      </c>
    </row>
    <row r="274" spans="1:7" x14ac:dyDescent="0.25">
      <c r="A274">
        <f>BIdetails!G277</f>
        <v>0</v>
      </c>
      <c r="B274">
        <f>BIdetails!H277</f>
        <v>0</v>
      </c>
      <c r="C274">
        <f>BIdetails!J277</f>
        <v>0</v>
      </c>
      <c r="D274">
        <f>BIdetails!K277</f>
        <v>0</v>
      </c>
      <c r="E274" s="168">
        <f>BIdetails!M277</f>
        <v>0</v>
      </c>
      <c r="F274" t="e">
        <f>IF(ISERROR(IF(OR(C274="#",C274=0),"",VLOOKUP(C274,'AOP24'!M:M,1,0))),"Not Found",VLOOKUP(C274,'AOP24'!M:M,1,0))</f>
        <v>#N/A</v>
      </c>
      <c r="G274" t="e">
        <f t="shared" si="4"/>
        <v>#N/A</v>
      </c>
    </row>
    <row r="275" spans="1:7" x14ac:dyDescent="0.25">
      <c r="A275">
        <f>BIdetails!G278</f>
        <v>0</v>
      </c>
      <c r="B275">
        <f>BIdetails!H278</f>
        <v>0</v>
      </c>
      <c r="C275">
        <f>BIdetails!J278</f>
        <v>0</v>
      </c>
      <c r="D275">
        <f>BIdetails!K278</f>
        <v>0</v>
      </c>
      <c r="E275" s="168">
        <f>BIdetails!M278</f>
        <v>0</v>
      </c>
      <c r="F275" t="e">
        <f>IF(ISERROR(IF(OR(C275="#",C275=0),"",VLOOKUP(C275,'AOP24'!M:M,1,0))),"Not Found",VLOOKUP(C275,'AOP24'!M:M,1,0))</f>
        <v>#N/A</v>
      </c>
      <c r="G275" t="e">
        <f t="shared" si="4"/>
        <v>#N/A</v>
      </c>
    </row>
    <row r="276" spans="1:7" x14ac:dyDescent="0.25">
      <c r="A276">
        <f>BIdetails!G279</f>
        <v>0</v>
      </c>
      <c r="B276">
        <f>BIdetails!H279</f>
        <v>0</v>
      </c>
      <c r="C276">
        <f>BIdetails!J279</f>
        <v>0</v>
      </c>
      <c r="D276">
        <f>BIdetails!K279</f>
        <v>0</v>
      </c>
      <c r="E276" s="168">
        <f>BIdetails!M279</f>
        <v>0</v>
      </c>
      <c r="F276" t="e">
        <f>IF(ISERROR(IF(OR(C276="#",C276=0),"",VLOOKUP(C276,'AOP24'!M:M,1,0))),"Not Found",VLOOKUP(C276,'AOP24'!M:M,1,0))</f>
        <v>#N/A</v>
      </c>
      <c r="G276" t="e">
        <f t="shared" si="4"/>
        <v>#N/A</v>
      </c>
    </row>
    <row r="277" spans="1:7" x14ac:dyDescent="0.25">
      <c r="A277">
        <f>BIdetails!G280</f>
        <v>0</v>
      </c>
      <c r="B277">
        <f>BIdetails!H280</f>
        <v>0</v>
      </c>
      <c r="C277">
        <f>BIdetails!J280</f>
        <v>0</v>
      </c>
      <c r="D277">
        <f>BIdetails!K280</f>
        <v>0</v>
      </c>
      <c r="E277" s="168">
        <f>BIdetails!M280</f>
        <v>0</v>
      </c>
      <c r="F277" t="e">
        <f>IF(ISERROR(IF(OR(C277="#",C277=0),"",VLOOKUP(C277,'AOP24'!M:M,1,0))),"Not Found",VLOOKUP(C277,'AOP24'!M:M,1,0))</f>
        <v>#N/A</v>
      </c>
      <c r="G277" t="e">
        <f t="shared" si="4"/>
        <v>#N/A</v>
      </c>
    </row>
    <row r="278" spans="1:7" x14ac:dyDescent="0.25">
      <c r="A278">
        <f>BIdetails!G281</f>
        <v>0</v>
      </c>
      <c r="B278">
        <f>BIdetails!H281</f>
        <v>0</v>
      </c>
      <c r="C278">
        <f>BIdetails!J281</f>
        <v>0</v>
      </c>
      <c r="D278">
        <f>BIdetails!K281</f>
        <v>0</v>
      </c>
      <c r="E278" s="168">
        <f>BIdetails!M281</f>
        <v>0</v>
      </c>
      <c r="F278" t="e">
        <f>IF(ISERROR(IF(OR(C278="#",C278=0),"",VLOOKUP(C278,'AOP24'!M:M,1,0))),"Not Found",VLOOKUP(C278,'AOP24'!M:M,1,0))</f>
        <v>#N/A</v>
      </c>
      <c r="G278" t="e">
        <f t="shared" si="4"/>
        <v>#N/A</v>
      </c>
    </row>
    <row r="279" spans="1:7" x14ac:dyDescent="0.25">
      <c r="A279">
        <f>BIdetails!G282</f>
        <v>0</v>
      </c>
      <c r="B279">
        <f>BIdetails!H282</f>
        <v>0</v>
      </c>
      <c r="C279">
        <f>BIdetails!J282</f>
        <v>0</v>
      </c>
      <c r="D279">
        <f>BIdetails!K282</f>
        <v>0</v>
      </c>
      <c r="E279" s="168">
        <f>BIdetails!M282</f>
        <v>0</v>
      </c>
      <c r="F279" t="e">
        <f>IF(ISERROR(IF(OR(C279="#",C279=0),"",VLOOKUP(C279,'AOP24'!M:M,1,0))),"Not Found",VLOOKUP(C279,'AOP24'!M:M,1,0))</f>
        <v>#N/A</v>
      </c>
      <c r="G279" t="e">
        <f t="shared" si="4"/>
        <v>#N/A</v>
      </c>
    </row>
    <row r="280" spans="1:7" x14ac:dyDescent="0.25">
      <c r="A280">
        <f>BIdetails!G283</f>
        <v>0</v>
      </c>
      <c r="B280">
        <f>BIdetails!H283</f>
        <v>0</v>
      </c>
      <c r="C280">
        <f>BIdetails!J283</f>
        <v>0</v>
      </c>
      <c r="D280">
        <f>BIdetails!K283</f>
        <v>0</v>
      </c>
      <c r="E280" s="168">
        <f>BIdetails!M283</f>
        <v>0</v>
      </c>
      <c r="F280" t="e">
        <f>IF(ISERROR(IF(OR(C280="#",C280=0),"",VLOOKUP(C280,'AOP24'!M:M,1,0))),"Not Found",VLOOKUP(C280,'AOP24'!M:M,1,0))</f>
        <v>#N/A</v>
      </c>
      <c r="G280" t="e">
        <f t="shared" si="4"/>
        <v>#N/A</v>
      </c>
    </row>
    <row r="281" spans="1:7" x14ac:dyDescent="0.25">
      <c r="A281">
        <f>BIdetails!G284</f>
        <v>0</v>
      </c>
      <c r="B281">
        <f>BIdetails!H284</f>
        <v>0</v>
      </c>
      <c r="C281">
        <f>BIdetails!J284</f>
        <v>0</v>
      </c>
      <c r="D281">
        <f>BIdetails!K284</f>
        <v>0</v>
      </c>
      <c r="E281" s="168">
        <f>BIdetails!M284</f>
        <v>0</v>
      </c>
      <c r="F281" t="e">
        <f>IF(ISERROR(IF(OR(C281="#",C281=0),"",VLOOKUP(C281,'AOP24'!M:M,1,0))),"Not Found",VLOOKUP(C281,'AOP24'!M:M,1,0))</f>
        <v>#N/A</v>
      </c>
      <c r="G281" t="e">
        <f t="shared" si="4"/>
        <v>#N/A</v>
      </c>
    </row>
    <row r="282" spans="1:7" x14ac:dyDescent="0.25">
      <c r="A282">
        <f>BIdetails!G285</f>
        <v>0</v>
      </c>
      <c r="B282">
        <f>BIdetails!H285</f>
        <v>0</v>
      </c>
      <c r="C282">
        <f>BIdetails!J285</f>
        <v>0</v>
      </c>
      <c r="D282">
        <f>BIdetails!K285</f>
        <v>0</v>
      </c>
      <c r="E282" s="168">
        <f>BIdetails!M285</f>
        <v>0</v>
      </c>
      <c r="F282" t="e">
        <f>IF(ISERROR(IF(OR(C282="#",C282=0),"",VLOOKUP(C282,'AOP24'!M:M,1,0))),"Not Found",VLOOKUP(C282,'AOP24'!M:M,1,0))</f>
        <v>#N/A</v>
      </c>
      <c r="G282" t="e">
        <f t="shared" si="4"/>
        <v>#N/A</v>
      </c>
    </row>
    <row r="283" spans="1:7" x14ac:dyDescent="0.25">
      <c r="A283">
        <f>BIdetails!G286</f>
        <v>0</v>
      </c>
      <c r="B283">
        <f>BIdetails!H286</f>
        <v>0</v>
      </c>
      <c r="C283">
        <f>BIdetails!J286</f>
        <v>0</v>
      </c>
      <c r="D283">
        <f>BIdetails!K286</f>
        <v>0</v>
      </c>
      <c r="E283" s="168">
        <f>BIdetails!M286</f>
        <v>0</v>
      </c>
      <c r="F283" t="e">
        <f>IF(ISERROR(IF(OR(C283="#",C283=0),"",VLOOKUP(C283,'AOP24'!M:M,1,0))),"Not Found",VLOOKUP(C283,'AOP24'!M:M,1,0))</f>
        <v>#N/A</v>
      </c>
      <c r="G283" t="e">
        <f t="shared" si="4"/>
        <v>#N/A</v>
      </c>
    </row>
    <row r="284" spans="1:7" x14ac:dyDescent="0.25">
      <c r="A284">
        <f>BIdetails!G287</f>
        <v>0</v>
      </c>
      <c r="B284">
        <f>BIdetails!H287</f>
        <v>0</v>
      </c>
      <c r="C284">
        <f>BIdetails!J287</f>
        <v>0</v>
      </c>
      <c r="D284">
        <f>BIdetails!K287</f>
        <v>0</v>
      </c>
      <c r="E284" s="168">
        <f>BIdetails!M287</f>
        <v>0</v>
      </c>
      <c r="F284" t="e">
        <f>IF(ISERROR(IF(OR(C284="#",C284=0),"",VLOOKUP(C284,'AOP24'!M:M,1,0))),"Not Found",VLOOKUP(C284,'AOP24'!M:M,1,0))</f>
        <v>#N/A</v>
      </c>
      <c r="G284" t="e">
        <f t="shared" si="4"/>
        <v>#N/A</v>
      </c>
    </row>
    <row r="285" spans="1:7" x14ac:dyDescent="0.25">
      <c r="A285">
        <f>BIdetails!G288</f>
        <v>0</v>
      </c>
      <c r="B285">
        <f>BIdetails!H288</f>
        <v>0</v>
      </c>
      <c r="C285">
        <f>BIdetails!J288</f>
        <v>0</v>
      </c>
      <c r="D285">
        <f>BIdetails!K288</f>
        <v>0</v>
      </c>
      <c r="E285" s="168">
        <f>BIdetails!M288</f>
        <v>0</v>
      </c>
      <c r="F285" t="e">
        <f>IF(ISERROR(IF(OR(C285="#",C285=0),"",VLOOKUP(C285,'AOP24'!M:M,1,0))),"Not Found",VLOOKUP(C285,'AOP24'!M:M,1,0))</f>
        <v>#N/A</v>
      </c>
      <c r="G285" t="e">
        <f t="shared" si="4"/>
        <v>#N/A</v>
      </c>
    </row>
    <row r="286" spans="1:7" x14ac:dyDescent="0.25">
      <c r="A286">
        <f>BIdetails!G289</f>
        <v>0</v>
      </c>
      <c r="B286">
        <f>BIdetails!H289</f>
        <v>0</v>
      </c>
      <c r="C286">
        <f>BIdetails!J289</f>
        <v>0</v>
      </c>
      <c r="D286">
        <f>BIdetails!K289</f>
        <v>0</v>
      </c>
      <c r="E286" s="168">
        <f>BIdetails!M289</f>
        <v>0</v>
      </c>
      <c r="F286" t="e">
        <f>IF(ISERROR(IF(OR(C286="#",C286=0),"",VLOOKUP(C286,'AOP24'!M:M,1,0))),"Not Found",VLOOKUP(C286,'AOP24'!M:M,1,0))</f>
        <v>#N/A</v>
      </c>
      <c r="G286" t="e">
        <f t="shared" si="4"/>
        <v>#N/A</v>
      </c>
    </row>
    <row r="287" spans="1:7" x14ac:dyDescent="0.25">
      <c r="A287">
        <f>BIdetails!G290</f>
        <v>0</v>
      </c>
      <c r="B287">
        <f>BIdetails!H290</f>
        <v>0</v>
      </c>
      <c r="C287">
        <f>BIdetails!J290</f>
        <v>0</v>
      </c>
      <c r="D287">
        <f>BIdetails!K290</f>
        <v>0</v>
      </c>
      <c r="E287" s="168">
        <f>BIdetails!M290</f>
        <v>0</v>
      </c>
      <c r="F287" t="e">
        <f>IF(ISERROR(IF(OR(C287="#",C287=0),"",VLOOKUP(C287,'AOP24'!M:M,1,0))),"Not Found",VLOOKUP(C287,'AOP24'!M:M,1,0))</f>
        <v>#N/A</v>
      </c>
      <c r="G287" t="e">
        <f t="shared" si="4"/>
        <v>#N/A</v>
      </c>
    </row>
    <row r="288" spans="1:7" x14ac:dyDescent="0.25">
      <c r="A288">
        <f>BIdetails!G291</f>
        <v>0</v>
      </c>
      <c r="B288">
        <f>BIdetails!H291</f>
        <v>0</v>
      </c>
      <c r="C288">
        <f>BIdetails!J291</f>
        <v>0</v>
      </c>
      <c r="D288">
        <f>BIdetails!K291</f>
        <v>0</v>
      </c>
      <c r="E288" s="168">
        <f>BIdetails!M291</f>
        <v>0</v>
      </c>
      <c r="F288" t="e">
        <f>IF(ISERROR(IF(OR(C288="#",C288=0),"",VLOOKUP(C288,'AOP24'!M:M,1,0))),"Not Found",VLOOKUP(C288,'AOP24'!M:M,1,0))</f>
        <v>#N/A</v>
      </c>
      <c r="G288" t="e">
        <f t="shared" si="4"/>
        <v>#N/A</v>
      </c>
    </row>
    <row r="289" spans="1:7" x14ac:dyDescent="0.25">
      <c r="A289">
        <f>BIdetails!G292</f>
        <v>0</v>
      </c>
      <c r="B289">
        <f>BIdetails!H292</f>
        <v>0</v>
      </c>
      <c r="C289">
        <f>BIdetails!J292</f>
        <v>0</v>
      </c>
      <c r="D289">
        <f>BIdetails!K292</f>
        <v>0</v>
      </c>
      <c r="E289" s="168">
        <f>BIdetails!M292</f>
        <v>0</v>
      </c>
      <c r="F289" t="e">
        <f>IF(ISERROR(IF(OR(C289="#",C289=0),"",VLOOKUP(C289,'AOP24'!M:M,1,0))),"Not Found",VLOOKUP(C289,'AOP24'!M:M,1,0))</f>
        <v>#N/A</v>
      </c>
      <c r="G289" t="e">
        <f t="shared" si="4"/>
        <v>#N/A</v>
      </c>
    </row>
    <row r="290" spans="1:7" x14ac:dyDescent="0.25">
      <c r="A290">
        <f>BIdetails!G293</f>
        <v>0</v>
      </c>
      <c r="B290">
        <f>BIdetails!H293</f>
        <v>0</v>
      </c>
      <c r="C290">
        <f>BIdetails!J293</f>
        <v>0</v>
      </c>
      <c r="D290">
        <f>BIdetails!K293</f>
        <v>0</v>
      </c>
      <c r="E290" s="168">
        <f>BIdetails!M293</f>
        <v>0</v>
      </c>
      <c r="F290" t="e">
        <f>IF(ISERROR(IF(OR(C290="#",C290=0),"",VLOOKUP(C290,'AOP24'!M:M,1,0))),"Not Found",VLOOKUP(C290,'AOP24'!M:M,1,0))</f>
        <v>#N/A</v>
      </c>
      <c r="G290" t="e">
        <f t="shared" si="4"/>
        <v>#N/A</v>
      </c>
    </row>
    <row r="291" spans="1:7" x14ac:dyDescent="0.25">
      <c r="A291">
        <f>BIdetails!G294</f>
        <v>0</v>
      </c>
      <c r="B291">
        <f>BIdetails!H294</f>
        <v>0</v>
      </c>
      <c r="C291">
        <f>BIdetails!J294</f>
        <v>0</v>
      </c>
      <c r="D291">
        <f>BIdetails!K294</f>
        <v>0</v>
      </c>
      <c r="E291" s="168">
        <f>BIdetails!M294</f>
        <v>0</v>
      </c>
      <c r="F291" t="e">
        <f>IF(ISERROR(IF(OR(C291="#",C291=0),"",VLOOKUP(C291,'AOP24'!M:M,1,0))),"Not Found",VLOOKUP(C291,'AOP24'!M:M,1,0))</f>
        <v>#N/A</v>
      </c>
      <c r="G291" t="e">
        <f t="shared" si="4"/>
        <v>#N/A</v>
      </c>
    </row>
    <row r="292" spans="1:7" x14ac:dyDescent="0.25">
      <c r="A292">
        <f>BIdetails!G295</f>
        <v>0</v>
      </c>
      <c r="B292">
        <f>BIdetails!H295</f>
        <v>0</v>
      </c>
      <c r="C292">
        <f>BIdetails!J295</f>
        <v>0</v>
      </c>
      <c r="D292">
        <f>BIdetails!K295</f>
        <v>0</v>
      </c>
      <c r="E292" s="168">
        <f>BIdetails!M295</f>
        <v>0</v>
      </c>
      <c r="F292" t="e">
        <f>IF(ISERROR(IF(OR(C292="#",C292=0),"",VLOOKUP(C292,'AOP24'!M:M,1,0))),"Not Found",VLOOKUP(C292,'AOP24'!M:M,1,0))</f>
        <v>#N/A</v>
      </c>
      <c r="G292" t="e">
        <f t="shared" si="4"/>
        <v>#N/A</v>
      </c>
    </row>
    <row r="293" spans="1:7" x14ac:dyDescent="0.25">
      <c r="A293">
        <f>BIdetails!G296</f>
        <v>0</v>
      </c>
      <c r="B293">
        <f>BIdetails!H296</f>
        <v>0</v>
      </c>
      <c r="C293">
        <f>BIdetails!J296</f>
        <v>0</v>
      </c>
      <c r="D293">
        <f>BIdetails!K296</f>
        <v>0</v>
      </c>
      <c r="E293" s="168">
        <f>BIdetails!M296</f>
        <v>0</v>
      </c>
      <c r="F293" t="e">
        <f>IF(ISERROR(IF(OR(C293="#",C293=0),"",VLOOKUP(C293,'AOP24'!M:M,1,0))),"Not Found",VLOOKUP(C293,'AOP24'!M:M,1,0))</f>
        <v>#N/A</v>
      </c>
      <c r="G293" t="e">
        <f t="shared" si="4"/>
        <v>#N/A</v>
      </c>
    </row>
    <row r="294" spans="1:7" x14ac:dyDescent="0.25">
      <c r="A294">
        <f>BIdetails!G297</f>
        <v>0</v>
      </c>
      <c r="B294">
        <f>BIdetails!H297</f>
        <v>0</v>
      </c>
      <c r="C294">
        <f>BIdetails!J297</f>
        <v>0</v>
      </c>
      <c r="D294">
        <f>BIdetails!K297</f>
        <v>0</v>
      </c>
      <c r="E294" s="168">
        <f>BIdetails!M297</f>
        <v>0</v>
      </c>
      <c r="F294" t="e">
        <f>IF(ISERROR(IF(OR(C294="#",C294=0),"",VLOOKUP(C294,'AOP24'!M:M,1,0))),"Not Found",VLOOKUP(C294,'AOP24'!M:M,1,0))</f>
        <v>#N/A</v>
      </c>
      <c r="G294" t="e">
        <f t="shared" si="4"/>
        <v>#N/A</v>
      </c>
    </row>
    <row r="295" spans="1:7" x14ac:dyDescent="0.25">
      <c r="A295">
        <f>BIdetails!G298</f>
        <v>0</v>
      </c>
      <c r="B295">
        <f>BIdetails!H298</f>
        <v>0</v>
      </c>
      <c r="C295">
        <f>BIdetails!J298</f>
        <v>0</v>
      </c>
      <c r="D295">
        <f>BIdetails!K298</f>
        <v>0</v>
      </c>
      <c r="E295" s="168">
        <f>BIdetails!M298</f>
        <v>0</v>
      </c>
      <c r="F295" t="e">
        <f>IF(ISERROR(IF(OR(C295="#",C295=0),"",VLOOKUP(C295,'AOP24'!M:M,1,0))),"Not Found",VLOOKUP(C295,'AOP24'!M:M,1,0))</f>
        <v>#N/A</v>
      </c>
      <c r="G295" t="e">
        <f t="shared" si="4"/>
        <v>#N/A</v>
      </c>
    </row>
    <row r="296" spans="1:7" x14ac:dyDescent="0.25">
      <c r="A296">
        <f>BIdetails!G299</f>
        <v>0</v>
      </c>
      <c r="B296">
        <f>BIdetails!H299</f>
        <v>0</v>
      </c>
      <c r="C296">
        <f>BIdetails!J299</f>
        <v>0</v>
      </c>
      <c r="D296">
        <f>BIdetails!K299</f>
        <v>0</v>
      </c>
      <c r="E296" s="168">
        <f>BIdetails!M299</f>
        <v>0</v>
      </c>
      <c r="F296" t="e">
        <f>IF(ISERROR(IF(OR(C296="#",C296=0),"",VLOOKUP(C296,'AOP24'!M:M,1,0))),"Not Found",VLOOKUP(C296,'AOP24'!M:M,1,0))</f>
        <v>#N/A</v>
      </c>
      <c r="G296" t="e">
        <f t="shared" si="4"/>
        <v>#N/A</v>
      </c>
    </row>
    <row r="297" spans="1:7" x14ac:dyDescent="0.25">
      <c r="A297">
        <f>BIdetails!G300</f>
        <v>0</v>
      </c>
      <c r="B297">
        <f>BIdetails!H300</f>
        <v>0</v>
      </c>
      <c r="C297">
        <f>BIdetails!J300</f>
        <v>0</v>
      </c>
      <c r="D297">
        <f>BIdetails!K300</f>
        <v>0</v>
      </c>
      <c r="E297" s="168">
        <f>BIdetails!M300</f>
        <v>0</v>
      </c>
      <c r="F297" t="e">
        <f>IF(ISERROR(IF(OR(C297="#",C297=0),"",VLOOKUP(C297,'AOP24'!M:M,1,0))),"Not Found",VLOOKUP(C297,'AOP24'!M:M,1,0))</f>
        <v>#N/A</v>
      </c>
      <c r="G297" t="e">
        <f t="shared" si="4"/>
        <v>#N/A</v>
      </c>
    </row>
    <row r="298" spans="1:7" x14ac:dyDescent="0.25">
      <c r="A298">
        <f>BIdetails!G301</f>
        <v>0</v>
      </c>
      <c r="B298">
        <f>BIdetails!H301</f>
        <v>0</v>
      </c>
      <c r="C298">
        <f>BIdetails!J301</f>
        <v>0</v>
      </c>
      <c r="D298">
        <f>BIdetails!K301</f>
        <v>0</v>
      </c>
      <c r="E298" s="168">
        <f>BIdetails!M301</f>
        <v>0</v>
      </c>
      <c r="F298" t="e">
        <f>IF(ISERROR(IF(OR(C298="#",C298=0),"",VLOOKUP(C298,'AOP24'!M:M,1,0))),"Not Found",VLOOKUP(C298,'AOP24'!M:M,1,0))</f>
        <v>#N/A</v>
      </c>
      <c r="G298" t="e">
        <f t="shared" si="4"/>
        <v>#N/A</v>
      </c>
    </row>
    <row r="299" spans="1:7" x14ac:dyDescent="0.25">
      <c r="A299">
        <f>BIdetails!G302</f>
        <v>0</v>
      </c>
      <c r="B299">
        <f>BIdetails!H302</f>
        <v>0</v>
      </c>
      <c r="C299">
        <f>BIdetails!J302</f>
        <v>0</v>
      </c>
      <c r="D299">
        <f>BIdetails!K302</f>
        <v>0</v>
      </c>
      <c r="E299" s="168">
        <f>BIdetails!M302</f>
        <v>0</v>
      </c>
      <c r="F299" t="e">
        <f>IF(ISERROR(IF(OR(C299="#",C299=0),"",VLOOKUP(C299,'AOP24'!M:M,1,0))),"Not Found",VLOOKUP(C299,'AOP24'!M:M,1,0))</f>
        <v>#N/A</v>
      </c>
      <c r="G299" t="e">
        <f t="shared" si="4"/>
        <v>#N/A</v>
      </c>
    </row>
    <row r="300" spans="1:7" x14ac:dyDescent="0.25">
      <c r="A300">
        <f>BIdetails!G303</f>
        <v>0</v>
      </c>
      <c r="B300">
        <f>BIdetails!H303</f>
        <v>0</v>
      </c>
      <c r="C300">
        <f>BIdetails!J303</f>
        <v>0</v>
      </c>
      <c r="D300">
        <f>BIdetails!K303</f>
        <v>0</v>
      </c>
      <c r="E300" s="168">
        <f>BIdetails!M303</f>
        <v>0</v>
      </c>
      <c r="F300" t="e">
        <f>IF(ISERROR(IF(OR(C300="#",C300=0),"",VLOOKUP(C300,'AOP24'!M:M,1,0))),"Not Found",VLOOKUP(C300,'AOP24'!M:M,1,0))</f>
        <v>#N/A</v>
      </c>
      <c r="G300" t="e">
        <f t="shared" si="4"/>
        <v>#N/A</v>
      </c>
    </row>
    <row r="301" spans="1:7" x14ac:dyDescent="0.25">
      <c r="A301">
        <f>BIdetails!G304</f>
        <v>0</v>
      </c>
      <c r="B301">
        <f>BIdetails!H304</f>
        <v>0</v>
      </c>
      <c r="C301">
        <f>BIdetails!J304</f>
        <v>0</v>
      </c>
      <c r="D301">
        <f>BIdetails!K304</f>
        <v>0</v>
      </c>
      <c r="E301" s="168">
        <f>BIdetails!M304</f>
        <v>0</v>
      </c>
      <c r="F301" t="e">
        <f>IF(ISERROR(IF(OR(C301="#",C301=0),"",VLOOKUP(C301,'AOP24'!M:M,1,0))),"Not Found",VLOOKUP(C301,'AOP24'!M:M,1,0))</f>
        <v>#N/A</v>
      </c>
      <c r="G301" t="e">
        <f t="shared" si="4"/>
        <v>#N/A</v>
      </c>
    </row>
    <row r="302" spans="1:7" x14ac:dyDescent="0.25">
      <c r="A302">
        <f>BIdetails!G305</f>
        <v>0</v>
      </c>
      <c r="B302">
        <f>BIdetails!H305</f>
        <v>0</v>
      </c>
      <c r="C302">
        <f>BIdetails!J305</f>
        <v>0</v>
      </c>
      <c r="D302">
        <f>BIdetails!K305</f>
        <v>0</v>
      </c>
      <c r="E302" s="168">
        <f>BIdetails!M305</f>
        <v>0</v>
      </c>
      <c r="F302" t="e">
        <f>IF(ISERROR(IF(OR(C302="#",C302=0),"",VLOOKUP(C302,'AOP24'!M:M,1,0))),"Not Found",VLOOKUP(C302,'AOP24'!M:M,1,0))</f>
        <v>#N/A</v>
      </c>
      <c r="G302" t="e">
        <f t="shared" si="4"/>
        <v>#N/A</v>
      </c>
    </row>
    <row r="303" spans="1:7" x14ac:dyDescent="0.25">
      <c r="A303">
        <f>BIdetails!G306</f>
        <v>0</v>
      </c>
      <c r="B303">
        <f>BIdetails!H306</f>
        <v>0</v>
      </c>
      <c r="C303">
        <f>BIdetails!J306</f>
        <v>0</v>
      </c>
      <c r="D303">
        <f>BIdetails!K306</f>
        <v>0</v>
      </c>
      <c r="E303" s="168">
        <f>BIdetails!M306</f>
        <v>0</v>
      </c>
      <c r="F303" t="e">
        <f>IF(ISERROR(IF(OR(C303="#",C303=0),"",VLOOKUP(C303,'AOP24'!M:M,1,0))),"Not Found",VLOOKUP(C303,'AOP24'!M:M,1,0))</f>
        <v>#N/A</v>
      </c>
      <c r="G303" t="e">
        <f t="shared" si="4"/>
        <v>#N/A</v>
      </c>
    </row>
    <row r="304" spans="1:7" x14ac:dyDescent="0.25">
      <c r="A304">
        <f>BIdetails!G307</f>
        <v>0</v>
      </c>
      <c r="B304">
        <f>BIdetails!H307</f>
        <v>0</v>
      </c>
      <c r="C304">
        <f>BIdetails!J307</f>
        <v>0</v>
      </c>
      <c r="D304">
        <f>BIdetails!K307</f>
        <v>0</v>
      </c>
      <c r="E304" s="168">
        <f>BIdetails!M307</f>
        <v>0</v>
      </c>
      <c r="F304" t="e">
        <f>IF(ISERROR(IF(OR(C304="#",C304=0),"",VLOOKUP(C304,'AOP24'!M:M,1,0))),"Not Found",VLOOKUP(C304,'AOP24'!M:M,1,0))</f>
        <v>#N/A</v>
      </c>
      <c r="G304" t="e">
        <f t="shared" si="4"/>
        <v>#N/A</v>
      </c>
    </row>
    <row r="305" spans="1:7" x14ac:dyDescent="0.25">
      <c r="A305">
        <f>BIdetails!G308</f>
        <v>0</v>
      </c>
      <c r="B305">
        <f>BIdetails!H308</f>
        <v>0</v>
      </c>
      <c r="C305">
        <f>BIdetails!J308</f>
        <v>0</v>
      </c>
      <c r="D305">
        <f>BIdetails!K308</f>
        <v>0</v>
      </c>
      <c r="E305" s="168">
        <f>BIdetails!M308</f>
        <v>0</v>
      </c>
      <c r="F305" t="e">
        <f>IF(ISERROR(IF(OR(C305="#",C305=0),"",VLOOKUP(C305,'AOP24'!M:M,1,0))),"Not Found",VLOOKUP(C305,'AOP24'!M:M,1,0))</f>
        <v>#N/A</v>
      </c>
      <c r="G305" t="e">
        <f t="shared" si="4"/>
        <v>#N/A</v>
      </c>
    </row>
    <row r="306" spans="1:7" x14ac:dyDescent="0.25">
      <c r="A306">
        <f>BIdetails!G309</f>
        <v>0</v>
      </c>
      <c r="B306">
        <f>BIdetails!H309</f>
        <v>0</v>
      </c>
      <c r="C306">
        <f>BIdetails!J309</f>
        <v>0</v>
      </c>
      <c r="D306">
        <f>BIdetails!K309</f>
        <v>0</v>
      </c>
      <c r="E306" s="168">
        <f>BIdetails!M309</f>
        <v>0</v>
      </c>
      <c r="F306" t="e">
        <f>IF(ISERROR(IF(OR(C306="#",C306=0),"",VLOOKUP(C306,'AOP24'!M:M,1,0))),"Not Found",VLOOKUP(C306,'AOP24'!M:M,1,0))</f>
        <v>#N/A</v>
      </c>
      <c r="G306" t="e">
        <f t="shared" si="4"/>
        <v>#N/A</v>
      </c>
    </row>
    <row r="307" spans="1:7" x14ac:dyDescent="0.25">
      <c r="A307">
        <f>BIdetails!G310</f>
        <v>0</v>
      </c>
      <c r="B307">
        <f>BIdetails!H310</f>
        <v>0</v>
      </c>
      <c r="C307">
        <f>BIdetails!J310</f>
        <v>0</v>
      </c>
      <c r="D307">
        <f>BIdetails!K310</f>
        <v>0</v>
      </c>
      <c r="E307" s="168">
        <f>BIdetails!M310</f>
        <v>0</v>
      </c>
      <c r="F307" t="e">
        <f>IF(ISERROR(IF(OR(C307="#",C307=0),"",VLOOKUP(C307,'AOP24'!M:M,1,0))),"Not Found",VLOOKUP(C307,'AOP24'!M:M,1,0))</f>
        <v>#N/A</v>
      </c>
      <c r="G307" t="e">
        <f t="shared" si="4"/>
        <v>#N/A</v>
      </c>
    </row>
    <row r="308" spans="1:7" x14ac:dyDescent="0.25">
      <c r="A308">
        <f>BIdetails!G311</f>
        <v>0</v>
      </c>
      <c r="B308">
        <f>BIdetails!H311</f>
        <v>0</v>
      </c>
      <c r="C308">
        <f>BIdetails!J311</f>
        <v>0</v>
      </c>
      <c r="D308">
        <f>BIdetails!K311</f>
        <v>0</v>
      </c>
      <c r="E308" s="168">
        <f>BIdetails!M311</f>
        <v>0</v>
      </c>
      <c r="F308" t="e">
        <f>IF(ISERROR(IF(OR(C308="#",C308=0),"",VLOOKUP(C308,'AOP24'!M:M,1,0))),"Not Found",VLOOKUP(C308,'AOP24'!M:M,1,0))</f>
        <v>#N/A</v>
      </c>
      <c r="G308" t="e">
        <f t="shared" si="4"/>
        <v>#N/A</v>
      </c>
    </row>
    <row r="309" spans="1:7" x14ac:dyDescent="0.25">
      <c r="A309">
        <f>BIdetails!G312</f>
        <v>0</v>
      </c>
      <c r="B309">
        <f>BIdetails!H312</f>
        <v>0</v>
      </c>
      <c r="C309">
        <f>BIdetails!J312</f>
        <v>0</v>
      </c>
      <c r="D309">
        <f>BIdetails!K312</f>
        <v>0</v>
      </c>
      <c r="E309" s="168">
        <f>BIdetails!M312</f>
        <v>0</v>
      </c>
      <c r="F309" t="e">
        <f>IF(ISERROR(IF(OR(C309="#",C309=0),"",VLOOKUP(C309,'AOP24'!M:M,1,0))),"Not Found",VLOOKUP(C309,'AOP24'!M:M,1,0))</f>
        <v>#N/A</v>
      </c>
      <c r="G309" t="e">
        <f t="shared" si="4"/>
        <v>#N/A</v>
      </c>
    </row>
    <row r="310" spans="1:7" x14ac:dyDescent="0.25">
      <c r="A310">
        <f>BIdetails!G313</f>
        <v>0</v>
      </c>
      <c r="B310">
        <f>BIdetails!H313</f>
        <v>0</v>
      </c>
      <c r="C310">
        <f>BIdetails!J313</f>
        <v>0</v>
      </c>
      <c r="D310">
        <f>BIdetails!K313</f>
        <v>0</v>
      </c>
      <c r="E310" s="168">
        <f>BIdetails!M313</f>
        <v>0</v>
      </c>
      <c r="F310" t="e">
        <f>IF(ISERROR(IF(OR(C310="#",C310=0),"",VLOOKUP(C310,'AOP24'!M:M,1,0))),"Not Found",VLOOKUP(C310,'AOP24'!M:M,1,0))</f>
        <v>#N/A</v>
      </c>
      <c r="G310" t="e">
        <f t="shared" si="4"/>
        <v>#N/A</v>
      </c>
    </row>
    <row r="311" spans="1:7" x14ac:dyDescent="0.25">
      <c r="A311">
        <f>BIdetails!G314</f>
        <v>0</v>
      </c>
      <c r="B311">
        <f>BIdetails!H314</f>
        <v>0</v>
      </c>
      <c r="C311">
        <f>BIdetails!J314</f>
        <v>0</v>
      </c>
      <c r="D311">
        <f>BIdetails!K314</f>
        <v>0</v>
      </c>
      <c r="E311" s="168">
        <f>BIdetails!M314</f>
        <v>0</v>
      </c>
      <c r="F311" t="e">
        <f>IF(ISERROR(IF(OR(C311="#",C311=0),"",VLOOKUP(C311,'AOP24'!M:M,1,0))),"Not Found",VLOOKUP(C311,'AOP24'!M:M,1,0))</f>
        <v>#N/A</v>
      </c>
      <c r="G311" t="e">
        <f t="shared" si="4"/>
        <v>#N/A</v>
      </c>
    </row>
    <row r="312" spans="1:7" x14ac:dyDescent="0.25">
      <c r="A312">
        <f>BIdetails!G315</f>
        <v>0</v>
      </c>
      <c r="B312">
        <f>BIdetails!H315</f>
        <v>0</v>
      </c>
      <c r="C312">
        <f>BIdetails!J315</f>
        <v>0</v>
      </c>
      <c r="D312">
        <f>BIdetails!K315</f>
        <v>0</v>
      </c>
      <c r="E312" s="168">
        <f>BIdetails!M315</f>
        <v>0</v>
      </c>
      <c r="F312" t="e">
        <f>IF(ISERROR(IF(OR(C312="#",C312=0),"",VLOOKUP(C312,'AOP24'!M:M,1,0))),"Not Found",VLOOKUP(C312,'AOP24'!M:M,1,0))</f>
        <v>#N/A</v>
      </c>
      <c r="G312" t="e">
        <f t="shared" si="4"/>
        <v>#N/A</v>
      </c>
    </row>
    <row r="313" spans="1:7" x14ac:dyDescent="0.25">
      <c r="A313">
        <f>BIdetails!G316</f>
        <v>0</v>
      </c>
      <c r="B313">
        <f>BIdetails!H316</f>
        <v>0</v>
      </c>
      <c r="C313">
        <f>BIdetails!J316</f>
        <v>0</v>
      </c>
      <c r="D313">
        <f>BIdetails!K316</f>
        <v>0</v>
      </c>
      <c r="E313" s="168">
        <f>BIdetails!M316</f>
        <v>0</v>
      </c>
      <c r="F313" t="e">
        <f>IF(ISERROR(IF(OR(C313="#",C313=0),"",VLOOKUP(C313,'AOP24'!M:M,1,0))),"Not Found",VLOOKUP(C313,'AOP24'!M:M,1,0))</f>
        <v>#N/A</v>
      </c>
      <c r="G313" t="e">
        <f t="shared" si="4"/>
        <v>#N/A</v>
      </c>
    </row>
    <row r="314" spans="1:7" x14ac:dyDescent="0.25">
      <c r="A314">
        <f>BIdetails!G317</f>
        <v>0</v>
      </c>
      <c r="B314">
        <f>BIdetails!H317</f>
        <v>0</v>
      </c>
      <c r="C314">
        <f>BIdetails!J317</f>
        <v>0</v>
      </c>
      <c r="D314">
        <f>BIdetails!K317</f>
        <v>0</v>
      </c>
      <c r="E314" s="168">
        <f>BIdetails!M317</f>
        <v>0</v>
      </c>
      <c r="F314" t="e">
        <f>IF(ISERROR(IF(OR(C314="#",C314=0),"",VLOOKUP(C314,'AOP24'!M:M,1,0))),"Not Found",VLOOKUP(C314,'AOP24'!M:M,1,0))</f>
        <v>#N/A</v>
      </c>
      <c r="G314" t="e">
        <f t="shared" si="4"/>
        <v>#N/A</v>
      </c>
    </row>
    <row r="315" spans="1:7" x14ac:dyDescent="0.25">
      <c r="A315">
        <f>BIdetails!G318</f>
        <v>0</v>
      </c>
      <c r="B315">
        <f>BIdetails!H318</f>
        <v>0</v>
      </c>
      <c r="C315">
        <f>BIdetails!J318</f>
        <v>0</v>
      </c>
      <c r="D315">
        <f>BIdetails!K318</f>
        <v>0</v>
      </c>
      <c r="E315" s="168">
        <f>BIdetails!M318</f>
        <v>0</v>
      </c>
      <c r="F315" t="e">
        <f>IF(ISERROR(IF(OR(C315="#",C315=0),"",VLOOKUP(C315,'AOP24'!M:M,1,0))),"Not Found",VLOOKUP(C315,'AOP24'!M:M,1,0))</f>
        <v>#N/A</v>
      </c>
      <c r="G315" t="e">
        <f t="shared" si="4"/>
        <v>#N/A</v>
      </c>
    </row>
    <row r="316" spans="1:7" x14ac:dyDescent="0.25">
      <c r="A316">
        <f>BIdetails!G319</f>
        <v>0</v>
      </c>
      <c r="B316">
        <f>BIdetails!H319</f>
        <v>0</v>
      </c>
      <c r="C316">
        <f>BIdetails!J319</f>
        <v>0</v>
      </c>
      <c r="D316">
        <f>BIdetails!K319</f>
        <v>0</v>
      </c>
      <c r="E316" s="168">
        <f>BIdetails!M319</f>
        <v>0</v>
      </c>
      <c r="F316" t="e">
        <f>IF(ISERROR(IF(OR(C316="#",C316=0),"",VLOOKUP(C316,'AOP24'!M:M,1,0))),"Not Found",VLOOKUP(C316,'AOP24'!M:M,1,0))</f>
        <v>#N/A</v>
      </c>
      <c r="G316" t="e">
        <f t="shared" si="4"/>
        <v>#N/A</v>
      </c>
    </row>
    <row r="317" spans="1:7" x14ac:dyDescent="0.25">
      <c r="A317">
        <f>BIdetails!G320</f>
        <v>0</v>
      </c>
      <c r="B317">
        <f>BIdetails!H320</f>
        <v>0</v>
      </c>
      <c r="C317">
        <f>BIdetails!J320</f>
        <v>0</v>
      </c>
      <c r="D317">
        <f>BIdetails!K320</f>
        <v>0</v>
      </c>
      <c r="E317" s="168">
        <f>BIdetails!M320</f>
        <v>0</v>
      </c>
      <c r="F317" t="e">
        <f>IF(ISERROR(IF(OR(C317="#",C317=0),"",VLOOKUP(C317,'AOP24'!M:M,1,0))),"Not Found",VLOOKUP(C317,'AOP24'!M:M,1,0))</f>
        <v>#N/A</v>
      </c>
      <c r="G317" t="e">
        <f t="shared" si="4"/>
        <v>#N/A</v>
      </c>
    </row>
    <row r="318" spans="1:7" x14ac:dyDescent="0.25">
      <c r="A318">
        <f>BIdetails!G321</f>
        <v>0</v>
      </c>
      <c r="B318">
        <f>BIdetails!H321</f>
        <v>0</v>
      </c>
      <c r="C318">
        <f>BIdetails!J321</f>
        <v>0</v>
      </c>
      <c r="D318">
        <f>BIdetails!K321</f>
        <v>0</v>
      </c>
      <c r="E318" s="168">
        <f>BIdetails!M321</f>
        <v>0</v>
      </c>
      <c r="F318" t="e">
        <f>IF(ISERROR(IF(OR(C318="#",C318=0),"",VLOOKUP(C318,'AOP24'!M:M,1,0))),"Not Found",VLOOKUP(C318,'AOP24'!M:M,1,0))</f>
        <v>#N/A</v>
      </c>
      <c r="G318" t="e">
        <f t="shared" si="4"/>
        <v>#N/A</v>
      </c>
    </row>
    <row r="319" spans="1:7" x14ac:dyDescent="0.25">
      <c r="A319">
        <f>BIdetails!G322</f>
        <v>0</v>
      </c>
      <c r="B319">
        <f>BIdetails!H322</f>
        <v>0</v>
      </c>
      <c r="C319">
        <f>BIdetails!J322</f>
        <v>0</v>
      </c>
      <c r="D319">
        <f>BIdetails!K322</f>
        <v>0</v>
      </c>
      <c r="E319" s="168">
        <f>BIdetails!M322</f>
        <v>0</v>
      </c>
      <c r="F319" t="e">
        <f>IF(ISERROR(IF(OR(C319="#",C319=0),"",VLOOKUP(C319,'AOP24'!M:M,1,0))),"Not Found",VLOOKUP(C319,'AOP24'!M:M,1,0))</f>
        <v>#N/A</v>
      </c>
      <c r="G319" t="e">
        <f t="shared" si="4"/>
        <v>#N/A</v>
      </c>
    </row>
    <row r="320" spans="1:7" x14ac:dyDescent="0.25">
      <c r="A320">
        <f>BIdetails!G323</f>
        <v>0</v>
      </c>
      <c r="B320">
        <f>BIdetails!H323</f>
        <v>0</v>
      </c>
      <c r="C320">
        <f>BIdetails!J323</f>
        <v>0</v>
      </c>
      <c r="D320">
        <f>BIdetails!K323</f>
        <v>0</v>
      </c>
      <c r="E320" s="168">
        <f>BIdetails!M323</f>
        <v>0</v>
      </c>
      <c r="F320" t="e">
        <f>IF(ISERROR(IF(OR(C320="#",C320=0),"",VLOOKUP(C320,'AOP24'!M:M,1,0))),"Not Found",VLOOKUP(C320,'AOP24'!M:M,1,0))</f>
        <v>#N/A</v>
      </c>
      <c r="G320" t="e">
        <f t="shared" si="4"/>
        <v>#N/A</v>
      </c>
    </row>
    <row r="321" spans="1:7" x14ac:dyDescent="0.25">
      <c r="A321">
        <f>BIdetails!G324</f>
        <v>0</v>
      </c>
      <c r="B321">
        <f>BIdetails!H324</f>
        <v>0</v>
      </c>
      <c r="C321">
        <f>BIdetails!J324</f>
        <v>0</v>
      </c>
      <c r="D321">
        <f>BIdetails!K324</f>
        <v>0</v>
      </c>
      <c r="E321" s="168">
        <f>BIdetails!M324</f>
        <v>0</v>
      </c>
      <c r="F321" t="e">
        <f>IF(ISERROR(IF(OR(C321="#",C321=0),"",VLOOKUP(C321,'AOP24'!M:M,1,0))),"Not Found",VLOOKUP(C321,'AOP24'!M:M,1,0))</f>
        <v>#N/A</v>
      </c>
      <c r="G321" t="e">
        <f t="shared" si="4"/>
        <v>#N/A</v>
      </c>
    </row>
    <row r="322" spans="1:7" x14ac:dyDescent="0.25">
      <c r="A322">
        <f>BIdetails!G325</f>
        <v>0</v>
      </c>
      <c r="B322">
        <f>BIdetails!H325</f>
        <v>0</v>
      </c>
      <c r="C322">
        <f>BIdetails!J325</f>
        <v>0</v>
      </c>
      <c r="D322">
        <f>BIdetails!K325</f>
        <v>0</v>
      </c>
      <c r="E322" s="168">
        <f>BIdetails!M325</f>
        <v>0</v>
      </c>
      <c r="F322" t="e">
        <f>IF(ISERROR(IF(OR(C322="#",C322=0),"",VLOOKUP(C322,'AOP24'!M:M,1,0))),"Not Found",VLOOKUP(C322,'AOP24'!M:M,1,0))</f>
        <v>#N/A</v>
      </c>
      <c r="G322" t="e">
        <f t="shared" si="4"/>
        <v>#N/A</v>
      </c>
    </row>
    <row r="323" spans="1:7" x14ac:dyDescent="0.25">
      <c r="A323">
        <f>BIdetails!G326</f>
        <v>0</v>
      </c>
      <c r="B323">
        <f>BIdetails!H326</f>
        <v>0</v>
      </c>
      <c r="C323">
        <f>BIdetails!J326</f>
        <v>0</v>
      </c>
      <c r="D323">
        <f>BIdetails!K326</f>
        <v>0</v>
      </c>
      <c r="E323" s="168">
        <f>BIdetails!M326</f>
        <v>0</v>
      </c>
      <c r="F323" t="e">
        <f>IF(ISERROR(IF(OR(C323="#",C323=0),"",VLOOKUP(C323,'AOP24'!M:M,1,0))),"Not Found",VLOOKUP(C323,'AOP24'!M:M,1,0))</f>
        <v>#N/A</v>
      </c>
      <c r="G323" t="e">
        <f t="shared" ref="G323:G386" si="5">IF(NOT(ISERROR(VLOOKUP(C323,$K$2:$K$50,1,0))),"Y",VLOOKUP(C323,$K$2:$K$50,1,0))</f>
        <v>#N/A</v>
      </c>
    </row>
    <row r="324" spans="1:7" x14ac:dyDescent="0.25">
      <c r="A324">
        <f>BIdetails!G327</f>
        <v>0</v>
      </c>
      <c r="B324">
        <f>BIdetails!H327</f>
        <v>0</v>
      </c>
      <c r="C324">
        <f>BIdetails!J327</f>
        <v>0</v>
      </c>
      <c r="D324">
        <f>BIdetails!K327</f>
        <v>0</v>
      </c>
      <c r="E324" s="168">
        <f>BIdetails!M327</f>
        <v>0</v>
      </c>
      <c r="F324" t="e">
        <f>IF(ISERROR(IF(OR(C324="#",C324=0),"",VLOOKUP(C324,'AOP24'!M:M,1,0))),"Not Found",VLOOKUP(C324,'AOP24'!M:M,1,0))</f>
        <v>#N/A</v>
      </c>
      <c r="G324" t="e">
        <f t="shared" si="5"/>
        <v>#N/A</v>
      </c>
    </row>
    <row r="325" spans="1:7" x14ac:dyDescent="0.25">
      <c r="A325">
        <f>BIdetails!G328</f>
        <v>0</v>
      </c>
      <c r="B325">
        <f>BIdetails!H328</f>
        <v>0</v>
      </c>
      <c r="C325">
        <f>BIdetails!J328</f>
        <v>0</v>
      </c>
      <c r="D325">
        <f>BIdetails!K328</f>
        <v>0</v>
      </c>
      <c r="E325" s="168">
        <f>BIdetails!M328</f>
        <v>0</v>
      </c>
      <c r="F325" t="e">
        <f>IF(ISERROR(IF(OR(C325="#",C325=0),"",VLOOKUP(C325,'AOP24'!M:M,1,0))),"Not Found",VLOOKUP(C325,'AOP24'!M:M,1,0))</f>
        <v>#N/A</v>
      </c>
      <c r="G325" t="e">
        <f t="shared" si="5"/>
        <v>#N/A</v>
      </c>
    </row>
    <row r="326" spans="1:7" x14ac:dyDescent="0.25">
      <c r="A326">
        <f>BIdetails!G329</f>
        <v>0</v>
      </c>
      <c r="B326">
        <f>BIdetails!H329</f>
        <v>0</v>
      </c>
      <c r="C326">
        <f>BIdetails!J329</f>
        <v>0</v>
      </c>
      <c r="D326">
        <f>BIdetails!K329</f>
        <v>0</v>
      </c>
      <c r="E326" s="168">
        <f>BIdetails!M329</f>
        <v>0</v>
      </c>
      <c r="F326" t="e">
        <f>IF(ISERROR(IF(OR(C326="#",C326=0),"",VLOOKUP(C326,'AOP24'!M:M,1,0))),"Not Found",VLOOKUP(C326,'AOP24'!M:M,1,0))</f>
        <v>#N/A</v>
      </c>
      <c r="G326" t="e">
        <f t="shared" si="5"/>
        <v>#N/A</v>
      </c>
    </row>
    <row r="327" spans="1:7" x14ac:dyDescent="0.25">
      <c r="A327">
        <f>BIdetails!G330</f>
        <v>0</v>
      </c>
      <c r="B327">
        <f>BIdetails!H330</f>
        <v>0</v>
      </c>
      <c r="C327">
        <f>BIdetails!J330</f>
        <v>0</v>
      </c>
      <c r="D327">
        <f>BIdetails!K330</f>
        <v>0</v>
      </c>
      <c r="E327" s="168">
        <f>BIdetails!M330</f>
        <v>0</v>
      </c>
      <c r="F327" t="e">
        <f>IF(ISERROR(IF(OR(C327="#",C327=0),"",VLOOKUP(C327,'AOP24'!M:M,1,0))),"Not Found",VLOOKUP(C327,'AOP24'!M:M,1,0))</f>
        <v>#N/A</v>
      </c>
      <c r="G327" t="e">
        <f t="shared" si="5"/>
        <v>#N/A</v>
      </c>
    </row>
    <row r="328" spans="1:7" x14ac:dyDescent="0.25">
      <c r="A328">
        <f>BIdetails!G331</f>
        <v>0</v>
      </c>
      <c r="B328">
        <f>BIdetails!H331</f>
        <v>0</v>
      </c>
      <c r="C328">
        <f>BIdetails!J331</f>
        <v>0</v>
      </c>
      <c r="D328">
        <f>BIdetails!K331</f>
        <v>0</v>
      </c>
      <c r="E328" s="168">
        <f>BIdetails!M331</f>
        <v>0</v>
      </c>
      <c r="F328" t="e">
        <f>IF(ISERROR(IF(OR(C328="#",C328=0),"",VLOOKUP(C328,'AOP24'!M:M,1,0))),"Not Found",VLOOKUP(C328,'AOP24'!M:M,1,0))</f>
        <v>#N/A</v>
      </c>
      <c r="G328" t="e">
        <f t="shared" si="5"/>
        <v>#N/A</v>
      </c>
    </row>
    <row r="329" spans="1:7" x14ac:dyDescent="0.25">
      <c r="A329">
        <f>BIdetails!G332</f>
        <v>0</v>
      </c>
      <c r="B329">
        <f>BIdetails!H332</f>
        <v>0</v>
      </c>
      <c r="C329">
        <f>BIdetails!J332</f>
        <v>0</v>
      </c>
      <c r="D329">
        <f>BIdetails!K332</f>
        <v>0</v>
      </c>
      <c r="E329" s="168">
        <f>BIdetails!M332</f>
        <v>0</v>
      </c>
      <c r="F329" t="e">
        <f>IF(ISERROR(IF(OR(C329="#",C329=0),"",VLOOKUP(C329,'AOP24'!M:M,1,0))),"Not Found",VLOOKUP(C329,'AOP24'!M:M,1,0))</f>
        <v>#N/A</v>
      </c>
      <c r="G329" t="e">
        <f t="shared" si="5"/>
        <v>#N/A</v>
      </c>
    </row>
    <row r="330" spans="1:7" x14ac:dyDescent="0.25">
      <c r="A330">
        <f>BIdetails!G333</f>
        <v>0</v>
      </c>
      <c r="B330">
        <f>BIdetails!H333</f>
        <v>0</v>
      </c>
      <c r="C330">
        <f>BIdetails!J333</f>
        <v>0</v>
      </c>
      <c r="D330">
        <f>BIdetails!K333</f>
        <v>0</v>
      </c>
      <c r="E330" s="168">
        <f>BIdetails!M333</f>
        <v>0</v>
      </c>
      <c r="F330" t="e">
        <f>IF(ISERROR(IF(OR(C330="#",C330=0),"",VLOOKUP(C330,'AOP24'!M:M,1,0))),"Not Found",VLOOKUP(C330,'AOP24'!M:M,1,0))</f>
        <v>#N/A</v>
      </c>
      <c r="G330" t="e">
        <f t="shared" si="5"/>
        <v>#N/A</v>
      </c>
    </row>
    <row r="331" spans="1:7" x14ac:dyDescent="0.25">
      <c r="A331">
        <f>BIdetails!G334</f>
        <v>0</v>
      </c>
      <c r="B331">
        <f>BIdetails!H334</f>
        <v>0</v>
      </c>
      <c r="C331">
        <f>BIdetails!J334</f>
        <v>0</v>
      </c>
      <c r="D331">
        <f>BIdetails!K334</f>
        <v>0</v>
      </c>
      <c r="E331" s="168">
        <f>BIdetails!M334</f>
        <v>0</v>
      </c>
      <c r="F331" t="e">
        <f>IF(ISERROR(IF(OR(C331="#",C331=0),"",VLOOKUP(C331,'AOP24'!M:M,1,0))),"Not Found",VLOOKUP(C331,'AOP24'!M:M,1,0))</f>
        <v>#N/A</v>
      </c>
      <c r="G331" t="e">
        <f t="shared" si="5"/>
        <v>#N/A</v>
      </c>
    </row>
    <row r="332" spans="1:7" x14ac:dyDescent="0.25">
      <c r="A332">
        <f>BIdetails!G335</f>
        <v>0</v>
      </c>
      <c r="B332">
        <f>BIdetails!H335</f>
        <v>0</v>
      </c>
      <c r="C332">
        <f>BIdetails!J335</f>
        <v>0</v>
      </c>
      <c r="D332">
        <f>BIdetails!K335</f>
        <v>0</v>
      </c>
      <c r="E332" s="168">
        <f>BIdetails!M335</f>
        <v>0</v>
      </c>
      <c r="F332" t="e">
        <f>IF(ISERROR(IF(OR(C332="#",C332=0),"",VLOOKUP(C332,'AOP24'!M:M,1,0))),"Not Found",VLOOKUP(C332,'AOP24'!M:M,1,0))</f>
        <v>#N/A</v>
      </c>
      <c r="G332" t="e">
        <f t="shared" si="5"/>
        <v>#N/A</v>
      </c>
    </row>
    <row r="333" spans="1:7" x14ac:dyDescent="0.25">
      <c r="A333">
        <f>BIdetails!G336</f>
        <v>0</v>
      </c>
      <c r="B333">
        <f>BIdetails!H336</f>
        <v>0</v>
      </c>
      <c r="C333">
        <f>BIdetails!J336</f>
        <v>0</v>
      </c>
      <c r="D333">
        <f>BIdetails!K336</f>
        <v>0</v>
      </c>
      <c r="E333" s="168">
        <f>BIdetails!M336</f>
        <v>0</v>
      </c>
      <c r="F333" t="e">
        <f>IF(ISERROR(IF(OR(C333="#",C333=0),"",VLOOKUP(C333,'AOP24'!M:M,1,0))),"Not Found",VLOOKUP(C333,'AOP24'!M:M,1,0))</f>
        <v>#N/A</v>
      </c>
      <c r="G333" t="e">
        <f t="shared" si="5"/>
        <v>#N/A</v>
      </c>
    </row>
    <row r="334" spans="1:7" x14ac:dyDescent="0.25">
      <c r="A334">
        <f>BIdetails!G337</f>
        <v>0</v>
      </c>
      <c r="B334">
        <f>BIdetails!H337</f>
        <v>0</v>
      </c>
      <c r="C334">
        <f>BIdetails!J337</f>
        <v>0</v>
      </c>
      <c r="D334">
        <f>BIdetails!K337</f>
        <v>0</v>
      </c>
      <c r="E334" s="168">
        <f>BIdetails!M337</f>
        <v>0</v>
      </c>
      <c r="F334" t="e">
        <f>IF(ISERROR(IF(OR(C334="#",C334=0),"",VLOOKUP(C334,'AOP24'!M:M,1,0))),"Not Found",VLOOKUP(C334,'AOP24'!M:M,1,0))</f>
        <v>#N/A</v>
      </c>
      <c r="G334" t="e">
        <f t="shared" si="5"/>
        <v>#N/A</v>
      </c>
    </row>
    <row r="335" spans="1:7" x14ac:dyDescent="0.25">
      <c r="A335">
        <f>BIdetails!G338</f>
        <v>0</v>
      </c>
      <c r="B335">
        <f>BIdetails!H338</f>
        <v>0</v>
      </c>
      <c r="C335">
        <f>BIdetails!J338</f>
        <v>0</v>
      </c>
      <c r="D335">
        <f>BIdetails!K338</f>
        <v>0</v>
      </c>
      <c r="E335" s="168">
        <f>BIdetails!M338</f>
        <v>0</v>
      </c>
      <c r="F335" t="e">
        <f>IF(ISERROR(IF(OR(C335="#",C335=0),"",VLOOKUP(C335,'AOP24'!M:M,1,0))),"Not Found",VLOOKUP(C335,'AOP24'!M:M,1,0))</f>
        <v>#N/A</v>
      </c>
      <c r="G335" t="e">
        <f t="shared" si="5"/>
        <v>#N/A</v>
      </c>
    </row>
    <row r="336" spans="1:7" x14ac:dyDescent="0.25">
      <c r="A336">
        <f>BIdetails!G339</f>
        <v>0</v>
      </c>
      <c r="B336">
        <f>BIdetails!H339</f>
        <v>0</v>
      </c>
      <c r="C336">
        <f>BIdetails!J339</f>
        <v>0</v>
      </c>
      <c r="D336">
        <f>BIdetails!K339</f>
        <v>0</v>
      </c>
      <c r="E336" s="168">
        <f>BIdetails!M339</f>
        <v>0</v>
      </c>
      <c r="F336" t="e">
        <f>IF(ISERROR(IF(OR(C336="#",C336=0),"",VLOOKUP(C336,'AOP24'!M:M,1,0))),"Not Found",VLOOKUP(C336,'AOP24'!M:M,1,0))</f>
        <v>#N/A</v>
      </c>
      <c r="G336" t="e">
        <f t="shared" si="5"/>
        <v>#N/A</v>
      </c>
    </row>
    <row r="337" spans="1:7" x14ac:dyDescent="0.25">
      <c r="A337">
        <f>BIdetails!G340</f>
        <v>0</v>
      </c>
      <c r="B337">
        <f>BIdetails!H340</f>
        <v>0</v>
      </c>
      <c r="C337">
        <f>BIdetails!J340</f>
        <v>0</v>
      </c>
      <c r="D337">
        <f>BIdetails!K340</f>
        <v>0</v>
      </c>
      <c r="E337" s="168">
        <f>BIdetails!M340</f>
        <v>0</v>
      </c>
      <c r="F337" t="e">
        <f>IF(ISERROR(IF(OR(C337="#",C337=0),"",VLOOKUP(C337,'AOP24'!M:M,1,0))),"Not Found",VLOOKUP(C337,'AOP24'!M:M,1,0))</f>
        <v>#N/A</v>
      </c>
      <c r="G337" t="e">
        <f t="shared" si="5"/>
        <v>#N/A</v>
      </c>
    </row>
    <row r="338" spans="1:7" x14ac:dyDescent="0.25">
      <c r="A338">
        <f>BIdetails!G341</f>
        <v>0</v>
      </c>
      <c r="B338">
        <f>BIdetails!H341</f>
        <v>0</v>
      </c>
      <c r="C338">
        <f>BIdetails!J341</f>
        <v>0</v>
      </c>
      <c r="D338">
        <f>BIdetails!K341</f>
        <v>0</v>
      </c>
      <c r="E338" s="168">
        <f>BIdetails!M341</f>
        <v>0</v>
      </c>
      <c r="F338" t="e">
        <f>IF(ISERROR(IF(OR(C338="#",C338=0),"",VLOOKUP(C338,'AOP24'!M:M,1,0))),"Not Found",VLOOKUP(C338,'AOP24'!M:M,1,0))</f>
        <v>#N/A</v>
      </c>
      <c r="G338" t="e">
        <f t="shared" si="5"/>
        <v>#N/A</v>
      </c>
    </row>
    <row r="339" spans="1:7" x14ac:dyDescent="0.25">
      <c r="A339">
        <f>BIdetails!G342</f>
        <v>0</v>
      </c>
      <c r="B339">
        <f>BIdetails!H342</f>
        <v>0</v>
      </c>
      <c r="C339">
        <f>BIdetails!J342</f>
        <v>0</v>
      </c>
      <c r="D339">
        <f>BIdetails!K342</f>
        <v>0</v>
      </c>
      <c r="E339" s="168">
        <f>BIdetails!M342</f>
        <v>0</v>
      </c>
      <c r="F339" t="e">
        <f>IF(ISERROR(IF(OR(C339="#",C339=0),"",VLOOKUP(C339,'AOP24'!M:M,1,0))),"Not Found",VLOOKUP(C339,'AOP24'!M:M,1,0))</f>
        <v>#N/A</v>
      </c>
      <c r="G339" t="e">
        <f t="shared" si="5"/>
        <v>#N/A</v>
      </c>
    </row>
    <row r="340" spans="1:7" x14ac:dyDescent="0.25">
      <c r="A340">
        <f>BIdetails!G343</f>
        <v>0</v>
      </c>
      <c r="B340">
        <f>BIdetails!H343</f>
        <v>0</v>
      </c>
      <c r="C340">
        <f>BIdetails!J343</f>
        <v>0</v>
      </c>
      <c r="D340">
        <f>BIdetails!K343</f>
        <v>0</v>
      </c>
      <c r="E340" s="168">
        <f>BIdetails!M343</f>
        <v>0</v>
      </c>
      <c r="F340" t="e">
        <f>IF(ISERROR(IF(OR(C340="#",C340=0),"",VLOOKUP(C340,'AOP24'!M:M,1,0))),"Not Found",VLOOKUP(C340,'AOP24'!M:M,1,0))</f>
        <v>#N/A</v>
      </c>
      <c r="G340" t="e">
        <f t="shared" si="5"/>
        <v>#N/A</v>
      </c>
    </row>
    <row r="341" spans="1:7" x14ac:dyDescent="0.25">
      <c r="A341">
        <f>BIdetails!G344</f>
        <v>0</v>
      </c>
      <c r="B341">
        <f>BIdetails!H344</f>
        <v>0</v>
      </c>
      <c r="C341">
        <f>BIdetails!J344</f>
        <v>0</v>
      </c>
      <c r="D341">
        <f>BIdetails!K344</f>
        <v>0</v>
      </c>
      <c r="E341" s="168">
        <f>BIdetails!M344</f>
        <v>0</v>
      </c>
      <c r="F341" t="e">
        <f>IF(ISERROR(IF(OR(C341="#",C341=0),"",VLOOKUP(C341,'AOP24'!M:M,1,0))),"Not Found",VLOOKUP(C341,'AOP24'!M:M,1,0))</f>
        <v>#N/A</v>
      </c>
      <c r="G341" t="e">
        <f t="shared" si="5"/>
        <v>#N/A</v>
      </c>
    </row>
    <row r="342" spans="1:7" x14ac:dyDescent="0.25">
      <c r="A342">
        <f>BIdetails!G345</f>
        <v>0</v>
      </c>
      <c r="B342">
        <f>BIdetails!H345</f>
        <v>0</v>
      </c>
      <c r="C342">
        <f>BIdetails!J345</f>
        <v>0</v>
      </c>
      <c r="D342">
        <f>BIdetails!K345</f>
        <v>0</v>
      </c>
      <c r="E342" s="168">
        <f>BIdetails!M345</f>
        <v>0</v>
      </c>
      <c r="F342" t="e">
        <f>IF(ISERROR(IF(OR(C342="#",C342=0),"",VLOOKUP(C342,'AOP24'!M:M,1,0))),"Not Found",VLOOKUP(C342,'AOP24'!M:M,1,0))</f>
        <v>#N/A</v>
      </c>
      <c r="G342" t="e">
        <f t="shared" si="5"/>
        <v>#N/A</v>
      </c>
    </row>
    <row r="343" spans="1:7" x14ac:dyDescent="0.25">
      <c r="A343">
        <f>BIdetails!G346</f>
        <v>0</v>
      </c>
      <c r="B343">
        <f>BIdetails!H346</f>
        <v>0</v>
      </c>
      <c r="C343">
        <f>BIdetails!J346</f>
        <v>0</v>
      </c>
      <c r="D343">
        <f>BIdetails!K346</f>
        <v>0</v>
      </c>
      <c r="E343" s="168">
        <f>BIdetails!M346</f>
        <v>0</v>
      </c>
      <c r="F343" t="e">
        <f>IF(ISERROR(IF(OR(C343="#",C343=0),"",VLOOKUP(C343,'AOP24'!M:M,1,0))),"Not Found",VLOOKUP(C343,'AOP24'!M:M,1,0))</f>
        <v>#N/A</v>
      </c>
      <c r="G343" t="e">
        <f t="shared" si="5"/>
        <v>#N/A</v>
      </c>
    </row>
    <row r="344" spans="1:7" x14ac:dyDescent="0.25">
      <c r="A344">
        <f>BIdetails!G347</f>
        <v>0</v>
      </c>
      <c r="B344">
        <f>BIdetails!H347</f>
        <v>0</v>
      </c>
      <c r="C344">
        <f>BIdetails!J347</f>
        <v>0</v>
      </c>
      <c r="D344">
        <f>BIdetails!K347</f>
        <v>0</v>
      </c>
      <c r="E344" s="168">
        <f>BIdetails!M347</f>
        <v>0</v>
      </c>
      <c r="F344" t="e">
        <f>IF(ISERROR(IF(OR(C344="#",C344=0),"",VLOOKUP(C344,'AOP24'!M:M,1,0))),"Not Found",VLOOKUP(C344,'AOP24'!M:M,1,0))</f>
        <v>#N/A</v>
      </c>
      <c r="G344" t="e">
        <f t="shared" si="5"/>
        <v>#N/A</v>
      </c>
    </row>
    <row r="345" spans="1:7" x14ac:dyDescent="0.25">
      <c r="A345">
        <f>BIdetails!G348</f>
        <v>0</v>
      </c>
      <c r="B345">
        <f>BIdetails!H348</f>
        <v>0</v>
      </c>
      <c r="C345">
        <f>BIdetails!J348</f>
        <v>0</v>
      </c>
      <c r="D345">
        <f>BIdetails!K348</f>
        <v>0</v>
      </c>
      <c r="E345" s="168">
        <f>BIdetails!M348</f>
        <v>0</v>
      </c>
      <c r="F345" t="e">
        <f>IF(ISERROR(IF(OR(C345="#",C345=0),"",VLOOKUP(C345,'AOP24'!M:M,1,0))),"Not Found",VLOOKUP(C345,'AOP24'!M:M,1,0))</f>
        <v>#N/A</v>
      </c>
      <c r="G345" t="e">
        <f t="shared" si="5"/>
        <v>#N/A</v>
      </c>
    </row>
    <row r="346" spans="1:7" x14ac:dyDescent="0.25">
      <c r="A346">
        <f>BIdetails!G349</f>
        <v>0</v>
      </c>
      <c r="B346">
        <f>BIdetails!H349</f>
        <v>0</v>
      </c>
      <c r="C346">
        <f>BIdetails!J349</f>
        <v>0</v>
      </c>
      <c r="D346">
        <f>BIdetails!K349</f>
        <v>0</v>
      </c>
      <c r="E346" s="168">
        <f>BIdetails!M349</f>
        <v>0</v>
      </c>
      <c r="F346" t="e">
        <f>IF(ISERROR(IF(OR(C346="#",C346=0),"",VLOOKUP(C346,'AOP24'!M:M,1,0))),"Not Found",VLOOKUP(C346,'AOP24'!M:M,1,0))</f>
        <v>#N/A</v>
      </c>
      <c r="G346" t="e">
        <f t="shared" si="5"/>
        <v>#N/A</v>
      </c>
    </row>
    <row r="347" spans="1:7" x14ac:dyDescent="0.25">
      <c r="A347">
        <f>BIdetails!G350</f>
        <v>0</v>
      </c>
      <c r="B347">
        <f>BIdetails!H350</f>
        <v>0</v>
      </c>
      <c r="C347">
        <f>BIdetails!J350</f>
        <v>0</v>
      </c>
      <c r="D347">
        <f>BIdetails!K350</f>
        <v>0</v>
      </c>
      <c r="E347" s="168">
        <f>BIdetails!M350</f>
        <v>0</v>
      </c>
      <c r="F347" t="e">
        <f>IF(ISERROR(IF(OR(C347="#",C347=0),"",VLOOKUP(C347,'AOP24'!M:M,1,0))),"Not Found",VLOOKUP(C347,'AOP24'!M:M,1,0))</f>
        <v>#N/A</v>
      </c>
      <c r="G347" t="e">
        <f t="shared" si="5"/>
        <v>#N/A</v>
      </c>
    </row>
    <row r="348" spans="1:7" x14ac:dyDescent="0.25">
      <c r="A348">
        <f>BIdetails!G351</f>
        <v>0</v>
      </c>
      <c r="B348">
        <f>BIdetails!H351</f>
        <v>0</v>
      </c>
      <c r="C348">
        <f>BIdetails!J351</f>
        <v>0</v>
      </c>
      <c r="D348">
        <f>BIdetails!K351</f>
        <v>0</v>
      </c>
      <c r="E348" s="168">
        <f>BIdetails!M351</f>
        <v>0</v>
      </c>
      <c r="F348" t="e">
        <f>IF(ISERROR(IF(OR(C348="#",C348=0),"",VLOOKUP(C348,'AOP24'!M:M,1,0))),"Not Found",VLOOKUP(C348,'AOP24'!M:M,1,0))</f>
        <v>#N/A</v>
      </c>
      <c r="G348" t="e">
        <f t="shared" si="5"/>
        <v>#N/A</v>
      </c>
    </row>
    <row r="349" spans="1:7" x14ac:dyDescent="0.25">
      <c r="A349">
        <f>BIdetails!G352</f>
        <v>0</v>
      </c>
      <c r="B349">
        <f>BIdetails!H352</f>
        <v>0</v>
      </c>
      <c r="C349">
        <f>BIdetails!J352</f>
        <v>0</v>
      </c>
      <c r="D349">
        <f>BIdetails!K352</f>
        <v>0</v>
      </c>
      <c r="E349" s="168">
        <f>BIdetails!M352</f>
        <v>0</v>
      </c>
      <c r="F349" t="e">
        <f>IF(ISERROR(IF(OR(C349="#",C349=0),"",VLOOKUP(C349,'AOP24'!M:M,1,0))),"Not Found",VLOOKUP(C349,'AOP24'!M:M,1,0))</f>
        <v>#N/A</v>
      </c>
      <c r="G349" t="e">
        <f t="shared" si="5"/>
        <v>#N/A</v>
      </c>
    </row>
    <row r="350" spans="1:7" x14ac:dyDescent="0.25">
      <c r="A350">
        <f>BIdetails!G353</f>
        <v>0</v>
      </c>
      <c r="B350">
        <f>BIdetails!H353</f>
        <v>0</v>
      </c>
      <c r="C350">
        <f>BIdetails!J353</f>
        <v>0</v>
      </c>
      <c r="D350">
        <f>BIdetails!K353</f>
        <v>0</v>
      </c>
      <c r="E350" s="168">
        <f>BIdetails!M353</f>
        <v>0</v>
      </c>
      <c r="F350" t="e">
        <f>IF(ISERROR(IF(OR(C350="#",C350=0),"",VLOOKUP(C350,'AOP24'!M:M,1,0))),"Not Found",VLOOKUP(C350,'AOP24'!M:M,1,0))</f>
        <v>#N/A</v>
      </c>
      <c r="G350" t="e">
        <f t="shared" si="5"/>
        <v>#N/A</v>
      </c>
    </row>
    <row r="351" spans="1:7" x14ac:dyDescent="0.25">
      <c r="A351">
        <f>BIdetails!G354</f>
        <v>0</v>
      </c>
      <c r="B351">
        <f>BIdetails!H354</f>
        <v>0</v>
      </c>
      <c r="C351">
        <f>BIdetails!J354</f>
        <v>0</v>
      </c>
      <c r="D351">
        <f>BIdetails!K354</f>
        <v>0</v>
      </c>
      <c r="E351" s="168">
        <f>BIdetails!M354</f>
        <v>0</v>
      </c>
      <c r="F351" t="e">
        <f>IF(ISERROR(IF(OR(C351="#",C351=0),"",VLOOKUP(C351,'AOP24'!M:M,1,0))),"Not Found",VLOOKUP(C351,'AOP24'!M:M,1,0))</f>
        <v>#N/A</v>
      </c>
      <c r="G351" t="e">
        <f t="shared" si="5"/>
        <v>#N/A</v>
      </c>
    </row>
    <row r="352" spans="1:7" x14ac:dyDescent="0.25">
      <c r="A352">
        <f>BIdetails!G355</f>
        <v>0</v>
      </c>
      <c r="B352">
        <f>BIdetails!H355</f>
        <v>0</v>
      </c>
      <c r="C352">
        <f>BIdetails!J355</f>
        <v>0</v>
      </c>
      <c r="D352">
        <f>BIdetails!K355</f>
        <v>0</v>
      </c>
      <c r="E352" s="168">
        <f>BIdetails!M355</f>
        <v>0</v>
      </c>
      <c r="F352" t="e">
        <f>IF(ISERROR(IF(OR(C352="#",C352=0),"",VLOOKUP(C352,'AOP24'!M:M,1,0))),"Not Found",VLOOKUP(C352,'AOP24'!M:M,1,0))</f>
        <v>#N/A</v>
      </c>
      <c r="G352" t="e">
        <f t="shared" si="5"/>
        <v>#N/A</v>
      </c>
    </row>
    <row r="353" spans="1:7" x14ac:dyDescent="0.25">
      <c r="A353">
        <f>BIdetails!G356</f>
        <v>0</v>
      </c>
      <c r="B353">
        <f>BIdetails!H356</f>
        <v>0</v>
      </c>
      <c r="C353">
        <f>BIdetails!J356</f>
        <v>0</v>
      </c>
      <c r="D353">
        <f>BIdetails!K356</f>
        <v>0</v>
      </c>
      <c r="E353" s="168">
        <f>BIdetails!M356</f>
        <v>0</v>
      </c>
      <c r="F353" t="e">
        <f>IF(ISERROR(IF(OR(C353="#",C353=0),"",VLOOKUP(C353,'AOP24'!M:M,1,0))),"Not Found",VLOOKUP(C353,'AOP24'!M:M,1,0))</f>
        <v>#N/A</v>
      </c>
      <c r="G353" t="e">
        <f t="shared" si="5"/>
        <v>#N/A</v>
      </c>
    </row>
    <row r="354" spans="1:7" x14ac:dyDescent="0.25">
      <c r="A354">
        <f>BIdetails!G357</f>
        <v>0</v>
      </c>
      <c r="B354">
        <f>BIdetails!H357</f>
        <v>0</v>
      </c>
      <c r="C354">
        <f>BIdetails!J357</f>
        <v>0</v>
      </c>
      <c r="D354">
        <f>BIdetails!K357</f>
        <v>0</v>
      </c>
      <c r="E354" s="168">
        <f>BIdetails!M357</f>
        <v>0</v>
      </c>
      <c r="F354" t="e">
        <f>IF(ISERROR(IF(OR(C354="#",C354=0),"",VLOOKUP(C354,'AOP24'!M:M,1,0))),"Not Found",VLOOKUP(C354,'AOP24'!M:M,1,0))</f>
        <v>#N/A</v>
      </c>
      <c r="G354" t="e">
        <f t="shared" si="5"/>
        <v>#N/A</v>
      </c>
    </row>
    <row r="355" spans="1:7" x14ac:dyDescent="0.25">
      <c r="A355">
        <f>BIdetails!G358</f>
        <v>0</v>
      </c>
      <c r="B355">
        <f>BIdetails!H358</f>
        <v>0</v>
      </c>
      <c r="C355">
        <f>BIdetails!J358</f>
        <v>0</v>
      </c>
      <c r="D355">
        <f>BIdetails!K358</f>
        <v>0</v>
      </c>
      <c r="E355" s="168">
        <f>BIdetails!M358</f>
        <v>0</v>
      </c>
      <c r="F355" t="e">
        <f>IF(ISERROR(IF(OR(C355="#",C355=0),"",VLOOKUP(C355,'AOP24'!M:M,1,0))),"Not Found",VLOOKUP(C355,'AOP24'!M:M,1,0))</f>
        <v>#N/A</v>
      </c>
      <c r="G355" t="e">
        <f t="shared" si="5"/>
        <v>#N/A</v>
      </c>
    </row>
    <row r="356" spans="1:7" x14ac:dyDescent="0.25">
      <c r="A356">
        <f>BIdetails!G359</f>
        <v>0</v>
      </c>
      <c r="B356">
        <f>BIdetails!H359</f>
        <v>0</v>
      </c>
      <c r="C356">
        <f>BIdetails!J359</f>
        <v>0</v>
      </c>
      <c r="D356">
        <f>BIdetails!K359</f>
        <v>0</v>
      </c>
      <c r="E356" s="168">
        <f>BIdetails!M359</f>
        <v>0</v>
      </c>
      <c r="F356" t="e">
        <f>IF(ISERROR(IF(OR(C356="#",C356=0),"",VLOOKUP(C356,'AOP24'!M:M,1,0))),"Not Found",VLOOKUP(C356,'AOP24'!M:M,1,0))</f>
        <v>#N/A</v>
      </c>
      <c r="G356" t="e">
        <f t="shared" si="5"/>
        <v>#N/A</v>
      </c>
    </row>
    <row r="357" spans="1:7" x14ac:dyDescent="0.25">
      <c r="A357">
        <f>BIdetails!G360</f>
        <v>0</v>
      </c>
      <c r="B357">
        <f>BIdetails!H360</f>
        <v>0</v>
      </c>
      <c r="C357">
        <f>BIdetails!J360</f>
        <v>0</v>
      </c>
      <c r="D357">
        <f>BIdetails!K360</f>
        <v>0</v>
      </c>
      <c r="E357" s="168">
        <f>BIdetails!M360</f>
        <v>0</v>
      </c>
      <c r="F357" t="e">
        <f>IF(ISERROR(IF(OR(C357="#",C357=0),"",VLOOKUP(C357,'AOP24'!M:M,1,0))),"Not Found",VLOOKUP(C357,'AOP24'!M:M,1,0))</f>
        <v>#N/A</v>
      </c>
      <c r="G357" t="e">
        <f t="shared" si="5"/>
        <v>#N/A</v>
      </c>
    </row>
    <row r="358" spans="1:7" x14ac:dyDescent="0.25">
      <c r="A358">
        <f>BIdetails!G361</f>
        <v>0</v>
      </c>
      <c r="B358">
        <f>BIdetails!H361</f>
        <v>0</v>
      </c>
      <c r="C358">
        <f>BIdetails!J361</f>
        <v>0</v>
      </c>
      <c r="D358">
        <f>BIdetails!K361</f>
        <v>0</v>
      </c>
      <c r="E358" s="168">
        <f>BIdetails!M361</f>
        <v>0</v>
      </c>
      <c r="F358" t="e">
        <f>IF(ISERROR(IF(OR(C358="#",C358=0),"",VLOOKUP(C358,'AOP24'!M:M,1,0))),"Not Found",VLOOKUP(C358,'AOP24'!M:M,1,0))</f>
        <v>#N/A</v>
      </c>
      <c r="G358" t="e">
        <f t="shared" si="5"/>
        <v>#N/A</v>
      </c>
    </row>
    <row r="359" spans="1:7" x14ac:dyDescent="0.25">
      <c r="A359">
        <f>BIdetails!G362</f>
        <v>0</v>
      </c>
      <c r="B359">
        <f>BIdetails!H362</f>
        <v>0</v>
      </c>
      <c r="C359">
        <f>BIdetails!J362</f>
        <v>0</v>
      </c>
      <c r="D359">
        <f>BIdetails!K362</f>
        <v>0</v>
      </c>
      <c r="E359" s="168">
        <f>BIdetails!M362</f>
        <v>0</v>
      </c>
      <c r="F359" t="e">
        <f>IF(ISERROR(IF(OR(C359="#",C359=0),"",VLOOKUP(C359,'AOP24'!M:M,1,0))),"Not Found",VLOOKUP(C359,'AOP24'!M:M,1,0))</f>
        <v>#N/A</v>
      </c>
      <c r="G359" t="e">
        <f t="shared" si="5"/>
        <v>#N/A</v>
      </c>
    </row>
    <row r="360" spans="1:7" x14ac:dyDescent="0.25">
      <c r="A360">
        <f>BIdetails!G363</f>
        <v>0</v>
      </c>
      <c r="B360">
        <f>BIdetails!H363</f>
        <v>0</v>
      </c>
      <c r="C360">
        <f>BIdetails!J363</f>
        <v>0</v>
      </c>
      <c r="D360">
        <f>BIdetails!K363</f>
        <v>0</v>
      </c>
      <c r="E360" s="168">
        <f>BIdetails!M363</f>
        <v>0</v>
      </c>
      <c r="F360" t="e">
        <f>IF(ISERROR(IF(OR(C360="#",C360=0),"",VLOOKUP(C360,'AOP24'!M:M,1,0))),"Not Found",VLOOKUP(C360,'AOP24'!M:M,1,0))</f>
        <v>#N/A</v>
      </c>
      <c r="G360" t="e">
        <f t="shared" si="5"/>
        <v>#N/A</v>
      </c>
    </row>
    <row r="361" spans="1:7" x14ac:dyDescent="0.25">
      <c r="A361">
        <f>BIdetails!G364</f>
        <v>0</v>
      </c>
      <c r="B361">
        <f>BIdetails!H364</f>
        <v>0</v>
      </c>
      <c r="C361">
        <f>BIdetails!J364</f>
        <v>0</v>
      </c>
      <c r="D361">
        <f>BIdetails!K364</f>
        <v>0</v>
      </c>
      <c r="E361" s="168">
        <f>BIdetails!M364</f>
        <v>0</v>
      </c>
      <c r="F361" t="e">
        <f>IF(ISERROR(IF(OR(C361="#",C361=0),"",VLOOKUP(C361,'AOP24'!M:M,1,0))),"Not Found",VLOOKUP(C361,'AOP24'!M:M,1,0))</f>
        <v>#N/A</v>
      </c>
      <c r="G361" t="e">
        <f t="shared" si="5"/>
        <v>#N/A</v>
      </c>
    </row>
    <row r="362" spans="1:7" x14ac:dyDescent="0.25">
      <c r="A362">
        <f>BIdetails!G365</f>
        <v>0</v>
      </c>
      <c r="B362">
        <f>BIdetails!H365</f>
        <v>0</v>
      </c>
      <c r="C362">
        <f>BIdetails!J365</f>
        <v>0</v>
      </c>
      <c r="D362">
        <f>BIdetails!K365</f>
        <v>0</v>
      </c>
      <c r="E362" s="168">
        <f>BIdetails!M365</f>
        <v>0</v>
      </c>
      <c r="F362" t="e">
        <f>IF(ISERROR(IF(OR(C362="#",C362=0),"",VLOOKUP(C362,'AOP24'!M:M,1,0))),"Not Found",VLOOKUP(C362,'AOP24'!M:M,1,0))</f>
        <v>#N/A</v>
      </c>
      <c r="G362" t="e">
        <f t="shared" si="5"/>
        <v>#N/A</v>
      </c>
    </row>
    <row r="363" spans="1:7" x14ac:dyDescent="0.25">
      <c r="A363">
        <f>BIdetails!G366</f>
        <v>0</v>
      </c>
      <c r="B363">
        <f>BIdetails!H366</f>
        <v>0</v>
      </c>
      <c r="C363">
        <f>BIdetails!J366</f>
        <v>0</v>
      </c>
      <c r="D363">
        <f>BIdetails!K366</f>
        <v>0</v>
      </c>
      <c r="E363" s="168">
        <f>BIdetails!M366</f>
        <v>0</v>
      </c>
      <c r="F363" t="e">
        <f>IF(ISERROR(IF(OR(C363="#",C363=0),"",VLOOKUP(C363,'AOP24'!M:M,1,0))),"Not Found",VLOOKUP(C363,'AOP24'!M:M,1,0))</f>
        <v>#N/A</v>
      </c>
      <c r="G363" t="e">
        <f t="shared" si="5"/>
        <v>#N/A</v>
      </c>
    </row>
    <row r="364" spans="1:7" x14ac:dyDescent="0.25">
      <c r="A364">
        <f>BIdetails!G367</f>
        <v>0</v>
      </c>
      <c r="B364">
        <f>BIdetails!H367</f>
        <v>0</v>
      </c>
      <c r="C364">
        <f>BIdetails!J367</f>
        <v>0</v>
      </c>
      <c r="D364">
        <f>BIdetails!K367</f>
        <v>0</v>
      </c>
      <c r="E364" s="168">
        <f>BIdetails!M367</f>
        <v>0</v>
      </c>
      <c r="F364" t="e">
        <f>IF(ISERROR(IF(OR(C364="#",C364=0),"",VLOOKUP(C364,'AOP24'!M:M,1,0))),"Not Found",VLOOKUP(C364,'AOP24'!M:M,1,0))</f>
        <v>#N/A</v>
      </c>
      <c r="G364" t="e">
        <f t="shared" si="5"/>
        <v>#N/A</v>
      </c>
    </row>
    <row r="365" spans="1:7" x14ac:dyDescent="0.25">
      <c r="A365">
        <f>BIdetails!G368</f>
        <v>0</v>
      </c>
      <c r="B365">
        <f>BIdetails!H368</f>
        <v>0</v>
      </c>
      <c r="C365">
        <f>BIdetails!J368</f>
        <v>0</v>
      </c>
      <c r="D365">
        <f>BIdetails!K368</f>
        <v>0</v>
      </c>
      <c r="E365" s="168">
        <f>BIdetails!M368</f>
        <v>0</v>
      </c>
      <c r="F365" t="e">
        <f>IF(ISERROR(IF(OR(C365="#",C365=0),"",VLOOKUP(C365,'AOP24'!M:M,1,0))),"Not Found",VLOOKUP(C365,'AOP24'!M:M,1,0))</f>
        <v>#N/A</v>
      </c>
      <c r="G365" t="e">
        <f t="shared" si="5"/>
        <v>#N/A</v>
      </c>
    </row>
    <row r="366" spans="1:7" x14ac:dyDescent="0.25">
      <c r="A366">
        <f>BIdetails!G369</f>
        <v>0</v>
      </c>
      <c r="B366">
        <f>BIdetails!H369</f>
        <v>0</v>
      </c>
      <c r="C366">
        <f>BIdetails!J369</f>
        <v>0</v>
      </c>
      <c r="D366">
        <f>BIdetails!K369</f>
        <v>0</v>
      </c>
      <c r="E366" s="168">
        <f>BIdetails!M369</f>
        <v>0</v>
      </c>
      <c r="F366" t="e">
        <f>IF(ISERROR(IF(OR(C366="#",C366=0),"",VLOOKUP(C366,'AOP24'!M:M,1,0))),"Not Found",VLOOKUP(C366,'AOP24'!M:M,1,0))</f>
        <v>#N/A</v>
      </c>
      <c r="G366" t="e">
        <f t="shared" si="5"/>
        <v>#N/A</v>
      </c>
    </row>
    <row r="367" spans="1:7" x14ac:dyDescent="0.25">
      <c r="A367">
        <f>BIdetails!G370</f>
        <v>0</v>
      </c>
      <c r="B367">
        <f>BIdetails!H370</f>
        <v>0</v>
      </c>
      <c r="C367">
        <f>BIdetails!J370</f>
        <v>0</v>
      </c>
      <c r="D367">
        <f>BIdetails!K370</f>
        <v>0</v>
      </c>
      <c r="E367" s="168">
        <f>BIdetails!M370</f>
        <v>0</v>
      </c>
      <c r="F367" t="e">
        <f>IF(ISERROR(IF(OR(C367="#",C367=0),"",VLOOKUP(C367,'AOP24'!M:M,1,0))),"Not Found",VLOOKUP(C367,'AOP24'!M:M,1,0))</f>
        <v>#N/A</v>
      </c>
      <c r="G367" t="e">
        <f t="shared" si="5"/>
        <v>#N/A</v>
      </c>
    </row>
    <row r="368" spans="1:7" x14ac:dyDescent="0.25">
      <c r="A368">
        <f>BIdetails!G371</f>
        <v>0</v>
      </c>
      <c r="B368">
        <f>BIdetails!H371</f>
        <v>0</v>
      </c>
      <c r="C368">
        <f>BIdetails!J371</f>
        <v>0</v>
      </c>
      <c r="D368">
        <f>BIdetails!K371</f>
        <v>0</v>
      </c>
      <c r="E368" s="168">
        <f>BIdetails!M371</f>
        <v>0</v>
      </c>
      <c r="F368" t="e">
        <f>IF(ISERROR(IF(OR(C368="#",C368=0),"",VLOOKUP(C368,'AOP24'!M:M,1,0))),"Not Found",VLOOKUP(C368,'AOP24'!M:M,1,0))</f>
        <v>#N/A</v>
      </c>
      <c r="G368" t="e">
        <f t="shared" si="5"/>
        <v>#N/A</v>
      </c>
    </row>
    <row r="369" spans="1:7" x14ac:dyDescent="0.25">
      <c r="A369">
        <f>BIdetails!G372</f>
        <v>0</v>
      </c>
      <c r="B369">
        <f>BIdetails!H372</f>
        <v>0</v>
      </c>
      <c r="C369">
        <f>BIdetails!J372</f>
        <v>0</v>
      </c>
      <c r="D369">
        <f>BIdetails!K372</f>
        <v>0</v>
      </c>
      <c r="E369" s="168">
        <f>BIdetails!M372</f>
        <v>0</v>
      </c>
      <c r="F369" t="e">
        <f>IF(ISERROR(IF(OR(C369="#",C369=0),"",VLOOKUP(C369,'AOP24'!M:M,1,0))),"Not Found",VLOOKUP(C369,'AOP24'!M:M,1,0))</f>
        <v>#N/A</v>
      </c>
      <c r="G369" t="e">
        <f t="shared" si="5"/>
        <v>#N/A</v>
      </c>
    </row>
    <row r="370" spans="1:7" x14ac:dyDescent="0.25">
      <c r="A370">
        <f>BIdetails!G373</f>
        <v>0</v>
      </c>
      <c r="B370">
        <f>BIdetails!H373</f>
        <v>0</v>
      </c>
      <c r="C370">
        <f>BIdetails!J373</f>
        <v>0</v>
      </c>
      <c r="D370">
        <f>BIdetails!K373</f>
        <v>0</v>
      </c>
      <c r="E370" s="168">
        <f>BIdetails!M373</f>
        <v>0</v>
      </c>
      <c r="F370" t="e">
        <f>IF(ISERROR(IF(OR(C370="#",C370=0),"",VLOOKUP(C370,'AOP24'!M:M,1,0))),"Not Found",VLOOKUP(C370,'AOP24'!M:M,1,0))</f>
        <v>#N/A</v>
      </c>
      <c r="G370" t="e">
        <f t="shared" si="5"/>
        <v>#N/A</v>
      </c>
    </row>
    <row r="371" spans="1:7" x14ac:dyDescent="0.25">
      <c r="A371">
        <f>BIdetails!G374</f>
        <v>0</v>
      </c>
      <c r="B371">
        <f>BIdetails!H374</f>
        <v>0</v>
      </c>
      <c r="C371">
        <f>BIdetails!J374</f>
        <v>0</v>
      </c>
      <c r="D371">
        <f>BIdetails!K374</f>
        <v>0</v>
      </c>
      <c r="E371" s="168">
        <f>BIdetails!M374</f>
        <v>0</v>
      </c>
      <c r="F371" t="e">
        <f>IF(ISERROR(IF(OR(C371="#",C371=0),"",VLOOKUP(C371,'AOP24'!M:M,1,0))),"Not Found",VLOOKUP(C371,'AOP24'!M:M,1,0))</f>
        <v>#N/A</v>
      </c>
      <c r="G371" t="e">
        <f t="shared" si="5"/>
        <v>#N/A</v>
      </c>
    </row>
    <row r="372" spans="1:7" x14ac:dyDescent="0.25">
      <c r="A372">
        <f>BIdetails!G375</f>
        <v>0</v>
      </c>
      <c r="B372">
        <f>BIdetails!H375</f>
        <v>0</v>
      </c>
      <c r="C372">
        <f>BIdetails!J375</f>
        <v>0</v>
      </c>
      <c r="D372">
        <f>BIdetails!K375</f>
        <v>0</v>
      </c>
      <c r="E372" s="168">
        <f>BIdetails!M375</f>
        <v>0</v>
      </c>
      <c r="F372" t="e">
        <f>IF(ISERROR(IF(OR(C372="#",C372=0),"",VLOOKUP(C372,'AOP24'!M:M,1,0))),"Not Found",VLOOKUP(C372,'AOP24'!M:M,1,0))</f>
        <v>#N/A</v>
      </c>
      <c r="G372" t="e">
        <f t="shared" si="5"/>
        <v>#N/A</v>
      </c>
    </row>
    <row r="373" spans="1:7" x14ac:dyDescent="0.25">
      <c r="A373">
        <f>BIdetails!G376</f>
        <v>0</v>
      </c>
      <c r="B373">
        <f>BIdetails!H376</f>
        <v>0</v>
      </c>
      <c r="C373">
        <f>BIdetails!J376</f>
        <v>0</v>
      </c>
      <c r="D373">
        <f>BIdetails!K376</f>
        <v>0</v>
      </c>
      <c r="E373" s="168">
        <f>BIdetails!M376</f>
        <v>0</v>
      </c>
      <c r="F373" t="e">
        <f>IF(ISERROR(IF(OR(C373="#",C373=0),"",VLOOKUP(C373,'AOP24'!M:M,1,0))),"Not Found",VLOOKUP(C373,'AOP24'!M:M,1,0))</f>
        <v>#N/A</v>
      </c>
      <c r="G373" t="e">
        <f t="shared" si="5"/>
        <v>#N/A</v>
      </c>
    </row>
    <row r="374" spans="1:7" x14ac:dyDescent="0.25">
      <c r="A374">
        <f>BIdetails!G377</f>
        <v>0</v>
      </c>
      <c r="B374">
        <f>BIdetails!H377</f>
        <v>0</v>
      </c>
      <c r="C374">
        <f>BIdetails!J377</f>
        <v>0</v>
      </c>
      <c r="D374">
        <f>BIdetails!K377</f>
        <v>0</v>
      </c>
      <c r="E374" s="168">
        <f>BIdetails!M377</f>
        <v>0</v>
      </c>
      <c r="F374" t="e">
        <f>IF(ISERROR(IF(OR(C374="#",C374=0),"",VLOOKUP(C374,'AOP24'!M:M,1,0))),"Not Found",VLOOKUP(C374,'AOP24'!M:M,1,0))</f>
        <v>#N/A</v>
      </c>
      <c r="G374" t="e">
        <f t="shared" si="5"/>
        <v>#N/A</v>
      </c>
    </row>
    <row r="375" spans="1:7" x14ac:dyDescent="0.25">
      <c r="A375">
        <f>BIdetails!G378</f>
        <v>0</v>
      </c>
      <c r="B375">
        <f>BIdetails!H378</f>
        <v>0</v>
      </c>
      <c r="C375">
        <f>BIdetails!J378</f>
        <v>0</v>
      </c>
      <c r="D375">
        <f>BIdetails!K378</f>
        <v>0</v>
      </c>
      <c r="E375" s="168">
        <f>BIdetails!M378</f>
        <v>0</v>
      </c>
      <c r="F375" t="e">
        <f>IF(ISERROR(IF(OR(C375="#",C375=0),"",VLOOKUP(C375,'AOP24'!M:M,1,0))),"Not Found",VLOOKUP(C375,'AOP24'!M:M,1,0))</f>
        <v>#N/A</v>
      </c>
      <c r="G375" t="e">
        <f t="shared" si="5"/>
        <v>#N/A</v>
      </c>
    </row>
    <row r="376" spans="1:7" x14ac:dyDescent="0.25">
      <c r="A376">
        <f>BIdetails!G379</f>
        <v>0</v>
      </c>
      <c r="B376">
        <f>BIdetails!H379</f>
        <v>0</v>
      </c>
      <c r="C376">
        <f>BIdetails!J379</f>
        <v>0</v>
      </c>
      <c r="D376">
        <f>BIdetails!K379</f>
        <v>0</v>
      </c>
      <c r="E376" s="168">
        <f>BIdetails!M379</f>
        <v>0</v>
      </c>
      <c r="F376" t="e">
        <f>IF(ISERROR(IF(OR(C376="#",C376=0),"",VLOOKUP(C376,'AOP24'!M:M,1,0))),"Not Found",VLOOKUP(C376,'AOP24'!M:M,1,0))</f>
        <v>#N/A</v>
      </c>
      <c r="G376" t="e">
        <f t="shared" si="5"/>
        <v>#N/A</v>
      </c>
    </row>
    <row r="377" spans="1:7" x14ac:dyDescent="0.25">
      <c r="A377">
        <f>BIdetails!G380</f>
        <v>0</v>
      </c>
      <c r="B377">
        <f>BIdetails!H380</f>
        <v>0</v>
      </c>
      <c r="C377">
        <f>BIdetails!J380</f>
        <v>0</v>
      </c>
      <c r="D377">
        <f>BIdetails!K380</f>
        <v>0</v>
      </c>
      <c r="E377" s="168">
        <f>BIdetails!M380</f>
        <v>0</v>
      </c>
      <c r="F377" t="e">
        <f>IF(ISERROR(IF(OR(C377="#",C377=0),"",VLOOKUP(C377,'AOP24'!M:M,1,0))),"Not Found",VLOOKUP(C377,'AOP24'!M:M,1,0))</f>
        <v>#N/A</v>
      </c>
      <c r="G377" t="e">
        <f t="shared" si="5"/>
        <v>#N/A</v>
      </c>
    </row>
    <row r="378" spans="1:7" x14ac:dyDescent="0.25">
      <c r="A378">
        <f>BIdetails!G381</f>
        <v>0</v>
      </c>
      <c r="B378">
        <f>BIdetails!H381</f>
        <v>0</v>
      </c>
      <c r="C378">
        <f>BIdetails!J381</f>
        <v>0</v>
      </c>
      <c r="D378">
        <f>BIdetails!K381</f>
        <v>0</v>
      </c>
      <c r="E378" s="168">
        <f>BIdetails!M381</f>
        <v>0</v>
      </c>
      <c r="F378" t="e">
        <f>IF(ISERROR(IF(OR(C378="#",C378=0),"",VLOOKUP(C378,'AOP24'!M:M,1,0))),"Not Found",VLOOKUP(C378,'AOP24'!M:M,1,0))</f>
        <v>#N/A</v>
      </c>
      <c r="G378" t="e">
        <f t="shared" si="5"/>
        <v>#N/A</v>
      </c>
    </row>
    <row r="379" spans="1:7" x14ac:dyDescent="0.25">
      <c r="A379">
        <f>BIdetails!G382</f>
        <v>0</v>
      </c>
      <c r="B379">
        <f>BIdetails!H382</f>
        <v>0</v>
      </c>
      <c r="C379">
        <f>BIdetails!J382</f>
        <v>0</v>
      </c>
      <c r="D379">
        <f>BIdetails!K382</f>
        <v>0</v>
      </c>
      <c r="E379" s="168">
        <f>BIdetails!M382</f>
        <v>0</v>
      </c>
      <c r="F379" t="e">
        <f>IF(ISERROR(IF(OR(C379="#",C379=0),"",VLOOKUP(C379,'AOP24'!M:M,1,0))),"Not Found",VLOOKUP(C379,'AOP24'!M:M,1,0))</f>
        <v>#N/A</v>
      </c>
      <c r="G379" t="e">
        <f t="shared" si="5"/>
        <v>#N/A</v>
      </c>
    </row>
    <row r="380" spans="1:7" x14ac:dyDescent="0.25">
      <c r="A380">
        <f>BIdetails!G383</f>
        <v>0</v>
      </c>
      <c r="B380">
        <f>BIdetails!H383</f>
        <v>0</v>
      </c>
      <c r="C380">
        <f>BIdetails!J383</f>
        <v>0</v>
      </c>
      <c r="D380">
        <f>BIdetails!K383</f>
        <v>0</v>
      </c>
      <c r="E380" s="168">
        <f>BIdetails!M383</f>
        <v>0</v>
      </c>
      <c r="F380" t="e">
        <f>IF(ISERROR(IF(OR(C380="#",C380=0),"",VLOOKUP(C380,'AOP24'!M:M,1,0))),"Not Found",VLOOKUP(C380,'AOP24'!M:M,1,0))</f>
        <v>#N/A</v>
      </c>
      <c r="G380" t="e">
        <f t="shared" si="5"/>
        <v>#N/A</v>
      </c>
    </row>
    <row r="381" spans="1:7" x14ac:dyDescent="0.25">
      <c r="A381">
        <f>BIdetails!G384</f>
        <v>0</v>
      </c>
      <c r="B381">
        <f>BIdetails!H384</f>
        <v>0</v>
      </c>
      <c r="C381">
        <f>BIdetails!J384</f>
        <v>0</v>
      </c>
      <c r="D381">
        <f>BIdetails!K384</f>
        <v>0</v>
      </c>
      <c r="E381" s="168">
        <f>BIdetails!M384</f>
        <v>0</v>
      </c>
      <c r="F381" t="e">
        <f>IF(ISERROR(IF(OR(C381="#",C381=0),"",VLOOKUP(C381,'AOP24'!M:M,1,0))),"Not Found",VLOOKUP(C381,'AOP24'!M:M,1,0))</f>
        <v>#N/A</v>
      </c>
      <c r="G381" t="e">
        <f t="shared" si="5"/>
        <v>#N/A</v>
      </c>
    </row>
    <row r="382" spans="1:7" x14ac:dyDescent="0.25">
      <c r="A382">
        <f>BIdetails!G385</f>
        <v>0</v>
      </c>
      <c r="B382">
        <f>BIdetails!H385</f>
        <v>0</v>
      </c>
      <c r="C382">
        <f>BIdetails!J385</f>
        <v>0</v>
      </c>
      <c r="D382">
        <f>BIdetails!K385</f>
        <v>0</v>
      </c>
      <c r="E382" s="168">
        <f>BIdetails!M385</f>
        <v>0</v>
      </c>
      <c r="F382" t="e">
        <f>IF(ISERROR(IF(OR(C382="#",C382=0),"",VLOOKUP(C382,'AOP24'!M:M,1,0))),"Not Found",VLOOKUP(C382,'AOP24'!M:M,1,0))</f>
        <v>#N/A</v>
      </c>
      <c r="G382" t="e">
        <f t="shared" si="5"/>
        <v>#N/A</v>
      </c>
    </row>
    <row r="383" spans="1:7" x14ac:dyDescent="0.25">
      <c r="A383">
        <f>BIdetails!G386</f>
        <v>0</v>
      </c>
      <c r="B383">
        <f>BIdetails!H386</f>
        <v>0</v>
      </c>
      <c r="C383">
        <f>BIdetails!J386</f>
        <v>0</v>
      </c>
      <c r="D383">
        <f>BIdetails!K386</f>
        <v>0</v>
      </c>
      <c r="E383" s="168">
        <f>BIdetails!M386</f>
        <v>0</v>
      </c>
      <c r="F383" t="e">
        <f>IF(ISERROR(IF(OR(C383="#",C383=0),"",VLOOKUP(C383,'AOP24'!M:M,1,0))),"Not Found",VLOOKUP(C383,'AOP24'!M:M,1,0))</f>
        <v>#N/A</v>
      </c>
      <c r="G383" t="e">
        <f t="shared" si="5"/>
        <v>#N/A</v>
      </c>
    </row>
    <row r="384" spans="1:7" x14ac:dyDescent="0.25">
      <c r="A384">
        <f>BIdetails!G387</f>
        <v>0</v>
      </c>
      <c r="B384">
        <f>BIdetails!H387</f>
        <v>0</v>
      </c>
      <c r="C384">
        <f>BIdetails!J387</f>
        <v>0</v>
      </c>
      <c r="D384">
        <f>BIdetails!K387</f>
        <v>0</v>
      </c>
      <c r="E384" s="168">
        <f>BIdetails!M387</f>
        <v>0</v>
      </c>
      <c r="F384" t="e">
        <f>IF(ISERROR(IF(OR(C384="#",C384=0),"",VLOOKUP(C384,'AOP24'!M:M,1,0))),"Not Found",VLOOKUP(C384,'AOP24'!M:M,1,0))</f>
        <v>#N/A</v>
      </c>
      <c r="G384" t="e">
        <f t="shared" si="5"/>
        <v>#N/A</v>
      </c>
    </row>
    <row r="385" spans="1:7" x14ac:dyDescent="0.25">
      <c r="A385">
        <f>BIdetails!G388</f>
        <v>0</v>
      </c>
      <c r="B385">
        <f>BIdetails!H388</f>
        <v>0</v>
      </c>
      <c r="C385">
        <f>BIdetails!J388</f>
        <v>0</v>
      </c>
      <c r="D385">
        <f>BIdetails!K388</f>
        <v>0</v>
      </c>
      <c r="E385" s="168">
        <f>BIdetails!M388</f>
        <v>0</v>
      </c>
      <c r="F385" t="e">
        <f>IF(ISERROR(IF(OR(C385="#",C385=0),"",VLOOKUP(C385,'AOP24'!M:M,1,0))),"Not Found",VLOOKUP(C385,'AOP24'!M:M,1,0))</f>
        <v>#N/A</v>
      </c>
      <c r="G385" t="e">
        <f t="shared" si="5"/>
        <v>#N/A</v>
      </c>
    </row>
    <row r="386" spans="1:7" x14ac:dyDescent="0.25">
      <c r="A386">
        <f>BIdetails!G389</f>
        <v>0</v>
      </c>
      <c r="B386">
        <f>BIdetails!H389</f>
        <v>0</v>
      </c>
      <c r="C386">
        <f>BIdetails!J389</f>
        <v>0</v>
      </c>
      <c r="D386">
        <f>BIdetails!K389</f>
        <v>0</v>
      </c>
      <c r="E386" s="168">
        <f>BIdetails!M389</f>
        <v>0</v>
      </c>
      <c r="F386" t="e">
        <f>IF(ISERROR(IF(OR(C386="#",C386=0),"",VLOOKUP(C386,'AOP24'!M:M,1,0))),"Not Found",VLOOKUP(C386,'AOP24'!M:M,1,0))</f>
        <v>#N/A</v>
      </c>
      <c r="G386" t="e">
        <f t="shared" si="5"/>
        <v>#N/A</v>
      </c>
    </row>
    <row r="387" spans="1:7" x14ac:dyDescent="0.25">
      <c r="A387">
        <f>BIdetails!G390</f>
        <v>0</v>
      </c>
      <c r="B387">
        <f>BIdetails!H390</f>
        <v>0</v>
      </c>
      <c r="C387">
        <f>BIdetails!J390</f>
        <v>0</v>
      </c>
      <c r="D387">
        <f>BIdetails!K390</f>
        <v>0</v>
      </c>
      <c r="E387" s="168">
        <f>BIdetails!M390</f>
        <v>0</v>
      </c>
      <c r="F387" t="e">
        <f>IF(ISERROR(IF(OR(C387="#",C387=0),"",VLOOKUP(C387,'AOP24'!M:M,1,0))),"Not Found",VLOOKUP(C387,'AOP24'!M:M,1,0))</f>
        <v>#N/A</v>
      </c>
      <c r="G387" t="e">
        <f t="shared" ref="G387:G450" si="6">IF(NOT(ISERROR(VLOOKUP(C387,$K$2:$K$50,1,0))),"Y",VLOOKUP(C387,$K$2:$K$50,1,0))</f>
        <v>#N/A</v>
      </c>
    </row>
    <row r="388" spans="1:7" x14ac:dyDescent="0.25">
      <c r="A388">
        <f>BIdetails!G391</f>
        <v>0</v>
      </c>
      <c r="B388">
        <f>BIdetails!H391</f>
        <v>0</v>
      </c>
      <c r="C388">
        <f>BIdetails!J391</f>
        <v>0</v>
      </c>
      <c r="D388">
        <f>BIdetails!K391</f>
        <v>0</v>
      </c>
      <c r="E388" s="168">
        <f>BIdetails!M391</f>
        <v>0</v>
      </c>
      <c r="F388" t="e">
        <f>IF(ISERROR(IF(OR(C388="#",C388=0),"",VLOOKUP(C388,'AOP24'!M:M,1,0))),"Not Found",VLOOKUP(C388,'AOP24'!M:M,1,0))</f>
        <v>#N/A</v>
      </c>
      <c r="G388" t="e">
        <f t="shared" si="6"/>
        <v>#N/A</v>
      </c>
    </row>
    <row r="389" spans="1:7" x14ac:dyDescent="0.25">
      <c r="A389">
        <f>BIdetails!G392</f>
        <v>0</v>
      </c>
      <c r="B389">
        <f>BIdetails!H392</f>
        <v>0</v>
      </c>
      <c r="C389">
        <f>BIdetails!J392</f>
        <v>0</v>
      </c>
      <c r="D389">
        <f>BIdetails!K392</f>
        <v>0</v>
      </c>
      <c r="E389" s="168">
        <f>BIdetails!M392</f>
        <v>0</v>
      </c>
      <c r="F389" t="e">
        <f>IF(ISERROR(IF(OR(C389="#",C389=0),"",VLOOKUP(C389,'AOP24'!M:M,1,0))),"Not Found",VLOOKUP(C389,'AOP24'!M:M,1,0))</f>
        <v>#N/A</v>
      </c>
      <c r="G389" t="e">
        <f t="shared" si="6"/>
        <v>#N/A</v>
      </c>
    </row>
    <row r="390" spans="1:7" x14ac:dyDescent="0.25">
      <c r="A390">
        <f>BIdetails!G393</f>
        <v>0</v>
      </c>
      <c r="B390">
        <f>BIdetails!H393</f>
        <v>0</v>
      </c>
      <c r="C390">
        <f>BIdetails!J393</f>
        <v>0</v>
      </c>
      <c r="D390">
        <f>BIdetails!K393</f>
        <v>0</v>
      </c>
      <c r="E390" s="168">
        <f>BIdetails!M393</f>
        <v>0</v>
      </c>
      <c r="F390" t="e">
        <f>IF(ISERROR(IF(OR(C390="#",C390=0),"",VLOOKUP(C390,'AOP24'!M:M,1,0))),"Not Found",VLOOKUP(C390,'AOP24'!M:M,1,0))</f>
        <v>#N/A</v>
      </c>
      <c r="G390" t="e">
        <f t="shared" si="6"/>
        <v>#N/A</v>
      </c>
    </row>
    <row r="391" spans="1:7" x14ac:dyDescent="0.25">
      <c r="A391">
        <f>BIdetails!G394</f>
        <v>0</v>
      </c>
      <c r="B391">
        <f>BIdetails!H394</f>
        <v>0</v>
      </c>
      <c r="C391">
        <f>BIdetails!J394</f>
        <v>0</v>
      </c>
      <c r="D391">
        <f>BIdetails!K394</f>
        <v>0</v>
      </c>
      <c r="E391" s="168">
        <f>BIdetails!M394</f>
        <v>0</v>
      </c>
      <c r="F391" t="e">
        <f>IF(ISERROR(IF(OR(C391="#",C391=0),"",VLOOKUP(C391,'AOP24'!M:M,1,0))),"Not Found",VLOOKUP(C391,'AOP24'!M:M,1,0))</f>
        <v>#N/A</v>
      </c>
      <c r="G391" t="e">
        <f t="shared" si="6"/>
        <v>#N/A</v>
      </c>
    </row>
    <row r="392" spans="1:7" x14ac:dyDescent="0.25">
      <c r="A392">
        <f>BIdetails!G395</f>
        <v>0</v>
      </c>
      <c r="B392">
        <f>BIdetails!H395</f>
        <v>0</v>
      </c>
      <c r="C392">
        <f>BIdetails!J395</f>
        <v>0</v>
      </c>
      <c r="D392">
        <f>BIdetails!K395</f>
        <v>0</v>
      </c>
      <c r="E392" s="168">
        <f>BIdetails!M395</f>
        <v>0</v>
      </c>
      <c r="F392" t="e">
        <f>IF(ISERROR(IF(OR(C392="#",C392=0),"",VLOOKUP(C392,'AOP24'!M:M,1,0))),"Not Found",VLOOKUP(C392,'AOP24'!M:M,1,0))</f>
        <v>#N/A</v>
      </c>
      <c r="G392" t="e">
        <f t="shared" si="6"/>
        <v>#N/A</v>
      </c>
    </row>
    <row r="393" spans="1:7" x14ac:dyDescent="0.25">
      <c r="A393">
        <f>BIdetails!G396</f>
        <v>0</v>
      </c>
      <c r="B393">
        <f>BIdetails!H396</f>
        <v>0</v>
      </c>
      <c r="C393">
        <f>BIdetails!J396</f>
        <v>0</v>
      </c>
      <c r="D393">
        <f>BIdetails!K396</f>
        <v>0</v>
      </c>
      <c r="E393" s="168">
        <f>BIdetails!M396</f>
        <v>0</v>
      </c>
      <c r="F393" t="e">
        <f>IF(ISERROR(IF(OR(C393="#",C393=0),"",VLOOKUP(C393,'AOP24'!M:M,1,0))),"Not Found",VLOOKUP(C393,'AOP24'!M:M,1,0))</f>
        <v>#N/A</v>
      </c>
      <c r="G393" t="e">
        <f t="shared" si="6"/>
        <v>#N/A</v>
      </c>
    </row>
    <row r="394" spans="1:7" x14ac:dyDescent="0.25">
      <c r="A394">
        <f>BIdetails!G397</f>
        <v>0</v>
      </c>
      <c r="B394">
        <f>BIdetails!H397</f>
        <v>0</v>
      </c>
      <c r="C394">
        <f>BIdetails!J397</f>
        <v>0</v>
      </c>
      <c r="D394">
        <f>BIdetails!K397</f>
        <v>0</v>
      </c>
      <c r="E394" s="168">
        <f>BIdetails!M397</f>
        <v>0</v>
      </c>
      <c r="F394" t="e">
        <f>IF(ISERROR(IF(OR(C394="#",C394=0),"",VLOOKUP(C394,'AOP24'!M:M,1,0))),"Not Found",VLOOKUP(C394,'AOP24'!M:M,1,0))</f>
        <v>#N/A</v>
      </c>
      <c r="G394" t="e">
        <f t="shared" si="6"/>
        <v>#N/A</v>
      </c>
    </row>
    <row r="395" spans="1:7" x14ac:dyDescent="0.25">
      <c r="A395">
        <f>BIdetails!G398</f>
        <v>0</v>
      </c>
      <c r="B395">
        <f>BIdetails!H398</f>
        <v>0</v>
      </c>
      <c r="C395">
        <f>BIdetails!J398</f>
        <v>0</v>
      </c>
      <c r="D395">
        <f>BIdetails!K398</f>
        <v>0</v>
      </c>
      <c r="E395" s="168">
        <f>BIdetails!M398</f>
        <v>0</v>
      </c>
      <c r="F395" t="e">
        <f>IF(ISERROR(IF(OR(C395="#",C395=0),"",VLOOKUP(C395,'AOP24'!M:M,1,0))),"Not Found",VLOOKUP(C395,'AOP24'!M:M,1,0))</f>
        <v>#N/A</v>
      </c>
      <c r="G395" t="e">
        <f t="shared" si="6"/>
        <v>#N/A</v>
      </c>
    </row>
    <row r="396" spans="1:7" x14ac:dyDescent="0.25">
      <c r="A396">
        <f>BIdetails!G399</f>
        <v>0</v>
      </c>
      <c r="B396">
        <f>BIdetails!H399</f>
        <v>0</v>
      </c>
      <c r="C396">
        <f>BIdetails!J399</f>
        <v>0</v>
      </c>
      <c r="D396">
        <f>BIdetails!K399</f>
        <v>0</v>
      </c>
      <c r="E396" s="168">
        <f>BIdetails!M399</f>
        <v>0</v>
      </c>
      <c r="F396" t="e">
        <f>IF(ISERROR(IF(OR(C396="#",C396=0),"",VLOOKUP(C396,'AOP24'!M:M,1,0))),"Not Found",VLOOKUP(C396,'AOP24'!M:M,1,0))</f>
        <v>#N/A</v>
      </c>
      <c r="G396" t="e">
        <f t="shared" si="6"/>
        <v>#N/A</v>
      </c>
    </row>
    <row r="397" spans="1:7" x14ac:dyDescent="0.25">
      <c r="A397">
        <f>BIdetails!G400</f>
        <v>0</v>
      </c>
      <c r="B397">
        <f>BIdetails!H400</f>
        <v>0</v>
      </c>
      <c r="C397">
        <f>BIdetails!J400</f>
        <v>0</v>
      </c>
      <c r="D397">
        <f>BIdetails!K400</f>
        <v>0</v>
      </c>
      <c r="E397" s="168">
        <f>BIdetails!M400</f>
        <v>0</v>
      </c>
      <c r="F397" t="e">
        <f>IF(ISERROR(IF(OR(C397="#",C397=0),"",VLOOKUP(C397,'AOP24'!M:M,1,0))),"Not Found",VLOOKUP(C397,'AOP24'!M:M,1,0))</f>
        <v>#N/A</v>
      </c>
      <c r="G397" t="e">
        <f t="shared" si="6"/>
        <v>#N/A</v>
      </c>
    </row>
    <row r="398" spans="1:7" x14ac:dyDescent="0.25">
      <c r="A398">
        <f>BIdetails!G401</f>
        <v>0</v>
      </c>
      <c r="B398">
        <f>BIdetails!H401</f>
        <v>0</v>
      </c>
      <c r="C398">
        <f>BIdetails!J401</f>
        <v>0</v>
      </c>
      <c r="D398">
        <f>BIdetails!K401</f>
        <v>0</v>
      </c>
      <c r="E398" s="168">
        <f>BIdetails!M401</f>
        <v>0</v>
      </c>
      <c r="F398" t="e">
        <f>IF(ISERROR(IF(OR(C398="#",C398=0),"",VLOOKUP(C398,'AOP24'!M:M,1,0))),"Not Found",VLOOKUP(C398,'AOP24'!M:M,1,0))</f>
        <v>#N/A</v>
      </c>
      <c r="G398" t="e">
        <f t="shared" si="6"/>
        <v>#N/A</v>
      </c>
    </row>
    <row r="399" spans="1:7" x14ac:dyDescent="0.25">
      <c r="A399">
        <f>BIdetails!G402</f>
        <v>0</v>
      </c>
      <c r="B399">
        <f>BIdetails!H402</f>
        <v>0</v>
      </c>
      <c r="C399">
        <f>BIdetails!J402</f>
        <v>0</v>
      </c>
      <c r="D399">
        <f>BIdetails!K402</f>
        <v>0</v>
      </c>
      <c r="E399" s="168">
        <f>BIdetails!M402</f>
        <v>0</v>
      </c>
      <c r="F399" t="e">
        <f>IF(ISERROR(IF(OR(C399="#",C399=0),"",VLOOKUP(C399,'AOP24'!M:M,1,0))),"Not Found",VLOOKUP(C399,'AOP24'!M:M,1,0))</f>
        <v>#N/A</v>
      </c>
      <c r="G399" t="e">
        <f t="shared" si="6"/>
        <v>#N/A</v>
      </c>
    </row>
    <row r="400" spans="1:7" x14ac:dyDescent="0.25">
      <c r="A400">
        <f>BIdetails!G403</f>
        <v>0</v>
      </c>
      <c r="B400">
        <f>BIdetails!H403</f>
        <v>0</v>
      </c>
      <c r="C400">
        <f>BIdetails!J403</f>
        <v>0</v>
      </c>
      <c r="D400">
        <f>BIdetails!K403</f>
        <v>0</v>
      </c>
      <c r="E400" s="168">
        <f>BIdetails!M403</f>
        <v>0</v>
      </c>
      <c r="F400" t="e">
        <f>IF(ISERROR(IF(OR(C400="#",C400=0),"",VLOOKUP(C400,'AOP24'!M:M,1,0))),"Not Found",VLOOKUP(C400,'AOP24'!M:M,1,0))</f>
        <v>#N/A</v>
      </c>
      <c r="G400" t="e">
        <f t="shared" si="6"/>
        <v>#N/A</v>
      </c>
    </row>
    <row r="401" spans="1:7" x14ac:dyDescent="0.25">
      <c r="A401">
        <f>BIdetails!G404</f>
        <v>0</v>
      </c>
      <c r="B401">
        <f>BIdetails!H404</f>
        <v>0</v>
      </c>
      <c r="C401">
        <f>BIdetails!J404</f>
        <v>0</v>
      </c>
      <c r="D401">
        <f>BIdetails!K404</f>
        <v>0</v>
      </c>
      <c r="E401" s="168">
        <f>BIdetails!M404</f>
        <v>0</v>
      </c>
      <c r="F401" t="e">
        <f>IF(ISERROR(IF(OR(C401="#",C401=0),"",VLOOKUP(C401,'AOP24'!M:M,1,0))),"Not Found",VLOOKUP(C401,'AOP24'!M:M,1,0))</f>
        <v>#N/A</v>
      </c>
      <c r="G401" t="e">
        <f t="shared" si="6"/>
        <v>#N/A</v>
      </c>
    </row>
    <row r="402" spans="1:7" x14ac:dyDescent="0.25">
      <c r="A402">
        <f>BIdetails!G405</f>
        <v>0</v>
      </c>
      <c r="B402">
        <f>BIdetails!H405</f>
        <v>0</v>
      </c>
      <c r="C402">
        <f>BIdetails!J405</f>
        <v>0</v>
      </c>
      <c r="D402">
        <f>BIdetails!K405</f>
        <v>0</v>
      </c>
      <c r="E402" s="168">
        <f>BIdetails!M405</f>
        <v>0</v>
      </c>
      <c r="F402" t="e">
        <f>IF(ISERROR(IF(OR(C402="#",C402=0),"",VLOOKUP(C402,'AOP24'!M:M,1,0))),"Not Found",VLOOKUP(C402,'AOP24'!M:M,1,0))</f>
        <v>#N/A</v>
      </c>
      <c r="G402" t="e">
        <f t="shared" si="6"/>
        <v>#N/A</v>
      </c>
    </row>
    <row r="403" spans="1:7" x14ac:dyDescent="0.25">
      <c r="A403">
        <f>BIdetails!G406</f>
        <v>0</v>
      </c>
      <c r="B403">
        <f>BIdetails!H406</f>
        <v>0</v>
      </c>
      <c r="C403">
        <f>BIdetails!J406</f>
        <v>0</v>
      </c>
      <c r="D403">
        <f>BIdetails!K406</f>
        <v>0</v>
      </c>
      <c r="E403" s="168">
        <f>BIdetails!M406</f>
        <v>0</v>
      </c>
      <c r="F403" t="e">
        <f>IF(ISERROR(IF(OR(C403="#",C403=0),"",VLOOKUP(C403,'AOP24'!M:M,1,0))),"Not Found",VLOOKUP(C403,'AOP24'!M:M,1,0))</f>
        <v>#N/A</v>
      </c>
      <c r="G403" t="e">
        <f t="shared" si="6"/>
        <v>#N/A</v>
      </c>
    </row>
    <row r="404" spans="1:7" x14ac:dyDescent="0.25">
      <c r="A404">
        <f>BIdetails!G407</f>
        <v>0</v>
      </c>
      <c r="B404">
        <f>BIdetails!H407</f>
        <v>0</v>
      </c>
      <c r="C404">
        <f>BIdetails!J407</f>
        <v>0</v>
      </c>
      <c r="D404">
        <f>BIdetails!K407</f>
        <v>0</v>
      </c>
      <c r="E404" s="168">
        <f>BIdetails!M407</f>
        <v>0</v>
      </c>
      <c r="F404" t="e">
        <f>IF(ISERROR(IF(OR(C404="#",C404=0),"",VLOOKUP(C404,'AOP24'!M:M,1,0))),"Not Found",VLOOKUP(C404,'AOP24'!M:M,1,0))</f>
        <v>#N/A</v>
      </c>
      <c r="G404" t="e">
        <f t="shared" si="6"/>
        <v>#N/A</v>
      </c>
    </row>
    <row r="405" spans="1:7" x14ac:dyDescent="0.25">
      <c r="A405">
        <f>BIdetails!G408</f>
        <v>0</v>
      </c>
      <c r="B405">
        <f>BIdetails!H408</f>
        <v>0</v>
      </c>
      <c r="C405">
        <f>BIdetails!J408</f>
        <v>0</v>
      </c>
      <c r="D405">
        <f>BIdetails!K408</f>
        <v>0</v>
      </c>
      <c r="E405" s="168">
        <f>BIdetails!M408</f>
        <v>0</v>
      </c>
      <c r="F405" t="e">
        <f>IF(ISERROR(IF(OR(C405="#",C405=0),"",VLOOKUP(C405,'AOP24'!M:M,1,0))),"Not Found",VLOOKUP(C405,'AOP24'!M:M,1,0))</f>
        <v>#N/A</v>
      </c>
      <c r="G405" t="e">
        <f t="shared" si="6"/>
        <v>#N/A</v>
      </c>
    </row>
    <row r="406" spans="1:7" x14ac:dyDescent="0.25">
      <c r="A406">
        <f>BIdetails!G409</f>
        <v>0</v>
      </c>
      <c r="B406">
        <f>BIdetails!H409</f>
        <v>0</v>
      </c>
      <c r="C406">
        <f>BIdetails!J409</f>
        <v>0</v>
      </c>
      <c r="D406">
        <f>BIdetails!K409</f>
        <v>0</v>
      </c>
      <c r="E406" s="168">
        <f>BIdetails!M409</f>
        <v>0</v>
      </c>
      <c r="F406" t="e">
        <f>IF(ISERROR(IF(OR(C406="#",C406=0),"",VLOOKUP(C406,'AOP24'!M:M,1,0))),"Not Found",VLOOKUP(C406,'AOP24'!M:M,1,0))</f>
        <v>#N/A</v>
      </c>
      <c r="G406" t="e">
        <f t="shared" si="6"/>
        <v>#N/A</v>
      </c>
    </row>
    <row r="407" spans="1:7" x14ac:dyDescent="0.25">
      <c r="A407">
        <f>BIdetails!G410</f>
        <v>0</v>
      </c>
      <c r="B407">
        <f>BIdetails!H410</f>
        <v>0</v>
      </c>
      <c r="C407">
        <f>BIdetails!J410</f>
        <v>0</v>
      </c>
      <c r="D407">
        <f>BIdetails!K410</f>
        <v>0</v>
      </c>
      <c r="E407" s="168">
        <f>BIdetails!M410</f>
        <v>0</v>
      </c>
      <c r="F407" t="e">
        <f>IF(ISERROR(IF(OR(C407="#",C407=0),"",VLOOKUP(C407,'AOP24'!M:M,1,0))),"Not Found",VLOOKUP(C407,'AOP24'!M:M,1,0))</f>
        <v>#N/A</v>
      </c>
      <c r="G407" t="e">
        <f t="shared" si="6"/>
        <v>#N/A</v>
      </c>
    </row>
    <row r="408" spans="1:7" x14ac:dyDescent="0.25">
      <c r="A408">
        <f>BIdetails!G411</f>
        <v>0</v>
      </c>
      <c r="B408">
        <f>BIdetails!H411</f>
        <v>0</v>
      </c>
      <c r="C408">
        <f>BIdetails!J411</f>
        <v>0</v>
      </c>
      <c r="D408">
        <f>BIdetails!K411</f>
        <v>0</v>
      </c>
      <c r="E408" s="168">
        <f>BIdetails!M411</f>
        <v>0</v>
      </c>
      <c r="F408" t="e">
        <f>IF(ISERROR(IF(OR(C408="#",C408=0),"",VLOOKUP(C408,'AOP24'!M:M,1,0))),"Not Found",VLOOKUP(C408,'AOP24'!M:M,1,0))</f>
        <v>#N/A</v>
      </c>
      <c r="G408" t="e">
        <f t="shared" si="6"/>
        <v>#N/A</v>
      </c>
    </row>
    <row r="409" spans="1:7" x14ac:dyDescent="0.25">
      <c r="A409">
        <f>BIdetails!G412</f>
        <v>0</v>
      </c>
      <c r="B409">
        <f>BIdetails!H412</f>
        <v>0</v>
      </c>
      <c r="C409">
        <f>BIdetails!J412</f>
        <v>0</v>
      </c>
      <c r="D409">
        <f>BIdetails!K412</f>
        <v>0</v>
      </c>
      <c r="E409" s="168">
        <f>BIdetails!M412</f>
        <v>0</v>
      </c>
      <c r="F409" t="e">
        <f>IF(ISERROR(IF(OR(C409="#",C409=0),"",VLOOKUP(C409,'AOP24'!M:M,1,0))),"Not Found",VLOOKUP(C409,'AOP24'!M:M,1,0))</f>
        <v>#N/A</v>
      </c>
      <c r="G409" t="e">
        <f t="shared" si="6"/>
        <v>#N/A</v>
      </c>
    </row>
    <row r="410" spans="1:7" x14ac:dyDescent="0.25">
      <c r="A410">
        <f>BIdetails!G413</f>
        <v>0</v>
      </c>
      <c r="B410">
        <f>BIdetails!H413</f>
        <v>0</v>
      </c>
      <c r="C410">
        <f>BIdetails!J413</f>
        <v>0</v>
      </c>
      <c r="D410">
        <f>BIdetails!K413</f>
        <v>0</v>
      </c>
      <c r="E410" s="168">
        <f>BIdetails!M413</f>
        <v>0</v>
      </c>
      <c r="F410" t="e">
        <f>IF(ISERROR(IF(OR(C410="#",C410=0),"",VLOOKUP(C410,'AOP24'!M:M,1,0))),"Not Found",VLOOKUP(C410,'AOP24'!M:M,1,0))</f>
        <v>#N/A</v>
      </c>
      <c r="G410" t="e">
        <f t="shared" si="6"/>
        <v>#N/A</v>
      </c>
    </row>
    <row r="411" spans="1:7" x14ac:dyDescent="0.25">
      <c r="A411">
        <f>BIdetails!G414</f>
        <v>0</v>
      </c>
      <c r="B411">
        <f>BIdetails!H414</f>
        <v>0</v>
      </c>
      <c r="C411">
        <f>BIdetails!J414</f>
        <v>0</v>
      </c>
      <c r="D411">
        <f>BIdetails!K414</f>
        <v>0</v>
      </c>
      <c r="E411" s="168">
        <f>BIdetails!M414</f>
        <v>0</v>
      </c>
      <c r="F411" t="e">
        <f>IF(ISERROR(IF(OR(C411="#",C411=0),"",VLOOKUP(C411,'AOP24'!M:M,1,0))),"Not Found",VLOOKUP(C411,'AOP24'!M:M,1,0))</f>
        <v>#N/A</v>
      </c>
      <c r="G411" t="e">
        <f t="shared" si="6"/>
        <v>#N/A</v>
      </c>
    </row>
    <row r="412" spans="1:7" x14ac:dyDescent="0.25">
      <c r="A412">
        <f>BIdetails!G415</f>
        <v>0</v>
      </c>
      <c r="B412">
        <f>BIdetails!H415</f>
        <v>0</v>
      </c>
      <c r="C412">
        <f>BIdetails!J415</f>
        <v>0</v>
      </c>
      <c r="D412">
        <f>BIdetails!K415</f>
        <v>0</v>
      </c>
      <c r="E412" s="168">
        <f>BIdetails!M415</f>
        <v>0</v>
      </c>
      <c r="F412" t="e">
        <f>IF(ISERROR(IF(OR(C412="#",C412=0),"",VLOOKUP(C412,'AOP24'!M:M,1,0))),"Not Found",VLOOKUP(C412,'AOP24'!M:M,1,0))</f>
        <v>#N/A</v>
      </c>
      <c r="G412" t="e">
        <f t="shared" si="6"/>
        <v>#N/A</v>
      </c>
    </row>
    <row r="413" spans="1:7" x14ac:dyDescent="0.25">
      <c r="A413">
        <f>BIdetails!G416</f>
        <v>0</v>
      </c>
      <c r="B413">
        <f>BIdetails!H416</f>
        <v>0</v>
      </c>
      <c r="C413">
        <f>BIdetails!J416</f>
        <v>0</v>
      </c>
      <c r="D413">
        <f>BIdetails!K416</f>
        <v>0</v>
      </c>
      <c r="E413" s="168">
        <f>BIdetails!M416</f>
        <v>0</v>
      </c>
      <c r="F413" t="e">
        <f>IF(ISERROR(IF(OR(C413="#",C413=0),"",VLOOKUP(C413,'AOP24'!M:M,1,0))),"Not Found",VLOOKUP(C413,'AOP24'!M:M,1,0))</f>
        <v>#N/A</v>
      </c>
      <c r="G413" t="e">
        <f t="shared" si="6"/>
        <v>#N/A</v>
      </c>
    </row>
    <row r="414" spans="1:7" x14ac:dyDescent="0.25">
      <c r="A414">
        <f>BIdetails!G417</f>
        <v>0</v>
      </c>
      <c r="B414">
        <f>BIdetails!H417</f>
        <v>0</v>
      </c>
      <c r="C414">
        <f>BIdetails!J417</f>
        <v>0</v>
      </c>
      <c r="D414">
        <f>BIdetails!K417</f>
        <v>0</v>
      </c>
      <c r="E414" s="168">
        <f>BIdetails!M417</f>
        <v>0</v>
      </c>
      <c r="F414" t="e">
        <f>IF(ISERROR(IF(OR(C414="#",C414=0),"",VLOOKUP(C414,'AOP24'!M:M,1,0))),"Not Found",VLOOKUP(C414,'AOP24'!M:M,1,0))</f>
        <v>#N/A</v>
      </c>
      <c r="G414" t="e">
        <f t="shared" si="6"/>
        <v>#N/A</v>
      </c>
    </row>
    <row r="415" spans="1:7" x14ac:dyDescent="0.25">
      <c r="A415">
        <f>BIdetails!G418</f>
        <v>0</v>
      </c>
      <c r="B415">
        <f>BIdetails!H418</f>
        <v>0</v>
      </c>
      <c r="C415">
        <f>BIdetails!J418</f>
        <v>0</v>
      </c>
      <c r="D415">
        <f>BIdetails!K418</f>
        <v>0</v>
      </c>
      <c r="E415" s="168">
        <f>BIdetails!M418</f>
        <v>0</v>
      </c>
      <c r="F415" t="e">
        <f>IF(ISERROR(IF(OR(C415="#",C415=0),"",VLOOKUP(C415,'AOP24'!M:M,1,0))),"Not Found",VLOOKUP(C415,'AOP24'!M:M,1,0))</f>
        <v>#N/A</v>
      </c>
      <c r="G415" t="e">
        <f t="shared" si="6"/>
        <v>#N/A</v>
      </c>
    </row>
    <row r="416" spans="1:7" x14ac:dyDescent="0.25">
      <c r="A416">
        <f>BIdetails!G419</f>
        <v>0</v>
      </c>
      <c r="B416">
        <f>BIdetails!H419</f>
        <v>0</v>
      </c>
      <c r="C416">
        <f>BIdetails!J419</f>
        <v>0</v>
      </c>
      <c r="D416">
        <f>BIdetails!K419</f>
        <v>0</v>
      </c>
      <c r="E416" s="168">
        <f>BIdetails!M419</f>
        <v>0</v>
      </c>
      <c r="F416" t="e">
        <f>IF(ISERROR(IF(OR(C416="#",C416=0),"",VLOOKUP(C416,'AOP24'!M:M,1,0))),"Not Found",VLOOKUP(C416,'AOP24'!M:M,1,0))</f>
        <v>#N/A</v>
      </c>
      <c r="G416" t="e">
        <f t="shared" si="6"/>
        <v>#N/A</v>
      </c>
    </row>
    <row r="417" spans="1:7" x14ac:dyDescent="0.25">
      <c r="A417">
        <f>BIdetails!G420</f>
        <v>0</v>
      </c>
      <c r="B417">
        <f>BIdetails!H420</f>
        <v>0</v>
      </c>
      <c r="C417">
        <f>BIdetails!J420</f>
        <v>0</v>
      </c>
      <c r="D417">
        <f>BIdetails!K420</f>
        <v>0</v>
      </c>
      <c r="E417" s="168">
        <f>BIdetails!M420</f>
        <v>0</v>
      </c>
      <c r="F417" t="e">
        <f>IF(ISERROR(IF(OR(C417="#",C417=0),"",VLOOKUP(C417,'AOP24'!M:M,1,0))),"Not Found",VLOOKUP(C417,'AOP24'!M:M,1,0))</f>
        <v>#N/A</v>
      </c>
      <c r="G417" t="e">
        <f t="shared" si="6"/>
        <v>#N/A</v>
      </c>
    </row>
    <row r="418" spans="1:7" x14ac:dyDescent="0.25">
      <c r="A418">
        <f>BIdetails!G421</f>
        <v>0</v>
      </c>
      <c r="B418">
        <f>BIdetails!H421</f>
        <v>0</v>
      </c>
      <c r="C418">
        <f>BIdetails!J421</f>
        <v>0</v>
      </c>
      <c r="D418">
        <f>BIdetails!K421</f>
        <v>0</v>
      </c>
      <c r="E418" s="168">
        <f>BIdetails!M421</f>
        <v>0</v>
      </c>
      <c r="F418" t="e">
        <f>IF(ISERROR(IF(OR(C418="#",C418=0),"",VLOOKUP(C418,'AOP24'!M:M,1,0))),"Not Found",VLOOKUP(C418,'AOP24'!M:M,1,0))</f>
        <v>#N/A</v>
      </c>
      <c r="G418" t="e">
        <f t="shared" si="6"/>
        <v>#N/A</v>
      </c>
    </row>
    <row r="419" spans="1:7" x14ac:dyDescent="0.25">
      <c r="A419">
        <f>BIdetails!G422</f>
        <v>0</v>
      </c>
      <c r="B419">
        <f>BIdetails!H422</f>
        <v>0</v>
      </c>
      <c r="C419">
        <f>BIdetails!J422</f>
        <v>0</v>
      </c>
      <c r="D419">
        <f>BIdetails!K422</f>
        <v>0</v>
      </c>
      <c r="E419" s="168">
        <f>BIdetails!M422</f>
        <v>0</v>
      </c>
      <c r="F419" t="e">
        <f>IF(ISERROR(IF(OR(C419="#",C419=0),"",VLOOKUP(C419,'AOP24'!M:M,1,0))),"Not Found",VLOOKUP(C419,'AOP24'!M:M,1,0))</f>
        <v>#N/A</v>
      </c>
      <c r="G419" t="e">
        <f t="shared" si="6"/>
        <v>#N/A</v>
      </c>
    </row>
    <row r="420" spans="1:7" x14ac:dyDescent="0.25">
      <c r="A420">
        <f>BIdetails!G423</f>
        <v>0</v>
      </c>
      <c r="B420">
        <f>BIdetails!H423</f>
        <v>0</v>
      </c>
      <c r="C420">
        <f>BIdetails!J423</f>
        <v>0</v>
      </c>
      <c r="D420">
        <f>BIdetails!K423</f>
        <v>0</v>
      </c>
      <c r="E420" s="168">
        <f>BIdetails!M423</f>
        <v>0</v>
      </c>
      <c r="F420" t="e">
        <f>IF(ISERROR(IF(OR(C420="#",C420=0),"",VLOOKUP(C420,'AOP24'!M:M,1,0))),"Not Found",VLOOKUP(C420,'AOP24'!M:M,1,0))</f>
        <v>#N/A</v>
      </c>
      <c r="G420" t="e">
        <f t="shared" si="6"/>
        <v>#N/A</v>
      </c>
    </row>
    <row r="421" spans="1:7" x14ac:dyDescent="0.25">
      <c r="A421">
        <f>BIdetails!G424</f>
        <v>0</v>
      </c>
      <c r="B421">
        <f>BIdetails!H424</f>
        <v>0</v>
      </c>
      <c r="C421">
        <f>BIdetails!J424</f>
        <v>0</v>
      </c>
      <c r="D421">
        <f>BIdetails!K424</f>
        <v>0</v>
      </c>
      <c r="E421" s="168">
        <f>BIdetails!M424</f>
        <v>0</v>
      </c>
      <c r="F421" t="e">
        <f>IF(ISERROR(IF(OR(C421="#",C421=0),"",VLOOKUP(C421,'AOP24'!M:M,1,0))),"Not Found",VLOOKUP(C421,'AOP24'!M:M,1,0))</f>
        <v>#N/A</v>
      </c>
      <c r="G421" t="e">
        <f t="shared" si="6"/>
        <v>#N/A</v>
      </c>
    </row>
    <row r="422" spans="1:7" x14ac:dyDescent="0.25">
      <c r="A422">
        <f>BIdetails!G425</f>
        <v>0</v>
      </c>
      <c r="B422">
        <f>BIdetails!H425</f>
        <v>0</v>
      </c>
      <c r="C422">
        <f>BIdetails!J425</f>
        <v>0</v>
      </c>
      <c r="D422">
        <f>BIdetails!K425</f>
        <v>0</v>
      </c>
      <c r="E422" s="168">
        <f>BIdetails!M425</f>
        <v>0</v>
      </c>
      <c r="F422" t="e">
        <f>IF(ISERROR(IF(OR(C422="#",C422=0),"",VLOOKUP(C422,'AOP24'!M:M,1,0))),"Not Found",VLOOKUP(C422,'AOP24'!M:M,1,0))</f>
        <v>#N/A</v>
      </c>
      <c r="G422" t="e">
        <f t="shared" si="6"/>
        <v>#N/A</v>
      </c>
    </row>
    <row r="423" spans="1:7" x14ac:dyDescent="0.25">
      <c r="A423">
        <f>BIdetails!G426</f>
        <v>0</v>
      </c>
      <c r="B423">
        <f>BIdetails!H426</f>
        <v>0</v>
      </c>
      <c r="C423">
        <f>BIdetails!J426</f>
        <v>0</v>
      </c>
      <c r="D423">
        <f>BIdetails!K426</f>
        <v>0</v>
      </c>
      <c r="E423" s="168">
        <f>BIdetails!M426</f>
        <v>0</v>
      </c>
      <c r="F423" t="e">
        <f>IF(ISERROR(IF(OR(C423="#",C423=0),"",VLOOKUP(C423,'AOP24'!M:M,1,0))),"Not Found",VLOOKUP(C423,'AOP24'!M:M,1,0))</f>
        <v>#N/A</v>
      </c>
      <c r="G423" t="e">
        <f t="shared" si="6"/>
        <v>#N/A</v>
      </c>
    </row>
    <row r="424" spans="1:7" x14ac:dyDescent="0.25">
      <c r="A424">
        <f>BIdetails!G427</f>
        <v>0</v>
      </c>
      <c r="B424">
        <f>BIdetails!H427</f>
        <v>0</v>
      </c>
      <c r="C424">
        <f>BIdetails!J427</f>
        <v>0</v>
      </c>
      <c r="D424">
        <f>BIdetails!K427</f>
        <v>0</v>
      </c>
      <c r="E424" s="168">
        <f>BIdetails!M427</f>
        <v>0</v>
      </c>
      <c r="F424" t="e">
        <f>IF(ISERROR(IF(OR(C424="#",C424=0),"",VLOOKUP(C424,'AOP24'!M:M,1,0))),"Not Found",VLOOKUP(C424,'AOP24'!M:M,1,0))</f>
        <v>#N/A</v>
      </c>
      <c r="G424" t="e">
        <f t="shared" si="6"/>
        <v>#N/A</v>
      </c>
    </row>
    <row r="425" spans="1:7" x14ac:dyDescent="0.25">
      <c r="A425">
        <f>BIdetails!G428</f>
        <v>0</v>
      </c>
      <c r="B425">
        <f>BIdetails!H428</f>
        <v>0</v>
      </c>
      <c r="C425">
        <f>BIdetails!J428</f>
        <v>0</v>
      </c>
      <c r="D425">
        <f>BIdetails!K428</f>
        <v>0</v>
      </c>
      <c r="E425" s="168">
        <f>BIdetails!M428</f>
        <v>0</v>
      </c>
      <c r="F425" t="e">
        <f>IF(ISERROR(IF(OR(C425="#",C425=0),"",VLOOKUP(C425,'AOP24'!M:M,1,0))),"Not Found",VLOOKUP(C425,'AOP24'!M:M,1,0))</f>
        <v>#N/A</v>
      </c>
      <c r="G425" t="e">
        <f t="shared" si="6"/>
        <v>#N/A</v>
      </c>
    </row>
    <row r="426" spans="1:7" x14ac:dyDescent="0.25">
      <c r="A426">
        <f>BIdetails!G429</f>
        <v>0</v>
      </c>
      <c r="B426">
        <f>BIdetails!H429</f>
        <v>0</v>
      </c>
      <c r="C426">
        <f>BIdetails!J429</f>
        <v>0</v>
      </c>
      <c r="D426">
        <f>BIdetails!K429</f>
        <v>0</v>
      </c>
      <c r="E426" s="168">
        <f>BIdetails!M429</f>
        <v>0</v>
      </c>
      <c r="F426" t="e">
        <f>IF(ISERROR(IF(OR(C426="#",C426=0),"",VLOOKUP(C426,'AOP24'!M:M,1,0))),"Not Found",VLOOKUP(C426,'AOP24'!M:M,1,0))</f>
        <v>#N/A</v>
      </c>
      <c r="G426" t="e">
        <f t="shared" si="6"/>
        <v>#N/A</v>
      </c>
    </row>
    <row r="427" spans="1:7" x14ac:dyDescent="0.25">
      <c r="A427">
        <f>BIdetails!G430</f>
        <v>0</v>
      </c>
      <c r="B427">
        <f>BIdetails!H430</f>
        <v>0</v>
      </c>
      <c r="C427">
        <f>BIdetails!J430</f>
        <v>0</v>
      </c>
      <c r="D427">
        <f>BIdetails!K430</f>
        <v>0</v>
      </c>
      <c r="E427" s="168">
        <f>BIdetails!M430</f>
        <v>0</v>
      </c>
      <c r="F427" t="e">
        <f>IF(ISERROR(IF(OR(C427="#",C427=0),"",VLOOKUP(C427,'AOP24'!M:M,1,0))),"Not Found",VLOOKUP(C427,'AOP24'!M:M,1,0))</f>
        <v>#N/A</v>
      </c>
      <c r="G427" t="e">
        <f t="shared" si="6"/>
        <v>#N/A</v>
      </c>
    </row>
    <row r="428" spans="1:7" x14ac:dyDescent="0.25">
      <c r="A428">
        <f>BIdetails!G431</f>
        <v>0</v>
      </c>
      <c r="B428">
        <f>BIdetails!H431</f>
        <v>0</v>
      </c>
      <c r="C428">
        <f>BIdetails!J431</f>
        <v>0</v>
      </c>
      <c r="D428">
        <f>BIdetails!K431</f>
        <v>0</v>
      </c>
      <c r="E428" s="168">
        <f>BIdetails!M431</f>
        <v>0</v>
      </c>
      <c r="F428" t="e">
        <f>IF(ISERROR(IF(OR(C428="#",C428=0),"",VLOOKUP(C428,'AOP24'!M:M,1,0))),"Not Found",VLOOKUP(C428,'AOP24'!M:M,1,0))</f>
        <v>#N/A</v>
      </c>
      <c r="G428" t="e">
        <f t="shared" si="6"/>
        <v>#N/A</v>
      </c>
    </row>
    <row r="429" spans="1:7" x14ac:dyDescent="0.25">
      <c r="A429">
        <f>BIdetails!G432</f>
        <v>0</v>
      </c>
      <c r="B429">
        <f>BIdetails!H432</f>
        <v>0</v>
      </c>
      <c r="C429">
        <f>BIdetails!J432</f>
        <v>0</v>
      </c>
      <c r="D429">
        <f>BIdetails!K432</f>
        <v>0</v>
      </c>
      <c r="E429" s="168">
        <f>BIdetails!M432</f>
        <v>0</v>
      </c>
      <c r="F429" t="e">
        <f>IF(ISERROR(IF(OR(C429="#",C429=0),"",VLOOKUP(C429,'AOP24'!M:M,1,0))),"Not Found",VLOOKUP(C429,'AOP24'!M:M,1,0))</f>
        <v>#N/A</v>
      </c>
      <c r="G429" t="e">
        <f t="shared" si="6"/>
        <v>#N/A</v>
      </c>
    </row>
    <row r="430" spans="1:7" x14ac:dyDescent="0.25">
      <c r="A430">
        <f>BIdetails!G433</f>
        <v>0</v>
      </c>
      <c r="B430">
        <f>BIdetails!H433</f>
        <v>0</v>
      </c>
      <c r="C430">
        <f>BIdetails!J433</f>
        <v>0</v>
      </c>
      <c r="D430">
        <f>BIdetails!K433</f>
        <v>0</v>
      </c>
      <c r="E430" s="168">
        <f>BIdetails!M433</f>
        <v>0</v>
      </c>
      <c r="F430" t="e">
        <f>IF(ISERROR(IF(OR(C430="#",C430=0),"",VLOOKUP(C430,'AOP24'!M:M,1,0))),"Not Found",VLOOKUP(C430,'AOP24'!M:M,1,0))</f>
        <v>#N/A</v>
      </c>
      <c r="G430" t="e">
        <f t="shared" si="6"/>
        <v>#N/A</v>
      </c>
    </row>
    <row r="431" spans="1:7" x14ac:dyDescent="0.25">
      <c r="A431">
        <f>BIdetails!G434</f>
        <v>0</v>
      </c>
      <c r="B431">
        <f>BIdetails!H434</f>
        <v>0</v>
      </c>
      <c r="C431">
        <f>BIdetails!J434</f>
        <v>0</v>
      </c>
      <c r="D431">
        <f>BIdetails!K434</f>
        <v>0</v>
      </c>
      <c r="E431" s="168">
        <f>BIdetails!M434</f>
        <v>0</v>
      </c>
      <c r="F431" t="e">
        <f>IF(ISERROR(IF(OR(C431="#",C431=0),"",VLOOKUP(C431,'AOP24'!M:M,1,0))),"Not Found",VLOOKUP(C431,'AOP24'!M:M,1,0))</f>
        <v>#N/A</v>
      </c>
      <c r="G431" t="e">
        <f t="shared" si="6"/>
        <v>#N/A</v>
      </c>
    </row>
    <row r="432" spans="1:7" x14ac:dyDescent="0.25">
      <c r="A432">
        <f>BIdetails!G435</f>
        <v>0</v>
      </c>
      <c r="B432">
        <f>BIdetails!H435</f>
        <v>0</v>
      </c>
      <c r="C432">
        <f>BIdetails!J435</f>
        <v>0</v>
      </c>
      <c r="D432">
        <f>BIdetails!K435</f>
        <v>0</v>
      </c>
      <c r="E432" s="168">
        <f>BIdetails!M435</f>
        <v>0</v>
      </c>
      <c r="F432" t="e">
        <f>IF(ISERROR(IF(OR(C432="#",C432=0),"",VLOOKUP(C432,'AOP24'!M:M,1,0))),"Not Found",VLOOKUP(C432,'AOP24'!M:M,1,0))</f>
        <v>#N/A</v>
      </c>
      <c r="G432" t="e">
        <f t="shared" si="6"/>
        <v>#N/A</v>
      </c>
    </row>
    <row r="433" spans="1:7" x14ac:dyDescent="0.25">
      <c r="A433">
        <f>BIdetails!G436</f>
        <v>0</v>
      </c>
      <c r="B433">
        <f>BIdetails!H436</f>
        <v>0</v>
      </c>
      <c r="C433">
        <f>BIdetails!J436</f>
        <v>0</v>
      </c>
      <c r="D433">
        <f>BIdetails!K436</f>
        <v>0</v>
      </c>
      <c r="E433" s="168">
        <f>BIdetails!M436</f>
        <v>0</v>
      </c>
      <c r="F433" t="e">
        <f>IF(ISERROR(IF(OR(C433="#",C433=0),"",VLOOKUP(C433,'AOP24'!M:M,1,0))),"Not Found",VLOOKUP(C433,'AOP24'!M:M,1,0))</f>
        <v>#N/A</v>
      </c>
      <c r="G433" t="e">
        <f t="shared" si="6"/>
        <v>#N/A</v>
      </c>
    </row>
    <row r="434" spans="1:7" x14ac:dyDescent="0.25">
      <c r="A434">
        <f>BIdetails!G437</f>
        <v>0</v>
      </c>
      <c r="B434">
        <f>BIdetails!H437</f>
        <v>0</v>
      </c>
      <c r="C434">
        <f>BIdetails!J437</f>
        <v>0</v>
      </c>
      <c r="D434">
        <f>BIdetails!K437</f>
        <v>0</v>
      </c>
      <c r="E434" s="168">
        <f>BIdetails!M437</f>
        <v>0</v>
      </c>
      <c r="F434" t="e">
        <f>IF(ISERROR(IF(OR(C434="#",C434=0),"",VLOOKUP(C434,'AOP24'!M:M,1,0))),"Not Found",VLOOKUP(C434,'AOP24'!M:M,1,0))</f>
        <v>#N/A</v>
      </c>
      <c r="G434" t="e">
        <f t="shared" si="6"/>
        <v>#N/A</v>
      </c>
    </row>
    <row r="435" spans="1:7" x14ac:dyDescent="0.25">
      <c r="A435">
        <f>BIdetails!G438</f>
        <v>0</v>
      </c>
      <c r="B435">
        <f>BIdetails!H438</f>
        <v>0</v>
      </c>
      <c r="C435">
        <f>BIdetails!J438</f>
        <v>0</v>
      </c>
      <c r="D435">
        <f>BIdetails!K438</f>
        <v>0</v>
      </c>
      <c r="E435" s="168">
        <f>BIdetails!M438</f>
        <v>0</v>
      </c>
      <c r="F435" t="e">
        <f>IF(ISERROR(IF(OR(C435="#",C435=0),"",VLOOKUP(C435,'AOP24'!M:M,1,0))),"Not Found",VLOOKUP(C435,'AOP24'!M:M,1,0))</f>
        <v>#N/A</v>
      </c>
      <c r="G435" t="e">
        <f t="shared" si="6"/>
        <v>#N/A</v>
      </c>
    </row>
    <row r="436" spans="1:7" x14ac:dyDescent="0.25">
      <c r="A436">
        <f>BIdetails!G439</f>
        <v>0</v>
      </c>
      <c r="B436">
        <f>BIdetails!H439</f>
        <v>0</v>
      </c>
      <c r="C436">
        <f>BIdetails!J439</f>
        <v>0</v>
      </c>
      <c r="D436">
        <f>BIdetails!K439</f>
        <v>0</v>
      </c>
      <c r="E436" s="168">
        <f>BIdetails!M439</f>
        <v>0</v>
      </c>
      <c r="F436" t="e">
        <f>IF(ISERROR(IF(OR(C436="#",C436=0),"",VLOOKUP(C436,'AOP24'!M:M,1,0))),"Not Found",VLOOKUP(C436,'AOP24'!M:M,1,0))</f>
        <v>#N/A</v>
      </c>
      <c r="G436" t="e">
        <f t="shared" si="6"/>
        <v>#N/A</v>
      </c>
    </row>
    <row r="437" spans="1:7" x14ac:dyDescent="0.25">
      <c r="A437">
        <f>BIdetails!G440</f>
        <v>0</v>
      </c>
      <c r="B437">
        <f>BIdetails!H440</f>
        <v>0</v>
      </c>
      <c r="C437">
        <f>BIdetails!J440</f>
        <v>0</v>
      </c>
      <c r="D437">
        <f>BIdetails!K440</f>
        <v>0</v>
      </c>
      <c r="E437" s="168">
        <f>BIdetails!M440</f>
        <v>0</v>
      </c>
      <c r="F437" t="e">
        <f>IF(ISERROR(IF(OR(C437="#",C437=0),"",VLOOKUP(C437,'AOP24'!M:M,1,0))),"Not Found",VLOOKUP(C437,'AOP24'!M:M,1,0))</f>
        <v>#N/A</v>
      </c>
      <c r="G437" t="e">
        <f t="shared" si="6"/>
        <v>#N/A</v>
      </c>
    </row>
    <row r="438" spans="1:7" x14ac:dyDescent="0.25">
      <c r="A438">
        <f>BIdetails!G441</f>
        <v>0</v>
      </c>
      <c r="B438">
        <f>BIdetails!H441</f>
        <v>0</v>
      </c>
      <c r="C438">
        <f>BIdetails!J441</f>
        <v>0</v>
      </c>
      <c r="D438">
        <f>BIdetails!K441</f>
        <v>0</v>
      </c>
      <c r="E438" s="168">
        <f>BIdetails!M441</f>
        <v>0</v>
      </c>
      <c r="F438" t="e">
        <f>IF(ISERROR(IF(OR(C438="#",C438=0),"",VLOOKUP(C438,'AOP24'!M:M,1,0))),"Not Found",VLOOKUP(C438,'AOP24'!M:M,1,0))</f>
        <v>#N/A</v>
      </c>
      <c r="G438" t="e">
        <f t="shared" si="6"/>
        <v>#N/A</v>
      </c>
    </row>
    <row r="439" spans="1:7" x14ac:dyDescent="0.25">
      <c r="A439">
        <f>BIdetails!G442</f>
        <v>0</v>
      </c>
      <c r="B439">
        <f>BIdetails!H442</f>
        <v>0</v>
      </c>
      <c r="C439">
        <f>BIdetails!J442</f>
        <v>0</v>
      </c>
      <c r="D439">
        <f>BIdetails!K442</f>
        <v>0</v>
      </c>
      <c r="E439" s="168">
        <f>BIdetails!M442</f>
        <v>0</v>
      </c>
      <c r="F439" t="e">
        <f>IF(ISERROR(IF(OR(C439="#",C439=0),"",VLOOKUP(C439,'AOP24'!M:M,1,0))),"Not Found",VLOOKUP(C439,'AOP24'!M:M,1,0))</f>
        <v>#N/A</v>
      </c>
      <c r="G439" t="e">
        <f t="shared" si="6"/>
        <v>#N/A</v>
      </c>
    </row>
    <row r="440" spans="1:7" x14ac:dyDescent="0.25">
      <c r="A440">
        <f>BIdetails!G443</f>
        <v>0</v>
      </c>
      <c r="B440">
        <f>BIdetails!H443</f>
        <v>0</v>
      </c>
      <c r="C440">
        <f>BIdetails!J443</f>
        <v>0</v>
      </c>
      <c r="D440">
        <f>BIdetails!K443</f>
        <v>0</v>
      </c>
      <c r="E440" s="168">
        <f>BIdetails!M443</f>
        <v>0</v>
      </c>
      <c r="F440" t="e">
        <f>IF(ISERROR(IF(OR(C440="#",C440=0),"",VLOOKUP(C440,'AOP24'!M:M,1,0))),"Not Found",VLOOKUP(C440,'AOP24'!M:M,1,0))</f>
        <v>#N/A</v>
      </c>
      <c r="G440" t="e">
        <f t="shared" si="6"/>
        <v>#N/A</v>
      </c>
    </row>
    <row r="441" spans="1:7" x14ac:dyDescent="0.25">
      <c r="A441">
        <f>BIdetails!G444</f>
        <v>0</v>
      </c>
      <c r="B441">
        <f>BIdetails!H444</f>
        <v>0</v>
      </c>
      <c r="C441">
        <f>BIdetails!J444</f>
        <v>0</v>
      </c>
      <c r="D441">
        <f>BIdetails!K444</f>
        <v>0</v>
      </c>
      <c r="E441" s="168">
        <f>BIdetails!M444</f>
        <v>0</v>
      </c>
      <c r="F441" t="e">
        <f>IF(ISERROR(IF(OR(C441="#",C441=0),"",VLOOKUP(C441,'AOP24'!M:M,1,0))),"Not Found",VLOOKUP(C441,'AOP24'!M:M,1,0))</f>
        <v>#N/A</v>
      </c>
      <c r="G441" t="e">
        <f t="shared" si="6"/>
        <v>#N/A</v>
      </c>
    </row>
    <row r="442" spans="1:7" x14ac:dyDescent="0.25">
      <c r="A442">
        <f>BIdetails!G445</f>
        <v>0</v>
      </c>
      <c r="B442">
        <f>BIdetails!H445</f>
        <v>0</v>
      </c>
      <c r="C442">
        <f>BIdetails!J445</f>
        <v>0</v>
      </c>
      <c r="D442">
        <f>BIdetails!K445</f>
        <v>0</v>
      </c>
      <c r="E442" s="168">
        <f>BIdetails!M445</f>
        <v>0</v>
      </c>
      <c r="F442" t="e">
        <f>IF(ISERROR(IF(OR(C442="#",C442=0),"",VLOOKUP(C442,'AOP24'!M:M,1,0))),"Not Found",VLOOKUP(C442,'AOP24'!M:M,1,0))</f>
        <v>#N/A</v>
      </c>
      <c r="G442" t="e">
        <f t="shared" si="6"/>
        <v>#N/A</v>
      </c>
    </row>
    <row r="443" spans="1:7" x14ac:dyDescent="0.25">
      <c r="A443">
        <f>BIdetails!G446</f>
        <v>0</v>
      </c>
      <c r="B443">
        <f>BIdetails!H446</f>
        <v>0</v>
      </c>
      <c r="C443">
        <f>BIdetails!J446</f>
        <v>0</v>
      </c>
      <c r="D443">
        <f>BIdetails!K446</f>
        <v>0</v>
      </c>
      <c r="E443" s="168">
        <f>BIdetails!M446</f>
        <v>0</v>
      </c>
      <c r="F443" t="e">
        <f>IF(ISERROR(IF(OR(C443="#",C443=0),"",VLOOKUP(C443,'AOP24'!M:M,1,0))),"Not Found",VLOOKUP(C443,'AOP24'!M:M,1,0))</f>
        <v>#N/A</v>
      </c>
      <c r="G443" t="e">
        <f t="shared" si="6"/>
        <v>#N/A</v>
      </c>
    </row>
    <row r="444" spans="1:7" x14ac:dyDescent="0.25">
      <c r="A444">
        <f>BIdetails!G447</f>
        <v>0</v>
      </c>
      <c r="B444">
        <f>BIdetails!H447</f>
        <v>0</v>
      </c>
      <c r="C444">
        <f>BIdetails!J447</f>
        <v>0</v>
      </c>
      <c r="D444">
        <f>BIdetails!K447</f>
        <v>0</v>
      </c>
      <c r="E444" s="168">
        <f>BIdetails!M447</f>
        <v>0</v>
      </c>
      <c r="F444" t="e">
        <f>IF(ISERROR(IF(OR(C444="#",C444=0),"",VLOOKUP(C444,'AOP24'!M:M,1,0))),"Not Found",VLOOKUP(C444,'AOP24'!M:M,1,0))</f>
        <v>#N/A</v>
      </c>
      <c r="G444" t="e">
        <f t="shared" si="6"/>
        <v>#N/A</v>
      </c>
    </row>
    <row r="445" spans="1:7" x14ac:dyDescent="0.25">
      <c r="A445">
        <f>BIdetails!G448</f>
        <v>0</v>
      </c>
      <c r="B445">
        <f>BIdetails!H448</f>
        <v>0</v>
      </c>
      <c r="C445">
        <f>BIdetails!J448</f>
        <v>0</v>
      </c>
      <c r="D445">
        <f>BIdetails!K448</f>
        <v>0</v>
      </c>
      <c r="E445" s="168">
        <f>BIdetails!M448</f>
        <v>0</v>
      </c>
      <c r="F445" t="e">
        <f>IF(ISERROR(IF(OR(C445="#",C445=0),"",VLOOKUP(C445,'AOP24'!M:M,1,0))),"Not Found",VLOOKUP(C445,'AOP24'!M:M,1,0))</f>
        <v>#N/A</v>
      </c>
      <c r="G445" t="e">
        <f t="shared" si="6"/>
        <v>#N/A</v>
      </c>
    </row>
    <row r="446" spans="1:7" x14ac:dyDescent="0.25">
      <c r="A446">
        <f>BIdetails!G449</f>
        <v>0</v>
      </c>
      <c r="B446">
        <f>BIdetails!H449</f>
        <v>0</v>
      </c>
      <c r="C446">
        <f>BIdetails!J449</f>
        <v>0</v>
      </c>
      <c r="D446">
        <f>BIdetails!K449</f>
        <v>0</v>
      </c>
      <c r="E446" s="168">
        <f>BIdetails!M449</f>
        <v>0</v>
      </c>
      <c r="F446" t="e">
        <f>IF(ISERROR(IF(OR(C446="#",C446=0),"",VLOOKUP(C446,'AOP24'!M:M,1,0))),"Not Found",VLOOKUP(C446,'AOP24'!M:M,1,0))</f>
        <v>#N/A</v>
      </c>
      <c r="G446" t="e">
        <f t="shared" si="6"/>
        <v>#N/A</v>
      </c>
    </row>
    <row r="447" spans="1:7" x14ac:dyDescent="0.25">
      <c r="A447">
        <f>BIdetails!G450</f>
        <v>0</v>
      </c>
      <c r="B447">
        <f>BIdetails!H450</f>
        <v>0</v>
      </c>
      <c r="C447">
        <f>BIdetails!J450</f>
        <v>0</v>
      </c>
      <c r="D447">
        <f>BIdetails!K450</f>
        <v>0</v>
      </c>
      <c r="E447" s="168">
        <f>BIdetails!M450</f>
        <v>0</v>
      </c>
      <c r="F447" t="e">
        <f>IF(ISERROR(IF(OR(C447="#",C447=0),"",VLOOKUP(C447,'AOP24'!M:M,1,0))),"Not Found",VLOOKUP(C447,'AOP24'!M:M,1,0))</f>
        <v>#N/A</v>
      </c>
      <c r="G447" t="e">
        <f t="shared" si="6"/>
        <v>#N/A</v>
      </c>
    </row>
    <row r="448" spans="1:7" x14ac:dyDescent="0.25">
      <c r="A448">
        <f>BIdetails!G451</f>
        <v>0</v>
      </c>
      <c r="B448">
        <f>BIdetails!H451</f>
        <v>0</v>
      </c>
      <c r="C448">
        <f>BIdetails!J451</f>
        <v>0</v>
      </c>
      <c r="D448">
        <f>BIdetails!K451</f>
        <v>0</v>
      </c>
      <c r="E448" s="168">
        <f>BIdetails!M451</f>
        <v>0</v>
      </c>
      <c r="F448" t="e">
        <f>IF(ISERROR(IF(OR(C448="#",C448=0),"",VLOOKUP(C448,'AOP24'!M:M,1,0))),"Not Found",VLOOKUP(C448,'AOP24'!M:M,1,0))</f>
        <v>#N/A</v>
      </c>
      <c r="G448" t="e">
        <f t="shared" si="6"/>
        <v>#N/A</v>
      </c>
    </row>
    <row r="449" spans="1:7" x14ac:dyDescent="0.25">
      <c r="A449">
        <f>BIdetails!G452</f>
        <v>0</v>
      </c>
      <c r="B449">
        <f>BIdetails!H452</f>
        <v>0</v>
      </c>
      <c r="C449">
        <f>BIdetails!J452</f>
        <v>0</v>
      </c>
      <c r="D449">
        <f>BIdetails!K452</f>
        <v>0</v>
      </c>
      <c r="E449" s="168">
        <f>BIdetails!M452</f>
        <v>0</v>
      </c>
      <c r="F449" t="e">
        <f>IF(ISERROR(IF(OR(C449="#",C449=0),"",VLOOKUP(C449,'AOP24'!M:M,1,0))),"Not Found",VLOOKUP(C449,'AOP24'!M:M,1,0))</f>
        <v>#N/A</v>
      </c>
      <c r="G449" t="e">
        <f t="shared" si="6"/>
        <v>#N/A</v>
      </c>
    </row>
    <row r="450" spans="1:7" x14ac:dyDescent="0.25">
      <c r="A450">
        <f>BIdetails!G453</f>
        <v>0</v>
      </c>
      <c r="B450">
        <f>BIdetails!H453</f>
        <v>0</v>
      </c>
      <c r="C450">
        <f>BIdetails!J453</f>
        <v>0</v>
      </c>
      <c r="D450">
        <f>BIdetails!K453</f>
        <v>0</v>
      </c>
      <c r="E450" s="168">
        <f>BIdetails!M453</f>
        <v>0</v>
      </c>
      <c r="F450" t="e">
        <f>IF(ISERROR(IF(OR(C450="#",C450=0),"",VLOOKUP(C450,'AOP24'!M:M,1,0))),"Not Found",VLOOKUP(C450,'AOP24'!M:M,1,0))</f>
        <v>#N/A</v>
      </c>
      <c r="G450" t="e">
        <f t="shared" si="6"/>
        <v>#N/A</v>
      </c>
    </row>
    <row r="451" spans="1:7" x14ac:dyDescent="0.25">
      <c r="A451">
        <f>BIdetails!G454</f>
        <v>0</v>
      </c>
      <c r="B451">
        <f>BIdetails!H454</f>
        <v>0</v>
      </c>
      <c r="C451">
        <f>BIdetails!J454</f>
        <v>0</v>
      </c>
      <c r="D451">
        <f>BIdetails!K454</f>
        <v>0</v>
      </c>
      <c r="E451" s="168">
        <f>BIdetails!M454</f>
        <v>0</v>
      </c>
      <c r="F451" t="e">
        <f>IF(ISERROR(IF(OR(C451="#",C451=0),"",VLOOKUP(C451,'AOP24'!M:M,1,0))),"Not Found",VLOOKUP(C451,'AOP24'!M:M,1,0))</f>
        <v>#N/A</v>
      </c>
      <c r="G451" t="e">
        <f t="shared" ref="G451:G500" si="7">IF(NOT(ISERROR(VLOOKUP(C451,$K$2:$K$50,1,0))),"Y",VLOOKUP(C451,$K$2:$K$50,1,0))</f>
        <v>#N/A</v>
      </c>
    </row>
    <row r="452" spans="1:7" x14ac:dyDescent="0.25">
      <c r="A452">
        <f>BIdetails!G455</f>
        <v>0</v>
      </c>
      <c r="B452">
        <f>BIdetails!H455</f>
        <v>0</v>
      </c>
      <c r="C452">
        <f>BIdetails!J455</f>
        <v>0</v>
      </c>
      <c r="D452">
        <f>BIdetails!K455</f>
        <v>0</v>
      </c>
      <c r="E452" s="168">
        <f>BIdetails!M455</f>
        <v>0</v>
      </c>
      <c r="F452" t="e">
        <f>IF(ISERROR(IF(OR(C452="#",C452=0),"",VLOOKUP(C452,'AOP24'!M:M,1,0))),"Not Found",VLOOKUP(C452,'AOP24'!M:M,1,0))</f>
        <v>#N/A</v>
      </c>
      <c r="G452" t="e">
        <f t="shared" si="7"/>
        <v>#N/A</v>
      </c>
    </row>
    <row r="453" spans="1:7" x14ac:dyDescent="0.25">
      <c r="A453">
        <f>BIdetails!G456</f>
        <v>0</v>
      </c>
      <c r="B453">
        <f>BIdetails!H456</f>
        <v>0</v>
      </c>
      <c r="C453">
        <f>BIdetails!J456</f>
        <v>0</v>
      </c>
      <c r="D453">
        <f>BIdetails!K456</f>
        <v>0</v>
      </c>
      <c r="E453" s="168">
        <f>BIdetails!M456</f>
        <v>0</v>
      </c>
      <c r="F453" t="e">
        <f>IF(ISERROR(IF(OR(C453="#",C453=0),"",VLOOKUP(C453,'AOP24'!M:M,1,0))),"Not Found",VLOOKUP(C453,'AOP24'!M:M,1,0))</f>
        <v>#N/A</v>
      </c>
      <c r="G453" t="e">
        <f t="shared" si="7"/>
        <v>#N/A</v>
      </c>
    </row>
    <row r="454" spans="1:7" x14ac:dyDescent="0.25">
      <c r="A454">
        <f>BIdetails!G457</f>
        <v>0</v>
      </c>
      <c r="B454">
        <f>BIdetails!H457</f>
        <v>0</v>
      </c>
      <c r="C454">
        <f>BIdetails!J457</f>
        <v>0</v>
      </c>
      <c r="D454">
        <f>BIdetails!K457</f>
        <v>0</v>
      </c>
      <c r="E454" s="168">
        <f>BIdetails!M457</f>
        <v>0</v>
      </c>
      <c r="F454" t="e">
        <f>IF(ISERROR(IF(OR(C454="#",C454=0),"",VLOOKUP(C454,'AOP24'!M:M,1,0))),"Not Found",VLOOKUP(C454,'AOP24'!M:M,1,0))</f>
        <v>#N/A</v>
      </c>
      <c r="G454" t="e">
        <f t="shared" si="7"/>
        <v>#N/A</v>
      </c>
    </row>
    <row r="455" spans="1:7" x14ac:dyDescent="0.25">
      <c r="A455">
        <f>BIdetails!G458</f>
        <v>0</v>
      </c>
      <c r="B455">
        <f>BIdetails!H458</f>
        <v>0</v>
      </c>
      <c r="C455">
        <f>BIdetails!J458</f>
        <v>0</v>
      </c>
      <c r="D455">
        <f>BIdetails!K458</f>
        <v>0</v>
      </c>
      <c r="E455" s="168">
        <f>BIdetails!M458</f>
        <v>0</v>
      </c>
      <c r="F455" t="e">
        <f>IF(ISERROR(IF(OR(C455="#",C455=0),"",VLOOKUP(C455,'AOP24'!M:M,1,0))),"Not Found",VLOOKUP(C455,'AOP24'!M:M,1,0))</f>
        <v>#N/A</v>
      </c>
      <c r="G455" t="e">
        <f t="shared" si="7"/>
        <v>#N/A</v>
      </c>
    </row>
    <row r="456" spans="1:7" x14ac:dyDescent="0.25">
      <c r="A456">
        <f>BIdetails!G459</f>
        <v>0</v>
      </c>
      <c r="B456">
        <f>BIdetails!H459</f>
        <v>0</v>
      </c>
      <c r="C456">
        <f>BIdetails!J459</f>
        <v>0</v>
      </c>
      <c r="D456">
        <f>BIdetails!K459</f>
        <v>0</v>
      </c>
      <c r="E456" s="168">
        <f>BIdetails!M459</f>
        <v>0</v>
      </c>
      <c r="F456" t="e">
        <f>IF(ISERROR(IF(OR(C456="#",C456=0),"",VLOOKUP(C456,'AOP24'!M:M,1,0))),"Not Found",VLOOKUP(C456,'AOP24'!M:M,1,0))</f>
        <v>#N/A</v>
      </c>
      <c r="G456" t="e">
        <f t="shared" si="7"/>
        <v>#N/A</v>
      </c>
    </row>
    <row r="457" spans="1:7" x14ac:dyDescent="0.25">
      <c r="A457">
        <f>BIdetails!G460</f>
        <v>0</v>
      </c>
      <c r="B457">
        <f>BIdetails!H460</f>
        <v>0</v>
      </c>
      <c r="C457">
        <f>BIdetails!J460</f>
        <v>0</v>
      </c>
      <c r="D457">
        <f>BIdetails!K460</f>
        <v>0</v>
      </c>
      <c r="E457" s="168">
        <f>BIdetails!M460</f>
        <v>0</v>
      </c>
      <c r="F457" t="e">
        <f>IF(ISERROR(IF(OR(C457="#",C457=0),"",VLOOKUP(C457,'AOP24'!M:M,1,0))),"Not Found",VLOOKUP(C457,'AOP24'!M:M,1,0))</f>
        <v>#N/A</v>
      </c>
      <c r="G457" t="e">
        <f t="shared" si="7"/>
        <v>#N/A</v>
      </c>
    </row>
    <row r="458" spans="1:7" x14ac:dyDescent="0.25">
      <c r="A458">
        <f>BIdetails!G461</f>
        <v>0</v>
      </c>
      <c r="B458">
        <f>BIdetails!H461</f>
        <v>0</v>
      </c>
      <c r="C458">
        <f>BIdetails!J461</f>
        <v>0</v>
      </c>
      <c r="D458">
        <f>BIdetails!K461</f>
        <v>0</v>
      </c>
      <c r="E458" s="168">
        <f>BIdetails!M461</f>
        <v>0</v>
      </c>
      <c r="F458" t="e">
        <f>IF(ISERROR(IF(OR(C458="#",C458=0),"",VLOOKUP(C458,'AOP24'!M:M,1,0))),"Not Found",VLOOKUP(C458,'AOP24'!M:M,1,0))</f>
        <v>#N/A</v>
      </c>
      <c r="G458" t="e">
        <f t="shared" si="7"/>
        <v>#N/A</v>
      </c>
    </row>
    <row r="459" spans="1:7" x14ac:dyDescent="0.25">
      <c r="A459">
        <f>BIdetails!G462</f>
        <v>0</v>
      </c>
      <c r="B459">
        <f>BIdetails!H462</f>
        <v>0</v>
      </c>
      <c r="C459">
        <f>BIdetails!J462</f>
        <v>0</v>
      </c>
      <c r="D459">
        <f>BIdetails!K462</f>
        <v>0</v>
      </c>
      <c r="E459" s="168">
        <f>BIdetails!M462</f>
        <v>0</v>
      </c>
      <c r="F459" t="e">
        <f>IF(ISERROR(IF(OR(C459="#",C459=0),"",VLOOKUP(C459,'AOP24'!M:M,1,0))),"Not Found",VLOOKUP(C459,'AOP24'!M:M,1,0))</f>
        <v>#N/A</v>
      </c>
      <c r="G459" t="e">
        <f t="shared" si="7"/>
        <v>#N/A</v>
      </c>
    </row>
    <row r="460" spans="1:7" x14ac:dyDescent="0.25">
      <c r="A460">
        <f>BIdetails!G463</f>
        <v>0</v>
      </c>
      <c r="B460">
        <f>BIdetails!H463</f>
        <v>0</v>
      </c>
      <c r="C460">
        <f>BIdetails!J463</f>
        <v>0</v>
      </c>
      <c r="D460">
        <f>BIdetails!K463</f>
        <v>0</v>
      </c>
      <c r="E460" s="168">
        <f>BIdetails!M463</f>
        <v>0</v>
      </c>
      <c r="F460" t="e">
        <f>IF(ISERROR(IF(OR(C460="#",C460=0),"",VLOOKUP(C460,'AOP24'!M:M,1,0))),"Not Found",VLOOKUP(C460,'AOP24'!M:M,1,0))</f>
        <v>#N/A</v>
      </c>
      <c r="G460" t="e">
        <f t="shared" si="7"/>
        <v>#N/A</v>
      </c>
    </row>
    <row r="461" spans="1:7" x14ac:dyDescent="0.25">
      <c r="A461">
        <f>BIdetails!G464</f>
        <v>0</v>
      </c>
      <c r="B461">
        <f>BIdetails!H464</f>
        <v>0</v>
      </c>
      <c r="C461">
        <f>BIdetails!J464</f>
        <v>0</v>
      </c>
      <c r="D461">
        <f>BIdetails!K464</f>
        <v>0</v>
      </c>
      <c r="E461" s="168">
        <f>BIdetails!M464</f>
        <v>0</v>
      </c>
      <c r="F461" t="e">
        <f>IF(ISERROR(IF(OR(C461="#",C461=0),"",VLOOKUP(C461,'AOP24'!M:M,1,0))),"Not Found",VLOOKUP(C461,'AOP24'!M:M,1,0))</f>
        <v>#N/A</v>
      </c>
      <c r="G461" t="e">
        <f t="shared" si="7"/>
        <v>#N/A</v>
      </c>
    </row>
    <row r="462" spans="1:7" x14ac:dyDescent="0.25">
      <c r="A462">
        <f>BIdetails!G465</f>
        <v>0</v>
      </c>
      <c r="B462">
        <f>BIdetails!H465</f>
        <v>0</v>
      </c>
      <c r="C462">
        <f>BIdetails!J465</f>
        <v>0</v>
      </c>
      <c r="D462">
        <f>BIdetails!K465</f>
        <v>0</v>
      </c>
      <c r="E462" s="168">
        <f>BIdetails!M465</f>
        <v>0</v>
      </c>
      <c r="F462" t="e">
        <f>IF(ISERROR(IF(OR(C462="#",C462=0),"",VLOOKUP(C462,'AOP24'!M:M,1,0))),"Not Found",VLOOKUP(C462,'AOP24'!M:M,1,0))</f>
        <v>#N/A</v>
      </c>
      <c r="G462" t="e">
        <f t="shared" si="7"/>
        <v>#N/A</v>
      </c>
    </row>
    <row r="463" spans="1:7" x14ac:dyDescent="0.25">
      <c r="A463">
        <f>BIdetails!G466</f>
        <v>0</v>
      </c>
      <c r="B463">
        <f>BIdetails!H466</f>
        <v>0</v>
      </c>
      <c r="C463">
        <f>BIdetails!J466</f>
        <v>0</v>
      </c>
      <c r="D463">
        <f>BIdetails!K466</f>
        <v>0</v>
      </c>
      <c r="E463" s="168">
        <f>BIdetails!M466</f>
        <v>0</v>
      </c>
      <c r="F463" t="e">
        <f>IF(ISERROR(IF(OR(C463="#",C463=0),"",VLOOKUP(C463,'AOP24'!M:M,1,0))),"Not Found",VLOOKUP(C463,'AOP24'!M:M,1,0))</f>
        <v>#N/A</v>
      </c>
      <c r="G463" t="e">
        <f t="shared" si="7"/>
        <v>#N/A</v>
      </c>
    </row>
    <row r="464" spans="1:7" x14ac:dyDescent="0.25">
      <c r="A464">
        <f>BIdetails!G467</f>
        <v>0</v>
      </c>
      <c r="B464">
        <f>BIdetails!H467</f>
        <v>0</v>
      </c>
      <c r="C464">
        <f>BIdetails!J467</f>
        <v>0</v>
      </c>
      <c r="D464">
        <f>BIdetails!K467</f>
        <v>0</v>
      </c>
      <c r="E464" s="168">
        <f>BIdetails!M467</f>
        <v>0</v>
      </c>
      <c r="F464" t="e">
        <f>IF(ISERROR(IF(OR(C464="#",C464=0),"",VLOOKUP(C464,'AOP24'!M:M,1,0))),"Not Found",VLOOKUP(C464,'AOP24'!M:M,1,0))</f>
        <v>#N/A</v>
      </c>
      <c r="G464" t="e">
        <f t="shared" si="7"/>
        <v>#N/A</v>
      </c>
    </row>
    <row r="465" spans="1:7" x14ac:dyDescent="0.25">
      <c r="A465">
        <f>BIdetails!G468</f>
        <v>0</v>
      </c>
      <c r="B465">
        <f>BIdetails!H468</f>
        <v>0</v>
      </c>
      <c r="C465">
        <f>BIdetails!J468</f>
        <v>0</v>
      </c>
      <c r="D465">
        <f>BIdetails!K468</f>
        <v>0</v>
      </c>
      <c r="E465" s="168">
        <f>BIdetails!M468</f>
        <v>0</v>
      </c>
      <c r="F465" t="e">
        <f>IF(ISERROR(IF(OR(C465="#",C465=0),"",VLOOKUP(C465,'AOP24'!M:M,1,0))),"Not Found",VLOOKUP(C465,'AOP24'!M:M,1,0))</f>
        <v>#N/A</v>
      </c>
      <c r="G465" t="e">
        <f t="shared" si="7"/>
        <v>#N/A</v>
      </c>
    </row>
    <row r="466" spans="1:7" x14ac:dyDescent="0.25">
      <c r="A466">
        <f>BIdetails!G469</f>
        <v>0</v>
      </c>
      <c r="B466">
        <f>BIdetails!H469</f>
        <v>0</v>
      </c>
      <c r="C466">
        <f>BIdetails!J469</f>
        <v>0</v>
      </c>
      <c r="D466">
        <f>BIdetails!K469</f>
        <v>0</v>
      </c>
      <c r="E466" s="168">
        <f>BIdetails!M469</f>
        <v>0</v>
      </c>
      <c r="F466" t="e">
        <f>IF(ISERROR(IF(OR(C466="#",C466=0),"",VLOOKUP(C466,'AOP24'!M:M,1,0))),"Not Found",VLOOKUP(C466,'AOP24'!M:M,1,0))</f>
        <v>#N/A</v>
      </c>
      <c r="G466" t="e">
        <f t="shared" si="7"/>
        <v>#N/A</v>
      </c>
    </row>
    <row r="467" spans="1:7" x14ac:dyDescent="0.25">
      <c r="A467">
        <f>BIdetails!G470</f>
        <v>0</v>
      </c>
      <c r="B467">
        <f>BIdetails!H470</f>
        <v>0</v>
      </c>
      <c r="C467">
        <f>BIdetails!J470</f>
        <v>0</v>
      </c>
      <c r="D467">
        <f>BIdetails!K470</f>
        <v>0</v>
      </c>
      <c r="E467" s="168">
        <f>BIdetails!M470</f>
        <v>0</v>
      </c>
      <c r="F467" t="e">
        <f>IF(ISERROR(IF(OR(C467="#",C467=0),"",VLOOKUP(C467,'AOP24'!M:M,1,0))),"Not Found",VLOOKUP(C467,'AOP24'!M:M,1,0))</f>
        <v>#N/A</v>
      </c>
      <c r="G467" t="e">
        <f t="shared" si="7"/>
        <v>#N/A</v>
      </c>
    </row>
    <row r="468" spans="1:7" x14ac:dyDescent="0.25">
      <c r="A468">
        <f>BIdetails!G471</f>
        <v>0</v>
      </c>
      <c r="B468">
        <f>BIdetails!H471</f>
        <v>0</v>
      </c>
      <c r="C468">
        <f>BIdetails!J471</f>
        <v>0</v>
      </c>
      <c r="D468">
        <f>BIdetails!K471</f>
        <v>0</v>
      </c>
      <c r="E468" s="168">
        <f>BIdetails!M471</f>
        <v>0</v>
      </c>
      <c r="F468" t="e">
        <f>IF(ISERROR(IF(OR(C468="#",C468=0),"",VLOOKUP(C468,'AOP24'!M:M,1,0))),"Not Found",VLOOKUP(C468,'AOP24'!M:M,1,0))</f>
        <v>#N/A</v>
      </c>
      <c r="G468" t="e">
        <f t="shared" si="7"/>
        <v>#N/A</v>
      </c>
    </row>
    <row r="469" spans="1:7" x14ac:dyDescent="0.25">
      <c r="A469">
        <f>BIdetails!G472</f>
        <v>0</v>
      </c>
      <c r="B469">
        <f>BIdetails!H472</f>
        <v>0</v>
      </c>
      <c r="C469">
        <f>BIdetails!J472</f>
        <v>0</v>
      </c>
      <c r="D469">
        <f>BIdetails!K472</f>
        <v>0</v>
      </c>
      <c r="E469" s="168">
        <f>BIdetails!M472</f>
        <v>0</v>
      </c>
      <c r="F469" t="e">
        <f>IF(ISERROR(IF(OR(C469="#",C469=0),"",VLOOKUP(C469,'AOP24'!M:M,1,0))),"Not Found",VLOOKUP(C469,'AOP24'!M:M,1,0))</f>
        <v>#N/A</v>
      </c>
      <c r="G469" t="e">
        <f t="shared" si="7"/>
        <v>#N/A</v>
      </c>
    </row>
    <row r="470" spans="1:7" x14ac:dyDescent="0.25">
      <c r="A470">
        <f>BIdetails!G473</f>
        <v>0</v>
      </c>
      <c r="B470">
        <f>BIdetails!H473</f>
        <v>0</v>
      </c>
      <c r="C470">
        <f>BIdetails!J473</f>
        <v>0</v>
      </c>
      <c r="D470">
        <f>BIdetails!K473</f>
        <v>0</v>
      </c>
      <c r="E470" s="168">
        <f>BIdetails!M473</f>
        <v>0</v>
      </c>
      <c r="F470" t="e">
        <f>IF(ISERROR(IF(OR(C470="#",C470=0),"",VLOOKUP(C470,'AOP24'!M:M,1,0))),"Not Found",VLOOKUP(C470,'AOP24'!M:M,1,0))</f>
        <v>#N/A</v>
      </c>
      <c r="G470" t="e">
        <f t="shared" si="7"/>
        <v>#N/A</v>
      </c>
    </row>
    <row r="471" spans="1:7" x14ac:dyDescent="0.25">
      <c r="A471">
        <f>BIdetails!G474</f>
        <v>0</v>
      </c>
      <c r="B471">
        <f>BIdetails!H474</f>
        <v>0</v>
      </c>
      <c r="C471">
        <f>BIdetails!J474</f>
        <v>0</v>
      </c>
      <c r="D471">
        <f>BIdetails!K474</f>
        <v>0</v>
      </c>
      <c r="E471" s="168">
        <f>BIdetails!M474</f>
        <v>0</v>
      </c>
      <c r="F471" t="e">
        <f>IF(ISERROR(IF(OR(C471="#",C471=0),"",VLOOKUP(C471,'AOP24'!M:M,1,0))),"Not Found",VLOOKUP(C471,'AOP24'!M:M,1,0))</f>
        <v>#N/A</v>
      </c>
      <c r="G471" t="e">
        <f t="shared" si="7"/>
        <v>#N/A</v>
      </c>
    </row>
    <row r="472" spans="1:7" x14ac:dyDescent="0.25">
      <c r="A472">
        <f>BIdetails!G475</f>
        <v>0</v>
      </c>
      <c r="B472">
        <f>BIdetails!H475</f>
        <v>0</v>
      </c>
      <c r="C472">
        <f>BIdetails!J475</f>
        <v>0</v>
      </c>
      <c r="D472">
        <f>BIdetails!K475</f>
        <v>0</v>
      </c>
      <c r="E472" s="168">
        <f>BIdetails!M475</f>
        <v>0</v>
      </c>
      <c r="F472" t="e">
        <f>IF(ISERROR(IF(OR(C472="#",C472=0),"",VLOOKUP(C472,'AOP24'!M:M,1,0))),"Not Found",VLOOKUP(C472,'AOP24'!M:M,1,0))</f>
        <v>#N/A</v>
      </c>
      <c r="G472" t="e">
        <f t="shared" si="7"/>
        <v>#N/A</v>
      </c>
    </row>
    <row r="473" spans="1:7" x14ac:dyDescent="0.25">
      <c r="A473">
        <f>BIdetails!G476</f>
        <v>0</v>
      </c>
      <c r="B473">
        <f>BIdetails!H476</f>
        <v>0</v>
      </c>
      <c r="C473">
        <f>BIdetails!J476</f>
        <v>0</v>
      </c>
      <c r="D473">
        <f>BIdetails!K476</f>
        <v>0</v>
      </c>
      <c r="E473" s="168">
        <f>BIdetails!M476</f>
        <v>0</v>
      </c>
      <c r="F473" t="e">
        <f>IF(ISERROR(IF(OR(C473="#",C473=0),"",VLOOKUP(C473,'AOP24'!M:M,1,0))),"Not Found",VLOOKUP(C473,'AOP24'!M:M,1,0))</f>
        <v>#N/A</v>
      </c>
      <c r="G473" t="e">
        <f t="shared" si="7"/>
        <v>#N/A</v>
      </c>
    </row>
    <row r="474" spans="1:7" x14ac:dyDescent="0.25">
      <c r="A474">
        <f>BIdetails!G477</f>
        <v>0</v>
      </c>
      <c r="B474">
        <f>BIdetails!H477</f>
        <v>0</v>
      </c>
      <c r="C474">
        <f>BIdetails!J477</f>
        <v>0</v>
      </c>
      <c r="D474">
        <f>BIdetails!K477</f>
        <v>0</v>
      </c>
      <c r="E474" s="168">
        <f>BIdetails!M477</f>
        <v>0</v>
      </c>
      <c r="F474" t="e">
        <f>IF(ISERROR(IF(OR(C474="#",C474=0),"",VLOOKUP(C474,'AOP24'!M:M,1,0))),"Not Found",VLOOKUP(C474,'AOP24'!M:M,1,0))</f>
        <v>#N/A</v>
      </c>
      <c r="G474" t="e">
        <f t="shared" si="7"/>
        <v>#N/A</v>
      </c>
    </row>
    <row r="475" spans="1:7" x14ac:dyDescent="0.25">
      <c r="A475">
        <f>BIdetails!G478</f>
        <v>0</v>
      </c>
      <c r="B475">
        <f>BIdetails!H478</f>
        <v>0</v>
      </c>
      <c r="C475">
        <f>BIdetails!J478</f>
        <v>0</v>
      </c>
      <c r="D475">
        <f>BIdetails!K478</f>
        <v>0</v>
      </c>
      <c r="E475" s="168">
        <f>BIdetails!M478</f>
        <v>0</v>
      </c>
      <c r="F475" t="e">
        <f>IF(ISERROR(IF(OR(C475="#",C475=0),"",VLOOKUP(C475,'AOP24'!M:M,1,0))),"Not Found",VLOOKUP(C475,'AOP24'!M:M,1,0))</f>
        <v>#N/A</v>
      </c>
      <c r="G475" t="e">
        <f t="shared" si="7"/>
        <v>#N/A</v>
      </c>
    </row>
    <row r="476" spans="1:7" x14ac:dyDescent="0.25">
      <c r="A476">
        <f>BIdetails!G479</f>
        <v>0</v>
      </c>
      <c r="B476">
        <f>BIdetails!H479</f>
        <v>0</v>
      </c>
      <c r="C476">
        <f>BIdetails!J479</f>
        <v>0</v>
      </c>
      <c r="D476">
        <f>BIdetails!K479</f>
        <v>0</v>
      </c>
      <c r="E476" s="168">
        <f>BIdetails!M479</f>
        <v>0</v>
      </c>
      <c r="F476" t="e">
        <f>IF(ISERROR(IF(OR(C476="#",C476=0),"",VLOOKUP(C476,'AOP24'!M:M,1,0))),"Not Found",VLOOKUP(C476,'AOP24'!M:M,1,0))</f>
        <v>#N/A</v>
      </c>
      <c r="G476" t="e">
        <f t="shared" si="7"/>
        <v>#N/A</v>
      </c>
    </row>
    <row r="477" spans="1:7" x14ac:dyDescent="0.25">
      <c r="A477">
        <f>BIdetails!G480</f>
        <v>0</v>
      </c>
      <c r="B477">
        <f>BIdetails!H480</f>
        <v>0</v>
      </c>
      <c r="C477">
        <f>BIdetails!J480</f>
        <v>0</v>
      </c>
      <c r="D477">
        <f>BIdetails!K480</f>
        <v>0</v>
      </c>
      <c r="E477" s="168">
        <f>BIdetails!M480</f>
        <v>0</v>
      </c>
      <c r="F477" t="e">
        <f>IF(ISERROR(IF(OR(C477="#",C477=0),"",VLOOKUP(C477,'AOP24'!M:M,1,0))),"Not Found",VLOOKUP(C477,'AOP24'!M:M,1,0))</f>
        <v>#N/A</v>
      </c>
      <c r="G477" t="e">
        <f t="shared" si="7"/>
        <v>#N/A</v>
      </c>
    </row>
    <row r="478" spans="1:7" x14ac:dyDescent="0.25">
      <c r="A478">
        <f>BIdetails!G481</f>
        <v>0</v>
      </c>
      <c r="B478">
        <f>BIdetails!H481</f>
        <v>0</v>
      </c>
      <c r="C478">
        <f>BIdetails!J481</f>
        <v>0</v>
      </c>
      <c r="D478">
        <f>BIdetails!K481</f>
        <v>0</v>
      </c>
      <c r="E478" s="168">
        <f>BIdetails!M481</f>
        <v>0</v>
      </c>
      <c r="F478" t="e">
        <f>IF(ISERROR(IF(OR(C478="#",C478=0),"",VLOOKUP(C478,'AOP24'!M:M,1,0))),"Not Found",VLOOKUP(C478,'AOP24'!M:M,1,0))</f>
        <v>#N/A</v>
      </c>
      <c r="G478" t="e">
        <f t="shared" si="7"/>
        <v>#N/A</v>
      </c>
    </row>
    <row r="479" spans="1:7" x14ac:dyDescent="0.25">
      <c r="A479">
        <f>BIdetails!G482</f>
        <v>0</v>
      </c>
      <c r="B479">
        <f>BIdetails!H482</f>
        <v>0</v>
      </c>
      <c r="C479">
        <f>BIdetails!J482</f>
        <v>0</v>
      </c>
      <c r="D479">
        <f>BIdetails!K482</f>
        <v>0</v>
      </c>
      <c r="E479" s="168">
        <f>BIdetails!M482</f>
        <v>0</v>
      </c>
      <c r="F479" t="e">
        <f>IF(ISERROR(IF(OR(C479="#",C479=0),"",VLOOKUP(C479,'AOP24'!M:M,1,0))),"Not Found",VLOOKUP(C479,'AOP24'!M:M,1,0))</f>
        <v>#N/A</v>
      </c>
      <c r="G479" t="e">
        <f t="shared" si="7"/>
        <v>#N/A</v>
      </c>
    </row>
    <row r="480" spans="1:7" x14ac:dyDescent="0.25">
      <c r="A480">
        <f>BIdetails!G483</f>
        <v>0</v>
      </c>
      <c r="B480">
        <f>BIdetails!H483</f>
        <v>0</v>
      </c>
      <c r="C480">
        <f>BIdetails!J483</f>
        <v>0</v>
      </c>
      <c r="D480">
        <f>BIdetails!K483</f>
        <v>0</v>
      </c>
      <c r="E480" s="168">
        <f>BIdetails!M483</f>
        <v>0</v>
      </c>
      <c r="F480" t="e">
        <f>IF(ISERROR(IF(OR(C480="#",C480=0),"",VLOOKUP(C480,'AOP24'!M:M,1,0))),"Not Found",VLOOKUP(C480,'AOP24'!M:M,1,0))</f>
        <v>#N/A</v>
      </c>
      <c r="G480" t="e">
        <f t="shared" si="7"/>
        <v>#N/A</v>
      </c>
    </row>
    <row r="481" spans="1:7" x14ac:dyDescent="0.25">
      <c r="A481">
        <f>BIdetails!G484</f>
        <v>0</v>
      </c>
      <c r="B481">
        <f>BIdetails!H484</f>
        <v>0</v>
      </c>
      <c r="C481">
        <f>BIdetails!J484</f>
        <v>0</v>
      </c>
      <c r="D481">
        <f>BIdetails!K484</f>
        <v>0</v>
      </c>
      <c r="E481" s="168">
        <f>BIdetails!M484</f>
        <v>0</v>
      </c>
      <c r="F481" t="e">
        <f>IF(ISERROR(IF(OR(C481="#",C481=0),"",VLOOKUP(C481,'AOP24'!M:M,1,0))),"Not Found",VLOOKUP(C481,'AOP24'!M:M,1,0))</f>
        <v>#N/A</v>
      </c>
      <c r="G481" t="e">
        <f t="shared" si="7"/>
        <v>#N/A</v>
      </c>
    </row>
    <row r="482" spans="1:7" x14ac:dyDescent="0.25">
      <c r="A482">
        <f>BIdetails!G485</f>
        <v>0</v>
      </c>
      <c r="B482">
        <f>BIdetails!H485</f>
        <v>0</v>
      </c>
      <c r="C482">
        <f>BIdetails!J485</f>
        <v>0</v>
      </c>
      <c r="D482">
        <f>BIdetails!K485</f>
        <v>0</v>
      </c>
      <c r="E482" s="168">
        <f>BIdetails!M485</f>
        <v>0</v>
      </c>
      <c r="F482" t="e">
        <f>IF(ISERROR(IF(OR(C482="#",C482=0),"",VLOOKUP(C482,'AOP24'!M:M,1,0))),"Not Found",VLOOKUP(C482,'AOP24'!M:M,1,0))</f>
        <v>#N/A</v>
      </c>
      <c r="G482" t="e">
        <f t="shared" si="7"/>
        <v>#N/A</v>
      </c>
    </row>
    <row r="483" spans="1:7" x14ac:dyDescent="0.25">
      <c r="A483">
        <f>BIdetails!G486</f>
        <v>0</v>
      </c>
      <c r="B483">
        <f>BIdetails!H486</f>
        <v>0</v>
      </c>
      <c r="C483">
        <f>BIdetails!J486</f>
        <v>0</v>
      </c>
      <c r="D483">
        <f>BIdetails!K486</f>
        <v>0</v>
      </c>
      <c r="E483" s="168">
        <f>BIdetails!M486</f>
        <v>0</v>
      </c>
      <c r="F483" t="e">
        <f>IF(ISERROR(IF(OR(C483="#",C483=0),"",VLOOKUP(C483,'AOP24'!M:M,1,0))),"Not Found",VLOOKUP(C483,'AOP24'!M:M,1,0))</f>
        <v>#N/A</v>
      </c>
      <c r="G483" t="e">
        <f t="shared" si="7"/>
        <v>#N/A</v>
      </c>
    </row>
    <row r="484" spans="1:7" x14ac:dyDescent="0.25">
      <c r="A484">
        <f>BIdetails!G487</f>
        <v>0</v>
      </c>
      <c r="B484">
        <f>BIdetails!H487</f>
        <v>0</v>
      </c>
      <c r="C484">
        <f>BIdetails!J487</f>
        <v>0</v>
      </c>
      <c r="D484">
        <f>BIdetails!K487</f>
        <v>0</v>
      </c>
      <c r="E484" s="168">
        <f>BIdetails!M487</f>
        <v>0</v>
      </c>
      <c r="F484" t="e">
        <f>IF(ISERROR(IF(OR(C484="#",C484=0),"",VLOOKUP(C484,'AOP24'!M:M,1,0))),"Not Found",VLOOKUP(C484,'AOP24'!M:M,1,0))</f>
        <v>#N/A</v>
      </c>
      <c r="G484" t="e">
        <f t="shared" si="7"/>
        <v>#N/A</v>
      </c>
    </row>
    <row r="485" spans="1:7" x14ac:dyDescent="0.25">
      <c r="A485">
        <f>BIdetails!G488</f>
        <v>0</v>
      </c>
      <c r="B485">
        <f>BIdetails!H488</f>
        <v>0</v>
      </c>
      <c r="C485">
        <f>BIdetails!J488</f>
        <v>0</v>
      </c>
      <c r="D485">
        <f>BIdetails!K488</f>
        <v>0</v>
      </c>
      <c r="E485" s="168">
        <f>BIdetails!M488</f>
        <v>0</v>
      </c>
      <c r="F485" t="e">
        <f>IF(ISERROR(IF(OR(C485="#",C485=0),"",VLOOKUP(C485,'AOP24'!M:M,1,0))),"Not Found",VLOOKUP(C485,'AOP24'!M:M,1,0))</f>
        <v>#N/A</v>
      </c>
      <c r="G485" t="e">
        <f t="shared" si="7"/>
        <v>#N/A</v>
      </c>
    </row>
    <row r="486" spans="1:7" x14ac:dyDescent="0.25">
      <c r="A486">
        <f>BIdetails!G489</f>
        <v>0</v>
      </c>
      <c r="B486">
        <f>BIdetails!H489</f>
        <v>0</v>
      </c>
      <c r="C486">
        <f>BIdetails!J489</f>
        <v>0</v>
      </c>
      <c r="D486">
        <f>BIdetails!K489</f>
        <v>0</v>
      </c>
      <c r="E486" s="168">
        <f>BIdetails!M489</f>
        <v>0</v>
      </c>
      <c r="F486" t="e">
        <f>IF(ISERROR(IF(OR(C486="#",C486=0),"",VLOOKUP(C486,'AOP24'!M:M,1,0))),"Not Found",VLOOKUP(C486,'AOP24'!M:M,1,0))</f>
        <v>#N/A</v>
      </c>
      <c r="G486" t="e">
        <f t="shared" si="7"/>
        <v>#N/A</v>
      </c>
    </row>
    <row r="487" spans="1:7" x14ac:dyDescent="0.25">
      <c r="A487">
        <f>BIdetails!G490</f>
        <v>0</v>
      </c>
      <c r="B487">
        <f>BIdetails!H490</f>
        <v>0</v>
      </c>
      <c r="C487">
        <f>BIdetails!J490</f>
        <v>0</v>
      </c>
      <c r="D487">
        <f>BIdetails!K490</f>
        <v>0</v>
      </c>
      <c r="E487" s="168">
        <f>BIdetails!M490</f>
        <v>0</v>
      </c>
      <c r="F487" t="e">
        <f>IF(ISERROR(IF(OR(C487="#",C487=0),"",VLOOKUP(C487,'AOP24'!M:M,1,0))),"Not Found",VLOOKUP(C487,'AOP24'!M:M,1,0))</f>
        <v>#N/A</v>
      </c>
      <c r="G487" t="e">
        <f t="shared" si="7"/>
        <v>#N/A</v>
      </c>
    </row>
    <row r="488" spans="1:7" x14ac:dyDescent="0.25">
      <c r="A488">
        <f>BIdetails!G491</f>
        <v>0</v>
      </c>
      <c r="B488">
        <f>BIdetails!H491</f>
        <v>0</v>
      </c>
      <c r="C488">
        <f>BIdetails!J491</f>
        <v>0</v>
      </c>
      <c r="D488">
        <f>BIdetails!K491</f>
        <v>0</v>
      </c>
      <c r="E488" s="168">
        <f>BIdetails!M491</f>
        <v>0</v>
      </c>
      <c r="F488" t="e">
        <f>IF(ISERROR(IF(OR(C488="#",C488=0),"",VLOOKUP(C488,'AOP24'!M:M,1,0))),"Not Found",VLOOKUP(C488,'AOP24'!M:M,1,0))</f>
        <v>#N/A</v>
      </c>
      <c r="G488" t="e">
        <f t="shared" si="7"/>
        <v>#N/A</v>
      </c>
    </row>
    <row r="489" spans="1:7" x14ac:dyDescent="0.25">
      <c r="A489">
        <f>BIdetails!G492</f>
        <v>0</v>
      </c>
      <c r="B489">
        <f>BIdetails!H492</f>
        <v>0</v>
      </c>
      <c r="C489">
        <f>BIdetails!J492</f>
        <v>0</v>
      </c>
      <c r="D489">
        <f>BIdetails!K492</f>
        <v>0</v>
      </c>
      <c r="E489" s="168">
        <f>BIdetails!M492</f>
        <v>0</v>
      </c>
      <c r="F489" t="e">
        <f>IF(ISERROR(IF(OR(C489="#",C489=0),"",VLOOKUP(C489,'AOP24'!M:M,1,0))),"Not Found",VLOOKUP(C489,'AOP24'!M:M,1,0))</f>
        <v>#N/A</v>
      </c>
      <c r="G489" t="e">
        <f t="shared" si="7"/>
        <v>#N/A</v>
      </c>
    </row>
    <row r="490" spans="1:7" x14ac:dyDescent="0.25">
      <c r="A490">
        <f>BIdetails!G493</f>
        <v>0</v>
      </c>
      <c r="B490">
        <f>BIdetails!H493</f>
        <v>0</v>
      </c>
      <c r="C490">
        <f>BIdetails!J493</f>
        <v>0</v>
      </c>
      <c r="D490">
        <f>BIdetails!K493</f>
        <v>0</v>
      </c>
      <c r="E490" s="168">
        <f>BIdetails!M493</f>
        <v>0</v>
      </c>
      <c r="F490" t="e">
        <f>IF(ISERROR(IF(OR(C490="#",C490=0),"",VLOOKUP(C490,'AOP24'!M:M,1,0))),"Not Found",VLOOKUP(C490,'AOP24'!M:M,1,0))</f>
        <v>#N/A</v>
      </c>
      <c r="G490" t="e">
        <f t="shared" si="7"/>
        <v>#N/A</v>
      </c>
    </row>
    <row r="491" spans="1:7" x14ac:dyDescent="0.25">
      <c r="A491">
        <f>BIdetails!G494</f>
        <v>0</v>
      </c>
      <c r="B491">
        <f>BIdetails!H494</f>
        <v>0</v>
      </c>
      <c r="C491">
        <f>BIdetails!J494</f>
        <v>0</v>
      </c>
      <c r="D491">
        <f>BIdetails!K494</f>
        <v>0</v>
      </c>
      <c r="E491" s="168">
        <f>BIdetails!M494</f>
        <v>0</v>
      </c>
      <c r="F491" t="e">
        <f>IF(ISERROR(IF(OR(C491="#",C491=0),"",VLOOKUP(C491,'AOP24'!M:M,1,0))),"Not Found",VLOOKUP(C491,'AOP24'!M:M,1,0))</f>
        <v>#N/A</v>
      </c>
      <c r="G491" t="e">
        <f t="shared" si="7"/>
        <v>#N/A</v>
      </c>
    </row>
    <row r="492" spans="1:7" x14ac:dyDescent="0.25">
      <c r="A492">
        <f>BIdetails!G495</f>
        <v>0</v>
      </c>
      <c r="B492">
        <f>BIdetails!H495</f>
        <v>0</v>
      </c>
      <c r="C492">
        <f>BIdetails!J495</f>
        <v>0</v>
      </c>
      <c r="D492">
        <f>BIdetails!K495</f>
        <v>0</v>
      </c>
      <c r="E492" s="168">
        <f>BIdetails!M495</f>
        <v>0</v>
      </c>
      <c r="F492" t="e">
        <f>IF(ISERROR(IF(OR(C492="#",C492=0),"",VLOOKUP(C492,'AOP24'!M:M,1,0))),"Not Found",VLOOKUP(C492,'AOP24'!M:M,1,0))</f>
        <v>#N/A</v>
      </c>
      <c r="G492" t="e">
        <f t="shared" si="7"/>
        <v>#N/A</v>
      </c>
    </row>
    <row r="493" spans="1:7" x14ac:dyDescent="0.25">
      <c r="A493">
        <f>BIdetails!G496</f>
        <v>0</v>
      </c>
      <c r="B493">
        <f>BIdetails!H496</f>
        <v>0</v>
      </c>
      <c r="C493">
        <f>BIdetails!J496</f>
        <v>0</v>
      </c>
      <c r="D493">
        <f>BIdetails!K496</f>
        <v>0</v>
      </c>
      <c r="E493" s="168">
        <f>BIdetails!M496</f>
        <v>0</v>
      </c>
      <c r="F493" t="e">
        <f>IF(ISERROR(IF(OR(C493="#",C493=0),"",VLOOKUP(C493,'AOP24'!M:M,1,0))),"Not Found",VLOOKUP(C493,'AOP24'!M:M,1,0))</f>
        <v>#N/A</v>
      </c>
      <c r="G493" t="e">
        <f t="shared" si="7"/>
        <v>#N/A</v>
      </c>
    </row>
    <row r="494" spans="1:7" x14ac:dyDescent="0.25">
      <c r="A494">
        <f>BIdetails!G497</f>
        <v>0</v>
      </c>
      <c r="B494">
        <f>BIdetails!H497</f>
        <v>0</v>
      </c>
      <c r="C494">
        <f>BIdetails!J497</f>
        <v>0</v>
      </c>
      <c r="D494">
        <f>BIdetails!K497</f>
        <v>0</v>
      </c>
      <c r="E494" s="168">
        <f>BIdetails!M497</f>
        <v>0</v>
      </c>
      <c r="F494" t="e">
        <f>IF(ISERROR(IF(OR(C494="#",C494=0),"",VLOOKUP(C494,'AOP24'!M:M,1,0))),"Not Found",VLOOKUP(C494,'AOP24'!M:M,1,0))</f>
        <v>#N/A</v>
      </c>
      <c r="G494" t="e">
        <f t="shared" si="7"/>
        <v>#N/A</v>
      </c>
    </row>
    <row r="495" spans="1:7" x14ac:dyDescent="0.25">
      <c r="A495">
        <f>BIdetails!G498</f>
        <v>0</v>
      </c>
      <c r="B495">
        <f>BIdetails!H498</f>
        <v>0</v>
      </c>
      <c r="C495">
        <f>BIdetails!J498</f>
        <v>0</v>
      </c>
      <c r="D495">
        <f>BIdetails!K498</f>
        <v>0</v>
      </c>
      <c r="E495" s="168">
        <f>BIdetails!M498</f>
        <v>0</v>
      </c>
      <c r="F495" t="e">
        <f>IF(ISERROR(IF(OR(C495="#",C495=0),"",VLOOKUP(C495,'AOP24'!M:M,1,0))),"Not Found",VLOOKUP(C495,'AOP24'!M:M,1,0))</f>
        <v>#N/A</v>
      </c>
      <c r="G495" t="e">
        <f t="shared" si="7"/>
        <v>#N/A</v>
      </c>
    </row>
    <row r="496" spans="1:7" x14ac:dyDescent="0.25">
      <c r="A496">
        <f>BIdetails!G499</f>
        <v>0</v>
      </c>
      <c r="B496">
        <f>BIdetails!H499</f>
        <v>0</v>
      </c>
      <c r="C496">
        <f>BIdetails!J499</f>
        <v>0</v>
      </c>
      <c r="D496">
        <f>BIdetails!K499</f>
        <v>0</v>
      </c>
      <c r="E496" s="168">
        <f>BIdetails!M499</f>
        <v>0</v>
      </c>
      <c r="F496" t="e">
        <f>IF(ISERROR(IF(OR(C496="#",C496=0),"",VLOOKUP(C496,'AOP24'!M:M,1,0))),"Not Found",VLOOKUP(C496,'AOP24'!M:M,1,0))</f>
        <v>#N/A</v>
      </c>
      <c r="G496" t="e">
        <f t="shared" si="7"/>
        <v>#N/A</v>
      </c>
    </row>
    <row r="497" spans="1:7" x14ac:dyDescent="0.25">
      <c r="A497">
        <f>BIdetails!G500</f>
        <v>0</v>
      </c>
      <c r="B497">
        <f>BIdetails!H500</f>
        <v>0</v>
      </c>
      <c r="C497">
        <f>BIdetails!J500</f>
        <v>0</v>
      </c>
      <c r="D497">
        <f>BIdetails!K500</f>
        <v>0</v>
      </c>
      <c r="E497" s="168">
        <f>BIdetails!M500</f>
        <v>0</v>
      </c>
      <c r="F497" t="e">
        <f>IF(ISERROR(IF(OR(C497="#",C497=0),"",VLOOKUP(C497,'AOP24'!M:M,1,0))),"Not Found",VLOOKUP(C497,'AOP24'!M:M,1,0))</f>
        <v>#N/A</v>
      </c>
      <c r="G497" t="e">
        <f t="shared" si="7"/>
        <v>#N/A</v>
      </c>
    </row>
    <row r="498" spans="1:7" x14ac:dyDescent="0.25">
      <c r="A498">
        <f>BIdetails!G501</f>
        <v>0</v>
      </c>
      <c r="B498">
        <f>BIdetails!H501</f>
        <v>0</v>
      </c>
      <c r="C498">
        <f>BIdetails!J501</f>
        <v>0</v>
      </c>
      <c r="D498">
        <f>BIdetails!K501</f>
        <v>0</v>
      </c>
      <c r="E498" s="168">
        <f>BIdetails!M501</f>
        <v>0</v>
      </c>
      <c r="F498" t="e">
        <f>IF(ISERROR(IF(OR(C498="#",C498=0),"",VLOOKUP(C498,'AOP24'!M:M,1,0))),"Not Found",VLOOKUP(C498,'AOP24'!M:M,1,0))</f>
        <v>#N/A</v>
      </c>
      <c r="G498" t="e">
        <f t="shared" si="7"/>
        <v>#N/A</v>
      </c>
    </row>
    <row r="499" spans="1:7" x14ac:dyDescent="0.25">
      <c r="A499">
        <f>BIdetails!G502</f>
        <v>0</v>
      </c>
      <c r="B499">
        <f>BIdetails!H502</f>
        <v>0</v>
      </c>
      <c r="C499">
        <f>BIdetails!J502</f>
        <v>0</v>
      </c>
      <c r="D499">
        <f>BIdetails!K502</f>
        <v>0</v>
      </c>
      <c r="E499" s="168">
        <f>BIdetails!M502</f>
        <v>0</v>
      </c>
      <c r="F499" t="e">
        <f>IF(ISERROR(IF(OR(C499="#",C499=0),"",VLOOKUP(C499,'AOP24'!M:M,1,0))),"Not Found",VLOOKUP(C499,'AOP24'!M:M,1,0))</f>
        <v>#N/A</v>
      </c>
      <c r="G499" t="e">
        <f t="shared" si="7"/>
        <v>#N/A</v>
      </c>
    </row>
    <row r="500" spans="1:7" x14ac:dyDescent="0.25">
      <c r="A500">
        <f>BIdetails!G503</f>
        <v>0</v>
      </c>
      <c r="B500">
        <f>BIdetails!H503</f>
        <v>0</v>
      </c>
      <c r="C500">
        <f>BIdetails!J503</f>
        <v>0</v>
      </c>
      <c r="D500">
        <f>BIdetails!K503</f>
        <v>0</v>
      </c>
      <c r="E500" s="168">
        <f>BIdetails!M503</f>
        <v>0</v>
      </c>
      <c r="F500" t="e">
        <f>IF(ISERROR(IF(OR(C500="#",C500=0),"",VLOOKUP(C500,'AOP24'!M:M,1,0))),"Not Found",VLOOKUP(C500,'AOP24'!M:M,1,0))</f>
        <v>#N/A</v>
      </c>
      <c r="G500" t="e">
        <f t="shared" si="7"/>
        <v>#N/A</v>
      </c>
    </row>
    <row r="501" spans="1:7" x14ac:dyDescent="0.25">
      <c r="A501">
        <f>BIdetails!G504</f>
        <v>0</v>
      </c>
      <c r="B501">
        <f>BIdetails!H504</f>
        <v>0</v>
      </c>
      <c r="C501">
        <f>BIdetails!J504</f>
        <v>0</v>
      </c>
      <c r="D501">
        <f>BIdetails!K504</f>
        <v>0</v>
      </c>
      <c r="E501" s="168">
        <f>BIdetails!M504</f>
        <v>0</v>
      </c>
      <c r="F501" t="e">
        <f>IF(ISERROR(IF(OR(C501="#",C501=0),"",VLOOKUP(C501,'AOP24'!M:M,1,0))),"Not Found",VLOOKUP(C501,'AOP24'!M:M,1,0))</f>
        <v>#N/A</v>
      </c>
      <c r="G501" t="e">
        <f>IF(NOT(ISERROR(VLOOKUP(C501,$K$2:$K$50,1,0))),"Y",VLOOKUP(C501,$K$2:$K$50,1,0))</f>
        <v>#N/A</v>
      </c>
    </row>
    <row r="502" spans="1:7" x14ac:dyDescent="0.25">
      <c r="A502">
        <f>BIdetails!G505</f>
        <v>0</v>
      </c>
      <c r="B502">
        <f>BIdetails!H505</f>
        <v>0</v>
      </c>
      <c r="C502">
        <f>BIdetails!J505</f>
        <v>0</v>
      </c>
      <c r="D502">
        <f>BIdetails!K505</f>
        <v>0</v>
      </c>
      <c r="E502" s="168">
        <f>BIdetails!M505</f>
        <v>0</v>
      </c>
      <c r="F502" t="e">
        <f>IF(ISERROR(IF(OR(C502="#",C502=0),"",VLOOKUP(C502,'AOP24'!M:M,1,0))),"Not Found",VLOOKUP(C502,'AOP24'!M:M,1,0))</f>
        <v>#N/A</v>
      </c>
      <c r="G502" t="e">
        <f>IF(NOT(ISERROR(VLOOKUP(C502,$K$2:$K$50,1,0))),"Y",VLOOKUP(C502,$K$2:$K$50,1,0))</f>
        <v>#N/A</v>
      </c>
    </row>
    <row r="503" spans="1:7" x14ac:dyDescent="0.25">
      <c r="A503">
        <f>BIdetails!G506</f>
        <v>0</v>
      </c>
      <c r="B503">
        <f>BIdetails!H506</f>
        <v>0</v>
      </c>
      <c r="C503">
        <f>BIdetails!J506</f>
        <v>0</v>
      </c>
      <c r="D503">
        <f>BIdetails!K506</f>
        <v>0</v>
      </c>
      <c r="E503" s="168">
        <f>BIdetails!M506</f>
        <v>0</v>
      </c>
      <c r="F503" t="e">
        <f>IF(ISERROR(IF(OR(C503="#",C503=0),"",VLOOKUP(C503,'AOP24'!M:M,1,0))),"Not Found",VLOOKUP(C503,'AOP24'!M:M,1,0))</f>
        <v>#N/A</v>
      </c>
      <c r="G503" t="e">
        <f>IF(NOT(ISERROR(VLOOKUP(C503,$K$2:$K$50,1,0))),"Y",VLOOKUP(C503,$K$2:$K$50,1,0))</f>
        <v>#N/A</v>
      </c>
    </row>
    <row r="504" spans="1:7" x14ac:dyDescent="0.25">
      <c r="A504">
        <f>BIdetails!G507</f>
        <v>0</v>
      </c>
      <c r="B504">
        <f>BIdetails!H507</f>
        <v>0</v>
      </c>
      <c r="C504">
        <f>BIdetails!J507</f>
        <v>0</v>
      </c>
      <c r="D504">
        <f>BIdetails!K507</f>
        <v>0</v>
      </c>
      <c r="E504" s="168">
        <f>BIdetails!M507</f>
        <v>0</v>
      </c>
      <c r="F504" t="e">
        <f>IF(ISERROR(IF(OR(C504="#",C504=0),"",VLOOKUP(C504,'AOP24'!M:M,1,0))),"Not Found",VLOOKUP(C504,'AOP24'!M:M,1,0))</f>
        <v>#N/A</v>
      </c>
      <c r="G504" t="e">
        <f>IF(NOT(ISERROR(VLOOKUP(C504,$K$2:$K$50,1,0))),"Y",VLOOKUP(C504,$K$2:$K$50,1,0))</f>
        <v>#N/A</v>
      </c>
    </row>
    <row r="505" spans="1:7" x14ac:dyDescent="0.25">
      <c r="A505">
        <f>BIdetails!G508</f>
        <v>0</v>
      </c>
      <c r="B505">
        <f>BIdetails!H508</f>
        <v>0</v>
      </c>
      <c r="C505">
        <f>BIdetails!J508</f>
        <v>0</v>
      </c>
      <c r="D505">
        <f>BIdetails!K508</f>
        <v>0</v>
      </c>
      <c r="E505" s="168">
        <f>BIdetails!M508</f>
        <v>0</v>
      </c>
      <c r="F505" t="e">
        <f>IF(ISERROR(IF(OR(C505="#",C505=0),"",VLOOKUP(C505,'AOP24'!M:M,1,0))),"Not Found",VLOOKUP(C505,'AOP24'!M:M,1,0))</f>
        <v>#N/A</v>
      </c>
      <c r="G505" t="e">
        <f>IF(NOT(ISERROR(VLOOKUP(C505,$K$2:$K$50,1,0))),"Y",VLOOKUP(C505,$K$2:$K$50,1,0))</f>
        <v>#N/A</v>
      </c>
    </row>
    <row r="506" spans="1:7" x14ac:dyDescent="0.25">
      <c r="A506">
        <f>BIdetails!G509</f>
        <v>0</v>
      </c>
      <c r="B506">
        <f>BIdetails!H509</f>
        <v>0</v>
      </c>
      <c r="C506">
        <f>BIdetails!J509</f>
        <v>0</v>
      </c>
      <c r="D506">
        <f>BIdetails!K509</f>
        <v>0</v>
      </c>
      <c r="E506" s="168">
        <f>BIdetails!M509</f>
        <v>0</v>
      </c>
      <c r="F506" t="e">
        <f>IF(ISERROR(IF(OR(C506="#",C506=0),"",VLOOKUP(C506,'AOP24'!M:M,1,0))),"Not Found",VLOOKUP(C506,'AOP24'!M:M,1,0))</f>
        <v>#N/A</v>
      </c>
      <c r="G506" t="e">
        <f t="shared" ref="G506:G569" si="8">IF(NOT(ISERROR(VLOOKUP(C506,$K$2:$K$50,1,0))),"Y",VLOOKUP(C506,$K$2:$K$50,1,0))</f>
        <v>#N/A</v>
      </c>
    </row>
    <row r="507" spans="1:7" x14ac:dyDescent="0.25">
      <c r="A507">
        <f>BIdetails!G510</f>
        <v>0</v>
      </c>
      <c r="B507">
        <f>BIdetails!H510</f>
        <v>0</v>
      </c>
      <c r="C507">
        <f>BIdetails!J510</f>
        <v>0</v>
      </c>
      <c r="D507">
        <f>BIdetails!K510</f>
        <v>0</v>
      </c>
      <c r="E507" s="168">
        <f>BIdetails!M510</f>
        <v>0</v>
      </c>
      <c r="F507" t="e">
        <f>IF(ISERROR(IF(OR(C507="#",C507=0),"",VLOOKUP(C507,'AOP24'!M:M,1,0))),"Not Found",VLOOKUP(C507,'AOP24'!M:M,1,0))</f>
        <v>#N/A</v>
      </c>
      <c r="G507" t="e">
        <f t="shared" si="8"/>
        <v>#N/A</v>
      </c>
    </row>
    <row r="508" spans="1:7" x14ac:dyDescent="0.25">
      <c r="A508">
        <f>BIdetails!G511</f>
        <v>0</v>
      </c>
      <c r="B508">
        <f>BIdetails!H511</f>
        <v>0</v>
      </c>
      <c r="C508">
        <f>BIdetails!J511</f>
        <v>0</v>
      </c>
      <c r="D508">
        <f>BIdetails!K511</f>
        <v>0</v>
      </c>
      <c r="E508" s="168">
        <f>BIdetails!M511</f>
        <v>0</v>
      </c>
      <c r="F508" t="e">
        <f>IF(ISERROR(IF(OR(C508="#",C508=0),"",VLOOKUP(C508,'AOP24'!M:M,1,0))),"Not Found",VLOOKUP(C508,'AOP24'!M:M,1,0))</f>
        <v>#N/A</v>
      </c>
      <c r="G508" t="e">
        <f t="shared" si="8"/>
        <v>#N/A</v>
      </c>
    </row>
    <row r="509" spans="1:7" x14ac:dyDescent="0.25">
      <c r="A509">
        <f>BIdetails!G512</f>
        <v>0</v>
      </c>
      <c r="B509">
        <f>BIdetails!H512</f>
        <v>0</v>
      </c>
      <c r="C509">
        <f>BIdetails!J512</f>
        <v>0</v>
      </c>
      <c r="D509">
        <f>BIdetails!K512</f>
        <v>0</v>
      </c>
      <c r="E509" s="168">
        <f>BIdetails!M512</f>
        <v>0</v>
      </c>
      <c r="F509" t="e">
        <f>IF(ISERROR(IF(OR(C509="#",C509=0),"",VLOOKUP(C509,'AOP24'!M:M,1,0))),"Not Found",VLOOKUP(C509,'AOP24'!M:M,1,0))</f>
        <v>#N/A</v>
      </c>
      <c r="G509" t="e">
        <f t="shared" si="8"/>
        <v>#N/A</v>
      </c>
    </row>
    <row r="510" spans="1:7" x14ac:dyDescent="0.25">
      <c r="A510">
        <f>BIdetails!G513</f>
        <v>0</v>
      </c>
      <c r="B510">
        <f>BIdetails!H513</f>
        <v>0</v>
      </c>
      <c r="C510">
        <f>BIdetails!J513</f>
        <v>0</v>
      </c>
      <c r="D510">
        <f>BIdetails!K513</f>
        <v>0</v>
      </c>
      <c r="E510" s="168">
        <f>BIdetails!M513</f>
        <v>0</v>
      </c>
      <c r="F510" t="e">
        <f>IF(ISERROR(IF(OR(C510="#",C510=0),"",VLOOKUP(C510,'AOP24'!M:M,1,0))),"Not Found",VLOOKUP(C510,'AOP24'!M:M,1,0))</f>
        <v>#N/A</v>
      </c>
      <c r="G510" t="e">
        <f t="shared" si="8"/>
        <v>#N/A</v>
      </c>
    </row>
    <row r="511" spans="1:7" x14ac:dyDescent="0.25">
      <c r="A511">
        <f>BIdetails!G514</f>
        <v>0</v>
      </c>
      <c r="B511">
        <f>BIdetails!H514</f>
        <v>0</v>
      </c>
      <c r="C511">
        <f>BIdetails!J514</f>
        <v>0</v>
      </c>
      <c r="D511">
        <f>BIdetails!K514</f>
        <v>0</v>
      </c>
      <c r="E511" s="168">
        <f>BIdetails!M514</f>
        <v>0</v>
      </c>
      <c r="F511" t="e">
        <f>IF(ISERROR(IF(OR(C511="#",C511=0),"",VLOOKUP(C511,'AOP24'!M:M,1,0))),"Not Found",VLOOKUP(C511,'AOP24'!M:M,1,0))</f>
        <v>#N/A</v>
      </c>
      <c r="G511" t="e">
        <f t="shared" si="8"/>
        <v>#N/A</v>
      </c>
    </row>
    <row r="512" spans="1:7" x14ac:dyDescent="0.25">
      <c r="A512">
        <f>BIdetails!G515</f>
        <v>0</v>
      </c>
      <c r="B512">
        <f>BIdetails!H515</f>
        <v>0</v>
      </c>
      <c r="C512">
        <f>BIdetails!J515</f>
        <v>0</v>
      </c>
      <c r="D512">
        <f>BIdetails!K515</f>
        <v>0</v>
      </c>
      <c r="E512" s="168">
        <f>BIdetails!M515</f>
        <v>0</v>
      </c>
      <c r="F512" t="e">
        <f>IF(ISERROR(IF(OR(C512="#",C512=0),"",VLOOKUP(C512,'AOP24'!M:M,1,0))),"Not Found",VLOOKUP(C512,'AOP24'!M:M,1,0))</f>
        <v>#N/A</v>
      </c>
      <c r="G512" t="e">
        <f t="shared" si="8"/>
        <v>#N/A</v>
      </c>
    </row>
    <row r="513" spans="1:7" x14ac:dyDescent="0.25">
      <c r="A513">
        <f>BIdetails!G516</f>
        <v>0</v>
      </c>
      <c r="B513">
        <f>BIdetails!H516</f>
        <v>0</v>
      </c>
      <c r="C513">
        <f>BIdetails!J516</f>
        <v>0</v>
      </c>
      <c r="D513">
        <f>BIdetails!K516</f>
        <v>0</v>
      </c>
      <c r="E513" s="168">
        <f>BIdetails!M516</f>
        <v>0</v>
      </c>
      <c r="F513" t="e">
        <f>IF(ISERROR(IF(OR(C513="#",C513=0),"",VLOOKUP(C513,'AOP24'!M:M,1,0))),"Not Found",VLOOKUP(C513,'AOP24'!M:M,1,0))</f>
        <v>#N/A</v>
      </c>
      <c r="G513" t="e">
        <f t="shared" si="8"/>
        <v>#N/A</v>
      </c>
    </row>
    <row r="514" spans="1:7" x14ac:dyDescent="0.25">
      <c r="A514">
        <f>BIdetails!G517</f>
        <v>0</v>
      </c>
      <c r="B514">
        <f>BIdetails!H517</f>
        <v>0</v>
      </c>
      <c r="C514">
        <f>BIdetails!J517</f>
        <v>0</v>
      </c>
      <c r="D514">
        <f>BIdetails!K517</f>
        <v>0</v>
      </c>
      <c r="E514" s="168">
        <f>BIdetails!M517</f>
        <v>0</v>
      </c>
      <c r="F514" t="e">
        <f>IF(ISERROR(IF(OR(C514="#",C514=0),"",VLOOKUP(C514,'AOP24'!M:M,1,0))),"Not Found",VLOOKUP(C514,'AOP24'!M:M,1,0))</f>
        <v>#N/A</v>
      </c>
      <c r="G514" t="e">
        <f t="shared" si="8"/>
        <v>#N/A</v>
      </c>
    </row>
    <row r="515" spans="1:7" x14ac:dyDescent="0.25">
      <c r="A515">
        <f>BIdetails!G518</f>
        <v>0</v>
      </c>
      <c r="B515">
        <f>BIdetails!H518</f>
        <v>0</v>
      </c>
      <c r="C515">
        <f>BIdetails!J518</f>
        <v>0</v>
      </c>
      <c r="D515">
        <f>BIdetails!K518</f>
        <v>0</v>
      </c>
      <c r="E515" s="168">
        <f>BIdetails!M518</f>
        <v>0</v>
      </c>
      <c r="F515" t="e">
        <f>IF(ISERROR(IF(OR(C515="#",C515=0),"",VLOOKUP(C515,'AOP24'!M:M,1,0))),"Not Found",VLOOKUP(C515,'AOP24'!M:M,1,0))</f>
        <v>#N/A</v>
      </c>
      <c r="G515" t="e">
        <f t="shared" si="8"/>
        <v>#N/A</v>
      </c>
    </row>
    <row r="516" spans="1:7" x14ac:dyDescent="0.25">
      <c r="A516">
        <f>BIdetails!G519</f>
        <v>0</v>
      </c>
      <c r="B516">
        <f>BIdetails!H519</f>
        <v>0</v>
      </c>
      <c r="C516">
        <f>BIdetails!J519</f>
        <v>0</v>
      </c>
      <c r="D516">
        <f>BIdetails!K519</f>
        <v>0</v>
      </c>
      <c r="E516" s="168">
        <f>BIdetails!M519</f>
        <v>0</v>
      </c>
      <c r="F516" t="e">
        <f>IF(ISERROR(IF(OR(C516="#",C516=0),"",VLOOKUP(C516,'AOP24'!M:M,1,0))),"Not Found",VLOOKUP(C516,'AOP24'!M:M,1,0))</f>
        <v>#N/A</v>
      </c>
      <c r="G516" t="e">
        <f t="shared" si="8"/>
        <v>#N/A</v>
      </c>
    </row>
    <row r="517" spans="1:7" x14ac:dyDescent="0.25">
      <c r="A517">
        <f>BIdetails!G520</f>
        <v>0</v>
      </c>
      <c r="B517">
        <f>BIdetails!H520</f>
        <v>0</v>
      </c>
      <c r="C517">
        <f>BIdetails!J520</f>
        <v>0</v>
      </c>
      <c r="D517">
        <f>BIdetails!K520</f>
        <v>0</v>
      </c>
      <c r="E517" s="168">
        <f>BIdetails!M520</f>
        <v>0</v>
      </c>
      <c r="F517" t="e">
        <f>IF(ISERROR(IF(OR(C517="#",C517=0),"",VLOOKUP(C517,'AOP24'!M:M,1,0))),"Not Found",VLOOKUP(C517,'AOP24'!M:M,1,0))</f>
        <v>#N/A</v>
      </c>
      <c r="G517" t="e">
        <f t="shared" si="8"/>
        <v>#N/A</v>
      </c>
    </row>
    <row r="518" spans="1:7" x14ac:dyDescent="0.25">
      <c r="A518">
        <f>BIdetails!G521</f>
        <v>0</v>
      </c>
      <c r="B518">
        <f>BIdetails!H521</f>
        <v>0</v>
      </c>
      <c r="C518">
        <f>BIdetails!J521</f>
        <v>0</v>
      </c>
      <c r="D518">
        <f>BIdetails!K521</f>
        <v>0</v>
      </c>
      <c r="E518" s="168">
        <f>BIdetails!M521</f>
        <v>0</v>
      </c>
      <c r="F518" t="e">
        <f>IF(ISERROR(IF(OR(C518="#",C518=0),"",VLOOKUP(C518,'AOP24'!M:M,1,0))),"Not Found",VLOOKUP(C518,'AOP24'!M:M,1,0))</f>
        <v>#N/A</v>
      </c>
      <c r="G518" t="e">
        <f t="shared" si="8"/>
        <v>#N/A</v>
      </c>
    </row>
    <row r="519" spans="1:7" x14ac:dyDescent="0.25">
      <c r="A519">
        <f>BIdetails!G522</f>
        <v>0</v>
      </c>
      <c r="B519">
        <f>BIdetails!H522</f>
        <v>0</v>
      </c>
      <c r="C519">
        <f>BIdetails!J522</f>
        <v>0</v>
      </c>
      <c r="D519">
        <f>BIdetails!K522</f>
        <v>0</v>
      </c>
      <c r="E519" s="168">
        <f>BIdetails!M522</f>
        <v>0</v>
      </c>
      <c r="F519" t="e">
        <f>IF(ISERROR(IF(OR(C519="#",C519=0),"",VLOOKUP(C519,'AOP24'!M:M,1,0))),"Not Found",VLOOKUP(C519,'AOP24'!M:M,1,0))</f>
        <v>#N/A</v>
      </c>
      <c r="G519" t="e">
        <f t="shared" si="8"/>
        <v>#N/A</v>
      </c>
    </row>
    <row r="520" spans="1:7" x14ac:dyDescent="0.25">
      <c r="A520">
        <f>BIdetails!G523</f>
        <v>0</v>
      </c>
      <c r="B520">
        <f>BIdetails!H523</f>
        <v>0</v>
      </c>
      <c r="C520">
        <f>BIdetails!J523</f>
        <v>0</v>
      </c>
      <c r="D520">
        <f>BIdetails!K523</f>
        <v>0</v>
      </c>
      <c r="E520" s="168">
        <f>BIdetails!M523</f>
        <v>0</v>
      </c>
      <c r="F520" t="e">
        <f>IF(ISERROR(IF(OR(C520="#",C520=0),"",VLOOKUP(C520,'AOP24'!M:M,1,0))),"Not Found",VLOOKUP(C520,'AOP24'!M:M,1,0))</f>
        <v>#N/A</v>
      </c>
      <c r="G520" t="e">
        <f t="shared" si="8"/>
        <v>#N/A</v>
      </c>
    </row>
    <row r="521" spans="1:7" x14ac:dyDescent="0.25">
      <c r="A521">
        <f>BIdetails!G524</f>
        <v>0</v>
      </c>
      <c r="B521">
        <f>BIdetails!H524</f>
        <v>0</v>
      </c>
      <c r="C521">
        <f>BIdetails!J524</f>
        <v>0</v>
      </c>
      <c r="D521">
        <f>BIdetails!K524</f>
        <v>0</v>
      </c>
      <c r="E521" s="168">
        <f>BIdetails!M524</f>
        <v>0</v>
      </c>
      <c r="F521" t="e">
        <f>IF(ISERROR(IF(OR(C521="#",C521=0),"",VLOOKUP(C521,'AOP24'!M:M,1,0))),"Not Found",VLOOKUP(C521,'AOP24'!M:M,1,0))</f>
        <v>#N/A</v>
      </c>
      <c r="G521" t="e">
        <f t="shared" si="8"/>
        <v>#N/A</v>
      </c>
    </row>
    <row r="522" spans="1:7" x14ac:dyDescent="0.25">
      <c r="A522">
        <f>BIdetails!G525</f>
        <v>0</v>
      </c>
      <c r="B522">
        <f>BIdetails!H525</f>
        <v>0</v>
      </c>
      <c r="C522">
        <f>BIdetails!J525</f>
        <v>0</v>
      </c>
      <c r="D522">
        <f>BIdetails!K525</f>
        <v>0</v>
      </c>
      <c r="E522" s="168">
        <f>BIdetails!M525</f>
        <v>0</v>
      </c>
      <c r="F522" t="e">
        <f>IF(ISERROR(IF(OR(C522="#",C522=0),"",VLOOKUP(C522,'AOP24'!M:M,1,0))),"Not Found",VLOOKUP(C522,'AOP24'!M:M,1,0))</f>
        <v>#N/A</v>
      </c>
      <c r="G522" t="e">
        <f t="shared" si="8"/>
        <v>#N/A</v>
      </c>
    </row>
    <row r="523" spans="1:7" x14ac:dyDescent="0.25">
      <c r="A523">
        <f>BIdetails!G526</f>
        <v>0</v>
      </c>
      <c r="B523">
        <f>BIdetails!H526</f>
        <v>0</v>
      </c>
      <c r="C523">
        <f>BIdetails!J526</f>
        <v>0</v>
      </c>
      <c r="D523">
        <f>BIdetails!K526</f>
        <v>0</v>
      </c>
      <c r="E523" s="168">
        <f>BIdetails!M526</f>
        <v>0</v>
      </c>
      <c r="F523" t="e">
        <f>IF(ISERROR(IF(OR(C523="#",C523=0),"",VLOOKUP(C523,'AOP24'!M:M,1,0))),"Not Found",VLOOKUP(C523,'AOP24'!M:M,1,0))</f>
        <v>#N/A</v>
      </c>
      <c r="G523" t="e">
        <f t="shared" si="8"/>
        <v>#N/A</v>
      </c>
    </row>
    <row r="524" spans="1:7" x14ac:dyDescent="0.25">
      <c r="A524">
        <f>BIdetails!G527</f>
        <v>0</v>
      </c>
      <c r="B524">
        <f>BIdetails!H527</f>
        <v>0</v>
      </c>
      <c r="C524">
        <f>BIdetails!J527</f>
        <v>0</v>
      </c>
      <c r="D524">
        <f>BIdetails!K527</f>
        <v>0</v>
      </c>
      <c r="E524" s="168">
        <f>BIdetails!M527</f>
        <v>0</v>
      </c>
      <c r="F524" t="e">
        <f>IF(ISERROR(IF(OR(C524="#",C524=0),"",VLOOKUP(C524,'AOP24'!M:M,1,0))),"Not Found",VLOOKUP(C524,'AOP24'!M:M,1,0))</f>
        <v>#N/A</v>
      </c>
      <c r="G524" t="e">
        <f t="shared" si="8"/>
        <v>#N/A</v>
      </c>
    </row>
    <row r="525" spans="1:7" x14ac:dyDescent="0.25">
      <c r="A525">
        <f>BIdetails!G528</f>
        <v>0</v>
      </c>
      <c r="B525">
        <f>BIdetails!H528</f>
        <v>0</v>
      </c>
      <c r="C525">
        <f>BIdetails!J528</f>
        <v>0</v>
      </c>
      <c r="D525">
        <f>BIdetails!K528</f>
        <v>0</v>
      </c>
      <c r="E525" s="168">
        <f>BIdetails!M528</f>
        <v>0</v>
      </c>
      <c r="F525" t="e">
        <f>IF(ISERROR(IF(OR(C525="#",C525=0),"",VLOOKUP(C525,'AOP24'!M:M,1,0))),"Not Found",VLOOKUP(C525,'AOP24'!M:M,1,0))</f>
        <v>#N/A</v>
      </c>
      <c r="G525" t="e">
        <f t="shared" si="8"/>
        <v>#N/A</v>
      </c>
    </row>
    <row r="526" spans="1:7" x14ac:dyDescent="0.25">
      <c r="A526">
        <f>BIdetails!G529</f>
        <v>0</v>
      </c>
      <c r="B526">
        <f>BIdetails!H529</f>
        <v>0</v>
      </c>
      <c r="C526">
        <f>BIdetails!J529</f>
        <v>0</v>
      </c>
      <c r="D526">
        <f>BIdetails!K529</f>
        <v>0</v>
      </c>
      <c r="E526" s="168">
        <f>BIdetails!M529</f>
        <v>0</v>
      </c>
      <c r="F526" t="e">
        <f>IF(ISERROR(IF(OR(C526="#",C526=0),"",VLOOKUP(C526,'AOP24'!M:M,1,0))),"Not Found",VLOOKUP(C526,'AOP24'!M:M,1,0))</f>
        <v>#N/A</v>
      </c>
      <c r="G526" t="e">
        <f t="shared" si="8"/>
        <v>#N/A</v>
      </c>
    </row>
    <row r="527" spans="1:7" x14ac:dyDescent="0.25">
      <c r="A527">
        <f>BIdetails!G530</f>
        <v>0</v>
      </c>
      <c r="B527">
        <f>BIdetails!H530</f>
        <v>0</v>
      </c>
      <c r="C527">
        <f>BIdetails!J530</f>
        <v>0</v>
      </c>
      <c r="D527">
        <f>BIdetails!K530</f>
        <v>0</v>
      </c>
      <c r="E527" s="168">
        <f>BIdetails!M530</f>
        <v>0</v>
      </c>
      <c r="F527" t="e">
        <f>IF(ISERROR(IF(OR(C527="#",C527=0),"",VLOOKUP(C527,'AOP24'!M:M,1,0))),"Not Found",VLOOKUP(C527,'AOP24'!M:M,1,0))</f>
        <v>#N/A</v>
      </c>
      <c r="G527" t="e">
        <f t="shared" si="8"/>
        <v>#N/A</v>
      </c>
    </row>
    <row r="528" spans="1:7" x14ac:dyDescent="0.25">
      <c r="A528">
        <f>BIdetails!G531</f>
        <v>0</v>
      </c>
      <c r="B528">
        <f>BIdetails!H531</f>
        <v>0</v>
      </c>
      <c r="C528">
        <f>BIdetails!J531</f>
        <v>0</v>
      </c>
      <c r="D528">
        <f>BIdetails!K531</f>
        <v>0</v>
      </c>
      <c r="E528" s="168">
        <f>BIdetails!M531</f>
        <v>0</v>
      </c>
      <c r="F528" t="e">
        <f>IF(ISERROR(IF(OR(C528="#",C528=0),"",VLOOKUP(C528,'AOP24'!M:M,1,0))),"Not Found",VLOOKUP(C528,'AOP24'!M:M,1,0))</f>
        <v>#N/A</v>
      </c>
      <c r="G528" t="e">
        <f t="shared" si="8"/>
        <v>#N/A</v>
      </c>
    </row>
    <row r="529" spans="1:7" x14ac:dyDescent="0.25">
      <c r="A529">
        <f>BIdetails!G532</f>
        <v>0</v>
      </c>
      <c r="B529">
        <f>BIdetails!H532</f>
        <v>0</v>
      </c>
      <c r="C529">
        <f>BIdetails!J532</f>
        <v>0</v>
      </c>
      <c r="D529">
        <f>BIdetails!K532</f>
        <v>0</v>
      </c>
      <c r="E529" s="168">
        <f>BIdetails!M532</f>
        <v>0</v>
      </c>
      <c r="F529" t="e">
        <f>IF(ISERROR(IF(OR(C529="#",C529=0),"",VLOOKUP(C529,'AOP24'!M:M,1,0))),"Not Found",VLOOKUP(C529,'AOP24'!M:M,1,0))</f>
        <v>#N/A</v>
      </c>
      <c r="G529" t="e">
        <f t="shared" si="8"/>
        <v>#N/A</v>
      </c>
    </row>
    <row r="530" spans="1:7" x14ac:dyDescent="0.25">
      <c r="A530">
        <f>BIdetails!G533</f>
        <v>0</v>
      </c>
      <c r="B530">
        <f>BIdetails!H533</f>
        <v>0</v>
      </c>
      <c r="C530">
        <f>BIdetails!J533</f>
        <v>0</v>
      </c>
      <c r="D530">
        <f>BIdetails!K533</f>
        <v>0</v>
      </c>
      <c r="E530" s="168">
        <f>BIdetails!M533</f>
        <v>0</v>
      </c>
      <c r="F530" t="e">
        <f>IF(ISERROR(IF(OR(C530="#",C530=0),"",VLOOKUP(C530,'AOP24'!M:M,1,0))),"Not Found",VLOOKUP(C530,'AOP24'!M:M,1,0))</f>
        <v>#N/A</v>
      </c>
      <c r="G530" t="e">
        <f t="shared" si="8"/>
        <v>#N/A</v>
      </c>
    </row>
    <row r="531" spans="1:7" x14ac:dyDescent="0.25">
      <c r="A531">
        <f>BIdetails!G534</f>
        <v>0</v>
      </c>
      <c r="B531">
        <f>BIdetails!H534</f>
        <v>0</v>
      </c>
      <c r="C531">
        <f>BIdetails!J534</f>
        <v>0</v>
      </c>
      <c r="D531">
        <f>BIdetails!K534</f>
        <v>0</v>
      </c>
      <c r="E531" s="168">
        <f>BIdetails!M534</f>
        <v>0</v>
      </c>
      <c r="F531" t="e">
        <f>IF(ISERROR(IF(OR(C531="#",C531=0),"",VLOOKUP(C531,'AOP24'!M:M,1,0))),"Not Found",VLOOKUP(C531,'AOP24'!M:M,1,0))</f>
        <v>#N/A</v>
      </c>
      <c r="G531" t="e">
        <f t="shared" si="8"/>
        <v>#N/A</v>
      </c>
    </row>
    <row r="532" spans="1:7" x14ac:dyDescent="0.25">
      <c r="A532">
        <f>BIdetails!G535</f>
        <v>0</v>
      </c>
      <c r="B532">
        <f>BIdetails!H535</f>
        <v>0</v>
      </c>
      <c r="C532">
        <f>BIdetails!J535</f>
        <v>0</v>
      </c>
      <c r="D532">
        <f>BIdetails!K535</f>
        <v>0</v>
      </c>
      <c r="E532" s="168">
        <f>BIdetails!M535</f>
        <v>0</v>
      </c>
      <c r="F532" t="e">
        <f>IF(ISERROR(IF(OR(C532="#",C532=0),"",VLOOKUP(C532,'AOP24'!M:M,1,0))),"Not Found",VLOOKUP(C532,'AOP24'!M:M,1,0))</f>
        <v>#N/A</v>
      </c>
      <c r="G532" t="e">
        <f t="shared" si="8"/>
        <v>#N/A</v>
      </c>
    </row>
    <row r="533" spans="1:7" x14ac:dyDescent="0.25">
      <c r="A533">
        <f>BIdetails!G536</f>
        <v>0</v>
      </c>
      <c r="B533">
        <f>BIdetails!H536</f>
        <v>0</v>
      </c>
      <c r="C533">
        <f>BIdetails!J536</f>
        <v>0</v>
      </c>
      <c r="D533">
        <f>BIdetails!K536</f>
        <v>0</v>
      </c>
      <c r="E533" s="168">
        <f>BIdetails!M536</f>
        <v>0</v>
      </c>
      <c r="F533" t="e">
        <f>IF(ISERROR(IF(OR(C533="#",C533=0),"",VLOOKUP(C533,'AOP24'!M:M,1,0))),"Not Found",VLOOKUP(C533,'AOP24'!M:M,1,0))</f>
        <v>#N/A</v>
      </c>
      <c r="G533" t="e">
        <f t="shared" si="8"/>
        <v>#N/A</v>
      </c>
    </row>
    <row r="534" spans="1:7" x14ac:dyDescent="0.25">
      <c r="A534">
        <f>BIdetails!G537</f>
        <v>0</v>
      </c>
      <c r="B534">
        <f>BIdetails!H537</f>
        <v>0</v>
      </c>
      <c r="C534">
        <f>BIdetails!J537</f>
        <v>0</v>
      </c>
      <c r="D534">
        <f>BIdetails!K537</f>
        <v>0</v>
      </c>
      <c r="E534" s="168">
        <f>BIdetails!M537</f>
        <v>0</v>
      </c>
      <c r="F534" t="e">
        <f>IF(ISERROR(IF(OR(C534="#",C534=0),"",VLOOKUP(C534,'AOP24'!M:M,1,0))),"Not Found",VLOOKUP(C534,'AOP24'!M:M,1,0))</f>
        <v>#N/A</v>
      </c>
      <c r="G534" t="e">
        <f t="shared" si="8"/>
        <v>#N/A</v>
      </c>
    </row>
    <row r="535" spans="1:7" x14ac:dyDescent="0.25">
      <c r="A535">
        <f>BIdetails!G538</f>
        <v>0</v>
      </c>
      <c r="B535">
        <f>BIdetails!H538</f>
        <v>0</v>
      </c>
      <c r="C535">
        <f>BIdetails!J538</f>
        <v>0</v>
      </c>
      <c r="D535">
        <f>BIdetails!K538</f>
        <v>0</v>
      </c>
      <c r="E535" s="168">
        <f>BIdetails!M538</f>
        <v>0</v>
      </c>
      <c r="F535" t="e">
        <f>IF(ISERROR(IF(OR(C535="#",C535=0),"",VLOOKUP(C535,'AOP24'!M:M,1,0))),"Not Found",VLOOKUP(C535,'AOP24'!M:M,1,0))</f>
        <v>#N/A</v>
      </c>
      <c r="G535" t="e">
        <f t="shared" si="8"/>
        <v>#N/A</v>
      </c>
    </row>
    <row r="536" spans="1:7" x14ac:dyDescent="0.25">
      <c r="A536">
        <f>BIdetails!G539</f>
        <v>0</v>
      </c>
      <c r="B536">
        <f>BIdetails!H539</f>
        <v>0</v>
      </c>
      <c r="C536">
        <f>BIdetails!J539</f>
        <v>0</v>
      </c>
      <c r="D536">
        <f>BIdetails!K539</f>
        <v>0</v>
      </c>
      <c r="E536" s="168">
        <f>BIdetails!M539</f>
        <v>0</v>
      </c>
      <c r="F536" t="e">
        <f>IF(ISERROR(IF(OR(C536="#",C536=0),"",VLOOKUP(C536,'AOP24'!M:M,1,0))),"Not Found",VLOOKUP(C536,'AOP24'!M:M,1,0))</f>
        <v>#N/A</v>
      </c>
      <c r="G536" t="e">
        <f t="shared" si="8"/>
        <v>#N/A</v>
      </c>
    </row>
    <row r="537" spans="1:7" x14ac:dyDescent="0.25">
      <c r="A537">
        <f>BIdetails!G540</f>
        <v>0</v>
      </c>
      <c r="B537">
        <f>BIdetails!H540</f>
        <v>0</v>
      </c>
      <c r="C537">
        <f>BIdetails!J540</f>
        <v>0</v>
      </c>
      <c r="D537">
        <f>BIdetails!K540</f>
        <v>0</v>
      </c>
      <c r="E537" s="168">
        <f>BIdetails!M540</f>
        <v>0</v>
      </c>
      <c r="F537" t="e">
        <f>IF(ISERROR(IF(OR(C537="#",C537=0),"",VLOOKUP(C537,'AOP24'!M:M,1,0))),"Not Found",VLOOKUP(C537,'AOP24'!M:M,1,0))</f>
        <v>#N/A</v>
      </c>
      <c r="G537" t="e">
        <f t="shared" si="8"/>
        <v>#N/A</v>
      </c>
    </row>
    <row r="538" spans="1:7" x14ac:dyDescent="0.25">
      <c r="A538">
        <f>BIdetails!G541</f>
        <v>0</v>
      </c>
      <c r="B538">
        <f>BIdetails!H541</f>
        <v>0</v>
      </c>
      <c r="C538">
        <f>BIdetails!J541</f>
        <v>0</v>
      </c>
      <c r="D538">
        <f>BIdetails!K541</f>
        <v>0</v>
      </c>
      <c r="E538" s="168">
        <f>BIdetails!M541</f>
        <v>0</v>
      </c>
      <c r="F538" t="e">
        <f>IF(ISERROR(IF(OR(C538="#",C538=0),"",VLOOKUP(C538,'AOP24'!M:M,1,0))),"Not Found",VLOOKUP(C538,'AOP24'!M:M,1,0))</f>
        <v>#N/A</v>
      </c>
      <c r="G538" t="e">
        <f t="shared" si="8"/>
        <v>#N/A</v>
      </c>
    </row>
    <row r="539" spans="1:7" x14ac:dyDescent="0.25">
      <c r="A539">
        <f>BIdetails!G542</f>
        <v>0</v>
      </c>
      <c r="B539">
        <f>BIdetails!H542</f>
        <v>0</v>
      </c>
      <c r="C539">
        <f>BIdetails!J542</f>
        <v>0</v>
      </c>
      <c r="D539">
        <f>BIdetails!K542</f>
        <v>0</v>
      </c>
      <c r="E539" s="168">
        <f>BIdetails!M542</f>
        <v>0</v>
      </c>
      <c r="F539" t="e">
        <f>IF(ISERROR(IF(OR(C539="#",C539=0),"",VLOOKUP(C539,'AOP24'!M:M,1,0))),"Not Found",VLOOKUP(C539,'AOP24'!M:M,1,0))</f>
        <v>#N/A</v>
      </c>
      <c r="G539" t="e">
        <f t="shared" si="8"/>
        <v>#N/A</v>
      </c>
    </row>
    <row r="540" spans="1:7" x14ac:dyDescent="0.25">
      <c r="A540">
        <f>BIdetails!G543</f>
        <v>0</v>
      </c>
      <c r="B540">
        <f>BIdetails!H543</f>
        <v>0</v>
      </c>
      <c r="C540">
        <f>BIdetails!J543</f>
        <v>0</v>
      </c>
      <c r="D540">
        <f>BIdetails!K543</f>
        <v>0</v>
      </c>
      <c r="E540" s="168">
        <f>BIdetails!M543</f>
        <v>0</v>
      </c>
      <c r="F540" t="e">
        <f>IF(ISERROR(IF(OR(C540="#",C540=0),"",VLOOKUP(C540,'AOP24'!M:M,1,0))),"Not Found",VLOOKUP(C540,'AOP24'!M:M,1,0))</f>
        <v>#N/A</v>
      </c>
      <c r="G540" t="e">
        <f t="shared" si="8"/>
        <v>#N/A</v>
      </c>
    </row>
    <row r="541" spans="1:7" x14ac:dyDescent="0.25">
      <c r="A541">
        <f>BIdetails!G544</f>
        <v>0</v>
      </c>
      <c r="B541">
        <f>BIdetails!H544</f>
        <v>0</v>
      </c>
      <c r="C541">
        <f>BIdetails!J544</f>
        <v>0</v>
      </c>
      <c r="D541">
        <f>BIdetails!K544</f>
        <v>0</v>
      </c>
      <c r="E541" s="168">
        <f>BIdetails!M544</f>
        <v>0</v>
      </c>
      <c r="F541" t="e">
        <f>IF(ISERROR(IF(OR(C541="#",C541=0),"",VLOOKUP(C541,'AOP24'!M:M,1,0))),"Not Found",VLOOKUP(C541,'AOP24'!M:M,1,0))</f>
        <v>#N/A</v>
      </c>
      <c r="G541" t="e">
        <f t="shared" si="8"/>
        <v>#N/A</v>
      </c>
    </row>
    <row r="542" spans="1:7" x14ac:dyDescent="0.25">
      <c r="A542">
        <f>BIdetails!G545</f>
        <v>0</v>
      </c>
      <c r="B542">
        <f>BIdetails!H545</f>
        <v>0</v>
      </c>
      <c r="C542">
        <f>BIdetails!J545</f>
        <v>0</v>
      </c>
      <c r="D542">
        <f>BIdetails!K545</f>
        <v>0</v>
      </c>
      <c r="E542" s="168">
        <f>BIdetails!M545</f>
        <v>0</v>
      </c>
      <c r="F542" t="e">
        <f>IF(ISERROR(IF(OR(C542="#",C542=0),"",VLOOKUP(C542,'AOP24'!M:M,1,0))),"Not Found",VLOOKUP(C542,'AOP24'!M:M,1,0))</f>
        <v>#N/A</v>
      </c>
      <c r="G542" t="e">
        <f t="shared" si="8"/>
        <v>#N/A</v>
      </c>
    </row>
    <row r="543" spans="1:7" x14ac:dyDescent="0.25">
      <c r="A543">
        <f>BIdetails!G546</f>
        <v>0</v>
      </c>
      <c r="B543">
        <f>BIdetails!H546</f>
        <v>0</v>
      </c>
      <c r="C543">
        <f>BIdetails!J546</f>
        <v>0</v>
      </c>
      <c r="D543">
        <f>BIdetails!K546</f>
        <v>0</v>
      </c>
      <c r="E543" s="168">
        <f>BIdetails!M546</f>
        <v>0</v>
      </c>
      <c r="F543" t="e">
        <f>IF(ISERROR(IF(OR(C543="#",C543=0),"",VLOOKUP(C543,'AOP24'!M:M,1,0))),"Not Found",VLOOKUP(C543,'AOP24'!M:M,1,0))</f>
        <v>#N/A</v>
      </c>
      <c r="G543" t="e">
        <f t="shared" si="8"/>
        <v>#N/A</v>
      </c>
    </row>
    <row r="544" spans="1:7" x14ac:dyDescent="0.25">
      <c r="A544">
        <f>BIdetails!G547</f>
        <v>0</v>
      </c>
      <c r="B544">
        <f>BIdetails!H547</f>
        <v>0</v>
      </c>
      <c r="C544">
        <f>BIdetails!J547</f>
        <v>0</v>
      </c>
      <c r="D544">
        <f>BIdetails!K547</f>
        <v>0</v>
      </c>
      <c r="E544" s="168">
        <f>BIdetails!M547</f>
        <v>0</v>
      </c>
      <c r="F544" t="e">
        <f>IF(ISERROR(IF(OR(C544="#",C544=0),"",VLOOKUP(C544,'AOP24'!M:M,1,0))),"Not Found",VLOOKUP(C544,'AOP24'!M:M,1,0))</f>
        <v>#N/A</v>
      </c>
      <c r="G544" t="e">
        <f t="shared" si="8"/>
        <v>#N/A</v>
      </c>
    </row>
    <row r="545" spans="1:7" x14ac:dyDescent="0.25">
      <c r="A545">
        <f>BIdetails!G548</f>
        <v>0</v>
      </c>
      <c r="B545">
        <f>BIdetails!H548</f>
        <v>0</v>
      </c>
      <c r="C545">
        <f>BIdetails!J548</f>
        <v>0</v>
      </c>
      <c r="D545">
        <f>BIdetails!K548</f>
        <v>0</v>
      </c>
      <c r="E545" s="168">
        <f>BIdetails!M548</f>
        <v>0</v>
      </c>
      <c r="F545" t="e">
        <f>IF(ISERROR(IF(OR(C545="#",C545=0),"",VLOOKUP(C545,'AOP24'!M:M,1,0))),"Not Found",VLOOKUP(C545,'AOP24'!M:M,1,0))</f>
        <v>#N/A</v>
      </c>
      <c r="G545" t="e">
        <f t="shared" si="8"/>
        <v>#N/A</v>
      </c>
    </row>
    <row r="546" spans="1:7" x14ac:dyDescent="0.25">
      <c r="A546">
        <f>BIdetails!G549</f>
        <v>0</v>
      </c>
      <c r="B546">
        <f>BIdetails!H549</f>
        <v>0</v>
      </c>
      <c r="C546">
        <f>BIdetails!J549</f>
        <v>0</v>
      </c>
      <c r="D546">
        <f>BIdetails!K549</f>
        <v>0</v>
      </c>
      <c r="E546" s="168">
        <f>BIdetails!M549</f>
        <v>0</v>
      </c>
      <c r="F546" t="e">
        <f>IF(ISERROR(IF(OR(C546="#",C546=0),"",VLOOKUP(C546,'AOP24'!M:M,1,0))),"Not Found",VLOOKUP(C546,'AOP24'!M:M,1,0))</f>
        <v>#N/A</v>
      </c>
      <c r="G546" t="e">
        <f t="shared" si="8"/>
        <v>#N/A</v>
      </c>
    </row>
    <row r="547" spans="1:7" x14ac:dyDescent="0.25">
      <c r="A547">
        <f>BIdetails!G550</f>
        <v>0</v>
      </c>
      <c r="B547">
        <f>BIdetails!H550</f>
        <v>0</v>
      </c>
      <c r="C547">
        <f>BIdetails!J550</f>
        <v>0</v>
      </c>
      <c r="D547">
        <f>BIdetails!K550</f>
        <v>0</v>
      </c>
      <c r="E547" s="168">
        <f>BIdetails!M550</f>
        <v>0</v>
      </c>
      <c r="F547" t="e">
        <f>IF(ISERROR(IF(OR(C547="#",C547=0),"",VLOOKUP(C547,'AOP24'!M:M,1,0))),"Not Found",VLOOKUP(C547,'AOP24'!M:M,1,0))</f>
        <v>#N/A</v>
      </c>
      <c r="G547" t="e">
        <f t="shared" si="8"/>
        <v>#N/A</v>
      </c>
    </row>
    <row r="548" spans="1:7" x14ac:dyDescent="0.25">
      <c r="A548">
        <f>BIdetails!G551</f>
        <v>0</v>
      </c>
      <c r="B548">
        <f>BIdetails!H551</f>
        <v>0</v>
      </c>
      <c r="C548">
        <f>BIdetails!J551</f>
        <v>0</v>
      </c>
      <c r="D548">
        <f>BIdetails!K551</f>
        <v>0</v>
      </c>
      <c r="E548" s="168">
        <f>BIdetails!M551</f>
        <v>0</v>
      </c>
      <c r="F548" t="e">
        <f>IF(ISERROR(IF(OR(C548="#",C548=0),"",VLOOKUP(C548,'AOP24'!M:M,1,0))),"Not Found",VLOOKUP(C548,'AOP24'!M:M,1,0))</f>
        <v>#N/A</v>
      </c>
      <c r="G548" t="e">
        <f t="shared" si="8"/>
        <v>#N/A</v>
      </c>
    </row>
    <row r="549" spans="1:7" x14ac:dyDescent="0.25">
      <c r="A549">
        <f>BIdetails!G552</f>
        <v>0</v>
      </c>
      <c r="B549">
        <f>BIdetails!H552</f>
        <v>0</v>
      </c>
      <c r="C549">
        <f>BIdetails!J552</f>
        <v>0</v>
      </c>
      <c r="D549">
        <f>BIdetails!K552</f>
        <v>0</v>
      </c>
      <c r="E549" s="168">
        <f>BIdetails!M552</f>
        <v>0</v>
      </c>
      <c r="F549" t="e">
        <f>IF(ISERROR(IF(OR(C549="#",C549=0),"",VLOOKUP(C549,'AOP24'!M:M,1,0))),"Not Found",VLOOKUP(C549,'AOP24'!M:M,1,0))</f>
        <v>#N/A</v>
      </c>
      <c r="G549" t="e">
        <f t="shared" si="8"/>
        <v>#N/A</v>
      </c>
    </row>
    <row r="550" spans="1:7" x14ac:dyDescent="0.25">
      <c r="A550">
        <f>BIdetails!G553</f>
        <v>0</v>
      </c>
      <c r="B550">
        <f>BIdetails!H553</f>
        <v>0</v>
      </c>
      <c r="C550">
        <f>BIdetails!J553</f>
        <v>0</v>
      </c>
      <c r="D550">
        <f>BIdetails!K553</f>
        <v>0</v>
      </c>
      <c r="E550" s="168">
        <f>BIdetails!M553</f>
        <v>0</v>
      </c>
      <c r="F550" t="e">
        <f>IF(ISERROR(IF(OR(C550="#",C550=0),"",VLOOKUP(C550,'AOP24'!M:M,1,0))),"Not Found",VLOOKUP(C550,'AOP24'!M:M,1,0))</f>
        <v>#N/A</v>
      </c>
      <c r="G550" t="e">
        <f t="shared" si="8"/>
        <v>#N/A</v>
      </c>
    </row>
    <row r="551" spans="1:7" x14ac:dyDescent="0.25">
      <c r="A551">
        <f>BIdetails!G554</f>
        <v>0</v>
      </c>
      <c r="B551">
        <f>BIdetails!H554</f>
        <v>0</v>
      </c>
      <c r="C551">
        <f>BIdetails!J554</f>
        <v>0</v>
      </c>
      <c r="D551">
        <f>BIdetails!K554</f>
        <v>0</v>
      </c>
      <c r="E551" s="168">
        <f>BIdetails!M554</f>
        <v>0</v>
      </c>
      <c r="F551" t="e">
        <f>IF(ISERROR(IF(OR(C551="#",C551=0),"",VLOOKUP(C551,'AOP24'!M:M,1,0))),"Not Found",VLOOKUP(C551,'AOP24'!M:M,1,0))</f>
        <v>#N/A</v>
      </c>
      <c r="G551" t="e">
        <f t="shared" si="8"/>
        <v>#N/A</v>
      </c>
    </row>
    <row r="552" spans="1:7" x14ac:dyDescent="0.25">
      <c r="A552">
        <f>BIdetails!G555</f>
        <v>0</v>
      </c>
      <c r="B552">
        <f>BIdetails!H555</f>
        <v>0</v>
      </c>
      <c r="C552">
        <f>BIdetails!J555</f>
        <v>0</v>
      </c>
      <c r="D552">
        <f>BIdetails!K555</f>
        <v>0</v>
      </c>
      <c r="E552" s="168">
        <f>BIdetails!M555</f>
        <v>0</v>
      </c>
      <c r="F552" t="e">
        <f>IF(ISERROR(IF(OR(C552="#",C552=0),"",VLOOKUP(C552,'AOP24'!M:M,1,0))),"Not Found",VLOOKUP(C552,'AOP24'!M:M,1,0))</f>
        <v>#N/A</v>
      </c>
      <c r="G552" t="e">
        <f t="shared" si="8"/>
        <v>#N/A</v>
      </c>
    </row>
    <row r="553" spans="1:7" x14ac:dyDescent="0.25">
      <c r="A553">
        <f>BIdetails!G556</f>
        <v>0</v>
      </c>
      <c r="B553">
        <f>BIdetails!H556</f>
        <v>0</v>
      </c>
      <c r="C553">
        <f>BIdetails!J556</f>
        <v>0</v>
      </c>
      <c r="D553">
        <f>BIdetails!K556</f>
        <v>0</v>
      </c>
      <c r="E553" s="168">
        <f>BIdetails!M556</f>
        <v>0</v>
      </c>
      <c r="F553" t="e">
        <f>IF(ISERROR(IF(OR(C553="#",C553=0),"",VLOOKUP(C553,'AOP24'!M:M,1,0))),"Not Found",VLOOKUP(C553,'AOP24'!M:M,1,0))</f>
        <v>#N/A</v>
      </c>
      <c r="G553" t="e">
        <f t="shared" si="8"/>
        <v>#N/A</v>
      </c>
    </row>
    <row r="554" spans="1:7" x14ac:dyDescent="0.25">
      <c r="A554">
        <f>BIdetails!G557</f>
        <v>0</v>
      </c>
      <c r="B554">
        <f>BIdetails!H557</f>
        <v>0</v>
      </c>
      <c r="C554">
        <f>BIdetails!J557</f>
        <v>0</v>
      </c>
      <c r="D554">
        <f>BIdetails!K557</f>
        <v>0</v>
      </c>
      <c r="E554" s="168">
        <f>BIdetails!M557</f>
        <v>0</v>
      </c>
      <c r="F554" t="e">
        <f>IF(ISERROR(IF(OR(C554="#",C554=0),"",VLOOKUP(C554,'AOP24'!M:M,1,0))),"Not Found",VLOOKUP(C554,'AOP24'!M:M,1,0))</f>
        <v>#N/A</v>
      </c>
      <c r="G554" t="e">
        <f t="shared" si="8"/>
        <v>#N/A</v>
      </c>
    </row>
    <row r="555" spans="1:7" x14ac:dyDescent="0.25">
      <c r="A555">
        <f>BIdetails!G558</f>
        <v>0</v>
      </c>
      <c r="B555">
        <f>BIdetails!H558</f>
        <v>0</v>
      </c>
      <c r="C555">
        <f>BIdetails!J558</f>
        <v>0</v>
      </c>
      <c r="D555">
        <f>BIdetails!K558</f>
        <v>0</v>
      </c>
      <c r="E555" s="168">
        <f>BIdetails!M558</f>
        <v>0</v>
      </c>
      <c r="F555" t="e">
        <f>IF(ISERROR(IF(OR(C555="#",C555=0),"",VLOOKUP(C555,'AOP24'!M:M,1,0))),"Not Found",VLOOKUP(C555,'AOP24'!M:M,1,0))</f>
        <v>#N/A</v>
      </c>
      <c r="G555" t="e">
        <f t="shared" si="8"/>
        <v>#N/A</v>
      </c>
    </row>
    <row r="556" spans="1:7" x14ac:dyDescent="0.25">
      <c r="A556">
        <f>BIdetails!G559</f>
        <v>0</v>
      </c>
      <c r="B556">
        <f>BIdetails!H559</f>
        <v>0</v>
      </c>
      <c r="C556">
        <f>BIdetails!J559</f>
        <v>0</v>
      </c>
      <c r="D556">
        <f>BIdetails!K559</f>
        <v>0</v>
      </c>
      <c r="E556" s="168">
        <f>BIdetails!M559</f>
        <v>0</v>
      </c>
      <c r="F556" t="e">
        <f>IF(ISERROR(IF(OR(C556="#",C556=0),"",VLOOKUP(C556,'AOP24'!M:M,1,0))),"Not Found",VLOOKUP(C556,'AOP24'!M:M,1,0))</f>
        <v>#N/A</v>
      </c>
      <c r="G556" t="e">
        <f t="shared" si="8"/>
        <v>#N/A</v>
      </c>
    </row>
    <row r="557" spans="1:7" x14ac:dyDescent="0.25">
      <c r="A557">
        <f>BIdetails!G560</f>
        <v>0</v>
      </c>
      <c r="B557">
        <f>BIdetails!H560</f>
        <v>0</v>
      </c>
      <c r="C557">
        <f>BIdetails!J560</f>
        <v>0</v>
      </c>
      <c r="D557">
        <f>BIdetails!K560</f>
        <v>0</v>
      </c>
      <c r="E557" s="168">
        <f>BIdetails!M560</f>
        <v>0</v>
      </c>
      <c r="F557" t="e">
        <f>IF(ISERROR(IF(OR(C557="#",C557=0),"",VLOOKUP(C557,'AOP24'!M:M,1,0))),"Not Found",VLOOKUP(C557,'AOP24'!M:M,1,0))</f>
        <v>#N/A</v>
      </c>
      <c r="G557" t="e">
        <f t="shared" si="8"/>
        <v>#N/A</v>
      </c>
    </row>
    <row r="558" spans="1:7" x14ac:dyDescent="0.25">
      <c r="A558">
        <f>BIdetails!G561</f>
        <v>0</v>
      </c>
      <c r="B558">
        <f>BIdetails!H561</f>
        <v>0</v>
      </c>
      <c r="C558">
        <f>BIdetails!J561</f>
        <v>0</v>
      </c>
      <c r="D558">
        <f>BIdetails!K561</f>
        <v>0</v>
      </c>
      <c r="E558" s="168">
        <f>BIdetails!M561</f>
        <v>0</v>
      </c>
      <c r="F558" t="e">
        <f>IF(ISERROR(IF(OR(C558="#",C558=0),"",VLOOKUP(C558,'AOP24'!M:M,1,0))),"Not Found",VLOOKUP(C558,'AOP24'!M:M,1,0))</f>
        <v>#N/A</v>
      </c>
      <c r="G558" t="e">
        <f t="shared" si="8"/>
        <v>#N/A</v>
      </c>
    </row>
    <row r="559" spans="1:7" x14ac:dyDescent="0.25">
      <c r="A559">
        <f>BIdetails!G562</f>
        <v>0</v>
      </c>
      <c r="B559">
        <f>BIdetails!H562</f>
        <v>0</v>
      </c>
      <c r="C559">
        <f>BIdetails!J562</f>
        <v>0</v>
      </c>
      <c r="D559">
        <f>BIdetails!K562</f>
        <v>0</v>
      </c>
      <c r="E559" s="168">
        <f>BIdetails!M562</f>
        <v>0</v>
      </c>
      <c r="F559" t="e">
        <f>IF(ISERROR(IF(OR(C559="#",C559=0),"",VLOOKUP(C559,'AOP24'!M:M,1,0))),"Not Found",VLOOKUP(C559,'AOP24'!M:M,1,0))</f>
        <v>#N/A</v>
      </c>
      <c r="G559" t="e">
        <f t="shared" si="8"/>
        <v>#N/A</v>
      </c>
    </row>
    <row r="560" spans="1:7" x14ac:dyDescent="0.25">
      <c r="A560">
        <f>BIdetails!G563</f>
        <v>0</v>
      </c>
      <c r="B560">
        <f>BIdetails!H563</f>
        <v>0</v>
      </c>
      <c r="C560">
        <f>BIdetails!J563</f>
        <v>0</v>
      </c>
      <c r="D560">
        <f>BIdetails!K563</f>
        <v>0</v>
      </c>
      <c r="E560" s="168">
        <f>BIdetails!M563</f>
        <v>0</v>
      </c>
      <c r="F560" t="e">
        <f>IF(ISERROR(IF(OR(C560="#",C560=0),"",VLOOKUP(C560,'AOP24'!M:M,1,0))),"Not Found",VLOOKUP(C560,'AOP24'!M:M,1,0))</f>
        <v>#N/A</v>
      </c>
      <c r="G560" t="e">
        <f t="shared" si="8"/>
        <v>#N/A</v>
      </c>
    </row>
    <row r="561" spans="1:7" x14ac:dyDescent="0.25">
      <c r="A561">
        <f>BIdetails!G564</f>
        <v>0</v>
      </c>
      <c r="B561">
        <f>BIdetails!H564</f>
        <v>0</v>
      </c>
      <c r="C561">
        <f>BIdetails!J564</f>
        <v>0</v>
      </c>
      <c r="D561">
        <f>BIdetails!K564</f>
        <v>0</v>
      </c>
      <c r="E561" s="168">
        <f>BIdetails!M564</f>
        <v>0</v>
      </c>
      <c r="F561" t="e">
        <f>IF(ISERROR(IF(OR(C561="#",C561=0),"",VLOOKUP(C561,'AOP24'!M:M,1,0))),"Not Found",VLOOKUP(C561,'AOP24'!M:M,1,0))</f>
        <v>#N/A</v>
      </c>
      <c r="G561" t="e">
        <f t="shared" si="8"/>
        <v>#N/A</v>
      </c>
    </row>
    <row r="562" spans="1:7" x14ac:dyDescent="0.25">
      <c r="A562">
        <f>BIdetails!G565</f>
        <v>0</v>
      </c>
      <c r="B562">
        <f>BIdetails!H565</f>
        <v>0</v>
      </c>
      <c r="C562">
        <f>BIdetails!J565</f>
        <v>0</v>
      </c>
      <c r="D562">
        <f>BIdetails!K565</f>
        <v>0</v>
      </c>
      <c r="E562" s="168">
        <f>BIdetails!M565</f>
        <v>0</v>
      </c>
      <c r="F562" t="e">
        <f>IF(ISERROR(IF(OR(C562="#",C562=0),"",VLOOKUP(C562,'AOP24'!M:M,1,0))),"Not Found",VLOOKUP(C562,'AOP24'!M:M,1,0))</f>
        <v>#N/A</v>
      </c>
      <c r="G562" t="e">
        <f t="shared" si="8"/>
        <v>#N/A</v>
      </c>
    </row>
    <row r="563" spans="1:7" x14ac:dyDescent="0.25">
      <c r="A563">
        <f>BIdetails!G566</f>
        <v>0</v>
      </c>
      <c r="B563">
        <f>BIdetails!H566</f>
        <v>0</v>
      </c>
      <c r="C563">
        <f>BIdetails!J566</f>
        <v>0</v>
      </c>
      <c r="D563">
        <f>BIdetails!K566</f>
        <v>0</v>
      </c>
      <c r="E563" s="168">
        <f>BIdetails!M566</f>
        <v>0</v>
      </c>
      <c r="F563" t="e">
        <f>IF(ISERROR(IF(OR(C563="#",C563=0),"",VLOOKUP(C563,'AOP24'!M:M,1,0))),"Not Found",VLOOKUP(C563,'AOP24'!M:M,1,0))</f>
        <v>#N/A</v>
      </c>
      <c r="G563" t="e">
        <f t="shared" si="8"/>
        <v>#N/A</v>
      </c>
    </row>
    <row r="564" spans="1:7" x14ac:dyDescent="0.25">
      <c r="A564">
        <f>BIdetails!G567</f>
        <v>0</v>
      </c>
      <c r="B564">
        <f>BIdetails!H567</f>
        <v>0</v>
      </c>
      <c r="C564">
        <f>BIdetails!J567</f>
        <v>0</v>
      </c>
      <c r="D564">
        <f>BIdetails!K567</f>
        <v>0</v>
      </c>
      <c r="E564" s="168">
        <f>BIdetails!M567</f>
        <v>0</v>
      </c>
      <c r="F564" t="e">
        <f>IF(ISERROR(IF(OR(C564="#",C564=0),"",VLOOKUP(C564,'AOP24'!M:M,1,0))),"Not Found",VLOOKUP(C564,'AOP24'!M:M,1,0))</f>
        <v>#N/A</v>
      </c>
      <c r="G564" t="e">
        <f t="shared" si="8"/>
        <v>#N/A</v>
      </c>
    </row>
    <row r="565" spans="1:7" x14ac:dyDescent="0.25">
      <c r="A565">
        <f>BIdetails!G568</f>
        <v>0</v>
      </c>
      <c r="B565">
        <f>BIdetails!H568</f>
        <v>0</v>
      </c>
      <c r="C565">
        <f>BIdetails!J568</f>
        <v>0</v>
      </c>
      <c r="D565">
        <f>BIdetails!K568</f>
        <v>0</v>
      </c>
      <c r="E565" s="168">
        <f>BIdetails!M568</f>
        <v>0</v>
      </c>
      <c r="F565" t="e">
        <f>IF(ISERROR(IF(OR(C565="#",C565=0),"",VLOOKUP(C565,'AOP24'!M:M,1,0))),"Not Found",VLOOKUP(C565,'AOP24'!M:M,1,0))</f>
        <v>#N/A</v>
      </c>
      <c r="G565" t="e">
        <f t="shared" si="8"/>
        <v>#N/A</v>
      </c>
    </row>
    <row r="566" spans="1:7" x14ac:dyDescent="0.25">
      <c r="A566">
        <f>BIdetails!G569</f>
        <v>0</v>
      </c>
      <c r="B566">
        <f>BIdetails!H569</f>
        <v>0</v>
      </c>
      <c r="C566">
        <f>BIdetails!J569</f>
        <v>0</v>
      </c>
      <c r="D566">
        <f>BIdetails!K569</f>
        <v>0</v>
      </c>
      <c r="E566" s="168">
        <f>BIdetails!M569</f>
        <v>0</v>
      </c>
      <c r="F566" t="e">
        <f>IF(ISERROR(IF(OR(C566="#",C566=0),"",VLOOKUP(C566,'AOP24'!M:M,1,0))),"Not Found",VLOOKUP(C566,'AOP24'!M:M,1,0))</f>
        <v>#N/A</v>
      </c>
      <c r="G566" t="e">
        <f t="shared" si="8"/>
        <v>#N/A</v>
      </c>
    </row>
    <row r="567" spans="1:7" x14ac:dyDescent="0.25">
      <c r="A567">
        <f>BIdetails!G570</f>
        <v>0</v>
      </c>
      <c r="B567">
        <f>BIdetails!H570</f>
        <v>0</v>
      </c>
      <c r="C567">
        <f>BIdetails!J570</f>
        <v>0</v>
      </c>
      <c r="D567">
        <f>BIdetails!K570</f>
        <v>0</v>
      </c>
      <c r="E567" s="168">
        <f>BIdetails!M570</f>
        <v>0</v>
      </c>
      <c r="F567" t="e">
        <f>IF(ISERROR(IF(OR(C567="#",C567=0),"",VLOOKUP(C567,'AOP24'!M:M,1,0))),"Not Found",VLOOKUP(C567,'AOP24'!M:M,1,0))</f>
        <v>#N/A</v>
      </c>
      <c r="G567" t="e">
        <f t="shared" si="8"/>
        <v>#N/A</v>
      </c>
    </row>
    <row r="568" spans="1:7" x14ac:dyDescent="0.25">
      <c r="A568">
        <f>BIdetails!G571</f>
        <v>0</v>
      </c>
      <c r="B568">
        <f>BIdetails!H571</f>
        <v>0</v>
      </c>
      <c r="C568">
        <f>BIdetails!J571</f>
        <v>0</v>
      </c>
      <c r="D568">
        <f>BIdetails!K571</f>
        <v>0</v>
      </c>
      <c r="E568" s="168">
        <f>BIdetails!M571</f>
        <v>0</v>
      </c>
      <c r="F568" t="e">
        <f>IF(ISERROR(IF(OR(C568="#",C568=0),"",VLOOKUP(C568,'AOP24'!M:M,1,0))),"Not Found",VLOOKUP(C568,'AOP24'!M:M,1,0))</f>
        <v>#N/A</v>
      </c>
      <c r="G568" t="e">
        <f t="shared" si="8"/>
        <v>#N/A</v>
      </c>
    </row>
    <row r="569" spans="1:7" x14ac:dyDescent="0.25">
      <c r="A569">
        <f>BIdetails!G572</f>
        <v>0</v>
      </c>
      <c r="B569">
        <f>BIdetails!H572</f>
        <v>0</v>
      </c>
      <c r="C569">
        <f>BIdetails!J572</f>
        <v>0</v>
      </c>
      <c r="D569">
        <f>BIdetails!K572</f>
        <v>0</v>
      </c>
      <c r="E569" s="168">
        <f>BIdetails!M572</f>
        <v>0</v>
      </c>
      <c r="F569" t="e">
        <f>IF(ISERROR(IF(OR(C569="#",C569=0),"",VLOOKUP(C569,'AOP24'!M:M,1,0))),"Not Found",VLOOKUP(C569,'AOP24'!M:M,1,0))</f>
        <v>#N/A</v>
      </c>
      <c r="G569" t="e">
        <f t="shared" si="8"/>
        <v>#N/A</v>
      </c>
    </row>
    <row r="570" spans="1:7" x14ac:dyDescent="0.25">
      <c r="A570">
        <f>BIdetails!G573</f>
        <v>0</v>
      </c>
      <c r="B570">
        <f>BIdetails!H573</f>
        <v>0</v>
      </c>
      <c r="C570">
        <f>BIdetails!J573</f>
        <v>0</v>
      </c>
      <c r="D570">
        <f>BIdetails!K573</f>
        <v>0</v>
      </c>
      <c r="E570" s="168">
        <f>BIdetails!M573</f>
        <v>0</v>
      </c>
      <c r="F570" t="e">
        <f>IF(ISERROR(IF(OR(C570="#",C570=0),"",VLOOKUP(C570,'AOP24'!M:M,1,0))),"Not Found",VLOOKUP(C570,'AOP24'!M:M,1,0))</f>
        <v>#N/A</v>
      </c>
      <c r="G570" t="e">
        <f t="shared" ref="G570:G633" si="9">IF(NOT(ISERROR(VLOOKUP(C570,$K$2:$K$50,1,0))),"Y",VLOOKUP(C570,$K$2:$K$50,1,0))</f>
        <v>#N/A</v>
      </c>
    </row>
    <row r="571" spans="1:7" x14ac:dyDescent="0.25">
      <c r="A571">
        <f>BIdetails!G574</f>
        <v>0</v>
      </c>
      <c r="B571">
        <f>BIdetails!H574</f>
        <v>0</v>
      </c>
      <c r="C571">
        <f>BIdetails!J574</f>
        <v>0</v>
      </c>
      <c r="D571">
        <f>BIdetails!K574</f>
        <v>0</v>
      </c>
      <c r="E571" s="168">
        <f>BIdetails!M574</f>
        <v>0</v>
      </c>
      <c r="F571" t="e">
        <f>IF(ISERROR(IF(OR(C571="#",C571=0),"",VLOOKUP(C571,'AOP24'!M:M,1,0))),"Not Found",VLOOKUP(C571,'AOP24'!M:M,1,0))</f>
        <v>#N/A</v>
      </c>
      <c r="G571" t="e">
        <f t="shared" si="9"/>
        <v>#N/A</v>
      </c>
    </row>
    <row r="572" spans="1:7" x14ac:dyDescent="0.25">
      <c r="A572">
        <f>BIdetails!G575</f>
        <v>0</v>
      </c>
      <c r="B572">
        <f>BIdetails!H575</f>
        <v>0</v>
      </c>
      <c r="C572">
        <f>BIdetails!J575</f>
        <v>0</v>
      </c>
      <c r="D572">
        <f>BIdetails!K575</f>
        <v>0</v>
      </c>
      <c r="E572" s="168">
        <f>BIdetails!M575</f>
        <v>0</v>
      </c>
      <c r="F572" t="e">
        <f>IF(ISERROR(IF(OR(C572="#",C572=0),"",VLOOKUP(C572,'AOP24'!M:M,1,0))),"Not Found",VLOOKUP(C572,'AOP24'!M:M,1,0))</f>
        <v>#N/A</v>
      </c>
      <c r="G572" t="e">
        <f t="shared" si="9"/>
        <v>#N/A</v>
      </c>
    </row>
    <row r="573" spans="1:7" x14ac:dyDescent="0.25">
      <c r="A573">
        <f>BIdetails!G576</f>
        <v>0</v>
      </c>
      <c r="B573">
        <f>BIdetails!H576</f>
        <v>0</v>
      </c>
      <c r="C573">
        <f>BIdetails!J576</f>
        <v>0</v>
      </c>
      <c r="D573">
        <f>BIdetails!K576</f>
        <v>0</v>
      </c>
      <c r="E573" s="168">
        <f>BIdetails!M576</f>
        <v>0</v>
      </c>
      <c r="F573" t="e">
        <f>IF(ISERROR(IF(OR(C573="#",C573=0),"",VLOOKUP(C573,'AOP24'!M:M,1,0))),"Not Found",VLOOKUP(C573,'AOP24'!M:M,1,0))</f>
        <v>#N/A</v>
      </c>
      <c r="G573" t="e">
        <f t="shared" si="9"/>
        <v>#N/A</v>
      </c>
    </row>
    <row r="574" spans="1:7" x14ac:dyDescent="0.25">
      <c r="A574">
        <f>BIdetails!G577</f>
        <v>0</v>
      </c>
      <c r="B574">
        <f>BIdetails!H577</f>
        <v>0</v>
      </c>
      <c r="C574">
        <f>BIdetails!J577</f>
        <v>0</v>
      </c>
      <c r="D574">
        <f>BIdetails!K577</f>
        <v>0</v>
      </c>
      <c r="E574" s="168">
        <f>BIdetails!M577</f>
        <v>0</v>
      </c>
      <c r="F574" t="e">
        <f>IF(ISERROR(IF(OR(C574="#",C574=0),"",VLOOKUP(C574,'AOP24'!M:M,1,0))),"Not Found",VLOOKUP(C574,'AOP24'!M:M,1,0))</f>
        <v>#N/A</v>
      </c>
      <c r="G574" t="e">
        <f t="shared" si="9"/>
        <v>#N/A</v>
      </c>
    </row>
    <row r="575" spans="1:7" x14ac:dyDescent="0.25">
      <c r="A575">
        <f>BIdetails!G578</f>
        <v>0</v>
      </c>
      <c r="B575">
        <f>BIdetails!H578</f>
        <v>0</v>
      </c>
      <c r="C575">
        <f>BIdetails!J578</f>
        <v>0</v>
      </c>
      <c r="D575">
        <f>BIdetails!K578</f>
        <v>0</v>
      </c>
      <c r="E575" s="168">
        <f>BIdetails!M578</f>
        <v>0</v>
      </c>
      <c r="F575" t="e">
        <f>IF(ISERROR(IF(OR(C575="#",C575=0),"",VLOOKUP(C575,'AOP24'!M:M,1,0))),"Not Found",VLOOKUP(C575,'AOP24'!M:M,1,0))</f>
        <v>#N/A</v>
      </c>
      <c r="G575" t="e">
        <f t="shared" si="9"/>
        <v>#N/A</v>
      </c>
    </row>
    <row r="576" spans="1:7" x14ac:dyDescent="0.25">
      <c r="A576">
        <f>BIdetails!G579</f>
        <v>0</v>
      </c>
      <c r="B576">
        <f>BIdetails!H579</f>
        <v>0</v>
      </c>
      <c r="C576">
        <f>BIdetails!J579</f>
        <v>0</v>
      </c>
      <c r="D576">
        <f>BIdetails!K579</f>
        <v>0</v>
      </c>
      <c r="E576" s="168">
        <f>BIdetails!M579</f>
        <v>0</v>
      </c>
      <c r="F576" t="e">
        <f>IF(ISERROR(IF(OR(C576="#",C576=0),"",VLOOKUP(C576,'AOP24'!M:M,1,0))),"Not Found",VLOOKUP(C576,'AOP24'!M:M,1,0))</f>
        <v>#N/A</v>
      </c>
      <c r="G576" t="e">
        <f t="shared" si="9"/>
        <v>#N/A</v>
      </c>
    </row>
    <row r="577" spans="1:7" x14ac:dyDescent="0.25">
      <c r="A577">
        <f>BIdetails!G580</f>
        <v>0</v>
      </c>
      <c r="B577">
        <f>BIdetails!H580</f>
        <v>0</v>
      </c>
      <c r="C577">
        <f>BIdetails!J580</f>
        <v>0</v>
      </c>
      <c r="D577">
        <f>BIdetails!K580</f>
        <v>0</v>
      </c>
      <c r="E577" s="168">
        <f>BIdetails!M580</f>
        <v>0</v>
      </c>
      <c r="F577" t="e">
        <f>IF(ISERROR(IF(OR(C577="#",C577=0),"",VLOOKUP(C577,'AOP24'!M:M,1,0))),"Not Found",VLOOKUP(C577,'AOP24'!M:M,1,0))</f>
        <v>#N/A</v>
      </c>
      <c r="G577" t="e">
        <f t="shared" si="9"/>
        <v>#N/A</v>
      </c>
    </row>
    <row r="578" spans="1:7" x14ac:dyDescent="0.25">
      <c r="A578">
        <f>BIdetails!G581</f>
        <v>0</v>
      </c>
      <c r="B578">
        <f>BIdetails!H581</f>
        <v>0</v>
      </c>
      <c r="C578">
        <f>BIdetails!J581</f>
        <v>0</v>
      </c>
      <c r="D578">
        <f>BIdetails!K581</f>
        <v>0</v>
      </c>
      <c r="E578" s="168">
        <f>BIdetails!M581</f>
        <v>0</v>
      </c>
      <c r="F578" t="e">
        <f>IF(ISERROR(IF(OR(C578="#",C578=0),"",VLOOKUP(C578,'AOP24'!M:M,1,0))),"Not Found",VLOOKUP(C578,'AOP24'!M:M,1,0))</f>
        <v>#N/A</v>
      </c>
      <c r="G578" t="e">
        <f t="shared" si="9"/>
        <v>#N/A</v>
      </c>
    </row>
    <row r="579" spans="1:7" x14ac:dyDescent="0.25">
      <c r="A579">
        <f>BIdetails!G582</f>
        <v>0</v>
      </c>
      <c r="B579">
        <f>BIdetails!H582</f>
        <v>0</v>
      </c>
      <c r="C579">
        <f>BIdetails!J582</f>
        <v>0</v>
      </c>
      <c r="D579">
        <f>BIdetails!K582</f>
        <v>0</v>
      </c>
      <c r="E579" s="168">
        <f>BIdetails!M582</f>
        <v>0</v>
      </c>
      <c r="F579" t="e">
        <f>IF(ISERROR(IF(OR(C579="#",C579=0),"",VLOOKUP(C579,'AOP24'!M:M,1,0))),"Not Found",VLOOKUP(C579,'AOP24'!M:M,1,0))</f>
        <v>#N/A</v>
      </c>
      <c r="G579" t="e">
        <f t="shared" si="9"/>
        <v>#N/A</v>
      </c>
    </row>
    <row r="580" spans="1:7" x14ac:dyDescent="0.25">
      <c r="A580">
        <f>BIdetails!G583</f>
        <v>0</v>
      </c>
      <c r="B580">
        <f>BIdetails!H583</f>
        <v>0</v>
      </c>
      <c r="C580">
        <f>BIdetails!J583</f>
        <v>0</v>
      </c>
      <c r="D580">
        <f>BIdetails!K583</f>
        <v>0</v>
      </c>
      <c r="E580" s="168">
        <f>BIdetails!M583</f>
        <v>0</v>
      </c>
      <c r="F580" t="e">
        <f>IF(ISERROR(IF(OR(C580="#",C580=0),"",VLOOKUP(C580,'AOP24'!M:M,1,0))),"Not Found",VLOOKUP(C580,'AOP24'!M:M,1,0))</f>
        <v>#N/A</v>
      </c>
      <c r="G580" t="e">
        <f t="shared" si="9"/>
        <v>#N/A</v>
      </c>
    </row>
    <row r="581" spans="1:7" x14ac:dyDescent="0.25">
      <c r="A581">
        <f>BIdetails!G584</f>
        <v>0</v>
      </c>
      <c r="B581">
        <f>BIdetails!H584</f>
        <v>0</v>
      </c>
      <c r="C581">
        <f>BIdetails!J584</f>
        <v>0</v>
      </c>
      <c r="D581">
        <f>BIdetails!K584</f>
        <v>0</v>
      </c>
      <c r="E581" s="168">
        <f>BIdetails!M584</f>
        <v>0</v>
      </c>
      <c r="F581" t="e">
        <f>IF(ISERROR(IF(OR(C581="#",C581=0),"",VLOOKUP(C581,'AOP24'!M:M,1,0))),"Not Found",VLOOKUP(C581,'AOP24'!M:M,1,0))</f>
        <v>#N/A</v>
      </c>
      <c r="G581" t="e">
        <f t="shared" si="9"/>
        <v>#N/A</v>
      </c>
    </row>
    <row r="582" spans="1:7" x14ac:dyDescent="0.25">
      <c r="A582">
        <f>BIdetails!G585</f>
        <v>0</v>
      </c>
      <c r="B582">
        <f>BIdetails!H585</f>
        <v>0</v>
      </c>
      <c r="C582">
        <f>BIdetails!J585</f>
        <v>0</v>
      </c>
      <c r="D582">
        <f>BIdetails!K585</f>
        <v>0</v>
      </c>
      <c r="E582" s="168">
        <f>BIdetails!M585</f>
        <v>0</v>
      </c>
      <c r="F582" t="e">
        <f>IF(ISERROR(IF(OR(C582="#",C582=0),"",VLOOKUP(C582,'AOP24'!M:M,1,0))),"Not Found",VLOOKUP(C582,'AOP24'!M:M,1,0))</f>
        <v>#N/A</v>
      </c>
      <c r="G582" t="e">
        <f t="shared" si="9"/>
        <v>#N/A</v>
      </c>
    </row>
    <row r="583" spans="1:7" x14ac:dyDescent="0.25">
      <c r="A583">
        <f>BIdetails!G586</f>
        <v>0</v>
      </c>
      <c r="B583">
        <f>BIdetails!H586</f>
        <v>0</v>
      </c>
      <c r="C583">
        <f>BIdetails!J586</f>
        <v>0</v>
      </c>
      <c r="D583">
        <f>BIdetails!K586</f>
        <v>0</v>
      </c>
      <c r="E583" s="168">
        <f>BIdetails!M586</f>
        <v>0</v>
      </c>
      <c r="F583" t="e">
        <f>IF(ISERROR(IF(OR(C583="#",C583=0),"",VLOOKUP(C583,'AOP24'!M:M,1,0))),"Not Found",VLOOKUP(C583,'AOP24'!M:M,1,0))</f>
        <v>#N/A</v>
      </c>
      <c r="G583" t="e">
        <f t="shared" si="9"/>
        <v>#N/A</v>
      </c>
    </row>
    <row r="584" spans="1:7" x14ac:dyDescent="0.25">
      <c r="A584">
        <f>BIdetails!G587</f>
        <v>0</v>
      </c>
      <c r="B584">
        <f>BIdetails!H587</f>
        <v>0</v>
      </c>
      <c r="C584">
        <f>BIdetails!J587</f>
        <v>0</v>
      </c>
      <c r="D584">
        <f>BIdetails!K587</f>
        <v>0</v>
      </c>
      <c r="E584" s="168">
        <f>BIdetails!M587</f>
        <v>0</v>
      </c>
      <c r="F584" t="e">
        <f>IF(ISERROR(IF(OR(C584="#",C584=0),"",VLOOKUP(C584,'AOP24'!M:M,1,0))),"Not Found",VLOOKUP(C584,'AOP24'!M:M,1,0))</f>
        <v>#N/A</v>
      </c>
      <c r="G584" t="e">
        <f t="shared" si="9"/>
        <v>#N/A</v>
      </c>
    </row>
    <row r="585" spans="1:7" x14ac:dyDescent="0.25">
      <c r="A585">
        <f>BIdetails!G588</f>
        <v>0</v>
      </c>
      <c r="B585">
        <f>BIdetails!H588</f>
        <v>0</v>
      </c>
      <c r="C585">
        <f>BIdetails!J588</f>
        <v>0</v>
      </c>
      <c r="D585">
        <f>BIdetails!K588</f>
        <v>0</v>
      </c>
      <c r="E585" s="168">
        <f>BIdetails!M588</f>
        <v>0</v>
      </c>
      <c r="F585" t="e">
        <f>IF(ISERROR(IF(OR(C585="#",C585=0),"",VLOOKUP(C585,'AOP24'!M:M,1,0))),"Not Found",VLOOKUP(C585,'AOP24'!M:M,1,0))</f>
        <v>#N/A</v>
      </c>
      <c r="G585" t="e">
        <f t="shared" si="9"/>
        <v>#N/A</v>
      </c>
    </row>
    <row r="586" spans="1:7" x14ac:dyDescent="0.25">
      <c r="A586">
        <f>BIdetails!G589</f>
        <v>0</v>
      </c>
      <c r="B586">
        <f>BIdetails!H589</f>
        <v>0</v>
      </c>
      <c r="C586">
        <f>BIdetails!J589</f>
        <v>0</v>
      </c>
      <c r="D586">
        <f>BIdetails!K589</f>
        <v>0</v>
      </c>
      <c r="E586" s="168">
        <f>BIdetails!M589</f>
        <v>0</v>
      </c>
      <c r="F586" t="e">
        <f>IF(ISERROR(IF(OR(C586="#",C586=0),"",VLOOKUP(C586,'AOP24'!M:M,1,0))),"Not Found",VLOOKUP(C586,'AOP24'!M:M,1,0))</f>
        <v>#N/A</v>
      </c>
      <c r="G586" t="e">
        <f t="shared" si="9"/>
        <v>#N/A</v>
      </c>
    </row>
    <row r="587" spans="1:7" x14ac:dyDescent="0.25">
      <c r="A587">
        <f>BIdetails!G590</f>
        <v>0</v>
      </c>
      <c r="B587">
        <f>BIdetails!H590</f>
        <v>0</v>
      </c>
      <c r="C587">
        <f>BIdetails!J590</f>
        <v>0</v>
      </c>
      <c r="D587">
        <f>BIdetails!K590</f>
        <v>0</v>
      </c>
      <c r="E587" s="168">
        <f>BIdetails!M590</f>
        <v>0</v>
      </c>
      <c r="F587" t="e">
        <f>IF(ISERROR(IF(OR(C587="#",C587=0),"",VLOOKUP(C587,'AOP24'!M:M,1,0))),"Not Found",VLOOKUP(C587,'AOP24'!M:M,1,0))</f>
        <v>#N/A</v>
      </c>
      <c r="G587" t="e">
        <f t="shared" si="9"/>
        <v>#N/A</v>
      </c>
    </row>
    <row r="588" spans="1:7" x14ac:dyDescent="0.25">
      <c r="A588">
        <f>BIdetails!G591</f>
        <v>0</v>
      </c>
      <c r="B588">
        <f>BIdetails!H591</f>
        <v>0</v>
      </c>
      <c r="C588">
        <f>BIdetails!J591</f>
        <v>0</v>
      </c>
      <c r="D588">
        <f>BIdetails!K591</f>
        <v>0</v>
      </c>
      <c r="E588" s="168">
        <f>BIdetails!M591</f>
        <v>0</v>
      </c>
      <c r="F588" t="e">
        <f>IF(ISERROR(IF(OR(C588="#",C588=0),"",VLOOKUP(C588,'AOP24'!M:M,1,0))),"Not Found",VLOOKUP(C588,'AOP24'!M:M,1,0))</f>
        <v>#N/A</v>
      </c>
      <c r="G588" t="e">
        <f t="shared" si="9"/>
        <v>#N/A</v>
      </c>
    </row>
    <row r="589" spans="1:7" x14ac:dyDescent="0.25">
      <c r="A589">
        <f>BIdetails!G592</f>
        <v>0</v>
      </c>
      <c r="B589">
        <f>BIdetails!H592</f>
        <v>0</v>
      </c>
      <c r="C589">
        <f>BIdetails!J592</f>
        <v>0</v>
      </c>
      <c r="D589">
        <f>BIdetails!K592</f>
        <v>0</v>
      </c>
      <c r="E589" s="168">
        <f>BIdetails!M592</f>
        <v>0</v>
      </c>
      <c r="F589" t="e">
        <f>IF(ISERROR(IF(OR(C589="#",C589=0),"",VLOOKUP(C589,'AOP24'!M:M,1,0))),"Not Found",VLOOKUP(C589,'AOP24'!M:M,1,0))</f>
        <v>#N/A</v>
      </c>
      <c r="G589" t="e">
        <f t="shared" si="9"/>
        <v>#N/A</v>
      </c>
    </row>
    <row r="590" spans="1:7" x14ac:dyDescent="0.25">
      <c r="A590">
        <f>BIdetails!G593</f>
        <v>0</v>
      </c>
      <c r="B590">
        <f>BIdetails!H593</f>
        <v>0</v>
      </c>
      <c r="C590">
        <f>BIdetails!J593</f>
        <v>0</v>
      </c>
      <c r="D590">
        <f>BIdetails!K593</f>
        <v>0</v>
      </c>
      <c r="E590" s="168">
        <f>BIdetails!M593</f>
        <v>0</v>
      </c>
      <c r="F590" t="e">
        <f>IF(ISERROR(IF(OR(C590="#",C590=0),"",VLOOKUP(C590,'AOP24'!M:M,1,0))),"Not Found",VLOOKUP(C590,'AOP24'!M:M,1,0))</f>
        <v>#N/A</v>
      </c>
      <c r="G590" t="e">
        <f t="shared" si="9"/>
        <v>#N/A</v>
      </c>
    </row>
    <row r="591" spans="1:7" x14ac:dyDescent="0.25">
      <c r="A591">
        <f>BIdetails!G594</f>
        <v>0</v>
      </c>
      <c r="B591">
        <f>BIdetails!H594</f>
        <v>0</v>
      </c>
      <c r="C591">
        <f>BIdetails!J594</f>
        <v>0</v>
      </c>
      <c r="D591">
        <f>BIdetails!K594</f>
        <v>0</v>
      </c>
      <c r="E591" s="168">
        <f>BIdetails!M594</f>
        <v>0</v>
      </c>
      <c r="F591" t="e">
        <f>IF(ISERROR(IF(OR(C591="#",C591=0),"",VLOOKUP(C591,'AOP24'!M:M,1,0))),"Not Found",VLOOKUP(C591,'AOP24'!M:M,1,0))</f>
        <v>#N/A</v>
      </c>
      <c r="G591" t="e">
        <f t="shared" si="9"/>
        <v>#N/A</v>
      </c>
    </row>
    <row r="592" spans="1:7" x14ac:dyDescent="0.25">
      <c r="A592">
        <f>BIdetails!G595</f>
        <v>0</v>
      </c>
      <c r="B592">
        <f>BIdetails!H595</f>
        <v>0</v>
      </c>
      <c r="C592">
        <f>BIdetails!J595</f>
        <v>0</v>
      </c>
      <c r="D592">
        <f>BIdetails!K595</f>
        <v>0</v>
      </c>
      <c r="E592" s="168">
        <f>BIdetails!M595</f>
        <v>0</v>
      </c>
      <c r="F592" t="e">
        <f>IF(ISERROR(IF(OR(C592="#",C592=0),"",VLOOKUP(C592,'AOP24'!M:M,1,0))),"Not Found",VLOOKUP(C592,'AOP24'!M:M,1,0))</f>
        <v>#N/A</v>
      </c>
      <c r="G592" t="e">
        <f t="shared" si="9"/>
        <v>#N/A</v>
      </c>
    </row>
    <row r="593" spans="1:7" x14ac:dyDescent="0.25">
      <c r="A593">
        <f>BIdetails!G596</f>
        <v>0</v>
      </c>
      <c r="B593">
        <f>BIdetails!H596</f>
        <v>0</v>
      </c>
      <c r="C593">
        <f>BIdetails!J596</f>
        <v>0</v>
      </c>
      <c r="D593">
        <f>BIdetails!K596</f>
        <v>0</v>
      </c>
      <c r="E593" s="168">
        <f>BIdetails!M596</f>
        <v>0</v>
      </c>
      <c r="F593" t="e">
        <f>IF(ISERROR(IF(OR(C593="#",C593=0),"",VLOOKUP(C593,'AOP24'!M:M,1,0))),"Not Found",VLOOKUP(C593,'AOP24'!M:M,1,0))</f>
        <v>#N/A</v>
      </c>
      <c r="G593" t="e">
        <f t="shared" si="9"/>
        <v>#N/A</v>
      </c>
    </row>
    <row r="594" spans="1:7" x14ac:dyDescent="0.25">
      <c r="A594">
        <f>BIdetails!G597</f>
        <v>0</v>
      </c>
      <c r="B594">
        <f>BIdetails!H597</f>
        <v>0</v>
      </c>
      <c r="C594">
        <f>BIdetails!J597</f>
        <v>0</v>
      </c>
      <c r="D594">
        <f>BIdetails!K597</f>
        <v>0</v>
      </c>
      <c r="E594" s="168">
        <f>BIdetails!M597</f>
        <v>0</v>
      </c>
      <c r="F594" t="e">
        <f>IF(ISERROR(IF(OR(C594="#",C594=0),"",VLOOKUP(C594,'AOP24'!M:M,1,0))),"Not Found",VLOOKUP(C594,'AOP24'!M:M,1,0))</f>
        <v>#N/A</v>
      </c>
      <c r="G594" t="e">
        <f t="shared" si="9"/>
        <v>#N/A</v>
      </c>
    </row>
    <row r="595" spans="1:7" x14ac:dyDescent="0.25">
      <c r="A595">
        <f>BIdetails!G598</f>
        <v>0</v>
      </c>
      <c r="B595">
        <f>BIdetails!H598</f>
        <v>0</v>
      </c>
      <c r="C595">
        <f>BIdetails!J598</f>
        <v>0</v>
      </c>
      <c r="D595">
        <f>BIdetails!K598</f>
        <v>0</v>
      </c>
      <c r="E595" s="168">
        <f>BIdetails!M598</f>
        <v>0</v>
      </c>
      <c r="F595" t="e">
        <f>IF(ISERROR(IF(OR(C595="#",C595=0),"",VLOOKUP(C595,'AOP24'!M:M,1,0))),"Not Found",VLOOKUP(C595,'AOP24'!M:M,1,0))</f>
        <v>#N/A</v>
      </c>
      <c r="G595" t="e">
        <f t="shared" si="9"/>
        <v>#N/A</v>
      </c>
    </row>
    <row r="596" spans="1:7" x14ac:dyDescent="0.25">
      <c r="A596">
        <f>BIdetails!G599</f>
        <v>0</v>
      </c>
      <c r="B596">
        <f>BIdetails!H599</f>
        <v>0</v>
      </c>
      <c r="C596">
        <f>BIdetails!J599</f>
        <v>0</v>
      </c>
      <c r="D596">
        <f>BIdetails!K599</f>
        <v>0</v>
      </c>
      <c r="E596" s="168">
        <f>BIdetails!M599</f>
        <v>0</v>
      </c>
      <c r="F596" t="e">
        <f>IF(ISERROR(IF(OR(C596="#",C596=0),"",VLOOKUP(C596,'AOP24'!M:M,1,0))),"Not Found",VLOOKUP(C596,'AOP24'!M:M,1,0))</f>
        <v>#N/A</v>
      </c>
      <c r="G596" t="e">
        <f t="shared" si="9"/>
        <v>#N/A</v>
      </c>
    </row>
    <row r="597" spans="1:7" x14ac:dyDescent="0.25">
      <c r="A597">
        <f>BIdetails!G600</f>
        <v>0</v>
      </c>
      <c r="B597">
        <f>BIdetails!H600</f>
        <v>0</v>
      </c>
      <c r="C597">
        <f>BIdetails!J600</f>
        <v>0</v>
      </c>
      <c r="D597">
        <f>BIdetails!K600</f>
        <v>0</v>
      </c>
      <c r="E597" s="168">
        <f>BIdetails!M600</f>
        <v>0</v>
      </c>
      <c r="F597" t="e">
        <f>IF(ISERROR(IF(OR(C597="#",C597=0),"",VLOOKUP(C597,'AOP24'!M:M,1,0))),"Not Found",VLOOKUP(C597,'AOP24'!M:M,1,0))</f>
        <v>#N/A</v>
      </c>
      <c r="G597" t="e">
        <f t="shared" si="9"/>
        <v>#N/A</v>
      </c>
    </row>
    <row r="598" spans="1:7" x14ac:dyDescent="0.25">
      <c r="A598">
        <f>BIdetails!G601</f>
        <v>0</v>
      </c>
      <c r="B598">
        <f>BIdetails!H601</f>
        <v>0</v>
      </c>
      <c r="C598">
        <f>BIdetails!J601</f>
        <v>0</v>
      </c>
      <c r="D598">
        <f>BIdetails!K601</f>
        <v>0</v>
      </c>
      <c r="E598" s="168">
        <f>BIdetails!M601</f>
        <v>0</v>
      </c>
      <c r="F598" t="e">
        <f>IF(ISERROR(IF(OR(C598="#",C598=0),"",VLOOKUP(C598,'AOP24'!M:M,1,0))),"Not Found",VLOOKUP(C598,'AOP24'!M:M,1,0))</f>
        <v>#N/A</v>
      </c>
      <c r="G598" t="e">
        <f t="shared" si="9"/>
        <v>#N/A</v>
      </c>
    </row>
    <row r="599" spans="1:7" x14ac:dyDescent="0.25">
      <c r="A599">
        <f>BIdetails!G602</f>
        <v>0</v>
      </c>
      <c r="B599">
        <f>BIdetails!H602</f>
        <v>0</v>
      </c>
      <c r="C599">
        <f>BIdetails!J602</f>
        <v>0</v>
      </c>
      <c r="D599">
        <f>BIdetails!K602</f>
        <v>0</v>
      </c>
      <c r="E599" s="168">
        <f>BIdetails!M602</f>
        <v>0</v>
      </c>
      <c r="F599" t="e">
        <f>IF(ISERROR(IF(OR(C599="#",C599=0),"",VLOOKUP(C599,'AOP24'!M:M,1,0))),"Not Found",VLOOKUP(C599,'AOP24'!M:M,1,0))</f>
        <v>#N/A</v>
      </c>
      <c r="G599" t="e">
        <f t="shared" si="9"/>
        <v>#N/A</v>
      </c>
    </row>
    <row r="600" spans="1:7" x14ac:dyDescent="0.25">
      <c r="A600">
        <f>BIdetails!G603</f>
        <v>0</v>
      </c>
      <c r="B600">
        <f>BIdetails!H603</f>
        <v>0</v>
      </c>
      <c r="C600">
        <f>BIdetails!J603</f>
        <v>0</v>
      </c>
      <c r="D600">
        <f>BIdetails!K603</f>
        <v>0</v>
      </c>
      <c r="E600" s="168">
        <f>BIdetails!M603</f>
        <v>0</v>
      </c>
      <c r="F600" t="e">
        <f>IF(ISERROR(IF(OR(C600="#",C600=0),"",VLOOKUP(C600,'AOP24'!M:M,1,0))),"Not Found",VLOOKUP(C600,'AOP24'!M:M,1,0))</f>
        <v>#N/A</v>
      </c>
      <c r="G600" t="e">
        <f t="shared" si="9"/>
        <v>#N/A</v>
      </c>
    </row>
    <row r="601" spans="1:7" x14ac:dyDescent="0.25">
      <c r="A601">
        <f>BIdetails!G604</f>
        <v>0</v>
      </c>
      <c r="B601">
        <f>BIdetails!H604</f>
        <v>0</v>
      </c>
      <c r="C601">
        <f>BIdetails!J604</f>
        <v>0</v>
      </c>
      <c r="D601">
        <f>BIdetails!K604</f>
        <v>0</v>
      </c>
      <c r="E601" s="168">
        <f>BIdetails!M604</f>
        <v>0</v>
      </c>
      <c r="F601" t="e">
        <f>IF(ISERROR(IF(OR(C601="#",C601=0),"",VLOOKUP(C601,'AOP24'!M:M,1,0))),"Not Found",VLOOKUP(C601,'AOP24'!M:M,1,0))</f>
        <v>#N/A</v>
      </c>
      <c r="G601" t="e">
        <f t="shared" si="9"/>
        <v>#N/A</v>
      </c>
    </row>
    <row r="602" spans="1:7" x14ac:dyDescent="0.25">
      <c r="A602">
        <f>BIdetails!G605</f>
        <v>0</v>
      </c>
      <c r="B602">
        <f>BIdetails!H605</f>
        <v>0</v>
      </c>
      <c r="C602">
        <f>BIdetails!J605</f>
        <v>0</v>
      </c>
      <c r="D602">
        <f>BIdetails!K605</f>
        <v>0</v>
      </c>
      <c r="E602" s="168">
        <f>BIdetails!M605</f>
        <v>0</v>
      </c>
      <c r="F602" t="e">
        <f>IF(ISERROR(IF(OR(C602="#",C602=0),"",VLOOKUP(C602,'AOP24'!M:M,1,0))),"Not Found",VLOOKUP(C602,'AOP24'!M:M,1,0))</f>
        <v>#N/A</v>
      </c>
      <c r="G602" t="e">
        <f t="shared" si="9"/>
        <v>#N/A</v>
      </c>
    </row>
    <row r="603" spans="1:7" x14ac:dyDescent="0.25">
      <c r="A603">
        <f>BIdetails!G606</f>
        <v>0</v>
      </c>
      <c r="B603">
        <f>BIdetails!H606</f>
        <v>0</v>
      </c>
      <c r="C603">
        <f>BIdetails!J606</f>
        <v>0</v>
      </c>
      <c r="D603">
        <f>BIdetails!K606</f>
        <v>0</v>
      </c>
      <c r="E603" s="168">
        <f>BIdetails!M606</f>
        <v>0</v>
      </c>
      <c r="F603" t="e">
        <f>IF(ISERROR(IF(OR(C603="#",C603=0),"",VLOOKUP(C603,'AOP24'!M:M,1,0))),"Not Found",VLOOKUP(C603,'AOP24'!M:M,1,0))</f>
        <v>#N/A</v>
      </c>
      <c r="G603" t="e">
        <f t="shared" si="9"/>
        <v>#N/A</v>
      </c>
    </row>
    <row r="604" spans="1:7" x14ac:dyDescent="0.25">
      <c r="A604">
        <f>BIdetails!G607</f>
        <v>0</v>
      </c>
      <c r="B604">
        <f>BIdetails!H607</f>
        <v>0</v>
      </c>
      <c r="C604">
        <f>BIdetails!J607</f>
        <v>0</v>
      </c>
      <c r="D604">
        <f>BIdetails!K607</f>
        <v>0</v>
      </c>
      <c r="E604" s="168">
        <f>BIdetails!M607</f>
        <v>0</v>
      </c>
      <c r="F604" t="e">
        <f>IF(ISERROR(IF(OR(C604="#",C604=0),"",VLOOKUP(C604,'AOP24'!M:M,1,0))),"Not Found",VLOOKUP(C604,'AOP24'!M:M,1,0))</f>
        <v>#N/A</v>
      </c>
      <c r="G604" t="e">
        <f t="shared" si="9"/>
        <v>#N/A</v>
      </c>
    </row>
    <row r="605" spans="1:7" x14ac:dyDescent="0.25">
      <c r="A605">
        <f>BIdetails!G608</f>
        <v>0</v>
      </c>
      <c r="B605">
        <f>BIdetails!H608</f>
        <v>0</v>
      </c>
      <c r="C605">
        <f>BIdetails!J608</f>
        <v>0</v>
      </c>
      <c r="D605">
        <f>BIdetails!K608</f>
        <v>0</v>
      </c>
      <c r="E605" s="168">
        <f>BIdetails!M608</f>
        <v>0</v>
      </c>
      <c r="F605" t="e">
        <f>IF(ISERROR(IF(OR(C605="#",C605=0),"",VLOOKUP(C605,'AOP24'!M:M,1,0))),"Not Found",VLOOKUP(C605,'AOP24'!M:M,1,0))</f>
        <v>#N/A</v>
      </c>
      <c r="G605" t="e">
        <f t="shared" si="9"/>
        <v>#N/A</v>
      </c>
    </row>
    <row r="606" spans="1:7" x14ac:dyDescent="0.25">
      <c r="A606">
        <f>BIdetails!G609</f>
        <v>0</v>
      </c>
      <c r="B606">
        <f>BIdetails!H609</f>
        <v>0</v>
      </c>
      <c r="C606">
        <f>BIdetails!J609</f>
        <v>0</v>
      </c>
      <c r="D606">
        <f>BIdetails!K609</f>
        <v>0</v>
      </c>
      <c r="E606" s="168">
        <f>BIdetails!M609</f>
        <v>0</v>
      </c>
      <c r="F606" t="e">
        <f>IF(ISERROR(IF(OR(C606="#",C606=0),"",VLOOKUP(C606,'AOP24'!M:M,1,0))),"Not Found",VLOOKUP(C606,'AOP24'!M:M,1,0))</f>
        <v>#N/A</v>
      </c>
      <c r="G606" t="e">
        <f t="shared" si="9"/>
        <v>#N/A</v>
      </c>
    </row>
    <row r="607" spans="1:7" x14ac:dyDescent="0.25">
      <c r="A607">
        <f>BIdetails!G610</f>
        <v>0</v>
      </c>
      <c r="B607">
        <f>BIdetails!H610</f>
        <v>0</v>
      </c>
      <c r="C607">
        <f>BIdetails!J610</f>
        <v>0</v>
      </c>
      <c r="D607">
        <f>BIdetails!K610</f>
        <v>0</v>
      </c>
      <c r="E607" s="168">
        <f>BIdetails!M610</f>
        <v>0</v>
      </c>
      <c r="F607" t="e">
        <f>IF(ISERROR(IF(OR(C607="#",C607=0),"",VLOOKUP(C607,'AOP24'!M:M,1,0))),"Not Found",VLOOKUP(C607,'AOP24'!M:M,1,0))</f>
        <v>#N/A</v>
      </c>
      <c r="G607" t="e">
        <f t="shared" si="9"/>
        <v>#N/A</v>
      </c>
    </row>
    <row r="608" spans="1:7" x14ac:dyDescent="0.25">
      <c r="A608">
        <f>BIdetails!G611</f>
        <v>0</v>
      </c>
      <c r="B608">
        <f>BIdetails!H611</f>
        <v>0</v>
      </c>
      <c r="C608">
        <f>BIdetails!J611</f>
        <v>0</v>
      </c>
      <c r="D608">
        <f>BIdetails!K611</f>
        <v>0</v>
      </c>
      <c r="E608" s="168">
        <f>BIdetails!M611</f>
        <v>0</v>
      </c>
      <c r="F608" t="e">
        <f>IF(ISERROR(IF(OR(C608="#",C608=0),"",VLOOKUP(C608,'AOP24'!M:M,1,0))),"Not Found",VLOOKUP(C608,'AOP24'!M:M,1,0))</f>
        <v>#N/A</v>
      </c>
      <c r="G608" t="e">
        <f t="shared" si="9"/>
        <v>#N/A</v>
      </c>
    </row>
    <row r="609" spans="1:7" x14ac:dyDescent="0.25">
      <c r="A609">
        <f>BIdetails!G612</f>
        <v>0</v>
      </c>
      <c r="B609">
        <f>BIdetails!H612</f>
        <v>0</v>
      </c>
      <c r="C609">
        <f>BIdetails!J612</f>
        <v>0</v>
      </c>
      <c r="D609">
        <f>BIdetails!K612</f>
        <v>0</v>
      </c>
      <c r="E609" s="168">
        <f>BIdetails!M612</f>
        <v>0</v>
      </c>
      <c r="F609" t="e">
        <f>IF(ISERROR(IF(OR(C609="#",C609=0),"",VLOOKUP(C609,'AOP24'!M:M,1,0))),"Not Found",VLOOKUP(C609,'AOP24'!M:M,1,0))</f>
        <v>#N/A</v>
      </c>
      <c r="G609" t="e">
        <f t="shared" si="9"/>
        <v>#N/A</v>
      </c>
    </row>
    <row r="610" spans="1:7" x14ac:dyDescent="0.25">
      <c r="A610">
        <f>BIdetails!G613</f>
        <v>0</v>
      </c>
      <c r="B610">
        <f>BIdetails!H613</f>
        <v>0</v>
      </c>
      <c r="C610">
        <f>BIdetails!J613</f>
        <v>0</v>
      </c>
      <c r="D610">
        <f>BIdetails!K613</f>
        <v>0</v>
      </c>
      <c r="E610" s="168">
        <f>BIdetails!M613</f>
        <v>0</v>
      </c>
      <c r="F610" t="e">
        <f>IF(ISERROR(IF(OR(C610="#",C610=0),"",VLOOKUP(C610,'AOP24'!M:M,1,0))),"Not Found",VLOOKUP(C610,'AOP24'!M:M,1,0))</f>
        <v>#N/A</v>
      </c>
      <c r="G610" t="e">
        <f t="shared" si="9"/>
        <v>#N/A</v>
      </c>
    </row>
    <row r="611" spans="1:7" x14ac:dyDescent="0.25">
      <c r="A611">
        <f>BIdetails!G614</f>
        <v>0</v>
      </c>
      <c r="B611">
        <f>BIdetails!H614</f>
        <v>0</v>
      </c>
      <c r="C611">
        <f>BIdetails!J614</f>
        <v>0</v>
      </c>
      <c r="D611">
        <f>BIdetails!K614</f>
        <v>0</v>
      </c>
      <c r="E611" s="168">
        <f>BIdetails!M614</f>
        <v>0</v>
      </c>
      <c r="F611" t="e">
        <f>IF(ISERROR(IF(OR(C611="#",C611=0),"",VLOOKUP(C611,'AOP24'!M:M,1,0))),"Not Found",VLOOKUP(C611,'AOP24'!M:M,1,0))</f>
        <v>#N/A</v>
      </c>
      <c r="G611" t="e">
        <f t="shared" si="9"/>
        <v>#N/A</v>
      </c>
    </row>
    <row r="612" spans="1:7" x14ac:dyDescent="0.25">
      <c r="A612">
        <f>BIdetails!G615</f>
        <v>0</v>
      </c>
      <c r="B612">
        <f>BIdetails!H615</f>
        <v>0</v>
      </c>
      <c r="C612">
        <f>BIdetails!J615</f>
        <v>0</v>
      </c>
      <c r="D612">
        <f>BIdetails!K615</f>
        <v>0</v>
      </c>
      <c r="E612" s="168">
        <f>BIdetails!M615</f>
        <v>0</v>
      </c>
      <c r="F612" t="e">
        <f>IF(ISERROR(IF(OR(C612="#",C612=0),"",VLOOKUP(C612,'AOP24'!M:M,1,0))),"Not Found",VLOOKUP(C612,'AOP24'!M:M,1,0))</f>
        <v>#N/A</v>
      </c>
      <c r="G612" t="e">
        <f t="shared" si="9"/>
        <v>#N/A</v>
      </c>
    </row>
    <row r="613" spans="1:7" x14ac:dyDescent="0.25">
      <c r="A613">
        <f>BIdetails!G616</f>
        <v>0</v>
      </c>
      <c r="B613">
        <f>BIdetails!H616</f>
        <v>0</v>
      </c>
      <c r="C613">
        <f>BIdetails!J616</f>
        <v>0</v>
      </c>
      <c r="D613">
        <f>BIdetails!K616</f>
        <v>0</v>
      </c>
      <c r="E613" s="168">
        <f>BIdetails!M616</f>
        <v>0</v>
      </c>
      <c r="F613" t="e">
        <f>IF(ISERROR(IF(OR(C613="#",C613=0),"",VLOOKUP(C613,'AOP24'!M:M,1,0))),"Not Found",VLOOKUP(C613,'AOP24'!M:M,1,0))</f>
        <v>#N/A</v>
      </c>
      <c r="G613" t="e">
        <f t="shared" si="9"/>
        <v>#N/A</v>
      </c>
    </row>
    <row r="614" spans="1:7" x14ac:dyDescent="0.25">
      <c r="A614">
        <f>BIdetails!G617</f>
        <v>0</v>
      </c>
      <c r="B614">
        <f>BIdetails!H617</f>
        <v>0</v>
      </c>
      <c r="C614">
        <f>BIdetails!J617</f>
        <v>0</v>
      </c>
      <c r="D614">
        <f>BIdetails!K617</f>
        <v>0</v>
      </c>
      <c r="E614" s="168">
        <f>BIdetails!M617</f>
        <v>0</v>
      </c>
      <c r="F614" t="e">
        <f>IF(ISERROR(IF(OR(C614="#",C614=0),"",VLOOKUP(C614,'AOP24'!M:M,1,0))),"Not Found",VLOOKUP(C614,'AOP24'!M:M,1,0))</f>
        <v>#N/A</v>
      </c>
      <c r="G614" t="e">
        <f t="shared" si="9"/>
        <v>#N/A</v>
      </c>
    </row>
    <row r="615" spans="1:7" x14ac:dyDescent="0.25">
      <c r="A615">
        <f>BIdetails!G618</f>
        <v>0</v>
      </c>
      <c r="B615">
        <f>BIdetails!H618</f>
        <v>0</v>
      </c>
      <c r="C615">
        <f>BIdetails!J618</f>
        <v>0</v>
      </c>
      <c r="D615">
        <f>BIdetails!K618</f>
        <v>0</v>
      </c>
      <c r="E615" s="168">
        <f>BIdetails!M618</f>
        <v>0</v>
      </c>
      <c r="F615" t="e">
        <f>IF(ISERROR(IF(OR(C615="#",C615=0),"",VLOOKUP(C615,'AOP24'!M:M,1,0))),"Not Found",VLOOKUP(C615,'AOP24'!M:M,1,0))</f>
        <v>#N/A</v>
      </c>
      <c r="G615" t="e">
        <f t="shared" si="9"/>
        <v>#N/A</v>
      </c>
    </row>
    <row r="616" spans="1:7" x14ac:dyDescent="0.25">
      <c r="A616">
        <f>BIdetails!G619</f>
        <v>0</v>
      </c>
      <c r="B616">
        <f>BIdetails!H619</f>
        <v>0</v>
      </c>
      <c r="C616">
        <f>BIdetails!J619</f>
        <v>0</v>
      </c>
      <c r="D616">
        <f>BIdetails!K619</f>
        <v>0</v>
      </c>
      <c r="E616" s="168">
        <f>BIdetails!M619</f>
        <v>0</v>
      </c>
      <c r="F616" t="e">
        <f>IF(ISERROR(IF(OR(C616="#",C616=0),"",VLOOKUP(C616,'AOP24'!M:M,1,0))),"Not Found",VLOOKUP(C616,'AOP24'!M:M,1,0))</f>
        <v>#N/A</v>
      </c>
      <c r="G616" t="e">
        <f t="shared" si="9"/>
        <v>#N/A</v>
      </c>
    </row>
    <row r="617" spans="1:7" x14ac:dyDescent="0.25">
      <c r="A617">
        <f>BIdetails!G620</f>
        <v>0</v>
      </c>
      <c r="B617">
        <f>BIdetails!H620</f>
        <v>0</v>
      </c>
      <c r="C617">
        <f>BIdetails!J620</f>
        <v>0</v>
      </c>
      <c r="D617">
        <f>BIdetails!K620</f>
        <v>0</v>
      </c>
      <c r="E617" s="168">
        <f>BIdetails!M620</f>
        <v>0</v>
      </c>
      <c r="F617" t="e">
        <f>IF(ISERROR(IF(OR(C617="#",C617=0),"",VLOOKUP(C617,'AOP24'!M:M,1,0))),"Not Found",VLOOKUP(C617,'AOP24'!M:M,1,0))</f>
        <v>#N/A</v>
      </c>
      <c r="G617" t="e">
        <f t="shared" si="9"/>
        <v>#N/A</v>
      </c>
    </row>
    <row r="618" spans="1:7" x14ac:dyDescent="0.25">
      <c r="A618">
        <f>BIdetails!G621</f>
        <v>0</v>
      </c>
      <c r="B618">
        <f>BIdetails!H621</f>
        <v>0</v>
      </c>
      <c r="C618">
        <f>BIdetails!J621</f>
        <v>0</v>
      </c>
      <c r="D618">
        <f>BIdetails!K621</f>
        <v>0</v>
      </c>
      <c r="E618" s="168">
        <f>BIdetails!M621</f>
        <v>0</v>
      </c>
      <c r="F618" t="e">
        <f>IF(ISERROR(IF(OR(C618="#",C618=0),"",VLOOKUP(C618,'AOP24'!M:M,1,0))),"Not Found",VLOOKUP(C618,'AOP24'!M:M,1,0))</f>
        <v>#N/A</v>
      </c>
      <c r="G618" t="e">
        <f t="shared" si="9"/>
        <v>#N/A</v>
      </c>
    </row>
    <row r="619" spans="1:7" x14ac:dyDescent="0.25">
      <c r="A619">
        <f>BIdetails!G622</f>
        <v>0</v>
      </c>
      <c r="B619">
        <f>BIdetails!H622</f>
        <v>0</v>
      </c>
      <c r="C619">
        <f>BIdetails!J622</f>
        <v>0</v>
      </c>
      <c r="D619">
        <f>BIdetails!K622</f>
        <v>0</v>
      </c>
      <c r="E619" s="168">
        <f>BIdetails!M622</f>
        <v>0</v>
      </c>
      <c r="F619" t="e">
        <f>IF(ISERROR(IF(OR(C619="#",C619=0),"",VLOOKUP(C619,'AOP24'!M:M,1,0))),"Not Found",VLOOKUP(C619,'AOP24'!M:M,1,0))</f>
        <v>#N/A</v>
      </c>
      <c r="G619" t="e">
        <f t="shared" si="9"/>
        <v>#N/A</v>
      </c>
    </row>
    <row r="620" spans="1:7" x14ac:dyDescent="0.25">
      <c r="A620">
        <f>BIdetails!G623</f>
        <v>0</v>
      </c>
      <c r="B620">
        <f>BIdetails!H623</f>
        <v>0</v>
      </c>
      <c r="C620">
        <f>BIdetails!J623</f>
        <v>0</v>
      </c>
      <c r="D620">
        <f>BIdetails!K623</f>
        <v>0</v>
      </c>
      <c r="E620" s="168">
        <f>BIdetails!M623</f>
        <v>0</v>
      </c>
      <c r="F620" t="e">
        <f>IF(ISERROR(IF(OR(C620="#",C620=0),"",VLOOKUP(C620,'AOP24'!M:M,1,0))),"Not Found",VLOOKUP(C620,'AOP24'!M:M,1,0))</f>
        <v>#N/A</v>
      </c>
      <c r="G620" t="e">
        <f t="shared" si="9"/>
        <v>#N/A</v>
      </c>
    </row>
    <row r="621" spans="1:7" x14ac:dyDescent="0.25">
      <c r="A621">
        <f>BIdetails!G624</f>
        <v>0</v>
      </c>
      <c r="B621">
        <f>BIdetails!H624</f>
        <v>0</v>
      </c>
      <c r="C621">
        <f>BIdetails!J624</f>
        <v>0</v>
      </c>
      <c r="D621">
        <f>BIdetails!K624</f>
        <v>0</v>
      </c>
      <c r="E621" s="168">
        <f>BIdetails!M624</f>
        <v>0</v>
      </c>
      <c r="F621" t="e">
        <f>IF(ISERROR(IF(OR(C621="#",C621=0),"",VLOOKUP(C621,'AOP24'!M:M,1,0))),"Not Found",VLOOKUP(C621,'AOP24'!M:M,1,0))</f>
        <v>#N/A</v>
      </c>
      <c r="G621" t="e">
        <f t="shared" si="9"/>
        <v>#N/A</v>
      </c>
    </row>
    <row r="622" spans="1:7" x14ac:dyDescent="0.25">
      <c r="A622">
        <f>BIdetails!G625</f>
        <v>0</v>
      </c>
      <c r="B622">
        <f>BIdetails!H625</f>
        <v>0</v>
      </c>
      <c r="C622">
        <f>BIdetails!J625</f>
        <v>0</v>
      </c>
      <c r="D622">
        <f>BIdetails!K625</f>
        <v>0</v>
      </c>
      <c r="E622" s="168">
        <f>BIdetails!M625</f>
        <v>0</v>
      </c>
      <c r="F622" t="e">
        <f>IF(ISERROR(IF(OR(C622="#",C622=0),"",VLOOKUP(C622,'AOP24'!M:M,1,0))),"Not Found",VLOOKUP(C622,'AOP24'!M:M,1,0))</f>
        <v>#N/A</v>
      </c>
      <c r="G622" t="e">
        <f t="shared" si="9"/>
        <v>#N/A</v>
      </c>
    </row>
    <row r="623" spans="1:7" x14ac:dyDescent="0.25">
      <c r="A623">
        <f>BIdetails!G626</f>
        <v>0</v>
      </c>
      <c r="B623">
        <f>BIdetails!H626</f>
        <v>0</v>
      </c>
      <c r="C623">
        <f>BIdetails!J626</f>
        <v>0</v>
      </c>
      <c r="D623">
        <f>BIdetails!K626</f>
        <v>0</v>
      </c>
      <c r="E623" s="168">
        <f>BIdetails!M626</f>
        <v>0</v>
      </c>
      <c r="F623" t="e">
        <f>IF(ISERROR(IF(OR(C623="#",C623=0),"",VLOOKUP(C623,'AOP24'!M:M,1,0))),"Not Found",VLOOKUP(C623,'AOP24'!M:M,1,0))</f>
        <v>#N/A</v>
      </c>
      <c r="G623" t="e">
        <f t="shared" si="9"/>
        <v>#N/A</v>
      </c>
    </row>
    <row r="624" spans="1:7" x14ac:dyDescent="0.25">
      <c r="A624">
        <f>BIdetails!G627</f>
        <v>0</v>
      </c>
      <c r="B624">
        <f>BIdetails!H627</f>
        <v>0</v>
      </c>
      <c r="C624">
        <f>BIdetails!J627</f>
        <v>0</v>
      </c>
      <c r="D624">
        <f>BIdetails!K627</f>
        <v>0</v>
      </c>
      <c r="E624" s="168">
        <f>BIdetails!M627</f>
        <v>0</v>
      </c>
      <c r="F624" t="e">
        <f>IF(ISERROR(IF(OR(C624="#",C624=0),"",VLOOKUP(C624,'AOP24'!M:M,1,0))),"Not Found",VLOOKUP(C624,'AOP24'!M:M,1,0))</f>
        <v>#N/A</v>
      </c>
      <c r="G624" t="e">
        <f t="shared" si="9"/>
        <v>#N/A</v>
      </c>
    </row>
    <row r="625" spans="1:7" x14ac:dyDescent="0.25">
      <c r="A625">
        <f>BIdetails!G628</f>
        <v>0</v>
      </c>
      <c r="B625">
        <f>BIdetails!H628</f>
        <v>0</v>
      </c>
      <c r="C625">
        <f>BIdetails!J628</f>
        <v>0</v>
      </c>
      <c r="D625">
        <f>BIdetails!K628</f>
        <v>0</v>
      </c>
      <c r="E625" s="168">
        <f>BIdetails!M628</f>
        <v>0</v>
      </c>
      <c r="F625" t="e">
        <f>IF(ISERROR(IF(OR(C625="#",C625=0),"",VLOOKUP(C625,'AOP24'!M:M,1,0))),"Not Found",VLOOKUP(C625,'AOP24'!M:M,1,0))</f>
        <v>#N/A</v>
      </c>
      <c r="G625" t="e">
        <f t="shared" si="9"/>
        <v>#N/A</v>
      </c>
    </row>
    <row r="626" spans="1:7" x14ac:dyDescent="0.25">
      <c r="A626">
        <f>BIdetails!G629</f>
        <v>0</v>
      </c>
      <c r="B626">
        <f>BIdetails!H629</f>
        <v>0</v>
      </c>
      <c r="C626">
        <f>BIdetails!J629</f>
        <v>0</v>
      </c>
      <c r="D626">
        <f>BIdetails!K629</f>
        <v>0</v>
      </c>
      <c r="E626" s="168">
        <f>BIdetails!M629</f>
        <v>0</v>
      </c>
      <c r="F626" t="e">
        <f>IF(ISERROR(IF(OR(C626="#",C626=0),"",VLOOKUP(C626,'AOP24'!M:M,1,0))),"Not Found",VLOOKUP(C626,'AOP24'!M:M,1,0))</f>
        <v>#N/A</v>
      </c>
      <c r="G626" t="e">
        <f t="shared" si="9"/>
        <v>#N/A</v>
      </c>
    </row>
    <row r="627" spans="1:7" x14ac:dyDescent="0.25">
      <c r="A627">
        <f>BIdetails!G630</f>
        <v>0</v>
      </c>
      <c r="B627">
        <f>BIdetails!H630</f>
        <v>0</v>
      </c>
      <c r="C627">
        <f>BIdetails!J630</f>
        <v>0</v>
      </c>
      <c r="D627">
        <f>BIdetails!K630</f>
        <v>0</v>
      </c>
      <c r="E627" s="168">
        <f>BIdetails!M630</f>
        <v>0</v>
      </c>
      <c r="F627" t="e">
        <f>IF(ISERROR(IF(OR(C627="#",C627=0),"",VLOOKUP(C627,'AOP24'!M:M,1,0))),"Not Found",VLOOKUP(C627,'AOP24'!M:M,1,0))</f>
        <v>#N/A</v>
      </c>
      <c r="G627" t="e">
        <f t="shared" si="9"/>
        <v>#N/A</v>
      </c>
    </row>
    <row r="628" spans="1:7" x14ac:dyDescent="0.25">
      <c r="A628">
        <f>BIdetails!G631</f>
        <v>0</v>
      </c>
      <c r="B628">
        <f>BIdetails!H631</f>
        <v>0</v>
      </c>
      <c r="C628">
        <f>BIdetails!J631</f>
        <v>0</v>
      </c>
      <c r="D628">
        <f>BIdetails!K631</f>
        <v>0</v>
      </c>
      <c r="E628" s="168">
        <f>BIdetails!M631</f>
        <v>0</v>
      </c>
      <c r="F628" t="e">
        <f>IF(ISERROR(IF(OR(C628="#",C628=0),"",VLOOKUP(C628,'AOP24'!M:M,1,0))),"Not Found",VLOOKUP(C628,'AOP24'!M:M,1,0))</f>
        <v>#N/A</v>
      </c>
      <c r="G628" t="e">
        <f t="shared" si="9"/>
        <v>#N/A</v>
      </c>
    </row>
    <row r="629" spans="1:7" x14ac:dyDescent="0.25">
      <c r="A629">
        <f>BIdetails!G632</f>
        <v>0</v>
      </c>
      <c r="B629">
        <f>BIdetails!H632</f>
        <v>0</v>
      </c>
      <c r="C629">
        <f>BIdetails!J632</f>
        <v>0</v>
      </c>
      <c r="D629">
        <f>BIdetails!K632</f>
        <v>0</v>
      </c>
      <c r="E629" s="168">
        <f>BIdetails!M632</f>
        <v>0</v>
      </c>
      <c r="F629" t="e">
        <f>IF(ISERROR(IF(OR(C629="#",C629=0),"",VLOOKUP(C629,'AOP24'!M:M,1,0))),"Not Found",VLOOKUP(C629,'AOP24'!M:M,1,0))</f>
        <v>#N/A</v>
      </c>
      <c r="G629" t="e">
        <f t="shared" si="9"/>
        <v>#N/A</v>
      </c>
    </row>
    <row r="630" spans="1:7" x14ac:dyDescent="0.25">
      <c r="A630">
        <f>BIdetails!G633</f>
        <v>0</v>
      </c>
      <c r="B630">
        <f>BIdetails!H633</f>
        <v>0</v>
      </c>
      <c r="C630">
        <f>BIdetails!J633</f>
        <v>0</v>
      </c>
      <c r="D630">
        <f>BIdetails!K633</f>
        <v>0</v>
      </c>
      <c r="E630" s="168">
        <f>BIdetails!M633</f>
        <v>0</v>
      </c>
      <c r="F630" t="e">
        <f>IF(ISERROR(IF(OR(C630="#",C630=0),"",VLOOKUP(C630,'AOP24'!M:M,1,0))),"Not Found",VLOOKUP(C630,'AOP24'!M:M,1,0))</f>
        <v>#N/A</v>
      </c>
      <c r="G630" t="e">
        <f t="shared" si="9"/>
        <v>#N/A</v>
      </c>
    </row>
    <row r="631" spans="1:7" x14ac:dyDescent="0.25">
      <c r="A631">
        <f>BIdetails!G634</f>
        <v>0</v>
      </c>
      <c r="B631">
        <f>BIdetails!H634</f>
        <v>0</v>
      </c>
      <c r="C631">
        <f>BIdetails!J634</f>
        <v>0</v>
      </c>
      <c r="D631">
        <f>BIdetails!K634</f>
        <v>0</v>
      </c>
      <c r="E631" s="168">
        <f>BIdetails!M634</f>
        <v>0</v>
      </c>
      <c r="F631" t="e">
        <f>IF(ISERROR(IF(OR(C631="#",C631=0),"",VLOOKUP(C631,'AOP24'!M:M,1,0))),"Not Found",VLOOKUP(C631,'AOP24'!M:M,1,0))</f>
        <v>#N/A</v>
      </c>
      <c r="G631" t="e">
        <f t="shared" si="9"/>
        <v>#N/A</v>
      </c>
    </row>
    <row r="632" spans="1:7" x14ac:dyDescent="0.25">
      <c r="A632">
        <f>BIdetails!G635</f>
        <v>0</v>
      </c>
      <c r="B632">
        <f>BIdetails!H635</f>
        <v>0</v>
      </c>
      <c r="C632">
        <f>BIdetails!J635</f>
        <v>0</v>
      </c>
      <c r="D632">
        <f>BIdetails!K635</f>
        <v>0</v>
      </c>
      <c r="E632" s="168">
        <f>BIdetails!M635</f>
        <v>0</v>
      </c>
      <c r="F632" t="e">
        <f>IF(ISERROR(IF(OR(C632="#",C632=0),"",VLOOKUP(C632,'AOP24'!M:M,1,0))),"Not Found",VLOOKUP(C632,'AOP24'!M:M,1,0))</f>
        <v>#N/A</v>
      </c>
      <c r="G632" t="e">
        <f t="shared" si="9"/>
        <v>#N/A</v>
      </c>
    </row>
    <row r="633" spans="1:7" x14ac:dyDescent="0.25">
      <c r="A633">
        <f>BIdetails!G636</f>
        <v>0</v>
      </c>
      <c r="B633">
        <f>BIdetails!H636</f>
        <v>0</v>
      </c>
      <c r="C633">
        <f>BIdetails!J636</f>
        <v>0</v>
      </c>
      <c r="D633">
        <f>BIdetails!K636</f>
        <v>0</v>
      </c>
      <c r="E633" s="168">
        <f>BIdetails!M636</f>
        <v>0</v>
      </c>
      <c r="F633" t="e">
        <f>IF(ISERROR(IF(OR(C633="#",C633=0),"",VLOOKUP(C633,'AOP24'!M:M,1,0))),"Not Found",VLOOKUP(C633,'AOP24'!M:M,1,0))</f>
        <v>#N/A</v>
      </c>
      <c r="G633" t="e">
        <f t="shared" si="9"/>
        <v>#N/A</v>
      </c>
    </row>
    <row r="634" spans="1:7" x14ac:dyDescent="0.25">
      <c r="A634">
        <f>BIdetails!G637</f>
        <v>0</v>
      </c>
      <c r="B634">
        <f>BIdetails!H637</f>
        <v>0</v>
      </c>
      <c r="C634">
        <f>BIdetails!J637</f>
        <v>0</v>
      </c>
      <c r="D634">
        <f>BIdetails!K637</f>
        <v>0</v>
      </c>
      <c r="E634" s="168">
        <f>BIdetails!M637</f>
        <v>0</v>
      </c>
      <c r="F634" t="e">
        <f>IF(ISERROR(IF(OR(C634="#",C634=0),"",VLOOKUP(C634,'AOP24'!M:M,1,0))),"Not Found",VLOOKUP(C634,'AOP24'!M:M,1,0))</f>
        <v>#N/A</v>
      </c>
      <c r="G634" t="e">
        <f t="shared" ref="G634:G697" si="10">IF(NOT(ISERROR(VLOOKUP(C634,$K$2:$K$50,1,0))),"Y",VLOOKUP(C634,$K$2:$K$50,1,0))</f>
        <v>#N/A</v>
      </c>
    </row>
    <row r="635" spans="1:7" x14ac:dyDescent="0.25">
      <c r="A635">
        <f>BIdetails!G638</f>
        <v>0</v>
      </c>
      <c r="B635">
        <f>BIdetails!H638</f>
        <v>0</v>
      </c>
      <c r="C635">
        <f>BIdetails!J638</f>
        <v>0</v>
      </c>
      <c r="D635">
        <f>BIdetails!K638</f>
        <v>0</v>
      </c>
      <c r="E635" s="168">
        <f>BIdetails!M638</f>
        <v>0</v>
      </c>
      <c r="F635" t="e">
        <f>IF(ISERROR(IF(OR(C635="#",C635=0),"",VLOOKUP(C635,'AOP24'!M:M,1,0))),"Not Found",VLOOKUP(C635,'AOP24'!M:M,1,0))</f>
        <v>#N/A</v>
      </c>
      <c r="G635" t="e">
        <f t="shared" si="10"/>
        <v>#N/A</v>
      </c>
    </row>
    <row r="636" spans="1:7" x14ac:dyDescent="0.25">
      <c r="A636">
        <f>BIdetails!G639</f>
        <v>0</v>
      </c>
      <c r="B636">
        <f>BIdetails!H639</f>
        <v>0</v>
      </c>
      <c r="C636">
        <f>BIdetails!J639</f>
        <v>0</v>
      </c>
      <c r="D636">
        <f>BIdetails!K639</f>
        <v>0</v>
      </c>
      <c r="E636" s="168">
        <f>BIdetails!M639</f>
        <v>0</v>
      </c>
      <c r="F636" t="e">
        <f>IF(ISERROR(IF(OR(C636="#",C636=0),"",VLOOKUP(C636,'AOP24'!M:M,1,0))),"Not Found",VLOOKUP(C636,'AOP24'!M:M,1,0))</f>
        <v>#N/A</v>
      </c>
      <c r="G636" t="e">
        <f t="shared" si="10"/>
        <v>#N/A</v>
      </c>
    </row>
    <row r="637" spans="1:7" x14ac:dyDescent="0.25">
      <c r="A637">
        <f>BIdetails!G640</f>
        <v>0</v>
      </c>
      <c r="B637">
        <f>BIdetails!H640</f>
        <v>0</v>
      </c>
      <c r="C637">
        <f>BIdetails!J640</f>
        <v>0</v>
      </c>
      <c r="D637">
        <f>BIdetails!K640</f>
        <v>0</v>
      </c>
      <c r="E637" s="168">
        <f>BIdetails!M640</f>
        <v>0</v>
      </c>
      <c r="F637" t="e">
        <f>IF(ISERROR(IF(OR(C637="#",C637=0),"",VLOOKUP(C637,'AOP24'!M:M,1,0))),"Not Found",VLOOKUP(C637,'AOP24'!M:M,1,0))</f>
        <v>#N/A</v>
      </c>
      <c r="G637" t="e">
        <f t="shared" si="10"/>
        <v>#N/A</v>
      </c>
    </row>
    <row r="638" spans="1:7" x14ac:dyDescent="0.25">
      <c r="A638">
        <f>BIdetails!G641</f>
        <v>0</v>
      </c>
      <c r="B638">
        <f>BIdetails!H641</f>
        <v>0</v>
      </c>
      <c r="C638">
        <f>BIdetails!J641</f>
        <v>0</v>
      </c>
      <c r="D638">
        <f>BIdetails!K641</f>
        <v>0</v>
      </c>
      <c r="E638" s="168">
        <f>BIdetails!M641</f>
        <v>0</v>
      </c>
      <c r="F638" t="e">
        <f>IF(ISERROR(IF(OR(C638="#",C638=0),"",VLOOKUP(C638,'AOP24'!M:M,1,0))),"Not Found",VLOOKUP(C638,'AOP24'!M:M,1,0))</f>
        <v>#N/A</v>
      </c>
      <c r="G638" t="e">
        <f t="shared" si="10"/>
        <v>#N/A</v>
      </c>
    </row>
    <row r="639" spans="1:7" x14ac:dyDescent="0.25">
      <c r="A639">
        <f>BIdetails!G642</f>
        <v>0</v>
      </c>
      <c r="B639">
        <f>BIdetails!H642</f>
        <v>0</v>
      </c>
      <c r="C639">
        <f>BIdetails!J642</f>
        <v>0</v>
      </c>
      <c r="D639">
        <f>BIdetails!K642</f>
        <v>0</v>
      </c>
      <c r="E639" s="168">
        <f>BIdetails!M642</f>
        <v>0</v>
      </c>
      <c r="F639" t="e">
        <f>IF(ISERROR(IF(OR(C639="#",C639=0),"",VLOOKUP(C639,'AOP24'!M:M,1,0))),"Not Found",VLOOKUP(C639,'AOP24'!M:M,1,0))</f>
        <v>#N/A</v>
      </c>
      <c r="G639" t="e">
        <f t="shared" si="10"/>
        <v>#N/A</v>
      </c>
    </row>
    <row r="640" spans="1:7" x14ac:dyDescent="0.25">
      <c r="A640">
        <f>BIdetails!G643</f>
        <v>0</v>
      </c>
      <c r="B640">
        <f>BIdetails!H643</f>
        <v>0</v>
      </c>
      <c r="C640">
        <f>BIdetails!J643</f>
        <v>0</v>
      </c>
      <c r="D640">
        <f>BIdetails!K643</f>
        <v>0</v>
      </c>
      <c r="E640" s="168">
        <f>BIdetails!M643</f>
        <v>0</v>
      </c>
      <c r="F640" t="e">
        <f>IF(ISERROR(IF(OR(C640="#",C640=0),"",VLOOKUP(C640,'AOP24'!M:M,1,0))),"Not Found",VLOOKUP(C640,'AOP24'!M:M,1,0))</f>
        <v>#N/A</v>
      </c>
      <c r="G640" t="e">
        <f t="shared" si="10"/>
        <v>#N/A</v>
      </c>
    </row>
    <row r="641" spans="1:7" x14ac:dyDescent="0.25">
      <c r="A641">
        <f>BIdetails!G644</f>
        <v>0</v>
      </c>
      <c r="B641">
        <f>BIdetails!H644</f>
        <v>0</v>
      </c>
      <c r="C641">
        <f>BIdetails!J644</f>
        <v>0</v>
      </c>
      <c r="D641">
        <f>BIdetails!K644</f>
        <v>0</v>
      </c>
      <c r="E641" s="168">
        <f>BIdetails!M644</f>
        <v>0</v>
      </c>
      <c r="F641" t="e">
        <f>IF(ISERROR(IF(OR(C641="#",C641=0),"",VLOOKUP(C641,'AOP24'!M:M,1,0))),"Not Found",VLOOKUP(C641,'AOP24'!M:M,1,0))</f>
        <v>#N/A</v>
      </c>
      <c r="G641" t="e">
        <f t="shared" si="10"/>
        <v>#N/A</v>
      </c>
    </row>
    <row r="642" spans="1:7" x14ac:dyDescent="0.25">
      <c r="A642">
        <f>BIdetails!G645</f>
        <v>0</v>
      </c>
      <c r="B642">
        <f>BIdetails!H645</f>
        <v>0</v>
      </c>
      <c r="C642">
        <f>BIdetails!J645</f>
        <v>0</v>
      </c>
      <c r="D642">
        <f>BIdetails!K645</f>
        <v>0</v>
      </c>
      <c r="E642" s="168">
        <f>BIdetails!M645</f>
        <v>0</v>
      </c>
      <c r="F642" t="e">
        <f>IF(ISERROR(IF(OR(C642="#",C642=0),"",VLOOKUP(C642,'AOP24'!M:M,1,0))),"Not Found",VLOOKUP(C642,'AOP24'!M:M,1,0))</f>
        <v>#N/A</v>
      </c>
      <c r="G642" t="e">
        <f t="shared" si="10"/>
        <v>#N/A</v>
      </c>
    </row>
    <row r="643" spans="1:7" x14ac:dyDescent="0.25">
      <c r="A643">
        <f>BIdetails!G646</f>
        <v>0</v>
      </c>
      <c r="B643">
        <f>BIdetails!H646</f>
        <v>0</v>
      </c>
      <c r="C643">
        <f>BIdetails!J646</f>
        <v>0</v>
      </c>
      <c r="D643">
        <f>BIdetails!K646</f>
        <v>0</v>
      </c>
      <c r="E643" s="168">
        <f>BIdetails!M646</f>
        <v>0</v>
      </c>
      <c r="F643" t="e">
        <f>IF(ISERROR(IF(OR(C643="#",C643=0),"",VLOOKUP(C643,'AOP24'!M:M,1,0))),"Not Found",VLOOKUP(C643,'AOP24'!M:M,1,0))</f>
        <v>#N/A</v>
      </c>
      <c r="G643" t="e">
        <f t="shared" si="10"/>
        <v>#N/A</v>
      </c>
    </row>
    <row r="644" spans="1:7" x14ac:dyDescent="0.25">
      <c r="A644">
        <f>BIdetails!G647</f>
        <v>0</v>
      </c>
      <c r="B644">
        <f>BIdetails!H647</f>
        <v>0</v>
      </c>
      <c r="C644">
        <f>BIdetails!J647</f>
        <v>0</v>
      </c>
      <c r="D644">
        <f>BIdetails!K647</f>
        <v>0</v>
      </c>
      <c r="E644" s="168">
        <f>BIdetails!M647</f>
        <v>0</v>
      </c>
      <c r="F644" t="e">
        <f>IF(ISERROR(IF(OR(C644="#",C644=0),"",VLOOKUP(C644,'AOP24'!M:M,1,0))),"Not Found",VLOOKUP(C644,'AOP24'!M:M,1,0))</f>
        <v>#N/A</v>
      </c>
      <c r="G644" t="e">
        <f t="shared" si="10"/>
        <v>#N/A</v>
      </c>
    </row>
    <row r="645" spans="1:7" x14ac:dyDescent="0.25">
      <c r="A645">
        <f>BIdetails!G648</f>
        <v>0</v>
      </c>
      <c r="B645">
        <f>BIdetails!H648</f>
        <v>0</v>
      </c>
      <c r="C645">
        <f>BIdetails!J648</f>
        <v>0</v>
      </c>
      <c r="D645">
        <f>BIdetails!K648</f>
        <v>0</v>
      </c>
      <c r="E645" s="168">
        <f>BIdetails!M648</f>
        <v>0</v>
      </c>
      <c r="F645" t="e">
        <f>IF(ISERROR(IF(OR(C645="#",C645=0),"",VLOOKUP(C645,'AOP24'!M:M,1,0))),"Not Found",VLOOKUP(C645,'AOP24'!M:M,1,0))</f>
        <v>#N/A</v>
      </c>
      <c r="G645" t="e">
        <f t="shared" si="10"/>
        <v>#N/A</v>
      </c>
    </row>
    <row r="646" spans="1:7" x14ac:dyDescent="0.25">
      <c r="A646">
        <f>BIdetails!G649</f>
        <v>0</v>
      </c>
      <c r="B646">
        <f>BIdetails!H649</f>
        <v>0</v>
      </c>
      <c r="C646">
        <f>BIdetails!J649</f>
        <v>0</v>
      </c>
      <c r="D646">
        <f>BIdetails!K649</f>
        <v>0</v>
      </c>
      <c r="E646" s="168">
        <f>BIdetails!M649</f>
        <v>0</v>
      </c>
      <c r="F646" t="e">
        <f>IF(ISERROR(IF(OR(C646="#",C646=0),"",VLOOKUP(C646,'AOP24'!M:M,1,0))),"Not Found",VLOOKUP(C646,'AOP24'!M:M,1,0))</f>
        <v>#N/A</v>
      </c>
      <c r="G646" t="e">
        <f t="shared" si="10"/>
        <v>#N/A</v>
      </c>
    </row>
    <row r="647" spans="1:7" x14ac:dyDescent="0.25">
      <c r="A647">
        <f>BIdetails!G650</f>
        <v>0</v>
      </c>
      <c r="B647">
        <f>BIdetails!H650</f>
        <v>0</v>
      </c>
      <c r="C647">
        <f>BIdetails!J650</f>
        <v>0</v>
      </c>
      <c r="D647">
        <f>BIdetails!K650</f>
        <v>0</v>
      </c>
      <c r="E647" s="168">
        <f>BIdetails!M650</f>
        <v>0</v>
      </c>
      <c r="F647" t="e">
        <f>IF(ISERROR(IF(OR(C647="#",C647=0),"",VLOOKUP(C647,'AOP24'!M:M,1,0))),"Not Found",VLOOKUP(C647,'AOP24'!M:M,1,0))</f>
        <v>#N/A</v>
      </c>
      <c r="G647" t="e">
        <f t="shared" si="10"/>
        <v>#N/A</v>
      </c>
    </row>
    <row r="648" spans="1:7" x14ac:dyDescent="0.25">
      <c r="A648">
        <f>BIdetails!G651</f>
        <v>0</v>
      </c>
      <c r="B648">
        <f>BIdetails!H651</f>
        <v>0</v>
      </c>
      <c r="C648">
        <f>BIdetails!J651</f>
        <v>0</v>
      </c>
      <c r="D648">
        <f>BIdetails!K651</f>
        <v>0</v>
      </c>
      <c r="E648" s="168">
        <f>BIdetails!M651</f>
        <v>0</v>
      </c>
      <c r="F648" t="e">
        <f>IF(ISERROR(IF(OR(C648="#",C648=0),"",VLOOKUP(C648,'AOP24'!M:M,1,0))),"Not Found",VLOOKUP(C648,'AOP24'!M:M,1,0))</f>
        <v>#N/A</v>
      </c>
      <c r="G648" t="e">
        <f t="shared" si="10"/>
        <v>#N/A</v>
      </c>
    </row>
    <row r="649" spans="1:7" x14ac:dyDescent="0.25">
      <c r="A649">
        <f>BIdetails!G652</f>
        <v>0</v>
      </c>
      <c r="B649">
        <f>BIdetails!H652</f>
        <v>0</v>
      </c>
      <c r="C649">
        <f>BIdetails!J652</f>
        <v>0</v>
      </c>
      <c r="D649">
        <f>BIdetails!K652</f>
        <v>0</v>
      </c>
      <c r="E649" s="168">
        <f>BIdetails!M652</f>
        <v>0</v>
      </c>
      <c r="F649" t="e">
        <f>IF(ISERROR(IF(OR(C649="#",C649=0),"",VLOOKUP(C649,'AOP24'!M:M,1,0))),"Not Found",VLOOKUP(C649,'AOP24'!M:M,1,0))</f>
        <v>#N/A</v>
      </c>
      <c r="G649" t="e">
        <f t="shared" si="10"/>
        <v>#N/A</v>
      </c>
    </row>
    <row r="650" spans="1:7" x14ac:dyDescent="0.25">
      <c r="A650">
        <f>BIdetails!G653</f>
        <v>0</v>
      </c>
      <c r="B650">
        <f>BIdetails!H653</f>
        <v>0</v>
      </c>
      <c r="C650">
        <f>BIdetails!J653</f>
        <v>0</v>
      </c>
      <c r="D650">
        <f>BIdetails!K653</f>
        <v>0</v>
      </c>
      <c r="E650" s="168">
        <f>BIdetails!M653</f>
        <v>0</v>
      </c>
      <c r="F650" t="e">
        <f>IF(ISERROR(IF(OR(C650="#",C650=0),"",VLOOKUP(C650,'AOP24'!M:M,1,0))),"Not Found",VLOOKUP(C650,'AOP24'!M:M,1,0))</f>
        <v>#N/A</v>
      </c>
      <c r="G650" t="e">
        <f t="shared" si="10"/>
        <v>#N/A</v>
      </c>
    </row>
    <row r="651" spans="1:7" x14ac:dyDescent="0.25">
      <c r="A651">
        <f>BIdetails!G654</f>
        <v>0</v>
      </c>
      <c r="B651">
        <f>BIdetails!H654</f>
        <v>0</v>
      </c>
      <c r="C651">
        <f>BIdetails!J654</f>
        <v>0</v>
      </c>
      <c r="D651">
        <f>BIdetails!K654</f>
        <v>0</v>
      </c>
      <c r="E651" s="168">
        <f>BIdetails!M654</f>
        <v>0</v>
      </c>
      <c r="F651" t="e">
        <f>IF(ISERROR(IF(OR(C651="#",C651=0),"",VLOOKUP(C651,'AOP24'!M:M,1,0))),"Not Found",VLOOKUP(C651,'AOP24'!M:M,1,0))</f>
        <v>#N/A</v>
      </c>
      <c r="G651" t="e">
        <f t="shared" si="10"/>
        <v>#N/A</v>
      </c>
    </row>
    <row r="652" spans="1:7" x14ac:dyDescent="0.25">
      <c r="A652">
        <f>BIdetails!G655</f>
        <v>0</v>
      </c>
      <c r="B652">
        <f>BIdetails!H655</f>
        <v>0</v>
      </c>
      <c r="C652">
        <f>BIdetails!J655</f>
        <v>0</v>
      </c>
      <c r="D652">
        <f>BIdetails!K655</f>
        <v>0</v>
      </c>
      <c r="E652" s="168">
        <f>BIdetails!M655</f>
        <v>0</v>
      </c>
      <c r="F652" t="e">
        <f>IF(ISERROR(IF(OR(C652="#",C652=0),"",VLOOKUP(C652,'AOP24'!M:M,1,0))),"Not Found",VLOOKUP(C652,'AOP24'!M:M,1,0))</f>
        <v>#N/A</v>
      </c>
      <c r="G652" t="e">
        <f t="shared" si="10"/>
        <v>#N/A</v>
      </c>
    </row>
    <row r="653" spans="1:7" x14ac:dyDescent="0.25">
      <c r="A653">
        <f>BIdetails!G656</f>
        <v>0</v>
      </c>
      <c r="B653">
        <f>BIdetails!H656</f>
        <v>0</v>
      </c>
      <c r="C653">
        <f>BIdetails!J656</f>
        <v>0</v>
      </c>
      <c r="D653">
        <f>BIdetails!K656</f>
        <v>0</v>
      </c>
      <c r="E653" s="168">
        <f>BIdetails!M656</f>
        <v>0</v>
      </c>
      <c r="F653" t="e">
        <f>IF(ISERROR(IF(OR(C653="#",C653=0),"",VLOOKUP(C653,'AOP24'!M:M,1,0))),"Not Found",VLOOKUP(C653,'AOP24'!M:M,1,0))</f>
        <v>#N/A</v>
      </c>
      <c r="G653" t="e">
        <f t="shared" si="10"/>
        <v>#N/A</v>
      </c>
    </row>
    <row r="654" spans="1:7" x14ac:dyDescent="0.25">
      <c r="A654">
        <f>BIdetails!G657</f>
        <v>0</v>
      </c>
      <c r="B654">
        <f>BIdetails!H657</f>
        <v>0</v>
      </c>
      <c r="C654">
        <f>BIdetails!J657</f>
        <v>0</v>
      </c>
      <c r="D654">
        <f>BIdetails!K657</f>
        <v>0</v>
      </c>
      <c r="E654" s="168">
        <f>BIdetails!M657</f>
        <v>0</v>
      </c>
      <c r="F654" t="e">
        <f>IF(ISERROR(IF(OR(C654="#",C654=0),"",VLOOKUP(C654,'AOP24'!M:M,1,0))),"Not Found",VLOOKUP(C654,'AOP24'!M:M,1,0))</f>
        <v>#N/A</v>
      </c>
      <c r="G654" t="e">
        <f t="shared" si="10"/>
        <v>#N/A</v>
      </c>
    </row>
    <row r="655" spans="1:7" x14ac:dyDescent="0.25">
      <c r="A655">
        <f>BIdetails!G658</f>
        <v>0</v>
      </c>
      <c r="B655">
        <f>BIdetails!H658</f>
        <v>0</v>
      </c>
      <c r="C655">
        <f>BIdetails!J658</f>
        <v>0</v>
      </c>
      <c r="D655">
        <f>BIdetails!K658</f>
        <v>0</v>
      </c>
      <c r="E655" s="168">
        <f>BIdetails!M658</f>
        <v>0</v>
      </c>
      <c r="F655" t="e">
        <f>IF(ISERROR(IF(OR(C655="#",C655=0),"",VLOOKUP(C655,'AOP24'!M:M,1,0))),"Not Found",VLOOKUP(C655,'AOP24'!M:M,1,0))</f>
        <v>#N/A</v>
      </c>
      <c r="G655" t="e">
        <f t="shared" si="10"/>
        <v>#N/A</v>
      </c>
    </row>
    <row r="656" spans="1:7" x14ac:dyDescent="0.25">
      <c r="A656">
        <f>BIdetails!G659</f>
        <v>0</v>
      </c>
      <c r="B656">
        <f>BIdetails!H659</f>
        <v>0</v>
      </c>
      <c r="C656">
        <f>BIdetails!J659</f>
        <v>0</v>
      </c>
      <c r="D656">
        <f>BIdetails!K659</f>
        <v>0</v>
      </c>
      <c r="E656" s="168">
        <f>BIdetails!M659</f>
        <v>0</v>
      </c>
      <c r="F656" t="e">
        <f>IF(ISERROR(IF(OR(C656="#",C656=0),"",VLOOKUP(C656,'AOP24'!M:M,1,0))),"Not Found",VLOOKUP(C656,'AOP24'!M:M,1,0))</f>
        <v>#N/A</v>
      </c>
      <c r="G656" t="e">
        <f t="shared" si="10"/>
        <v>#N/A</v>
      </c>
    </row>
    <row r="657" spans="1:7" x14ac:dyDescent="0.25">
      <c r="A657">
        <f>BIdetails!G660</f>
        <v>0</v>
      </c>
      <c r="B657">
        <f>BIdetails!H660</f>
        <v>0</v>
      </c>
      <c r="C657">
        <f>BIdetails!J660</f>
        <v>0</v>
      </c>
      <c r="D657">
        <f>BIdetails!K660</f>
        <v>0</v>
      </c>
      <c r="E657" s="168">
        <f>BIdetails!M660</f>
        <v>0</v>
      </c>
      <c r="F657" t="e">
        <f>IF(ISERROR(IF(OR(C657="#",C657=0),"",VLOOKUP(C657,'AOP24'!M:M,1,0))),"Not Found",VLOOKUP(C657,'AOP24'!M:M,1,0))</f>
        <v>#N/A</v>
      </c>
      <c r="G657" t="e">
        <f t="shared" si="10"/>
        <v>#N/A</v>
      </c>
    </row>
    <row r="658" spans="1:7" x14ac:dyDescent="0.25">
      <c r="A658">
        <f>BIdetails!G661</f>
        <v>0</v>
      </c>
      <c r="B658">
        <f>BIdetails!H661</f>
        <v>0</v>
      </c>
      <c r="C658">
        <f>BIdetails!J661</f>
        <v>0</v>
      </c>
      <c r="D658">
        <f>BIdetails!K661</f>
        <v>0</v>
      </c>
      <c r="E658" s="168">
        <f>BIdetails!M661</f>
        <v>0</v>
      </c>
      <c r="F658" t="e">
        <f>IF(ISERROR(IF(OR(C658="#",C658=0),"",VLOOKUP(C658,'AOP24'!M:M,1,0))),"Not Found",VLOOKUP(C658,'AOP24'!M:M,1,0))</f>
        <v>#N/A</v>
      </c>
      <c r="G658" t="e">
        <f t="shared" si="10"/>
        <v>#N/A</v>
      </c>
    </row>
    <row r="659" spans="1:7" x14ac:dyDescent="0.25">
      <c r="A659">
        <f>BIdetails!G662</f>
        <v>0</v>
      </c>
      <c r="B659">
        <f>BIdetails!H662</f>
        <v>0</v>
      </c>
      <c r="C659">
        <f>BIdetails!J662</f>
        <v>0</v>
      </c>
      <c r="D659">
        <f>BIdetails!K662</f>
        <v>0</v>
      </c>
      <c r="E659" s="168">
        <f>BIdetails!M662</f>
        <v>0</v>
      </c>
      <c r="F659" t="e">
        <f>IF(ISERROR(IF(OR(C659="#",C659=0),"",VLOOKUP(C659,'AOP24'!M:M,1,0))),"Not Found",VLOOKUP(C659,'AOP24'!M:M,1,0))</f>
        <v>#N/A</v>
      </c>
      <c r="G659" t="e">
        <f t="shared" si="10"/>
        <v>#N/A</v>
      </c>
    </row>
    <row r="660" spans="1:7" x14ac:dyDescent="0.25">
      <c r="A660">
        <f>BIdetails!G663</f>
        <v>0</v>
      </c>
      <c r="B660">
        <f>BIdetails!H663</f>
        <v>0</v>
      </c>
      <c r="C660">
        <f>BIdetails!J663</f>
        <v>0</v>
      </c>
      <c r="D660">
        <f>BIdetails!K663</f>
        <v>0</v>
      </c>
      <c r="E660" s="168">
        <f>BIdetails!M663</f>
        <v>0</v>
      </c>
      <c r="F660" t="e">
        <f>IF(ISERROR(IF(OR(C660="#",C660=0),"",VLOOKUP(C660,'AOP24'!M:M,1,0))),"Not Found",VLOOKUP(C660,'AOP24'!M:M,1,0))</f>
        <v>#N/A</v>
      </c>
      <c r="G660" t="e">
        <f t="shared" si="10"/>
        <v>#N/A</v>
      </c>
    </row>
    <row r="661" spans="1:7" x14ac:dyDescent="0.25">
      <c r="A661">
        <f>BIdetails!G664</f>
        <v>0</v>
      </c>
      <c r="B661">
        <f>BIdetails!H664</f>
        <v>0</v>
      </c>
      <c r="C661">
        <f>BIdetails!J664</f>
        <v>0</v>
      </c>
      <c r="D661">
        <f>BIdetails!K664</f>
        <v>0</v>
      </c>
      <c r="E661" s="168">
        <f>BIdetails!M664</f>
        <v>0</v>
      </c>
      <c r="F661" t="e">
        <f>IF(ISERROR(IF(OR(C661="#",C661=0),"",VLOOKUP(C661,'AOP24'!M:M,1,0))),"Not Found",VLOOKUP(C661,'AOP24'!M:M,1,0))</f>
        <v>#N/A</v>
      </c>
      <c r="G661" t="e">
        <f t="shared" si="10"/>
        <v>#N/A</v>
      </c>
    </row>
    <row r="662" spans="1:7" x14ac:dyDescent="0.25">
      <c r="A662">
        <f>BIdetails!G665</f>
        <v>0</v>
      </c>
      <c r="B662">
        <f>BIdetails!H665</f>
        <v>0</v>
      </c>
      <c r="C662">
        <f>BIdetails!J665</f>
        <v>0</v>
      </c>
      <c r="D662">
        <f>BIdetails!K665</f>
        <v>0</v>
      </c>
      <c r="E662" s="168">
        <f>BIdetails!M665</f>
        <v>0</v>
      </c>
      <c r="F662" t="e">
        <f>IF(ISERROR(IF(OR(C662="#",C662=0),"",VLOOKUP(C662,'AOP24'!M:M,1,0))),"Not Found",VLOOKUP(C662,'AOP24'!M:M,1,0))</f>
        <v>#N/A</v>
      </c>
      <c r="G662" t="e">
        <f t="shared" si="10"/>
        <v>#N/A</v>
      </c>
    </row>
    <row r="663" spans="1:7" x14ac:dyDescent="0.25">
      <c r="A663">
        <f>BIdetails!G666</f>
        <v>0</v>
      </c>
      <c r="B663">
        <f>BIdetails!H666</f>
        <v>0</v>
      </c>
      <c r="C663">
        <f>BIdetails!J666</f>
        <v>0</v>
      </c>
      <c r="D663">
        <f>BIdetails!K666</f>
        <v>0</v>
      </c>
      <c r="E663" s="168">
        <f>BIdetails!M666</f>
        <v>0</v>
      </c>
      <c r="F663" t="e">
        <f>IF(ISERROR(IF(OR(C663="#",C663=0),"",VLOOKUP(C663,'AOP24'!M:M,1,0))),"Not Found",VLOOKUP(C663,'AOP24'!M:M,1,0))</f>
        <v>#N/A</v>
      </c>
      <c r="G663" t="e">
        <f t="shared" si="10"/>
        <v>#N/A</v>
      </c>
    </row>
    <row r="664" spans="1:7" x14ac:dyDescent="0.25">
      <c r="A664">
        <f>BIdetails!G667</f>
        <v>0</v>
      </c>
      <c r="B664">
        <f>BIdetails!H667</f>
        <v>0</v>
      </c>
      <c r="C664">
        <f>BIdetails!J667</f>
        <v>0</v>
      </c>
      <c r="D664">
        <f>BIdetails!K667</f>
        <v>0</v>
      </c>
      <c r="E664" s="168">
        <f>BIdetails!M667</f>
        <v>0</v>
      </c>
      <c r="F664" t="e">
        <f>IF(ISERROR(IF(OR(C664="#",C664=0),"",VLOOKUP(C664,'AOP24'!M:M,1,0))),"Not Found",VLOOKUP(C664,'AOP24'!M:M,1,0))</f>
        <v>#N/A</v>
      </c>
      <c r="G664" t="e">
        <f t="shared" si="10"/>
        <v>#N/A</v>
      </c>
    </row>
    <row r="665" spans="1:7" x14ac:dyDescent="0.25">
      <c r="A665">
        <f>BIdetails!G668</f>
        <v>0</v>
      </c>
      <c r="B665">
        <f>BIdetails!H668</f>
        <v>0</v>
      </c>
      <c r="C665">
        <f>BIdetails!J668</f>
        <v>0</v>
      </c>
      <c r="D665">
        <f>BIdetails!K668</f>
        <v>0</v>
      </c>
      <c r="E665" s="168">
        <f>BIdetails!M668</f>
        <v>0</v>
      </c>
      <c r="F665" t="e">
        <f>IF(ISERROR(IF(OR(C665="#",C665=0),"",VLOOKUP(C665,'AOP24'!M:M,1,0))),"Not Found",VLOOKUP(C665,'AOP24'!M:M,1,0))</f>
        <v>#N/A</v>
      </c>
      <c r="G665" t="e">
        <f t="shared" si="10"/>
        <v>#N/A</v>
      </c>
    </row>
    <row r="666" spans="1:7" x14ac:dyDescent="0.25">
      <c r="A666">
        <f>BIdetails!G669</f>
        <v>0</v>
      </c>
      <c r="B666">
        <f>BIdetails!H669</f>
        <v>0</v>
      </c>
      <c r="C666">
        <f>BIdetails!J669</f>
        <v>0</v>
      </c>
      <c r="D666">
        <f>BIdetails!K669</f>
        <v>0</v>
      </c>
      <c r="E666" s="168">
        <f>BIdetails!M669</f>
        <v>0</v>
      </c>
      <c r="F666" t="e">
        <f>IF(ISERROR(IF(OR(C666="#",C666=0),"",VLOOKUP(C666,'AOP24'!M:M,1,0))),"Not Found",VLOOKUP(C666,'AOP24'!M:M,1,0))</f>
        <v>#N/A</v>
      </c>
      <c r="G666" t="e">
        <f t="shared" si="10"/>
        <v>#N/A</v>
      </c>
    </row>
    <row r="667" spans="1:7" x14ac:dyDescent="0.25">
      <c r="A667">
        <f>BIdetails!G670</f>
        <v>0</v>
      </c>
      <c r="B667">
        <f>BIdetails!H670</f>
        <v>0</v>
      </c>
      <c r="C667">
        <f>BIdetails!J670</f>
        <v>0</v>
      </c>
      <c r="D667">
        <f>BIdetails!K670</f>
        <v>0</v>
      </c>
      <c r="E667" s="168">
        <f>BIdetails!M670</f>
        <v>0</v>
      </c>
      <c r="F667" t="e">
        <f>IF(ISERROR(IF(OR(C667="#",C667=0),"",VLOOKUP(C667,'AOP24'!M:M,1,0))),"Not Found",VLOOKUP(C667,'AOP24'!M:M,1,0))</f>
        <v>#N/A</v>
      </c>
      <c r="G667" t="e">
        <f t="shared" si="10"/>
        <v>#N/A</v>
      </c>
    </row>
    <row r="668" spans="1:7" x14ac:dyDescent="0.25">
      <c r="A668">
        <f>BIdetails!G671</f>
        <v>0</v>
      </c>
      <c r="B668">
        <f>BIdetails!H671</f>
        <v>0</v>
      </c>
      <c r="C668">
        <f>BIdetails!J671</f>
        <v>0</v>
      </c>
      <c r="D668">
        <f>BIdetails!K671</f>
        <v>0</v>
      </c>
      <c r="E668" s="168">
        <f>BIdetails!M671</f>
        <v>0</v>
      </c>
      <c r="F668" t="e">
        <f>IF(ISERROR(IF(OR(C668="#",C668=0),"",VLOOKUP(C668,'AOP24'!M:M,1,0))),"Not Found",VLOOKUP(C668,'AOP24'!M:M,1,0))</f>
        <v>#N/A</v>
      </c>
      <c r="G668" t="e">
        <f t="shared" si="10"/>
        <v>#N/A</v>
      </c>
    </row>
    <row r="669" spans="1:7" x14ac:dyDescent="0.25">
      <c r="A669">
        <f>BIdetails!G672</f>
        <v>0</v>
      </c>
      <c r="B669">
        <f>BIdetails!H672</f>
        <v>0</v>
      </c>
      <c r="C669">
        <f>BIdetails!J672</f>
        <v>0</v>
      </c>
      <c r="D669">
        <f>BIdetails!K672</f>
        <v>0</v>
      </c>
      <c r="E669" s="168">
        <f>BIdetails!M672</f>
        <v>0</v>
      </c>
      <c r="F669" t="e">
        <f>IF(ISERROR(IF(OR(C669="#",C669=0),"",VLOOKUP(C669,'AOP24'!M:M,1,0))),"Not Found",VLOOKUP(C669,'AOP24'!M:M,1,0))</f>
        <v>#N/A</v>
      </c>
      <c r="G669" t="e">
        <f t="shared" si="10"/>
        <v>#N/A</v>
      </c>
    </row>
    <row r="670" spans="1:7" x14ac:dyDescent="0.25">
      <c r="A670">
        <f>BIdetails!G673</f>
        <v>0</v>
      </c>
      <c r="B670">
        <f>BIdetails!H673</f>
        <v>0</v>
      </c>
      <c r="C670">
        <f>BIdetails!J673</f>
        <v>0</v>
      </c>
      <c r="D670">
        <f>BIdetails!K673</f>
        <v>0</v>
      </c>
      <c r="E670" s="168">
        <f>BIdetails!M673</f>
        <v>0</v>
      </c>
      <c r="F670" t="e">
        <f>IF(ISERROR(IF(OR(C670="#",C670=0),"",VLOOKUP(C670,'AOP24'!M:M,1,0))),"Not Found",VLOOKUP(C670,'AOP24'!M:M,1,0))</f>
        <v>#N/A</v>
      </c>
      <c r="G670" t="e">
        <f t="shared" si="10"/>
        <v>#N/A</v>
      </c>
    </row>
    <row r="671" spans="1:7" x14ac:dyDescent="0.25">
      <c r="A671">
        <f>BIdetails!G674</f>
        <v>0</v>
      </c>
      <c r="B671">
        <f>BIdetails!H674</f>
        <v>0</v>
      </c>
      <c r="C671">
        <f>BIdetails!J674</f>
        <v>0</v>
      </c>
      <c r="D671">
        <f>BIdetails!K674</f>
        <v>0</v>
      </c>
      <c r="E671" s="168">
        <f>BIdetails!M674</f>
        <v>0</v>
      </c>
      <c r="F671" t="e">
        <f>IF(ISERROR(IF(OR(C671="#",C671=0),"",VLOOKUP(C671,'AOP24'!M:M,1,0))),"Not Found",VLOOKUP(C671,'AOP24'!M:M,1,0))</f>
        <v>#N/A</v>
      </c>
      <c r="G671" t="e">
        <f t="shared" si="10"/>
        <v>#N/A</v>
      </c>
    </row>
    <row r="672" spans="1:7" x14ac:dyDescent="0.25">
      <c r="A672">
        <f>BIdetails!G675</f>
        <v>0</v>
      </c>
      <c r="B672">
        <f>BIdetails!H675</f>
        <v>0</v>
      </c>
      <c r="C672">
        <f>BIdetails!J675</f>
        <v>0</v>
      </c>
      <c r="D672">
        <f>BIdetails!K675</f>
        <v>0</v>
      </c>
      <c r="E672" s="168">
        <f>BIdetails!M675</f>
        <v>0</v>
      </c>
      <c r="F672" t="e">
        <f>IF(ISERROR(IF(OR(C672="#",C672=0),"",VLOOKUP(C672,'AOP24'!M:M,1,0))),"Not Found",VLOOKUP(C672,'AOP24'!M:M,1,0))</f>
        <v>#N/A</v>
      </c>
      <c r="G672" t="e">
        <f t="shared" si="10"/>
        <v>#N/A</v>
      </c>
    </row>
    <row r="673" spans="1:7" x14ac:dyDescent="0.25">
      <c r="A673">
        <f>BIdetails!G676</f>
        <v>0</v>
      </c>
      <c r="B673">
        <f>BIdetails!H676</f>
        <v>0</v>
      </c>
      <c r="C673">
        <f>BIdetails!J676</f>
        <v>0</v>
      </c>
      <c r="D673">
        <f>BIdetails!K676</f>
        <v>0</v>
      </c>
      <c r="E673" s="168">
        <f>BIdetails!M676</f>
        <v>0</v>
      </c>
      <c r="F673" t="e">
        <f>IF(ISERROR(IF(OR(C673="#",C673=0),"",VLOOKUP(C673,'AOP24'!M:M,1,0))),"Not Found",VLOOKUP(C673,'AOP24'!M:M,1,0))</f>
        <v>#N/A</v>
      </c>
      <c r="G673" t="e">
        <f t="shared" si="10"/>
        <v>#N/A</v>
      </c>
    </row>
    <row r="674" spans="1:7" x14ac:dyDescent="0.25">
      <c r="A674">
        <f>BIdetails!G677</f>
        <v>0</v>
      </c>
      <c r="B674">
        <f>BIdetails!H677</f>
        <v>0</v>
      </c>
      <c r="C674">
        <f>BIdetails!J677</f>
        <v>0</v>
      </c>
      <c r="D674">
        <f>BIdetails!K677</f>
        <v>0</v>
      </c>
      <c r="E674" s="168">
        <f>BIdetails!M677</f>
        <v>0</v>
      </c>
      <c r="F674" t="e">
        <f>IF(ISERROR(IF(OR(C674="#",C674=0),"",VLOOKUP(C674,'AOP24'!M:M,1,0))),"Not Found",VLOOKUP(C674,'AOP24'!M:M,1,0))</f>
        <v>#N/A</v>
      </c>
      <c r="G674" t="e">
        <f t="shared" si="10"/>
        <v>#N/A</v>
      </c>
    </row>
    <row r="675" spans="1:7" x14ac:dyDescent="0.25">
      <c r="A675">
        <f>BIdetails!G678</f>
        <v>0</v>
      </c>
      <c r="B675">
        <f>BIdetails!H678</f>
        <v>0</v>
      </c>
      <c r="C675">
        <f>BIdetails!J678</f>
        <v>0</v>
      </c>
      <c r="D675">
        <f>BIdetails!K678</f>
        <v>0</v>
      </c>
      <c r="E675" s="168">
        <f>BIdetails!M678</f>
        <v>0</v>
      </c>
      <c r="F675" t="e">
        <f>IF(ISERROR(IF(OR(C675="#",C675=0),"",VLOOKUP(C675,'AOP24'!M:M,1,0))),"Not Found",VLOOKUP(C675,'AOP24'!M:M,1,0))</f>
        <v>#N/A</v>
      </c>
      <c r="G675" t="e">
        <f t="shared" si="10"/>
        <v>#N/A</v>
      </c>
    </row>
    <row r="676" spans="1:7" x14ac:dyDescent="0.25">
      <c r="A676">
        <f>BIdetails!G679</f>
        <v>0</v>
      </c>
      <c r="B676">
        <f>BIdetails!H679</f>
        <v>0</v>
      </c>
      <c r="C676">
        <f>BIdetails!J679</f>
        <v>0</v>
      </c>
      <c r="D676">
        <f>BIdetails!K679</f>
        <v>0</v>
      </c>
      <c r="E676" s="168">
        <f>BIdetails!M679</f>
        <v>0</v>
      </c>
      <c r="F676" t="e">
        <f>IF(ISERROR(IF(OR(C676="#",C676=0),"",VLOOKUP(C676,'AOP24'!M:M,1,0))),"Not Found",VLOOKUP(C676,'AOP24'!M:M,1,0))</f>
        <v>#N/A</v>
      </c>
      <c r="G676" t="e">
        <f t="shared" si="10"/>
        <v>#N/A</v>
      </c>
    </row>
    <row r="677" spans="1:7" x14ac:dyDescent="0.25">
      <c r="A677">
        <f>BIdetails!G680</f>
        <v>0</v>
      </c>
      <c r="B677">
        <f>BIdetails!H680</f>
        <v>0</v>
      </c>
      <c r="C677">
        <f>BIdetails!J680</f>
        <v>0</v>
      </c>
      <c r="D677">
        <f>BIdetails!K680</f>
        <v>0</v>
      </c>
      <c r="E677" s="168">
        <f>BIdetails!M680</f>
        <v>0</v>
      </c>
      <c r="F677" t="e">
        <f>IF(ISERROR(IF(OR(C677="#",C677=0),"",VLOOKUP(C677,'AOP24'!M:M,1,0))),"Not Found",VLOOKUP(C677,'AOP24'!M:M,1,0))</f>
        <v>#N/A</v>
      </c>
      <c r="G677" t="e">
        <f t="shared" si="10"/>
        <v>#N/A</v>
      </c>
    </row>
    <row r="678" spans="1:7" x14ac:dyDescent="0.25">
      <c r="A678">
        <f>BIdetails!G681</f>
        <v>0</v>
      </c>
      <c r="B678">
        <f>BIdetails!H681</f>
        <v>0</v>
      </c>
      <c r="C678">
        <f>BIdetails!J681</f>
        <v>0</v>
      </c>
      <c r="D678">
        <f>BIdetails!K681</f>
        <v>0</v>
      </c>
      <c r="E678" s="168">
        <f>BIdetails!M681</f>
        <v>0</v>
      </c>
      <c r="F678" t="e">
        <f>IF(ISERROR(IF(OR(C678="#",C678=0),"",VLOOKUP(C678,'AOP24'!M:M,1,0))),"Not Found",VLOOKUP(C678,'AOP24'!M:M,1,0))</f>
        <v>#N/A</v>
      </c>
      <c r="G678" t="e">
        <f t="shared" si="10"/>
        <v>#N/A</v>
      </c>
    </row>
    <row r="679" spans="1:7" x14ac:dyDescent="0.25">
      <c r="A679">
        <f>BIdetails!G682</f>
        <v>0</v>
      </c>
      <c r="B679">
        <f>BIdetails!H682</f>
        <v>0</v>
      </c>
      <c r="C679">
        <f>BIdetails!J682</f>
        <v>0</v>
      </c>
      <c r="D679">
        <f>BIdetails!K682</f>
        <v>0</v>
      </c>
      <c r="E679" s="168">
        <f>BIdetails!M682</f>
        <v>0</v>
      </c>
      <c r="F679" t="e">
        <f>IF(ISERROR(IF(OR(C679="#",C679=0),"",VLOOKUP(C679,'AOP24'!M:M,1,0))),"Not Found",VLOOKUP(C679,'AOP24'!M:M,1,0))</f>
        <v>#N/A</v>
      </c>
      <c r="G679" t="e">
        <f t="shared" si="10"/>
        <v>#N/A</v>
      </c>
    </row>
    <row r="680" spans="1:7" x14ac:dyDescent="0.25">
      <c r="A680">
        <f>BIdetails!G683</f>
        <v>0</v>
      </c>
      <c r="B680">
        <f>BIdetails!H683</f>
        <v>0</v>
      </c>
      <c r="C680">
        <f>BIdetails!J683</f>
        <v>0</v>
      </c>
      <c r="D680">
        <f>BIdetails!K683</f>
        <v>0</v>
      </c>
      <c r="E680" s="168">
        <f>BIdetails!M683</f>
        <v>0</v>
      </c>
      <c r="F680" t="e">
        <f>IF(ISERROR(IF(OR(C680="#",C680=0),"",VLOOKUP(C680,'AOP24'!M:M,1,0))),"Not Found",VLOOKUP(C680,'AOP24'!M:M,1,0))</f>
        <v>#N/A</v>
      </c>
      <c r="G680" t="e">
        <f t="shared" si="10"/>
        <v>#N/A</v>
      </c>
    </row>
    <row r="681" spans="1:7" x14ac:dyDescent="0.25">
      <c r="A681">
        <f>BIdetails!G684</f>
        <v>0</v>
      </c>
      <c r="B681">
        <f>BIdetails!H684</f>
        <v>0</v>
      </c>
      <c r="C681">
        <f>BIdetails!J684</f>
        <v>0</v>
      </c>
      <c r="D681">
        <f>BIdetails!K684</f>
        <v>0</v>
      </c>
      <c r="E681" s="168">
        <f>BIdetails!M684</f>
        <v>0</v>
      </c>
      <c r="F681" t="e">
        <f>IF(ISERROR(IF(OR(C681="#",C681=0),"",VLOOKUP(C681,'AOP24'!M:M,1,0))),"Not Found",VLOOKUP(C681,'AOP24'!M:M,1,0))</f>
        <v>#N/A</v>
      </c>
      <c r="G681" t="e">
        <f t="shared" si="10"/>
        <v>#N/A</v>
      </c>
    </row>
    <row r="682" spans="1:7" x14ac:dyDescent="0.25">
      <c r="A682">
        <f>BIdetails!G685</f>
        <v>0</v>
      </c>
      <c r="B682">
        <f>BIdetails!H685</f>
        <v>0</v>
      </c>
      <c r="C682">
        <f>BIdetails!J685</f>
        <v>0</v>
      </c>
      <c r="D682">
        <f>BIdetails!K685</f>
        <v>0</v>
      </c>
      <c r="E682" s="168">
        <f>BIdetails!M685</f>
        <v>0</v>
      </c>
      <c r="F682" t="e">
        <f>IF(ISERROR(IF(OR(C682="#",C682=0),"",VLOOKUP(C682,'AOP24'!M:M,1,0))),"Not Found",VLOOKUP(C682,'AOP24'!M:M,1,0))</f>
        <v>#N/A</v>
      </c>
      <c r="G682" t="e">
        <f t="shared" si="10"/>
        <v>#N/A</v>
      </c>
    </row>
    <row r="683" spans="1:7" x14ac:dyDescent="0.25">
      <c r="A683">
        <f>BIdetails!G686</f>
        <v>0</v>
      </c>
      <c r="B683">
        <f>BIdetails!H686</f>
        <v>0</v>
      </c>
      <c r="C683">
        <f>BIdetails!J686</f>
        <v>0</v>
      </c>
      <c r="D683">
        <f>BIdetails!K686</f>
        <v>0</v>
      </c>
      <c r="E683" s="168">
        <f>BIdetails!M686</f>
        <v>0</v>
      </c>
      <c r="F683" t="e">
        <f>IF(ISERROR(IF(OR(C683="#",C683=0),"",VLOOKUP(C683,'AOP24'!M:M,1,0))),"Not Found",VLOOKUP(C683,'AOP24'!M:M,1,0))</f>
        <v>#N/A</v>
      </c>
      <c r="G683" t="e">
        <f t="shared" si="10"/>
        <v>#N/A</v>
      </c>
    </row>
    <row r="684" spans="1:7" x14ac:dyDescent="0.25">
      <c r="A684">
        <f>BIdetails!G687</f>
        <v>0</v>
      </c>
      <c r="B684">
        <f>BIdetails!H687</f>
        <v>0</v>
      </c>
      <c r="C684">
        <f>BIdetails!J687</f>
        <v>0</v>
      </c>
      <c r="D684">
        <f>BIdetails!K687</f>
        <v>0</v>
      </c>
      <c r="E684" s="168">
        <f>BIdetails!M687</f>
        <v>0</v>
      </c>
      <c r="F684" t="e">
        <f>IF(ISERROR(IF(OR(C684="#",C684=0),"",VLOOKUP(C684,'AOP24'!M:M,1,0))),"Not Found",VLOOKUP(C684,'AOP24'!M:M,1,0))</f>
        <v>#N/A</v>
      </c>
      <c r="G684" t="e">
        <f t="shared" si="10"/>
        <v>#N/A</v>
      </c>
    </row>
    <row r="685" spans="1:7" x14ac:dyDescent="0.25">
      <c r="A685">
        <f>BIdetails!G688</f>
        <v>0</v>
      </c>
      <c r="B685">
        <f>BIdetails!H688</f>
        <v>0</v>
      </c>
      <c r="C685">
        <f>BIdetails!J688</f>
        <v>0</v>
      </c>
      <c r="D685">
        <f>BIdetails!K688</f>
        <v>0</v>
      </c>
      <c r="E685" s="168">
        <f>BIdetails!M688</f>
        <v>0</v>
      </c>
      <c r="F685" t="e">
        <f>IF(ISERROR(IF(OR(C685="#",C685=0),"",VLOOKUP(C685,'AOP24'!M:M,1,0))),"Not Found",VLOOKUP(C685,'AOP24'!M:M,1,0))</f>
        <v>#N/A</v>
      </c>
      <c r="G685" t="e">
        <f t="shared" si="10"/>
        <v>#N/A</v>
      </c>
    </row>
    <row r="686" spans="1:7" x14ac:dyDescent="0.25">
      <c r="A686">
        <f>BIdetails!G689</f>
        <v>0</v>
      </c>
      <c r="B686">
        <f>BIdetails!H689</f>
        <v>0</v>
      </c>
      <c r="C686">
        <f>BIdetails!J689</f>
        <v>0</v>
      </c>
      <c r="D686">
        <f>BIdetails!K689</f>
        <v>0</v>
      </c>
      <c r="E686" s="168">
        <f>BIdetails!M689</f>
        <v>0</v>
      </c>
      <c r="F686" t="e">
        <f>IF(ISERROR(IF(OR(C686="#",C686=0),"",VLOOKUP(C686,'AOP24'!M:M,1,0))),"Not Found",VLOOKUP(C686,'AOP24'!M:M,1,0))</f>
        <v>#N/A</v>
      </c>
      <c r="G686" t="e">
        <f t="shared" si="10"/>
        <v>#N/A</v>
      </c>
    </row>
    <row r="687" spans="1:7" x14ac:dyDescent="0.25">
      <c r="A687">
        <f>BIdetails!G690</f>
        <v>0</v>
      </c>
      <c r="B687">
        <f>BIdetails!H690</f>
        <v>0</v>
      </c>
      <c r="C687">
        <f>BIdetails!J690</f>
        <v>0</v>
      </c>
      <c r="D687">
        <f>BIdetails!K690</f>
        <v>0</v>
      </c>
      <c r="E687" s="168">
        <f>BIdetails!M690</f>
        <v>0</v>
      </c>
      <c r="F687" t="e">
        <f>IF(ISERROR(IF(OR(C687="#",C687=0),"",VLOOKUP(C687,'AOP24'!M:M,1,0))),"Not Found",VLOOKUP(C687,'AOP24'!M:M,1,0))</f>
        <v>#N/A</v>
      </c>
      <c r="G687" t="e">
        <f t="shared" si="10"/>
        <v>#N/A</v>
      </c>
    </row>
    <row r="688" spans="1:7" x14ac:dyDescent="0.25">
      <c r="A688">
        <f>BIdetails!G691</f>
        <v>0</v>
      </c>
      <c r="B688">
        <f>BIdetails!H691</f>
        <v>0</v>
      </c>
      <c r="C688">
        <f>BIdetails!J691</f>
        <v>0</v>
      </c>
      <c r="D688">
        <f>BIdetails!K691</f>
        <v>0</v>
      </c>
      <c r="E688" s="168">
        <f>BIdetails!M691</f>
        <v>0</v>
      </c>
      <c r="F688" t="e">
        <f>IF(ISERROR(IF(OR(C688="#",C688=0),"",VLOOKUP(C688,'AOP24'!M:M,1,0))),"Not Found",VLOOKUP(C688,'AOP24'!M:M,1,0))</f>
        <v>#N/A</v>
      </c>
      <c r="G688" t="e">
        <f t="shared" si="10"/>
        <v>#N/A</v>
      </c>
    </row>
    <row r="689" spans="1:7" x14ac:dyDescent="0.25">
      <c r="A689">
        <f>BIdetails!G692</f>
        <v>0</v>
      </c>
      <c r="B689">
        <f>BIdetails!H692</f>
        <v>0</v>
      </c>
      <c r="C689">
        <f>BIdetails!J692</f>
        <v>0</v>
      </c>
      <c r="D689">
        <f>BIdetails!K692</f>
        <v>0</v>
      </c>
      <c r="E689" s="168">
        <f>BIdetails!M692</f>
        <v>0</v>
      </c>
      <c r="F689" t="e">
        <f>IF(ISERROR(IF(OR(C689="#",C689=0),"",VLOOKUP(C689,'AOP24'!M:M,1,0))),"Not Found",VLOOKUP(C689,'AOP24'!M:M,1,0))</f>
        <v>#N/A</v>
      </c>
      <c r="G689" t="e">
        <f t="shared" si="10"/>
        <v>#N/A</v>
      </c>
    </row>
    <row r="690" spans="1:7" x14ac:dyDescent="0.25">
      <c r="A690">
        <f>BIdetails!G693</f>
        <v>0</v>
      </c>
      <c r="B690">
        <f>BIdetails!H693</f>
        <v>0</v>
      </c>
      <c r="C690">
        <f>BIdetails!J693</f>
        <v>0</v>
      </c>
      <c r="D690">
        <f>BIdetails!K693</f>
        <v>0</v>
      </c>
      <c r="E690" s="168">
        <f>BIdetails!M693</f>
        <v>0</v>
      </c>
      <c r="F690" t="e">
        <f>IF(ISERROR(IF(OR(C690="#",C690=0),"",VLOOKUP(C690,'AOP24'!M:M,1,0))),"Not Found",VLOOKUP(C690,'AOP24'!M:M,1,0))</f>
        <v>#N/A</v>
      </c>
      <c r="G690" t="e">
        <f t="shared" si="10"/>
        <v>#N/A</v>
      </c>
    </row>
    <row r="691" spans="1:7" x14ac:dyDescent="0.25">
      <c r="A691">
        <f>BIdetails!G694</f>
        <v>0</v>
      </c>
      <c r="B691">
        <f>BIdetails!H694</f>
        <v>0</v>
      </c>
      <c r="C691">
        <f>BIdetails!J694</f>
        <v>0</v>
      </c>
      <c r="D691">
        <f>BIdetails!K694</f>
        <v>0</v>
      </c>
      <c r="E691" s="168">
        <f>BIdetails!M694</f>
        <v>0</v>
      </c>
      <c r="F691" t="e">
        <f>IF(ISERROR(IF(OR(C691="#",C691=0),"",VLOOKUP(C691,'AOP24'!M:M,1,0))),"Not Found",VLOOKUP(C691,'AOP24'!M:M,1,0))</f>
        <v>#N/A</v>
      </c>
      <c r="G691" t="e">
        <f t="shared" si="10"/>
        <v>#N/A</v>
      </c>
    </row>
    <row r="692" spans="1:7" x14ac:dyDescent="0.25">
      <c r="A692">
        <f>BIdetails!G695</f>
        <v>0</v>
      </c>
      <c r="B692">
        <f>BIdetails!H695</f>
        <v>0</v>
      </c>
      <c r="C692">
        <f>BIdetails!J695</f>
        <v>0</v>
      </c>
      <c r="D692">
        <f>BIdetails!K695</f>
        <v>0</v>
      </c>
      <c r="E692" s="168">
        <f>BIdetails!M695</f>
        <v>0</v>
      </c>
      <c r="F692" t="e">
        <f>IF(ISERROR(IF(OR(C692="#",C692=0),"",VLOOKUP(C692,'AOP24'!M:M,1,0))),"Not Found",VLOOKUP(C692,'AOP24'!M:M,1,0))</f>
        <v>#N/A</v>
      </c>
      <c r="G692" t="e">
        <f t="shared" si="10"/>
        <v>#N/A</v>
      </c>
    </row>
    <row r="693" spans="1:7" x14ac:dyDescent="0.25">
      <c r="A693">
        <f>BIdetails!G696</f>
        <v>0</v>
      </c>
      <c r="B693">
        <f>BIdetails!H696</f>
        <v>0</v>
      </c>
      <c r="C693">
        <f>BIdetails!J696</f>
        <v>0</v>
      </c>
      <c r="D693">
        <f>BIdetails!K696</f>
        <v>0</v>
      </c>
      <c r="E693" s="168">
        <f>BIdetails!M696</f>
        <v>0</v>
      </c>
      <c r="F693" t="e">
        <f>IF(ISERROR(IF(OR(C693="#",C693=0),"",VLOOKUP(C693,'AOP24'!M:M,1,0))),"Not Found",VLOOKUP(C693,'AOP24'!M:M,1,0))</f>
        <v>#N/A</v>
      </c>
      <c r="G693" t="e">
        <f t="shared" si="10"/>
        <v>#N/A</v>
      </c>
    </row>
    <row r="694" spans="1:7" x14ac:dyDescent="0.25">
      <c r="A694">
        <f>BIdetails!G697</f>
        <v>0</v>
      </c>
      <c r="B694">
        <f>BIdetails!H697</f>
        <v>0</v>
      </c>
      <c r="C694">
        <f>BIdetails!J697</f>
        <v>0</v>
      </c>
      <c r="D694">
        <f>BIdetails!K697</f>
        <v>0</v>
      </c>
      <c r="E694" s="168">
        <f>BIdetails!M697</f>
        <v>0</v>
      </c>
      <c r="F694" t="e">
        <f>IF(ISERROR(IF(OR(C694="#",C694=0),"",VLOOKUP(C694,'AOP24'!M:M,1,0))),"Not Found",VLOOKUP(C694,'AOP24'!M:M,1,0))</f>
        <v>#N/A</v>
      </c>
      <c r="G694" t="e">
        <f t="shared" si="10"/>
        <v>#N/A</v>
      </c>
    </row>
    <row r="695" spans="1:7" x14ac:dyDescent="0.25">
      <c r="A695">
        <f>BIdetails!G698</f>
        <v>0</v>
      </c>
      <c r="B695">
        <f>BIdetails!H698</f>
        <v>0</v>
      </c>
      <c r="C695">
        <f>BIdetails!J698</f>
        <v>0</v>
      </c>
      <c r="D695">
        <f>BIdetails!K698</f>
        <v>0</v>
      </c>
      <c r="E695" s="168">
        <f>BIdetails!M698</f>
        <v>0</v>
      </c>
      <c r="F695" t="e">
        <f>IF(ISERROR(IF(OR(C695="#",C695=0),"",VLOOKUP(C695,'AOP24'!M:M,1,0))),"Not Found",VLOOKUP(C695,'AOP24'!M:M,1,0))</f>
        <v>#N/A</v>
      </c>
      <c r="G695" t="e">
        <f t="shared" si="10"/>
        <v>#N/A</v>
      </c>
    </row>
    <row r="696" spans="1:7" x14ac:dyDescent="0.25">
      <c r="A696">
        <f>BIdetails!G699</f>
        <v>0</v>
      </c>
      <c r="B696">
        <f>BIdetails!H699</f>
        <v>0</v>
      </c>
      <c r="C696">
        <f>BIdetails!J699</f>
        <v>0</v>
      </c>
      <c r="D696">
        <f>BIdetails!K699</f>
        <v>0</v>
      </c>
      <c r="E696" s="168">
        <f>BIdetails!M699</f>
        <v>0</v>
      </c>
      <c r="F696" t="e">
        <f>IF(ISERROR(IF(OR(C696="#",C696=0),"",VLOOKUP(C696,'AOP24'!M:M,1,0))),"Not Found",VLOOKUP(C696,'AOP24'!M:M,1,0))</f>
        <v>#N/A</v>
      </c>
      <c r="G696" t="e">
        <f t="shared" si="10"/>
        <v>#N/A</v>
      </c>
    </row>
    <row r="697" spans="1:7" x14ac:dyDescent="0.25">
      <c r="A697">
        <f>BIdetails!G700</f>
        <v>0</v>
      </c>
      <c r="B697">
        <f>BIdetails!H700</f>
        <v>0</v>
      </c>
      <c r="C697">
        <f>BIdetails!J700</f>
        <v>0</v>
      </c>
      <c r="D697">
        <f>BIdetails!K700</f>
        <v>0</v>
      </c>
      <c r="E697" s="168">
        <f>BIdetails!M700</f>
        <v>0</v>
      </c>
      <c r="F697" t="e">
        <f>IF(ISERROR(IF(OR(C697="#",C697=0),"",VLOOKUP(C697,'AOP24'!M:M,1,0))),"Not Found",VLOOKUP(C697,'AOP24'!M:M,1,0))</f>
        <v>#N/A</v>
      </c>
      <c r="G697" t="e">
        <f t="shared" si="10"/>
        <v>#N/A</v>
      </c>
    </row>
    <row r="698" spans="1:7" x14ac:dyDescent="0.25">
      <c r="A698">
        <f>BIdetails!G701</f>
        <v>0</v>
      </c>
      <c r="B698">
        <f>BIdetails!H701</f>
        <v>0</v>
      </c>
      <c r="C698">
        <f>BIdetails!J701</f>
        <v>0</v>
      </c>
      <c r="D698">
        <f>BIdetails!K701</f>
        <v>0</v>
      </c>
      <c r="E698" s="168">
        <f>BIdetails!M701</f>
        <v>0</v>
      </c>
      <c r="F698" t="e">
        <f>IF(ISERROR(IF(OR(C698="#",C698=0),"",VLOOKUP(C698,'AOP24'!M:M,1,0))),"Not Found",VLOOKUP(C698,'AOP24'!M:M,1,0))</f>
        <v>#N/A</v>
      </c>
      <c r="G698" t="e">
        <f t="shared" ref="G698:G761" si="11">IF(NOT(ISERROR(VLOOKUP(C698,$K$2:$K$50,1,0))),"Y",VLOOKUP(C698,$K$2:$K$50,1,0))</f>
        <v>#N/A</v>
      </c>
    </row>
    <row r="699" spans="1:7" x14ac:dyDescent="0.25">
      <c r="A699">
        <f>BIdetails!G702</f>
        <v>0</v>
      </c>
      <c r="B699">
        <f>BIdetails!H702</f>
        <v>0</v>
      </c>
      <c r="C699">
        <f>BIdetails!J702</f>
        <v>0</v>
      </c>
      <c r="D699">
        <f>BIdetails!K702</f>
        <v>0</v>
      </c>
      <c r="E699" s="168">
        <f>BIdetails!M702</f>
        <v>0</v>
      </c>
      <c r="F699" t="e">
        <f>IF(ISERROR(IF(OR(C699="#",C699=0),"",VLOOKUP(C699,'AOP24'!M:M,1,0))),"Not Found",VLOOKUP(C699,'AOP24'!M:M,1,0))</f>
        <v>#N/A</v>
      </c>
      <c r="G699" t="e">
        <f t="shared" si="11"/>
        <v>#N/A</v>
      </c>
    </row>
    <row r="700" spans="1:7" x14ac:dyDescent="0.25">
      <c r="A700">
        <f>BIdetails!G703</f>
        <v>0</v>
      </c>
      <c r="B700">
        <f>BIdetails!H703</f>
        <v>0</v>
      </c>
      <c r="C700">
        <f>BIdetails!J703</f>
        <v>0</v>
      </c>
      <c r="D700">
        <f>BIdetails!K703</f>
        <v>0</v>
      </c>
      <c r="E700" s="168">
        <f>BIdetails!M703</f>
        <v>0</v>
      </c>
      <c r="F700" t="e">
        <f>IF(ISERROR(IF(OR(C700="#",C700=0),"",VLOOKUP(C700,'AOP24'!M:M,1,0))),"Not Found",VLOOKUP(C700,'AOP24'!M:M,1,0))</f>
        <v>#N/A</v>
      </c>
      <c r="G700" t="e">
        <f t="shared" si="11"/>
        <v>#N/A</v>
      </c>
    </row>
    <row r="701" spans="1:7" x14ac:dyDescent="0.25">
      <c r="A701">
        <f>BIdetails!G704</f>
        <v>0</v>
      </c>
      <c r="B701">
        <f>BIdetails!H704</f>
        <v>0</v>
      </c>
      <c r="C701">
        <f>BIdetails!J704</f>
        <v>0</v>
      </c>
      <c r="D701">
        <f>BIdetails!K704</f>
        <v>0</v>
      </c>
      <c r="E701" s="168">
        <f>BIdetails!M704</f>
        <v>0</v>
      </c>
      <c r="F701" t="e">
        <f>IF(ISERROR(IF(OR(C701="#",C701=0),"",VLOOKUP(C701,'AOP24'!M:M,1,0))),"Not Found",VLOOKUP(C701,'AOP24'!M:M,1,0))</f>
        <v>#N/A</v>
      </c>
      <c r="G701" t="e">
        <f t="shared" si="11"/>
        <v>#N/A</v>
      </c>
    </row>
    <row r="702" spans="1:7" x14ac:dyDescent="0.25">
      <c r="A702">
        <f>BIdetails!G705</f>
        <v>0</v>
      </c>
      <c r="B702">
        <f>BIdetails!H705</f>
        <v>0</v>
      </c>
      <c r="C702">
        <f>BIdetails!J705</f>
        <v>0</v>
      </c>
      <c r="D702">
        <f>BIdetails!K705</f>
        <v>0</v>
      </c>
      <c r="E702" s="168">
        <f>BIdetails!M705</f>
        <v>0</v>
      </c>
      <c r="F702" t="e">
        <f>IF(ISERROR(IF(OR(C702="#",C702=0),"",VLOOKUP(C702,'AOP24'!M:M,1,0))),"Not Found",VLOOKUP(C702,'AOP24'!M:M,1,0))</f>
        <v>#N/A</v>
      </c>
      <c r="G702" t="e">
        <f t="shared" si="11"/>
        <v>#N/A</v>
      </c>
    </row>
    <row r="703" spans="1:7" x14ac:dyDescent="0.25">
      <c r="A703">
        <f>BIdetails!G706</f>
        <v>0</v>
      </c>
      <c r="B703">
        <f>BIdetails!H706</f>
        <v>0</v>
      </c>
      <c r="C703">
        <f>BIdetails!J706</f>
        <v>0</v>
      </c>
      <c r="D703">
        <f>BIdetails!K706</f>
        <v>0</v>
      </c>
      <c r="E703" s="168">
        <f>BIdetails!M706</f>
        <v>0</v>
      </c>
      <c r="F703" t="e">
        <f>IF(ISERROR(IF(OR(C703="#",C703=0),"",VLOOKUP(C703,'AOP24'!M:M,1,0))),"Not Found",VLOOKUP(C703,'AOP24'!M:M,1,0))</f>
        <v>#N/A</v>
      </c>
      <c r="G703" t="e">
        <f t="shared" si="11"/>
        <v>#N/A</v>
      </c>
    </row>
    <row r="704" spans="1:7" x14ac:dyDescent="0.25">
      <c r="A704">
        <f>BIdetails!G707</f>
        <v>0</v>
      </c>
      <c r="B704">
        <f>BIdetails!H707</f>
        <v>0</v>
      </c>
      <c r="C704">
        <f>BIdetails!J707</f>
        <v>0</v>
      </c>
      <c r="D704">
        <f>BIdetails!K707</f>
        <v>0</v>
      </c>
      <c r="E704" s="168">
        <f>BIdetails!M707</f>
        <v>0</v>
      </c>
      <c r="F704" t="e">
        <f>IF(ISERROR(IF(OR(C704="#",C704=0),"",VLOOKUP(C704,'AOP24'!M:M,1,0))),"Not Found",VLOOKUP(C704,'AOP24'!M:M,1,0))</f>
        <v>#N/A</v>
      </c>
      <c r="G704" t="e">
        <f t="shared" si="11"/>
        <v>#N/A</v>
      </c>
    </row>
    <row r="705" spans="1:7" x14ac:dyDescent="0.25">
      <c r="A705">
        <f>BIdetails!G708</f>
        <v>0</v>
      </c>
      <c r="B705">
        <f>BIdetails!H708</f>
        <v>0</v>
      </c>
      <c r="C705">
        <f>BIdetails!J708</f>
        <v>0</v>
      </c>
      <c r="D705">
        <f>BIdetails!K708</f>
        <v>0</v>
      </c>
      <c r="E705" s="168">
        <f>BIdetails!M708</f>
        <v>0</v>
      </c>
      <c r="F705" t="e">
        <f>IF(ISERROR(IF(OR(C705="#",C705=0),"",VLOOKUP(C705,'AOP24'!M:M,1,0))),"Not Found",VLOOKUP(C705,'AOP24'!M:M,1,0))</f>
        <v>#N/A</v>
      </c>
      <c r="G705" t="e">
        <f t="shared" si="11"/>
        <v>#N/A</v>
      </c>
    </row>
    <row r="706" spans="1:7" x14ac:dyDescent="0.25">
      <c r="A706">
        <f>BIdetails!G709</f>
        <v>0</v>
      </c>
      <c r="B706">
        <f>BIdetails!H709</f>
        <v>0</v>
      </c>
      <c r="C706">
        <f>BIdetails!J709</f>
        <v>0</v>
      </c>
      <c r="D706">
        <f>BIdetails!K709</f>
        <v>0</v>
      </c>
      <c r="E706" s="168">
        <f>BIdetails!M709</f>
        <v>0</v>
      </c>
      <c r="F706" t="e">
        <f>IF(ISERROR(IF(OR(C706="#",C706=0),"",VLOOKUP(C706,'AOP24'!M:M,1,0))),"Not Found",VLOOKUP(C706,'AOP24'!M:M,1,0))</f>
        <v>#N/A</v>
      </c>
      <c r="G706" t="e">
        <f t="shared" si="11"/>
        <v>#N/A</v>
      </c>
    </row>
    <row r="707" spans="1:7" x14ac:dyDescent="0.25">
      <c r="A707">
        <f>BIdetails!G710</f>
        <v>0</v>
      </c>
      <c r="B707">
        <f>BIdetails!H710</f>
        <v>0</v>
      </c>
      <c r="C707">
        <f>BIdetails!J710</f>
        <v>0</v>
      </c>
      <c r="D707">
        <f>BIdetails!K710</f>
        <v>0</v>
      </c>
      <c r="E707" s="168">
        <f>BIdetails!M710</f>
        <v>0</v>
      </c>
      <c r="F707" t="e">
        <f>IF(ISERROR(IF(OR(C707="#",C707=0),"",VLOOKUP(C707,'AOP24'!M:M,1,0))),"Not Found",VLOOKUP(C707,'AOP24'!M:M,1,0))</f>
        <v>#N/A</v>
      </c>
      <c r="G707" t="e">
        <f t="shared" si="11"/>
        <v>#N/A</v>
      </c>
    </row>
    <row r="708" spans="1:7" x14ac:dyDescent="0.25">
      <c r="A708">
        <f>BIdetails!G711</f>
        <v>0</v>
      </c>
      <c r="B708">
        <f>BIdetails!H711</f>
        <v>0</v>
      </c>
      <c r="C708">
        <f>BIdetails!J711</f>
        <v>0</v>
      </c>
      <c r="D708">
        <f>BIdetails!K711</f>
        <v>0</v>
      </c>
      <c r="E708" s="168">
        <f>BIdetails!M711</f>
        <v>0</v>
      </c>
      <c r="F708" t="e">
        <f>IF(ISERROR(IF(OR(C708="#",C708=0),"",VLOOKUP(C708,'AOP24'!M:M,1,0))),"Not Found",VLOOKUP(C708,'AOP24'!M:M,1,0))</f>
        <v>#N/A</v>
      </c>
      <c r="G708" t="e">
        <f t="shared" si="11"/>
        <v>#N/A</v>
      </c>
    </row>
    <row r="709" spans="1:7" x14ac:dyDescent="0.25">
      <c r="A709">
        <f>BIdetails!G712</f>
        <v>0</v>
      </c>
      <c r="B709">
        <f>BIdetails!H712</f>
        <v>0</v>
      </c>
      <c r="C709">
        <f>BIdetails!J712</f>
        <v>0</v>
      </c>
      <c r="D709">
        <f>BIdetails!K712</f>
        <v>0</v>
      </c>
      <c r="E709" s="168">
        <f>BIdetails!M712</f>
        <v>0</v>
      </c>
      <c r="F709" t="e">
        <f>IF(ISERROR(IF(OR(C709="#",C709=0),"",VLOOKUP(C709,'AOP24'!M:M,1,0))),"Not Found",VLOOKUP(C709,'AOP24'!M:M,1,0))</f>
        <v>#N/A</v>
      </c>
      <c r="G709" t="e">
        <f t="shared" si="11"/>
        <v>#N/A</v>
      </c>
    </row>
    <row r="710" spans="1:7" x14ac:dyDescent="0.25">
      <c r="A710">
        <f>BIdetails!G713</f>
        <v>0</v>
      </c>
      <c r="B710">
        <f>BIdetails!H713</f>
        <v>0</v>
      </c>
      <c r="C710">
        <f>BIdetails!J713</f>
        <v>0</v>
      </c>
      <c r="D710">
        <f>BIdetails!K713</f>
        <v>0</v>
      </c>
      <c r="E710" s="168">
        <f>BIdetails!M713</f>
        <v>0</v>
      </c>
      <c r="F710" t="e">
        <f>IF(ISERROR(IF(OR(C710="#",C710=0),"",VLOOKUP(C710,'AOP24'!M:M,1,0))),"Not Found",VLOOKUP(C710,'AOP24'!M:M,1,0))</f>
        <v>#N/A</v>
      </c>
      <c r="G710" t="e">
        <f t="shared" si="11"/>
        <v>#N/A</v>
      </c>
    </row>
    <row r="711" spans="1:7" x14ac:dyDescent="0.25">
      <c r="A711">
        <f>BIdetails!G714</f>
        <v>0</v>
      </c>
      <c r="B711">
        <f>BIdetails!H714</f>
        <v>0</v>
      </c>
      <c r="C711">
        <f>BIdetails!J714</f>
        <v>0</v>
      </c>
      <c r="D711">
        <f>BIdetails!K714</f>
        <v>0</v>
      </c>
      <c r="E711" s="168">
        <f>BIdetails!M714</f>
        <v>0</v>
      </c>
      <c r="F711" t="e">
        <f>IF(ISERROR(IF(OR(C711="#",C711=0),"",VLOOKUP(C711,'AOP24'!M:M,1,0))),"Not Found",VLOOKUP(C711,'AOP24'!M:M,1,0))</f>
        <v>#N/A</v>
      </c>
      <c r="G711" t="e">
        <f t="shared" si="11"/>
        <v>#N/A</v>
      </c>
    </row>
    <row r="712" spans="1:7" x14ac:dyDescent="0.25">
      <c r="A712">
        <f>BIdetails!G715</f>
        <v>0</v>
      </c>
      <c r="B712">
        <f>BIdetails!H715</f>
        <v>0</v>
      </c>
      <c r="C712">
        <f>BIdetails!J715</f>
        <v>0</v>
      </c>
      <c r="D712">
        <f>BIdetails!K715</f>
        <v>0</v>
      </c>
      <c r="E712" s="168">
        <f>BIdetails!M715</f>
        <v>0</v>
      </c>
      <c r="F712" t="e">
        <f>IF(ISERROR(IF(OR(C712="#",C712=0),"",VLOOKUP(C712,'AOP24'!M:M,1,0))),"Not Found",VLOOKUP(C712,'AOP24'!M:M,1,0))</f>
        <v>#N/A</v>
      </c>
      <c r="G712" t="e">
        <f t="shared" si="11"/>
        <v>#N/A</v>
      </c>
    </row>
    <row r="713" spans="1:7" x14ac:dyDescent="0.25">
      <c r="A713">
        <f>BIdetails!G716</f>
        <v>0</v>
      </c>
      <c r="B713">
        <f>BIdetails!H716</f>
        <v>0</v>
      </c>
      <c r="C713">
        <f>BIdetails!J716</f>
        <v>0</v>
      </c>
      <c r="D713">
        <f>BIdetails!K716</f>
        <v>0</v>
      </c>
      <c r="E713" s="168">
        <f>BIdetails!M716</f>
        <v>0</v>
      </c>
      <c r="F713" t="e">
        <f>IF(ISERROR(IF(OR(C713="#",C713=0),"",VLOOKUP(C713,'AOP24'!M:M,1,0))),"Not Found",VLOOKUP(C713,'AOP24'!M:M,1,0))</f>
        <v>#N/A</v>
      </c>
      <c r="G713" t="e">
        <f t="shared" si="11"/>
        <v>#N/A</v>
      </c>
    </row>
    <row r="714" spans="1:7" x14ac:dyDescent="0.25">
      <c r="A714">
        <f>BIdetails!G717</f>
        <v>0</v>
      </c>
      <c r="B714">
        <f>BIdetails!H717</f>
        <v>0</v>
      </c>
      <c r="C714">
        <f>BIdetails!J717</f>
        <v>0</v>
      </c>
      <c r="D714">
        <f>BIdetails!K717</f>
        <v>0</v>
      </c>
      <c r="E714" s="168">
        <f>BIdetails!M717</f>
        <v>0</v>
      </c>
      <c r="F714" t="e">
        <f>IF(ISERROR(IF(OR(C714="#",C714=0),"",VLOOKUP(C714,'AOP24'!M:M,1,0))),"Not Found",VLOOKUP(C714,'AOP24'!M:M,1,0))</f>
        <v>#N/A</v>
      </c>
      <c r="G714" t="e">
        <f t="shared" si="11"/>
        <v>#N/A</v>
      </c>
    </row>
    <row r="715" spans="1:7" x14ac:dyDescent="0.25">
      <c r="A715">
        <f>BIdetails!G718</f>
        <v>0</v>
      </c>
      <c r="B715">
        <f>BIdetails!H718</f>
        <v>0</v>
      </c>
      <c r="C715">
        <f>BIdetails!J718</f>
        <v>0</v>
      </c>
      <c r="D715">
        <f>BIdetails!K718</f>
        <v>0</v>
      </c>
      <c r="E715" s="168">
        <f>BIdetails!M718</f>
        <v>0</v>
      </c>
      <c r="F715" t="e">
        <f>IF(ISERROR(IF(OR(C715="#",C715=0),"",VLOOKUP(C715,'AOP24'!M:M,1,0))),"Not Found",VLOOKUP(C715,'AOP24'!M:M,1,0))</f>
        <v>#N/A</v>
      </c>
      <c r="G715" t="e">
        <f t="shared" si="11"/>
        <v>#N/A</v>
      </c>
    </row>
    <row r="716" spans="1:7" x14ac:dyDescent="0.25">
      <c r="A716">
        <f>BIdetails!G719</f>
        <v>0</v>
      </c>
      <c r="B716">
        <f>BIdetails!H719</f>
        <v>0</v>
      </c>
      <c r="C716">
        <f>BIdetails!J719</f>
        <v>0</v>
      </c>
      <c r="D716">
        <f>BIdetails!K719</f>
        <v>0</v>
      </c>
      <c r="E716" s="168">
        <f>BIdetails!M719</f>
        <v>0</v>
      </c>
      <c r="F716" t="e">
        <f>IF(ISERROR(IF(OR(C716="#",C716=0),"",VLOOKUP(C716,'AOP24'!M:M,1,0))),"Not Found",VLOOKUP(C716,'AOP24'!M:M,1,0))</f>
        <v>#N/A</v>
      </c>
      <c r="G716" t="e">
        <f t="shared" si="11"/>
        <v>#N/A</v>
      </c>
    </row>
    <row r="717" spans="1:7" x14ac:dyDescent="0.25">
      <c r="A717">
        <f>BIdetails!G720</f>
        <v>0</v>
      </c>
      <c r="B717">
        <f>BIdetails!H720</f>
        <v>0</v>
      </c>
      <c r="C717">
        <f>BIdetails!J720</f>
        <v>0</v>
      </c>
      <c r="D717">
        <f>BIdetails!K720</f>
        <v>0</v>
      </c>
      <c r="E717" s="168">
        <f>BIdetails!M720</f>
        <v>0</v>
      </c>
      <c r="F717" t="e">
        <f>IF(ISERROR(IF(OR(C717="#",C717=0),"",VLOOKUP(C717,'AOP24'!M:M,1,0))),"Not Found",VLOOKUP(C717,'AOP24'!M:M,1,0))</f>
        <v>#N/A</v>
      </c>
      <c r="G717" t="e">
        <f t="shared" si="11"/>
        <v>#N/A</v>
      </c>
    </row>
    <row r="718" spans="1:7" x14ac:dyDescent="0.25">
      <c r="A718">
        <f>BIdetails!G721</f>
        <v>0</v>
      </c>
      <c r="B718">
        <f>BIdetails!H721</f>
        <v>0</v>
      </c>
      <c r="C718">
        <f>BIdetails!J721</f>
        <v>0</v>
      </c>
      <c r="D718">
        <f>BIdetails!K721</f>
        <v>0</v>
      </c>
      <c r="E718" s="168">
        <f>BIdetails!M721</f>
        <v>0</v>
      </c>
      <c r="F718" t="e">
        <f>IF(ISERROR(IF(OR(C718="#",C718=0),"",VLOOKUP(C718,'AOP24'!M:M,1,0))),"Not Found",VLOOKUP(C718,'AOP24'!M:M,1,0))</f>
        <v>#N/A</v>
      </c>
      <c r="G718" t="e">
        <f t="shared" si="11"/>
        <v>#N/A</v>
      </c>
    </row>
    <row r="719" spans="1:7" x14ac:dyDescent="0.25">
      <c r="A719">
        <f>BIdetails!G722</f>
        <v>0</v>
      </c>
      <c r="B719">
        <f>BIdetails!H722</f>
        <v>0</v>
      </c>
      <c r="C719">
        <f>BIdetails!J722</f>
        <v>0</v>
      </c>
      <c r="D719">
        <f>BIdetails!K722</f>
        <v>0</v>
      </c>
      <c r="E719" s="168">
        <f>BIdetails!M722</f>
        <v>0</v>
      </c>
      <c r="F719" t="e">
        <f>IF(ISERROR(IF(OR(C719="#",C719=0),"",VLOOKUP(C719,'AOP24'!M:M,1,0))),"Not Found",VLOOKUP(C719,'AOP24'!M:M,1,0))</f>
        <v>#N/A</v>
      </c>
      <c r="G719" t="e">
        <f t="shared" si="11"/>
        <v>#N/A</v>
      </c>
    </row>
    <row r="720" spans="1:7" x14ac:dyDescent="0.25">
      <c r="A720">
        <f>BIdetails!G723</f>
        <v>0</v>
      </c>
      <c r="B720">
        <f>BIdetails!H723</f>
        <v>0</v>
      </c>
      <c r="C720">
        <f>BIdetails!J723</f>
        <v>0</v>
      </c>
      <c r="D720">
        <f>BIdetails!K723</f>
        <v>0</v>
      </c>
      <c r="E720" s="168">
        <f>BIdetails!M723</f>
        <v>0</v>
      </c>
      <c r="F720" t="e">
        <f>IF(ISERROR(IF(OR(C720="#",C720=0),"",VLOOKUP(C720,'AOP24'!M:M,1,0))),"Not Found",VLOOKUP(C720,'AOP24'!M:M,1,0))</f>
        <v>#N/A</v>
      </c>
      <c r="G720" t="e">
        <f t="shared" si="11"/>
        <v>#N/A</v>
      </c>
    </row>
    <row r="721" spans="1:7" x14ac:dyDescent="0.25">
      <c r="A721">
        <f>BIdetails!G724</f>
        <v>0</v>
      </c>
      <c r="B721">
        <f>BIdetails!H724</f>
        <v>0</v>
      </c>
      <c r="C721">
        <f>BIdetails!J724</f>
        <v>0</v>
      </c>
      <c r="D721">
        <f>BIdetails!K724</f>
        <v>0</v>
      </c>
      <c r="E721" s="168">
        <f>BIdetails!M724</f>
        <v>0</v>
      </c>
      <c r="F721" t="e">
        <f>IF(ISERROR(IF(OR(C721="#",C721=0),"",VLOOKUP(C721,'AOP24'!M:M,1,0))),"Not Found",VLOOKUP(C721,'AOP24'!M:M,1,0))</f>
        <v>#N/A</v>
      </c>
      <c r="G721" t="e">
        <f t="shared" si="11"/>
        <v>#N/A</v>
      </c>
    </row>
    <row r="722" spans="1:7" x14ac:dyDescent="0.25">
      <c r="A722">
        <f>BIdetails!G725</f>
        <v>0</v>
      </c>
      <c r="B722">
        <f>BIdetails!H725</f>
        <v>0</v>
      </c>
      <c r="C722">
        <f>BIdetails!J725</f>
        <v>0</v>
      </c>
      <c r="D722">
        <f>BIdetails!K725</f>
        <v>0</v>
      </c>
      <c r="E722" s="168">
        <f>BIdetails!M725</f>
        <v>0</v>
      </c>
      <c r="F722" t="e">
        <f>IF(ISERROR(IF(OR(C722="#",C722=0),"",VLOOKUP(C722,'AOP24'!M:M,1,0))),"Not Found",VLOOKUP(C722,'AOP24'!M:M,1,0))</f>
        <v>#N/A</v>
      </c>
      <c r="G722" t="e">
        <f t="shared" si="11"/>
        <v>#N/A</v>
      </c>
    </row>
    <row r="723" spans="1:7" x14ac:dyDescent="0.25">
      <c r="A723">
        <f>BIdetails!G726</f>
        <v>0</v>
      </c>
      <c r="B723">
        <f>BIdetails!H726</f>
        <v>0</v>
      </c>
      <c r="C723">
        <f>BIdetails!J726</f>
        <v>0</v>
      </c>
      <c r="D723">
        <f>BIdetails!K726</f>
        <v>0</v>
      </c>
      <c r="E723" s="168">
        <f>BIdetails!M726</f>
        <v>0</v>
      </c>
      <c r="F723" t="e">
        <f>IF(ISERROR(IF(OR(C723="#",C723=0),"",VLOOKUP(C723,'AOP24'!M:M,1,0))),"Not Found",VLOOKUP(C723,'AOP24'!M:M,1,0))</f>
        <v>#N/A</v>
      </c>
      <c r="G723" t="e">
        <f t="shared" si="11"/>
        <v>#N/A</v>
      </c>
    </row>
    <row r="724" spans="1:7" x14ac:dyDescent="0.25">
      <c r="A724">
        <f>BIdetails!G727</f>
        <v>0</v>
      </c>
      <c r="B724">
        <f>BIdetails!H727</f>
        <v>0</v>
      </c>
      <c r="C724">
        <f>BIdetails!J727</f>
        <v>0</v>
      </c>
      <c r="D724">
        <f>BIdetails!K727</f>
        <v>0</v>
      </c>
      <c r="E724" s="168">
        <f>BIdetails!M727</f>
        <v>0</v>
      </c>
      <c r="F724" t="e">
        <f>IF(ISERROR(IF(OR(C724="#",C724=0),"",VLOOKUP(C724,'AOP24'!M:M,1,0))),"Not Found",VLOOKUP(C724,'AOP24'!M:M,1,0))</f>
        <v>#N/A</v>
      </c>
      <c r="G724" t="e">
        <f t="shared" si="11"/>
        <v>#N/A</v>
      </c>
    </row>
    <row r="725" spans="1:7" x14ac:dyDescent="0.25">
      <c r="A725">
        <f>BIdetails!G728</f>
        <v>0</v>
      </c>
      <c r="B725">
        <f>BIdetails!H728</f>
        <v>0</v>
      </c>
      <c r="C725">
        <f>BIdetails!J728</f>
        <v>0</v>
      </c>
      <c r="D725">
        <f>BIdetails!K728</f>
        <v>0</v>
      </c>
      <c r="E725" s="168">
        <f>BIdetails!M728</f>
        <v>0</v>
      </c>
      <c r="F725" t="e">
        <f>IF(ISERROR(IF(OR(C725="#",C725=0),"",VLOOKUP(C725,'AOP24'!M:M,1,0))),"Not Found",VLOOKUP(C725,'AOP24'!M:M,1,0))</f>
        <v>#N/A</v>
      </c>
      <c r="G725" t="e">
        <f t="shared" si="11"/>
        <v>#N/A</v>
      </c>
    </row>
    <row r="726" spans="1:7" x14ac:dyDescent="0.25">
      <c r="A726">
        <f>BIdetails!G729</f>
        <v>0</v>
      </c>
      <c r="B726">
        <f>BIdetails!H729</f>
        <v>0</v>
      </c>
      <c r="C726">
        <f>BIdetails!J729</f>
        <v>0</v>
      </c>
      <c r="D726">
        <f>BIdetails!K729</f>
        <v>0</v>
      </c>
      <c r="E726" s="168">
        <f>BIdetails!M729</f>
        <v>0</v>
      </c>
      <c r="F726" t="e">
        <f>IF(ISERROR(IF(OR(C726="#",C726=0),"",VLOOKUP(C726,'AOP24'!M:M,1,0))),"Not Found",VLOOKUP(C726,'AOP24'!M:M,1,0))</f>
        <v>#N/A</v>
      </c>
      <c r="G726" t="e">
        <f t="shared" si="11"/>
        <v>#N/A</v>
      </c>
    </row>
    <row r="727" spans="1:7" x14ac:dyDescent="0.25">
      <c r="A727">
        <f>BIdetails!G730</f>
        <v>0</v>
      </c>
      <c r="B727">
        <f>BIdetails!H730</f>
        <v>0</v>
      </c>
      <c r="C727">
        <f>BIdetails!J730</f>
        <v>0</v>
      </c>
      <c r="D727">
        <f>BIdetails!K730</f>
        <v>0</v>
      </c>
      <c r="E727" s="168">
        <f>BIdetails!M730</f>
        <v>0</v>
      </c>
      <c r="F727" t="e">
        <f>IF(ISERROR(IF(OR(C727="#",C727=0),"",VLOOKUP(C727,'AOP24'!M:M,1,0))),"Not Found",VLOOKUP(C727,'AOP24'!M:M,1,0))</f>
        <v>#N/A</v>
      </c>
      <c r="G727" t="e">
        <f t="shared" si="11"/>
        <v>#N/A</v>
      </c>
    </row>
    <row r="728" spans="1:7" x14ac:dyDescent="0.25">
      <c r="A728">
        <f>BIdetails!G731</f>
        <v>0</v>
      </c>
      <c r="B728">
        <f>BIdetails!H731</f>
        <v>0</v>
      </c>
      <c r="C728">
        <f>BIdetails!J731</f>
        <v>0</v>
      </c>
      <c r="D728">
        <f>BIdetails!K731</f>
        <v>0</v>
      </c>
      <c r="E728" s="168">
        <f>BIdetails!M731</f>
        <v>0</v>
      </c>
      <c r="F728" t="e">
        <f>IF(ISERROR(IF(OR(C728="#",C728=0),"",VLOOKUP(C728,'AOP24'!M:M,1,0))),"Not Found",VLOOKUP(C728,'AOP24'!M:M,1,0))</f>
        <v>#N/A</v>
      </c>
      <c r="G728" t="e">
        <f t="shared" si="11"/>
        <v>#N/A</v>
      </c>
    </row>
    <row r="729" spans="1:7" x14ac:dyDescent="0.25">
      <c r="A729">
        <f>BIdetails!G732</f>
        <v>0</v>
      </c>
      <c r="B729">
        <f>BIdetails!H732</f>
        <v>0</v>
      </c>
      <c r="C729">
        <f>BIdetails!J732</f>
        <v>0</v>
      </c>
      <c r="D729">
        <f>BIdetails!K732</f>
        <v>0</v>
      </c>
      <c r="E729" s="168">
        <f>BIdetails!M732</f>
        <v>0</v>
      </c>
      <c r="F729" t="e">
        <f>IF(ISERROR(IF(OR(C729="#",C729=0),"",VLOOKUP(C729,'AOP24'!M:M,1,0))),"Not Found",VLOOKUP(C729,'AOP24'!M:M,1,0))</f>
        <v>#N/A</v>
      </c>
      <c r="G729" t="e">
        <f t="shared" si="11"/>
        <v>#N/A</v>
      </c>
    </row>
    <row r="730" spans="1:7" x14ac:dyDescent="0.25">
      <c r="A730">
        <f>BIdetails!G733</f>
        <v>0</v>
      </c>
      <c r="B730">
        <f>BIdetails!H733</f>
        <v>0</v>
      </c>
      <c r="C730">
        <f>BIdetails!J733</f>
        <v>0</v>
      </c>
      <c r="D730">
        <f>BIdetails!K733</f>
        <v>0</v>
      </c>
      <c r="E730" s="168">
        <f>BIdetails!M733</f>
        <v>0</v>
      </c>
      <c r="F730" t="e">
        <f>IF(ISERROR(IF(OR(C730="#",C730=0),"",VLOOKUP(C730,'AOP24'!M:M,1,0))),"Not Found",VLOOKUP(C730,'AOP24'!M:M,1,0))</f>
        <v>#N/A</v>
      </c>
      <c r="G730" t="e">
        <f t="shared" si="11"/>
        <v>#N/A</v>
      </c>
    </row>
    <row r="731" spans="1:7" x14ac:dyDescent="0.25">
      <c r="A731">
        <f>BIdetails!G734</f>
        <v>0</v>
      </c>
      <c r="B731">
        <f>BIdetails!H734</f>
        <v>0</v>
      </c>
      <c r="C731">
        <f>BIdetails!J734</f>
        <v>0</v>
      </c>
      <c r="D731">
        <f>BIdetails!K734</f>
        <v>0</v>
      </c>
      <c r="E731" s="168">
        <f>BIdetails!M734</f>
        <v>0</v>
      </c>
      <c r="F731" t="e">
        <f>IF(ISERROR(IF(OR(C731="#",C731=0),"",VLOOKUP(C731,'AOP24'!M:M,1,0))),"Not Found",VLOOKUP(C731,'AOP24'!M:M,1,0))</f>
        <v>#N/A</v>
      </c>
      <c r="G731" t="e">
        <f t="shared" si="11"/>
        <v>#N/A</v>
      </c>
    </row>
    <row r="732" spans="1:7" x14ac:dyDescent="0.25">
      <c r="A732">
        <f>BIdetails!G735</f>
        <v>0</v>
      </c>
      <c r="B732">
        <f>BIdetails!H735</f>
        <v>0</v>
      </c>
      <c r="C732">
        <f>BIdetails!J735</f>
        <v>0</v>
      </c>
      <c r="D732">
        <f>BIdetails!K735</f>
        <v>0</v>
      </c>
      <c r="E732" s="168">
        <f>BIdetails!M735</f>
        <v>0</v>
      </c>
      <c r="F732" t="e">
        <f>IF(ISERROR(IF(OR(C732="#",C732=0),"",VLOOKUP(C732,'AOP24'!M:M,1,0))),"Not Found",VLOOKUP(C732,'AOP24'!M:M,1,0))</f>
        <v>#N/A</v>
      </c>
      <c r="G732" t="e">
        <f t="shared" si="11"/>
        <v>#N/A</v>
      </c>
    </row>
    <row r="733" spans="1:7" x14ac:dyDescent="0.25">
      <c r="A733">
        <f>BIdetails!G736</f>
        <v>0</v>
      </c>
      <c r="B733">
        <f>BIdetails!H736</f>
        <v>0</v>
      </c>
      <c r="C733">
        <f>BIdetails!J736</f>
        <v>0</v>
      </c>
      <c r="D733">
        <f>BIdetails!K736</f>
        <v>0</v>
      </c>
      <c r="E733" s="168">
        <f>BIdetails!M736</f>
        <v>0</v>
      </c>
      <c r="F733" t="e">
        <f>IF(ISERROR(IF(OR(C733="#",C733=0),"",VLOOKUP(C733,'AOP24'!M:M,1,0))),"Not Found",VLOOKUP(C733,'AOP24'!M:M,1,0))</f>
        <v>#N/A</v>
      </c>
      <c r="G733" t="e">
        <f t="shared" si="11"/>
        <v>#N/A</v>
      </c>
    </row>
    <row r="734" spans="1:7" x14ac:dyDescent="0.25">
      <c r="A734">
        <f>BIdetails!G737</f>
        <v>0</v>
      </c>
      <c r="B734">
        <f>BIdetails!H737</f>
        <v>0</v>
      </c>
      <c r="C734">
        <f>BIdetails!J737</f>
        <v>0</v>
      </c>
      <c r="D734">
        <f>BIdetails!K737</f>
        <v>0</v>
      </c>
      <c r="E734" s="168">
        <f>BIdetails!M737</f>
        <v>0</v>
      </c>
      <c r="F734" t="e">
        <f>IF(ISERROR(IF(OR(C734="#",C734=0),"",VLOOKUP(C734,'AOP24'!M:M,1,0))),"Not Found",VLOOKUP(C734,'AOP24'!M:M,1,0))</f>
        <v>#N/A</v>
      </c>
      <c r="G734" t="e">
        <f t="shared" si="11"/>
        <v>#N/A</v>
      </c>
    </row>
    <row r="735" spans="1:7" x14ac:dyDescent="0.25">
      <c r="A735">
        <f>BIdetails!G738</f>
        <v>0</v>
      </c>
      <c r="B735">
        <f>BIdetails!H738</f>
        <v>0</v>
      </c>
      <c r="C735">
        <f>BIdetails!J738</f>
        <v>0</v>
      </c>
      <c r="D735">
        <f>BIdetails!K738</f>
        <v>0</v>
      </c>
      <c r="E735" s="168">
        <f>BIdetails!M738</f>
        <v>0</v>
      </c>
      <c r="F735" t="e">
        <f>IF(ISERROR(IF(OR(C735="#",C735=0),"",VLOOKUP(C735,'AOP24'!M:M,1,0))),"Not Found",VLOOKUP(C735,'AOP24'!M:M,1,0))</f>
        <v>#N/A</v>
      </c>
      <c r="G735" t="e">
        <f t="shared" si="11"/>
        <v>#N/A</v>
      </c>
    </row>
    <row r="736" spans="1:7" x14ac:dyDescent="0.25">
      <c r="A736">
        <f>BIdetails!G739</f>
        <v>0</v>
      </c>
      <c r="B736">
        <f>BIdetails!H739</f>
        <v>0</v>
      </c>
      <c r="C736">
        <f>BIdetails!J739</f>
        <v>0</v>
      </c>
      <c r="D736">
        <f>BIdetails!K739</f>
        <v>0</v>
      </c>
      <c r="E736" s="168">
        <f>BIdetails!M739</f>
        <v>0</v>
      </c>
      <c r="F736" t="e">
        <f>IF(ISERROR(IF(OR(C736="#",C736=0),"",VLOOKUP(C736,'AOP24'!M:M,1,0))),"Not Found",VLOOKUP(C736,'AOP24'!M:M,1,0))</f>
        <v>#N/A</v>
      </c>
      <c r="G736" t="e">
        <f t="shared" si="11"/>
        <v>#N/A</v>
      </c>
    </row>
    <row r="737" spans="1:7" x14ac:dyDescent="0.25">
      <c r="A737">
        <f>BIdetails!G740</f>
        <v>0</v>
      </c>
      <c r="B737">
        <f>BIdetails!H740</f>
        <v>0</v>
      </c>
      <c r="C737">
        <f>BIdetails!J740</f>
        <v>0</v>
      </c>
      <c r="D737">
        <f>BIdetails!K740</f>
        <v>0</v>
      </c>
      <c r="E737" s="168">
        <f>BIdetails!M740</f>
        <v>0</v>
      </c>
      <c r="F737" t="e">
        <f>IF(ISERROR(IF(OR(C737="#",C737=0),"",VLOOKUP(C737,'AOP24'!M:M,1,0))),"Not Found",VLOOKUP(C737,'AOP24'!M:M,1,0))</f>
        <v>#N/A</v>
      </c>
      <c r="G737" t="e">
        <f t="shared" si="11"/>
        <v>#N/A</v>
      </c>
    </row>
    <row r="738" spans="1:7" x14ac:dyDescent="0.25">
      <c r="A738">
        <f>BIdetails!G741</f>
        <v>0</v>
      </c>
      <c r="B738">
        <f>BIdetails!H741</f>
        <v>0</v>
      </c>
      <c r="C738">
        <f>BIdetails!J741</f>
        <v>0</v>
      </c>
      <c r="D738">
        <f>BIdetails!K741</f>
        <v>0</v>
      </c>
      <c r="E738" s="168">
        <f>BIdetails!M741</f>
        <v>0</v>
      </c>
      <c r="F738" t="e">
        <f>IF(ISERROR(IF(OR(C738="#",C738=0),"",VLOOKUP(C738,'AOP24'!M:M,1,0))),"Not Found",VLOOKUP(C738,'AOP24'!M:M,1,0))</f>
        <v>#N/A</v>
      </c>
      <c r="G738" t="e">
        <f t="shared" si="11"/>
        <v>#N/A</v>
      </c>
    </row>
    <row r="739" spans="1:7" x14ac:dyDescent="0.25">
      <c r="A739">
        <f>BIdetails!G742</f>
        <v>0</v>
      </c>
      <c r="B739">
        <f>BIdetails!H742</f>
        <v>0</v>
      </c>
      <c r="C739">
        <f>BIdetails!J742</f>
        <v>0</v>
      </c>
      <c r="D739">
        <f>BIdetails!K742</f>
        <v>0</v>
      </c>
      <c r="E739" s="168">
        <f>BIdetails!M742</f>
        <v>0</v>
      </c>
      <c r="F739" t="e">
        <f>IF(ISERROR(IF(OR(C739="#",C739=0),"",VLOOKUP(C739,'AOP24'!M:M,1,0))),"Not Found",VLOOKUP(C739,'AOP24'!M:M,1,0))</f>
        <v>#N/A</v>
      </c>
      <c r="G739" t="e">
        <f t="shared" si="11"/>
        <v>#N/A</v>
      </c>
    </row>
    <row r="740" spans="1:7" x14ac:dyDescent="0.25">
      <c r="A740">
        <f>BIdetails!G743</f>
        <v>0</v>
      </c>
      <c r="B740">
        <f>BIdetails!H743</f>
        <v>0</v>
      </c>
      <c r="C740">
        <f>BIdetails!J743</f>
        <v>0</v>
      </c>
      <c r="D740">
        <f>BIdetails!K743</f>
        <v>0</v>
      </c>
      <c r="E740" s="168">
        <f>BIdetails!M743</f>
        <v>0</v>
      </c>
      <c r="F740" t="e">
        <f>IF(ISERROR(IF(OR(C740="#",C740=0),"",VLOOKUP(C740,'AOP24'!M:M,1,0))),"Not Found",VLOOKUP(C740,'AOP24'!M:M,1,0))</f>
        <v>#N/A</v>
      </c>
      <c r="G740" t="e">
        <f t="shared" si="11"/>
        <v>#N/A</v>
      </c>
    </row>
    <row r="741" spans="1:7" x14ac:dyDescent="0.25">
      <c r="A741">
        <f>BIdetails!G744</f>
        <v>0</v>
      </c>
      <c r="B741">
        <f>BIdetails!H744</f>
        <v>0</v>
      </c>
      <c r="C741">
        <f>BIdetails!J744</f>
        <v>0</v>
      </c>
      <c r="D741">
        <f>BIdetails!K744</f>
        <v>0</v>
      </c>
      <c r="E741" s="168">
        <f>BIdetails!M744</f>
        <v>0</v>
      </c>
      <c r="F741" t="e">
        <f>IF(ISERROR(IF(OR(C741="#",C741=0),"",VLOOKUP(C741,'AOP24'!M:M,1,0))),"Not Found",VLOOKUP(C741,'AOP24'!M:M,1,0))</f>
        <v>#N/A</v>
      </c>
      <c r="G741" t="e">
        <f t="shared" si="11"/>
        <v>#N/A</v>
      </c>
    </row>
    <row r="742" spans="1:7" x14ac:dyDescent="0.25">
      <c r="A742">
        <f>BIdetails!G745</f>
        <v>0</v>
      </c>
      <c r="B742">
        <f>BIdetails!H745</f>
        <v>0</v>
      </c>
      <c r="C742">
        <f>BIdetails!J745</f>
        <v>0</v>
      </c>
      <c r="D742">
        <f>BIdetails!K745</f>
        <v>0</v>
      </c>
      <c r="E742" s="168">
        <f>BIdetails!M745</f>
        <v>0</v>
      </c>
      <c r="F742" t="e">
        <f>IF(ISERROR(IF(OR(C742="#",C742=0),"",VLOOKUP(C742,'AOP24'!M:M,1,0))),"Not Found",VLOOKUP(C742,'AOP24'!M:M,1,0))</f>
        <v>#N/A</v>
      </c>
      <c r="G742" t="e">
        <f t="shared" si="11"/>
        <v>#N/A</v>
      </c>
    </row>
    <row r="743" spans="1:7" x14ac:dyDescent="0.25">
      <c r="A743">
        <f>BIdetails!G746</f>
        <v>0</v>
      </c>
      <c r="B743">
        <f>BIdetails!H746</f>
        <v>0</v>
      </c>
      <c r="C743">
        <f>BIdetails!J746</f>
        <v>0</v>
      </c>
      <c r="D743">
        <f>BIdetails!K746</f>
        <v>0</v>
      </c>
      <c r="E743" s="168">
        <f>BIdetails!M746</f>
        <v>0</v>
      </c>
      <c r="F743" t="e">
        <f>IF(ISERROR(IF(OR(C743="#",C743=0),"",VLOOKUP(C743,'AOP24'!M:M,1,0))),"Not Found",VLOOKUP(C743,'AOP24'!M:M,1,0))</f>
        <v>#N/A</v>
      </c>
      <c r="G743" t="e">
        <f t="shared" si="11"/>
        <v>#N/A</v>
      </c>
    </row>
    <row r="744" spans="1:7" x14ac:dyDescent="0.25">
      <c r="A744">
        <f>BIdetails!G747</f>
        <v>0</v>
      </c>
      <c r="B744">
        <f>BIdetails!H747</f>
        <v>0</v>
      </c>
      <c r="C744">
        <f>BIdetails!J747</f>
        <v>0</v>
      </c>
      <c r="D744">
        <f>BIdetails!K747</f>
        <v>0</v>
      </c>
      <c r="E744" s="168">
        <f>BIdetails!M747</f>
        <v>0</v>
      </c>
      <c r="F744" t="e">
        <f>IF(ISERROR(IF(OR(C744="#",C744=0),"",VLOOKUP(C744,'AOP24'!M:M,1,0))),"Not Found",VLOOKUP(C744,'AOP24'!M:M,1,0))</f>
        <v>#N/A</v>
      </c>
      <c r="G744" t="e">
        <f t="shared" si="11"/>
        <v>#N/A</v>
      </c>
    </row>
    <row r="745" spans="1:7" x14ac:dyDescent="0.25">
      <c r="A745">
        <f>BIdetails!G748</f>
        <v>0</v>
      </c>
      <c r="B745">
        <f>BIdetails!H748</f>
        <v>0</v>
      </c>
      <c r="C745">
        <f>BIdetails!J748</f>
        <v>0</v>
      </c>
      <c r="D745">
        <f>BIdetails!K748</f>
        <v>0</v>
      </c>
      <c r="E745" s="168">
        <f>BIdetails!M748</f>
        <v>0</v>
      </c>
      <c r="F745" t="e">
        <f>IF(ISERROR(IF(OR(C745="#",C745=0),"",VLOOKUP(C745,'AOP24'!M:M,1,0))),"Not Found",VLOOKUP(C745,'AOP24'!M:M,1,0))</f>
        <v>#N/A</v>
      </c>
      <c r="G745" t="e">
        <f t="shared" si="11"/>
        <v>#N/A</v>
      </c>
    </row>
    <row r="746" spans="1:7" x14ac:dyDescent="0.25">
      <c r="A746">
        <f>BIdetails!G749</f>
        <v>0</v>
      </c>
      <c r="B746">
        <f>BIdetails!H749</f>
        <v>0</v>
      </c>
      <c r="C746">
        <f>BIdetails!J749</f>
        <v>0</v>
      </c>
      <c r="D746">
        <f>BIdetails!K749</f>
        <v>0</v>
      </c>
      <c r="E746" s="168">
        <f>BIdetails!M749</f>
        <v>0</v>
      </c>
      <c r="F746" t="e">
        <f>IF(ISERROR(IF(OR(C746="#",C746=0),"",VLOOKUP(C746,'AOP24'!M:M,1,0))),"Not Found",VLOOKUP(C746,'AOP24'!M:M,1,0))</f>
        <v>#N/A</v>
      </c>
      <c r="G746" t="e">
        <f t="shared" si="11"/>
        <v>#N/A</v>
      </c>
    </row>
    <row r="747" spans="1:7" x14ac:dyDescent="0.25">
      <c r="A747">
        <f>BIdetails!G750</f>
        <v>0</v>
      </c>
      <c r="B747">
        <f>BIdetails!H750</f>
        <v>0</v>
      </c>
      <c r="C747">
        <f>BIdetails!J750</f>
        <v>0</v>
      </c>
      <c r="D747">
        <f>BIdetails!K750</f>
        <v>0</v>
      </c>
      <c r="E747" s="168">
        <f>BIdetails!M750</f>
        <v>0</v>
      </c>
      <c r="F747" t="e">
        <f>IF(ISERROR(IF(OR(C747="#",C747=0),"",VLOOKUP(C747,'AOP24'!M:M,1,0))),"Not Found",VLOOKUP(C747,'AOP24'!M:M,1,0))</f>
        <v>#N/A</v>
      </c>
      <c r="G747" t="e">
        <f t="shared" si="11"/>
        <v>#N/A</v>
      </c>
    </row>
    <row r="748" spans="1:7" x14ac:dyDescent="0.25">
      <c r="A748">
        <f>BIdetails!G751</f>
        <v>0</v>
      </c>
      <c r="B748">
        <f>BIdetails!H751</f>
        <v>0</v>
      </c>
      <c r="C748">
        <f>BIdetails!J751</f>
        <v>0</v>
      </c>
      <c r="D748">
        <f>BIdetails!K751</f>
        <v>0</v>
      </c>
      <c r="E748" s="168">
        <f>BIdetails!M751</f>
        <v>0</v>
      </c>
      <c r="F748" t="e">
        <f>IF(ISERROR(IF(OR(C748="#",C748=0),"",VLOOKUP(C748,'AOP24'!M:M,1,0))),"Not Found",VLOOKUP(C748,'AOP24'!M:M,1,0))</f>
        <v>#N/A</v>
      </c>
      <c r="G748" t="e">
        <f t="shared" si="11"/>
        <v>#N/A</v>
      </c>
    </row>
    <row r="749" spans="1:7" x14ac:dyDescent="0.25">
      <c r="A749">
        <f>BIdetails!G752</f>
        <v>0</v>
      </c>
      <c r="B749">
        <f>BIdetails!H752</f>
        <v>0</v>
      </c>
      <c r="C749">
        <f>BIdetails!J752</f>
        <v>0</v>
      </c>
      <c r="D749">
        <f>BIdetails!K752</f>
        <v>0</v>
      </c>
      <c r="E749" s="168">
        <f>BIdetails!M752</f>
        <v>0</v>
      </c>
      <c r="F749" t="e">
        <f>IF(ISERROR(IF(OR(C749="#",C749=0),"",VLOOKUP(C749,'AOP24'!M:M,1,0))),"Not Found",VLOOKUP(C749,'AOP24'!M:M,1,0))</f>
        <v>#N/A</v>
      </c>
      <c r="G749" t="e">
        <f t="shared" si="11"/>
        <v>#N/A</v>
      </c>
    </row>
    <row r="750" spans="1:7" x14ac:dyDescent="0.25">
      <c r="A750">
        <f>BIdetails!G753</f>
        <v>0</v>
      </c>
      <c r="B750">
        <f>BIdetails!H753</f>
        <v>0</v>
      </c>
      <c r="C750">
        <f>BIdetails!J753</f>
        <v>0</v>
      </c>
      <c r="D750">
        <f>BIdetails!K753</f>
        <v>0</v>
      </c>
      <c r="E750" s="168">
        <f>BIdetails!M753</f>
        <v>0</v>
      </c>
      <c r="F750" t="e">
        <f>IF(ISERROR(IF(OR(C750="#",C750=0),"",VLOOKUP(C750,'AOP24'!M:M,1,0))),"Not Found",VLOOKUP(C750,'AOP24'!M:M,1,0))</f>
        <v>#N/A</v>
      </c>
      <c r="G750" t="e">
        <f t="shared" si="11"/>
        <v>#N/A</v>
      </c>
    </row>
    <row r="751" spans="1:7" x14ac:dyDescent="0.25">
      <c r="A751">
        <f>BIdetails!G754</f>
        <v>0</v>
      </c>
      <c r="B751">
        <f>BIdetails!H754</f>
        <v>0</v>
      </c>
      <c r="C751">
        <f>BIdetails!J754</f>
        <v>0</v>
      </c>
      <c r="D751">
        <f>BIdetails!K754</f>
        <v>0</v>
      </c>
      <c r="E751" s="168">
        <f>BIdetails!M754</f>
        <v>0</v>
      </c>
      <c r="F751" t="e">
        <f>IF(ISERROR(IF(OR(C751="#",C751=0),"",VLOOKUP(C751,'AOP24'!M:M,1,0))),"Not Found",VLOOKUP(C751,'AOP24'!M:M,1,0))</f>
        <v>#N/A</v>
      </c>
      <c r="G751" t="e">
        <f t="shared" si="11"/>
        <v>#N/A</v>
      </c>
    </row>
    <row r="752" spans="1:7" x14ac:dyDescent="0.25">
      <c r="A752">
        <f>BIdetails!G755</f>
        <v>0</v>
      </c>
      <c r="B752">
        <f>BIdetails!H755</f>
        <v>0</v>
      </c>
      <c r="C752">
        <f>BIdetails!J755</f>
        <v>0</v>
      </c>
      <c r="D752">
        <f>BIdetails!K755</f>
        <v>0</v>
      </c>
      <c r="E752" s="168">
        <f>BIdetails!M755</f>
        <v>0</v>
      </c>
      <c r="F752" t="e">
        <f>IF(ISERROR(IF(OR(C752="#",C752=0),"",VLOOKUP(C752,'AOP24'!M:M,1,0))),"Not Found",VLOOKUP(C752,'AOP24'!M:M,1,0))</f>
        <v>#N/A</v>
      </c>
      <c r="G752" t="e">
        <f t="shared" si="11"/>
        <v>#N/A</v>
      </c>
    </row>
    <row r="753" spans="1:7" x14ac:dyDescent="0.25">
      <c r="A753">
        <f>BIdetails!G756</f>
        <v>0</v>
      </c>
      <c r="B753">
        <f>BIdetails!H756</f>
        <v>0</v>
      </c>
      <c r="C753">
        <f>BIdetails!J756</f>
        <v>0</v>
      </c>
      <c r="D753">
        <f>BIdetails!K756</f>
        <v>0</v>
      </c>
      <c r="E753" s="168">
        <f>BIdetails!M756</f>
        <v>0</v>
      </c>
      <c r="F753" t="e">
        <f>IF(ISERROR(IF(OR(C753="#",C753=0),"",VLOOKUP(C753,'AOP24'!M:M,1,0))),"Not Found",VLOOKUP(C753,'AOP24'!M:M,1,0))</f>
        <v>#N/A</v>
      </c>
      <c r="G753" t="e">
        <f t="shared" si="11"/>
        <v>#N/A</v>
      </c>
    </row>
    <row r="754" spans="1:7" x14ac:dyDescent="0.25">
      <c r="A754">
        <f>BIdetails!G757</f>
        <v>0</v>
      </c>
      <c r="B754">
        <f>BIdetails!H757</f>
        <v>0</v>
      </c>
      <c r="C754">
        <f>BIdetails!J757</f>
        <v>0</v>
      </c>
      <c r="D754">
        <f>BIdetails!K757</f>
        <v>0</v>
      </c>
      <c r="E754" s="168">
        <f>BIdetails!M757</f>
        <v>0</v>
      </c>
      <c r="F754" t="e">
        <f>IF(ISERROR(IF(OR(C754="#",C754=0),"",VLOOKUP(C754,'AOP24'!M:M,1,0))),"Not Found",VLOOKUP(C754,'AOP24'!M:M,1,0))</f>
        <v>#N/A</v>
      </c>
      <c r="G754" t="e">
        <f t="shared" si="11"/>
        <v>#N/A</v>
      </c>
    </row>
    <row r="755" spans="1:7" x14ac:dyDescent="0.25">
      <c r="A755">
        <f>BIdetails!G758</f>
        <v>0</v>
      </c>
      <c r="B755">
        <f>BIdetails!H758</f>
        <v>0</v>
      </c>
      <c r="C755">
        <f>BIdetails!J758</f>
        <v>0</v>
      </c>
      <c r="D755">
        <f>BIdetails!K758</f>
        <v>0</v>
      </c>
      <c r="E755" s="168">
        <f>BIdetails!M758</f>
        <v>0</v>
      </c>
      <c r="F755" t="e">
        <f>IF(ISERROR(IF(OR(C755="#",C755=0),"",VLOOKUP(C755,'AOP24'!M:M,1,0))),"Not Found",VLOOKUP(C755,'AOP24'!M:M,1,0))</f>
        <v>#N/A</v>
      </c>
      <c r="G755" t="e">
        <f t="shared" si="11"/>
        <v>#N/A</v>
      </c>
    </row>
    <row r="756" spans="1:7" x14ac:dyDescent="0.25">
      <c r="A756">
        <f>BIdetails!G759</f>
        <v>0</v>
      </c>
      <c r="B756">
        <f>BIdetails!H759</f>
        <v>0</v>
      </c>
      <c r="C756">
        <f>BIdetails!J759</f>
        <v>0</v>
      </c>
      <c r="D756">
        <f>BIdetails!K759</f>
        <v>0</v>
      </c>
      <c r="E756" s="168">
        <f>BIdetails!M759</f>
        <v>0</v>
      </c>
      <c r="F756" t="e">
        <f>IF(ISERROR(IF(OR(C756="#",C756=0),"",VLOOKUP(C756,'AOP24'!M:M,1,0))),"Not Found",VLOOKUP(C756,'AOP24'!M:M,1,0))</f>
        <v>#N/A</v>
      </c>
      <c r="G756" t="e">
        <f t="shared" si="11"/>
        <v>#N/A</v>
      </c>
    </row>
    <row r="757" spans="1:7" x14ac:dyDescent="0.25">
      <c r="A757">
        <f>BIdetails!G760</f>
        <v>0</v>
      </c>
      <c r="B757">
        <f>BIdetails!H760</f>
        <v>0</v>
      </c>
      <c r="C757">
        <f>BIdetails!J760</f>
        <v>0</v>
      </c>
      <c r="D757">
        <f>BIdetails!K760</f>
        <v>0</v>
      </c>
      <c r="E757" s="168">
        <f>BIdetails!M760</f>
        <v>0</v>
      </c>
      <c r="F757" t="e">
        <f>IF(ISERROR(IF(OR(C757="#",C757=0),"",VLOOKUP(C757,'AOP24'!M:M,1,0))),"Not Found",VLOOKUP(C757,'AOP24'!M:M,1,0))</f>
        <v>#N/A</v>
      </c>
      <c r="G757" t="e">
        <f t="shared" si="11"/>
        <v>#N/A</v>
      </c>
    </row>
    <row r="758" spans="1:7" x14ac:dyDescent="0.25">
      <c r="A758">
        <f>BIdetails!G761</f>
        <v>0</v>
      </c>
      <c r="B758">
        <f>BIdetails!H761</f>
        <v>0</v>
      </c>
      <c r="C758">
        <f>BIdetails!J761</f>
        <v>0</v>
      </c>
      <c r="D758">
        <f>BIdetails!K761</f>
        <v>0</v>
      </c>
      <c r="E758" s="168">
        <f>BIdetails!M761</f>
        <v>0</v>
      </c>
      <c r="F758" t="e">
        <f>IF(ISERROR(IF(OR(C758="#",C758=0),"",VLOOKUP(C758,'AOP24'!M:M,1,0))),"Not Found",VLOOKUP(C758,'AOP24'!M:M,1,0))</f>
        <v>#N/A</v>
      </c>
      <c r="G758" t="e">
        <f t="shared" si="11"/>
        <v>#N/A</v>
      </c>
    </row>
    <row r="759" spans="1:7" x14ac:dyDescent="0.25">
      <c r="A759">
        <f>BIdetails!G762</f>
        <v>0</v>
      </c>
      <c r="B759">
        <f>BIdetails!H762</f>
        <v>0</v>
      </c>
      <c r="C759">
        <f>BIdetails!J762</f>
        <v>0</v>
      </c>
      <c r="D759">
        <f>BIdetails!K762</f>
        <v>0</v>
      </c>
      <c r="E759" s="168">
        <f>BIdetails!M762</f>
        <v>0</v>
      </c>
      <c r="F759" t="e">
        <f>IF(ISERROR(IF(OR(C759="#",C759=0),"",VLOOKUP(C759,'AOP24'!M:M,1,0))),"Not Found",VLOOKUP(C759,'AOP24'!M:M,1,0))</f>
        <v>#N/A</v>
      </c>
      <c r="G759" t="e">
        <f t="shared" si="11"/>
        <v>#N/A</v>
      </c>
    </row>
    <row r="760" spans="1:7" x14ac:dyDescent="0.25">
      <c r="A760">
        <f>BIdetails!G763</f>
        <v>0</v>
      </c>
      <c r="B760">
        <f>BIdetails!H763</f>
        <v>0</v>
      </c>
      <c r="C760">
        <f>BIdetails!J763</f>
        <v>0</v>
      </c>
      <c r="D760">
        <f>BIdetails!K763</f>
        <v>0</v>
      </c>
      <c r="E760" s="168">
        <f>BIdetails!M763</f>
        <v>0</v>
      </c>
      <c r="F760" t="e">
        <f>IF(ISERROR(IF(OR(C760="#",C760=0),"",VLOOKUP(C760,'AOP24'!M:M,1,0))),"Not Found",VLOOKUP(C760,'AOP24'!M:M,1,0))</f>
        <v>#N/A</v>
      </c>
      <c r="G760" t="e">
        <f t="shared" si="11"/>
        <v>#N/A</v>
      </c>
    </row>
    <row r="761" spans="1:7" x14ac:dyDescent="0.25">
      <c r="A761">
        <f>BIdetails!G764</f>
        <v>0</v>
      </c>
      <c r="B761">
        <f>BIdetails!H764</f>
        <v>0</v>
      </c>
      <c r="C761">
        <f>BIdetails!J764</f>
        <v>0</v>
      </c>
      <c r="D761">
        <f>BIdetails!K764</f>
        <v>0</v>
      </c>
      <c r="E761" s="168">
        <f>BIdetails!M764</f>
        <v>0</v>
      </c>
      <c r="F761" t="e">
        <f>IF(ISERROR(IF(OR(C761="#",C761=0),"",VLOOKUP(C761,'AOP24'!M:M,1,0))),"Not Found",VLOOKUP(C761,'AOP24'!M:M,1,0))</f>
        <v>#N/A</v>
      </c>
      <c r="G761" t="e">
        <f t="shared" si="11"/>
        <v>#N/A</v>
      </c>
    </row>
    <row r="762" spans="1:7" x14ac:dyDescent="0.25">
      <c r="A762">
        <f>BIdetails!G765</f>
        <v>0</v>
      </c>
      <c r="B762">
        <f>BIdetails!H765</f>
        <v>0</v>
      </c>
      <c r="C762">
        <f>BIdetails!J765</f>
        <v>0</v>
      </c>
      <c r="D762">
        <f>BIdetails!K765</f>
        <v>0</v>
      </c>
      <c r="E762" s="168">
        <f>BIdetails!M765</f>
        <v>0</v>
      </c>
      <c r="F762" t="e">
        <f>IF(ISERROR(IF(OR(C762="#",C762=0),"",VLOOKUP(C762,'AOP24'!M:M,1,0))),"Not Found",VLOOKUP(C762,'AOP24'!M:M,1,0))</f>
        <v>#N/A</v>
      </c>
      <c r="G762" t="e">
        <f t="shared" ref="G762:G825" si="12">IF(NOT(ISERROR(VLOOKUP(C762,$K$2:$K$50,1,0))),"Y",VLOOKUP(C762,$K$2:$K$50,1,0))</f>
        <v>#N/A</v>
      </c>
    </row>
    <row r="763" spans="1:7" x14ac:dyDescent="0.25">
      <c r="A763">
        <f>BIdetails!G766</f>
        <v>0</v>
      </c>
      <c r="B763">
        <f>BIdetails!H766</f>
        <v>0</v>
      </c>
      <c r="C763">
        <f>BIdetails!J766</f>
        <v>0</v>
      </c>
      <c r="D763">
        <f>BIdetails!K766</f>
        <v>0</v>
      </c>
      <c r="E763" s="168">
        <f>BIdetails!M766</f>
        <v>0</v>
      </c>
      <c r="F763" t="e">
        <f>IF(ISERROR(IF(OR(C763="#",C763=0),"",VLOOKUP(C763,'AOP24'!M:M,1,0))),"Not Found",VLOOKUP(C763,'AOP24'!M:M,1,0))</f>
        <v>#N/A</v>
      </c>
      <c r="G763" t="e">
        <f t="shared" si="12"/>
        <v>#N/A</v>
      </c>
    </row>
    <row r="764" spans="1:7" x14ac:dyDescent="0.25">
      <c r="A764">
        <f>BIdetails!G767</f>
        <v>0</v>
      </c>
      <c r="B764">
        <f>BIdetails!H767</f>
        <v>0</v>
      </c>
      <c r="C764">
        <f>BIdetails!J767</f>
        <v>0</v>
      </c>
      <c r="D764">
        <f>BIdetails!K767</f>
        <v>0</v>
      </c>
      <c r="E764" s="168">
        <f>BIdetails!M767</f>
        <v>0</v>
      </c>
      <c r="F764" t="e">
        <f>IF(ISERROR(IF(OR(C764="#",C764=0),"",VLOOKUP(C764,'AOP24'!M:M,1,0))),"Not Found",VLOOKUP(C764,'AOP24'!M:M,1,0))</f>
        <v>#N/A</v>
      </c>
      <c r="G764" t="e">
        <f t="shared" si="12"/>
        <v>#N/A</v>
      </c>
    </row>
    <row r="765" spans="1:7" x14ac:dyDescent="0.25">
      <c r="A765">
        <f>BIdetails!G768</f>
        <v>0</v>
      </c>
      <c r="B765">
        <f>BIdetails!H768</f>
        <v>0</v>
      </c>
      <c r="C765">
        <f>BIdetails!J768</f>
        <v>0</v>
      </c>
      <c r="D765">
        <f>BIdetails!K768</f>
        <v>0</v>
      </c>
      <c r="E765" s="168">
        <f>BIdetails!M768</f>
        <v>0</v>
      </c>
      <c r="F765" t="e">
        <f>IF(ISERROR(IF(OR(C765="#",C765=0),"",VLOOKUP(C765,'AOP24'!M:M,1,0))),"Not Found",VLOOKUP(C765,'AOP24'!M:M,1,0))</f>
        <v>#N/A</v>
      </c>
      <c r="G765" t="e">
        <f t="shared" si="12"/>
        <v>#N/A</v>
      </c>
    </row>
    <row r="766" spans="1:7" x14ac:dyDescent="0.25">
      <c r="A766">
        <f>BIdetails!G769</f>
        <v>0</v>
      </c>
      <c r="B766">
        <f>BIdetails!H769</f>
        <v>0</v>
      </c>
      <c r="C766">
        <f>BIdetails!J769</f>
        <v>0</v>
      </c>
      <c r="D766">
        <f>BIdetails!K769</f>
        <v>0</v>
      </c>
      <c r="E766" s="168">
        <f>BIdetails!M769</f>
        <v>0</v>
      </c>
      <c r="F766" t="e">
        <f>IF(ISERROR(IF(OR(C766="#",C766=0),"",VLOOKUP(C766,'AOP24'!M:M,1,0))),"Not Found",VLOOKUP(C766,'AOP24'!M:M,1,0))</f>
        <v>#N/A</v>
      </c>
      <c r="G766" t="e">
        <f t="shared" si="12"/>
        <v>#N/A</v>
      </c>
    </row>
    <row r="767" spans="1:7" x14ac:dyDescent="0.25">
      <c r="A767">
        <f>BIdetails!G770</f>
        <v>0</v>
      </c>
      <c r="B767">
        <f>BIdetails!H770</f>
        <v>0</v>
      </c>
      <c r="C767">
        <f>BIdetails!J770</f>
        <v>0</v>
      </c>
      <c r="D767">
        <f>BIdetails!K770</f>
        <v>0</v>
      </c>
      <c r="E767" s="168">
        <f>BIdetails!M770</f>
        <v>0</v>
      </c>
      <c r="F767" t="e">
        <f>IF(ISERROR(IF(OR(C767="#",C767=0),"",VLOOKUP(C767,'AOP24'!M:M,1,0))),"Not Found",VLOOKUP(C767,'AOP24'!M:M,1,0))</f>
        <v>#N/A</v>
      </c>
      <c r="G767" t="e">
        <f t="shared" si="12"/>
        <v>#N/A</v>
      </c>
    </row>
    <row r="768" spans="1:7" x14ac:dyDescent="0.25">
      <c r="A768">
        <f>BIdetails!G771</f>
        <v>0</v>
      </c>
      <c r="B768">
        <f>BIdetails!H771</f>
        <v>0</v>
      </c>
      <c r="C768">
        <f>BIdetails!J771</f>
        <v>0</v>
      </c>
      <c r="D768">
        <f>BIdetails!K771</f>
        <v>0</v>
      </c>
      <c r="E768" s="168">
        <f>BIdetails!M771</f>
        <v>0</v>
      </c>
      <c r="F768" t="e">
        <f>IF(ISERROR(IF(OR(C768="#",C768=0),"",VLOOKUP(C768,'AOP24'!M:M,1,0))),"Not Found",VLOOKUP(C768,'AOP24'!M:M,1,0))</f>
        <v>#N/A</v>
      </c>
      <c r="G768" t="e">
        <f t="shared" si="12"/>
        <v>#N/A</v>
      </c>
    </row>
    <row r="769" spans="1:7" x14ac:dyDescent="0.25">
      <c r="A769">
        <f>BIdetails!G772</f>
        <v>0</v>
      </c>
      <c r="B769">
        <f>BIdetails!H772</f>
        <v>0</v>
      </c>
      <c r="C769">
        <f>BIdetails!J772</f>
        <v>0</v>
      </c>
      <c r="D769">
        <f>BIdetails!K772</f>
        <v>0</v>
      </c>
      <c r="E769" s="168">
        <f>BIdetails!M772</f>
        <v>0</v>
      </c>
      <c r="F769" t="e">
        <f>IF(ISERROR(IF(OR(C769="#",C769=0),"",VLOOKUP(C769,'AOP24'!M:M,1,0))),"Not Found",VLOOKUP(C769,'AOP24'!M:M,1,0))</f>
        <v>#N/A</v>
      </c>
      <c r="G769" t="e">
        <f t="shared" si="12"/>
        <v>#N/A</v>
      </c>
    </row>
    <row r="770" spans="1:7" x14ac:dyDescent="0.25">
      <c r="A770">
        <f>BIdetails!G773</f>
        <v>0</v>
      </c>
      <c r="B770">
        <f>BIdetails!H773</f>
        <v>0</v>
      </c>
      <c r="C770">
        <f>BIdetails!J773</f>
        <v>0</v>
      </c>
      <c r="D770">
        <f>BIdetails!K773</f>
        <v>0</v>
      </c>
      <c r="E770" s="168">
        <f>BIdetails!M773</f>
        <v>0</v>
      </c>
      <c r="F770" t="e">
        <f>IF(ISERROR(IF(OR(C770="#",C770=0),"",VLOOKUP(C770,'AOP24'!M:M,1,0))),"Not Found",VLOOKUP(C770,'AOP24'!M:M,1,0))</f>
        <v>#N/A</v>
      </c>
      <c r="G770" t="e">
        <f t="shared" si="12"/>
        <v>#N/A</v>
      </c>
    </row>
    <row r="771" spans="1:7" x14ac:dyDescent="0.25">
      <c r="A771">
        <f>BIdetails!G774</f>
        <v>0</v>
      </c>
      <c r="B771">
        <f>BIdetails!H774</f>
        <v>0</v>
      </c>
      <c r="C771">
        <f>BIdetails!J774</f>
        <v>0</v>
      </c>
      <c r="D771">
        <f>BIdetails!K774</f>
        <v>0</v>
      </c>
      <c r="E771" s="168">
        <f>BIdetails!M774</f>
        <v>0</v>
      </c>
      <c r="F771" t="e">
        <f>IF(ISERROR(IF(OR(C771="#",C771=0),"",VLOOKUP(C771,'AOP24'!M:M,1,0))),"Not Found",VLOOKUP(C771,'AOP24'!M:M,1,0))</f>
        <v>#N/A</v>
      </c>
      <c r="G771" t="e">
        <f t="shared" si="12"/>
        <v>#N/A</v>
      </c>
    </row>
    <row r="772" spans="1:7" x14ac:dyDescent="0.25">
      <c r="A772">
        <f>BIdetails!G775</f>
        <v>0</v>
      </c>
      <c r="B772">
        <f>BIdetails!H775</f>
        <v>0</v>
      </c>
      <c r="C772">
        <f>BIdetails!J775</f>
        <v>0</v>
      </c>
      <c r="D772">
        <f>BIdetails!K775</f>
        <v>0</v>
      </c>
      <c r="E772" s="168">
        <f>BIdetails!M775</f>
        <v>0</v>
      </c>
      <c r="F772" t="e">
        <f>IF(ISERROR(IF(OR(C772="#",C772=0),"",VLOOKUP(C772,'AOP24'!M:M,1,0))),"Not Found",VLOOKUP(C772,'AOP24'!M:M,1,0))</f>
        <v>#N/A</v>
      </c>
      <c r="G772" t="e">
        <f t="shared" si="12"/>
        <v>#N/A</v>
      </c>
    </row>
    <row r="773" spans="1:7" x14ac:dyDescent="0.25">
      <c r="A773">
        <f>BIdetails!G776</f>
        <v>0</v>
      </c>
      <c r="B773">
        <f>BIdetails!H776</f>
        <v>0</v>
      </c>
      <c r="C773">
        <f>BIdetails!J776</f>
        <v>0</v>
      </c>
      <c r="D773">
        <f>BIdetails!K776</f>
        <v>0</v>
      </c>
      <c r="E773" s="168">
        <f>BIdetails!M776</f>
        <v>0</v>
      </c>
      <c r="F773" t="e">
        <f>IF(ISERROR(IF(OR(C773="#",C773=0),"",VLOOKUP(C773,'AOP24'!M:M,1,0))),"Not Found",VLOOKUP(C773,'AOP24'!M:M,1,0))</f>
        <v>#N/A</v>
      </c>
      <c r="G773" t="e">
        <f t="shared" si="12"/>
        <v>#N/A</v>
      </c>
    </row>
    <row r="774" spans="1:7" x14ac:dyDescent="0.25">
      <c r="A774">
        <f>BIdetails!G777</f>
        <v>0</v>
      </c>
      <c r="B774">
        <f>BIdetails!H777</f>
        <v>0</v>
      </c>
      <c r="C774">
        <f>BIdetails!J777</f>
        <v>0</v>
      </c>
      <c r="D774">
        <f>BIdetails!K777</f>
        <v>0</v>
      </c>
      <c r="E774" s="168">
        <f>BIdetails!M777</f>
        <v>0</v>
      </c>
      <c r="F774" t="e">
        <f>IF(ISERROR(IF(OR(C774="#",C774=0),"",VLOOKUP(C774,'AOP24'!M:M,1,0))),"Not Found",VLOOKUP(C774,'AOP24'!M:M,1,0))</f>
        <v>#N/A</v>
      </c>
      <c r="G774" t="e">
        <f t="shared" si="12"/>
        <v>#N/A</v>
      </c>
    </row>
    <row r="775" spans="1:7" x14ac:dyDescent="0.25">
      <c r="A775">
        <f>BIdetails!G778</f>
        <v>0</v>
      </c>
      <c r="B775">
        <f>BIdetails!H778</f>
        <v>0</v>
      </c>
      <c r="C775">
        <f>BIdetails!J778</f>
        <v>0</v>
      </c>
      <c r="D775">
        <f>BIdetails!K778</f>
        <v>0</v>
      </c>
      <c r="E775" s="168">
        <f>BIdetails!M778</f>
        <v>0</v>
      </c>
      <c r="F775" t="e">
        <f>IF(ISERROR(IF(OR(C775="#",C775=0),"",VLOOKUP(C775,'AOP24'!M:M,1,0))),"Not Found",VLOOKUP(C775,'AOP24'!M:M,1,0))</f>
        <v>#N/A</v>
      </c>
      <c r="G775" t="e">
        <f t="shared" si="12"/>
        <v>#N/A</v>
      </c>
    </row>
    <row r="776" spans="1:7" x14ac:dyDescent="0.25">
      <c r="A776">
        <f>BIdetails!G779</f>
        <v>0</v>
      </c>
      <c r="B776">
        <f>BIdetails!H779</f>
        <v>0</v>
      </c>
      <c r="C776">
        <f>BIdetails!J779</f>
        <v>0</v>
      </c>
      <c r="D776">
        <f>BIdetails!K779</f>
        <v>0</v>
      </c>
      <c r="E776" s="168">
        <f>BIdetails!M779</f>
        <v>0</v>
      </c>
      <c r="F776" t="e">
        <f>IF(ISERROR(IF(OR(C776="#",C776=0),"",VLOOKUP(C776,'AOP24'!M:M,1,0))),"Not Found",VLOOKUP(C776,'AOP24'!M:M,1,0))</f>
        <v>#N/A</v>
      </c>
      <c r="G776" t="e">
        <f t="shared" si="12"/>
        <v>#N/A</v>
      </c>
    </row>
    <row r="777" spans="1:7" x14ac:dyDescent="0.25">
      <c r="A777">
        <f>BIdetails!G780</f>
        <v>0</v>
      </c>
      <c r="B777">
        <f>BIdetails!H780</f>
        <v>0</v>
      </c>
      <c r="C777">
        <f>BIdetails!J780</f>
        <v>0</v>
      </c>
      <c r="D777">
        <f>BIdetails!K780</f>
        <v>0</v>
      </c>
      <c r="E777" s="168">
        <f>BIdetails!M780</f>
        <v>0</v>
      </c>
      <c r="F777" t="e">
        <f>IF(ISERROR(IF(OR(C777="#",C777=0),"",VLOOKUP(C777,'AOP24'!M:M,1,0))),"Not Found",VLOOKUP(C777,'AOP24'!M:M,1,0))</f>
        <v>#N/A</v>
      </c>
      <c r="G777" t="e">
        <f t="shared" si="12"/>
        <v>#N/A</v>
      </c>
    </row>
    <row r="778" spans="1:7" x14ac:dyDescent="0.25">
      <c r="A778">
        <f>BIdetails!G781</f>
        <v>0</v>
      </c>
      <c r="B778">
        <f>BIdetails!H781</f>
        <v>0</v>
      </c>
      <c r="C778">
        <f>BIdetails!J781</f>
        <v>0</v>
      </c>
      <c r="D778">
        <f>BIdetails!K781</f>
        <v>0</v>
      </c>
      <c r="E778" s="168">
        <f>BIdetails!M781</f>
        <v>0</v>
      </c>
      <c r="F778" t="e">
        <f>IF(ISERROR(IF(OR(C778="#",C778=0),"",VLOOKUP(C778,'AOP24'!M:M,1,0))),"Not Found",VLOOKUP(C778,'AOP24'!M:M,1,0))</f>
        <v>#N/A</v>
      </c>
      <c r="G778" t="e">
        <f t="shared" si="12"/>
        <v>#N/A</v>
      </c>
    </row>
    <row r="779" spans="1:7" x14ac:dyDescent="0.25">
      <c r="A779">
        <f>BIdetails!G782</f>
        <v>0</v>
      </c>
      <c r="B779">
        <f>BIdetails!H782</f>
        <v>0</v>
      </c>
      <c r="C779">
        <f>BIdetails!J782</f>
        <v>0</v>
      </c>
      <c r="D779">
        <f>BIdetails!K782</f>
        <v>0</v>
      </c>
      <c r="E779" s="168">
        <f>BIdetails!M782</f>
        <v>0</v>
      </c>
      <c r="F779" t="e">
        <f>IF(ISERROR(IF(OR(C779="#",C779=0),"",VLOOKUP(C779,'AOP24'!M:M,1,0))),"Not Found",VLOOKUP(C779,'AOP24'!M:M,1,0))</f>
        <v>#N/A</v>
      </c>
      <c r="G779" t="e">
        <f t="shared" si="12"/>
        <v>#N/A</v>
      </c>
    </row>
    <row r="780" spans="1:7" x14ac:dyDescent="0.25">
      <c r="A780">
        <f>BIdetails!G783</f>
        <v>0</v>
      </c>
      <c r="B780">
        <f>BIdetails!H783</f>
        <v>0</v>
      </c>
      <c r="C780">
        <f>BIdetails!J783</f>
        <v>0</v>
      </c>
      <c r="D780">
        <f>BIdetails!K783</f>
        <v>0</v>
      </c>
      <c r="E780" s="168">
        <f>BIdetails!M783</f>
        <v>0</v>
      </c>
      <c r="F780" t="e">
        <f>IF(ISERROR(IF(OR(C780="#",C780=0),"",VLOOKUP(C780,'AOP24'!M:M,1,0))),"Not Found",VLOOKUP(C780,'AOP24'!M:M,1,0))</f>
        <v>#N/A</v>
      </c>
      <c r="G780" t="e">
        <f t="shared" si="12"/>
        <v>#N/A</v>
      </c>
    </row>
    <row r="781" spans="1:7" x14ac:dyDescent="0.25">
      <c r="A781">
        <f>BIdetails!G784</f>
        <v>0</v>
      </c>
      <c r="B781">
        <f>BIdetails!H784</f>
        <v>0</v>
      </c>
      <c r="C781">
        <f>BIdetails!J784</f>
        <v>0</v>
      </c>
      <c r="D781">
        <f>BIdetails!K784</f>
        <v>0</v>
      </c>
      <c r="E781" s="168">
        <f>BIdetails!M784</f>
        <v>0</v>
      </c>
      <c r="F781" t="e">
        <f>IF(ISERROR(IF(OR(C781="#",C781=0),"",VLOOKUP(C781,'AOP24'!M:M,1,0))),"Not Found",VLOOKUP(C781,'AOP24'!M:M,1,0))</f>
        <v>#N/A</v>
      </c>
      <c r="G781" t="e">
        <f t="shared" si="12"/>
        <v>#N/A</v>
      </c>
    </row>
    <row r="782" spans="1:7" x14ac:dyDescent="0.25">
      <c r="A782">
        <f>BIdetails!G785</f>
        <v>0</v>
      </c>
      <c r="B782">
        <f>BIdetails!H785</f>
        <v>0</v>
      </c>
      <c r="C782">
        <f>BIdetails!J785</f>
        <v>0</v>
      </c>
      <c r="D782">
        <f>BIdetails!K785</f>
        <v>0</v>
      </c>
      <c r="E782" s="168">
        <f>BIdetails!M785</f>
        <v>0</v>
      </c>
      <c r="F782" t="e">
        <f>IF(ISERROR(IF(OR(C782="#",C782=0),"",VLOOKUP(C782,'AOP24'!M:M,1,0))),"Not Found",VLOOKUP(C782,'AOP24'!M:M,1,0))</f>
        <v>#N/A</v>
      </c>
      <c r="G782" t="e">
        <f t="shared" si="12"/>
        <v>#N/A</v>
      </c>
    </row>
    <row r="783" spans="1:7" x14ac:dyDescent="0.25">
      <c r="A783">
        <f>BIdetails!G786</f>
        <v>0</v>
      </c>
      <c r="B783">
        <f>BIdetails!H786</f>
        <v>0</v>
      </c>
      <c r="C783">
        <f>BIdetails!J786</f>
        <v>0</v>
      </c>
      <c r="D783">
        <f>BIdetails!K786</f>
        <v>0</v>
      </c>
      <c r="E783" s="168">
        <f>BIdetails!M786</f>
        <v>0</v>
      </c>
      <c r="F783" t="e">
        <f>IF(ISERROR(IF(OR(C783="#",C783=0),"",VLOOKUP(C783,'AOP24'!M:M,1,0))),"Not Found",VLOOKUP(C783,'AOP24'!M:M,1,0))</f>
        <v>#N/A</v>
      </c>
      <c r="G783" t="e">
        <f t="shared" si="12"/>
        <v>#N/A</v>
      </c>
    </row>
    <row r="784" spans="1:7" x14ac:dyDescent="0.25">
      <c r="A784">
        <f>BIdetails!G787</f>
        <v>0</v>
      </c>
      <c r="B784">
        <f>BIdetails!H787</f>
        <v>0</v>
      </c>
      <c r="C784">
        <f>BIdetails!J787</f>
        <v>0</v>
      </c>
      <c r="D784">
        <f>BIdetails!K787</f>
        <v>0</v>
      </c>
      <c r="E784" s="168">
        <f>BIdetails!M787</f>
        <v>0</v>
      </c>
      <c r="F784" t="e">
        <f>IF(ISERROR(IF(OR(C784="#",C784=0),"",VLOOKUP(C784,'AOP24'!M:M,1,0))),"Not Found",VLOOKUP(C784,'AOP24'!M:M,1,0))</f>
        <v>#N/A</v>
      </c>
      <c r="G784" t="e">
        <f t="shared" si="12"/>
        <v>#N/A</v>
      </c>
    </row>
    <row r="785" spans="1:7" x14ac:dyDescent="0.25">
      <c r="A785">
        <f>BIdetails!G788</f>
        <v>0</v>
      </c>
      <c r="B785">
        <f>BIdetails!H788</f>
        <v>0</v>
      </c>
      <c r="C785">
        <f>BIdetails!J788</f>
        <v>0</v>
      </c>
      <c r="D785">
        <f>BIdetails!K788</f>
        <v>0</v>
      </c>
      <c r="E785" s="168">
        <f>BIdetails!M788</f>
        <v>0</v>
      </c>
      <c r="F785" t="e">
        <f>IF(ISERROR(IF(OR(C785="#",C785=0),"",VLOOKUP(C785,'AOP24'!M:M,1,0))),"Not Found",VLOOKUP(C785,'AOP24'!M:M,1,0))</f>
        <v>#N/A</v>
      </c>
      <c r="G785" t="e">
        <f t="shared" si="12"/>
        <v>#N/A</v>
      </c>
    </row>
    <row r="786" spans="1:7" x14ac:dyDescent="0.25">
      <c r="A786">
        <f>BIdetails!G789</f>
        <v>0</v>
      </c>
      <c r="B786">
        <f>BIdetails!H789</f>
        <v>0</v>
      </c>
      <c r="C786">
        <f>BIdetails!J789</f>
        <v>0</v>
      </c>
      <c r="D786">
        <f>BIdetails!K789</f>
        <v>0</v>
      </c>
      <c r="E786" s="168">
        <f>BIdetails!M789</f>
        <v>0</v>
      </c>
      <c r="F786" t="e">
        <f>IF(ISERROR(IF(OR(C786="#",C786=0),"",VLOOKUP(C786,'AOP24'!M:M,1,0))),"Not Found",VLOOKUP(C786,'AOP24'!M:M,1,0))</f>
        <v>#N/A</v>
      </c>
      <c r="G786" t="e">
        <f t="shared" si="12"/>
        <v>#N/A</v>
      </c>
    </row>
    <row r="787" spans="1:7" x14ac:dyDescent="0.25">
      <c r="A787">
        <f>BIdetails!G790</f>
        <v>0</v>
      </c>
      <c r="B787">
        <f>BIdetails!H790</f>
        <v>0</v>
      </c>
      <c r="C787">
        <f>BIdetails!J790</f>
        <v>0</v>
      </c>
      <c r="D787">
        <f>BIdetails!K790</f>
        <v>0</v>
      </c>
      <c r="E787" s="168">
        <f>BIdetails!M790</f>
        <v>0</v>
      </c>
      <c r="F787" t="e">
        <f>IF(ISERROR(IF(OR(C787="#",C787=0),"",VLOOKUP(C787,'AOP24'!M:M,1,0))),"Not Found",VLOOKUP(C787,'AOP24'!M:M,1,0))</f>
        <v>#N/A</v>
      </c>
      <c r="G787" t="e">
        <f t="shared" si="12"/>
        <v>#N/A</v>
      </c>
    </row>
    <row r="788" spans="1:7" x14ac:dyDescent="0.25">
      <c r="A788">
        <f>BIdetails!G791</f>
        <v>0</v>
      </c>
      <c r="B788">
        <f>BIdetails!H791</f>
        <v>0</v>
      </c>
      <c r="C788">
        <f>BIdetails!J791</f>
        <v>0</v>
      </c>
      <c r="D788">
        <f>BIdetails!K791</f>
        <v>0</v>
      </c>
      <c r="E788" s="168">
        <f>BIdetails!M791</f>
        <v>0</v>
      </c>
      <c r="F788" t="e">
        <f>IF(ISERROR(IF(OR(C788="#",C788=0),"",VLOOKUP(C788,'AOP24'!M:M,1,0))),"Not Found",VLOOKUP(C788,'AOP24'!M:M,1,0))</f>
        <v>#N/A</v>
      </c>
      <c r="G788" t="e">
        <f t="shared" si="12"/>
        <v>#N/A</v>
      </c>
    </row>
    <row r="789" spans="1:7" x14ac:dyDescent="0.25">
      <c r="A789">
        <f>BIdetails!G792</f>
        <v>0</v>
      </c>
      <c r="B789">
        <f>BIdetails!H792</f>
        <v>0</v>
      </c>
      <c r="C789">
        <f>BIdetails!J792</f>
        <v>0</v>
      </c>
      <c r="D789">
        <f>BIdetails!K792</f>
        <v>0</v>
      </c>
      <c r="E789" s="168">
        <f>BIdetails!M792</f>
        <v>0</v>
      </c>
      <c r="F789" t="e">
        <f>IF(ISERROR(IF(OR(C789="#",C789=0),"",VLOOKUP(C789,'AOP24'!M:M,1,0))),"Not Found",VLOOKUP(C789,'AOP24'!M:M,1,0))</f>
        <v>#N/A</v>
      </c>
      <c r="G789" t="e">
        <f t="shared" si="12"/>
        <v>#N/A</v>
      </c>
    </row>
    <row r="790" spans="1:7" x14ac:dyDescent="0.25">
      <c r="A790">
        <f>BIdetails!G793</f>
        <v>0</v>
      </c>
      <c r="B790">
        <f>BIdetails!H793</f>
        <v>0</v>
      </c>
      <c r="C790">
        <f>BIdetails!J793</f>
        <v>0</v>
      </c>
      <c r="D790">
        <f>BIdetails!K793</f>
        <v>0</v>
      </c>
      <c r="E790" s="168">
        <f>BIdetails!M793</f>
        <v>0</v>
      </c>
      <c r="F790" t="e">
        <f>IF(ISERROR(IF(OR(C790="#",C790=0),"",VLOOKUP(C790,'AOP24'!M:M,1,0))),"Not Found",VLOOKUP(C790,'AOP24'!M:M,1,0))</f>
        <v>#N/A</v>
      </c>
      <c r="G790" t="e">
        <f t="shared" si="12"/>
        <v>#N/A</v>
      </c>
    </row>
    <row r="791" spans="1:7" x14ac:dyDescent="0.25">
      <c r="A791">
        <f>BIdetails!G794</f>
        <v>0</v>
      </c>
      <c r="B791">
        <f>BIdetails!H794</f>
        <v>0</v>
      </c>
      <c r="C791">
        <f>BIdetails!J794</f>
        <v>0</v>
      </c>
      <c r="D791">
        <f>BIdetails!K794</f>
        <v>0</v>
      </c>
      <c r="E791" s="168">
        <f>BIdetails!M794</f>
        <v>0</v>
      </c>
      <c r="F791" t="e">
        <f>IF(ISERROR(IF(OR(C791="#",C791=0),"",VLOOKUP(C791,'AOP24'!M:M,1,0))),"Not Found",VLOOKUP(C791,'AOP24'!M:M,1,0))</f>
        <v>#N/A</v>
      </c>
      <c r="G791" t="e">
        <f t="shared" si="12"/>
        <v>#N/A</v>
      </c>
    </row>
    <row r="792" spans="1:7" x14ac:dyDescent="0.25">
      <c r="A792">
        <f>BIdetails!G795</f>
        <v>0</v>
      </c>
      <c r="B792">
        <f>BIdetails!H795</f>
        <v>0</v>
      </c>
      <c r="C792">
        <f>BIdetails!J795</f>
        <v>0</v>
      </c>
      <c r="D792">
        <f>BIdetails!K795</f>
        <v>0</v>
      </c>
      <c r="E792" s="168">
        <f>BIdetails!M795</f>
        <v>0</v>
      </c>
      <c r="F792" t="e">
        <f>IF(ISERROR(IF(OR(C792="#",C792=0),"",VLOOKUP(C792,'AOP24'!M:M,1,0))),"Not Found",VLOOKUP(C792,'AOP24'!M:M,1,0))</f>
        <v>#N/A</v>
      </c>
      <c r="G792" t="e">
        <f t="shared" si="12"/>
        <v>#N/A</v>
      </c>
    </row>
    <row r="793" spans="1:7" x14ac:dyDescent="0.25">
      <c r="A793">
        <f>BIdetails!G796</f>
        <v>0</v>
      </c>
      <c r="B793">
        <f>BIdetails!H796</f>
        <v>0</v>
      </c>
      <c r="C793">
        <f>BIdetails!J796</f>
        <v>0</v>
      </c>
      <c r="D793">
        <f>BIdetails!K796</f>
        <v>0</v>
      </c>
      <c r="E793" s="168">
        <f>BIdetails!M796</f>
        <v>0</v>
      </c>
      <c r="F793" t="e">
        <f>IF(ISERROR(IF(OR(C793="#",C793=0),"",VLOOKUP(C793,'AOP24'!M:M,1,0))),"Not Found",VLOOKUP(C793,'AOP24'!M:M,1,0))</f>
        <v>#N/A</v>
      </c>
      <c r="G793" t="e">
        <f t="shared" si="12"/>
        <v>#N/A</v>
      </c>
    </row>
    <row r="794" spans="1:7" x14ac:dyDescent="0.25">
      <c r="A794">
        <f>BIdetails!G797</f>
        <v>0</v>
      </c>
      <c r="B794">
        <f>BIdetails!H797</f>
        <v>0</v>
      </c>
      <c r="C794">
        <f>BIdetails!J797</f>
        <v>0</v>
      </c>
      <c r="D794">
        <f>BIdetails!K797</f>
        <v>0</v>
      </c>
      <c r="E794" s="168">
        <f>BIdetails!M797</f>
        <v>0</v>
      </c>
      <c r="F794" t="e">
        <f>IF(ISERROR(IF(OR(C794="#",C794=0),"",VLOOKUP(C794,'AOP24'!M:M,1,0))),"Not Found",VLOOKUP(C794,'AOP24'!M:M,1,0))</f>
        <v>#N/A</v>
      </c>
      <c r="G794" t="e">
        <f t="shared" si="12"/>
        <v>#N/A</v>
      </c>
    </row>
    <row r="795" spans="1:7" x14ac:dyDescent="0.25">
      <c r="A795">
        <f>BIdetails!G798</f>
        <v>0</v>
      </c>
      <c r="B795">
        <f>BIdetails!H798</f>
        <v>0</v>
      </c>
      <c r="C795">
        <f>BIdetails!J798</f>
        <v>0</v>
      </c>
      <c r="D795">
        <f>BIdetails!K798</f>
        <v>0</v>
      </c>
      <c r="E795" s="168">
        <f>BIdetails!M798</f>
        <v>0</v>
      </c>
      <c r="F795" t="e">
        <f>IF(ISERROR(IF(OR(C795="#",C795=0),"",VLOOKUP(C795,'AOP24'!M:M,1,0))),"Not Found",VLOOKUP(C795,'AOP24'!M:M,1,0))</f>
        <v>#N/A</v>
      </c>
      <c r="G795" t="e">
        <f t="shared" si="12"/>
        <v>#N/A</v>
      </c>
    </row>
    <row r="796" spans="1:7" x14ac:dyDescent="0.25">
      <c r="A796">
        <f>BIdetails!G799</f>
        <v>0</v>
      </c>
      <c r="B796">
        <f>BIdetails!H799</f>
        <v>0</v>
      </c>
      <c r="C796">
        <f>BIdetails!J799</f>
        <v>0</v>
      </c>
      <c r="D796">
        <f>BIdetails!K799</f>
        <v>0</v>
      </c>
      <c r="E796" s="168">
        <f>BIdetails!M799</f>
        <v>0</v>
      </c>
      <c r="F796" t="e">
        <f>IF(ISERROR(IF(OR(C796="#",C796=0),"",VLOOKUP(C796,'AOP24'!M:M,1,0))),"Not Found",VLOOKUP(C796,'AOP24'!M:M,1,0))</f>
        <v>#N/A</v>
      </c>
      <c r="G796" t="e">
        <f t="shared" si="12"/>
        <v>#N/A</v>
      </c>
    </row>
    <row r="797" spans="1:7" x14ac:dyDescent="0.25">
      <c r="A797">
        <f>BIdetails!G800</f>
        <v>0</v>
      </c>
      <c r="B797">
        <f>BIdetails!H800</f>
        <v>0</v>
      </c>
      <c r="C797">
        <f>BIdetails!J800</f>
        <v>0</v>
      </c>
      <c r="D797">
        <f>BIdetails!K800</f>
        <v>0</v>
      </c>
      <c r="E797" s="168">
        <f>BIdetails!M800</f>
        <v>0</v>
      </c>
      <c r="F797" t="e">
        <f>IF(ISERROR(IF(OR(C797="#",C797=0),"",VLOOKUP(C797,'AOP24'!M:M,1,0))),"Not Found",VLOOKUP(C797,'AOP24'!M:M,1,0))</f>
        <v>#N/A</v>
      </c>
      <c r="G797" t="e">
        <f t="shared" si="12"/>
        <v>#N/A</v>
      </c>
    </row>
    <row r="798" spans="1:7" x14ac:dyDescent="0.25">
      <c r="A798">
        <f>BIdetails!G801</f>
        <v>0</v>
      </c>
      <c r="B798">
        <f>BIdetails!H801</f>
        <v>0</v>
      </c>
      <c r="C798">
        <f>BIdetails!J801</f>
        <v>0</v>
      </c>
      <c r="D798">
        <f>BIdetails!K801</f>
        <v>0</v>
      </c>
      <c r="E798" s="168">
        <f>BIdetails!M801</f>
        <v>0</v>
      </c>
      <c r="F798" t="e">
        <f>IF(ISERROR(IF(OR(C798="#",C798=0),"",VLOOKUP(C798,'AOP24'!M:M,1,0))),"Not Found",VLOOKUP(C798,'AOP24'!M:M,1,0))</f>
        <v>#N/A</v>
      </c>
      <c r="G798" t="e">
        <f t="shared" si="12"/>
        <v>#N/A</v>
      </c>
    </row>
    <row r="799" spans="1:7" x14ac:dyDescent="0.25">
      <c r="A799">
        <f>BIdetails!G802</f>
        <v>0</v>
      </c>
      <c r="B799">
        <f>BIdetails!H802</f>
        <v>0</v>
      </c>
      <c r="C799">
        <f>BIdetails!J802</f>
        <v>0</v>
      </c>
      <c r="D799">
        <f>BIdetails!K802</f>
        <v>0</v>
      </c>
      <c r="E799" s="168">
        <f>BIdetails!M802</f>
        <v>0</v>
      </c>
      <c r="F799" t="e">
        <f>IF(ISERROR(IF(OR(C799="#",C799=0),"",VLOOKUP(C799,'AOP24'!M:M,1,0))),"Not Found",VLOOKUP(C799,'AOP24'!M:M,1,0))</f>
        <v>#N/A</v>
      </c>
      <c r="G799" t="e">
        <f t="shared" si="12"/>
        <v>#N/A</v>
      </c>
    </row>
    <row r="800" spans="1:7" x14ac:dyDescent="0.25">
      <c r="A800">
        <f>BIdetails!G803</f>
        <v>0</v>
      </c>
      <c r="B800">
        <f>BIdetails!H803</f>
        <v>0</v>
      </c>
      <c r="C800">
        <f>BIdetails!J803</f>
        <v>0</v>
      </c>
      <c r="D800">
        <f>BIdetails!K803</f>
        <v>0</v>
      </c>
      <c r="E800" s="168">
        <f>BIdetails!M803</f>
        <v>0</v>
      </c>
      <c r="F800" t="e">
        <f>IF(ISERROR(IF(OR(C800="#",C800=0),"",VLOOKUP(C800,'AOP24'!M:M,1,0))),"Not Found",VLOOKUP(C800,'AOP24'!M:M,1,0))</f>
        <v>#N/A</v>
      </c>
      <c r="G800" t="e">
        <f t="shared" si="12"/>
        <v>#N/A</v>
      </c>
    </row>
    <row r="801" spans="1:7" x14ac:dyDescent="0.25">
      <c r="A801">
        <f>BIdetails!G804</f>
        <v>0</v>
      </c>
      <c r="B801">
        <f>BIdetails!H804</f>
        <v>0</v>
      </c>
      <c r="C801">
        <f>BIdetails!J804</f>
        <v>0</v>
      </c>
      <c r="D801">
        <f>BIdetails!K804</f>
        <v>0</v>
      </c>
      <c r="E801" s="168">
        <f>BIdetails!M804</f>
        <v>0</v>
      </c>
      <c r="F801" t="e">
        <f>IF(ISERROR(IF(OR(C801="#",C801=0),"",VLOOKUP(C801,'AOP24'!M:M,1,0))),"Not Found",VLOOKUP(C801,'AOP24'!M:M,1,0))</f>
        <v>#N/A</v>
      </c>
      <c r="G801" t="e">
        <f t="shared" si="12"/>
        <v>#N/A</v>
      </c>
    </row>
    <row r="802" spans="1:7" x14ac:dyDescent="0.25">
      <c r="A802">
        <f>BIdetails!G805</f>
        <v>0</v>
      </c>
      <c r="B802">
        <f>BIdetails!H805</f>
        <v>0</v>
      </c>
      <c r="C802">
        <f>BIdetails!J805</f>
        <v>0</v>
      </c>
      <c r="D802">
        <f>BIdetails!K805</f>
        <v>0</v>
      </c>
      <c r="E802" s="168">
        <f>BIdetails!M805</f>
        <v>0</v>
      </c>
      <c r="F802" t="e">
        <f>IF(ISERROR(IF(OR(C802="#",C802=0),"",VLOOKUP(C802,'AOP24'!M:M,1,0))),"Not Found",VLOOKUP(C802,'AOP24'!M:M,1,0))</f>
        <v>#N/A</v>
      </c>
      <c r="G802" t="e">
        <f t="shared" si="12"/>
        <v>#N/A</v>
      </c>
    </row>
    <row r="803" spans="1:7" x14ac:dyDescent="0.25">
      <c r="A803">
        <f>BIdetails!G806</f>
        <v>0</v>
      </c>
      <c r="B803">
        <f>BIdetails!H806</f>
        <v>0</v>
      </c>
      <c r="C803">
        <f>BIdetails!J806</f>
        <v>0</v>
      </c>
      <c r="D803">
        <f>BIdetails!K806</f>
        <v>0</v>
      </c>
      <c r="E803" s="168">
        <f>BIdetails!M806</f>
        <v>0</v>
      </c>
      <c r="F803" t="e">
        <f>IF(ISERROR(IF(OR(C803="#",C803=0),"",VLOOKUP(C803,'AOP24'!M:M,1,0))),"Not Found",VLOOKUP(C803,'AOP24'!M:M,1,0))</f>
        <v>#N/A</v>
      </c>
      <c r="G803" t="e">
        <f t="shared" si="12"/>
        <v>#N/A</v>
      </c>
    </row>
    <row r="804" spans="1:7" x14ac:dyDescent="0.25">
      <c r="A804">
        <f>BIdetails!G807</f>
        <v>0</v>
      </c>
      <c r="B804">
        <f>BIdetails!H807</f>
        <v>0</v>
      </c>
      <c r="C804">
        <f>BIdetails!J807</f>
        <v>0</v>
      </c>
      <c r="D804">
        <f>BIdetails!K807</f>
        <v>0</v>
      </c>
      <c r="E804" s="168">
        <f>BIdetails!M807</f>
        <v>0</v>
      </c>
      <c r="F804" t="e">
        <f>IF(ISERROR(IF(OR(C804="#",C804=0),"",VLOOKUP(C804,'AOP24'!M:M,1,0))),"Not Found",VLOOKUP(C804,'AOP24'!M:M,1,0))</f>
        <v>#N/A</v>
      </c>
      <c r="G804" t="e">
        <f t="shared" si="12"/>
        <v>#N/A</v>
      </c>
    </row>
    <row r="805" spans="1:7" x14ac:dyDescent="0.25">
      <c r="A805">
        <f>BIdetails!G808</f>
        <v>0</v>
      </c>
      <c r="B805">
        <f>BIdetails!H808</f>
        <v>0</v>
      </c>
      <c r="C805">
        <f>BIdetails!J808</f>
        <v>0</v>
      </c>
      <c r="D805">
        <f>BIdetails!K808</f>
        <v>0</v>
      </c>
      <c r="E805" s="168">
        <f>BIdetails!M808</f>
        <v>0</v>
      </c>
      <c r="F805" t="e">
        <f>IF(ISERROR(IF(OR(C805="#",C805=0),"",VLOOKUP(C805,'AOP24'!M:M,1,0))),"Not Found",VLOOKUP(C805,'AOP24'!M:M,1,0))</f>
        <v>#N/A</v>
      </c>
      <c r="G805" t="e">
        <f t="shared" si="12"/>
        <v>#N/A</v>
      </c>
    </row>
    <row r="806" spans="1:7" x14ac:dyDescent="0.25">
      <c r="A806">
        <f>BIdetails!G809</f>
        <v>0</v>
      </c>
      <c r="B806">
        <f>BIdetails!H809</f>
        <v>0</v>
      </c>
      <c r="C806">
        <f>BIdetails!J809</f>
        <v>0</v>
      </c>
      <c r="D806">
        <f>BIdetails!K809</f>
        <v>0</v>
      </c>
      <c r="E806" s="168">
        <f>BIdetails!M809</f>
        <v>0</v>
      </c>
      <c r="F806" t="e">
        <f>IF(ISERROR(IF(OR(C806="#",C806=0),"",VLOOKUP(C806,'AOP24'!M:M,1,0))),"Not Found",VLOOKUP(C806,'AOP24'!M:M,1,0))</f>
        <v>#N/A</v>
      </c>
      <c r="G806" t="e">
        <f t="shared" si="12"/>
        <v>#N/A</v>
      </c>
    </row>
    <row r="807" spans="1:7" x14ac:dyDescent="0.25">
      <c r="A807">
        <f>BIdetails!G810</f>
        <v>0</v>
      </c>
      <c r="B807">
        <f>BIdetails!H810</f>
        <v>0</v>
      </c>
      <c r="C807">
        <f>BIdetails!J810</f>
        <v>0</v>
      </c>
      <c r="D807">
        <f>BIdetails!K810</f>
        <v>0</v>
      </c>
      <c r="E807" s="168">
        <f>BIdetails!M810</f>
        <v>0</v>
      </c>
      <c r="F807" t="e">
        <f>IF(ISERROR(IF(OR(C807="#",C807=0),"",VLOOKUP(C807,'AOP24'!M:M,1,0))),"Not Found",VLOOKUP(C807,'AOP24'!M:M,1,0))</f>
        <v>#N/A</v>
      </c>
      <c r="G807" t="e">
        <f t="shared" si="12"/>
        <v>#N/A</v>
      </c>
    </row>
    <row r="808" spans="1:7" x14ac:dyDescent="0.25">
      <c r="A808">
        <f>BIdetails!G811</f>
        <v>0</v>
      </c>
      <c r="B808">
        <f>BIdetails!H811</f>
        <v>0</v>
      </c>
      <c r="C808">
        <f>BIdetails!J811</f>
        <v>0</v>
      </c>
      <c r="D808">
        <f>BIdetails!K811</f>
        <v>0</v>
      </c>
      <c r="E808" s="168">
        <f>BIdetails!M811</f>
        <v>0</v>
      </c>
      <c r="F808" t="e">
        <f>IF(ISERROR(IF(OR(C808="#",C808=0),"",VLOOKUP(C808,'AOP24'!M:M,1,0))),"Not Found",VLOOKUP(C808,'AOP24'!M:M,1,0))</f>
        <v>#N/A</v>
      </c>
      <c r="G808" t="e">
        <f t="shared" si="12"/>
        <v>#N/A</v>
      </c>
    </row>
    <row r="809" spans="1:7" x14ac:dyDescent="0.25">
      <c r="A809">
        <f>BIdetails!G812</f>
        <v>0</v>
      </c>
      <c r="B809">
        <f>BIdetails!H812</f>
        <v>0</v>
      </c>
      <c r="C809">
        <f>BIdetails!J812</f>
        <v>0</v>
      </c>
      <c r="D809">
        <f>BIdetails!K812</f>
        <v>0</v>
      </c>
      <c r="E809" s="168">
        <f>BIdetails!M812</f>
        <v>0</v>
      </c>
      <c r="F809" t="e">
        <f>IF(ISERROR(IF(OR(C809="#",C809=0),"",VLOOKUP(C809,'AOP24'!M:M,1,0))),"Not Found",VLOOKUP(C809,'AOP24'!M:M,1,0))</f>
        <v>#N/A</v>
      </c>
      <c r="G809" t="e">
        <f t="shared" si="12"/>
        <v>#N/A</v>
      </c>
    </row>
    <row r="810" spans="1:7" x14ac:dyDescent="0.25">
      <c r="A810">
        <f>BIdetails!G813</f>
        <v>0</v>
      </c>
      <c r="B810">
        <f>BIdetails!H813</f>
        <v>0</v>
      </c>
      <c r="C810">
        <f>BIdetails!J813</f>
        <v>0</v>
      </c>
      <c r="D810">
        <f>BIdetails!K813</f>
        <v>0</v>
      </c>
      <c r="E810" s="168">
        <f>BIdetails!M813</f>
        <v>0</v>
      </c>
      <c r="F810" t="e">
        <f>IF(ISERROR(IF(OR(C810="#",C810=0),"",VLOOKUP(C810,'AOP24'!M:M,1,0))),"Not Found",VLOOKUP(C810,'AOP24'!M:M,1,0))</f>
        <v>#N/A</v>
      </c>
      <c r="G810" t="e">
        <f t="shared" si="12"/>
        <v>#N/A</v>
      </c>
    </row>
    <row r="811" spans="1:7" x14ac:dyDescent="0.25">
      <c r="A811">
        <f>BIdetails!G814</f>
        <v>0</v>
      </c>
      <c r="B811">
        <f>BIdetails!H814</f>
        <v>0</v>
      </c>
      <c r="C811">
        <f>BIdetails!J814</f>
        <v>0</v>
      </c>
      <c r="D811">
        <f>BIdetails!K814</f>
        <v>0</v>
      </c>
      <c r="E811" s="168">
        <f>BIdetails!M814</f>
        <v>0</v>
      </c>
      <c r="F811" t="e">
        <f>IF(ISERROR(IF(OR(C811="#",C811=0),"",VLOOKUP(C811,'AOP24'!M:M,1,0))),"Not Found",VLOOKUP(C811,'AOP24'!M:M,1,0))</f>
        <v>#N/A</v>
      </c>
      <c r="G811" t="e">
        <f t="shared" si="12"/>
        <v>#N/A</v>
      </c>
    </row>
    <row r="812" spans="1:7" x14ac:dyDescent="0.25">
      <c r="A812">
        <f>BIdetails!G815</f>
        <v>0</v>
      </c>
      <c r="B812">
        <f>BIdetails!H815</f>
        <v>0</v>
      </c>
      <c r="C812">
        <f>BIdetails!J815</f>
        <v>0</v>
      </c>
      <c r="D812">
        <f>BIdetails!K815</f>
        <v>0</v>
      </c>
      <c r="E812" s="168">
        <f>BIdetails!M815</f>
        <v>0</v>
      </c>
      <c r="F812" t="e">
        <f>IF(ISERROR(IF(OR(C812="#",C812=0),"",VLOOKUP(C812,'AOP24'!M:M,1,0))),"Not Found",VLOOKUP(C812,'AOP24'!M:M,1,0))</f>
        <v>#N/A</v>
      </c>
      <c r="G812" t="e">
        <f t="shared" si="12"/>
        <v>#N/A</v>
      </c>
    </row>
    <row r="813" spans="1:7" x14ac:dyDescent="0.25">
      <c r="A813">
        <f>BIdetails!G816</f>
        <v>0</v>
      </c>
      <c r="B813">
        <f>BIdetails!H816</f>
        <v>0</v>
      </c>
      <c r="C813">
        <f>BIdetails!J816</f>
        <v>0</v>
      </c>
      <c r="D813">
        <f>BIdetails!K816</f>
        <v>0</v>
      </c>
      <c r="E813" s="168">
        <f>BIdetails!M816</f>
        <v>0</v>
      </c>
      <c r="F813" t="e">
        <f>IF(ISERROR(IF(OR(C813="#",C813=0),"",VLOOKUP(C813,'AOP24'!M:M,1,0))),"Not Found",VLOOKUP(C813,'AOP24'!M:M,1,0))</f>
        <v>#N/A</v>
      </c>
      <c r="G813" t="e">
        <f t="shared" si="12"/>
        <v>#N/A</v>
      </c>
    </row>
    <row r="814" spans="1:7" x14ac:dyDescent="0.25">
      <c r="A814">
        <f>BIdetails!G817</f>
        <v>0</v>
      </c>
      <c r="B814">
        <f>BIdetails!H817</f>
        <v>0</v>
      </c>
      <c r="C814">
        <f>BIdetails!J817</f>
        <v>0</v>
      </c>
      <c r="D814">
        <f>BIdetails!K817</f>
        <v>0</v>
      </c>
      <c r="E814" s="168">
        <f>BIdetails!M817</f>
        <v>0</v>
      </c>
      <c r="F814" t="e">
        <f>IF(ISERROR(IF(OR(C814="#",C814=0),"",VLOOKUP(C814,'AOP24'!M:M,1,0))),"Not Found",VLOOKUP(C814,'AOP24'!M:M,1,0))</f>
        <v>#N/A</v>
      </c>
      <c r="G814" t="e">
        <f t="shared" si="12"/>
        <v>#N/A</v>
      </c>
    </row>
    <row r="815" spans="1:7" x14ac:dyDescent="0.25">
      <c r="A815">
        <f>BIdetails!G818</f>
        <v>0</v>
      </c>
      <c r="B815">
        <f>BIdetails!H818</f>
        <v>0</v>
      </c>
      <c r="C815">
        <f>BIdetails!J818</f>
        <v>0</v>
      </c>
      <c r="D815">
        <f>BIdetails!K818</f>
        <v>0</v>
      </c>
      <c r="E815" s="168">
        <f>BIdetails!M818</f>
        <v>0</v>
      </c>
      <c r="F815" t="e">
        <f>IF(ISERROR(IF(OR(C815="#",C815=0),"",VLOOKUP(C815,'AOP24'!M:M,1,0))),"Not Found",VLOOKUP(C815,'AOP24'!M:M,1,0))</f>
        <v>#N/A</v>
      </c>
      <c r="G815" t="e">
        <f t="shared" si="12"/>
        <v>#N/A</v>
      </c>
    </row>
    <row r="816" spans="1:7" x14ac:dyDescent="0.25">
      <c r="A816">
        <f>BIdetails!G819</f>
        <v>0</v>
      </c>
      <c r="B816">
        <f>BIdetails!H819</f>
        <v>0</v>
      </c>
      <c r="C816">
        <f>BIdetails!J819</f>
        <v>0</v>
      </c>
      <c r="D816">
        <f>BIdetails!K819</f>
        <v>0</v>
      </c>
      <c r="E816" s="168">
        <f>BIdetails!M819</f>
        <v>0</v>
      </c>
      <c r="F816" t="e">
        <f>IF(ISERROR(IF(OR(C816="#",C816=0),"",VLOOKUP(C816,'AOP24'!M:M,1,0))),"Not Found",VLOOKUP(C816,'AOP24'!M:M,1,0))</f>
        <v>#N/A</v>
      </c>
      <c r="G816" t="e">
        <f t="shared" si="12"/>
        <v>#N/A</v>
      </c>
    </row>
    <row r="817" spans="1:7" x14ac:dyDescent="0.25">
      <c r="A817">
        <f>BIdetails!G820</f>
        <v>0</v>
      </c>
      <c r="B817">
        <f>BIdetails!H820</f>
        <v>0</v>
      </c>
      <c r="C817">
        <f>BIdetails!J820</f>
        <v>0</v>
      </c>
      <c r="D817">
        <f>BIdetails!K820</f>
        <v>0</v>
      </c>
      <c r="E817" s="168">
        <f>BIdetails!M820</f>
        <v>0</v>
      </c>
      <c r="F817" t="e">
        <f>IF(ISERROR(IF(OR(C817="#",C817=0),"",VLOOKUP(C817,'AOP24'!M:M,1,0))),"Not Found",VLOOKUP(C817,'AOP24'!M:M,1,0))</f>
        <v>#N/A</v>
      </c>
      <c r="G817" t="e">
        <f t="shared" si="12"/>
        <v>#N/A</v>
      </c>
    </row>
    <row r="818" spans="1:7" x14ac:dyDescent="0.25">
      <c r="A818">
        <f>BIdetails!G821</f>
        <v>0</v>
      </c>
      <c r="B818">
        <f>BIdetails!H821</f>
        <v>0</v>
      </c>
      <c r="C818">
        <f>BIdetails!J821</f>
        <v>0</v>
      </c>
      <c r="D818">
        <f>BIdetails!K821</f>
        <v>0</v>
      </c>
      <c r="E818" s="168">
        <f>BIdetails!M821</f>
        <v>0</v>
      </c>
      <c r="F818" t="e">
        <f>IF(ISERROR(IF(OR(C818="#",C818=0),"",VLOOKUP(C818,'AOP24'!M:M,1,0))),"Not Found",VLOOKUP(C818,'AOP24'!M:M,1,0))</f>
        <v>#N/A</v>
      </c>
      <c r="G818" t="e">
        <f t="shared" si="12"/>
        <v>#N/A</v>
      </c>
    </row>
    <row r="819" spans="1:7" x14ac:dyDescent="0.25">
      <c r="A819">
        <f>BIdetails!G822</f>
        <v>0</v>
      </c>
      <c r="B819">
        <f>BIdetails!H822</f>
        <v>0</v>
      </c>
      <c r="C819">
        <f>BIdetails!J822</f>
        <v>0</v>
      </c>
      <c r="D819">
        <f>BIdetails!K822</f>
        <v>0</v>
      </c>
      <c r="E819" s="168">
        <f>BIdetails!M822</f>
        <v>0</v>
      </c>
      <c r="F819" t="e">
        <f>IF(ISERROR(IF(OR(C819="#",C819=0),"",VLOOKUP(C819,'AOP24'!M:M,1,0))),"Not Found",VLOOKUP(C819,'AOP24'!M:M,1,0))</f>
        <v>#N/A</v>
      </c>
      <c r="G819" t="e">
        <f t="shared" si="12"/>
        <v>#N/A</v>
      </c>
    </row>
    <row r="820" spans="1:7" x14ac:dyDescent="0.25">
      <c r="A820">
        <f>BIdetails!G823</f>
        <v>0</v>
      </c>
      <c r="B820">
        <f>BIdetails!H823</f>
        <v>0</v>
      </c>
      <c r="C820">
        <f>BIdetails!J823</f>
        <v>0</v>
      </c>
      <c r="D820">
        <f>BIdetails!K823</f>
        <v>0</v>
      </c>
      <c r="E820" s="168">
        <f>BIdetails!M823</f>
        <v>0</v>
      </c>
      <c r="F820" t="e">
        <f>IF(ISERROR(IF(OR(C820="#",C820=0),"",VLOOKUP(C820,'AOP24'!M:M,1,0))),"Not Found",VLOOKUP(C820,'AOP24'!M:M,1,0))</f>
        <v>#N/A</v>
      </c>
      <c r="G820" t="e">
        <f t="shared" si="12"/>
        <v>#N/A</v>
      </c>
    </row>
    <row r="821" spans="1:7" x14ac:dyDescent="0.25">
      <c r="A821">
        <f>BIdetails!G824</f>
        <v>0</v>
      </c>
      <c r="B821">
        <f>BIdetails!H824</f>
        <v>0</v>
      </c>
      <c r="C821">
        <f>BIdetails!J824</f>
        <v>0</v>
      </c>
      <c r="D821">
        <f>BIdetails!K824</f>
        <v>0</v>
      </c>
      <c r="E821" s="168">
        <f>BIdetails!M824</f>
        <v>0</v>
      </c>
      <c r="F821" t="e">
        <f>IF(ISERROR(IF(OR(C821="#",C821=0),"",VLOOKUP(C821,'AOP24'!M:M,1,0))),"Not Found",VLOOKUP(C821,'AOP24'!M:M,1,0))</f>
        <v>#N/A</v>
      </c>
      <c r="G821" t="e">
        <f t="shared" si="12"/>
        <v>#N/A</v>
      </c>
    </row>
    <row r="822" spans="1:7" x14ac:dyDescent="0.25">
      <c r="A822">
        <f>BIdetails!G825</f>
        <v>0</v>
      </c>
      <c r="B822">
        <f>BIdetails!H825</f>
        <v>0</v>
      </c>
      <c r="C822">
        <f>BIdetails!J825</f>
        <v>0</v>
      </c>
      <c r="D822">
        <f>BIdetails!K825</f>
        <v>0</v>
      </c>
      <c r="E822" s="168">
        <f>BIdetails!M825</f>
        <v>0</v>
      </c>
      <c r="F822" t="e">
        <f>IF(ISERROR(IF(OR(C822="#",C822=0),"",VLOOKUP(C822,'AOP24'!M:M,1,0))),"Not Found",VLOOKUP(C822,'AOP24'!M:M,1,0))</f>
        <v>#N/A</v>
      </c>
      <c r="G822" t="e">
        <f t="shared" si="12"/>
        <v>#N/A</v>
      </c>
    </row>
    <row r="823" spans="1:7" x14ac:dyDescent="0.25">
      <c r="A823">
        <f>BIdetails!G826</f>
        <v>0</v>
      </c>
      <c r="B823">
        <f>BIdetails!H826</f>
        <v>0</v>
      </c>
      <c r="C823">
        <f>BIdetails!J826</f>
        <v>0</v>
      </c>
      <c r="D823">
        <f>BIdetails!K826</f>
        <v>0</v>
      </c>
      <c r="E823" s="168">
        <f>BIdetails!M826</f>
        <v>0</v>
      </c>
      <c r="F823" t="e">
        <f>IF(ISERROR(IF(OR(C823="#",C823=0),"",VLOOKUP(C823,'AOP24'!M:M,1,0))),"Not Found",VLOOKUP(C823,'AOP24'!M:M,1,0))</f>
        <v>#N/A</v>
      </c>
      <c r="G823" t="e">
        <f t="shared" si="12"/>
        <v>#N/A</v>
      </c>
    </row>
    <row r="824" spans="1:7" x14ac:dyDescent="0.25">
      <c r="A824">
        <f>BIdetails!G827</f>
        <v>0</v>
      </c>
      <c r="B824">
        <f>BIdetails!H827</f>
        <v>0</v>
      </c>
      <c r="C824">
        <f>BIdetails!J827</f>
        <v>0</v>
      </c>
      <c r="D824">
        <f>BIdetails!K827</f>
        <v>0</v>
      </c>
      <c r="E824" s="168">
        <f>BIdetails!M827</f>
        <v>0</v>
      </c>
      <c r="F824" t="e">
        <f>IF(ISERROR(IF(OR(C824="#",C824=0),"",VLOOKUP(C824,'AOP24'!M:M,1,0))),"Not Found",VLOOKUP(C824,'AOP24'!M:M,1,0))</f>
        <v>#N/A</v>
      </c>
      <c r="G824" t="e">
        <f t="shared" si="12"/>
        <v>#N/A</v>
      </c>
    </row>
    <row r="825" spans="1:7" x14ac:dyDescent="0.25">
      <c r="A825">
        <f>BIdetails!G828</f>
        <v>0</v>
      </c>
      <c r="B825">
        <f>BIdetails!H828</f>
        <v>0</v>
      </c>
      <c r="C825">
        <f>BIdetails!J828</f>
        <v>0</v>
      </c>
      <c r="D825">
        <f>BIdetails!K828</f>
        <v>0</v>
      </c>
      <c r="E825" s="168">
        <f>BIdetails!M828</f>
        <v>0</v>
      </c>
      <c r="F825" t="e">
        <f>IF(ISERROR(IF(OR(C825="#",C825=0),"",VLOOKUP(C825,'AOP24'!M:M,1,0))),"Not Found",VLOOKUP(C825,'AOP24'!M:M,1,0))</f>
        <v>#N/A</v>
      </c>
      <c r="G825" t="e">
        <f t="shared" si="12"/>
        <v>#N/A</v>
      </c>
    </row>
    <row r="826" spans="1:7" x14ac:dyDescent="0.25">
      <c r="A826">
        <f>BIdetails!G829</f>
        <v>0</v>
      </c>
      <c r="B826">
        <f>BIdetails!H829</f>
        <v>0</v>
      </c>
      <c r="C826">
        <f>BIdetails!J829</f>
        <v>0</v>
      </c>
      <c r="D826">
        <f>BIdetails!K829</f>
        <v>0</v>
      </c>
      <c r="E826" s="168">
        <f>BIdetails!M829</f>
        <v>0</v>
      </c>
      <c r="F826" t="e">
        <f>IF(ISERROR(IF(OR(C826="#",C826=0),"",VLOOKUP(C826,'AOP24'!M:M,1,0))),"Not Found",VLOOKUP(C826,'AOP24'!M:M,1,0))</f>
        <v>#N/A</v>
      </c>
      <c r="G826" t="e">
        <f t="shared" ref="G826:G889" si="13">IF(NOT(ISERROR(VLOOKUP(C826,$K$2:$K$50,1,0))),"Y",VLOOKUP(C826,$K$2:$K$50,1,0))</f>
        <v>#N/A</v>
      </c>
    </row>
    <row r="827" spans="1:7" x14ac:dyDescent="0.25">
      <c r="A827">
        <f>BIdetails!G830</f>
        <v>0</v>
      </c>
      <c r="B827">
        <f>BIdetails!H830</f>
        <v>0</v>
      </c>
      <c r="C827">
        <f>BIdetails!J830</f>
        <v>0</v>
      </c>
      <c r="D827">
        <f>BIdetails!K830</f>
        <v>0</v>
      </c>
      <c r="E827" s="168">
        <f>BIdetails!M830</f>
        <v>0</v>
      </c>
      <c r="F827" t="e">
        <f>IF(ISERROR(IF(OR(C827="#",C827=0),"",VLOOKUP(C827,'AOP24'!M:M,1,0))),"Not Found",VLOOKUP(C827,'AOP24'!M:M,1,0))</f>
        <v>#N/A</v>
      </c>
      <c r="G827" t="e">
        <f t="shared" si="13"/>
        <v>#N/A</v>
      </c>
    </row>
    <row r="828" spans="1:7" x14ac:dyDescent="0.25">
      <c r="A828">
        <f>BIdetails!G831</f>
        <v>0</v>
      </c>
      <c r="B828">
        <f>BIdetails!H831</f>
        <v>0</v>
      </c>
      <c r="C828">
        <f>BIdetails!J831</f>
        <v>0</v>
      </c>
      <c r="D828">
        <f>BIdetails!K831</f>
        <v>0</v>
      </c>
      <c r="E828" s="168">
        <f>BIdetails!M831</f>
        <v>0</v>
      </c>
      <c r="F828" t="e">
        <f>IF(ISERROR(IF(OR(C828="#",C828=0),"",VLOOKUP(C828,'AOP24'!M:M,1,0))),"Not Found",VLOOKUP(C828,'AOP24'!M:M,1,0))</f>
        <v>#N/A</v>
      </c>
      <c r="G828" t="e">
        <f t="shared" si="13"/>
        <v>#N/A</v>
      </c>
    </row>
    <row r="829" spans="1:7" x14ac:dyDescent="0.25">
      <c r="A829">
        <f>BIdetails!G832</f>
        <v>0</v>
      </c>
      <c r="B829">
        <f>BIdetails!H832</f>
        <v>0</v>
      </c>
      <c r="C829">
        <f>BIdetails!J832</f>
        <v>0</v>
      </c>
      <c r="D829">
        <f>BIdetails!K832</f>
        <v>0</v>
      </c>
      <c r="E829" s="168">
        <f>BIdetails!M832</f>
        <v>0</v>
      </c>
      <c r="F829" t="e">
        <f>IF(ISERROR(IF(OR(C829="#",C829=0),"",VLOOKUP(C829,'AOP24'!M:M,1,0))),"Not Found",VLOOKUP(C829,'AOP24'!M:M,1,0))</f>
        <v>#N/A</v>
      </c>
      <c r="G829" t="e">
        <f t="shared" si="13"/>
        <v>#N/A</v>
      </c>
    </row>
    <row r="830" spans="1:7" x14ac:dyDescent="0.25">
      <c r="A830">
        <f>BIdetails!G833</f>
        <v>0</v>
      </c>
      <c r="B830">
        <f>BIdetails!H833</f>
        <v>0</v>
      </c>
      <c r="C830">
        <f>BIdetails!J833</f>
        <v>0</v>
      </c>
      <c r="D830">
        <f>BIdetails!K833</f>
        <v>0</v>
      </c>
      <c r="E830" s="168">
        <f>BIdetails!M833</f>
        <v>0</v>
      </c>
      <c r="F830" t="e">
        <f>IF(ISERROR(IF(OR(C830="#",C830=0),"",VLOOKUP(C830,'AOP24'!M:M,1,0))),"Not Found",VLOOKUP(C830,'AOP24'!M:M,1,0))</f>
        <v>#N/A</v>
      </c>
      <c r="G830" t="e">
        <f t="shared" si="13"/>
        <v>#N/A</v>
      </c>
    </row>
    <row r="831" spans="1:7" x14ac:dyDescent="0.25">
      <c r="A831">
        <f>BIdetails!G834</f>
        <v>0</v>
      </c>
      <c r="B831">
        <f>BIdetails!H834</f>
        <v>0</v>
      </c>
      <c r="C831">
        <f>BIdetails!J834</f>
        <v>0</v>
      </c>
      <c r="D831">
        <f>BIdetails!K834</f>
        <v>0</v>
      </c>
      <c r="E831" s="168">
        <f>BIdetails!M834</f>
        <v>0</v>
      </c>
      <c r="F831" t="e">
        <f>IF(ISERROR(IF(OR(C831="#",C831=0),"",VLOOKUP(C831,'AOP24'!M:M,1,0))),"Not Found",VLOOKUP(C831,'AOP24'!M:M,1,0))</f>
        <v>#N/A</v>
      </c>
      <c r="G831" t="e">
        <f t="shared" si="13"/>
        <v>#N/A</v>
      </c>
    </row>
    <row r="832" spans="1:7" x14ac:dyDescent="0.25">
      <c r="A832">
        <f>BIdetails!G835</f>
        <v>0</v>
      </c>
      <c r="B832">
        <f>BIdetails!H835</f>
        <v>0</v>
      </c>
      <c r="C832">
        <f>BIdetails!J835</f>
        <v>0</v>
      </c>
      <c r="D832">
        <f>BIdetails!K835</f>
        <v>0</v>
      </c>
      <c r="E832" s="168">
        <f>BIdetails!M835</f>
        <v>0</v>
      </c>
      <c r="F832" t="e">
        <f>IF(ISERROR(IF(OR(C832="#",C832=0),"",VLOOKUP(C832,'AOP24'!M:M,1,0))),"Not Found",VLOOKUP(C832,'AOP24'!M:M,1,0))</f>
        <v>#N/A</v>
      </c>
      <c r="G832" t="e">
        <f t="shared" si="13"/>
        <v>#N/A</v>
      </c>
    </row>
    <row r="833" spans="1:7" x14ac:dyDescent="0.25">
      <c r="A833">
        <f>BIdetails!G836</f>
        <v>0</v>
      </c>
      <c r="B833">
        <f>BIdetails!H836</f>
        <v>0</v>
      </c>
      <c r="C833">
        <f>BIdetails!J836</f>
        <v>0</v>
      </c>
      <c r="D833">
        <f>BIdetails!K836</f>
        <v>0</v>
      </c>
      <c r="E833" s="168">
        <f>BIdetails!M836</f>
        <v>0</v>
      </c>
      <c r="F833" t="e">
        <f>IF(ISERROR(IF(OR(C833="#",C833=0),"",VLOOKUP(C833,'AOP24'!M:M,1,0))),"Not Found",VLOOKUP(C833,'AOP24'!M:M,1,0))</f>
        <v>#N/A</v>
      </c>
      <c r="G833" t="e">
        <f t="shared" si="13"/>
        <v>#N/A</v>
      </c>
    </row>
    <row r="834" spans="1:7" x14ac:dyDescent="0.25">
      <c r="A834">
        <f>BIdetails!G837</f>
        <v>0</v>
      </c>
      <c r="B834">
        <f>BIdetails!H837</f>
        <v>0</v>
      </c>
      <c r="C834">
        <f>BIdetails!J837</f>
        <v>0</v>
      </c>
      <c r="D834">
        <f>BIdetails!K837</f>
        <v>0</v>
      </c>
      <c r="E834" s="168">
        <f>BIdetails!M837</f>
        <v>0</v>
      </c>
      <c r="F834" t="e">
        <f>IF(ISERROR(IF(OR(C834="#",C834=0),"",VLOOKUP(C834,'AOP24'!M:M,1,0))),"Not Found",VLOOKUP(C834,'AOP24'!M:M,1,0))</f>
        <v>#N/A</v>
      </c>
      <c r="G834" t="e">
        <f t="shared" si="13"/>
        <v>#N/A</v>
      </c>
    </row>
    <row r="835" spans="1:7" x14ac:dyDescent="0.25">
      <c r="A835">
        <f>BIdetails!G838</f>
        <v>0</v>
      </c>
      <c r="B835">
        <f>BIdetails!H838</f>
        <v>0</v>
      </c>
      <c r="C835">
        <f>BIdetails!J838</f>
        <v>0</v>
      </c>
      <c r="D835">
        <f>BIdetails!K838</f>
        <v>0</v>
      </c>
      <c r="E835" s="168">
        <f>BIdetails!M838</f>
        <v>0</v>
      </c>
      <c r="F835" t="e">
        <f>IF(ISERROR(IF(OR(C835="#",C835=0),"",VLOOKUP(C835,'AOP24'!M:M,1,0))),"Not Found",VLOOKUP(C835,'AOP24'!M:M,1,0))</f>
        <v>#N/A</v>
      </c>
      <c r="G835" t="e">
        <f t="shared" si="13"/>
        <v>#N/A</v>
      </c>
    </row>
    <row r="836" spans="1:7" x14ac:dyDescent="0.25">
      <c r="A836">
        <f>BIdetails!G839</f>
        <v>0</v>
      </c>
      <c r="B836">
        <f>BIdetails!H839</f>
        <v>0</v>
      </c>
      <c r="C836">
        <f>BIdetails!J839</f>
        <v>0</v>
      </c>
      <c r="D836">
        <f>BIdetails!K839</f>
        <v>0</v>
      </c>
      <c r="E836" s="168">
        <f>BIdetails!M839</f>
        <v>0</v>
      </c>
      <c r="F836" t="e">
        <f>IF(ISERROR(IF(OR(C836="#",C836=0),"",VLOOKUP(C836,'AOP24'!M:M,1,0))),"Not Found",VLOOKUP(C836,'AOP24'!M:M,1,0))</f>
        <v>#N/A</v>
      </c>
      <c r="G836" t="e">
        <f t="shared" si="13"/>
        <v>#N/A</v>
      </c>
    </row>
    <row r="837" spans="1:7" x14ac:dyDescent="0.25">
      <c r="A837">
        <f>BIdetails!G840</f>
        <v>0</v>
      </c>
      <c r="B837">
        <f>BIdetails!H840</f>
        <v>0</v>
      </c>
      <c r="C837">
        <f>BIdetails!J840</f>
        <v>0</v>
      </c>
      <c r="D837">
        <f>BIdetails!K840</f>
        <v>0</v>
      </c>
      <c r="E837" s="168">
        <f>BIdetails!M840</f>
        <v>0</v>
      </c>
      <c r="F837" t="e">
        <f>IF(ISERROR(IF(OR(C837="#",C837=0),"",VLOOKUP(C837,'AOP24'!M:M,1,0))),"Not Found",VLOOKUP(C837,'AOP24'!M:M,1,0))</f>
        <v>#N/A</v>
      </c>
      <c r="G837" t="e">
        <f t="shared" si="13"/>
        <v>#N/A</v>
      </c>
    </row>
    <row r="838" spans="1:7" x14ac:dyDescent="0.25">
      <c r="A838">
        <f>BIdetails!G841</f>
        <v>0</v>
      </c>
      <c r="B838">
        <f>BIdetails!H841</f>
        <v>0</v>
      </c>
      <c r="C838">
        <f>BIdetails!J841</f>
        <v>0</v>
      </c>
      <c r="D838">
        <f>BIdetails!K841</f>
        <v>0</v>
      </c>
      <c r="E838" s="168">
        <f>BIdetails!M841</f>
        <v>0</v>
      </c>
      <c r="F838" t="e">
        <f>IF(ISERROR(IF(OR(C838="#",C838=0),"",VLOOKUP(C838,'AOP24'!M:M,1,0))),"Not Found",VLOOKUP(C838,'AOP24'!M:M,1,0))</f>
        <v>#N/A</v>
      </c>
      <c r="G838" t="e">
        <f t="shared" si="13"/>
        <v>#N/A</v>
      </c>
    </row>
    <row r="839" spans="1:7" x14ac:dyDescent="0.25">
      <c r="A839">
        <f>BIdetails!G842</f>
        <v>0</v>
      </c>
      <c r="B839">
        <f>BIdetails!H842</f>
        <v>0</v>
      </c>
      <c r="C839">
        <f>BIdetails!J842</f>
        <v>0</v>
      </c>
      <c r="D839">
        <f>BIdetails!K842</f>
        <v>0</v>
      </c>
      <c r="E839" s="168">
        <f>BIdetails!M842</f>
        <v>0</v>
      </c>
      <c r="F839" t="e">
        <f>IF(ISERROR(IF(OR(C839="#",C839=0),"",VLOOKUP(C839,'AOP24'!M:M,1,0))),"Not Found",VLOOKUP(C839,'AOP24'!M:M,1,0))</f>
        <v>#N/A</v>
      </c>
      <c r="G839" t="e">
        <f t="shared" si="13"/>
        <v>#N/A</v>
      </c>
    </row>
    <row r="840" spans="1:7" x14ac:dyDescent="0.25">
      <c r="A840">
        <f>BIdetails!G843</f>
        <v>0</v>
      </c>
      <c r="B840">
        <f>BIdetails!H843</f>
        <v>0</v>
      </c>
      <c r="C840">
        <f>BIdetails!J843</f>
        <v>0</v>
      </c>
      <c r="D840">
        <f>BIdetails!K843</f>
        <v>0</v>
      </c>
      <c r="E840" s="168">
        <f>BIdetails!M843</f>
        <v>0</v>
      </c>
      <c r="F840" t="e">
        <f>IF(ISERROR(IF(OR(C840="#",C840=0),"",VLOOKUP(C840,'AOP24'!M:M,1,0))),"Not Found",VLOOKUP(C840,'AOP24'!M:M,1,0))</f>
        <v>#N/A</v>
      </c>
      <c r="G840" t="e">
        <f t="shared" si="13"/>
        <v>#N/A</v>
      </c>
    </row>
    <row r="841" spans="1:7" x14ac:dyDescent="0.25">
      <c r="A841">
        <f>BIdetails!G844</f>
        <v>0</v>
      </c>
      <c r="B841">
        <f>BIdetails!H844</f>
        <v>0</v>
      </c>
      <c r="C841">
        <f>BIdetails!J844</f>
        <v>0</v>
      </c>
      <c r="D841">
        <f>BIdetails!K844</f>
        <v>0</v>
      </c>
      <c r="E841" s="168">
        <f>BIdetails!M844</f>
        <v>0</v>
      </c>
      <c r="F841" t="e">
        <f>IF(ISERROR(IF(OR(C841="#",C841=0),"",VLOOKUP(C841,'AOP24'!M:M,1,0))),"Not Found",VLOOKUP(C841,'AOP24'!M:M,1,0))</f>
        <v>#N/A</v>
      </c>
      <c r="G841" t="e">
        <f t="shared" si="13"/>
        <v>#N/A</v>
      </c>
    </row>
    <row r="842" spans="1:7" x14ac:dyDescent="0.25">
      <c r="A842">
        <f>BIdetails!G845</f>
        <v>0</v>
      </c>
      <c r="B842">
        <f>BIdetails!H845</f>
        <v>0</v>
      </c>
      <c r="C842">
        <f>BIdetails!J845</f>
        <v>0</v>
      </c>
      <c r="D842">
        <f>BIdetails!K845</f>
        <v>0</v>
      </c>
      <c r="E842" s="168">
        <f>BIdetails!M845</f>
        <v>0</v>
      </c>
      <c r="F842" t="e">
        <f>IF(ISERROR(IF(OR(C842="#",C842=0),"",VLOOKUP(C842,'AOP24'!M:M,1,0))),"Not Found",VLOOKUP(C842,'AOP24'!M:M,1,0))</f>
        <v>#N/A</v>
      </c>
      <c r="G842" t="e">
        <f t="shared" si="13"/>
        <v>#N/A</v>
      </c>
    </row>
    <row r="843" spans="1:7" x14ac:dyDescent="0.25">
      <c r="A843">
        <f>BIdetails!G846</f>
        <v>0</v>
      </c>
      <c r="B843">
        <f>BIdetails!H846</f>
        <v>0</v>
      </c>
      <c r="C843">
        <f>BIdetails!J846</f>
        <v>0</v>
      </c>
      <c r="D843">
        <f>BIdetails!K846</f>
        <v>0</v>
      </c>
      <c r="E843" s="168">
        <f>BIdetails!M846</f>
        <v>0</v>
      </c>
      <c r="F843" t="e">
        <f>IF(ISERROR(IF(OR(C843="#",C843=0),"",VLOOKUP(C843,'AOP24'!M:M,1,0))),"Not Found",VLOOKUP(C843,'AOP24'!M:M,1,0))</f>
        <v>#N/A</v>
      </c>
      <c r="G843" t="e">
        <f t="shared" si="13"/>
        <v>#N/A</v>
      </c>
    </row>
    <row r="844" spans="1:7" x14ac:dyDescent="0.25">
      <c r="A844">
        <f>BIdetails!G847</f>
        <v>0</v>
      </c>
      <c r="B844">
        <f>BIdetails!H847</f>
        <v>0</v>
      </c>
      <c r="C844">
        <f>BIdetails!J847</f>
        <v>0</v>
      </c>
      <c r="D844">
        <f>BIdetails!K847</f>
        <v>0</v>
      </c>
      <c r="E844" s="168">
        <f>BIdetails!M847</f>
        <v>0</v>
      </c>
      <c r="F844" t="e">
        <f>IF(ISERROR(IF(OR(C844="#",C844=0),"",VLOOKUP(C844,'AOP24'!M:M,1,0))),"Not Found",VLOOKUP(C844,'AOP24'!M:M,1,0))</f>
        <v>#N/A</v>
      </c>
      <c r="G844" t="e">
        <f t="shared" si="13"/>
        <v>#N/A</v>
      </c>
    </row>
    <row r="845" spans="1:7" x14ac:dyDescent="0.25">
      <c r="A845">
        <f>BIdetails!G848</f>
        <v>0</v>
      </c>
      <c r="B845">
        <f>BIdetails!H848</f>
        <v>0</v>
      </c>
      <c r="C845">
        <f>BIdetails!J848</f>
        <v>0</v>
      </c>
      <c r="D845">
        <f>BIdetails!K848</f>
        <v>0</v>
      </c>
      <c r="E845" s="168">
        <f>BIdetails!M848</f>
        <v>0</v>
      </c>
      <c r="F845" t="e">
        <f>IF(ISERROR(IF(OR(C845="#",C845=0),"",VLOOKUP(C845,'AOP24'!M:M,1,0))),"Not Found",VLOOKUP(C845,'AOP24'!M:M,1,0))</f>
        <v>#N/A</v>
      </c>
      <c r="G845" t="e">
        <f t="shared" si="13"/>
        <v>#N/A</v>
      </c>
    </row>
    <row r="846" spans="1:7" x14ac:dyDescent="0.25">
      <c r="A846">
        <f>BIdetails!G849</f>
        <v>0</v>
      </c>
      <c r="B846">
        <f>BIdetails!H849</f>
        <v>0</v>
      </c>
      <c r="C846">
        <f>BIdetails!J849</f>
        <v>0</v>
      </c>
      <c r="D846">
        <f>BIdetails!K849</f>
        <v>0</v>
      </c>
      <c r="E846" s="168">
        <f>BIdetails!M849</f>
        <v>0</v>
      </c>
      <c r="F846" t="e">
        <f>IF(ISERROR(IF(OR(C846="#",C846=0),"",VLOOKUP(C846,'AOP24'!M:M,1,0))),"Not Found",VLOOKUP(C846,'AOP24'!M:M,1,0))</f>
        <v>#N/A</v>
      </c>
      <c r="G846" t="e">
        <f t="shared" si="13"/>
        <v>#N/A</v>
      </c>
    </row>
    <row r="847" spans="1:7" x14ac:dyDescent="0.25">
      <c r="A847">
        <f>BIdetails!G850</f>
        <v>0</v>
      </c>
      <c r="B847">
        <f>BIdetails!H850</f>
        <v>0</v>
      </c>
      <c r="C847">
        <f>BIdetails!J850</f>
        <v>0</v>
      </c>
      <c r="D847">
        <f>BIdetails!K850</f>
        <v>0</v>
      </c>
      <c r="E847" s="168">
        <f>BIdetails!M850</f>
        <v>0</v>
      </c>
      <c r="F847" t="e">
        <f>IF(ISERROR(IF(OR(C847="#",C847=0),"",VLOOKUP(C847,'AOP24'!M:M,1,0))),"Not Found",VLOOKUP(C847,'AOP24'!M:M,1,0))</f>
        <v>#N/A</v>
      </c>
      <c r="G847" t="e">
        <f t="shared" si="13"/>
        <v>#N/A</v>
      </c>
    </row>
    <row r="848" spans="1:7" x14ac:dyDescent="0.25">
      <c r="A848">
        <f>BIdetails!G851</f>
        <v>0</v>
      </c>
      <c r="B848">
        <f>BIdetails!H851</f>
        <v>0</v>
      </c>
      <c r="C848">
        <f>BIdetails!J851</f>
        <v>0</v>
      </c>
      <c r="D848">
        <f>BIdetails!K851</f>
        <v>0</v>
      </c>
      <c r="E848" s="168">
        <f>BIdetails!M851</f>
        <v>0</v>
      </c>
      <c r="F848" t="e">
        <f>IF(ISERROR(IF(OR(C848="#",C848=0),"",VLOOKUP(C848,'AOP24'!M:M,1,0))),"Not Found",VLOOKUP(C848,'AOP24'!M:M,1,0))</f>
        <v>#N/A</v>
      </c>
      <c r="G848" t="e">
        <f t="shared" si="13"/>
        <v>#N/A</v>
      </c>
    </row>
    <row r="849" spans="1:7" x14ac:dyDescent="0.25">
      <c r="A849">
        <f>BIdetails!G852</f>
        <v>0</v>
      </c>
      <c r="B849">
        <f>BIdetails!H852</f>
        <v>0</v>
      </c>
      <c r="C849">
        <f>BIdetails!J852</f>
        <v>0</v>
      </c>
      <c r="D849">
        <f>BIdetails!K852</f>
        <v>0</v>
      </c>
      <c r="E849" s="168">
        <f>BIdetails!M852</f>
        <v>0</v>
      </c>
      <c r="F849" t="e">
        <f>IF(ISERROR(IF(OR(C849="#",C849=0),"",VLOOKUP(C849,'AOP24'!M:M,1,0))),"Not Found",VLOOKUP(C849,'AOP24'!M:M,1,0))</f>
        <v>#N/A</v>
      </c>
      <c r="G849" t="e">
        <f t="shared" si="13"/>
        <v>#N/A</v>
      </c>
    </row>
    <row r="850" spans="1:7" x14ac:dyDescent="0.25">
      <c r="A850">
        <f>BIdetails!G853</f>
        <v>0</v>
      </c>
      <c r="B850">
        <f>BIdetails!H853</f>
        <v>0</v>
      </c>
      <c r="C850">
        <f>BIdetails!J853</f>
        <v>0</v>
      </c>
      <c r="D850">
        <f>BIdetails!K853</f>
        <v>0</v>
      </c>
      <c r="E850" s="168">
        <f>BIdetails!M853</f>
        <v>0</v>
      </c>
      <c r="F850" t="e">
        <f>IF(ISERROR(IF(OR(C850="#",C850=0),"",VLOOKUP(C850,'AOP24'!M:M,1,0))),"Not Found",VLOOKUP(C850,'AOP24'!M:M,1,0))</f>
        <v>#N/A</v>
      </c>
      <c r="G850" t="e">
        <f t="shared" si="13"/>
        <v>#N/A</v>
      </c>
    </row>
    <row r="851" spans="1:7" x14ac:dyDescent="0.25">
      <c r="A851">
        <f>BIdetails!G854</f>
        <v>0</v>
      </c>
      <c r="B851">
        <f>BIdetails!H854</f>
        <v>0</v>
      </c>
      <c r="C851">
        <f>BIdetails!J854</f>
        <v>0</v>
      </c>
      <c r="D851">
        <f>BIdetails!K854</f>
        <v>0</v>
      </c>
      <c r="E851" s="168">
        <f>BIdetails!M854</f>
        <v>0</v>
      </c>
      <c r="F851" t="e">
        <f>IF(ISERROR(IF(OR(C851="#",C851=0),"",VLOOKUP(C851,'AOP24'!M:M,1,0))),"Not Found",VLOOKUP(C851,'AOP24'!M:M,1,0))</f>
        <v>#N/A</v>
      </c>
      <c r="G851" t="e">
        <f t="shared" si="13"/>
        <v>#N/A</v>
      </c>
    </row>
    <row r="852" spans="1:7" x14ac:dyDescent="0.25">
      <c r="A852">
        <f>BIdetails!G855</f>
        <v>0</v>
      </c>
      <c r="B852">
        <f>BIdetails!H855</f>
        <v>0</v>
      </c>
      <c r="C852">
        <f>BIdetails!J855</f>
        <v>0</v>
      </c>
      <c r="D852">
        <f>BIdetails!K855</f>
        <v>0</v>
      </c>
      <c r="E852" s="168">
        <f>BIdetails!M855</f>
        <v>0</v>
      </c>
      <c r="F852" t="e">
        <f>IF(ISERROR(IF(OR(C852="#",C852=0),"",VLOOKUP(C852,'AOP24'!M:M,1,0))),"Not Found",VLOOKUP(C852,'AOP24'!M:M,1,0))</f>
        <v>#N/A</v>
      </c>
      <c r="G852" t="e">
        <f t="shared" si="13"/>
        <v>#N/A</v>
      </c>
    </row>
    <row r="853" spans="1:7" x14ac:dyDescent="0.25">
      <c r="A853">
        <f>BIdetails!G856</f>
        <v>0</v>
      </c>
      <c r="B853">
        <f>BIdetails!H856</f>
        <v>0</v>
      </c>
      <c r="C853">
        <f>BIdetails!J856</f>
        <v>0</v>
      </c>
      <c r="D853">
        <f>BIdetails!K856</f>
        <v>0</v>
      </c>
      <c r="E853" s="168">
        <f>BIdetails!M856</f>
        <v>0</v>
      </c>
      <c r="F853" t="e">
        <f>IF(ISERROR(IF(OR(C853="#",C853=0),"",VLOOKUP(C853,'AOP24'!M:M,1,0))),"Not Found",VLOOKUP(C853,'AOP24'!M:M,1,0))</f>
        <v>#N/A</v>
      </c>
      <c r="G853" t="e">
        <f t="shared" si="13"/>
        <v>#N/A</v>
      </c>
    </row>
    <row r="854" spans="1:7" x14ac:dyDescent="0.25">
      <c r="A854">
        <f>BIdetails!G857</f>
        <v>0</v>
      </c>
      <c r="B854">
        <f>BIdetails!H857</f>
        <v>0</v>
      </c>
      <c r="C854">
        <f>BIdetails!J857</f>
        <v>0</v>
      </c>
      <c r="D854">
        <f>BIdetails!K857</f>
        <v>0</v>
      </c>
      <c r="E854" s="168">
        <f>BIdetails!M857</f>
        <v>0</v>
      </c>
      <c r="F854" t="e">
        <f>IF(ISERROR(IF(OR(C854="#",C854=0),"",VLOOKUP(C854,'AOP24'!M:M,1,0))),"Not Found",VLOOKUP(C854,'AOP24'!M:M,1,0))</f>
        <v>#N/A</v>
      </c>
      <c r="G854" t="e">
        <f t="shared" si="13"/>
        <v>#N/A</v>
      </c>
    </row>
    <row r="855" spans="1:7" x14ac:dyDescent="0.25">
      <c r="A855">
        <f>BIdetails!G858</f>
        <v>0</v>
      </c>
      <c r="B855">
        <f>BIdetails!H858</f>
        <v>0</v>
      </c>
      <c r="C855">
        <f>BIdetails!J858</f>
        <v>0</v>
      </c>
      <c r="D855">
        <f>BIdetails!K858</f>
        <v>0</v>
      </c>
      <c r="E855" s="168">
        <f>BIdetails!M858</f>
        <v>0</v>
      </c>
      <c r="F855" t="e">
        <f>IF(ISERROR(IF(OR(C855="#",C855=0),"",VLOOKUP(C855,'AOP24'!M:M,1,0))),"Not Found",VLOOKUP(C855,'AOP24'!M:M,1,0))</f>
        <v>#N/A</v>
      </c>
      <c r="G855" t="e">
        <f t="shared" si="13"/>
        <v>#N/A</v>
      </c>
    </row>
    <row r="856" spans="1:7" x14ac:dyDescent="0.25">
      <c r="A856">
        <f>BIdetails!G859</f>
        <v>0</v>
      </c>
      <c r="B856">
        <f>BIdetails!H859</f>
        <v>0</v>
      </c>
      <c r="C856">
        <f>BIdetails!J859</f>
        <v>0</v>
      </c>
      <c r="D856">
        <f>BIdetails!K859</f>
        <v>0</v>
      </c>
      <c r="E856" s="168">
        <f>BIdetails!M859</f>
        <v>0</v>
      </c>
      <c r="F856" t="e">
        <f>IF(ISERROR(IF(OR(C856="#",C856=0),"",VLOOKUP(C856,'AOP24'!M:M,1,0))),"Not Found",VLOOKUP(C856,'AOP24'!M:M,1,0))</f>
        <v>#N/A</v>
      </c>
      <c r="G856" t="e">
        <f t="shared" si="13"/>
        <v>#N/A</v>
      </c>
    </row>
    <row r="857" spans="1:7" x14ac:dyDescent="0.25">
      <c r="A857">
        <f>BIdetails!G860</f>
        <v>0</v>
      </c>
      <c r="B857">
        <f>BIdetails!H860</f>
        <v>0</v>
      </c>
      <c r="C857">
        <f>BIdetails!J860</f>
        <v>0</v>
      </c>
      <c r="D857">
        <f>BIdetails!K860</f>
        <v>0</v>
      </c>
      <c r="E857" s="168">
        <f>BIdetails!M860</f>
        <v>0</v>
      </c>
      <c r="F857" t="e">
        <f>IF(ISERROR(IF(OR(C857="#",C857=0),"",VLOOKUP(C857,'AOP24'!M:M,1,0))),"Not Found",VLOOKUP(C857,'AOP24'!M:M,1,0))</f>
        <v>#N/A</v>
      </c>
      <c r="G857" t="e">
        <f t="shared" si="13"/>
        <v>#N/A</v>
      </c>
    </row>
    <row r="858" spans="1:7" x14ac:dyDescent="0.25">
      <c r="A858">
        <f>BIdetails!G861</f>
        <v>0</v>
      </c>
      <c r="B858">
        <f>BIdetails!H861</f>
        <v>0</v>
      </c>
      <c r="C858">
        <f>BIdetails!J861</f>
        <v>0</v>
      </c>
      <c r="D858">
        <f>BIdetails!K861</f>
        <v>0</v>
      </c>
      <c r="E858" s="168">
        <f>BIdetails!M861</f>
        <v>0</v>
      </c>
      <c r="F858" t="e">
        <f>IF(ISERROR(IF(OR(C858="#",C858=0),"",VLOOKUP(C858,'AOP24'!M:M,1,0))),"Not Found",VLOOKUP(C858,'AOP24'!M:M,1,0))</f>
        <v>#N/A</v>
      </c>
      <c r="G858" t="e">
        <f t="shared" si="13"/>
        <v>#N/A</v>
      </c>
    </row>
    <row r="859" spans="1:7" x14ac:dyDescent="0.25">
      <c r="A859">
        <f>BIdetails!G862</f>
        <v>0</v>
      </c>
      <c r="B859">
        <f>BIdetails!H862</f>
        <v>0</v>
      </c>
      <c r="C859">
        <f>BIdetails!J862</f>
        <v>0</v>
      </c>
      <c r="D859">
        <f>BIdetails!K862</f>
        <v>0</v>
      </c>
      <c r="E859" s="168">
        <f>BIdetails!M862</f>
        <v>0</v>
      </c>
      <c r="F859" t="e">
        <f>IF(ISERROR(IF(OR(C859="#",C859=0),"",VLOOKUP(C859,'AOP24'!M:M,1,0))),"Not Found",VLOOKUP(C859,'AOP24'!M:M,1,0))</f>
        <v>#N/A</v>
      </c>
      <c r="G859" t="e">
        <f t="shared" si="13"/>
        <v>#N/A</v>
      </c>
    </row>
    <row r="860" spans="1:7" x14ac:dyDescent="0.25">
      <c r="A860">
        <f>BIdetails!G863</f>
        <v>0</v>
      </c>
      <c r="B860">
        <f>BIdetails!H863</f>
        <v>0</v>
      </c>
      <c r="C860">
        <f>BIdetails!J863</f>
        <v>0</v>
      </c>
      <c r="D860">
        <f>BIdetails!K863</f>
        <v>0</v>
      </c>
      <c r="E860" s="168">
        <f>BIdetails!M863</f>
        <v>0</v>
      </c>
      <c r="F860" t="e">
        <f>IF(ISERROR(IF(OR(C860="#",C860=0),"",VLOOKUP(C860,'AOP24'!M:M,1,0))),"Not Found",VLOOKUP(C860,'AOP24'!M:M,1,0))</f>
        <v>#N/A</v>
      </c>
      <c r="G860" t="e">
        <f t="shared" si="13"/>
        <v>#N/A</v>
      </c>
    </row>
    <row r="861" spans="1:7" x14ac:dyDescent="0.25">
      <c r="A861">
        <f>BIdetails!G864</f>
        <v>0</v>
      </c>
      <c r="B861">
        <f>BIdetails!H864</f>
        <v>0</v>
      </c>
      <c r="C861">
        <f>BIdetails!J864</f>
        <v>0</v>
      </c>
      <c r="D861">
        <f>BIdetails!K864</f>
        <v>0</v>
      </c>
      <c r="E861" s="168">
        <f>BIdetails!M864</f>
        <v>0</v>
      </c>
      <c r="F861" t="e">
        <f>IF(ISERROR(IF(OR(C861="#",C861=0),"",VLOOKUP(C861,'AOP24'!M:M,1,0))),"Not Found",VLOOKUP(C861,'AOP24'!M:M,1,0))</f>
        <v>#N/A</v>
      </c>
      <c r="G861" t="e">
        <f t="shared" si="13"/>
        <v>#N/A</v>
      </c>
    </row>
    <row r="862" spans="1:7" x14ac:dyDescent="0.25">
      <c r="A862">
        <f>BIdetails!G865</f>
        <v>0</v>
      </c>
      <c r="B862">
        <f>BIdetails!H865</f>
        <v>0</v>
      </c>
      <c r="C862">
        <f>BIdetails!J865</f>
        <v>0</v>
      </c>
      <c r="D862">
        <f>BIdetails!K865</f>
        <v>0</v>
      </c>
      <c r="E862" s="168">
        <f>BIdetails!M865</f>
        <v>0</v>
      </c>
      <c r="F862" t="e">
        <f>IF(ISERROR(IF(OR(C862="#",C862=0),"",VLOOKUP(C862,'AOP24'!M:M,1,0))),"Not Found",VLOOKUP(C862,'AOP24'!M:M,1,0))</f>
        <v>#N/A</v>
      </c>
      <c r="G862" t="e">
        <f t="shared" si="13"/>
        <v>#N/A</v>
      </c>
    </row>
    <row r="863" spans="1:7" x14ac:dyDescent="0.25">
      <c r="A863">
        <f>BIdetails!G866</f>
        <v>0</v>
      </c>
      <c r="B863">
        <f>BIdetails!H866</f>
        <v>0</v>
      </c>
      <c r="C863">
        <f>BIdetails!J866</f>
        <v>0</v>
      </c>
      <c r="D863">
        <f>BIdetails!K866</f>
        <v>0</v>
      </c>
      <c r="E863" s="168">
        <f>BIdetails!M866</f>
        <v>0</v>
      </c>
      <c r="F863" t="e">
        <f>IF(ISERROR(IF(OR(C863="#",C863=0),"",VLOOKUP(C863,'AOP24'!M:M,1,0))),"Not Found",VLOOKUP(C863,'AOP24'!M:M,1,0))</f>
        <v>#N/A</v>
      </c>
      <c r="G863" t="e">
        <f t="shared" si="13"/>
        <v>#N/A</v>
      </c>
    </row>
    <row r="864" spans="1:7" x14ac:dyDescent="0.25">
      <c r="A864">
        <f>BIdetails!G867</f>
        <v>0</v>
      </c>
      <c r="B864">
        <f>BIdetails!H867</f>
        <v>0</v>
      </c>
      <c r="C864">
        <f>BIdetails!J867</f>
        <v>0</v>
      </c>
      <c r="D864">
        <f>BIdetails!K867</f>
        <v>0</v>
      </c>
      <c r="E864" s="168">
        <f>BIdetails!M867</f>
        <v>0</v>
      </c>
      <c r="F864" t="e">
        <f>IF(ISERROR(IF(OR(C864="#",C864=0),"",VLOOKUP(C864,'AOP24'!M:M,1,0))),"Not Found",VLOOKUP(C864,'AOP24'!M:M,1,0))</f>
        <v>#N/A</v>
      </c>
      <c r="G864" t="e">
        <f t="shared" si="13"/>
        <v>#N/A</v>
      </c>
    </row>
    <row r="865" spans="1:7" x14ac:dyDescent="0.25">
      <c r="A865">
        <f>BIdetails!G868</f>
        <v>0</v>
      </c>
      <c r="B865">
        <f>BIdetails!H868</f>
        <v>0</v>
      </c>
      <c r="C865">
        <f>BIdetails!J868</f>
        <v>0</v>
      </c>
      <c r="D865">
        <f>BIdetails!K868</f>
        <v>0</v>
      </c>
      <c r="E865" s="168">
        <f>BIdetails!M868</f>
        <v>0</v>
      </c>
      <c r="F865" t="e">
        <f>IF(ISERROR(IF(OR(C865="#",C865=0),"",VLOOKUP(C865,'AOP24'!M:M,1,0))),"Not Found",VLOOKUP(C865,'AOP24'!M:M,1,0))</f>
        <v>#N/A</v>
      </c>
      <c r="G865" t="e">
        <f t="shared" si="13"/>
        <v>#N/A</v>
      </c>
    </row>
    <row r="866" spans="1:7" x14ac:dyDescent="0.25">
      <c r="A866">
        <f>BIdetails!G869</f>
        <v>0</v>
      </c>
      <c r="B866">
        <f>BIdetails!H869</f>
        <v>0</v>
      </c>
      <c r="C866">
        <f>BIdetails!J869</f>
        <v>0</v>
      </c>
      <c r="D866">
        <f>BIdetails!K869</f>
        <v>0</v>
      </c>
      <c r="E866" s="168">
        <f>BIdetails!M869</f>
        <v>0</v>
      </c>
      <c r="F866" t="e">
        <f>IF(ISERROR(IF(OR(C866="#",C866=0),"",VLOOKUP(C866,'AOP24'!M:M,1,0))),"Not Found",VLOOKUP(C866,'AOP24'!M:M,1,0))</f>
        <v>#N/A</v>
      </c>
      <c r="G866" t="e">
        <f t="shared" si="13"/>
        <v>#N/A</v>
      </c>
    </row>
    <row r="867" spans="1:7" x14ac:dyDescent="0.25">
      <c r="A867">
        <f>BIdetails!G870</f>
        <v>0</v>
      </c>
      <c r="B867">
        <f>BIdetails!H870</f>
        <v>0</v>
      </c>
      <c r="C867">
        <f>BIdetails!J870</f>
        <v>0</v>
      </c>
      <c r="D867">
        <f>BIdetails!K870</f>
        <v>0</v>
      </c>
      <c r="E867" s="168">
        <f>BIdetails!M870</f>
        <v>0</v>
      </c>
      <c r="F867" t="e">
        <f>IF(ISERROR(IF(OR(C867="#",C867=0),"",VLOOKUP(C867,'AOP24'!M:M,1,0))),"Not Found",VLOOKUP(C867,'AOP24'!M:M,1,0))</f>
        <v>#N/A</v>
      </c>
      <c r="G867" t="e">
        <f t="shared" si="13"/>
        <v>#N/A</v>
      </c>
    </row>
    <row r="868" spans="1:7" x14ac:dyDescent="0.25">
      <c r="A868">
        <f>BIdetails!G871</f>
        <v>0</v>
      </c>
      <c r="B868">
        <f>BIdetails!H871</f>
        <v>0</v>
      </c>
      <c r="C868">
        <f>BIdetails!J871</f>
        <v>0</v>
      </c>
      <c r="D868">
        <f>BIdetails!K871</f>
        <v>0</v>
      </c>
      <c r="E868" s="168">
        <f>BIdetails!M871</f>
        <v>0</v>
      </c>
      <c r="F868" t="e">
        <f>IF(ISERROR(IF(OR(C868="#",C868=0),"",VLOOKUP(C868,'AOP24'!M:M,1,0))),"Not Found",VLOOKUP(C868,'AOP24'!M:M,1,0))</f>
        <v>#N/A</v>
      </c>
      <c r="G868" t="e">
        <f t="shared" si="13"/>
        <v>#N/A</v>
      </c>
    </row>
    <row r="869" spans="1:7" x14ac:dyDescent="0.25">
      <c r="A869">
        <f>BIdetails!G872</f>
        <v>0</v>
      </c>
      <c r="B869">
        <f>BIdetails!H872</f>
        <v>0</v>
      </c>
      <c r="C869">
        <f>BIdetails!J872</f>
        <v>0</v>
      </c>
      <c r="D869">
        <f>BIdetails!K872</f>
        <v>0</v>
      </c>
      <c r="E869" s="168">
        <f>BIdetails!M872</f>
        <v>0</v>
      </c>
      <c r="F869" t="e">
        <f>IF(ISERROR(IF(OR(C869="#",C869=0),"",VLOOKUP(C869,'AOP24'!M:M,1,0))),"Not Found",VLOOKUP(C869,'AOP24'!M:M,1,0))</f>
        <v>#N/A</v>
      </c>
      <c r="G869" t="e">
        <f t="shared" si="13"/>
        <v>#N/A</v>
      </c>
    </row>
    <row r="870" spans="1:7" x14ac:dyDescent="0.25">
      <c r="A870">
        <f>BIdetails!G873</f>
        <v>0</v>
      </c>
      <c r="B870">
        <f>BIdetails!H873</f>
        <v>0</v>
      </c>
      <c r="C870">
        <f>BIdetails!J873</f>
        <v>0</v>
      </c>
      <c r="D870">
        <f>BIdetails!K873</f>
        <v>0</v>
      </c>
      <c r="E870" s="168">
        <f>BIdetails!M873</f>
        <v>0</v>
      </c>
      <c r="F870" t="e">
        <f>IF(ISERROR(IF(OR(C870="#",C870=0),"",VLOOKUP(C870,'AOP24'!M:M,1,0))),"Not Found",VLOOKUP(C870,'AOP24'!M:M,1,0))</f>
        <v>#N/A</v>
      </c>
      <c r="G870" t="e">
        <f t="shared" si="13"/>
        <v>#N/A</v>
      </c>
    </row>
    <row r="871" spans="1:7" x14ac:dyDescent="0.25">
      <c r="A871">
        <f>BIdetails!G874</f>
        <v>0</v>
      </c>
      <c r="B871">
        <f>BIdetails!H874</f>
        <v>0</v>
      </c>
      <c r="C871">
        <f>BIdetails!J874</f>
        <v>0</v>
      </c>
      <c r="D871">
        <f>BIdetails!K874</f>
        <v>0</v>
      </c>
      <c r="E871" s="168">
        <f>BIdetails!M874</f>
        <v>0</v>
      </c>
      <c r="F871" t="e">
        <f>IF(ISERROR(IF(OR(C871="#",C871=0),"",VLOOKUP(C871,'AOP24'!M:M,1,0))),"Not Found",VLOOKUP(C871,'AOP24'!M:M,1,0))</f>
        <v>#N/A</v>
      </c>
      <c r="G871" t="e">
        <f t="shared" si="13"/>
        <v>#N/A</v>
      </c>
    </row>
    <row r="872" spans="1:7" x14ac:dyDescent="0.25">
      <c r="A872">
        <f>BIdetails!G875</f>
        <v>0</v>
      </c>
      <c r="B872">
        <f>BIdetails!H875</f>
        <v>0</v>
      </c>
      <c r="C872">
        <f>BIdetails!J875</f>
        <v>0</v>
      </c>
      <c r="D872">
        <f>BIdetails!K875</f>
        <v>0</v>
      </c>
      <c r="E872" s="168">
        <f>BIdetails!M875</f>
        <v>0</v>
      </c>
      <c r="F872" t="e">
        <f>IF(ISERROR(IF(OR(C872="#",C872=0),"",VLOOKUP(C872,'AOP24'!M:M,1,0))),"Not Found",VLOOKUP(C872,'AOP24'!M:M,1,0))</f>
        <v>#N/A</v>
      </c>
      <c r="G872" t="e">
        <f t="shared" si="13"/>
        <v>#N/A</v>
      </c>
    </row>
    <row r="873" spans="1:7" x14ac:dyDescent="0.25">
      <c r="A873">
        <f>BIdetails!G876</f>
        <v>0</v>
      </c>
      <c r="B873">
        <f>BIdetails!H876</f>
        <v>0</v>
      </c>
      <c r="C873">
        <f>BIdetails!J876</f>
        <v>0</v>
      </c>
      <c r="D873">
        <f>BIdetails!K876</f>
        <v>0</v>
      </c>
      <c r="E873" s="168">
        <f>BIdetails!M876</f>
        <v>0</v>
      </c>
      <c r="F873" t="e">
        <f>IF(ISERROR(IF(OR(C873="#",C873=0),"",VLOOKUP(C873,'AOP24'!M:M,1,0))),"Not Found",VLOOKUP(C873,'AOP24'!M:M,1,0))</f>
        <v>#N/A</v>
      </c>
      <c r="G873" t="e">
        <f t="shared" si="13"/>
        <v>#N/A</v>
      </c>
    </row>
    <row r="874" spans="1:7" x14ac:dyDescent="0.25">
      <c r="A874">
        <f>BIdetails!G877</f>
        <v>0</v>
      </c>
      <c r="B874">
        <f>BIdetails!H877</f>
        <v>0</v>
      </c>
      <c r="C874">
        <f>BIdetails!J877</f>
        <v>0</v>
      </c>
      <c r="D874">
        <f>BIdetails!K877</f>
        <v>0</v>
      </c>
      <c r="E874" s="168">
        <f>BIdetails!M877</f>
        <v>0</v>
      </c>
      <c r="F874" t="e">
        <f>IF(ISERROR(IF(OR(C874="#",C874=0),"",VLOOKUP(C874,'AOP24'!M:M,1,0))),"Not Found",VLOOKUP(C874,'AOP24'!M:M,1,0))</f>
        <v>#N/A</v>
      </c>
      <c r="G874" t="e">
        <f t="shared" si="13"/>
        <v>#N/A</v>
      </c>
    </row>
    <row r="875" spans="1:7" x14ac:dyDescent="0.25">
      <c r="A875">
        <f>BIdetails!G878</f>
        <v>0</v>
      </c>
      <c r="B875">
        <f>BIdetails!H878</f>
        <v>0</v>
      </c>
      <c r="C875">
        <f>BIdetails!J878</f>
        <v>0</v>
      </c>
      <c r="D875">
        <f>BIdetails!K878</f>
        <v>0</v>
      </c>
      <c r="E875" s="168">
        <f>BIdetails!M878</f>
        <v>0</v>
      </c>
      <c r="F875" t="e">
        <f>IF(ISERROR(IF(OR(C875="#",C875=0),"",VLOOKUP(C875,'AOP24'!M:M,1,0))),"Not Found",VLOOKUP(C875,'AOP24'!M:M,1,0))</f>
        <v>#N/A</v>
      </c>
      <c r="G875" t="e">
        <f t="shared" si="13"/>
        <v>#N/A</v>
      </c>
    </row>
    <row r="876" spans="1:7" x14ac:dyDescent="0.25">
      <c r="A876">
        <f>BIdetails!G879</f>
        <v>0</v>
      </c>
      <c r="B876">
        <f>BIdetails!H879</f>
        <v>0</v>
      </c>
      <c r="C876">
        <f>BIdetails!J879</f>
        <v>0</v>
      </c>
      <c r="D876">
        <f>BIdetails!K879</f>
        <v>0</v>
      </c>
      <c r="E876" s="168">
        <f>BIdetails!M879</f>
        <v>0</v>
      </c>
      <c r="F876" t="e">
        <f>IF(ISERROR(IF(OR(C876="#",C876=0),"",VLOOKUP(C876,'AOP24'!M:M,1,0))),"Not Found",VLOOKUP(C876,'AOP24'!M:M,1,0))</f>
        <v>#N/A</v>
      </c>
      <c r="G876" t="e">
        <f t="shared" si="13"/>
        <v>#N/A</v>
      </c>
    </row>
    <row r="877" spans="1:7" x14ac:dyDescent="0.25">
      <c r="A877">
        <f>BIdetails!G880</f>
        <v>0</v>
      </c>
      <c r="B877">
        <f>BIdetails!H880</f>
        <v>0</v>
      </c>
      <c r="C877">
        <f>BIdetails!J880</f>
        <v>0</v>
      </c>
      <c r="D877">
        <f>BIdetails!K880</f>
        <v>0</v>
      </c>
      <c r="E877" s="168">
        <f>BIdetails!M880</f>
        <v>0</v>
      </c>
      <c r="F877" t="e">
        <f>IF(ISERROR(IF(OR(C877="#",C877=0),"",VLOOKUP(C877,'AOP24'!M:M,1,0))),"Not Found",VLOOKUP(C877,'AOP24'!M:M,1,0))</f>
        <v>#N/A</v>
      </c>
      <c r="G877" t="e">
        <f t="shared" si="13"/>
        <v>#N/A</v>
      </c>
    </row>
    <row r="878" spans="1:7" x14ac:dyDescent="0.25">
      <c r="A878">
        <f>BIdetails!G881</f>
        <v>0</v>
      </c>
      <c r="B878">
        <f>BIdetails!H881</f>
        <v>0</v>
      </c>
      <c r="C878">
        <f>BIdetails!J881</f>
        <v>0</v>
      </c>
      <c r="D878">
        <f>BIdetails!K881</f>
        <v>0</v>
      </c>
      <c r="E878" s="168">
        <f>BIdetails!M881</f>
        <v>0</v>
      </c>
      <c r="F878" t="e">
        <f>IF(ISERROR(IF(OR(C878="#",C878=0),"",VLOOKUP(C878,'AOP24'!M:M,1,0))),"Not Found",VLOOKUP(C878,'AOP24'!M:M,1,0))</f>
        <v>#N/A</v>
      </c>
      <c r="G878" t="e">
        <f t="shared" si="13"/>
        <v>#N/A</v>
      </c>
    </row>
    <row r="879" spans="1:7" x14ac:dyDescent="0.25">
      <c r="A879">
        <f>BIdetails!G882</f>
        <v>0</v>
      </c>
      <c r="B879">
        <f>BIdetails!H882</f>
        <v>0</v>
      </c>
      <c r="C879">
        <f>BIdetails!J882</f>
        <v>0</v>
      </c>
      <c r="D879">
        <f>BIdetails!K882</f>
        <v>0</v>
      </c>
      <c r="E879" s="168">
        <f>BIdetails!M882</f>
        <v>0</v>
      </c>
      <c r="F879" t="e">
        <f>IF(ISERROR(IF(OR(C879="#",C879=0),"",VLOOKUP(C879,'AOP24'!M:M,1,0))),"Not Found",VLOOKUP(C879,'AOP24'!M:M,1,0))</f>
        <v>#N/A</v>
      </c>
      <c r="G879" t="e">
        <f t="shared" si="13"/>
        <v>#N/A</v>
      </c>
    </row>
    <row r="880" spans="1:7" x14ac:dyDescent="0.25">
      <c r="A880">
        <f>BIdetails!G883</f>
        <v>0</v>
      </c>
      <c r="B880">
        <f>BIdetails!H883</f>
        <v>0</v>
      </c>
      <c r="C880">
        <f>BIdetails!J883</f>
        <v>0</v>
      </c>
      <c r="D880">
        <f>BIdetails!K883</f>
        <v>0</v>
      </c>
      <c r="E880" s="168">
        <f>BIdetails!M883</f>
        <v>0</v>
      </c>
      <c r="F880" t="e">
        <f>IF(ISERROR(IF(OR(C880="#",C880=0),"",VLOOKUP(C880,'AOP24'!M:M,1,0))),"Not Found",VLOOKUP(C880,'AOP24'!M:M,1,0))</f>
        <v>#N/A</v>
      </c>
      <c r="G880" t="e">
        <f t="shared" si="13"/>
        <v>#N/A</v>
      </c>
    </row>
    <row r="881" spans="1:7" x14ac:dyDescent="0.25">
      <c r="A881">
        <f>BIdetails!G884</f>
        <v>0</v>
      </c>
      <c r="B881">
        <f>BIdetails!H884</f>
        <v>0</v>
      </c>
      <c r="C881">
        <f>BIdetails!J884</f>
        <v>0</v>
      </c>
      <c r="D881">
        <f>BIdetails!K884</f>
        <v>0</v>
      </c>
      <c r="E881" s="168">
        <f>BIdetails!M884</f>
        <v>0</v>
      </c>
      <c r="F881" t="e">
        <f>IF(ISERROR(IF(OR(C881="#",C881=0),"",VLOOKUP(C881,'AOP24'!M:M,1,0))),"Not Found",VLOOKUP(C881,'AOP24'!M:M,1,0))</f>
        <v>#N/A</v>
      </c>
      <c r="G881" t="e">
        <f t="shared" si="13"/>
        <v>#N/A</v>
      </c>
    </row>
    <row r="882" spans="1:7" x14ac:dyDescent="0.25">
      <c r="A882">
        <f>BIdetails!G885</f>
        <v>0</v>
      </c>
      <c r="B882">
        <f>BIdetails!H885</f>
        <v>0</v>
      </c>
      <c r="C882">
        <f>BIdetails!J885</f>
        <v>0</v>
      </c>
      <c r="D882">
        <f>BIdetails!K885</f>
        <v>0</v>
      </c>
      <c r="E882" s="168">
        <f>BIdetails!M885</f>
        <v>0</v>
      </c>
      <c r="F882" t="e">
        <f>IF(ISERROR(IF(OR(C882="#",C882=0),"",VLOOKUP(C882,'AOP24'!M:M,1,0))),"Not Found",VLOOKUP(C882,'AOP24'!M:M,1,0))</f>
        <v>#N/A</v>
      </c>
      <c r="G882" t="e">
        <f t="shared" si="13"/>
        <v>#N/A</v>
      </c>
    </row>
    <row r="883" spans="1:7" x14ac:dyDescent="0.25">
      <c r="A883">
        <f>BIdetails!G886</f>
        <v>0</v>
      </c>
      <c r="B883">
        <f>BIdetails!H886</f>
        <v>0</v>
      </c>
      <c r="C883">
        <f>BIdetails!J886</f>
        <v>0</v>
      </c>
      <c r="D883">
        <f>BIdetails!K886</f>
        <v>0</v>
      </c>
      <c r="E883" s="168">
        <f>BIdetails!M886</f>
        <v>0</v>
      </c>
      <c r="F883" t="e">
        <f>IF(ISERROR(IF(OR(C883="#",C883=0),"",VLOOKUP(C883,'AOP24'!M:M,1,0))),"Not Found",VLOOKUP(C883,'AOP24'!M:M,1,0))</f>
        <v>#N/A</v>
      </c>
      <c r="G883" t="e">
        <f t="shared" si="13"/>
        <v>#N/A</v>
      </c>
    </row>
    <row r="884" spans="1:7" x14ac:dyDescent="0.25">
      <c r="A884">
        <f>BIdetails!G887</f>
        <v>0</v>
      </c>
      <c r="B884">
        <f>BIdetails!H887</f>
        <v>0</v>
      </c>
      <c r="C884">
        <f>BIdetails!J887</f>
        <v>0</v>
      </c>
      <c r="D884">
        <f>BIdetails!K887</f>
        <v>0</v>
      </c>
      <c r="E884" s="168">
        <f>BIdetails!M887</f>
        <v>0</v>
      </c>
      <c r="F884" t="e">
        <f>IF(ISERROR(IF(OR(C884="#",C884=0),"",VLOOKUP(C884,'AOP24'!M:M,1,0))),"Not Found",VLOOKUP(C884,'AOP24'!M:M,1,0))</f>
        <v>#N/A</v>
      </c>
      <c r="G884" t="e">
        <f t="shared" si="13"/>
        <v>#N/A</v>
      </c>
    </row>
    <row r="885" spans="1:7" x14ac:dyDescent="0.25">
      <c r="A885">
        <f>BIdetails!G888</f>
        <v>0</v>
      </c>
      <c r="B885">
        <f>BIdetails!H888</f>
        <v>0</v>
      </c>
      <c r="C885">
        <f>BIdetails!J888</f>
        <v>0</v>
      </c>
      <c r="D885">
        <f>BIdetails!K888</f>
        <v>0</v>
      </c>
      <c r="E885" s="168">
        <f>BIdetails!M888</f>
        <v>0</v>
      </c>
      <c r="F885" t="e">
        <f>IF(ISERROR(IF(OR(C885="#",C885=0),"",VLOOKUP(C885,'AOP24'!M:M,1,0))),"Not Found",VLOOKUP(C885,'AOP24'!M:M,1,0))</f>
        <v>#N/A</v>
      </c>
      <c r="G885" t="e">
        <f t="shared" si="13"/>
        <v>#N/A</v>
      </c>
    </row>
    <row r="886" spans="1:7" x14ac:dyDescent="0.25">
      <c r="A886">
        <f>BIdetails!G889</f>
        <v>0</v>
      </c>
      <c r="B886">
        <f>BIdetails!H889</f>
        <v>0</v>
      </c>
      <c r="C886">
        <f>BIdetails!J889</f>
        <v>0</v>
      </c>
      <c r="D886">
        <f>BIdetails!K889</f>
        <v>0</v>
      </c>
      <c r="E886" s="168">
        <f>BIdetails!M889</f>
        <v>0</v>
      </c>
      <c r="F886" t="e">
        <f>IF(ISERROR(IF(OR(C886="#",C886=0),"",VLOOKUP(C886,'AOP24'!M:M,1,0))),"Not Found",VLOOKUP(C886,'AOP24'!M:M,1,0))</f>
        <v>#N/A</v>
      </c>
      <c r="G886" t="e">
        <f t="shared" si="13"/>
        <v>#N/A</v>
      </c>
    </row>
    <row r="887" spans="1:7" x14ac:dyDescent="0.25">
      <c r="A887">
        <f>BIdetails!G890</f>
        <v>0</v>
      </c>
      <c r="B887">
        <f>BIdetails!H890</f>
        <v>0</v>
      </c>
      <c r="C887">
        <f>BIdetails!J890</f>
        <v>0</v>
      </c>
      <c r="D887">
        <f>BIdetails!K890</f>
        <v>0</v>
      </c>
      <c r="E887" s="168">
        <f>BIdetails!M890</f>
        <v>0</v>
      </c>
      <c r="F887" t="e">
        <f>IF(ISERROR(IF(OR(C887="#",C887=0),"",VLOOKUP(C887,'AOP24'!M:M,1,0))),"Not Found",VLOOKUP(C887,'AOP24'!M:M,1,0))</f>
        <v>#N/A</v>
      </c>
      <c r="G887" t="e">
        <f t="shared" si="13"/>
        <v>#N/A</v>
      </c>
    </row>
    <row r="888" spans="1:7" x14ac:dyDescent="0.25">
      <c r="A888">
        <f>BIdetails!G891</f>
        <v>0</v>
      </c>
      <c r="B888">
        <f>BIdetails!H891</f>
        <v>0</v>
      </c>
      <c r="C888">
        <f>BIdetails!J891</f>
        <v>0</v>
      </c>
      <c r="D888">
        <f>BIdetails!K891</f>
        <v>0</v>
      </c>
      <c r="E888" s="168">
        <f>BIdetails!M891</f>
        <v>0</v>
      </c>
      <c r="F888" t="e">
        <f>IF(ISERROR(IF(OR(C888="#",C888=0),"",VLOOKUP(C888,'AOP24'!M:M,1,0))),"Not Found",VLOOKUP(C888,'AOP24'!M:M,1,0))</f>
        <v>#N/A</v>
      </c>
      <c r="G888" t="e">
        <f t="shared" si="13"/>
        <v>#N/A</v>
      </c>
    </row>
    <row r="889" spans="1:7" x14ac:dyDescent="0.25">
      <c r="A889">
        <f>BIdetails!G892</f>
        <v>0</v>
      </c>
      <c r="B889">
        <f>BIdetails!H892</f>
        <v>0</v>
      </c>
      <c r="C889">
        <f>BIdetails!J892</f>
        <v>0</v>
      </c>
      <c r="D889">
        <f>BIdetails!K892</f>
        <v>0</v>
      </c>
      <c r="E889" s="168">
        <f>BIdetails!M892</f>
        <v>0</v>
      </c>
      <c r="F889" t="e">
        <f>IF(ISERROR(IF(OR(C889="#",C889=0),"",VLOOKUP(C889,'AOP24'!M:M,1,0))),"Not Found",VLOOKUP(C889,'AOP24'!M:M,1,0))</f>
        <v>#N/A</v>
      </c>
      <c r="G889" t="e">
        <f t="shared" si="13"/>
        <v>#N/A</v>
      </c>
    </row>
    <row r="890" spans="1:7" x14ac:dyDescent="0.25">
      <c r="A890">
        <f>BIdetails!G893</f>
        <v>0</v>
      </c>
      <c r="B890">
        <f>BIdetails!H893</f>
        <v>0</v>
      </c>
      <c r="C890">
        <f>BIdetails!J893</f>
        <v>0</v>
      </c>
      <c r="D890">
        <f>BIdetails!K893</f>
        <v>0</v>
      </c>
      <c r="E890" s="168">
        <f>BIdetails!M893</f>
        <v>0</v>
      </c>
      <c r="F890" t="e">
        <f>IF(ISERROR(IF(OR(C890="#",C890=0),"",VLOOKUP(C890,'AOP24'!M:M,1,0))),"Not Found",VLOOKUP(C890,'AOP24'!M:M,1,0))</f>
        <v>#N/A</v>
      </c>
      <c r="G890" t="e">
        <f t="shared" ref="G890:G953" si="14">IF(NOT(ISERROR(VLOOKUP(C890,$K$2:$K$50,1,0))),"Y",VLOOKUP(C890,$K$2:$K$50,1,0))</f>
        <v>#N/A</v>
      </c>
    </row>
    <row r="891" spans="1:7" x14ac:dyDescent="0.25">
      <c r="A891">
        <f>BIdetails!G894</f>
        <v>0</v>
      </c>
      <c r="B891">
        <f>BIdetails!H894</f>
        <v>0</v>
      </c>
      <c r="C891">
        <f>BIdetails!J894</f>
        <v>0</v>
      </c>
      <c r="D891">
        <f>BIdetails!K894</f>
        <v>0</v>
      </c>
      <c r="E891" s="168">
        <f>BIdetails!M894</f>
        <v>0</v>
      </c>
      <c r="F891" t="e">
        <f>IF(ISERROR(IF(OR(C891="#",C891=0),"",VLOOKUP(C891,'AOP24'!M:M,1,0))),"Not Found",VLOOKUP(C891,'AOP24'!M:M,1,0))</f>
        <v>#N/A</v>
      </c>
      <c r="G891" t="e">
        <f t="shared" si="14"/>
        <v>#N/A</v>
      </c>
    </row>
    <row r="892" spans="1:7" x14ac:dyDescent="0.25">
      <c r="A892">
        <f>BIdetails!G895</f>
        <v>0</v>
      </c>
      <c r="B892">
        <f>BIdetails!H895</f>
        <v>0</v>
      </c>
      <c r="C892">
        <f>BIdetails!J895</f>
        <v>0</v>
      </c>
      <c r="D892">
        <f>BIdetails!K895</f>
        <v>0</v>
      </c>
      <c r="E892" s="168">
        <f>BIdetails!M895</f>
        <v>0</v>
      </c>
      <c r="F892" t="e">
        <f>IF(ISERROR(IF(OR(C892="#",C892=0),"",VLOOKUP(C892,'AOP24'!M:M,1,0))),"Not Found",VLOOKUP(C892,'AOP24'!M:M,1,0))</f>
        <v>#N/A</v>
      </c>
      <c r="G892" t="e">
        <f t="shared" si="14"/>
        <v>#N/A</v>
      </c>
    </row>
    <row r="893" spans="1:7" x14ac:dyDescent="0.25">
      <c r="A893">
        <f>BIdetails!G896</f>
        <v>0</v>
      </c>
      <c r="B893">
        <f>BIdetails!H896</f>
        <v>0</v>
      </c>
      <c r="C893">
        <f>BIdetails!J896</f>
        <v>0</v>
      </c>
      <c r="D893">
        <f>BIdetails!K896</f>
        <v>0</v>
      </c>
      <c r="E893" s="168">
        <f>BIdetails!M896</f>
        <v>0</v>
      </c>
      <c r="F893" t="e">
        <f>IF(ISERROR(IF(OR(C893="#",C893=0),"",VLOOKUP(C893,'AOP24'!M:M,1,0))),"Not Found",VLOOKUP(C893,'AOP24'!M:M,1,0))</f>
        <v>#N/A</v>
      </c>
      <c r="G893" t="e">
        <f t="shared" si="14"/>
        <v>#N/A</v>
      </c>
    </row>
    <row r="894" spans="1:7" x14ac:dyDescent="0.25">
      <c r="A894">
        <f>BIdetails!G897</f>
        <v>0</v>
      </c>
      <c r="B894">
        <f>BIdetails!H897</f>
        <v>0</v>
      </c>
      <c r="C894">
        <f>BIdetails!J897</f>
        <v>0</v>
      </c>
      <c r="D894">
        <f>BIdetails!K897</f>
        <v>0</v>
      </c>
      <c r="E894" s="168">
        <f>BIdetails!M897</f>
        <v>0</v>
      </c>
      <c r="F894" t="e">
        <f>IF(ISERROR(IF(OR(C894="#",C894=0),"",VLOOKUP(C894,'AOP24'!M:M,1,0))),"Not Found",VLOOKUP(C894,'AOP24'!M:M,1,0))</f>
        <v>#N/A</v>
      </c>
      <c r="G894" t="e">
        <f t="shared" si="14"/>
        <v>#N/A</v>
      </c>
    </row>
    <row r="895" spans="1:7" x14ac:dyDescent="0.25">
      <c r="A895">
        <f>BIdetails!G898</f>
        <v>0</v>
      </c>
      <c r="B895">
        <f>BIdetails!H898</f>
        <v>0</v>
      </c>
      <c r="C895">
        <f>BIdetails!J898</f>
        <v>0</v>
      </c>
      <c r="D895">
        <f>BIdetails!K898</f>
        <v>0</v>
      </c>
      <c r="E895" s="168">
        <f>BIdetails!M898</f>
        <v>0</v>
      </c>
      <c r="F895" t="e">
        <f>IF(ISERROR(IF(OR(C895="#",C895=0),"",VLOOKUP(C895,'AOP24'!M:M,1,0))),"Not Found",VLOOKUP(C895,'AOP24'!M:M,1,0))</f>
        <v>#N/A</v>
      </c>
      <c r="G895" t="e">
        <f t="shared" si="14"/>
        <v>#N/A</v>
      </c>
    </row>
    <row r="896" spans="1:7" x14ac:dyDescent="0.25">
      <c r="A896">
        <f>BIdetails!G899</f>
        <v>0</v>
      </c>
      <c r="B896">
        <f>BIdetails!H899</f>
        <v>0</v>
      </c>
      <c r="C896">
        <f>BIdetails!J899</f>
        <v>0</v>
      </c>
      <c r="D896">
        <f>BIdetails!K899</f>
        <v>0</v>
      </c>
      <c r="E896" s="168">
        <f>BIdetails!M899</f>
        <v>0</v>
      </c>
      <c r="F896" t="e">
        <f>IF(ISERROR(IF(OR(C896="#",C896=0),"",VLOOKUP(C896,'AOP24'!M:M,1,0))),"Not Found",VLOOKUP(C896,'AOP24'!M:M,1,0))</f>
        <v>#N/A</v>
      </c>
      <c r="G896" t="e">
        <f t="shared" si="14"/>
        <v>#N/A</v>
      </c>
    </row>
    <row r="897" spans="1:7" x14ac:dyDescent="0.25">
      <c r="A897">
        <f>BIdetails!G900</f>
        <v>0</v>
      </c>
      <c r="B897">
        <f>BIdetails!H900</f>
        <v>0</v>
      </c>
      <c r="C897">
        <f>BIdetails!J900</f>
        <v>0</v>
      </c>
      <c r="D897">
        <f>BIdetails!K900</f>
        <v>0</v>
      </c>
      <c r="E897" s="168">
        <f>BIdetails!M900</f>
        <v>0</v>
      </c>
      <c r="F897" t="e">
        <f>IF(ISERROR(IF(OR(C897="#",C897=0),"",VLOOKUP(C897,'AOP24'!M:M,1,0))),"Not Found",VLOOKUP(C897,'AOP24'!M:M,1,0))</f>
        <v>#N/A</v>
      </c>
      <c r="G897" t="e">
        <f t="shared" si="14"/>
        <v>#N/A</v>
      </c>
    </row>
    <row r="898" spans="1:7" x14ac:dyDescent="0.25">
      <c r="A898">
        <f>BIdetails!G901</f>
        <v>0</v>
      </c>
      <c r="B898">
        <f>BIdetails!H901</f>
        <v>0</v>
      </c>
      <c r="C898">
        <f>BIdetails!J901</f>
        <v>0</v>
      </c>
      <c r="D898">
        <f>BIdetails!K901</f>
        <v>0</v>
      </c>
      <c r="E898" s="168">
        <f>BIdetails!M901</f>
        <v>0</v>
      </c>
      <c r="F898" t="e">
        <f>IF(ISERROR(IF(OR(C898="#",C898=0),"",VLOOKUP(C898,'AOP24'!M:M,1,0))),"Not Found",VLOOKUP(C898,'AOP24'!M:M,1,0))</f>
        <v>#N/A</v>
      </c>
      <c r="G898" t="e">
        <f t="shared" si="14"/>
        <v>#N/A</v>
      </c>
    </row>
    <row r="899" spans="1:7" x14ac:dyDescent="0.25">
      <c r="A899">
        <f>BIdetails!G902</f>
        <v>0</v>
      </c>
      <c r="B899">
        <f>BIdetails!H902</f>
        <v>0</v>
      </c>
      <c r="C899">
        <f>BIdetails!J902</f>
        <v>0</v>
      </c>
      <c r="D899">
        <f>BIdetails!K902</f>
        <v>0</v>
      </c>
      <c r="E899" s="168">
        <f>BIdetails!M902</f>
        <v>0</v>
      </c>
      <c r="F899" t="e">
        <f>IF(ISERROR(IF(OR(C899="#",C899=0),"",VLOOKUP(C899,'AOP24'!M:M,1,0))),"Not Found",VLOOKUP(C899,'AOP24'!M:M,1,0))</f>
        <v>#N/A</v>
      </c>
      <c r="G899" t="e">
        <f t="shared" si="14"/>
        <v>#N/A</v>
      </c>
    </row>
    <row r="900" spans="1:7" x14ac:dyDescent="0.25">
      <c r="A900">
        <f>BIdetails!G903</f>
        <v>0</v>
      </c>
      <c r="B900">
        <f>BIdetails!H903</f>
        <v>0</v>
      </c>
      <c r="C900">
        <f>BIdetails!J903</f>
        <v>0</v>
      </c>
      <c r="D900">
        <f>BIdetails!K903</f>
        <v>0</v>
      </c>
      <c r="E900" s="168">
        <f>BIdetails!M903</f>
        <v>0</v>
      </c>
      <c r="F900" t="e">
        <f>IF(ISERROR(IF(OR(C900="#",C900=0),"",VLOOKUP(C900,'AOP24'!M:M,1,0))),"Not Found",VLOOKUP(C900,'AOP24'!M:M,1,0))</f>
        <v>#N/A</v>
      </c>
      <c r="G900" t="e">
        <f t="shared" si="14"/>
        <v>#N/A</v>
      </c>
    </row>
    <row r="901" spans="1:7" x14ac:dyDescent="0.25">
      <c r="A901">
        <f>BIdetails!G904</f>
        <v>0</v>
      </c>
      <c r="B901">
        <f>BIdetails!H904</f>
        <v>0</v>
      </c>
      <c r="C901">
        <f>BIdetails!J904</f>
        <v>0</v>
      </c>
      <c r="D901">
        <f>BIdetails!K904</f>
        <v>0</v>
      </c>
      <c r="E901" s="168">
        <f>BIdetails!M904</f>
        <v>0</v>
      </c>
      <c r="F901" t="e">
        <f>IF(ISERROR(IF(OR(C901="#",C901=0),"",VLOOKUP(C901,'AOP24'!M:M,1,0))),"Not Found",VLOOKUP(C901,'AOP24'!M:M,1,0))</f>
        <v>#N/A</v>
      </c>
      <c r="G901" t="e">
        <f t="shared" si="14"/>
        <v>#N/A</v>
      </c>
    </row>
    <row r="902" spans="1:7" x14ac:dyDescent="0.25">
      <c r="A902">
        <f>BIdetails!G905</f>
        <v>0</v>
      </c>
      <c r="B902">
        <f>BIdetails!H905</f>
        <v>0</v>
      </c>
      <c r="C902">
        <f>BIdetails!J905</f>
        <v>0</v>
      </c>
      <c r="D902">
        <f>BIdetails!K905</f>
        <v>0</v>
      </c>
      <c r="E902" s="168">
        <f>BIdetails!M905</f>
        <v>0</v>
      </c>
      <c r="F902" t="e">
        <f>IF(ISERROR(IF(OR(C902="#",C902=0),"",VLOOKUP(C902,'AOP24'!M:M,1,0))),"Not Found",VLOOKUP(C902,'AOP24'!M:M,1,0))</f>
        <v>#N/A</v>
      </c>
      <c r="G902" t="e">
        <f t="shared" si="14"/>
        <v>#N/A</v>
      </c>
    </row>
    <row r="903" spans="1:7" x14ac:dyDescent="0.25">
      <c r="A903">
        <f>BIdetails!G906</f>
        <v>0</v>
      </c>
      <c r="B903">
        <f>BIdetails!H906</f>
        <v>0</v>
      </c>
      <c r="C903">
        <f>BIdetails!J906</f>
        <v>0</v>
      </c>
      <c r="D903">
        <f>BIdetails!K906</f>
        <v>0</v>
      </c>
      <c r="E903" s="168">
        <f>BIdetails!M906</f>
        <v>0</v>
      </c>
      <c r="F903" t="e">
        <f>IF(ISERROR(IF(OR(C903="#",C903=0),"",VLOOKUP(C903,'AOP24'!M:M,1,0))),"Not Found",VLOOKUP(C903,'AOP24'!M:M,1,0))</f>
        <v>#N/A</v>
      </c>
      <c r="G903" t="e">
        <f t="shared" si="14"/>
        <v>#N/A</v>
      </c>
    </row>
    <row r="904" spans="1:7" x14ac:dyDescent="0.25">
      <c r="A904">
        <f>BIdetails!G907</f>
        <v>0</v>
      </c>
      <c r="B904">
        <f>BIdetails!H907</f>
        <v>0</v>
      </c>
      <c r="C904">
        <f>BIdetails!J907</f>
        <v>0</v>
      </c>
      <c r="D904">
        <f>BIdetails!K907</f>
        <v>0</v>
      </c>
      <c r="E904" s="168">
        <f>BIdetails!M907</f>
        <v>0</v>
      </c>
      <c r="F904" t="e">
        <f>IF(ISERROR(IF(OR(C904="#",C904=0),"",VLOOKUP(C904,'AOP24'!M:M,1,0))),"Not Found",VLOOKUP(C904,'AOP24'!M:M,1,0))</f>
        <v>#N/A</v>
      </c>
      <c r="G904" t="e">
        <f t="shared" si="14"/>
        <v>#N/A</v>
      </c>
    </row>
    <row r="905" spans="1:7" x14ac:dyDescent="0.25">
      <c r="A905">
        <f>BIdetails!G908</f>
        <v>0</v>
      </c>
      <c r="B905">
        <f>BIdetails!H908</f>
        <v>0</v>
      </c>
      <c r="C905">
        <f>BIdetails!J908</f>
        <v>0</v>
      </c>
      <c r="D905">
        <f>BIdetails!K908</f>
        <v>0</v>
      </c>
      <c r="E905" s="168">
        <f>BIdetails!M908</f>
        <v>0</v>
      </c>
      <c r="F905" t="e">
        <f>IF(ISERROR(IF(OR(C905="#",C905=0),"",VLOOKUP(C905,'AOP24'!M:M,1,0))),"Not Found",VLOOKUP(C905,'AOP24'!M:M,1,0))</f>
        <v>#N/A</v>
      </c>
      <c r="G905" t="e">
        <f t="shared" si="14"/>
        <v>#N/A</v>
      </c>
    </row>
    <row r="906" spans="1:7" x14ac:dyDescent="0.25">
      <c r="A906">
        <f>BIdetails!G909</f>
        <v>0</v>
      </c>
      <c r="B906">
        <f>BIdetails!H909</f>
        <v>0</v>
      </c>
      <c r="C906">
        <f>BIdetails!J909</f>
        <v>0</v>
      </c>
      <c r="D906">
        <f>BIdetails!K909</f>
        <v>0</v>
      </c>
      <c r="E906" s="168">
        <f>BIdetails!M909</f>
        <v>0</v>
      </c>
      <c r="F906" t="e">
        <f>IF(ISERROR(IF(OR(C906="#",C906=0),"",VLOOKUP(C906,'AOP24'!M:M,1,0))),"Not Found",VLOOKUP(C906,'AOP24'!M:M,1,0))</f>
        <v>#N/A</v>
      </c>
      <c r="G906" t="e">
        <f t="shared" si="14"/>
        <v>#N/A</v>
      </c>
    </row>
    <row r="907" spans="1:7" x14ac:dyDescent="0.25">
      <c r="A907">
        <f>BIdetails!G910</f>
        <v>0</v>
      </c>
      <c r="B907">
        <f>BIdetails!H910</f>
        <v>0</v>
      </c>
      <c r="C907">
        <f>BIdetails!J910</f>
        <v>0</v>
      </c>
      <c r="D907">
        <f>BIdetails!K910</f>
        <v>0</v>
      </c>
      <c r="E907" s="168">
        <f>BIdetails!M910</f>
        <v>0</v>
      </c>
      <c r="F907" t="e">
        <f>IF(ISERROR(IF(OR(C907="#",C907=0),"",VLOOKUP(C907,'AOP24'!M:M,1,0))),"Not Found",VLOOKUP(C907,'AOP24'!M:M,1,0))</f>
        <v>#N/A</v>
      </c>
      <c r="G907" t="e">
        <f t="shared" si="14"/>
        <v>#N/A</v>
      </c>
    </row>
    <row r="908" spans="1:7" x14ac:dyDescent="0.25">
      <c r="A908">
        <f>BIdetails!G911</f>
        <v>0</v>
      </c>
      <c r="B908">
        <f>BIdetails!H911</f>
        <v>0</v>
      </c>
      <c r="C908">
        <f>BIdetails!J911</f>
        <v>0</v>
      </c>
      <c r="D908">
        <f>BIdetails!K911</f>
        <v>0</v>
      </c>
      <c r="E908" s="168">
        <f>BIdetails!M911</f>
        <v>0</v>
      </c>
      <c r="F908" t="e">
        <f>IF(ISERROR(IF(OR(C908="#",C908=0),"",VLOOKUP(C908,'AOP24'!M:M,1,0))),"Not Found",VLOOKUP(C908,'AOP24'!M:M,1,0))</f>
        <v>#N/A</v>
      </c>
      <c r="G908" t="e">
        <f t="shared" si="14"/>
        <v>#N/A</v>
      </c>
    </row>
    <row r="909" spans="1:7" x14ac:dyDescent="0.25">
      <c r="A909">
        <f>BIdetails!G912</f>
        <v>0</v>
      </c>
      <c r="B909">
        <f>BIdetails!H912</f>
        <v>0</v>
      </c>
      <c r="C909">
        <f>BIdetails!J912</f>
        <v>0</v>
      </c>
      <c r="D909">
        <f>BIdetails!K912</f>
        <v>0</v>
      </c>
      <c r="E909" s="168">
        <f>BIdetails!M912</f>
        <v>0</v>
      </c>
      <c r="F909" t="e">
        <f>IF(ISERROR(IF(OR(C909="#",C909=0),"",VLOOKUP(C909,'AOP24'!M:M,1,0))),"Not Found",VLOOKUP(C909,'AOP24'!M:M,1,0))</f>
        <v>#N/A</v>
      </c>
      <c r="G909" t="e">
        <f t="shared" si="14"/>
        <v>#N/A</v>
      </c>
    </row>
    <row r="910" spans="1:7" x14ac:dyDescent="0.25">
      <c r="A910">
        <f>BIdetails!G913</f>
        <v>0</v>
      </c>
      <c r="B910">
        <f>BIdetails!H913</f>
        <v>0</v>
      </c>
      <c r="C910">
        <f>BIdetails!J913</f>
        <v>0</v>
      </c>
      <c r="D910">
        <f>BIdetails!K913</f>
        <v>0</v>
      </c>
      <c r="E910" s="168">
        <f>BIdetails!M913</f>
        <v>0</v>
      </c>
      <c r="F910" t="e">
        <f>IF(ISERROR(IF(OR(C910="#",C910=0),"",VLOOKUP(C910,'AOP24'!M:M,1,0))),"Not Found",VLOOKUP(C910,'AOP24'!M:M,1,0))</f>
        <v>#N/A</v>
      </c>
      <c r="G910" t="e">
        <f t="shared" si="14"/>
        <v>#N/A</v>
      </c>
    </row>
    <row r="911" spans="1:7" x14ac:dyDescent="0.25">
      <c r="A911">
        <f>BIdetails!G914</f>
        <v>0</v>
      </c>
      <c r="B911">
        <f>BIdetails!H914</f>
        <v>0</v>
      </c>
      <c r="C911">
        <f>BIdetails!J914</f>
        <v>0</v>
      </c>
      <c r="D911">
        <f>BIdetails!K914</f>
        <v>0</v>
      </c>
      <c r="E911" s="168">
        <f>BIdetails!M914</f>
        <v>0</v>
      </c>
      <c r="F911" t="e">
        <f>IF(ISERROR(IF(OR(C911="#",C911=0),"",VLOOKUP(C911,'AOP24'!M:M,1,0))),"Not Found",VLOOKUP(C911,'AOP24'!M:M,1,0))</f>
        <v>#N/A</v>
      </c>
      <c r="G911" t="e">
        <f t="shared" si="14"/>
        <v>#N/A</v>
      </c>
    </row>
    <row r="912" spans="1:7" x14ac:dyDescent="0.25">
      <c r="A912">
        <f>BIdetails!G915</f>
        <v>0</v>
      </c>
      <c r="B912">
        <f>BIdetails!H915</f>
        <v>0</v>
      </c>
      <c r="C912">
        <f>BIdetails!J915</f>
        <v>0</v>
      </c>
      <c r="D912">
        <f>BIdetails!K915</f>
        <v>0</v>
      </c>
      <c r="E912" s="168">
        <f>BIdetails!M915</f>
        <v>0</v>
      </c>
      <c r="F912" t="e">
        <f>IF(ISERROR(IF(OR(C912="#",C912=0),"",VLOOKUP(C912,'AOP24'!M:M,1,0))),"Not Found",VLOOKUP(C912,'AOP24'!M:M,1,0))</f>
        <v>#N/A</v>
      </c>
      <c r="G912" t="e">
        <f t="shared" si="14"/>
        <v>#N/A</v>
      </c>
    </row>
    <row r="913" spans="1:7" x14ac:dyDescent="0.25">
      <c r="A913">
        <f>BIdetails!G916</f>
        <v>0</v>
      </c>
      <c r="B913">
        <f>BIdetails!H916</f>
        <v>0</v>
      </c>
      <c r="C913">
        <f>BIdetails!J916</f>
        <v>0</v>
      </c>
      <c r="D913">
        <f>BIdetails!K916</f>
        <v>0</v>
      </c>
      <c r="E913" s="168">
        <f>BIdetails!M916</f>
        <v>0</v>
      </c>
      <c r="F913" t="e">
        <f>IF(ISERROR(IF(OR(C913="#",C913=0),"",VLOOKUP(C913,'AOP24'!M:M,1,0))),"Not Found",VLOOKUP(C913,'AOP24'!M:M,1,0))</f>
        <v>#N/A</v>
      </c>
      <c r="G913" t="e">
        <f t="shared" si="14"/>
        <v>#N/A</v>
      </c>
    </row>
    <row r="914" spans="1:7" x14ac:dyDescent="0.25">
      <c r="A914">
        <f>BIdetails!G917</f>
        <v>0</v>
      </c>
      <c r="B914">
        <f>BIdetails!H917</f>
        <v>0</v>
      </c>
      <c r="C914">
        <f>BIdetails!J917</f>
        <v>0</v>
      </c>
      <c r="D914">
        <f>BIdetails!K917</f>
        <v>0</v>
      </c>
      <c r="E914" s="168">
        <f>BIdetails!M917</f>
        <v>0</v>
      </c>
      <c r="F914" t="e">
        <f>IF(ISERROR(IF(OR(C914="#",C914=0),"",VLOOKUP(C914,'AOP24'!M:M,1,0))),"Not Found",VLOOKUP(C914,'AOP24'!M:M,1,0))</f>
        <v>#N/A</v>
      </c>
      <c r="G914" t="e">
        <f t="shared" si="14"/>
        <v>#N/A</v>
      </c>
    </row>
    <row r="915" spans="1:7" x14ac:dyDescent="0.25">
      <c r="A915">
        <f>BIdetails!G918</f>
        <v>0</v>
      </c>
      <c r="B915">
        <f>BIdetails!H918</f>
        <v>0</v>
      </c>
      <c r="C915">
        <f>BIdetails!J918</f>
        <v>0</v>
      </c>
      <c r="D915">
        <f>BIdetails!K918</f>
        <v>0</v>
      </c>
      <c r="E915" s="168">
        <f>BIdetails!M918</f>
        <v>0</v>
      </c>
      <c r="F915" t="e">
        <f>IF(ISERROR(IF(OR(C915="#",C915=0),"",VLOOKUP(C915,'AOP24'!M:M,1,0))),"Not Found",VLOOKUP(C915,'AOP24'!M:M,1,0))</f>
        <v>#N/A</v>
      </c>
      <c r="G915" t="e">
        <f t="shared" si="14"/>
        <v>#N/A</v>
      </c>
    </row>
    <row r="916" spans="1:7" x14ac:dyDescent="0.25">
      <c r="A916">
        <f>BIdetails!G919</f>
        <v>0</v>
      </c>
      <c r="B916">
        <f>BIdetails!H919</f>
        <v>0</v>
      </c>
      <c r="C916">
        <f>BIdetails!J919</f>
        <v>0</v>
      </c>
      <c r="D916">
        <f>BIdetails!K919</f>
        <v>0</v>
      </c>
      <c r="E916" s="168">
        <f>BIdetails!M919</f>
        <v>0</v>
      </c>
      <c r="F916" t="e">
        <f>IF(ISERROR(IF(OR(C916="#",C916=0),"",VLOOKUP(C916,'AOP24'!M:M,1,0))),"Not Found",VLOOKUP(C916,'AOP24'!M:M,1,0))</f>
        <v>#N/A</v>
      </c>
      <c r="G916" t="e">
        <f t="shared" si="14"/>
        <v>#N/A</v>
      </c>
    </row>
    <row r="917" spans="1:7" x14ac:dyDescent="0.25">
      <c r="A917">
        <f>BIdetails!G920</f>
        <v>0</v>
      </c>
      <c r="B917">
        <f>BIdetails!H920</f>
        <v>0</v>
      </c>
      <c r="C917">
        <f>BIdetails!J920</f>
        <v>0</v>
      </c>
      <c r="D917">
        <f>BIdetails!K920</f>
        <v>0</v>
      </c>
      <c r="E917" s="168">
        <f>BIdetails!M920</f>
        <v>0</v>
      </c>
      <c r="F917" t="e">
        <f>IF(ISERROR(IF(OR(C917="#",C917=0),"",VLOOKUP(C917,'AOP24'!M:M,1,0))),"Not Found",VLOOKUP(C917,'AOP24'!M:M,1,0))</f>
        <v>#N/A</v>
      </c>
      <c r="G917" t="e">
        <f t="shared" si="14"/>
        <v>#N/A</v>
      </c>
    </row>
    <row r="918" spans="1:7" x14ac:dyDescent="0.25">
      <c r="A918">
        <f>BIdetails!G921</f>
        <v>0</v>
      </c>
      <c r="B918">
        <f>BIdetails!H921</f>
        <v>0</v>
      </c>
      <c r="C918">
        <f>BIdetails!J921</f>
        <v>0</v>
      </c>
      <c r="D918">
        <f>BIdetails!K921</f>
        <v>0</v>
      </c>
      <c r="E918" s="168">
        <f>BIdetails!M921</f>
        <v>0</v>
      </c>
      <c r="F918" t="e">
        <f>IF(ISERROR(IF(OR(C918="#",C918=0),"",VLOOKUP(C918,'AOP24'!M:M,1,0))),"Not Found",VLOOKUP(C918,'AOP24'!M:M,1,0))</f>
        <v>#N/A</v>
      </c>
      <c r="G918" t="e">
        <f t="shared" si="14"/>
        <v>#N/A</v>
      </c>
    </row>
    <row r="919" spans="1:7" x14ac:dyDescent="0.25">
      <c r="A919">
        <f>BIdetails!G922</f>
        <v>0</v>
      </c>
      <c r="B919">
        <f>BIdetails!H922</f>
        <v>0</v>
      </c>
      <c r="C919">
        <f>BIdetails!J922</f>
        <v>0</v>
      </c>
      <c r="D919">
        <f>BIdetails!K922</f>
        <v>0</v>
      </c>
      <c r="E919" s="168">
        <f>BIdetails!M922</f>
        <v>0</v>
      </c>
      <c r="F919" t="e">
        <f>IF(ISERROR(IF(OR(C919="#",C919=0),"",VLOOKUP(C919,'AOP24'!M:M,1,0))),"Not Found",VLOOKUP(C919,'AOP24'!M:M,1,0))</f>
        <v>#N/A</v>
      </c>
      <c r="G919" t="e">
        <f t="shared" si="14"/>
        <v>#N/A</v>
      </c>
    </row>
    <row r="920" spans="1:7" x14ac:dyDescent="0.25">
      <c r="A920">
        <f>BIdetails!G923</f>
        <v>0</v>
      </c>
      <c r="B920">
        <f>BIdetails!H923</f>
        <v>0</v>
      </c>
      <c r="C920">
        <f>BIdetails!J923</f>
        <v>0</v>
      </c>
      <c r="D920">
        <f>BIdetails!K923</f>
        <v>0</v>
      </c>
      <c r="E920" s="168">
        <f>BIdetails!M923</f>
        <v>0</v>
      </c>
      <c r="F920" t="e">
        <f>IF(ISERROR(IF(OR(C920="#",C920=0),"",VLOOKUP(C920,'AOP24'!M:M,1,0))),"Not Found",VLOOKUP(C920,'AOP24'!M:M,1,0))</f>
        <v>#N/A</v>
      </c>
      <c r="G920" t="e">
        <f t="shared" si="14"/>
        <v>#N/A</v>
      </c>
    </row>
    <row r="921" spans="1:7" x14ac:dyDescent="0.25">
      <c r="A921">
        <f>BIdetails!G924</f>
        <v>0</v>
      </c>
      <c r="B921">
        <f>BIdetails!H924</f>
        <v>0</v>
      </c>
      <c r="C921">
        <f>BIdetails!J924</f>
        <v>0</v>
      </c>
      <c r="D921">
        <f>BIdetails!K924</f>
        <v>0</v>
      </c>
      <c r="E921" s="168">
        <f>BIdetails!M924</f>
        <v>0</v>
      </c>
      <c r="F921" t="e">
        <f>IF(ISERROR(IF(OR(C921="#",C921=0),"",VLOOKUP(C921,'AOP24'!M:M,1,0))),"Not Found",VLOOKUP(C921,'AOP24'!M:M,1,0))</f>
        <v>#N/A</v>
      </c>
      <c r="G921" t="e">
        <f t="shared" si="14"/>
        <v>#N/A</v>
      </c>
    </row>
    <row r="922" spans="1:7" x14ac:dyDescent="0.25">
      <c r="A922">
        <f>BIdetails!G925</f>
        <v>0</v>
      </c>
      <c r="B922">
        <f>BIdetails!H925</f>
        <v>0</v>
      </c>
      <c r="C922">
        <f>BIdetails!J925</f>
        <v>0</v>
      </c>
      <c r="D922">
        <f>BIdetails!K925</f>
        <v>0</v>
      </c>
      <c r="E922" s="168">
        <f>BIdetails!M925</f>
        <v>0</v>
      </c>
      <c r="F922" t="e">
        <f>IF(ISERROR(IF(OR(C922="#",C922=0),"",VLOOKUP(C922,'AOP24'!M:M,1,0))),"Not Found",VLOOKUP(C922,'AOP24'!M:M,1,0))</f>
        <v>#N/A</v>
      </c>
      <c r="G922" t="e">
        <f t="shared" si="14"/>
        <v>#N/A</v>
      </c>
    </row>
    <row r="923" spans="1:7" x14ac:dyDescent="0.25">
      <c r="A923">
        <f>BIdetails!G926</f>
        <v>0</v>
      </c>
      <c r="B923">
        <f>BIdetails!H926</f>
        <v>0</v>
      </c>
      <c r="C923">
        <f>BIdetails!J926</f>
        <v>0</v>
      </c>
      <c r="D923">
        <f>BIdetails!K926</f>
        <v>0</v>
      </c>
      <c r="E923" s="168">
        <f>BIdetails!M926</f>
        <v>0</v>
      </c>
      <c r="F923" t="e">
        <f>IF(ISERROR(IF(OR(C923="#",C923=0),"",VLOOKUP(C923,'AOP24'!M:M,1,0))),"Not Found",VLOOKUP(C923,'AOP24'!M:M,1,0))</f>
        <v>#N/A</v>
      </c>
      <c r="G923" t="e">
        <f t="shared" si="14"/>
        <v>#N/A</v>
      </c>
    </row>
    <row r="924" spans="1:7" x14ac:dyDescent="0.25">
      <c r="A924">
        <f>BIdetails!G927</f>
        <v>0</v>
      </c>
      <c r="B924">
        <f>BIdetails!H927</f>
        <v>0</v>
      </c>
      <c r="C924">
        <f>BIdetails!J927</f>
        <v>0</v>
      </c>
      <c r="D924">
        <f>BIdetails!K927</f>
        <v>0</v>
      </c>
      <c r="E924" s="168">
        <f>BIdetails!M927</f>
        <v>0</v>
      </c>
      <c r="F924" t="e">
        <f>IF(ISERROR(IF(OR(C924="#",C924=0),"",VLOOKUP(C924,'AOP24'!M:M,1,0))),"Not Found",VLOOKUP(C924,'AOP24'!M:M,1,0))</f>
        <v>#N/A</v>
      </c>
      <c r="G924" t="e">
        <f t="shared" si="14"/>
        <v>#N/A</v>
      </c>
    </row>
    <row r="925" spans="1:7" x14ac:dyDescent="0.25">
      <c r="A925">
        <f>BIdetails!G928</f>
        <v>0</v>
      </c>
      <c r="B925">
        <f>BIdetails!H928</f>
        <v>0</v>
      </c>
      <c r="C925">
        <f>BIdetails!J928</f>
        <v>0</v>
      </c>
      <c r="D925">
        <f>BIdetails!K928</f>
        <v>0</v>
      </c>
      <c r="E925" s="168">
        <f>BIdetails!M928</f>
        <v>0</v>
      </c>
      <c r="F925" t="e">
        <f>IF(ISERROR(IF(OR(C925="#",C925=0),"",VLOOKUP(C925,'AOP24'!M:M,1,0))),"Not Found",VLOOKUP(C925,'AOP24'!M:M,1,0))</f>
        <v>#N/A</v>
      </c>
      <c r="G925" t="e">
        <f t="shared" si="14"/>
        <v>#N/A</v>
      </c>
    </row>
    <row r="926" spans="1:7" x14ac:dyDescent="0.25">
      <c r="A926">
        <f>BIdetails!G929</f>
        <v>0</v>
      </c>
      <c r="B926">
        <f>BIdetails!H929</f>
        <v>0</v>
      </c>
      <c r="C926">
        <f>BIdetails!J929</f>
        <v>0</v>
      </c>
      <c r="D926">
        <f>BIdetails!K929</f>
        <v>0</v>
      </c>
      <c r="E926" s="168">
        <f>BIdetails!M929</f>
        <v>0</v>
      </c>
      <c r="F926" t="e">
        <f>IF(ISERROR(IF(OR(C926="#",C926=0),"",VLOOKUP(C926,'AOP24'!M:M,1,0))),"Not Found",VLOOKUP(C926,'AOP24'!M:M,1,0))</f>
        <v>#N/A</v>
      </c>
      <c r="G926" t="e">
        <f t="shared" si="14"/>
        <v>#N/A</v>
      </c>
    </row>
    <row r="927" spans="1:7" x14ac:dyDescent="0.25">
      <c r="A927">
        <f>BIdetails!G930</f>
        <v>0</v>
      </c>
      <c r="B927">
        <f>BIdetails!H930</f>
        <v>0</v>
      </c>
      <c r="C927">
        <f>BIdetails!J930</f>
        <v>0</v>
      </c>
      <c r="D927">
        <f>BIdetails!K930</f>
        <v>0</v>
      </c>
      <c r="E927" s="168">
        <f>BIdetails!M930</f>
        <v>0</v>
      </c>
      <c r="F927" t="e">
        <f>IF(ISERROR(IF(OR(C927="#",C927=0),"",VLOOKUP(C927,'AOP24'!M:M,1,0))),"Not Found",VLOOKUP(C927,'AOP24'!M:M,1,0))</f>
        <v>#N/A</v>
      </c>
      <c r="G927" t="e">
        <f t="shared" si="14"/>
        <v>#N/A</v>
      </c>
    </row>
    <row r="928" spans="1:7" x14ac:dyDescent="0.25">
      <c r="A928">
        <f>BIdetails!G931</f>
        <v>0</v>
      </c>
      <c r="B928">
        <f>BIdetails!H931</f>
        <v>0</v>
      </c>
      <c r="C928">
        <f>BIdetails!J931</f>
        <v>0</v>
      </c>
      <c r="D928">
        <f>BIdetails!K931</f>
        <v>0</v>
      </c>
      <c r="E928" s="168">
        <f>BIdetails!M931</f>
        <v>0</v>
      </c>
      <c r="F928" t="e">
        <f>IF(ISERROR(IF(OR(C928="#",C928=0),"",VLOOKUP(C928,'AOP24'!M:M,1,0))),"Not Found",VLOOKUP(C928,'AOP24'!M:M,1,0))</f>
        <v>#N/A</v>
      </c>
      <c r="G928" t="e">
        <f t="shared" si="14"/>
        <v>#N/A</v>
      </c>
    </row>
    <row r="929" spans="1:7" x14ac:dyDescent="0.25">
      <c r="A929">
        <f>BIdetails!G932</f>
        <v>0</v>
      </c>
      <c r="B929">
        <f>BIdetails!H932</f>
        <v>0</v>
      </c>
      <c r="C929">
        <f>BIdetails!J932</f>
        <v>0</v>
      </c>
      <c r="D929">
        <f>BIdetails!K932</f>
        <v>0</v>
      </c>
      <c r="E929" s="168">
        <f>BIdetails!M932</f>
        <v>0</v>
      </c>
      <c r="F929" t="e">
        <f>IF(ISERROR(IF(OR(C929="#",C929=0),"",VLOOKUP(C929,'AOP24'!M:M,1,0))),"Not Found",VLOOKUP(C929,'AOP24'!M:M,1,0))</f>
        <v>#N/A</v>
      </c>
      <c r="G929" t="e">
        <f t="shared" si="14"/>
        <v>#N/A</v>
      </c>
    </row>
    <row r="930" spans="1:7" x14ac:dyDescent="0.25">
      <c r="A930">
        <f>BIdetails!G933</f>
        <v>0</v>
      </c>
      <c r="B930">
        <f>BIdetails!H933</f>
        <v>0</v>
      </c>
      <c r="C930">
        <f>BIdetails!J933</f>
        <v>0</v>
      </c>
      <c r="D930">
        <f>BIdetails!K933</f>
        <v>0</v>
      </c>
      <c r="E930" s="168">
        <f>BIdetails!M933</f>
        <v>0</v>
      </c>
      <c r="F930" t="e">
        <f>IF(ISERROR(IF(OR(C930="#",C930=0),"",VLOOKUP(C930,'AOP24'!M:M,1,0))),"Not Found",VLOOKUP(C930,'AOP24'!M:M,1,0))</f>
        <v>#N/A</v>
      </c>
      <c r="G930" t="e">
        <f t="shared" si="14"/>
        <v>#N/A</v>
      </c>
    </row>
    <row r="931" spans="1:7" x14ac:dyDescent="0.25">
      <c r="A931">
        <f>BIdetails!G934</f>
        <v>0</v>
      </c>
      <c r="B931">
        <f>BIdetails!H934</f>
        <v>0</v>
      </c>
      <c r="C931">
        <f>BIdetails!J934</f>
        <v>0</v>
      </c>
      <c r="D931">
        <f>BIdetails!K934</f>
        <v>0</v>
      </c>
      <c r="E931" s="168">
        <f>BIdetails!M934</f>
        <v>0</v>
      </c>
      <c r="F931" t="e">
        <f>IF(ISERROR(IF(OR(C931="#",C931=0),"",VLOOKUP(C931,'AOP24'!M:M,1,0))),"Not Found",VLOOKUP(C931,'AOP24'!M:M,1,0))</f>
        <v>#N/A</v>
      </c>
      <c r="G931" t="e">
        <f t="shared" si="14"/>
        <v>#N/A</v>
      </c>
    </row>
    <row r="932" spans="1:7" x14ac:dyDescent="0.25">
      <c r="A932">
        <f>BIdetails!G935</f>
        <v>0</v>
      </c>
      <c r="B932">
        <f>BIdetails!H935</f>
        <v>0</v>
      </c>
      <c r="C932">
        <f>BIdetails!J935</f>
        <v>0</v>
      </c>
      <c r="D932">
        <f>BIdetails!K935</f>
        <v>0</v>
      </c>
      <c r="E932" s="168">
        <f>BIdetails!M935</f>
        <v>0</v>
      </c>
      <c r="F932" t="e">
        <f>IF(ISERROR(IF(OR(C932="#",C932=0),"",VLOOKUP(C932,'AOP24'!M:M,1,0))),"Not Found",VLOOKUP(C932,'AOP24'!M:M,1,0))</f>
        <v>#N/A</v>
      </c>
      <c r="G932" t="e">
        <f t="shared" si="14"/>
        <v>#N/A</v>
      </c>
    </row>
    <row r="933" spans="1:7" x14ac:dyDescent="0.25">
      <c r="A933">
        <f>BIdetails!G936</f>
        <v>0</v>
      </c>
      <c r="B933">
        <f>BIdetails!H936</f>
        <v>0</v>
      </c>
      <c r="C933">
        <f>BIdetails!J936</f>
        <v>0</v>
      </c>
      <c r="D933">
        <f>BIdetails!K936</f>
        <v>0</v>
      </c>
      <c r="E933" s="168">
        <f>BIdetails!M936</f>
        <v>0</v>
      </c>
      <c r="F933" t="e">
        <f>IF(ISERROR(IF(OR(C933="#",C933=0),"",VLOOKUP(C933,'AOP24'!M:M,1,0))),"Not Found",VLOOKUP(C933,'AOP24'!M:M,1,0))</f>
        <v>#N/A</v>
      </c>
      <c r="G933" t="e">
        <f t="shared" si="14"/>
        <v>#N/A</v>
      </c>
    </row>
    <row r="934" spans="1:7" x14ac:dyDescent="0.25">
      <c r="A934">
        <f>BIdetails!G937</f>
        <v>0</v>
      </c>
      <c r="B934">
        <f>BIdetails!H937</f>
        <v>0</v>
      </c>
      <c r="C934">
        <f>BIdetails!J937</f>
        <v>0</v>
      </c>
      <c r="D934">
        <f>BIdetails!K937</f>
        <v>0</v>
      </c>
      <c r="E934" s="168">
        <f>BIdetails!M937</f>
        <v>0</v>
      </c>
      <c r="F934" t="e">
        <f>IF(ISERROR(IF(OR(C934="#",C934=0),"",VLOOKUP(C934,'AOP24'!M:M,1,0))),"Not Found",VLOOKUP(C934,'AOP24'!M:M,1,0))</f>
        <v>#N/A</v>
      </c>
      <c r="G934" t="e">
        <f t="shared" si="14"/>
        <v>#N/A</v>
      </c>
    </row>
    <row r="935" spans="1:7" x14ac:dyDescent="0.25">
      <c r="A935">
        <f>BIdetails!G938</f>
        <v>0</v>
      </c>
      <c r="B935">
        <f>BIdetails!H938</f>
        <v>0</v>
      </c>
      <c r="C935">
        <f>BIdetails!J938</f>
        <v>0</v>
      </c>
      <c r="D935">
        <f>BIdetails!K938</f>
        <v>0</v>
      </c>
      <c r="E935" s="168">
        <f>BIdetails!M938</f>
        <v>0</v>
      </c>
      <c r="F935" t="e">
        <f>IF(ISERROR(IF(OR(C935="#",C935=0),"",VLOOKUP(C935,'AOP24'!M:M,1,0))),"Not Found",VLOOKUP(C935,'AOP24'!M:M,1,0))</f>
        <v>#N/A</v>
      </c>
      <c r="G935" t="e">
        <f t="shared" si="14"/>
        <v>#N/A</v>
      </c>
    </row>
    <row r="936" spans="1:7" x14ac:dyDescent="0.25">
      <c r="A936">
        <f>BIdetails!G939</f>
        <v>0</v>
      </c>
      <c r="B936">
        <f>BIdetails!H939</f>
        <v>0</v>
      </c>
      <c r="C936">
        <f>BIdetails!J939</f>
        <v>0</v>
      </c>
      <c r="D936">
        <f>BIdetails!K939</f>
        <v>0</v>
      </c>
      <c r="E936" s="168">
        <f>BIdetails!M939</f>
        <v>0</v>
      </c>
      <c r="F936" t="e">
        <f>IF(ISERROR(IF(OR(C936="#",C936=0),"",VLOOKUP(C936,'AOP24'!M:M,1,0))),"Not Found",VLOOKUP(C936,'AOP24'!M:M,1,0))</f>
        <v>#N/A</v>
      </c>
      <c r="G936" t="e">
        <f t="shared" si="14"/>
        <v>#N/A</v>
      </c>
    </row>
    <row r="937" spans="1:7" x14ac:dyDescent="0.25">
      <c r="A937">
        <f>BIdetails!G940</f>
        <v>0</v>
      </c>
      <c r="B937">
        <f>BIdetails!H940</f>
        <v>0</v>
      </c>
      <c r="C937">
        <f>BIdetails!J940</f>
        <v>0</v>
      </c>
      <c r="D937">
        <f>BIdetails!K940</f>
        <v>0</v>
      </c>
      <c r="E937" s="168">
        <f>BIdetails!M940</f>
        <v>0</v>
      </c>
      <c r="F937" t="e">
        <f>IF(ISERROR(IF(OR(C937="#",C937=0),"",VLOOKUP(C937,'AOP24'!M:M,1,0))),"Not Found",VLOOKUP(C937,'AOP24'!M:M,1,0))</f>
        <v>#N/A</v>
      </c>
      <c r="G937" t="e">
        <f t="shared" si="14"/>
        <v>#N/A</v>
      </c>
    </row>
    <row r="938" spans="1:7" x14ac:dyDescent="0.25">
      <c r="A938">
        <f>BIdetails!G941</f>
        <v>0</v>
      </c>
      <c r="B938">
        <f>BIdetails!H941</f>
        <v>0</v>
      </c>
      <c r="C938">
        <f>BIdetails!J941</f>
        <v>0</v>
      </c>
      <c r="D938">
        <f>BIdetails!K941</f>
        <v>0</v>
      </c>
      <c r="E938" s="168">
        <f>BIdetails!M941</f>
        <v>0</v>
      </c>
      <c r="F938" t="e">
        <f>IF(ISERROR(IF(OR(C938="#",C938=0),"",VLOOKUP(C938,'AOP24'!M:M,1,0))),"Not Found",VLOOKUP(C938,'AOP24'!M:M,1,0))</f>
        <v>#N/A</v>
      </c>
      <c r="G938" t="e">
        <f t="shared" si="14"/>
        <v>#N/A</v>
      </c>
    </row>
    <row r="939" spans="1:7" x14ac:dyDescent="0.25">
      <c r="A939">
        <f>BIdetails!G942</f>
        <v>0</v>
      </c>
      <c r="B939">
        <f>BIdetails!H942</f>
        <v>0</v>
      </c>
      <c r="C939">
        <f>BIdetails!J942</f>
        <v>0</v>
      </c>
      <c r="D939">
        <f>BIdetails!K942</f>
        <v>0</v>
      </c>
      <c r="E939" s="168">
        <f>BIdetails!M942</f>
        <v>0</v>
      </c>
      <c r="F939" t="e">
        <f>IF(ISERROR(IF(OR(C939="#",C939=0),"",VLOOKUP(C939,'AOP24'!M:M,1,0))),"Not Found",VLOOKUP(C939,'AOP24'!M:M,1,0))</f>
        <v>#N/A</v>
      </c>
      <c r="G939" t="e">
        <f t="shared" si="14"/>
        <v>#N/A</v>
      </c>
    </row>
    <row r="940" spans="1:7" x14ac:dyDescent="0.25">
      <c r="A940">
        <f>BIdetails!G943</f>
        <v>0</v>
      </c>
      <c r="B940">
        <f>BIdetails!H943</f>
        <v>0</v>
      </c>
      <c r="C940">
        <f>BIdetails!J943</f>
        <v>0</v>
      </c>
      <c r="D940">
        <f>BIdetails!K943</f>
        <v>0</v>
      </c>
      <c r="E940" s="168">
        <f>BIdetails!M943</f>
        <v>0</v>
      </c>
      <c r="F940" t="e">
        <f>IF(ISERROR(IF(OR(C940="#",C940=0),"",VLOOKUP(C940,'AOP24'!M:M,1,0))),"Not Found",VLOOKUP(C940,'AOP24'!M:M,1,0))</f>
        <v>#N/A</v>
      </c>
      <c r="G940" t="e">
        <f t="shared" si="14"/>
        <v>#N/A</v>
      </c>
    </row>
    <row r="941" spans="1:7" x14ac:dyDescent="0.25">
      <c r="A941">
        <f>BIdetails!G944</f>
        <v>0</v>
      </c>
      <c r="B941">
        <f>BIdetails!H944</f>
        <v>0</v>
      </c>
      <c r="C941">
        <f>BIdetails!J944</f>
        <v>0</v>
      </c>
      <c r="D941">
        <f>BIdetails!K944</f>
        <v>0</v>
      </c>
      <c r="E941" s="168">
        <f>BIdetails!M944</f>
        <v>0</v>
      </c>
      <c r="F941" t="e">
        <f>IF(ISERROR(IF(OR(C941="#",C941=0),"",VLOOKUP(C941,'AOP24'!M:M,1,0))),"Not Found",VLOOKUP(C941,'AOP24'!M:M,1,0))</f>
        <v>#N/A</v>
      </c>
      <c r="G941" t="e">
        <f t="shared" si="14"/>
        <v>#N/A</v>
      </c>
    </row>
    <row r="942" spans="1:7" x14ac:dyDescent="0.25">
      <c r="A942">
        <f>BIdetails!G945</f>
        <v>0</v>
      </c>
      <c r="B942">
        <f>BIdetails!H945</f>
        <v>0</v>
      </c>
      <c r="C942">
        <f>BIdetails!J945</f>
        <v>0</v>
      </c>
      <c r="D942">
        <f>BIdetails!K945</f>
        <v>0</v>
      </c>
      <c r="E942" s="168">
        <f>BIdetails!M945</f>
        <v>0</v>
      </c>
      <c r="F942" t="e">
        <f>IF(ISERROR(IF(OR(C942="#",C942=0),"",VLOOKUP(C942,'AOP24'!M:M,1,0))),"Not Found",VLOOKUP(C942,'AOP24'!M:M,1,0))</f>
        <v>#N/A</v>
      </c>
      <c r="G942" t="e">
        <f t="shared" si="14"/>
        <v>#N/A</v>
      </c>
    </row>
    <row r="943" spans="1:7" x14ac:dyDescent="0.25">
      <c r="A943">
        <f>BIdetails!G946</f>
        <v>0</v>
      </c>
      <c r="B943">
        <f>BIdetails!H946</f>
        <v>0</v>
      </c>
      <c r="C943">
        <f>BIdetails!J946</f>
        <v>0</v>
      </c>
      <c r="D943">
        <f>BIdetails!K946</f>
        <v>0</v>
      </c>
      <c r="E943" s="168">
        <f>BIdetails!M946</f>
        <v>0</v>
      </c>
      <c r="F943" t="e">
        <f>IF(ISERROR(IF(OR(C943="#",C943=0),"",VLOOKUP(C943,'AOP24'!M:M,1,0))),"Not Found",VLOOKUP(C943,'AOP24'!M:M,1,0))</f>
        <v>#N/A</v>
      </c>
      <c r="G943" t="e">
        <f t="shared" si="14"/>
        <v>#N/A</v>
      </c>
    </row>
    <row r="944" spans="1:7" x14ac:dyDescent="0.25">
      <c r="A944">
        <f>BIdetails!G947</f>
        <v>0</v>
      </c>
      <c r="B944">
        <f>BIdetails!H947</f>
        <v>0</v>
      </c>
      <c r="C944">
        <f>BIdetails!J947</f>
        <v>0</v>
      </c>
      <c r="D944">
        <f>BIdetails!K947</f>
        <v>0</v>
      </c>
      <c r="E944" s="168">
        <f>BIdetails!M947</f>
        <v>0</v>
      </c>
      <c r="F944" t="e">
        <f>IF(ISERROR(IF(OR(C944="#",C944=0),"",VLOOKUP(C944,'AOP24'!M:M,1,0))),"Not Found",VLOOKUP(C944,'AOP24'!M:M,1,0))</f>
        <v>#N/A</v>
      </c>
      <c r="G944" t="e">
        <f t="shared" si="14"/>
        <v>#N/A</v>
      </c>
    </row>
    <row r="945" spans="1:7" x14ac:dyDescent="0.25">
      <c r="A945">
        <f>BIdetails!G948</f>
        <v>0</v>
      </c>
      <c r="B945">
        <f>BIdetails!H948</f>
        <v>0</v>
      </c>
      <c r="C945">
        <f>BIdetails!J948</f>
        <v>0</v>
      </c>
      <c r="D945">
        <f>BIdetails!K948</f>
        <v>0</v>
      </c>
      <c r="E945" s="168">
        <f>BIdetails!M948</f>
        <v>0</v>
      </c>
      <c r="F945" t="e">
        <f>IF(ISERROR(IF(OR(C945="#",C945=0),"",VLOOKUP(C945,'AOP24'!M:M,1,0))),"Not Found",VLOOKUP(C945,'AOP24'!M:M,1,0))</f>
        <v>#N/A</v>
      </c>
      <c r="G945" t="e">
        <f t="shared" si="14"/>
        <v>#N/A</v>
      </c>
    </row>
    <row r="946" spans="1:7" x14ac:dyDescent="0.25">
      <c r="A946">
        <f>BIdetails!G949</f>
        <v>0</v>
      </c>
      <c r="B946">
        <f>BIdetails!H949</f>
        <v>0</v>
      </c>
      <c r="C946">
        <f>BIdetails!J949</f>
        <v>0</v>
      </c>
      <c r="D946">
        <f>BIdetails!K949</f>
        <v>0</v>
      </c>
      <c r="E946" s="168">
        <f>BIdetails!M949</f>
        <v>0</v>
      </c>
      <c r="F946" t="e">
        <f>IF(ISERROR(IF(OR(C946="#",C946=0),"",VLOOKUP(C946,'AOP24'!M:M,1,0))),"Not Found",VLOOKUP(C946,'AOP24'!M:M,1,0))</f>
        <v>#N/A</v>
      </c>
      <c r="G946" t="e">
        <f t="shared" si="14"/>
        <v>#N/A</v>
      </c>
    </row>
    <row r="947" spans="1:7" x14ac:dyDescent="0.25">
      <c r="A947">
        <f>BIdetails!G950</f>
        <v>0</v>
      </c>
      <c r="B947">
        <f>BIdetails!H950</f>
        <v>0</v>
      </c>
      <c r="C947">
        <f>BIdetails!J950</f>
        <v>0</v>
      </c>
      <c r="D947">
        <f>BIdetails!K950</f>
        <v>0</v>
      </c>
      <c r="E947" s="168">
        <f>BIdetails!M950</f>
        <v>0</v>
      </c>
      <c r="F947" t="e">
        <f>IF(ISERROR(IF(OR(C947="#",C947=0),"",VLOOKUP(C947,'AOP24'!M:M,1,0))),"Not Found",VLOOKUP(C947,'AOP24'!M:M,1,0))</f>
        <v>#N/A</v>
      </c>
      <c r="G947" t="e">
        <f t="shared" si="14"/>
        <v>#N/A</v>
      </c>
    </row>
    <row r="948" spans="1:7" x14ac:dyDescent="0.25">
      <c r="A948">
        <f>BIdetails!G951</f>
        <v>0</v>
      </c>
      <c r="B948">
        <f>BIdetails!H951</f>
        <v>0</v>
      </c>
      <c r="C948">
        <f>BIdetails!J951</f>
        <v>0</v>
      </c>
      <c r="D948">
        <f>BIdetails!K951</f>
        <v>0</v>
      </c>
      <c r="E948" s="168">
        <f>BIdetails!M951</f>
        <v>0</v>
      </c>
      <c r="F948" t="e">
        <f>IF(ISERROR(IF(OR(C948="#",C948=0),"",VLOOKUP(C948,'AOP24'!M:M,1,0))),"Not Found",VLOOKUP(C948,'AOP24'!M:M,1,0))</f>
        <v>#N/A</v>
      </c>
      <c r="G948" t="e">
        <f t="shared" si="14"/>
        <v>#N/A</v>
      </c>
    </row>
    <row r="949" spans="1:7" x14ac:dyDescent="0.25">
      <c r="A949">
        <f>BIdetails!G952</f>
        <v>0</v>
      </c>
      <c r="B949">
        <f>BIdetails!H952</f>
        <v>0</v>
      </c>
      <c r="C949">
        <f>BIdetails!J952</f>
        <v>0</v>
      </c>
      <c r="D949">
        <f>BIdetails!K952</f>
        <v>0</v>
      </c>
      <c r="E949" s="168">
        <f>BIdetails!M952</f>
        <v>0</v>
      </c>
      <c r="F949" t="e">
        <f>IF(ISERROR(IF(OR(C949="#",C949=0),"",VLOOKUP(C949,'AOP24'!M:M,1,0))),"Not Found",VLOOKUP(C949,'AOP24'!M:M,1,0))</f>
        <v>#N/A</v>
      </c>
      <c r="G949" t="e">
        <f t="shared" si="14"/>
        <v>#N/A</v>
      </c>
    </row>
    <row r="950" spans="1:7" x14ac:dyDescent="0.25">
      <c r="A950">
        <f>BIdetails!G953</f>
        <v>0</v>
      </c>
      <c r="B950">
        <f>BIdetails!H953</f>
        <v>0</v>
      </c>
      <c r="C950">
        <f>BIdetails!J953</f>
        <v>0</v>
      </c>
      <c r="D950">
        <f>BIdetails!K953</f>
        <v>0</v>
      </c>
      <c r="E950" s="168">
        <f>BIdetails!M953</f>
        <v>0</v>
      </c>
      <c r="F950" t="e">
        <f>IF(ISERROR(IF(OR(C950="#",C950=0),"",VLOOKUP(C950,'AOP24'!M:M,1,0))),"Not Found",VLOOKUP(C950,'AOP24'!M:M,1,0))</f>
        <v>#N/A</v>
      </c>
      <c r="G950" t="e">
        <f t="shared" si="14"/>
        <v>#N/A</v>
      </c>
    </row>
    <row r="951" spans="1:7" x14ac:dyDescent="0.25">
      <c r="A951">
        <f>BIdetails!G954</f>
        <v>0</v>
      </c>
      <c r="B951">
        <f>BIdetails!H954</f>
        <v>0</v>
      </c>
      <c r="C951">
        <f>BIdetails!J954</f>
        <v>0</v>
      </c>
      <c r="D951">
        <f>BIdetails!K954</f>
        <v>0</v>
      </c>
      <c r="E951" s="168">
        <f>BIdetails!M954</f>
        <v>0</v>
      </c>
      <c r="F951" t="e">
        <f>IF(ISERROR(IF(OR(C951="#",C951=0),"",VLOOKUP(C951,'AOP24'!M:M,1,0))),"Not Found",VLOOKUP(C951,'AOP24'!M:M,1,0))</f>
        <v>#N/A</v>
      </c>
      <c r="G951" t="e">
        <f t="shared" si="14"/>
        <v>#N/A</v>
      </c>
    </row>
    <row r="952" spans="1:7" x14ac:dyDescent="0.25">
      <c r="A952">
        <f>BIdetails!G955</f>
        <v>0</v>
      </c>
      <c r="B952">
        <f>BIdetails!H955</f>
        <v>0</v>
      </c>
      <c r="C952">
        <f>BIdetails!J955</f>
        <v>0</v>
      </c>
      <c r="D952">
        <f>BIdetails!K955</f>
        <v>0</v>
      </c>
      <c r="E952" s="168">
        <f>BIdetails!M955</f>
        <v>0</v>
      </c>
      <c r="F952" t="e">
        <f>IF(ISERROR(IF(OR(C952="#",C952=0),"",VLOOKUP(C952,'AOP24'!M:M,1,0))),"Not Found",VLOOKUP(C952,'AOP24'!M:M,1,0))</f>
        <v>#N/A</v>
      </c>
      <c r="G952" t="e">
        <f t="shared" si="14"/>
        <v>#N/A</v>
      </c>
    </row>
    <row r="953" spans="1:7" x14ac:dyDescent="0.25">
      <c r="A953">
        <f>BIdetails!G956</f>
        <v>0</v>
      </c>
      <c r="B953">
        <f>BIdetails!H956</f>
        <v>0</v>
      </c>
      <c r="C953">
        <f>BIdetails!J956</f>
        <v>0</v>
      </c>
      <c r="D953">
        <f>BIdetails!K956</f>
        <v>0</v>
      </c>
      <c r="E953" s="168">
        <f>BIdetails!M956</f>
        <v>0</v>
      </c>
      <c r="F953" t="e">
        <f>IF(ISERROR(IF(OR(C953="#",C953=0),"",VLOOKUP(C953,'AOP24'!M:M,1,0))),"Not Found",VLOOKUP(C953,'AOP24'!M:M,1,0))</f>
        <v>#N/A</v>
      </c>
      <c r="G953" t="e">
        <f t="shared" si="14"/>
        <v>#N/A</v>
      </c>
    </row>
    <row r="954" spans="1:7" x14ac:dyDescent="0.25">
      <c r="A954">
        <f>BIdetails!G957</f>
        <v>0</v>
      </c>
      <c r="B954">
        <f>BIdetails!H957</f>
        <v>0</v>
      </c>
      <c r="C954">
        <f>BIdetails!J957</f>
        <v>0</v>
      </c>
      <c r="D954">
        <f>BIdetails!K957</f>
        <v>0</v>
      </c>
      <c r="E954" s="168">
        <f>BIdetails!M957</f>
        <v>0</v>
      </c>
      <c r="F954" t="e">
        <f>IF(ISERROR(IF(OR(C954="#",C954=0),"",VLOOKUP(C954,'AOP24'!M:M,1,0))),"Not Found",VLOOKUP(C954,'AOP24'!M:M,1,0))</f>
        <v>#N/A</v>
      </c>
      <c r="G954" t="e">
        <f t="shared" ref="G954:G1000" si="15">IF(NOT(ISERROR(VLOOKUP(C954,$K$2:$K$50,1,0))),"Y",VLOOKUP(C954,$K$2:$K$50,1,0))</f>
        <v>#N/A</v>
      </c>
    </row>
    <row r="955" spans="1:7" x14ac:dyDescent="0.25">
      <c r="A955">
        <f>BIdetails!G958</f>
        <v>0</v>
      </c>
      <c r="B955">
        <f>BIdetails!H958</f>
        <v>0</v>
      </c>
      <c r="C955">
        <f>BIdetails!J958</f>
        <v>0</v>
      </c>
      <c r="D955">
        <f>BIdetails!K958</f>
        <v>0</v>
      </c>
      <c r="E955" s="168">
        <f>BIdetails!M958</f>
        <v>0</v>
      </c>
      <c r="F955" t="e">
        <f>IF(ISERROR(IF(OR(C955="#",C955=0),"",VLOOKUP(C955,'AOP24'!M:M,1,0))),"Not Found",VLOOKUP(C955,'AOP24'!M:M,1,0))</f>
        <v>#N/A</v>
      </c>
      <c r="G955" t="e">
        <f t="shared" si="15"/>
        <v>#N/A</v>
      </c>
    </row>
    <row r="956" spans="1:7" x14ac:dyDescent="0.25">
      <c r="A956">
        <f>BIdetails!G959</f>
        <v>0</v>
      </c>
      <c r="B956">
        <f>BIdetails!H959</f>
        <v>0</v>
      </c>
      <c r="C956">
        <f>BIdetails!J959</f>
        <v>0</v>
      </c>
      <c r="D956">
        <f>BIdetails!K959</f>
        <v>0</v>
      </c>
      <c r="E956" s="168">
        <f>BIdetails!M959</f>
        <v>0</v>
      </c>
      <c r="F956" t="e">
        <f>IF(ISERROR(IF(OR(C956="#",C956=0),"",VLOOKUP(C956,'AOP24'!M:M,1,0))),"Not Found",VLOOKUP(C956,'AOP24'!M:M,1,0))</f>
        <v>#N/A</v>
      </c>
      <c r="G956" t="e">
        <f t="shared" si="15"/>
        <v>#N/A</v>
      </c>
    </row>
    <row r="957" spans="1:7" x14ac:dyDescent="0.25">
      <c r="A957">
        <f>BIdetails!G960</f>
        <v>0</v>
      </c>
      <c r="B957">
        <f>BIdetails!H960</f>
        <v>0</v>
      </c>
      <c r="C957">
        <f>BIdetails!J960</f>
        <v>0</v>
      </c>
      <c r="D957">
        <f>BIdetails!K960</f>
        <v>0</v>
      </c>
      <c r="E957" s="168">
        <f>BIdetails!M960</f>
        <v>0</v>
      </c>
      <c r="F957" t="e">
        <f>IF(ISERROR(IF(OR(C957="#",C957=0),"",VLOOKUP(C957,'AOP24'!M:M,1,0))),"Not Found",VLOOKUP(C957,'AOP24'!M:M,1,0))</f>
        <v>#N/A</v>
      </c>
      <c r="G957" t="e">
        <f t="shared" si="15"/>
        <v>#N/A</v>
      </c>
    </row>
    <row r="958" spans="1:7" x14ac:dyDescent="0.25">
      <c r="A958">
        <f>BIdetails!G961</f>
        <v>0</v>
      </c>
      <c r="B958">
        <f>BIdetails!H961</f>
        <v>0</v>
      </c>
      <c r="C958">
        <f>BIdetails!J961</f>
        <v>0</v>
      </c>
      <c r="D958">
        <f>BIdetails!K961</f>
        <v>0</v>
      </c>
      <c r="E958" s="168">
        <f>BIdetails!M961</f>
        <v>0</v>
      </c>
      <c r="F958" t="e">
        <f>IF(ISERROR(IF(OR(C958="#",C958=0),"",VLOOKUP(C958,'AOP24'!M:M,1,0))),"Not Found",VLOOKUP(C958,'AOP24'!M:M,1,0))</f>
        <v>#N/A</v>
      </c>
      <c r="G958" t="e">
        <f t="shared" si="15"/>
        <v>#N/A</v>
      </c>
    </row>
    <row r="959" spans="1:7" x14ac:dyDescent="0.25">
      <c r="A959">
        <f>BIdetails!G962</f>
        <v>0</v>
      </c>
      <c r="B959">
        <f>BIdetails!H962</f>
        <v>0</v>
      </c>
      <c r="C959">
        <f>BIdetails!J962</f>
        <v>0</v>
      </c>
      <c r="D959">
        <f>BIdetails!K962</f>
        <v>0</v>
      </c>
      <c r="E959" s="168">
        <f>BIdetails!M962</f>
        <v>0</v>
      </c>
      <c r="F959" t="e">
        <f>IF(ISERROR(IF(OR(C959="#",C959=0),"",VLOOKUP(C959,'AOP24'!M:M,1,0))),"Not Found",VLOOKUP(C959,'AOP24'!M:M,1,0))</f>
        <v>#N/A</v>
      </c>
      <c r="G959" t="e">
        <f t="shared" si="15"/>
        <v>#N/A</v>
      </c>
    </row>
    <row r="960" spans="1:7" x14ac:dyDescent="0.25">
      <c r="A960">
        <f>BIdetails!G963</f>
        <v>0</v>
      </c>
      <c r="B960">
        <f>BIdetails!H963</f>
        <v>0</v>
      </c>
      <c r="C960">
        <f>BIdetails!J963</f>
        <v>0</v>
      </c>
      <c r="D960">
        <f>BIdetails!K963</f>
        <v>0</v>
      </c>
      <c r="E960" s="168">
        <f>BIdetails!M963</f>
        <v>0</v>
      </c>
      <c r="F960" t="e">
        <f>IF(ISERROR(IF(OR(C960="#",C960=0),"",VLOOKUP(C960,'AOP24'!M:M,1,0))),"Not Found",VLOOKUP(C960,'AOP24'!M:M,1,0))</f>
        <v>#N/A</v>
      </c>
      <c r="G960" t="e">
        <f t="shared" si="15"/>
        <v>#N/A</v>
      </c>
    </row>
    <row r="961" spans="1:7" x14ac:dyDescent="0.25">
      <c r="A961">
        <f>BIdetails!G964</f>
        <v>0</v>
      </c>
      <c r="B961">
        <f>BIdetails!H964</f>
        <v>0</v>
      </c>
      <c r="C961">
        <f>BIdetails!J964</f>
        <v>0</v>
      </c>
      <c r="D961">
        <f>BIdetails!K964</f>
        <v>0</v>
      </c>
      <c r="E961" s="168">
        <f>BIdetails!M964</f>
        <v>0</v>
      </c>
      <c r="F961" t="e">
        <f>IF(ISERROR(IF(OR(C961="#",C961=0),"",VLOOKUP(C961,'AOP24'!M:M,1,0))),"Not Found",VLOOKUP(C961,'AOP24'!M:M,1,0))</f>
        <v>#N/A</v>
      </c>
      <c r="G961" t="e">
        <f t="shared" si="15"/>
        <v>#N/A</v>
      </c>
    </row>
    <row r="962" spans="1:7" x14ac:dyDescent="0.25">
      <c r="A962">
        <f>BIdetails!G965</f>
        <v>0</v>
      </c>
      <c r="B962">
        <f>BIdetails!H965</f>
        <v>0</v>
      </c>
      <c r="C962">
        <f>BIdetails!J965</f>
        <v>0</v>
      </c>
      <c r="D962">
        <f>BIdetails!K965</f>
        <v>0</v>
      </c>
      <c r="E962" s="168">
        <f>BIdetails!M965</f>
        <v>0</v>
      </c>
      <c r="F962" t="e">
        <f>IF(ISERROR(IF(OR(C962="#",C962=0),"",VLOOKUP(C962,'AOP24'!M:M,1,0))),"Not Found",VLOOKUP(C962,'AOP24'!M:M,1,0))</f>
        <v>#N/A</v>
      </c>
      <c r="G962" t="e">
        <f t="shared" si="15"/>
        <v>#N/A</v>
      </c>
    </row>
    <row r="963" spans="1:7" x14ac:dyDescent="0.25">
      <c r="A963">
        <f>BIdetails!G966</f>
        <v>0</v>
      </c>
      <c r="B963">
        <f>BIdetails!H966</f>
        <v>0</v>
      </c>
      <c r="C963">
        <f>BIdetails!J966</f>
        <v>0</v>
      </c>
      <c r="D963">
        <f>BIdetails!K966</f>
        <v>0</v>
      </c>
      <c r="E963" s="168">
        <f>BIdetails!M966</f>
        <v>0</v>
      </c>
      <c r="F963" t="e">
        <f>IF(ISERROR(IF(OR(C963="#",C963=0),"",VLOOKUP(C963,'AOP24'!M:M,1,0))),"Not Found",VLOOKUP(C963,'AOP24'!M:M,1,0))</f>
        <v>#N/A</v>
      </c>
      <c r="G963" t="e">
        <f t="shared" si="15"/>
        <v>#N/A</v>
      </c>
    </row>
    <row r="964" spans="1:7" x14ac:dyDescent="0.25">
      <c r="A964">
        <f>BIdetails!G967</f>
        <v>0</v>
      </c>
      <c r="B964">
        <f>BIdetails!H967</f>
        <v>0</v>
      </c>
      <c r="C964">
        <f>BIdetails!J967</f>
        <v>0</v>
      </c>
      <c r="D964">
        <f>BIdetails!K967</f>
        <v>0</v>
      </c>
      <c r="E964" s="168">
        <f>BIdetails!M967</f>
        <v>0</v>
      </c>
      <c r="F964" t="e">
        <f>IF(ISERROR(IF(OR(C964="#",C964=0),"",VLOOKUP(C964,'AOP24'!M:M,1,0))),"Not Found",VLOOKUP(C964,'AOP24'!M:M,1,0))</f>
        <v>#N/A</v>
      </c>
      <c r="G964" t="e">
        <f t="shared" si="15"/>
        <v>#N/A</v>
      </c>
    </row>
    <row r="965" spans="1:7" x14ac:dyDescent="0.25">
      <c r="A965">
        <f>BIdetails!G968</f>
        <v>0</v>
      </c>
      <c r="B965">
        <f>BIdetails!H968</f>
        <v>0</v>
      </c>
      <c r="C965">
        <f>BIdetails!J968</f>
        <v>0</v>
      </c>
      <c r="D965">
        <f>BIdetails!K968</f>
        <v>0</v>
      </c>
      <c r="E965" s="168">
        <f>BIdetails!M968</f>
        <v>0</v>
      </c>
      <c r="F965" t="e">
        <f>IF(ISERROR(IF(OR(C965="#",C965=0),"",VLOOKUP(C965,'AOP24'!M:M,1,0))),"Not Found",VLOOKUP(C965,'AOP24'!M:M,1,0))</f>
        <v>#N/A</v>
      </c>
      <c r="G965" t="e">
        <f t="shared" si="15"/>
        <v>#N/A</v>
      </c>
    </row>
    <row r="966" spans="1:7" x14ac:dyDescent="0.25">
      <c r="A966">
        <f>BIdetails!G969</f>
        <v>0</v>
      </c>
      <c r="B966">
        <f>BIdetails!H969</f>
        <v>0</v>
      </c>
      <c r="C966">
        <f>BIdetails!J969</f>
        <v>0</v>
      </c>
      <c r="D966">
        <f>BIdetails!K969</f>
        <v>0</v>
      </c>
      <c r="E966" s="168">
        <f>BIdetails!M969</f>
        <v>0</v>
      </c>
      <c r="F966" t="e">
        <f>IF(ISERROR(IF(OR(C966="#",C966=0),"",VLOOKUP(C966,'AOP24'!M:M,1,0))),"Not Found",VLOOKUP(C966,'AOP24'!M:M,1,0))</f>
        <v>#N/A</v>
      </c>
      <c r="G966" t="e">
        <f t="shared" si="15"/>
        <v>#N/A</v>
      </c>
    </row>
    <row r="967" spans="1:7" x14ac:dyDescent="0.25">
      <c r="A967">
        <f>BIdetails!G970</f>
        <v>0</v>
      </c>
      <c r="B967">
        <f>BIdetails!H970</f>
        <v>0</v>
      </c>
      <c r="C967">
        <f>BIdetails!J970</f>
        <v>0</v>
      </c>
      <c r="D967">
        <f>BIdetails!K970</f>
        <v>0</v>
      </c>
      <c r="E967" s="168">
        <f>BIdetails!M970</f>
        <v>0</v>
      </c>
      <c r="F967" t="e">
        <f>IF(ISERROR(IF(OR(C967="#",C967=0),"",VLOOKUP(C967,'AOP24'!M:M,1,0))),"Not Found",VLOOKUP(C967,'AOP24'!M:M,1,0))</f>
        <v>#N/A</v>
      </c>
      <c r="G967" t="e">
        <f t="shared" si="15"/>
        <v>#N/A</v>
      </c>
    </row>
    <row r="968" spans="1:7" x14ac:dyDescent="0.25">
      <c r="A968">
        <f>BIdetails!G971</f>
        <v>0</v>
      </c>
      <c r="B968">
        <f>BIdetails!H971</f>
        <v>0</v>
      </c>
      <c r="C968">
        <f>BIdetails!J971</f>
        <v>0</v>
      </c>
      <c r="D968">
        <f>BIdetails!K971</f>
        <v>0</v>
      </c>
      <c r="E968" s="168">
        <f>BIdetails!M971</f>
        <v>0</v>
      </c>
      <c r="F968" t="e">
        <f>IF(ISERROR(IF(OR(C968="#",C968=0),"",VLOOKUP(C968,'AOP24'!M:M,1,0))),"Not Found",VLOOKUP(C968,'AOP24'!M:M,1,0))</f>
        <v>#N/A</v>
      </c>
      <c r="G968" t="e">
        <f t="shared" si="15"/>
        <v>#N/A</v>
      </c>
    </row>
    <row r="969" spans="1:7" x14ac:dyDescent="0.25">
      <c r="A969">
        <f>BIdetails!G972</f>
        <v>0</v>
      </c>
      <c r="B969">
        <f>BIdetails!H972</f>
        <v>0</v>
      </c>
      <c r="C969">
        <f>BIdetails!J972</f>
        <v>0</v>
      </c>
      <c r="D969">
        <f>BIdetails!K972</f>
        <v>0</v>
      </c>
      <c r="E969" s="168">
        <f>BIdetails!M972</f>
        <v>0</v>
      </c>
      <c r="F969" t="e">
        <f>IF(ISERROR(IF(OR(C969="#",C969=0),"",VLOOKUP(C969,'AOP24'!M:M,1,0))),"Not Found",VLOOKUP(C969,'AOP24'!M:M,1,0))</f>
        <v>#N/A</v>
      </c>
      <c r="G969" t="e">
        <f t="shared" si="15"/>
        <v>#N/A</v>
      </c>
    </row>
    <row r="970" spans="1:7" x14ac:dyDescent="0.25">
      <c r="A970">
        <f>BIdetails!G973</f>
        <v>0</v>
      </c>
      <c r="B970">
        <f>BIdetails!H973</f>
        <v>0</v>
      </c>
      <c r="C970">
        <f>BIdetails!J973</f>
        <v>0</v>
      </c>
      <c r="D970">
        <f>BIdetails!K973</f>
        <v>0</v>
      </c>
      <c r="E970" s="168">
        <f>BIdetails!M973</f>
        <v>0</v>
      </c>
      <c r="F970" t="e">
        <f>IF(ISERROR(IF(OR(C970="#",C970=0),"",VLOOKUP(C970,'AOP24'!M:M,1,0))),"Not Found",VLOOKUP(C970,'AOP24'!M:M,1,0))</f>
        <v>#N/A</v>
      </c>
      <c r="G970" t="e">
        <f t="shared" si="15"/>
        <v>#N/A</v>
      </c>
    </row>
    <row r="971" spans="1:7" x14ac:dyDescent="0.25">
      <c r="A971">
        <f>BIdetails!G974</f>
        <v>0</v>
      </c>
      <c r="B971">
        <f>BIdetails!H974</f>
        <v>0</v>
      </c>
      <c r="C971">
        <f>BIdetails!J974</f>
        <v>0</v>
      </c>
      <c r="D971">
        <f>BIdetails!K974</f>
        <v>0</v>
      </c>
      <c r="E971" s="168">
        <f>BIdetails!M974</f>
        <v>0</v>
      </c>
      <c r="F971" t="e">
        <f>IF(ISERROR(IF(OR(C971="#",C971=0),"",VLOOKUP(C971,'AOP24'!M:M,1,0))),"Not Found",VLOOKUP(C971,'AOP24'!M:M,1,0))</f>
        <v>#N/A</v>
      </c>
      <c r="G971" t="e">
        <f t="shared" si="15"/>
        <v>#N/A</v>
      </c>
    </row>
    <row r="972" spans="1:7" x14ac:dyDescent="0.25">
      <c r="A972">
        <f>BIdetails!G975</f>
        <v>0</v>
      </c>
      <c r="B972">
        <f>BIdetails!H975</f>
        <v>0</v>
      </c>
      <c r="C972">
        <f>BIdetails!J975</f>
        <v>0</v>
      </c>
      <c r="D972">
        <f>BIdetails!K975</f>
        <v>0</v>
      </c>
      <c r="E972" s="168">
        <f>BIdetails!M975</f>
        <v>0</v>
      </c>
      <c r="F972" t="e">
        <f>IF(ISERROR(IF(OR(C972="#",C972=0),"",VLOOKUP(C972,'AOP24'!M:M,1,0))),"Not Found",VLOOKUP(C972,'AOP24'!M:M,1,0))</f>
        <v>#N/A</v>
      </c>
      <c r="G972" t="e">
        <f t="shared" si="15"/>
        <v>#N/A</v>
      </c>
    </row>
    <row r="973" spans="1:7" x14ac:dyDescent="0.25">
      <c r="A973">
        <f>BIdetails!G976</f>
        <v>0</v>
      </c>
      <c r="B973">
        <f>BIdetails!H976</f>
        <v>0</v>
      </c>
      <c r="C973">
        <f>BIdetails!J976</f>
        <v>0</v>
      </c>
      <c r="D973">
        <f>BIdetails!K976</f>
        <v>0</v>
      </c>
      <c r="E973" s="168">
        <f>BIdetails!M976</f>
        <v>0</v>
      </c>
      <c r="F973" t="e">
        <f>IF(ISERROR(IF(OR(C973="#",C973=0),"",VLOOKUP(C973,'AOP24'!M:M,1,0))),"Not Found",VLOOKUP(C973,'AOP24'!M:M,1,0))</f>
        <v>#N/A</v>
      </c>
      <c r="G973" t="e">
        <f t="shared" si="15"/>
        <v>#N/A</v>
      </c>
    </row>
    <row r="974" spans="1:7" x14ac:dyDescent="0.25">
      <c r="A974">
        <f>BIdetails!G977</f>
        <v>0</v>
      </c>
      <c r="B974">
        <f>BIdetails!H977</f>
        <v>0</v>
      </c>
      <c r="C974">
        <f>BIdetails!J977</f>
        <v>0</v>
      </c>
      <c r="D974">
        <f>BIdetails!K977</f>
        <v>0</v>
      </c>
      <c r="E974" s="168">
        <f>BIdetails!M977</f>
        <v>0</v>
      </c>
      <c r="F974" t="e">
        <f>IF(ISERROR(IF(OR(C974="#",C974=0),"",VLOOKUP(C974,'AOP24'!M:M,1,0))),"Not Found",VLOOKUP(C974,'AOP24'!M:M,1,0))</f>
        <v>#N/A</v>
      </c>
      <c r="G974" t="e">
        <f t="shared" si="15"/>
        <v>#N/A</v>
      </c>
    </row>
    <row r="975" spans="1:7" x14ac:dyDescent="0.25">
      <c r="A975">
        <f>BIdetails!G978</f>
        <v>0</v>
      </c>
      <c r="B975">
        <f>BIdetails!H978</f>
        <v>0</v>
      </c>
      <c r="C975">
        <f>BIdetails!J978</f>
        <v>0</v>
      </c>
      <c r="D975">
        <f>BIdetails!K978</f>
        <v>0</v>
      </c>
      <c r="E975" s="168">
        <f>BIdetails!M978</f>
        <v>0</v>
      </c>
      <c r="F975" t="e">
        <f>IF(ISERROR(IF(OR(C975="#",C975=0),"",VLOOKUP(C975,'AOP24'!M:M,1,0))),"Not Found",VLOOKUP(C975,'AOP24'!M:M,1,0))</f>
        <v>#N/A</v>
      </c>
      <c r="G975" t="e">
        <f t="shared" si="15"/>
        <v>#N/A</v>
      </c>
    </row>
    <row r="976" spans="1:7" x14ac:dyDescent="0.25">
      <c r="A976">
        <f>BIdetails!G979</f>
        <v>0</v>
      </c>
      <c r="B976">
        <f>BIdetails!H979</f>
        <v>0</v>
      </c>
      <c r="C976">
        <f>BIdetails!J979</f>
        <v>0</v>
      </c>
      <c r="D976">
        <f>BIdetails!K979</f>
        <v>0</v>
      </c>
      <c r="E976" s="168">
        <f>BIdetails!M979</f>
        <v>0</v>
      </c>
      <c r="F976" t="e">
        <f>IF(ISERROR(IF(OR(C976="#",C976=0),"",VLOOKUP(C976,'AOP24'!M:M,1,0))),"Not Found",VLOOKUP(C976,'AOP24'!M:M,1,0))</f>
        <v>#N/A</v>
      </c>
      <c r="G976" t="e">
        <f t="shared" si="15"/>
        <v>#N/A</v>
      </c>
    </row>
    <row r="977" spans="1:7" x14ac:dyDescent="0.25">
      <c r="A977">
        <f>BIdetails!G980</f>
        <v>0</v>
      </c>
      <c r="B977">
        <f>BIdetails!H980</f>
        <v>0</v>
      </c>
      <c r="C977">
        <f>BIdetails!J980</f>
        <v>0</v>
      </c>
      <c r="D977">
        <f>BIdetails!K980</f>
        <v>0</v>
      </c>
      <c r="E977" s="168">
        <f>BIdetails!M980</f>
        <v>0</v>
      </c>
      <c r="F977" t="e">
        <f>IF(ISERROR(IF(OR(C977="#",C977=0),"",VLOOKUP(C977,'AOP24'!M:M,1,0))),"Not Found",VLOOKUP(C977,'AOP24'!M:M,1,0))</f>
        <v>#N/A</v>
      </c>
      <c r="G977" t="e">
        <f t="shared" si="15"/>
        <v>#N/A</v>
      </c>
    </row>
    <row r="978" spans="1:7" x14ac:dyDescent="0.25">
      <c r="A978">
        <f>BIdetails!G981</f>
        <v>0</v>
      </c>
      <c r="B978">
        <f>BIdetails!H981</f>
        <v>0</v>
      </c>
      <c r="C978">
        <f>BIdetails!J981</f>
        <v>0</v>
      </c>
      <c r="D978">
        <f>BIdetails!K981</f>
        <v>0</v>
      </c>
      <c r="E978" s="168">
        <f>BIdetails!M981</f>
        <v>0</v>
      </c>
      <c r="F978" t="e">
        <f>IF(ISERROR(IF(OR(C978="#",C978=0),"",VLOOKUP(C978,'AOP24'!M:M,1,0))),"Not Found",VLOOKUP(C978,'AOP24'!M:M,1,0))</f>
        <v>#N/A</v>
      </c>
      <c r="G978" t="e">
        <f t="shared" si="15"/>
        <v>#N/A</v>
      </c>
    </row>
    <row r="979" spans="1:7" x14ac:dyDescent="0.25">
      <c r="A979">
        <f>BIdetails!G982</f>
        <v>0</v>
      </c>
      <c r="B979">
        <f>BIdetails!H982</f>
        <v>0</v>
      </c>
      <c r="C979">
        <f>BIdetails!J982</f>
        <v>0</v>
      </c>
      <c r="D979">
        <f>BIdetails!K982</f>
        <v>0</v>
      </c>
      <c r="E979" s="168">
        <f>BIdetails!M982</f>
        <v>0</v>
      </c>
      <c r="F979" t="e">
        <f>IF(ISERROR(IF(OR(C979="#",C979=0),"",VLOOKUP(C979,'AOP24'!M:M,1,0))),"Not Found",VLOOKUP(C979,'AOP24'!M:M,1,0))</f>
        <v>#N/A</v>
      </c>
      <c r="G979" t="e">
        <f t="shared" si="15"/>
        <v>#N/A</v>
      </c>
    </row>
    <row r="980" spans="1:7" x14ac:dyDescent="0.25">
      <c r="A980">
        <f>BIdetails!G983</f>
        <v>0</v>
      </c>
      <c r="B980">
        <f>BIdetails!H983</f>
        <v>0</v>
      </c>
      <c r="C980">
        <f>BIdetails!J983</f>
        <v>0</v>
      </c>
      <c r="D980">
        <f>BIdetails!K983</f>
        <v>0</v>
      </c>
      <c r="E980" s="168">
        <f>BIdetails!M983</f>
        <v>0</v>
      </c>
      <c r="F980" t="e">
        <f>IF(ISERROR(IF(OR(C980="#",C980=0),"",VLOOKUP(C980,'AOP24'!M:M,1,0))),"Not Found",VLOOKUP(C980,'AOP24'!M:M,1,0))</f>
        <v>#N/A</v>
      </c>
      <c r="G980" t="e">
        <f t="shared" si="15"/>
        <v>#N/A</v>
      </c>
    </row>
    <row r="981" spans="1:7" x14ac:dyDescent="0.25">
      <c r="A981">
        <f>BIdetails!G984</f>
        <v>0</v>
      </c>
      <c r="B981">
        <f>BIdetails!H984</f>
        <v>0</v>
      </c>
      <c r="C981">
        <f>BIdetails!J984</f>
        <v>0</v>
      </c>
      <c r="D981">
        <f>BIdetails!K984</f>
        <v>0</v>
      </c>
      <c r="E981" s="168">
        <f>BIdetails!M984</f>
        <v>0</v>
      </c>
      <c r="F981" t="e">
        <f>IF(ISERROR(IF(OR(C981="#",C981=0),"",VLOOKUP(C981,'AOP24'!M:M,1,0))),"Not Found",VLOOKUP(C981,'AOP24'!M:M,1,0))</f>
        <v>#N/A</v>
      </c>
      <c r="G981" t="e">
        <f t="shared" si="15"/>
        <v>#N/A</v>
      </c>
    </row>
    <row r="982" spans="1:7" x14ac:dyDescent="0.25">
      <c r="A982">
        <f>BIdetails!G985</f>
        <v>0</v>
      </c>
      <c r="B982">
        <f>BIdetails!H985</f>
        <v>0</v>
      </c>
      <c r="C982">
        <f>BIdetails!J985</f>
        <v>0</v>
      </c>
      <c r="D982">
        <f>BIdetails!K985</f>
        <v>0</v>
      </c>
      <c r="E982" s="168">
        <f>BIdetails!M985</f>
        <v>0</v>
      </c>
      <c r="F982" t="e">
        <f>IF(ISERROR(IF(OR(C982="#",C982=0),"",VLOOKUP(C982,'AOP24'!M:M,1,0))),"Not Found",VLOOKUP(C982,'AOP24'!M:M,1,0))</f>
        <v>#N/A</v>
      </c>
      <c r="G982" t="e">
        <f t="shared" si="15"/>
        <v>#N/A</v>
      </c>
    </row>
    <row r="983" spans="1:7" x14ac:dyDescent="0.25">
      <c r="A983">
        <f>BIdetails!G986</f>
        <v>0</v>
      </c>
      <c r="B983">
        <f>BIdetails!H986</f>
        <v>0</v>
      </c>
      <c r="C983">
        <f>BIdetails!J986</f>
        <v>0</v>
      </c>
      <c r="D983">
        <f>BIdetails!K986</f>
        <v>0</v>
      </c>
      <c r="E983" s="168">
        <f>BIdetails!M986</f>
        <v>0</v>
      </c>
      <c r="F983" t="e">
        <f>IF(ISERROR(IF(OR(C983="#",C983=0),"",VLOOKUP(C983,'AOP24'!M:M,1,0))),"Not Found",VLOOKUP(C983,'AOP24'!M:M,1,0))</f>
        <v>#N/A</v>
      </c>
      <c r="G983" t="e">
        <f t="shared" si="15"/>
        <v>#N/A</v>
      </c>
    </row>
    <row r="984" spans="1:7" x14ac:dyDescent="0.25">
      <c r="A984">
        <f>BIdetails!G987</f>
        <v>0</v>
      </c>
      <c r="B984">
        <f>BIdetails!H987</f>
        <v>0</v>
      </c>
      <c r="C984">
        <f>BIdetails!J987</f>
        <v>0</v>
      </c>
      <c r="D984">
        <f>BIdetails!K987</f>
        <v>0</v>
      </c>
      <c r="E984" s="168">
        <f>BIdetails!M987</f>
        <v>0</v>
      </c>
      <c r="F984" t="e">
        <f>IF(ISERROR(IF(OR(C984="#",C984=0),"",VLOOKUP(C984,'AOP24'!M:M,1,0))),"Not Found",VLOOKUP(C984,'AOP24'!M:M,1,0))</f>
        <v>#N/A</v>
      </c>
      <c r="G984" t="e">
        <f t="shared" si="15"/>
        <v>#N/A</v>
      </c>
    </row>
    <row r="985" spans="1:7" x14ac:dyDescent="0.25">
      <c r="A985">
        <f>BIdetails!G988</f>
        <v>0</v>
      </c>
      <c r="B985">
        <f>BIdetails!H988</f>
        <v>0</v>
      </c>
      <c r="C985">
        <f>BIdetails!J988</f>
        <v>0</v>
      </c>
      <c r="D985">
        <f>BIdetails!K988</f>
        <v>0</v>
      </c>
      <c r="E985" s="168">
        <f>BIdetails!M988</f>
        <v>0</v>
      </c>
      <c r="F985" t="e">
        <f>IF(ISERROR(IF(OR(C985="#",C985=0),"",VLOOKUP(C985,'AOP24'!M:M,1,0))),"Not Found",VLOOKUP(C985,'AOP24'!M:M,1,0))</f>
        <v>#N/A</v>
      </c>
      <c r="G985" t="e">
        <f t="shared" si="15"/>
        <v>#N/A</v>
      </c>
    </row>
    <row r="986" spans="1:7" x14ac:dyDescent="0.25">
      <c r="A986">
        <f>BIdetails!G989</f>
        <v>0</v>
      </c>
      <c r="B986">
        <f>BIdetails!H989</f>
        <v>0</v>
      </c>
      <c r="C986">
        <f>BIdetails!J989</f>
        <v>0</v>
      </c>
      <c r="D986">
        <f>BIdetails!K989</f>
        <v>0</v>
      </c>
      <c r="E986" s="168">
        <f>BIdetails!M989</f>
        <v>0</v>
      </c>
      <c r="F986" t="e">
        <f>IF(ISERROR(IF(OR(C986="#",C986=0),"",VLOOKUP(C986,'AOP24'!M:M,1,0))),"Not Found",VLOOKUP(C986,'AOP24'!M:M,1,0))</f>
        <v>#N/A</v>
      </c>
      <c r="G986" t="e">
        <f t="shared" si="15"/>
        <v>#N/A</v>
      </c>
    </row>
    <row r="987" spans="1:7" x14ac:dyDescent="0.25">
      <c r="A987">
        <f>BIdetails!G990</f>
        <v>0</v>
      </c>
      <c r="B987">
        <f>BIdetails!H990</f>
        <v>0</v>
      </c>
      <c r="C987">
        <f>BIdetails!J990</f>
        <v>0</v>
      </c>
      <c r="D987">
        <f>BIdetails!K990</f>
        <v>0</v>
      </c>
      <c r="E987" s="168">
        <f>BIdetails!M990</f>
        <v>0</v>
      </c>
      <c r="F987" t="e">
        <f>IF(ISERROR(IF(OR(C987="#",C987=0),"",VLOOKUP(C987,'AOP24'!M:M,1,0))),"Not Found",VLOOKUP(C987,'AOP24'!M:M,1,0))</f>
        <v>#N/A</v>
      </c>
      <c r="G987" t="e">
        <f t="shared" si="15"/>
        <v>#N/A</v>
      </c>
    </row>
    <row r="988" spans="1:7" x14ac:dyDescent="0.25">
      <c r="A988">
        <f>BIdetails!G991</f>
        <v>0</v>
      </c>
      <c r="B988">
        <f>BIdetails!H991</f>
        <v>0</v>
      </c>
      <c r="C988">
        <f>BIdetails!J991</f>
        <v>0</v>
      </c>
      <c r="D988">
        <f>BIdetails!K991</f>
        <v>0</v>
      </c>
      <c r="E988" s="168">
        <f>BIdetails!M991</f>
        <v>0</v>
      </c>
      <c r="F988" t="e">
        <f>IF(ISERROR(IF(OR(C988="#",C988=0),"",VLOOKUP(C988,'AOP24'!M:M,1,0))),"Not Found",VLOOKUP(C988,'AOP24'!M:M,1,0))</f>
        <v>#N/A</v>
      </c>
      <c r="G988" t="e">
        <f t="shared" si="15"/>
        <v>#N/A</v>
      </c>
    </row>
    <row r="989" spans="1:7" x14ac:dyDescent="0.25">
      <c r="A989">
        <f>BIdetails!G992</f>
        <v>0</v>
      </c>
      <c r="B989">
        <f>BIdetails!H992</f>
        <v>0</v>
      </c>
      <c r="C989">
        <f>BIdetails!J992</f>
        <v>0</v>
      </c>
      <c r="D989">
        <f>BIdetails!K992</f>
        <v>0</v>
      </c>
      <c r="E989" s="168">
        <f>BIdetails!M992</f>
        <v>0</v>
      </c>
      <c r="F989" t="e">
        <f>IF(ISERROR(IF(OR(C989="#",C989=0),"",VLOOKUP(C989,'AOP24'!M:M,1,0))),"Not Found",VLOOKUP(C989,'AOP24'!M:M,1,0))</f>
        <v>#N/A</v>
      </c>
      <c r="G989" t="e">
        <f t="shared" si="15"/>
        <v>#N/A</v>
      </c>
    </row>
    <row r="990" spans="1:7" x14ac:dyDescent="0.25">
      <c r="A990">
        <f>BIdetails!G993</f>
        <v>0</v>
      </c>
      <c r="B990">
        <f>BIdetails!H993</f>
        <v>0</v>
      </c>
      <c r="C990">
        <f>BIdetails!J993</f>
        <v>0</v>
      </c>
      <c r="D990">
        <f>BIdetails!K993</f>
        <v>0</v>
      </c>
      <c r="E990" s="168">
        <f>BIdetails!M993</f>
        <v>0</v>
      </c>
      <c r="F990" t="e">
        <f>IF(ISERROR(IF(OR(C990="#",C990=0),"",VLOOKUP(C990,'AOP24'!M:M,1,0))),"Not Found",VLOOKUP(C990,'AOP24'!M:M,1,0))</f>
        <v>#N/A</v>
      </c>
      <c r="G990" t="e">
        <f t="shared" si="15"/>
        <v>#N/A</v>
      </c>
    </row>
    <row r="991" spans="1:7" x14ac:dyDescent="0.25">
      <c r="A991">
        <f>BIdetails!G994</f>
        <v>0</v>
      </c>
      <c r="B991">
        <f>BIdetails!H994</f>
        <v>0</v>
      </c>
      <c r="C991">
        <f>BIdetails!J994</f>
        <v>0</v>
      </c>
      <c r="D991">
        <f>BIdetails!K994</f>
        <v>0</v>
      </c>
      <c r="E991" s="168">
        <f>BIdetails!M994</f>
        <v>0</v>
      </c>
      <c r="F991" t="e">
        <f>IF(ISERROR(IF(OR(C991="#",C991=0),"",VLOOKUP(C991,'AOP24'!M:M,1,0))),"Not Found",VLOOKUP(C991,'AOP24'!M:M,1,0))</f>
        <v>#N/A</v>
      </c>
      <c r="G991" t="e">
        <f t="shared" si="15"/>
        <v>#N/A</v>
      </c>
    </row>
    <row r="992" spans="1:7" x14ac:dyDescent="0.25">
      <c r="A992">
        <f>BIdetails!G995</f>
        <v>0</v>
      </c>
      <c r="B992">
        <f>BIdetails!H995</f>
        <v>0</v>
      </c>
      <c r="C992">
        <f>BIdetails!J995</f>
        <v>0</v>
      </c>
      <c r="D992">
        <f>BIdetails!K995</f>
        <v>0</v>
      </c>
      <c r="E992" s="168">
        <f>BIdetails!M995</f>
        <v>0</v>
      </c>
      <c r="F992" t="e">
        <f>IF(ISERROR(IF(OR(C992="#",C992=0),"",VLOOKUP(C992,'AOP24'!M:M,1,0))),"Not Found",VLOOKUP(C992,'AOP24'!M:M,1,0))</f>
        <v>#N/A</v>
      </c>
      <c r="G992" t="e">
        <f t="shared" si="15"/>
        <v>#N/A</v>
      </c>
    </row>
    <row r="993" spans="1:7" x14ac:dyDescent="0.25">
      <c r="A993">
        <f>BIdetails!G996</f>
        <v>0</v>
      </c>
      <c r="B993">
        <f>BIdetails!H996</f>
        <v>0</v>
      </c>
      <c r="C993">
        <f>BIdetails!J996</f>
        <v>0</v>
      </c>
      <c r="D993">
        <f>BIdetails!K996</f>
        <v>0</v>
      </c>
      <c r="E993" s="168">
        <f>BIdetails!M996</f>
        <v>0</v>
      </c>
      <c r="F993" t="e">
        <f>IF(ISERROR(IF(OR(C993="#",C993=0),"",VLOOKUP(C993,'AOP24'!M:M,1,0))),"Not Found",VLOOKUP(C993,'AOP24'!M:M,1,0))</f>
        <v>#N/A</v>
      </c>
      <c r="G993" t="e">
        <f t="shared" si="15"/>
        <v>#N/A</v>
      </c>
    </row>
    <row r="994" spans="1:7" x14ac:dyDescent="0.25">
      <c r="A994">
        <f>BIdetails!G997</f>
        <v>0</v>
      </c>
      <c r="B994">
        <f>BIdetails!H997</f>
        <v>0</v>
      </c>
      <c r="C994">
        <f>BIdetails!J997</f>
        <v>0</v>
      </c>
      <c r="D994">
        <f>BIdetails!K997</f>
        <v>0</v>
      </c>
      <c r="E994" s="168">
        <f>BIdetails!M997</f>
        <v>0</v>
      </c>
      <c r="F994" t="e">
        <f>IF(ISERROR(IF(OR(C994="#",C994=0),"",VLOOKUP(C994,'AOP24'!M:M,1,0))),"Not Found",VLOOKUP(C994,'AOP24'!M:M,1,0))</f>
        <v>#N/A</v>
      </c>
      <c r="G994" t="e">
        <f t="shared" si="15"/>
        <v>#N/A</v>
      </c>
    </row>
    <row r="995" spans="1:7" x14ac:dyDescent="0.25">
      <c r="A995">
        <f>BIdetails!G998</f>
        <v>0</v>
      </c>
      <c r="B995">
        <f>BIdetails!H998</f>
        <v>0</v>
      </c>
      <c r="C995">
        <f>BIdetails!J998</f>
        <v>0</v>
      </c>
      <c r="D995">
        <f>BIdetails!K998</f>
        <v>0</v>
      </c>
      <c r="E995" s="168">
        <f>BIdetails!M998</f>
        <v>0</v>
      </c>
      <c r="F995" t="e">
        <f>IF(ISERROR(IF(OR(C995="#",C995=0),"",VLOOKUP(C995,'AOP24'!M:M,1,0))),"Not Found",VLOOKUP(C995,'AOP24'!M:M,1,0))</f>
        <v>#N/A</v>
      </c>
      <c r="G995" t="e">
        <f t="shared" si="15"/>
        <v>#N/A</v>
      </c>
    </row>
    <row r="996" spans="1:7" x14ac:dyDescent="0.25">
      <c r="A996">
        <f>BIdetails!G999</f>
        <v>0</v>
      </c>
      <c r="B996">
        <f>BIdetails!H999</f>
        <v>0</v>
      </c>
      <c r="C996">
        <f>BIdetails!J999</f>
        <v>0</v>
      </c>
      <c r="D996">
        <f>BIdetails!K999</f>
        <v>0</v>
      </c>
      <c r="E996" s="168">
        <f>BIdetails!M999</f>
        <v>0</v>
      </c>
      <c r="F996" t="e">
        <f>IF(ISERROR(IF(OR(C996="#",C996=0),"",VLOOKUP(C996,'AOP24'!M:M,1,0))),"Not Found",VLOOKUP(C996,'AOP24'!M:M,1,0))</f>
        <v>#N/A</v>
      </c>
      <c r="G996" t="e">
        <f t="shared" si="15"/>
        <v>#N/A</v>
      </c>
    </row>
    <row r="997" spans="1:7" x14ac:dyDescent="0.25">
      <c r="A997">
        <f>BIdetails!G1000</f>
        <v>0</v>
      </c>
      <c r="B997">
        <f>BIdetails!H1000</f>
        <v>0</v>
      </c>
      <c r="C997">
        <f>BIdetails!J1000</f>
        <v>0</v>
      </c>
      <c r="D997">
        <f>BIdetails!K1000</f>
        <v>0</v>
      </c>
      <c r="E997" s="168">
        <f>BIdetails!M1000</f>
        <v>0</v>
      </c>
      <c r="F997" t="e">
        <f>IF(ISERROR(IF(OR(C997="#",C997=0),"",VLOOKUP(C997,'AOP24'!M:M,1,0))),"Not Found",VLOOKUP(C997,'AOP24'!M:M,1,0))</f>
        <v>#N/A</v>
      </c>
      <c r="G997" t="e">
        <f t="shared" si="15"/>
        <v>#N/A</v>
      </c>
    </row>
    <row r="998" spans="1:7" x14ac:dyDescent="0.25">
      <c r="A998">
        <f>BIdetails!G1001</f>
        <v>0</v>
      </c>
      <c r="B998">
        <f>BIdetails!H1001</f>
        <v>0</v>
      </c>
      <c r="C998">
        <f>BIdetails!J1001</f>
        <v>0</v>
      </c>
      <c r="D998">
        <f>BIdetails!K1001</f>
        <v>0</v>
      </c>
      <c r="E998" s="168">
        <f>BIdetails!M1001</f>
        <v>0</v>
      </c>
      <c r="F998" t="e">
        <f>IF(ISERROR(IF(OR(C998="#",C998=0),"",VLOOKUP(C998,'AOP24'!M:M,1,0))),"Not Found",VLOOKUP(C998,'AOP24'!M:M,1,0))</f>
        <v>#N/A</v>
      </c>
      <c r="G998" t="e">
        <f t="shared" si="15"/>
        <v>#N/A</v>
      </c>
    </row>
    <row r="999" spans="1:7" x14ac:dyDescent="0.25">
      <c r="A999">
        <f>BIdetails!G1002</f>
        <v>0</v>
      </c>
      <c r="B999">
        <f>BIdetails!H1002</f>
        <v>0</v>
      </c>
      <c r="C999">
        <f>BIdetails!J1002</f>
        <v>0</v>
      </c>
      <c r="D999">
        <f>BIdetails!K1002</f>
        <v>0</v>
      </c>
      <c r="E999" s="168">
        <f>BIdetails!M1002</f>
        <v>0</v>
      </c>
      <c r="F999" t="e">
        <f>IF(ISERROR(IF(OR(C999="#",C999=0),"",VLOOKUP(C999,'AOP24'!M:M,1,0))),"Not Found",VLOOKUP(C999,'AOP24'!M:M,1,0))</f>
        <v>#N/A</v>
      </c>
      <c r="G999" t="e">
        <f t="shared" si="15"/>
        <v>#N/A</v>
      </c>
    </row>
    <row r="1000" spans="1:7" x14ac:dyDescent="0.25">
      <c r="A1000">
        <f>BIdetails!G1003</f>
        <v>0</v>
      </c>
      <c r="B1000">
        <f>BIdetails!H1003</f>
        <v>0</v>
      </c>
      <c r="C1000">
        <f>BIdetails!J1003</f>
        <v>0</v>
      </c>
      <c r="D1000">
        <f>BIdetails!K1003</f>
        <v>0</v>
      </c>
      <c r="E1000" s="168">
        <f>BIdetails!M1003</f>
        <v>0</v>
      </c>
      <c r="F1000" t="e">
        <f>IF(ISERROR(IF(OR(C1000="#",C1000=0),"",VLOOKUP(C1000,'AOP24'!M:M,1,0))),"Not Found",VLOOKUP(C1000,'AOP24'!M:M,1,0))</f>
        <v>#N/A</v>
      </c>
      <c r="G1000" t="e">
        <f t="shared" si="15"/>
        <v>#N/A</v>
      </c>
    </row>
  </sheetData>
  <autoFilter ref="A1:P1000" xr:uid="{2F691C08-748C-46CF-9E91-3E0910D61070}"/>
  <sortState xmlns:xlrd2="http://schemas.microsoft.com/office/spreadsheetml/2017/richdata2" ref="K3:L134">
    <sortCondition ref="K134"/>
  </sortState>
  <pageMargins left="0.7" right="0.7" top="0.75" bottom="0.75" header="0.3" footer="0.3"/>
  <pageSetup orientation="portrait" r:id="rId1"/>
  <customProperties>
    <customPr name="_pios_id" r:id="rId2"/>
    <customPr name="EpmWorksheetKeyString_GUID" r:id="rId3"/>
  </customProperties>
  <drawing r:id="rId4"/>
  <legacyDrawing r:id="rId5"/>
  <controls>
    <mc:AlternateContent xmlns:mc="http://schemas.openxmlformats.org/markup-compatibility/2006">
      <mc:Choice Requires="x14">
        <control shapeId="10241" r:id="rId6" name="CommandButton1">
          <controlPr defaultSize="0" print="0" autoLine="0" r:id="rId7">
            <anchor>
              <from>
                <xdr:col>6</xdr:col>
                <xdr:colOff>333375</xdr:colOff>
                <xdr:row>1</xdr:row>
                <xdr:rowOff>28575</xdr:rowOff>
              </from>
              <to>
                <xdr:col>7</xdr:col>
                <xdr:colOff>57150</xdr:colOff>
                <xdr:row>3</xdr:row>
                <xdr:rowOff>76200</xdr:rowOff>
              </to>
            </anchor>
          </controlPr>
        </control>
      </mc:Choice>
      <mc:Fallback>
        <control shapeId="10241" r:id="rId6"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B2:Q76"/>
  <sheetViews>
    <sheetView showGridLines="0" zoomScale="80" zoomScaleNormal="80" workbookViewId="0">
      <selection activeCell="B36" sqref="B36:G53"/>
    </sheetView>
  </sheetViews>
  <sheetFormatPr defaultRowHeight="15" x14ac:dyDescent="0.25"/>
  <cols>
    <col min="1" max="1" width="2.42578125" customWidth="1"/>
    <col min="2" max="2" width="19.5703125" customWidth="1"/>
    <col min="3" max="3" width="15.42578125" bestFit="1" customWidth="1"/>
    <col min="4" max="4" width="19.5703125" customWidth="1"/>
    <col min="5" max="5" width="16" customWidth="1"/>
    <col min="6" max="6" width="19.42578125" customWidth="1"/>
    <col min="7" max="7" width="16" customWidth="1"/>
    <col min="8" max="8" width="19.5703125" customWidth="1"/>
    <col min="9" max="9" width="10.5703125" bestFit="1" customWidth="1"/>
    <col min="10" max="10" width="2.42578125" customWidth="1"/>
    <col min="11" max="11" width="16.5703125" customWidth="1"/>
    <col min="12" max="12" width="17.5703125" customWidth="1"/>
    <col min="13" max="13" width="14.5703125" bestFit="1" customWidth="1"/>
    <col min="14" max="14" width="11.5703125" bestFit="1" customWidth="1"/>
    <col min="15" max="15" width="11.42578125" bestFit="1" customWidth="1"/>
  </cols>
  <sheetData>
    <row r="2" spans="2:13" x14ac:dyDescent="0.25">
      <c r="B2" s="9" t="s">
        <v>3186</v>
      </c>
      <c r="C2" s="9"/>
      <c r="D2" s="121">
        <v>44446</v>
      </c>
    </row>
    <row r="3" spans="2:13" ht="15.75" thickBot="1" x14ac:dyDescent="0.3"/>
    <row r="4" spans="2:13" ht="15.75" thickBot="1" x14ac:dyDescent="0.3">
      <c r="B4" s="113" t="s">
        <v>3187</v>
      </c>
      <c r="D4" s="43">
        <v>68427709</v>
      </c>
      <c r="E4" s="44"/>
      <c r="F4" s="160"/>
      <c r="G4" s="43">
        <v>68427719</v>
      </c>
      <c r="H4" s="44"/>
      <c r="I4" s="160"/>
      <c r="K4" s="43" t="s">
        <v>12</v>
      </c>
      <c r="L4" s="159"/>
      <c r="M4" s="160"/>
    </row>
    <row r="5" spans="2:13" ht="15.75" thickBot="1" x14ac:dyDescent="0.3"/>
    <row r="6" spans="2:13" ht="15.75" thickBot="1" x14ac:dyDescent="0.3">
      <c r="B6" s="113" t="s">
        <v>3188</v>
      </c>
      <c r="C6" s="9"/>
      <c r="D6" s="55" t="str">
        <f>"AOP "&amp;(Summary!F7-1)</f>
        <v>AOP 2023</v>
      </c>
      <c r="E6" s="56" t="s">
        <v>3189</v>
      </c>
      <c r="F6" s="106" t="str">
        <f>"AOP "&amp;Summary!F7</f>
        <v>AOP 2024</v>
      </c>
      <c r="G6" s="55" t="str">
        <f>D6</f>
        <v>AOP 2023</v>
      </c>
      <c r="H6" s="56" t="s">
        <v>3189</v>
      </c>
      <c r="I6" s="106" t="str">
        <f>F6</f>
        <v>AOP 2024</v>
      </c>
      <c r="K6" s="55" t="str">
        <f>D6</f>
        <v>AOP 2023</v>
      </c>
      <c r="L6" s="56" t="s">
        <v>3189</v>
      </c>
      <c r="M6" s="106" t="str">
        <f>F6</f>
        <v>AOP 2024</v>
      </c>
    </row>
    <row r="7" spans="2:13" ht="15.75" thickBot="1" x14ac:dyDescent="0.3"/>
    <row r="8" spans="2:13" x14ac:dyDescent="0.25">
      <c r="B8" s="64" t="s">
        <v>1595</v>
      </c>
      <c r="D8" s="114" cm="1">
        <f t="array" ref="D8">SUMPRODUCT(('AOP24'!$B$2:$B$364='AOP 2024 Summary'!$B8)*('AOP24'!$D$2:$D$364=$D$4)*('AOP24'!$T$2:$T$364))</f>
        <v>0</v>
      </c>
      <c r="E8" s="107" cm="1">
        <f t="array" ref="E8">SUMPRODUCT(('AOP24'!$B$2:$B$364='AOP 2024 Summary'!$B8)*('AOP24'!$D$2:$D$364=$D$4)*('AOP24'!$V$2:$V$364))</f>
        <v>3187950</v>
      </c>
      <c r="F8" s="108">
        <f>SUM(D8:E8)</f>
        <v>3187950</v>
      </c>
      <c r="G8" s="114" cm="1">
        <f t="array" ref="G8">SUMPRODUCT(('AOP24'!$B$2:$B$364='AOP 2024 Summary'!$B8)*('AOP24'!$D$2:$D$364=$G$4)*('AOP24'!$T$2:$T$364))</f>
        <v>0</v>
      </c>
      <c r="H8" s="107" cm="1">
        <f t="array" ref="H8">SUMPRODUCT(('AOP24'!$B$2:$B$364='AOP 2024 Summary'!$B8)*('AOP24'!$D$2:$D$364=$G$4)*('AOP24'!$V$2:$V$364))</f>
        <v>16000</v>
      </c>
      <c r="I8" s="108">
        <f>SUM(G8:H8)</f>
        <v>16000</v>
      </c>
      <c r="K8" s="161">
        <f>D8+G8</f>
        <v>0</v>
      </c>
      <c r="L8" s="162">
        <f t="shared" ref="L8:M8" si="0">E8+H8</f>
        <v>3203950</v>
      </c>
      <c r="M8" s="108">
        <f t="shared" si="0"/>
        <v>3203950</v>
      </c>
    </row>
    <row r="9" spans="2:13" x14ac:dyDescent="0.25">
      <c r="B9" s="65" t="s">
        <v>1566</v>
      </c>
      <c r="D9" s="115" cm="1">
        <f t="array" ref="D9">SUMPRODUCT(('AOP24'!$B$2:$B$364='AOP 2024 Summary'!$B9)*('AOP24'!$D$2:$D$364=$D$4)*('AOP24'!$T$2:$T$364))</f>
        <v>1932200</v>
      </c>
      <c r="E9" s="109" cm="1">
        <f t="array" ref="E9">SUMPRODUCT(('AOP24'!$B$2:$B$364='AOP 2024 Summary'!$B9)*('AOP24'!$D$2:$D$364=$D$4)*('AOP24'!$V$2:$V$364))</f>
        <v>-1932200</v>
      </c>
      <c r="F9" s="110">
        <f t="shared" ref="F9:F12" si="1">SUM(D9:E9)</f>
        <v>0</v>
      </c>
      <c r="G9" s="115" cm="1">
        <f t="array" ref="G9">SUMPRODUCT(('AOP24'!$B$2:$B$303='AOP 2024 Summary'!$B9)*('AOP24'!$D$2:$D$303=$G$4)*('AOP24'!$T$2:$T$303))</f>
        <v>0</v>
      </c>
      <c r="H9" s="109" cm="1">
        <f t="array" ref="H9">SUMPRODUCT(('AOP24'!$B$2:$B$364='AOP 2024 Summary'!$B9)*('AOP24'!$D$2:$D$364=$G$4)*('AOP24'!$V$2:$V$364))</f>
        <v>0</v>
      </c>
      <c r="I9" s="110">
        <f t="shared" ref="I9:I12" si="2">SUM(G9:H9)</f>
        <v>0</v>
      </c>
      <c r="K9" s="163">
        <f t="shared" ref="K9:K12" si="3">D9+G9</f>
        <v>1932200</v>
      </c>
      <c r="L9" s="133">
        <f t="shared" ref="L9:L12" si="4">E9+H9</f>
        <v>-1932200</v>
      </c>
      <c r="M9" s="110">
        <f t="shared" ref="M9:M12" si="5">F9+I9</f>
        <v>0</v>
      </c>
    </row>
    <row r="10" spans="2:13" x14ac:dyDescent="0.25">
      <c r="B10" s="65" t="s">
        <v>3190</v>
      </c>
      <c r="D10" s="115" cm="1">
        <f t="array" ref="D10">SUMPRODUCT(('AOP24'!$B$2:$B$364='AOP 2024 Summary'!$B10)*('AOP24'!$D$2:$D$364=$D$4)*('AOP24'!$T$2:$T$364))</f>
        <v>6126600</v>
      </c>
      <c r="E10" s="109" cm="1">
        <f t="array" ref="E10">SUMPRODUCT(('AOP24'!$B$2:$B$364='AOP 2024 Summary'!$B10)*('AOP24'!$D$2:$D$364=$D$4)*('AOP24'!$V$2:$V$364))</f>
        <v>-903600</v>
      </c>
      <c r="F10" s="110">
        <f t="shared" si="1"/>
        <v>5223000</v>
      </c>
      <c r="G10" s="115" cm="1">
        <f t="array" ref="G10">SUMPRODUCT(('AOP24'!$B$2:$B$303='AOP 2024 Summary'!$B10)*('AOP24'!$D$2:$D$303=$G$4)*('AOP24'!$T$2:$T$303))</f>
        <v>7027000</v>
      </c>
      <c r="H10" s="109" cm="1">
        <f t="array" ref="H10">SUMPRODUCT(('AOP24'!$B$2:$B$364='AOP 2024 Summary'!$B10)*('AOP24'!$D$2:$D$364=$G$4)*('AOP24'!$V$2:$V$364))</f>
        <v>-1619000</v>
      </c>
      <c r="I10" s="110">
        <f t="shared" si="2"/>
        <v>5408000</v>
      </c>
      <c r="K10" s="163">
        <f t="shared" si="3"/>
        <v>13153600</v>
      </c>
      <c r="L10" s="133">
        <f t="shared" si="4"/>
        <v>-2522600</v>
      </c>
      <c r="M10" s="110">
        <f t="shared" si="5"/>
        <v>10631000</v>
      </c>
    </row>
    <row r="11" spans="2:13" x14ac:dyDescent="0.25">
      <c r="B11" s="65" t="s">
        <v>3191</v>
      </c>
      <c r="D11" s="115" cm="1">
        <f t="array" ref="D11">SUMPRODUCT(('AOP24'!$B$2:$B$364='AOP 2024 Summary'!$B11)*('AOP24'!$D$2:$D$364=$D$4)*('AOP24'!$T$2:$T$364))</f>
        <v>20028628</v>
      </c>
      <c r="E11" s="109" cm="1">
        <f t="array" ref="E11">SUMPRODUCT(('AOP24'!$B$2:$B$364='AOP 2024 Summary'!$B11)*('AOP24'!$D$2:$D$364=$D$4)*('AOP24'!$V$2:$V$364))</f>
        <v>3483510</v>
      </c>
      <c r="F11" s="110">
        <f t="shared" si="1"/>
        <v>23512138</v>
      </c>
      <c r="G11" s="115" cm="1">
        <f t="array" ref="G11">SUMPRODUCT(('AOP24'!$B$2:$B$303='AOP 2024 Summary'!$B11)*('AOP24'!$D$2:$D$303=$G$4)*('AOP24'!$T$2:$T$303))</f>
        <v>67000</v>
      </c>
      <c r="H11" s="109" cm="1">
        <f t="array" ref="H11">SUMPRODUCT(('AOP24'!$B$2:$B$364='AOP 2024 Summary'!$B11)*('AOP24'!$D$2:$D$364=$G$4)*('AOP24'!$V$2:$V$364))</f>
        <v>95500</v>
      </c>
      <c r="I11" s="110">
        <f t="shared" si="2"/>
        <v>162500</v>
      </c>
      <c r="K11" s="163">
        <f t="shared" si="3"/>
        <v>20095628</v>
      </c>
      <c r="L11" s="133">
        <f t="shared" si="4"/>
        <v>3579010</v>
      </c>
      <c r="M11" s="110">
        <f t="shared" si="5"/>
        <v>23674638</v>
      </c>
    </row>
    <row r="12" spans="2:13" ht="15.75" thickBot="1" x14ac:dyDescent="0.3">
      <c r="B12" s="54" t="s">
        <v>3192</v>
      </c>
      <c r="D12" s="116" cm="1">
        <f t="array" ref="D12">SUMPRODUCT(('AOP24'!$B$2:$B$364='AOP 2024 Summary'!$B12)*('AOP24'!$D$2:$D$364=$D$4)*('AOP24'!$T$2:$T$364))</f>
        <v>21773034</v>
      </c>
      <c r="E12" s="111" cm="1">
        <f t="array" ref="E12">SUMPRODUCT(('AOP24'!$B$2:$B$364='AOP 2024 Summary'!$B12)*('AOP24'!$D$2:$D$364=$D$4)*('AOP24'!$V$2:$V$364))</f>
        <v>0</v>
      </c>
      <c r="F12" s="112">
        <f t="shared" si="1"/>
        <v>21773034</v>
      </c>
      <c r="G12" s="116" cm="1">
        <f t="array" ref="G12">SUMPRODUCT(('AOP24'!$B$2:$B$303='AOP 2024 Summary'!$B12)*('AOP24'!$D$2:$D$303=$G$4)*('AOP24'!$T$2:$T$303))</f>
        <v>405980</v>
      </c>
      <c r="H12" s="111" cm="1">
        <f t="array" ref="H12">SUMPRODUCT(('AOP24'!$B$2:$B$364='AOP 2024 Summary'!$B12)*('AOP24'!$D$2:$D$364=$G$4)*('AOP24'!$V$2:$V$364))</f>
        <v>0</v>
      </c>
      <c r="I12" s="112">
        <f t="shared" si="2"/>
        <v>405980</v>
      </c>
      <c r="K12" s="164">
        <f t="shared" si="3"/>
        <v>22179014</v>
      </c>
      <c r="L12" s="165">
        <f t="shared" si="4"/>
        <v>0</v>
      </c>
      <c r="M12" s="112">
        <f t="shared" si="5"/>
        <v>22179014</v>
      </c>
    </row>
    <row r="13" spans="2:13" ht="15.75" thickBot="1" x14ac:dyDescent="0.3"/>
    <row r="14" spans="2:13" ht="15.75" thickBot="1" x14ac:dyDescent="0.3">
      <c r="B14" s="117" t="s">
        <v>12</v>
      </c>
      <c r="D14" s="118">
        <f t="shared" ref="D14:I14" si="6">SUM(D8:D13)</f>
        <v>49860462</v>
      </c>
      <c r="E14" s="119">
        <f t="shared" si="6"/>
        <v>3835660</v>
      </c>
      <c r="F14" s="120">
        <f t="shared" si="6"/>
        <v>53696122</v>
      </c>
      <c r="G14" s="118">
        <f t="shared" si="6"/>
        <v>7499980</v>
      </c>
      <c r="H14" s="119">
        <f t="shared" si="6"/>
        <v>-1507500</v>
      </c>
      <c r="I14" s="120">
        <f t="shared" si="6"/>
        <v>5992480</v>
      </c>
      <c r="K14" s="118">
        <f>SUM(K8:K13)</f>
        <v>57360442</v>
      </c>
      <c r="L14" s="119">
        <f>SUM(L8:L13)</f>
        <v>2328160</v>
      </c>
      <c r="M14" s="120">
        <f>SUM(M8:M13)</f>
        <v>59688602</v>
      </c>
    </row>
    <row r="15" spans="2:13" ht="15.75" thickBot="1" x14ac:dyDescent="0.3"/>
    <row r="16" spans="2:13" ht="15.75" thickBot="1" x14ac:dyDescent="0.3">
      <c r="B16" s="137" t="s">
        <v>3193</v>
      </c>
      <c r="C16" s="194"/>
      <c r="D16" s="134" t="str">
        <f>D6</f>
        <v>AOP 2023</v>
      </c>
      <c r="E16" s="135" t="s">
        <v>3194</v>
      </c>
      <c r="F16" s="136" t="s">
        <v>3195</v>
      </c>
      <c r="G16" s="134" t="str">
        <f>F6</f>
        <v>AOP 2024</v>
      </c>
      <c r="H16" s="135" t="s">
        <v>3194</v>
      </c>
      <c r="I16" s="136" t="s">
        <v>3195</v>
      </c>
      <c r="K16" s="134" t="s">
        <v>3196</v>
      </c>
      <c r="L16" s="135" t="s">
        <v>3197</v>
      </c>
      <c r="M16" s="136" t="s">
        <v>3198</v>
      </c>
    </row>
    <row r="17" spans="2:17" ht="15.75" thickBot="1" x14ac:dyDescent="0.3"/>
    <row r="18" spans="2:17" x14ac:dyDescent="0.25">
      <c r="B18" s="64" t="s">
        <v>2550</v>
      </c>
      <c r="D18" s="114" cm="1">
        <f t="array" ref="D18">SUMPRODUCT(('AOP24'!$Q$2:$Q$364='AOP 2024 Summary'!$B18)*('AOP24'!$T$2:$T$364))</f>
        <v>2997200</v>
      </c>
      <c r="E18" s="11"/>
      <c r="F18" s="12"/>
      <c r="G18" s="114" cm="1">
        <f t="array" ref="G18">SUMPRODUCT(('AOP24'!$Q$2:$Q$364='AOP 2024 Summary'!$B18)*('AOP24'!$U$2:$U$364))</f>
        <v>3074650</v>
      </c>
      <c r="H18" s="11"/>
      <c r="I18" s="12"/>
      <c r="K18" s="190">
        <f t="shared" ref="K18:K19" si="7">IF(ISERROR((H18-E18)/H18),0,(H18-E18)/H18)</f>
        <v>0</v>
      </c>
      <c r="L18" s="162">
        <f>G18-D18</f>
        <v>77450</v>
      </c>
      <c r="M18" s="191">
        <f t="shared" ref="M18:M30" si="8">IF(ISERROR((I18-F18)/I18),0,(I18-F18)/I18)</f>
        <v>0</v>
      </c>
    </row>
    <row r="19" spans="2:17" x14ac:dyDescent="0.25">
      <c r="B19" s="65" t="s">
        <v>2626</v>
      </c>
      <c r="D19" s="115" cm="1">
        <f t="array" ref="D19">SUMPRODUCT(('AOP24'!$Q$2:$Q$364='AOP 2024 Summary'!$B19)*('AOP24'!$T$2:$T$364))</f>
        <v>530000</v>
      </c>
      <c r="F19" s="14"/>
      <c r="G19" s="115" cm="1">
        <f t="array" ref="G19">SUMPRODUCT(('AOP24'!$Q$2:$Q$364='AOP 2024 Summary'!$B19)*('AOP24'!$U$2:$U$364))</f>
        <v>931500</v>
      </c>
      <c r="I19" s="14"/>
      <c r="K19" s="138">
        <f t="shared" si="7"/>
        <v>0</v>
      </c>
      <c r="L19" s="133">
        <f t="shared" ref="L19:L30" si="9">G19-D19</f>
        <v>401500</v>
      </c>
      <c r="M19" s="139">
        <f t="shared" si="8"/>
        <v>0</v>
      </c>
    </row>
    <row r="20" spans="2:17" s="128" customFormat="1" x14ac:dyDescent="0.25">
      <c r="B20" s="65" t="s">
        <v>2602</v>
      </c>
      <c r="C20" s="129"/>
      <c r="D20" s="115" cm="1">
        <f t="array" ref="D20">SUMPRODUCT(('AOP24'!$Q$2:$Q$364='AOP 2024 Summary'!$B20)*('AOP24'!$T$2:$T$364))</f>
        <v>2400000</v>
      </c>
      <c r="E20" s="261">
        <v>1764</v>
      </c>
      <c r="F20" s="195">
        <f>D20/E20</f>
        <v>1360.5442176870749</v>
      </c>
      <c r="G20" s="115" cm="1">
        <f t="array" ref="G20">SUMPRODUCT(('AOP24'!$Q$2:$Q$364='AOP 2024 Summary'!$B20)*('AOP24'!$U$2:$U$364))</f>
        <v>1941000</v>
      </c>
      <c r="H20" s="261">
        <v>935</v>
      </c>
      <c r="I20" s="110">
        <f t="shared" ref="I20" si="10">G20/H20</f>
        <v>2075.9358288770054</v>
      </c>
      <c r="K20" s="138">
        <f>IF(ISERROR((H20-E20)/H20),0,(H20-E20)/H20)</f>
        <v>-0.88663101604278072</v>
      </c>
      <c r="L20" s="133">
        <f t="shared" si="9"/>
        <v>-459000</v>
      </c>
      <c r="M20" s="139">
        <f>IF(ISERROR((I20-F20)/I20),0,(I20-F20)/I20)</f>
        <v>0.34461162105233639</v>
      </c>
    </row>
    <row r="21" spans="2:17" x14ac:dyDescent="0.25">
      <c r="B21" s="65" t="s">
        <v>2595</v>
      </c>
      <c r="D21" s="115" cm="1">
        <f t="array" ref="D21">SUMPRODUCT(('AOP24'!$Q$2:$Q$364='AOP 2024 Summary'!$B21)*('AOP24'!$T$2:$T$364))</f>
        <v>652000</v>
      </c>
      <c r="E21" s="261">
        <v>1019</v>
      </c>
      <c r="F21" s="195">
        <v>539</v>
      </c>
      <c r="G21" s="115" cm="1">
        <f t="array" ref="G21">SUMPRODUCT(('AOP24'!$Q$2:$Q$364='AOP 2024 Summary'!$B21)*('AOP24'!$U$2:$U$364))</f>
        <v>462000</v>
      </c>
      <c r="H21" s="261">
        <v>421</v>
      </c>
      <c r="I21" s="110">
        <f t="shared" ref="I21:I27" si="11">G21/H21</f>
        <v>1097.3871733966746</v>
      </c>
      <c r="K21" s="138">
        <f t="shared" ref="K21:K30" si="12">IF(ISERROR((H21-E21)/H21),0,(H21-E21)/H21)</f>
        <v>-1.4204275534441806</v>
      </c>
      <c r="L21" s="133">
        <f t="shared" si="9"/>
        <v>-190000</v>
      </c>
      <c r="M21" s="139">
        <f t="shared" si="8"/>
        <v>0.50883333333333336</v>
      </c>
    </row>
    <row r="22" spans="2:17" x14ac:dyDescent="0.25">
      <c r="B22" s="65" t="s">
        <v>2613</v>
      </c>
      <c r="D22" s="115" cm="1">
        <f t="array" ref="D22">SUMPRODUCT(('AOP24'!$Q$2:$Q$364='AOP 2024 Summary'!$B22)*('AOP24'!$T$2:$T$364))</f>
        <v>4275980</v>
      </c>
      <c r="E22" s="261">
        <v>972</v>
      </c>
      <c r="F22" s="195">
        <f t="shared" ref="F22:F25" si="13">D22/E22</f>
        <v>4399.1563786008228</v>
      </c>
      <c r="G22" s="115" cm="1">
        <f t="array" ref="G22">SUMPRODUCT(('AOP24'!$Q$2:$Q$364='AOP 2024 Summary'!$B22)*('AOP24'!$U$2:$U$364))</f>
        <v>3361980</v>
      </c>
      <c r="H22" s="261">
        <v>876</v>
      </c>
      <c r="I22" s="110">
        <f t="shared" si="11"/>
        <v>3837.8767123287671</v>
      </c>
      <c r="K22" s="138">
        <f t="shared" si="12"/>
        <v>-0.1095890410958904</v>
      </c>
      <c r="L22" s="133">
        <f t="shared" si="9"/>
        <v>-914000</v>
      </c>
      <c r="M22" s="139">
        <f t="shared" si="8"/>
        <v>-0.14624744574754187</v>
      </c>
    </row>
    <row r="23" spans="2:17" x14ac:dyDescent="0.25">
      <c r="B23" s="65" t="s">
        <v>2872</v>
      </c>
      <c r="D23" s="115" cm="1">
        <f t="array" ref="D23">SUMPRODUCT(('AOP24'!$Q$2:$Q$364='AOP 2024 Summary'!$B23)*('AOP24'!$T$2:$T$364))</f>
        <v>532000</v>
      </c>
      <c r="E23" s="261">
        <v>264</v>
      </c>
      <c r="F23" s="195">
        <f t="shared" si="13"/>
        <v>2015.1515151515152</v>
      </c>
      <c r="G23" s="115" cm="1">
        <f t="array" ref="G23">SUMPRODUCT(('AOP24'!$Q$2:$Q$364='AOP 2024 Summary'!$B23)*('AOP24'!$U$2:$U$364))</f>
        <v>670000</v>
      </c>
      <c r="H23" s="261">
        <v>246</v>
      </c>
      <c r="I23" s="110">
        <f t="shared" si="11"/>
        <v>2723.5772357723577</v>
      </c>
      <c r="K23" s="138">
        <f t="shared" si="12"/>
        <v>-7.3170731707317069E-2</v>
      </c>
      <c r="L23" s="133">
        <f t="shared" si="9"/>
        <v>138000</v>
      </c>
      <c r="M23" s="139">
        <f t="shared" si="8"/>
        <v>0.26010854816824963</v>
      </c>
    </row>
    <row r="24" spans="2:17" x14ac:dyDescent="0.25">
      <c r="B24" s="65" t="s">
        <v>2545</v>
      </c>
      <c r="D24" s="115" cm="1">
        <f t="array" ref="D24">SUMPRODUCT(('AOP24'!$Q$2:$Q$364='AOP 2024 Summary'!$B24)*('AOP24'!$T$2:$T$364))</f>
        <v>27481924</v>
      </c>
      <c r="E24" s="171">
        <v>9375</v>
      </c>
      <c r="F24" s="195">
        <f t="shared" si="13"/>
        <v>2931.4052266666667</v>
      </c>
      <c r="G24" s="115" cm="1">
        <f t="array" ref="G24">SUMPRODUCT(('AOP24'!$Q$2:$Q$364='AOP 2024 Summary'!$B24)*('AOP24'!$U$2:$U$364))</f>
        <v>28973924</v>
      </c>
      <c r="H24" s="171">
        <v>9151</v>
      </c>
      <c r="I24" s="110">
        <f t="shared" si="11"/>
        <v>3166.2030379193529</v>
      </c>
      <c r="K24" s="138">
        <f t="shared" si="12"/>
        <v>-2.4478199103923067E-2</v>
      </c>
      <c r="L24" s="133">
        <f t="shared" si="9"/>
        <v>1492000</v>
      </c>
      <c r="M24" s="139">
        <f t="shared" si="8"/>
        <v>7.4157534573961445E-2</v>
      </c>
      <c r="O24" s="128"/>
    </row>
    <row r="25" spans="2:17" x14ac:dyDescent="0.25">
      <c r="B25" s="65" t="s">
        <v>2532</v>
      </c>
      <c r="D25" s="115" cm="1">
        <f t="array" ref="D25">SUMPRODUCT(('AOP24'!$Q$2:$Q$364='AOP 2024 Summary'!$B25)*('AOP24'!$T$2:$T$364))</f>
        <v>17336838</v>
      </c>
      <c r="E25" s="261">
        <v>5329</v>
      </c>
      <c r="F25" s="195">
        <f t="shared" si="13"/>
        <v>3253.3004316006754</v>
      </c>
      <c r="G25" s="115" cm="1">
        <f t="array" ref="G25">SUMPRODUCT(('AOP24'!$Q$2:$Q$364='AOP 2024 Summary'!$B25)*('AOP24'!$U$2:$U$364))</f>
        <v>18457048</v>
      </c>
      <c r="H25" s="261">
        <v>5277</v>
      </c>
      <c r="I25" s="110">
        <f t="shared" si="11"/>
        <v>3497.6403259427707</v>
      </c>
      <c r="K25" s="138">
        <f t="shared" si="12"/>
        <v>-9.8540837597119579E-3</v>
      </c>
      <c r="L25" s="133">
        <f t="shared" si="9"/>
        <v>1120210</v>
      </c>
      <c r="M25" s="139">
        <f t="shared" si="8"/>
        <v>6.9858496463965233E-2</v>
      </c>
      <c r="O25" s="128"/>
      <c r="P25" s="133"/>
      <c r="Q25" s="133"/>
    </row>
    <row r="26" spans="2:17" x14ac:dyDescent="0.25">
      <c r="B26" s="65" t="s">
        <v>2538</v>
      </c>
      <c r="D26" s="115" cm="1">
        <f t="array" ref="D26">SUMPRODUCT(('AOP24'!$Q$2:$Q$364='AOP 2024 Summary'!$B26)*('AOP24'!$T$2:$T$364))</f>
        <v>420000</v>
      </c>
      <c r="E26" s="109"/>
      <c r="F26" s="195"/>
      <c r="G26" s="115" cm="1">
        <f t="array" ref="G26">SUMPRODUCT(('AOP24'!$Q$2:$Q$364='AOP 2024 Summary'!$B26)*('AOP24'!$U$2:$U$364))</f>
        <v>1057000</v>
      </c>
      <c r="H26" s="261"/>
      <c r="I26" s="110" t="e">
        <f t="shared" si="11"/>
        <v>#DIV/0!</v>
      </c>
      <c r="K26" s="138">
        <f t="shared" si="12"/>
        <v>0</v>
      </c>
      <c r="L26" s="133">
        <f t="shared" si="9"/>
        <v>637000</v>
      </c>
      <c r="M26" s="139">
        <f t="shared" si="8"/>
        <v>0</v>
      </c>
    </row>
    <row r="27" spans="2:17" x14ac:dyDescent="0.25">
      <c r="B27" s="65" t="s">
        <v>2681</v>
      </c>
      <c r="D27" s="115" cm="1">
        <f t="array" ref="D27">SUMPRODUCT(('AOP24'!$Q$2:$Q$364='AOP 2024 Summary'!$B27)*('AOP24'!$T$2:$T$364))</f>
        <v>380000</v>
      </c>
      <c r="E27" s="109">
        <v>0</v>
      </c>
      <c r="F27" s="195"/>
      <c r="G27" s="115" cm="1">
        <f t="array" ref="G27">SUMPRODUCT(('AOP24'!$Q$2:$Q$364='AOP 2024 Summary'!$B27)*('AOP24'!$U$2:$U$364))</f>
        <v>380000</v>
      </c>
      <c r="H27" s="261">
        <v>45</v>
      </c>
      <c r="I27" s="110">
        <f t="shared" si="11"/>
        <v>8444.4444444444453</v>
      </c>
      <c r="K27" s="138">
        <f t="shared" si="12"/>
        <v>1</v>
      </c>
      <c r="L27" s="133">
        <f t="shared" si="9"/>
        <v>0</v>
      </c>
      <c r="M27" s="139">
        <f t="shared" si="8"/>
        <v>1</v>
      </c>
    </row>
    <row r="28" spans="2:17" x14ac:dyDescent="0.25">
      <c r="B28" s="65" t="s">
        <v>3199</v>
      </c>
      <c r="D28" s="115" cm="1">
        <f t="array" ref="D28">SUMPRODUCT(('AOP24'!$Q$2:$Q$364='AOP 2024 Summary'!$B28)*('AOP24'!$T$2:$T$364))</f>
        <v>0</v>
      </c>
      <c r="E28" s="109">
        <v>0</v>
      </c>
      <c r="F28" s="195"/>
      <c r="G28" s="115" cm="1">
        <f t="array" ref="G28">SUMPRODUCT(('AOP24'!$Q$2:$Q$364='AOP 2024 Summary'!$B28)*('AOP24'!$U$2:$U$364))</f>
        <v>0</v>
      </c>
      <c r="H28" s="109"/>
      <c r="I28" s="110"/>
      <c r="K28" s="138">
        <f t="shared" si="12"/>
        <v>0</v>
      </c>
      <c r="L28" s="133">
        <f t="shared" si="9"/>
        <v>0</v>
      </c>
      <c r="M28" s="139">
        <f t="shared" si="8"/>
        <v>0</v>
      </c>
    </row>
    <row r="29" spans="2:17" x14ac:dyDescent="0.25">
      <c r="B29" s="65" t="s">
        <v>3200</v>
      </c>
      <c r="D29" s="115" cm="1">
        <f t="array" ref="D29">SUMPRODUCT(('AOP24'!$Q$2:$Q$364='AOP 2024 Summary'!$B29)*('AOP24'!$T$2:$T$364))</f>
        <v>0</v>
      </c>
      <c r="E29" s="109">
        <v>0</v>
      </c>
      <c r="F29" s="195"/>
      <c r="G29" s="115" cm="1">
        <f t="array" ref="G29">SUMPRODUCT(('AOP24'!$Q$2:$Q$364='AOP 2024 Summary'!$B29)*('AOP24'!$U$2:$U$364))</f>
        <v>0</v>
      </c>
      <c r="H29" s="109"/>
      <c r="I29" s="110"/>
      <c r="K29" s="138">
        <f t="shared" si="12"/>
        <v>0</v>
      </c>
      <c r="L29" s="133">
        <f t="shared" si="9"/>
        <v>0</v>
      </c>
      <c r="M29" s="139">
        <f t="shared" si="8"/>
        <v>0</v>
      </c>
    </row>
    <row r="30" spans="2:17" ht="15.75" thickBot="1" x14ac:dyDescent="0.3">
      <c r="B30" s="54" t="s">
        <v>1942</v>
      </c>
      <c r="D30" s="116" cm="1">
        <f t="array" ref="D30">SUMPRODUCT(('AOP24'!$Q$2:$Q$364='AOP 2024 Summary'!$B30)*('AOP24'!$T$2:$T$364))</f>
        <v>0</v>
      </c>
      <c r="E30" s="16"/>
      <c r="F30" s="226"/>
      <c r="G30" s="116" cm="1">
        <f t="array" ref="G30">SUMPRODUCT(('AOP24'!$Q$2:$Q$364='AOP 2024 Summary'!$B30)*('AOP24'!$U$2:$U$364))</f>
        <v>0</v>
      </c>
      <c r="H30" s="16"/>
      <c r="I30" s="17"/>
      <c r="K30" s="192">
        <f t="shared" si="12"/>
        <v>0</v>
      </c>
      <c r="L30" s="165">
        <f t="shared" si="9"/>
        <v>0</v>
      </c>
      <c r="M30" s="193">
        <f t="shared" si="8"/>
        <v>0</v>
      </c>
    </row>
    <row r="31" spans="2:17" ht="15.75" thickBot="1" x14ac:dyDescent="0.3"/>
    <row r="32" spans="2:17" ht="15.75" thickBot="1" x14ac:dyDescent="0.3">
      <c r="B32" s="117" t="s">
        <v>12</v>
      </c>
      <c r="D32" s="118">
        <f>SUM(D18:D30)</f>
        <v>57005942</v>
      </c>
      <c r="E32" s="131"/>
      <c r="F32" s="131"/>
      <c r="G32" s="118">
        <f>SUM(G18:G30)</f>
        <v>59309102</v>
      </c>
      <c r="H32" s="131"/>
      <c r="I32" s="132"/>
      <c r="K32" s="130"/>
      <c r="L32" s="119">
        <f>SUM(L18:L31)</f>
        <v>2303160</v>
      </c>
      <c r="M32" s="132"/>
    </row>
    <row r="33" spans="2:7" ht="15.75" thickBot="1" x14ac:dyDescent="0.3">
      <c r="E33" s="127"/>
    </row>
    <row r="34" spans="2:7" ht="15.75" thickBot="1" x14ac:dyDescent="0.3">
      <c r="B34" s="55" t="s">
        <v>3201</v>
      </c>
      <c r="C34" s="131"/>
      <c r="D34" s="131"/>
      <c r="E34" s="135" t="str">
        <f>D6</f>
        <v>AOP 2023</v>
      </c>
      <c r="F34" s="135" t="str">
        <f>F6</f>
        <v>AOP 2024</v>
      </c>
      <c r="G34" s="136" t="s">
        <v>3189</v>
      </c>
    </row>
    <row r="35" spans="2:7" ht="15.75" thickBot="1" x14ac:dyDescent="0.3"/>
    <row r="36" spans="2:7" x14ac:dyDescent="0.25">
      <c r="B36" s="10" t="s">
        <v>2747</v>
      </c>
      <c r="C36" s="11"/>
      <c r="D36" s="11" t="s">
        <v>3202</v>
      </c>
      <c r="E36" s="107" cm="1">
        <f t="array" ref="E36">SUMPRODUCT(('AOP24'!$R$2:$R$363='AOP 2024 Summary'!$B36)*('AOP24'!$T$2:$T$363))</f>
        <v>610000</v>
      </c>
      <c r="F36" s="107" cm="1">
        <f t="array" ref="F36">SUMPRODUCT(('AOP24'!$R$2:$R$363='AOP 2024 Summary'!$B36)*('AOP24'!$U$2:$U$363))</f>
        <v>610000</v>
      </c>
      <c r="G36" s="220">
        <f>F36-E36</f>
        <v>0</v>
      </c>
    </row>
    <row r="37" spans="2:7" x14ac:dyDescent="0.25">
      <c r="B37" s="13" t="s">
        <v>280</v>
      </c>
      <c r="D37" t="s">
        <v>3203</v>
      </c>
      <c r="E37" s="109" cm="1">
        <f t="array" ref="E37">SUMPRODUCT(('AOP24'!$R$2:$R$363='AOP 2024 Summary'!$B37)*('AOP24'!$T$2:$T$363))</f>
        <v>1237200</v>
      </c>
      <c r="F37" s="109" cm="1">
        <f t="array" ref="F37">SUMPRODUCT(('AOP24'!$R$2:$R$363='AOP 2024 Summary'!$B37)*('AOP24'!$U$2:$U$363))</f>
        <v>1263850</v>
      </c>
      <c r="G37" s="151">
        <f t="shared" ref="G37:G55" si="14">F37-E37</f>
        <v>26650</v>
      </c>
    </row>
    <row r="38" spans="2:7" x14ac:dyDescent="0.25">
      <c r="B38" s="13" t="s">
        <v>3204</v>
      </c>
      <c r="C38" s="133"/>
      <c r="E38" s="109" cm="1">
        <f t="array" ref="E38">SUMPRODUCT(('AOP24'!$R$2:$R$363='AOP 2024 Summary'!$B38)*('AOP24'!$T$2:$T$363))</f>
        <v>0</v>
      </c>
      <c r="F38" s="109" cm="1">
        <f t="array" ref="F38">SUMPRODUCT(('AOP24'!$R$2:$R$363='AOP 2024 Summary'!$B38)*('AOP24'!$U$2:$U$363))</f>
        <v>0</v>
      </c>
      <c r="G38" s="151">
        <f t="shared" si="14"/>
        <v>0</v>
      </c>
    </row>
    <row r="39" spans="2:7" x14ac:dyDescent="0.25">
      <c r="B39" s="13" t="s">
        <v>3041</v>
      </c>
      <c r="C39" s="133"/>
      <c r="D39" t="s">
        <v>3202</v>
      </c>
      <c r="E39" s="109" cm="1">
        <f t="array" ref="E39">SUMPRODUCT(('AOP24'!$R$2:$R$363='AOP 2024 Summary'!$B39)*('AOP24'!$T$2:$T$363))</f>
        <v>130000</v>
      </c>
      <c r="F39" s="109" cm="1">
        <f t="array" ref="F39">SUMPRODUCT(('AOP24'!$R$2:$R$363='AOP 2024 Summary'!$B39)*('AOP24'!$U$2:$U$363))</f>
        <v>130000</v>
      </c>
      <c r="G39" s="151">
        <f t="shared" si="14"/>
        <v>0</v>
      </c>
    </row>
    <row r="40" spans="2:7" x14ac:dyDescent="0.25">
      <c r="B40" s="13" t="s">
        <v>2607</v>
      </c>
      <c r="C40" s="133"/>
      <c r="D40" t="s">
        <v>3205</v>
      </c>
      <c r="E40" s="109" cm="1">
        <f t="array" ref="E40">SUMPRODUCT(('AOP24'!$R$2:$R$363='AOP 2024 Summary'!$B40)*('AOP24'!$T$2:$T$363))</f>
        <v>16799524</v>
      </c>
      <c r="F40" s="109" cm="1">
        <f t="array" ref="F40">SUMPRODUCT(('AOP24'!$R$2:$R$363='AOP 2024 Summary'!$B40)*('AOP24'!$U$2:$U$363))</f>
        <v>18239124</v>
      </c>
      <c r="G40" s="151">
        <f t="shared" si="14"/>
        <v>1439600</v>
      </c>
    </row>
    <row r="41" spans="2:7" x14ac:dyDescent="0.25">
      <c r="B41" s="13" t="s">
        <v>2533</v>
      </c>
      <c r="C41" s="133"/>
      <c r="D41" t="s">
        <v>3205</v>
      </c>
      <c r="E41" s="109" cm="1">
        <f t="array" ref="E41">SUMPRODUCT(('AOP24'!$R$2:$R$363='AOP 2024 Summary'!$B41)*('AOP24'!$T$2:$T$363))</f>
        <v>16981838</v>
      </c>
      <c r="F41" s="109" cm="1">
        <f t="array" ref="F41">SUMPRODUCT(('AOP24'!$R$2:$R$363='AOP 2024 Summary'!$B41)*('AOP24'!$U$2:$U$363))</f>
        <v>17680648</v>
      </c>
      <c r="G41" s="151">
        <f t="shared" si="14"/>
        <v>698810</v>
      </c>
    </row>
    <row r="42" spans="2:7" x14ac:dyDescent="0.25">
      <c r="B42" s="13" t="s">
        <v>40</v>
      </c>
      <c r="C42" s="133"/>
      <c r="D42" t="s">
        <v>3205</v>
      </c>
      <c r="E42" s="109" cm="1">
        <f t="array" ref="E42">SUMPRODUCT(('AOP24'!$R$2:$R$363='AOP 2024 Summary'!$B42)*('AOP24'!$T$2:$T$363))</f>
        <v>2401700</v>
      </c>
      <c r="F42" s="109" cm="1">
        <f t="array" ref="F42">SUMPRODUCT(('AOP24'!$R$2:$R$363='AOP 2024 Summary'!$B42)*('AOP24'!$U$2:$U$363))</f>
        <v>2643700</v>
      </c>
      <c r="G42" s="151">
        <f t="shared" si="14"/>
        <v>242000</v>
      </c>
    </row>
    <row r="43" spans="2:7" x14ac:dyDescent="0.25">
      <c r="B43" s="13" t="s">
        <v>2596</v>
      </c>
      <c r="C43" s="133"/>
      <c r="D43" t="s">
        <v>3206</v>
      </c>
      <c r="E43" s="109" cm="1">
        <f t="array" ref="E43">SUMPRODUCT(('AOP24'!$R$2:$R$363='AOP 2024 Summary'!$B43)*('AOP24'!$T$2:$T$363))</f>
        <v>7722480</v>
      </c>
      <c r="F43" s="109" cm="1">
        <f t="array" ref="F43">SUMPRODUCT(('AOP24'!$R$2:$R$363='AOP 2024 Summary'!$B43)*('AOP24'!$U$2:$U$363))</f>
        <v>6211980</v>
      </c>
      <c r="G43" s="151">
        <f t="shared" si="14"/>
        <v>-1510500</v>
      </c>
    </row>
    <row r="44" spans="2:7" x14ac:dyDescent="0.25">
      <c r="B44" s="13" t="s">
        <v>2715</v>
      </c>
      <c r="C44" s="133"/>
      <c r="D44" t="s">
        <v>3205</v>
      </c>
      <c r="E44" s="109" cm="1">
        <f t="array" ref="E44">SUMPRODUCT(('AOP24'!$R$2:$R$363='AOP 2024 Summary'!$B44)*('AOP24'!$T$2:$T$363))</f>
        <v>878000</v>
      </c>
      <c r="F44" s="109" cm="1">
        <f t="array" ref="F44">SUMPRODUCT(('AOP24'!$R$2:$R$363='AOP 2024 Summary'!$B44)*('AOP24'!$U$2:$U$363))</f>
        <v>1038000</v>
      </c>
      <c r="G44" s="151">
        <f t="shared" si="14"/>
        <v>160000</v>
      </c>
    </row>
    <row r="45" spans="2:7" x14ac:dyDescent="0.25">
      <c r="B45" s="13" t="s">
        <v>2587</v>
      </c>
      <c r="C45" s="133"/>
      <c r="D45" t="s">
        <v>3203</v>
      </c>
      <c r="E45" s="109" cm="1">
        <f t="array" ref="E45">SUMPRODUCT(('AOP24'!$R$2:$R$363='AOP 2024 Summary'!$B45)*('AOP24'!$T$2:$T$363))</f>
        <v>1816300</v>
      </c>
      <c r="F45" s="109" cm="1">
        <f t="array" ref="F45">SUMPRODUCT(('AOP24'!$R$2:$R$363='AOP 2024 Summary'!$B45)*('AOP24'!$U$2:$U$363))</f>
        <v>2063200</v>
      </c>
      <c r="G45" s="151">
        <f t="shared" si="14"/>
        <v>246900</v>
      </c>
    </row>
    <row r="46" spans="2:7" x14ac:dyDescent="0.25">
      <c r="B46" s="13" t="s">
        <v>2672</v>
      </c>
      <c r="C46" s="133"/>
      <c r="D46" t="s">
        <v>3202</v>
      </c>
      <c r="E46" s="109" cm="1">
        <f t="array" ref="E46">SUMPRODUCT(('AOP24'!$R$2:$R$363='AOP 2024 Summary'!$B46)*('AOP24'!$T$2:$T$363))</f>
        <v>720000</v>
      </c>
      <c r="F46" s="109" cm="1">
        <f t="array" ref="F46">SUMPRODUCT(('AOP24'!$R$2:$R$363='AOP 2024 Summary'!$B46)*('AOP24'!$U$2:$U$363))</f>
        <v>758000</v>
      </c>
      <c r="G46" s="151">
        <f t="shared" si="14"/>
        <v>38000</v>
      </c>
    </row>
    <row r="47" spans="2:7" ht="13.35" customHeight="1" x14ac:dyDescent="0.25">
      <c r="B47" s="13" t="s">
        <v>2667</v>
      </c>
      <c r="D47" t="s">
        <v>3202</v>
      </c>
      <c r="E47" s="109" cm="1">
        <f t="array" ref="E47">SUMPRODUCT(('AOP24'!$R$2:$R$363='AOP 2024 Summary'!$B47)*('AOP24'!$T$2:$T$363))</f>
        <v>1708600</v>
      </c>
      <c r="F47" s="109" cm="1">
        <f t="array" ref="F47">SUMPRODUCT(('AOP24'!$R$2:$R$363='AOP 2024 Summary'!$B47)*('AOP24'!$U$2:$U$363))</f>
        <v>1641800</v>
      </c>
      <c r="G47" s="151">
        <f t="shared" si="14"/>
        <v>-66800</v>
      </c>
    </row>
    <row r="48" spans="2:7" x14ac:dyDescent="0.25">
      <c r="B48" s="13" t="s">
        <v>2551</v>
      </c>
      <c r="D48" t="s">
        <v>3202</v>
      </c>
      <c r="E48" s="109" cm="1">
        <f t="array" ref="E48">SUMPRODUCT(('AOP24'!$R$2:$R$363='AOP 2024 Summary'!$B48)*('AOP24'!$T$2:$T$363))</f>
        <v>1864300</v>
      </c>
      <c r="F48" s="109" cm="1">
        <f t="array" ref="F48">SUMPRODUCT(('AOP24'!$R$2:$R$363='AOP 2024 Summary'!$B48)*('AOP24'!$U$2:$U$363))</f>
        <v>2171300</v>
      </c>
      <c r="G48" s="151">
        <f t="shared" si="14"/>
        <v>307000</v>
      </c>
    </row>
    <row r="49" spans="2:7" x14ac:dyDescent="0.25">
      <c r="B49" s="13" t="s">
        <v>2873</v>
      </c>
      <c r="D49" t="s">
        <v>3203</v>
      </c>
      <c r="E49" s="109" cm="1">
        <f t="array" ref="E49">SUMPRODUCT(('AOP24'!$R$2:$R$363='AOP 2024 Summary'!$B49)*('AOP24'!$T$2:$T$363))</f>
        <v>987000</v>
      </c>
      <c r="F49" s="109" cm="1">
        <f t="array" ref="F49">SUMPRODUCT(('AOP24'!$R$2:$R$363='AOP 2024 Summary'!$B49)*('AOP24'!$U$2:$U$363))</f>
        <v>1125000</v>
      </c>
      <c r="G49" s="151">
        <f t="shared" si="14"/>
        <v>138000</v>
      </c>
    </row>
    <row r="50" spans="2:7" x14ac:dyDescent="0.25">
      <c r="B50" s="13" t="s">
        <v>811</v>
      </c>
      <c r="D50" t="s">
        <v>3205</v>
      </c>
      <c r="E50" s="109" cm="1">
        <f t="array" ref="E50">SUMPRODUCT(('AOP24'!$R$2:$R$363='AOP 2024 Summary'!$B50)*('AOP24'!$T$2:$T$363))</f>
        <v>2356000</v>
      </c>
      <c r="F50" s="109" cm="1">
        <f t="array" ref="F50">SUMPRODUCT(('AOP24'!$R$2:$R$363='AOP 2024 Summary'!$B50)*('AOP24'!$U$2:$U$363))</f>
        <v>2409500</v>
      </c>
      <c r="G50" s="151">
        <f t="shared" si="14"/>
        <v>53500</v>
      </c>
    </row>
    <row r="51" spans="2:7" x14ac:dyDescent="0.25">
      <c r="B51" s="13" t="s">
        <v>2804</v>
      </c>
      <c r="D51" t="s">
        <v>3202</v>
      </c>
      <c r="E51" s="109" cm="1">
        <f t="array" ref="E51">SUMPRODUCT(('AOP24'!$R$2:$R$363='AOP 2024 Summary'!$B51)*('AOP24'!$T$2:$T$363))</f>
        <v>155000</v>
      </c>
      <c r="F51" s="109" cm="1">
        <f t="array" ref="F51">SUMPRODUCT(('AOP24'!$R$2:$R$363='AOP 2024 Summary'!$B51)*('AOP24'!$U$2:$U$363))</f>
        <v>173000</v>
      </c>
      <c r="G51" s="151">
        <f t="shared" si="14"/>
        <v>18000</v>
      </c>
    </row>
    <row r="52" spans="2:7" x14ac:dyDescent="0.25">
      <c r="B52" s="13" t="s">
        <v>2539</v>
      </c>
      <c r="D52" t="s">
        <v>3202</v>
      </c>
      <c r="E52" s="109" cm="1">
        <f t="array" ref="E52">SUMPRODUCT(('AOP24'!$R$2:$R$363='AOP 2024 Summary'!$B52)*('AOP24'!$T$2:$T$363))</f>
        <v>1109000</v>
      </c>
      <c r="F52" s="109" cm="1">
        <f t="array" ref="F52">SUMPRODUCT(('AOP24'!$R$2:$R$363='AOP 2024 Summary'!$B52)*('AOP24'!$U$2:$U$363))</f>
        <v>1646000</v>
      </c>
      <c r="G52" s="151">
        <f t="shared" si="14"/>
        <v>537000</v>
      </c>
    </row>
    <row r="53" spans="2:7" x14ac:dyDescent="0.25">
      <c r="B53" s="13" t="s">
        <v>3175</v>
      </c>
      <c r="D53" s="109"/>
      <c r="E53" s="109" cm="1">
        <f t="array" ref="E53">SUMPRODUCT(('AOP24'!$R$2:$R$363='AOP 2024 Summary'!$B53)*('AOP24'!$T$2:$T$363))</f>
        <v>0</v>
      </c>
      <c r="F53" s="109" cm="1">
        <f t="array" ref="F53">SUMPRODUCT(('AOP24'!$R$2:$R$363='AOP 2024 Summary'!$B53)*('AOP24'!$U$2:$U$363))</f>
        <v>0</v>
      </c>
      <c r="G53" s="151">
        <f t="shared" si="14"/>
        <v>0</v>
      </c>
    </row>
    <row r="54" spans="2:7" x14ac:dyDescent="0.25">
      <c r="B54" s="13"/>
      <c r="D54" s="109"/>
      <c r="E54" s="109" cm="1">
        <f t="array" ref="E54">SUMPRODUCT(('AOP24'!$R$2:$R$363='AOP 2024 Summary'!$B54)*('AOP24'!$T$2:$T$363))</f>
        <v>0</v>
      </c>
      <c r="F54" s="109" cm="1">
        <f t="array" ref="F54">SUMPRODUCT(('AOP24'!$R$2:$R$363='AOP 2024 Summary'!$B54)*('AOP24'!$U$2:$U$363))</f>
        <v>0</v>
      </c>
      <c r="G54" s="151">
        <f t="shared" si="14"/>
        <v>0</v>
      </c>
    </row>
    <row r="55" spans="2:7" ht="15.75" thickBot="1" x14ac:dyDescent="0.3">
      <c r="B55" s="15"/>
      <c r="C55" s="51"/>
      <c r="D55" s="111"/>
      <c r="E55" s="111" cm="1">
        <f t="array" ref="E55">SUMPRODUCT(('AOP24'!$R$2:$R$363='AOP 2024 Summary'!$B55)*('AOP24'!$T$2:$T$363))</f>
        <v>0</v>
      </c>
      <c r="F55" s="111" cm="1">
        <f t="array" ref="F55">SUMPRODUCT(('AOP24'!$R$2:$R$363='AOP 2024 Summary'!$B55)*('AOP24'!$U$2:$U$363))</f>
        <v>0</v>
      </c>
      <c r="G55" s="152">
        <f t="shared" si="14"/>
        <v>0</v>
      </c>
    </row>
    <row r="56" spans="2:7" ht="15.75" thickBot="1" x14ac:dyDescent="0.3">
      <c r="D56" s="109"/>
      <c r="E56" s="109"/>
      <c r="F56" s="109"/>
      <c r="G56" s="109"/>
    </row>
    <row r="57" spans="2:7" ht="15.75" thickBot="1" x14ac:dyDescent="0.3">
      <c r="B57" s="55" t="s">
        <v>12</v>
      </c>
      <c r="C57" s="56"/>
      <c r="D57" s="56"/>
      <c r="E57" s="149">
        <f>SUM(E36:E55)</f>
        <v>57476942</v>
      </c>
      <c r="F57" s="149">
        <f t="shared" ref="F57:G57" si="15">SUM(F36:F55)</f>
        <v>59805102</v>
      </c>
      <c r="G57" s="189">
        <f t="shared" si="15"/>
        <v>2328160</v>
      </c>
    </row>
    <row r="58" spans="2:7" x14ac:dyDescent="0.25">
      <c r="D58" s="109"/>
      <c r="E58" s="109"/>
      <c r="F58" s="133"/>
    </row>
    <row r="59" spans="2:7" x14ac:dyDescent="0.25">
      <c r="D59" s="109"/>
      <c r="E59" s="109"/>
      <c r="F59" s="133"/>
      <c r="G59" s="133"/>
    </row>
    <row r="60" spans="2:7" x14ac:dyDescent="0.25">
      <c r="D60" s="109"/>
      <c r="E60" s="109"/>
      <c r="F60" s="133"/>
    </row>
    <row r="61" spans="2:7" x14ac:dyDescent="0.25">
      <c r="D61" s="109"/>
      <c r="E61" s="109"/>
      <c r="F61" s="133"/>
    </row>
    <row r="62" spans="2:7" x14ac:dyDescent="0.25">
      <c r="D62" s="109"/>
      <c r="E62" s="109"/>
      <c r="F62" s="133"/>
    </row>
    <row r="64" spans="2:7" x14ac:dyDescent="0.25">
      <c r="B64" s="9"/>
      <c r="C64" s="9"/>
      <c r="D64" s="221"/>
      <c r="E64" s="221"/>
      <c r="F64" s="221"/>
    </row>
    <row r="65" spans="9:9" x14ac:dyDescent="0.25">
      <c r="I65" s="194"/>
    </row>
    <row r="76" spans="9:9" x14ac:dyDescent="0.25">
      <c r="I76" s="194"/>
    </row>
  </sheetData>
  <pageMargins left="0.7" right="0.7" top="0.75" bottom="0.75" header="0.3" footer="0.3"/>
  <pageSetup orientation="portrait" r:id="rId1"/>
  <customProperties>
    <customPr name="_pios_id" r:id="rId2"/>
    <customPr name="EpmWorksheetKeyString_GUID" r:id="rId3"/>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CB028-AE77-4047-BBCD-75C5C8197CD2}">
  <dimension ref="A1:L19"/>
  <sheetViews>
    <sheetView zoomScale="80" zoomScaleNormal="80" workbookViewId="0">
      <selection activeCell="B22" sqref="B22"/>
    </sheetView>
  </sheetViews>
  <sheetFormatPr defaultRowHeight="15" x14ac:dyDescent="0.25"/>
  <cols>
    <col min="1" max="2" width="10.42578125" customWidth="1"/>
    <col min="3" max="3" width="28.5703125" customWidth="1"/>
    <col min="4" max="4" width="13.5703125" customWidth="1"/>
    <col min="5" max="7" width="15.5703125" customWidth="1"/>
    <col min="8" max="8" width="18.5703125" customWidth="1"/>
    <col min="9" max="9" width="12.42578125" customWidth="1"/>
    <col min="10" max="10" width="24" customWidth="1"/>
    <col min="11" max="11" width="23.42578125" customWidth="1"/>
    <col min="12" max="12" width="22" customWidth="1"/>
  </cols>
  <sheetData>
    <row r="1" spans="1:12" x14ac:dyDescent="0.25">
      <c r="A1" s="9" t="s">
        <v>3207</v>
      </c>
      <c r="B1" s="9" t="s">
        <v>3208</v>
      </c>
      <c r="C1" s="9" t="s">
        <v>3209</v>
      </c>
      <c r="D1" s="9" t="s">
        <v>3210</v>
      </c>
      <c r="E1" s="9" t="s">
        <v>3211</v>
      </c>
      <c r="F1" s="9" t="s">
        <v>3212</v>
      </c>
      <c r="G1" s="9" t="s">
        <v>3213</v>
      </c>
      <c r="H1" s="9" t="s">
        <v>3214</v>
      </c>
      <c r="I1" s="9" t="s">
        <v>3215</v>
      </c>
      <c r="J1" s="9" t="s">
        <v>3216</v>
      </c>
      <c r="K1" s="9" t="s">
        <v>3217</v>
      </c>
      <c r="L1" s="9" t="s">
        <v>3218</v>
      </c>
    </row>
    <row r="2" spans="1:12" x14ac:dyDescent="0.25">
      <c r="A2">
        <v>1</v>
      </c>
      <c r="B2" t="s">
        <v>2556</v>
      </c>
      <c r="C2" t="s">
        <v>3219</v>
      </c>
      <c r="D2" s="222">
        <f>39787*2</f>
        <v>79574</v>
      </c>
      <c r="E2" t="s">
        <v>1036</v>
      </c>
      <c r="F2" t="s">
        <v>610</v>
      </c>
      <c r="G2" s="241" t="s">
        <v>3206</v>
      </c>
      <c r="H2" s="241">
        <v>68427719</v>
      </c>
      <c r="I2" s="241" t="s">
        <v>3220</v>
      </c>
      <c r="J2" s="241">
        <v>68427709</v>
      </c>
      <c r="L2" s="252" t="s">
        <v>3221</v>
      </c>
    </row>
    <row r="3" spans="1:12" x14ac:dyDescent="0.25">
      <c r="A3">
        <v>2</v>
      </c>
      <c r="B3" t="s">
        <v>2556</v>
      </c>
      <c r="C3" t="s">
        <v>3222</v>
      </c>
      <c r="D3" s="222">
        <v>30888</v>
      </c>
      <c r="E3" t="s">
        <v>1036</v>
      </c>
      <c r="F3" t="s">
        <v>610</v>
      </c>
      <c r="G3" s="241" t="s">
        <v>3206</v>
      </c>
      <c r="H3" s="241">
        <v>68427719</v>
      </c>
      <c r="I3" s="241" t="s">
        <v>3220</v>
      </c>
      <c r="J3" s="241">
        <v>68427709</v>
      </c>
      <c r="L3" s="252" t="s">
        <v>3221</v>
      </c>
    </row>
    <row r="4" spans="1:12" x14ac:dyDescent="0.25">
      <c r="A4">
        <v>3</v>
      </c>
      <c r="B4" t="s">
        <v>2556</v>
      </c>
      <c r="C4" t="s">
        <v>3223</v>
      </c>
      <c r="D4" s="222">
        <v>215000</v>
      </c>
      <c r="E4" t="s">
        <v>3224</v>
      </c>
      <c r="F4" t="s">
        <v>610</v>
      </c>
      <c r="G4" s="241" t="s">
        <v>3206</v>
      </c>
      <c r="H4" s="241">
        <v>68427719</v>
      </c>
      <c r="I4" s="241" t="s">
        <v>3220</v>
      </c>
      <c r="J4" s="241">
        <v>68427709</v>
      </c>
      <c r="L4" s="252" t="s">
        <v>3221</v>
      </c>
    </row>
    <row r="5" spans="1:12" x14ac:dyDescent="0.25">
      <c r="A5">
        <v>4</v>
      </c>
      <c r="B5" t="s">
        <v>2556</v>
      </c>
      <c r="C5" t="s">
        <v>3225</v>
      </c>
      <c r="D5" s="222">
        <v>262000</v>
      </c>
      <c r="E5" t="s">
        <v>3226</v>
      </c>
      <c r="F5" t="s">
        <v>610</v>
      </c>
      <c r="G5" s="241" t="s">
        <v>3206</v>
      </c>
      <c r="H5" s="241">
        <v>68427719</v>
      </c>
      <c r="I5" s="241" t="s">
        <v>3220</v>
      </c>
      <c r="J5" s="241">
        <v>68427709</v>
      </c>
      <c r="L5" s="252" t="s">
        <v>3221</v>
      </c>
    </row>
    <row r="6" spans="1:12" ht="75" x14ac:dyDescent="0.25">
      <c r="A6">
        <v>5</v>
      </c>
      <c r="B6" t="s">
        <v>2556</v>
      </c>
      <c r="C6" t="s">
        <v>3227</v>
      </c>
      <c r="D6" s="222" t="s">
        <v>3228</v>
      </c>
      <c r="E6" t="s">
        <v>3229</v>
      </c>
      <c r="F6" t="s">
        <v>1942</v>
      </c>
      <c r="G6" t="s">
        <v>280</v>
      </c>
      <c r="H6" t="s">
        <v>1942</v>
      </c>
      <c r="I6" s="241" t="s">
        <v>3220</v>
      </c>
      <c r="J6" s="241">
        <v>68427709</v>
      </c>
      <c r="K6" s="244" t="s">
        <v>3230</v>
      </c>
      <c r="L6" s="243" t="s">
        <v>3231</v>
      </c>
    </row>
    <row r="7" spans="1:12" x14ac:dyDescent="0.25">
      <c r="A7">
        <v>6</v>
      </c>
      <c r="B7" t="s">
        <v>2556</v>
      </c>
      <c r="C7" t="s">
        <v>3232</v>
      </c>
      <c r="D7" s="222" t="s">
        <v>1945</v>
      </c>
      <c r="E7" t="s">
        <v>3233</v>
      </c>
      <c r="F7" t="s">
        <v>1945</v>
      </c>
      <c r="H7" t="s">
        <v>1945</v>
      </c>
      <c r="J7" t="s">
        <v>1945</v>
      </c>
      <c r="K7" t="s">
        <v>3234</v>
      </c>
      <c r="L7" s="243" t="s">
        <v>3231</v>
      </c>
    </row>
    <row r="8" spans="1:12" ht="30" x14ac:dyDescent="0.25">
      <c r="A8">
        <v>7</v>
      </c>
      <c r="B8" t="s">
        <v>3235</v>
      </c>
      <c r="C8" t="s">
        <v>3236</v>
      </c>
      <c r="D8" s="222">
        <v>2990</v>
      </c>
      <c r="E8" t="s">
        <v>3237</v>
      </c>
      <c r="F8" t="s">
        <v>3238</v>
      </c>
      <c r="G8">
        <v>6702</v>
      </c>
      <c r="I8" t="s">
        <v>3220</v>
      </c>
      <c r="J8">
        <v>68427709</v>
      </c>
      <c r="K8" s="247" t="s">
        <v>3239</v>
      </c>
      <c r="L8" s="243" t="s">
        <v>3231</v>
      </c>
    </row>
    <row r="9" spans="1:12" x14ac:dyDescent="0.25">
      <c r="A9">
        <v>8</v>
      </c>
      <c r="B9" t="s">
        <v>3235</v>
      </c>
      <c r="C9" t="s">
        <v>3240</v>
      </c>
      <c r="D9" s="222">
        <v>3960</v>
      </c>
      <c r="E9" t="s">
        <v>3241</v>
      </c>
      <c r="F9" t="s">
        <v>3238</v>
      </c>
      <c r="G9">
        <v>6574</v>
      </c>
      <c r="I9" t="s">
        <v>3220</v>
      </c>
      <c r="J9">
        <v>68427709</v>
      </c>
      <c r="K9">
        <v>5400976398</v>
      </c>
      <c r="L9" s="252" t="s">
        <v>3221</v>
      </c>
    </row>
    <row r="10" spans="1:12" ht="60" x14ac:dyDescent="0.25">
      <c r="A10">
        <v>9</v>
      </c>
      <c r="B10" t="s">
        <v>3235</v>
      </c>
      <c r="C10" t="s">
        <v>3242</v>
      </c>
      <c r="D10" t="s">
        <v>3243</v>
      </c>
      <c r="E10" s="247" t="s">
        <v>3244</v>
      </c>
      <c r="H10">
        <v>68427709</v>
      </c>
      <c r="J10" t="s">
        <v>3245</v>
      </c>
      <c r="K10" s="247" t="s">
        <v>3246</v>
      </c>
      <c r="L10" t="s">
        <v>3231</v>
      </c>
    </row>
    <row r="13" spans="1:12" x14ac:dyDescent="0.25">
      <c r="C13" s="239"/>
    </row>
    <row r="14" spans="1:12" x14ac:dyDescent="0.25">
      <c r="C14" s="240"/>
    </row>
    <row r="15" spans="1:12" x14ac:dyDescent="0.25">
      <c r="C15" s="240"/>
    </row>
    <row r="16" spans="1:12" x14ac:dyDescent="0.25">
      <c r="C16" s="240"/>
    </row>
    <row r="17" spans="3:3" x14ac:dyDescent="0.25">
      <c r="C17" s="240"/>
    </row>
    <row r="18" spans="3:3" x14ac:dyDescent="0.25">
      <c r="C18" s="240"/>
    </row>
    <row r="19" spans="3:3" x14ac:dyDescent="0.25">
      <c r="C19" s="240"/>
    </row>
  </sheetData>
  <pageMargins left="0.7" right="0.7" top="0.75" bottom="0.75" header="0.3" footer="0.3"/>
  <pageSetup paperSize="9" orientation="portrait" r:id="rId1"/>
  <customProperties>
    <customPr name="_pios_id" r:id="rId2"/>
    <customPr name="EpmWorksheetKeyString_GUID" r:id="rId3"/>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2:C74"/>
  <sheetViews>
    <sheetView topLeftCell="A46" workbookViewId="0">
      <selection activeCell="A13" sqref="A13"/>
    </sheetView>
  </sheetViews>
  <sheetFormatPr defaultColWidth="9.42578125" defaultRowHeight="15" x14ac:dyDescent="0.25"/>
  <cols>
    <col min="1" max="1" width="136.5703125" style="38" bestFit="1" customWidth="1"/>
    <col min="2" max="16384" width="9.42578125" style="38"/>
  </cols>
  <sheetData>
    <row r="2" spans="1:3" x14ac:dyDescent="0.25">
      <c r="A2" s="38" t="s">
        <v>3247</v>
      </c>
    </row>
    <row r="4" spans="1:3" x14ac:dyDescent="0.25">
      <c r="A4" s="87" t="s">
        <v>3248</v>
      </c>
      <c r="B4" s="86"/>
      <c r="C4" s="86"/>
    </row>
    <row r="5" spans="1:3" x14ac:dyDescent="0.25">
      <c r="A5" s="88"/>
      <c r="B5" s="86"/>
      <c r="C5" s="86"/>
    </row>
    <row r="6" spans="1:3" x14ac:dyDescent="0.25">
      <c r="A6" s="87" t="s">
        <v>3188</v>
      </c>
      <c r="B6" s="86"/>
      <c r="C6" s="86"/>
    </row>
    <row r="7" spans="1:3" x14ac:dyDescent="0.25">
      <c r="A7" s="86" t="s">
        <v>3249</v>
      </c>
      <c r="B7" s="86"/>
      <c r="C7" s="86"/>
    </row>
    <row r="8" spans="1:3" x14ac:dyDescent="0.25">
      <c r="A8" s="86" t="s">
        <v>3250</v>
      </c>
      <c r="B8" s="86"/>
      <c r="C8" s="86"/>
    </row>
    <row r="9" spans="1:3" x14ac:dyDescent="0.25">
      <c r="A9" s="86" t="s">
        <v>3251</v>
      </c>
      <c r="B9" s="86"/>
      <c r="C9" s="86"/>
    </row>
    <row r="10" spans="1:3" x14ac:dyDescent="0.25">
      <c r="A10" s="86" t="s">
        <v>3252</v>
      </c>
      <c r="B10" s="86"/>
      <c r="C10" s="86"/>
    </row>
    <row r="11" spans="1:3" x14ac:dyDescent="0.25">
      <c r="A11" s="86" t="s">
        <v>3253</v>
      </c>
      <c r="B11" s="86"/>
      <c r="C11" s="86"/>
    </row>
    <row r="12" spans="1:3" x14ac:dyDescent="0.25">
      <c r="A12" s="86" t="s">
        <v>3254</v>
      </c>
      <c r="B12" s="86"/>
      <c r="C12" s="86"/>
    </row>
    <row r="13" spans="1:3" x14ac:dyDescent="0.25">
      <c r="A13" s="86"/>
      <c r="B13" s="86"/>
      <c r="C13" s="86"/>
    </row>
    <row r="14" spans="1:3" x14ac:dyDescent="0.25">
      <c r="A14" s="87" t="s">
        <v>3</v>
      </c>
      <c r="B14" s="86"/>
      <c r="C14" s="86"/>
    </row>
    <row r="15" spans="1:3" x14ac:dyDescent="0.25">
      <c r="A15" s="86" t="s">
        <v>3255</v>
      </c>
      <c r="B15" s="86"/>
      <c r="C15" s="86"/>
    </row>
    <row r="16" spans="1:3" x14ac:dyDescent="0.25">
      <c r="A16" s="86" t="s">
        <v>3256</v>
      </c>
      <c r="B16" s="86"/>
      <c r="C16" s="86"/>
    </row>
    <row r="17" spans="1:3" x14ac:dyDescent="0.25">
      <c r="A17" s="86" t="s">
        <v>3257</v>
      </c>
      <c r="B17" s="86"/>
      <c r="C17" s="86"/>
    </row>
    <row r="18" spans="1:3" x14ac:dyDescent="0.25">
      <c r="A18" s="86" t="s">
        <v>3258</v>
      </c>
      <c r="B18" s="86"/>
      <c r="C18" s="86"/>
    </row>
    <row r="19" spans="1:3" x14ac:dyDescent="0.25">
      <c r="A19" s="86" t="s">
        <v>3259</v>
      </c>
      <c r="B19" s="86"/>
      <c r="C19" s="86"/>
    </row>
    <row r="20" spans="1:3" x14ac:dyDescent="0.25">
      <c r="A20" s="86" t="s">
        <v>3260</v>
      </c>
      <c r="B20" s="86"/>
      <c r="C20" s="86"/>
    </row>
    <row r="21" spans="1:3" x14ac:dyDescent="0.25">
      <c r="A21" s="86" t="s">
        <v>3261</v>
      </c>
      <c r="B21" s="86"/>
      <c r="C21" s="86"/>
    </row>
    <row r="22" spans="1:3" x14ac:dyDescent="0.25">
      <c r="A22" s="86"/>
      <c r="B22" s="86"/>
      <c r="C22" s="86"/>
    </row>
    <row r="25" spans="1:3" x14ac:dyDescent="0.25">
      <c r="A25" s="87" t="s">
        <v>3262</v>
      </c>
      <c r="B25" s="86"/>
      <c r="C25" s="86"/>
    </row>
    <row r="26" spans="1:3" x14ac:dyDescent="0.25">
      <c r="A26" s="86"/>
      <c r="B26" s="86"/>
      <c r="C26" s="86"/>
    </row>
    <row r="27" spans="1:3" x14ac:dyDescent="0.25">
      <c r="A27" s="87" t="s">
        <v>3263</v>
      </c>
      <c r="B27" s="86"/>
      <c r="C27" s="86"/>
    </row>
    <row r="28" spans="1:3" x14ac:dyDescent="0.25">
      <c r="A28" s="86"/>
      <c r="B28" s="86"/>
      <c r="C28" s="86"/>
    </row>
    <row r="29" spans="1:3" x14ac:dyDescent="0.25">
      <c r="A29" s="86" t="s">
        <v>3264</v>
      </c>
      <c r="B29" s="86"/>
      <c r="C29" s="86"/>
    </row>
    <row r="30" spans="1:3" x14ac:dyDescent="0.25">
      <c r="A30" s="86" t="s">
        <v>3265</v>
      </c>
      <c r="B30" s="86"/>
      <c r="C30" s="86"/>
    </row>
    <row r="31" spans="1:3" x14ac:dyDescent="0.25">
      <c r="A31" s="86" t="s">
        <v>3266</v>
      </c>
      <c r="B31" s="86"/>
      <c r="C31" s="86"/>
    </row>
    <row r="32" spans="1:3" x14ac:dyDescent="0.25">
      <c r="A32" s="86" t="s">
        <v>3267</v>
      </c>
      <c r="B32" s="86"/>
      <c r="C32" s="86"/>
    </row>
    <row r="33" spans="1:3" x14ac:dyDescent="0.25">
      <c r="A33" s="86" t="s">
        <v>3268</v>
      </c>
      <c r="B33" s="86"/>
      <c r="C33" s="86"/>
    </row>
    <row r="34" spans="1:3" x14ac:dyDescent="0.25">
      <c r="A34" s="86"/>
      <c r="B34" s="86"/>
      <c r="C34" s="86"/>
    </row>
    <row r="35" spans="1:3" x14ac:dyDescent="0.25">
      <c r="A35" s="86"/>
      <c r="B35" s="86"/>
      <c r="C35" s="86"/>
    </row>
    <row r="36" spans="1:3" x14ac:dyDescent="0.25">
      <c r="A36" s="86"/>
      <c r="B36" s="86"/>
      <c r="C36" s="86"/>
    </row>
    <row r="37" spans="1:3" x14ac:dyDescent="0.25">
      <c r="A37" s="86"/>
      <c r="B37" s="86"/>
      <c r="C37" s="86"/>
    </row>
    <row r="38" spans="1:3" x14ac:dyDescent="0.25">
      <c r="A38" s="86"/>
      <c r="B38" s="86"/>
      <c r="C38" s="86"/>
    </row>
    <row r="39" spans="1:3" x14ac:dyDescent="0.25">
      <c r="A39" s="86"/>
      <c r="B39" s="86"/>
      <c r="C39" s="86"/>
    </row>
    <row r="40" spans="1:3" x14ac:dyDescent="0.25">
      <c r="A40" s="86"/>
      <c r="B40" s="86"/>
      <c r="C40" s="86"/>
    </row>
    <row r="41" spans="1:3" x14ac:dyDescent="0.25">
      <c r="A41" s="86"/>
      <c r="B41" s="86"/>
      <c r="C41" s="86"/>
    </row>
    <row r="42" spans="1:3" x14ac:dyDescent="0.25">
      <c r="A42" s="86"/>
      <c r="B42" s="86"/>
      <c r="C42" s="86"/>
    </row>
    <row r="43" spans="1:3" x14ac:dyDescent="0.25">
      <c r="A43" s="86"/>
      <c r="B43" s="86"/>
      <c r="C43" s="86"/>
    </row>
    <row r="44" spans="1:3" x14ac:dyDescent="0.25">
      <c r="A44" s="86"/>
      <c r="B44" s="86"/>
      <c r="C44" s="86"/>
    </row>
    <row r="45" spans="1:3" x14ac:dyDescent="0.25">
      <c r="A45" s="86"/>
      <c r="B45" s="86"/>
      <c r="C45" s="86"/>
    </row>
    <row r="46" spans="1:3" x14ac:dyDescent="0.25">
      <c r="A46" s="86"/>
      <c r="B46" s="86"/>
      <c r="C46" s="86"/>
    </row>
    <row r="47" spans="1:3" x14ac:dyDescent="0.25">
      <c r="A47" s="86"/>
      <c r="B47" s="86"/>
      <c r="C47" s="86"/>
    </row>
    <row r="48" spans="1:3" x14ac:dyDescent="0.25">
      <c r="A48" s="86"/>
      <c r="B48" s="86"/>
      <c r="C48" s="86"/>
    </row>
    <row r="49" spans="1:3" x14ac:dyDescent="0.25">
      <c r="A49" s="86"/>
      <c r="B49" s="86"/>
      <c r="C49" s="86"/>
    </row>
    <row r="50" spans="1:3" x14ac:dyDescent="0.25">
      <c r="A50" s="87" t="s">
        <v>3269</v>
      </c>
      <c r="B50" s="86"/>
      <c r="C50" s="86"/>
    </row>
    <row r="51" spans="1:3" x14ac:dyDescent="0.25">
      <c r="A51" s="86" t="s">
        <v>3270</v>
      </c>
      <c r="B51" s="86"/>
      <c r="C51" s="86"/>
    </row>
    <row r="52" spans="1:3" x14ac:dyDescent="0.25">
      <c r="A52" s="86" t="s">
        <v>3271</v>
      </c>
      <c r="B52" s="86"/>
      <c r="C52" s="86"/>
    </row>
    <row r="53" spans="1:3" x14ac:dyDescent="0.25">
      <c r="A53" s="86"/>
      <c r="B53" s="86"/>
      <c r="C53" s="86"/>
    </row>
    <row r="54" spans="1:3" x14ac:dyDescent="0.25">
      <c r="A54" s="86" t="s">
        <v>3272</v>
      </c>
      <c r="B54" s="86"/>
      <c r="C54" s="86"/>
    </row>
    <row r="55" spans="1:3" x14ac:dyDescent="0.25">
      <c r="A55" s="86" t="s">
        <v>3273</v>
      </c>
      <c r="B55" s="86"/>
      <c r="C55" s="86"/>
    </row>
    <row r="56" spans="1:3" x14ac:dyDescent="0.25">
      <c r="A56" s="86" t="s">
        <v>3274</v>
      </c>
      <c r="B56" s="86"/>
      <c r="C56" s="86"/>
    </row>
    <row r="57" spans="1:3" x14ac:dyDescent="0.25">
      <c r="A57" s="86"/>
      <c r="B57" s="86"/>
      <c r="C57" s="86"/>
    </row>
    <row r="58" spans="1:3" x14ac:dyDescent="0.25">
      <c r="A58" s="86" t="s">
        <v>3275</v>
      </c>
      <c r="B58" s="86"/>
      <c r="C58" s="86"/>
    </row>
    <row r="59" spans="1:3" x14ac:dyDescent="0.25">
      <c r="A59" s="86" t="s">
        <v>3276</v>
      </c>
      <c r="B59" s="86"/>
      <c r="C59" s="86"/>
    </row>
    <row r="60" spans="1:3" x14ac:dyDescent="0.25">
      <c r="A60" s="86"/>
      <c r="B60" s="86"/>
      <c r="C60" s="86"/>
    </row>
    <row r="61" spans="1:3" x14ac:dyDescent="0.25">
      <c r="A61" s="86"/>
      <c r="B61" s="86"/>
      <c r="C61" s="86"/>
    </row>
    <row r="62" spans="1:3" x14ac:dyDescent="0.25">
      <c r="A62" s="87" t="s">
        <v>3277</v>
      </c>
      <c r="B62" s="86"/>
      <c r="C62" s="86"/>
    </row>
    <row r="63" spans="1:3" x14ac:dyDescent="0.25">
      <c r="A63" s="86" t="s">
        <v>3278</v>
      </c>
      <c r="B63" s="86"/>
      <c r="C63" s="86"/>
    </row>
    <row r="64" spans="1:3" x14ac:dyDescent="0.25">
      <c r="A64" s="86" t="s">
        <v>3279</v>
      </c>
      <c r="B64" s="86"/>
      <c r="C64" s="86"/>
    </row>
    <row r="65" spans="1:3" x14ac:dyDescent="0.25">
      <c r="A65" s="86" t="s">
        <v>3280</v>
      </c>
      <c r="B65" s="86"/>
      <c r="C65" s="86"/>
    </row>
    <row r="66" spans="1:3" x14ac:dyDescent="0.25">
      <c r="A66" s="86" t="s">
        <v>3281</v>
      </c>
      <c r="B66" s="86"/>
      <c r="C66" s="86"/>
    </row>
    <row r="67" spans="1:3" x14ac:dyDescent="0.25">
      <c r="A67" s="86"/>
      <c r="B67" s="86"/>
      <c r="C67" s="86"/>
    </row>
    <row r="68" spans="1:3" x14ac:dyDescent="0.25">
      <c r="A68" s="87" t="s">
        <v>3282</v>
      </c>
      <c r="B68" s="86"/>
      <c r="C68" s="86"/>
    </row>
    <row r="69" spans="1:3" x14ac:dyDescent="0.25">
      <c r="A69" s="86" t="s">
        <v>3283</v>
      </c>
      <c r="B69" s="86"/>
      <c r="C69" s="86"/>
    </row>
    <row r="70" spans="1:3" x14ac:dyDescent="0.25">
      <c r="A70" s="86" t="s">
        <v>3284</v>
      </c>
      <c r="B70" s="86"/>
      <c r="C70" s="86"/>
    </row>
    <row r="71" spans="1:3" x14ac:dyDescent="0.25">
      <c r="A71" s="86" t="s">
        <v>3285</v>
      </c>
      <c r="B71" s="86"/>
      <c r="C71" s="86"/>
    </row>
    <row r="72" spans="1:3" x14ac:dyDescent="0.25">
      <c r="A72" s="86"/>
      <c r="B72" s="86"/>
      <c r="C72" s="86"/>
    </row>
    <row r="73" spans="1:3" x14ac:dyDescent="0.25">
      <c r="A73" s="86"/>
      <c r="B73" s="86"/>
      <c r="C73" s="86"/>
    </row>
    <row r="74" spans="1:3" x14ac:dyDescent="0.25">
      <c r="A74" s="86"/>
      <c r="B74" s="86"/>
      <c r="C74" s="86"/>
    </row>
  </sheetData>
  <pageMargins left="0.7" right="0.7" top="0.75" bottom="0.75" header="0.3" footer="0.3"/>
  <pageSetup paperSize="9" orientation="portrait" r:id="rId1"/>
  <customProperties>
    <customPr name="_pios_id" r:id="rId2"/>
    <customPr name="EpmWorksheetKeyString_GUID" r:id="rId3"/>
  </customProperties>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BCF9-9B1E-4F6A-B05F-8A271B46AA7F}">
  <sheetPr codeName="Sheet15"/>
  <dimension ref="A1:B22"/>
  <sheetViews>
    <sheetView workbookViewId="0">
      <selection activeCell="B5" sqref="B5"/>
    </sheetView>
  </sheetViews>
  <sheetFormatPr defaultRowHeight="15" x14ac:dyDescent="0.25"/>
  <cols>
    <col min="2" max="2" width="135.42578125" bestFit="1" customWidth="1"/>
  </cols>
  <sheetData>
    <row r="1" spans="1:2" x14ac:dyDescent="0.25">
      <c r="A1" s="9" t="s">
        <v>3286</v>
      </c>
      <c r="B1" s="9" t="s">
        <v>11</v>
      </c>
    </row>
    <row r="2" spans="1:2" x14ac:dyDescent="0.25">
      <c r="A2">
        <v>1</v>
      </c>
      <c r="B2" t="s">
        <v>3287</v>
      </c>
    </row>
    <row r="3" spans="1:2" x14ac:dyDescent="0.25">
      <c r="A3">
        <v>2</v>
      </c>
      <c r="B3" t="s">
        <v>3288</v>
      </c>
    </row>
    <row r="4" spans="1:2" x14ac:dyDescent="0.25">
      <c r="A4">
        <v>3</v>
      </c>
      <c r="B4" t="s">
        <v>3289</v>
      </c>
    </row>
    <row r="5" spans="1:2" x14ac:dyDescent="0.25">
      <c r="A5">
        <v>4</v>
      </c>
      <c r="B5" t="s">
        <v>3290</v>
      </c>
    </row>
    <row r="6" spans="1:2" x14ac:dyDescent="0.25">
      <c r="A6">
        <v>5</v>
      </c>
      <c r="B6" t="s">
        <v>3291</v>
      </c>
    </row>
    <row r="7" spans="1:2" x14ac:dyDescent="0.25">
      <c r="A7">
        <v>6</v>
      </c>
      <c r="B7" t="s">
        <v>3292</v>
      </c>
    </row>
    <row r="8" spans="1:2" x14ac:dyDescent="0.25">
      <c r="A8">
        <v>7</v>
      </c>
      <c r="B8" t="s">
        <v>3293</v>
      </c>
    </row>
    <row r="9" spans="1:2" x14ac:dyDescent="0.25">
      <c r="A9">
        <v>8</v>
      </c>
      <c r="B9" t="s">
        <v>3294</v>
      </c>
    </row>
    <row r="10" spans="1:2" x14ac:dyDescent="0.25">
      <c r="A10">
        <v>9</v>
      </c>
      <c r="B10" t="s">
        <v>3295</v>
      </c>
    </row>
    <row r="11" spans="1:2" x14ac:dyDescent="0.25">
      <c r="A11">
        <v>10</v>
      </c>
      <c r="B11" t="s">
        <v>3296</v>
      </c>
    </row>
    <row r="12" spans="1:2" x14ac:dyDescent="0.25">
      <c r="A12">
        <v>11</v>
      </c>
      <c r="B12" t="s">
        <v>3297</v>
      </c>
    </row>
    <row r="13" spans="1:2" x14ac:dyDescent="0.25">
      <c r="A13">
        <v>12</v>
      </c>
      <c r="B13" t="s">
        <v>3298</v>
      </c>
    </row>
    <row r="14" spans="1:2" x14ac:dyDescent="0.25">
      <c r="A14">
        <v>13</v>
      </c>
      <c r="B14" t="s">
        <v>3299</v>
      </c>
    </row>
    <row r="15" spans="1:2" x14ac:dyDescent="0.25">
      <c r="A15">
        <v>14</v>
      </c>
      <c r="B15" t="s">
        <v>3300</v>
      </c>
    </row>
    <row r="16" spans="1:2" x14ac:dyDescent="0.25">
      <c r="A16">
        <v>15</v>
      </c>
    </row>
    <row r="17" spans="1:1" x14ac:dyDescent="0.25">
      <c r="A17">
        <v>16</v>
      </c>
    </row>
    <row r="18" spans="1:1" x14ac:dyDescent="0.25">
      <c r="A18">
        <v>17</v>
      </c>
    </row>
    <row r="19" spans="1:1" x14ac:dyDescent="0.25">
      <c r="A19">
        <v>18</v>
      </c>
    </row>
    <row r="20" spans="1:1" x14ac:dyDescent="0.25">
      <c r="A20">
        <v>19</v>
      </c>
    </row>
    <row r="21" spans="1:1" x14ac:dyDescent="0.25">
      <c r="A21">
        <v>20</v>
      </c>
    </row>
    <row r="22" spans="1:1" x14ac:dyDescent="0.25">
      <c r="A22">
        <v>21</v>
      </c>
    </row>
  </sheetData>
  <pageMargins left="0.7" right="0.7" top="0.75" bottom="0.75" header="0.3" footer="0.3"/>
  <pageSetup paperSize="9" orientation="portrait" horizontalDpi="4294967293" r:id="rId1"/>
  <customProperties>
    <customPr name="_pios_id" r:id="rId2"/>
    <customPr name="EpmWorksheetKeyString_GUID"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A70E1-627C-4D58-A5B3-625E08210C45}">
  <sheetPr codeName="Sheet16"/>
  <dimension ref="B2:D11"/>
  <sheetViews>
    <sheetView workbookViewId="0">
      <selection activeCell="C11" sqref="C11"/>
    </sheetView>
  </sheetViews>
  <sheetFormatPr defaultRowHeight="15" x14ac:dyDescent="0.25"/>
  <cols>
    <col min="3" max="3" width="83.5703125" customWidth="1"/>
    <col min="4" max="4" width="12.42578125" customWidth="1"/>
  </cols>
  <sheetData>
    <row r="2" spans="2:4" x14ac:dyDescent="0.25">
      <c r="B2" t="s">
        <v>3182</v>
      </c>
      <c r="C2" t="s">
        <v>3301</v>
      </c>
      <c r="D2" t="s">
        <v>64</v>
      </c>
    </row>
    <row r="3" spans="2:4" x14ac:dyDescent="0.25">
      <c r="B3">
        <v>1</v>
      </c>
      <c r="C3" t="s">
        <v>3302</v>
      </c>
      <c r="D3" t="s">
        <v>3221</v>
      </c>
    </row>
    <row r="4" spans="2:4" x14ac:dyDescent="0.25">
      <c r="B4">
        <v>2</v>
      </c>
      <c r="C4" t="s">
        <v>3303</v>
      </c>
      <c r="D4" t="s">
        <v>3221</v>
      </c>
    </row>
    <row r="5" spans="2:4" x14ac:dyDescent="0.25">
      <c r="B5">
        <v>3</v>
      </c>
      <c r="C5" t="s">
        <v>3304</v>
      </c>
      <c r="D5" t="s">
        <v>3221</v>
      </c>
    </row>
    <row r="6" spans="2:4" x14ac:dyDescent="0.25">
      <c r="B6">
        <v>4</v>
      </c>
      <c r="C6" t="s">
        <v>3305</v>
      </c>
      <c r="D6" t="s">
        <v>3221</v>
      </c>
    </row>
    <row r="7" spans="2:4" x14ac:dyDescent="0.25">
      <c r="B7">
        <v>5</v>
      </c>
      <c r="C7" t="s">
        <v>3306</v>
      </c>
      <c r="D7" t="s">
        <v>3221</v>
      </c>
    </row>
    <row r="8" spans="2:4" x14ac:dyDescent="0.25">
      <c r="B8">
        <v>6</v>
      </c>
      <c r="C8" t="s">
        <v>3307</v>
      </c>
      <c r="D8" t="s">
        <v>3221</v>
      </c>
    </row>
    <row r="9" spans="2:4" x14ac:dyDescent="0.25">
      <c r="B9">
        <v>7</v>
      </c>
      <c r="C9" t="s">
        <v>3308</v>
      </c>
      <c r="D9" t="s">
        <v>3221</v>
      </c>
    </row>
    <row r="10" spans="2:4" x14ac:dyDescent="0.25">
      <c r="B10">
        <v>8</v>
      </c>
      <c r="C10" t="s">
        <v>3309</v>
      </c>
      <c r="D10" t="s">
        <v>3221</v>
      </c>
    </row>
    <row r="11" spans="2:4" x14ac:dyDescent="0.25">
      <c r="B11">
        <v>9</v>
      </c>
    </row>
  </sheetData>
  <pageMargins left="0.7" right="0.7" top="0.75" bottom="0.75" header="0.3" footer="0.3"/>
  <pageSetup paperSize="9" orientation="portrait" r:id="rId1"/>
  <customProperties>
    <customPr name="_pios_id" r:id="rId2"/>
    <customPr name="EpmWorksheetKeyString_GUID"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CDBE6-A839-461A-9D55-E0C436B6D153}">
  <dimension ref="A1:R113"/>
  <sheetViews>
    <sheetView zoomScale="85" zoomScaleNormal="85" workbookViewId="0">
      <selection activeCell="L10" sqref="L10"/>
    </sheetView>
  </sheetViews>
  <sheetFormatPr defaultRowHeight="15" x14ac:dyDescent="0.25"/>
  <cols>
    <col min="1" max="1" width="10" bestFit="1" customWidth="1"/>
    <col min="2" max="2" width="35.42578125" customWidth="1"/>
    <col min="3" max="3" width="12.42578125" customWidth="1"/>
    <col min="4" max="5" width="16.5703125" customWidth="1"/>
    <col min="6" max="6" width="16.42578125" customWidth="1"/>
    <col min="7" max="7" width="20" hidden="1" customWidth="1"/>
    <col min="8" max="8" width="28.42578125" hidden="1" customWidth="1"/>
    <col min="9" max="9" width="27.5703125" hidden="1" customWidth="1"/>
    <col min="10" max="10" width="7.5703125" hidden="1" customWidth="1"/>
    <col min="11" max="11" width="7.5703125" customWidth="1"/>
    <col min="12" max="13" width="10.5703125" customWidth="1"/>
    <col min="14" max="15" width="16.5703125" customWidth="1"/>
    <col min="16" max="16" width="16.42578125" bestFit="1" customWidth="1"/>
    <col min="17" max="17" width="44.5703125" bestFit="1" customWidth="1"/>
  </cols>
  <sheetData>
    <row r="1" spans="1:17" x14ac:dyDescent="0.25">
      <c r="B1" t="s">
        <v>67</v>
      </c>
      <c r="C1">
        <v>2023</v>
      </c>
      <c r="E1" t="s">
        <v>3310</v>
      </c>
      <c r="F1" s="42">
        <v>44729</v>
      </c>
    </row>
    <row r="2" spans="1:17" x14ac:dyDescent="0.25">
      <c r="B2" t="s">
        <v>3311</v>
      </c>
      <c r="C2" s="207">
        <v>950000</v>
      </c>
    </row>
    <row r="3" spans="1:17" x14ac:dyDescent="0.25">
      <c r="B3" t="s">
        <v>3312</v>
      </c>
      <c r="C3" cm="1">
        <f t="array" ref="C3">SUMPRODUCT(($C$7:$C$105="non-sap")*($D$7:$D$105="Operational")*($H$7:$H$105="Managed Hosting (Private Cloud)")*($K$7:$K$105))</f>
        <v>92</v>
      </c>
    </row>
    <row r="4" spans="1:17" x14ac:dyDescent="0.25">
      <c r="B4" t="s">
        <v>3313</v>
      </c>
      <c r="C4" s="208">
        <f>C2/C3</f>
        <v>10326.08695652174</v>
      </c>
      <c r="E4" t="s">
        <v>3314</v>
      </c>
      <c r="L4" s="9" t="s">
        <v>12</v>
      </c>
      <c r="M4" s="209">
        <f>SUM(M7:M105)</f>
        <v>952700</v>
      </c>
      <c r="N4" s="209" t="e">
        <f>SUM(N7:N105)</f>
        <v>#REF!</v>
      </c>
      <c r="O4" s="209" t="e">
        <f>SUM(O7:O105)</f>
        <v>#REF!</v>
      </c>
    </row>
    <row r="6" spans="1:17" s="9" customFormat="1" x14ac:dyDescent="0.25">
      <c r="A6" s="210" t="s">
        <v>3315</v>
      </c>
      <c r="B6" s="211" t="s">
        <v>3316</v>
      </c>
      <c r="C6" s="211" t="s">
        <v>3317</v>
      </c>
      <c r="D6" s="211" t="s">
        <v>3318</v>
      </c>
      <c r="E6" s="211" t="s">
        <v>3319</v>
      </c>
      <c r="F6" s="211" t="s">
        <v>3320</v>
      </c>
      <c r="G6" s="211" t="s">
        <v>3321</v>
      </c>
      <c r="H6" s="211" t="s">
        <v>3322</v>
      </c>
      <c r="I6" s="212" t="s">
        <v>3323</v>
      </c>
      <c r="J6" s="213" t="s">
        <v>3324</v>
      </c>
      <c r="K6" s="210" t="s">
        <v>3325</v>
      </c>
      <c r="L6" s="211" t="s">
        <v>3326</v>
      </c>
      <c r="M6" s="211" t="s">
        <v>3327</v>
      </c>
      <c r="N6" s="211" t="s">
        <v>3328</v>
      </c>
      <c r="O6" s="211" t="s">
        <v>3189</v>
      </c>
      <c r="P6" s="211" t="s">
        <v>3329</v>
      </c>
      <c r="Q6" s="212" t="s">
        <v>69</v>
      </c>
    </row>
    <row r="7" spans="1:17" x14ac:dyDescent="0.25">
      <c r="A7" s="214" t="s">
        <v>2555</v>
      </c>
      <c r="B7" t="s">
        <v>3330</v>
      </c>
      <c r="C7" t="s">
        <v>396</v>
      </c>
      <c r="D7" t="s">
        <v>2077</v>
      </c>
      <c r="E7" t="s">
        <v>3331</v>
      </c>
      <c r="F7" t="s">
        <v>2101</v>
      </c>
      <c r="G7" t="s">
        <v>1024</v>
      </c>
      <c r="H7" t="s">
        <v>2080</v>
      </c>
      <c r="I7" t="s">
        <v>3332</v>
      </c>
      <c r="J7">
        <v>1</v>
      </c>
      <c r="K7">
        <v>11</v>
      </c>
      <c r="L7" s="215">
        <f>IF(C7="non-sap",$C$4,0)</f>
        <v>0</v>
      </c>
      <c r="M7" s="215">
        <f>IF(AND(C7="non-sap",D7="Operational"),CEILING((K7*L7),100),0)</f>
        <v>0</v>
      </c>
      <c r="N7" s="215" t="e">
        <f>VLOOKUP(A7,#REF!,13,0)</f>
        <v>#REF!</v>
      </c>
      <c r="O7" s="215" t="e">
        <f>M7-N7</f>
        <v>#REF!</v>
      </c>
      <c r="P7" t="s">
        <v>2707</v>
      </c>
      <c r="Q7" s="144"/>
    </row>
    <row r="8" spans="1:17" x14ac:dyDescent="0.25">
      <c r="A8" s="214" t="s">
        <v>3026</v>
      </c>
      <c r="B8" t="s">
        <v>3333</v>
      </c>
      <c r="C8" t="s">
        <v>396</v>
      </c>
      <c r="D8" t="s">
        <v>2077</v>
      </c>
      <c r="E8" t="s">
        <v>3331</v>
      </c>
      <c r="F8" t="s">
        <v>811</v>
      </c>
      <c r="G8" t="s">
        <v>1254</v>
      </c>
      <c r="H8" t="s">
        <v>2080</v>
      </c>
      <c r="I8" t="s">
        <v>3332</v>
      </c>
      <c r="J8">
        <v>1</v>
      </c>
      <c r="K8">
        <v>4</v>
      </c>
      <c r="L8" s="215">
        <f t="shared" ref="L8:L71" si="0">IF(C8="non-sap",$C$4,0)</f>
        <v>0</v>
      </c>
      <c r="M8" s="215">
        <f t="shared" ref="M8:M71" si="1">IF(AND(C8="non-sap",D8="Operational"),CEILING((K8*L8),100),0)</f>
        <v>0</v>
      </c>
      <c r="N8" s="215" t="e">
        <f>VLOOKUP(A8,#REF!,13,0)</f>
        <v>#REF!</v>
      </c>
      <c r="O8" s="215" t="e">
        <f t="shared" ref="O8:O71" si="2">M8-N8</f>
        <v>#REF!</v>
      </c>
      <c r="P8" t="s">
        <v>2707</v>
      </c>
      <c r="Q8" s="144"/>
    </row>
    <row r="9" spans="1:17" x14ac:dyDescent="0.25">
      <c r="A9" s="214" t="s">
        <v>3334</v>
      </c>
      <c r="B9" t="s">
        <v>3335</v>
      </c>
      <c r="C9" t="s">
        <v>396</v>
      </c>
      <c r="D9" t="s">
        <v>3336</v>
      </c>
      <c r="E9" t="s">
        <v>3331</v>
      </c>
      <c r="F9" t="s">
        <v>3337</v>
      </c>
      <c r="G9" t="s">
        <v>270</v>
      </c>
      <c r="H9" t="s">
        <v>1566</v>
      </c>
      <c r="I9" t="s">
        <v>1566</v>
      </c>
      <c r="J9">
        <v>1</v>
      </c>
      <c r="K9">
        <v>0</v>
      </c>
      <c r="L9" s="215">
        <f t="shared" si="0"/>
        <v>0</v>
      </c>
      <c r="M9" s="215">
        <f t="shared" si="1"/>
        <v>0</v>
      </c>
      <c r="N9" s="215" t="e">
        <f>VLOOKUP(A9,#REF!,13,0)</f>
        <v>#REF!</v>
      </c>
      <c r="O9" s="215" t="e">
        <f t="shared" si="2"/>
        <v>#REF!</v>
      </c>
      <c r="P9" t="s">
        <v>2707</v>
      </c>
      <c r="Q9" s="144"/>
    </row>
    <row r="10" spans="1:17" x14ac:dyDescent="0.25">
      <c r="A10" s="214" t="s">
        <v>3028</v>
      </c>
      <c r="B10" t="s">
        <v>3338</v>
      </c>
      <c r="C10" t="s">
        <v>396</v>
      </c>
      <c r="D10" t="s">
        <v>2077</v>
      </c>
      <c r="E10" t="s">
        <v>3331</v>
      </c>
      <c r="F10" t="s">
        <v>3339</v>
      </c>
      <c r="G10" t="s">
        <v>3340</v>
      </c>
      <c r="H10" t="s">
        <v>2080</v>
      </c>
      <c r="I10" t="s">
        <v>3332</v>
      </c>
      <c r="J10">
        <v>1</v>
      </c>
      <c r="K10">
        <v>8</v>
      </c>
      <c r="L10" s="215">
        <f t="shared" si="0"/>
        <v>0</v>
      </c>
      <c r="M10" s="215">
        <f t="shared" si="1"/>
        <v>0</v>
      </c>
      <c r="N10" s="215" t="e">
        <f>VLOOKUP(A10,#REF!,13,0)</f>
        <v>#REF!</v>
      </c>
      <c r="O10" s="215" t="e">
        <f t="shared" si="2"/>
        <v>#REF!</v>
      </c>
      <c r="P10" t="s">
        <v>2707</v>
      </c>
      <c r="Q10" s="144"/>
    </row>
    <row r="11" spans="1:17" x14ac:dyDescent="0.25">
      <c r="A11" s="214" t="s">
        <v>3030</v>
      </c>
      <c r="B11" t="s">
        <v>3341</v>
      </c>
      <c r="C11" t="s">
        <v>396</v>
      </c>
      <c r="D11" t="s">
        <v>2077</v>
      </c>
      <c r="E11" t="s">
        <v>3331</v>
      </c>
      <c r="F11" t="s">
        <v>811</v>
      </c>
      <c r="G11" t="s">
        <v>1254</v>
      </c>
      <c r="H11" t="s">
        <v>2080</v>
      </c>
      <c r="I11" t="s">
        <v>3332</v>
      </c>
      <c r="J11">
        <v>1</v>
      </c>
      <c r="K11">
        <v>9</v>
      </c>
      <c r="L11" s="215">
        <f t="shared" si="0"/>
        <v>0</v>
      </c>
      <c r="M11" s="215">
        <f t="shared" si="1"/>
        <v>0</v>
      </c>
      <c r="N11" s="215" t="e">
        <f>VLOOKUP(A11,#REF!,13,0)</f>
        <v>#REF!</v>
      </c>
      <c r="O11" s="215" t="e">
        <f t="shared" si="2"/>
        <v>#REF!</v>
      </c>
      <c r="P11" t="s">
        <v>2707</v>
      </c>
      <c r="Q11" s="144"/>
    </row>
    <row r="12" spans="1:17" x14ac:dyDescent="0.25">
      <c r="A12" s="214" t="s">
        <v>3342</v>
      </c>
      <c r="B12" t="s">
        <v>3343</v>
      </c>
      <c r="C12" t="s">
        <v>396</v>
      </c>
      <c r="D12" t="s">
        <v>2077</v>
      </c>
      <c r="E12" t="s">
        <v>3331</v>
      </c>
      <c r="F12" t="s">
        <v>3344</v>
      </c>
      <c r="G12" t="s">
        <v>3345</v>
      </c>
      <c r="H12" t="s">
        <v>2080</v>
      </c>
      <c r="I12" t="s">
        <v>3346</v>
      </c>
      <c r="J12">
        <v>1</v>
      </c>
      <c r="K12">
        <v>2</v>
      </c>
      <c r="L12" s="215">
        <f t="shared" si="0"/>
        <v>0</v>
      </c>
      <c r="M12" s="215">
        <f t="shared" si="1"/>
        <v>0</v>
      </c>
      <c r="N12" s="215" t="e">
        <f>VLOOKUP(A12,#REF!,13,0)</f>
        <v>#REF!</v>
      </c>
      <c r="O12" s="215" t="e">
        <f t="shared" si="2"/>
        <v>#REF!</v>
      </c>
      <c r="P12" t="s">
        <v>2707</v>
      </c>
      <c r="Q12" s="144"/>
    </row>
    <row r="13" spans="1:17" x14ac:dyDescent="0.25">
      <c r="A13" s="214" t="s">
        <v>3033</v>
      </c>
      <c r="B13" t="s">
        <v>3347</v>
      </c>
      <c r="C13" t="s">
        <v>396</v>
      </c>
      <c r="D13" t="s">
        <v>1566</v>
      </c>
      <c r="E13" t="s">
        <v>3331</v>
      </c>
      <c r="F13" t="s">
        <v>2101</v>
      </c>
      <c r="G13" t="s">
        <v>3348</v>
      </c>
      <c r="H13" t="s">
        <v>1566</v>
      </c>
      <c r="I13" t="s">
        <v>1566</v>
      </c>
      <c r="J13">
        <v>1</v>
      </c>
      <c r="K13">
        <v>0</v>
      </c>
      <c r="L13" s="215">
        <f t="shared" si="0"/>
        <v>0</v>
      </c>
      <c r="M13" s="215">
        <f t="shared" si="1"/>
        <v>0</v>
      </c>
      <c r="N13" s="215" t="e">
        <f>VLOOKUP(A13,#REF!,13,0)</f>
        <v>#REF!</v>
      </c>
      <c r="O13" s="215" t="e">
        <f t="shared" si="2"/>
        <v>#REF!</v>
      </c>
      <c r="P13" t="s">
        <v>2707</v>
      </c>
      <c r="Q13" s="144"/>
    </row>
    <row r="14" spans="1:17" x14ac:dyDescent="0.25">
      <c r="A14" s="214" t="s">
        <v>2883</v>
      </c>
      <c r="B14" t="s">
        <v>3349</v>
      </c>
      <c r="C14" t="s">
        <v>396</v>
      </c>
      <c r="D14" t="s">
        <v>2077</v>
      </c>
      <c r="E14" t="s">
        <v>3331</v>
      </c>
      <c r="F14" t="s">
        <v>2101</v>
      </c>
      <c r="G14" t="s">
        <v>3348</v>
      </c>
      <c r="H14" t="s">
        <v>2080</v>
      </c>
      <c r="I14" t="s">
        <v>3350</v>
      </c>
      <c r="J14">
        <v>1</v>
      </c>
      <c r="K14">
        <v>3</v>
      </c>
      <c r="L14" s="215">
        <f t="shared" si="0"/>
        <v>0</v>
      </c>
      <c r="M14" s="215">
        <f t="shared" si="1"/>
        <v>0</v>
      </c>
      <c r="N14" s="215" t="e">
        <f>VLOOKUP(A14,#REF!,13,0)</f>
        <v>#REF!</v>
      </c>
      <c r="O14" s="215" t="e">
        <f t="shared" si="2"/>
        <v>#REF!</v>
      </c>
      <c r="P14" t="s">
        <v>2707</v>
      </c>
      <c r="Q14" s="144"/>
    </row>
    <row r="15" spans="1:17" x14ac:dyDescent="0.25">
      <c r="A15" s="249" t="s">
        <v>3351</v>
      </c>
      <c r="B15" s="171" t="s">
        <v>3352</v>
      </c>
      <c r="C15" s="171" t="s">
        <v>396</v>
      </c>
      <c r="D15" s="171" t="s">
        <v>2077</v>
      </c>
      <c r="E15" s="171" t="s">
        <v>3331</v>
      </c>
      <c r="F15" s="171" t="s">
        <v>2590</v>
      </c>
      <c r="G15" s="171" t="s">
        <v>1024</v>
      </c>
      <c r="H15" s="171" t="s">
        <v>2080</v>
      </c>
      <c r="I15" s="171" t="s">
        <v>3332</v>
      </c>
      <c r="J15" s="171">
        <v>1</v>
      </c>
      <c r="K15" s="171">
        <v>2</v>
      </c>
      <c r="L15" s="250">
        <f t="shared" si="0"/>
        <v>0</v>
      </c>
      <c r="M15" s="250">
        <f t="shared" si="1"/>
        <v>0</v>
      </c>
      <c r="N15" s="250" t="e">
        <f>VLOOKUP(A15,#REF!,13,0)</f>
        <v>#REF!</v>
      </c>
      <c r="O15" s="250" t="e">
        <f t="shared" si="2"/>
        <v>#REF!</v>
      </c>
      <c r="P15" s="171" t="s">
        <v>2707</v>
      </c>
      <c r="Q15" s="251" t="s">
        <v>3353</v>
      </c>
    </row>
    <row r="16" spans="1:17" x14ac:dyDescent="0.25">
      <c r="A16" s="214" t="s">
        <v>3354</v>
      </c>
      <c r="B16" t="s">
        <v>3355</v>
      </c>
      <c r="C16" t="s">
        <v>396</v>
      </c>
      <c r="D16" t="s">
        <v>2077</v>
      </c>
      <c r="E16" t="s">
        <v>3331</v>
      </c>
      <c r="F16" t="s">
        <v>2590</v>
      </c>
      <c r="G16" t="s">
        <v>1024</v>
      </c>
      <c r="H16" t="s">
        <v>2080</v>
      </c>
      <c r="I16" t="s">
        <v>3332</v>
      </c>
      <c r="J16">
        <v>1</v>
      </c>
      <c r="K16">
        <v>3</v>
      </c>
      <c r="L16" s="215">
        <f t="shared" si="0"/>
        <v>0</v>
      </c>
      <c r="M16" s="215">
        <f t="shared" si="1"/>
        <v>0</v>
      </c>
      <c r="N16" s="215" t="e">
        <f>VLOOKUP(A16,#REF!,13,0)</f>
        <v>#REF!</v>
      </c>
      <c r="O16" s="215" t="e">
        <f t="shared" si="2"/>
        <v>#REF!</v>
      </c>
      <c r="P16" t="s">
        <v>2707</v>
      </c>
      <c r="Q16" s="144"/>
    </row>
    <row r="17" spans="1:17" x14ac:dyDescent="0.25">
      <c r="A17" s="214" t="s">
        <v>1971</v>
      </c>
      <c r="B17" t="s">
        <v>3356</v>
      </c>
      <c r="C17" t="s">
        <v>2076</v>
      </c>
      <c r="D17" t="s">
        <v>2077</v>
      </c>
      <c r="E17" t="s">
        <v>3331</v>
      </c>
      <c r="F17" t="s">
        <v>3357</v>
      </c>
      <c r="G17" t="s">
        <v>3040</v>
      </c>
      <c r="H17" t="s">
        <v>2080</v>
      </c>
      <c r="I17" t="s">
        <v>3332</v>
      </c>
      <c r="J17">
        <v>1</v>
      </c>
      <c r="K17">
        <v>4</v>
      </c>
      <c r="L17" s="215">
        <f t="shared" si="0"/>
        <v>10326.08695652174</v>
      </c>
      <c r="M17" s="215">
        <f t="shared" si="1"/>
        <v>41400</v>
      </c>
      <c r="N17" s="215" t="e">
        <f>VLOOKUP(A17,#REF!,13,0)</f>
        <v>#REF!</v>
      </c>
      <c r="O17" s="215" t="e">
        <f t="shared" si="2"/>
        <v>#REF!</v>
      </c>
      <c r="P17" t="s">
        <v>2707</v>
      </c>
      <c r="Q17" s="144" t="s">
        <v>3358</v>
      </c>
    </row>
    <row r="18" spans="1:17" x14ac:dyDescent="0.25">
      <c r="A18" s="214" t="s">
        <v>1973</v>
      </c>
      <c r="B18" t="s">
        <v>3359</v>
      </c>
      <c r="C18" t="s">
        <v>2076</v>
      </c>
      <c r="D18" t="s">
        <v>2077</v>
      </c>
      <c r="E18" t="s">
        <v>3331</v>
      </c>
      <c r="F18" t="s">
        <v>3360</v>
      </c>
      <c r="G18" t="s">
        <v>186</v>
      </c>
      <c r="H18" t="s">
        <v>2080</v>
      </c>
      <c r="I18" t="s">
        <v>2081</v>
      </c>
      <c r="J18">
        <v>1</v>
      </c>
      <c r="K18">
        <v>4</v>
      </c>
      <c r="L18" s="215">
        <f t="shared" si="0"/>
        <v>10326.08695652174</v>
      </c>
      <c r="M18" s="215">
        <f t="shared" si="1"/>
        <v>41400</v>
      </c>
      <c r="N18" s="215" t="e">
        <f>VLOOKUP(A18,#REF!,13,0)</f>
        <v>#REF!</v>
      </c>
      <c r="O18" s="215" t="e">
        <f t="shared" si="2"/>
        <v>#REF!</v>
      </c>
      <c r="P18" t="s">
        <v>3361</v>
      </c>
      <c r="Q18" s="144" t="s">
        <v>3362</v>
      </c>
    </row>
    <row r="19" spans="1:17" x14ac:dyDescent="0.25">
      <c r="A19" s="249" t="s">
        <v>1975</v>
      </c>
      <c r="B19" s="171" t="s">
        <v>3363</v>
      </c>
      <c r="C19" s="171" t="s">
        <v>2076</v>
      </c>
      <c r="D19" s="171" t="s">
        <v>2077</v>
      </c>
      <c r="E19" s="171" t="s">
        <v>3331</v>
      </c>
      <c r="F19" s="171" t="s">
        <v>3360</v>
      </c>
      <c r="G19" s="171" t="s">
        <v>186</v>
      </c>
      <c r="H19" s="171" t="s">
        <v>2080</v>
      </c>
      <c r="I19" s="171" t="s">
        <v>3350</v>
      </c>
      <c r="J19" s="171">
        <v>1</v>
      </c>
      <c r="K19" s="171">
        <v>0</v>
      </c>
      <c r="L19" s="250">
        <f t="shared" si="0"/>
        <v>10326.08695652174</v>
      </c>
      <c r="M19" s="250">
        <f t="shared" si="1"/>
        <v>0</v>
      </c>
      <c r="N19" s="250" t="e">
        <f>VLOOKUP(A19,#REF!,13,0)</f>
        <v>#REF!</v>
      </c>
      <c r="O19" s="250" t="e">
        <f t="shared" si="2"/>
        <v>#REF!</v>
      </c>
      <c r="P19" s="171" t="s">
        <v>3361</v>
      </c>
      <c r="Q19" s="251" t="s">
        <v>3362</v>
      </c>
    </row>
    <row r="20" spans="1:17" x14ac:dyDescent="0.25">
      <c r="A20" s="249" t="s">
        <v>1977</v>
      </c>
      <c r="B20" s="171" t="s">
        <v>3364</v>
      </c>
      <c r="C20" s="171" t="s">
        <v>2076</v>
      </c>
      <c r="D20" s="171" t="s">
        <v>2077</v>
      </c>
      <c r="E20" s="171" t="s">
        <v>3331</v>
      </c>
      <c r="F20" s="171" t="s">
        <v>3357</v>
      </c>
      <c r="G20" s="171" t="s">
        <v>1186</v>
      </c>
      <c r="H20" s="171" t="s">
        <v>2080</v>
      </c>
      <c r="I20" s="171" t="s">
        <v>3350</v>
      </c>
      <c r="J20" s="171">
        <v>1</v>
      </c>
      <c r="K20" s="171">
        <v>0</v>
      </c>
      <c r="L20" s="250">
        <f t="shared" si="0"/>
        <v>10326.08695652174</v>
      </c>
      <c r="M20" s="250">
        <f t="shared" si="1"/>
        <v>0</v>
      </c>
      <c r="N20" s="250" t="e">
        <f>VLOOKUP(A20,#REF!,13,0)</f>
        <v>#REF!</v>
      </c>
      <c r="O20" s="250" t="e">
        <f t="shared" si="2"/>
        <v>#REF!</v>
      </c>
      <c r="P20" s="171" t="s">
        <v>3361</v>
      </c>
      <c r="Q20" s="251"/>
    </row>
    <row r="21" spans="1:17" x14ac:dyDescent="0.25">
      <c r="A21" s="249" t="s">
        <v>1979</v>
      </c>
      <c r="B21" s="171" t="s">
        <v>3365</v>
      </c>
      <c r="C21" s="171" t="s">
        <v>2076</v>
      </c>
      <c r="D21" s="171" t="s">
        <v>2077</v>
      </c>
      <c r="E21" s="171" t="s">
        <v>3331</v>
      </c>
      <c r="F21" s="171" t="s">
        <v>3366</v>
      </c>
      <c r="G21" s="171" t="s">
        <v>186</v>
      </c>
      <c r="H21" s="171" t="s">
        <v>2080</v>
      </c>
      <c r="I21" s="171" t="s">
        <v>3350</v>
      </c>
      <c r="J21" s="171">
        <v>1</v>
      </c>
      <c r="K21" s="171">
        <v>1</v>
      </c>
      <c r="L21" s="250">
        <f t="shared" si="0"/>
        <v>10326.08695652174</v>
      </c>
      <c r="M21" s="250">
        <f t="shared" si="1"/>
        <v>10400</v>
      </c>
      <c r="N21" s="250" t="e">
        <f>VLOOKUP(A21,#REF!,13,0)</f>
        <v>#REF!</v>
      </c>
      <c r="O21" s="250" t="e">
        <f t="shared" si="2"/>
        <v>#REF!</v>
      </c>
      <c r="P21" s="171" t="s">
        <v>3361</v>
      </c>
      <c r="Q21" s="251" t="s">
        <v>3367</v>
      </c>
    </row>
    <row r="22" spans="1:17" x14ac:dyDescent="0.25">
      <c r="A22" s="214" t="s">
        <v>1981</v>
      </c>
      <c r="B22" t="s">
        <v>3368</v>
      </c>
      <c r="C22" t="s">
        <v>2076</v>
      </c>
      <c r="D22" t="s">
        <v>2077</v>
      </c>
      <c r="E22" t="s">
        <v>3331</v>
      </c>
      <c r="F22" t="s">
        <v>3360</v>
      </c>
      <c r="G22" t="s">
        <v>186</v>
      </c>
      <c r="H22" t="s">
        <v>2080</v>
      </c>
      <c r="I22" t="s">
        <v>2081</v>
      </c>
      <c r="J22">
        <v>1</v>
      </c>
      <c r="K22">
        <v>2</v>
      </c>
      <c r="L22" s="215">
        <f t="shared" si="0"/>
        <v>10326.08695652174</v>
      </c>
      <c r="M22" s="215">
        <f t="shared" si="1"/>
        <v>20700</v>
      </c>
      <c r="N22" s="215" t="e">
        <f>VLOOKUP(A22,#REF!,13,0)</f>
        <v>#REF!</v>
      </c>
      <c r="O22" s="215" t="e">
        <f t="shared" si="2"/>
        <v>#REF!</v>
      </c>
      <c r="P22" t="s">
        <v>3361</v>
      </c>
      <c r="Q22" s="144"/>
    </row>
    <row r="23" spans="1:17" x14ac:dyDescent="0.25">
      <c r="A23" s="249" t="s">
        <v>1983</v>
      </c>
      <c r="B23" s="171" t="s">
        <v>3369</v>
      </c>
      <c r="C23" s="171" t="s">
        <v>2076</v>
      </c>
      <c r="D23" s="171" t="s">
        <v>2077</v>
      </c>
      <c r="E23" s="171" t="s">
        <v>3331</v>
      </c>
      <c r="F23" s="171" t="s">
        <v>3360</v>
      </c>
      <c r="G23" s="171" t="s">
        <v>3370</v>
      </c>
      <c r="H23" s="171" t="s">
        <v>2080</v>
      </c>
      <c r="I23" s="171" t="s">
        <v>3332</v>
      </c>
      <c r="J23" s="171">
        <v>1</v>
      </c>
      <c r="K23" s="171">
        <v>0</v>
      </c>
      <c r="L23" s="250">
        <f t="shared" si="0"/>
        <v>10326.08695652174</v>
      </c>
      <c r="M23" s="250">
        <f t="shared" si="1"/>
        <v>0</v>
      </c>
      <c r="N23" s="250" t="e">
        <f>VLOOKUP(A23,#REF!,13,0)</f>
        <v>#REF!</v>
      </c>
      <c r="O23" s="250" t="e">
        <f t="shared" si="2"/>
        <v>#REF!</v>
      </c>
      <c r="P23" s="171" t="s">
        <v>2707</v>
      </c>
      <c r="Q23" s="251" t="s">
        <v>3371</v>
      </c>
    </row>
    <row r="24" spans="1:17" x14ac:dyDescent="0.25">
      <c r="A24" s="214" t="s">
        <v>1985</v>
      </c>
      <c r="B24" t="s">
        <v>3372</v>
      </c>
      <c r="C24" t="s">
        <v>2076</v>
      </c>
      <c r="D24" t="s">
        <v>2077</v>
      </c>
      <c r="E24" t="s">
        <v>3331</v>
      </c>
      <c r="F24" t="s">
        <v>3344</v>
      </c>
      <c r="G24" t="s">
        <v>3345</v>
      </c>
      <c r="H24" t="s">
        <v>2080</v>
      </c>
      <c r="I24" t="s">
        <v>3332</v>
      </c>
      <c r="J24">
        <v>1</v>
      </c>
      <c r="K24">
        <v>6</v>
      </c>
      <c r="L24" s="215">
        <f t="shared" si="0"/>
        <v>10326.08695652174</v>
      </c>
      <c r="M24" s="215">
        <f t="shared" si="1"/>
        <v>62000</v>
      </c>
      <c r="N24" s="215" t="e">
        <f>VLOOKUP(A24,#REF!,13,0)</f>
        <v>#REF!</v>
      </c>
      <c r="O24" s="215" t="e">
        <f t="shared" si="2"/>
        <v>#REF!</v>
      </c>
      <c r="P24" t="s">
        <v>3361</v>
      </c>
      <c r="Q24" s="144"/>
    </row>
    <row r="25" spans="1:17" x14ac:dyDescent="0.25">
      <c r="A25" s="214" t="s">
        <v>1987</v>
      </c>
      <c r="B25" t="s">
        <v>3373</v>
      </c>
      <c r="C25" t="s">
        <v>2076</v>
      </c>
      <c r="D25" t="s">
        <v>2077</v>
      </c>
      <c r="E25" t="s">
        <v>2078</v>
      </c>
      <c r="F25" t="s">
        <v>3374</v>
      </c>
      <c r="G25" t="s">
        <v>3375</v>
      </c>
      <c r="H25" t="s">
        <v>2080</v>
      </c>
      <c r="I25" t="s">
        <v>2081</v>
      </c>
      <c r="J25">
        <v>1</v>
      </c>
      <c r="K25">
        <v>1</v>
      </c>
      <c r="L25" s="215">
        <f t="shared" si="0"/>
        <v>10326.08695652174</v>
      </c>
      <c r="M25" s="215">
        <f t="shared" si="1"/>
        <v>10400</v>
      </c>
      <c r="N25" s="215" t="e">
        <f>VLOOKUP(A25,#REF!,13,0)</f>
        <v>#REF!</v>
      </c>
      <c r="O25" s="215" t="e">
        <f t="shared" si="2"/>
        <v>#REF!</v>
      </c>
      <c r="P25" t="s">
        <v>3361</v>
      </c>
      <c r="Q25" s="144"/>
    </row>
    <row r="26" spans="1:17" x14ac:dyDescent="0.25">
      <c r="A26" s="214" t="s">
        <v>3376</v>
      </c>
      <c r="B26" t="s">
        <v>3377</v>
      </c>
      <c r="C26" t="s">
        <v>396</v>
      </c>
      <c r="D26" t="s">
        <v>1566</v>
      </c>
      <c r="E26" t="s">
        <v>3331</v>
      </c>
      <c r="F26" t="s">
        <v>3374</v>
      </c>
      <c r="G26" t="s">
        <v>1024</v>
      </c>
      <c r="H26" t="s">
        <v>3336</v>
      </c>
      <c r="I26" t="s">
        <v>3346</v>
      </c>
      <c r="J26">
        <v>1</v>
      </c>
      <c r="K26">
        <v>1</v>
      </c>
      <c r="L26" s="215">
        <f t="shared" si="0"/>
        <v>0</v>
      </c>
      <c r="M26" s="215">
        <f t="shared" si="1"/>
        <v>0</v>
      </c>
      <c r="N26" s="215" t="e">
        <f>VLOOKUP(A26,#REF!,13,0)</f>
        <v>#REF!</v>
      </c>
      <c r="O26" s="215" t="e">
        <f t="shared" si="2"/>
        <v>#REF!</v>
      </c>
      <c r="P26" t="s">
        <v>2707</v>
      </c>
      <c r="Q26" s="144"/>
    </row>
    <row r="27" spans="1:17" x14ac:dyDescent="0.25">
      <c r="A27" s="214" t="s">
        <v>1989</v>
      </c>
      <c r="B27" t="s">
        <v>3378</v>
      </c>
      <c r="C27" t="s">
        <v>2076</v>
      </c>
      <c r="D27" t="s">
        <v>2077</v>
      </c>
      <c r="E27" t="s">
        <v>3379</v>
      </c>
      <c r="F27" t="s">
        <v>2101</v>
      </c>
      <c r="G27" t="s">
        <v>3380</v>
      </c>
      <c r="H27" t="s">
        <v>2080</v>
      </c>
      <c r="I27" t="s">
        <v>2081</v>
      </c>
      <c r="J27">
        <v>1</v>
      </c>
      <c r="K27">
        <v>2</v>
      </c>
      <c r="L27" s="215">
        <f t="shared" si="0"/>
        <v>10326.08695652174</v>
      </c>
      <c r="M27" s="215">
        <f t="shared" si="1"/>
        <v>20700</v>
      </c>
      <c r="N27" s="215" t="e">
        <f>VLOOKUP(A27,#REF!,13,0)</f>
        <v>#REF!</v>
      </c>
      <c r="O27" s="215" t="e">
        <f t="shared" si="2"/>
        <v>#REF!</v>
      </c>
      <c r="P27" t="s">
        <v>3361</v>
      </c>
      <c r="Q27" s="144"/>
    </row>
    <row r="28" spans="1:17" x14ac:dyDescent="0.25">
      <c r="A28" s="214" t="s">
        <v>3381</v>
      </c>
      <c r="B28" t="s">
        <v>3382</v>
      </c>
      <c r="C28" t="s">
        <v>2076</v>
      </c>
      <c r="D28" t="s">
        <v>1566</v>
      </c>
      <c r="E28" t="s">
        <v>2078</v>
      </c>
      <c r="F28" t="s">
        <v>3366</v>
      </c>
      <c r="G28" t="s">
        <v>3375</v>
      </c>
      <c r="H28" t="s">
        <v>1566</v>
      </c>
      <c r="I28" t="s">
        <v>3346</v>
      </c>
      <c r="J28">
        <v>1</v>
      </c>
      <c r="K28">
        <v>1</v>
      </c>
      <c r="L28" s="215">
        <f t="shared" si="0"/>
        <v>10326.08695652174</v>
      </c>
      <c r="M28" s="215">
        <f t="shared" si="1"/>
        <v>0</v>
      </c>
      <c r="N28" s="215" t="e">
        <f>VLOOKUP(A28,#REF!,13,0)</f>
        <v>#REF!</v>
      </c>
      <c r="O28" s="215" t="e">
        <f t="shared" si="2"/>
        <v>#REF!</v>
      </c>
      <c r="P28" t="s">
        <v>3361</v>
      </c>
      <c r="Q28" s="144"/>
    </row>
    <row r="29" spans="1:17" x14ac:dyDescent="0.25">
      <c r="A29" s="214" t="s">
        <v>1991</v>
      </c>
      <c r="B29" t="s">
        <v>2070</v>
      </c>
      <c r="C29" t="s">
        <v>2076</v>
      </c>
      <c r="D29" t="s">
        <v>2077</v>
      </c>
      <c r="E29" t="s">
        <v>3331</v>
      </c>
      <c r="F29" t="s">
        <v>3337</v>
      </c>
      <c r="G29" t="s">
        <v>1254</v>
      </c>
      <c r="H29" t="s">
        <v>2080</v>
      </c>
      <c r="I29" t="s">
        <v>1566</v>
      </c>
      <c r="J29">
        <v>1</v>
      </c>
      <c r="K29">
        <v>3</v>
      </c>
      <c r="L29" s="215">
        <f t="shared" si="0"/>
        <v>10326.08695652174</v>
      </c>
      <c r="M29" s="215">
        <f t="shared" si="1"/>
        <v>31000</v>
      </c>
      <c r="N29" s="215" t="e">
        <f>VLOOKUP(A29,#REF!,13,0)</f>
        <v>#REF!</v>
      </c>
      <c r="O29" s="215" t="e">
        <f t="shared" si="2"/>
        <v>#REF!</v>
      </c>
      <c r="P29" t="s">
        <v>3361</v>
      </c>
      <c r="Q29" s="144"/>
    </row>
    <row r="30" spans="1:17" x14ac:dyDescent="0.25">
      <c r="A30" s="214" t="s">
        <v>1993</v>
      </c>
      <c r="B30" t="s">
        <v>3383</v>
      </c>
      <c r="C30" t="s">
        <v>2076</v>
      </c>
      <c r="D30" t="s">
        <v>2077</v>
      </c>
      <c r="E30" t="s">
        <v>3379</v>
      </c>
      <c r="F30" t="s">
        <v>3360</v>
      </c>
      <c r="G30" t="s">
        <v>3384</v>
      </c>
      <c r="H30" t="s">
        <v>2080</v>
      </c>
      <c r="I30" t="s">
        <v>2081</v>
      </c>
      <c r="J30">
        <v>1</v>
      </c>
      <c r="K30">
        <v>1</v>
      </c>
      <c r="L30" s="215">
        <f t="shared" si="0"/>
        <v>10326.08695652174</v>
      </c>
      <c r="M30" s="215">
        <f t="shared" si="1"/>
        <v>10400</v>
      </c>
      <c r="N30" s="215" t="e">
        <f>VLOOKUP(A30,#REF!,13,0)</f>
        <v>#REF!</v>
      </c>
      <c r="O30" s="215" t="e">
        <f t="shared" si="2"/>
        <v>#REF!</v>
      </c>
      <c r="P30" t="s">
        <v>3361</v>
      </c>
      <c r="Q30" s="144"/>
    </row>
    <row r="31" spans="1:17" x14ac:dyDescent="0.25">
      <c r="A31" s="214" t="s">
        <v>3385</v>
      </c>
      <c r="B31" t="s">
        <v>3386</v>
      </c>
      <c r="C31" t="s">
        <v>2076</v>
      </c>
      <c r="D31" t="s">
        <v>1566</v>
      </c>
      <c r="E31" t="s">
        <v>3379</v>
      </c>
      <c r="F31" t="s">
        <v>3366</v>
      </c>
      <c r="G31" t="s">
        <v>3380</v>
      </c>
      <c r="H31" t="s">
        <v>1566</v>
      </c>
      <c r="I31" t="s">
        <v>3346</v>
      </c>
      <c r="J31">
        <v>1</v>
      </c>
      <c r="K31">
        <v>1</v>
      </c>
      <c r="L31" s="215">
        <f t="shared" si="0"/>
        <v>10326.08695652174</v>
      </c>
      <c r="M31" s="215">
        <f t="shared" si="1"/>
        <v>0</v>
      </c>
      <c r="N31" s="215" t="e">
        <f>VLOOKUP(A31,#REF!,13,0)</f>
        <v>#REF!</v>
      </c>
      <c r="O31" s="215" t="e">
        <f t="shared" si="2"/>
        <v>#REF!</v>
      </c>
      <c r="P31" t="s">
        <v>3361</v>
      </c>
      <c r="Q31" s="144"/>
    </row>
    <row r="32" spans="1:17" x14ac:dyDescent="0.25">
      <c r="A32" s="214" t="s">
        <v>1995</v>
      </c>
      <c r="B32" t="s">
        <v>3387</v>
      </c>
      <c r="C32" t="s">
        <v>2076</v>
      </c>
      <c r="D32" t="s">
        <v>2077</v>
      </c>
      <c r="E32" t="s">
        <v>3331</v>
      </c>
      <c r="F32" t="s">
        <v>3366</v>
      </c>
      <c r="G32" t="s">
        <v>186</v>
      </c>
      <c r="H32" t="s">
        <v>2080</v>
      </c>
      <c r="I32" t="s">
        <v>2081</v>
      </c>
      <c r="J32">
        <v>1</v>
      </c>
      <c r="K32">
        <v>1</v>
      </c>
      <c r="L32" s="215">
        <f t="shared" si="0"/>
        <v>10326.08695652174</v>
      </c>
      <c r="M32" s="215">
        <f t="shared" si="1"/>
        <v>10400</v>
      </c>
      <c r="N32" s="215" t="e">
        <f>VLOOKUP(A32,#REF!,13,0)</f>
        <v>#REF!</v>
      </c>
      <c r="O32" s="215" t="e">
        <f t="shared" si="2"/>
        <v>#REF!</v>
      </c>
      <c r="P32" t="s">
        <v>3361</v>
      </c>
      <c r="Q32" s="144"/>
    </row>
    <row r="33" spans="1:17" x14ac:dyDescent="0.25">
      <c r="A33" s="214" t="s">
        <v>1997</v>
      </c>
      <c r="B33" t="s">
        <v>3388</v>
      </c>
      <c r="C33" t="s">
        <v>2076</v>
      </c>
      <c r="D33" t="s">
        <v>2077</v>
      </c>
      <c r="E33" t="s">
        <v>3379</v>
      </c>
      <c r="F33" t="s">
        <v>3389</v>
      </c>
      <c r="G33" t="s">
        <v>3390</v>
      </c>
      <c r="H33" t="s">
        <v>2080</v>
      </c>
      <c r="I33" t="s">
        <v>2081</v>
      </c>
      <c r="J33">
        <v>1</v>
      </c>
      <c r="K33">
        <v>2</v>
      </c>
      <c r="L33" s="215">
        <f t="shared" si="0"/>
        <v>10326.08695652174</v>
      </c>
      <c r="M33" s="215">
        <f t="shared" si="1"/>
        <v>20700</v>
      </c>
      <c r="N33" s="215" t="e">
        <f>VLOOKUP(A33,#REF!,13,0)</f>
        <v>#REF!</v>
      </c>
      <c r="O33" s="215" t="e">
        <f t="shared" si="2"/>
        <v>#REF!</v>
      </c>
      <c r="P33" t="s">
        <v>3361</v>
      </c>
      <c r="Q33" s="144"/>
    </row>
    <row r="34" spans="1:17" x14ac:dyDescent="0.25">
      <c r="A34" s="214" t="s">
        <v>1999</v>
      </c>
      <c r="B34" t="s">
        <v>3391</v>
      </c>
      <c r="C34" t="s">
        <v>2076</v>
      </c>
      <c r="D34" t="s">
        <v>2077</v>
      </c>
      <c r="E34" t="s">
        <v>3379</v>
      </c>
      <c r="F34" t="s">
        <v>811</v>
      </c>
      <c r="G34" t="s">
        <v>2079</v>
      </c>
      <c r="H34" t="s">
        <v>2080</v>
      </c>
      <c r="I34" t="s">
        <v>2081</v>
      </c>
      <c r="J34">
        <v>1</v>
      </c>
      <c r="K34">
        <v>2</v>
      </c>
      <c r="L34" s="215">
        <f t="shared" si="0"/>
        <v>10326.08695652174</v>
      </c>
      <c r="M34" s="215">
        <f t="shared" si="1"/>
        <v>20700</v>
      </c>
      <c r="N34" s="215" t="e">
        <f>VLOOKUP(A34,#REF!,13,0)</f>
        <v>#REF!</v>
      </c>
      <c r="O34" s="215" t="e">
        <f t="shared" si="2"/>
        <v>#REF!</v>
      </c>
      <c r="P34" t="s">
        <v>3361</v>
      </c>
      <c r="Q34" s="144"/>
    </row>
    <row r="35" spans="1:17" x14ac:dyDescent="0.25">
      <c r="A35" s="214" t="s">
        <v>2001</v>
      </c>
      <c r="B35" t="s">
        <v>3392</v>
      </c>
      <c r="C35" t="s">
        <v>2076</v>
      </c>
      <c r="D35" t="s">
        <v>2077</v>
      </c>
      <c r="E35" t="s">
        <v>3379</v>
      </c>
      <c r="F35" t="s">
        <v>3366</v>
      </c>
      <c r="G35" t="s">
        <v>2079</v>
      </c>
      <c r="H35" t="s">
        <v>2080</v>
      </c>
      <c r="I35" t="s">
        <v>2081</v>
      </c>
      <c r="J35">
        <v>1</v>
      </c>
      <c r="K35">
        <v>1</v>
      </c>
      <c r="L35" s="215">
        <f t="shared" si="0"/>
        <v>10326.08695652174</v>
      </c>
      <c r="M35" s="215">
        <f t="shared" si="1"/>
        <v>10400</v>
      </c>
      <c r="N35" s="215" t="e">
        <f>VLOOKUP(A35,#REF!,13,0)</f>
        <v>#REF!</v>
      </c>
      <c r="O35" s="215" t="e">
        <f t="shared" si="2"/>
        <v>#REF!</v>
      </c>
      <c r="P35" t="s">
        <v>3361</v>
      </c>
      <c r="Q35" s="144"/>
    </row>
    <row r="36" spans="1:17" x14ac:dyDescent="0.25">
      <c r="A36" s="214" t="s">
        <v>2003</v>
      </c>
      <c r="B36" t="s">
        <v>3393</v>
      </c>
      <c r="C36" t="s">
        <v>2076</v>
      </c>
      <c r="D36" t="s">
        <v>2077</v>
      </c>
      <c r="E36" t="s">
        <v>3379</v>
      </c>
      <c r="F36" t="s">
        <v>3374</v>
      </c>
      <c r="G36" t="s">
        <v>3394</v>
      </c>
      <c r="H36" t="s">
        <v>2080</v>
      </c>
      <c r="I36" t="s">
        <v>3346</v>
      </c>
      <c r="J36">
        <v>1</v>
      </c>
      <c r="K36">
        <v>2</v>
      </c>
      <c r="L36" s="215">
        <f t="shared" si="0"/>
        <v>10326.08695652174</v>
      </c>
      <c r="M36" s="215">
        <f t="shared" si="1"/>
        <v>20700</v>
      </c>
      <c r="N36" s="215" t="e">
        <f>VLOOKUP(A36,#REF!,13,0)</f>
        <v>#REF!</v>
      </c>
      <c r="O36" s="215" t="e">
        <f t="shared" si="2"/>
        <v>#REF!</v>
      </c>
      <c r="P36" t="s">
        <v>3361</v>
      </c>
      <c r="Q36" s="144"/>
    </row>
    <row r="37" spans="1:17" x14ac:dyDescent="0.25">
      <c r="A37" s="214" t="s">
        <v>3395</v>
      </c>
      <c r="B37" t="s">
        <v>3396</v>
      </c>
      <c r="C37" t="s">
        <v>2076</v>
      </c>
      <c r="D37" t="s">
        <v>1566</v>
      </c>
      <c r="E37" t="s">
        <v>3379</v>
      </c>
      <c r="F37" t="s">
        <v>811</v>
      </c>
      <c r="G37" t="s">
        <v>3397</v>
      </c>
      <c r="H37" t="s">
        <v>2080</v>
      </c>
      <c r="I37" t="s">
        <v>1566</v>
      </c>
      <c r="J37">
        <v>1</v>
      </c>
      <c r="K37">
        <v>0</v>
      </c>
      <c r="L37" s="215">
        <f t="shared" si="0"/>
        <v>10326.08695652174</v>
      </c>
      <c r="M37" s="215">
        <f t="shared" si="1"/>
        <v>0</v>
      </c>
      <c r="N37" s="215" t="e">
        <f>VLOOKUP(A37,#REF!,13,0)</f>
        <v>#REF!</v>
      </c>
      <c r="O37" s="215" t="e">
        <f t="shared" si="2"/>
        <v>#REF!</v>
      </c>
      <c r="P37" t="s">
        <v>3361</v>
      </c>
      <c r="Q37" s="144" t="s">
        <v>3398</v>
      </c>
    </row>
    <row r="38" spans="1:17" x14ac:dyDescent="0.25">
      <c r="A38" s="214" t="s">
        <v>2005</v>
      </c>
      <c r="B38" t="s">
        <v>3399</v>
      </c>
      <c r="C38" t="s">
        <v>2076</v>
      </c>
      <c r="D38" t="s">
        <v>2077</v>
      </c>
      <c r="E38" t="s">
        <v>3379</v>
      </c>
      <c r="F38" t="s">
        <v>811</v>
      </c>
      <c r="G38" t="s">
        <v>3394</v>
      </c>
      <c r="H38" t="s">
        <v>2080</v>
      </c>
      <c r="I38" t="s">
        <v>1566</v>
      </c>
      <c r="J38">
        <v>1</v>
      </c>
      <c r="K38">
        <v>2</v>
      </c>
      <c r="L38" s="215">
        <f t="shared" si="0"/>
        <v>10326.08695652174</v>
      </c>
      <c r="M38" s="215">
        <f t="shared" si="1"/>
        <v>20700</v>
      </c>
      <c r="N38" s="215" t="e">
        <f>VLOOKUP(A38,#REF!,13,0)</f>
        <v>#REF!</v>
      </c>
      <c r="O38" s="215" t="e">
        <f t="shared" si="2"/>
        <v>#REF!</v>
      </c>
      <c r="P38" t="s">
        <v>3361</v>
      </c>
      <c r="Q38" s="144"/>
    </row>
    <row r="39" spans="1:17" x14ac:dyDescent="0.25">
      <c r="A39" s="214" t="s">
        <v>2007</v>
      </c>
      <c r="B39" t="s">
        <v>3400</v>
      </c>
      <c r="C39" t="s">
        <v>2076</v>
      </c>
      <c r="D39" t="s">
        <v>2077</v>
      </c>
      <c r="E39" t="s">
        <v>3379</v>
      </c>
      <c r="F39" t="s">
        <v>3374</v>
      </c>
      <c r="G39" t="s">
        <v>3394</v>
      </c>
      <c r="H39" t="s">
        <v>2080</v>
      </c>
      <c r="I39" t="s">
        <v>3350</v>
      </c>
      <c r="J39">
        <v>1</v>
      </c>
      <c r="K39">
        <v>2</v>
      </c>
      <c r="L39" s="215">
        <f t="shared" si="0"/>
        <v>10326.08695652174</v>
      </c>
      <c r="M39" s="215">
        <f t="shared" si="1"/>
        <v>20700</v>
      </c>
      <c r="N39" s="215" t="e">
        <f>VLOOKUP(A39,#REF!,13,0)</f>
        <v>#REF!</v>
      </c>
      <c r="O39" s="215" t="e">
        <f t="shared" si="2"/>
        <v>#REF!</v>
      </c>
      <c r="P39" t="s">
        <v>3361</v>
      </c>
      <c r="Q39" s="144"/>
    </row>
    <row r="40" spans="1:17" x14ac:dyDescent="0.25">
      <c r="A40" s="214" t="s">
        <v>2009</v>
      </c>
      <c r="B40" t="s">
        <v>3401</v>
      </c>
      <c r="C40" t="s">
        <v>2076</v>
      </c>
      <c r="D40" t="s">
        <v>2077</v>
      </c>
      <c r="E40" t="s">
        <v>3379</v>
      </c>
      <c r="F40" t="s">
        <v>3360</v>
      </c>
      <c r="G40" t="s">
        <v>3394</v>
      </c>
      <c r="H40" t="s">
        <v>2080</v>
      </c>
      <c r="I40" t="s">
        <v>3350</v>
      </c>
      <c r="J40">
        <v>1</v>
      </c>
      <c r="K40">
        <v>1</v>
      </c>
      <c r="L40" s="215">
        <f t="shared" si="0"/>
        <v>10326.08695652174</v>
      </c>
      <c r="M40" s="215">
        <f t="shared" si="1"/>
        <v>10400</v>
      </c>
      <c r="N40" s="215" t="e">
        <f>VLOOKUP(A40,#REF!,13,0)</f>
        <v>#REF!</v>
      </c>
      <c r="O40" s="215" t="e">
        <f t="shared" si="2"/>
        <v>#REF!</v>
      </c>
      <c r="P40" t="s">
        <v>3361</v>
      </c>
      <c r="Q40" s="144"/>
    </row>
    <row r="41" spans="1:17" x14ac:dyDescent="0.25">
      <c r="A41" s="214" t="s">
        <v>3097</v>
      </c>
      <c r="B41" t="s">
        <v>735</v>
      </c>
      <c r="C41" t="s">
        <v>2076</v>
      </c>
      <c r="D41" t="s">
        <v>1566</v>
      </c>
      <c r="E41" t="s">
        <v>3331</v>
      </c>
      <c r="F41" t="s">
        <v>811</v>
      </c>
      <c r="G41" t="s">
        <v>1186</v>
      </c>
      <c r="H41" t="s">
        <v>3350</v>
      </c>
      <c r="I41" t="s">
        <v>3350</v>
      </c>
      <c r="J41">
        <v>1</v>
      </c>
      <c r="K41">
        <v>1</v>
      </c>
      <c r="L41" s="215">
        <f t="shared" si="0"/>
        <v>10326.08695652174</v>
      </c>
      <c r="M41" s="215">
        <f t="shared" si="1"/>
        <v>0</v>
      </c>
      <c r="N41" s="215" t="e">
        <f>VLOOKUP(A41,#REF!,13,0)</f>
        <v>#REF!</v>
      </c>
      <c r="O41" s="215" t="e">
        <f t="shared" si="2"/>
        <v>#REF!</v>
      </c>
      <c r="P41" t="s">
        <v>3361</v>
      </c>
      <c r="Q41" s="144"/>
    </row>
    <row r="42" spans="1:17" x14ac:dyDescent="0.25">
      <c r="A42" s="214" t="s">
        <v>2011</v>
      </c>
      <c r="B42" t="s">
        <v>3402</v>
      </c>
      <c r="C42" t="s">
        <v>2076</v>
      </c>
      <c r="D42" t="s">
        <v>2077</v>
      </c>
      <c r="E42" t="s">
        <v>3379</v>
      </c>
      <c r="F42" t="s">
        <v>3366</v>
      </c>
      <c r="G42" t="s">
        <v>2102</v>
      </c>
      <c r="H42" t="s">
        <v>2080</v>
      </c>
      <c r="I42" t="s">
        <v>3350</v>
      </c>
      <c r="J42">
        <v>1</v>
      </c>
      <c r="K42">
        <v>1</v>
      </c>
      <c r="L42" s="215">
        <f t="shared" si="0"/>
        <v>10326.08695652174</v>
      </c>
      <c r="M42" s="215">
        <f t="shared" si="1"/>
        <v>10400</v>
      </c>
      <c r="N42" s="215" t="e">
        <f>VLOOKUP(A42,#REF!,13,0)</f>
        <v>#REF!</v>
      </c>
      <c r="O42" s="215" t="e">
        <f t="shared" si="2"/>
        <v>#REF!</v>
      </c>
      <c r="P42" t="s">
        <v>3361</v>
      </c>
      <c r="Q42" s="144"/>
    </row>
    <row r="43" spans="1:17" x14ac:dyDescent="0.25">
      <c r="A43" s="214" t="s">
        <v>3403</v>
      </c>
      <c r="B43" t="s">
        <v>3404</v>
      </c>
      <c r="C43" t="s">
        <v>2076</v>
      </c>
      <c r="D43" t="s">
        <v>1566</v>
      </c>
      <c r="E43" t="s">
        <v>2078</v>
      </c>
      <c r="F43" t="s">
        <v>3366</v>
      </c>
      <c r="G43" t="s">
        <v>3397</v>
      </c>
      <c r="H43" t="s">
        <v>1566</v>
      </c>
      <c r="I43" t="s">
        <v>3346</v>
      </c>
      <c r="J43">
        <v>1</v>
      </c>
      <c r="K43">
        <v>1</v>
      </c>
      <c r="L43" s="215">
        <f t="shared" si="0"/>
        <v>10326.08695652174</v>
      </c>
      <c r="M43" s="215">
        <f t="shared" si="1"/>
        <v>0</v>
      </c>
      <c r="N43" s="215" t="e">
        <f>VLOOKUP(A43,#REF!,13,0)</f>
        <v>#REF!</v>
      </c>
      <c r="O43" s="215" t="e">
        <f t="shared" si="2"/>
        <v>#REF!</v>
      </c>
      <c r="P43" t="s">
        <v>3361</v>
      </c>
      <c r="Q43" s="144"/>
    </row>
    <row r="44" spans="1:17" x14ac:dyDescent="0.25">
      <c r="A44" s="214" t="s">
        <v>3405</v>
      </c>
      <c r="B44" t="s">
        <v>3406</v>
      </c>
      <c r="C44" t="s">
        <v>2076</v>
      </c>
      <c r="D44" t="s">
        <v>1566</v>
      </c>
      <c r="E44" t="s">
        <v>3379</v>
      </c>
      <c r="F44" t="s">
        <v>3337</v>
      </c>
      <c r="G44" t="s">
        <v>3375</v>
      </c>
      <c r="H44" t="s">
        <v>1566</v>
      </c>
      <c r="I44" t="s">
        <v>1566</v>
      </c>
      <c r="J44">
        <v>1</v>
      </c>
      <c r="K44">
        <v>0</v>
      </c>
      <c r="L44" s="215">
        <f t="shared" si="0"/>
        <v>10326.08695652174</v>
      </c>
      <c r="M44" s="215">
        <f t="shared" si="1"/>
        <v>0</v>
      </c>
      <c r="N44" s="215" t="e">
        <f>VLOOKUP(A44,#REF!,13,0)</f>
        <v>#REF!</v>
      </c>
      <c r="O44" s="215" t="e">
        <f t="shared" si="2"/>
        <v>#REF!</v>
      </c>
      <c r="P44" t="s">
        <v>3361</v>
      </c>
      <c r="Q44" s="144"/>
    </row>
    <row r="45" spans="1:17" x14ac:dyDescent="0.25">
      <c r="A45" s="214" t="s">
        <v>2013</v>
      </c>
      <c r="B45" t="s">
        <v>3407</v>
      </c>
      <c r="C45" t="s">
        <v>2076</v>
      </c>
      <c r="D45" t="s">
        <v>2077</v>
      </c>
      <c r="E45" t="s">
        <v>2078</v>
      </c>
      <c r="F45" t="s">
        <v>3366</v>
      </c>
      <c r="G45" t="s">
        <v>3375</v>
      </c>
      <c r="H45" t="s">
        <v>2080</v>
      </c>
      <c r="I45" t="s">
        <v>2081</v>
      </c>
      <c r="J45">
        <v>1</v>
      </c>
      <c r="K45">
        <v>1</v>
      </c>
      <c r="L45" s="215">
        <f t="shared" si="0"/>
        <v>10326.08695652174</v>
      </c>
      <c r="M45" s="215">
        <f t="shared" si="1"/>
        <v>10400</v>
      </c>
      <c r="N45" s="215" t="e">
        <f>VLOOKUP(A45,#REF!,13,0)</f>
        <v>#REF!</v>
      </c>
      <c r="O45" s="215" t="e">
        <f t="shared" si="2"/>
        <v>#REF!</v>
      </c>
      <c r="P45" t="s">
        <v>3361</v>
      </c>
      <c r="Q45" s="144"/>
    </row>
    <row r="46" spans="1:17" x14ac:dyDescent="0.25">
      <c r="A46" s="214" t="s">
        <v>2015</v>
      </c>
      <c r="B46" t="s">
        <v>3408</v>
      </c>
      <c r="C46" t="s">
        <v>2076</v>
      </c>
      <c r="D46" t="s">
        <v>2077</v>
      </c>
      <c r="E46" t="s">
        <v>3379</v>
      </c>
      <c r="F46" t="s">
        <v>3409</v>
      </c>
      <c r="G46" t="s">
        <v>3380</v>
      </c>
      <c r="H46" t="s">
        <v>2080</v>
      </c>
      <c r="I46" t="s">
        <v>2081</v>
      </c>
      <c r="J46">
        <v>1</v>
      </c>
      <c r="K46">
        <v>1</v>
      </c>
      <c r="L46" s="215">
        <f t="shared" si="0"/>
        <v>10326.08695652174</v>
      </c>
      <c r="M46" s="215">
        <f t="shared" si="1"/>
        <v>10400</v>
      </c>
      <c r="N46" s="215" t="e">
        <f>VLOOKUP(A46,#REF!,13,0)</f>
        <v>#REF!</v>
      </c>
      <c r="O46" s="215" t="e">
        <f t="shared" si="2"/>
        <v>#REF!</v>
      </c>
      <c r="P46" t="s">
        <v>3361</v>
      </c>
      <c r="Q46" s="144"/>
    </row>
    <row r="47" spans="1:17" x14ac:dyDescent="0.25">
      <c r="A47" s="214" t="s">
        <v>2017</v>
      </c>
      <c r="B47" t="s">
        <v>3410</v>
      </c>
      <c r="C47" t="s">
        <v>2076</v>
      </c>
      <c r="D47" t="s">
        <v>2077</v>
      </c>
      <c r="E47" t="s">
        <v>2078</v>
      </c>
      <c r="F47" t="s">
        <v>3411</v>
      </c>
      <c r="G47" t="s">
        <v>3380</v>
      </c>
      <c r="H47" t="s">
        <v>2080</v>
      </c>
      <c r="I47" t="s">
        <v>2081</v>
      </c>
      <c r="J47">
        <v>1</v>
      </c>
      <c r="K47">
        <v>2</v>
      </c>
      <c r="L47" s="215">
        <f t="shared" si="0"/>
        <v>10326.08695652174</v>
      </c>
      <c r="M47" s="215">
        <f t="shared" si="1"/>
        <v>20700</v>
      </c>
      <c r="N47" s="215" t="e">
        <f>VLOOKUP(A47,#REF!,13,0)</f>
        <v>#REF!</v>
      </c>
      <c r="O47" s="215" t="e">
        <f t="shared" si="2"/>
        <v>#REF!</v>
      </c>
      <c r="P47" t="s">
        <v>3361</v>
      </c>
      <c r="Q47" s="144"/>
    </row>
    <row r="48" spans="1:17" x14ac:dyDescent="0.25">
      <c r="A48" s="214" t="s">
        <v>3412</v>
      </c>
      <c r="B48" t="s">
        <v>3413</v>
      </c>
      <c r="C48" t="s">
        <v>2076</v>
      </c>
      <c r="D48" t="s">
        <v>1566</v>
      </c>
      <c r="E48" t="s">
        <v>3379</v>
      </c>
      <c r="F48" t="s">
        <v>3337</v>
      </c>
      <c r="G48" t="s">
        <v>3414</v>
      </c>
      <c r="H48" t="s">
        <v>1566</v>
      </c>
      <c r="I48" t="s">
        <v>3346</v>
      </c>
      <c r="J48">
        <v>1</v>
      </c>
      <c r="K48">
        <v>1</v>
      </c>
      <c r="L48" s="215">
        <f t="shared" si="0"/>
        <v>10326.08695652174</v>
      </c>
      <c r="M48" s="215">
        <f t="shared" si="1"/>
        <v>0</v>
      </c>
      <c r="N48" s="215" t="e">
        <f>VLOOKUP(A48,#REF!,13,0)</f>
        <v>#REF!</v>
      </c>
      <c r="O48" s="215" t="e">
        <f t="shared" si="2"/>
        <v>#REF!</v>
      </c>
      <c r="P48" t="s">
        <v>3361</v>
      </c>
      <c r="Q48" s="144"/>
    </row>
    <row r="49" spans="1:17" x14ac:dyDescent="0.25">
      <c r="A49" s="214" t="s">
        <v>2020</v>
      </c>
      <c r="B49" t="s">
        <v>3415</v>
      </c>
      <c r="C49" t="s">
        <v>2076</v>
      </c>
      <c r="D49" t="s">
        <v>2077</v>
      </c>
      <c r="E49" t="s">
        <v>3379</v>
      </c>
      <c r="F49" t="s">
        <v>3374</v>
      </c>
      <c r="G49" t="s">
        <v>3380</v>
      </c>
      <c r="H49" t="s">
        <v>2080</v>
      </c>
      <c r="I49" t="s">
        <v>2081</v>
      </c>
      <c r="J49">
        <v>1</v>
      </c>
      <c r="K49">
        <v>1</v>
      </c>
      <c r="L49" s="215">
        <f t="shared" si="0"/>
        <v>10326.08695652174</v>
      </c>
      <c r="M49" s="215">
        <f t="shared" si="1"/>
        <v>10400</v>
      </c>
      <c r="N49" s="215" t="e">
        <f>VLOOKUP(A49,#REF!,13,0)</f>
        <v>#REF!</v>
      </c>
      <c r="O49" s="215" t="e">
        <f t="shared" si="2"/>
        <v>#REF!</v>
      </c>
      <c r="P49" t="s">
        <v>3361</v>
      </c>
      <c r="Q49" s="144"/>
    </row>
    <row r="50" spans="1:17" x14ac:dyDescent="0.25">
      <c r="A50" s="214" t="s">
        <v>2022</v>
      </c>
      <c r="B50" t="s">
        <v>3416</v>
      </c>
      <c r="C50" t="s">
        <v>2076</v>
      </c>
      <c r="D50" t="s">
        <v>2077</v>
      </c>
      <c r="E50" t="s">
        <v>3379</v>
      </c>
      <c r="F50" t="s">
        <v>2590</v>
      </c>
      <c r="G50" t="s">
        <v>3417</v>
      </c>
      <c r="H50" t="s">
        <v>2080</v>
      </c>
      <c r="I50" t="s">
        <v>2081</v>
      </c>
      <c r="J50">
        <v>1</v>
      </c>
      <c r="K50">
        <v>1</v>
      </c>
      <c r="L50" s="215">
        <f t="shared" si="0"/>
        <v>10326.08695652174</v>
      </c>
      <c r="M50" s="215">
        <f t="shared" si="1"/>
        <v>10400</v>
      </c>
      <c r="N50" s="215" t="e">
        <f>VLOOKUP(A50,#REF!,13,0)</f>
        <v>#REF!</v>
      </c>
      <c r="O50" s="215" t="e">
        <f t="shared" si="2"/>
        <v>#REF!</v>
      </c>
      <c r="P50" t="s">
        <v>3361</v>
      </c>
      <c r="Q50" s="144"/>
    </row>
    <row r="51" spans="1:17" x14ac:dyDescent="0.25">
      <c r="A51" s="214" t="s">
        <v>3418</v>
      </c>
      <c r="B51" t="s">
        <v>3419</v>
      </c>
      <c r="C51" t="s">
        <v>2076</v>
      </c>
      <c r="D51" t="s">
        <v>1566</v>
      </c>
      <c r="E51" t="s">
        <v>3379</v>
      </c>
      <c r="F51" t="s">
        <v>3344</v>
      </c>
      <c r="G51" t="s">
        <v>3420</v>
      </c>
      <c r="H51" t="s">
        <v>1566</v>
      </c>
      <c r="I51" t="s">
        <v>1566</v>
      </c>
      <c r="J51">
        <v>1</v>
      </c>
      <c r="K51">
        <v>0</v>
      </c>
      <c r="L51" s="215">
        <f t="shared" si="0"/>
        <v>10326.08695652174</v>
      </c>
      <c r="M51" s="215">
        <f t="shared" si="1"/>
        <v>0</v>
      </c>
      <c r="N51" s="215" t="e">
        <f>VLOOKUP(A51,#REF!,13,0)</f>
        <v>#REF!</v>
      </c>
      <c r="O51" s="215" t="e">
        <f t="shared" si="2"/>
        <v>#REF!</v>
      </c>
      <c r="P51" t="s">
        <v>3361</v>
      </c>
      <c r="Q51" s="144"/>
    </row>
    <row r="52" spans="1:17" x14ac:dyDescent="0.25">
      <c r="A52" s="214" t="s">
        <v>2024</v>
      </c>
      <c r="B52" t="s">
        <v>3421</v>
      </c>
      <c r="C52" t="s">
        <v>2076</v>
      </c>
      <c r="D52" t="s">
        <v>2077</v>
      </c>
      <c r="E52" t="s">
        <v>3379</v>
      </c>
      <c r="F52" t="s">
        <v>3374</v>
      </c>
      <c r="G52" t="s">
        <v>3420</v>
      </c>
      <c r="H52" t="s">
        <v>2080</v>
      </c>
      <c r="I52" t="s">
        <v>3346</v>
      </c>
      <c r="J52">
        <v>1</v>
      </c>
      <c r="K52">
        <v>2</v>
      </c>
      <c r="L52" s="215">
        <f t="shared" si="0"/>
        <v>10326.08695652174</v>
      </c>
      <c r="M52" s="215">
        <f t="shared" si="1"/>
        <v>20700</v>
      </c>
      <c r="N52" s="215" t="e">
        <f>VLOOKUP(A52,#REF!,13,0)</f>
        <v>#REF!</v>
      </c>
      <c r="O52" s="215" t="e">
        <f t="shared" si="2"/>
        <v>#REF!</v>
      </c>
      <c r="P52" t="s">
        <v>3361</v>
      </c>
      <c r="Q52" s="144"/>
    </row>
    <row r="53" spans="1:17" x14ac:dyDescent="0.25">
      <c r="A53" s="214" t="s">
        <v>3066</v>
      </c>
      <c r="B53" t="s">
        <v>3422</v>
      </c>
      <c r="C53" t="s">
        <v>396</v>
      </c>
      <c r="D53" t="s">
        <v>2077</v>
      </c>
      <c r="E53" t="s">
        <v>3331</v>
      </c>
      <c r="F53" t="s">
        <v>3366</v>
      </c>
      <c r="G53" t="s">
        <v>1024</v>
      </c>
      <c r="H53" t="s">
        <v>2080</v>
      </c>
      <c r="I53" t="s">
        <v>2081</v>
      </c>
      <c r="J53">
        <v>1</v>
      </c>
      <c r="K53">
        <v>3</v>
      </c>
      <c r="L53" s="215">
        <f t="shared" si="0"/>
        <v>0</v>
      </c>
      <c r="M53" s="215">
        <f t="shared" si="1"/>
        <v>0</v>
      </c>
      <c r="N53" s="215" t="e">
        <f>VLOOKUP(A53,#REF!,13,0)</f>
        <v>#REF!</v>
      </c>
      <c r="O53" s="215" t="e">
        <f t="shared" si="2"/>
        <v>#REF!</v>
      </c>
      <c r="P53" t="s">
        <v>2707</v>
      </c>
      <c r="Q53" s="144"/>
    </row>
    <row r="54" spans="1:17" x14ac:dyDescent="0.25">
      <c r="A54" s="214" t="s">
        <v>2026</v>
      </c>
      <c r="B54" t="s">
        <v>3423</v>
      </c>
      <c r="C54" t="s">
        <v>2076</v>
      </c>
      <c r="D54" t="s">
        <v>2077</v>
      </c>
      <c r="E54" t="s">
        <v>2078</v>
      </c>
      <c r="F54" t="s">
        <v>3337</v>
      </c>
      <c r="G54" t="s">
        <v>2079</v>
      </c>
      <c r="H54" t="s">
        <v>2080</v>
      </c>
      <c r="I54" t="s">
        <v>2081</v>
      </c>
      <c r="J54">
        <v>1</v>
      </c>
      <c r="K54">
        <v>2</v>
      </c>
      <c r="L54" s="215">
        <f t="shared" si="0"/>
        <v>10326.08695652174</v>
      </c>
      <c r="M54" s="215">
        <f t="shared" si="1"/>
        <v>20700</v>
      </c>
      <c r="N54" s="215" t="e">
        <f>VLOOKUP(A54,#REF!,13,0)</f>
        <v>#REF!</v>
      </c>
      <c r="O54" s="215" t="e">
        <f t="shared" si="2"/>
        <v>#REF!</v>
      </c>
      <c r="P54" t="s">
        <v>3361</v>
      </c>
      <c r="Q54" s="144"/>
    </row>
    <row r="55" spans="1:17" x14ac:dyDescent="0.25">
      <c r="A55" s="214" t="s">
        <v>2028</v>
      </c>
      <c r="B55" t="s">
        <v>3424</v>
      </c>
      <c r="C55" t="s">
        <v>2076</v>
      </c>
      <c r="D55" t="s">
        <v>2077</v>
      </c>
      <c r="E55" t="s">
        <v>3379</v>
      </c>
      <c r="F55" t="s">
        <v>3409</v>
      </c>
      <c r="G55" t="s">
        <v>3425</v>
      </c>
      <c r="H55" t="s">
        <v>2080</v>
      </c>
      <c r="I55" t="s">
        <v>2081</v>
      </c>
      <c r="J55">
        <v>1</v>
      </c>
      <c r="K55">
        <v>1</v>
      </c>
      <c r="L55" s="215">
        <f t="shared" si="0"/>
        <v>10326.08695652174</v>
      </c>
      <c r="M55" s="215">
        <f t="shared" si="1"/>
        <v>10400</v>
      </c>
      <c r="N55" s="215" t="e">
        <f>VLOOKUP(A55,#REF!,13,0)</f>
        <v>#REF!</v>
      </c>
      <c r="O55" s="215" t="e">
        <f t="shared" si="2"/>
        <v>#REF!</v>
      </c>
      <c r="P55" t="s">
        <v>3361</v>
      </c>
      <c r="Q55" s="144"/>
    </row>
    <row r="56" spans="1:17" x14ac:dyDescent="0.25">
      <c r="A56" s="214" t="s">
        <v>2030</v>
      </c>
      <c r="B56" t="s">
        <v>3426</v>
      </c>
      <c r="C56" t="s">
        <v>2076</v>
      </c>
      <c r="D56" t="s">
        <v>2077</v>
      </c>
      <c r="E56" t="s">
        <v>3331</v>
      </c>
      <c r="F56" t="s">
        <v>811</v>
      </c>
      <c r="G56" t="s">
        <v>3375</v>
      </c>
      <c r="H56" t="s">
        <v>2080</v>
      </c>
      <c r="I56" t="s">
        <v>3332</v>
      </c>
      <c r="J56">
        <v>1</v>
      </c>
      <c r="K56">
        <v>3</v>
      </c>
      <c r="L56" s="215">
        <f t="shared" si="0"/>
        <v>10326.08695652174</v>
      </c>
      <c r="M56" s="215">
        <f t="shared" si="1"/>
        <v>31000</v>
      </c>
      <c r="N56" s="215" t="e">
        <f>VLOOKUP(A56,#REF!,13,0)</f>
        <v>#REF!</v>
      </c>
      <c r="O56" s="215" t="e">
        <f t="shared" si="2"/>
        <v>#REF!</v>
      </c>
      <c r="P56" t="s">
        <v>3361</v>
      </c>
      <c r="Q56" s="144"/>
    </row>
    <row r="57" spans="1:17" x14ac:dyDescent="0.25">
      <c r="A57" s="214" t="s">
        <v>2032</v>
      </c>
      <c r="B57" t="s">
        <v>3427</v>
      </c>
      <c r="C57" t="s">
        <v>2076</v>
      </c>
      <c r="D57" t="s">
        <v>2077</v>
      </c>
      <c r="E57" t="s">
        <v>3331</v>
      </c>
      <c r="F57" t="s">
        <v>2101</v>
      </c>
      <c r="G57" t="s">
        <v>1024</v>
      </c>
      <c r="H57" t="s">
        <v>2080</v>
      </c>
      <c r="I57" t="s">
        <v>3332</v>
      </c>
      <c r="J57">
        <v>1</v>
      </c>
      <c r="K57">
        <v>2</v>
      </c>
      <c r="L57" s="215">
        <f t="shared" si="0"/>
        <v>10326.08695652174</v>
      </c>
      <c r="M57" s="215">
        <f t="shared" si="1"/>
        <v>20700</v>
      </c>
      <c r="N57" s="215" t="e">
        <f>VLOOKUP(A57,#REF!,13,0)</f>
        <v>#REF!</v>
      </c>
      <c r="O57" s="215" t="e">
        <f t="shared" si="2"/>
        <v>#REF!</v>
      </c>
      <c r="P57" t="s">
        <v>2707</v>
      </c>
      <c r="Q57" s="144"/>
    </row>
    <row r="58" spans="1:17" x14ac:dyDescent="0.25">
      <c r="A58" s="214" t="s">
        <v>3428</v>
      </c>
      <c r="B58" t="s">
        <v>3429</v>
      </c>
      <c r="C58" t="s">
        <v>396</v>
      </c>
      <c r="D58" t="s">
        <v>2077</v>
      </c>
      <c r="E58" t="s">
        <v>3331</v>
      </c>
      <c r="F58" t="s">
        <v>3374</v>
      </c>
      <c r="G58" t="s">
        <v>1024</v>
      </c>
      <c r="H58" t="s">
        <v>2080</v>
      </c>
      <c r="I58" t="s">
        <v>3332</v>
      </c>
      <c r="J58">
        <v>1</v>
      </c>
      <c r="K58">
        <v>2</v>
      </c>
      <c r="L58" s="215">
        <f t="shared" si="0"/>
        <v>0</v>
      </c>
      <c r="M58" s="215">
        <f t="shared" si="1"/>
        <v>0</v>
      </c>
      <c r="N58" s="215" t="e">
        <f>VLOOKUP(A58,#REF!,13,0)</f>
        <v>#REF!</v>
      </c>
      <c r="O58" s="215" t="e">
        <f t="shared" si="2"/>
        <v>#REF!</v>
      </c>
      <c r="P58" t="s">
        <v>2707</v>
      </c>
      <c r="Q58" s="144"/>
    </row>
    <row r="59" spans="1:17" x14ac:dyDescent="0.25">
      <c r="A59" s="214" t="s">
        <v>3430</v>
      </c>
      <c r="B59" t="s">
        <v>3431</v>
      </c>
      <c r="C59" t="s">
        <v>396</v>
      </c>
      <c r="D59" t="s">
        <v>2077</v>
      </c>
      <c r="E59" t="s">
        <v>3331</v>
      </c>
      <c r="F59" t="s">
        <v>3374</v>
      </c>
      <c r="G59" t="s">
        <v>1024</v>
      </c>
      <c r="H59" t="s">
        <v>2080</v>
      </c>
      <c r="I59" t="s">
        <v>3332</v>
      </c>
      <c r="J59">
        <v>1</v>
      </c>
      <c r="K59">
        <v>2</v>
      </c>
      <c r="L59" s="215">
        <f t="shared" si="0"/>
        <v>0</v>
      </c>
      <c r="M59" s="215">
        <f t="shared" si="1"/>
        <v>0</v>
      </c>
      <c r="N59" s="215" t="e">
        <f>VLOOKUP(A59,#REF!,13,0)</f>
        <v>#REF!</v>
      </c>
      <c r="O59" s="215" t="e">
        <f t="shared" si="2"/>
        <v>#REF!</v>
      </c>
      <c r="P59" t="s">
        <v>2707</v>
      </c>
      <c r="Q59" s="144"/>
    </row>
    <row r="60" spans="1:17" x14ac:dyDescent="0.25">
      <c r="A60" s="214" t="s">
        <v>3432</v>
      </c>
      <c r="B60" t="s">
        <v>3433</v>
      </c>
      <c r="C60" t="s">
        <v>396</v>
      </c>
      <c r="D60" t="s">
        <v>2077</v>
      </c>
      <c r="E60" t="s">
        <v>3331</v>
      </c>
      <c r="F60" t="s">
        <v>2101</v>
      </c>
      <c r="G60" t="s">
        <v>1254</v>
      </c>
      <c r="H60" t="s">
        <v>2080</v>
      </c>
      <c r="I60" t="s">
        <v>3332</v>
      </c>
      <c r="J60">
        <v>1</v>
      </c>
      <c r="K60">
        <v>6</v>
      </c>
      <c r="L60" s="215">
        <f t="shared" si="0"/>
        <v>0</v>
      </c>
      <c r="M60" s="215">
        <f t="shared" si="1"/>
        <v>0</v>
      </c>
      <c r="N60" s="215" t="e">
        <f>VLOOKUP(A60,#REF!,13,0)</f>
        <v>#REF!</v>
      </c>
      <c r="O60" s="215" t="e">
        <f t="shared" si="2"/>
        <v>#REF!</v>
      </c>
      <c r="P60" t="s">
        <v>2707</v>
      </c>
      <c r="Q60" s="144"/>
    </row>
    <row r="61" spans="1:17" x14ac:dyDescent="0.25">
      <c r="A61" s="214" t="s">
        <v>2034</v>
      </c>
      <c r="B61" t="s">
        <v>3434</v>
      </c>
      <c r="C61" t="s">
        <v>2076</v>
      </c>
      <c r="D61" t="s">
        <v>2077</v>
      </c>
      <c r="E61" t="s">
        <v>3331</v>
      </c>
      <c r="F61" t="s">
        <v>3337</v>
      </c>
      <c r="G61" t="s">
        <v>1244</v>
      </c>
      <c r="H61" t="s">
        <v>2080</v>
      </c>
      <c r="I61" t="s">
        <v>2081</v>
      </c>
      <c r="J61">
        <v>1</v>
      </c>
      <c r="K61">
        <v>4</v>
      </c>
      <c r="L61" s="215">
        <f t="shared" si="0"/>
        <v>10326.08695652174</v>
      </c>
      <c r="M61" s="215">
        <f t="shared" si="1"/>
        <v>41400</v>
      </c>
      <c r="N61" s="215" t="e">
        <f>VLOOKUP(A61,#REF!,13,0)</f>
        <v>#REF!</v>
      </c>
      <c r="O61" s="215" t="e">
        <f t="shared" si="2"/>
        <v>#REF!</v>
      </c>
      <c r="P61" t="s">
        <v>3361</v>
      </c>
      <c r="Q61" s="144"/>
    </row>
    <row r="62" spans="1:17" x14ac:dyDescent="0.25">
      <c r="A62" s="214" t="s">
        <v>2775</v>
      </c>
      <c r="B62" t="s">
        <v>2774</v>
      </c>
      <c r="C62" t="s">
        <v>2076</v>
      </c>
      <c r="D62" t="s">
        <v>1566</v>
      </c>
      <c r="E62" t="s">
        <v>3331</v>
      </c>
      <c r="F62" t="s">
        <v>2101</v>
      </c>
      <c r="G62" t="s">
        <v>3435</v>
      </c>
      <c r="H62" t="s">
        <v>3350</v>
      </c>
      <c r="I62" t="s">
        <v>3350</v>
      </c>
      <c r="J62">
        <v>1</v>
      </c>
      <c r="K62">
        <v>2</v>
      </c>
      <c r="L62" s="215">
        <f t="shared" si="0"/>
        <v>10326.08695652174</v>
      </c>
      <c r="M62" s="215">
        <f t="shared" si="1"/>
        <v>0</v>
      </c>
      <c r="N62" s="215" t="e">
        <f>VLOOKUP(A62,#REF!,13,0)</f>
        <v>#REF!</v>
      </c>
      <c r="O62" s="215" t="e">
        <f t="shared" si="2"/>
        <v>#REF!</v>
      </c>
      <c r="P62" t="s">
        <v>3361</v>
      </c>
      <c r="Q62" s="144"/>
    </row>
    <row r="63" spans="1:17" x14ac:dyDescent="0.25">
      <c r="A63" s="214" t="s">
        <v>2036</v>
      </c>
      <c r="B63" t="s">
        <v>70</v>
      </c>
      <c r="C63" t="s">
        <v>2076</v>
      </c>
      <c r="D63" t="s">
        <v>2077</v>
      </c>
      <c r="E63" t="s">
        <v>3331</v>
      </c>
      <c r="F63" t="s">
        <v>811</v>
      </c>
      <c r="G63" t="s">
        <v>1186</v>
      </c>
      <c r="H63" t="s">
        <v>2080</v>
      </c>
      <c r="I63" t="s">
        <v>2081</v>
      </c>
      <c r="J63">
        <v>1</v>
      </c>
      <c r="K63">
        <v>1</v>
      </c>
      <c r="L63" s="215">
        <f t="shared" si="0"/>
        <v>10326.08695652174</v>
      </c>
      <c r="M63" s="215">
        <f t="shared" si="1"/>
        <v>10400</v>
      </c>
      <c r="N63" s="215" t="e">
        <f>VLOOKUP(A63,#REF!,13,0)</f>
        <v>#REF!</v>
      </c>
      <c r="O63" s="215" t="e">
        <f t="shared" si="2"/>
        <v>#REF!</v>
      </c>
      <c r="P63" t="s">
        <v>3361</v>
      </c>
      <c r="Q63" s="144"/>
    </row>
    <row r="64" spans="1:17" x14ac:dyDescent="0.25">
      <c r="A64" s="214" t="s">
        <v>3436</v>
      </c>
      <c r="B64" t="s">
        <v>77</v>
      </c>
      <c r="C64" t="s">
        <v>2076</v>
      </c>
      <c r="D64" t="s">
        <v>1566</v>
      </c>
      <c r="E64" t="s">
        <v>3331</v>
      </c>
      <c r="F64" t="s">
        <v>2747</v>
      </c>
      <c r="G64" t="s">
        <v>1186</v>
      </c>
      <c r="H64" t="s">
        <v>2080</v>
      </c>
      <c r="I64" t="s">
        <v>3350</v>
      </c>
      <c r="J64">
        <v>1</v>
      </c>
      <c r="K64">
        <v>1</v>
      </c>
      <c r="L64" s="215">
        <f t="shared" si="0"/>
        <v>10326.08695652174</v>
      </c>
      <c r="M64" s="215">
        <f t="shared" si="1"/>
        <v>0</v>
      </c>
      <c r="N64" s="215" t="e">
        <f>VLOOKUP(A64,#REF!,13,0)</f>
        <v>#REF!</v>
      </c>
      <c r="O64" s="215" t="e">
        <f t="shared" si="2"/>
        <v>#REF!</v>
      </c>
      <c r="P64" t="s">
        <v>3361</v>
      </c>
      <c r="Q64" s="144"/>
    </row>
    <row r="65" spans="1:17" x14ac:dyDescent="0.25">
      <c r="A65" s="214" t="s">
        <v>3437</v>
      </c>
      <c r="B65" t="s">
        <v>3438</v>
      </c>
      <c r="C65" t="s">
        <v>2076</v>
      </c>
      <c r="D65" t="s">
        <v>1566</v>
      </c>
      <c r="E65" t="s">
        <v>3379</v>
      </c>
      <c r="F65" t="s">
        <v>3374</v>
      </c>
      <c r="G65" t="s">
        <v>3380</v>
      </c>
      <c r="H65" t="s">
        <v>1566</v>
      </c>
      <c r="I65" t="s">
        <v>1566</v>
      </c>
      <c r="J65">
        <v>1</v>
      </c>
      <c r="K65">
        <v>0</v>
      </c>
      <c r="L65" s="215">
        <f t="shared" si="0"/>
        <v>10326.08695652174</v>
      </c>
      <c r="M65" s="215">
        <f t="shared" si="1"/>
        <v>0</v>
      </c>
      <c r="N65" s="215" t="e">
        <f>VLOOKUP(A65,#REF!,13,0)</f>
        <v>#REF!</v>
      </c>
      <c r="O65" s="215" t="e">
        <f t="shared" si="2"/>
        <v>#REF!</v>
      </c>
      <c r="P65" t="s">
        <v>3361</v>
      </c>
      <c r="Q65" s="144"/>
    </row>
    <row r="66" spans="1:17" x14ac:dyDescent="0.25">
      <c r="A66" s="214" t="s">
        <v>2038</v>
      </c>
      <c r="B66" t="s">
        <v>3439</v>
      </c>
      <c r="C66" t="s">
        <v>2076</v>
      </c>
      <c r="D66" t="s">
        <v>2077</v>
      </c>
      <c r="E66" t="s">
        <v>3331</v>
      </c>
      <c r="F66" t="s">
        <v>3411</v>
      </c>
      <c r="G66" t="s">
        <v>1060</v>
      </c>
      <c r="H66" t="s">
        <v>2080</v>
      </c>
      <c r="I66" t="s">
        <v>3350</v>
      </c>
      <c r="J66">
        <v>1</v>
      </c>
      <c r="K66">
        <v>1</v>
      </c>
      <c r="L66" s="215">
        <f t="shared" si="0"/>
        <v>10326.08695652174</v>
      </c>
      <c r="M66" s="215">
        <f t="shared" si="1"/>
        <v>10400</v>
      </c>
      <c r="N66" s="215" t="e">
        <f>VLOOKUP(A66,#REF!,13,0)</f>
        <v>#REF!</v>
      </c>
      <c r="O66" s="215" t="e">
        <f t="shared" si="2"/>
        <v>#REF!</v>
      </c>
      <c r="P66" t="s">
        <v>3361</v>
      </c>
      <c r="Q66" s="144"/>
    </row>
    <row r="67" spans="1:17" x14ac:dyDescent="0.25">
      <c r="A67" s="214" t="s">
        <v>3440</v>
      </c>
      <c r="B67" t="s">
        <v>3441</v>
      </c>
      <c r="C67" t="s">
        <v>396</v>
      </c>
      <c r="D67" t="s">
        <v>2077</v>
      </c>
      <c r="E67" t="s">
        <v>3331</v>
      </c>
      <c r="F67" t="s">
        <v>3411</v>
      </c>
      <c r="G67" t="s">
        <v>1024</v>
      </c>
      <c r="H67" t="s">
        <v>2080</v>
      </c>
      <c r="I67" t="s">
        <v>3332</v>
      </c>
      <c r="J67">
        <v>1</v>
      </c>
      <c r="K67">
        <v>3</v>
      </c>
      <c r="L67" s="215">
        <f t="shared" si="0"/>
        <v>0</v>
      </c>
      <c r="M67" s="215">
        <f t="shared" si="1"/>
        <v>0</v>
      </c>
      <c r="N67" s="215" t="e">
        <f>VLOOKUP(A67,#REF!,13,0)</f>
        <v>#REF!</v>
      </c>
      <c r="O67" s="215" t="e">
        <f t="shared" si="2"/>
        <v>#REF!</v>
      </c>
      <c r="P67" t="s">
        <v>2707</v>
      </c>
      <c r="Q67" s="144"/>
    </row>
    <row r="68" spans="1:17" x14ac:dyDescent="0.25">
      <c r="A68" s="214" t="s">
        <v>2040</v>
      </c>
      <c r="B68" t="s">
        <v>3442</v>
      </c>
      <c r="C68" t="s">
        <v>2076</v>
      </c>
      <c r="D68" t="s">
        <v>2077</v>
      </c>
      <c r="E68" t="s">
        <v>3331</v>
      </c>
      <c r="F68" t="s">
        <v>3366</v>
      </c>
      <c r="G68" t="s">
        <v>3443</v>
      </c>
      <c r="H68" t="s">
        <v>2080</v>
      </c>
      <c r="I68" t="s">
        <v>2081</v>
      </c>
      <c r="J68">
        <v>1</v>
      </c>
      <c r="K68">
        <v>4</v>
      </c>
      <c r="L68" s="215">
        <f t="shared" si="0"/>
        <v>10326.08695652174</v>
      </c>
      <c r="M68" s="215">
        <f t="shared" si="1"/>
        <v>41400</v>
      </c>
      <c r="N68" s="215" t="e">
        <f>VLOOKUP(A68,#REF!,13,0)</f>
        <v>#REF!</v>
      </c>
      <c r="O68" s="215" t="e">
        <f t="shared" si="2"/>
        <v>#REF!</v>
      </c>
      <c r="P68" t="s">
        <v>2590</v>
      </c>
      <c r="Q68" s="144"/>
    </row>
    <row r="69" spans="1:17" x14ac:dyDescent="0.25">
      <c r="A69" s="214" t="s">
        <v>3444</v>
      </c>
      <c r="B69" t="s">
        <v>3445</v>
      </c>
      <c r="C69" t="s">
        <v>2076</v>
      </c>
      <c r="D69" t="s">
        <v>1566</v>
      </c>
      <c r="E69" t="s">
        <v>3331</v>
      </c>
      <c r="F69" t="s">
        <v>3446</v>
      </c>
      <c r="G69" t="s">
        <v>1254</v>
      </c>
      <c r="H69" t="s">
        <v>1566</v>
      </c>
      <c r="I69" t="s">
        <v>3346</v>
      </c>
      <c r="J69">
        <v>1</v>
      </c>
      <c r="K69">
        <v>1</v>
      </c>
      <c r="L69" s="215">
        <f t="shared" si="0"/>
        <v>10326.08695652174</v>
      </c>
      <c r="M69" s="215">
        <f t="shared" si="1"/>
        <v>0</v>
      </c>
      <c r="N69" s="215" t="e">
        <f>VLOOKUP(A69,#REF!,13,0)</f>
        <v>#REF!</v>
      </c>
      <c r="O69" s="215" t="e">
        <f t="shared" si="2"/>
        <v>#REF!</v>
      </c>
      <c r="P69" t="s">
        <v>3361</v>
      </c>
      <c r="Q69" s="144"/>
    </row>
    <row r="70" spans="1:17" x14ac:dyDescent="0.25">
      <c r="A70" s="214" t="s">
        <v>2042</v>
      </c>
      <c r="B70" t="s">
        <v>3447</v>
      </c>
      <c r="C70" t="s">
        <v>2076</v>
      </c>
      <c r="D70" t="s">
        <v>2077</v>
      </c>
      <c r="E70" t="s">
        <v>3331</v>
      </c>
      <c r="F70" t="s">
        <v>811</v>
      </c>
      <c r="G70" t="s">
        <v>617</v>
      </c>
      <c r="H70" t="s">
        <v>2080</v>
      </c>
      <c r="I70" t="s">
        <v>3350</v>
      </c>
      <c r="J70">
        <v>1</v>
      </c>
      <c r="K70">
        <v>10</v>
      </c>
      <c r="L70" s="215">
        <f t="shared" si="0"/>
        <v>10326.08695652174</v>
      </c>
      <c r="M70" s="215">
        <f t="shared" si="1"/>
        <v>103300</v>
      </c>
      <c r="N70" s="215" t="e">
        <f>VLOOKUP(A70,#REF!,13,0)</f>
        <v>#REF!</v>
      </c>
      <c r="O70" s="215" t="e">
        <f t="shared" si="2"/>
        <v>#REF!</v>
      </c>
      <c r="P70" t="s">
        <v>3361</v>
      </c>
      <c r="Q70" s="144"/>
    </row>
    <row r="71" spans="1:17" x14ac:dyDescent="0.25">
      <c r="A71" s="214" t="s">
        <v>2044</v>
      </c>
      <c r="B71" t="s">
        <v>3448</v>
      </c>
      <c r="C71" t="s">
        <v>2076</v>
      </c>
      <c r="D71" t="s">
        <v>2077</v>
      </c>
      <c r="E71" t="s">
        <v>3331</v>
      </c>
      <c r="F71" t="s">
        <v>2590</v>
      </c>
      <c r="G71" t="s">
        <v>3449</v>
      </c>
      <c r="H71" t="s">
        <v>2080</v>
      </c>
      <c r="I71" t="s">
        <v>3450</v>
      </c>
      <c r="J71">
        <v>1</v>
      </c>
      <c r="K71">
        <v>4</v>
      </c>
      <c r="L71" s="215">
        <f t="shared" si="0"/>
        <v>10326.08695652174</v>
      </c>
      <c r="M71" s="215">
        <f t="shared" si="1"/>
        <v>41400</v>
      </c>
      <c r="N71" s="215" t="e">
        <f>VLOOKUP(A71,#REF!,13,0)</f>
        <v>#REF!</v>
      </c>
      <c r="O71" s="215" t="e">
        <f t="shared" si="2"/>
        <v>#REF!</v>
      </c>
      <c r="P71" t="s">
        <v>3361</v>
      </c>
      <c r="Q71" s="144" t="s">
        <v>3451</v>
      </c>
    </row>
    <row r="72" spans="1:17" x14ac:dyDescent="0.25">
      <c r="A72" s="214" t="s">
        <v>2046</v>
      </c>
      <c r="B72" t="s">
        <v>2075</v>
      </c>
      <c r="C72" t="s">
        <v>2076</v>
      </c>
      <c r="D72" t="s">
        <v>2077</v>
      </c>
      <c r="E72" t="s">
        <v>2078</v>
      </c>
      <c r="F72" t="s">
        <v>811</v>
      </c>
      <c r="G72" t="s">
        <v>2079</v>
      </c>
      <c r="H72" t="s">
        <v>2080</v>
      </c>
      <c r="I72" t="s">
        <v>2081</v>
      </c>
      <c r="J72">
        <v>1</v>
      </c>
      <c r="K72">
        <v>1</v>
      </c>
      <c r="L72" s="215">
        <f t="shared" ref="L72:L86" si="3">IF(C72="non-sap",$C$4,0)</f>
        <v>10326.08695652174</v>
      </c>
      <c r="M72" s="215">
        <f t="shared" ref="M72:M86" si="4">IF(AND(C72="non-sap",D72="Operational"),CEILING((K72*L72),100),0)</f>
        <v>10400</v>
      </c>
      <c r="N72" s="215" t="e">
        <f>VLOOKUP(A72,#REF!,13,0)</f>
        <v>#REF!</v>
      </c>
      <c r="O72" s="215" t="e">
        <f t="shared" ref="O72:O86" si="5">M72-N72</f>
        <v>#REF!</v>
      </c>
      <c r="P72" t="s">
        <v>3361</v>
      </c>
      <c r="Q72" s="144"/>
    </row>
    <row r="73" spans="1:17" x14ac:dyDescent="0.25">
      <c r="A73" s="214" t="s">
        <v>3452</v>
      </c>
      <c r="B73" t="s">
        <v>3453</v>
      </c>
      <c r="C73" t="s">
        <v>2076</v>
      </c>
      <c r="D73" t="s">
        <v>1566</v>
      </c>
      <c r="E73" t="s">
        <v>2078</v>
      </c>
      <c r="F73" t="s">
        <v>2101</v>
      </c>
      <c r="G73" t="s">
        <v>3454</v>
      </c>
      <c r="H73" t="s">
        <v>3350</v>
      </c>
      <c r="I73" t="s">
        <v>3350</v>
      </c>
      <c r="J73">
        <v>1</v>
      </c>
      <c r="K73">
        <v>2</v>
      </c>
      <c r="L73" s="215">
        <f t="shared" si="3"/>
        <v>10326.08695652174</v>
      </c>
      <c r="M73" s="215">
        <f t="shared" si="4"/>
        <v>0</v>
      </c>
      <c r="N73" s="215" t="e">
        <f>VLOOKUP(A73,#REF!,13,0)</f>
        <v>#REF!</v>
      </c>
      <c r="O73" s="215" t="e">
        <f t="shared" si="5"/>
        <v>#REF!</v>
      </c>
      <c r="P73" t="s">
        <v>3361</v>
      </c>
      <c r="Q73" s="144"/>
    </row>
    <row r="74" spans="1:17" x14ac:dyDescent="0.25">
      <c r="A74" s="214" t="s">
        <v>2048</v>
      </c>
      <c r="B74" t="s">
        <v>3455</v>
      </c>
      <c r="C74" t="s">
        <v>2076</v>
      </c>
      <c r="D74" t="s">
        <v>2077</v>
      </c>
      <c r="E74" t="s">
        <v>3331</v>
      </c>
      <c r="F74" t="s">
        <v>3409</v>
      </c>
      <c r="G74" t="s">
        <v>3345</v>
      </c>
      <c r="H74" t="s">
        <v>2080</v>
      </c>
      <c r="I74" t="s">
        <v>3332</v>
      </c>
      <c r="J74">
        <v>1</v>
      </c>
      <c r="K74">
        <v>1</v>
      </c>
      <c r="L74" s="215">
        <f t="shared" si="3"/>
        <v>10326.08695652174</v>
      </c>
      <c r="M74" s="215">
        <f t="shared" si="4"/>
        <v>10400</v>
      </c>
      <c r="N74" s="215" t="e">
        <f>VLOOKUP(A74,#REF!,13,0)</f>
        <v>#REF!</v>
      </c>
      <c r="O74" s="215" t="e">
        <f t="shared" si="5"/>
        <v>#REF!</v>
      </c>
      <c r="P74" t="s">
        <v>3361</v>
      </c>
      <c r="Q74" s="144"/>
    </row>
    <row r="75" spans="1:17" x14ac:dyDescent="0.25">
      <c r="A75" s="214" t="s">
        <v>3043</v>
      </c>
      <c r="B75" t="s">
        <v>3456</v>
      </c>
      <c r="C75" t="s">
        <v>396</v>
      </c>
      <c r="D75" t="s">
        <v>2077</v>
      </c>
      <c r="E75" t="s">
        <v>3331</v>
      </c>
      <c r="F75" t="s">
        <v>3374</v>
      </c>
      <c r="G75" t="s">
        <v>3457</v>
      </c>
      <c r="H75" t="s">
        <v>2080</v>
      </c>
      <c r="I75" t="s">
        <v>3332</v>
      </c>
      <c r="J75">
        <v>1</v>
      </c>
      <c r="K75">
        <v>8</v>
      </c>
      <c r="L75" s="215">
        <f t="shared" si="3"/>
        <v>0</v>
      </c>
      <c r="M75" s="215">
        <f t="shared" si="4"/>
        <v>0</v>
      </c>
      <c r="N75" s="215" t="e">
        <f>VLOOKUP(A75,#REF!,13,0)</f>
        <v>#REF!</v>
      </c>
      <c r="O75" s="215" t="e">
        <f t="shared" si="5"/>
        <v>#REF!</v>
      </c>
      <c r="P75" t="s">
        <v>2707</v>
      </c>
      <c r="Q75" s="144"/>
    </row>
    <row r="76" spans="1:17" x14ac:dyDescent="0.25">
      <c r="A76" s="214" t="s">
        <v>2050</v>
      </c>
      <c r="B76" t="s">
        <v>3458</v>
      </c>
      <c r="C76" t="s">
        <v>2076</v>
      </c>
      <c r="D76" t="s">
        <v>2077</v>
      </c>
      <c r="E76" t="s">
        <v>3331</v>
      </c>
      <c r="F76" t="s">
        <v>3360</v>
      </c>
      <c r="G76" t="s">
        <v>156</v>
      </c>
      <c r="H76" t="s">
        <v>2080</v>
      </c>
      <c r="I76" t="s">
        <v>2081</v>
      </c>
      <c r="J76">
        <v>1</v>
      </c>
      <c r="K76">
        <v>3</v>
      </c>
      <c r="L76" s="215">
        <f t="shared" si="3"/>
        <v>10326.08695652174</v>
      </c>
      <c r="M76" s="215">
        <f t="shared" si="4"/>
        <v>31000</v>
      </c>
      <c r="N76" s="215" t="e">
        <f>VLOOKUP(A76,#REF!,13,0)</f>
        <v>#REF!</v>
      </c>
      <c r="O76" s="215" t="e">
        <f t="shared" si="5"/>
        <v>#REF!</v>
      </c>
      <c r="P76" t="s">
        <v>3361</v>
      </c>
      <c r="Q76" s="144"/>
    </row>
    <row r="77" spans="1:17" x14ac:dyDescent="0.25">
      <c r="A77" s="214" t="s">
        <v>2052</v>
      </c>
      <c r="B77" t="s">
        <v>3459</v>
      </c>
      <c r="C77" t="s">
        <v>2076</v>
      </c>
      <c r="D77" t="s">
        <v>2077</v>
      </c>
      <c r="E77" t="s">
        <v>3379</v>
      </c>
      <c r="F77" t="s">
        <v>3374</v>
      </c>
      <c r="G77" t="s">
        <v>3454</v>
      </c>
      <c r="H77" t="s">
        <v>2080</v>
      </c>
      <c r="I77" t="s">
        <v>2081</v>
      </c>
      <c r="J77">
        <v>1</v>
      </c>
      <c r="K77">
        <v>3</v>
      </c>
      <c r="L77" s="215">
        <f t="shared" si="3"/>
        <v>10326.08695652174</v>
      </c>
      <c r="M77" s="215">
        <f t="shared" si="4"/>
        <v>31000</v>
      </c>
      <c r="N77" s="215" t="e">
        <f>VLOOKUP(A77,#REF!,13,0)</f>
        <v>#REF!</v>
      </c>
      <c r="O77" s="215" t="e">
        <f t="shared" si="5"/>
        <v>#REF!</v>
      </c>
      <c r="P77" t="s">
        <v>3361</v>
      </c>
      <c r="Q77" s="144"/>
    </row>
    <row r="78" spans="1:17" x14ac:dyDescent="0.25">
      <c r="A78" s="214" t="s">
        <v>2611</v>
      </c>
      <c r="B78" t="s">
        <v>3460</v>
      </c>
      <c r="C78" t="s">
        <v>2076</v>
      </c>
      <c r="D78" t="s">
        <v>1566</v>
      </c>
      <c r="E78" t="s">
        <v>3331</v>
      </c>
      <c r="F78" t="s">
        <v>2101</v>
      </c>
      <c r="G78" t="s">
        <v>238</v>
      </c>
      <c r="H78" t="s">
        <v>2080</v>
      </c>
      <c r="I78" t="s">
        <v>3346</v>
      </c>
      <c r="J78">
        <v>1</v>
      </c>
      <c r="K78">
        <v>0</v>
      </c>
      <c r="L78" s="215">
        <f t="shared" si="3"/>
        <v>10326.08695652174</v>
      </c>
      <c r="M78" s="215">
        <f t="shared" si="4"/>
        <v>0</v>
      </c>
      <c r="N78" s="215" t="e">
        <f>VLOOKUP(A78,#REF!,13,0)</f>
        <v>#REF!</v>
      </c>
      <c r="O78" s="215" t="e">
        <f t="shared" si="5"/>
        <v>#REF!</v>
      </c>
      <c r="P78" t="s">
        <v>2590</v>
      </c>
      <c r="Q78" s="144" t="s">
        <v>3461</v>
      </c>
    </row>
    <row r="79" spans="1:17" x14ac:dyDescent="0.25">
      <c r="A79" s="214" t="s">
        <v>2054</v>
      </c>
      <c r="B79" t="s">
        <v>3462</v>
      </c>
      <c r="C79" t="s">
        <v>2076</v>
      </c>
      <c r="D79" t="s">
        <v>2077</v>
      </c>
      <c r="E79" t="s">
        <v>2078</v>
      </c>
      <c r="F79" t="s">
        <v>3374</v>
      </c>
      <c r="G79" t="s">
        <v>3417</v>
      </c>
      <c r="H79" t="s">
        <v>2080</v>
      </c>
      <c r="I79" t="s">
        <v>2081</v>
      </c>
      <c r="J79">
        <v>1</v>
      </c>
      <c r="K79">
        <v>1</v>
      </c>
      <c r="L79" s="215">
        <f t="shared" si="3"/>
        <v>10326.08695652174</v>
      </c>
      <c r="M79" s="215">
        <f t="shared" si="4"/>
        <v>10400</v>
      </c>
      <c r="N79" s="215" t="e">
        <f>VLOOKUP(A79,#REF!,13,0)</f>
        <v>#REF!</v>
      </c>
      <c r="O79" s="215" t="e">
        <f t="shared" si="5"/>
        <v>#REF!</v>
      </c>
      <c r="P79" t="s">
        <v>3361</v>
      </c>
      <c r="Q79" s="144"/>
    </row>
    <row r="80" spans="1:17" x14ac:dyDescent="0.25">
      <c r="A80" s="214" t="s">
        <v>2056</v>
      </c>
      <c r="B80" t="s">
        <v>3463</v>
      </c>
      <c r="C80" t="s">
        <v>2076</v>
      </c>
      <c r="D80" t="s">
        <v>2077</v>
      </c>
      <c r="E80" t="s">
        <v>2078</v>
      </c>
      <c r="F80" t="s">
        <v>3374</v>
      </c>
      <c r="G80" t="s">
        <v>3454</v>
      </c>
      <c r="H80" t="s">
        <v>2080</v>
      </c>
      <c r="I80" t="s">
        <v>2081</v>
      </c>
      <c r="J80">
        <v>1</v>
      </c>
      <c r="K80">
        <v>1</v>
      </c>
      <c r="L80" s="215">
        <f t="shared" si="3"/>
        <v>10326.08695652174</v>
      </c>
      <c r="M80" s="215">
        <f t="shared" si="4"/>
        <v>10400</v>
      </c>
      <c r="N80" s="215" t="e">
        <f>VLOOKUP(A80,#REF!,13,0)</f>
        <v>#REF!</v>
      </c>
      <c r="O80" s="215" t="e">
        <f t="shared" si="5"/>
        <v>#REF!</v>
      </c>
      <c r="P80" t="s">
        <v>3361</v>
      </c>
      <c r="Q80" s="144"/>
    </row>
    <row r="81" spans="1:17" x14ac:dyDescent="0.25">
      <c r="A81" s="214" t="s">
        <v>3464</v>
      </c>
      <c r="B81" t="s">
        <v>3465</v>
      </c>
      <c r="C81" t="s">
        <v>396</v>
      </c>
      <c r="D81" t="s">
        <v>2077</v>
      </c>
      <c r="E81" t="s">
        <v>3331</v>
      </c>
      <c r="F81" t="s">
        <v>3411</v>
      </c>
      <c r="G81" t="s">
        <v>1024</v>
      </c>
      <c r="H81" t="s">
        <v>2080</v>
      </c>
      <c r="I81" t="s">
        <v>3332</v>
      </c>
      <c r="J81">
        <v>1</v>
      </c>
      <c r="K81">
        <v>2</v>
      </c>
      <c r="L81" s="215">
        <f t="shared" si="3"/>
        <v>0</v>
      </c>
      <c r="M81" s="215">
        <f t="shared" si="4"/>
        <v>0</v>
      </c>
      <c r="N81" s="215" t="e">
        <f>VLOOKUP(A81,#REF!,13,0)</f>
        <v>#REF!</v>
      </c>
      <c r="O81" s="215" t="e">
        <f t="shared" si="5"/>
        <v>#REF!</v>
      </c>
      <c r="P81" t="s">
        <v>2707</v>
      </c>
      <c r="Q81" s="144"/>
    </row>
    <row r="82" spans="1:17" x14ac:dyDescent="0.25">
      <c r="A82" s="214" t="s">
        <v>2058</v>
      </c>
      <c r="B82" t="s">
        <v>3466</v>
      </c>
      <c r="C82" t="s">
        <v>2076</v>
      </c>
      <c r="D82" t="s">
        <v>2077</v>
      </c>
      <c r="E82" t="s">
        <v>3331</v>
      </c>
      <c r="F82" t="s">
        <v>3411</v>
      </c>
      <c r="G82" t="s">
        <v>1254</v>
      </c>
      <c r="H82" t="s">
        <v>2080</v>
      </c>
      <c r="I82" t="s">
        <v>2081</v>
      </c>
      <c r="J82">
        <v>1</v>
      </c>
      <c r="K82">
        <v>2</v>
      </c>
      <c r="L82" s="215">
        <f t="shared" si="3"/>
        <v>10326.08695652174</v>
      </c>
      <c r="M82" s="215">
        <f t="shared" si="4"/>
        <v>20700</v>
      </c>
      <c r="N82" s="215" t="e">
        <f>VLOOKUP(A82,#REF!,13,0)</f>
        <v>#REF!</v>
      </c>
      <c r="O82" s="215" t="e">
        <f t="shared" si="5"/>
        <v>#REF!</v>
      </c>
      <c r="P82" t="s">
        <v>3361</v>
      </c>
      <c r="Q82" s="144"/>
    </row>
    <row r="83" spans="1:17" x14ac:dyDescent="0.25">
      <c r="A83" s="214" t="s">
        <v>3467</v>
      </c>
      <c r="B83" t="s">
        <v>3468</v>
      </c>
      <c r="C83" t="s">
        <v>2076</v>
      </c>
      <c r="D83" t="s">
        <v>1566</v>
      </c>
      <c r="E83" t="s">
        <v>3331</v>
      </c>
      <c r="F83" t="s">
        <v>3374</v>
      </c>
      <c r="G83" t="s">
        <v>75</v>
      </c>
      <c r="H83" t="s">
        <v>2080</v>
      </c>
      <c r="I83" t="s">
        <v>3332</v>
      </c>
      <c r="J83">
        <v>1</v>
      </c>
      <c r="K83">
        <v>0</v>
      </c>
      <c r="L83" s="215">
        <f t="shared" si="3"/>
        <v>10326.08695652174</v>
      </c>
      <c r="M83" s="215">
        <f t="shared" si="4"/>
        <v>0</v>
      </c>
      <c r="N83" s="215" t="e">
        <f>VLOOKUP(A83,#REF!,13,0)</f>
        <v>#REF!</v>
      </c>
      <c r="O83" s="215" t="e">
        <f t="shared" si="5"/>
        <v>#REF!</v>
      </c>
      <c r="P83" t="s">
        <v>2707</v>
      </c>
      <c r="Q83" s="144" t="s">
        <v>3469</v>
      </c>
    </row>
    <row r="84" spans="1:17" x14ac:dyDescent="0.25">
      <c r="A84" s="214" t="s">
        <v>2060</v>
      </c>
      <c r="B84" t="s">
        <v>2100</v>
      </c>
      <c r="C84" t="s">
        <v>2076</v>
      </c>
      <c r="D84" t="s">
        <v>2077</v>
      </c>
      <c r="E84" t="s">
        <v>2078</v>
      </c>
      <c r="F84" t="s">
        <v>2101</v>
      </c>
      <c r="G84" t="s">
        <v>2102</v>
      </c>
      <c r="H84" t="s">
        <v>2080</v>
      </c>
      <c r="I84" t="s">
        <v>2081</v>
      </c>
      <c r="J84">
        <v>1</v>
      </c>
      <c r="K84">
        <v>1</v>
      </c>
      <c r="L84" s="215">
        <f t="shared" si="3"/>
        <v>10326.08695652174</v>
      </c>
      <c r="M84" s="215">
        <f t="shared" si="4"/>
        <v>10400</v>
      </c>
      <c r="N84" s="215" t="e">
        <f>VLOOKUP(A84,#REF!,13,0)</f>
        <v>#REF!</v>
      </c>
      <c r="O84" s="215" t="e">
        <f t="shared" si="5"/>
        <v>#REF!</v>
      </c>
      <c r="P84" t="s">
        <v>3361</v>
      </c>
      <c r="Q84" s="144"/>
    </row>
    <row r="85" spans="1:17" x14ac:dyDescent="0.25">
      <c r="A85" s="214" t="s">
        <v>2062</v>
      </c>
      <c r="B85" t="s">
        <v>3470</v>
      </c>
      <c r="C85" t="s">
        <v>2076</v>
      </c>
      <c r="D85" t="s">
        <v>2077</v>
      </c>
      <c r="E85" t="s">
        <v>2078</v>
      </c>
      <c r="F85" t="s">
        <v>811</v>
      </c>
      <c r="G85" t="s">
        <v>3394</v>
      </c>
      <c r="H85" t="s">
        <v>2080</v>
      </c>
      <c r="I85" t="s">
        <v>2081</v>
      </c>
      <c r="J85">
        <v>1</v>
      </c>
      <c r="K85">
        <v>1</v>
      </c>
      <c r="L85" s="215">
        <f t="shared" si="3"/>
        <v>10326.08695652174</v>
      </c>
      <c r="M85" s="215">
        <f t="shared" si="4"/>
        <v>10400</v>
      </c>
      <c r="N85" s="215" t="e">
        <f>VLOOKUP(A85,#REF!,13,0)</f>
        <v>#REF!</v>
      </c>
      <c r="O85" s="215" t="e">
        <f t="shared" si="5"/>
        <v>#REF!</v>
      </c>
      <c r="P85" t="s">
        <v>3361</v>
      </c>
      <c r="Q85" s="144"/>
    </row>
    <row r="86" spans="1:17" x14ac:dyDescent="0.25">
      <c r="A86" s="214" t="s">
        <v>3331</v>
      </c>
      <c r="B86" t="s">
        <v>3471</v>
      </c>
      <c r="C86" t="s">
        <v>3472</v>
      </c>
      <c r="D86" t="s">
        <v>2077</v>
      </c>
      <c r="E86" t="s">
        <v>3473</v>
      </c>
      <c r="F86" t="s">
        <v>3474</v>
      </c>
      <c r="G86" t="s">
        <v>3473</v>
      </c>
      <c r="H86" t="s">
        <v>2080</v>
      </c>
      <c r="I86" t="s">
        <v>2081</v>
      </c>
      <c r="J86">
        <v>1</v>
      </c>
      <c r="K86">
        <v>24</v>
      </c>
      <c r="L86" s="215">
        <f t="shared" si="3"/>
        <v>0</v>
      </c>
      <c r="M86" s="215">
        <f t="shared" si="4"/>
        <v>0</v>
      </c>
      <c r="N86" s="215" t="e">
        <f>VLOOKUP(A86,#REF!,13,0)</f>
        <v>#REF!</v>
      </c>
      <c r="O86" s="215" t="e">
        <f t="shared" si="5"/>
        <v>#REF!</v>
      </c>
      <c r="Q86" s="144"/>
    </row>
    <row r="87" spans="1:17" x14ac:dyDescent="0.25">
      <c r="A87" s="214"/>
      <c r="D87" t="s">
        <v>3473</v>
      </c>
      <c r="E87" t="s">
        <v>3473</v>
      </c>
      <c r="F87" t="s">
        <v>3473</v>
      </c>
      <c r="G87" t="s">
        <v>3473</v>
      </c>
      <c r="H87" t="s">
        <v>3473</v>
      </c>
      <c r="I87" t="s">
        <v>3473</v>
      </c>
      <c r="L87" s="215"/>
      <c r="M87" s="215"/>
      <c r="N87" s="215"/>
      <c r="O87" s="215"/>
      <c r="Q87" s="144"/>
    </row>
    <row r="88" spans="1:17" x14ac:dyDescent="0.25">
      <c r="A88" s="214"/>
      <c r="Q88" s="144"/>
    </row>
    <row r="89" spans="1:17" x14ac:dyDescent="0.25">
      <c r="A89" s="214"/>
      <c r="Q89" s="144"/>
    </row>
    <row r="90" spans="1:17" x14ac:dyDescent="0.25">
      <c r="A90" s="214"/>
      <c r="Q90" s="144"/>
    </row>
    <row r="91" spans="1:17" x14ac:dyDescent="0.25">
      <c r="A91" s="214"/>
      <c r="Q91" s="144"/>
    </row>
    <row r="92" spans="1:17" x14ac:dyDescent="0.25">
      <c r="A92" s="214"/>
      <c r="Q92" s="144"/>
    </row>
    <row r="93" spans="1:17" x14ac:dyDescent="0.25">
      <c r="A93" s="214"/>
      <c r="Q93" s="144"/>
    </row>
    <row r="94" spans="1:17" x14ac:dyDescent="0.25">
      <c r="A94" s="214"/>
      <c r="Q94" s="144"/>
    </row>
    <row r="95" spans="1:17" x14ac:dyDescent="0.25">
      <c r="A95" s="214"/>
      <c r="Q95" s="144"/>
    </row>
    <row r="96" spans="1:17" x14ac:dyDescent="0.25">
      <c r="A96" s="214"/>
      <c r="Q96" s="144"/>
    </row>
    <row r="97" spans="1:18" x14ac:dyDescent="0.25">
      <c r="A97" s="214"/>
      <c r="Q97" s="144"/>
    </row>
    <row r="98" spans="1:18" x14ac:dyDescent="0.25">
      <c r="A98" s="214"/>
      <c r="Q98" s="144"/>
    </row>
    <row r="99" spans="1:18" x14ac:dyDescent="0.25">
      <c r="A99" s="214"/>
      <c r="Q99" s="144"/>
    </row>
    <row r="100" spans="1:18" x14ac:dyDescent="0.25">
      <c r="A100" s="214"/>
      <c r="Q100" s="144"/>
    </row>
    <row r="101" spans="1:18" x14ac:dyDescent="0.25">
      <c r="A101" s="214"/>
      <c r="Q101" s="144"/>
    </row>
    <row r="102" spans="1:18" x14ac:dyDescent="0.25">
      <c r="A102" s="214"/>
      <c r="Q102" s="144"/>
    </row>
    <row r="103" spans="1:18" x14ac:dyDescent="0.25">
      <c r="A103" s="214"/>
      <c r="Q103" s="144"/>
    </row>
    <row r="104" spans="1:18" x14ac:dyDescent="0.25">
      <c r="A104" s="214"/>
      <c r="Q104" s="144"/>
    </row>
    <row r="105" spans="1:18" x14ac:dyDescent="0.25">
      <c r="A105" s="216"/>
      <c r="B105" s="217"/>
      <c r="C105" s="217"/>
      <c r="D105" s="217"/>
      <c r="E105" s="217"/>
      <c r="F105" s="217"/>
      <c r="G105" s="217"/>
      <c r="H105" s="217"/>
      <c r="I105" s="217"/>
      <c r="J105" s="217"/>
      <c r="K105" s="217"/>
      <c r="L105" s="217"/>
      <c r="M105" s="217"/>
      <c r="N105" s="217"/>
      <c r="O105" s="217"/>
      <c r="P105" s="217"/>
      <c r="Q105" s="218"/>
    </row>
    <row r="106" spans="1:18" x14ac:dyDescent="0.25">
      <c r="M106" s="219"/>
      <c r="N106" s="219"/>
      <c r="O106" s="219"/>
    </row>
    <row r="107" spans="1:18" x14ac:dyDescent="0.25">
      <c r="I107" t="s">
        <v>3475</v>
      </c>
      <c r="K107" cm="1">
        <f t="array" ref="K107">SUMPRODUCT(($C$7:$C$105="sap")*($D$7:$D$105="Operational")*($H$7:$H$105="Managed Hosting (Private Cloud)")*($K$7:$K$105))</f>
        <v>68</v>
      </c>
    </row>
    <row r="108" spans="1:18" x14ac:dyDescent="0.25">
      <c r="I108" t="s">
        <v>3476</v>
      </c>
      <c r="K108" s="196" cm="1">
        <f t="array" ref="K108">SUMPRODUCT(($C$7:$C$105="non-sap")*($D$7:$D$105="Operational")*($H$7:$H$105="Managed Hosting (Private Cloud)")*($K$7:$K$105))</f>
        <v>92</v>
      </c>
      <c r="M108" s="219"/>
      <c r="N108" s="219"/>
      <c r="O108" s="219"/>
      <c r="P108" s="219"/>
      <c r="Q108" s="207"/>
      <c r="R108" s="219"/>
    </row>
    <row r="109" spans="1:18" x14ac:dyDescent="0.25">
      <c r="I109" t="s">
        <v>3472</v>
      </c>
      <c r="K109" cm="1">
        <f t="array" ref="K109">SUMPRODUCT(($C$7:$C$105="general")*($D$7:$D$105="Operational")*($H$7:$H$105="Managed Hosting (Private Cloud)")*($K$7:$K$105))</f>
        <v>24</v>
      </c>
      <c r="Q109" s="219"/>
    </row>
    <row r="110" spans="1:18" x14ac:dyDescent="0.25">
      <c r="I110" t="s">
        <v>1566</v>
      </c>
      <c r="K110" cm="1">
        <f t="array" ref="K110">SUMPRODUCT(($D$7:$D$105="Decommissioned")*($K$7:$K$105))</f>
        <v>12</v>
      </c>
    </row>
    <row r="112" spans="1:18" x14ac:dyDescent="0.25">
      <c r="I112" t="s">
        <v>12</v>
      </c>
      <c r="K112">
        <f>SUM(K107:K110)</f>
        <v>196</v>
      </c>
    </row>
    <row r="113" spans="11:11" x14ac:dyDescent="0.25">
      <c r="K113">
        <f>SUM(K7:K86)</f>
        <v>196</v>
      </c>
    </row>
  </sheetData>
  <autoFilter ref="A6:R87" xr:uid="{BD9CDBE6-A839-461A-9D55-E0C436B6D153}"/>
  <pageMargins left="0.7" right="0.7" top="0.75" bottom="0.75" header="0.3" footer="0.3"/>
  <pageSetup paperSize="9" orientation="portrait" horizontalDpi="4294967293" r:id="rId1"/>
  <customProperties>
    <customPr name="_pios_id" r:id="rId2"/>
    <customPr name="EpmWorksheetKeyString_GUID"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9A0-F167-4E23-9C46-98335321BA10}">
  <dimension ref="A1:L2"/>
  <sheetViews>
    <sheetView workbookViewId="0">
      <selection activeCell="H2" sqref="H2"/>
    </sheetView>
  </sheetViews>
  <sheetFormatPr defaultRowHeight="15" x14ac:dyDescent="0.25"/>
  <cols>
    <col min="1" max="1" width="7.7109375" bestFit="1" customWidth="1"/>
    <col min="2" max="2" width="9.28515625" bestFit="1" customWidth="1"/>
    <col min="3" max="3" width="19.7109375" customWidth="1"/>
    <col min="4" max="4" width="12.28515625" bestFit="1" customWidth="1"/>
    <col min="5" max="5" width="11.28515625" bestFit="1" customWidth="1"/>
    <col min="6" max="6" width="10.28515625" bestFit="1" customWidth="1"/>
    <col min="7" max="7" width="23.5703125" bestFit="1" customWidth="1"/>
    <col min="8" max="8" width="17.7109375" bestFit="1" customWidth="1"/>
    <col min="9" max="9" width="25" bestFit="1" customWidth="1"/>
    <col min="10" max="10" width="19.42578125" bestFit="1" customWidth="1"/>
    <col min="11" max="11" width="9.140625" bestFit="1" customWidth="1"/>
    <col min="12" max="12" width="58.7109375" bestFit="1" customWidth="1"/>
  </cols>
  <sheetData>
    <row r="1" spans="1:12" x14ac:dyDescent="0.25">
      <c r="A1" s="9" t="s">
        <v>3207</v>
      </c>
      <c r="B1" s="9" t="s">
        <v>3208</v>
      </c>
      <c r="C1" s="9" t="s">
        <v>3209</v>
      </c>
      <c r="D1" s="9" t="s">
        <v>3210</v>
      </c>
      <c r="E1" s="9" t="s">
        <v>3211</v>
      </c>
      <c r="F1" s="9" t="s">
        <v>3212</v>
      </c>
      <c r="G1" s="9" t="s">
        <v>3213</v>
      </c>
      <c r="H1" s="9" t="s">
        <v>3214</v>
      </c>
      <c r="I1" s="9" t="s">
        <v>3215</v>
      </c>
      <c r="J1" s="9" t="s">
        <v>3216</v>
      </c>
      <c r="K1" s="9" t="s">
        <v>3217</v>
      </c>
      <c r="L1" s="9" t="s">
        <v>3218</v>
      </c>
    </row>
    <row r="2" spans="1:12" x14ac:dyDescent="0.25">
      <c r="A2">
        <v>1</v>
      </c>
      <c r="B2" t="s">
        <v>2556</v>
      </c>
      <c r="C2" t="s">
        <v>3477</v>
      </c>
      <c r="D2" s="222">
        <v>157000</v>
      </c>
      <c r="E2" t="s">
        <v>2549</v>
      </c>
      <c r="F2" t="s">
        <v>3478</v>
      </c>
    </row>
  </sheetData>
  <pageMargins left="0.7" right="0.7" top="0.75" bottom="0.75" header="0.3" footer="0.3"/>
  <pageSetup paperSize="9" orientation="portrait" r:id="rId1"/>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SharedWithUsers xmlns="a48fe159-de10-4fbe-bf63-7d15f6aa84d6">
      <UserInfo>
        <DisplayName>Uppal, Rohan</DisplayName>
        <AccountId>4887</AccountId>
        <AccountType/>
      </UserInfo>
      <UserInfo>
        <DisplayName>Hryb, Tamara</DisplayName>
        <AccountId>4704</AccountId>
        <AccountType/>
      </UserInfo>
      <UserInfo>
        <DisplayName>Rodrigues, Oscar</DisplayName>
        <AccountId>19291</AccountId>
        <AccountType/>
      </UserInfo>
      <UserInfo>
        <DisplayName>Gaysinsky Segura, Sylvia</DisplayName>
        <AccountId>130</AccountId>
        <AccountType/>
      </UserInfo>
    </SharedWithUsers>
    <lcf76f155ced4ddcb4097134ff3c332f xmlns="7fcfb2eb-ffd0-4b03-a124-a152ea7aad25">
      <Terms xmlns="http://schemas.microsoft.com/office/infopath/2007/PartnerControls"/>
    </lcf76f155ced4ddcb4097134ff3c332f>
    <TaxCatchAll xmlns="07e397c1-4dcd-4254-bcef-c5032c2d906f" xsi:nil="true"/>
    <ArchiverLinkFileType xmlns="7fcfb2eb-ffd0-4b03-a124-a152ea7aad25" xsi:nil="true"/>
  </documentManagement>
</p:properties>
</file>

<file path=customXml/item2.xml><?xml version="1.0" encoding="utf-8"?>
<?mso-contentType ?>
<SharedContentType xmlns="Microsoft.SharePoint.Taxonomy.ContentTypeSync" SourceId="00b5f185-b19a-4336-a4ec-f1b99802f1ef" ContentTypeId="0x01" PreviousValue="false"/>
</file>

<file path=customXml/item3.xml><?xml version="1.0" encoding="utf-8"?>
<Application xmlns="http://www.sap.com/cof/excel/application">
  <Version>2</Version>
  <Revision>2.7.700.90338</Revision>
</Application>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0A60ACD97A97374B8788FEB381C2CCBE" ma:contentTypeVersion="19" ma:contentTypeDescription="Create a new document." ma:contentTypeScope="" ma:versionID="3a3301a9d78b407393dfe178fb9e43d8">
  <xsd:schema xmlns:xsd="http://www.w3.org/2001/XMLSchema" xmlns:xs="http://www.w3.org/2001/XMLSchema" xmlns:p="http://schemas.microsoft.com/office/2006/metadata/properties" xmlns:ns1="http://schemas.microsoft.com/sharepoint/v3" xmlns:ns2="7fcfb2eb-ffd0-4b03-a124-a152ea7aad25" xmlns:ns3="a48fe159-de10-4fbe-bf63-7d15f6aa84d6" xmlns:ns4="07e397c1-4dcd-4254-bcef-c5032c2d906f" targetNamespace="http://schemas.microsoft.com/office/2006/metadata/properties" ma:root="true" ma:fieldsID="7445efa714c8d0325ee3fe4d2d2fe7ea" ns1:_="" ns2:_="" ns3:_="" ns4:_="">
    <xsd:import namespace="http://schemas.microsoft.com/sharepoint/v3"/>
    <xsd:import namespace="7fcfb2eb-ffd0-4b03-a124-a152ea7aad25"/>
    <xsd:import namespace="a48fe159-de10-4fbe-bf63-7d15f6aa84d6"/>
    <xsd:import namespace="07e397c1-4dcd-4254-bcef-c5032c2d906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1:_ip_UnifiedCompliancePolicyProperties" minOccurs="0"/>
                <xsd:element ref="ns1:_ip_UnifiedCompliancePolicyUIAction" minOccurs="0"/>
                <xsd:element ref="ns2:MediaServiceAutoTags" minOccurs="0"/>
                <xsd:element ref="ns2:MediaServiceOCR" minOccurs="0"/>
                <xsd:element ref="ns2:MediaServiceAutoKeyPoints" minOccurs="0"/>
                <xsd:element ref="ns2:MediaServiceKeyPoints" minOccurs="0"/>
                <xsd:element ref="ns2:MediaServiceGenerationTime" minOccurs="0"/>
                <xsd:element ref="ns2:MediaServiceEventHashCode" minOccurs="0"/>
                <xsd:element ref="ns2:MediaServiceDateTaken" minOccurs="0"/>
                <xsd:element ref="ns2:MediaLengthInSeconds" minOccurs="0"/>
                <xsd:element ref="ns2:MediaServiceObjectDetectorVersions" minOccurs="0"/>
                <xsd:element ref="ns2:lcf76f155ced4ddcb4097134ff3c332f" minOccurs="0"/>
                <xsd:element ref="ns4:TaxCatchAll" minOccurs="0"/>
                <xsd:element ref="ns2:ArchiverLinkFileTyp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Unified Compliance Policy Properties" ma:hidden="true" ma:internalName="_ip_UnifiedCompliancePolicyProperties">
      <xsd:simpleType>
        <xsd:restriction base="dms:Note"/>
      </xsd:simpleType>
    </xsd:element>
    <xsd:element name="_ip_UnifiedCompliancePolicyUIAction" ma:index="13"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fcfb2eb-ffd0-4b03-a124-a152ea7aad25"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DateTaken" ma:index="20" nillable="true" ma:displayName="MediaServiceDateTaken" ma:hidden="true" ma:internalName="MediaServiceDateTake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lcf76f155ced4ddcb4097134ff3c332f" ma:index="24" nillable="true" ma:taxonomy="true" ma:internalName="lcf76f155ced4ddcb4097134ff3c332f" ma:taxonomyFieldName="MediaServiceImageTags" ma:displayName="Image Tags" ma:readOnly="false" ma:fieldId="{5cf76f15-5ced-4ddc-b409-7134ff3c332f}" ma:taxonomyMulti="true" ma:sspId="00b5f185-b19a-4336-a4ec-f1b99802f1ef" ma:termSetId="09814cd3-568e-fe90-9814-8d621ff8fb84" ma:anchorId="fba54fb3-c3e1-fe81-a776-ca4b69148c4d" ma:open="true" ma:isKeyword="false">
      <xsd:complexType>
        <xsd:sequence>
          <xsd:element ref="pc:Terms" minOccurs="0" maxOccurs="1"/>
        </xsd:sequence>
      </xsd:complexType>
    </xsd:element>
    <xsd:element name="ArchiverLinkFileType" ma:index="26" nillable="true" ma:displayName="ArchiverLinkFileType" ma:hidden="true" ma:internalName="ArchiverLinkFileTyp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48fe159-de10-4fbe-bf63-7d15f6aa84d6"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7e397c1-4dcd-4254-bcef-c5032c2d906f" elementFormDefault="qualified">
    <xsd:import namespace="http://schemas.microsoft.com/office/2006/documentManagement/types"/>
    <xsd:import namespace="http://schemas.microsoft.com/office/infopath/2007/PartnerControls"/>
    <xsd:element name="TaxCatchAll" ma:index="25" nillable="true" ma:displayName="Taxonomy Catch All Column" ma:hidden="true" ma:list="{02ea1edc-b326-435f-94be-b576db85a731}" ma:internalName="TaxCatchAll" ma:showField="CatchAllData" ma:web="d6f5ce16-57e2-4aab-8a0b-fbed20d92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92EE77-7D88-443A-BE73-9ED1294C9EA9}">
  <ds:schemaRefs>
    <ds:schemaRef ds:uri="07e397c1-4dcd-4254-bcef-c5032c2d906f"/>
    <ds:schemaRef ds:uri="http://purl.org/dc/elements/1.1/"/>
    <ds:schemaRef ds:uri="http://schemas.microsoft.com/office/2006/metadata/properties"/>
    <ds:schemaRef ds:uri="7fcfb2eb-ffd0-4b03-a124-a152ea7aad25"/>
    <ds:schemaRef ds:uri="http://schemas.microsoft.com/sharepoint/v3"/>
    <ds:schemaRef ds:uri="http://schemas.openxmlformats.org/package/2006/metadata/core-properties"/>
    <ds:schemaRef ds:uri="http://purl.org/dc/terms/"/>
    <ds:schemaRef ds:uri="http://schemas.microsoft.com/office/infopath/2007/PartnerControls"/>
    <ds:schemaRef ds:uri="http://schemas.microsoft.com/office/2006/documentManagement/types"/>
    <ds:schemaRef ds:uri="a48fe159-de10-4fbe-bf63-7d15f6aa84d6"/>
    <ds:schemaRef ds:uri="http://www.w3.org/XML/1998/namespace"/>
    <ds:schemaRef ds:uri="http://purl.org/dc/dcmitype/"/>
  </ds:schemaRefs>
</ds:datastoreItem>
</file>

<file path=customXml/itemProps2.xml><?xml version="1.0" encoding="utf-8"?>
<ds:datastoreItem xmlns:ds="http://schemas.openxmlformats.org/officeDocument/2006/customXml" ds:itemID="{52DE26F6-82F1-4D2B-8EED-18D475D9523E}">
  <ds:schemaRefs>
    <ds:schemaRef ds:uri="Microsoft.SharePoint.Taxonomy.ContentTypeSync"/>
  </ds:schemaRefs>
</ds:datastoreItem>
</file>

<file path=customXml/itemProps3.xml><?xml version="1.0" encoding="utf-8"?>
<ds:datastoreItem xmlns:ds="http://schemas.openxmlformats.org/officeDocument/2006/customXml" ds:itemID="{71B1E089-C5D0-4CD0-8C4C-83AE0A96078A}">
  <ds:schemaRefs>
    <ds:schemaRef ds:uri="http://www.sap.com/cof/excel/application"/>
  </ds:schemaRefs>
</ds:datastoreItem>
</file>

<file path=customXml/itemProps4.xml><?xml version="1.0" encoding="utf-8"?>
<ds:datastoreItem xmlns:ds="http://schemas.openxmlformats.org/officeDocument/2006/customXml" ds:itemID="{44AD7590-A757-4FCB-9785-ED7F564BD163}">
  <ds:schemaRefs>
    <ds:schemaRef ds:uri="http://schemas.microsoft.com/sharepoint/v3/contenttype/forms"/>
  </ds:schemaRefs>
</ds:datastoreItem>
</file>

<file path=customXml/itemProps5.xml><?xml version="1.0" encoding="utf-8"?>
<ds:datastoreItem xmlns:ds="http://schemas.openxmlformats.org/officeDocument/2006/customXml" ds:itemID="{F61D2154-520B-4C9F-95E6-C32B72AB19F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fcfb2eb-ffd0-4b03-a124-a152ea7aad25"/>
    <ds:schemaRef ds:uri="a48fe159-de10-4fbe-bf63-7d15f6aa84d6"/>
    <ds:schemaRef ds:uri="07e397c1-4dcd-4254-bcef-c5032c2d90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vt:i4>
      </vt:variant>
    </vt:vector>
  </HeadingPairs>
  <TitlesOfParts>
    <vt:vector size="19" baseType="lpstr">
      <vt:lpstr>Summary</vt:lpstr>
      <vt:lpstr>LE</vt:lpstr>
      <vt:lpstr>BW Summary</vt:lpstr>
      <vt:lpstr>Change log</vt:lpstr>
      <vt:lpstr>AOP24</vt:lpstr>
      <vt:lpstr>ListBoxValues</vt:lpstr>
      <vt:lpstr>BIdetails</vt:lpstr>
      <vt:lpstr>POs not in AOP</vt:lpstr>
      <vt:lpstr>AOP 2024 Summary</vt:lpstr>
      <vt:lpstr>Cross charge Agreements 2023</vt:lpstr>
      <vt:lpstr>Documentation</vt:lpstr>
      <vt:lpstr>New File Creation</vt:lpstr>
      <vt:lpstr>Improvements 2023</vt:lpstr>
      <vt:lpstr>Infra Cost Non Sap 2024</vt:lpstr>
      <vt:lpstr>Sheet1</vt:lpstr>
      <vt:lpstr>'AOP 2024 Summary'!Extract</vt:lpstr>
      <vt:lpstr>ListBoxValues!Extract</vt:lpstr>
      <vt:lpstr>SAPCrosstab2</vt:lpstr>
      <vt:lpstr>SAPCrosstab3</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Wormgoor, Mark</dc:creator>
  <cp:keywords/>
  <dc:description/>
  <cp:lastModifiedBy>Cavalari Consolini, Diego</cp:lastModifiedBy>
  <cp:revision/>
  <dcterms:created xsi:type="dcterms:W3CDTF">2017-11-24T10:50:34Z</dcterms:created>
  <dcterms:modified xsi:type="dcterms:W3CDTF">2024-11-07T12:24:56Z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0x0101000A60ACD97A97374B8788FEB381C2CCBE</vt:lpwstr>
  </property>
  <property fmtid="{D5CDD505-2E9C-101B-9397-08002B2CF9AE}" pid="3" name="MSIP_Label_6fd6a3f1-13ee-4193-aae5-4c5d46d7a876_Enabled">
    <vt:lpwstr>True</vt:lpwstr>
  </property>
  <property fmtid="{D5CDD505-2E9C-101B-9397-08002B2CF9AE}" pid="4" name="MSIP_Label_6fd6a3f1-13ee-4193-aae5-4c5d46d7a876_SiteId">
    <vt:lpwstr>22d30701-ec5e-4bdc-ba4f-b9234053b0a9</vt:lpwstr>
  </property>
  <property fmtid="{D5CDD505-2E9C-101B-9397-08002B2CF9AE}" pid="5" name="MSIP_Label_6fd6a3f1-13ee-4193-aae5-4c5d46d7a876_Ref">
    <vt:lpwstr>https://api.informationprotection.azure.com/api/22d30701-ec5e-4bdc-ba4f-b9234053b0a9</vt:lpwstr>
  </property>
  <property fmtid="{D5CDD505-2E9C-101B-9397-08002B2CF9AE}" pid="6" name="MSIP_Label_6fd6a3f1-13ee-4193-aae5-4c5d46d7a876_Owner">
    <vt:lpwstr>mark.wormgoor@jdecoffee.com</vt:lpwstr>
  </property>
  <property fmtid="{D5CDD505-2E9C-101B-9397-08002B2CF9AE}" pid="7" name="MSIP_Label_6fd6a3f1-13ee-4193-aae5-4c5d46d7a876_SetDate">
    <vt:lpwstr>2019-02-04T09:53:20.4403451+01:00</vt:lpwstr>
  </property>
  <property fmtid="{D5CDD505-2E9C-101B-9397-08002B2CF9AE}" pid="8" name="MSIP_Label_6fd6a3f1-13ee-4193-aae5-4c5d46d7a876_Name">
    <vt:lpwstr>JDE Public</vt:lpwstr>
  </property>
  <property fmtid="{D5CDD505-2E9C-101B-9397-08002B2CF9AE}" pid="9" name="MSIP_Label_6fd6a3f1-13ee-4193-aae5-4c5d46d7a876_Application">
    <vt:lpwstr>Microsoft Azure Information Protection</vt:lpwstr>
  </property>
  <property fmtid="{D5CDD505-2E9C-101B-9397-08002B2CF9AE}" pid="10" name="MSIP_Label_6fd6a3f1-13ee-4193-aae5-4c5d46d7a876_Extended_MSFT_Method">
    <vt:lpwstr>Automatic</vt:lpwstr>
  </property>
  <property fmtid="{D5CDD505-2E9C-101B-9397-08002B2CF9AE}" pid="11" name="Sensitivity">
    <vt:lpwstr>JDE Public</vt:lpwstr>
  </property>
  <property fmtid="{D5CDD505-2E9C-101B-9397-08002B2CF9AE}" pid="12" name="AuthorIds_UIVersion_70656">
    <vt:lpwstr>2252</vt:lpwstr>
  </property>
  <property fmtid="{D5CDD505-2E9C-101B-9397-08002B2CF9AE}" pid="13" name="AuthorIds_UIVersion_88064">
    <vt:lpwstr>2252</vt:lpwstr>
  </property>
  <property fmtid="{D5CDD505-2E9C-101B-9397-08002B2CF9AE}" pid="14" name="CustomUiType">
    <vt:lpwstr>2</vt:lpwstr>
  </property>
  <property fmtid="{D5CDD505-2E9C-101B-9397-08002B2CF9AE}" pid="15" name="MediaServiceImageTags">
    <vt:lpwstr/>
  </property>
</Properties>
</file>