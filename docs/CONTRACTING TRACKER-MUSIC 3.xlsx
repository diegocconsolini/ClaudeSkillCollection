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66925"/>
  <mc:AlternateContent xmlns:mc="http://schemas.openxmlformats.org/markup-compatibility/2006">
    <mc:Choice Requires="x15">
      <x15ac:absPath xmlns:x15ac="http://schemas.microsoft.com/office/spreadsheetml/2010/11/ac" url="https://coffeeandtea.sharepoint.com/sites/Music3/Shared Documents/4. Sourcing &amp; Contracting/"/>
    </mc:Choice>
  </mc:AlternateContent>
  <xr:revisionPtr revIDLastSave="2628" documentId="8_{7451CA2F-0691-45AF-90C3-8ED7BA355940}" xr6:coauthVersionLast="47" xr6:coauthVersionMax="47" xr10:uidLastSave="{AEA6380B-8258-4CBC-AD12-47E8DD192410}"/>
  <bookViews>
    <workbookView xWindow="-110" yWindow="-110" windowWidth="19420" windowHeight="10420" tabRatio="579" activeTab="1" xr2:uid="{00000000-000D-0000-FFFF-FFFF00000000}"/>
  </bookViews>
  <sheets>
    <sheet name="Roles and Responsabilities" sheetId="7" r:id="rId1"/>
    <sheet name="Dashboard Contracting Vendors" sheetId="6" r:id="rId2"/>
    <sheet name="Sheet2" sheetId="12" r:id="rId3"/>
    <sheet name="Central Build Planning" sheetId="11" state="hidden" r:id="rId4"/>
    <sheet name="List" sheetId="8" r:id="rId5"/>
    <sheet name="Sheet1" sheetId="10" r:id="rId6"/>
  </sheets>
  <definedNames>
    <definedName name="_xlnm._FilterDatabase" localSheetId="1" hidden="1">'Dashboard Contracting Vendors'!$B$5:$Z$32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1" l="1"/>
  <c r="N3" i="11" s="1"/>
  <c r="M3" i="11" s="1"/>
  <c r="L3" i="11" s="1"/>
  <c r="K3" i="11" s="1"/>
  <c r="J3" i="11" s="1"/>
  <c r="I3" i="11" s="1"/>
  <c r="H3" i="11" s="1"/>
  <c r="G3" i="11" s="1"/>
  <c r="Q3" i="11"/>
  <c r="R3" i="11" s="1"/>
  <c r="S3" i="11" s="1"/>
  <c r="T3" i="11" s="1"/>
  <c r="U3" i="11" s="1"/>
  <c r="V3" i="11" s="1"/>
  <c r="W3" i="11" s="1"/>
  <c r="X3" i="11" s="1"/>
  <c r="Y3" i="11" s="1"/>
  <c r="Z3" i="11" s="1"/>
  <c r="AA3" i="11" s="1"/>
  <c r="AB3" i="11" s="1"/>
  <c r="AC3" i="11" s="1"/>
  <c r="AD3" i="11" s="1"/>
  <c r="AE3" i="11" s="1"/>
  <c r="AF3" i="11" s="1"/>
  <c r="AG3" i="11" s="1"/>
  <c r="AH3" i="11" s="1"/>
  <c r="AI3" i="11" s="1"/>
  <c r="AJ3" i="11" s="1"/>
  <c r="AK3" i="11" s="1"/>
  <c r="AL3" i="11" s="1"/>
  <c r="AM3" i="11" s="1"/>
  <c r="AN3" i="11" s="1"/>
  <c r="AO3" i="11" s="1"/>
  <c r="AP3" i="11" s="1"/>
  <c r="AQ3" i="11" s="1"/>
  <c r="AR3" i="11" s="1"/>
  <c r="AS3" i="11" s="1"/>
  <c r="AT3" i="11" s="1"/>
  <c r="AU3" i="11" s="1"/>
  <c r="AV3" i="11" s="1"/>
  <c r="AW3" i="11" s="1"/>
  <c r="AX3" i="11" s="1"/>
  <c r="AY3" i="11" s="1"/>
  <c r="AZ3" i="11" s="1"/>
  <c r="BA3" i="11" s="1"/>
  <c r="BB3" i="11" s="1"/>
  <c r="BC3" i="11" s="1"/>
  <c r="BD3" i="11" s="1"/>
  <c r="BE3" i="11" s="1"/>
  <c r="BF3" i="11" s="1"/>
  <c r="BG3" i="11" s="1"/>
  <c r="BH3" i="11" s="1"/>
  <c r="BI3" i="11" s="1"/>
</calcChain>
</file>

<file path=xl/sharedStrings.xml><?xml version="1.0" encoding="utf-8"?>
<sst xmlns="http://schemas.openxmlformats.org/spreadsheetml/2006/main" count="494" uniqueCount="307">
  <si>
    <t> </t>
  </si>
  <si>
    <t>#​</t>
  </si>
  <si>
    <t>Role​</t>
  </si>
  <si>
    <t>Name​</t>
  </si>
  <si>
    <t>Organization ​</t>
  </si>
  <si>
    <t>Responsibility ​</t>
  </si>
  <si>
    <r>
      <t>1 </t>
    </r>
    <r>
      <rPr>
        <b/>
        <sz val="12"/>
        <color rgb="FFFCF9F4"/>
        <rFont val="Calibri"/>
        <family val="2"/>
      </rPr>
      <t>​</t>
    </r>
  </si>
  <si>
    <r>
      <t>Supplier </t>
    </r>
    <r>
      <rPr>
        <sz val="12"/>
        <color rgb="FF3F3A31"/>
        <rFont val="Arial"/>
        <family val="2"/>
      </rPr>
      <t>​</t>
    </r>
  </si>
  <si>
    <r>
      <t>Accenture (</t>
    </r>
    <r>
      <rPr>
        <sz val="12"/>
        <color rgb="FF3F3A31"/>
        <rFont val="Arial"/>
        <family val="2"/>
      </rPr>
      <t>Jauk Bierema)</t>
    </r>
    <r>
      <rPr>
        <sz val="12"/>
        <color rgb="FF3F3A31"/>
        <rFont val="Arial"/>
        <family val="2"/>
      </rPr>
      <t> ​</t>
    </r>
  </si>
  <si>
    <t>ACN / OB / OTHER​</t>
  </si>
  <si>
    <t>Create and send draft, adjust, countersign​</t>
  </si>
  <si>
    <r>
      <t>Orange Business (</t>
    </r>
    <r>
      <rPr>
        <sz val="12"/>
        <color rgb="FF3F3A31"/>
        <rFont val="Arial"/>
        <family val="2"/>
      </rPr>
      <t>Joanna Morawiec)</t>
    </r>
    <r>
      <rPr>
        <sz val="12"/>
        <color rgb="FF3F3A31"/>
        <rFont val="Arial"/>
        <family val="2"/>
      </rPr>
      <t>​</t>
    </r>
  </si>
  <si>
    <r>
      <t>Other Suppliers (</t>
    </r>
    <r>
      <rPr>
        <sz val="12"/>
        <color rgb="FF3F3A31"/>
        <rFont val="Arial"/>
        <family val="2"/>
      </rPr>
      <t>Sales Representative)</t>
    </r>
    <r>
      <rPr>
        <sz val="12"/>
        <color rgb="FF3F3A31"/>
        <rFont val="Arial"/>
        <family val="2"/>
      </rPr>
      <t>​</t>
    </r>
  </si>
  <si>
    <r>
      <t>2</t>
    </r>
    <r>
      <rPr>
        <b/>
        <sz val="12"/>
        <color rgb="FFFCF9F4"/>
        <rFont val="Calibri"/>
        <family val="2"/>
      </rPr>
      <t>​</t>
    </r>
  </si>
  <si>
    <r>
      <t>Lead Architect </t>
    </r>
    <r>
      <rPr>
        <sz val="12"/>
        <color rgb="FF3F3A31"/>
        <rFont val="Arial"/>
        <family val="2"/>
      </rPr>
      <t>​</t>
    </r>
  </si>
  <si>
    <t>Efrayim Metin ​</t>
  </si>
  <si>
    <t>MUSIC3 Core Team​</t>
  </si>
  <si>
    <t>Review Network Infra related content​</t>
  </si>
  <si>
    <r>
      <t>3. </t>
    </r>
    <r>
      <rPr>
        <b/>
        <sz val="12"/>
        <color rgb="FFFCF9F4"/>
        <rFont val="Calibri"/>
        <family val="2"/>
      </rPr>
      <t>​</t>
    </r>
  </si>
  <si>
    <r>
      <t>Project Manager* </t>
    </r>
    <r>
      <rPr>
        <sz val="12"/>
        <color rgb="FF3F3A31"/>
        <rFont val="Arial"/>
        <family val="2"/>
      </rPr>
      <t>​</t>
    </r>
  </si>
  <si>
    <t>Raymond Gerritsen (Accenture, GSS, until roll-out)​</t>
  </si>
  <si>
    <t>Review agreement (non-Network Infra related content)​</t>
  </si>
  <si>
    <r>
      <t>William Jan de Koning (OB, </t>
    </r>
    <r>
      <rPr>
        <sz val="12"/>
        <color rgb="FF3F3A31"/>
        <rFont val="Arial"/>
        <family val="2"/>
      </rPr>
      <t>until roll-out</t>
    </r>
    <r>
      <rPr>
        <sz val="12"/>
        <color rgb="FF3F3A31"/>
        <rFont val="Arial"/>
        <family val="2"/>
      </rPr>
      <t>)​</t>
    </r>
  </si>
  <si>
    <t>Joris Vermeer (various) ​</t>
  </si>
  <si>
    <t>Jan Oomen (Infinity, various)​</t>
  </si>
  <si>
    <r>
      <t>. </t>
    </r>
    <r>
      <rPr>
        <b/>
        <sz val="12"/>
        <color rgb="FFFCF9F4"/>
        <rFont val="Calibri"/>
        <family val="2"/>
      </rPr>
      <t>​</t>
    </r>
  </si>
  <si>
    <r>
      <t>PMO</t>
    </r>
    <r>
      <rPr>
        <sz val="12"/>
        <color rgb="FF3F3A31"/>
        <rFont val="Arial"/>
        <family val="2"/>
      </rPr>
      <t>​</t>
    </r>
  </si>
  <si>
    <t>Freya Swart​</t>
  </si>
  <si>
    <t>Review, Track status, Process &amp; Storage ​</t>
  </si>
  <si>
    <r>
      <t>5. </t>
    </r>
    <r>
      <rPr>
        <b/>
        <sz val="12"/>
        <color rgb="FFFCF9F4"/>
        <rFont val="Calibri"/>
        <family val="2"/>
      </rPr>
      <t>​</t>
    </r>
  </si>
  <si>
    <r>
      <t>MUSIC3 Procurement</t>
    </r>
    <r>
      <rPr>
        <sz val="12"/>
        <color rgb="FF3F3A31"/>
        <rFont val="Arial"/>
        <family val="2"/>
      </rPr>
      <t>​</t>
    </r>
  </si>
  <si>
    <t>Raymond van Amerom​ (backup Quang Tran)</t>
  </si>
  <si>
    <t>Review Commercial T&amp;C’s​</t>
  </si>
  <si>
    <r>
      <t>6. </t>
    </r>
    <r>
      <rPr>
        <b/>
        <sz val="12"/>
        <color rgb="FFFCF9F4"/>
        <rFont val="Calibri"/>
        <family val="2"/>
      </rPr>
      <t>​</t>
    </r>
  </si>
  <si>
    <r>
      <t>Program Manager</t>
    </r>
    <r>
      <rPr>
        <sz val="12"/>
        <color rgb="FF3F3A31"/>
        <rFont val="Arial"/>
        <family val="2"/>
      </rPr>
      <t>​</t>
    </r>
  </si>
  <si>
    <t>William Mol​</t>
  </si>
  <si>
    <t>Final review, send when ready for approval​</t>
  </si>
  <si>
    <r>
      <t>7. </t>
    </r>
    <r>
      <rPr>
        <b/>
        <sz val="12"/>
        <color rgb="FFFCF9F4"/>
        <rFont val="Calibri"/>
        <family val="2"/>
      </rPr>
      <t>​</t>
    </r>
  </si>
  <si>
    <r>
      <t>Global Tech. Director Infra &amp; Platforms</t>
    </r>
    <r>
      <rPr>
        <sz val="12"/>
        <color rgb="FF3F3A31"/>
        <rFont val="Arial"/>
        <family val="2"/>
      </rPr>
      <t>​</t>
    </r>
  </si>
  <si>
    <t>Carolyn Tapang​</t>
  </si>
  <si>
    <t>JDE​</t>
  </si>
  <si>
    <t>Approval by email  ​</t>
  </si>
  <si>
    <r>
      <t>8. </t>
    </r>
    <r>
      <rPr>
        <b/>
        <sz val="12"/>
        <color rgb="FFFCF9F4"/>
        <rFont val="Calibri"/>
        <family val="2"/>
      </rPr>
      <t>​</t>
    </r>
  </si>
  <si>
    <r>
      <t>Vendor Management </t>
    </r>
    <r>
      <rPr>
        <sz val="12"/>
        <color rgb="FF3F3A31"/>
        <rFont val="Arial"/>
        <family val="2"/>
      </rPr>
      <t>​</t>
    </r>
  </si>
  <si>
    <t>Stefan Dijs / Mathilde Post​</t>
  </si>
  <si>
    <t>Check requirements before signing, send for sign-off, share signed OF with supplier, store countersigned version in Ariba ​</t>
  </si>
  <si>
    <r>
      <t>9 </t>
    </r>
    <r>
      <rPr>
        <b/>
        <sz val="12"/>
        <color rgb="FFFCF9F4"/>
        <rFont val="Calibri"/>
        <family val="2"/>
      </rPr>
      <t>​</t>
    </r>
  </si>
  <si>
    <r>
      <t>CIO</t>
    </r>
    <r>
      <rPr>
        <sz val="12"/>
        <color rgb="FF3F3A31"/>
        <rFont val="Arial"/>
        <family val="2"/>
      </rPr>
      <t>​</t>
    </r>
  </si>
  <si>
    <t>Alexander Min ​</t>
  </si>
  <si>
    <t>Sign-off in DocuSign ​</t>
  </si>
  <si>
    <t>MULTI VENDOR DASHBOARD - STATUS CONTRACTING MUSIC3 (TRACKER UNTIL FINAL REVIEW)</t>
  </si>
  <si>
    <t>REVIEWERS (Date when approved)</t>
  </si>
  <si>
    <t>Order / quote ID</t>
  </si>
  <si>
    <t>Contract sub ID</t>
  </si>
  <si>
    <t>Vendor name</t>
  </si>
  <si>
    <t>Contracting Owner</t>
  </si>
  <si>
    <t>PM lead</t>
  </si>
  <si>
    <t>Phase/
project</t>
  </si>
  <si>
    <t>SoW/Order description</t>
  </si>
  <si>
    <t>Comments</t>
  </si>
  <si>
    <t>Prio</t>
  </si>
  <si>
    <t>SoW status</t>
  </si>
  <si>
    <t>Efrayim</t>
  </si>
  <si>
    <t>Raymond G</t>
  </si>
  <si>
    <t>Willem Jan de Koning</t>
  </si>
  <si>
    <t>Raymond van A</t>
  </si>
  <si>
    <t>Joris Vermeer (run only)</t>
  </si>
  <si>
    <t>Jan Oomen</t>
  </si>
  <si>
    <t>Regien Schagen</t>
  </si>
  <si>
    <t>William Mol</t>
  </si>
  <si>
    <t>PM</t>
  </si>
  <si>
    <t>PM Contr.</t>
  </si>
  <si>
    <t>JDE SME's - contracting</t>
  </si>
  <si>
    <t>001</t>
  </si>
  <si>
    <t>Accenture</t>
  </si>
  <si>
    <t>Ray</t>
  </si>
  <si>
    <t>Regien</t>
  </si>
  <si>
    <t xml:space="preserve">Design </t>
  </si>
  <si>
    <t>Business Transformation resources</t>
  </si>
  <si>
    <t>Helen &amp; Ruben</t>
  </si>
  <si>
    <t>5. Signed</t>
  </si>
  <si>
    <t>Joris</t>
  </si>
  <si>
    <t>002</t>
  </si>
  <si>
    <t>Raymond G.</t>
  </si>
  <si>
    <t>OT Central DMZ - basis Azure infrastructure Accenture</t>
  </si>
  <si>
    <t>Azure Tenant, Azure Backup, DNS, NTP, SMTP, Azure AD, Reporting, Management, Monitoring + review Local OT ISO Zone (Azure HCI Stack), + review Decentral Access Mgt - local AD</t>
  </si>
  <si>
    <t>Efrayim, Farhan, Bogdan, Marcel, Peter</t>
  </si>
  <si>
    <t>003</t>
  </si>
  <si>
    <t>Secure Managed File Transfer</t>
  </si>
  <si>
    <t>Selected tool is VShell</t>
  </si>
  <si>
    <t>not in scope MUSIC3 contracting - only TOM</t>
  </si>
  <si>
    <t>004</t>
  </si>
  <si>
    <t>OT RAS Solution</t>
  </si>
  <si>
    <t>JDE to deliver RACI + ACN to provide input</t>
  </si>
  <si>
    <t>0. Expected</t>
  </si>
  <si>
    <t>Efrayim, Farhan, Bogdan, Joost, OT MU SME’s</t>
  </si>
  <si>
    <t>005</t>
  </si>
  <si>
    <t>Local Backup &amp; Restore</t>
  </si>
  <si>
    <t>Efrayim, Farhan, Bogdan, Marcel, OT MU SME’s</t>
  </si>
  <si>
    <t>006</t>
  </si>
  <si>
    <t>Patching Support Svcs - incl. WSUS, LINUX, AV, EDR,</t>
  </si>
  <si>
    <t>007</t>
  </si>
  <si>
    <t>AV - Anti Virus / EDR</t>
  </si>
  <si>
    <t>tool selection required</t>
  </si>
  <si>
    <t>Efrayim, Bogdan, Peter/Rachel, OT MU SME’s</t>
  </si>
  <si>
    <t>0011792226 (TBC)</t>
  </si>
  <si>
    <t>010</t>
  </si>
  <si>
    <t xml:space="preserve">Claroty SOC/SIEM Design + Build integration </t>
  </si>
  <si>
    <t>request Marcel</t>
  </si>
  <si>
    <t>011</t>
  </si>
  <si>
    <t>William</t>
  </si>
  <si>
    <t xml:space="preserve">Backfill EUS IT/OT (Hussam) </t>
  </si>
  <si>
    <t>request Oscar</t>
  </si>
  <si>
    <t>Orange Business</t>
  </si>
  <si>
    <t>Willem Jan</t>
  </si>
  <si>
    <t>Build</t>
  </si>
  <si>
    <t xml:space="preserve"> </t>
  </si>
  <si>
    <t>Generic</t>
  </si>
  <si>
    <t>SOW 005 - Orange Business - Demand Coordinator</t>
  </si>
  <si>
    <t>ID0038897-5</t>
  </si>
  <si>
    <t>n/a</t>
  </si>
  <si>
    <t>Jan</t>
  </si>
  <si>
    <t>Claroty</t>
  </si>
  <si>
    <t>Claroty licenses (4 sites; Berlin / Kingsgrove / Bremen / Banbury Oxford) - 12 months</t>
  </si>
  <si>
    <t>GSS</t>
  </si>
  <si>
    <t>Site roll-out</t>
  </si>
  <si>
    <t>C9500-48Y4C-A incl. accessoires</t>
  </si>
  <si>
    <t>Comments Efrayim: Is de missende dist switch ( die naar uk is geswitchverstuurd). GSS did send update with right delivery address. GSS wacht op PO nummer, staat al klaar voor verzenden.
Wacht op PO</t>
  </si>
  <si>
    <t>Quang</t>
  </si>
  <si>
    <t>RUN</t>
  </si>
  <si>
    <t>GSS - HW delivery contract</t>
  </si>
  <si>
    <t>GSS - HW delivery SoW's - multiple</t>
  </si>
  <si>
    <t>SOW 004 - Orange Business - Central Build - MNSS</t>
  </si>
  <si>
    <t xml:space="preserve">Sent by Joanna 12/6 </t>
  </si>
  <si>
    <t>1. Sent by Vendor</t>
  </si>
  <si>
    <t>SOW 006 - Orange Business - Site by site - Utrecht</t>
  </si>
  <si>
    <t>X</t>
  </si>
  <si>
    <t xml:space="preserve">Accenture </t>
  </si>
  <si>
    <t>OT RUN Support Contract</t>
  </si>
  <si>
    <t>OT Security RUN Support Contract - amendment</t>
  </si>
  <si>
    <t>Beyond Trust</t>
  </si>
  <si>
    <t>Licenses</t>
  </si>
  <si>
    <t>OT RAS Contract licenses + Implementation Beyond Trust</t>
  </si>
  <si>
    <t>TBD</t>
  </si>
  <si>
    <t>EDR License Contract</t>
  </si>
  <si>
    <t>MSFT License Contract</t>
  </si>
  <si>
    <t>Overall</t>
  </si>
  <si>
    <t>Demand Coordinator Jauk Bierema</t>
  </si>
  <si>
    <t>Expected 16/6</t>
  </si>
  <si>
    <t>Design/Build</t>
  </si>
  <si>
    <t>Lead Architect Adrian Beyers</t>
  </si>
  <si>
    <t>Remark:</t>
  </si>
  <si>
    <t>After final approval (Carolyn Tapang) the contract will be added to the Financial Tracker for budget purposes</t>
  </si>
  <si>
    <t>Scope : MUSIC3 Central program orders for Design / Build / Transformation / others</t>
  </si>
  <si>
    <t>Contract approval flow:</t>
  </si>
  <si>
    <r>
      <t>1.</t>
    </r>
    <r>
      <rPr>
        <i/>
        <sz val="15"/>
        <color rgb="FF3F3A31"/>
        <rFont val="Arial"/>
        <family val="2"/>
      </rPr>
      <t>Supplier sends email with draft order to: </t>
    </r>
  </si>
  <si>
    <r>
      <t>a)</t>
    </r>
    <r>
      <rPr>
        <u/>
        <sz val="15"/>
        <color rgb="FF3F3A31"/>
        <rFont val="Arial"/>
        <family val="2"/>
      </rPr>
      <t>Network Infra</t>
    </r>
    <r>
      <rPr>
        <sz val="15"/>
        <color rgb="FF3F3A31"/>
        <rFont val="Arial"/>
        <family val="2"/>
      </rPr>
      <t> related </t>
    </r>
    <r>
      <rPr>
        <sz val="15"/>
        <color rgb="FF3F3A31"/>
        <rFont val="Wingdings"/>
        <charset val="2"/>
      </rPr>
      <t>à</t>
    </r>
    <r>
      <rPr>
        <sz val="15"/>
        <color rgb="FF3F3A31"/>
        <rFont val="Arial"/>
        <family val="2"/>
      </rPr>
      <t> Lead Architect + Project Manager + Program Manager + MUSIC3 Procurement, </t>
    </r>
    <r>
      <rPr>
        <i/>
        <sz val="15"/>
        <color rgb="FF3F3A31"/>
        <rFont val="Arial"/>
        <family val="2"/>
      </rPr>
      <t>Cc PMO</t>
    </r>
  </si>
  <si>
    <r>
      <t>b)</t>
    </r>
    <r>
      <rPr>
        <u/>
        <sz val="15"/>
        <color rgb="FF3F3A31"/>
        <rFont val="Arial"/>
        <family val="2"/>
      </rPr>
      <t>Non-Network Infra</t>
    </r>
    <r>
      <rPr>
        <sz val="15"/>
        <color rgb="FF3F3A31"/>
        <rFont val="Arial"/>
        <family val="2"/>
      </rPr>
      <t> related </t>
    </r>
    <r>
      <rPr>
        <sz val="15"/>
        <color rgb="FF3F3A31"/>
        <rFont val="Wingdings"/>
        <charset val="2"/>
      </rPr>
      <t>à</t>
    </r>
    <r>
      <rPr>
        <sz val="15"/>
        <color rgb="FF3F3A31"/>
        <rFont val="Arial"/>
        <family val="2"/>
      </rPr>
      <t> Project Manager + Program Manager + MUSIC3 Procurement, </t>
    </r>
    <r>
      <rPr>
        <i/>
        <sz val="15"/>
        <color rgb="FF3F3A31"/>
        <rFont val="Arial"/>
        <family val="2"/>
      </rPr>
      <t>Cc PMO </t>
    </r>
  </si>
  <si>
    <t>2.MUSIC3 Core Team sends feedback/approval to PMO + date approved in tracker, Cc to all (#1-6 R&amp;R)</t>
  </si>
  <si>
    <r>
      <t>3.</t>
    </r>
    <r>
      <rPr>
        <i/>
        <sz val="15"/>
        <color rgb="FF3F3A31"/>
        <rFont val="Arial"/>
        <family val="2"/>
      </rPr>
      <t>After review and approval from Core Team, William will do the final review and start the approval process with Carolyn Cc PMO and GIS Vendor Management to validate requirements before sign-off</t>
    </r>
  </si>
  <si>
    <t>4.This MUSIC3 approved version will be stored on the MUSIC3 SharePoint under Program Management by PMO</t>
  </si>
  <si>
    <r>
      <t>5.</t>
    </r>
    <r>
      <rPr>
        <i/>
        <sz val="15"/>
        <color rgb="FF3F3A31"/>
        <rFont val="Arial"/>
        <family val="2"/>
      </rPr>
      <t>After Carolyn’s approval, Vendor Management will place the order in the batch for sign-off CIO (Tuesday afternoon = signing day!)</t>
    </r>
  </si>
  <si>
    <r>
      <t>6.</t>
    </r>
    <r>
      <rPr>
        <i/>
        <sz val="15"/>
        <color rgb="FF3F3A31"/>
        <rFont val="Arial"/>
        <family val="2"/>
      </rPr>
      <t>GIS Vendor Management shares the signed version (PO# if known) to Supplier CC to Program Manager and PMO</t>
    </r>
  </si>
  <si>
    <r>
      <t>7.</t>
    </r>
    <r>
      <rPr>
        <i/>
        <sz val="15"/>
        <color rgb="FF3F3A31"/>
        <rFont val="Arial"/>
        <family val="2"/>
      </rPr>
      <t>Supplier will countersign and share with Vendor Management cc PMO  </t>
    </r>
  </si>
  <si>
    <t>Week#</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</si>
  <si>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</si>
  <si>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</si>
  <si>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</si>
  <si>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</si>
  <si>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</si>
  <si>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</si>
  <si>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</si>
  <si>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</si>
  <si>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</si>
  <si>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</si>
  <si>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</si>
  <si>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</si>
  <si>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</si>
  <si>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</si>
  <si>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</si>
  <si>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</si>
  <si>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</si>
  <si>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</si>
  <si>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</si>
  <si>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</si>
  <si>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</si>
  <si>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</si>
  <si>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</si>
  <si>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</si>
  <si>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</si>
  <si>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</si>
  <si>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</si>
  <si>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</si>
  <si>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</si>
  <si>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</si>
  <si>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</si>
  <si>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</si>
  <si>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</si>
  <si>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</si>
  <si>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</si>
  <si>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</si>
  <si>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</si>
  <si>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</si>
  <si>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</si>
  <si>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</si>
  <si>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</si>
  <si>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</si>
  <si>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</si>
  <si>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Week 1</t>
  </si>
  <si>
    <t>Week 2</t>
  </si>
  <si>
    <t>Week 3</t>
  </si>
  <si>
    <t>Week 4</t>
  </si>
  <si>
    <t>Week 5</t>
  </si>
  <si>
    <t>Week 6</t>
  </si>
  <si>
    <t>Week 7</t>
  </si>
  <si>
    <t>Week 8</t>
  </si>
  <si>
    <t>Week 9</t>
  </si>
  <si>
    <t>Start date</t>
  </si>
  <si>
    <t>ID</t>
  </si>
  <si>
    <t>Design contracts</t>
  </si>
  <si>
    <t>ACN Delivery Owner</t>
  </si>
  <si>
    <t>OT SME</t>
  </si>
  <si>
    <t>RUN SPOC</t>
  </si>
  <si>
    <t>Adrian + Erwin</t>
  </si>
  <si>
    <t>GP + Srini + Jeevan</t>
  </si>
  <si>
    <t>Dana Akary</t>
  </si>
  <si>
    <r>
      <t xml:space="preserve">Krzystof </t>
    </r>
    <r>
      <rPr>
        <sz val="11"/>
        <color rgb="FFC00000"/>
        <rFont val="Calibri"/>
        <family val="2"/>
        <scheme val="minor"/>
      </rPr>
      <t>(TBC)</t>
    </r>
  </si>
  <si>
    <t>Adrian + Jeroen</t>
  </si>
  <si>
    <t>Patching Support Svcs - incl. WSUS, LINUX</t>
  </si>
  <si>
    <t>N/A</t>
  </si>
  <si>
    <t>Local OT ISO Zone - Local S2D stack</t>
  </si>
  <si>
    <t>Dana</t>
  </si>
  <si>
    <t>Decentral Access Mgt - Local AD</t>
  </si>
  <si>
    <t>Arjen + Dana + Offshore</t>
  </si>
  <si>
    <t>Decentral Access Mgt - PKI</t>
  </si>
  <si>
    <t>Decentral Access Mgt - IAM</t>
  </si>
  <si>
    <t>Hussam</t>
  </si>
  <si>
    <t>Build &amp; Transition contracts</t>
  </si>
  <si>
    <t>100</t>
  </si>
  <si>
    <t>OT Central Build EMEA</t>
  </si>
  <si>
    <t>101</t>
  </si>
  <si>
    <t>Site 1 BUILD + TRANSITION (Utrecht)</t>
  </si>
  <si>
    <t>102</t>
  </si>
  <si>
    <t>Site 2 BUILD + TRANSITION</t>
  </si>
  <si>
    <t>103</t>
  </si>
  <si>
    <t>Site 3 BUILD + TRANSITION</t>
  </si>
  <si>
    <t>104</t>
  </si>
  <si>
    <t>Site 4 BUILD + TRANSITION</t>
  </si>
  <si>
    <t>105</t>
  </si>
  <si>
    <t>Site 5 BUILD + TRANSITION</t>
  </si>
  <si>
    <t>106</t>
  </si>
  <si>
    <t>Site 6 BUILD + TRANSITION</t>
  </si>
  <si>
    <t>107</t>
  </si>
  <si>
    <t>Site 7 BUILD + TRANSITION</t>
  </si>
  <si>
    <t>108</t>
  </si>
  <si>
    <t>Site 8 BUILD + TRANSITION</t>
  </si>
  <si>
    <t>109</t>
  </si>
  <si>
    <t>Site 9 BUILD + TRANSITION</t>
  </si>
  <si>
    <t>110</t>
  </si>
  <si>
    <t>Site 10 BUILD + TRANSITION</t>
  </si>
  <si>
    <t>111</t>
  </si>
  <si>
    <t>Site 11 BUILD + TRANSITION</t>
  </si>
  <si>
    <t>112</t>
  </si>
  <si>
    <t>Site 12 BUILD + TRANSITION</t>
  </si>
  <si>
    <t>113</t>
  </si>
  <si>
    <t>Site 13 BUILD + TRANSITION</t>
  </si>
  <si>
    <t>114</t>
  </si>
  <si>
    <t>Site 14 BUILD + TRANSITION</t>
  </si>
  <si>
    <t>115</t>
  </si>
  <si>
    <t>Site 15 BUILD + TRANSITION</t>
  </si>
  <si>
    <t>116</t>
  </si>
  <si>
    <t>Site 16 BUILD + TRANSITION</t>
  </si>
  <si>
    <t>117</t>
  </si>
  <si>
    <t>Site 17 BUILD + TRANSITION</t>
  </si>
  <si>
    <t>118</t>
  </si>
  <si>
    <t>Site 18 BUILD + TRANSITION</t>
  </si>
  <si>
    <t>119</t>
  </si>
  <si>
    <t>Site 19 BUILD + TRANSITION</t>
  </si>
  <si>
    <t>120</t>
  </si>
  <si>
    <t>Site 20 BUILD + TRANSITION</t>
  </si>
  <si>
    <t>121</t>
  </si>
  <si>
    <t>Site 21 BUILD + TRANSITION</t>
  </si>
  <si>
    <t>122</t>
  </si>
  <si>
    <t>Site 22 BUILD + TRANSITION</t>
  </si>
  <si>
    <t>Run contracts</t>
  </si>
  <si>
    <t>OT Run</t>
  </si>
  <si>
    <t>Hidde + (Delivery)</t>
  </si>
  <si>
    <t>Legend</t>
  </si>
  <si>
    <t>Completed</t>
  </si>
  <si>
    <t>In Progress</t>
  </si>
  <si>
    <t>Issue</t>
  </si>
  <si>
    <t>Not started</t>
  </si>
  <si>
    <t>2. Under review MUSIC3</t>
  </si>
  <si>
    <t xml:space="preserve">3. Reviewed by MUSIC3 </t>
  </si>
  <si>
    <t>3. Sent for Approval</t>
  </si>
  <si>
    <t>4. Send for Signature</t>
  </si>
  <si>
    <t>Not Applicable</t>
  </si>
  <si>
    <t>OT Central &amp; local Build</t>
  </si>
  <si>
    <t>SOW205</t>
  </si>
  <si>
    <t>WO100</t>
  </si>
  <si>
    <t>WO014</t>
  </si>
  <si>
    <t>27.06.23</t>
  </si>
  <si>
    <t>26.06.23
(Quang)</t>
  </si>
  <si>
    <t>tbd</t>
  </si>
  <si>
    <t>26.06.23</t>
  </si>
  <si>
    <t>All services except EDR</t>
  </si>
  <si>
    <t>Expected 16.06, received 26.06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</si>
</sst>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3"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0"/>
      <color theme="1"/>
      <name val="Calibri"/>
      <family val="2"/>
      <scheme val="minor"/>
    </font>
    <font>
      <sz val="9"/>
      <color theme="1"/>
      <name val="Calibri"/>
      <family val="2"/>
      <scheme val="minor"/>
    </font>
    <font>
      <b/>
      <sz val="18"/>
      <color theme="1"/>
      <name val="Calibri"/>
      <family val="2"/>
      <scheme val="minor"/>
    </font>
    <font>
      <sz val="8"/>
      <name val="Calibri"/>
      <family val="2"/>
      <scheme val="minor"/>
    </font>
    <font>
      <b/>
      <sz val="9"/>
      <color theme="1"/>
      <name val="Calibri"/>
      <family val="2"/>
      <scheme val="minor"/>
    </font>
    <font>
      <sz val="11"/>
      <color theme="0"/>
      <name val="Calibri"/>
      <family val="2"/>
      <scheme val="minor"/>
    </font>
    <font>
      <sz val="11"/>
      <color rgb="FFC00000"/>
      <name val="Calibri"/>
      <family val="2"/>
      <scheme val="minor"/>
    </font>
    <font>
      <sz val="13.5"/>
      <color rgb="FF000000"/>
      <name val="Times New Roman"/>
      <family val="1"/>
    </font>
    <font>
      <b/>
      <sz val="10"/>
      <color theme="1"/>
      <name val="Calibri"/>
      <family val="2"/>
      <scheme val="minor"/>
    </font>
    <font>
      <i/>
      <sz val="11"/>
      <color theme="1"/>
      <name val="Calibri"/>
      <family val="2"/>
      <scheme val="minor"/>
    </font>
    <font>
      <u/>
      <sz val="11"/>
      <color theme="10"/>
      <name val="Calibri"/>
      <family val="2"/>
      <scheme val="minor"/>
    </font>
    <font>
      <b/>
      <i/>
      <sz val="15"/>
      <color rgb="FF3F3A31"/>
      <name val="Arial"/>
      <family val="2"/>
    </font>
    <font>
      <b/>
      <sz val="15"/>
      <color rgb="FF3F3A31"/>
      <name val="Arial"/>
      <family val="2"/>
    </font>
    <font>
      <i/>
      <sz val="15"/>
      <color rgb="FF3F3A31"/>
      <name val="Arial"/>
      <family val="2"/>
    </font>
    <font>
      <sz val="15"/>
      <color theme="1"/>
      <name val="Arial"/>
      <family val="2"/>
    </font>
    <font>
      <u/>
      <sz val="15"/>
      <color rgb="FF3F3A31"/>
      <name val="Arial"/>
      <family val="2"/>
    </font>
    <font>
      <sz val="15"/>
      <color rgb="FF3F3A31"/>
      <name val="Arial"/>
      <family val="2"/>
    </font>
    <font>
      <sz val="15"/>
      <color rgb="FF3F3A31"/>
      <name val="Wingdings"/>
      <charset val="2"/>
    </font>
    <font>
      <sz val="11"/>
      <color theme="1"/>
      <name val="Calibri"/>
      <family val="2"/>
      <charset val="1"/>
    </font>
    <font>
      <b/>
      <sz val="12"/>
      <color rgb="FFFCF9F4"/>
      <name val="Arial"/>
      <family val="2"/>
    </font>
    <font>
      <sz val="9.6"/>
      <color theme="1"/>
      <name val="Arial"/>
      <family val="2"/>
    </font>
    <font>
      <b/>
      <sz val="12"/>
      <color rgb="FFFCF9F4"/>
      <name val="Calibri"/>
      <family val="2"/>
    </font>
    <font>
      <sz val="12"/>
      <color rgb="FFFCF9F4"/>
      <name val="Calibri"/>
      <family val="2"/>
    </font>
    <font>
      <sz val="12"/>
      <color rgb="FF3F3A31"/>
      <name val="Arial"/>
      <family val="2"/>
    </font>
    <font>
      <b/>
      <sz val="12"/>
      <color rgb="FF3F3A31"/>
      <name val="Arial"/>
      <family val="2"/>
    </font>
    <font>
      <b/>
      <sz val="11"/>
      <color rgb="FFFFFFFF"/>
      <name val="Calibri"/>
      <family val="2"/>
      <scheme val="minor"/>
    </font>
    <font>
      <b/>
      <sz val="11"/>
      <color theme="0"/>
      <name val="Calibri"/>
      <family val="2"/>
      <scheme val="minor"/>
    </font>
    <font>
      <b/>
      <sz val="8"/>
      <color theme="1"/>
      <name val="Calibri"/>
      <family val="2"/>
      <scheme val="minor"/>
    </font>
    <font>
      <sz val="8"/>
      <color theme="1"/>
      <name val="Calibri"/>
      <family val="2"/>
      <scheme val="minor"/>
    </font>
  </fonts>
  <fills count="19">
    <fill>
      <patternFill patternType="none"/>
    </fill>
    <fill>
      <patternFill patternType="gray125"/>
    </fill>
    <fill>
      <patternFill patternType="solid">
        <fgColor theme="7" tint="0.59999389629810485"/>
        <bgColor indexed="64"/>
      </patternFill>
    </fill>
    <fill>
      <patternFill patternType="solid">
        <fgColor rgb="FF92D050"/>
        <bgColor indexed="64"/>
      </patternFill>
    </fill>
    <fill>
      <patternFill patternType="solid">
        <fgColor theme="1" tint="0.499984740745262"/>
        <bgColor indexed="64"/>
      </patternFill>
    </fill>
    <fill>
      <patternFill patternType="solid">
        <fgColor rgb="FFFF0000"/>
        <bgColor indexed="64"/>
      </patternFill>
    </fill>
    <fill>
      <patternFill patternType="solid">
        <fgColor theme="0"/>
        <bgColor indexed="64"/>
      </patternFill>
    </fill>
    <fill>
      <patternFill patternType="solid">
        <fgColor theme="8"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tint="-0.34998626667073579"/>
        <bgColor indexed="64"/>
      </patternFill>
    </fill>
    <fill>
      <patternFill patternType="solid">
        <fgColor rgb="FF002060"/>
        <bgColor indexed="64"/>
      </patternFill>
    </fill>
    <fill>
      <patternFill patternType="solid">
        <fgColor rgb="FF849FA4"/>
        <bgColor indexed="64"/>
      </patternFill>
    </fill>
    <fill>
      <patternFill patternType="solid">
        <fgColor rgb="FFD9DFE0"/>
        <bgColor indexed="64"/>
      </patternFill>
    </fill>
    <fill>
      <patternFill patternType="solid">
        <fgColor rgb="FFEDF0F0"/>
        <bgColor indexed="64"/>
      </patternFill>
    </fill>
    <fill>
      <patternFill patternType="solid">
        <fgColor rgb="FF808080"/>
        <bgColor indexed="64"/>
      </patternFill>
    </fill>
    <fill>
      <patternFill patternType="solid">
        <fgColor rgb="FFFFC000"/>
        <bgColor indexed="64"/>
      </patternFill>
    </fill>
    <fill>
      <patternFill patternType="solid">
        <fgColor rgb="FFFFFF00"/>
        <bgColor indexed="64"/>
      </patternFill>
    </fill>
    <fill>
      <patternFill patternType="solid">
        <fgColor theme="5"/>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medium">
        <color indexed="64"/>
      </top>
      <bottom style="thin">
        <color indexed="64"/>
      </bottom>
      <diagonal/>
    </border>
    <border>
      <left/>
      <right/>
      <top style="thin">
        <color indexed="64"/>
      </top>
      <bottom style="medium">
        <color indexed="64"/>
      </bottom>
      <diagonal/>
    </border>
    <border>
      <left style="thin">
        <color rgb="FF000000"/>
      </left>
      <right/>
      <top style="thin">
        <color rgb="FF000000"/>
      </top>
      <bottom style="thin">
        <color rgb="FFFCF9F4"/>
      </bottom>
      <diagonal/>
    </border>
    <border>
      <left style="thin">
        <color rgb="FFFCF9F4"/>
      </left>
      <right style="thin">
        <color rgb="FFFCF9F4"/>
      </right>
      <top style="thin">
        <color rgb="FF000000"/>
      </top>
      <bottom style="thin">
        <color rgb="FFFCF9F4"/>
      </bottom>
      <diagonal/>
    </border>
    <border>
      <left style="thin">
        <color rgb="FFFCF9F4"/>
      </left>
      <right style="thin">
        <color rgb="FF000000"/>
      </right>
      <top style="thin">
        <color rgb="FF000000"/>
      </top>
      <bottom style="thin">
        <color rgb="FFFCF9F4"/>
      </bottom>
      <diagonal/>
    </border>
    <border>
      <left style="thin">
        <color rgb="FF000000"/>
      </left>
      <right/>
      <top style="thin">
        <color rgb="FFFCF9F4"/>
      </top>
      <bottom/>
      <diagonal/>
    </border>
    <border>
      <left style="thin">
        <color rgb="FFFCF9F4"/>
      </left>
      <right style="thin">
        <color rgb="FFFCF9F4"/>
      </right>
      <top style="thin">
        <color rgb="FFFCF9F4"/>
      </top>
      <bottom/>
      <diagonal/>
    </border>
    <border>
      <left style="thin">
        <color rgb="FFFCF9F4"/>
      </left>
      <right style="thin">
        <color rgb="FF000000"/>
      </right>
      <top style="thin">
        <color rgb="FFFCF9F4"/>
      </top>
      <bottom/>
      <diagonal/>
    </border>
    <border>
      <left style="thin">
        <color rgb="FF000000"/>
      </left>
      <right/>
      <top/>
      <bottom/>
      <diagonal/>
    </border>
    <border>
      <left style="thin">
        <color rgb="FFFCF9F4"/>
      </left>
      <right style="thin">
        <color rgb="FFFCF9F4"/>
      </right>
      <top/>
      <bottom/>
      <diagonal/>
    </border>
    <border>
      <left style="thin">
        <color rgb="FFFCF9F4"/>
      </left>
      <right style="thin">
        <color rgb="FF000000"/>
      </right>
      <top/>
      <bottom/>
      <diagonal/>
    </border>
    <border>
      <left style="thin">
        <color rgb="FF000000"/>
      </left>
      <right/>
      <top/>
      <bottom style="thin">
        <color rgb="FFFCF9F4"/>
      </bottom>
      <diagonal/>
    </border>
    <border>
      <left style="thin">
        <color rgb="FFFCF9F4"/>
      </left>
      <right style="thin">
        <color rgb="FFFCF9F4"/>
      </right>
      <top/>
      <bottom style="thin">
        <color rgb="FFFCF9F4"/>
      </bottom>
      <diagonal/>
    </border>
    <border>
      <left style="thin">
        <color rgb="FFFCF9F4"/>
      </left>
      <right style="thin">
        <color rgb="FF000000"/>
      </right>
      <top/>
      <bottom style="thin">
        <color rgb="FFFCF9F4"/>
      </bottom>
      <diagonal/>
    </border>
    <border>
      <left style="thin">
        <color rgb="FF000000"/>
      </left>
      <right/>
      <top style="thin">
        <color rgb="FFFCF9F4"/>
      </top>
      <bottom style="thin">
        <color rgb="FFFCF9F4"/>
      </bottom>
      <diagonal/>
    </border>
    <border>
      <left style="thin">
        <color rgb="FFFCF9F4"/>
      </left>
      <right style="thin">
        <color rgb="FFFCF9F4"/>
      </right>
      <top style="thin">
        <color rgb="FFFCF9F4"/>
      </top>
      <bottom style="thin">
        <color rgb="FFFCF9F4"/>
      </bottom>
      <diagonal/>
    </border>
    <border>
      <left style="thin">
        <color rgb="FFFCF9F4"/>
      </left>
      <right style="thin">
        <color rgb="FF000000"/>
      </right>
      <top style="thin">
        <color rgb="FFFCF9F4"/>
      </top>
      <bottom style="thin">
        <color rgb="FFFCF9F4"/>
      </bottom>
      <diagonal/>
    </border>
    <border>
      <left style="thin">
        <color rgb="FFFCF9F4"/>
      </left>
      <right style="thin">
        <color rgb="FFFCF9F4"/>
      </right>
      <top style="thin">
        <color rgb="FFFCF9F4"/>
      </top>
      <bottom style="thin">
        <color rgb="FF000000"/>
      </bottom>
      <diagonal/>
    </border>
    <border>
      <left style="thin">
        <color rgb="FFFCF9F4"/>
      </left>
      <right style="thin">
        <color rgb="FF000000"/>
      </right>
      <top style="thin">
        <color rgb="FFFCF9F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FCF9F4"/>
      </right>
      <top style="thin">
        <color rgb="FF000000"/>
      </top>
      <bottom style="thin">
        <color rgb="FFFCF9F4"/>
      </bottom>
      <diagonal/>
    </border>
    <border>
      <left/>
      <right style="thin">
        <color rgb="FFFCF9F4"/>
      </right>
      <top style="thin">
        <color rgb="FFFCF9F4"/>
      </top>
      <bottom/>
      <diagonal/>
    </border>
    <border>
      <left/>
      <right style="thin">
        <color rgb="FFFCF9F4"/>
      </right>
      <top/>
      <bottom/>
      <diagonal/>
    </border>
    <border>
      <left/>
      <right style="thin">
        <color rgb="FFFCF9F4"/>
      </right>
      <top/>
      <bottom style="thin">
        <color rgb="FFFCF9F4"/>
      </bottom>
      <diagonal/>
    </border>
    <border>
      <left/>
      <right style="thin">
        <color rgb="FFFCF9F4"/>
      </right>
      <top style="thin">
        <color rgb="FFFCF9F4"/>
      </top>
      <bottom style="thin">
        <color rgb="FFFCF9F4"/>
      </bottom>
      <diagonal/>
    </border>
    <border>
      <left style="thin">
        <color rgb="FF000000"/>
      </left>
      <right/>
      <top style="thin">
        <color rgb="FFFCF9F4"/>
      </top>
      <bottom style="thin">
        <color rgb="FF000000"/>
      </bottom>
      <diagonal/>
    </border>
    <border>
      <left/>
      <right style="thin">
        <color rgb="FFFCF9F4"/>
      </right>
      <top style="thin">
        <color rgb="FFFCF9F4"/>
      </top>
      <bottom style="thin">
        <color rgb="FF000000"/>
      </bottom>
      <diagonal/>
    </border>
  </borders>
  <cellStyleXfs count="2">
    <xf numFmtId="0" fontId="0" fillId="0" borderId="0"/>
    <xf numFmtId="0" fontId="14" fillId="0" borderId="0" applyNumberFormat="0" applyFill="0" applyBorder="0" applyAlignment="0" applyProtection="0"/>
  </cellStyleXfs>
  <cellXfs count="126">
    <xf numFmtId="0" fontId="0" fillId="0" borderId="0" xfId="0"/>
    <xf numFmtId="0" fontId="0" fillId="0" borderId="1" xfId="0" applyBorder="1"/>
    <xf numFmtId="0" fontId="2" fillId="0" borderId="0" xfId="0" applyFont="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applyAlignment="1">
      <alignment horizontal="left" textRotation="90"/>
    </xf>
    <xf numFmtId="0" fontId="0" fillId="4" borderId="0" xfId="0" applyFill="1" applyAlignment="1">
      <alignment horizontal="center"/>
    </xf>
    <xf numFmtId="0" fontId="3" fillId="4" borderId="0" xfId="0" applyFont="1" applyFill="1" applyAlignment="1">
      <alignment horizontal="center"/>
    </xf>
    <xf numFmtId="0" fontId="4" fillId="0" borderId="1" xfId="0" applyFont="1" applyBorder="1"/>
    <xf numFmtId="0" fontId="1" fillId="0" borderId="1" xfId="0" applyFont="1" applyBorder="1"/>
    <xf numFmtId="0" fontId="1" fillId="0" borderId="1" xfId="0" applyFont="1" applyBorder="1" applyAlignment="1">
      <alignment wrapText="1"/>
    </xf>
    <xf numFmtId="0" fontId="6" fillId="0" borderId="0" xfId="0" applyFont="1"/>
    <xf numFmtId="0" fontId="0" fillId="0" borderId="0" xfId="0" quotePrefix="1" applyAlignment="1">
      <alignment horizontal="center"/>
    </xf>
    <xf numFmtId="0" fontId="6" fillId="0" borderId="0" xfId="0" applyFont="1" applyAlignment="1">
      <alignment wrapText="1"/>
    </xf>
    <xf numFmtId="0" fontId="0" fillId="4" borderId="0" xfId="0" applyFill="1" applyAlignment="1">
      <alignment horizontal="center" wrapText="1"/>
    </xf>
    <xf numFmtId="0" fontId="0" fillId="0" borderId="0" xfId="0" applyAlignment="1">
      <alignment wrapText="1"/>
    </xf>
    <xf numFmtId="0" fontId="2" fillId="0" borderId="0" xfId="0" applyFont="1" applyAlignment="1">
      <alignment wrapText="1"/>
    </xf>
    <xf numFmtId="0" fontId="8" fillId="2" borderId="1" xfId="0" applyFont="1" applyFill="1" applyBorder="1" applyAlignment="1">
      <alignment horizontal="left" vertical="center" wrapText="1"/>
    </xf>
    <xf numFmtId="0" fontId="0" fillId="6" borderId="1" xfId="0" applyFill="1" applyBorder="1" applyAlignment="1">
      <alignment horizontal="center"/>
    </xf>
    <xf numFmtId="49" fontId="0" fillId="0" borderId="1" xfId="0" quotePrefix="1" applyNumberFormat="1" applyBorder="1" applyAlignment="1">
      <alignment horizontal="center" vertical="center"/>
    </xf>
    <xf numFmtId="49" fontId="0" fillId="0" borderId="1" xfId="0" quotePrefix="1" applyNumberFormat="1" applyBorder="1" applyAlignment="1">
      <alignment horizontal="center"/>
    </xf>
    <xf numFmtId="49" fontId="0" fillId="6" borderId="1" xfId="0" quotePrefix="1" applyNumberFormat="1" applyFill="1" applyBorder="1" applyAlignment="1">
      <alignment horizontal="center" vertical="center"/>
    </xf>
    <xf numFmtId="49" fontId="0" fillId="0" borderId="1" xfId="0" quotePrefix="1" applyNumberFormat="1" applyBorder="1" applyAlignment="1">
      <alignment horizontal="left" vertical="center"/>
    </xf>
    <xf numFmtId="49" fontId="10" fillId="0" borderId="1" xfId="0" quotePrefix="1" applyNumberFormat="1" applyFont="1" applyBorder="1" applyAlignment="1">
      <alignment horizontal="left" vertical="center"/>
    </xf>
    <xf numFmtId="0" fontId="0" fillId="0" borderId="0" xfId="0" applyAlignment="1">
      <alignment vertical="center"/>
    </xf>
    <xf numFmtId="0" fontId="9" fillId="11" borderId="1" xfId="0" applyFont="1" applyFill="1" applyBorder="1" applyAlignment="1">
      <alignment vertical="center"/>
    </xf>
    <xf numFmtId="0" fontId="0" fillId="0" borderId="1" xfId="0" applyBorder="1" applyAlignment="1">
      <alignment vertical="center"/>
    </xf>
    <xf numFmtId="0" fontId="0" fillId="0" borderId="0" xfId="0" applyAlignment="1">
      <alignment horizontal="center"/>
    </xf>
    <xf numFmtId="0" fontId="0" fillId="11" borderId="1" xfId="0" applyFill="1" applyBorder="1" applyAlignment="1">
      <alignment vertical="center"/>
    </xf>
    <xf numFmtId="0" fontId="0" fillId="0" borderId="1" xfId="0" applyBorder="1" applyAlignment="1">
      <alignment horizontal="center" vertical="center"/>
    </xf>
    <xf numFmtId="0" fontId="9" fillId="11" borderId="1" xfId="0" applyFont="1" applyFill="1" applyBorder="1" applyAlignment="1">
      <alignment horizontal="center" vertical="center"/>
    </xf>
    <xf numFmtId="0" fontId="0" fillId="0" borderId="7" xfId="0" applyBorder="1" applyAlignment="1">
      <alignment horizontal="center"/>
    </xf>
    <xf numFmtId="0" fontId="9" fillId="9" borderId="8" xfId="0" applyFont="1" applyFill="1" applyBorder="1" applyAlignment="1">
      <alignment horizontal="center"/>
    </xf>
    <xf numFmtId="0" fontId="9" fillId="8" borderId="8" xfId="0" applyFont="1" applyFill="1" applyBorder="1" applyAlignment="1">
      <alignment horizontal="center"/>
    </xf>
    <xf numFmtId="0" fontId="9" fillId="5" borderId="8" xfId="0" applyFont="1" applyFill="1" applyBorder="1" applyAlignment="1">
      <alignment horizontal="center"/>
    </xf>
    <xf numFmtId="0" fontId="9" fillId="10" borderId="9" xfId="0" applyFont="1" applyFill="1" applyBorder="1" applyAlignment="1">
      <alignment horizontal="center"/>
    </xf>
    <xf numFmtId="0" fontId="1" fillId="7" borderId="12" xfId="0" applyFont="1" applyFill="1" applyBorder="1" applyAlignment="1">
      <alignment horizontal="center" vertical="center"/>
    </xf>
    <xf numFmtId="0" fontId="1" fillId="7" borderId="10" xfId="0" applyFont="1" applyFill="1" applyBorder="1" applyAlignment="1">
      <alignment horizontal="center" vertical="center"/>
    </xf>
    <xf numFmtId="0" fontId="1" fillId="7" borderId="5" xfId="0" applyFont="1" applyFill="1" applyBorder="1" applyAlignment="1">
      <alignment horizontal="center" vertical="center"/>
    </xf>
    <xf numFmtId="0" fontId="5" fillId="7" borderId="13" xfId="0" applyFont="1" applyFill="1" applyBorder="1" applyAlignment="1">
      <alignment horizontal="center" vertical="center"/>
    </xf>
    <xf numFmtId="16" fontId="5" fillId="7" borderId="11" xfId="0" applyNumberFormat="1" applyFont="1" applyFill="1" applyBorder="1" applyAlignment="1">
      <alignment horizontal="center" vertical="center"/>
    </xf>
    <xf numFmtId="16" fontId="5" fillId="7" borderId="6" xfId="0" applyNumberFormat="1" applyFont="1" applyFill="1" applyBorder="1" applyAlignment="1">
      <alignment horizontal="center" vertical="center"/>
    </xf>
    <xf numFmtId="0" fontId="1" fillId="7" borderId="15" xfId="0" applyFont="1" applyFill="1" applyBorder="1" applyAlignment="1">
      <alignment horizontal="center" vertical="center"/>
    </xf>
    <xf numFmtId="0" fontId="5" fillId="7" borderId="16" xfId="0" applyFont="1" applyFill="1" applyBorder="1" applyAlignment="1">
      <alignment horizontal="center" vertical="center"/>
    </xf>
    <xf numFmtId="0" fontId="11" fillId="0" borderId="0" xfId="0" applyFont="1"/>
    <xf numFmtId="0" fontId="0" fillId="12" borderId="23" xfId="0" applyFill="1" applyBorder="1"/>
    <xf numFmtId="0" fontId="0" fillId="13" borderId="24" xfId="0" applyFill="1" applyBorder="1"/>
    <xf numFmtId="0" fontId="0" fillId="13" borderId="25" xfId="0" applyFill="1" applyBorder="1"/>
    <xf numFmtId="0" fontId="0" fillId="12" borderId="26" xfId="0" applyFill="1" applyBorder="1"/>
    <xf numFmtId="0" fontId="0" fillId="13" borderId="27" xfId="0" applyFill="1" applyBorder="1"/>
    <xf numFmtId="0" fontId="0" fillId="13" borderId="28" xfId="0" applyFill="1" applyBorder="1"/>
    <xf numFmtId="0" fontId="0" fillId="0" borderId="14" xfId="0" quotePrefix="1" applyBorder="1" applyAlignment="1">
      <alignment horizontal="center"/>
    </xf>
    <xf numFmtId="0" fontId="1" fillId="2" borderId="2" xfId="0" applyFont="1" applyFill="1" applyBorder="1" applyAlignment="1">
      <alignment horizontal="left" vertical="center"/>
    </xf>
    <xf numFmtId="0" fontId="12" fillId="0" borderId="4" xfId="0" applyFont="1" applyBorder="1"/>
    <xf numFmtId="0" fontId="8" fillId="2" borderId="1" xfId="0" applyFont="1" applyFill="1" applyBorder="1" applyAlignment="1">
      <alignment horizontal="center" vertical="center" wrapText="1"/>
    </xf>
    <xf numFmtId="0" fontId="15" fillId="0" borderId="0" xfId="0" applyFont="1" applyAlignment="1">
      <alignment readingOrder="1"/>
    </xf>
    <xf numFmtId="0" fontId="16" fillId="0" borderId="0" xfId="0" applyFont="1" applyAlignment="1">
      <alignment readingOrder="1"/>
    </xf>
    <xf numFmtId="0" fontId="18" fillId="0" borderId="0" xfId="0" applyFont="1" applyAlignment="1">
      <alignment readingOrder="1"/>
    </xf>
    <xf numFmtId="0" fontId="14" fillId="0" borderId="0" xfId="1" applyAlignment="1">
      <alignment readingOrder="1"/>
    </xf>
    <xf numFmtId="0" fontId="8" fillId="3" borderId="1" xfId="0" applyFont="1" applyFill="1" applyBorder="1" applyAlignment="1">
      <alignment horizontal="center" vertical="center" wrapText="1"/>
    </xf>
    <xf numFmtId="0" fontId="4" fillId="0" borderId="0" xfId="0" applyFont="1"/>
    <xf numFmtId="0" fontId="8" fillId="3" borderId="14" xfId="0" applyFont="1" applyFill="1" applyBorder="1" applyAlignment="1">
      <alignment horizontal="center" vertical="center" wrapText="1"/>
    </xf>
    <xf numFmtId="0" fontId="0" fillId="4" borderId="14" xfId="0" applyFill="1" applyBorder="1" applyAlignment="1">
      <alignment horizontal="center"/>
    </xf>
    <xf numFmtId="164" fontId="8" fillId="3" borderId="14" xfId="0" applyNumberFormat="1"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2" xfId="0" applyFont="1" applyFill="1" applyBorder="1" applyAlignment="1">
      <alignment horizontal="left" vertical="center" wrapText="1"/>
    </xf>
    <xf numFmtId="0" fontId="8" fillId="2" borderId="35" xfId="0" applyFont="1" applyFill="1" applyBorder="1" applyAlignment="1">
      <alignment horizontal="center" vertical="center" wrapText="1"/>
    </xf>
    <xf numFmtId="0" fontId="23" fillId="12" borderId="17" xfId="0" applyFont="1" applyFill="1" applyBorder="1"/>
    <xf numFmtId="0" fontId="0" fillId="12" borderId="37" xfId="0" applyFill="1" applyBorder="1"/>
    <xf numFmtId="0" fontId="23" fillId="12" borderId="18" xfId="0" applyFont="1" applyFill="1" applyBorder="1"/>
    <xf numFmtId="0" fontId="23" fillId="12" borderId="19" xfId="0" applyFont="1" applyFill="1" applyBorder="1"/>
    <xf numFmtId="0" fontId="24" fillId="12" borderId="20" xfId="0" applyFont="1" applyFill="1" applyBorder="1"/>
    <xf numFmtId="0" fontId="26" fillId="12" borderId="38" xfId="0" applyFont="1" applyFill="1" applyBorder="1"/>
    <xf numFmtId="0" fontId="28" fillId="13" borderId="21" xfId="0" applyFont="1" applyFill="1" applyBorder="1"/>
    <xf numFmtId="0" fontId="27" fillId="13" borderId="21" xfId="0" applyFont="1" applyFill="1" applyBorder="1"/>
    <xf numFmtId="0" fontId="27" fillId="13" borderId="22" xfId="0" applyFont="1" applyFill="1" applyBorder="1"/>
    <xf numFmtId="0" fontId="0" fillId="12" borderId="39" xfId="0" applyFill="1" applyBorder="1"/>
    <xf numFmtId="0" fontId="27" fillId="13" borderId="24" xfId="0" applyFont="1" applyFill="1" applyBorder="1"/>
    <xf numFmtId="0" fontId="0" fillId="12" borderId="40" xfId="0" applyFill="1" applyBorder="1"/>
    <xf numFmtId="0" fontId="27" fillId="13" borderId="27" xfId="0" applyFont="1" applyFill="1" applyBorder="1"/>
    <xf numFmtId="0" fontId="24" fillId="12" borderId="29" xfId="0" applyFont="1" applyFill="1" applyBorder="1"/>
    <xf numFmtId="0" fontId="26" fillId="12" borderId="41" xfId="0" applyFont="1" applyFill="1" applyBorder="1"/>
    <xf numFmtId="0" fontId="28" fillId="14" borderId="30" xfId="0" applyFont="1" applyFill="1" applyBorder="1"/>
    <xf numFmtId="0" fontId="27" fillId="14" borderId="30" xfId="0" applyFont="1" applyFill="1" applyBorder="1"/>
    <xf numFmtId="0" fontId="27" fillId="14" borderId="31" xfId="0" applyFont="1" applyFill="1" applyBorder="1"/>
    <xf numFmtId="0" fontId="28" fillId="13" borderId="30" xfId="0" applyFont="1" applyFill="1" applyBorder="1"/>
    <xf numFmtId="0" fontId="27" fillId="13" borderId="30" xfId="0" applyFont="1" applyFill="1" applyBorder="1"/>
    <xf numFmtId="0" fontId="27" fillId="13" borderId="31" xfId="0" applyFont="1" applyFill="1" applyBorder="1"/>
    <xf numFmtId="0" fontId="26" fillId="12" borderId="42" xfId="0" applyFont="1" applyFill="1" applyBorder="1"/>
    <xf numFmtId="0" fontId="0" fillId="12" borderId="43" xfId="0" applyFill="1" applyBorder="1"/>
    <xf numFmtId="0" fontId="28" fillId="13" borderId="32" xfId="0" applyFont="1" applyFill="1" applyBorder="1"/>
    <xf numFmtId="0" fontId="27" fillId="13" borderId="32" xfId="0" applyFont="1" applyFill="1" applyBorder="1"/>
    <xf numFmtId="0" fontId="27" fillId="13" borderId="33" xfId="0" applyFont="1" applyFill="1" applyBorder="1"/>
    <xf numFmtId="0" fontId="0" fillId="6" borderId="14" xfId="0" applyFill="1" applyBorder="1" applyAlignment="1">
      <alignment horizontal="center"/>
    </xf>
    <xf numFmtId="49" fontId="0" fillId="0" borderId="2" xfId="0" quotePrefix="1" applyNumberFormat="1" applyBorder="1" applyAlignment="1">
      <alignment horizontal="center"/>
    </xf>
    <xf numFmtId="0" fontId="0" fillId="6" borderId="34" xfId="0" applyFill="1" applyBorder="1" applyAlignment="1">
      <alignment horizontal="center"/>
    </xf>
    <xf numFmtId="0" fontId="22" fillId="0" borderId="14" xfId="0" applyFont="1" applyBorder="1" applyAlignment="1">
      <alignment horizontal="center"/>
    </xf>
    <xf numFmtId="0" fontId="13" fillId="0" borderId="0" xfId="0" applyFont="1" applyAlignment="1">
      <alignment horizontal="center"/>
    </xf>
    <xf numFmtId="0" fontId="8" fillId="3" borderId="35" xfId="0" applyFont="1" applyFill="1" applyBorder="1" applyAlignment="1">
      <alignment horizontal="center" vertical="center" wrapText="1"/>
    </xf>
    <xf numFmtId="0" fontId="8" fillId="16" borderId="14" xfId="0" applyFont="1" applyFill="1" applyBorder="1" applyAlignment="1">
      <alignment horizontal="left" vertical="center" wrapText="1"/>
    </xf>
    <xf numFmtId="0" fontId="1" fillId="0" borderId="34" xfId="0" applyFont="1" applyBorder="1" applyAlignment="1">
      <alignment horizontal="center" textRotation="90"/>
    </xf>
    <xf numFmtId="0" fontId="8" fillId="3" borderId="36" xfId="0" applyFont="1" applyFill="1" applyBorder="1" applyAlignment="1">
      <alignment horizontal="left" vertical="center" wrapText="1"/>
    </xf>
    <xf numFmtId="0" fontId="8" fillId="3" borderId="36" xfId="0" applyFont="1" applyFill="1" applyBorder="1" applyAlignment="1">
      <alignment horizontal="center" vertical="center" wrapText="1"/>
    </xf>
    <xf numFmtId="0" fontId="8" fillId="2" borderId="36" xfId="0" applyFont="1" applyFill="1" applyBorder="1" applyAlignment="1">
      <alignment horizontal="left" vertical="center" wrapText="1"/>
    </xf>
    <xf numFmtId="0" fontId="8" fillId="15" borderId="36" xfId="0" applyFont="1" applyFill="1" applyBorder="1" applyAlignment="1">
      <alignment horizontal="center" vertical="center" wrapText="1"/>
    </xf>
    <xf numFmtId="0" fontId="29" fillId="8" borderId="1" xfId="0" applyFont="1" applyFill="1" applyBorder="1" applyAlignment="1">
      <alignment horizontal="left" vertical="center" wrapText="1"/>
    </xf>
    <xf numFmtId="0" fontId="30" fillId="4" borderId="0" xfId="0" applyFont="1" applyFill="1" applyAlignment="1">
      <alignment horizontal="center" wrapText="1"/>
    </xf>
    <xf numFmtId="0" fontId="8" fillId="15" borderId="36" xfId="0" applyFont="1" applyFill="1" applyBorder="1" applyAlignment="1">
      <alignment horizontal="left" vertical="center" wrapText="1"/>
    </xf>
    <xf numFmtId="0" fontId="12" fillId="17" borderId="3" xfId="0" applyFont="1" applyFill="1" applyBorder="1"/>
    <xf numFmtId="0" fontId="12" fillId="17" borderId="4" xfId="0" applyFont="1" applyFill="1" applyBorder="1"/>
    <xf numFmtId="0" fontId="0" fillId="4" borderId="0" xfId="0" applyFill="1" applyAlignment="1">
      <alignment horizontal="center" vertical="center"/>
    </xf>
    <xf numFmtId="0" fontId="0" fillId="6" borderId="1" xfId="0" applyFill="1" applyBorder="1" applyAlignment="1">
      <alignment horizontal="center" vertical="center"/>
    </xf>
    <xf numFmtId="0" fontId="0" fillId="0" borderId="14" xfId="0" quotePrefix="1" applyBorder="1" applyAlignment="1">
      <alignment horizontal="center" vertical="center"/>
    </xf>
    <xf numFmtId="0" fontId="4" fillId="0" borderId="1" xfId="0" applyFont="1" applyBorder="1" applyAlignment="1">
      <alignment vertical="center"/>
    </xf>
    <xf numFmtId="0" fontId="29" fillId="18" borderId="1" xfId="0" applyFont="1" applyFill="1" applyBorder="1" applyAlignment="1">
      <alignment horizontal="left" vertical="center" wrapText="1"/>
    </xf>
    <xf numFmtId="0" fontId="4" fillId="0" borderId="0" xfId="0" applyFont="1" applyAlignment="1">
      <alignment vertical="center"/>
    </xf>
    <xf numFmtId="0" fontId="32"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32" fillId="3" borderId="14" xfId="0" applyFont="1" applyFill="1" applyBorder="1" applyAlignment="1">
      <alignment horizontal="center" vertical="center" wrapText="1"/>
    </xf>
    <xf numFmtId="0" fontId="0" fillId="4" borderId="14" xfId="0" applyFill="1" applyBorder="1" applyAlignment="1">
      <alignment horizontal="center" vertical="center"/>
    </xf>
    <xf numFmtId="0" fontId="5" fillId="15" borderId="14" xfId="0" applyFont="1" applyFill="1" applyBorder="1" applyAlignment="1">
      <alignment horizontal="center" vertical="center" wrapText="1"/>
    </xf>
    <xf numFmtId="164" fontId="31" fillId="3" borderId="14"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oneCellAnchor>
    <xdr:from>
      <xdr:col>32</xdr:col>
      <xdr:colOff>15240</xdr:colOff>
      <xdr:row>45</xdr:row>
      <xdr:rowOff>152400</xdr:rowOff>
    </xdr:from>
    <xdr:ext cx="848246" cy="311496"/>
    <xdr:sp macro="" textlink="">
      <xdr:nvSpPr>
        <xdr:cNvPr id="907" name="TextBox 3">
          <a:extLst>
            <a:ext uri="{FF2B5EF4-FFF2-40B4-BE49-F238E27FC236}">
              <a16:creationId xmlns:a16="http://schemas.microsoft.com/office/drawing/2014/main" id="{6752E633-1B46-1D3E-87C7-56D64834E35B}"/>
            </a:ext>
          </a:extLst>
        </xdr:cNvPr>
        <xdr:cNvSpPr txBox="1"/>
      </xdr:nvSpPr>
      <xdr:spPr>
        <a:xfrm>
          <a:off x="12870180" y="5273040"/>
          <a:ext cx="84824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FF0000"/>
              </a:solidFill>
            </a:rPr>
            <a:t>Deadline</a:t>
          </a:r>
        </a:p>
      </xdr:txBody>
    </xdr:sp>
    <xdr:clientData/>
  </xdr:oneCellAnchor>
  <xdr:twoCellAnchor>
    <xdr:from>
      <xdr:col>6</xdr:col>
      <xdr:colOff>33130</xdr:colOff>
      <xdr:row>5</xdr:row>
      <xdr:rowOff>30480</xdr:rowOff>
    </xdr:from>
    <xdr:to>
      <xdr:col>7</xdr:col>
      <xdr:colOff>828261</xdr:colOff>
      <xdr:row>5</xdr:row>
      <xdr:rowOff>274320</xdr:rowOff>
    </xdr:to>
    <xdr:sp macro="" textlink="">
      <xdr:nvSpPr>
        <xdr:cNvPr id="944" name="Rectangle: Rounded Corners 4">
          <a:extLst>
            <a:ext uri="{FF2B5EF4-FFF2-40B4-BE49-F238E27FC236}">
              <a16:creationId xmlns:a16="http://schemas.microsoft.com/office/drawing/2014/main" id="{1C833854-2600-4D08-38B6-A4464A0FDB33}"/>
            </a:ext>
          </a:extLst>
        </xdr:cNvPr>
        <xdr:cNvSpPr/>
      </xdr:nvSpPr>
      <xdr:spPr>
        <a:xfrm>
          <a:off x="4823791" y="865367"/>
          <a:ext cx="1649896" cy="24384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Requirements</a:t>
          </a:r>
        </a:p>
      </xdr:txBody>
    </xdr:sp>
    <xdr:clientData/>
  </xdr:twoCellAnchor>
  <xdr:twoCellAnchor>
    <xdr:from>
      <xdr:col>16</xdr:col>
      <xdr:colOff>35170</xdr:colOff>
      <xdr:row>16</xdr:row>
      <xdr:rowOff>36307</xdr:rowOff>
    </xdr:from>
    <xdr:to>
      <xdr:col>42</xdr:col>
      <xdr:colOff>589721</xdr:colOff>
      <xdr:row>16</xdr:row>
      <xdr:rowOff>280147</xdr:rowOff>
    </xdr:to>
    <xdr:sp macro="" textlink="">
      <xdr:nvSpPr>
        <xdr:cNvPr id="695" name="Rectangle: Rounded Corners 8">
          <a:extLst>
            <a:ext uri="{FF2B5EF4-FFF2-40B4-BE49-F238E27FC236}">
              <a16:creationId xmlns:a16="http://schemas.microsoft.com/office/drawing/2014/main" id="{FFC170ED-0FD1-46B1-9088-A73F29278D3E}"/>
            </a:ext>
          </a:extLst>
        </xdr:cNvPr>
        <xdr:cNvSpPr/>
      </xdr:nvSpPr>
      <xdr:spPr>
        <a:xfrm>
          <a:off x="13387755" y="2996384"/>
          <a:ext cx="20096920" cy="24384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Delivery</a:t>
          </a:r>
        </a:p>
      </xdr:txBody>
    </xdr:sp>
    <xdr:clientData/>
  </xdr:twoCellAnchor>
  <xdr:twoCellAnchor>
    <xdr:from>
      <xdr:col>11</xdr:col>
      <xdr:colOff>26504</xdr:colOff>
      <xdr:row>6</xdr:row>
      <xdr:rowOff>30305</xdr:rowOff>
    </xdr:from>
    <xdr:to>
      <xdr:col>14</xdr:col>
      <xdr:colOff>834887</xdr:colOff>
      <xdr:row>6</xdr:row>
      <xdr:rowOff>274145</xdr:rowOff>
    </xdr:to>
    <xdr:sp macro="" textlink="">
      <xdr:nvSpPr>
        <xdr:cNvPr id="283" name="Rectangle: Rounded Corners 10">
          <a:extLst>
            <a:ext uri="{FF2B5EF4-FFF2-40B4-BE49-F238E27FC236}">
              <a16:creationId xmlns:a16="http://schemas.microsoft.com/office/drawing/2014/main" id="{EE2D7BEB-4BCD-420E-98DC-3CEC77790EF8}"/>
            </a:ext>
          </a:extLst>
        </xdr:cNvPr>
        <xdr:cNvSpPr/>
      </xdr:nvSpPr>
      <xdr:spPr>
        <a:xfrm>
          <a:off x="9090991" y="1169992"/>
          <a:ext cx="3372679" cy="24384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Requirements</a:t>
          </a:r>
        </a:p>
      </xdr:txBody>
    </xdr:sp>
    <xdr:clientData/>
  </xdr:twoCellAnchor>
  <xdr:twoCellAnchor>
    <xdr:from>
      <xdr:col>15</xdr:col>
      <xdr:colOff>17793</xdr:colOff>
      <xdr:row>7</xdr:row>
      <xdr:rowOff>31650</xdr:rowOff>
    </xdr:from>
    <xdr:to>
      <xdr:col>17</xdr:col>
      <xdr:colOff>834886</xdr:colOff>
      <xdr:row>7</xdr:row>
      <xdr:rowOff>275490</xdr:rowOff>
    </xdr:to>
    <xdr:sp macro="" textlink="">
      <xdr:nvSpPr>
        <xdr:cNvPr id="413" name="Rectangle: Rounded Corners 12">
          <a:extLst>
            <a:ext uri="{FF2B5EF4-FFF2-40B4-BE49-F238E27FC236}">
              <a16:creationId xmlns:a16="http://schemas.microsoft.com/office/drawing/2014/main" id="{E16793C6-FAB0-46C1-8B11-08D3F7226649}"/>
            </a:ext>
          </a:extLst>
        </xdr:cNvPr>
        <xdr:cNvSpPr/>
      </xdr:nvSpPr>
      <xdr:spPr>
        <a:xfrm>
          <a:off x="12501341" y="1476137"/>
          <a:ext cx="2526623" cy="24384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solidFill>
                <a:schemeClr val="bg1"/>
              </a:solidFill>
            </a:rPr>
            <a:t>Requirements</a:t>
          </a:r>
        </a:p>
      </xdr:txBody>
    </xdr:sp>
    <xdr:clientData/>
  </xdr:twoCellAnchor>
  <xdr:twoCellAnchor>
    <xdr:from>
      <xdr:col>12</xdr:col>
      <xdr:colOff>26505</xdr:colOff>
      <xdr:row>15</xdr:row>
      <xdr:rowOff>35936</xdr:rowOff>
    </xdr:from>
    <xdr:to>
      <xdr:col>15</xdr:col>
      <xdr:colOff>832159</xdr:colOff>
      <xdr:row>15</xdr:row>
      <xdr:rowOff>279776</xdr:rowOff>
    </xdr:to>
    <xdr:sp macro="" textlink="">
      <xdr:nvSpPr>
        <xdr:cNvPr id="744" name="Rectangle: Rounded Corners 14">
          <a:extLst>
            <a:ext uri="{FF2B5EF4-FFF2-40B4-BE49-F238E27FC236}">
              <a16:creationId xmlns:a16="http://schemas.microsoft.com/office/drawing/2014/main" id="{7CFFA713-22F5-4863-863C-420D1A6A7D84}"/>
            </a:ext>
          </a:extLst>
        </xdr:cNvPr>
        <xdr:cNvSpPr/>
      </xdr:nvSpPr>
      <xdr:spPr>
        <a:xfrm>
          <a:off x="9945757" y="2699623"/>
          <a:ext cx="3369950" cy="24384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Requirements</a:t>
          </a:r>
        </a:p>
      </xdr:txBody>
    </xdr:sp>
    <xdr:clientData/>
  </xdr:twoCellAnchor>
  <xdr:twoCellAnchor>
    <xdr:from>
      <xdr:col>15</xdr:col>
      <xdr:colOff>26759</xdr:colOff>
      <xdr:row>16</xdr:row>
      <xdr:rowOff>31648</xdr:rowOff>
    </xdr:from>
    <xdr:to>
      <xdr:col>15</xdr:col>
      <xdr:colOff>832159</xdr:colOff>
      <xdr:row>16</xdr:row>
      <xdr:rowOff>275488</xdr:rowOff>
    </xdr:to>
    <xdr:sp macro="" textlink="">
      <xdr:nvSpPr>
        <xdr:cNvPr id="203" name="Rectangle: Rounded Corners 16">
          <a:extLst>
            <a:ext uri="{FF2B5EF4-FFF2-40B4-BE49-F238E27FC236}">
              <a16:creationId xmlns:a16="http://schemas.microsoft.com/office/drawing/2014/main" id="{C622E9F9-7C28-416A-905C-301B28212CAC}"/>
            </a:ext>
          </a:extLst>
        </xdr:cNvPr>
        <xdr:cNvSpPr/>
      </xdr:nvSpPr>
      <xdr:spPr>
        <a:xfrm>
          <a:off x="4822877" y="2981036"/>
          <a:ext cx="805400" cy="24384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Sign.</a:t>
          </a:r>
        </a:p>
      </xdr:txBody>
    </xdr:sp>
    <xdr:clientData/>
  </xdr:twoCellAnchor>
  <xdr:twoCellAnchor>
    <xdr:from>
      <xdr:col>8</xdr:col>
      <xdr:colOff>33034</xdr:colOff>
      <xdr:row>5</xdr:row>
      <xdr:rowOff>39269</xdr:rowOff>
    </xdr:from>
    <xdr:to>
      <xdr:col>9</xdr:col>
      <xdr:colOff>834885</xdr:colOff>
      <xdr:row>5</xdr:row>
      <xdr:rowOff>283109</xdr:rowOff>
    </xdr:to>
    <xdr:sp macro="" textlink="">
      <xdr:nvSpPr>
        <xdr:cNvPr id="943" name="Rectangle: Rounded Corners 20">
          <a:extLst>
            <a:ext uri="{FF2B5EF4-FFF2-40B4-BE49-F238E27FC236}">
              <a16:creationId xmlns:a16="http://schemas.microsoft.com/office/drawing/2014/main" id="{A9EBAD40-5703-43B6-9932-5B7FC06214C3}"/>
            </a:ext>
          </a:extLst>
        </xdr:cNvPr>
        <xdr:cNvSpPr/>
      </xdr:nvSpPr>
      <xdr:spPr>
        <a:xfrm>
          <a:off x="6532894" y="862229"/>
          <a:ext cx="1655291" cy="24384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Creation</a:t>
          </a:r>
        </a:p>
      </xdr:txBody>
    </xdr:sp>
    <xdr:clientData/>
  </xdr:twoCellAnchor>
  <xdr:twoCellAnchor>
    <xdr:from>
      <xdr:col>10</xdr:col>
      <xdr:colOff>17382</xdr:colOff>
      <xdr:row>5</xdr:row>
      <xdr:rowOff>27721</xdr:rowOff>
    </xdr:from>
    <xdr:to>
      <xdr:col>11</xdr:col>
      <xdr:colOff>841512</xdr:colOff>
      <xdr:row>5</xdr:row>
      <xdr:rowOff>277798</xdr:rowOff>
    </xdr:to>
    <xdr:sp macro="" textlink="">
      <xdr:nvSpPr>
        <xdr:cNvPr id="941" name="Rectangle: Rounded Corners 21">
          <a:extLst>
            <a:ext uri="{FF2B5EF4-FFF2-40B4-BE49-F238E27FC236}">
              <a16:creationId xmlns:a16="http://schemas.microsoft.com/office/drawing/2014/main" id="{D3F40089-2667-4C89-97FF-014F7F015C68}"/>
            </a:ext>
          </a:extLst>
        </xdr:cNvPr>
        <xdr:cNvSpPr/>
      </xdr:nvSpPr>
      <xdr:spPr>
        <a:xfrm>
          <a:off x="9792753" y="985664"/>
          <a:ext cx="1673216" cy="250077"/>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Signed</a:t>
          </a:r>
        </a:p>
      </xdr:txBody>
    </xdr:sp>
    <xdr:clientData/>
  </xdr:twoCellAnchor>
  <xdr:twoCellAnchor>
    <xdr:from>
      <xdr:col>12</xdr:col>
      <xdr:colOff>19974</xdr:colOff>
      <xdr:row>5</xdr:row>
      <xdr:rowOff>39601</xdr:rowOff>
    </xdr:from>
    <xdr:to>
      <xdr:col>18</xdr:col>
      <xdr:colOff>821634</xdr:colOff>
      <xdr:row>5</xdr:row>
      <xdr:rowOff>289678</xdr:rowOff>
    </xdr:to>
    <xdr:sp macro="" textlink="">
      <xdr:nvSpPr>
        <xdr:cNvPr id="940" name="Rectangle: Rounded Corners 22">
          <a:extLst>
            <a:ext uri="{FF2B5EF4-FFF2-40B4-BE49-F238E27FC236}">
              <a16:creationId xmlns:a16="http://schemas.microsoft.com/office/drawing/2014/main" id="{95BD7920-E0FF-401A-8496-5080514485C1}"/>
            </a:ext>
          </a:extLst>
        </xdr:cNvPr>
        <xdr:cNvSpPr/>
      </xdr:nvSpPr>
      <xdr:spPr>
        <a:xfrm>
          <a:off x="9933594" y="862561"/>
          <a:ext cx="5922300" cy="250077"/>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Delivery</a:t>
          </a:r>
        </a:p>
      </xdr:txBody>
    </xdr:sp>
    <xdr:clientData/>
  </xdr:twoCellAnchor>
  <xdr:twoCellAnchor>
    <xdr:from>
      <xdr:col>19</xdr:col>
      <xdr:colOff>26369</xdr:colOff>
      <xdr:row>5</xdr:row>
      <xdr:rowOff>39600</xdr:rowOff>
    </xdr:from>
    <xdr:to>
      <xdr:col>19</xdr:col>
      <xdr:colOff>821635</xdr:colOff>
      <xdr:row>5</xdr:row>
      <xdr:rowOff>289677</xdr:rowOff>
    </xdr:to>
    <xdr:sp macro="" textlink="">
      <xdr:nvSpPr>
        <xdr:cNvPr id="942" name="Rectangle: Rounded Corners 23">
          <a:extLst>
            <a:ext uri="{FF2B5EF4-FFF2-40B4-BE49-F238E27FC236}">
              <a16:creationId xmlns:a16="http://schemas.microsoft.com/office/drawing/2014/main" id="{71C26ADE-E32F-4E4D-AAB5-2856DBA09A7C}"/>
            </a:ext>
          </a:extLst>
        </xdr:cNvPr>
        <xdr:cNvSpPr/>
      </xdr:nvSpPr>
      <xdr:spPr>
        <a:xfrm>
          <a:off x="15915726" y="874487"/>
          <a:ext cx="795266"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twoCellAnchor>
    <xdr:from>
      <xdr:col>15</xdr:col>
      <xdr:colOff>19040</xdr:colOff>
      <xdr:row>6</xdr:row>
      <xdr:rowOff>35663</xdr:rowOff>
    </xdr:from>
    <xdr:to>
      <xdr:col>15</xdr:col>
      <xdr:colOff>841514</xdr:colOff>
      <xdr:row>6</xdr:row>
      <xdr:rowOff>285740</xdr:rowOff>
    </xdr:to>
    <xdr:sp macro="" textlink="">
      <xdr:nvSpPr>
        <xdr:cNvPr id="358" name="Rectangle: Rounded Corners 26">
          <a:extLst>
            <a:ext uri="{FF2B5EF4-FFF2-40B4-BE49-F238E27FC236}">
              <a16:creationId xmlns:a16="http://schemas.microsoft.com/office/drawing/2014/main" id="{FE766F09-F211-43B9-8637-63AEE24E08F3}"/>
            </a:ext>
          </a:extLst>
        </xdr:cNvPr>
        <xdr:cNvSpPr/>
      </xdr:nvSpPr>
      <xdr:spPr>
        <a:xfrm>
          <a:off x="12502588" y="1175350"/>
          <a:ext cx="822474" cy="250077"/>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Creation</a:t>
          </a:r>
        </a:p>
      </xdr:txBody>
    </xdr:sp>
    <xdr:clientData/>
  </xdr:twoCellAnchor>
  <xdr:twoCellAnchor>
    <xdr:from>
      <xdr:col>16</xdr:col>
      <xdr:colOff>19041</xdr:colOff>
      <xdr:row>6</xdr:row>
      <xdr:rowOff>35663</xdr:rowOff>
    </xdr:from>
    <xdr:to>
      <xdr:col>16</xdr:col>
      <xdr:colOff>841515</xdr:colOff>
      <xdr:row>6</xdr:row>
      <xdr:rowOff>285740</xdr:rowOff>
    </xdr:to>
    <xdr:sp macro="" textlink="">
      <xdr:nvSpPr>
        <xdr:cNvPr id="356" name="Rectangle: Rounded Corners 28">
          <a:extLst>
            <a:ext uri="{FF2B5EF4-FFF2-40B4-BE49-F238E27FC236}">
              <a16:creationId xmlns:a16="http://schemas.microsoft.com/office/drawing/2014/main" id="{93BA780D-39C7-400A-BEBF-4EC30B8CA367}"/>
            </a:ext>
          </a:extLst>
        </xdr:cNvPr>
        <xdr:cNvSpPr/>
      </xdr:nvSpPr>
      <xdr:spPr>
        <a:xfrm>
          <a:off x="13357354" y="1175350"/>
          <a:ext cx="822474"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Signed</a:t>
          </a:r>
        </a:p>
      </xdr:txBody>
    </xdr:sp>
    <xdr:clientData/>
  </xdr:twoCellAnchor>
  <xdr:twoCellAnchor>
    <xdr:from>
      <xdr:col>17</xdr:col>
      <xdr:colOff>19976</xdr:colOff>
      <xdr:row>6</xdr:row>
      <xdr:rowOff>32974</xdr:rowOff>
    </xdr:from>
    <xdr:to>
      <xdr:col>19</xdr:col>
      <xdr:colOff>821634</xdr:colOff>
      <xdr:row>6</xdr:row>
      <xdr:rowOff>283051</xdr:rowOff>
    </xdr:to>
    <xdr:sp macro="" textlink="">
      <xdr:nvSpPr>
        <xdr:cNvPr id="359" name="Rectangle: Rounded Corners 29">
          <a:extLst>
            <a:ext uri="{FF2B5EF4-FFF2-40B4-BE49-F238E27FC236}">
              <a16:creationId xmlns:a16="http://schemas.microsoft.com/office/drawing/2014/main" id="{D24E582B-4D98-4EB2-8CC2-977092F9FBD0}"/>
            </a:ext>
          </a:extLst>
        </xdr:cNvPr>
        <xdr:cNvSpPr/>
      </xdr:nvSpPr>
      <xdr:spPr>
        <a:xfrm>
          <a:off x="14213054" y="1172661"/>
          <a:ext cx="2497937"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Delivery</a:t>
          </a:r>
        </a:p>
      </xdr:txBody>
    </xdr:sp>
    <xdr:clientData/>
  </xdr:twoCellAnchor>
  <xdr:twoCellAnchor>
    <xdr:from>
      <xdr:col>20</xdr:col>
      <xdr:colOff>26369</xdr:colOff>
      <xdr:row>6</xdr:row>
      <xdr:rowOff>26347</xdr:rowOff>
    </xdr:from>
    <xdr:to>
      <xdr:col>20</xdr:col>
      <xdr:colOff>821635</xdr:colOff>
      <xdr:row>6</xdr:row>
      <xdr:rowOff>276424</xdr:rowOff>
    </xdr:to>
    <xdr:sp macro="" textlink="">
      <xdr:nvSpPr>
        <xdr:cNvPr id="357" name="Rectangle: Rounded Corners 30">
          <a:extLst>
            <a:ext uri="{FF2B5EF4-FFF2-40B4-BE49-F238E27FC236}">
              <a16:creationId xmlns:a16="http://schemas.microsoft.com/office/drawing/2014/main" id="{E5A828AF-4D1C-41E6-8A30-5EC5A854FA47}"/>
            </a:ext>
          </a:extLst>
        </xdr:cNvPr>
        <xdr:cNvSpPr/>
      </xdr:nvSpPr>
      <xdr:spPr>
        <a:xfrm>
          <a:off x="16757239" y="1166034"/>
          <a:ext cx="795266"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twoCellAnchor>
    <xdr:from>
      <xdr:col>18</xdr:col>
      <xdr:colOff>14754</xdr:colOff>
      <xdr:row>7</xdr:row>
      <xdr:rowOff>27868</xdr:rowOff>
    </xdr:from>
    <xdr:to>
      <xdr:col>18</xdr:col>
      <xdr:colOff>837228</xdr:colOff>
      <xdr:row>7</xdr:row>
      <xdr:rowOff>277945</xdr:rowOff>
    </xdr:to>
    <xdr:sp macro="" textlink="">
      <xdr:nvSpPr>
        <xdr:cNvPr id="414" name="Rectangle: Rounded Corners 31">
          <a:extLst>
            <a:ext uri="{FF2B5EF4-FFF2-40B4-BE49-F238E27FC236}">
              <a16:creationId xmlns:a16="http://schemas.microsoft.com/office/drawing/2014/main" id="{4174C692-AE6E-43F9-91C7-FA941F4CCC3F}"/>
            </a:ext>
          </a:extLst>
        </xdr:cNvPr>
        <xdr:cNvSpPr/>
      </xdr:nvSpPr>
      <xdr:spPr>
        <a:xfrm>
          <a:off x="15030636" y="1453256"/>
          <a:ext cx="822474"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Creation</a:t>
          </a:r>
        </a:p>
      </xdr:txBody>
    </xdr:sp>
    <xdr:clientData/>
  </xdr:twoCellAnchor>
  <xdr:twoCellAnchor>
    <xdr:from>
      <xdr:col>19</xdr:col>
      <xdr:colOff>23719</xdr:colOff>
      <xdr:row>7</xdr:row>
      <xdr:rowOff>27868</xdr:rowOff>
    </xdr:from>
    <xdr:to>
      <xdr:col>20</xdr:col>
      <xdr:colOff>3511</xdr:colOff>
      <xdr:row>7</xdr:row>
      <xdr:rowOff>277945</xdr:rowOff>
    </xdr:to>
    <xdr:sp macro="" textlink="">
      <xdr:nvSpPr>
        <xdr:cNvPr id="416" name="Rectangle: Rounded Corners 32">
          <a:extLst>
            <a:ext uri="{FF2B5EF4-FFF2-40B4-BE49-F238E27FC236}">
              <a16:creationId xmlns:a16="http://schemas.microsoft.com/office/drawing/2014/main" id="{630E467E-7CFC-486B-96FA-C40607278960}"/>
            </a:ext>
          </a:extLst>
        </xdr:cNvPr>
        <xdr:cNvSpPr/>
      </xdr:nvSpPr>
      <xdr:spPr>
        <a:xfrm>
          <a:off x="15882284" y="1453256"/>
          <a:ext cx="822474"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Signed</a:t>
          </a:r>
        </a:p>
      </xdr:txBody>
    </xdr:sp>
    <xdr:clientData/>
  </xdr:twoCellAnchor>
  <xdr:twoCellAnchor>
    <xdr:from>
      <xdr:col>20</xdr:col>
      <xdr:colOff>33619</xdr:colOff>
      <xdr:row>7</xdr:row>
      <xdr:rowOff>25179</xdr:rowOff>
    </xdr:from>
    <xdr:to>
      <xdr:col>23</xdr:col>
      <xdr:colOff>1560</xdr:colOff>
      <xdr:row>7</xdr:row>
      <xdr:rowOff>275256</xdr:rowOff>
    </xdr:to>
    <xdr:sp macro="" textlink="">
      <xdr:nvSpPr>
        <xdr:cNvPr id="415" name="Rectangle: Rounded Corners 33">
          <a:extLst>
            <a:ext uri="{FF2B5EF4-FFF2-40B4-BE49-F238E27FC236}">
              <a16:creationId xmlns:a16="http://schemas.microsoft.com/office/drawing/2014/main" id="{4D0BAF43-8C37-496C-AFE1-D6B4F532787E}"/>
            </a:ext>
          </a:extLst>
        </xdr:cNvPr>
        <xdr:cNvSpPr/>
      </xdr:nvSpPr>
      <xdr:spPr>
        <a:xfrm>
          <a:off x="16734866" y="1450567"/>
          <a:ext cx="2495988"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Delivery</a:t>
          </a:r>
        </a:p>
      </xdr:txBody>
    </xdr:sp>
    <xdr:clientData/>
  </xdr:twoCellAnchor>
  <xdr:twoCellAnchor>
    <xdr:from>
      <xdr:col>23</xdr:col>
      <xdr:colOff>31047</xdr:colOff>
      <xdr:row>7</xdr:row>
      <xdr:rowOff>27517</xdr:rowOff>
    </xdr:from>
    <xdr:to>
      <xdr:col>23</xdr:col>
      <xdr:colOff>826313</xdr:colOff>
      <xdr:row>7</xdr:row>
      <xdr:rowOff>277594</xdr:rowOff>
    </xdr:to>
    <xdr:sp macro="" textlink="">
      <xdr:nvSpPr>
        <xdr:cNvPr id="412" name="Rectangle: Rounded Corners 34">
          <a:extLst>
            <a:ext uri="{FF2B5EF4-FFF2-40B4-BE49-F238E27FC236}">
              <a16:creationId xmlns:a16="http://schemas.microsoft.com/office/drawing/2014/main" id="{D439785B-E83F-4129-A412-231373A28F55}"/>
            </a:ext>
          </a:extLst>
        </xdr:cNvPr>
        <xdr:cNvSpPr/>
      </xdr:nvSpPr>
      <xdr:spPr>
        <a:xfrm>
          <a:off x="19260341" y="1452905"/>
          <a:ext cx="795266"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twoCellAnchor>
    <xdr:from>
      <xdr:col>11</xdr:col>
      <xdr:colOff>33131</xdr:colOff>
      <xdr:row>8</xdr:row>
      <xdr:rowOff>35937</xdr:rowOff>
    </xdr:from>
    <xdr:to>
      <xdr:col>12</xdr:col>
      <xdr:colOff>841514</xdr:colOff>
      <xdr:row>8</xdr:row>
      <xdr:rowOff>279777</xdr:rowOff>
    </xdr:to>
    <xdr:sp macro="" textlink="">
      <xdr:nvSpPr>
        <xdr:cNvPr id="364" name="Rectangle: Rounded Corners 35">
          <a:extLst>
            <a:ext uri="{FF2B5EF4-FFF2-40B4-BE49-F238E27FC236}">
              <a16:creationId xmlns:a16="http://schemas.microsoft.com/office/drawing/2014/main" id="{AF5F5618-78FB-F5A1-AD45-2516CEE1D94E}"/>
            </a:ext>
          </a:extLst>
        </xdr:cNvPr>
        <xdr:cNvSpPr/>
      </xdr:nvSpPr>
      <xdr:spPr>
        <a:xfrm>
          <a:off x="9097618" y="1785224"/>
          <a:ext cx="1663148" cy="24384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Requirements</a:t>
          </a:r>
        </a:p>
      </xdr:txBody>
    </xdr:sp>
    <xdr:clientData/>
  </xdr:twoCellAnchor>
  <xdr:twoCellAnchor>
    <xdr:from>
      <xdr:col>13</xdr:col>
      <xdr:colOff>21028</xdr:colOff>
      <xdr:row>8</xdr:row>
      <xdr:rowOff>39970</xdr:rowOff>
    </xdr:from>
    <xdr:to>
      <xdr:col>13</xdr:col>
      <xdr:colOff>843502</xdr:colOff>
      <xdr:row>8</xdr:row>
      <xdr:rowOff>290047</xdr:rowOff>
    </xdr:to>
    <xdr:sp macro="" textlink="">
      <xdr:nvSpPr>
        <xdr:cNvPr id="432" name="Rectangle: Rounded Corners 36">
          <a:extLst>
            <a:ext uri="{FF2B5EF4-FFF2-40B4-BE49-F238E27FC236}">
              <a16:creationId xmlns:a16="http://schemas.microsoft.com/office/drawing/2014/main" id="{DFAE6789-7DBA-480A-98E8-6E4F018DF1E1}"/>
            </a:ext>
          </a:extLst>
        </xdr:cNvPr>
        <xdr:cNvSpPr/>
      </xdr:nvSpPr>
      <xdr:spPr>
        <a:xfrm>
          <a:off x="10788088" y="1777330"/>
          <a:ext cx="822474" cy="250077"/>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Creation</a:t>
          </a:r>
        </a:p>
      </xdr:txBody>
    </xdr:sp>
    <xdr:clientData/>
  </xdr:twoCellAnchor>
  <xdr:twoCellAnchor>
    <xdr:from>
      <xdr:col>14</xdr:col>
      <xdr:colOff>19050</xdr:colOff>
      <xdr:row>8</xdr:row>
      <xdr:rowOff>38100</xdr:rowOff>
    </xdr:from>
    <xdr:to>
      <xdr:col>15</xdr:col>
      <xdr:colOff>714375</xdr:colOff>
      <xdr:row>8</xdr:row>
      <xdr:rowOff>285750</xdr:rowOff>
    </xdr:to>
    <xdr:sp macro="" textlink="">
      <xdr:nvSpPr>
        <xdr:cNvPr id="1113" name="Rectangle: Rounded Corners 37">
          <a:extLst>
            <a:ext uri="{FF2B5EF4-FFF2-40B4-BE49-F238E27FC236}">
              <a16:creationId xmlns:a16="http://schemas.microsoft.com/office/drawing/2014/main" id="{B82E21D1-9A36-46C8-A220-3A639F682D86}"/>
            </a:ext>
            <a:ext uri="{147F2762-F138-4A5C-976F-8EAC2B608ADB}">
              <a16:predDERef xmlns:a16="http://schemas.microsoft.com/office/drawing/2014/main" pred="{DFAE6789-7DBA-480A-98E8-6E4F018DF1E1}"/>
            </a:ext>
          </a:extLst>
        </xdr:cNvPr>
        <xdr:cNvSpPr/>
      </xdr:nvSpPr>
      <xdr:spPr>
        <a:xfrm>
          <a:off x="12287250" y="2133600"/>
          <a:ext cx="1524000" cy="247650"/>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l"/>
          <a:r>
            <a:rPr lang="en-US" sz="800">
              <a:solidFill>
                <a:schemeClr val="lt1"/>
              </a:solidFill>
              <a:latin typeface="+mn-lt"/>
              <a:ea typeface="+mn-lt"/>
              <a:cs typeface="+mn-lt"/>
            </a:rPr>
            <a:t>SOW Signed</a:t>
          </a:r>
        </a:p>
      </xdr:txBody>
    </xdr:sp>
    <xdr:clientData/>
  </xdr:twoCellAnchor>
  <xdr:twoCellAnchor>
    <xdr:from>
      <xdr:col>15</xdr:col>
      <xdr:colOff>19050</xdr:colOff>
      <xdr:row>8</xdr:row>
      <xdr:rowOff>104775</xdr:rowOff>
    </xdr:from>
    <xdr:to>
      <xdr:col>20</xdr:col>
      <xdr:colOff>0</xdr:colOff>
      <xdr:row>8</xdr:row>
      <xdr:rowOff>285750</xdr:rowOff>
    </xdr:to>
    <xdr:sp macro="" textlink="">
      <xdr:nvSpPr>
        <xdr:cNvPr id="1109" name="Rectangle: Rounded Corners 38">
          <a:extLst>
            <a:ext uri="{FF2B5EF4-FFF2-40B4-BE49-F238E27FC236}">
              <a16:creationId xmlns:a16="http://schemas.microsoft.com/office/drawing/2014/main" id="{0B2B76CF-0898-45AE-81EF-DAE20F5D3FF6}"/>
            </a:ext>
            <a:ext uri="{147F2762-F138-4A5C-976F-8EAC2B608ADB}">
              <a16:predDERef xmlns:a16="http://schemas.microsoft.com/office/drawing/2014/main" pred="{B82E21D1-9A36-46C8-A220-3A639F682D86}"/>
            </a:ext>
          </a:extLst>
        </xdr:cNvPr>
        <xdr:cNvSpPr/>
      </xdr:nvSpPr>
      <xdr:spPr>
        <a:xfrm>
          <a:off x="13115925" y="2200275"/>
          <a:ext cx="4086225" cy="180975"/>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Delivery</a:t>
          </a:r>
        </a:p>
      </xdr:txBody>
    </xdr:sp>
    <xdr:clientData/>
  </xdr:twoCellAnchor>
  <xdr:twoCellAnchor>
    <xdr:from>
      <xdr:col>20</xdr:col>
      <xdr:colOff>28357</xdr:colOff>
      <xdr:row>8</xdr:row>
      <xdr:rowOff>30654</xdr:rowOff>
    </xdr:from>
    <xdr:to>
      <xdr:col>20</xdr:col>
      <xdr:colOff>823623</xdr:colOff>
      <xdr:row>8</xdr:row>
      <xdr:rowOff>280731</xdr:rowOff>
    </xdr:to>
    <xdr:sp macro="" textlink="">
      <xdr:nvSpPr>
        <xdr:cNvPr id="700" name="Rectangle: Rounded Corners 39">
          <a:extLst>
            <a:ext uri="{FF2B5EF4-FFF2-40B4-BE49-F238E27FC236}">
              <a16:creationId xmlns:a16="http://schemas.microsoft.com/office/drawing/2014/main" id="{B456B8E4-65BB-4B05-A355-7ABB2D69B145}"/>
            </a:ext>
          </a:extLst>
        </xdr:cNvPr>
        <xdr:cNvSpPr/>
      </xdr:nvSpPr>
      <xdr:spPr>
        <a:xfrm>
          <a:off x="16739017" y="1768014"/>
          <a:ext cx="795266"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twoCellAnchor>
    <xdr:from>
      <xdr:col>6</xdr:col>
      <xdr:colOff>27673</xdr:colOff>
      <xdr:row>9</xdr:row>
      <xdr:rowOff>27850</xdr:rowOff>
    </xdr:from>
    <xdr:to>
      <xdr:col>7</xdr:col>
      <xdr:colOff>822804</xdr:colOff>
      <xdr:row>9</xdr:row>
      <xdr:rowOff>271690</xdr:rowOff>
    </xdr:to>
    <xdr:sp macro="" textlink="">
      <xdr:nvSpPr>
        <xdr:cNvPr id="390" name="Rectangle: Rounded Corners 40">
          <a:extLst>
            <a:ext uri="{FF2B5EF4-FFF2-40B4-BE49-F238E27FC236}">
              <a16:creationId xmlns:a16="http://schemas.microsoft.com/office/drawing/2014/main" id="{8CCFDD0E-5F7D-4DBB-AB0A-0B42EB818537}"/>
            </a:ext>
          </a:extLst>
        </xdr:cNvPr>
        <xdr:cNvSpPr/>
      </xdr:nvSpPr>
      <xdr:spPr>
        <a:xfrm>
          <a:off x="4823791" y="2062838"/>
          <a:ext cx="1646778" cy="24384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Requirements</a:t>
          </a:r>
        </a:p>
      </xdr:txBody>
    </xdr:sp>
    <xdr:clientData/>
  </xdr:twoCellAnchor>
  <xdr:twoCellAnchor>
    <xdr:from>
      <xdr:col>8</xdr:col>
      <xdr:colOff>27577</xdr:colOff>
      <xdr:row>9</xdr:row>
      <xdr:rowOff>36639</xdr:rowOff>
    </xdr:from>
    <xdr:to>
      <xdr:col>9</xdr:col>
      <xdr:colOff>829428</xdr:colOff>
      <xdr:row>9</xdr:row>
      <xdr:rowOff>280479</xdr:rowOff>
    </xdr:to>
    <xdr:sp macro="" textlink="">
      <xdr:nvSpPr>
        <xdr:cNvPr id="391" name="Rectangle: Rounded Corners 41">
          <a:extLst>
            <a:ext uri="{FF2B5EF4-FFF2-40B4-BE49-F238E27FC236}">
              <a16:creationId xmlns:a16="http://schemas.microsoft.com/office/drawing/2014/main" id="{F7015E3E-855B-4CEF-A6B9-172216EEEBAA}"/>
            </a:ext>
          </a:extLst>
        </xdr:cNvPr>
        <xdr:cNvSpPr/>
      </xdr:nvSpPr>
      <xdr:spPr>
        <a:xfrm>
          <a:off x="6526989" y="2071627"/>
          <a:ext cx="1653498" cy="24384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Creation</a:t>
          </a:r>
        </a:p>
      </xdr:txBody>
    </xdr:sp>
    <xdr:clientData/>
  </xdr:twoCellAnchor>
  <xdr:twoCellAnchor>
    <xdr:from>
      <xdr:col>19</xdr:col>
      <xdr:colOff>20912</xdr:colOff>
      <xdr:row>9</xdr:row>
      <xdr:rowOff>36970</xdr:rowOff>
    </xdr:from>
    <xdr:to>
      <xdr:col>19</xdr:col>
      <xdr:colOff>816178</xdr:colOff>
      <xdr:row>9</xdr:row>
      <xdr:rowOff>287047</xdr:rowOff>
    </xdr:to>
    <xdr:sp macro="" textlink="">
      <xdr:nvSpPr>
        <xdr:cNvPr id="394" name="Rectangle: Rounded Corners 44">
          <a:extLst>
            <a:ext uri="{FF2B5EF4-FFF2-40B4-BE49-F238E27FC236}">
              <a16:creationId xmlns:a16="http://schemas.microsoft.com/office/drawing/2014/main" id="{F8318E39-E0B9-452A-A2B1-5C4033B1A814}"/>
            </a:ext>
          </a:extLst>
        </xdr:cNvPr>
        <xdr:cNvSpPr/>
      </xdr:nvSpPr>
      <xdr:spPr>
        <a:xfrm>
          <a:off x="15879477" y="2071958"/>
          <a:ext cx="795266"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twoCellAnchor>
    <xdr:from>
      <xdr:col>10</xdr:col>
      <xdr:colOff>9525</xdr:colOff>
      <xdr:row>9</xdr:row>
      <xdr:rowOff>38100</xdr:rowOff>
    </xdr:from>
    <xdr:to>
      <xdr:col>15</xdr:col>
      <xdr:colOff>714375</xdr:colOff>
      <xdr:row>9</xdr:row>
      <xdr:rowOff>285750</xdr:rowOff>
    </xdr:to>
    <xdr:sp macro="" textlink="">
      <xdr:nvSpPr>
        <xdr:cNvPr id="1112" name="Rectangle: Rounded Corners 42">
          <a:extLst>
            <a:ext uri="{FF2B5EF4-FFF2-40B4-BE49-F238E27FC236}">
              <a16:creationId xmlns:a16="http://schemas.microsoft.com/office/drawing/2014/main" id="{04706348-628D-47DF-8211-A2EE5A065922}"/>
            </a:ext>
            <a:ext uri="{147F2762-F138-4A5C-976F-8EAC2B608ADB}">
              <a16:predDERef xmlns:a16="http://schemas.microsoft.com/office/drawing/2014/main" pred="{F8318E39-E0B9-452A-A2B1-5C4033B1A814}"/>
            </a:ext>
          </a:extLst>
        </xdr:cNvPr>
        <xdr:cNvSpPr/>
      </xdr:nvSpPr>
      <xdr:spPr>
        <a:xfrm>
          <a:off x="8963025" y="2438400"/>
          <a:ext cx="4848225" cy="247650"/>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l"/>
          <a:r>
            <a:rPr lang="en-US" sz="800">
              <a:solidFill>
                <a:schemeClr val="lt1"/>
              </a:solidFill>
              <a:latin typeface="+mn-lt"/>
              <a:ea typeface="+mn-lt"/>
              <a:cs typeface="+mn-lt"/>
            </a:rPr>
            <a:t>SOW Signed</a:t>
          </a:r>
        </a:p>
      </xdr:txBody>
    </xdr:sp>
    <xdr:clientData/>
  </xdr:twoCellAnchor>
  <xdr:twoCellAnchor>
    <xdr:from>
      <xdr:col>17</xdr:col>
      <xdr:colOff>12161</xdr:colOff>
      <xdr:row>10</xdr:row>
      <xdr:rowOff>32098</xdr:rowOff>
    </xdr:from>
    <xdr:to>
      <xdr:col>20</xdr:col>
      <xdr:colOff>6294</xdr:colOff>
      <xdr:row>10</xdr:row>
      <xdr:rowOff>275938</xdr:rowOff>
    </xdr:to>
    <xdr:sp macro="" textlink="">
      <xdr:nvSpPr>
        <xdr:cNvPr id="697" name="Rectangle: Rounded Corners 45">
          <a:extLst>
            <a:ext uri="{FF2B5EF4-FFF2-40B4-BE49-F238E27FC236}">
              <a16:creationId xmlns:a16="http://schemas.microsoft.com/office/drawing/2014/main" id="{8E40BFFB-8887-4F26-878D-FB5BAFAF519A}"/>
            </a:ext>
          </a:extLst>
        </xdr:cNvPr>
        <xdr:cNvSpPr/>
      </xdr:nvSpPr>
      <xdr:spPr>
        <a:xfrm>
          <a:off x="14192981" y="2379058"/>
          <a:ext cx="2523973" cy="24384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en-US" sz="800">
              <a:solidFill>
                <a:schemeClr val="lt1"/>
              </a:solidFill>
              <a:latin typeface="+mn-lt"/>
              <a:ea typeface="+mn-ea"/>
              <a:cs typeface="+mn-cs"/>
            </a:rPr>
            <a:t>Requirements</a:t>
          </a:r>
        </a:p>
      </xdr:txBody>
    </xdr:sp>
    <xdr:clientData/>
  </xdr:twoCellAnchor>
  <xdr:twoCellAnchor>
    <xdr:from>
      <xdr:col>20</xdr:col>
      <xdr:colOff>39602</xdr:colOff>
      <xdr:row>10</xdr:row>
      <xdr:rowOff>28316</xdr:rowOff>
    </xdr:from>
    <xdr:to>
      <xdr:col>21</xdr:col>
      <xdr:colOff>23876</xdr:colOff>
      <xdr:row>10</xdr:row>
      <xdr:rowOff>278393</xdr:rowOff>
    </xdr:to>
    <xdr:sp macro="" textlink="">
      <xdr:nvSpPr>
        <xdr:cNvPr id="418" name="Rectangle: Rounded Corners 46">
          <a:extLst>
            <a:ext uri="{FF2B5EF4-FFF2-40B4-BE49-F238E27FC236}">
              <a16:creationId xmlns:a16="http://schemas.microsoft.com/office/drawing/2014/main" id="{ABB19879-9BB6-4F49-B353-EB0F9694D8C2}"/>
            </a:ext>
          </a:extLst>
        </xdr:cNvPr>
        <xdr:cNvSpPr/>
      </xdr:nvSpPr>
      <xdr:spPr>
        <a:xfrm>
          <a:off x="16750262" y="2375276"/>
          <a:ext cx="822474"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Creation</a:t>
          </a:r>
        </a:p>
      </xdr:txBody>
    </xdr:sp>
    <xdr:clientData/>
  </xdr:twoCellAnchor>
  <xdr:twoCellAnchor>
    <xdr:from>
      <xdr:col>21</xdr:col>
      <xdr:colOff>48567</xdr:colOff>
      <xdr:row>10</xdr:row>
      <xdr:rowOff>28316</xdr:rowOff>
    </xdr:from>
    <xdr:to>
      <xdr:col>22</xdr:col>
      <xdr:colOff>28359</xdr:colOff>
      <xdr:row>10</xdr:row>
      <xdr:rowOff>278393</xdr:rowOff>
    </xdr:to>
    <xdr:sp macro="" textlink="">
      <xdr:nvSpPr>
        <xdr:cNvPr id="419" name="Rectangle: Rounded Corners 47">
          <a:extLst>
            <a:ext uri="{FF2B5EF4-FFF2-40B4-BE49-F238E27FC236}">
              <a16:creationId xmlns:a16="http://schemas.microsoft.com/office/drawing/2014/main" id="{486C0FBE-C99E-47F1-8C03-21B56A244BB4}"/>
            </a:ext>
          </a:extLst>
        </xdr:cNvPr>
        <xdr:cNvSpPr/>
      </xdr:nvSpPr>
      <xdr:spPr>
        <a:xfrm>
          <a:off x="17597427" y="2375276"/>
          <a:ext cx="817992"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Signed</a:t>
          </a:r>
        </a:p>
      </xdr:txBody>
    </xdr:sp>
    <xdr:clientData/>
  </xdr:twoCellAnchor>
  <xdr:twoCellAnchor>
    <xdr:from>
      <xdr:col>22</xdr:col>
      <xdr:colOff>58467</xdr:colOff>
      <xdr:row>10</xdr:row>
      <xdr:rowOff>28802</xdr:rowOff>
    </xdr:from>
    <xdr:to>
      <xdr:col>25</xdr:col>
      <xdr:colOff>29583</xdr:colOff>
      <xdr:row>10</xdr:row>
      <xdr:rowOff>278879</xdr:rowOff>
    </xdr:to>
    <xdr:sp macro="" textlink="">
      <xdr:nvSpPr>
        <xdr:cNvPr id="420" name="Rectangle: Rounded Corners 48">
          <a:extLst>
            <a:ext uri="{FF2B5EF4-FFF2-40B4-BE49-F238E27FC236}">
              <a16:creationId xmlns:a16="http://schemas.microsoft.com/office/drawing/2014/main" id="{30650B2B-7D89-44DC-AA4B-AD2F460D1A6F}"/>
            </a:ext>
          </a:extLst>
        </xdr:cNvPr>
        <xdr:cNvSpPr/>
      </xdr:nvSpPr>
      <xdr:spPr>
        <a:xfrm>
          <a:off x="22638320" y="2718214"/>
          <a:ext cx="2526057"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Delivery</a:t>
          </a:r>
        </a:p>
      </xdr:txBody>
    </xdr:sp>
    <xdr:clientData/>
  </xdr:twoCellAnchor>
  <xdr:twoCellAnchor>
    <xdr:from>
      <xdr:col>25</xdr:col>
      <xdr:colOff>55895</xdr:colOff>
      <xdr:row>10</xdr:row>
      <xdr:rowOff>27965</xdr:rowOff>
    </xdr:from>
    <xdr:to>
      <xdr:col>26</xdr:col>
      <xdr:colOff>12961</xdr:colOff>
      <xdr:row>10</xdr:row>
      <xdr:rowOff>278042</xdr:rowOff>
    </xdr:to>
    <xdr:sp macro="" textlink="">
      <xdr:nvSpPr>
        <xdr:cNvPr id="421" name="Rectangle: Rounded Corners 49">
          <a:extLst>
            <a:ext uri="{FF2B5EF4-FFF2-40B4-BE49-F238E27FC236}">
              <a16:creationId xmlns:a16="http://schemas.microsoft.com/office/drawing/2014/main" id="{55C113B9-EDF5-4FAA-99E0-82BAAB7BA027}"/>
            </a:ext>
          </a:extLst>
        </xdr:cNvPr>
        <xdr:cNvSpPr/>
      </xdr:nvSpPr>
      <xdr:spPr>
        <a:xfrm>
          <a:off x="20957555" y="2374925"/>
          <a:ext cx="795266"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twoCellAnchor>
    <xdr:from>
      <xdr:col>16</xdr:col>
      <xdr:colOff>20696</xdr:colOff>
      <xdr:row>15</xdr:row>
      <xdr:rowOff>34669</xdr:rowOff>
    </xdr:from>
    <xdr:to>
      <xdr:col>17</xdr:col>
      <xdr:colOff>838199</xdr:colOff>
      <xdr:row>15</xdr:row>
      <xdr:rowOff>284746</xdr:rowOff>
    </xdr:to>
    <xdr:sp macro="" textlink="">
      <xdr:nvSpPr>
        <xdr:cNvPr id="601" name="Rectangle: Rounded Corners 50">
          <a:extLst>
            <a:ext uri="{FF2B5EF4-FFF2-40B4-BE49-F238E27FC236}">
              <a16:creationId xmlns:a16="http://schemas.microsoft.com/office/drawing/2014/main" id="{6CE5A966-EED9-45AE-9121-267B84541C19}"/>
            </a:ext>
          </a:extLst>
        </xdr:cNvPr>
        <xdr:cNvSpPr/>
      </xdr:nvSpPr>
      <xdr:spPr>
        <a:xfrm>
          <a:off x="13348076" y="2686429"/>
          <a:ext cx="1670943" cy="250077"/>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Creation</a:t>
          </a:r>
        </a:p>
      </xdr:txBody>
    </xdr:sp>
    <xdr:clientData/>
  </xdr:twoCellAnchor>
  <xdr:twoCellAnchor>
    <xdr:from>
      <xdr:col>18</xdr:col>
      <xdr:colOff>13079</xdr:colOff>
      <xdr:row>15</xdr:row>
      <xdr:rowOff>34669</xdr:rowOff>
    </xdr:from>
    <xdr:to>
      <xdr:col>18</xdr:col>
      <xdr:colOff>835553</xdr:colOff>
      <xdr:row>15</xdr:row>
      <xdr:rowOff>284746</xdr:rowOff>
    </xdr:to>
    <xdr:sp macro="" textlink="">
      <xdr:nvSpPr>
        <xdr:cNvPr id="600" name="Rectangle: Rounded Corners 51">
          <a:extLst>
            <a:ext uri="{FF2B5EF4-FFF2-40B4-BE49-F238E27FC236}">
              <a16:creationId xmlns:a16="http://schemas.microsoft.com/office/drawing/2014/main" id="{90D051F4-FEDC-44FF-A719-E5D9D9AF1F4C}"/>
            </a:ext>
          </a:extLst>
        </xdr:cNvPr>
        <xdr:cNvSpPr/>
      </xdr:nvSpPr>
      <xdr:spPr>
        <a:xfrm>
          <a:off x="15047339" y="2686429"/>
          <a:ext cx="822474"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Signed</a:t>
          </a:r>
        </a:p>
      </xdr:txBody>
    </xdr:sp>
    <xdr:clientData/>
  </xdr:twoCellAnchor>
  <xdr:twoCellAnchor>
    <xdr:from>
      <xdr:col>19</xdr:col>
      <xdr:colOff>29254</xdr:colOff>
      <xdr:row>15</xdr:row>
      <xdr:rowOff>31980</xdr:rowOff>
    </xdr:from>
    <xdr:to>
      <xdr:col>24</xdr:col>
      <xdr:colOff>13253</xdr:colOff>
      <xdr:row>15</xdr:row>
      <xdr:rowOff>282057</xdr:rowOff>
    </xdr:to>
    <xdr:sp macro="" textlink="">
      <xdr:nvSpPr>
        <xdr:cNvPr id="602" name="Rectangle: Rounded Corners 52">
          <a:extLst>
            <a:ext uri="{FF2B5EF4-FFF2-40B4-BE49-F238E27FC236}">
              <a16:creationId xmlns:a16="http://schemas.microsoft.com/office/drawing/2014/main" id="{F66F8998-F5D4-4B74-B4F3-EF23F0C50C40}"/>
            </a:ext>
          </a:extLst>
        </xdr:cNvPr>
        <xdr:cNvSpPr/>
      </xdr:nvSpPr>
      <xdr:spPr>
        <a:xfrm>
          <a:off x="15901714" y="2683740"/>
          <a:ext cx="4174999"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Delivery</a:t>
          </a:r>
        </a:p>
      </xdr:txBody>
    </xdr:sp>
    <xdr:clientData/>
  </xdr:twoCellAnchor>
  <xdr:twoCellAnchor>
    <xdr:from>
      <xdr:col>24</xdr:col>
      <xdr:colOff>39543</xdr:colOff>
      <xdr:row>15</xdr:row>
      <xdr:rowOff>25353</xdr:rowOff>
    </xdr:from>
    <xdr:to>
      <xdr:col>24</xdr:col>
      <xdr:colOff>835979</xdr:colOff>
      <xdr:row>15</xdr:row>
      <xdr:rowOff>275430</xdr:rowOff>
    </xdr:to>
    <xdr:sp macro="" textlink="">
      <xdr:nvSpPr>
        <xdr:cNvPr id="852" name="Rectangle: Rounded Corners 53">
          <a:extLst>
            <a:ext uri="{FF2B5EF4-FFF2-40B4-BE49-F238E27FC236}">
              <a16:creationId xmlns:a16="http://schemas.microsoft.com/office/drawing/2014/main" id="{AFCD21A1-4D73-472E-A1D8-13407A7B98DC}"/>
            </a:ext>
          </a:extLst>
        </xdr:cNvPr>
        <xdr:cNvSpPr/>
      </xdr:nvSpPr>
      <xdr:spPr>
        <a:xfrm>
          <a:off x="20111519" y="2669941"/>
          <a:ext cx="796436"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twoCellAnchor>
    <xdr:from>
      <xdr:col>8</xdr:col>
      <xdr:colOff>27617</xdr:colOff>
      <xdr:row>11</xdr:row>
      <xdr:rowOff>37108</xdr:rowOff>
    </xdr:from>
    <xdr:to>
      <xdr:col>15</xdr:col>
      <xdr:colOff>705970</xdr:colOff>
      <xdr:row>11</xdr:row>
      <xdr:rowOff>268942</xdr:rowOff>
    </xdr:to>
    <xdr:sp macro="" textlink="">
      <xdr:nvSpPr>
        <xdr:cNvPr id="687" name="Rectangle: Rounded Corners 54">
          <a:extLst>
            <a:ext uri="{FF2B5EF4-FFF2-40B4-BE49-F238E27FC236}">
              <a16:creationId xmlns:a16="http://schemas.microsoft.com/office/drawing/2014/main" id="{B3FEBB9C-25A0-4048-AF7B-19A2E8F19AD1}"/>
            </a:ext>
          </a:extLst>
        </xdr:cNvPr>
        <xdr:cNvSpPr/>
      </xdr:nvSpPr>
      <xdr:spPr>
        <a:xfrm>
          <a:off x="10572352" y="3029079"/>
          <a:ext cx="6718324" cy="231834"/>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Design creation (by JDE)</a:t>
          </a:r>
        </a:p>
      </xdr:txBody>
    </xdr:sp>
    <xdr:clientData/>
  </xdr:twoCellAnchor>
  <xdr:twoCellAnchor>
    <xdr:from>
      <xdr:col>7</xdr:col>
      <xdr:colOff>21827</xdr:colOff>
      <xdr:row>12</xdr:row>
      <xdr:rowOff>37107</xdr:rowOff>
    </xdr:from>
    <xdr:to>
      <xdr:col>10</xdr:col>
      <xdr:colOff>827481</xdr:colOff>
      <xdr:row>12</xdr:row>
      <xdr:rowOff>280947</xdr:rowOff>
    </xdr:to>
    <xdr:sp macro="" textlink="">
      <xdr:nvSpPr>
        <xdr:cNvPr id="689" name="Rectangle: Rounded Corners 55">
          <a:extLst>
            <a:ext uri="{FF2B5EF4-FFF2-40B4-BE49-F238E27FC236}">
              <a16:creationId xmlns:a16="http://schemas.microsoft.com/office/drawing/2014/main" id="{6CB1A4ED-3DE6-4CB2-B83C-1DCFF9825F8C}"/>
            </a:ext>
          </a:extLst>
        </xdr:cNvPr>
        <xdr:cNvSpPr/>
      </xdr:nvSpPr>
      <xdr:spPr>
        <a:xfrm>
          <a:off x="5669592" y="2986495"/>
          <a:ext cx="3360595" cy="24384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Design creation (by JDE)</a:t>
          </a:r>
        </a:p>
      </xdr:txBody>
    </xdr:sp>
    <xdr:clientData/>
  </xdr:twoCellAnchor>
  <xdr:twoCellAnchor>
    <xdr:from>
      <xdr:col>7</xdr:col>
      <xdr:colOff>21826</xdr:colOff>
      <xdr:row>13</xdr:row>
      <xdr:rowOff>37107</xdr:rowOff>
    </xdr:from>
    <xdr:to>
      <xdr:col>17</xdr:col>
      <xdr:colOff>828261</xdr:colOff>
      <xdr:row>13</xdr:row>
      <xdr:rowOff>280947</xdr:rowOff>
    </xdr:to>
    <xdr:sp macro="" textlink="">
      <xdr:nvSpPr>
        <xdr:cNvPr id="748" name="Rectangle: Rounded Corners 56">
          <a:extLst>
            <a:ext uri="{FF2B5EF4-FFF2-40B4-BE49-F238E27FC236}">
              <a16:creationId xmlns:a16="http://schemas.microsoft.com/office/drawing/2014/main" id="{DD2B2FB4-06C2-4790-9B87-11E88451480B}"/>
            </a:ext>
          </a:extLst>
        </xdr:cNvPr>
        <xdr:cNvSpPr/>
      </xdr:nvSpPr>
      <xdr:spPr>
        <a:xfrm>
          <a:off x="5667252" y="3310394"/>
          <a:ext cx="9354087" cy="24384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Design creation (by JDE)</a:t>
          </a:r>
        </a:p>
      </xdr:txBody>
    </xdr:sp>
    <xdr:clientData/>
  </xdr:twoCellAnchor>
  <xdr:twoCellAnchor>
    <xdr:from>
      <xdr:col>16</xdr:col>
      <xdr:colOff>7640</xdr:colOff>
      <xdr:row>11</xdr:row>
      <xdr:rowOff>39270</xdr:rowOff>
    </xdr:from>
    <xdr:to>
      <xdr:col>18</xdr:col>
      <xdr:colOff>838666</xdr:colOff>
      <xdr:row>11</xdr:row>
      <xdr:rowOff>283110</xdr:rowOff>
    </xdr:to>
    <xdr:sp macro="" textlink="">
      <xdr:nvSpPr>
        <xdr:cNvPr id="714" name="Rectangle: Rounded Corners 59">
          <a:extLst>
            <a:ext uri="{FF2B5EF4-FFF2-40B4-BE49-F238E27FC236}">
              <a16:creationId xmlns:a16="http://schemas.microsoft.com/office/drawing/2014/main" id="{B1621975-B844-40E8-A510-3B7A06D1F78E}"/>
            </a:ext>
          </a:extLst>
        </xdr:cNvPr>
        <xdr:cNvSpPr/>
      </xdr:nvSpPr>
      <xdr:spPr>
        <a:xfrm>
          <a:off x="17455199" y="3031241"/>
          <a:ext cx="2556732" cy="24384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en-US" sz="800">
              <a:solidFill>
                <a:schemeClr val="lt1"/>
              </a:solidFill>
              <a:latin typeface="+mn-lt"/>
              <a:ea typeface="+mn-ea"/>
              <a:cs typeface="+mn-cs"/>
            </a:rPr>
            <a:t>Review</a:t>
          </a:r>
        </a:p>
      </xdr:txBody>
    </xdr:sp>
    <xdr:clientData/>
  </xdr:twoCellAnchor>
  <xdr:twoCellAnchor>
    <xdr:from>
      <xdr:col>19</xdr:col>
      <xdr:colOff>31045</xdr:colOff>
      <xdr:row>11</xdr:row>
      <xdr:rowOff>37825</xdr:rowOff>
    </xdr:from>
    <xdr:to>
      <xdr:col>19</xdr:col>
      <xdr:colOff>823136</xdr:colOff>
      <xdr:row>11</xdr:row>
      <xdr:rowOff>287902</xdr:rowOff>
    </xdr:to>
    <xdr:sp macro="" textlink="">
      <xdr:nvSpPr>
        <xdr:cNvPr id="715" name="Rectangle: Rounded Corners 60">
          <a:extLst>
            <a:ext uri="{FF2B5EF4-FFF2-40B4-BE49-F238E27FC236}">
              <a16:creationId xmlns:a16="http://schemas.microsoft.com/office/drawing/2014/main" id="{ABDF4D00-4ABA-4A7D-ACA4-EC173BB944B7}"/>
            </a:ext>
          </a:extLst>
        </xdr:cNvPr>
        <xdr:cNvSpPr/>
      </xdr:nvSpPr>
      <xdr:spPr>
        <a:xfrm>
          <a:off x="20055957" y="3029796"/>
          <a:ext cx="792091"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twoCellAnchor>
    <xdr:from>
      <xdr:col>15</xdr:col>
      <xdr:colOff>445604</xdr:colOff>
      <xdr:row>12</xdr:row>
      <xdr:rowOff>27130</xdr:rowOff>
    </xdr:from>
    <xdr:to>
      <xdr:col>18</xdr:col>
      <xdr:colOff>413777</xdr:colOff>
      <xdr:row>12</xdr:row>
      <xdr:rowOff>277320</xdr:rowOff>
    </xdr:to>
    <xdr:sp macro="" textlink="">
      <xdr:nvSpPr>
        <xdr:cNvPr id="721" name="Rectangle: Rounded Corners 62">
          <a:extLst>
            <a:ext uri="{FF2B5EF4-FFF2-40B4-BE49-F238E27FC236}">
              <a16:creationId xmlns:a16="http://schemas.microsoft.com/office/drawing/2014/main" id="{AEA79CF5-5419-4E86-823A-773E9ADD27A6}"/>
            </a:ext>
          </a:extLst>
        </xdr:cNvPr>
        <xdr:cNvSpPr/>
      </xdr:nvSpPr>
      <xdr:spPr>
        <a:xfrm>
          <a:off x="17030310" y="3321659"/>
          <a:ext cx="2556732" cy="25019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en-US" sz="800">
              <a:solidFill>
                <a:schemeClr val="lt1"/>
              </a:solidFill>
              <a:latin typeface="+mn-lt"/>
              <a:ea typeface="+mn-ea"/>
              <a:cs typeface="+mn-cs"/>
            </a:rPr>
            <a:t>Review</a:t>
          </a:r>
        </a:p>
      </xdr:txBody>
    </xdr:sp>
    <xdr:clientData/>
  </xdr:twoCellAnchor>
  <xdr:twoCellAnchor>
    <xdr:from>
      <xdr:col>18</xdr:col>
      <xdr:colOff>451453</xdr:colOff>
      <xdr:row>12</xdr:row>
      <xdr:rowOff>25685</xdr:rowOff>
    </xdr:from>
    <xdr:to>
      <xdr:col>19</xdr:col>
      <xdr:colOff>401422</xdr:colOff>
      <xdr:row>12</xdr:row>
      <xdr:rowOff>275762</xdr:rowOff>
    </xdr:to>
    <xdr:sp macro="" textlink="">
      <xdr:nvSpPr>
        <xdr:cNvPr id="720" name="Rectangle: Rounded Corners 63">
          <a:extLst>
            <a:ext uri="{FF2B5EF4-FFF2-40B4-BE49-F238E27FC236}">
              <a16:creationId xmlns:a16="http://schemas.microsoft.com/office/drawing/2014/main" id="{6C303A40-ABC4-4785-9B40-99A3252047C1}"/>
            </a:ext>
          </a:extLst>
        </xdr:cNvPr>
        <xdr:cNvSpPr/>
      </xdr:nvSpPr>
      <xdr:spPr>
        <a:xfrm>
          <a:off x="19624718" y="3320214"/>
          <a:ext cx="801616"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twoCellAnchor>
    <xdr:from>
      <xdr:col>18</xdr:col>
      <xdr:colOff>21704</xdr:colOff>
      <xdr:row>13</xdr:row>
      <xdr:rowOff>36931</xdr:rowOff>
    </xdr:from>
    <xdr:to>
      <xdr:col>20</xdr:col>
      <xdr:colOff>821635</xdr:colOff>
      <xdr:row>13</xdr:row>
      <xdr:rowOff>280771</xdr:rowOff>
    </xdr:to>
    <xdr:sp macro="" textlink="">
      <xdr:nvSpPr>
        <xdr:cNvPr id="757" name="Rectangle: Rounded Corners 64">
          <a:extLst>
            <a:ext uri="{FF2B5EF4-FFF2-40B4-BE49-F238E27FC236}">
              <a16:creationId xmlns:a16="http://schemas.microsoft.com/office/drawing/2014/main" id="{6ACC6090-9AE8-4F08-ADF8-D96CCC26E946}"/>
            </a:ext>
          </a:extLst>
        </xdr:cNvPr>
        <xdr:cNvSpPr/>
      </xdr:nvSpPr>
      <xdr:spPr>
        <a:xfrm>
          <a:off x="15069547" y="3310218"/>
          <a:ext cx="2482958" cy="24384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en-US" sz="800">
              <a:solidFill>
                <a:schemeClr val="lt1"/>
              </a:solidFill>
              <a:latin typeface="+mn-lt"/>
              <a:ea typeface="+mn-ea"/>
              <a:cs typeface="+mn-cs"/>
            </a:rPr>
            <a:t>Review</a:t>
          </a:r>
        </a:p>
      </xdr:txBody>
    </xdr:sp>
    <xdr:clientData/>
  </xdr:twoCellAnchor>
  <xdr:twoCellAnchor>
    <xdr:from>
      <xdr:col>21</xdr:col>
      <xdr:colOff>27524</xdr:colOff>
      <xdr:row>13</xdr:row>
      <xdr:rowOff>28860</xdr:rowOff>
    </xdr:from>
    <xdr:to>
      <xdr:col>21</xdr:col>
      <xdr:colOff>827272</xdr:colOff>
      <xdr:row>13</xdr:row>
      <xdr:rowOff>278937</xdr:rowOff>
    </xdr:to>
    <xdr:sp macro="" textlink="">
      <xdr:nvSpPr>
        <xdr:cNvPr id="763" name="Rectangle: Rounded Corners 65">
          <a:extLst>
            <a:ext uri="{FF2B5EF4-FFF2-40B4-BE49-F238E27FC236}">
              <a16:creationId xmlns:a16="http://schemas.microsoft.com/office/drawing/2014/main" id="{87504BBB-D692-4034-A96E-C88567F748F9}"/>
            </a:ext>
          </a:extLst>
        </xdr:cNvPr>
        <xdr:cNvSpPr/>
      </xdr:nvSpPr>
      <xdr:spPr>
        <a:xfrm>
          <a:off x="17571453" y="3283048"/>
          <a:ext cx="799748"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oneCellAnchor>
    <xdr:from>
      <xdr:col>15</xdr:col>
      <xdr:colOff>781322</xdr:colOff>
      <xdr:row>46</xdr:row>
      <xdr:rowOff>99061</xdr:rowOff>
    </xdr:from>
    <xdr:ext cx="640047" cy="311496"/>
    <xdr:sp macro="" textlink="">
      <xdr:nvSpPr>
        <xdr:cNvPr id="1101" name="TextBox 67">
          <a:extLst>
            <a:ext uri="{FF2B5EF4-FFF2-40B4-BE49-F238E27FC236}">
              <a16:creationId xmlns:a16="http://schemas.microsoft.com/office/drawing/2014/main" id="{07EC082D-AB40-4345-A526-0FC24B0C5DE4}"/>
            </a:ext>
            <a:ext uri="{147F2762-F138-4A5C-976F-8EAC2B608ADB}">
              <a16:predDERef xmlns:a16="http://schemas.microsoft.com/office/drawing/2014/main" pred="{87504BBB-D692-4034-A96E-C88567F748F9}"/>
            </a:ext>
          </a:extLst>
        </xdr:cNvPr>
        <xdr:cNvSpPr txBox="1"/>
      </xdr:nvSpPr>
      <xdr:spPr>
        <a:xfrm>
          <a:off x="13878197" y="15453361"/>
          <a:ext cx="64004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FF0000"/>
              </a:solidFill>
            </a:rPr>
            <a:t>Today</a:t>
          </a:r>
        </a:p>
      </xdr:txBody>
    </xdr:sp>
    <xdr:clientData/>
  </xdr:oneCellAnchor>
  <xdr:twoCellAnchor>
    <xdr:from>
      <xdr:col>7</xdr:col>
      <xdr:colOff>17566</xdr:colOff>
      <xdr:row>14</xdr:row>
      <xdr:rowOff>22908</xdr:rowOff>
    </xdr:from>
    <xdr:to>
      <xdr:col>17</xdr:col>
      <xdr:colOff>828261</xdr:colOff>
      <xdr:row>14</xdr:row>
      <xdr:rowOff>266748</xdr:rowOff>
    </xdr:to>
    <xdr:sp macro="" textlink="">
      <xdr:nvSpPr>
        <xdr:cNvPr id="749" name="Rectangle: Rounded Corners 69">
          <a:extLst>
            <a:ext uri="{FF2B5EF4-FFF2-40B4-BE49-F238E27FC236}">
              <a16:creationId xmlns:a16="http://schemas.microsoft.com/office/drawing/2014/main" id="{B062F4BF-149A-4FFB-A835-DB95D3D57139}"/>
            </a:ext>
          </a:extLst>
        </xdr:cNvPr>
        <xdr:cNvSpPr/>
      </xdr:nvSpPr>
      <xdr:spPr>
        <a:xfrm>
          <a:off x="5662992" y="3600995"/>
          <a:ext cx="9358347" cy="24384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Design creation (by JDE)</a:t>
          </a:r>
        </a:p>
      </xdr:txBody>
    </xdr:sp>
    <xdr:clientData/>
  </xdr:twoCellAnchor>
  <xdr:twoCellAnchor>
    <xdr:from>
      <xdr:col>18</xdr:col>
      <xdr:colOff>21704</xdr:colOff>
      <xdr:row>14</xdr:row>
      <xdr:rowOff>31084</xdr:rowOff>
    </xdr:from>
    <xdr:to>
      <xdr:col>20</xdr:col>
      <xdr:colOff>821635</xdr:colOff>
      <xdr:row>14</xdr:row>
      <xdr:rowOff>274924</xdr:rowOff>
    </xdr:to>
    <xdr:sp macro="" textlink="">
      <xdr:nvSpPr>
        <xdr:cNvPr id="759" name="Rectangle: Rounded Corners 71">
          <a:extLst>
            <a:ext uri="{FF2B5EF4-FFF2-40B4-BE49-F238E27FC236}">
              <a16:creationId xmlns:a16="http://schemas.microsoft.com/office/drawing/2014/main" id="{035DB121-0C6E-4E3F-A5B7-448E4864658E}"/>
            </a:ext>
          </a:extLst>
        </xdr:cNvPr>
        <xdr:cNvSpPr/>
      </xdr:nvSpPr>
      <xdr:spPr>
        <a:xfrm>
          <a:off x="15069547" y="3609171"/>
          <a:ext cx="2482958" cy="24384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en-US" sz="800">
              <a:solidFill>
                <a:schemeClr val="lt1"/>
              </a:solidFill>
              <a:latin typeface="+mn-lt"/>
              <a:ea typeface="+mn-ea"/>
              <a:cs typeface="+mn-cs"/>
            </a:rPr>
            <a:t>Review</a:t>
          </a:r>
        </a:p>
      </xdr:txBody>
    </xdr:sp>
    <xdr:clientData/>
  </xdr:twoCellAnchor>
  <xdr:twoCellAnchor>
    <xdr:from>
      <xdr:col>21</xdr:col>
      <xdr:colOff>27524</xdr:colOff>
      <xdr:row>14</xdr:row>
      <xdr:rowOff>23013</xdr:rowOff>
    </xdr:from>
    <xdr:to>
      <xdr:col>21</xdr:col>
      <xdr:colOff>827272</xdr:colOff>
      <xdr:row>14</xdr:row>
      <xdr:rowOff>273090</xdr:rowOff>
    </xdr:to>
    <xdr:sp macro="" textlink="">
      <xdr:nvSpPr>
        <xdr:cNvPr id="764" name="Rectangle: Rounded Corners 72">
          <a:extLst>
            <a:ext uri="{FF2B5EF4-FFF2-40B4-BE49-F238E27FC236}">
              <a16:creationId xmlns:a16="http://schemas.microsoft.com/office/drawing/2014/main" id="{02DA7311-D1CC-4EF6-947B-E9B3BF2A259F}"/>
            </a:ext>
          </a:extLst>
        </xdr:cNvPr>
        <xdr:cNvSpPr/>
      </xdr:nvSpPr>
      <xdr:spPr>
        <a:xfrm>
          <a:off x="17599907" y="3601100"/>
          <a:ext cx="799748"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twoCellAnchor>
    <xdr:from>
      <xdr:col>22</xdr:col>
      <xdr:colOff>23681</xdr:colOff>
      <xdr:row>13</xdr:row>
      <xdr:rowOff>28220</xdr:rowOff>
    </xdr:from>
    <xdr:to>
      <xdr:col>22</xdr:col>
      <xdr:colOff>823429</xdr:colOff>
      <xdr:row>13</xdr:row>
      <xdr:rowOff>278297</xdr:rowOff>
    </xdr:to>
    <xdr:sp macro="" textlink="">
      <xdr:nvSpPr>
        <xdr:cNvPr id="778" name="Rectangle: Rounded Corners 73">
          <a:extLst>
            <a:ext uri="{FF2B5EF4-FFF2-40B4-BE49-F238E27FC236}">
              <a16:creationId xmlns:a16="http://schemas.microsoft.com/office/drawing/2014/main" id="{1B6CF6F0-E798-4CCA-ACA6-F8C3E1C5BE55}"/>
            </a:ext>
          </a:extLst>
        </xdr:cNvPr>
        <xdr:cNvSpPr/>
      </xdr:nvSpPr>
      <xdr:spPr>
        <a:xfrm>
          <a:off x="18366110" y="3304820"/>
          <a:ext cx="799748"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Commitment</a:t>
          </a:r>
        </a:p>
      </xdr:txBody>
    </xdr:sp>
    <xdr:clientData/>
  </xdr:twoCellAnchor>
  <xdr:twoCellAnchor>
    <xdr:from>
      <xdr:col>22</xdr:col>
      <xdr:colOff>23681</xdr:colOff>
      <xdr:row>14</xdr:row>
      <xdr:rowOff>22373</xdr:rowOff>
    </xdr:from>
    <xdr:to>
      <xdr:col>22</xdr:col>
      <xdr:colOff>823429</xdr:colOff>
      <xdr:row>14</xdr:row>
      <xdr:rowOff>272450</xdr:rowOff>
    </xdr:to>
    <xdr:sp macro="" textlink="">
      <xdr:nvSpPr>
        <xdr:cNvPr id="780" name="Rectangle: Rounded Corners 74">
          <a:extLst>
            <a:ext uri="{FF2B5EF4-FFF2-40B4-BE49-F238E27FC236}">
              <a16:creationId xmlns:a16="http://schemas.microsoft.com/office/drawing/2014/main" id="{26653E86-D798-4696-8277-1AF1063DA78E}"/>
            </a:ext>
          </a:extLst>
        </xdr:cNvPr>
        <xdr:cNvSpPr/>
      </xdr:nvSpPr>
      <xdr:spPr>
        <a:xfrm>
          <a:off x="18366110" y="3603773"/>
          <a:ext cx="799748"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en-US" sz="800">
              <a:solidFill>
                <a:schemeClr val="lt1"/>
              </a:solidFill>
              <a:latin typeface="+mn-lt"/>
              <a:ea typeface="+mn-ea"/>
              <a:cs typeface="+mn-cs"/>
            </a:rPr>
            <a:t>Commitment</a:t>
          </a:r>
        </a:p>
      </xdr:txBody>
    </xdr:sp>
    <xdr:clientData/>
  </xdr:twoCellAnchor>
  <xdr:twoCellAnchor>
    <xdr:from>
      <xdr:col>25</xdr:col>
      <xdr:colOff>23681</xdr:colOff>
      <xdr:row>15</xdr:row>
      <xdr:rowOff>28220</xdr:rowOff>
    </xdr:from>
    <xdr:to>
      <xdr:col>25</xdr:col>
      <xdr:colOff>823429</xdr:colOff>
      <xdr:row>15</xdr:row>
      <xdr:rowOff>278297</xdr:rowOff>
    </xdr:to>
    <xdr:sp macro="" textlink="">
      <xdr:nvSpPr>
        <xdr:cNvPr id="779" name="Rectangle: Rounded Corners 75">
          <a:extLst>
            <a:ext uri="{FF2B5EF4-FFF2-40B4-BE49-F238E27FC236}">
              <a16:creationId xmlns:a16="http://schemas.microsoft.com/office/drawing/2014/main" id="{27B67CA0-88AE-4095-A8C0-9AD196171CF6}"/>
            </a:ext>
          </a:extLst>
        </xdr:cNvPr>
        <xdr:cNvSpPr/>
      </xdr:nvSpPr>
      <xdr:spPr>
        <a:xfrm>
          <a:off x="20880710" y="3914420"/>
          <a:ext cx="799748"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Commitment</a:t>
          </a:r>
        </a:p>
      </xdr:txBody>
    </xdr:sp>
    <xdr:clientData/>
  </xdr:twoCellAnchor>
  <xdr:twoCellAnchor>
    <xdr:from>
      <xdr:col>32</xdr:col>
      <xdr:colOff>0</xdr:colOff>
      <xdr:row>0</xdr:row>
      <xdr:rowOff>53340</xdr:rowOff>
    </xdr:from>
    <xdr:to>
      <xdr:col>32</xdr:col>
      <xdr:colOff>7620</xdr:colOff>
      <xdr:row>47</xdr:row>
      <xdr:rowOff>112643</xdr:rowOff>
    </xdr:to>
    <xdr:cxnSp macro="">
      <xdr:nvCxnSpPr>
        <xdr:cNvPr id="908" name="Straight Connector 2">
          <a:extLst>
            <a:ext uri="{FF2B5EF4-FFF2-40B4-BE49-F238E27FC236}">
              <a16:creationId xmlns:a16="http://schemas.microsoft.com/office/drawing/2014/main" id="{CC125CFC-3C94-D464-ED88-3D982C77CA4A}"/>
            </a:ext>
          </a:extLst>
        </xdr:cNvPr>
        <xdr:cNvCxnSpPr/>
      </xdr:nvCxnSpPr>
      <xdr:spPr>
        <a:xfrm flipH="1">
          <a:off x="19096383" y="53340"/>
          <a:ext cx="7620" cy="6122173"/>
        </a:xfrm>
        <a:prstGeom prst="line">
          <a:avLst/>
        </a:prstGeom>
        <a:ln w="3810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19879</xdr:colOff>
      <xdr:row>19</xdr:row>
      <xdr:rowOff>39595</xdr:rowOff>
    </xdr:from>
    <xdr:to>
      <xdr:col>19</xdr:col>
      <xdr:colOff>821635</xdr:colOff>
      <xdr:row>19</xdr:row>
      <xdr:rowOff>283435</xdr:rowOff>
    </xdr:to>
    <xdr:sp macro="" textlink="">
      <xdr:nvSpPr>
        <xdr:cNvPr id="825" name="Rectangle: Rounded Corners 76">
          <a:extLst>
            <a:ext uri="{FF2B5EF4-FFF2-40B4-BE49-F238E27FC236}">
              <a16:creationId xmlns:a16="http://schemas.microsoft.com/office/drawing/2014/main" id="{1B1CD091-FB43-484B-917C-A25839AF44B5}"/>
            </a:ext>
          </a:extLst>
        </xdr:cNvPr>
        <xdr:cNvSpPr/>
      </xdr:nvSpPr>
      <xdr:spPr>
        <a:xfrm>
          <a:off x="9806609" y="5141682"/>
          <a:ext cx="8481391" cy="24384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Requirements</a:t>
          </a:r>
        </a:p>
      </xdr:txBody>
    </xdr:sp>
    <xdr:clientData/>
  </xdr:twoCellAnchor>
  <xdr:twoCellAnchor>
    <xdr:from>
      <xdr:col>14</xdr:col>
      <xdr:colOff>33132</xdr:colOff>
      <xdr:row>19</xdr:row>
      <xdr:rowOff>345799</xdr:rowOff>
    </xdr:from>
    <xdr:to>
      <xdr:col>17</xdr:col>
      <xdr:colOff>841514</xdr:colOff>
      <xdr:row>19</xdr:row>
      <xdr:rowOff>589639</xdr:rowOff>
    </xdr:to>
    <xdr:sp macro="" textlink="">
      <xdr:nvSpPr>
        <xdr:cNvPr id="871" name="Rectangle: Rounded Corners 77">
          <a:extLst>
            <a:ext uri="{FF2B5EF4-FFF2-40B4-BE49-F238E27FC236}">
              <a16:creationId xmlns:a16="http://schemas.microsoft.com/office/drawing/2014/main" id="{66E73255-40B4-48C7-9976-FAD626FB4EF6}"/>
            </a:ext>
          </a:extLst>
        </xdr:cNvPr>
        <xdr:cNvSpPr/>
      </xdr:nvSpPr>
      <xdr:spPr>
        <a:xfrm>
          <a:off x="13220214" y="5428787"/>
          <a:ext cx="3363324" cy="24384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Creation</a:t>
          </a:r>
        </a:p>
      </xdr:txBody>
    </xdr:sp>
    <xdr:clientData/>
  </xdr:twoCellAnchor>
  <xdr:twoCellAnchor>
    <xdr:from>
      <xdr:col>18</xdr:col>
      <xdr:colOff>26504</xdr:colOff>
      <xdr:row>19</xdr:row>
      <xdr:rowOff>343371</xdr:rowOff>
    </xdr:from>
    <xdr:to>
      <xdr:col>18</xdr:col>
      <xdr:colOff>821635</xdr:colOff>
      <xdr:row>19</xdr:row>
      <xdr:rowOff>593448</xdr:rowOff>
    </xdr:to>
    <xdr:sp macro="" textlink="">
      <xdr:nvSpPr>
        <xdr:cNvPr id="868" name="Rectangle: Rounded Corners 78">
          <a:extLst>
            <a:ext uri="{FF2B5EF4-FFF2-40B4-BE49-F238E27FC236}">
              <a16:creationId xmlns:a16="http://schemas.microsoft.com/office/drawing/2014/main" id="{F04D4095-F963-48E9-8BA4-E88EDEB6A649}"/>
            </a:ext>
          </a:extLst>
        </xdr:cNvPr>
        <xdr:cNvSpPr/>
      </xdr:nvSpPr>
      <xdr:spPr>
        <a:xfrm>
          <a:off x="16620175" y="5426359"/>
          <a:ext cx="795131"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Signed</a:t>
          </a:r>
        </a:p>
      </xdr:txBody>
    </xdr:sp>
    <xdr:clientData/>
  </xdr:twoCellAnchor>
  <xdr:twoCellAnchor>
    <xdr:from>
      <xdr:col>19</xdr:col>
      <xdr:colOff>17150</xdr:colOff>
      <xdr:row>19</xdr:row>
      <xdr:rowOff>344221</xdr:rowOff>
    </xdr:from>
    <xdr:to>
      <xdr:col>22</xdr:col>
      <xdr:colOff>821635</xdr:colOff>
      <xdr:row>19</xdr:row>
      <xdr:rowOff>588061</xdr:rowOff>
    </xdr:to>
    <xdr:sp macro="" textlink="">
      <xdr:nvSpPr>
        <xdr:cNvPr id="869" name="Rectangle: Rounded Corners 81">
          <a:extLst>
            <a:ext uri="{FF2B5EF4-FFF2-40B4-BE49-F238E27FC236}">
              <a16:creationId xmlns:a16="http://schemas.microsoft.com/office/drawing/2014/main" id="{65ACBCA8-C06E-41AC-8476-0CBC67474663}"/>
            </a:ext>
          </a:extLst>
        </xdr:cNvPr>
        <xdr:cNvSpPr/>
      </xdr:nvSpPr>
      <xdr:spPr>
        <a:xfrm>
          <a:off x="17453503" y="5427209"/>
          <a:ext cx="3332532" cy="24384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Delivery</a:t>
          </a:r>
        </a:p>
      </xdr:txBody>
    </xdr:sp>
    <xdr:clientData/>
  </xdr:twoCellAnchor>
  <xdr:twoCellAnchor>
    <xdr:from>
      <xdr:col>23</xdr:col>
      <xdr:colOff>20522</xdr:colOff>
      <xdr:row>19</xdr:row>
      <xdr:rowOff>337227</xdr:rowOff>
    </xdr:from>
    <xdr:to>
      <xdr:col>23</xdr:col>
      <xdr:colOff>816958</xdr:colOff>
      <xdr:row>19</xdr:row>
      <xdr:rowOff>587304</xdr:rowOff>
    </xdr:to>
    <xdr:sp macro="" textlink="">
      <xdr:nvSpPr>
        <xdr:cNvPr id="870" name="Rectangle: Rounded Corners 83">
          <a:extLst>
            <a:ext uri="{FF2B5EF4-FFF2-40B4-BE49-F238E27FC236}">
              <a16:creationId xmlns:a16="http://schemas.microsoft.com/office/drawing/2014/main" id="{59563B24-EE67-44F8-B03A-982773492378}"/>
            </a:ext>
          </a:extLst>
        </xdr:cNvPr>
        <xdr:cNvSpPr/>
      </xdr:nvSpPr>
      <xdr:spPr>
        <a:xfrm>
          <a:off x="20827604" y="5420215"/>
          <a:ext cx="796436"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twoCellAnchor>
    <xdr:from>
      <xdr:col>14</xdr:col>
      <xdr:colOff>219262</xdr:colOff>
      <xdr:row>20</xdr:row>
      <xdr:rowOff>33616</xdr:rowOff>
    </xdr:from>
    <xdr:to>
      <xdr:col>17</xdr:col>
      <xdr:colOff>78442</xdr:colOff>
      <xdr:row>20</xdr:row>
      <xdr:rowOff>273797</xdr:rowOff>
    </xdr:to>
    <xdr:sp macro="" textlink="">
      <xdr:nvSpPr>
        <xdr:cNvPr id="934" name="Rectangle: Rounded Corners 96">
          <a:extLst>
            <a:ext uri="{FF2B5EF4-FFF2-40B4-BE49-F238E27FC236}">
              <a16:creationId xmlns:a16="http://schemas.microsoft.com/office/drawing/2014/main" id="{A46494D5-C59F-42D1-B620-19D134564F0D}"/>
            </a:ext>
          </a:extLst>
        </xdr:cNvPr>
        <xdr:cNvSpPr/>
      </xdr:nvSpPr>
      <xdr:spPr>
        <a:xfrm>
          <a:off x="15941115" y="5983940"/>
          <a:ext cx="2447739" cy="240181"/>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Requirements</a:t>
          </a:r>
        </a:p>
      </xdr:txBody>
    </xdr:sp>
    <xdr:clientData/>
  </xdr:twoCellAnchor>
  <xdr:twoCellAnchor>
    <xdr:from>
      <xdr:col>17</xdr:col>
      <xdr:colOff>163234</xdr:colOff>
      <xdr:row>20</xdr:row>
      <xdr:rowOff>48232</xdr:rowOff>
    </xdr:from>
    <xdr:to>
      <xdr:col>18</xdr:col>
      <xdr:colOff>806823</xdr:colOff>
      <xdr:row>20</xdr:row>
      <xdr:rowOff>268941</xdr:rowOff>
    </xdr:to>
    <xdr:sp macro="" textlink="">
      <xdr:nvSpPr>
        <xdr:cNvPr id="933" name="Rectangle: Rounded Corners 97">
          <a:extLst>
            <a:ext uri="{FF2B5EF4-FFF2-40B4-BE49-F238E27FC236}">
              <a16:creationId xmlns:a16="http://schemas.microsoft.com/office/drawing/2014/main" id="{1331EA07-C8B7-40A8-A081-BFBFBA0E653E}"/>
            </a:ext>
          </a:extLst>
        </xdr:cNvPr>
        <xdr:cNvSpPr/>
      </xdr:nvSpPr>
      <xdr:spPr>
        <a:xfrm>
          <a:off x="18473646" y="5998556"/>
          <a:ext cx="1506442" cy="220709"/>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Creation</a:t>
          </a:r>
        </a:p>
      </xdr:txBody>
    </xdr:sp>
    <xdr:clientData/>
  </xdr:twoCellAnchor>
  <xdr:twoCellAnchor>
    <xdr:from>
      <xdr:col>19</xdr:col>
      <xdr:colOff>62381</xdr:colOff>
      <xdr:row>20</xdr:row>
      <xdr:rowOff>44736</xdr:rowOff>
    </xdr:from>
    <xdr:to>
      <xdr:col>20</xdr:col>
      <xdr:colOff>649942</xdr:colOff>
      <xdr:row>20</xdr:row>
      <xdr:rowOff>254559</xdr:rowOff>
    </xdr:to>
    <xdr:sp macro="" textlink="">
      <xdr:nvSpPr>
        <xdr:cNvPr id="929" name="Rectangle: Rounded Corners 98">
          <a:extLst>
            <a:ext uri="{FF2B5EF4-FFF2-40B4-BE49-F238E27FC236}">
              <a16:creationId xmlns:a16="http://schemas.microsoft.com/office/drawing/2014/main" id="{3D2DF15D-7E05-4E7B-A9DE-DE1E662F2526}"/>
            </a:ext>
          </a:extLst>
        </xdr:cNvPr>
        <xdr:cNvSpPr/>
      </xdr:nvSpPr>
      <xdr:spPr>
        <a:xfrm>
          <a:off x="20087293" y="5995060"/>
          <a:ext cx="1439208" cy="209823"/>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Signed</a:t>
          </a:r>
        </a:p>
      </xdr:txBody>
    </xdr:sp>
    <xdr:clientData/>
  </xdr:twoCellAnchor>
  <xdr:twoCellAnchor>
    <xdr:from>
      <xdr:col>32</xdr:col>
      <xdr:colOff>46290</xdr:colOff>
      <xdr:row>20</xdr:row>
      <xdr:rowOff>37364</xdr:rowOff>
    </xdr:from>
    <xdr:to>
      <xdr:col>54</xdr:col>
      <xdr:colOff>830580</xdr:colOff>
      <xdr:row>20</xdr:row>
      <xdr:rowOff>287441</xdr:rowOff>
    </xdr:to>
    <xdr:sp macro="" textlink="">
      <xdr:nvSpPr>
        <xdr:cNvPr id="1029" name="Rectangle: Rounded Corners 99">
          <a:extLst>
            <a:ext uri="{FF2B5EF4-FFF2-40B4-BE49-F238E27FC236}">
              <a16:creationId xmlns:a16="http://schemas.microsoft.com/office/drawing/2014/main" id="{A42AC9D8-3BCA-4159-B19A-298379CF612F}"/>
            </a:ext>
          </a:extLst>
        </xdr:cNvPr>
        <xdr:cNvSpPr/>
      </xdr:nvSpPr>
      <xdr:spPr>
        <a:xfrm>
          <a:off x="28437514" y="5774776"/>
          <a:ext cx="19323301"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Delivery</a:t>
          </a:r>
        </a:p>
      </xdr:txBody>
    </xdr:sp>
    <xdr:clientData/>
  </xdr:twoCellAnchor>
  <xdr:twoCellAnchor>
    <xdr:from>
      <xdr:col>55</xdr:col>
      <xdr:colOff>29918</xdr:colOff>
      <xdr:row>20</xdr:row>
      <xdr:rowOff>37723</xdr:rowOff>
    </xdr:from>
    <xdr:to>
      <xdr:col>55</xdr:col>
      <xdr:colOff>826354</xdr:colOff>
      <xdr:row>20</xdr:row>
      <xdr:rowOff>287800</xdr:rowOff>
    </xdr:to>
    <xdr:sp macro="" textlink="">
      <xdr:nvSpPr>
        <xdr:cNvPr id="1043" name="Rectangle: Rounded Corners 100">
          <a:extLst>
            <a:ext uri="{FF2B5EF4-FFF2-40B4-BE49-F238E27FC236}">
              <a16:creationId xmlns:a16="http://schemas.microsoft.com/office/drawing/2014/main" id="{2330837D-CF06-4C3D-8790-2B2D9CD4C202}"/>
            </a:ext>
          </a:extLst>
        </xdr:cNvPr>
        <xdr:cNvSpPr/>
      </xdr:nvSpPr>
      <xdr:spPr>
        <a:xfrm>
          <a:off x="47802836" y="5775135"/>
          <a:ext cx="796436"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Acceptance</a:t>
          </a:r>
        </a:p>
      </xdr:txBody>
    </xdr:sp>
    <xdr:clientData/>
  </xdr:twoCellAnchor>
  <xdr:oneCellAnchor>
    <xdr:from>
      <xdr:col>23</xdr:col>
      <xdr:colOff>18506</xdr:colOff>
      <xdr:row>46</xdr:row>
      <xdr:rowOff>87086</xdr:rowOff>
    </xdr:from>
    <xdr:ext cx="848246" cy="311496"/>
    <xdr:sp macro="" textlink="">
      <xdr:nvSpPr>
        <xdr:cNvPr id="909" name="TextBox 104">
          <a:extLst>
            <a:ext uri="{FF2B5EF4-FFF2-40B4-BE49-F238E27FC236}">
              <a16:creationId xmlns:a16="http://schemas.microsoft.com/office/drawing/2014/main" id="{4A4874AE-E805-438E-BB74-94256BA84577}"/>
            </a:ext>
          </a:extLst>
        </xdr:cNvPr>
        <xdr:cNvSpPr txBox="1"/>
      </xdr:nvSpPr>
      <xdr:spPr>
        <a:xfrm>
          <a:off x="20777563" y="9089572"/>
          <a:ext cx="84824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FF0000"/>
              </a:solidFill>
            </a:rPr>
            <a:t>Deadline</a:t>
          </a:r>
        </a:p>
      </xdr:txBody>
    </xdr:sp>
    <xdr:clientData/>
  </xdr:oneCellAnchor>
  <xdr:twoCellAnchor>
    <xdr:from>
      <xdr:col>23</xdr:col>
      <xdr:colOff>3266</xdr:colOff>
      <xdr:row>0</xdr:row>
      <xdr:rowOff>183969</xdr:rowOff>
    </xdr:from>
    <xdr:to>
      <xdr:col>23</xdr:col>
      <xdr:colOff>10886</xdr:colOff>
      <xdr:row>48</xdr:row>
      <xdr:rowOff>58215</xdr:rowOff>
    </xdr:to>
    <xdr:cxnSp macro="">
      <xdr:nvCxnSpPr>
        <xdr:cNvPr id="910" name="Straight Connector 105">
          <a:extLst>
            <a:ext uri="{FF2B5EF4-FFF2-40B4-BE49-F238E27FC236}">
              <a16:creationId xmlns:a16="http://schemas.microsoft.com/office/drawing/2014/main" id="{9D5A2361-8560-4811-AC35-AC6A85EAF8C2}"/>
            </a:ext>
          </a:extLst>
        </xdr:cNvPr>
        <xdr:cNvCxnSpPr/>
      </xdr:nvCxnSpPr>
      <xdr:spPr>
        <a:xfrm flipH="1">
          <a:off x="20762323" y="183969"/>
          <a:ext cx="7620" cy="9246846"/>
        </a:xfrm>
        <a:prstGeom prst="line">
          <a:avLst/>
        </a:prstGeom>
        <a:ln w="3810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36639</xdr:colOff>
      <xdr:row>44</xdr:row>
      <xdr:rowOff>53487</xdr:rowOff>
    </xdr:from>
    <xdr:to>
      <xdr:col>17</xdr:col>
      <xdr:colOff>834888</xdr:colOff>
      <xdr:row>44</xdr:row>
      <xdr:rowOff>297327</xdr:rowOff>
    </xdr:to>
    <xdr:sp macro="" textlink="">
      <xdr:nvSpPr>
        <xdr:cNvPr id="979" name="Rectangle: Rounded Corners 108">
          <a:extLst>
            <a:ext uri="{FF2B5EF4-FFF2-40B4-BE49-F238E27FC236}">
              <a16:creationId xmlns:a16="http://schemas.microsoft.com/office/drawing/2014/main" id="{8187201D-808C-4C68-A882-57644D6F1E08}"/>
            </a:ext>
          </a:extLst>
        </xdr:cNvPr>
        <xdr:cNvSpPr/>
      </xdr:nvSpPr>
      <xdr:spPr>
        <a:xfrm>
          <a:off x="12387665" y="8249957"/>
          <a:ext cx="4217310" cy="24384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Requirements</a:t>
          </a:r>
        </a:p>
      </xdr:txBody>
    </xdr:sp>
    <xdr:clientData/>
  </xdr:twoCellAnchor>
  <xdr:twoCellAnchor>
    <xdr:from>
      <xdr:col>18</xdr:col>
      <xdr:colOff>19879</xdr:colOff>
      <xdr:row>44</xdr:row>
      <xdr:rowOff>49414</xdr:rowOff>
    </xdr:from>
    <xdr:to>
      <xdr:col>21</xdr:col>
      <xdr:colOff>818515</xdr:colOff>
      <xdr:row>44</xdr:row>
      <xdr:rowOff>293254</xdr:rowOff>
    </xdr:to>
    <xdr:sp macro="" textlink="">
      <xdr:nvSpPr>
        <xdr:cNvPr id="975" name="Rectangle: Rounded Corners 109">
          <a:extLst>
            <a:ext uri="{FF2B5EF4-FFF2-40B4-BE49-F238E27FC236}">
              <a16:creationId xmlns:a16="http://schemas.microsoft.com/office/drawing/2014/main" id="{AF50FB68-6124-47E6-832C-CA573BCA1A7D}"/>
            </a:ext>
          </a:extLst>
        </xdr:cNvPr>
        <xdr:cNvSpPr/>
      </xdr:nvSpPr>
      <xdr:spPr>
        <a:xfrm>
          <a:off x="16644731" y="8245884"/>
          <a:ext cx="3323175" cy="24384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Creation</a:t>
          </a:r>
        </a:p>
      </xdr:txBody>
    </xdr:sp>
    <xdr:clientData/>
  </xdr:twoCellAnchor>
  <xdr:twoCellAnchor>
    <xdr:from>
      <xdr:col>22</xdr:col>
      <xdr:colOff>13253</xdr:colOff>
      <xdr:row>44</xdr:row>
      <xdr:rowOff>44492</xdr:rowOff>
    </xdr:from>
    <xdr:to>
      <xdr:col>22</xdr:col>
      <xdr:colOff>808772</xdr:colOff>
      <xdr:row>44</xdr:row>
      <xdr:rowOff>294569</xdr:rowOff>
    </xdr:to>
    <xdr:sp macro="" textlink="">
      <xdr:nvSpPr>
        <xdr:cNvPr id="976" name="Rectangle: Rounded Corners 110">
          <a:extLst>
            <a:ext uri="{FF2B5EF4-FFF2-40B4-BE49-F238E27FC236}">
              <a16:creationId xmlns:a16="http://schemas.microsoft.com/office/drawing/2014/main" id="{7C77F89F-FBC2-4CA5-A6AB-EC3CC43DDD7B}"/>
            </a:ext>
          </a:extLst>
        </xdr:cNvPr>
        <xdr:cNvSpPr/>
      </xdr:nvSpPr>
      <xdr:spPr>
        <a:xfrm>
          <a:off x="20004157" y="8240962"/>
          <a:ext cx="795519"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Signed</a:t>
          </a:r>
        </a:p>
      </xdr:txBody>
    </xdr:sp>
    <xdr:clientData/>
  </xdr:twoCellAnchor>
  <xdr:twoCellAnchor>
    <xdr:from>
      <xdr:col>23</xdr:col>
      <xdr:colOff>37124</xdr:colOff>
      <xdr:row>44</xdr:row>
      <xdr:rowOff>36494</xdr:rowOff>
    </xdr:from>
    <xdr:to>
      <xdr:col>30</xdr:col>
      <xdr:colOff>822959</xdr:colOff>
      <xdr:row>44</xdr:row>
      <xdr:rowOff>286571</xdr:rowOff>
    </xdr:to>
    <xdr:sp macro="" textlink="">
      <xdr:nvSpPr>
        <xdr:cNvPr id="994" name="Rectangle: Rounded Corners 111">
          <a:extLst>
            <a:ext uri="{FF2B5EF4-FFF2-40B4-BE49-F238E27FC236}">
              <a16:creationId xmlns:a16="http://schemas.microsoft.com/office/drawing/2014/main" id="{0391A828-B3CC-4756-9788-A8B1BD6BC12D}"/>
            </a:ext>
          </a:extLst>
        </xdr:cNvPr>
        <xdr:cNvSpPr/>
      </xdr:nvSpPr>
      <xdr:spPr>
        <a:xfrm>
          <a:off x="20839724" y="8220374"/>
          <a:ext cx="6653235"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Service Setup</a:t>
          </a:r>
        </a:p>
      </xdr:txBody>
    </xdr:sp>
    <xdr:clientData/>
  </xdr:twoCellAnchor>
  <xdr:twoCellAnchor>
    <xdr:from>
      <xdr:col>31</xdr:col>
      <xdr:colOff>22860</xdr:colOff>
      <xdr:row>44</xdr:row>
      <xdr:rowOff>36494</xdr:rowOff>
    </xdr:from>
    <xdr:to>
      <xdr:col>32</xdr:col>
      <xdr:colOff>15239</xdr:colOff>
      <xdr:row>44</xdr:row>
      <xdr:rowOff>286571</xdr:rowOff>
    </xdr:to>
    <xdr:sp macro="" textlink="">
      <xdr:nvSpPr>
        <xdr:cNvPr id="1026" name="Rectangle: Rounded Corners 113">
          <a:extLst>
            <a:ext uri="{FF2B5EF4-FFF2-40B4-BE49-F238E27FC236}">
              <a16:creationId xmlns:a16="http://schemas.microsoft.com/office/drawing/2014/main" id="{6FE2C8BD-0296-4934-A2E0-5CC60F357FF3}"/>
            </a:ext>
          </a:extLst>
        </xdr:cNvPr>
        <xdr:cNvSpPr/>
      </xdr:nvSpPr>
      <xdr:spPr>
        <a:xfrm>
          <a:off x="27531060" y="8220374"/>
          <a:ext cx="830579"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Service</a:t>
          </a:r>
          <a:r>
            <a:rPr lang="en-US" sz="800" baseline="0"/>
            <a:t> Readiness Test</a:t>
          </a:r>
          <a:endParaRPr lang="en-US" sz="800"/>
        </a:p>
      </xdr:txBody>
    </xdr:sp>
    <xdr:clientData/>
  </xdr:twoCellAnchor>
  <xdr:twoCellAnchor>
    <xdr:from>
      <xdr:col>32</xdr:col>
      <xdr:colOff>28360</xdr:colOff>
      <xdr:row>44</xdr:row>
      <xdr:rowOff>37364</xdr:rowOff>
    </xdr:from>
    <xdr:to>
      <xdr:col>62</xdr:col>
      <xdr:colOff>198120</xdr:colOff>
      <xdr:row>44</xdr:row>
      <xdr:rowOff>287441</xdr:rowOff>
    </xdr:to>
    <xdr:sp macro="" textlink="">
      <xdr:nvSpPr>
        <xdr:cNvPr id="1071" name="Rectangle: Rounded Corners 114">
          <a:extLst>
            <a:ext uri="{FF2B5EF4-FFF2-40B4-BE49-F238E27FC236}">
              <a16:creationId xmlns:a16="http://schemas.microsoft.com/office/drawing/2014/main" id="{88295E54-6BA3-4DA4-AB33-B23CD30D95DD}"/>
            </a:ext>
          </a:extLst>
        </xdr:cNvPr>
        <xdr:cNvSpPr/>
      </xdr:nvSpPr>
      <xdr:spPr>
        <a:xfrm>
          <a:off x="28374760" y="8221244"/>
          <a:ext cx="25308140"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OT Run</a:t>
          </a:r>
        </a:p>
      </xdr:txBody>
    </xdr:sp>
    <xdr:clientData/>
  </xdr:twoCellAnchor>
  <xdr:twoCellAnchor>
    <xdr:from>
      <xdr:col>55</xdr:col>
      <xdr:colOff>20954</xdr:colOff>
      <xdr:row>44</xdr:row>
      <xdr:rowOff>342523</xdr:rowOff>
    </xdr:from>
    <xdr:to>
      <xdr:col>55</xdr:col>
      <xdr:colOff>817390</xdr:colOff>
      <xdr:row>44</xdr:row>
      <xdr:rowOff>592600</xdr:rowOff>
    </xdr:to>
    <xdr:sp macro="" textlink="">
      <xdr:nvSpPr>
        <xdr:cNvPr id="1070" name="Rectangle: Rounded Corners 115">
          <a:extLst>
            <a:ext uri="{FF2B5EF4-FFF2-40B4-BE49-F238E27FC236}">
              <a16:creationId xmlns:a16="http://schemas.microsoft.com/office/drawing/2014/main" id="{5BBBC186-7FD4-409F-A1F4-E6DC2FA437F4}"/>
            </a:ext>
          </a:extLst>
        </xdr:cNvPr>
        <xdr:cNvSpPr/>
      </xdr:nvSpPr>
      <xdr:spPr>
        <a:xfrm>
          <a:off x="47793872" y="8518335"/>
          <a:ext cx="796436"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HOTO</a:t>
          </a:r>
          <a:r>
            <a:rPr lang="en-US" sz="800" baseline="0"/>
            <a:t> - Site 1</a:t>
          </a:r>
          <a:endParaRPr lang="en-US" sz="800"/>
        </a:p>
      </xdr:txBody>
    </xdr:sp>
    <xdr:clientData/>
  </xdr:twoCellAnchor>
  <xdr:twoCellAnchor>
    <xdr:from>
      <xdr:col>31</xdr:col>
      <xdr:colOff>17929</xdr:colOff>
      <xdr:row>44</xdr:row>
      <xdr:rowOff>331694</xdr:rowOff>
    </xdr:from>
    <xdr:to>
      <xdr:col>31</xdr:col>
      <xdr:colOff>814365</xdr:colOff>
      <xdr:row>44</xdr:row>
      <xdr:rowOff>581771</xdr:rowOff>
    </xdr:to>
    <xdr:sp macro="" textlink="">
      <xdr:nvSpPr>
        <xdr:cNvPr id="1099" name="Rectangle: Rounded Corners 116">
          <a:extLst>
            <a:ext uri="{FF2B5EF4-FFF2-40B4-BE49-F238E27FC236}">
              <a16:creationId xmlns:a16="http://schemas.microsoft.com/office/drawing/2014/main" id="{444C2A4F-9842-4C3F-9F69-AECC06E689DD}"/>
            </a:ext>
          </a:extLst>
        </xdr:cNvPr>
        <xdr:cNvSpPr/>
      </xdr:nvSpPr>
      <xdr:spPr>
        <a:xfrm>
          <a:off x="27566470" y="8507506"/>
          <a:ext cx="796436" cy="25007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en-US" sz="800">
              <a:solidFill>
                <a:schemeClr val="lt1"/>
              </a:solidFill>
              <a:latin typeface="+mn-lt"/>
              <a:ea typeface="+mn-ea"/>
              <a:cs typeface="+mn-cs"/>
            </a:rPr>
            <a:t>HOTO - Central B</a:t>
          </a:r>
        </a:p>
      </xdr:txBody>
    </xdr:sp>
    <xdr:clientData/>
  </xdr:twoCellAnchor>
  <xdr:twoCellAnchor>
    <xdr:from>
      <xdr:col>12</xdr:col>
      <xdr:colOff>19050</xdr:colOff>
      <xdr:row>9</xdr:row>
      <xdr:rowOff>133350</xdr:rowOff>
    </xdr:from>
    <xdr:to>
      <xdr:col>19</xdr:col>
      <xdr:colOff>0</xdr:colOff>
      <xdr:row>9</xdr:row>
      <xdr:rowOff>285750</xdr:rowOff>
    </xdr:to>
    <xdr:sp macro="" textlink="">
      <xdr:nvSpPr>
        <xdr:cNvPr id="1108" name="Rectangle: Rounded Corners 43">
          <a:extLst>
            <a:ext uri="{FF2B5EF4-FFF2-40B4-BE49-F238E27FC236}">
              <a16:creationId xmlns:a16="http://schemas.microsoft.com/office/drawing/2014/main" id="{E2C1EE49-A993-45F1-8FB8-57E4AF753736}"/>
            </a:ext>
            <a:ext uri="{147F2762-F138-4A5C-976F-8EAC2B608ADB}">
              <a16:predDERef xmlns:a16="http://schemas.microsoft.com/office/drawing/2014/main" pred="{444C2A4F-9842-4C3F-9F69-AECC06E689DD}"/>
            </a:ext>
          </a:extLst>
        </xdr:cNvPr>
        <xdr:cNvSpPr/>
      </xdr:nvSpPr>
      <xdr:spPr>
        <a:xfrm>
          <a:off x="10629900" y="2533650"/>
          <a:ext cx="5762625" cy="15240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Delivery</a:t>
          </a:r>
        </a:p>
      </xdr:txBody>
    </xdr:sp>
    <xdr:clientData/>
  </xdr:twoCellAnchor>
  <xdr:twoCellAnchor>
    <xdr:from>
      <xdr:col>19</xdr:col>
      <xdr:colOff>62381</xdr:colOff>
      <xdr:row>20</xdr:row>
      <xdr:rowOff>44736</xdr:rowOff>
    </xdr:from>
    <xdr:to>
      <xdr:col>20</xdr:col>
      <xdr:colOff>646767</xdr:colOff>
      <xdr:row>20</xdr:row>
      <xdr:rowOff>254559</xdr:rowOff>
    </xdr:to>
    <xdr:sp macro="" textlink="">
      <xdr:nvSpPr>
        <xdr:cNvPr id="1114" name="Rectangle: Rounded Corners 98">
          <a:extLst>
            <a:ext uri="{FF2B5EF4-FFF2-40B4-BE49-F238E27FC236}">
              <a16:creationId xmlns:a16="http://schemas.microsoft.com/office/drawing/2014/main" id="{93B26294-FDED-49CB-8E01-E3BAAEE59D2A}"/>
            </a:ext>
          </a:extLst>
        </xdr:cNvPr>
        <xdr:cNvSpPr/>
      </xdr:nvSpPr>
      <xdr:spPr>
        <a:xfrm>
          <a:off x="20087293" y="5995060"/>
          <a:ext cx="1436033" cy="209823"/>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SOW Signed</a:t>
          </a:r>
        </a:p>
      </xdr:txBody>
    </xdr:sp>
    <xdr:clientData/>
  </xdr:twoCellAnchor>
  <xdr:twoCellAnchor>
    <xdr:from>
      <xdr:col>30</xdr:col>
      <xdr:colOff>44824</xdr:colOff>
      <xdr:row>20</xdr:row>
      <xdr:rowOff>44823</xdr:rowOff>
    </xdr:from>
    <xdr:to>
      <xdr:col>31</xdr:col>
      <xdr:colOff>797300</xdr:colOff>
      <xdr:row>20</xdr:row>
      <xdr:rowOff>268940</xdr:rowOff>
    </xdr:to>
    <xdr:sp macro="" textlink="">
      <xdr:nvSpPr>
        <xdr:cNvPr id="1115" name="Rectangle: Rounded Corners 98">
          <a:extLst>
            <a:ext uri="{FF2B5EF4-FFF2-40B4-BE49-F238E27FC236}">
              <a16:creationId xmlns:a16="http://schemas.microsoft.com/office/drawing/2014/main" id="{2161A223-7A36-4FC9-A0A7-48D6228FF188}"/>
            </a:ext>
          </a:extLst>
        </xdr:cNvPr>
        <xdr:cNvSpPr/>
      </xdr:nvSpPr>
      <xdr:spPr>
        <a:xfrm>
          <a:off x="29437853" y="5995147"/>
          <a:ext cx="1604123" cy="224117"/>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800"/>
            <a:t>Preparation</a:t>
          </a:r>
        </a:p>
      </xdr:txBody>
    </xdr:sp>
    <xdr:clientData/>
  </xdr:twoCellAnchor>
  <xdr:twoCellAnchor>
    <xdr:from>
      <xdr:col>15</xdr:col>
      <xdr:colOff>747032</xdr:colOff>
      <xdr:row>1</xdr:row>
      <xdr:rowOff>1</xdr:rowOff>
    </xdr:from>
    <xdr:to>
      <xdr:col>15</xdr:col>
      <xdr:colOff>754652</xdr:colOff>
      <xdr:row>48</xdr:row>
      <xdr:rowOff>70190</xdr:rowOff>
    </xdr:to>
    <xdr:cxnSp macro="">
      <xdr:nvCxnSpPr>
        <xdr:cNvPr id="1102" name="Straight Connector 66">
          <a:extLst>
            <a:ext uri="{FF2B5EF4-FFF2-40B4-BE49-F238E27FC236}">
              <a16:creationId xmlns:a16="http://schemas.microsoft.com/office/drawing/2014/main" id="{96373385-15CB-4F93-86BB-30B73DEDFA5D}"/>
            </a:ext>
            <a:ext uri="{147F2762-F138-4A5C-976F-8EAC2B608ADB}">
              <a16:predDERef xmlns:a16="http://schemas.microsoft.com/office/drawing/2014/main" pred="{59563B24-EE67-44F8-B03A-982773492378}"/>
            </a:ext>
          </a:extLst>
        </xdr:cNvPr>
        <xdr:cNvCxnSpPr/>
      </xdr:nvCxnSpPr>
      <xdr:spPr>
        <a:xfrm flipH="1">
          <a:off x="13843907" y="190501"/>
          <a:ext cx="7620" cy="15595939"/>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https://eur03.safelinks.protection.outlook.com/?url=https%3A%2F%2Fcoffeeandtea.sharepoint.com.mcas.ms%2Fsites%2FMusic3%2FShared%2520Documents%2FForms%2FAllItems.aspx%3FnewTargetListUrl%3D%252Fsites%252FMusic3%252FShared%2520Documents%26viewpath%3D%252Fsites%252FMusic3%252FShared%2520Documents%252FForms%252FAllItems.aspx%26id%3D%252Fsites%252FMusic3%252FShared%2520Documents%252F0.0%2520Program%2520Management%2520documentation%252FCommercials%2520%2526%2520Financials%252FOrder%2520Forms_Quotations_SOW%2527s%26viewid%3Ded8bfac3-4932-46b7-a38c-a4f340f76287&amp;data=05%7C01%7CFreya.Swart%40JDEcoffee.com%7C3247e14e139c4a2f28b408db47bce396%7C22d30701ec5e4bdcba4fb9234053b0a9%7C0%7C0%7C638182648826966935%7CUnknown%7CTWFpbGZsb3d8eyJWIjoiMC4wLjAwMDAiLCJQIjoiV2luMzIiLCJBTiI6Ik1haWwiLCJXVCI6Mn0%3D%7C3000%7C%7C%7C&amp;sdata=YbsXG7V8%2BhlyV8%2BZyoUpep%2FWBX6581TsWVWkOCir4nM%3D&amp;reserved=0" TargetMode="External"/><Relationship Id="rId1" Type="http://schemas.openxmlformats.org/officeDocument/2006/relationships/hyperlink" Target="../../../../:x:/s/Music3/EQVR5QTgGG1Gn7iAnVSugnIBpoAPH48XQ_Fbso9Zcsjx6A?e=lsVRE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2CA1D-ACF8-444C-B7E4-AE6CEB39A171}">
  <dimension ref="B2:G18"/>
  <sheetViews>
    <sheetView showGridLines="0" zoomScale="85" zoomScaleNormal="85" workbookViewId="0">
      <selection activeCell="D19" sqref="D19"/>
    </sheetView>
  </sheetViews>
  <sheetFormatPr defaultColWidth="8.81640625" defaultRowHeight="15" customHeight="1" x14ac:dyDescent="0.35"/>
  <cols>
    <col min="1" max="1" width="4.453125" customWidth="1"/>
    <col min="2" max="2" width="2.81640625" bestFit="1" customWidth="1"/>
    <col min="3" max="3" width="36.453125" customWidth="1"/>
    <col min="4" max="4" width="44.36328125" bestFit="1" customWidth="1"/>
    <col min="5" max="5" width="54" bestFit="1" customWidth="1"/>
    <col min="6" max="6" width="22" bestFit="1" customWidth="1"/>
    <col min="7" max="7" width="127.1796875" bestFit="1" customWidth="1"/>
  </cols>
  <sheetData>
    <row r="2" spans="2:7" ht="17.5" x14ac:dyDescent="0.4">
      <c r="B2" s="46" t="s">
        <v>0</v>
      </c>
    </row>
    <row r="3" spans="2:7" ht="17.5" x14ac:dyDescent="0.4">
      <c r="B3" s="46" t="s">
        <v>0</v>
      </c>
    </row>
    <row r="4" spans="2:7" ht="15.5" x14ac:dyDescent="0.35">
      <c r="B4" s="70" t="s">
        <v>1</v>
      </c>
      <c r="C4" s="71"/>
      <c r="D4" s="72" t="s">
        <v>2</v>
      </c>
      <c r="E4" s="72" t="s">
        <v>3</v>
      </c>
      <c r="F4" s="72" t="s">
        <v>4</v>
      </c>
      <c r="G4" s="73" t="s">
        <v>5</v>
      </c>
    </row>
    <row r="5" spans="2:7" ht="15.5" x14ac:dyDescent="0.35">
      <c r="B5" s="74">
        <v>1</v>
      </c>
      <c r="C5" s="75" t="s">
        <v>6</v>
      </c>
      <c r="D5" s="76" t="s">
        <v>7</v>
      </c>
      <c r="E5" s="77" t="s">
        <v>8</v>
      </c>
      <c r="F5" s="77" t="s">
        <v>9</v>
      </c>
      <c r="G5" s="78" t="s">
        <v>10</v>
      </c>
    </row>
    <row r="6" spans="2:7" ht="15.5" x14ac:dyDescent="0.35">
      <c r="B6" s="47"/>
      <c r="C6" s="79"/>
      <c r="D6" s="48"/>
      <c r="E6" s="80" t="s">
        <v>11</v>
      </c>
      <c r="F6" s="48"/>
      <c r="G6" s="49"/>
    </row>
    <row r="7" spans="2:7" ht="15.5" x14ac:dyDescent="0.35">
      <c r="B7" s="50"/>
      <c r="C7" s="81"/>
      <c r="D7" s="51"/>
      <c r="E7" s="82" t="s">
        <v>12</v>
      </c>
      <c r="F7" s="51"/>
      <c r="G7" s="52"/>
    </row>
    <row r="8" spans="2:7" ht="15.5" x14ac:dyDescent="0.35">
      <c r="B8" s="83">
        <v>2</v>
      </c>
      <c r="C8" s="84" t="s">
        <v>13</v>
      </c>
      <c r="D8" s="85" t="s">
        <v>14</v>
      </c>
      <c r="E8" s="86" t="s">
        <v>15</v>
      </c>
      <c r="F8" s="86" t="s">
        <v>16</v>
      </c>
      <c r="G8" s="87" t="s">
        <v>17</v>
      </c>
    </row>
    <row r="9" spans="2:7" ht="15.5" x14ac:dyDescent="0.35">
      <c r="B9" s="74">
        <v>3</v>
      </c>
      <c r="C9" s="75" t="s">
        <v>18</v>
      </c>
      <c r="D9" s="76" t="s">
        <v>19</v>
      </c>
      <c r="E9" s="77" t="s">
        <v>20</v>
      </c>
      <c r="F9" s="77" t="s">
        <v>16</v>
      </c>
      <c r="G9" s="78" t="s">
        <v>21</v>
      </c>
    </row>
    <row r="10" spans="2:7" ht="15.5" x14ac:dyDescent="0.35">
      <c r="B10" s="47"/>
      <c r="C10" s="79"/>
      <c r="D10" s="48"/>
      <c r="E10" s="80" t="s">
        <v>22</v>
      </c>
      <c r="F10" s="48"/>
      <c r="G10" s="49"/>
    </row>
    <row r="11" spans="2:7" ht="15.5" x14ac:dyDescent="0.35">
      <c r="B11" s="47"/>
      <c r="C11" s="79"/>
      <c r="D11" s="48"/>
      <c r="E11" s="80" t="s">
        <v>23</v>
      </c>
      <c r="F11" s="48"/>
      <c r="G11" s="49"/>
    </row>
    <row r="12" spans="2:7" ht="15.5" x14ac:dyDescent="0.35">
      <c r="B12" s="50"/>
      <c r="C12" s="81"/>
      <c r="D12" s="51"/>
      <c r="E12" s="82" t="s">
        <v>24</v>
      </c>
      <c r="F12" s="51"/>
      <c r="G12" s="52"/>
    </row>
    <row r="13" spans="2:7" ht="15.5" x14ac:dyDescent="0.35">
      <c r="B13" s="83">
        <v>4</v>
      </c>
      <c r="C13" s="84" t="s">
        <v>25</v>
      </c>
      <c r="D13" s="85" t="s">
        <v>26</v>
      </c>
      <c r="E13" s="86" t="s">
        <v>27</v>
      </c>
      <c r="F13" s="86" t="s">
        <v>16</v>
      </c>
      <c r="G13" s="87" t="s">
        <v>28</v>
      </c>
    </row>
    <row r="14" spans="2:7" ht="15.5" x14ac:dyDescent="0.35">
      <c r="B14" s="83">
        <v>5</v>
      </c>
      <c r="C14" s="84" t="s">
        <v>29</v>
      </c>
      <c r="D14" s="88" t="s">
        <v>30</v>
      </c>
      <c r="E14" s="89" t="s">
        <v>31</v>
      </c>
      <c r="F14" s="89" t="s">
        <v>16</v>
      </c>
      <c r="G14" s="90" t="s">
        <v>32</v>
      </c>
    </row>
    <row r="15" spans="2:7" ht="15.5" x14ac:dyDescent="0.35">
      <c r="B15" s="83">
        <v>6</v>
      </c>
      <c r="C15" s="84" t="s">
        <v>33</v>
      </c>
      <c r="D15" s="85" t="s">
        <v>34</v>
      </c>
      <c r="E15" s="86" t="s">
        <v>35</v>
      </c>
      <c r="F15" s="86" t="s">
        <v>16</v>
      </c>
      <c r="G15" s="87" t="s">
        <v>36</v>
      </c>
    </row>
    <row r="16" spans="2:7" ht="15.5" x14ac:dyDescent="0.35">
      <c r="B16" s="83">
        <v>7</v>
      </c>
      <c r="C16" s="84" t="s">
        <v>37</v>
      </c>
      <c r="D16" s="88" t="s">
        <v>38</v>
      </c>
      <c r="E16" s="89" t="s">
        <v>39</v>
      </c>
      <c r="F16" s="89" t="s">
        <v>40</v>
      </c>
      <c r="G16" s="90" t="s">
        <v>41</v>
      </c>
    </row>
    <row r="17" spans="2:7" ht="15.5" x14ac:dyDescent="0.35">
      <c r="B17" s="83">
        <v>8</v>
      </c>
      <c r="C17" s="84" t="s">
        <v>42</v>
      </c>
      <c r="D17" s="85" t="s">
        <v>43</v>
      </c>
      <c r="E17" s="86" t="s">
        <v>44</v>
      </c>
      <c r="F17" s="86" t="s">
        <v>40</v>
      </c>
      <c r="G17" s="87" t="s">
        <v>45</v>
      </c>
    </row>
    <row r="18" spans="2:7" ht="15" customHeight="1" x14ac:dyDescent="0.35">
      <c r="B18" s="91" t="s">
        <v>46</v>
      </c>
      <c r="C18" s="92"/>
      <c r="D18" s="93" t="s">
        <v>47</v>
      </c>
      <c r="E18" s="94" t="s">
        <v>48</v>
      </c>
      <c r="F18" s="94" t="s">
        <v>40</v>
      </c>
      <c r="G18" s="95"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2FF7B-76DD-4893-96F3-A408A498C227}">
  <sheetPr filterMode="1"/>
  <dimension ref="A1:AA46"/>
  <sheetViews>
    <sheetView showGridLines="0" tabSelected="1" topLeftCell="B1" zoomScaleNormal="100" workbookViewId="0">
      <pane ySplit="5" topLeftCell="A6" activePane="bottomLeft" state="frozen"/>
      <selection pane="bottomLeft" activeCell="D24" sqref="D24"/>
    </sheetView>
  </sheetViews>
  <sheetFormatPr defaultColWidth="8.81640625" defaultRowHeight="15" customHeight="1" x14ac:dyDescent="0.35"/>
  <cols>
    <col min="1" max="1" width="1.453125" customWidth="1"/>
    <col min="2" max="2" width="18.36328125" style="29" customWidth="1"/>
    <col min="3" max="3" width="9" customWidth="1"/>
    <col min="4" max="4" width="17.6328125" customWidth="1"/>
    <col min="5" max="5" width="13.6328125" customWidth="1"/>
    <col min="6" max="6" width="14.1796875" customWidth="1"/>
    <col min="7" max="7" width="11.81640625" customWidth="1"/>
    <col min="8" max="8" width="46.6328125" customWidth="1"/>
    <col min="9" max="9" width="38.453125" style="17" customWidth="1"/>
    <col min="10" max="10" width="6" customWidth="1"/>
    <col min="11" max="11" width="1.453125" customWidth="1"/>
    <col min="12" max="12" width="25" style="17" customWidth="1"/>
    <col min="13" max="13" width="1.453125" customWidth="1"/>
    <col min="14" max="14" width="9.36328125" customWidth="1"/>
    <col min="15" max="15" width="8" customWidth="1"/>
    <col min="16" max="16" width="9.36328125" customWidth="1"/>
    <col min="17" max="17" width="8.81640625" customWidth="1"/>
    <col min="18" max="19" width="8.6328125" customWidth="1"/>
    <col min="20" max="20" width="7" customWidth="1"/>
    <col min="21" max="21" width="8.453125" customWidth="1"/>
    <col min="22" max="22" width="8.6328125" hidden="1" customWidth="1"/>
    <col min="23" max="23" width="2.1796875" customWidth="1"/>
    <col min="24" max="24" width="10" hidden="1" customWidth="1"/>
    <col min="25" max="25" width="8.453125" hidden="1" customWidth="1"/>
    <col min="26" max="26" width="39.81640625" hidden="1" customWidth="1"/>
    <col min="27" max="27" width="1.453125" customWidth="1"/>
  </cols>
  <sheetData>
    <row r="1" spans="1:27" ht="23.5" x14ac:dyDescent="0.55000000000000004">
      <c r="H1" s="13" t="s">
        <v>50</v>
      </c>
      <c r="I1" s="15"/>
      <c r="J1" s="13"/>
      <c r="L1" s="15"/>
    </row>
    <row r="2" spans="1:27" ht="12" customHeight="1" x14ac:dyDescent="0.35">
      <c r="A2" s="8"/>
      <c r="B2" s="8"/>
      <c r="C2" s="8"/>
      <c r="D2" s="8"/>
      <c r="E2" s="8"/>
      <c r="F2" s="8"/>
      <c r="G2" s="8"/>
      <c r="H2" s="8"/>
      <c r="I2" s="16"/>
      <c r="J2" s="8"/>
      <c r="K2" s="8"/>
      <c r="L2" s="16"/>
      <c r="M2" s="8"/>
      <c r="N2" s="8"/>
      <c r="O2" s="8"/>
      <c r="P2" s="8"/>
      <c r="Q2" s="8"/>
      <c r="R2" s="8"/>
      <c r="S2" s="8"/>
      <c r="T2" s="8"/>
      <c r="U2" s="8"/>
      <c r="V2" s="8"/>
      <c r="W2" s="8"/>
      <c r="X2" s="8"/>
      <c r="Y2" s="8"/>
      <c r="Z2" s="8"/>
      <c r="AA2" s="8"/>
    </row>
    <row r="3" spans="1:27" ht="14.5" x14ac:dyDescent="0.35">
      <c r="A3" s="8"/>
      <c r="B3" s="8"/>
      <c r="C3" s="8"/>
      <c r="D3" s="8"/>
      <c r="E3" s="8"/>
      <c r="F3" s="8"/>
      <c r="G3" s="8"/>
      <c r="H3" s="8"/>
      <c r="I3" s="16"/>
      <c r="J3" s="8"/>
      <c r="K3" s="8"/>
      <c r="L3" s="16"/>
      <c r="M3" s="8"/>
      <c r="N3" s="8"/>
      <c r="O3" s="8"/>
      <c r="P3" s="8"/>
      <c r="Q3" s="8"/>
      <c r="R3" s="8"/>
      <c r="S3" s="8"/>
      <c r="T3" s="8"/>
      <c r="U3" s="8"/>
      <c r="V3" s="8"/>
      <c r="W3" s="8"/>
      <c r="X3" s="8"/>
      <c r="Y3" s="8"/>
      <c r="Z3" s="8"/>
      <c r="AA3" s="8"/>
    </row>
    <row r="4" spans="1:27" ht="15.5" x14ac:dyDescent="0.35">
      <c r="A4" s="8"/>
      <c r="B4" s="8"/>
      <c r="C4" s="8"/>
      <c r="D4" s="8"/>
      <c r="E4" s="8"/>
      <c r="F4" s="8"/>
      <c r="G4" s="8"/>
      <c r="K4" s="8"/>
      <c r="M4" s="8"/>
      <c r="N4" s="111" t="s">
        <v>51</v>
      </c>
      <c r="O4" s="111"/>
      <c r="P4" s="111"/>
      <c r="Q4" s="111"/>
      <c r="R4" s="112"/>
      <c r="S4" s="111"/>
      <c r="T4" s="111"/>
      <c r="U4" s="111"/>
      <c r="V4" s="55"/>
      <c r="W4" s="9"/>
      <c r="X4" s="8"/>
      <c r="Y4" s="8"/>
      <c r="Z4" s="8"/>
      <c r="AA4" s="8"/>
    </row>
    <row r="5" spans="1:27" ht="45" customHeight="1" x14ac:dyDescent="0.45">
      <c r="A5" s="8"/>
      <c r="B5" s="109" t="s">
        <v>52</v>
      </c>
      <c r="C5" s="109" t="s">
        <v>53</v>
      </c>
      <c r="D5" s="109" t="s">
        <v>54</v>
      </c>
      <c r="E5" s="109" t="s">
        <v>55</v>
      </c>
      <c r="F5" s="109" t="s">
        <v>56</v>
      </c>
      <c r="G5" s="109" t="s">
        <v>57</v>
      </c>
      <c r="H5" s="2" t="s">
        <v>58</v>
      </c>
      <c r="I5" s="18" t="s">
        <v>59</v>
      </c>
      <c r="J5" s="2" t="s">
        <v>60</v>
      </c>
      <c r="K5" s="8"/>
      <c r="L5" s="18" t="s">
        <v>61</v>
      </c>
      <c r="M5" s="8"/>
      <c r="N5" s="103" t="s">
        <v>62</v>
      </c>
      <c r="O5" s="103" t="s">
        <v>63</v>
      </c>
      <c r="P5" s="103" t="s">
        <v>64</v>
      </c>
      <c r="Q5" s="103" t="s">
        <v>65</v>
      </c>
      <c r="R5" s="103" t="s">
        <v>66</v>
      </c>
      <c r="S5" s="103" t="s">
        <v>67</v>
      </c>
      <c r="T5" s="103" t="s">
        <v>68</v>
      </c>
      <c r="U5" s="103" t="s">
        <v>69</v>
      </c>
      <c r="V5" s="7"/>
      <c r="W5" s="8"/>
      <c r="X5" s="11" t="s">
        <v>70</v>
      </c>
      <c r="Y5" s="12" t="s">
        <v>71</v>
      </c>
      <c r="Z5" s="11" t="s">
        <v>72</v>
      </c>
      <c r="AA5" s="8"/>
    </row>
    <row r="6" spans="1:27" ht="14.5" x14ac:dyDescent="0.35">
      <c r="A6" s="8"/>
      <c r="B6" s="20">
        <v>11788446</v>
      </c>
      <c r="C6" s="14" t="s">
        <v>73</v>
      </c>
      <c r="D6" s="53" t="s">
        <v>74</v>
      </c>
      <c r="E6" s="53" t="s">
        <v>75</v>
      </c>
      <c r="F6" s="53" t="s">
        <v>76</v>
      </c>
      <c r="G6" s="53" t="s">
        <v>77</v>
      </c>
      <c r="H6" s="54" t="s">
        <v>78</v>
      </c>
      <c r="I6" s="5" t="s">
        <v>79</v>
      </c>
      <c r="J6" s="3">
        <v>1</v>
      </c>
      <c r="K6" s="8"/>
      <c r="L6" s="108" t="s">
        <v>80</v>
      </c>
      <c r="M6" s="8"/>
      <c r="N6" s="64"/>
      <c r="O6" s="64"/>
      <c r="P6" s="64"/>
      <c r="Q6" s="63"/>
      <c r="R6" s="64"/>
      <c r="S6" s="64"/>
      <c r="T6" s="63"/>
      <c r="U6" s="63"/>
      <c r="V6" s="68"/>
      <c r="W6" s="8"/>
      <c r="X6" s="10" t="s">
        <v>63</v>
      </c>
      <c r="Y6" s="10" t="s">
        <v>81</v>
      </c>
      <c r="Z6" s="10"/>
      <c r="AA6" s="8"/>
    </row>
    <row r="7" spans="1:27" ht="18" customHeight="1" x14ac:dyDescent="0.35">
      <c r="A7" s="8"/>
      <c r="B7" s="20">
        <v>11788462</v>
      </c>
      <c r="C7" s="21" t="s">
        <v>82</v>
      </c>
      <c r="D7" s="53" t="s">
        <v>74</v>
      </c>
      <c r="E7" s="53" t="s">
        <v>75</v>
      </c>
      <c r="F7" s="53" t="s">
        <v>83</v>
      </c>
      <c r="G7" s="53" t="s">
        <v>77</v>
      </c>
      <c r="H7" s="5" t="s">
        <v>84</v>
      </c>
      <c r="I7" s="6" t="s">
        <v>85</v>
      </c>
      <c r="J7" s="3">
        <v>1</v>
      </c>
      <c r="K7" s="8"/>
      <c r="L7" s="108" t="s">
        <v>80</v>
      </c>
      <c r="M7" s="8"/>
      <c r="N7" s="63"/>
      <c r="O7" s="63"/>
      <c r="P7" s="102"/>
      <c r="Q7" s="63"/>
      <c r="R7" s="64"/>
      <c r="S7" s="64"/>
      <c r="T7" s="64"/>
      <c r="U7" s="63"/>
      <c r="V7" s="68"/>
      <c r="W7" s="8"/>
      <c r="X7" s="10" t="s">
        <v>63</v>
      </c>
      <c r="Y7" s="10" t="s">
        <v>81</v>
      </c>
      <c r="Z7" s="10" t="s">
        <v>86</v>
      </c>
      <c r="AA7" s="8"/>
    </row>
    <row r="8" spans="1:27" ht="15.5" customHeight="1" x14ac:dyDescent="0.35">
      <c r="A8" s="8"/>
      <c r="B8" s="20">
        <v>11788467</v>
      </c>
      <c r="C8" s="22" t="s">
        <v>87</v>
      </c>
      <c r="D8" s="53" t="s">
        <v>74</v>
      </c>
      <c r="E8" s="53" t="s">
        <v>75</v>
      </c>
      <c r="F8" s="53" t="s">
        <v>83</v>
      </c>
      <c r="G8" s="53" t="s">
        <v>77</v>
      </c>
      <c r="H8" s="6" t="s">
        <v>88</v>
      </c>
      <c r="I8" s="6" t="s">
        <v>89</v>
      </c>
      <c r="J8" s="4">
        <v>1</v>
      </c>
      <c r="K8" s="8"/>
      <c r="L8" s="108" t="s">
        <v>80</v>
      </c>
      <c r="M8" s="8"/>
      <c r="N8" s="63"/>
      <c r="O8" s="63"/>
      <c r="P8" s="64"/>
      <c r="Q8" s="63"/>
      <c r="R8" s="64"/>
      <c r="S8" s="64"/>
      <c r="T8" s="64"/>
      <c r="U8" s="63"/>
      <c r="V8" s="67"/>
      <c r="W8" s="8"/>
      <c r="X8" s="10" t="s">
        <v>63</v>
      </c>
      <c r="Y8" s="10" t="s">
        <v>81</v>
      </c>
      <c r="Z8" s="10" t="s">
        <v>90</v>
      </c>
      <c r="AA8" s="8"/>
    </row>
    <row r="9" spans="1:27" ht="15.5" customHeight="1" x14ac:dyDescent="0.35">
      <c r="A9" s="8"/>
      <c r="B9" s="20">
        <v>11788474</v>
      </c>
      <c r="C9" s="22" t="s">
        <v>91</v>
      </c>
      <c r="D9" s="53" t="s">
        <v>74</v>
      </c>
      <c r="E9" s="53" t="s">
        <v>75</v>
      </c>
      <c r="F9" s="53" t="s">
        <v>83</v>
      </c>
      <c r="G9" s="53" t="s">
        <v>77</v>
      </c>
      <c r="H9" s="6" t="s">
        <v>92</v>
      </c>
      <c r="I9" s="5" t="s">
        <v>93</v>
      </c>
      <c r="J9" s="4">
        <v>2</v>
      </c>
      <c r="K9" s="8"/>
      <c r="L9" s="6" t="s">
        <v>94</v>
      </c>
      <c r="M9" s="8"/>
      <c r="N9" s="63"/>
      <c r="O9" s="63"/>
      <c r="P9" s="64"/>
      <c r="Q9" s="63"/>
      <c r="R9" s="64"/>
      <c r="S9" s="64"/>
      <c r="T9" s="64"/>
      <c r="U9" s="63"/>
      <c r="V9" s="67"/>
      <c r="W9" s="8"/>
      <c r="X9" s="10" t="s">
        <v>63</v>
      </c>
      <c r="Y9" s="10" t="s">
        <v>81</v>
      </c>
      <c r="Z9" s="10" t="s">
        <v>95</v>
      </c>
      <c r="AA9" s="8"/>
    </row>
    <row r="10" spans="1:27" ht="15.5" customHeight="1" x14ac:dyDescent="0.35">
      <c r="A10" s="8"/>
      <c r="B10" s="20">
        <v>11788488</v>
      </c>
      <c r="C10" s="22" t="s">
        <v>96</v>
      </c>
      <c r="D10" s="53" t="s">
        <v>74</v>
      </c>
      <c r="E10" s="53" t="s">
        <v>75</v>
      </c>
      <c r="F10" s="53" t="s">
        <v>83</v>
      </c>
      <c r="G10" s="53" t="s">
        <v>77</v>
      </c>
      <c r="H10" s="6" t="s">
        <v>97</v>
      </c>
      <c r="I10" s="6"/>
      <c r="J10" s="4">
        <v>2</v>
      </c>
      <c r="K10" s="8"/>
      <c r="L10" s="108" t="s">
        <v>80</v>
      </c>
      <c r="M10" s="8"/>
      <c r="N10" s="63"/>
      <c r="O10" s="63"/>
      <c r="P10" s="64"/>
      <c r="Q10" s="63"/>
      <c r="R10" s="64"/>
      <c r="S10" s="64"/>
      <c r="T10" s="64"/>
      <c r="U10" s="63"/>
      <c r="V10" s="67"/>
      <c r="W10" s="8"/>
      <c r="X10" s="10" t="s">
        <v>63</v>
      </c>
      <c r="Y10" s="10" t="s">
        <v>81</v>
      </c>
      <c r="Z10" s="10" t="s">
        <v>98</v>
      </c>
      <c r="AA10" s="8"/>
    </row>
    <row r="11" spans="1:27" ht="15.5" customHeight="1" x14ac:dyDescent="0.35">
      <c r="A11" s="8"/>
      <c r="B11" s="20">
        <v>11788505</v>
      </c>
      <c r="C11" s="22" t="s">
        <v>99</v>
      </c>
      <c r="D11" s="53" t="s">
        <v>74</v>
      </c>
      <c r="E11" s="53" t="s">
        <v>75</v>
      </c>
      <c r="F11" s="53" t="s">
        <v>83</v>
      </c>
      <c r="G11" s="53" t="s">
        <v>77</v>
      </c>
      <c r="H11" s="6" t="s">
        <v>100</v>
      </c>
      <c r="I11" s="6"/>
      <c r="J11" s="4">
        <v>1</v>
      </c>
      <c r="K11" s="8"/>
      <c r="L11" s="108" t="s">
        <v>80</v>
      </c>
      <c r="M11" s="8"/>
      <c r="N11" s="63"/>
      <c r="O11" s="63"/>
      <c r="P11" s="64"/>
      <c r="Q11" s="63"/>
      <c r="R11" s="64"/>
      <c r="S11" s="64"/>
      <c r="T11" s="64"/>
      <c r="U11" s="63"/>
      <c r="V11" s="67"/>
      <c r="W11" s="8"/>
      <c r="X11" s="10" t="s">
        <v>63</v>
      </c>
      <c r="Y11" s="10" t="s">
        <v>81</v>
      </c>
      <c r="Z11" s="10" t="s">
        <v>95</v>
      </c>
      <c r="AA11" s="8"/>
    </row>
    <row r="12" spans="1:27" ht="15.5" customHeight="1" x14ac:dyDescent="0.35">
      <c r="A12" s="8"/>
      <c r="B12" s="20">
        <v>11788511</v>
      </c>
      <c r="C12" s="22" t="s">
        <v>101</v>
      </c>
      <c r="D12" s="53" t="s">
        <v>74</v>
      </c>
      <c r="E12" s="53" t="s">
        <v>75</v>
      </c>
      <c r="F12" s="53" t="s">
        <v>76</v>
      </c>
      <c r="G12" s="53" t="s">
        <v>77</v>
      </c>
      <c r="H12" s="6" t="s">
        <v>102</v>
      </c>
      <c r="I12" s="5" t="s">
        <v>103</v>
      </c>
      <c r="J12" s="4">
        <v>3</v>
      </c>
      <c r="K12" s="8"/>
      <c r="L12" s="6" t="s">
        <v>94</v>
      </c>
      <c r="M12" s="8"/>
      <c r="N12" s="63"/>
      <c r="O12" s="63"/>
      <c r="P12" s="64"/>
      <c r="Q12" s="63"/>
      <c r="R12" s="64"/>
      <c r="S12" s="64"/>
      <c r="T12" s="64"/>
      <c r="U12" s="63"/>
      <c r="V12" s="67"/>
      <c r="W12" s="8"/>
      <c r="X12" s="10" t="s">
        <v>63</v>
      </c>
      <c r="Y12" s="10" t="s">
        <v>81</v>
      </c>
      <c r="Z12" s="10" t="s">
        <v>104</v>
      </c>
      <c r="AA12" s="8"/>
    </row>
    <row r="13" spans="1:27" ht="15" customHeight="1" x14ac:dyDescent="0.35">
      <c r="A13" s="8"/>
      <c r="B13" s="20" t="s">
        <v>105</v>
      </c>
      <c r="C13" s="22" t="s">
        <v>106</v>
      </c>
      <c r="D13" s="53" t="s">
        <v>74</v>
      </c>
      <c r="E13" s="53" t="s">
        <v>75</v>
      </c>
      <c r="F13" s="53" t="s">
        <v>76</v>
      </c>
      <c r="G13" s="53" t="s">
        <v>77</v>
      </c>
      <c r="H13" s="6" t="s">
        <v>107</v>
      </c>
      <c r="I13" s="6" t="s">
        <v>108</v>
      </c>
      <c r="J13" s="4"/>
      <c r="K13" s="8"/>
      <c r="L13" s="6" t="s">
        <v>94</v>
      </c>
      <c r="M13" s="8"/>
      <c r="N13" s="63"/>
      <c r="O13" s="64"/>
      <c r="P13" s="64"/>
      <c r="Q13" s="64"/>
      <c r="R13" s="64"/>
      <c r="S13" s="64"/>
      <c r="T13" s="63"/>
      <c r="U13" s="63"/>
      <c r="V13" s="67"/>
      <c r="W13" s="8"/>
      <c r="X13" s="10"/>
      <c r="Y13" s="10"/>
      <c r="Z13" s="10"/>
      <c r="AA13" s="8"/>
    </row>
    <row r="14" spans="1:27" ht="14.5" x14ac:dyDescent="0.35">
      <c r="A14" s="8"/>
      <c r="B14" s="98">
        <v>11795296</v>
      </c>
      <c r="C14" s="22" t="s">
        <v>109</v>
      </c>
      <c r="D14" s="53" t="s">
        <v>74</v>
      </c>
      <c r="E14" s="53" t="s">
        <v>75</v>
      </c>
      <c r="F14" s="53" t="s">
        <v>110</v>
      </c>
      <c r="G14" s="53" t="s">
        <v>77</v>
      </c>
      <c r="H14" s="6" t="s">
        <v>111</v>
      </c>
      <c r="I14" s="6" t="s">
        <v>112</v>
      </c>
      <c r="J14" s="4"/>
      <c r="K14" s="8"/>
      <c r="L14" s="108" t="s">
        <v>80</v>
      </c>
      <c r="M14" s="8"/>
      <c r="N14" s="64"/>
      <c r="O14" s="64"/>
      <c r="P14" s="64"/>
      <c r="Q14" s="63"/>
      <c r="R14" s="64"/>
      <c r="S14" s="66"/>
      <c r="T14" s="66"/>
      <c r="U14" s="63"/>
      <c r="V14" s="68"/>
      <c r="W14" s="8"/>
      <c r="X14" s="10"/>
      <c r="Y14" s="10"/>
      <c r="Z14" s="10"/>
      <c r="AA14" s="8"/>
    </row>
    <row r="15" spans="1:27" s="26" customFormat="1" ht="14.5" x14ac:dyDescent="0.35">
      <c r="A15" s="113"/>
      <c r="B15" s="114" t="s">
        <v>298</v>
      </c>
      <c r="C15" s="21" t="s">
        <v>299</v>
      </c>
      <c r="D15" s="115" t="s">
        <v>74</v>
      </c>
      <c r="E15" s="115" t="s">
        <v>75</v>
      </c>
      <c r="F15" s="115" t="s">
        <v>83</v>
      </c>
      <c r="G15" s="115" t="s">
        <v>115</v>
      </c>
      <c r="H15" s="6" t="s">
        <v>297</v>
      </c>
      <c r="I15" s="6" t="s">
        <v>305</v>
      </c>
      <c r="J15" s="4">
        <v>1</v>
      </c>
      <c r="K15" s="113"/>
      <c r="L15" s="117" t="s">
        <v>292</v>
      </c>
      <c r="M15" s="113"/>
      <c r="N15" s="121" t="s">
        <v>303</v>
      </c>
      <c r="O15" s="121" t="s">
        <v>303</v>
      </c>
      <c r="P15" s="123"/>
      <c r="Q15" s="122" t="s">
        <v>304</v>
      </c>
      <c r="R15" s="123"/>
      <c r="S15" s="124"/>
      <c r="T15" s="124"/>
      <c r="U15" s="121" t="s">
        <v>303</v>
      </c>
      <c r="V15" s="68"/>
      <c r="W15" s="113"/>
      <c r="X15" s="116"/>
      <c r="Y15" s="116"/>
      <c r="Z15" s="116"/>
      <c r="AA15" s="113"/>
    </row>
    <row r="16" spans="1:27" ht="14.5" hidden="1" x14ac:dyDescent="0.35">
      <c r="A16" s="8"/>
      <c r="B16" s="96"/>
      <c r="C16" s="97" t="s">
        <v>87</v>
      </c>
      <c r="D16" s="53" t="s">
        <v>113</v>
      </c>
      <c r="E16" s="53" t="s">
        <v>75</v>
      </c>
      <c r="F16" s="53" t="s">
        <v>114</v>
      </c>
      <c r="G16" s="53" t="s">
        <v>115</v>
      </c>
      <c r="H16" s="6" t="s">
        <v>116</v>
      </c>
      <c r="I16" s="5"/>
      <c r="J16" s="4"/>
      <c r="K16" s="8"/>
      <c r="L16" s="108" t="s">
        <v>80</v>
      </c>
      <c r="M16" s="8"/>
      <c r="N16" s="125">
        <v>45065</v>
      </c>
      <c r="O16" s="64"/>
      <c r="P16" s="65">
        <v>45065</v>
      </c>
      <c r="Q16" s="65">
        <v>45070</v>
      </c>
      <c r="R16" s="66"/>
      <c r="S16" s="66"/>
      <c r="T16" s="66"/>
      <c r="U16" s="65">
        <v>45070</v>
      </c>
      <c r="V16" s="68"/>
      <c r="W16" s="8"/>
      <c r="X16" s="10"/>
      <c r="Y16" s="10"/>
      <c r="Z16" s="10"/>
      <c r="AA16" s="8"/>
    </row>
    <row r="17" spans="1:27" ht="14.5" hidden="1" x14ac:dyDescent="0.35">
      <c r="A17" s="8"/>
      <c r="B17" s="96"/>
      <c r="C17" s="97" t="s">
        <v>96</v>
      </c>
      <c r="D17" s="53" t="s">
        <v>113</v>
      </c>
      <c r="E17" s="53" t="s">
        <v>75</v>
      </c>
      <c r="F17" s="53" t="s">
        <v>114</v>
      </c>
      <c r="G17" s="53" t="s">
        <v>117</v>
      </c>
      <c r="H17" s="6" t="s">
        <v>118</v>
      </c>
      <c r="I17" s="6"/>
      <c r="J17" s="4"/>
      <c r="K17" s="8"/>
      <c r="L17" s="108" t="s">
        <v>80</v>
      </c>
      <c r="M17" s="8"/>
      <c r="N17" s="64"/>
      <c r="O17" s="64"/>
      <c r="P17" s="65">
        <v>45055</v>
      </c>
      <c r="Q17" s="65">
        <v>45055</v>
      </c>
      <c r="R17" s="66"/>
      <c r="S17" s="66"/>
      <c r="T17" s="66"/>
      <c r="U17" s="65">
        <v>45070</v>
      </c>
      <c r="V17" s="68"/>
      <c r="W17" s="8"/>
      <c r="X17" s="10"/>
      <c r="Y17" s="10"/>
      <c r="Z17" s="10"/>
      <c r="AA17" s="8"/>
    </row>
    <row r="18" spans="1:27" ht="29" x14ac:dyDescent="0.35">
      <c r="A18" s="8"/>
      <c r="B18" s="99" t="s">
        <v>119</v>
      </c>
      <c r="C18" s="97" t="s">
        <v>120</v>
      </c>
      <c r="D18" s="53" t="s">
        <v>74</v>
      </c>
      <c r="E18" s="53" t="s">
        <v>120</v>
      </c>
      <c r="F18" s="53" t="s">
        <v>121</v>
      </c>
      <c r="G18" s="53" t="s">
        <v>122</v>
      </c>
      <c r="H18" s="6" t="s">
        <v>123</v>
      </c>
      <c r="I18" s="6"/>
      <c r="J18" s="4"/>
      <c r="K18" s="8"/>
      <c r="L18" s="108" t="s">
        <v>80</v>
      </c>
      <c r="M18" s="8"/>
      <c r="N18" s="64"/>
      <c r="O18" s="64"/>
      <c r="P18" s="64"/>
      <c r="Q18" s="64"/>
      <c r="R18" s="66"/>
      <c r="S18" s="65">
        <v>45065</v>
      </c>
      <c r="T18" s="66"/>
      <c r="U18" s="65">
        <v>45065</v>
      </c>
      <c r="V18" s="68"/>
      <c r="W18" s="8"/>
      <c r="X18" s="10"/>
      <c r="Y18" s="10"/>
      <c r="Z18" s="10"/>
      <c r="AA18" s="8"/>
    </row>
    <row r="19" spans="1:27" ht="84" hidden="1" customHeight="1" x14ac:dyDescent="0.35">
      <c r="A19" s="8"/>
      <c r="B19" s="99">
        <v>6578</v>
      </c>
      <c r="C19" s="97" t="s">
        <v>120</v>
      </c>
      <c r="D19" s="53" t="s">
        <v>124</v>
      </c>
      <c r="E19" s="53" t="s">
        <v>120</v>
      </c>
      <c r="F19" s="53" t="s">
        <v>114</v>
      </c>
      <c r="G19" s="53" t="s">
        <v>125</v>
      </c>
      <c r="H19" s="6" t="s">
        <v>126</v>
      </c>
      <c r="I19" s="6" t="s">
        <v>127</v>
      </c>
      <c r="J19" s="4"/>
      <c r="K19" s="8"/>
      <c r="L19" s="6" t="s">
        <v>80</v>
      </c>
      <c r="M19" s="8"/>
      <c r="N19" s="65">
        <v>45036</v>
      </c>
      <c r="O19" s="64"/>
      <c r="P19" s="65">
        <v>45076</v>
      </c>
      <c r="Q19" s="66"/>
      <c r="R19" s="66"/>
      <c r="S19" s="66"/>
      <c r="T19" s="66"/>
      <c r="U19" s="65">
        <v>45079</v>
      </c>
      <c r="V19" s="68"/>
      <c r="W19" s="8"/>
      <c r="X19" s="10"/>
      <c r="Y19" s="10"/>
      <c r="Z19" s="10"/>
      <c r="AA19" s="8"/>
    </row>
    <row r="20" spans="1:27" ht="14.5" x14ac:dyDescent="0.35">
      <c r="A20" s="8"/>
      <c r="B20" s="20"/>
      <c r="C20" s="22"/>
      <c r="D20" s="53" t="s">
        <v>74</v>
      </c>
      <c r="E20" s="53" t="s">
        <v>75</v>
      </c>
      <c r="F20" s="53"/>
      <c r="G20" s="53" t="s">
        <v>115</v>
      </c>
      <c r="H20" s="6" t="s">
        <v>102</v>
      </c>
      <c r="I20" s="5"/>
      <c r="J20" s="4"/>
      <c r="K20" s="8"/>
      <c r="L20" s="6" t="s">
        <v>94</v>
      </c>
      <c r="M20" s="8"/>
      <c r="N20" s="104"/>
      <c r="O20" s="105"/>
      <c r="P20" s="110"/>
      <c r="Q20" s="104"/>
      <c r="R20" s="107"/>
      <c r="S20" s="106"/>
      <c r="T20" s="106"/>
      <c r="U20" s="63"/>
      <c r="V20" s="19"/>
      <c r="W20" s="8"/>
      <c r="X20" s="10"/>
      <c r="Y20" s="10"/>
      <c r="Z20" s="10"/>
      <c r="AA20" s="8"/>
    </row>
    <row r="21" spans="1:27" ht="15" hidden="1" customHeight="1" x14ac:dyDescent="0.35">
      <c r="A21" s="8"/>
      <c r="B21" s="20"/>
      <c r="C21" s="22"/>
      <c r="D21" s="53" t="s">
        <v>124</v>
      </c>
      <c r="E21" s="53" t="s">
        <v>128</v>
      </c>
      <c r="F21" s="53"/>
      <c r="G21" s="53" t="s">
        <v>129</v>
      </c>
      <c r="H21" s="6" t="s">
        <v>130</v>
      </c>
      <c r="I21" s="19"/>
      <c r="J21" s="4"/>
      <c r="K21" s="8"/>
      <c r="L21" s="6" t="s">
        <v>94</v>
      </c>
      <c r="M21" s="8"/>
      <c r="N21" s="101"/>
      <c r="O21" s="69"/>
      <c r="P21" s="69"/>
      <c r="Q21" s="101"/>
      <c r="R21" s="56"/>
      <c r="S21" s="69"/>
      <c r="T21" s="63"/>
      <c r="U21" s="63"/>
      <c r="V21" s="56"/>
      <c r="W21" s="8"/>
      <c r="X21" s="10"/>
      <c r="Y21" s="10"/>
      <c r="Z21" s="10"/>
      <c r="AA21" s="8"/>
    </row>
    <row r="22" spans="1:27" ht="14.5" hidden="1" x14ac:dyDescent="0.35">
      <c r="A22" s="8"/>
      <c r="B22" s="20"/>
      <c r="C22" s="22"/>
      <c r="D22" s="53" t="s">
        <v>124</v>
      </c>
      <c r="E22" s="53" t="s">
        <v>128</v>
      </c>
      <c r="F22" s="53"/>
      <c r="G22" s="53" t="s">
        <v>115</v>
      </c>
      <c r="H22" s="6" t="s">
        <v>131</v>
      </c>
      <c r="I22" s="19"/>
      <c r="J22" s="4"/>
      <c r="K22" s="8"/>
      <c r="L22" s="6" t="s">
        <v>94</v>
      </c>
      <c r="M22" s="8"/>
      <c r="N22" s="61"/>
      <c r="O22" s="56"/>
      <c r="P22" s="56"/>
      <c r="Q22" s="61"/>
      <c r="R22" s="66"/>
      <c r="S22" s="56"/>
      <c r="T22" s="56"/>
      <c r="U22" s="63"/>
      <c r="V22" s="56"/>
      <c r="W22" s="8"/>
      <c r="X22" s="10"/>
      <c r="Y22" s="10"/>
      <c r="Z22" s="10"/>
      <c r="AA22" s="8"/>
    </row>
    <row r="23" spans="1:27" ht="14.5" hidden="1" x14ac:dyDescent="0.35">
      <c r="A23" s="8"/>
      <c r="B23" s="20"/>
      <c r="C23" s="22" t="s">
        <v>91</v>
      </c>
      <c r="D23" s="53" t="s">
        <v>113</v>
      </c>
      <c r="E23" s="53" t="s">
        <v>128</v>
      </c>
      <c r="F23" s="53" t="s">
        <v>114</v>
      </c>
      <c r="G23" s="53" t="s">
        <v>115</v>
      </c>
      <c r="H23" s="6" t="s">
        <v>132</v>
      </c>
      <c r="I23" s="19" t="s">
        <v>133</v>
      </c>
      <c r="J23" s="4"/>
      <c r="K23" s="8"/>
      <c r="L23" s="108" t="s">
        <v>80</v>
      </c>
      <c r="M23" s="8"/>
      <c r="N23" s="65">
        <v>45091</v>
      </c>
      <c r="O23" s="66"/>
      <c r="P23" s="65">
        <v>45091</v>
      </c>
      <c r="Q23" s="65">
        <v>45092</v>
      </c>
      <c r="R23" s="66"/>
      <c r="S23" s="66"/>
      <c r="T23" s="66"/>
      <c r="U23" s="65">
        <v>45093</v>
      </c>
      <c r="V23" s="56"/>
      <c r="W23" s="8"/>
      <c r="X23" s="62"/>
      <c r="Y23" s="62"/>
      <c r="Z23" s="62"/>
      <c r="AA23" s="8"/>
    </row>
    <row r="24" spans="1:27" ht="14.5" hidden="1" x14ac:dyDescent="0.35">
      <c r="A24" s="8"/>
      <c r="B24" s="20"/>
      <c r="C24" s="22" t="s">
        <v>99</v>
      </c>
      <c r="D24" s="53" t="s">
        <v>113</v>
      </c>
      <c r="E24" s="53" t="s">
        <v>128</v>
      </c>
      <c r="F24" s="53" t="s">
        <v>114</v>
      </c>
      <c r="G24" s="53" t="s">
        <v>115</v>
      </c>
      <c r="H24" s="6" t="s">
        <v>135</v>
      </c>
      <c r="I24" s="19"/>
      <c r="J24" s="4"/>
      <c r="K24" s="8"/>
      <c r="L24" s="6" t="s">
        <v>292</v>
      </c>
      <c r="M24" s="8"/>
      <c r="N24" s="65">
        <v>45117</v>
      </c>
      <c r="O24" s="56"/>
      <c r="P24" s="65">
        <v>45117</v>
      </c>
      <c r="Q24" s="65">
        <v>45124</v>
      </c>
      <c r="R24" s="66"/>
      <c r="S24" s="65">
        <v>45117</v>
      </c>
      <c r="T24" s="56"/>
      <c r="U24" s="63"/>
      <c r="V24" s="56"/>
      <c r="W24" s="8"/>
      <c r="X24" s="62"/>
      <c r="Y24" s="62"/>
      <c r="Z24" s="62"/>
      <c r="AA24" s="8"/>
    </row>
    <row r="25" spans="1:27" ht="14.5" hidden="1" x14ac:dyDescent="0.35">
      <c r="A25" s="8"/>
      <c r="B25" s="20"/>
      <c r="C25" s="22"/>
      <c r="D25" s="53" t="s">
        <v>113</v>
      </c>
      <c r="E25" s="53" t="s">
        <v>128</v>
      </c>
      <c r="F25" s="53"/>
      <c r="G25" s="53" t="s">
        <v>115</v>
      </c>
      <c r="H25" s="6" t="s">
        <v>136</v>
      </c>
      <c r="I25" s="19"/>
      <c r="J25" s="4"/>
      <c r="K25" s="8"/>
      <c r="L25" s="6" t="s">
        <v>94</v>
      </c>
      <c r="M25" s="8"/>
      <c r="N25" s="61"/>
      <c r="O25" s="56"/>
      <c r="P25" s="56"/>
      <c r="Q25" s="61"/>
      <c r="R25" s="66"/>
      <c r="S25" s="56"/>
      <c r="T25" s="56"/>
      <c r="U25" s="63"/>
      <c r="V25" s="56"/>
      <c r="W25" s="8"/>
      <c r="X25" s="62"/>
      <c r="Y25" s="62"/>
      <c r="Z25" s="62"/>
      <c r="AA25" s="8"/>
    </row>
    <row r="26" spans="1:27" ht="14.5" x14ac:dyDescent="0.35">
      <c r="A26" s="8"/>
      <c r="B26" s="20"/>
      <c r="C26" s="22"/>
      <c r="D26" s="53" t="s">
        <v>137</v>
      </c>
      <c r="E26" s="53" t="s">
        <v>75</v>
      </c>
      <c r="F26" s="53"/>
      <c r="G26" s="53" t="s">
        <v>129</v>
      </c>
      <c r="H26" s="6" t="s">
        <v>138</v>
      </c>
      <c r="I26" s="19"/>
      <c r="J26" s="4"/>
      <c r="K26" s="8"/>
      <c r="L26" s="6" t="s">
        <v>94</v>
      </c>
      <c r="M26" s="8"/>
      <c r="N26" s="61"/>
      <c r="O26" s="56"/>
      <c r="P26" s="56"/>
      <c r="Q26" s="61"/>
      <c r="R26" s="63"/>
      <c r="S26" s="56"/>
      <c r="T26" s="63"/>
      <c r="U26" s="63"/>
      <c r="V26" s="56"/>
      <c r="W26" s="8"/>
      <c r="X26" s="62"/>
      <c r="Y26" s="62"/>
      <c r="Z26" s="62"/>
      <c r="AA26" s="8"/>
    </row>
    <row r="27" spans="1:27" ht="14.5" x14ac:dyDescent="0.35">
      <c r="A27" s="8"/>
      <c r="B27" s="20"/>
      <c r="C27" s="22"/>
      <c r="D27" s="53" t="s">
        <v>137</v>
      </c>
      <c r="E27" s="53" t="s">
        <v>75</v>
      </c>
      <c r="F27" s="53"/>
      <c r="G27" s="53" t="s">
        <v>129</v>
      </c>
      <c r="H27" s="6" t="s">
        <v>139</v>
      </c>
      <c r="I27" s="6"/>
      <c r="J27" s="4"/>
      <c r="K27" s="8"/>
      <c r="L27" s="6" t="s">
        <v>94</v>
      </c>
      <c r="M27" s="8"/>
      <c r="N27" s="61"/>
      <c r="O27" s="56"/>
      <c r="P27" s="56"/>
      <c r="Q27" s="61"/>
      <c r="R27" s="63"/>
      <c r="S27" s="56"/>
      <c r="T27" s="63"/>
      <c r="U27" s="63"/>
      <c r="V27" s="56"/>
      <c r="W27" s="8"/>
      <c r="X27" s="62"/>
      <c r="Y27" s="62"/>
      <c r="Z27" s="62"/>
      <c r="AA27" s="8"/>
    </row>
    <row r="28" spans="1:27" ht="29" hidden="1" x14ac:dyDescent="0.35">
      <c r="A28" s="8"/>
      <c r="B28" s="20"/>
      <c r="C28" s="22"/>
      <c r="D28" s="53" t="s">
        <v>140</v>
      </c>
      <c r="E28" s="53" t="s">
        <v>75</v>
      </c>
      <c r="F28" s="53"/>
      <c r="G28" s="53" t="s">
        <v>141</v>
      </c>
      <c r="H28" s="6" t="s">
        <v>142</v>
      </c>
      <c r="I28" s="6"/>
      <c r="J28" s="4"/>
      <c r="K28" s="8"/>
      <c r="L28" s="6" t="s">
        <v>94</v>
      </c>
      <c r="M28" s="8"/>
      <c r="N28" s="61"/>
      <c r="O28" s="56"/>
      <c r="P28" s="56"/>
      <c r="Q28" s="61"/>
      <c r="R28" s="66"/>
      <c r="S28" s="56"/>
      <c r="T28" s="56"/>
      <c r="U28" s="63"/>
      <c r="V28" s="56"/>
      <c r="W28" s="8"/>
      <c r="X28" s="62"/>
      <c r="Y28" s="62"/>
      <c r="Z28" s="62"/>
      <c r="AA28" s="8"/>
    </row>
    <row r="29" spans="1:27" ht="14.5" hidden="1" x14ac:dyDescent="0.35">
      <c r="A29" s="8"/>
      <c r="B29" s="20"/>
      <c r="C29" s="22"/>
      <c r="D29" s="53" t="s">
        <v>143</v>
      </c>
      <c r="E29" s="53" t="s">
        <v>128</v>
      </c>
      <c r="F29" s="53"/>
      <c r="G29" s="53" t="s">
        <v>141</v>
      </c>
      <c r="H29" s="6" t="s">
        <v>144</v>
      </c>
      <c r="I29" s="6"/>
      <c r="J29" s="4"/>
      <c r="K29" s="8"/>
      <c r="L29" s="6" t="s">
        <v>94</v>
      </c>
      <c r="M29" s="8"/>
      <c r="N29" s="61"/>
      <c r="O29" s="56"/>
      <c r="P29" s="56"/>
      <c r="Q29" s="61"/>
      <c r="R29" s="66"/>
      <c r="S29" s="56"/>
      <c r="T29" s="56"/>
      <c r="U29" s="63"/>
      <c r="V29" s="56"/>
      <c r="W29" s="8"/>
      <c r="X29" s="62"/>
      <c r="Y29" s="62"/>
      <c r="Z29" s="62"/>
      <c r="AA29" s="8"/>
    </row>
    <row r="30" spans="1:27" ht="14.5" hidden="1" x14ac:dyDescent="0.35">
      <c r="A30" s="8"/>
      <c r="B30" s="20"/>
      <c r="C30" s="22"/>
      <c r="D30" s="53" t="s">
        <v>143</v>
      </c>
      <c r="E30" s="53" t="s">
        <v>128</v>
      </c>
      <c r="F30" s="53"/>
      <c r="G30" s="53" t="s">
        <v>141</v>
      </c>
      <c r="H30" s="6" t="s">
        <v>145</v>
      </c>
      <c r="I30" s="6"/>
      <c r="J30" s="4"/>
      <c r="K30" s="8"/>
      <c r="L30" s="6" t="s">
        <v>94</v>
      </c>
      <c r="M30" s="8"/>
      <c r="N30" s="61"/>
      <c r="O30" s="56"/>
      <c r="P30" s="56"/>
      <c r="Q30" s="61"/>
      <c r="R30" s="66"/>
      <c r="S30" s="56"/>
      <c r="T30" s="56"/>
      <c r="U30" s="63"/>
      <c r="V30" s="56"/>
      <c r="W30" s="8"/>
      <c r="X30" s="62"/>
      <c r="Y30" s="62"/>
      <c r="Z30" s="62"/>
      <c r="AA30" s="8"/>
    </row>
    <row r="31" spans="1:27" s="26" customFormat="1" ht="21" x14ac:dyDescent="0.35">
      <c r="A31" s="113"/>
      <c r="B31" s="114" t="s">
        <v>298</v>
      </c>
      <c r="C31" s="21" t="s">
        <v>300</v>
      </c>
      <c r="D31" s="115" t="s">
        <v>137</v>
      </c>
      <c r="E31" s="115" t="s">
        <v>75</v>
      </c>
      <c r="F31" s="115" t="s">
        <v>83</v>
      </c>
      <c r="G31" s="115" t="s">
        <v>146</v>
      </c>
      <c r="H31" s="6" t="s">
        <v>147</v>
      </c>
      <c r="I31" s="6" t="s">
        <v>306</v>
      </c>
      <c r="J31" s="4"/>
      <c r="K31" s="113"/>
      <c r="L31" s="6" t="s">
        <v>292</v>
      </c>
      <c r="M31" s="113"/>
      <c r="N31" s="66"/>
      <c r="O31" s="119" t="s">
        <v>301</v>
      </c>
      <c r="P31" s="66"/>
      <c r="Q31" s="119" t="s">
        <v>302</v>
      </c>
      <c r="R31" s="66"/>
      <c r="S31" s="66"/>
      <c r="T31" s="66"/>
      <c r="U31" s="120" t="s">
        <v>303</v>
      </c>
      <c r="V31" s="56"/>
      <c r="W31" s="113"/>
      <c r="X31" s="118"/>
      <c r="Y31" s="118"/>
      <c r="Z31" s="118"/>
      <c r="AA31" s="113"/>
    </row>
    <row r="32" spans="1:27" ht="14.5" x14ac:dyDescent="0.35">
      <c r="A32" s="8"/>
      <c r="B32" s="20"/>
      <c r="C32" s="22"/>
      <c r="D32" s="53" t="s">
        <v>137</v>
      </c>
      <c r="E32" s="53" t="s">
        <v>75</v>
      </c>
      <c r="G32" s="53" t="s">
        <v>149</v>
      </c>
      <c r="H32" s="6" t="s">
        <v>150</v>
      </c>
      <c r="I32" s="6" t="s">
        <v>148</v>
      </c>
      <c r="J32" s="4"/>
      <c r="K32" s="8"/>
      <c r="L32" s="6" t="s">
        <v>94</v>
      </c>
      <c r="M32" s="8"/>
      <c r="N32" s="56"/>
      <c r="O32" s="56"/>
      <c r="P32" s="56"/>
      <c r="Q32" s="56"/>
      <c r="R32" s="56"/>
      <c r="S32" s="56"/>
      <c r="T32" s="56"/>
      <c r="U32" s="56"/>
      <c r="V32" s="56"/>
      <c r="W32" s="8"/>
      <c r="X32" s="62"/>
      <c r="Y32" s="62"/>
      <c r="Z32" s="62"/>
      <c r="AA32" s="8"/>
    </row>
    <row r="33" spans="1:27" ht="14.5" x14ac:dyDescent="0.35">
      <c r="A33" s="8"/>
      <c r="B33" s="20"/>
      <c r="C33" s="22"/>
      <c r="D33" s="53"/>
      <c r="E33" s="53"/>
      <c r="F33" s="53"/>
      <c r="G33" s="53"/>
      <c r="H33" s="6"/>
      <c r="I33" s="6"/>
      <c r="J33" s="4"/>
      <c r="K33" s="8"/>
      <c r="L33" s="6"/>
      <c r="M33" s="8"/>
      <c r="N33" s="56"/>
      <c r="O33" s="56"/>
      <c r="P33" s="56"/>
      <c r="Q33" s="56"/>
      <c r="R33" s="56"/>
      <c r="S33" s="56"/>
      <c r="T33" s="56"/>
      <c r="U33" s="56"/>
      <c r="V33" s="56"/>
      <c r="W33" s="8"/>
      <c r="X33" s="62"/>
      <c r="Y33" s="62"/>
      <c r="Z33" s="62"/>
      <c r="AA33" s="8"/>
    </row>
    <row r="34" spans="1:27" ht="14.5" x14ac:dyDescent="0.35">
      <c r="A34" s="8"/>
      <c r="B34" s="20"/>
      <c r="C34" s="22"/>
      <c r="D34" s="53"/>
      <c r="E34" s="53"/>
      <c r="F34" s="53"/>
      <c r="G34" s="53"/>
      <c r="H34" s="6"/>
      <c r="I34" s="6"/>
      <c r="J34" s="4"/>
      <c r="K34" s="8"/>
      <c r="L34" s="6"/>
      <c r="M34" s="8"/>
      <c r="N34" s="56"/>
      <c r="O34" s="56"/>
      <c r="P34" s="56"/>
      <c r="Q34" s="56"/>
      <c r="R34" s="56"/>
      <c r="S34" s="56"/>
      <c r="T34" s="56"/>
      <c r="U34" s="56"/>
      <c r="V34" s="56"/>
      <c r="W34" s="8"/>
      <c r="X34" s="62"/>
      <c r="Y34" s="62"/>
      <c r="Z34" s="62"/>
      <c r="AA34" s="8"/>
    </row>
    <row r="35" spans="1:27" ht="14.5" x14ac:dyDescent="0.35">
      <c r="A35" s="8"/>
      <c r="B35" s="20"/>
      <c r="C35" s="22"/>
      <c r="D35" s="53"/>
      <c r="E35" s="53"/>
      <c r="F35" s="53"/>
      <c r="G35" s="53"/>
      <c r="H35" s="6"/>
      <c r="I35" s="19"/>
      <c r="J35" s="4"/>
      <c r="K35" s="8"/>
      <c r="L35" s="6"/>
      <c r="M35" s="8"/>
      <c r="N35" s="56"/>
      <c r="O35" s="56"/>
      <c r="P35" s="56"/>
      <c r="Q35" s="56"/>
      <c r="R35" s="56"/>
      <c r="S35" s="56"/>
      <c r="T35" s="56"/>
      <c r="U35" s="56"/>
      <c r="V35" s="56"/>
      <c r="W35" s="8"/>
      <c r="X35" s="62"/>
      <c r="Y35" s="62"/>
      <c r="Z35" s="62"/>
      <c r="AA35" s="8"/>
    </row>
    <row r="36" spans="1:27" ht="14.5" x14ac:dyDescent="0.35">
      <c r="A36" s="8"/>
      <c r="B36" s="20"/>
      <c r="C36" s="22"/>
      <c r="D36" s="53"/>
      <c r="E36" s="53"/>
      <c r="F36" s="53"/>
      <c r="G36" s="53"/>
      <c r="H36" s="6"/>
      <c r="I36" s="19"/>
      <c r="J36" s="4"/>
      <c r="K36" s="8"/>
      <c r="L36" s="6"/>
      <c r="M36" s="8"/>
      <c r="N36" s="56"/>
      <c r="O36" s="56"/>
      <c r="P36" s="56"/>
      <c r="Q36" s="56"/>
      <c r="R36" s="56"/>
      <c r="S36" s="56"/>
      <c r="T36" s="56"/>
      <c r="U36" s="56"/>
      <c r="V36" s="56"/>
      <c r="W36" s="8"/>
      <c r="X36" s="62"/>
      <c r="Y36" s="62"/>
      <c r="Z36" s="62"/>
      <c r="AA36" s="8"/>
    </row>
    <row r="37" spans="1:27" ht="14.5" x14ac:dyDescent="0.35">
      <c r="A37" s="8"/>
      <c r="B37" s="8"/>
      <c r="C37" s="8"/>
      <c r="D37" s="8"/>
      <c r="E37" s="8"/>
      <c r="F37" s="8"/>
      <c r="G37" s="8"/>
      <c r="H37" s="8"/>
      <c r="I37" s="16"/>
      <c r="J37" s="8"/>
      <c r="K37" s="8"/>
      <c r="L37" s="16"/>
      <c r="M37" s="8"/>
      <c r="N37" s="8"/>
      <c r="O37" s="8"/>
      <c r="P37" s="8"/>
      <c r="Q37" s="8"/>
      <c r="R37" s="8"/>
      <c r="S37" s="8"/>
      <c r="T37" s="8"/>
      <c r="U37" s="8"/>
      <c r="V37" s="8"/>
      <c r="W37" s="8"/>
      <c r="X37" s="8"/>
      <c r="Y37" s="8"/>
      <c r="Z37" s="8"/>
      <c r="AA37" s="8"/>
    </row>
    <row r="38" spans="1:27" ht="14.5" x14ac:dyDescent="0.35">
      <c r="B38" s="29" t="s">
        <v>151</v>
      </c>
    </row>
    <row r="39" spans="1:27" ht="14.5" x14ac:dyDescent="0.35">
      <c r="B39" s="100" t="s">
        <v>152</v>
      </c>
    </row>
    <row r="40" spans="1:27" ht="14.5" x14ac:dyDescent="0.35"/>
    <row r="41" spans="1:27" ht="14.5" x14ac:dyDescent="0.35"/>
    <row r="42" spans="1:27" ht="14.5" x14ac:dyDescent="0.35"/>
    <row r="43" spans="1:27" ht="14.5" x14ac:dyDescent="0.35"/>
    <row r="44" spans="1:27" ht="14.5" x14ac:dyDescent="0.35"/>
    <row r="45" spans="1:27" ht="14.5" x14ac:dyDescent="0.35"/>
    <row r="46" spans="1:27" ht="14.5" x14ac:dyDescent="0.35"/>
  </sheetData>
  <autoFilter ref="B5:Z32" xr:uid="{BD02FF7B-76DD-4893-96F3-A408A498C227}">
    <filterColumn colId="2">
      <filters>
        <filter val="Accenture"/>
      </filters>
    </filterColumn>
  </autoFilter>
  <phoneticPr fontId="7"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A7F9188-A4A3-408A-BF71-F9D3FEC0737B}">
          <x14:formula1>
            <xm:f>List!$A$1:$A$7</xm:f>
          </x14:formula1>
          <xm:sqref>L6:L36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19926-0B35-4BF1-AD10-2353D72457A1}">
  <dimension ref="A3:A13"/>
  <sheetViews>
    <sheetView zoomScale="70" zoomScaleNormal="70" workbookViewId="0">
      <selection activeCell="F7" sqref="F7"/>
    </sheetView>
  </sheetViews>
  <sheetFormatPr defaultColWidth="8.81640625" defaultRowHeight="14.5" x14ac:dyDescent="0.35"/>
  <sheetData>
    <row r="3" spans="1:1" ht="19" x14ac:dyDescent="0.4">
      <c r="A3" s="57" t="s">
        <v>153</v>
      </c>
    </row>
    <row r="4" spans="1:1" ht="19" x14ac:dyDescent="0.4">
      <c r="A4" s="58" t="s">
        <v>154</v>
      </c>
    </row>
    <row r="5" spans="1:1" ht="19" x14ac:dyDescent="0.4">
      <c r="A5" s="59" t="s">
        <v>155</v>
      </c>
    </row>
    <row r="6" spans="1:1" ht="19" x14ac:dyDescent="0.4">
      <c r="A6" s="59" t="s">
        <v>156</v>
      </c>
    </row>
    <row r="7" spans="1:1" ht="19" x14ac:dyDescent="0.4">
      <c r="A7" s="59" t="s">
        <v>157</v>
      </c>
    </row>
    <row r="8" spans="1:1" x14ac:dyDescent="0.35">
      <c r="A8" s="60" t="s">
        <v>158</v>
      </c>
    </row>
    <row r="9" spans="1:1" ht="19" x14ac:dyDescent="0.4">
      <c r="A9" s="59" t="s">
        <v>159</v>
      </c>
    </row>
    <row r="10" spans="1:1" x14ac:dyDescent="0.35">
      <c r="A10" s="60" t="s">
        <v>160</v>
      </c>
    </row>
    <row r="11" spans="1:1" ht="19" x14ac:dyDescent="0.4">
      <c r="A11" s="59" t="s">
        <v>161</v>
      </c>
    </row>
    <row r="12" spans="1:1" ht="19" x14ac:dyDescent="0.4">
      <c r="A12" s="59" t="s">
        <v>162</v>
      </c>
    </row>
    <row r="13" spans="1:1" ht="19" x14ac:dyDescent="0.4">
      <c r="A13" s="59" t="s">
        <v>163</v>
      </c>
    </row>
  </sheetData>
  <hyperlinks>
    <hyperlink ref="A8" r:id="rId1" xr:uid="{48B3E127-490A-49A5-B0EA-46F9E71F5820}"/>
    <hyperlink ref="A10" r:id="rId2" xr:uid="{4C3BD84D-C48E-4346-8DEB-FCFE169C2F0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A3236-91EC-4C96-8243-087630321818}">
  <dimension ref="B1:BI51"/>
  <sheetViews>
    <sheetView showGridLines="0" zoomScale="70" zoomScaleNormal="70" workbookViewId="0">
      <pane xSplit="3" ySplit="4" topLeftCell="F5" activePane="bottomRight" state="frozen"/>
      <selection pane="topRight" activeCell="D1" sqref="D1"/>
      <selection pane="bottomLeft" activeCell="A5" sqref="A5"/>
      <selection pane="bottomRight" activeCell="F31" sqref="F31"/>
    </sheetView>
  </sheetViews>
  <sheetFormatPr defaultColWidth="8.81640625" defaultRowHeight="14.5" x14ac:dyDescent="0.35"/>
  <cols>
    <col min="1" max="1" width="2.1796875" customWidth="1"/>
    <col min="2" max="2" width="12.81640625" style="29" customWidth="1"/>
    <col min="3" max="3" width="46.453125" bestFit="1" customWidth="1"/>
    <col min="4" max="4" width="23" customWidth="1"/>
    <col min="5" max="5" width="18.453125" customWidth="1"/>
    <col min="6" max="6" width="23" customWidth="1"/>
    <col min="7" max="18" width="12.453125" customWidth="1"/>
    <col min="19" max="32" width="12.1796875" customWidth="1"/>
    <col min="33" max="61" width="12.453125" customWidth="1"/>
  </cols>
  <sheetData>
    <row r="1" spans="2:61" ht="15" thickBot="1" x14ac:dyDescent="0.4"/>
    <row r="2" spans="2:61" s="26" customFormat="1" ht="24" customHeight="1" x14ac:dyDescent="0.35">
      <c r="D2" s="38" t="s">
        <v>164</v>
      </c>
      <c r="E2" s="44"/>
      <c r="F2" s="44"/>
      <c r="G2" s="39" t="s">
        <v>165</v>
      </c>
      <c r="H2" s="40" t="s">
        <v>166</v>
      </c>
      <c r="I2" s="40" t="s">
        <v>167</v>
      </c>
      <c r="J2" s="40" t="s">
        <v>168</v>
      </c>
      <c r="K2" s="40" t="s">
        <v>169</v>
      </c>
      <c r="L2" s="40" t="s">
        <v>170</v>
      </c>
      <c r="M2" s="40" t="s">
        <v>171</v>
      </c>
      <c r="N2" s="40" t="s">
        <v>172</v>
      </c>
      <c r="O2" s="40" t="s">
        <v>173</v>
      </c>
      <c r="P2" s="40" t="s">
        <v>174</v>
      </c>
      <c r="Q2" s="40" t="s">
        <v>175</v>
      </c>
      <c r="R2" s="40" t="s">
        <v>176</v>
      </c>
      <c r="S2" s="40" t="s">
        <v>177</v>
      </c>
      <c r="T2" s="40" t="s">
        <v>178</v>
      </c>
      <c r="U2" s="40" t="s">
        <v>179</v>
      </c>
      <c r="V2" s="40" t="s">
        <v>180</v>
      </c>
      <c r="W2" s="40" t="s">
        <v>181</v>
      </c>
      <c r="X2" s="40" t="s">
        <v>182</v>
      </c>
      <c r="Y2" s="40" t="s">
        <v>183</v>
      </c>
      <c r="Z2" s="40" t="s">
        <v>184</v>
      </c>
      <c r="AA2" s="40" t="s">
        <v>185</v>
      </c>
      <c r="AB2" s="40" t="s">
        <v>186</v>
      </c>
      <c r="AC2" s="40" t="s">
        <v>187</v>
      </c>
      <c r="AD2" s="40" t="s">
        <v>188</v>
      </c>
      <c r="AE2" s="40" t="s">
        <v>189</v>
      </c>
      <c r="AF2" s="40" t="s">
        <v>190</v>
      </c>
      <c r="AG2" s="40" t="s">
        <v>191</v>
      </c>
      <c r="AH2" s="40" t="s">
        <v>192</v>
      </c>
      <c r="AI2" s="40" t="s">
        <v>193</v>
      </c>
      <c r="AJ2" s="40" t="s">
        <v>194</v>
      </c>
      <c r="AK2" s="40" t="s">
        <v>195</v>
      </c>
      <c r="AL2" s="40" t="s">
        <v>196</v>
      </c>
      <c r="AM2" s="40" t="s">
        <v>197</v>
      </c>
      <c r="AN2" s="40" t="s">
        <v>198</v>
      </c>
      <c r="AO2" s="40" t="s">
        <v>199</v>
      </c>
      <c r="AP2" s="40" t="s">
        <v>200</v>
      </c>
      <c r="AQ2" s="40" t="s">
        <v>201</v>
      </c>
      <c r="AR2" s="40" t="s">
        <v>202</v>
      </c>
      <c r="AS2" s="40" t="s">
        <v>203</v>
      </c>
      <c r="AT2" s="40" t="s">
        <v>204</v>
      </c>
      <c r="AU2" s="40" t="s">
        <v>205</v>
      </c>
      <c r="AV2" s="40" t="s">
        <v>206</v>
      </c>
      <c r="AW2" s="40" t="s">
        <v>207</v>
      </c>
      <c r="AX2" s="40" t="s">
        <v>208</v>
      </c>
      <c r="AY2" s="40" t="s">
        <v>209</v>
      </c>
      <c r="AZ2" s="40" t="s">
        <v>210</v>
      </c>
      <c r="BA2" s="40" t="s">
        <v>211</v>
      </c>
      <c r="BB2" s="40" t="s">
        <v>212</v>
      </c>
      <c r="BC2" s="40" t="s">
        <v>213</v>
      </c>
      <c r="BD2" s="40" t="s">
        <v>214</v>
      </c>
      <c r="BE2" s="40" t="s">
        <v>215</v>
      </c>
      <c r="BF2" s="40" t="s">
        <v>216</v>
      </c>
      <c r="BG2" s="40" t="s">
        <v>165</v>
      </c>
      <c r="BH2" s="40" t="s">
        <v>166</v>
      </c>
      <c r="BI2" s="40" t="s">
        <v>167</v>
      </c>
    </row>
    <row r="3" spans="2:61" s="26" customFormat="1" ht="24" customHeight="1" thickBot="1" x14ac:dyDescent="0.4">
      <c r="D3" s="41" t="s">
        <v>217</v>
      </c>
      <c r="E3" s="45"/>
      <c r="F3" s="45"/>
      <c r="G3" s="42">
        <f t="shared" ref="G3:O3" si="0">H3-7</f>
        <v>44991</v>
      </c>
      <c r="H3" s="43">
        <f t="shared" si="0"/>
        <v>44998</v>
      </c>
      <c r="I3" s="43">
        <f t="shared" si="0"/>
        <v>45005</v>
      </c>
      <c r="J3" s="43">
        <f t="shared" si="0"/>
        <v>45012</v>
      </c>
      <c r="K3" s="43">
        <f t="shared" si="0"/>
        <v>45019</v>
      </c>
      <c r="L3" s="43">
        <f t="shared" si="0"/>
        <v>45026</v>
      </c>
      <c r="M3" s="43">
        <f t="shared" si="0"/>
        <v>45033</v>
      </c>
      <c r="N3" s="43">
        <f t="shared" si="0"/>
        <v>45040</v>
      </c>
      <c r="O3" s="43">
        <f t="shared" si="0"/>
        <v>45047</v>
      </c>
      <c r="P3" s="43">
        <v>45054</v>
      </c>
      <c r="Q3" s="43">
        <f t="shared" ref="Q3:BI3" si="1">P3+7</f>
        <v>45061</v>
      </c>
      <c r="R3" s="43">
        <f t="shared" si="1"/>
        <v>45068</v>
      </c>
      <c r="S3" s="43">
        <f t="shared" si="1"/>
        <v>45075</v>
      </c>
      <c r="T3" s="43">
        <f t="shared" si="1"/>
        <v>45082</v>
      </c>
      <c r="U3" s="43">
        <f t="shared" si="1"/>
        <v>45089</v>
      </c>
      <c r="V3" s="43">
        <f t="shared" si="1"/>
        <v>45096</v>
      </c>
      <c r="W3" s="43">
        <f t="shared" si="1"/>
        <v>45103</v>
      </c>
      <c r="X3" s="43">
        <f t="shared" si="1"/>
        <v>45110</v>
      </c>
      <c r="Y3" s="43">
        <f t="shared" si="1"/>
        <v>45117</v>
      </c>
      <c r="Z3" s="43">
        <f t="shared" si="1"/>
        <v>45124</v>
      </c>
      <c r="AA3" s="43">
        <f t="shared" si="1"/>
        <v>45131</v>
      </c>
      <c r="AB3" s="43">
        <f t="shared" si="1"/>
        <v>45138</v>
      </c>
      <c r="AC3" s="43">
        <f t="shared" si="1"/>
        <v>45145</v>
      </c>
      <c r="AD3" s="43">
        <f t="shared" si="1"/>
        <v>45152</v>
      </c>
      <c r="AE3" s="43">
        <f t="shared" si="1"/>
        <v>45159</v>
      </c>
      <c r="AF3" s="43">
        <f t="shared" si="1"/>
        <v>45166</v>
      </c>
      <c r="AG3" s="43">
        <f t="shared" si="1"/>
        <v>45173</v>
      </c>
      <c r="AH3" s="43">
        <f t="shared" si="1"/>
        <v>45180</v>
      </c>
      <c r="AI3" s="43">
        <f t="shared" si="1"/>
        <v>45187</v>
      </c>
      <c r="AJ3" s="43">
        <f t="shared" si="1"/>
        <v>45194</v>
      </c>
      <c r="AK3" s="43">
        <f t="shared" si="1"/>
        <v>45201</v>
      </c>
      <c r="AL3" s="43">
        <f t="shared" si="1"/>
        <v>45208</v>
      </c>
      <c r="AM3" s="43">
        <f t="shared" si="1"/>
        <v>45215</v>
      </c>
      <c r="AN3" s="43">
        <f t="shared" si="1"/>
        <v>45222</v>
      </c>
      <c r="AO3" s="43">
        <f t="shared" si="1"/>
        <v>45229</v>
      </c>
      <c r="AP3" s="43">
        <f t="shared" si="1"/>
        <v>45236</v>
      </c>
      <c r="AQ3" s="43">
        <f t="shared" si="1"/>
        <v>45243</v>
      </c>
      <c r="AR3" s="43">
        <f t="shared" si="1"/>
        <v>45250</v>
      </c>
      <c r="AS3" s="43">
        <f t="shared" si="1"/>
        <v>45257</v>
      </c>
      <c r="AT3" s="43">
        <f t="shared" si="1"/>
        <v>45264</v>
      </c>
      <c r="AU3" s="43">
        <f t="shared" si="1"/>
        <v>45271</v>
      </c>
      <c r="AV3" s="43">
        <f t="shared" si="1"/>
        <v>45278</v>
      </c>
      <c r="AW3" s="43">
        <f t="shared" si="1"/>
        <v>45285</v>
      </c>
      <c r="AX3" s="43">
        <f t="shared" si="1"/>
        <v>45292</v>
      </c>
      <c r="AY3" s="43">
        <f t="shared" si="1"/>
        <v>45299</v>
      </c>
      <c r="AZ3" s="43">
        <f t="shared" si="1"/>
        <v>45306</v>
      </c>
      <c r="BA3" s="43">
        <f t="shared" si="1"/>
        <v>45313</v>
      </c>
      <c r="BB3" s="43">
        <f t="shared" si="1"/>
        <v>45320</v>
      </c>
      <c r="BC3" s="43">
        <f t="shared" si="1"/>
        <v>45327</v>
      </c>
      <c r="BD3" s="43">
        <f t="shared" si="1"/>
        <v>45334</v>
      </c>
      <c r="BE3" s="43">
        <f t="shared" si="1"/>
        <v>45341</v>
      </c>
      <c r="BF3" s="43">
        <f t="shared" si="1"/>
        <v>45348</v>
      </c>
      <c r="BG3" s="43">
        <f t="shared" si="1"/>
        <v>45355</v>
      </c>
      <c r="BH3" s="43">
        <f t="shared" si="1"/>
        <v>45362</v>
      </c>
      <c r="BI3" s="43">
        <f t="shared" si="1"/>
        <v>45369</v>
      </c>
    </row>
    <row r="4" spans="2:61" ht="6" customHeight="1" x14ac:dyDescent="0.35"/>
    <row r="5" spans="2:61" s="26" customFormat="1" ht="24" customHeight="1" x14ac:dyDescent="0.35">
      <c r="B5" s="32" t="s">
        <v>218</v>
      </c>
      <c r="C5" s="27" t="s">
        <v>219</v>
      </c>
      <c r="D5" s="27" t="s">
        <v>220</v>
      </c>
      <c r="E5" s="27" t="s">
        <v>221</v>
      </c>
      <c r="F5" s="27" t="s">
        <v>222</v>
      </c>
      <c r="G5" s="27"/>
      <c r="H5" s="27"/>
      <c r="I5" s="27"/>
      <c r="J5" s="27"/>
      <c r="K5" s="27"/>
      <c r="L5" s="27"/>
      <c r="M5" s="27"/>
      <c r="N5" s="27"/>
      <c r="O5" s="27"/>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row>
    <row r="6" spans="2:61" ht="24" customHeight="1" x14ac:dyDescent="0.35">
      <c r="B6" s="21" t="s">
        <v>82</v>
      </c>
      <c r="C6" s="24" t="s">
        <v>84</v>
      </c>
      <c r="D6" s="24" t="s">
        <v>223</v>
      </c>
      <c r="E6" s="24"/>
      <c r="F6" s="24" t="s">
        <v>224</v>
      </c>
      <c r="G6" s="24"/>
      <c r="H6" s="24"/>
      <c r="I6" s="24"/>
      <c r="J6" s="24"/>
      <c r="K6" s="24"/>
      <c r="L6" s="24"/>
      <c r="M6" s="24"/>
      <c r="N6" s="24"/>
      <c r="O6" s="24"/>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2:61" ht="24" customHeight="1" x14ac:dyDescent="0.35">
      <c r="B7" s="21" t="s">
        <v>87</v>
      </c>
      <c r="C7" s="24" t="s">
        <v>88</v>
      </c>
      <c r="D7" s="24" t="s">
        <v>225</v>
      </c>
      <c r="E7" s="24"/>
      <c r="F7" s="24"/>
      <c r="G7" s="24"/>
      <c r="H7" s="24"/>
      <c r="I7" s="24"/>
      <c r="J7" s="24"/>
      <c r="K7" s="24"/>
      <c r="L7" s="24"/>
      <c r="M7" s="24"/>
      <c r="N7" s="24"/>
      <c r="O7" s="24"/>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2:61" ht="24" customHeight="1" x14ac:dyDescent="0.35">
      <c r="B8" s="21" t="s">
        <v>91</v>
      </c>
      <c r="C8" s="24" t="s">
        <v>92</v>
      </c>
      <c r="D8" s="24" t="s">
        <v>226</v>
      </c>
      <c r="E8" s="24"/>
      <c r="F8" s="24"/>
      <c r="G8" s="24"/>
      <c r="H8" s="24"/>
      <c r="I8" s="24"/>
      <c r="J8" s="24"/>
      <c r="K8" s="24"/>
      <c r="L8" s="24"/>
      <c r="M8" s="24"/>
      <c r="N8" s="24"/>
      <c r="O8" s="24"/>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2:61" ht="24" customHeight="1" x14ac:dyDescent="0.35">
      <c r="B9" s="21" t="s">
        <v>96</v>
      </c>
      <c r="C9" s="24" t="s">
        <v>97</v>
      </c>
      <c r="D9" s="24" t="s">
        <v>227</v>
      </c>
      <c r="E9" s="24"/>
      <c r="F9" s="24"/>
      <c r="G9" s="24"/>
      <c r="H9" s="24"/>
      <c r="I9" s="24"/>
      <c r="J9" s="24"/>
      <c r="K9" s="24"/>
      <c r="L9" s="24"/>
      <c r="M9" s="24"/>
      <c r="N9" s="24"/>
      <c r="O9" s="24"/>
      <c r="P9" s="1"/>
      <c r="Q9" s="1"/>
      <c r="R9" s="1"/>
      <c r="S9" s="1"/>
      <c r="T9" s="1"/>
      <c r="U9" s="1"/>
      <c r="V9" s="1"/>
      <c r="W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2:61" ht="24" customHeight="1" x14ac:dyDescent="0.35">
      <c r="B10" s="21" t="s">
        <v>99</v>
      </c>
      <c r="C10" s="24" t="s">
        <v>228</v>
      </c>
      <c r="D10" s="24" t="s">
        <v>223</v>
      </c>
      <c r="E10" s="24"/>
      <c r="F10" s="24"/>
      <c r="G10" s="24"/>
      <c r="H10" s="24"/>
      <c r="I10" s="24"/>
      <c r="J10" s="24"/>
      <c r="K10" s="24"/>
      <c r="L10" s="24"/>
      <c r="M10" s="24"/>
      <c r="N10" s="24"/>
      <c r="O10" s="24"/>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2:61" ht="24" customHeight="1" x14ac:dyDescent="0.35">
      <c r="B11" s="21" t="s">
        <v>101</v>
      </c>
      <c r="C11" s="24" t="s">
        <v>102</v>
      </c>
      <c r="D11" s="25" t="s">
        <v>143</v>
      </c>
      <c r="E11" s="25"/>
      <c r="F11" s="25"/>
      <c r="G11" s="24"/>
      <c r="H11" s="24"/>
      <c r="I11" s="24"/>
      <c r="J11" s="24"/>
      <c r="K11" s="24"/>
      <c r="L11" s="24"/>
      <c r="M11" s="24"/>
      <c r="N11" s="24"/>
      <c r="O11" s="24"/>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2:61" ht="24" customHeight="1" x14ac:dyDescent="0.35">
      <c r="B12" s="21" t="s">
        <v>229</v>
      </c>
      <c r="C12" s="24" t="s">
        <v>230</v>
      </c>
      <c r="D12" s="24" t="s">
        <v>231</v>
      </c>
      <c r="E12" s="24"/>
      <c r="F12" s="24"/>
      <c r="G12" s="24"/>
      <c r="H12" s="24"/>
      <c r="I12" s="24"/>
      <c r="J12" s="24"/>
      <c r="K12" s="24"/>
      <c r="L12" s="24"/>
      <c r="M12" s="24"/>
      <c r="N12" s="24"/>
      <c r="O12" s="24"/>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2:61" ht="24" customHeight="1" x14ac:dyDescent="0.35">
      <c r="B13" s="21" t="s">
        <v>229</v>
      </c>
      <c r="C13" s="24" t="s">
        <v>232</v>
      </c>
      <c r="D13" s="24" t="s">
        <v>233</v>
      </c>
      <c r="E13" s="24"/>
      <c r="F13" s="24"/>
      <c r="G13" s="24"/>
      <c r="H13" s="24"/>
      <c r="I13" s="24"/>
      <c r="J13" s="24"/>
      <c r="K13" s="24"/>
      <c r="L13" s="24"/>
      <c r="M13" s="24"/>
      <c r="N13" s="24"/>
      <c r="O13" s="24"/>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2:61" ht="24" customHeight="1" x14ac:dyDescent="0.35">
      <c r="B14" s="21" t="s">
        <v>229</v>
      </c>
      <c r="C14" s="24" t="s">
        <v>234</v>
      </c>
      <c r="D14" s="25" t="s">
        <v>143</v>
      </c>
      <c r="E14" s="25"/>
      <c r="F14" s="25"/>
      <c r="G14" s="24"/>
      <c r="H14" s="24"/>
      <c r="I14" s="24"/>
      <c r="J14" s="24"/>
      <c r="K14" s="24"/>
      <c r="L14" s="24"/>
      <c r="M14" s="24"/>
      <c r="N14" s="24"/>
      <c r="O14" s="24"/>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2:61" ht="24" customHeight="1" x14ac:dyDescent="0.35">
      <c r="B15" s="21" t="s">
        <v>229</v>
      </c>
      <c r="C15" s="24" t="s">
        <v>235</v>
      </c>
      <c r="D15" s="25" t="s">
        <v>143</v>
      </c>
      <c r="E15" s="25"/>
      <c r="F15" s="25"/>
      <c r="G15" s="24"/>
      <c r="H15" s="24"/>
      <c r="I15" s="24"/>
      <c r="J15" s="24"/>
      <c r="K15" s="24"/>
      <c r="L15" s="24"/>
      <c r="M15" s="24"/>
      <c r="N15" s="24"/>
      <c r="O15" s="24"/>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2:61" ht="24" customHeight="1" x14ac:dyDescent="0.35">
      <c r="B16" s="21" t="s">
        <v>106</v>
      </c>
      <c r="C16" s="24" t="s">
        <v>107</v>
      </c>
      <c r="D16" s="25" t="s">
        <v>143</v>
      </c>
      <c r="E16" s="25"/>
      <c r="F16" s="25"/>
      <c r="G16" s="24"/>
      <c r="H16" s="24"/>
      <c r="I16" s="24"/>
      <c r="J16" s="24"/>
      <c r="K16" s="24"/>
      <c r="L16" s="24"/>
      <c r="M16" s="24"/>
      <c r="N16" s="24"/>
      <c r="O16" s="24"/>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2:61" ht="24" customHeight="1" x14ac:dyDescent="0.35">
      <c r="B17" s="21" t="s">
        <v>109</v>
      </c>
      <c r="C17" s="24" t="s">
        <v>111</v>
      </c>
      <c r="D17" s="24" t="s">
        <v>236</v>
      </c>
      <c r="E17" s="24"/>
      <c r="F17" s="24"/>
      <c r="G17" s="24"/>
      <c r="H17" s="24"/>
      <c r="I17" s="24"/>
      <c r="J17" s="24"/>
      <c r="K17" s="24"/>
      <c r="L17" s="24"/>
      <c r="M17" s="24"/>
      <c r="N17" s="24"/>
      <c r="O17" s="24"/>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9" spans="2:61" s="26" customFormat="1" ht="24" customHeight="1" x14ac:dyDescent="0.35">
      <c r="B19" s="32" t="s">
        <v>218</v>
      </c>
      <c r="C19" s="27" t="s">
        <v>237</v>
      </c>
      <c r="D19" s="27" t="s">
        <v>220</v>
      </c>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row>
    <row r="20" spans="2:61" s="26" customFormat="1" ht="51.5" customHeight="1" x14ac:dyDescent="0.35">
      <c r="B20" s="23" t="s">
        <v>238</v>
      </c>
      <c r="C20" s="24" t="s">
        <v>239</v>
      </c>
      <c r="D20" s="28" t="s">
        <v>143</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row>
    <row r="21" spans="2:61" s="26" customFormat="1" ht="24" customHeight="1" x14ac:dyDescent="0.35">
      <c r="B21" s="23" t="s">
        <v>240</v>
      </c>
      <c r="C21" s="24" t="s">
        <v>241</v>
      </c>
      <c r="D21" s="28" t="s">
        <v>143</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row>
    <row r="22" spans="2:61" s="26" customFormat="1" ht="24" customHeight="1" x14ac:dyDescent="0.35">
      <c r="B22" s="23" t="s">
        <v>242</v>
      </c>
      <c r="C22" s="24" t="s">
        <v>243</v>
      </c>
      <c r="D22" s="28" t="s">
        <v>143</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row>
    <row r="23" spans="2:61" s="26" customFormat="1" ht="24" customHeight="1" x14ac:dyDescent="0.35">
      <c r="B23" s="23" t="s">
        <v>244</v>
      </c>
      <c r="C23" s="24" t="s">
        <v>245</v>
      </c>
      <c r="D23" s="28" t="s">
        <v>143</v>
      </c>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row>
    <row r="24" spans="2:61" s="26" customFormat="1" ht="24" customHeight="1" x14ac:dyDescent="0.35">
      <c r="B24" s="23" t="s">
        <v>246</v>
      </c>
      <c r="C24" s="24" t="s">
        <v>247</v>
      </c>
      <c r="D24" s="28" t="s">
        <v>143</v>
      </c>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row>
    <row r="25" spans="2:61" s="26" customFormat="1" ht="24" customHeight="1" x14ac:dyDescent="0.35">
      <c r="B25" s="23" t="s">
        <v>248</v>
      </c>
      <c r="C25" s="24" t="s">
        <v>249</v>
      </c>
      <c r="D25" s="28" t="s">
        <v>143</v>
      </c>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row>
    <row r="26" spans="2:61" s="26" customFormat="1" ht="24" customHeight="1" x14ac:dyDescent="0.35">
      <c r="B26" s="23" t="s">
        <v>250</v>
      </c>
      <c r="C26" s="24" t="s">
        <v>251</v>
      </c>
      <c r="D26" s="28" t="s">
        <v>143</v>
      </c>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row>
    <row r="27" spans="2:61" s="26" customFormat="1" ht="24" customHeight="1" x14ac:dyDescent="0.35">
      <c r="B27" s="23" t="s">
        <v>252</v>
      </c>
      <c r="C27" s="24" t="s">
        <v>253</v>
      </c>
      <c r="D27" s="28" t="s">
        <v>143</v>
      </c>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row>
    <row r="28" spans="2:61" s="26" customFormat="1" ht="24" customHeight="1" x14ac:dyDescent="0.35">
      <c r="B28" s="23" t="s">
        <v>254</v>
      </c>
      <c r="C28" s="24" t="s">
        <v>255</v>
      </c>
      <c r="D28" s="28" t="s">
        <v>143</v>
      </c>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row>
    <row r="29" spans="2:61" s="26" customFormat="1" ht="24" customHeight="1" x14ac:dyDescent="0.35">
      <c r="B29" s="23" t="s">
        <v>256</v>
      </c>
      <c r="C29" s="24" t="s">
        <v>257</v>
      </c>
      <c r="D29" s="28" t="s">
        <v>143</v>
      </c>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row>
    <row r="30" spans="2:61" s="26" customFormat="1" ht="24" customHeight="1" x14ac:dyDescent="0.35">
      <c r="B30" s="23" t="s">
        <v>258</v>
      </c>
      <c r="C30" s="24" t="s">
        <v>259</v>
      </c>
      <c r="D30" s="28" t="s">
        <v>143</v>
      </c>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row>
    <row r="31" spans="2:61" s="26" customFormat="1" ht="24" customHeight="1" x14ac:dyDescent="0.35">
      <c r="B31" s="23" t="s">
        <v>260</v>
      </c>
      <c r="C31" s="24" t="s">
        <v>261</v>
      </c>
      <c r="D31" s="28" t="s">
        <v>143</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row>
    <row r="32" spans="2:61" s="26" customFormat="1" ht="24" customHeight="1" x14ac:dyDescent="0.35">
      <c r="B32" s="23" t="s">
        <v>262</v>
      </c>
      <c r="C32" s="24" t="s">
        <v>263</v>
      </c>
      <c r="D32" s="28" t="s">
        <v>143</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row>
    <row r="33" spans="2:61" s="26" customFormat="1" ht="24" customHeight="1" x14ac:dyDescent="0.35">
      <c r="B33" s="23" t="s">
        <v>264</v>
      </c>
      <c r="C33" s="24" t="s">
        <v>265</v>
      </c>
      <c r="D33" s="28" t="s">
        <v>143</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row>
    <row r="34" spans="2:61" s="26" customFormat="1" ht="24" customHeight="1" x14ac:dyDescent="0.35">
      <c r="B34" s="23" t="s">
        <v>266</v>
      </c>
      <c r="C34" s="24" t="s">
        <v>267</v>
      </c>
      <c r="D34" s="28" t="s">
        <v>143</v>
      </c>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row>
    <row r="35" spans="2:61" s="26" customFormat="1" ht="24" customHeight="1" x14ac:dyDescent="0.35">
      <c r="B35" s="23" t="s">
        <v>268</v>
      </c>
      <c r="C35" s="24" t="s">
        <v>269</v>
      </c>
      <c r="D35" s="28" t="s">
        <v>143</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row>
    <row r="36" spans="2:61" s="26" customFormat="1" ht="24" customHeight="1" x14ac:dyDescent="0.35">
      <c r="B36" s="23" t="s">
        <v>270</v>
      </c>
      <c r="C36" s="24" t="s">
        <v>271</v>
      </c>
      <c r="D36" s="28" t="s">
        <v>143</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row>
    <row r="37" spans="2:61" s="26" customFormat="1" ht="24" customHeight="1" x14ac:dyDescent="0.35">
      <c r="B37" s="23" t="s">
        <v>272</v>
      </c>
      <c r="C37" s="24" t="s">
        <v>273</v>
      </c>
      <c r="D37" s="28" t="s">
        <v>143</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row>
    <row r="38" spans="2:61" s="26" customFormat="1" ht="24" customHeight="1" x14ac:dyDescent="0.35">
      <c r="B38" s="23" t="s">
        <v>274</v>
      </c>
      <c r="C38" s="24" t="s">
        <v>275</v>
      </c>
      <c r="D38" s="28" t="s">
        <v>143</v>
      </c>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row>
    <row r="39" spans="2:61" s="26" customFormat="1" ht="24" customHeight="1" x14ac:dyDescent="0.35">
      <c r="B39" s="23" t="s">
        <v>276</v>
      </c>
      <c r="C39" s="24" t="s">
        <v>277</v>
      </c>
      <c r="D39" s="28" t="s">
        <v>143</v>
      </c>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row>
    <row r="40" spans="2:61" s="26" customFormat="1" ht="24" customHeight="1" x14ac:dyDescent="0.35">
      <c r="B40" s="23" t="s">
        <v>278</v>
      </c>
      <c r="C40" s="24" t="s">
        <v>279</v>
      </c>
      <c r="D40" s="28" t="s">
        <v>143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row>
    <row r="41" spans="2:61" s="26" customFormat="1" ht="24" customHeight="1" x14ac:dyDescent="0.35">
      <c r="B41" s="23" t="s">
        <v>280</v>
      </c>
      <c r="C41" s="24" t="s">
        <v>281</v>
      </c>
      <c r="D41" s="28" t="s">
        <v>143</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row>
    <row r="42" spans="2:61" s="26" customFormat="1" ht="24" customHeight="1" x14ac:dyDescent="0.35">
      <c r="B42" s="23" t="s">
        <v>282</v>
      </c>
      <c r="C42" s="24" t="s">
        <v>283</v>
      </c>
      <c r="D42" s="28" t="s">
        <v>143</v>
      </c>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row>
    <row r="43" spans="2:61" ht="24" customHeight="1" x14ac:dyDescent="0.35"/>
    <row r="44" spans="2:61" s="26" customFormat="1" ht="24" customHeight="1" x14ac:dyDescent="0.35">
      <c r="B44" s="32" t="s">
        <v>218</v>
      </c>
      <c r="C44" s="27" t="s">
        <v>284</v>
      </c>
      <c r="D44" s="27" t="s">
        <v>220</v>
      </c>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row>
    <row r="45" spans="2:61" s="26" customFormat="1" ht="148.25" customHeight="1" x14ac:dyDescent="0.35">
      <c r="B45" s="31">
        <v>200</v>
      </c>
      <c r="C45" s="28" t="s">
        <v>285</v>
      </c>
      <c r="D45" s="28" t="s">
        <v>286</v>
      </c>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row>
    <row r="46" spans="2:61" ht="15" thickBot="1" x14ac:dyDescent="0.4"/>
    <row r="47" spans="2:61" x14ac:dyDescent="0.35">
      <c r="B47" s="33" t="s">
        <v>287</v>
      </c>
    </row>
    <row r="48" spans="2:61" x14ac:dyDescent="0.35">
      <c r="B48" s="34" t="s">
        <v>288</v>
      </c>
    </row>
    <row r="49" spans="2:2" x14ac:dyDescent="0.35">
      <c r="B49" s="35" t="s">
        <v>289</v>
      </c>
    </row>
    <row r="50" spans="2:2" x14ac:dyDescent="0.35">
      <c r="B50" s="36" t="s">
        <v>290</v>
      </c>
    </row>
    <row r="51" spans="2:2" ht="15" thickBot="1" x14ac:dyDescent="0.4">
      <c r="B51" s="37" t="s">
        <v>291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68D1-CD1B-4A01-9D12-5FF51EDD5C45}">
  <dimension ref="A1:A8"/>
  <sheetViews>
    <sheetView workbookViewId="0">
      <selection activeCell="G13" sqref="G13"/>
    </sheetView>
  </sheetViews>
  <sheetFormatPr defaultColWidth="8.81640625" defaultRowHeight="14.5" x14ac:dyDescent="0.35"/>
  <cols>
    <col min="1" max="1" width="21.453125" customWidth="1"/>
  </cols>
  <sheetData>
    <row r="1" spans="1:1" x14ac:dyDescent="0.35">
      <c r="A1" t="s">
        <v>94</v>
      </c>
    </row>
    <row r="2" spans="1:1" x14ac:dyDescent="0.35">
      <c r="A2" t="s">
        <v>134</v>
      </c>
    </row>
    <row r="3" spans="1:1" x14ac:dyDescent="0.35">
      <c r="A3" t="s">
        <v>292</v>
      </c>
    </row>
    <row r="4" spans="1:1" x14ac:dyDescent="0.35">
      <c r="A4" t="s">
        <v>293</v>
      </c>
    </row>
    <row r="5" spans="1:1" x14ac:dyDescent="0.35">
      <c r="A5" t="s">
        <v>294</v>
      </c>
    </row>
    <row r="6" spans="1:1" x14ac:dyDescent="0.35">
      <c r="A6" t="s">
        <v>295</v>
      </c>
    </row>
    <row r="7" spans="1:1" x14ac:dyDescent="0.35">
      <c r="A7" t="s">
        <v>80</v>
      </c>
    </row>
    <row r="8" spans="1:1" x14ac:dyDescent="0.35">
      <c r="A8" t="s">
        <v>296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8853D-08A7-4E83-9783-01F3EC50D1D2}">
  <dimension ref="A1"/>
  <sheetViews>
    <sheetView topLeftCell="A10" workbookViewId="0">
      <selection activeCell="D6" sqref="D6"/>
    </sheetView>
  </sheetViews>
  <sheetFormatPr defaultColWidth="8.81640625"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f1553dad-e2a2-42fe-8ff1-ea944a416a5a">
      <UserInfo>
        <DisplayName>Mol, William</DisplayName>
        <AccountId>16</AccountId>
        <AccountType/>
      </UserInfo>
    </SharedWithUsers>
    <MediaLengthInSeconds xmlns="101ed2d0-ccd1-402c-a41d-d903a7c321c2" xsi:nil="true"/>
    <TaxCatchAll xmlns="07e397c1-4dcd-4254-bcef-c5032c2d906f" xsi:nil="true"/>
    <lcf76f155ced4ddcb4097134ff3c332f xmlns="101ed2d0-ccd1-402c-a41d-d903a7c321c2">
      <Terms xmlns="http://schemas.microsoft.com/office/infopath/2007/PartnerControls"/>
    </lcf76f155ced4ddcb4097134ff3c332f>
    <ArchiverLinkFileType xmlns="101ed2d0-ccd1-402c-a41d-d903a7c321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39C8EFE92F0A34E86A0380471638E81" ma:contentTypeVersion="21" ma:contentTypeDescription="Create a new document." ma:contentTypeScope="" ma:versionID="b1c4078abfe1377dd1a130ea94fc0d45">
  <xsd:schema xmlns:xsd="http://www.w3.org/2001/XMLSchema" xmlns:xs="http://www.w3.org/2001/XMLSchema" xmlns:p="http://schemas.microsoft.com/office/2006/metadata/properties" xmlns:ns2="101ed2d0-ccd1-402c-a41d-d903a7c321c2" xmlns:ns3="f1553dad-e2a2-42fe-8ff1-ea944a416a5a" xmlns:ns4="07e397c1-4dcd-4254-bcef-c5032c2d906f" targetNamespace="http://schemas.microsoft.com/office/2006/metadata/properties" ma:root="true" ma:fieldsID="3b41412addf774dffc6575b73d29d703" ns2:_="" ns3:_="" ns4:_="">
    <xsd:import namespace="101ed2d0-ccd1-402c-a41d-d903a7c321c2"/>
    <xsd:import namespace="f1553dad-e2a2-42fe-8ff1-ea944a416a5a"/>
    <xsd:import namespace="07e397c1-4dcd-4254-bcef-c5032c2d906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ArchiverLinkFileTyp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1ed2d0-ccd1-402c-a41d-d903a7c321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0b5f185-b19a-4336-a4ec-f1b99802f1e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ArchiverLinkFileType" ma:index="22" nillable="true" ma:displayName="ArchiverLinkFileType" ma:hidden="true" ma:internalName="ArchiverLinkFileTyp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553dad-e2a2-42fe-8ff1-ea944a416a5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e397c1-4dcd-4254-bcef-c5032c2d906f"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b94775c-7daa-4dd2-89c8-4c5d6d5ed537}" ma:internalName="TaxCatchAll" ma:showField="CatchAllData" ma:web="f1553dad-e2a2-42fe-8ff1-ea944a416a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00b5f185-b19a-4336-a4ec-f1b99802f1ef" ContentTypeId="0x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0A4651-09A5-439B-A41E-3E2CCC532081}">
  <ds:schemaRefs>
    <ds:schemaRef ds:uri="07e397c1-4dcd-4254-bcef-c5032c2d906f"/>
    <ds:schemaRef ds:uri="http://schemas.microsoft.com/office/infopath/2007/PartnerControls"/>
    <ds:schemaRef ds:uri="http://purl.org/dc/elements/1.1/"/>
    <ds:schemaRef ds:uri="http://purl.org/dc/dcmitype/"/>
    <ds:schemaRef ds:uri="http://www.w3.org/XML/1998/namespace"/>
    <ds:schemaRef ds:uri="f1553dad-e2a2-42fe-8ff1-ea944a416a5a"/>
    <ds:schemaRef ds:uri="http://purl.org/dc/terms/"/>
    <ds:schemaRef ds:uri="http://schemas.microsoft.com/office/2006/documentManagement/types"/>
    <ds:schemaRef ds:uri="http://schemas.microsoft.com/office/2006/metadata/properties"/>
    <ds:schemaRef ds:uri="http://schemas.openxmlformats.org/package/2006/metadata/core-properties"/>
    <ds:schemaRef ds:uri="101ed2d0-ccd1-402c-a41d-d903a7c321c2"/>
  </ds:schemaRefs>
</ds:datastoreItem>
</file>

<file path=customXml/itemProps2.xml><?xml version="1.0" encoding="utf-8"?>
<ds:datastoreItem xmlns:ds="http://schemas.openxmlformats.org/officeDocument/2006/customXml" ds:itemID="{02C9F0E5-35F3-4E9A-AED9-DC340010B87F}"/>
</file>

<file path=customXml/itemProps3.xml><?xml version="1.0" encoding="utf-8"?>
<ds:datastoreItem xmlns:ds="http://schemas.openxmlformats.org/officeDocument/2006/customXml" ds:itemID="{FC5210D6-1041-44B4-AAF0-1C1B1CCBAE12}">
  <ds:schemaRefs>
    <ds:schemaRef ds:uri="Microsoft.SharePoint.Taxonomy.ContentTypeSync"/>
  </ds:schemaRefs>
</ds:datastoreItem>
</file>

<file path=customXml/itemProps4.xml><?xml version="1.0" encoding="utf-8"?>
<ds:datastoreItem xmlns:ds="http://schemas.openxmlformats.org/officeDocument/2006/customXml" ds:itemID="{2EFFBDB1-4BF8-427B-9888-32B0BCC6A460}">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Roles and Responsabilities</vt:lpstr>
      <vt:lpstr>Dashboard Contracting Vendors</vt:lpstr>
      <vt:lpstr>Sheet2</vt:lpstr>
      <vt:lpstr>Central Build Planning</vt:lpstr>
      <vt:lpstr>List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Reijnders, Tim</dc:creator>
  <cp:keywords/>
  <dc:description/>
  <cp:lastModifiedBy>Majoor, Marcel</cp:lastModifiedBy>
  <cp:revision/>
  <dcterms:created xsi:type="dcterms:W3CDTF">2022-03-24T09:18:29Z</dcterms:created>
  <dcterms:modified xsi:type="dcterms:W3CDTF">2023-07-21T09:48:51Z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0x010100739C8EFE92F0A34E86A0380471638E81</vt:lpwstr>
  </property>
  <property fmtid="{D5CDD505-2E9C-101B-9397-08002B2CF9AE}" pid="3" name="Order">
    <vt:r8>11500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